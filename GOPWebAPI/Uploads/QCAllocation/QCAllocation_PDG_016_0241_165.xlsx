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330" windowWidth="19875" windowHeight="7455"/>
  </bookViews>
  <sheets>
    <sheet name="Sheet1" sheetId="1" r:id="rId1"/>
  </sheets>
  <definedNames>
    <definedName name="_xlnm._FilterDatabase" localSheetId="0" hidden="1">Sheet1!$A$1:$DJ$1697</definedName>
  </definedNames>
  <calcPr calcId="145621"/>
</workbook>
</file>

<file path=xl/calcChain.xml><?xml version="1.0" encoding="utf-8"?>
<calcChain xmlns="http://schemas.openxmlformats.org/spreadsheetml/2006/main">
  <c r="AY1110" i="1" l="1"/>
  <c r="AY1118" i="1"/>
  <c r="AY1114" i="1"/>
  <c r="AY1116" i="1"/>
  <c r="AY1111" i="1"/>
  <c r="AY1119" i="1"/>
  <c r="AY1115" i="1"/>
  <c r="AY1117" i="1"/>
  <c r="AY1112" i="1"/>
  <c r="AY1120" i="1"/>
  <c r="AY1113" i="1"/>
  <c r="AY1121" i="1"/>
  <c r="AY1382" i="1"/>
  <c r="AY1401" i="1"/>
  <c r="AY1099" i="1"/>
  <c r="AY857" i="1"/>
  <c r="AY855" i="1"/>
  <c r="AY856" i="1"/>
  <c r="AY1223" i="1"/>
  <c r="AY1225" i="1"/>
  <c r="AY1224" i="1"/>
  <c r="AY1533" i="1"/>
  <c r="AY1636" i="1"/>
  <c r="AY1634" i="1"/>
  <c r="AY1635" i="1"/>
  <c r="AY673" i="1"/>
  <c r="AY1630" i="1"/>
  <c r="AY1631" i="1"/>
  <c r="AY41" i="1"/>
  <c r="AY40" i="1"/>
  <c r="AY42" i="1"/>
  <c r="AY1230" i="1"/>
  <c r="AY1221" i="1"/>
  <c r="AY1222" i="1"/>
  <c r="AY78" i="1"/>
  <c r="AY77" i="1"/>
  <c r="AY127" i="1"/>
  <c r="AY125" i="1"/>
  <c r="AY124" i="1"/>
  <c r="AY126" i="1"/>
  <c r="AY27" i="1"/>
  <c r="AY520" i="1"/>
  <c r="AY1626" i="1"/>
  <c r="AY1165" i="1"/>
  <c r="AY454" i="1"/>
  <c r="AY69" i="1"/>
  <c r="AY74" i="1"/>
  <c r="AY73" i="1"/>
  <c r="AY68" i="1"/>
  <c r="AY72" i="1"/>
  <c r="AY71" i="1"/>
  <c r="AY1540" i="1"/>
  <c r="AY67" i="1"/>
  <c r="AY51" i="1"/>
  <c r="AY52" i="1"/>
  <c r="AY70" i="1"/>
  <c r="AY1311" i="1"/>
  <c r="AY725" i="1"/>
  <c r="AY210" i="1"/>
  <c r="AY457" i="1"/>
  <c r="AY1425" i="1"/>
  <c r="AY1470" i="1"/>
  <c r="AY1633" i="1"/>
  <c r="AY1406" i="1"/>
  <c r="AY1384" i="1"/>
  <c r="AY1405" i="1"/>
  <c r="AY1383" i="1"/>
  <c r="AY572" i="1"/>
  <c r="AY1179" i="1"/>
  <c r="AY1178" i="1"/>
  <c r="AY1177" i="1"/>
  <c r="AY1176" i="1"/>
  <c r="AY1175" i="1"/>
  <c r="AY1174" i="1"/>
  <c r="AY1173" i="1"/>
  <c r="AY1172" i="1"/>
  <c r="AY1171" i="1"/>
  <c r="AY1235" i="1"/>
  <c r="AY573" i="1"/>
  <c r="AY982" i="1"/>
  <c r="AY1106" i="1"/>
  <c r="AY1105" i="1"/>
  <c r="AY1103" i="1"/>
  <c r="AY1104" i="1"/>
  <c r="AY565" i="1"/>
  <c r="AY588" i="1"/>
  <c r="AY587" i="1"/>
  <c r="AY586" i="1"/>
  <c r="AY589" i="1"/>
  <c r="AY590" i="1"/>
  <c r="AY629" i="1"/>
  <c r="AY628" i="1"/>
  <c r="AY627" i="1"/>
  <c r="AY626" i="1"/>
  <c r="AY630" i="1"/>
  <c r="AY539" i="1"/>
  <c r="AY540" i="1"/>
  <c r="AY979" i="1"/>
  <c r="AY578" i="1"/>
  <c r="AY577" i="1"/>
  <c r="AY576" i="1"/>
  <c r="AY579" i="1"/>
  <c r="AY582" i="1"/>
  <c r="AY581" i="1"/>
  <c r="AY580" i="1"/>
  <c r="AY1567" i="1"/>
  <c r="AY535" i="1"/>
  <c r="AY533" i="1"/>
  <c r="AY537" i="1"/>
  <c r="AY536" i="1"/>
  <c r="AY534" i="1"/>
  <c r="AY1448" i="1"/>
  <c r="AY1447" i="1"/>
  <c r="AY1449" i="1"/>
  <c r="AY538" i="1"/>
  <c r="AY554" i="1"/>
  <c r="AY574" i="1"/>
  <c r="AY551" i="1"/>
  <c r="AY566" i="1"/>
  <c r="AY567" i="1"/>
  <c r="AY372" i="1"/>
  <c r="AY956" i="1"/>
  <c r="AY1566" i="1"/>
  <c r="AY1565" i="1"/>
  <c r="AY583" i="1"/>
  <c r="AY584" i="1"/>
  <c r="AY636" i="1"/>
  <c r="AY697" i="1"/>
  <c r="AY698" i="1"/>
  <c r="AY1568" i="1"/>
  <c r="AY571" i="1"/>
  <c r="AY570" i="1"/>
  <c r="AY569" i="1"/>
  <c r="AY568" i="1"/>
  <c r="AY558" i="1"/>
  <c r="AY560" i="1"/>
  <c r="AY563" i="1"/>
  <c r="AY562" i="1"/>
  <c r="AY559" i="1"/>
  <c r="AY561" i="1"/>
  <c r="AY585" i="1"/>
  <c r="AY1237" i="1"/>
  <c r="AY594" i="1"/>
  <c r="AY593" i="1"/>
  <c r="AY503" i="1"/>
  <c r="AY972" i="1"/>
  <c r="AY1074" i="1"/>
  <c r="AY719" i="1"/>
  <c r="AY784" i="1"/>
  <c r="AY1326" i="1"/>
  <c r="AY1404" i="1"/>
  <c r="AY275" i="1"/>
  <c r="AY1465" i="1"/>
  <c r="AY1443" i="1"/>
  <c r="AY45" i="1"/>
  <c r="AY39" i="1"/>
  <c r="AY38" i="1"/>
  <c r="AY44" i="1"/>
  <c r="AY425" i="1"/>
  <c r="AY617" i="1"/>
  <c r="AY261" i="1"/>
  <c r="AY260" i="1"/>
  <c r="AY259" i="1"/>
  <c r="AY258" i="1"/>
  <c r="AY257" i="1"/>
  <c r="AY256" i="1"/>
  <c r="AY906" i="1"/>
  <c r="AY907" i="1"/>
  <c r="AY248" i="1"/>
  <c r="AY137" i="1"/>
  <c r="AY100" i="1"/>
  <c r="AY99" i="1"/>
  <c r="AY98" i="1"/>
  <c r="AY97" i="1"/>
  <c r="AY121" i="1"/>
  <c r="AY122" i="1"/>
  <c r="AY902" i="1"/>
  <c r="AY218" i="1"/>
  <c r="AY217" i="1"/>
  <c r="AY1589" i="1"/>
  <c r="AY1588" i="1"/>
  <c r="AY1590" i="1"/>
  <c r="AY1594" i="1"/>
  <c r="AY1593" i="1"/>
  <c r="AY1592" i="1"/>
  <c r="AY1597" i="1"/>
  <c r="AY1596" i="1"/>
  <c r="AY1595" i="1"/>
  <c r="AY1600" i="1"/>
  <c r="AY1599" i="1"/>
  <c r="AY1598" i="1"/>
  <c r="AY1587" i="1"/>
  <c r="AY903" i="1"/>
  <c r="AY130" i="1"/>
  <c r="AY129" i="1"/>
  <c r="AY1591" i="1"/>
  <c r="AY226" i="1"/>
  <c r="AY253" i="1"/>
  <c r="AY251" i="1"/>
  <c r="AY252" i="1"/>
  <c r="AY373" i="1"/>
  <c r="AY1299" i="1"/>
  <c r="AY1296" i="1"/>
  <c r="AY1295" i="1"/>
  <c r="AY662" i="1"/>
  <c r="AY663" i="1"/>
  <c r="AY317" i="1"/>
  <c r="AY318" i="1"/>
  <c r="AY464" i="1"/>
  <c r="AY325" i="1"/>
  <c r="AY324" i="1"/>
  <c r="AY305" i="1"/>
  <c r="AY303" i="1"/>
  <c r="AY300" i="1"/>
  <c r="AY306" i="1"/>
  <c r="AY302" i="1"/>
  <c r="AY308" i="1"/>
  <c r="AY307" i="1"/>
  <c r="AY304" i="1"/>
  <c r="AY301" i="1"/>
  <c r="AY1575" i="1"/>
  <c r="AY1574" i="1"/>
  <c r="AY463" i="1"/>
  <c r="AY1075" i="1"/>
  <c r="AY1076" i="1"/>
  <c r="AY1077" i="1"/>
  <c r="AY1321" i="1"/>
  <c r="AY405" i="1"/>
  <c r="AY891" i="1"/>
  <c r="AY1067" i="1"/>
  <c r="AY1066" i="1"/>
  <c r="AY1489" i="1"/>
  <c r="AY1488" i="1"/>
  <c r="AY1500" i="1"/>
  <c r="AY1505" i="1"/>
  <c r="AY1293" i="1"/>
  <c r="AY1381" i="1"/>
  <c r="AY1411" i="1"/>
  <c r="AY1628" i="1"/>
  <c r="AY1272" i="1"/>
  <c r="AY1270" i="1"/>
  <c r="AY1269" i="1"/>
  <c r="AY1308" i="1"/>
  <c r="AY1268" i="1"/>
  <c r="AY1267" i="1"/>
  <c r="AY7" i="1"/>
  <c r="AY6" i="1"/>
  <c r="AY105" i="1"/>
  <c r="AY103" i="1"/>
  <c r="AY104" i="1"/>
  <c r="AY102" i="1"/>
  <c r="AY106" i="1"/>
  <c r="AY278" i="1"/>
  <c r="AY290" i="1"/>
  <c r="AY289" i="1"/>
  <c r="AY288" i="1"/>
  <c r="AY279" i="1"/>
  <c r="AY1318" i="1"/>
  <c r="AY1316" i="1"/>
  <c r="AY1317" i="1"/>
  <c r="AY1319" i="1"/>
  <c r="AY1320" i="1"/>
  <c r="AY1421" i="1"/>
  <c r="AY1420" i="1"/>
  <c r="AY276" i="1"/>
  <c r="AY277" i="1"/>
  <c r="AY283" i="1"/>
  <c r="AY286" i="1"/>
  <c r="AY285" i="1"/>
  <c r="AY1511" i="1"/>
  <c r="AY282" i="1"/>
  <c r="AY281" i="1"/>
  <c r="AY280" i="1"/>
  <c r="AY287" i="1"/>
  <c r="AY284" i="1"/>
  <c r="AY223" i="1"/>
  <c r="AY549" i="1"/>
  <c r="AY1252" i="1"/>
  <c r="AY1251" i="1"/>
  <c r="AY1250" i="1"/>
  <c r="AY1249" i="1"/>
  <c r="AY648" i="1"/>
  <c r="AY1450" i="1"/>
  <c r="AY552" i="1"/>
  <c r="AY553" i="1"/>
  <c r="AY547" i="1"/>
  <c r="AY669" i="1"/>
  <c r="AY651" i="1"/>
  <c r="AY605" i="1"/>
  <c r="AY604" i="1"/>
  <c r="AY58" i="1"/>
  <c r="AY57" i="1"/>
  <c r="AY56" i="1"/>
  <c r="AY55" i="1"/>
  <c r="AY213" i="1"/>
  <c r="AY1275" i="1"/>
  <c r="AY1402" i="1"/>
  <c r="AY1375" i="1"/>
  <c r="AY1380" i="1"/>
  <c r="AY557" i="1"/>
  <c r="AY1639" i="1"/>
  <c r="AY1641" i="1"/>
  <c r="AY1640" i="1"/>
  <c r="AY1642" i="1"/>
  <c r="AY1643" i="1"/>
  <c r="AY965" i="1"/>
  <c r="AY966" i="1"/>
  <c r="AY964" i="1"/>
  <c r="AY963" i="1"/>
  <c r="AY962" i="1"/>
  <c r="AY961" i="1"/>
  <c r="AY960" i="1"/>
  <c r="AY977" i="1"/>
  <c r="AY976" i="1"/>
  <c r="AY975" i="1"/>
  <c r="AY974" i="1"/>
  <c r="AY1305" i="1"/>
  <c r="AY1304" i="1"/>
  <c r="AY35" i="1"/>
  <c r="AY34" i="1"/>
  <c r="AY33" i="1"/>
  <c r="AY32" i="1"/>
  <c r="AY31" i="1"/>
  <c r="AY30" i="1"/>
  <c r="AY216" i="1"/>
  <c r="AY215" i="1"/>
  <c r="AY1410" i="1"/>
  <c r="AY1336" i="1"/>
  <c r="AY1341" i="1"/>
  <c r="AY1330" i="1"/>
  <c r="AY1329" i="1"/>
  <c r="AY1082" i="1"/>
  <c r="AY1288" i="1"/>
  <c r="AY1287" i="1"/>
  <c r="AY1498" i="1"/>
  <c r="AY1497" i="1"/>
  <c r="AY1433" i="1"/>
  <c r="AY1309" i="1"/>
  <c r="AY1244" i="1"/>
  <c r="AY1245" i="1"/>
  <c r="AY1243" i="1"/>
  <c r="AY1436" i="1"/>
  <c r="AY1163" i="1"/>
  <c r="AY1239" i="1"/>
  <c r="AY1241" i="1"/>
  <c r="AY1240" i="1"/>
  <c r="AY426" i="1"/>
  <c r="AY421" i="1"/>
  <c r="AY417" i="1"/>
  <c r="AY427" i="1"/>
  <c r="AY422" i="1"/>
  <c r="AY418" i="1"/>
  <c r="AY424" i="1"/>
  <c r="AY423" i="1"/>
  <c r="AY420" i="1"/>
  <c r="AY419" i="1"/>
  <c r="AY416" i="1"/>
  <c r="AY1084" i="1"/>
  <c r="AY1101" i="1"/>
  <c r="AY1102" i="1"/>
  <c r="AY1009" i="1"/>
  <c r="AY1005" i="1"/>
  <c r="AY1560" i="1"/>
  <c r="AY1557" i="1"/>
  <c r="AY1558" i="1"/>
  <c r="AY1559" i="1"/>
  <c r="AY1219" i="1"/>
  <c r="AY1681" i="1"/>
  <c r="AY615" i="1"/>
  <c r="AY166" i="1"/>
  <c r="AY168" i="1"/>
  <c r="AY167" i="1"/>
  <c r="AY163" i="1"/>
  <c r="AY165" i="1"/>
  <c r="AY164" i="1"/>
  <c r="AY53" i="1"/>
  <c r="AY59" i="1"/>
  <c r="AY64" i="1"/>
  <c r="AY1385" i="1"/>
  <c r="AY1349" i="1"/>
  <c r="AY1407" i="1"/>
  <c r="AY1379" i="1"/>
  <c r="AY726" i="1"/>
  <c r="AY532" i="1"/>
  <c r="AY707" i="1"/>
  <c r="AY706" i="1"/>
  <c r="AY705" i="1"/>
  <c r="AY751" i="1"/>
  <c r="AY749" i="1"/>
  <c r="AY747" i="1"/>
  <c r="AY750" i="1"/>
  <c r="AY748" i="1"/>
  <c r="AY1435" i="1"/>
  <c r="AY512" i="1"/>
  <c r="AY162" i="1"/>
  <c r="AY161" i="1"/>
  <c r="AY160" i="1"/>
  <c r="AY155" i="1"/>
  <c r="AY154" i="1"/>
  <c r="AY158" i="1"/>
  <c r="AY157" i="1"/>
  <c r="AY156" i="1"/>
  <c r="AY159" i="1"/>
  <c r="AY1073" i="1"/>
  <c r="AY1072" i="1"/>
  <c r="AY1107" i="1"/>
  <c r="AY1466" i="1"/>
  <c r="AY1423" i="1"/>
  <c r="AY112" i="1"/>
  <c r="AY116" i="1"/>
  <c r="AY115" i="1"/>
  <c r="AY117" i="1"/>
  <c r="AY616" i="1"/>
  <c r="AY684" i="1"/>
  <c r="AY640" i="1"/>
  <c r="AY901" i="1"/>
  <c r="AY908" i="1"/>
  <c r="AY619" i="1"/>
  <c r="AY564" i="1"/>
  <c r="AY266" i="1"/>
  <c r="AY514" i="1"/>
  <c r="AY513" i="1"/>
  <c r="AY1217" i="1"/>
  <c r="AY1624" i="1"/>
  <c r="AY1095" i="1"/>
  <c r="AY1094" i="1"/>
  <c r="AY1096" i="1"/>
  <c r="AY36" i="1"/>
  <c r="AY618" i="1"/>
  <c r="AY518" i="1"/>
  <c r="AY519" i="1"/>
  <c r="AY205" i="1"/>
  <c r="AY1170" i="1"/>
  <c r="AY1242" i="1"/>
  <c r="AY914" i="1"/>
  <c r="AY913" i="1"/>
  <c r="AY911" i="1"/>
  <c r="AY909" i="1"/>
  <c r="AY912" i="1"/>
  <c r="AY910" i="1"/>
  <c r="AY50" i="1"/>
  <c r="AY1021" i="1"/>
  <c r="AY1020" i="1"/>
  <c r="AY1023" i="1"/>
  <c r="AY1022" i="1"/>
  <c r="AY1091" i="1"/>
  <c r="AY1092" i="1"/>
  <c r="AY1093" i="1"/>
  <c r="AY935" i="1"/>
  <c r="AY930" i="1"/>
  <c r="AY929" i="1"/>
  <c r="AY934" i="1"/>
  <c r="AY932" i="1"/>
  <c r="AY931" i="1"/>
  <c r="AY1552" i="1"/>
  <c r="AY47" i="1"/>
  <c r="AY970" i="1"/>
  <c r="AY969" i="1"/>
  <c r="AY967" i="1"/>
  <c r="AY968" i="1"/>
  <c r="AY1543" i="1"/>
  <c r="AY1545" i="1"/>
  <c r="AY1544" i="1"/>
  <c r="AY1546" i="1"/>
  <c r="AY1549" i="1"/>
  <c r="AY1548" i="1"/>
  <c r="AY1547" i="1"/>
  <c r="AY1542" i="1"/>
  <c r="AY1676" i="1"/>
  <c r="AY1675" i="1"/>
  <c r="AY1674" i="1"/>
  <c r="AY1679" i="1"/>
  <c r="AY1660" i="1"/>
  <c r="AY1659" i="1"/>
  <c r="AY1658" i="1"/>
  <c r="AY1657" i="1"/>
  <c r="AY1656" i="1"/>
  <c r="AY1670" i="1"/>
  <c r="AY1664" i="1"/>
  <c r="AY1672" i="1"/>
  <c r="AY1663" i="1"/>
  <c r="AY1671" i="1"/>
  <c r="AY1666" i="1"/>
  <c r="AY1683" i="1"/>
  <c r="AY1673" i="1"/>
  <c r="AY1677" i="1"/>
  <c r="AY1661" i="1"/>
  <c r="AY1662" i="1"/>
  <c r="AY1680" i="1"/>
  <c r="AY1682" i="1"/>
  <c r="AY1678" i="1"/>
  <c r="AY1541" i="1"/>
  <c r="AY1665" i="1"/>
  <c r="AY1667" i="1"/>
  <c r="AY1685" i="1"/>
  <c r="AY1684" i="1"/>
  <c r="AY1668" i="1"/>
  <c r="AY1669" i="1"/>
  <c r="AY983" i="1"/>
  <c r="AY225" i="1"/>
  <c r="AY1362" i="1"/>
  <c r="AY692" i="1"/>
  <c r="AY43" i="1"/>
  <c r="AY1131" i="1"/>
  <c r="AY1068" i="1"/>
  <c r="AY1228" i="1"/>
  <c r="AY1028" i="1"/>
  <c r="AY1059" i="1"/>
  <c r="AY658" i="1"/>
  <c r="AY659" i="1"/>
  <c r="AY631" i="1"/>
  <c r="AY632" i="1"/>
  <c r="AY633" i="1"/>
  <c r="AY650" i="1"/>
  <c r="AY647" i="1"/>
  <c r="AY642" i="1"/>
  <c r="AY649" i="1"/>
  <c r="AY641" i="1"/>
  <c r="AY671" i="1"/>
  <c r="AY291" i="1"/>
  <c r="AY624" i="1"/>
  <c r="AY661" i="1"/>
  <c r="AY293" i="1"/>
  <c r="AY292" i="1"/>
  <c r="AY625" i="1"/>
  <c r="AY474" i="1"/>
  <c r="AY602" i="1"/>
  <c r="AY492" i="1"/>
  <c r="AY1562" i="1"/>
  <c r="AY1088" i="1"/>
  <c r="AY1089" i="1"/>
  <c r="AY1537" i="1"/>
  <c r="AY5" i="1"/>
  <c r="AY1015" i="1"/>
  <c r="AY1090" i="1"/>
  <c r="AY1019" i="1"/>
  <c r="AY601" i="1"/>
  <c r="AY599" i="1"/>
  <c r="AY600" i="1"/>
  <c r="AY598" i="1"/>
  <c r="AY682" i="1"/>
  <c r="AY683" i="1"/>
  <c r="AY884" i="1"/>
  <c r="AY883" i="1"/>
  <c r="AY120" i="1"/>
  <c r="AY113" i="1"/>
  <c r="AY110" i="1"/>
  <c r="AY119" i="1"/>
  <c r="AY109" i="1"/>
  <c r="AY108" i="1"/>
  <c r="AY107" i="1"/>
  <c r="AY118" i="1"/>
  <c r="AY1292" i="1"/>
  <c r="AY1608" i="1"/>
  <c r="AY1607" i="1"/>
  <c r="AY1071" i="1"/>
  <c r="AY430" i="1"/>
  <c r="AY466" i="1"/>
  <c r="AY1297" i="1"/>
  <c r="AY1298" i="1"/>
  <c r="AY1214" i="1"/>
  <c r="AY1169" i="1"/>
  <c r="AY1168" i="1"/>
  <c r="AY1167" i="1"/>
  <c r="AY1079" i="1"/>
  <c r="AY1430" i="1"/>
  <c r="AY19" i="1"/>
  <c r="AY595" i="1"/>
  <c r="AY597" i="1"/>
  <c r="AY596" i="1"/>
  <c r="AY220" i="1"/>
  <c r="AY1499" i="1"/>
  <c r="AY1504" i="1"/>
  <c r="AY1483" i="1"/>
  <c r="AY1476" i="1"/>
  <c r="AY1480" i="1"/>
  <c r="AY1479" i="1"/>
  <c r="AY1481" i="1"/>
  <c r="AY1482" i="1"/>
  <c r="AY1478" i="1"/>
  <c r="AY1477" i="1"/>
  <c r="AY1484" i="1"/>
  <c r="AY1485" i="1"/>
  <c r="AY1486" i="1"/>
  <c r="AY1493" i="1"/>
  <c r="AY1492" i="1"/>
  <c r="AY1491" i="1"/>
  <c r="AY1494" i="1"/>
  <c r="AY1487" i="1"/>
  <c r="AY1495" i="1"/>
  <c r="AY1695" i="1"/>
  <c r="AY1692" i="1"/>
  <c r="AY1691" i="1"/>
  <c r="AY1693" i="1"/>
  <c r="AY1696" i="1"/>
  <c r="AY1687" i="1"/>
  <c r="AY1694" i="1"/>
  <c r="AY1697" i="1"/>
  <c r="AY1690" i="1"/>
  <c r="AY1689" i="1"/>
  <c r="AY1688" i="1"/>
  <c r="AY1218" i="1"/>
  <c r="AY465" i="1"/>
  <c r="AY1031" i="1"/>
  <c r="AY1000" i="1"/>
  <c r="AY541" i="1"/>
  <c r="AY543" i="1"/>
  <c r="AY542" i="1"/>
  <c r="AY1278" i="1"/>
  <c r="AY1378" i="1"/>
  <c r="AY1315" i="1"/>
  <c r="AY1314" i="1"/>
  <c r="AY793" i="1"/>
  <c r="AY794" i="1"/>
  <c r="AY1097" i="1"/>
  <c r="AY668" i="1"/>
  <c r="AY1496" i="1"/>
  <c r="AY527" i="1"/>
  <c r="AY273" i="1"/>
  <c r="AY272" i="1"/>
  <c r="AY271" i="1"/>
  <c r="AY274" i="1"/>
  <c r="AY1294" i="1"/>
  <c r="AY1312" i="1"/>
  <c r="AY524" i="1"/>
  <c r="AY526" i="1"/>
  <c r="AY1374" i="1"/>
  <c r="AY1400" i="1"/>
  <c r="AY1373" i="1"/>
  <c r="AY980" i="1"/>
  <c r="AY978" i="1"/>
  <c r="AY981" i="1"/>
  <c r="AY985" i="1"/>
  <c r="AY672" i="1"/>
  <c r="AY412" i="1"/>
  <c r="AY467" i="1"/>
  <c r="AY471" i="1"/>
  <c r="AY468" i="1"/>
  <c r="AY472" i="1"/>
  <c r="AY470" i="1"/>
  <c r="AY469" i="1"/>
  <c r="AY409" i="1"/>
  <c r="AY410" i="1"/>
  <c r="AY1126" i="1"/>
  <c r="AY1125" i="1"/>
  <c r="AY1248" i="1"/>
  <c r="AY1247" i="1"/>
  <c r="AY1372" i="1"/>
  <c r="AY1128" i="1"/>
  <c r="AY1129" i="1"/>
  <c r="AY500" i="1"/>
  <c r="AY333" i="1"/>
  <c r="AY332" i="1"/>
  <c r="AY1266" i="1"/>
  <c r="AY1518" i="1"/>
  <c r="AY1519" i="1"/>
  <c r="AY1446" i="1"/>
  <c r="AY544" i="1"/>
  <c r="AY545" i="1"/>
  <c r="AY1422" i="1"/>
  <c r="AY1445" i="1"/>
  <c r="AY1419" i="1"/>
  <c r="AY546" i="1"/>
  <c r="AY1147" i="1"/>
  <c r="AY1440" i="1"/>
  <c r="AY1438" i="1"/>
  <c r="AY1441" i="1"/>
  <c r="AY1460" i="1"/>
  <c r="AY1213" i="1"/>
  <c r="AY1212" i="1"/>
  <c r="AY1211" i="1"/>
  <c r="AY82" i="1"/>
  <c r="AY83" i="1"/>
  <c r="AY76" i="1"/>
  <c r="AY81" i="1"/>
  <c r="AY79" i="1"/>
  <c r="AY80" i="1"/>
  <c r="AY506" i="1"/>
  <c r="AY550" i="1"/>
  <c r="AY1139" i="1"/>
  <c r="AY1136" i="1"/>
  <c r="AY939" i="1"/>
  <c r="AY892" i="1"/>
  <c r="AY1098" i="1"/>
  <c r="AY1220" i="1"/>
  <c r="AY575" i="1"/>
  <c r="AY1399" i="1"/>
  <c r="AY1371" i="1"/>
  <c r="AY1348" i="1"/>
  <c r="AY1346" i="1"/>
  <c r="AY1271" i="1"/>
  <c r="AY25" i="1"/>
  <c r="AY1442" i="1"/>
  <c r="AY1475" i="1"/>
  <c r="AY250" i="1"/>
  <c r="AY1146" i="1"/>
  <c r="AY219" i="1"/>
  <c r="AY54" i="1"/>
  <c r="AY1227" i="1"/>
  <c r="AY1226" i="1"/>
  <c r="AY511" i="1"/>
  <c r="AY1282" i="1"/>
  <c r="AY1283" i="1"/>
  <c r="AY1289" i="1"/>
  <c r="AY1280" i="1"/>
  <c r="AY1279" i="1"/>
  <c r="AY1284" i="1"/>
  <c r="AY1276" i="1"/>
  <c r="AY644" i="1"/>
  <c r="AY665" i="1"/>
  <c r="AY664" i="1"/>
  <c r="AY944" i="1"/>
  <c r="AY404" i="1"/>
  <c r="AY1528" i="1"/>
  <c r="AY835" i="1"/>
  <c r="AY834" i="1"/>
  <c r="AY151" i="1"/>
  <c r="AY150" i="1"/>
  <c r="AY26" i="1"/>
  <c r="AY48" i="1"/>
  <c r="AY46" i="1"/>
  <c r="AY886" i="1"/>
  <c r="AY850" i="1"/>
  <c r="AY852" i="1"/>
  <c r="AY851" i="1"/>
  <c r="AY1521" i="1"/>
  <c r="AY1522" i="1"/>
  <c r="AY1180" i="1"/>
  <c r="AY1190" i="1"/>
  <c r="AY1189" i="1"/>
  <c r="AY1188" i="1"/>
  <c r="AY1187" i="1"/>
  <c r="AY1186" i="1"/>
  <c r="AY1185" i="1"/>
  <c r="AY1184" i="1"/>
  <c r="AY1183" i="1"/>
  <c r="AY1182" i="1"/>
  <c r="AY1181" i="1"/>
  <c r="AY821" i="1"/>
  <c r="AY971" i="1"/>
  <c r="AY973" i="1"/>
  <c r="AY1216" i="1"/>
  <c r="AY1130" i="1"/>
  <c r="AY1140" i="1"/>
  <c r="AY959" i="1"/>
  <c r="AY1001" i="1"/>
  <c r="AY1002" i="1"/>
  <c r="AY1010" i="1"/>
  <c r="AY221" i="1"/>
  <c r="AY222" i="1"/>
  <c r="AY1070" i="1"/>
  <c r="AY1069" i="1"/>
  <c r="AY1149" i="1"/>
  <c r="AY1370" i="1"/>
  <c r="AY270" i="1"/>
  <c r="AY522" i="1"/>
  <c r="AY267" i="1"/>
  <c r="AY269" i="1"/>
  <c r="AY521" i="1"/>
  <c r="AY268" i="1"/>
  <c r="AY635" i="1"/>
  <c r="AY634" i="1"/>
  <c r="AY230" i="1"/>
  <c r="AY49" i="1"/>
  <c r="AY84" i="1"/>
  <c r="AY85" i="1"/>
  <c r="AY86" i="1"/>
  <c r="AY87" i="1"/>
  <c r="AY622" i="1"/>
  <c r="AY1201" i="1"/>
  <c r="AY1200" i="1"/>
  <c r="AY1199" i="1"/>
  <c r="AY1198" i="1"/>
  <c r="AY1197" i="1"/>
  <c r="AY1196" i="1"/>
  <c r="AY1195" i="1"/>
  <c r="AY1194" i="1"/>
  <c r="AY1193" i="1"/>
  <c r="AY1192" i="1"/>
  <c r="AY1191" i="1"/>
  <c r="AY486" i="1"/>
  <c r="AY485" i="1"/>
  <c r="AY493" i="1"/>
  <c r="AY483" i="1"/>
  <c r="AY488" i="1"/>
  <c r="AY494" i="1"/>
  <c r="AY491" i="1"/>
  <c r="AY484" i="1"/>
  <c r="AY1432" i="1"/>
  <c r="AY1431" i="1"/>
  <c r="AY1427" i="1"/>
  <c r="AY1081" i="1"/>
  <c r="AY1080" i="1"/>
  <c r="AY204" i="1"/>
  <c r="AY1647" i="1"/>
  <c r="AY1648" i="1"/>
  <c r="AY1644" i="1"/>
  <c r="AY1646" i="1"/>
  <c r="AY1645" i="1"/>
  <c r="AY1649" i="1"/>
  <c r="AY1653" i="1"/>
  <c r="AY1652" i="1"/>
  <c r="AY1650" i="1"/>
  <c r="AY1651" i="1"/>
  <c r="AY1638" i="1"/>
  <c r="AY231" i="1"/>
  <c r="AY234" i="1"/>
  <c r="AY232" i="1"/>
  <c r="AY237" i="1"/>
  <c r="AY235" i="1"/>
  <c r="AY236" i="1"/>
  <c r="AY233" i="1"/>
  <c r="AY951" i="1"/>
  <c r="AY950" i="1"/>
  <c r="AY1632" i="1"/>
  <c r="AY957" i="1"/>
  <c r="AY954" i="1"/>
  <c r="AY958" i="1"/>
  <c r="AY955" i="1"/>
  <c r="AY298" i="1"/>
  <c r="AY395" i="1"/>
  <c r="AY394" i="1"/>
  <c r="AY393" i="1"/>
  <c r="AY396" i="1"/>
  <c r="AY403" i="1"/>
  <c r="AY400" i="1"/>
  <c r="AY399" i="1"/>
  <c r="AY402" i="1"/>
  <c r="AY299" i="1"/>
  <c r="AY952" i="1"/>
  <c r="AY953" i="1"/>
  <c r="AY949" i="1"/>
  <c r="AY947" i="1"/>
  <c r="AY945" i="1"/>
  <c r="AY946" i="1"/>
  <c r="AY948" i="1"/>
  <c r="AY398" i="1"/>
  <c r="AY401" i="1"/>
  <c r="AY397" i="1"/>
  <c r="AY1164" i="1"/>
  <c r="AY243" i="1"/>
  <c r="AY242" i="1"/>
  <c r="AY241" i="1"/>
  <c r="AY240" i="1"/>
  <c r="AY238" i="1"/>
  <c r="AY239" i="1"/>
  <c r="AY249" i="1"/>
  <c r="AY247" i="1"/>
  <c r="AY246" i="1"/>
  <c r="AY245" i="1"/>
  <c r="AY244" i="1"/>
  <c r="AY255" i="1"/>
  <c r="AY228" i="1"/>
  <c r="AY227" i="1"/>
  <c r="AY1335" i="1"/>
  <c r="AY1328" i="1"/>
  <c r="AY1327" i="1"/>
  <c r="AY607" i="1"/>
  <c r="AY606" i="1"/>
  <c r="AY609" i="1"/>
  <c r="AY608" i="1"/>
  <c r="AY893" i="1"/>
  <c r="AY15" i="1"/>
  <c r="AY14" i="1"/>
  <c r="AY1004" i="1"/>
  <c r="AY1003" i="1"/>
  <c r="AY17" i="1"/>
  <c r="AY1418" i="1"/>
  <c r="AY1100" i="1"/>
  <c r="AY854" i="1"/>
  <c r="AY853" i="1"/>
  <c r="AY148" i="1"/>
  <c r="AY149" i="1"/>
  <c r="AY145" i="1"/>
  <c r="AY144" i="1"/>
  <c r="AY147" i="1"/>
  <c r="AY146" i="1"/>
  <c r="AY111" i="1"/>
  <c r="AY132" i="1"/>
  <c r="AY142" i="1"/>
  <c r="AY143" i="1"/>
  <c r="AY128" i="1"/>
  <c r="AY66" i="1"/>
  <c r="AY65" i="1"/>
  <c r="AY131" i="1"/>
  <c r="AY133" i="1"/>
  <c r="AY153" i="1"/>
  <c r="AY140" i="1"/>
  <c r="AY138" i="1"/>
  <c r="AY139" i="1"/>
  <c r="AY152" i="1"/>
  <c r="AY136" i="1"/>
  <c r="AY135" i="1"/>
  <c r="AY123" i="1"/>
  <c r="AY141" i="1"/>
  <c r="AY114" i="1"/>
  <c r="AY180" i="1"/>
  <c r="AY181" i="1"/>
  <c r="AY175" i="1"/>
  <c r="AY174" i="1"/>
  <c r="AY173" i="1"/>
  <c r="AY176" i="1"/>
  <c r="AY179" i="1"/>
  <c r="AY178" i="1"/>
  <c r="AY177" i="1"/>
  <c r="AY170" i="1"/>
  <c r="AY172" i="1"/>
  <c r="AY169" i="1"/>
  <c r="AY171" i="1"/>
  <c r="AY184" i="1"/>
  <c r="AY183" i="1"/>
  <c r="AY182" i="1"/>
  <c r="AY1340" i="1"/>
  <c r="AY1339" i="1"/>
  <c r="AY1334" i="1"/>
  <c r="AY1333" i="1"/>
  <c r="AY1254" i="1"/>
  <c r="AY1253" i="1"/>
  <c r="AY1255" i="1"/>
  <c r="AY1369" i="1"/>
  <c r="AY1257" i="1"/>
  <c r="AY1256" i="1"/>
  <c r="AY408" i="1"/>
  <c r="AY407" i="1"/>
  <c r="AY1325" i="1"/>
  <c r="AY1324" i="1"/>
  <c r="AY1300" i="1"/>
  <c r="AY1301" i="1"/>
  <c r="AY214" i="1"/>
  <c r="AY1150" i="1"/>
  <c r="AY1234" i="1"/>
  <c r="AY429" i="1"/>
  <c r="AY797" i="1"/>
  <c r="AY801" i="1"/>
  <c r="AY800" i="1"/>
  <c r="AY796" i="1"/>
  <c r="AY799" i="1"/>
  <c r="AY798" i="1"/>
  <c r="AY795" i="1"/>
  <c r="AY1057" i="1"/>
  <c r="AY1033" i="1"/>
  <c r="AY1006" i="1"/>
  <c r="AY1008" i="1"/>
  <c r="AY1007" i="1"/>
  <c r="AY1058" i="1"/>
  <c r="AY1041" i="1"/>
  <c r="AY1040" i="1"/>
  <c r="AY1039" i="1"/>
  <c r="AY1038" i="1"/>
  <c r="AY1037" i="1"/>
  <c r="AY1036" i="1"/>
  <c r="AY1035" i="1"/>
  <c r="AY1034" i="1"/>
  <c r="AY1056" i="1"/>
  <c r="AY1055" i="1"/>
  <c r="AY1054" i="1"/>
  <c r="AY1053" i="1"/>
  <c r="AY1052" i="1"/>
  <c r="AY1051" i="1"/>
  <c r="AY1050" i="1"/>
  <c r="AY1048" i="1"/>
  <c r="AY1047" i="1"/>
  <c r="AY1046" i="1"/>
  <c r="AY1045" i="1"/>
  <c r="AY1044" i="1"/>
  <c r="AY1043" i="1"/>
  <c r="AY1042" i="1"/>
  <c r="AY1083" i="1"/>
  <c r="AY1017" i="1"/>
  <c r="AY1122" i="1"/>
  <c r="AY1123" i="1"/>
  <c r="AY1016" i="1"/>
  <c r="AY1087" i="1"/>
  <c r="AY209" i="1"/>
  <c r="AY208" i="1"/>
  <c r="AY207" i="1"/>
  <c r="AY415" i="1"/>
  <c r="AY530" i="1"/>
  <c r="AY413" i="1"/>
  <c r="AY406" i="1"/>
  <c r="AY414" i="1"/>
  <c r="AY528" i="1"/>
  <c r="AY529" i="1"/>
  <c r="AY450" i="1"/>
  <c r="AY790" i="1"/>
  <c r="AY792" i="1"/>
  <c r="AY788" i="1"/>
  <c r="AY789" i="1"/>
  <c r="AY791" i="1"/>
  <c r="AY1061" i="1"/>
  <c r="AY1060" i="1"/>
  <c r="AY1065" i="1"/>
  <c r="AY1064" i="1"/>
  <c r="AY1063" i="1"/>
  <c r="AY1062" i="1"/>
  <c r="AY1416" i="1"/>
  <c r="AY1415" i="1"/>
  <c r="AY1531" i="1"/>
  <c r="AY482" i="1"/>
  <c r="AY473" i="1"/>
  <c r="AY480" i="1"/>
  <c r="AY481" i="1"/>
  <c r="AY93" i="1"/>
  <c r="AY94" i="1"/>
  <c r="AY92" i="1"/>
  <c r="AY91" i="1"/>
  <c r="AY96" i="1"/>
  <c r="AY95" i="1"/>
  <c r="AY90" i="1"/>
  <c r="AY89" i="1"/>
  <c r="AY101" i="1"/>
  <c r="AY29" i="1"/>
  <c r="AY858" i="1"/>
  <c r="AY859" i="1"/>
  <c r="AY734" i="1"/>
  <c r="AY735" i="1"/>
  <c r="AY1078" i="1"/>
  <c r="AY1417" i="1"/>
  <c r="AY1013" i="1"/>
  <c r="AY1011" i="1"/>
  <c r="AY1307" i="1"/>
  <c r="AY1306" i="1"/>
  <c r="AY1265" i="1"/>
  <c r="AY1264" i="1"/>
  <c r="AY1261" i="1"/>
  <c r="AY1262" i="1"/>
  <c r="AY1258" i="1"/>
  <c r="AY1281" i="1"/>
  <c r="AY1260" i="1"/>
  <c r="AY1259" i="1"/>
  <c r="AY603" i="1"/>
  <c r="AY843" i="1"/>
  <c r="AY840" i="1"/>
  <c r="AY780" i="1"/>
  <c r="AY848" i="1"/>
  <c r="AY849" i="1"/>
  <c r="AY721" i="1"/>
  <c r="AY720" i="1"/>
  <c r="AY723" i="1"/>
  <c r="AY722" i="1"/>
  <c r="AY724" i="1"/>
  <c r="AY882" i="1"/>
  <c r="AY1086" i="1"/>
  <c r="AY1085" i="1"/>
  <c r="AY1109" i="1"/>
  <c r="AY1229" i="1"/>
  <c r="AY1233" i="1"/>
  <c r="AY1232" i="1"/>
  <c r="AY1231" i="1"/>
  <c r="AY1530" i="1"/>
  <c r="AY1563" i="1"/>
  <c r="AY346" i="1"/>
  <c r="AY348" i="1"/>
  <c r="AY347" i="1"/>
  <c r="AY1510" i="1"/>
  <c r="AY1564" i="1"/>
  <c r="AY335" i="1"/>
  <c r="AY1578" i="1"/>
  <c r="AY1143" i="1"/>
  <c r="AY1142" i="1"/>
  <c r="AY1025" i="1"/>
  <c r="AY1024" i="1"/>
  <c r="AY1144" i="1"/>
  <c r="AY638" i="1"/>
  <c r="AY639" i="1"/>
  <c r="AY637" i="1"/>
  <c r="AY1606" i="1"/>
  <c r="AY1605" i="1"/>
  <c r="AY1604" i="1"/>
  <c r="AY1603" i="1"/>
  <c r="AY1602" i="1"/>
  <c r="AY1601" i="1"/>
  <c r="AY23" i="1"/>
  <c r="AY22" i="1"/>
  <c r="AY20" i="1"/>
  <c r="AY1613" i="1"/>
  <c r="AY1614" i="1"/>
  <c r="AY1615" i="1"/>
  <c r="AY1586" i="1"/>
  <c r="AY1583" i="1"/>
  <c r="AY1580" i="1"/>
  <c r="AY1582" i="1"/>
  <c r="AY1581" i="1"/>
  <c r="AY1584" i="1"/>
  <c r="AY1585" i="1"/>
  <c r="AY1579" i="1"/>
  <c r="AY1572" i="1"/>
  <c r="AY1576" i="1"/>
  <c r="AY1236" i="1"/>
  <c r="AY998" i="1"/>
  <c r="AY999" i="1"/>
  <c r="AY997" i="1"/>
  <c r="AY1026" i="1"/>
  <c r="AY1153" i="1"/>
  <c r="AY1156" i="1"/>
  <c r="AY1155" i="1"/>
  <c r="AY1157" i="1"/>
  <c r="AY1027" i="1"/>
  <c r="AY1154" i="1"/>
  <c r="AY1414" i="1"/>
  <c r="AY1012" i="1"/>
  <c r="AY1550" i="1"/>
  <c r="AY1322" i="1"/>
  <c r="AY773" i="1"/>
  <c r="AY772" i="1"/>
  <c r="AY775" i="1"/>
  <c r="AY774" i="1"/>
  <c r="AY531" i="1"/>
  <c r="AY456" i="1"/>
  <c r="AY455" i="1"/>
  <c r="AY448" i="1"/>
  <c r="AY449" i="1"/>
  <c r="AY447" i="1"/>
  <c r="AY446" i="1"/>
  <c r="AY445" i="1"/>
  <c r="AY1686" i="1"/>
  <c r="AY1396" i="1"/>
  <c r="AY1364" i="1"/>
  <c r="AY643" i="1"/>
  <c r="AY200" i="1"/>
  <c r="AY197" i="1"/>
  <c r="AY195" i="1"/>
  <c r="AY194" i="1"/>
  <c r="AY198" i="1"/>
  <c r="AY199" i="1"/>
  <c r="AY196" i="1"/>
  <c r="AY1428" i="1"/>
  <c r="AY1429" i="1"/>
  <c r="AY1434" i="1"/>
  <c r="AY1463" i="1"/>
  <c r="AY1464" i="1"/>
  <c r="AY2" i="1"/>
  <c r="AY4" i="1"/>
  <c r="AY8" i="1"/>
  <c r="AY3" i="1"/>
  <c r="AY1501" i="1"/>
  <c r="AY1159" i="1"/>
  <c r="AY1161" i="1"/>
  <c r="AY1160" i="1"/>
  <c r="AY16" i="1"/>
  <c r="AY1049" i="1"/>
  <c r="AY1124" i="1"/>
  <c r="AY1127" i="1"/>
  <c r="AY1313" i="1"/>
  <c r="AY1503" i="1"/>
  <c r="AY1274" i="1"/>
  <c r="AY1273" i="1"/>
  <c r="AY610" i="1"/>
  <c r="AY612" i="1"/>
  <c r="AY428" i="1"/>
  <c r="AY1398" i="1"/>
  <c r="AY1367" i="1"/>
  <c r="AY1397" i="1"/>
  <c r="AY1366" i="1"/>
  <c r="AY1365" i="1"/>
  <c r="AY1368" i="1"/>
  <c r="AY1426" i="1"/>
  <c r="AY1474" i="1"/>
  <c r="AY591" i="1"/>
  <c r="AY501" i="1"/>
  <c r="AY479" i="1"/>
  <c r="AY502" i="1"/>
  <c r="AY478" i="1"/>
  <c r="AY1437" i="1"/>
  <c r="AY411" i="1"/>
  <c r="AY487" i="1"/>
  <c r="AY498" i="1"/>
  <c r="AY499" i="1"/>
  <c r="AY489" i="1"/>
  <c r="AY490" i="1"/>
  <c r="AY678" i="1"/>
  <c r="AY676" i="1"/>
  <c r="AY680" i="1"/>
  <c r="AY681" i="1"/>
  <c r="AY679" i="1"/>
  <c r="AY677" i="1"/>
  <c r="AY675" i="1"/>
  <c r="AY674" i="1"/>
  <c r="AY1030" i="1"/>
  <c r="AY1532" i="1"/>
  <c r="AY1520" i="1"/>
  <c r="AY620" i="1"/>
  <c r="AY826" i="1"/>
  <c r="AY827" i="1"/>
  <c r="AY60" i="1"/>
  <c r="AY61" i="1"/>
  <c r="AY62" i="1"/>
  <c r="AY63" i="1"/>
  <c r="AY667" i="1"/>
  <c r="AY1627" i="1"/>
  <c r="AY1158" i="1"/>
  <c r="AY936" i="1"/>
  <c r="AY898" i="1"/>
  <c r="AY897" i="1"/>
  <c r="AY925" i="1"/>
  <c r="AY924" i="1"/>
  <c r="AY371" i="1"/>
  <c r="AY370" i="1"/>
  <c r="AY369" i="1"/>
  <c r="AY916" i="1"/>
  <c r="AY915" i="1"/>
  <c r="AY330" i="1"/>
  <c r="AY327" i="1"/>
  <c r="AY329" i="1"/>
  <c r="AY328" i="1"/>
  <c r="AY326" i="1"/>
  <c r="AY899" i="1"/>
  <c r="AY342" i="1"/>
  <c r="AY331" i="1"/>
  <c r="AY351" i="1"/>
  <c r="AY341" i="1"/>
  <c r="AY340" i="1"/>
  <c r="AY339" i="1"/>
  <c r="AY338" i="1"/>
  <c r="AY363" i="1"/>
  <c r="AY359" i="1"/>
  <c r="AY358" i="1"/>
  <c r="AY357" i="1"/>
  <c r="AY356" i="1"/>
  <c r="AY386" i="1"/>
  <c r="AY385" i="1"/>
  <c r="AY362" i="1"/>
  <c r="AY361" i="1"/>
  <c r="AY360" i="1"/>
  <c r="AY313" i="1"/>
  <c r="AY311" i="1"/>
  <c r="AY312" i="1"/>
  <c r="AY941" i="1"/>
  <c r="AY942" i="1"/>
  <c r="AY940" i="1"/>
  <c r="AY943" i="1"/>
  <c r="AY354" i="1"/>
  <c r="AY365" i="1"/>
  <c r="AY364" i="1"/>
  <c r="AY314" i="1"/>
  <c r="AY310" i="1"/>
  <c r="AY367" i="1"/>
  <c r="AY366" i="1"/>
  <c r="AY355" i="1"/>
  <c r="AY388" i="1"/>
  <c r="AY387" i="1"/>
  <c r="AY309" i="1"/>
  <c r="AY382" i="1"/>
  <c r="AY381" i="1"/>
  <c r="AY368" i="1"/>
  <c r="AY389" i="1"/>
  <c r="AY384" i="1"/>
  <c r="AY383" i="1"/>
  <c r="AY923" i="1"/>
  <c r="AY926" i="1"/>
  <c r="AY323" i="1"/>
  <c r="AY337" i="1"/>
  <c r="AY336" i="1"/>
  <c r="AY322" i="1"/>
  <c r="AY352" i="1"/>
  <c r="AY349" i="1"/>
  <c r="AY334" i="1"/>
  <c r="AY353" i="1"/>
  <c r="AY350" i="1"/>
  <c r="AY319" i="1"/>
  <c r="AY343" i="1"/>
  <c r="AY316" i="1"/>
  <c r="AY315" i="1"/>
  <c r="AY895" i="1"/>
  <c r="AY894" i="1"/>
  <c r="AY927" i="1"/>
  <c r="AY376" i="1"/>
  <c r="AY375" i="1"/>
  <c r="AY374" i="1"/>
  <c r="AY933" i="1"/>
  <c r="AY928" i="1"/>
  <c r="AY938" i="1"/>
  <c r="AY937" i="1"/>
  <c r="AY380" i="1"/>
  <c r="AY378" i="1"/>
  <c r="AY379" i="1"/>
  <c r="AY377" i="1"/>
  <c r="AY900" i="1"/>
  <c r="AY652" i="1"/>
  <c r="AY890" i="1"/>
  <c r="AY889" i="1"/>
  <c r="AY888" i="1"/>
  <c r="AY862" i="1"/>
  <c r="AY861" i="1"/>
  <c r="AY657" i="1"/>
  <c r="AY656" i="1"/>
  <c r="AY655" i="1"/>
  <c r="AY654" i="1"/>
  <c r="AY690" i="1"/>
  <c r="AY687" i="1"/>
  <c r="AY693" i="1"/>
  <c r="AY686" i="1"/>
  <c r="AY691" i="1"/>
  <c r="AY688" i="1"/>
  <c r="AY685" i="1"/>
  <c r="AY689" i="1"/>
  <c r="AY321" i="1"/>
  <c r="AY320" i="1"/>
  <c r="AY345" i="1"/>
  <c r="AY344" i="1"/>
  <c r="AY695" i="1"/>
  <c r="AY694" i="1"/>
  <c r="AY696" i="1"/>
  <c r="AY296" i="1"/>
  <c r="AY295" i="1"/>
  <c r="AY294" i="1"/>
  <c r="AY297" i="1"/>
  <c r="AY878" i="1"/>
  <c r="AY877" i="1"/>
  <c r="AY875" i="1"/>
  <c r="AY876" i="1"/>
  <c r="AY874" i="1"/>
  <c r="AY863" i="1"/>
  <c r="AY864" i="1"/>
  <c r="AY879" i="1"/>
  <c r="AY880" i="1"/>
  <c r="AY881" i="1"/>
  <c r="AY737" i="1"/>
  <c r="AY736" i="1"/>
  <c r="AY846" i="1"/>
  <c r="AY836" i="1"/>
  <c r="AY837" i="1"/>
  <c r="AY871" i="1"/>
  <c r="AY866" i="1"/>
  <c r="AY865" i="1"/>
  <c r="AY870" i="1"/>
  <c r="AY869" i="1"/>
  <c r="AY868" i="1"/>
  <c r="AY867" i="1"/>
  <c r="AY845" i="1"/>
  <c r="AY844" i="1"/>
  <c r="AY896" i="1"/>
  <c r="AY860" i="1"/>
  <c r="AY838" i="1"/>
  <c r="AY839" i="1"/>
  <c r="AY1395" i="1"/>
  <c r="AY1363" i="1"/>
  <c r="AY729" i="1"/>
  <c r="AY728" i="1"/>
  <c r="AY727" i="1"/>
  <c r="AY732" i="1"/>
  <c r="AY733" i="1"/>
  <c r="AY730" i="1"/>
  <c r="AY731" i="1"/>
  <c r="AY842" i="1"/>
  <c r="AY841" i="1"/>
  <c r="AY847" i="1"/>
  <c r="AY887" i="1"/>
  <c r="AY1456" i="1"/>
  <c r="AY1152" i="1"/>
  <c r="AY1145" i="1"/>
  <c r="AY1137" i="1"/>
  <c r="AY1138" i="1"/>
  <c r="AY1459" i="1"/>
  <c r="AY1454" i="1"/>
  <c r="AY1458" i="1"/>
  <c r="AY1453" i="1"/>
  <c r="AY1457" i="1"/>
  <c r="AY1452" i="1"/>
  <c r="AY1455" i="1"/>
  <c r="AY1451" i="1"/>
  <c r="AY1625" i="1"/>
  <c r="AY1472" i="1"/>
  <c r="AY1444" i="1"/>
  <c r="AY1555" i="1"/>
  <c r="AY1554" i="1"/>
  <c r="AY1553" i="1"/>
  <c r="AY984" i="1"/>
  <c r="AY1502" i="1"/>
  <c r="AY1629" i="1"/>
  <c r="AY1569" i="1"/>
  <c r="AY1512" i="1"/>
  <c r="AY1577" i="1"/>
  <c r="AY1506" i="1"/>
  <c r="AY1536" i="1"/>
  <c r="AY1514" i="1"/>
  <c r="AY1535" i="1"/>
  <c r="AY1570" i="1"/>
  <c r="AY1513" i="1"/>
  <c r="AY1534" i="1"/>
  <c r="AY1377" i="1"/>
  <c r="AY1393" i="1"/>
  <c r="AY1359" i="1"/>
  <c r="AY1347" i="1"/>
  <c r="AY1345" i="1"/>
  <c r="AY1403" i="1"/>
  <c r="AY1376" i="1"/>
  <c r="AY212" i="1"/>
  <c r="AY211" i="1"/>
  <c r="AY741" i="1"/>
  <c r="AY740" i="1"/>
  <c r="AY739" i="1"/>
  <c r="AY744" i="1"/>
  <c r="AY743" i="1"/>
  <c r="AY742" i="1"/>
  <c r="AY745" i="1"/>
  <c r="AY1467" i="1"/>
  <c r="AY517" i="1"/>
  <c r="AY592" i="1"/>
  <c r="AY548" i="1"/>
  <c r="AY516" i="1"/>
  <c r="AY515" i="1"/>
  <c r="AY782" i="1"/>
  <c r="AY621" i="1"/>
  <c r="AY134" i="1"/>
  <c r="AY203" i="1"/>
  <c r="AY996" i="1"/>
  <c r="AY995" i="1"/>
  <c r="AY994" i="1"/>
  <c r="AY993" i="1"/>
  <c r="AY992" i="1"/>
  <c r="AY613" i="1"/>
  <c r="AY614" i="1"/>
  <c r="AY21" i="1"/>
  <c r="AY765" i="1"/>
  <c r="AY828" i="1"/>
  <c r="AY830" i="1"/>
  <c r="AY831" i="1"/>
  <c r="AY829" i="1"/>
  <c r="AY718" i="1"/>
  <c r="AY717" i="1"/>
  <c r="AY716" i="1"/>
  <c r="AY715" i="1"/>
  <c r="AY714" i="1"/>
  <c r="AY713" i="1"/>
  <c r="AY712" i="1"/>
  <c r="AY700" i="1"/>
  <c r="AY699" i="1"/>
  <c r="AY701" i="1"/>
  <c r="AY646" i="1"/>
  <c r="AY645" i="1"/>
  <c r="AY805" i="1"/>
  <c r="AY804" i="1"/>
  <c r="AY806" i="1"/>
  <c r="AY905" i="1"/>
  <c r="AY460" i="1"/>
  <c r="AY462" i="1"/>
  <c r="AY461" i="1"/>
  <c r="AY459" i="1"/>
  <c r="AY458" i="1"/>
  <c r="AY452" i="1"/>
  <c r="AY453" i="1"/>
  <c r="AY670" i="1"/>
  <c r="AY757" i="1"/>
  <c r="AY760" i="1"/>
  <c r="AY759" i="1"/>
  <c r="AY758" i="1"/>
  <c r="AY761" i="1"/>
  <c r="AY752" i="1"/>
  <c r="AY779" i="1"/>
  <c r="AY778" i="1"/>
  <c r="AY753" i="1"/>
  <c r="AY813" i="1"/>
  <c r="AY815" i="1"/>
  <c r="AY814" i="1"/>
  <c r="AY817" i="1"/>
  <c r="AY816" i="1"/>
  <c r="AY833" i="1"/>
  <c r="AY832" i="1"/>
  <c r="AY762" i="1"/>
  <c r="AY764" i="1"/>
  <c r="AY763" i="1"/>
  <c r="AY809" i="1"/>
  <c r="AY820" i="1"/>
  <c r="AY818" i="1"/>
  <c r="AY819" i="1"/>
  <c r="AY904" i="1"/>
  <c r="AY810" i="1"/>
  <c r="AY611" i="1"/>
  <c r="AY770" i="1"/>
  <c r="AY769" i="1"/>
  <c r="AY767" i="1"/>
  <c r="AY768" i="1"/>
  <c r="AY766" i="1"/>
  <c r="AY756" i="1"/>
  <c r="AY754" i="1"/>
  <c r="AY776" i="1"/>
  <c r="AY777" i="1"/>
  <c r="AY755" i="1"/>
  <c r="AY771" i="1"/>
  <c r="AY808" i="1"/>
  <c r="AY807" i="1"/>
  <c r="AY811" i="1"/>
  <c r="AY709" i="1"/>
  <c r="AY708" i="1"/>
  <c r="AY711" i="1"/>
  <c r="AY710" i="1"/>
  <c r="AY783" i="1"/>
  <c r="AY812" i="1"/>
  <c r="AY917" i="1"/>
  <c r="AY918" i="1"/>
  <c r="AY919" i="1"/>
  <c r="AY920" i="1"/>
  <c r="AY921" i="1"/>
  <c r="AY922" i="1"/>
  <c r="AY660" i="1"/>
  <c r="AY785" i="1"/>
  <c r="AY787" i="1"/>
  <c r="AY786" i="1"/>
  <c r="AY802" i="1"/>
  <c r="AY803" i="1"/>
  <c r="AY1610" i="1"/>
  <c r="AY1609" i="1"/>
  <c r="AY1612" i="1"/>
  <c r="AY1611" i="1"/>
  <c r="AY1619" i="1"/>
  <c r="AY1618" i="1"/>
  <c r="AY1439" i="1"/>
  <c r="AY1141" i="1"/>
  <c r="AY1360" i="1"/>
  <c r="AY1529" i="1"/>
  <c r="AY1621" i="1"/>
  <c r="AY1392" i="1"/>
  <c r="AY1358" i="1"/>
  <c r="AY1394" i="1"/>
  <c r="AY1361" i="1"/>
  <c r="AY1409" i="1"/>
  <c r="AY781" i="1"/>
  <c r="AY496" i="1"/>
  <c r="AY497" i="1"/>
  <c r="AY495" i="1"/>
  <c r="AY555" i="1"/>
  <c r="AY556" i="1"/>
  <c r="AY1238" i="1"/>
  <c r="AY990" i="1"/>
  <c r="AY987" i="1"/>
  <c r="AY988" i="1"/>
  <c r="AY989" i="1"/>
  <c r="AY991" i="1"/>
  <c r="AY986" i="1"/>
  <c r="AY1556" i="1"/>
  <c r="AY885" i="1"/>
  <c r="AY391" i="1"/>
  <c r="AY390" i="1"/>
  <c r="AY392" i="1"/>
  <c r="AY824" i="1"/>
  <c r="AY823" i="1"/>
  <c r="AY822" i="1"/>
  <c r="AY825" i="1"/>
  <c r="AY1538" i="1"/>
  <c r="AY1473" i="1"/>
  <c r="AY704" i="1"/>
  <c r="AY703" i="1"/>
  <c r="AY702" i="1"/>
  <c r="AY666" i="1"/>
  <c r="AY88" i="1"/>
  <c r="AY1539" i="1"/>
  <c r="AY1203" i="1"/>
  <c r="AY1202" i="1"/>
  <c r="AY1210" i="1"/>
  <c r="AY1209" i="1"/>
  <c r="AY1208" i="1"/>
  <c r="AY1207" i="1"/>
  <c r="AY1206" i="1"/>
  <c r="AY1205" i="1"/>
  <c r="AY1204" i="1"/>
  <c r="AY505" i="1"/>
  <c r="AY75" i="1"/>
  <c r="AY451" i="1"/>
  <c r="AY1263" i="1"/>
  <c r="AY746" i="1"/>
  <c r="AY623" i="1"/>
  <c r="AY201" i="1"/>
  <c r="AY1527" i="1"/>
  <c r="AY1526" i="1"/>
  <c r="AY1525" i="1"/>
  <c r="AY1524" i="1"/>
  <c r="AY1523" i="1"/>
  <c r="AY254" i="1"/>
  <c r="AY229" i="1"/>
  <c r="AY1166" i="1"/>
  <c r="AY523" i="1"/>
  <c r="AY525" i="1"/>
  <c r="AY1135" i="1"/>
  <c r="AY1134" i="1"/>
  <c r="AY1133" i="1"/>
  <c r="AY1132" i="1"/>
  <c r="AY1032" i="1"/>
  <c r="AY1151" i="1"/>
  <c r="AY1246" i="1"/>
  <c r="AY193" i="1"/>
  <c r="AY192" i="1"/>
  <c r="AY1471" i="1"/>
  <c r="AY224" i="1"/>
  <c r="AY1338" i="1"/>
  <c r="AY1337" i="1"/>
  <c r="AY1343" i="1"/>
  <c r="AY1342" i="1"/>
  <c r="AY1332" i="1"/>
  <c r="AY1331" i="1"/>
  <c r="AY1323" i="1"/>
  <c r="AY1355" i="1"/>
  <c r="AY206" i="1"/>
  <c r="AY1469" i="1"/>
  <c r="AY1468" i="1"/>
  <c r="AY1303" i="1"/>
  <c r="AY1302" i="1"/>
  <c r="AY1357" i="1"/>
  <c r="AY1390" i="1"/>
  <c r="AY1354" i="1"/>
  <c r="AY1344" i="1"/>
  <c r="AY1389" i="1"/>
  <c r="AY1353" i="1"/>
  <c r="AY202" i="1"/>
  <c r="AY28" i="1"/>
  <c r="AY1148" i="1"/>
  <c r="AY37" i="1"/>
  <c r="AY1162" i="1"/>
  <c r="AY1018" i="1"/>
  <c r="AY1424" i="1"/>
  <c r="AY1461" i="1"/>
  <c r="AY1462" i="1"/>
  <c r="AY1551" i="1"/>
  <c r="AY738" i="1"/>
  <c r="AY504" i="1"/>
  <c r="AY872" i="1"/>
  <c r="AY873" i="1"/>
  <c r="AY265" i="1"/>
  <c r="AY264" i="1"/>
  <c r="AY1290" i="1"/>
  <c r="AY1291" i="1"/>
  <c r="AY1310" i="1"/>
  <c r="AY1391" i="1"/>
  <c r="AY1356" i="1"/>
  <c r="AY1408" i="1"/>
  <c r="AY1413" i="1"/>
  <c r="AY1412" i="1"/>
  <c r="AY1014" i="1"/>
  <c r="AY1490" i="1"/>
  <c r="AY190" i="1"/>
  <c r="AY186" i="1"/>
  <c r="AY191" i="1"/>
  <c r="AY189" i="1"/>
  <c r="AY188" i="1"/>
  <c r="AY185" i="1"/>
  <c r="AY187" i="1"/>
  <c r="AY1388" i="1"/>
  <c r="AY1352" i="1"/>
  <c r="AY653" i="1"/>
  <c r="AY442" i="1"/>
  <c r="AY441" i="1"/>
  <c r="AY436" i="1"/>
  <c r="AY435" i="1"/>
  <c r="AY432" i="1"/>
  <c r="AY444" i="1"/>
  <c r="AY443" i="1"/>
  <c r="AY439" i="1"/>
  <c r="AY438" i="1"/>
  <c r="AY437" i="1"/>
  <c r="AY433" i="1"/>
  <c r="AY440" i="1"/>
  <c r="AY434" i="1"/>
  <c r="AY431" i="1"/>
  <c r="AY1654" i="1"/>
  <c r="AY1655" i="1"/>
  <c r="AY24" i="1"/>
  <c r="AY1108" i="1"/>
  <c r="AY1215" i="1"/>
  <c r="AY510" i="1"/>
  <c r="AY508" i="1"/>
  <c r="AY262" i="1"/>
  <c r="AY507" i="1"/>
  <c r="AY1386" i="1"/>
  <c r="AY1350" i="1"/>
  <c r="AY1286" i="1"/>
  <c r="AY1285" i="1"/>
  <c r="AY1277" i="1"/>
  <c r="AY1387" i="1"/>
  <c r="AY1351" i="1"/>
  <c r="AY10" i="1"/>
  <c r="AY9" i="1"/>
  <c r="AY12" i="1"/>
  <c r="AY11" i="1"/>
  <c r="AY476" i="1"/>
  <c r="AY477" i="1"/>
  <c r="AY475" i="1"/>
  <c r="AY1515" i="1"/>
  <c r="AY1517" i="1"/>
  <c r="AY1637" i="1"/>
  <c r="AY1516" i="1"/>
  <c r="AY1507" i="1"/>
  <c r="AY1508" i="1"/>
  <c r="AY1509" i="1"/>
  <c r="AY1616" i="1"/>
  <c r="AY1617" i="1"/>
  <c r="AY1620" i="1"/>
  <c r="AY1561" i="1"/>
  <c r="AY1571" i="1"/>
  <c r="AY1573" i="1"/>
  <c r="AY1623" i="1"/>
  <c r="AY1622" i="1"/>
  <c r="AY1029" i="1"/>
  <c r="AY263" i="1"/>
  <c r="AY509" i="1"/>
  <c r="AY18" i="1"/>
  <c r="AY13" i="1"/>
</calcChain>
</file>

<file path=xl/sharedStrings.xml><?xml version="1.0" encoding="utf-8"?>
<sst xmlns="http://schemas.openxmlformats.org/spreadsheetml/2006/main" count="65219" uniqueCount="17984">
  <si>
    <t>Customer Code</t>
  </si>
  <si>
    <t>Job No</t>
  </si>
  <si>
    <t>Project</t>
  </si>
  <si>
    <t>SE Code</t>
  </si>
  <si>
    <t>SE Comments</t>
  </si>
  <si>
    <t>Production User</t>
  </si>
  <si>
    <t>CE Comments</t>
  </si>
  <si>
    <t>Activities</t>
  </si>
  <si>
    <t>Sort Code</t>
  </si>
  <si>
    <t>Sort Comment</t>
  </si>
  <si>
    <t>QE Code</t>
  </si>
  <si>
    <t>QE Comments</t>
  </si>
  <si>
    <t>QA Code</t>
  </si>
  <si>
    <t>QA Comments</t>
  </si>
  <si>
    <t>DE Code</t>
  </si>
  <si>
    <t>Corrected By</t>
  </si>
  <si>
    <t>Start Date</t>
  </si>
  <si>
    <t>Accepted Date</t>
  </si>
  <si>
    <t>Quality A/R</t>
  </si>
  <si>
    <t>SLNo_Prod</t>
  </si>
  <si>
    <t>Ref</t>
  </si>
  <si>
    <t>SlNo</t>
  </si>
  <si>
    <t>Mfg Name</t>
  </si>
  <si>
    <t>Standardized Manufacturer Name</t>
  </si>
  <si>
    <t>Validated MFR Name</t>
  </si>
  <si>
    <t>Mfg Item Number</t>
  </si>
  <si>
    <t>Standardized Manufacturer Item Number</t>
  </si>
  <si>
    <t>Validated MFR Num</t>
  </si>
  <si>
    <t>RefName</t>
  </si>
  <si>
    <t>RefCat</t>
  </si>
  <si>
    <t>Ref#</t>
  </si>
  <si>
    <t>Conc</t>
  </si>
  <si>
    <t>UNSPSC</t>
  </si>
  <si>
    <t>Standardized UNSPSC</t>
  </si>
  <si>
    <t>UNSPSC Description</t>
  </si>
  <si>
    <t>Item Name (Short Description)</t>
  </si>
  <si>
    <t>Item Description (Long Description)</t>
  </si>
  <si>
    <t>Mfg Ref ID</t>
  </si>
  <si>
    <t>ProdigoItemKey</t>
  </si>
  <si>
    <t>Source</t>
  </si>
  <si>
    <t>UNSPC V24</t>
  </si>
  <si>
    <t>HCPCS code</t>
  </si>
  <si>
    <t>HCPCS description</t>
  </si>
  <si>
    <t>ASIS Item Description (Long Description 4000)</t>
  </si>
  <si>
    <t>Long Description</t>
  </si>
  <si>
    <t>Long Description 254 Enriched</t>
  </si>
  <si>
    <t>Short Description</t>
  </si>
  <si>
    <t>Short Description 60 Enriched</t>
  </si>
  <si>
    <t>Len</t>
  </si>
  <si>
    <t>Noun</t>
  </si>
  <si>
    <t>Modifier</t>
  </si>
  <si>
    <t>Adjective</t>
  </si>
  <si>
    <t>Size</t>
  </si>
  <si>
    <t>Age</t>
  </si>
  <si>
    <t>PrimaryDimension(IDXODXLXWXHXDXTHK)</t>
  </si>
  <si>
    <t>Secondary Dimension(IDXODXLXWXHXDXTHK)</t>
  </si>
  <si>
    <t>Volume/Weight</t>
  </si>
  <si>
    <t>Gender</t>
  </si>
  <si>
    <t>Location</t>
  </si>
  <si>
    <t>Property</t>
  </si>
  <si>
    <t>Material</t>
  </si>
  <si>
    <t>Packaging for drugs and solutions</t>
  </si>
  <si>
    <t>Color</t>
  </si>
  <si>
    <t>Sterile</t>
  </si>
  <si>
    <t>BrandName</t>
  </si>
  <si>
    <t>Latex</t>
  </si>
  <si>
    <t>Disposable</t>
  </si>
  <si>
    <t>Miscellaneous</t>
  </si>
  <si>
    <t>URL</t>
  </si>
  <si>
    <t>PDF</t>
  </si>
  <si>
    <t>Potential Duplicates</t>
  </si>
  <si>
    <t>Description Duplicate</t>
  </si>
  <si>
    <t>Remarks</t>
  </si>
  <si>
    <t>Classification Remarks</t>
  </si>
  <si>
    <t>Potential / Desc Duplicate across Consolidated</t>
  </si>
  <si>
    <t>Previous CE Code</t>
  </si>
  <si>
    <t>Descr Status</t>
  </si>
  <si>
    <t>Mapped with 066</t>
  </si>
  <si>
    <t>UNSPSC1</t>
  </si>
  <si>
    <t>Standardized UNSPSC1</t>
  </si>
  <si>
    <t>UNSPSC Description1</t>
  </si>
  <si>
    <t>HCPCS1</t>
  </si>
  <si>
    <t>Item Description (Long Description 4000)1</t>
  </si>
  <si>
    <t>Short Description 60 Enriched1</t>
  </si>
  <si>
    <t>Long Description 254 Enriched1</t>
  </si>
  <si>
    <t>Prodigo Standard Short Description - 254</t>
  </si>
  <si>
    <t>Brandname1</t>
  </si>
  <si>
    <t>Miscellaneous1</t>
  </si>
  <si>
    <t>URL1</t>
  </si>
  <si>
    <t>Potential Duplicates1</t>
  </si>
  <si>
    <t>Classification Remarks1</t>
  </si>
  <si>
    <t>Remarks1</t>
  </si>
  <si>
    <t>HCPCS Desc1</t>
  </si>
  <si>
    <t>Tab</t>
  </si>
  <si>
    <t>Project_Code</t>
  </si>
  <si>
    <t>File Name</t>
  </si>
  <si>
    <t>Batch</t>
  </si>
  <si>
    <t>ProdigoItemKey1</t>
  </si>
  <si>
    <t>To_Process</t>
  </si>
  <si>
    <t>64kProdigoItemKey</t>
  </si>
  <si>
    <t>11kProdigoItemKey</t>
  </si>
  <si>
    <t>Project1</t>
  </si>
  <si>
    <t>Job No1</t>
  </si>
  <si>
    <t>Project2</t>
  </si>
  <si>
    <t>To Process</t>
  </si>
  <si>
    <t>Delivered</t>
  </si>
  <si>
    <t>Delivered Date</t>
  </si>
  <si>
    <t>Count</t>
  </si>
  <si>
    <t>Source1</t>
  </si>
  <si>
    <t>PDG</t>
  </si>
  <si>
    <t>016-241</t>
  </si>
  <si>
    <t>CGM</t>
  </si>
  <si>
    <t>SOURCED</t>
  </si>
  <si>
    <t>OK</t>
  </si>
  <si>
    <t>Data Enrichment | UNSPSC Classification</t>
  </si>
  <si>
    <t>ABBOTT VASCULAR</t>
  </si>
  <si>
    <t>ABBOTT CARDIOVASCULAR INC</t>
  </si>
  <si>
    <t>IBI81526</t>
  </si>
  <si>
    <t>IBI-81526</t>
  </si>
  <si>
    <t>ABBOTT</t>
  </si>
  <si>
    <t>ABBOTT_IBI81526</t>
  </si>
  <si>
    <t xml:space="preserve">1110-5-2170170-C1HIS-TE2BE295                         </t>
  </si>
  <si>
    <t>PRODIGO1060937</t>
  </si>
  <si>
    <t>42203430  Electrophysiology catheters</t>
  </si>
  <si>
    <t>C1730</t>
  </si>
  <si>
    <t>CATHETER, ELECTROPHYSIOLOGY, DIAGNOSTIC, OTHER THAN 3D MAPPING (19 OR FEWER ELECTRODES)</t>
  </si>
  <si>
    <t>Inquiry Electrophysiology Catheters Decapolar 5 F steerable 1110-5-2(170)170-C1(HIS) TE2BE2(95) 2(170)170MM SPACING 2MM TIP C1(HIS) CURVE 95CM</t>
  </si>
  <si>
    <t>CATHETER, ELECTROPHYSIOLOGY, C1 HIS CURVE, 2-170-170 MM SPACING, 2 MM TIP, 5 FRX95 CM, DECAPOLAR, STEERABLE, 1110-5-2(170)170-C1(HIS) TE2BE2(95), STERILE, INQUIRY, LATEX</t>
  </si>
  <si>
    <t>CATHETER, ELECTROPHYSIOLOGY, C1 HIS CRV, 2-170-170 MM SPC, 2 MM TIP, 5 FRX95 CM, DECAPOLAR, STEER, 1110-5-2(170)170-C1(HIS) TE2BE2(95), STRL, INQUIRY, LTX</t>
  </si>
  <si>
    <t>CATHETER, ELECTROPHYSIOLOGY, C1 HIS, 2-170-170 MM, 2 MM, 5 FRX95</t>
  </si>
  <si>
    <t>CATHETER</t>
  </si>
  <si>
    <t>ELECTROPHYSIOLOGY</t>
  </si>
  <si>
    <t>C1 HIS CURVE</t>
  </si>
  <si>
    <t>2-170-170 MM SPACING, 2 MM TIP</t>
  </si>
  <si>
    <t>5 FRX95 CM</t>
  </si>
  <si>
    <t>DECAPOLAR, STEERABLE, 1110-5-2(170)170-C1(HIS) TE2BE2(95)</t>
  </si>
  <si>
    <t>STERILE</t>
  </si>
  <si>
    <t>INQUIRY</t>
  </si>
  <si>
    <t>LATEX</t>
  </si>
  <si>
    <t>https://www.cardiovascular.abbott/content/dam/bss/divisionalsites/cv/pdf/guides/2019_us_electrophysiology_prod.pdf, https://accessgudid.nlm.nih.gov/devices/05414734304733</t>
  </si>
  <si>
    <t>2019_us_electrophysiology_prod.pdf</t>
  </si>
  <si>
    <t>THIRD PARTY</t>
  </si>
  <si>
    <t>IBI87007</t>
  </si>
  <si>
    <t>IBI-87007</t>
  </si>
  <si>
    <t>ABBOTT_IBI87007</t>
  </si>
  <si>
    <t xml:space="preserve">1120-7-17-SM-AF20DL Catheter                              </t>
  </si>
  <si>
    <t>PRODIGO1061008</t>
  </si>
  <si>
    <t>C1731</t>
  </si>
  <si>
    <t>CATHETER, ELECTROPHYSIOLOGY, DIAGNOSTIC, OTHER THAN 3D MAPPING (20 OR MORE ELECTRODES)</t>
  </si>
  <si>
    <t>Inquiry AFocusII Electrophysiology Catheter 7F / 1(7)mm / 20 Electrodes</t>
  </si>
  <si>
    <t>CATHETER, ELECTROPHYSIOLOGY, DOUBLE LOOP, 1 MM SPACING, 7 FRX110 CM, DUO DECAPOLAR, 1120-7-17-SM-AF20DL, STERILE, INQUIRY, AFOCUS II, LATEX</t>
  </si>
  <si>
    <t>CATHETER, ELECTROPHYSIOLOGY, DBL LOOP, 1 MM SPC, 7 FRX110 CM, DUO DECAPOLAR, 1120-7-17-SM-AF20DL, STRL, INQUIRY, AFOCUS II, LTX</t>
  </si>
  <si>
    <t>CATHETER, ELECTROPHYSIOLOGY, DBL LOOP, 1 MM, 7 FRX110 CM, INQUIRY</t>
  </si>
  <si>
    <t>DOUBLE LOOP</t>
  </si>
  <si>
    <t>1 MM SPACING</t>
  </si>
  <si>
    <t>7 FRX110 CM</t>
  </si>
  <si>
    <t>DUO DECAPOLAR, 1120-7-17-SM-AF20DL</t>
  </si>
  <si>
    <t>INQUIRY, AFOCUS II</t>
  </si>
  <si>
    <t>https://www.esutures.com/product/1-expired/107-st.-jude-medical/652-catheters-diagnostic/46241623-sjm-inquiry-afocusii-electrophysiology-catheter-7f--17mm--20-electrodes-87007/, https://accessgudid.nlm.nih.gov/devices/05414734309912</t>
  </si>
  <si>
    <t>PUS</t>
  </si>
  <si>
    <t>CAREFUSION 2200 V MUELLER</t>
  </si>
  <si>
    <t>CAREFUSION</t>
  </si>
  <si>
    <t>BECTON DICKINSON &amp; CO</t>
  </si>
  <si>
    <t>CH1565</t>
  </si>
  <si>
    <t>BD</t>
  </si>
  <si>
    <t>BD_CH1565</t>
  </si>
  <si>
    <t>ADAIR TISSUE FORCEP OVERLGTH 9IN</t>
  </si>
  <si>
    <t>PRODIGO1056717</t>
  </si>
  <si>
    <t>42291802  Surgical clamps or clips or forceps</t>
  </si>
  <si>
    <t>Adair tissue forceps Overall length 9in</t>
  </si>
  <si>
    <t>FORCEP, SURGICAL, ADAIR, 9 IN, 5 X 6 TEETH, DOUBLE ACTION, RING HANDLE, SATIN FINISH, DOUBLE ACTION, TISSUE, GOLD COATED, STAINLESS STEEL, STELLITE, NON STERILE, LATEX</t>
  </si>
  <si>
    <t>FORCEP, SURG, ADAIR, 9 IN, 5 X 6 TEETH, DBL ACT, RNG HNDL, SATIN FINISH, DBL ACT, TISS, GLD COAT, SS, STELLITE, NS, LTX</t>
  </si>
  <si>
    <t>FORCEP, SURG, ADAIR, 9 IN, 5 X 6 TEETH, DBL ACT, DBL ACT, TISS, SS</t>
  </si>
  <si>
    <t>FORCEP</t>
  </si>
  <si>
    <t>SURGICAL</t>
  </si>
  <si>
    <t>ADAIR</t>
  </si>
  <si>
    <t>9 IN</t>
  </si>
  <si>
    <t>5 X 6 TEETH, DOUBLE ACTION, RING HANDLE, SATIN FINISH, DOUBLE ACTION</t>
  </si>
  <si>
    <t>TISSUE, GOLD COATED, STAINLESS STEEL, STELLITE</t>
  </si>
  <si>
    <t>NON STERILE</t>
  </si>
  <si>
    <t>https://www.bd.com/en-us/products-and-solutions/products/product-page.CH1565#specifications, https://accessgudid.nlm.nih.gov/devices/10885403023989</t>
  </si>
  <si>
    <t>CA1565</t>
  </si>
  <si>
    <t>BD_CA1565</t>
  </si>
  <si>
    <t>ADAIR TISSUE FORCEPS OVER LGTH 9-1/3IN</t>
  </si>
  <si>
    <t>PRODIGO1056444</t>
  </si>
  <si>
    <t>Adair Tissue Forceps Affinity Line. Overall length 9-1/3in (23.7cm)</t>
  </si>
  <si>
    <t>FORCEP, SURGICAL, ADAIR, 9-1/3 IN, TISSUE, AFFINITY LINE, NON STERILE, LATEX</t>
  </si>
  <si>
    <t>FORCEP, SURG, ADAIR, 9-1/3 IN, TISS, AFFIN LN, NS, LTX</t>
  </si>
  <si>
    <t>9-1/3 IN</t>
  </si>
  <si>
    <t>TISSUE</t>
  </si>
  <si>
    <t>AFFINITY LINE</t>
  </si>
  <si>
    <t>https://www.bd.com/en-us/products-and-solutions/products/product-page.CA1565#overview, https://accessgudid.nlm.nih.gov/devices/10885403018046</t>
  </si>
  <si>
    <t>GA885</t>
  </si>
  <si>
    <t>BD_GA885</t>
  </si>
  <si>
    <t>ADAIR UTERINE TENACULUM FORCEP STR 7-1/2</t>
  </si>
  <si>
    <t>PRODIGO1057350</t>
  </si>
  <si>
    <t>ADAIR UTERINE TENACULUM FCPS STRAIGHT OVERALL LENGTH 7-1/2 in (19CM)</t>
  </si>
  <si>
    <t>FORCEP, SURGICAL, ADAIR, 7.5 IN, UTERINE, TENACULUM, STRAIGHT, NON STERILE, LATEX</t>
  </si>
  <si>
    <t>FORCEP, SURG, ADAIR, 7.5 IN, UTER, TENAC, STR, NS, LTX</t>
  </si>
  <si>
    <t>7.5 IN</t>
  </si>
  <si>
    <t>UTERINE</t>
  </si>
  <si>
    <t>TENACULUM, STRAIGHT</t>
  </si>
  <si>
    <t>https://accessgudid.nlm.nih.gov/devices/10885403042195</t>
  </si>
  <si>
    <t>SXH</t>
  </si>
  <si>
    <t>NL2700</t>
  </si>
  <si>
    <t>BD_NL2700</t>
  </si>
  <si>
    <t>ADSON ANEURYSM NDL TIP 2MM ANG RIGHT 9IN</t>
  </si>
  <si>
    <t>PRODIGO1058149</t>
  </si>
  <si>
    <t>42294903  Endoscopic aspiration or biopsy needles</t>
  </si>
  <si>
    <t>A4215</t>
  </si>
  <si>
    <t>NEEDLE, STERILE, ANY SIZE, EACH</t>
  </si>
  <si>
    <t>Adson aneurysm needle Angled right. Tip 2mm wide. Overall length 9in (22.9cm)</t>
  </si>
  <si>
    <t>NEEDLE, ANEURYSM, ADSON, 9 IN, 2 MM, RIGHT, ANGLED, NON STERILE, LATEX</t>
  </si>
  <si>
    <t>NEEDLE, ANEUR, ADSN, 9 IN, 2 MM, RT, ANGLED, NS, LTX</t>
  </si>
  <si>
    <t>NEEDLE</t>
  </si>
  <si>
    <t>ANEURYSM</t>
  </si>
  <si>
    <t>ADSON</t>
  </si>
  <si>
    <t>2 MM</t>
  </si>
  <si>
    <t>RIGHT</t>
  </si>
  <si>
    <t>ANGLED</t>
  </si>
  <si>
    <t>https://www.bd.com/en-us/products-and-solutions/products/product-page.nl2700#overview, https://accessgudid.nlm.nih.gov/devices/10885403072819</t>
  </si>
  <si>
    <t>NL2710</t>
  </si>
  <si>
    <t>BD_NL2710</t>
  </si>
  <si>
    <t>ADSON DISSECT HOOK BLUNT DEPTH 5MM 8IN</t>
  </si>
  <si>
    <t>PRODIGO1058150</t>
  </si>
  <si>
    <t>42293102  Surgical retraction hooks</t>
  </si>
  <si>
    <t>Adson dissecting hook Blunt hook depth 5mm. Overall length 8in (20.3cm)</t>
  </si>
  <si>
    <t>HOOK, SURGICAL, ADSON, 8 INX5 MM, DISSECTING, BLUNT HOOK, NON STERILE, LATEX</t>
  </si>
  <si>
    <t>HOOK, SURG, ADSN, 8 INX5 MM, DISECT, BLNT HK, NS, LTX</t>
  </si>
  <si>
    <t>HOOK</t>
  </si>
  <si>
    <t>8 INX5 MM</t>
  </si>
  <si>
    <t>DISSECTING, BLUNT HOOK</t>
  </si>
  <si>
    <t>https://www.bd.com/en-us/products-and-solutions/products/product-page.nl2710#overview, https://accessgudid.nlm.nih.gov/devices/10885403072826</t>
  </si>
  <si>
    <t>SZG</t>
  </si>
  <si>
    <t>NL1550</t>
  </si>
  <si>
    <t>BD_NL1550</t>
  </si>
  <si>
    <t>ADSON DRESS FORCEPS BAYON FINE SERR TIP</t>
  </si>
  <si>
    <t>PRODIGO1058098</t>
  </si>
  <si>
    <t>FORCEP, SURGICAL, ADSON, 7-1/8 IN, DRESSING, BAYONET, FINE, SERRATED TIP, NON STERILE, LATEX</t>
  </si>
  <si>
    <t>FORCEP SURGICAL ADSON 7-1/8 IN DRESSING BAYONET FINE SERRATED TIP NON STERILE LATEX</t>
  </si>
  <si>
    <t>FORCEP, SURG, ADSN, 7-1/8 IN, DRSG, BAYNT, FN, SERRATED TIP, NS, LTX</t>
  </si>
  <si>
    <t>7-1/8 IN</t>
  </si>
  <si>
    <t>DRESSING, BAYONET, FINE, SERRATED TIP</t>
  </si>
  <si>
    <t>https://www.bd.com/en-us/products-and-solutions/products/product-page.nl1490#overview, https://accessgudid.nlm.nih.gov/devices/10885403071737</t>
  </si>
  <si>
    <t>NL1490</t>
  </si>
  <si>
    <t>BD_NL1490</t>
  </si>
  <si>
    <t>ADSON DRESSING FORCEP SERR SLENDER 6-1/4</t>
  </si>
  <si>
    <t>PRODIGO1058096</t>
  </si>
  <si>
    <t>FORCEP, SURGICAL, ADSON, 6.25 IN, DRESSING, SLENDER, CROSS-SERRATED, NON STERILE, LATEX</t>
  </si>
  <si>
    <t>FORCEP SURGICAL ADSON 6.25 IN DRESSING SLENDER CROSS-SERRATED NON STERILE LATEX</t>
  </si>
  <si>
    <t>FORCEP, SURG, ADSN, 6.25 IN, DRSG, SLENDER, CROSS-SERRATED, NS, LTX</t>
  </si>
  <si>
    <t>6.25 IN</t>
  </si>
  <si>
    <t>DRESSING, SLENDER, CROSS-SERRATED</t>
  </si>
  <si>
    <t>https://www.bd.com/en-us/products-and-solutions/products/product-page.nl1490#overview, https://accessgudid.nlm.nih.gov/devices/10885403061561</t>
  </si>
  <si>
    <t>NL1410MM</t>
  </si>
  <si>
    <t>NL1410-MM</t>
  </si>
  <si>
    <t>BD_NL1410MM</t>
  </si>
  <si>
    <t>ADSON DRESSING FORCEPS SERR MIRROR 4-3/4</t>
  </si>
  <si>
    <t>PRODIGO1058080</t>
  </si>
  <si>
    <t>ADSON DRESSING FORCEPS SERRATED. OVERALL LENGTH 4-3/4IN 12.1CM. MUELLER-MIRROR FINISH</t>
  </si>
  <si>
    <t>FORCEP, SURGICAL, ADSON, 4.75 IN, DRESSING, SERRATED, MUELLER-MIRROR FINISH, NON STERILE, LATEX</t>
  </si>
  <si>
    <t>FORCEP SURGICAL ADSON 4.75 IN DRESSING SERRATED MUELLER-MIRROR FINISH NON STERILE LATEX</t>
  </si>
  <si>
    <t>FORCEP, SURG, ADSN, 4.75 IN, DRSG, SERRATED, MUELLER-MIRROR FINISH, NS, LTX</t>
  </si>
  <si>
    <t>FORCEP, SURG, ADSN, 4.75 IN, DRSG, SERRATED, MUELLER-MIRROR FINISH</t>
  </si>
  <si>
    <t>4.75 IN</t>
  </si>
  <si>
    <t>DRESSING, SERRATED, MUELLER-MIRROR FINISH</t>
  </si>
  <si>
    <t>https://www.bd.com/en-us/products-and-solutions/products/product-page.nl1410-mm#overview, https://accessgudid.nlm.nih.gov/devices/10885403071386</t>
  </si>
  <si>
    <t>NL2400</t>
  </si>
  <si>
    <t>BD_NL2400</t>
  </si>
  <si>
    <t>ADSON DURAL HOOK SHARP TIP 5MM LONG 8IN</t>
  </si>
  <si>
    <t>PRODIGO1058146</t>
  </si>
  <si>
    <t>Adson dural hook Hollow handle. Sharp tip 5mm long. Overall length 8in (20.3cm)</t>
  </si>
  <si>
    <t>HANDLE, HOOK, ADSON, 8 IN, 5 MM, 8 CM, DURAL HOOK, SHARP TIP, NON STERILE, LATEX</t>
  </si>
  <si>
    <t>HANDLE, HK, ADSN, 8 IN, 5 MM, 8 CM, DURA HK, SHRP TIP, NS, LTX</t>
  </si>
  <si>
    <t>HANDLE</t>
  </si>
  <si>
    <t>8 IN</t>
  </si>
  <si>
    <t>5 MM, 8 CM</t>
  </si>
  <si>
    <t>DURAL HOOK, SHARP TIP</t>
  </si>
  <si>
    <t>https://www.bd.com/en-us/products-and-solutions/products/product-page.nl2400#overview, https://accessgudid.nlm.nih.gov/devices/10885403072673</t>
  </si>
  <si>
    <t>NL2151</t>
  </si>
  <si>
    <t>BD_NL2151</t>
  </si>
  <si>
    <t>ADSON EXPLORE CANNULA 10GA WORK LGTH 4IN</t>
  </si>
  <si>
    <t>PRODIGO1058143</t>
  </si>
  <si>
    <t>42295302  Surgical perfusion cannulas or catheters</t>
  </si>
  <si>
    <t>Adson exploring cannulas Graduated in centimeters. Mirror finish. Working length 4in (10.2cm). Diameter 10GA</t>
  </si>
  <si>
    <t>CANNULA, PERFUSION, ADSON, 10 GAX4 IN, EXPLORE, GRADUATED IN CENTIMETER, MIRROR FINISH, NON STERILE, LATEX</t>
  </si>
  <si>
    <t>CANNULA, PERF, ADSN, 10 GAX4 IN, EXPLORE, GRAD IN CM, MIRROR FINISH, NS, LTX</t>
  </si>
  <si>
    <t>CANNULA, PERF, ADSN, 10 GAX4 IN, EXPLORE, GRAD IN CM, MIRROR</t>
  </si>
  <si>
    <t>CANNULA</t>
  </si>
  <si>
    <t>PERFUSION</t>
  </si>
  <si>
    <t>10 GAX4 IN</t>
  </si>
  <si>
    <t>EXPLORE, GRADUATED IN CENTIMETER, MIRROR FINISH</t>
  </si>
  <si>
    <t>https://www.bd.com/en-us/products-and-solutions/products/product-page.nl2151#overview, https://accessgudid.nlm.nih.gov/devices/10885403072642</t>
  </si>
  <si>
    <t>NL2150</t>
  </si>
  <si>
    <t>BD_NL2150</t>
  </si>
  <si>
    <t>ADSON EXPLORE CANNULA 14GA WORK LGTH 4IN</t>
  </si>
  <si>
    <t>PRODIGO1058142</t>
  </si>
  <si>
    <t>Adson exploring cannulas Graduated in centimeters. Mirror finish. Working length 4in (10.2cm). Diameter 14GA</t>
  </si>
  <si>
    <t>CANNULA, PERFUSION, ADSON, 14 GAX4 IN, EXPLORE, GRADUATED IN CENTIMETER, MIRROR FINISH, NON STERILE, LATEX</t>
  </si>
  <si>
    <t>CANNULA, PERF, ADSN, 14 GAX4 IN, EXPLORE, GRAD IN CM, MIRROR FINISH, NS, LTX</t>
  </si>
  <si>
    <t>CANNULA, PERF, ADSN, 14 GAX4 IN, EXPLORE, GRAD IN CM, MIRROR</t>
  </si>
  <si>
    <t>14 GAX4 IN</t>
  </si>
  <si>
    <t>https://www.bd.com/en-us/products-and-solutions/products/product-page.nl2150#overview, https://accessgudid.nlm.nih.gov/devices/10885403072635</t>
  </si>
  <si>
    <t>NA1415</t>
  </si>
  <si>
    <t>BD_NA1415</t>
  </si>
  <si>
    <t>ADSON FORCEP T/C OVER LGTH 4-7/8(12.4CM)</t>
  </si>
  <si>
    <t>PRODIGO1058005</t>
  </si>
  <si>
    <t>ADSON FORCEPS AFFINITY LINE. TUNGSTEN CARBIDE INSERTS. 3 600 TEETH PER SQUARE INCH. OVERALL LENGTH 4-7/8IN 12.4CM</t>
  </si>
  <si>
    <t>FORCEP, SURGICAL, ADSON, 4-7/8 IN, DRESSING, TISSUE, AFFINITY LINE, INSERT, TUNGSTEN CARBIDE, NON STERILE, LATEX</t>
  </si>
  <si>
    <t>FORCEP SURGICAL ADSON 4-7/8 IN DRESSING TISSUE AFFINITY LINE INSERT TUNGSTEN CARBIDE NON STERILE LATEX</t>
  </si>
  <si>
    <t>FORCEP, SURG, ADSN, 4-7/8 IN, DRSG, TISS, AFFIN LN, INSRT, TUNGSTEN CARBIDE, NS, LTX</t>
  </si>
  <si>
    <t>FORCEP, SURG, ADSN, 4-7/8 IN, DRSG, TISS, AFFIN LN, TUNGSTEN</t>
  </si>
  <si>
    <t>4-7/8 IN</t>
  </si>
  <si>
    <t>DRESSING, TISSUE, AFFINITY LINE, INSERT</t>
  </si>
  <si>
    <t>TUNGSTEN CARBIDE</t>
  </si>
  <si>
    <t>https://www.bd.com/en-us/products-and-solutions/products/product-page.NA1415#overview</t>
  </si>
  <si>
    <t>NA1411</t>
  </si>
  <si>
    <t>BD_NA1411</t>
  </si>
  <si>
    <t>ADSON FORCEPS 1X2 TEETH DEL 4-3/4IN</t>
  </si>
  <si>
    <t>PRODIGO1058004</t>
  </si>
  <si>
    <t>ADSON FORCEPS AFFINITY LINE. DELICATE. 1 X 2 TEETH. OVERALL LENGTH 4-3/4IN 12.1CM</t>
  </si>
  <si>
    <t>FORCEP, SURGICAL, ADSON, 4.75 IN, DRESSING, AFFINITY LINE, DELICATE. 1X2 TEETH, NON STERILE, LATEX</t>
  </si>
  <si>
    <t>FORCEP SURGICAL ADSON 4.75 IN DRESSING AFFINITY LINE DELICATE. 1X2 TEETH NON STERILE LATEX</t>
  </si>
  <si>
    <t>FORCEP, SURG, ADSN, 4.75 IN, DRSG, AFFIN LN, DELICATE. 1X2 TEETH, NS, LTX</t>
  </si>
  <si>
    <t>FORCEP, SURG, ADSN, 4.75 IN, DRSG, AFFIN LN, DELICATE. 1X2 TEETH</t>
  </si>
  <si>
    <t>DRESSING, AFFINITY LINE, DELICATE. 1X2 TEETH</t>
  </si>
  <si>
    <t>https://www.bd.com/en-us/products-and-solutions/products/product-page.NA1411</t>
  </si>
  <si>
    <t>NA1401</t>
  </si>
  <si>
    <t>BD_NA1401</t>
  </si>
  <si>
    <t>ADSON FORCEPS SERR DEL OVER LGTH 4-3/4IN</t>
  </si>
  <si>
    <t>PRODIGO1058003</t>
  </si>
  <si>
    <t>ADSON FORCEPS AFFINITY LINE. DELICATE. SERRATED JAWS. OVERALL LENGTH 4-3/4IN 12.1CM</t>
  </si>
  <si>
    <t>FORCEP, SURGICAL, ADSON, 4.75 IN, DRESSING, AFFINITY LINE, DELICATE, SERRATED JAWS, NON STERILE, LATEX</t>
  </si>
  <si>
    <t>FORCEP SURGICAL ADSON 4.75 IN DRESSING AFFINITY LINE DELICATE SERRATED JAWS NON STERILE LATEX</t>
  </si>
  <si>
    <t>FORCEP, SURG, ADSN, 4.75 IN, DRSG, AFFIN LN, DEL, SERRATED JAWS, NS, LTX</t>
  </si>
  <si>
    <t>FORCEP, SURG, ADSN, 4.75 IN, DRSG, AFFIN LN, DEL, SERRATED JAWS, NS</t>
  </si>
  <si>
    <t>DRESSING, AFFINITY LINE, DELICATE, SERRATED JAWS</t>
  </si>
  <si>
    <t>https://www.bd.com/en-us/products-and-solutions/products/product-page.NA1401#overview</t>
  </si>
  <si>
    <t>NA3510</t>
  </si>
  <si>
    <t>BD_NA3510</t>
  </si>
  <si>
    <t>ADSON HEMOSTATIC FORCEPS CVD JAW 8-1/2IN</t>
  </si>
  <si>
    <t>PRODIGO1058012</t>
  </si>
  <si>
    <t>42294908  Endoscopic clamp or dissector or grasper or forceps</t>
  </si>
  <si>
    <t>ADSON HEMOSTATIC FORCEPS AFFINITY LINE. CURVED JAWS. OVERALL LENGTH 8-1/2IN 21.6CM</t>
  </si>
  <si>
    <t>FORCEP, HEMOSTATIC, ADSON, 8.5 IN, AFFINITY LINE, CURVED JAWS, NON STERILE, LATEX</t>
  </si>
  <si>
    <t>FORCEP HEMOSTATIC ADSON 8.5 IN AFFINITY LINE CURVED JAWS NON STERILE LATEX</t>
  </si>
  <si>
    <t>FORCEP, HEMOSTATIC, ADSN, 8.5 IN, AFFIN LN, CRV JAWS, NS, LTX</t>
  </si>
  <si>
    <t>HEMOSTATIC</t>
  </si>
  <si>
    <t>8.5 IN</t>
  </si>
  <si>
    <t>AFFINITY LINE, CURVED JAWS</t>
  </si>
  <si>
    <t>https://www.bd.com/en-us/products-and-solutions/products/product-page.NA3510#overview, https://accessgudid.nlm.nih.gov/devices/10885403069901</t>
  </si>
  <si>
    <t>NL3510</t>
  </si>
  <si>
    <t>BD_NL3510</t>
  </si>
  <si>
    <t>PRODIGO1058172</t>
  </si>
  <si>
    <t>Adson hemostatic forceps Curved. Overall length 8-1/2in (21.6cm)</t>
  </si>
  <si>
    <t>FORCEP, SURGICAL, ADSON, 8.5 IN, HEMOSTATIC, CURVED JAW, NON STERILE, LATEX</t>
  </si>
  <si>
    <t>FORCEP, SURG, ADSN, 8.5 IN, HEMOSTATIC, CRV JAW, NS, LTX</t>
  </si>
  <si>
    <t>HEMOSTATIC, CURVED JAW</t>
  </si>
  <si>
    <t>https://www.bd.com/en-us/products-and-solutions/products/product-page.nl3510#overview, https://accessgudid.nlm.nih.gov/devices/10885403073229</t>
  </si>
  <si>
    <t>NA3520</t>
  </si>
  <si>
    <t>BD_NA3520</t>
  </si>
  <si>
    <t>ADSON HEMOSTATIC FORCEPS STR JAW 7-1/4IN</t>
  </si>
  <si>
    <t>PRODIGO1058013</t>
  </si>
  <si>
    <t>ADSON HEMOSTATIC FORCEPS AFFINITY LINE. STRAIGHT JAWS. OVERALL LENGTH 7-1/4IN 18.4CM</t>
  </si>
  <si>
    <t>FORCEP, HEMOSTATIC, ADSON, 7.25 IN, AFFINITY LINE, STRAIGHT JAWS, NON STERILE, LATEX</t>
  </si>
  <si>
    <t>FORCEP HEMOSTATIC ADSON 7.25 IN AFFINITY LINE STRAIGHT JAWS NON STERILE LATEX</t>
  </si>
  <si>
    <t>FORCEP, HEMOSTATIC, ADSN, 7.25 IN, AFFIN LN, STR JAWS, NS, LTX</t>
  </si>
  <si>
    <t>7.25 IN</t>
  </si>
  <si>
    <t>AFFINITY LINE, STRAIGHT JAWS</t>
  </si>
  <si>
    <t>https://www.bd.com/en-us/products-and-solutions/products/product-page.NA3520#overview, https://accessgudid.nlm.nih.gov/devices/10885403069918</t>
  </si>
  <si>
    <t>NA2410</t>
  </si>
  <si>
    <t>BD_NA2410</t>
  </si>
  <si>
    <t>ADSON HOOK TIP 5MM LONG BLUNT 8-1/4IN</t>
  </si>
  <si>
    <t>PRODIGO1058011</t>
  </si>
  <si>
    <t>ADSON HOOK TIP 5MM LONG. BLUNT. OVERALL LGTH 8-1/4IN 20.8CM</t>
  </si>
  <si>
    <t>TIP, HOOK, ADSON, LONG, 5MM , 8.25 IN, BLUNT, NON STERILE, LATEX</t>
  </si>
  <si>
    <t>TIP HOOK ADSON LONG 5MM 8.25 IN BLUNT NON STERILE LATEX</t>
  </si>
  <si>
    <t>TIP, HK, ADSN, LNG, 5MM , 8.25 IN, BLNT, NS, LTX</t>
  </si>
  <si>
    <t>TIP</t>
  </si>
  <si>
    <t>LONG</t>
  </si>
  <si>
    <t>5MM , 8.25 IN</t>
  </si>
  <si>
    <t>BLUNT</t>
  </si>
  <si>
    <t>https://accessgudid.nlm.nih.gov/devices/10885403069888</t>
  </si>
  <si>
    <t>ADG</t>
  </si>
  <si>
    <t>CH13042</t>
  </si>
  <si>
    <t>BD_CH13042</t>
  </si>
  <si>
    <t>ADVENTITIA/SUTURE SCISSOR STR BLADE FLAT</t>
  </si>
  <si>
    <t>PRODIGO1056676</t>
  </si>
  <si>
    <t>42291614  Surgical scissors</t>
  </si>
  <si>
    <t>ADVENTITIA/SUTURE SCISSOR FLAT HANDLE STRAIGHT BLADE LENGTH 15MM OVERALL LENGTH 5-7/8IN</t>
  </si>
  <si>
    <t>SCISSOR, SURGICAL, ADVENTITIA/SUTURE, 5-7/8 IN, 15 MM, STRAIGHT BLADE, FLAT HANDLE</t>
  </si>
  <si>
    <t>SCISSOR, SURG, ADVENTITIA/SUTURE, 5-7/8 IN, 15 MM, STR BLADE, FLAT HNDL</t>
  </si>
  <si>
    <t>SCISSOR, SURG, ADVENTITIA/SUTURE, 5-7/8 IN, 15 MM, STR BLADE, FLAT</t>
  </si>
  <si>
    <t>SCISSOR</t>
  </si>
  <si>
    <t>ADVENTITIA/SUTURE</t>
  </si>
  <si>
    <t>5-7/8 IN</t>
  </si>
  <si>
    <t>15 MM</t>
  </si>
  <si>
    <t>STRAIGHT BLADE, FLAT HANDLE</t>
  </si>
  <si>
    <t>https://www.bd.com/en-us/products-and-solutions/products/product-page.CH13042#overview</t>
  </si>
  <si>
    <t>CH13047</t>
  </si>
  <si>
    <t>BD_CH13047</t>
  </si>
  <si>
    <t>ADVENTITIA/SUTURE SCISSOR STR SERR BLADE</t>
  </si>
  <si>
    <t>PRODIGO1056678</t>
  </si>
  <si>
    <t>ADVENTITIA/SUTURE SCISSOR FLAT HANDLE SERRATED BLADE LENGTH 14MM OVERALL LENGTH 5-7/8IN</t>
  </si>
  <si>
    <t>SCISSOR, SURGICAL, ADVENTITIA/SUTURE, 5-7/8 IN, 14 MM, STRAIGHT SERRATED BLADE, FLAT HANDLE</t>
  </si>
  <si>
    <t>SCISSOR, SURG, ADVENTITIA/SUTURE, 5-7/8 IN, 14 MM, STR SERRATED BLADE, FLAT HNDL</t>
  </si>
  <si>
    <t>SCISSOR, SURG, ADVENTITIA/SUTURE, 5-7/8 IN, 14 MM, SERRATED BLADE</t>
  </si>
  <si>
    <t>14 MM</t>
  </si>
  <si>
    <t>STRAIGHT SERRATED BLADE, FLAT HANDLE</t>
  </si>
  <si>
    <t>https://www.bd.com/en-us/products-and-solutions/products/product-page.CH13047#overview</t>
  </si>
  <si>
    <t>CH13043</t>
  </si>
  <si>
    <t>BD_CH13043</t>
  </si>
  <si>
    <t>ADVENTITIA/SUTURE SCISSORS STR BLADE RND</t>
  </si>
  <si>
    <t>PRODIGO1056677</t>
  </si>
  <si>
    <t>ADVENTITIA/SUTURE SCISSOR ROUND HANDLE STRAIGHT 8MM DIAMETER BLADE LENGTH 9MM OVERALL LENGTH 5-7/8IN</t>
  </si>
  <si>
    <t>SCISSOR, SURGICAL, ADVENTITIA/SUTURE, 5-7/8 IN, 9 MM, 8 MM, STRAIGHT BLADE, ROUND HANDLE</t>
  </si>
  <si>
    <t>SCISSOR, SURG, ADVENTITIA/SUTURE, 5-7/8 IN, 9 MM, 8 MM, STR BLADE, RND HNDL</t>
  </si>
  <si>
    <t>SCISSOR, SURG, ADVENTITIA/SUTURE, 5-7/8 IN, 9 MM, 8 MM, STR BLADE</t>
  </si>
  <si>
    <t>9 MM, 8 MM</t>
  </si>
  <si>
    <t>STRAIGHT BLADE, ROUND HANDLE</t>
  </si>
  <si>
    <t>https://www.bd.com/en-us/products-and-solutions/products/product-page.CH13043#overview</t>
  </si>
  <si>
    <t>DAVSEDF10V1525</t>
  </si>
  <si>
    <t>D-AVSE-DF10-V1525</t>
  </si>
  <si>
    <t>ABBOTT_DAVSEDF10V1525</t>
  </si>
  <si>
    <t>Advisor VL Circular Mapping Catheters Sensor Enabled Bi-Directional DF Curve Deflection Decapolar</t>
  </si>
  <si>
    <t>PRODIGO1060874</t>
  </si>
  <si>
    <t>Advisor VL Circular Mapping Catheters Sensor Enabled 8 F Bi-D DF CURVE 10 LOOP ELECTRODE 6.5MM SPACING 117CM</t>
  </si>
  <si>
    <t>CATHETER, MAPPING, DF CURVE, 6.5 MM SPACING, 8 FRX117 CM, CIRCULAR, BI DIRECTIONAL, DEFLECTION, DECAPOLAR, STERILE, ADVISOR VL, SENSOR ENABLED, LATEX</t>
  </si>
  <si>
    <t>CATHETER, MAP, DF CRV, 6.5 MM SPC, 8 FRX117 CM, CIR, BI DIR, DEFLECTION, DECAPOLAR, STRL, ADVISOR VL, SENSOR ENABLED, LTX</t>
  </si>
  <si>
    <t>CATHETER, MAP, DF CRV, 6.5 MM SPC, 8 FRX117 CM, CIR, ADVISOR VL</t>
  </si>
  <si>
    <t>MAPPING</t>
  </si>
  <si>
    <t>DF CURVE</t>
  </si>
  <si>
    <t>6.5 MM SPACING</t>
  </si>
  <si>
    <t>8 FRX117 CM</t>
  </si>
  <si>
    <t>CIRCULAR, BI DIRECTIONAL, DEFLECTION, DECAPOLAR</t>
  </si>
  <si>
    <t>ADVISOR VL, SENSOR ENABLED</t>
  </si>
  <si>
    <t>https://www.cardiovascular.abbott/content/dam/bss/divisionalsites/cv/pdf/guides/2019_us_electrophysiology_prod.pdf, https://accessgudid.nlm.nih.gov/devices/05415067027276</t>
  </si>
  <si>
    <t>DAVSEDF20V1525</t>
  </si>
  <si>
    <t>D-AVSE-DF20-V1525</t>
  </si>
  <si>
    <t>ABBOTT_DAVSEDF20V1525</t>
  </si>
  <si>
    <t>Advisor VL Circular Mapping Catheters Sensor Enabled Bi-Directional DF Curve Deflection Duo-Decapolar Catheter</t>
  </si>
  <si>
    <t>PRODIGO1060875</t>
  </si>
  <si>
    <t>Advisor VL Circular Mapping Catheters Sensor Enabled 8 F Bi-D DF CURVE 20 LOOP ELECTRODE 1-4-1MM SPACING 117CM</t>
  </si>
  <si>
    <t>CATHETER, MAPPING, DF CURVE, 1-4-1 MM SPACING, 8 FRX117 CM, CIRCULAR, BI DIRECTIONAL, DEFLECTION, DUO DECAPOLAR, STERILE, ADVISOR VL, SENSOR ENABLED, LATEX</t>
  </si>
  <si>
    <t>CATHETER, MAP, DF CRV, 1-4-1 MM SPC, 8 FRX117 CM, CIR, BI DIR, DEFLECTION, DUO DECAPOLAR, STRL, ADVISOR VL, SENSOR ENABLED, LTX</t>
  </si>
  <si>
    <t>CATHETER, MAP, DF CRV, 1-4-1 MM SPC, 8 FRX117 CM, CIR, ADVISOR VL</t>
  </si>
  <si>
    <t>1-4-1 MM SPACING</t>
  </si>
  <si>
    <t>CIRCULAR, BI DIRECTIONAL, DEFLECTION, DUO DECAPOLAR</t>
  </si>
  <si>
    <t>https://www.cardiovascular.abbott/content/dam/bss/divisionalsites/cv/pdf/guides/2019_us_electrophysiology_prod.pdf, https://accessgudid.nlm.nih.gov/devices/05415067027283</t>
  </si>
  <si>
    <t>DAVSED10V1525</t>
  </si>
  <si>
    <t>D-AVSE-D10-V1525</t>
  </si>
  <si>
    <t>ABBOTT_DAVSED10V1525</t>
  </si>
  <si>
    <t>Advisor VL Circular Mapping Catheters Sensor Enabled Unidirectional D Curve Deflection Decapolar</t>
  </si>
  <si>
    <t>PRODIGO1060870</t>
  </si>
  <si>
    <t>Advisor VL Circular Mapping Catheters Sensor Enabled 8 F Uni-D D CURVE 10 LOOP ELECTRODE 6.5MM SPACING 117CM</t>
  </si>
  <si>
    <t>CATHETER, MAPPING, D CURVE, 6.5 MM SPACING, 8 FRX117 CM, CIRCULAR, UNIDIRECTIONAL, DEFLECTION, DECAPOLAR, STERILE, ADVISOR VL, SENSOR ENABLED, LATEX</t>
  </si>
  <si>
    <t>CATHETER, MAP, D CRV, 6.5 MM SPC, 8 FRX117 CM, CIR, UNIDIR, DEFLECTION, DECAPOLAR, STRL, ADVISOR VL, SENSOR ENABLED, LTX</t>
  </si>
  <si>
    <t>CATHETER, MAP, D CRV, 6.5 MM SPC, 8 FRX117 CM, ADVISOR VL</t>
  </si>
  <si>
    <t>D CURVE</t>
  </si>
  <si>
    <t>CIRCULAR, UNIDIRECTIONAL, DEFLECTION, DECAPOLAR</t>
  </si>
  <si>
    <t>https://www.cardiovascular.abbott/content/dam/bss/divisionalsites/cv/pdf/guides/2019_us_electrophysiology_prod.pdf, https://accessgudid.nlm.nih.gov/devices/05415067027252</t>
  </si>
  <si>
    <t>DAVSED20V1525</t>
  </si>
  <si>
    <t>D-AVSE-D20-V1525</t>
  </si>
  <si>
    <t>ABBOTT_DAVSED20V1525</t>
  </si>
  <si>
    <t>Advisor VL Circular Mapping Catheters Sensor Enabled Unidirectional D Curve Deflection Duo-Decapolar</t>
  </si>
  <si>
    <t>PRODIGO1060871</t>
  </si>
  <si>
    <t>Advisor VL Circular Mapping Catheters Sensor Enabled 8 F Uni-D D CURVE 20 LOOP ELECTRODE 1-4-1MM SPACING 117CM</t>
  </si>
  <si>
    <t>CATHETER, MAPPING, D CURVE, 1-4-1 MM SPACING, 8 FRX117 CM, CIRCULAR, UNIDIRECTIONAL, DEFLECTION, DUO DECAPOLAR, STERILE, ADVISOR VL, SENSOR ENABLED, LATEX</t>
  </si>
  <si>
    <t>CATHETER, MAP, D CRV, 1-4-1 MM SPC, 8 FRX117 CM, CIR, UNIDIR, DEFLECTION, DUO DECAPOLAR, STRL, ADVISOR VL, SENSOR ENABLED, LTX</t>
  </si>
  <si>
    <t>CATHETER, MAP, D CRV, 1-4-1 MM SPC, 8 FRX117 CM, CIR, ADVISOR VL</t>
  </si>
  <si>
    <t>CIRCULAR, UNIDIRECTIONAL, DEFLECTION, DUO DECAPOLAR</t>
  </si>
  <si>
    <t>https://www.cardiovascular.abbott/content/dam/bss/divisionalsites/cv/pdf/guides/2019_us_electrophysiology_prod.pdf, https://accessgudid.nlm.nih.gov/devices/05415067027269</t>
  </si>
  <si>
    <t>AIH</t>
  </si>
  <si>
    <t>LAT0536AL</t>
  </si>
  <si>
    <t>LAT-0536-AL</t>
  </si>
  <si>
    <t>BD_LAT0536AL</t>
  </si>
  <si>
    <t>ALLIGATOR GRASPER D/A INSERT 5MM 36CM</t>
  </si>
  <si>
    <t>PRODIGO1057777</t>
  </si>
  <si>
    <t>Snowden-pencer Grasper 5 Mmx36 Cm Alligator Double Action Insert Polished Finish Stainless Steel Non Sterile Latex</t>
  </si>
  <si>
    <t>GRASPER, ENDOSCOPIC, ALLIGATOR, 5 MMX36 CM, DOUBLE ACTION, INSERT, POLISHED FINISH, STAINLESS STEEL, NON STERILE, SNOWDEN-PENCER, LATEX</t>
  </si>
  <si>
    <t>GRASPER, ENDOSCP, ALLIGATOR, 5 MMX36 CM, DBL ACT, INSRT, POLISHED FINISH, SS, NS, SNOWDEN-PENCER, LTX</t>
  </si>
  <si>
    <t>GRASPER, ENDOSCP, ALLIGATOR, 5 MMX36 CM, POLISHED, SNOWDEN-PENCER</t>
  </si>
  <si>
    <t>GRASPER</t>
  </si>
  <si>
    <t>ENDOSCOPIC</t>
  </si>
  <si>
    <t>ALLIGATOR</t>
  </si>
  <si>
    <t>5 MMX36 CM</t>
  </si>
  <si>
    <t>DOUBLE ACTION, INSERT, POLISHED FINISH</t>
  </si>
  <si>
    <t>STAINLESS STEEL</t>
  </si>
  <si>
    <t>SNOWDEN-PENCER</t>
  </si>
  <si>
    <t>https://www.bd.com/en-us/products-and-solutions/products/product-page.lat-0536-al#overview, https://accessgudid.nlm.nih.gov/devices/10885403431593</t>
  </si>
  <si>
    <t>LAT0545AL</t>
  </si>
  <si>
    <t>LAT-0545-AL</t>
  </si>
  <si>
    <t>BD_LAT0545AL</t>
  </si>
  <si>
    <t>ALLIGATOR GRASPER D/A INSERT 5MM 45CM</t>
  </si>
  <si>
    <t>PRODIGO1057813</t>
  </si>
  <si>
    <t>GRASPER, ENDOSCOPIC, ALLIGATOR, 5X45 CM, SINGLE ACTION, INSERT, POLISHED, STAINLESS STEEL, NON STERILE, LATEX</t>
  </si>
  <si>
    <t>GRASPER ENDOSCOPIC ALLIGATOR 5X45 CM SINGLE ACTION INSERT POLISHED STAINLESS STEEL NON STERILE LATEX</t>
  </si>
  <si>
    <t>GRASPER, ENDOSCP, ALLIGATOR, 5 MMX45 CM, SINGLE ACT, INSRT, POLISHED, SS, NS, LTX</t>
  </si>
  <si>
    <t>GRASPER, ENDOSCP, ALLIGATOR, 5 MMX45 CM, SINGLE ACT, INSRT, POLISHED</t>
  </si>
  <si>
    <t>5 MMX45 CM</t>
  </si>
  <si>
    <t>SINGLE ACTION, INSERT, POLISHED</t>
  </si>
  <si>
    <t>https://www.bd.com/en-us/products-and-solutions/products/product-page.lat-0545-al#overview, https://accessgudid.nlm.nih.gov/devices/10885403431739</t>
  </si>
  <si>
    <t>Worked a/c to site desc</t>
  </si>
  <si>
    <t>LA8220</t>
  </si>
  <si>
    <t>BD_LA8220</t>
  </si>
  <si>
    <t>ALLIS FORCEP ATRAUMATIC 5MM 35CM RATCHET</t>
  </si>
  <si>
    <t>PRODIGO1057695</t>
  </si>
  <si>
    <t>Grasper 5 Mmx35 Cm Allis Double Action Atraumatic Insulated Shaft Rotation Ratchet/ratchet Defeat Satin Finish Stainless Steel Non Sterile Latex</t>
  </si>
  <si>
    <t>GRASPER, ENDOSCOPIC, ALLIS, 5 MMX35 CM, DOUBLE ACTION, ATRAUMATIC, INSULATED SHAFT, ROTATION, RATCHET/RATCHET DEFEAT, SATIN FINISH, STAINLESS STEEL, NON STERILE, LATEX</t>
  </si>
  <si>
    <t>GRASPER, ENDOSCP, ALLIS, 5 MMX35 CM, DBL ACT, ATRAUM, INSUL SHFT, ROT, RATCHET/RATCHET DEFEAT, SATIN FINISH, SS, NS, LTX</t>
  </si>
  <si>
    <t>GRASPER, ENDOSCP, ALLIS, 5 MMX35 CM, DBL ACT, ATRAUM, INSUL SHFT</t>
  </si>
  <si>
    <t>ALLIS</t>
  </si>
  <si>
    <t>5 MMX35 CM</t>
  </si>
  <si>
    <t>DOUBLE ACTION, ATRAUMATIC, INSULATED SHAFT, ROTATION, RATCHET/RATCHET DEFEAT, SATIN FINISH</t>
  </si>
  <si>
    <t>https://www.bd.com/en-us/offerings/capabilities/surgical-instruments/laparoscopic-instruments/allis-grasper/la8220, https://accessgudid.nlm.nih.gov/devices/10885403052996</t>
  </si>
  <si>
    <t>LA8228</t>
  </si>
  <si>
    <t>BD_LA8228</t>
  </si>
  <si>
    <t>ALLIS GRASP FORCEP DBLACT 5MM 35CM RATCH</t>
  </si>
  <si>
    <t>PRODIGO1057703</t>
  </si>
  <si>
    <t>Grasper 5 Mmx35 Cm Allis Double Action Finely Serrated Jaw Interlocking Teeth Insulated Shaft Non Rotation Ratchet Stainless Steel Non Sterile Latex</t>
  </si>
  <si>
    <t>GRASPER, ENDOSCOPIC, ALLIS, 5 MMX35 CM, DOUBLE ACTION, FINELY SERRATED JAW, INTERLOCKING TEETH, INSULATED SHAFT, NON ROTATION, RATCHET, STAINLESS STEEL, NON STERILE, LATEX</t>
  </si>
  <si>
    <t>GRASPER, ENDOSCP, ALLIS, 5 MMX35 CM, DBL ACT, FINELY SERRATED JAW, INTLOK TEETH, INSUL SHFT, N ROT, RATCH, SS, NS, LTX</t>
  </si>
  <si>
    <t>GRASPER, ENDOSCP, ALLIS, 5 MMX35 CM, DBL ACT, FINELY, N ROT</t>
  </si>
  <si>
    <t>DOUBLE ACTION, FINELY SERRATED JAW, INTERLOCKING TEETH, INSULATED SHAFT, NON ROTATION, RATCHET</t>
  </si>
  <si>
    <t>https://www.bd.com/en-us/products-and-solutions/products/product-page.LA8228#overview, https://accessgudid.nlm.nih.gov/devices/10885403053139</t>
  </si>
  <si>
    <t>LA8229</t>
  </si>
  <si>
    <t>BD_LA8229</t>
  </si>
  <si>
    <t>PRODIGO1057704</t>
  </si>
  <si>
    <t>Grasper 5 Mmx35 Cm Allis Double Action Finely Serrated Jaw Interlocking Teeth Insulated Shaft Rotation Ratchet Satin Finish Stainless Steel Non Sterile Latex</t>
  </si>
  <si>
    <t>GRASPER, ENDOSCOPIC, ALLIS, 5 MMX35 CM, DOUBLE ACTION, FINELY SERRATED JAW, INTERLOCKING TEETH, INSULATED SHAFT, ROTATION, RATCHET, SATIN FINISH, STAINLESS STEEL, NON STERILE, LATEX</t>
  </si>
  <si>
    <t>GRASPER, ENDOSCP, ALLIS, 5 MMX35 CM, DBL ACT, FINELY SERRATED JAW, INTLOK TEETH, INSUL SHFT, ROT, RATCH, SATIN FINISH, SS, NS, LTX</t>
  </si>
  <si>
    <t>GRASPER, ENDOSCP, ALLIS, 5 MMX35 CM, DBL ACT, FINELY, ROT</t>
  </si>
  <si>
    <t>DOUBLE ACTION, FINELY SERRATED JAW, INTERLOCKING TEETH, INSULATED SHAFT, ROTATION, RATCHET, SATIN FINISH</t>
  </si>
  <si>
    <t>https://www.bd.com/en-us/offerings/capabilities/surgical-instruments/laparoscopic-instruments/allis-grasper/la8229, https://accessgudid.nlm.nih.gov/devices/10885403053153</t>
  </si>
  <si>
    <t>LAT0536AG</t>
  </si>
  <si>
    <t>LAT-0536-AG</t>
  </si>
  <si>
    <t>BD_LAT0536AG</t>
  </si>
  <si>
    <t>ALLIS GRASPER D/A INSERT 5MM 36CM</t>
  </si>
  <si>
    <t>PRODIGO1057776</t>
  </si>
  <si>
    <t>Snowden-pencer Grasper 5 Mmx36 Cm Allis Double Action Insert Insulated Shaft Non Sterile Latex</t>
  </si>
  <si>
    <t>GRASPER, ENDOSCOPIC, ALLIS, 5 MMX36 CM, DOUBLE ACTION, INSERT, INSULATED SHAFT, NON STERILE, SNOWDEN-PENCER, LATEX</t>
  </si>
  <si>
    <t>GRASPER, ENDOSCP, ALLIS, 5 MMX36 CM, DBL ACT, INSRT, INSUL SHFT, NS, SNOWDEN-PENCER, LTX</t>
  </si>
  <si>
    <t>GRASPER, ENDOSCP, ALLIS, 5 MMX36 CM, DBL, INSUL, SNOWDEN-PENCER</t>
  </si>
  <si>
    <t>DOUBLE ACTION, INSERT, INSULATED SHAFT</t>
  </si>
  <si>
    <t>https://www.bd.com/en-us/products-and-solutions/products/product-page.lat-0536-ag#overview, https://accessgudid.nlm.nih.gov/devices/10885403431586</t>
  </si>
  <si>
    <t>LAT0545AG</t>
  </si>
  <si>
    <t>LAT-0545-AG</t>
  </si>
  <si>
    <t>BD_LAT0545AG</t>
  </si>
  <si>
    <t>ALLIS GRASPER D/A INSERT 5MM 45CM</t>
  </si>
  <si>
    <t>PRODIGO1057812</t>
  </si>
  <si>
    <t>GRASPER, ENDOSCOPIC, ALLIS, 5X36 MM, DOUBLE ACTION INSERT, NON STERILE, LATEX</t>
  </si>
  <si>
    <t>GRASPER ENDOSCOPIC ALLIS 5X36 MM DOUBLE ACTION INSERT NON STERILE LATEX</t>
  </si>
  <si>
    <t>GRASPER, ENDOSCP, ALLIS, 5 MMX45 CM, DBL ACT INSRT, NS, LTX</t>
  </si>
  <si>
    <t>DOUBLE ACTION INSERT</t>
  </si>
  <si>
    <t>https://www.bd.com/en-us/products-and-solutions/products/product-print-page.lat-0545-ag, https://accessgudid.nlm.nih.gov/devices/10885403431722</t>
  </si>
  <si>
    <t>CH1560MM</t>
  </si>
  <si>
    <t>CH1560-MM</t>
  </si>
  <si>
    <t>BD_CH1560MM</t>
  </si>
  <si>
    <t>ALLIS TISSUE FORCEP BRITE 5X6 TEETH 10IN</t>
  </si>
  <si>
    <t>PRODIGO1056715</t>
  </si>
  <si>
    <t>Allis tissue forceps 5 x 6 teeth Mueller Mirror finish 5 x 6 teeth Overall length 10in</t>
  </si>
  <si>
    <t>FORCEP, SURGICAL, ALLIS, 10 IN, 5 X 6 TEETH, BRITE, MUELLER MIRROR FINISH, DOUBLE ACTION, RING HANDLE, TISSUE, GOLD COATED, STAINLESS STEEL, STELLITE, NON STERILE, LATEX</t>
  </si>
  <si>
    <t>FORCEP, SURG, ALLIS, 10 IN, 5 X 6 TEETH, BRT, MUELLER MIRROR FINISH, DBL ACT, RNG HNDL, TISS, GLD COAT, SS, STELLITE, NS, LTX</t>
  </si>
  <si>
    <t>FORCEP, SURG, ALLIS, 10 IN, 5 X 6 TEETH, BRT, DBL ACT, TISS, SS, LTX</t>
  </si>
  <si>
    <t>10 IN</t>
  </si>
  <si>
    <t>5 X 6 TEETH, BRITE, MUELLER MIRROR FINISH, DOUBLE ACTION, RING HANDLE</t>
  </si>
  <si>
    <t>https://www.bd.com/en-us/products-and-solutions/products/product-page.CH1560-MM#specifications, https://accessgudid.nlm.nih.gov/devices/10885403023958</t>
  </si>
  <si>
    <t>CA15601</t>
  </si>
  <si>
    <t>CA1560-1</t>
  </si>
  <si>
    <t>BD_CA15601</t>
  </si>
  <si>
    <t>ALLIS TISSUE FORCEPS 5X6 TEETH 10IN</t>
  </si>
  <si>
    <t>PRODIGO1056443</t>
  </si>
  <si>
    <t>Allis Tissue Forceps Affinity Line. 5x6 teeth. Overall length 10in (25.4cm)</t>
  </si>
  <si>
    <t>FORCEP, SURGICAL, ALLIS, 10 IN, TISSUE, 5X6 TEETH, AFFINITY LINE, NON STERILE, LATEX</t>
  </si>
  <si>
    <t>FORCEP, SURG, ALLIS, 10 IN, TISS, 5X6 TEETH, AFFIN LN, NS, LTX</t>
  </si>
  <si>
    <t>5X6 TEETH, AFFINITY LINE</t>
  </si>
  <si>
    <t>https://www.bd.com/en-us/products-and-solutions/products/product-page.CA1560-1#overview, https://accessgudid.nlm.nih.gov/devices/10885403018039</t>
  </si>
  <si>
    <t>CH1564</t>
  </si>
  <si>
    <t>BD_CH1564</t>
  </si>
  <si>
    <t>ALLIS TISSUE FORCEPS 5X6 TEETH 14IN</t>
  </si>
  <si>
    <t>PRODIGO1056716</t>
  </si>
  <si>
    <t>Allis tissue forceps 5 x 6 teeth 5 x 6 teeth Overall length 14in</t>
  </si>
  <si>
    <t>FORCEP, SURGICAL, ALLIS, 14 IN, 5 X 6 TEETH, DOUBLE ACTION, RING HANDLE, SATIN FINISH, DOUBLE ACTION, TISSUE, GOLD COATED, STAINLESS STEEL, STELLITE, NON STERILE, LATEX</t>
  </si>
  <si>
    <t>FORCEP, SURG, ALLIS, 14 IN, 5 X 6 TEETH, DBL ACT, RNG HNDL, SATIN FINISH, DBL ACT, TISS, GLD COAT, SS, STELLITE, NS, LTX</t>
  </si>
  <si>
    <t>FORCEP, SURG, ALLIS, 14 IN, 5 X 6 TEETH, DBL ACT, DBL ACT, TISS, SS</t>
  </si>
  <si>
    <t>14 IN</t>
  </si>
  <si>
    <t>https://www.bd.com/en-us/products-and-solutions/products/product-page.CH1564#specifications, https://accessgudid.nlm.nih.gov/devices/10885403023972</t>
  </si>
  <si>
    <t>CH1568</t>
  </si>
  <si>
    <t>BD_CH1568</t>
  </si>
  <si>
    <t>ALLIS TISSUE FORCEPS 5X6 TEETH 18IN</t>
  </si>
  <si>
    <t>PRODIGO1056719</t>
  </si>
  <si>
    <t>Allis tissue forcep 5 x 6 teeth Double action box locks Overall length 18in</t>
  </si>
  <si>
    <t>FORCEP, SURGICAL, ALLIS, 18 IN, 5 X 6 TEETH, DOUBLE ACTION, RING HANDLE, SATIN FINISH, DOUBLE ACTION, TISSUE, GOLD COATED, STAINLESS STEEL, STELLITE, NON STERILE, LATEX</t>
  </si>
  <si>
    <t>FORCEP, SURG, ALLIS, 18 IN, 5 X 6 TEETH, DBL ACT, RNG HNDL, SATIN FINISH, DBL ACT, TISS, GLD COAT, SS, STELLITE, NS, LTX</t>
  </si>
  <si>
    <t>FORCEP, SURG, ALLIS, 18 IN, 5 X 6 TEETH, DBL ACT, DBL ACT, TISS, SS</t>
  </si>
  <si>
    <t>18 IN</t>
  </si>
  <si>
    <t>https://www.bd.com/en-us/products-and-solutions/products/product-page.CH1568#specifications, https://accessgudid.nlm.nih.gov/devices/10885403024009</t>
  </si>
  <si>
    <t>GU8130</t>
  </si>
  <si>
    <t>BD_GU8130</t>
  </si>
  <si>
    <t>ALYEA VASC CLAMP CIRC JAW 5X6 DULL TEETH</t>
  </si>
  <si>
    <t>PRODIGO1057614</t>
  </si>
  <si>
    <t>Alyea vas clamp Circular jaws have 5 x 6 dull teeth. Overall length 6in (15.2cm).</t>
  </si>
  <si>
    <t>CLAMP, SURGICAL, ALYEA VAS, 6 IN, CIRCULAR JAW 5X6 DULL TEETH, NON STERILE, LATEX</t>
  </si>
  <si>
    <t>CLAMP, SURG, ALYEA VAS, 6 IN, CIR JAW 5X6 DULL TEETH, NS, LTX</t>
  </si>
  <si>
    <t>CLAMP</t>
  </si>
  <si>
    <t>ALYEA VAS</t>
  </si>
  <si>
    <t>6 IN</t>
  </si>
  <si>
    <t>CIRCULAR JAW 5X6 DULL TEETH</t>
  </si>
  <si>
    <t>https://www.bd.com/en-us/products-and-solutions/products/product-page.GU8130#overview, https://accessgudid.nlm.nih.gov/devices/10885403050169</t>
  </si>
  <si>
    <t>GL3550</t>
  </si>
  <si>
    <t>BD_GL3550</t>
  </si>
  <si>
    <t>AMERICAN PATTERN UMBILICAL STR SCISSORS</t>
  </si>
  <si>
    <t>PRODIGO1057468</t>
  </si>
  <si>
    <t>American pattern umbilical scissors Straight. Overall length 4in (10.2cm).</t>
  </si>
  <si>
    <t>SCISSOR, SURGICAL, 4 IN, AMERICAN PATTERN UMBILICAL, AMERICAN PATTERN UMBILICAL, MATTE FINISH, RING HANDLE, NON STERILE, LATEX</t>
  </si>
  <si>
    <t>SCISSOR, SURG, 4 IN, AMER PAT UMB, AMER PAT UMB, MATTE FINISH, RING HNDL, NS, LTX</t>
  </si>
  <si>
    <t>SCISSOR, SURG, 4 IN, AMER PAT UMB, AMER PAT UMB, MATTE FINISH</t>
  </si>
  <si>
    <t>4 IN</t>
  </si>
  <si>
    <t>AMERICAN PATTERN UMBILICAL, AMERICAN PATTERN UMBILICAL, MATTE FINISH, 
RING HANDLE</t>
  </si>
  <si>
    <t>https://www.bd.com/en-us/products-and-solutions/products/product-page.GL3550#overview, https://accessgudid.nlm.nih.gov/devices/10885403045813</t>
  </si>
  <si>
    <t>BHC</t>
  </si>
  <si>
    <t>888313</t>
  </si>
  <si>
    <t>88-8313</t>
  </si>
  <si>
    <t>BD_888313</t>
  </si>
  <si>
    <t>ANGLED CIRCLE GRASPER</t>
  </si>
  <si>
    <t>PRODIGO1056097</t>
  </si>
  <si>
    <t>42296204  Surgical robotic graspers or forceps</t>
  </si>
  <si>
    <t>ANGLED CIRCLE GRASPER DOUBLE-ACTION. 10MM 37CM INSULATED SHAFT ROTATION RATCHETED.</t>
  </si>
  <si>
    <t>GRASPER, SURGICAL, ANGLED CIRCLE, 10 MMX37 CM, DOUBLE ACTION, NON STERILE, SNOWDEN-PENCER, LATEX</t>
  </si>
  <si>
    <t>GRASPER, SURG, ANGLED CIR, 10 MMX37 CM, DBL ACT, NS, SNOWDEN-PENCER, LTX</t>
  </si>
  <si>
    <t>GRASPER, SURG, ANGLED CIR, 10 MMX37 CM, DBL ACT, SNOWDEN-PENCER</t>
  </si>
  <si>
    <t>ANGLED CIRCLE</t>
  </si>
  <si>
    <t>10 MMX37 CM</t>
  </si>
  <si>
    <t>DOUBLE ACTION</t>
  </si>
  <si>
    <t>https://www.bd.com/en-us/products-and-solutions/products/product-page.88-8313#overview, https://accessgudid.nlm.nih.gov/devices/10885403178610</t>
  </si>
  <si>
    <t>NL3781</t>
  </si>
  <si>
    <t>BD_NL3781</t>
  </si>
  <si>
    <t>APFELBAUM MICRO CLASS MIRROR 6MM DIA</t>
  </si>
  <si>
    <t>PRODIGO1058199</t>
  </si>
  <si>
    <t>42292001  Surgical mirrors</t>
  </si>
  <si>
    <t>Apfelbaum micro mirrors Round knurled handle malleable shaft. Matte and mirror finish. Working length 4-1/2in (11.4cm). 6mm diameter glass mirror</t>
  </si>
  <si>
    <t>MIRROR, SURGICAL, APFELBAUM, MICRO, 6 MMX4.5 IN, ROUND, KNURLED HANDLE, MALLEABLE SHAFT, MATTE, MIRROR FINISH, NON STERILE, LATEX</t>
  </si>
  <si>
    <t>MIRROR, SURG, APFELBAUM, MIC, 6 MMX4.5 IN, RND, KNURLED HNDL, MALL SHFT, MATTE, MIRROR FINISH, NS, LTX</t>
  </si>
  <si>
    <t>MIRROR, SURG, APFELBAUM, MIC, 6 MMX4.5 IN, RND, KNURLED HNDL, MALL</t>
  </si>
  <si>
    <t>MIRROR</t>
  </si>
  <si>
    <t>APFELBAUM</t>
  </si>
  <si>
    <t>MICRO</t>
  </si>
  <si>
    <t>6 MMX4.5 IN</t>
  </si>
  <si>
    <t>ROUND, KNURLED HANDLE, MALLEABLE SHAFT, MATTE, MIRROR FINISH</t>
  </si>
  <si>
    <t>https://www.bd.com/en-us/products-and-solutions/products/product-page.nl3781#overview, https://accessgudid.nlm.nih.gov/devices/10885403073557</t>
  </si>
  <si>
    <t>NL3780</t>
  </si>
  <si>
    <t>BD_NL3780</t>
  </si>
  <si>
    <t>APFELBAUM MICRO GLASS MIRROR 4MM DIA</t>
  </si>
  <si>
    <t>PRODIGO1058198</t>
  </si>
  <si>
    <t>Apfelbaum micro mirrors Round knurled handle malleable shaft. Matte and mirror finish. Working length 4-1/2in (11.4cm). 4mm diameter glass mirror</t>
  </si>
  <si>
    <t>MIRROR, SURGICAL, APFELBAUM, MICRO, 4 MMX4.5 IN, ROUND, KNURLED HANDLE, MALLEABLE SHAFT, MATTE, MIRROR FINISH, NON STERILE, LATEX</t>
  </si>
  <si>
    <t>MIRROR, SURG, APFELBAUM, MIC, 4 MMX4.5 IN, RND, KNURLED HNDL, MALL SHFT, MATTE, MIRROR FINISH, NS, LTX</t>
  </si>
  <si>
    <t>MIRROR, SURG, APFELBAUM, MIC, 4 MMX4.5 IN, RND, KNURLED HNDL, MALL</t>
  </si>
  <si>
    <t>4 MMX4.5 IN</t>
  </si>
  <si>
    <t>https://www.bd.com/en-us/products-and-solutions/products/product-page.nl3780#overview, https://accessgudid.nlm.nih.gov/devices/10885403073540</t>
  </si>
  <si>
    <t>CH12001</t>
  </si>
  <si>
    <t>BD_CH12001</t>
  </si>
  <si>
    <t>APPROXIM CLAMP ARTERY DBL F/0.4-1.0MM</t>
  </si>
  <si>
    <t>PRODIGO1056629</t>
  </si>
  <si>
    <t>APPROXIMATOR CLAMPS WITHOUT FRAME ARTERY DOUBLE BLACK BLACK OXIDE FINISH SS 0.4MM-1MM LATEX NON STERILE</t>
  </si>
  <si>
    <t>CLAMP, SURGICAL, APPROXIMATOR, 0.4-1 MM, ARTERY, WITHOUT FRAME, DOUBLE, BLACK OXIDE FINISH, FOR VESSEL, STAINLESS STEEL, BLACK, NON STERILE, LATEX</t>
  </si>
  <si>
    <t>CLAMP, SURG, APPRX, 0.4-1 MM, ART, W/O FRAME, DBL, BLK OXIDE FINISH, FOR VES, SS, BLK, NS, LTX</t>
  </si>
  <si>
    <t>CLAMP, SURG, APPRX, 0.4-1 MM, ART, W/O FRAME, BLK OXIDE FINISH, SS</t>
  </si>
  <si>
    <t>APPROXIMATOR</t>
  </si>
  <si>
    <t>0.4-1 MM</t>
  </si>
  <si>
    <t>ARTERY</t>
  </si>
  <si>
    <t>WITHOUT FRAME, DOUBLE, BLACK OXIDE FINISH, FOR VESSEL</t>
  </si>
  <si>
    <t>BLACK</t>
  </si>
  <si>
    <t>https://www.bd.com/en-us/products-and-solutions/products/product-page.CH12001#overview, https://accessgudid.nlm.nih.gov/devices/10885403123771</t>
  </si>
  <si>
    <t>CH12009</t>
  </si>
  <si>
    <t>BD_CH12009</t>
  </si>
  <si>
    <t>APPROXIM CLAMP ARTERY DBL F/0.6-1.5MM</t>
  </si>
  <si>
    <t>PRODIGO1056632</t>
  </si>
  <si>
    <t>APPROXIMATOR CLAMPS WITHOUT FRAME ARTERY DOUBLE BLACK BLACK OXIDE FINISH SS 0.6MM-1.5MM LATEX NON STERILE</t>
  </si>
  <si>
    <t>CLAMP, SURGICAL, APPROXIMATOR, 0.6-1.5 MM, ARTERY, WITHOUT FRAME, DOUBLE, BLACK OXIDE FINISH, FOR VESSEL, STAINLESS STEEL, BLACK, NON STERILE, LATEX</t>
  </si>
  <si>
    <t>CLAMP, SURG, APPRX, 0.6-1.5 MM, ART, W/O FRAME, DBL, BLK OXIDE FINISH, FOR VES, SS, BLK, NS, LTX</t>
  </si>
  <si>
    <t>CLAMP, SURG, APPRX, 0.6-1.5 MM, ART, W/O FRAME, BLK OXIDE FINISH</t>
  </si>
  <si>
    <t>0.6-1.5 MM</t>
  </si>
  <si>
    <t>https://www.bd.com/en-us/products-and-solutions/products/product-page.CH12009#overview, https://accessgudid.nlm.nih.gov/devices/10885403123856</t>
  </si>
  <si>
    <t>CH12017</t>
  </si>
  <si>
    <t>BD_CH12017</t>
  </si>
  <si>
    <t>APPROXIM CLAMP ARTERY DBL F/1-2.25MM</t>
  </si>
  <si>
    <t>PRODIGO1056638</t>
  </si>
  <si>
    <t>APPROXIMATOR CLAMPS WITHOUT FRAME ARTERY DOUBLE BLACK BLACK OXIDE FINISH SS 1MM-2.25MM LATEX NON STERILE</t>
  </si>
  <si>
    <t>CLAMP, SURGICAL, APPROXIMATOR, 1-2.25 MM, ARTERY, WITHOUT FRAME, DOUBLE, BLACK OXIDE FINISH, FOR VESSEL, STAINLESS STEEL, BLACK, NON STERILE, LATEX</t>
  </si>
  <si>
    <t>CLAMP, SURG, APPRX, 1-2.25 MM, ART, W/O FRAME, DBL, BLK OXIDE FINISH, FOR VES, SS, BLK, NS, LTX</t>
  </si>
  <si>
    <t>CLAMP, SURG, APPRX, 1-2.25 MM, ART, W/O FRAME, BLK OXIDE FINISH, SS</t>
  </si>
  <si>
    <t>1-2.25 MM</t>
  </si>
  <si>
    <t>https://www.bd.com/en-us/products-and-solutions/products/product-page.CH12017#overview, https://accessgudid.nlm.nih.gov/devices/10885403123931</t>
  </si>
  <si>
    <t>CH12008</t>
  </si>
  <si>
    <t>BD_CH12008</t>
  </si>
  <si>
    <t>APPROXIM CLAMP ARTERY F/0.6-1.5MM VESSEL</t>
  </si>
  <si>
    <t>PRODIGO1056631</t>
  </si>
  <si>
    <t>APPROXIMATOR CLAMPS WITHOUT FRAME ARTERY DOUBLE BLACK SATIN FINISH SS 0.6MM-1.5MM LATEX NON STERILE</t>
  </si>
  <si>
    <t>CLAMP, SURGICAL, APPROXIMATOR, 0.6-1.5 MM, ARTERY, WITHOUT FRAME, DOUBLE, SATIN FINISH, FOR VESSEL, STAINLESS STEEL, BLACK, NON STERILE, LATEX</t>
  </si>
  <si>
    <t>CLAMP, SURG, APPRX, 0.6-1.5 MM, ART, W/O FRAME, DBL, SATIN FINISH, FOR VES, SS, BLK, NS, LTX</t>
  </si>
  <si>
    <t>CLAMP, SURG, APPRX, 0.6-1.5 MM, ART, W/O FRAME, SATIN FINISH, SS</t>
  </si>
  <si>
    <t>WITHOUT FRAME, DOUBLE, SATIN FINISH, FOR VESSEL</t>
  </si>
  <si>
    <t>https://www.bd.com/en-us/products-and-solutions/products/product-page.CH12008#overview, https://accessgudid.nlm.nih.gov/devices/10885403123849</t>
  </si>
  <si>
    <t>CH12012</t>
  </si>
  <si>
    <t>BD_CH12012</t>
  </si>
  <si>
    <t>PRODIGO1056635</t>
  </si>
  <si>
    <t>APPROXIMATOR CLAMPS WITH FRAME ARTERY DOUBLE BLACK SATIN FINISH SS 0.6MM-1.5MM LATEX NON STERILE</t>
  </si>
  <si>
    <t>CLAMP, SURGICAL, APPROXIMATOR, 0.6-1.5 MM, ARTERY, WITH FRAME, DOUBLE, SATIN FINISH, FOR VESSEL, STAINLESS STEEL, BLACK, NON STERILE, LATEX</t>
  </si>
  <si>
    <t>CLAMP, SURG, APPRX, 0.6-1.5 MM, ART, W/ FRAME, DBL, SATIN FINISH, FOR VES, SS, BLK, NS, LTX</t>
  </si>
  <si>
    <t>CLAMP, SURG, APPRX, 0.6-1.5 MM, ART, W/ FRAME, SATIN FINISH, SS</t>
  </si>
  <si>
    <t>WITH FRAME, DOUBLE, SATIN FINISH, FOR VESSEL</t>
  </si>
  <si>
    <t>https://www.bd.com/en-us/products-and-solutions/products/product-page.CH12011#overview, https://accessgudid.nlm.nih.gov/devices/10885403123887</t>
  </si>
  <si>
    <t>CH12015</t>
  </si>
  <si>
    <t>BD_CH12015</t>
  </si>
  <si>
    <t>PRODIGO1056636</t>
  </si>
  <si>
    <t>APPROXIMATOR CLAMPS WITH FRAME ARTERY DOUBLE BLACK BLACK OXIDE FINISH SS 0.6MM-1.5MM LATEX NON STERILE</t>
  </si>
  <si>
    <t>CLAMP, SURGICAL, APPROXIMATOR, 0.6-1.5 MM, ARTERY, WITH FRAME, DOUBLE, BLACK OXIDE FINISH, FOR VESSEL, STAINLESS STEEL, BLACK, NON STERILE, LATEX</t>
  </si>
  <si>
    <t>CLAMP, SURG, APPRX, 0.6-1.5 MM, ART, W/ FRAME, DBL, BLK OXIDE FINISH, FOR VES, SS, BLK, NS, LTX</t>
  </si>
  <si>
    <t>CLAMP, SURG, APPRX, 0.6-1.5 MM, ART, W/ FRAME, BLK OXIDE FINISH, SS</t>
  </si>
  <si>
    <t>WITH FRAME, DOUBLE, BLACK OXIDE FINISH, FOR VESSEL</t>
  </si>
  <si>
    <t>https://www.bd.com/en-us/products-and-solutions/products/product-page.CH12015#overview, https://accessgudid.nlm.nih.gov/devices/10885403123917</t>
  </si>
  <si>
    <t>CH12016</t>
  </si>
  <si>
    <t>BD_CH12016</t>
  </si>
  <si>
    <t>APPROXIM CLAMP ARTERY F/1-2.25MM VESSEL</t>
  </si>
  <si>
    <t>PRODIGO1056637</t>
  </si>
  <si>
    <t>APPROXIMATOR CLAMPS WITHOUT FRAME ARTERY DOUBLE BLACK SATIN FINISH SS 1MM-2.25MM LATEX NON STERILE</t>
  </si>
  <si>
    <t>CLAMP, SURGICAL, APPROXIMATOR, 1-2.25 MM, ARTERY, WITHOUT FRAME, DOUBLE, SATIN FINISH, FOR VESSEL, STAINLESS STEEL, BLACK, NON STERILE, LATEX</t>
  </si>
  <si>
    <t>CLAMP, SURG, APPRX, 1-2.25 MM, ART, W/O FRAME, DBL, SATIN FINISH, FOR VES, SS, BLK, NS, LTX</t>
  </si>
  <si>
    <t>CLAMP, SURG, APPRX, 1-2.25 MM, ART, W/O FRAME, SATIN FINISH, SS</t>
  </si>
  <si>
    <t>https://www.bd.com/en-us/products-and-solutions/products/product-page.CH12016#overview, https://accessgudid.nlm.nih.gov/devices/10885403123924</t>
  </si>
  <si>
    <t>CH12020</t>
  </si>
  <si>
    <t>BD_CH12020</t>
  </si>
  <si>
    <t>PRODIGO1056641</t>
  </si>
  <si>
    <t>APPROXIMATOR CLAMPS WITH FRAME ARTERY DOUBLE BLACK SATIN FINISH SS 1MM-2.25MM LATEX NON STERILE</t>
  </si>
  <si>
    <t>CLAMP, SURGICAL, APPROXIMATOR, 1-2.25 MM, ARTERY, WITH FRAME, DOUBLE, SATIN FINISH, FOR VESSEL, STAINLESS STEEL, BLACK, NON STERILE, LATEX</t>
  </si>
  <si>
    <t>CLAMP, SURG, APPRX, 1-2.25 MM, ART, W/ FRAME, DBL, SATIN FINISH, FOR VES, SS, BLK, NS, LTX</t>
  </si>
  <si>
    <t>CLAMP, SURG, APPRX, 1-2.25 MM, ART, W/ FRAME, SATIN FINISH, SS</t>
  </si>
  <si>
    <t>https://www.bd.com/en-us/products-and-solutions/products/product-page.CH12020#overview, https://accessgudid.nlm.nih.gov/devices/10885403123962</t>
  </si>
  <si>
    <t>CH12023</t>
  </si>
  <si>
    <t>BD_CH12023</t>
  </si>
  <si>
    <t>PRODIGO1056642</t>
  </si>
  <si>
    <t>APPROXIMATOR CLAMPS WITH FRAME VEIN DOUBLE BLACK BLACK OXIDE FINISH SS 1MM-2.25MM LATEX NON STERILE</t>
  </si>
  <si>
    <t>CLAMP, SURGICAL, APPROXIMATOR, 1-2.25 MM, VEIN, WITH FRAME, DOUBLE, BLACK OXIDE FINISH, FOR VESSEL, STAINLESS STEEL, BLACK, NON STERILE, LATEX</t>
  </si>
  <si>
    <t>CLAMP, SURG, APPRX, 1-2.25 MM, VEIN, W/ FRAME, DBL, BLK OXIDE FINISH, FOR VES, SS, BLK, NS, LTX</t>
  </si>
  <si>
    <t>CLAMP, SURG, APPRX, 1-2.25 MM, VEIN, W/ FRAME, BLK OXIDE FINISH, SS</t>
  </si>
  <si>
    <t>VEIN</t>
  </si>
  <si>
    <t>https://www.bd.com/en-us/products-and-solutions/products/product-page.CH12023#overview, https://accessgudid.nlm.nih.gov/devices/10885403123993</t>
  </si>
  <si>
    <t>CH12002</t>
  </si>
  <si>
    <t>BD_CH12002</t>
  </si>
  <si>
    <t>APPROXIM CLAMP VEIN DBL F/.4-1.0MMVESSEL</t>
  </si>
  <si>
    <t>PRODIGO1056630</t>
  </si>
  <si>
    <t>APPROXIMATOR CLAMPS WITHOUT FRAME VEIN DOUBLE BLACK SATIN FINISH SS 0.4MM-1MM LATEX NON STERILE</t>
  </si>
  <si>
    <t>CLAMP, SURGICAL, APPROXIMATOR, 0.4-1 MM, VEIN, WITHOUT FRAME, DOUBLE, SATIN FINISH, FOR VESSEL, STAINLESS STEEL, BLACK, NON STERILE, LATEX</t>
  </si>
  <si>
    <t>CLAMP, SURG, APPRX, 0.4-1 MM, VEIN, W/O FRAME, DBL, SATIN FINISH, FOR VES, SS, BLK, NS, LTX</t>
  </si>
  <si>
    <t>CLAMP, SURG, APPRX, 0.4-1 MM, VEIN, W/O FRAME, SATIN FINISH, SS</t>
  </si>
  <si>
    <t>https://www.bd.com/en-us/products-and-solutions/products/product-page.CH12002#overview, https://accessgudid.nlm.nih.gov/devices/10885403123788</t>
  </si>
  <si>
    <t>CH12010</t>
  </si>
  <si>
    <t>BD_CH12010</t>
  </si>
  <si>
    <t>APPROXIM CLAMP VEIN DBL F/.6-1.5MMVESSEL</t>
  </si>
  <si>
    <t>PRODIGO1056633</t>
  </si>
  <si>
    <t>APPROXIMATOR CLAMPS WITHOUT FRAME VEIN DOUBLE BLACK SATIN FINISH SS 0.6MM-1.5MM LATEX NON STERILE</t>
  </si>
  <si>
    <t>CLAMP, SURGICAL, APPROXIMATOR, 0.6-1.5 MM, VEIN, WITHOUT FRAME, DOUBLE, SATIN FINISH, FOR VESSEL, STAINLESS STEEL, BLACK, NON STERILE, LATEX</t>
  </si>
  <si>
    <t>CLAMP, SURG, APPRX, 0.6-1.5 MM, VEIN, W/O FRAME, DBL, SATIN FINISH, FOR VES, SS, BLK, NS, LTX</t>
  </si>
  <si>
    <t>CLAMP, SURG, APPRX, 0.6-1.5 MM, VEIN, W/O FRAME, SATIN FINISH, SS</t>
  </si>
  <si>
    <t>https://www.bd.com/en-us/products-and-solutions/products/product-page.CH12009#overview, https://accessgudid.nlm.nih.gov/devices/10885403123863</t>
  </si>
  <si>
    <t>CH12011</t>
  </si>
  <si>
    <t>BD_CH12011</t>
  </si>
  <si>
    <t>PRODIGO1056634</t>
  </si>
  <si>
    <t>APPROXIMATOR CLAMPS WITHOUT FRAME VEIN DOUBLE BLACK BLACK OXIDE FINISH SS 0.6MM-1.5MM LATEX NON STERILE</t>
  </si>
  <si>
    <t>CLAMP, SURGICAL, APPROXIMATOR, 0.6-1.5 MM, VEIN, WITHOUT FRAME, DOUBLE, BLACK OXIDE FINISH, FOR VESSEL, STAINLESS STEEL, BLACK, NON STERILE, LATEX</t>
  </si>
  <si>
    <t>CLAMP, SURG, APPRX, 0.6-1.5 MM, VEIN, W/O FRAME, DBL, BLK OXIDE FINISH, FOR VES, SS, BLK, NS, LTX</t>
  </si>
  <si>
    <t>CLAMP, SURG, APPRX, 0.6-1.5 MM, VEIN, W/O FRAME, BLK OXIDE FINISH</t>
  </si>
  <si>
    <t>https://www.bd.com/en-us/products-and-solutions/products/product-page.CH12011#overview, https://accessgudid.nlm.nih.gov/devices/10885403126017</t>
  </si>
  <si>
    <t>CH12018</t>
  </si>
  <si>
    <t>BD_CH12018</t>
  </si>
  <si>
    <t>APPROXIM CLAMP VEIN DBL F/1-2.25MMVESSEL</t>
  </si>
  <si>
    <t>PRODIGO1056639</t>
  </si>
  <si>
    <t>APPROXIMATOR CLAMPS WITHOUT FRAME VEIN DOUBLE BLACK SATIN FINISH SS 1MM-2.25MM LATEX NON STERILE</t>
  </si>
  <si>
    <t>CLAMP, SURGICAL, APPROXIMATOR, 1-2.25 MM, VEIN, WITHOUT FRAME, DOUBLE, SATIN FINISH, FOR VESSEL, STAINLESS STEEL, BLACK, NON STERILE, LATEX</t>
  </si>
  <si>
    <t>CLAMP, SURG, APPRX, 1-2.25 MM, VEIN, W/O FRAME, DBL, SATIN FINISH, FOR VES, SS, BLK, NS, LTX</t>
  </si>
  <si>
    <t>CLAMP, SURG, APPRX, 1-2.25 MM, VEIN, W/O FRAME, SATIN FINISH, SS</t>
  </si>
  <si>
    <t>https://www.bd.com/en-us/products-and-solutions/products/product-page.CH12018#overview, https://accessgudid.nlm.nih.gov/devices/10885403123948</t>
  </si>
  <si>
    <t>CH12019</t>
  </si>
  <si>
    <t>BD_CH12019</t>
  </si>
  <si>
    <t>PRODIGO1056640</t>
  </si>
  <si>
    <t>APPROXIMATOR CLAMPS WITHOUT FRAME VEIN DOUBLE BLACK BLACK OXIDE FINISH SS 1MM-2.25MM LATEX NON STERILE</t>
  </si>
  <si>
    <t>CLAMP, SURGICAL, APPROXIMATOR, 1-2.25 MM, VEIN, WITHOUT FRAME, DOUBLE, BLACK OXIDE FINISH, FOR VESSEL, STAINLESS STEEL, BLACK, NON STERILE, LATEX</t>
  </si>
  <si>
    <t>CLAMP, SURG, APPRX, 1-2.25 MM, VEIN, W/O FRAME, DBL, BLK OXIDE FINISH, FOR VES, SS, BLK, NS, LTX</t>
  </si>
  <si>
    <t>CLAMP, SURG, APPRX, 1-2.25 MM, VEIN, W/O FRAME, BLK OXIDE FINISH</t>
  </si>
  <si>
    <t>https://www.bd.com/en-us/products-and-solutions/products/product-page.CH12019#specifications, https://accessgudid.nlm.nih.gov/devices/10885403123955</t>
  </si>
  <si>
    <t>ABC</t>
  </si>
  <si>
    <t>sourced</t>
  </si>
  <si>
    <t>CH5668002</t>
  </si>
  <si>
    <t>CH5668-002</t>
  </si>
  <si>
    <t>BD_CH5668002</t>
  </si>
  <si>
    <t>ARTERY SCISSORS BLADE ANG 45DEG LGTH 8IN</t>
  </si>
  <si>
    <t>PRODIGO1056892</t>
  </si>
  <si>
    <t>ARTERY SCISSOR SURGICAL 45 DEGREE 8 IN DELICATE BLADE</t>
  </si>
  <si>
    <t>SCISSOR, SURGICAL, ARTERY, 45 DEGREE, 8 IN, DELICATE BLADE, NON STERILE, LATEX</t>
  </si>
  <si>
    <t>SCISSOR, SURG, ART, 45 DEG, 8 IN, DEL BLADE, NS, LTX</t>
  </si>
  <si>
    <t>45 DEGREE</t>
  </si>
  <si>
    <t>DELICATE BLADE</t>
  </si>
  <si>
    <t>http://www.megamedworld.com/wp-content/uploads/2019/03/VM_KVC-min.pdf, https://accessgudid.nlm.nih.gov/devices/10885403028571</t>
  </si>
  <si>
    <t>VM_KVC-min.pdf</t>
  </si>
  <si>
    <t>LAT0536AT</t>
  </si>
  <si>
    <t>LAT-0536-AT</t>
  </si>
  <si>
    <t>BD_LAT0536AT</t>
  </si>
  <si>
    <t>ATRAUMATIC D/A INSERT 5MM 36CM</t>
  </si>
  <si>
    <t>PRODIGO1057778</t>
  </si>
  <si>
    <t>Snowden-pencer Grasper 5 Mmx36 Cm Atraumatic Double Action Insert Insulated Shaft Non Sterile Latex</t>
  </si>
  <si>
    <t>GRASPER, ENDOSCOPIC, ATRAUMATIC, 5 MMX36 CM, DOUBLE ACTION, INSERT, INSULATED SHAFT, NON STERILE, SNOWDEN-PENCER, LATEX</t>
  </si>
  <si>
    <t>GRASPER, ENDOSCP, ATRAUM, 5 MMX36 CM, DBL ACT, INSRT, INSUL SHFT, NS, SNOWDEN-PENCER, LTX</t>
  </si>
  <si>
    <t>GRASPER, ENDOSCP, ATRAUM, 5 MMX36 CM, DBL, INSUL, SNOWDEN-PENCER</t>
  </si>
  <si>
    <t>ATRAUMATIC</t>
  </si>
  <si>
    <t>https://www.bd.com/en-us/products-and-solutions/products/product-page.lat-0536-at#overview, https://accessgudid.nlm.nih.gov/devices/10885403431609</t>
  </si>
  <si>
    <t>LAT0545AT</t>
  </si>
  <si>
    <t>LAT-0545-AT</t>
  </si>
  <si>
    <t>BD_LAT0545AT</t>
  </si>
  <si>
    <t>ATRAUMATIC D/A INSERT 5MM 45CM</t>
  </si>
  <si>
    <t>PRODIGO1057814</t>
  </si>
  <si>
    <t>GRASPER, ENDOSCOPIC, ATRAUMATIC, 5X45 CM, DOUBLE ACTION INSERT, NON STERILE, LATEX</t>
  </si>
  <si>
    <t>GRASPER ENDOSCOPIC ATRAUMATIC 5X45 CM DOUBLE ACTION INSERT NON STERILE LATEX</t>
  </si>
  <si>
    <t>GRASPER, ENDOSCP, ATRAUM, 5 MMX45 CM, DBL ACT INSRT, NS, LTX</t>
  </si>
  <si>
    <t>https://www.bd.com/en-us/products-and-solutions/products/product-page.lat-0545-at#specifications, https://accessgudid.nlm.nih.gov/devices/10885403431746</t>
  </si>
  <si>
    <t>AU21007</t>
  </si>
  <si>
    <t>BD_AU21007</t>
  </si>
  <si>
    <t>AUSTIN DISSECT KNIFE BLADE 0.5MM 45DEG</t>
  </si>
  <si>
    <t>PRODIGO1056322</t>
  </si>
  <si>
    <t>42291613  Surgical scalpels or knives or blades or trephines</t>
  </si>
  <si>
    <t>AUSTIN DISSECTION KNIFE BLADE 0.5MM WIDE ANGLED 45 DEGREES. WORKING LENGTH 2-3/4IN (7CM). OVERALL LENGTH 6-1/4IN (16CM).</t>
  </si>
  <si>
    <t>KNIFE, SURGICAL, AUSTIN, 45 DEGREE, 6.25 IN, 0.5 MM, DISSECTION, SATIN FINISH, BLADE, NON STERILE, LATEX</t>
  </si>
  <si>
    <t>KNIFE, SURG, ASTN, 45 DEG, 6.25 IN, 0.5 MM, DISECT, SATIN FINISH, BLADE, NS, LTX</t>
  </si>
  <si>
    <t>KNIFE, SURG, ASTN, 45 DEG, 6.25 IN, 0.5 MM, DISECT, SATIN FINISH</t>
  </si>
  <si>
    <t>KNIFE</t>
  </si>
  <si>
    <t>AUSTIN</t>
  </si>
  <si>
    <t>0.5 MM</t>
  </si>
  <si>
    <t>DISSECTION, SATIN FINISH, BLADE</t>
  </si>
  <si>
    <t>https://www.bd.com/en-us/products-and-solutions/products/product-print-page.au21007, https://accessgudid.nlm.nih.gov/devices/10885403012846</t>
  </si>
  <si>
    <t>AU21003</t>
  </si>
  <si>
    <t>BD_AU21003</t>
  </si>
  <si>
    <t>AUSTIN DUCKBILL ELEVATOR BLADE 2.2MMWIDE</t>
  </si>
  <si>
    <t>PRODIGO1056320</t>
  </si>
  <si>
    <t>42292702  Surgical elevators or levers</t>
  </si>
  <si>
    <t>AUSTIN DUCKBILL ELEVATOR SLIGHTLY CURVED BLADE 2.2MM WIDE. WORKING LENGTH 2-3/4IN (7CM). OVERALL LENGTH 6-1/4IN (16CM).</t>
  </si>
  <si>
    <t>ELEVATOR, SURGICAL, AUSTIN DUCKBILL, 6.25 IN, 2.2 MM, SLIGHTLY CURVED BLADE, SATIN FINISH, NON STERILE, LATEX</t>
  </si>
  <si>
    <t>ELEVATOR, SURG, ASTN DUCKBILL, 6.25 IN, 2.2 MM, SLIGHTLY CRV BLADE, SATIN FINISH, NS, LTX</t>
  </si>
  <si>
    <t>ELEVATOR, SURG, ASTN DUCKBILL, 6.25 IN, 2.2 MM, SATIN FINISH</t>
  </si>
  <si>
    <t>ELEVATOR</t>
  </si>
  <si>
    <t>AUSTIN DUCKBILL</t>
  </si>
  <si>
    <t>2.2 MM</t>
  </si>
  <si>
    <t>SLIGHTLY CURVED BLADE, SATIN FINISH</t>
  </si>
  <si>
    <t>https://www.bd.com/en-us/products-and-solutions/products/product-page.au21003#overview, https://accessgudid.nlm.nih.gov/devices/10885403012822</t>
  </si>
  <si>
    <t>AU21010</t>
  </si>
  <si>
    <t>BD_AU21010</t>
  </si>
  <si>
    <t>AUSTIN EXCAV ANG LEFT BLADE 1MMW 6-1/4IN</t>
  </si>
  <si>
    <t>PRODIGO1056324</t>
  </si>
  <si>
    <t>42293702  Surgical excavators</t>
  </si>
  <si>
    <t>AUSTIN EXCAVATORS BLADE 1MM WIDE. WORKING LENGTH 2-3/4IN (7CM). OVERALL LENGTH 6-1/4IN (16CM). ANGLED LEFT.</t>
  </si>
  <si>
    <t>EXCAVATOR, SURGICAL, AUSTIN, 6.25 IN, 1 MM, LEFT ANGLED, BLADE, SATIN FINISH, NON STERILE, LATEX</t>
  </si>
  <si>
    <t>EXCAVATOR, SURG, ASTN, 6.25 IN, 1 MM, LT ANGLED, BLADE, SATIN FINISH, NS, LTX</t>
  </si>
  <si>
    <t>EXCAVATOR, SURG, ASTN, 6.25 IN, 1 MM, LT ANGLED, SATIN FINISH</t>
  </si>
  <si>
    <t>EXCAVATOR</t>
  </si>
  <si>
    <t>1 MM</t>
  </si>
  <si>
    <t>LEFT ANGLED, BLADE, SATIN FINISH</t>
  </si>
  <si>
    <t>https://www.bd.com/en-us/products-and-solutions/products/product-page.AU21010#overview, https://accessgudid.nlm.nih.gov/devices/10885403012860</t>
  </si>
  <si>
    <t>AU21011</t>
  </si>
  <si>
    <t>BD_AU21011</t>
  </si>
  <si>
    <t>AUSTIN EXCAV ANG RIGHT BLADE 1MMW 6-1/4</t>
  </si>
  <si>
    <t>PRODIGO1056325</t>
  </si>
  <si>
    <t>AUSTIN EXCAVATORS BLADE 1MM WIDE. WORKING LENGTH 2-3/4IN (7CM). OVERALL LENGTH 6-1/4IN (16CM). ANGLED RIGHT.</t>
  </si>
  <si>
    <t>EXCAVATOR, SURGICAL, AUSTIN, 6.25 IN, 1 MM, RIGHT ANGLED, BLADE, SATIN FINISH, NON STERILE, LATEX</t>
  </si>
  <si>
    <t>EXCAVATOR, SURG, ASTN, 6.25 IN, 1 MM, RT ANGLED, BLADE, SATIN FINISH, NS, LTX</t>
  </si>
  <si>
    <t>EXCAVATOR, SURG, ASTN, 6.25 IN, 1 MM, RT ANGLED, SATIN FINISH</t>
  </si>
  <si>
    <t>RIGHT ANGLED, BLADE, SATIN FINISH</t>
  </si>
  <si>
    <t>https://www.bd.com/en-us/products-and-solutions/products/product-page.AU21011#overview, https://accessgudid.nlm.nih.gov/devices/10885403012877</t>
  </si>
  <si>
    <t>AU21019</t>
  </si>
  <si>
    <t>BD_AU21019</t>
  </si>
  <si>
    <t>AUSTIN FT PLATE ELEV BLADE 1MM 90DG RGHT</t>
  </si>
  <si>
    <t>PRODIGO1056331</t>
  </si>
  <si>
    <t>AUSTIN FOOT PLATE ELEVATOR BLADE LENGTH 1MM ANGLED 90 DEGREES. WORKING LENGTH 2-3/4IN (7CM). OVERALL LENGTH 6-1/4IN (16CM).</t>
  </si>
  <si>
    <t>ELEVATOR, SURGICAL, AUSTIN, 90 DEGREE, 6.25 IN, 1 MM, FOOT PLATE, ANGLED, SATIN FINISH, NON STERILE, LATEX</t>
  </si>
  <si>
    <t>ELEVATOR, SURG, ASTN, 90 DEG, 6.25 IN, 1 MM, FT PLATE, ANGLED, SATIN FINISH, NS, LTX</t>
  </si>
  <si>
    <t>ELEVATOR, SURG, ASTN, 90 DEG, 6.25 IN, 1 MM, FT PLATE, SATIN FINISH</t>
  </si>
  <si>
    <t>90 DEGREE</t>
  </si>
  <si>
    <t>FOOT PLATE, ANGLED, SATIN FINISH</t>
  </si>
  <si>
    <t>https://www.bd.com/en-us/products-and-solutions/products/product-page.au21019#overview, https://accessgudid.nlm.nih.gov/devices/10885403012938</t>
  </si>
  <si>
    <t>AU21004</t>
  </si>
  <si>
    <t>BD_AU21004</t>
  </si>
  <si>
    <t>AUSTIN RIGHT ANGLE ELEV BLADE 2MM 90DEG</t>
  </si>
  <si>
    <t>PRODIGO1056321</t>
  </si>
  <si>
    <t>AUSTIN RIGHT ANGLE ELEVATOR BLADE 2MM WIDE ANGLED 90 DEGREES. WORKING LENGTH 2-3/4IN (7CM). OVERALL LENGTH 6-1/4IN (16CM).</t>
  </si>
  <si>
    <t>ELEVATOR, SURGICAL, AUSTIN, 90 DEGREE, 6.25 IN, 2 MM, RIGHT ANGLE, SATIN FINISH, BLADE, NON STERILE, LATEX</t>
  </si>
  <si>
    <t>ELEVATOR, SURG, ASTN, 90 DEG, 6.25 IN, 2 MM, RT ANGLE, SATIN FINISH, BLADE, NS, LTX</t>
  </si>
  <si>
    <t>ELEVATOR, SURG, ASTN, 90 DEG, 6.25 IN, 2 MM, RT ANGLE, SATIN FINISH</t>
  </si>
  <si>
    <t>RIGHT ANGLE, SATIN FINISH, BLADE</t>
  </si>
  <si>
    <t>https://www.bd.com/en-us/products-and-solutions/products/product-page.AU21004#overview, https://accessgudid.nlm.nih.gov/devices/10885403012839</t>
  </si>
  <si>
    <t>AU21017</t>
  </si>
  <si>
    <t>BD_AU21017</t>
  </si>
  <si>
    <t>AUSTIN SICKLE KNIFE LGTH 6-5/16IN</t>
  </si>
  <si>
    <t>PRODIGO1056330</t>
  </si>
  <si>
    <t>AUSTIN SICKLE KNIFE SICKLE BLADE. MIRROR AND SATIN FINISH. WORKING LENGTH 2-3/4IN (7CM). OVERALL LENGTH 6-5/16IN (16CM).</t>
  </si>
  <si>
    <t>KNIFE, SURGICAL, AUSTIN, 6-5/16 IN, SICKLE BLADE, MIRROR, SATIN FINISH, NON STERILE, LATEX</t>
  </si>
  <si>
    <t>KNIFE, SURG, ASTN, 6-5/16 IN, SCKL BLADE, MIRROR, SATIN FINISH, NS, LTX</t>
  </si>
  <si>
    <t>KNIFE, SURG, ASTN, 6-5/16 IN, SCKL BLADE, MIRROR, SATIN FINISH</t>
  </si>
  <si>
    <t>6-5/16 IN</t>
  </si>
  <si>
    <t>SICKLE BLADE, MIRROR, SATIN FINISH</t>
  </si>
  <si>
    <t>https://www.bd.com/en-us/products-and-solutions/products/product-page.au21017#overview, https://accessgudid.nlm.nih.gov/devices/10885403012921</t>
  </si>
  <si>
    <t>MO9405</t>
  </si>
  <si>
    <t>BD_MO9405</t>
  </si>
  <si>
    <t>AUSTIN TISSUE RETR #2 CVDDOWN 3IN</t>
  </si>
  <si>
    <t>PRODIGO1057966</t>
  </si>
  <si>
    <t>42293107  Surgical retractors</t>
  </si>
  <si>
    <t>AUSTIN-TYPE RETRACTORS BLADE TIP TAPERED WITH TEETH. NO. 2. CURVED DOWN. 3IN (7.5CM).</t>
  </si>
  <si>
    <t>RETRACTOR, SURGICAL, AUSTIN, 2, 3 IN, CURVED DOWN, BLADE TIP, TAPERED, WITH TEETH, SATIN FINISH, STAINLESS STEEL, NON STERILE, LATEX</t>
  </si>
  <si>
    <t>RETRACTOR, SURG, ASTN, 2, 3 IN, CRV DN, BLADE TIP, TAPR, W/ TEETH, SATIN FINISH, SS, NS, LTX</t>
  </si>
  <si>
    <t>RETRACTOR, SURG, ASTN, 2, 3 IN, CRV DN, BLADE TIP, TAPR, W/ TEETH</t>
  </si>
  <si>
    <t>RETRACTOR</t>
  </si>
  <si>
    <t>3 IN</t>
  </si>
  <si>
    <t>CURVED DOWN, BLADE TIP, TAPERED, WITH TEETH, SATIN FINISH</t>
  </si>
  <si>
    <t>https://www.bd.com/en-us/products-and-solutions/products/product-page.MO9405#overview, https://accessgudid.nlm.nih.gov/devices/10885403058639</t>
  </si>
  <si>
    <t>GA258</t>
  </si>
  <si>
    <t>BD_GA258</t>
  </si>
  <si>
    <t>AUVARD VAG SPEC WEIGHTD BLDE 3-3/8X1-1/4</t>
  </si>
  <si>
    <t>PRODIGO1057329</t>
  </si>
  <si>
    <t>42182013  Vaginal exam speculas</t>
  </si>
  <si>
    <t>Auvard Weighted Vaginal Specula Affinity Line. Blade 3-3/8in x 1-1/4in (8.6cm x 3.2cm) wide.</t>
  </si>
  <si>
    <t>SPECULA, SURGICAL, AUVARD, 3-3/8X1.25 IN, VAGINAL, AFFINITY LINE, WEIGHTED, NON STERILE, LATEX</t>
  </si>
  <si>
    <t>SPECULA, SURG, AUVARD, 3-3/8X1.25 IN, VAG, AFFIN LN, WEIGHTED, NS, LTX</t>
  </si>
  <si>
    <t>SPECULA, SURG, AUVARD, 3-3/8X1.25 IN, VAG, AFFIN LN, WEIGHTED, NS</t>
  </si>
  <si>
    <t>SPECULA</t>
  </si>
  <si>
    <t>AUVARD</t>
  </si>
  <si>
    <t>3-3/8X1.25 IN</t>
  </si>
  <si>
    <t>VAGINAL</t>
  </si>
  <si>
    <t>AFFINITY LINE, WEIGHTED</t>
  </si>
  <si>
    <t>https://www.bd.com/en-us/products-and-solutions/products/product-page.GA258#overview, https://accessgudid.nlm.nih.gov/devices/10885403042027</t>
  </si>
  <si>
    <t>LATAHR</t>
  </si>
  <si>
    <t>LAT-AH-R</t>
  </si>
  <si>
    <t>BD_LATAHR</t>
  </si>
  <si>
    <t>AXIAL HANDLE RATCHETED W/ SPRING</t>
  </si>
  <si>
    <t>PRODIGO1057838</t>
  </si>
  <si>
    <t>42294924  Endoscopic monopolar or bipolar hand instruments</t>
  </si>
  <si>
    <t>HANDLE, AXIAL, RATCHETED, WITH SPRING, ELECTROSURGICAL, NON STERILE, LATEX</t>
  </si>
  <si>
    <t>HANDLE AXIAL RATCHETED WITH SPRING ELECTROSURGICAL NON STERILE LATEX</t>
  </si>
  <si>
    <t>HANDLE, AX, RATCHETED, W/ SPRING, ELECSURG, NS, LTX</t>
  </si>
  <si>
    <t>AXIAL</t>
  </si>
  <si>
    <t>RATCHETED</t>
  </si>
  <si>
    <t>WITH SPRING, ELECTROSURGICAL</t>
  </si>
  <si>
    <t>https://www.bd.com/en-us/products-and-solutions/products/product-page.lat-ah-r#specifications, https://accessgudid.nlm.nih.gov/devices/10885403431227</t>
  </si>
  <si>
    <t>LATARHR</t>
  </si>
  <si>
    <t>LAT-ARH-R</t>
  </si>
  <si>
    <t>BD_LATARHR</t>
  </si>
  <si>
    <t>AXIAL RING HANDLE-RATCHETED</t>
  </si>
  <si>
    <t>PRODIGO1057839</t>
  </si>
  <si>
    <t>HANDLE, AXIAL, RATCHETED, MODULAR, NON STERILE, LATEX</t>
  </si>
  <si>
    <t>HANDLE AXIAL RATCHETED MODULAR NON STERILE LATEX</t>
  </si>
  <si>
    <t>HANDLE, AX, RATCHETED, MOD, NS, LTX</t>
  </si>
  <si>
    <t>MODULAR</t>
  </si>
  <si>
    <t>https://accessgudid.nlm.nih.gov/devices/10885403431265</t>
  </si>
  <si>
    <t>LAT1036BK</t>
  </si>
  <si>
    <t>LAT-1036-BK</t>
  </si>
  <si>
    <t>BD_LAT1036BK</t>
  </si>
  <si>
    <t>BABCOCK CLAMP D/A INSERT 10MM 36CM</t>
  </si>
  <si>
    <t>PRODIGO1057834</t>
  </si>
  <si>
    <t>CLAMP, ENDOSCOPIC, BABCOCK, 10X36 MM, DOUBLE ACTION INSERT, ELECTROSURGICAL, LAPAROSCOPIC, NON STERILE, LATEX</t>
  </si>
  <si>
    <t>CLAMP ENDOSCOPIC BABCOCK 10X36 MM DOUBLE ACTION INSERT ELECTROSURGICAL LAPAROSCOPIC NON STERILE LATEX</t>
  </si>
  <si>
    <t>CLAMP, ENDOSCP, BABCOCK, 10X36 MM, DBL ACT INSRT, ELECSURG, LAP, NS, LTX</t>
  </si>
  <si>
    <t>CLAMP, ENDOSCP, BABCOCK, 10 MMX36 CM, DBL ACT INSRT, ELECSURG, LAP</t>
  </si>
  <si>
    <t>BABCOCK</t>
  </si>
  <si>
    <t>10 MMX36 CM</t>
  </si>
  <si>
    <t>DOUBLE ACTION INSERT, ELECTROSURGICAL, LAPAROSCOPIC</t>
  </si>
  <si>
    <t>https://www.bd.com/en-us/products-and-solutions/products/product-page.lat-1036-bk#specifications, https://accessgudid.nlm.nih.gov/devices</t>
  </si>
  <si>
    <t>LAT0536BK</t>
  </si>
  <si>
    <t>LAT-0536-BK</t>
  </si>
  <si>
    <t>BD_LAT0536BK</t>
  </si>
  <si>
    <t>BABCOCK CLAMP D/A INSERT 5MM 36CM</t>
  </si>
  <si>
    <t>PRODIGO1057782</t>
  </si>
  <si>
    <t>Snowden-pencer Clamp 5 Mmx36 Cm Babcock Double Action Insert Insulated Handle Shaft Non Sterile Latex</t>
  </si>
  <si>
    <t>CLAMP, ENDOSCOPIC, BABCOCK, 5 MMX36 CM, DOUBLE ACTION, INSERT, INSULATED HANDLE SHAFT, NON STERILE, SNOWDEN-PENCER, LATEX</t>
  </si>
  <si>
    <t>CLAMP, ENDOSCP, BABCOCK, 5 MMX36 CM, DBL ACT, INSRT, INSUL HNDL SHFT, NS, SNOWDEN-PENCER, LTX</t>
  </si>
  <si>
    <t>CLAMP, ENDOSCP, BABCOCK, 5 MMX36 CM, DBL ACT, SNOWDEN-PENCER</t>
  </si>
  <si>
    <t>DOUBLE ACTION, INSERT, INSULATED HANDLE SHAFT</t>
  </si>
  <si>
    <t>https://www.bd.com/en-us/products-and-solutions/products/product-page.lat-0536-bK#overview, https://accessgudid.nlm.nih.gov/devices/10885403431432</t>
  </si>
  <si>
    <t>LAT0545BK</t>
  </si>
  <si>
    <t>LAT-0545-BK</t>
  </si>
  <si>
    <t>BD_LAT0545BK</t>
  </si>
  <si>
    <t>BABCOCK CLAMP D/A INSERT 5MM 45CM</t>
  </si>
  <si>
    <t>PRODIGO1057817</t>
  </si>
  <si>
    <t>CLAMP, ENDOSCOPIC, BABCOCK, 5X45 CM, DOUBLE ACTION INSERT, ELECTROSURGICAL, LAPAROSCOPIC, NON STERILE, LATEX</t>
  </si>
  <si>
    <t>CLAMP ENDOSCOPIC BABCOCK 5X45 CM DOUBLE ACTION INSERT ELECTROSURGICAL LAPAROSCOPIC NON STERILE LATEX</t>
  </si>
  <si>
    <t>CLAMP, ENDOSCP, BABCOCK, 5X45 CM, DBL ACT INSRT, ELECSURG, LAP, NS, LTX</t>
  </si>
  <si>
    <t>CLAMP, ENDOSCP, BABCOCK, 5 MMX45 CM, DBL ACT INSRT, ELECSURG, LAP</t>
  </si>
  <si>
    <t>https://www.bd.com/en-us/products-and-solutions/products/product-page.lat-0545-bk#overview, https://accessgudid.nlm.nih.gov/devices</t>
  </si>
  <si>
    <t>LA8272</t>
  </si>
  <si>
    <t>BD_LA8272</t>
  </si>
  <si>
    <t>BABCOCK FORCEP 10MM 37CM SPIN-CHK RATCHT</t>
  </si>
  <si>
    <t>PRODIGO1057729</t>
  </si>
  <si>
    <t>Grasper 10 Mmx37 Cm Babcock Double Action Traditional Finely Serrated Jaw Non Insulated Rotation Ratchet Satin Finish Spin Check Stainless Steel Non Sterile Latex</t>
  </si>
  <si>
    <t>GRASPER, ENDOSCOPIC, BABCOCK, 10 MMX37 CM, DOUBLE ACTION, TRADITIONAL, FINELY SERRATED JAW, NON INSULATED, ROTATION, RATCHET, SATIN FINISH, SPIN CHECK, STAINLESS STEEL, NON STERILE, LATEX</t>
  </si>
  <si>
    <t>GRASPER, ENDOSCP, BABCOCK, 10 MMX37 CM, DBL ACT, TRAD, FINELY SERRATED JAW, N INSUL, ROT, RATCH, SATIN FINISH, SPIN CHECK, SS, NS, LTX</t>
  </si>
  <si>
    <t>GRASPER, ENDOSCP, BABCOCK, 10 MMX37 CM, DBL ACT, TRAD, SPIN CHECK</t>
  </si>
  <si>
    <t>DOUBLE ACTION, TRADITIONAL, FINELY SERRATED JAW, NON INSULATED, ROTATION, RATCHET, SATIN FINISH, SPIN CHECK</t>
  </si>
  <si>
    <t>https://www.bd.com/en-us/offerings/capabilities/surgical-instruments/laparoscopic-instruments/wide-babcock-grasper/la8272, https://accessgudid.nlm.nih.gov/devices/10885403053542</t>
  </si>
  <si>
    <t>LA823445</t>
  </si>
  <si>
    <t>LA8234-45</t>
  </si>
  <si>
    <t>BD_LA823445</t>
  </si>
  <si>
    <t>BABCOCK FORCEP RATCHET 5MM 45CM SPIN-CHK</t>
  </si>
  <si>
    <t>PRODIGO1057709</t>
  </si>
  <si>
    <t>Snowden-pencer Grasper 5 Mmx45 Cm Babcock Double Action Delicate Traditional Jaw Insulated Shaft Rotation Insulated Handle Ratchet Satin Finish Spin Check Stainless Steel Non Sterile Latex</t>
  </si>
  <si>
    <t>GRASPER, ENDOSCOPIC, BABCOCK, 5 MMX45 CM, DOUBLE ACTION, DELICATE, TRADITIONAL JAW, INSULATED SHAFT, ROTATION, INSULATED HANDLE, RATCHET, SATIN FINISH, SPIN CHECK, STAINLESS STEEL, NON STERILE, SNOWDEN-PENCER, LATEX</t>
  </si>
  <si>
    <t>GRASPER, ENDOSCP, BABCOCK, 5 MMX45 CM, DBL ACT, DEL, TRAD JAW, INSUL SHFT, ROT, INSUL HNDL, RATCH, SATIN FINISH, SPIN CHECK, SS, NS, SNOWDEN-PENCER, LTX</t>
  </si>
  <si>
    <t>GRASPER, ENDOSCP, BABCOCK, 5 MMX45 CM, DBL ACT, SNOWDEN-PENCER</t>
  </si>
  <si>
    <t>DOUBLE ACTION, DELICATE, TRADITIONAL JAW, INSULATED SHAFT, ROTATION, INSULATED HANDLE, RATCHET, SATIN FINISH, SPIN CHECK</t>
  </si>
  <si>
    <t>https://www.bd.com/en-us/offerings/capabilities/surgical-instruments/laparoscopic-instruments/babcock-grasper/la8234-45, https://accessgudid.nlm.nih.gov/devices/10885403053221</t>
  </si>
  <si>
    <t>LA8234</t>
  </si>
  <si>
    <t>BD_LA8234</t>
  </si>
  <si>
    <t>BABCOCK FORCEPS SPIN-CHECK 5MM 35CM</t>
  </si>
  <si>
    <t>PRODIGO1057708</t>
  </si>
  <si>
    <t>Snowden-pencer Grasper 5 Mmx35 Cm Babcock Double Action Delicate Traditional Jaw Insulated Shaft Rotation Insulated Handle Ratchet Satin Finish Spin Check Stainless Steel Non Sterile Latex</t>
  </si>
  <si>
    <t>GRASPER, ENDOSCOPIC, BABCOCK, 5 MMX35 CM, DOUBLE ACTION, DELICATE, TRADITIONAL JAW, INSULATED SHAFT, ROTATION, INSULATED HANDLE, RATCHET, SATIN FINISH, SPIN CHECK, STAINLESS STEEL, NON STERILE, SNOWDEN-PENCER, LATEX</t>
  </si>
  <si>
    <t>GRASPER, ENDOSCP, BABCOCK, 5 MMX35 CM, DBL ACT, DEL, TRAD JAW, INSUL SHFT, ROT, INSUL HNDL, RATCH, SATIN FINISH, SPIN CHECK, SS, NS, SNOWDEN-PENCER, LTX</t>
  </si>
  <si>
    <t>GRASPER, ENDOSCP, BABCOCK, 5 MMX35 CM, DBL ACT, SNOWDEN-PENCER</t>
  </si>
  <si>
    <t>FORCEPS</t>
  </si>
  <si>
    <t>https://www.bd.com/en-us/offerings/capabilities/surgical-instruments/laparoscopic-instruments/babcock-grasper/la8234, https://accessgudid.nlm.nih.gov/devices/10885403053214</t>
  </si>
  <si>
    <t>CA1570</t>
  </si>
  <si>
    <t>BD_CA1570</t>
  </si>
  <si>
    <t>BABCOCK TISSUE HOLDING FORCEPS LARGE JAW</t>
  </si>
  <si>
    <t>PRODIGO1056445</t>
  </si>
  <si>
    <t>Babcock Tissue Holding Forceps Affinity Line. Large jaw. Overall length 9-1/2in (24.1cm)</t>
  </si>
  <si>
    <t>FORCEP, SURGICAL, BABCOCK, 9.5 IN, TISSUE, HOLDING, AFFINITY LINE, LARGE JAW, NON STERILE, LATEX</t>
  </si>
  <si>
    <t>FORCEP, SURG, BABCOCK, 9.5 IN, TISS, HOLDING, AFFIN LN, LG JAW, NS, LTX</t>
  </si>
  <si>
    <t>FORCEP, SURG, BABCOCK, 9.5 IN, TISS, HOLDING, AFFIN LN, LG JAW, NS</t>
  </si>
  <si>
    <t>9.5 IN</t>
  </si>
  <si>
    <t>HOLDING, AFFINITY LINE, LARGE JAW</t>
  </si>
  <si>
    <t>https://www.bd.com/en-us/products-and-solutions/products/product-page.CA1570#overview, https://accessgudid.nlm.nih.gov/devices/10885403018053</t>
  </si>
  <si>
    <t>CA1571</t>
  </si>
  <si>
    <t>BD_CA1571</t>
  </si>
  <si>
    <t>BABCOCK TISSUE HOLDING FORCEPS MED JAW</t>
  </si>
  <si>
    <t>PRODIGO1056446</t>
  </si>
  <si>
    <t>Babcock Tissue Holding Forceps Affinity Line. Medium jaw. Overall length 9-1/2in (24.1cm)</t>
  </si>
  <si>
    <t>FORCEP, SURGICAL, BABCOCK, 9.5 IN, TISSUE, HOLDING, AFFINITY LINE, MEDIUM JAW, NON STERILE, LATEX</t>
  </si>
  <si>
    <t>FORCEP, SURG, BABCOCK, 9.5 IN, TISS, HOLDING, AFFIN LN, MED JAW, NS, LTX</t>
  </si>
  <si>
    <t>FORCEP, SURG, BABCOCK, 9.5 IN, TISS, HOLDING, AFFIN LN, MED JAW, NS</t>
  </si>
  <si>
    <t>HOLDING, AFFINITY LINE, MEDIUM JAW</t>
  </si>
  <si>
    <t>https://www.bd.com/en-us/products-and-solutions/products/product-page.CA1571#overview, https://accessgudid.nlm.nih.gov/devices/10885403018060</t>
  </si>
  <si>
    <t>CHJ</t>
  </si>
  <si>
    <t>CH7288</t>
  </si>
  <si>
    <t>BD_CH7288</t>
  </si>
  <si>
    <t>BAILEY AORTIC CLAMP ANG SHAFT LG JAW</t>
  </si>
  <si>
    <t>PRODIGO1057139</t>
  </si>
  <si>
    <t>BAILEY Aortic Clamps Angled shafts Small jaws length 2-1/8in (54mm) depth 11mm.
Overall length 9-3/4in (24.7cm).</t>
  </si>
  <si>
    <t>CLAMP, SURGICAL, BAILEY, SMALL, 9.75 IN, 2-1/8 INX11 MM, AORTA, ANGLED SHAFT, JAW, NON STERILE, LATEX</t>
  </si>
  <si>
    <t>CLAMP, SURG, BAILEY, SM, 9.75 IN, 2-1/8 INX11 MM, AORT, ANGLED SHFT, JAW, NS, LTX</t>
  </si>
  <si>
    <t>CLAMP, SURG, BAILEY, SM, 9.75 IN, 2-1/8 INX11 MM, AORT, ANGLED SHFT</t>
  </si>
  <si>
    <t>BAILEY</t>
  </si>
  <si>
    <t>SMALL</t>
  </si>
  <si>
    <t>9.75 IN</t>
  </si>
  <si>
    <t>2-1/8 INX11 MM</t>
  </si>
  <si>
    <t>AORTA</t>
  </si>
  <si>
    <t>ANGLED SHAFT, JAW</t>
  </si>
  <si>
    <t>http://www.lt-technologies.de/_ws/mediabase/_ts_1494230442000/Downloads/CardioCatalog_LIT12012_low-res.pdf, https://accessgudid.nlm.nih.gov/devices/10885403032882</t>
  </si>
  <si>
    <t>CH7284</t>
  </si>
  <si>
    <t>BD_CH7284</t>
  </si>
  <si>
    <t>BAILEY AORTIC CLAMP ANG SHAFT XSM JW 8IN</t>
  </si>
  <si>
    <t>PRODIGO1057138</t>
  </si>
  <si>
    <t>BAILEY Aortic Clamps Angled shafts Extra small jaws length 1-1/8in (29mm)
depth 8mm. Overall length 8in (20.3cm).</t>
  </si>
  <si>
    <t>CLAMP, SURGICAL, BAILEY, XSMALL, 8 IN, 1-1/8 IN X8 MM, AORTA, ANGLED SHAFT, JAW, NON STERILE, LATEX</t>
  </si>
  <si>
    <t>CLAMP, SURG, BAILEY, XS, 8 IN, 1-1/8 IN X8 MM, AORT, ANGLED SHFT, JAW, NS, LTX</t>
  </si>
  <si>
    <t>CLAMP, SURG, BAILEY, XS, 8 IN, 1-1/8 IN X8 MM, AORT, ANGLED SHFT</t>
  </si>
  <si>
    <t>XSMALL</t>
  </si>
  <si>
    <t>1-1/8 IN X8 MM</t>
  </si>
  <si>
    <t>http://www.lt-technologies.de/_ws/mediabase/_ts_1494230442000/Downloads/CardioCatalog_LIT12012_low-res.pdf, https://accessgudid.nlm.nih.gov/devices/10885403032868</t>
  </si>
  <si>
    <t>CH1355</t>
  </si>
  <si>
    <t>BD_CH1355</t>
  </si>
  <si>
    <t>BAILEY-GIBBON RIB CONTR ARM 2IN(5.1CM)</t>
  </si>
  <si>
    <t>PRODIGO1056710</t>
  </si>
  <si>
    <t>BAILEY GIBBON Rib Contractor</t>
  </si>
  <si>
    <t>RETRACTOR, SURGICAL, BAILEY-GIBBON, 6.5 IN, 2 IN, RIB, CONTRACTOR, LONG ARM, NON STERILE, LATEX</t>
  </si>
  <si>
    <t>RETRACTOR, SURG, BAILEY-GIBBON, 6.5 IN, 2 IN, RIB, CNTRCT, LNG ARM, NS, LTX</t>
  </si>
  <si>
    <t>RETRACTOR, SURG, BAILEY-GIBBON, 6.5 IN, 2 IN, RIB, CNTRCT, LNG ARM</t>
  </si>
  <si>
    <t>BAILEY-GIBBON</t>
  </si>
  <si>
    <t>6.5 IN</t>
  </si>
  <si>
    <t>2 IN</t>
  </si>
  <si>
    <t>RIB</t>
  </si>
  <si>
    <t>CONTRACTOR, LONG ARM</t>
  </si>
  <si>
    <t>http://www.lt-technologies.de/_ws/mediabase/_ts_1494230442000/Downloads/CardioCatalog_LIT12012_low-res.pdf, https://accessgudid.nlm.nih.gov/devices/10885403023743</t>
  </si>
  <si>
    <t>CH6099</t>
  </si>
  <si>
    <t>BD_CH6099</t>
  </si>
  <si>
    <t>BAKEY RING-HNDL BULLDOG CVD JAW CVD</t>
  </si>
  <si>
    <t>PRODIGO1056991</t>
  </si>
  <si>
    <t>DEBAKEY BULLDOG CLAMP SURGICAL 5 IN 4.5 CM CURVED JAW, RING HANDLE</t>
  </si>
  <si>
    <t>CLAMP, SURGICAL, DEBAKEY BULLDOG, 5 IN, 4.5 CM, CURVED JAW, RING HANDLE, NON STERILE, LATEX</t>
  </si>
  <si>
    <t>CLAMP, SURG, DEBAKEY BULLDOG, 5 IN, 4.5 CM, CRV JAW, RNG HNDL, NS, LTX</t>
  </si>
  <si>
    <t>CLAMP, SURG, DEBAKEY BULLDOG, 5 IN, 4.5 CM, CRV JAW, RNG HNDL, NS</t>
  </si>
  <si>
    <t>DEBAKEY BULLDOG</t>
  </si>
  <si>
    <t>5 IN</t>
  </si>
  <si>
    <t>4.5 CM</t>
  </si>
  <si>
    <t>CURVED JAW, RING HANDLE</t>
  </si>
  <si>
    <t>http://www.megamedworld.com/wp-content/uploads/2019/03/VM_KVC-min.pdf, https://accessgudid.nlm.nih.gov/devices/10885403030314</t>
  </si>
  <si>
    <t>NL1279001</t>
  </si>
  <si>
    <t>NL1279-001</t>
  </si>
  <si>
    <t>BD_NL1279001</t>
  </si>
  <si>
    <t>BALL JOINT BLOCK F/HOLDING</t>
  </si>
  <si>
    <t>PRODIGO1058067</t>
  </si>
  <si>
    <t>42293139  Retractor accessories</t>
  </si>
  <si>
    <t>BLOCK, RETRACTOR, BALL JOINT, 28 MM, FOR HOLDING, STAINLESS STEEL, NON STERILE, LATEX</t>
  </si>
  <si>
    <t>BLOCK RETRACTOR BALL JOINT 28 MM FOR HOLDING STAINLESS STEEL NON STERILE LATEX</t>
  </si>
  <si>
    <t>BLOCK, RETRACTOR, BALL JT, 28 MM, FOR HOLDING, SS, NS, LTX</t>
  </si>
  <si>
    <t>BLOCK</t>
  </si>
  <si>
    <t>BALL JOINT</t>
  </si>
  <si>
    <t>28 MM</t>
  </si>
  <si>
    <t>FOR HOLDING</t>
  </si>
  <si>
    <t>https://www.bd.com/en-us/products-and-solutions/products/product-page.nl1279-001#overview, https://accessgudid.nlm.nih.gov/devices</t>
  </si>
  <si>
    <t>MO1760MM</t>
  </si>
  <si>
    <t>MO1760-MM</t>
  </si>
  <si>
    <t>BD_MO1760MM</t>
  </si>
  <si>
    <t>BALLENGER FORCEPS STR SERR BRITE 7IN</t>
  </si>
  <si>
    <t>PRODIGO1057916</t>
  </si>
  <si>
    <t>BALLENGER SPONGE HOLDING FORCEPS STRAIGHT. OVERALL LENGTH 7IN (17.8CM). MUELLER-MIRROR? FINISH.</t>
  </si>
  <si>
    <t>FORCEP, SURGICAL, BALLENGER, 7 IN, SPONGE HOLDING, STRAIGHT, MIRROR FINISH, RING HANDLE, SERRATED BRITE, NON STERILE, LATEX</t>
  </si>
  <si>
    <t>FORCEP, SURG, BALLENGER, 7 IN, SPNG HOLDING, STR, MIRROR FINISH, RNG HNDL, SERRATED BRT, NS, LTX</t>
  </si>
  <si>
    <t>FORCEP, SURG, BALLENGER, 7 IN, SPNG HOLDING, STR, MIRROR FINISH</t>
  </si>
  <si>
    <t>BALLENGER</t>
  </si>
  <si>
    <t>7 IN</t>
  </si>
  <si>
    <t>SPONGE HOLDING, STRAIGHT, MIRROR FINISH, RING HANDLE, SERRATED BRITE</t>
  </si>
  <si>
    <t>https://www.bd.com/en-us/products-and-solutions/products/product-page.MO1760-MM#overview, https://accessgudid.nlm.nih.gov/devices/10885403059018</t>
  </si>
  <si>
    <t>MO1750</t>
  </si>
  <si>
    <t>BD_MO1750</t>
  </si>
  <si>
    <t>BALLENGER SPONGE FORCEPS STR SMTH JW 7IN</t>
  </si>
  <si>
    <t>PRODIGO1057915</t>
  </si>
  <si>
    <t>BALLENGER SPONGE HOLDING FORCEPS STRAIGHT. OVERALL LENGTH 7IN (17.8CM). SMOOTH LOOP JAWS.</t>
  </si>
  <si>
    <t>FORCEP, SURGICAL, BALLENGER, 7 IN, SPONGE HOLDING, STRAIGHT, SMOOTH LOOP JAW, DOUBLE ACTION, RING HANDLE, NON STERILE, LATEX</t>
  </si>
  <si>
    <t>FORCEP, SURG, BALLENGER, 7 IN, SPNG HOLDING, STR, SMOOTH LOOP JAW, DBL ACT, RNG HNDL, NS, LTX</t>
  </si>
  <si>
    <t>FORCEP, SURG, BALLENGER, 7 IN, SPNG HOLDING, STR, DBL ACT, RNG HNDL</t>
  </si>
  <si>
    <t>SPONGE HOLDING, STRAIGHT, SMOOTH LOOP JAW, DOUBLE ACTION, RING HANDLE</t>
  </si>
  <si>
    <t>https://www.bd.com/en-us/products-and-solutions/products/product-page.mo1750#overview, https://accessgudid.nlm.nih.gov/devices/10885403058950</t>
  </si>
  <si>
    <t>MA1780</t>
  </si>
  <si>
    <t>BD_MA1780</t>
  </si>
  <si>
    <t>BALLENGER SPONGE HOLDING FORCEP CVD SERR</t>
  </si>
  <si>
    <t>PRODIGO1057851</t>
  </si>
  <si>
    <t>BALLENGER SPONGE HOLDING FORCEPS AFFINITY LINE. CURVED. SERRATED. OVERALL LENGTH 7IN (17.8CM).</t>
  </si>
  <si>
    <t>FORCEP, SURGICAL, BALLENGER, 7 IN, SPONGE HOLDING, AFFINITY LINE, CURVED, SERRATED, NON STERILE, LATEX</t>
  </si>
  <si>
    <t>FORCEP, SURG, BALLENGER, 7 IN, SPNG HOLDING, AFFIN LN, CRV, SERRATED, NS, LTX</t>
  </si>
  <si>
    <t>FORCEP, SURG, BALLENGER, 7 IN, SPNG HOLDING, AFFIN LN, SERRATED</t>
  </si>
  <si>
    <t>SPONGE HOLDING, AFFINITY LINE, CURVED, SERRATED</t>
  </si>
  <si>
    <t>https://www.bd.com/en-us/products-and-solutions/products/product-page.MA1780#overview, https://accessgudid.nlm.nih.gov/devices/10885403056512</t>
  </si>
  <si>
    <t>GA3121</t>
  </si>
  <si>
    <t>BD_GA3121</t>
  </si>
  <si>
    <t>BALLENTINE HYSTERECTOMY FORCEPS STR</t>
  </si>
  <si>
    <t>PRODIGO1057336</t>
  </si>
  <si>
    <t>Ballentine Hysterectomy Forceps Affinity Line. Overall length 8-1/2in (21.6cm).</t>
  </si>
  <si>
    <t>FORCEP, SURGICAL, BALLENTINE, 8.5 IN, HYSTERECTOMY, AFFINITY LINE, STRAIGHT, NON STERILE, LATEX</t>
  </si>
  <si>
    <t>FORCEP, SURG, BALLENTINE, 8.5 IN, HYS, AFFIN LN, STR, NS, LTX</t>
  </si>
  <si>
    <t>BALLENTINE</t>
  </si>
  <si>
    <t>HYSTERECTOMY, AFFINITY LINE, STRAIGHT</t>
  </si>
  <si>
    <t>https://www.bd.com/en-us/products-and-solutions/products/product-page.GA3121#specifications, https://accessgudid.nlm.nih.gov/devices/10885403042546</t>
  </si>
  <si>
    <t>GL860</t>
  </si>
  <si>
    <t>BD_GL860</t>
  </si>
  <si>
    <t>BARRETT UTERINE TENACULUM FORCEPS STR</t>
  </si>
  <si>
    <t>PRODIGO1057544</t>
  </si>
  <si>
    <t>Barrett uterine tenaculum forceps Straight. Overall length 7-1/8in (18.1cm).</t>
  </si>
  <si>
    <t>FORCEP, SURGICAL, BARRETT, 7-1/8 IN, UTERINE, TENACULUM, STRAIGHT, RING HANDLE, NON STERILE, LATEX</t>
  </si>
  <si>
    <t>FORCEP, SURG, BARRETT, 7-1/8 IN, UTER, TENAC, STR, RNG HNDL, NS, LTX</t>
  </si>
  <si>
    <t>BARRETT</t>
  </si>
  <si>
    <t>TENACULUM, STRAIGHT, RING HANDLE</t>
  </si>
  <si>
    <t>https://www.bd.com/en-us/products-and-solutions/products/product-page.GL860#overview, https://accessgudid.nlm.nih.gov/devices/10885403043710</t>
  </si>
  <si>
    <t>AA6790</t>
  </si>
  <si>
    <t>BD_AA6790</t>
  </si>
  <si>
    <t>BEYER RONGEUR FORCEPS DBL-ACT BITE 5MMW</t>
  </si>
  <si>
    <t>PRODIGO1056110</t>
  </si>
  <si>
    <t>BEYER RONGEUR FORCEPS AFFINITY LINE. DOUBLE-ACTION. BITE 5MM WIDE. OVERALL LENGTH 6-7/8IN (17.5CM).</t>
  </si>
  <si>
    <t>FORCEP, SURGICAL, BEYER, 6-7/8 IN, 5 MM, RONGEUR, DOUBLE ACTION BITE, NON STERILE, LATEX</t>
  </si>
  <si>
    <t>FORCEP, SURG, BEYER, 6-7/8 IN, 5 MM, RONGEUR, DBL ACT BITE, NS, LTX</t>
  </si>
  <si>
    <t>BEYER</t>
  </si>
  <si>
    <t>6-7/8 IN</t>
  </si>
  <si>
    <t>5 MM</t>
  </si>
  <si>
    <t>RONGEUR, DOUBLE ACTION BITE</t>
  </si>
  <si>
    <t>https://www.bd.com/en-us/products-and-solutions/products/product-page.AA6790#overview, https://accessgudid.nlm.nih.gov/devices/10885403007248</t>
  </si>
  <si>
    <t>GL5600</t>
  </si>
  <si>
    <t>BD_GL5600</t>
  </si>
  <si>
    <t>BILL TRACTION HANDLE</t>
  </si>
  <si>
    <t>PRODIGO1057524</t>
  </si>
  <si>
    <t>42293503  Surgical vacuum extraction devices or curettes or related products</t>
  </si>
  <si>
    <t>Bill traction handle</t>
  </si>
  <si>
    <t>HANDLE, TRACTION, BILL, NON STERILE, LATEX</t>
  </si>
  <si>
    <t>HANDLE, TRACTION, BILL, NS, LTX</t>
  </si>
  <si>
    <t>TRACTION</t>
  </si>
  <si>
    <t>BILL</t>
  </si>
  <si>
    <t>https://www.bd.com/en-us/products-and-solutions/products/product-page.GL5600#overview, https://accessgudid.nlm.nih.gov/devices/10885403046964</t>
  </si>
  <si>
    <t>AA5611</t>
  </si>
  <si>
    <t>BD_AA5611</t>
  </si>
  <si>
    <t>BILLEAU EAR LOOP OVAL FLEXIBLE LOOP MED</t>
  </si>
  <si>
    <t>PRODIGO1056101</t>
  </si>
  <si>
    <t>42291607  Surgical curettes or loops or curette sets</t>
  </si>
  <si>
    <t>BILLEAU EAR LOOP AFFINITY LINE. MEDIUM OVAL FLEXIBLE.</t>
  </si>
  <si>
    <t>LOOP, SURGICAL, BILLEAU, MEDIUM, EAR, OVAL, FLEXIBLE, NON STERILE, LATEX</t>
  </si>
  <si>
    <t>LOOP, SURG, BILLEAU, MED, EAR, OVL, FLX, NS, LTX</t>
  </si>
  <si>
    <t>LOOP</t>
  </si>
  <si>
    <t>BILLEAU</t>
  </si>
  <si>
    <t>MEDIUM</t>
  </si>
  <si>
    <t>EAR</t>
  </si>
  <si>
    <t>OVAL, FLEXIBLE</t>
  </si>
  <si>
    <t>https://www.bd.com/en-us/products-and-solutions/products/product-page.AA5611#overview, https://accessgudid.nlm.nih.gov/devices/10885403007132</t>
  </si>
  <si>
    <t>AU5610001</t>
  </si>
  <si>
    <t>AU5610-001</t>
  </si>
  <si>
    <t>BD_AU5610001</t>
  </si>
  <si>
    <t>BILLEAU EAR LOOP SM 5.4X3.9MM NYLON COAT</t>
  </si>
  <si>
    <t>PRODIGO1056350</t>
  </si>
  <si>
    <t>BILLEAU EAR LOOPS OVAL FLEXIBLE LOOP. MATTE MIRROR AND SATIN FINISH. OVERALL LENGTH 7IN (17.5CM). SMALL TEFLON COATED. 5.4MM X 3.9MM.</t>
  </si>
  <si>
    <t>LOOP, SURGICAL, BILLEAU, SMALL, 7 IN, 5.4X3.9 MM, EAR, OVAL, FLEXIBLE, MATTE, MIRROR, SATIN FINISH, TEFLON COATED, NYLON, NON STERILE, LATEX</t>
  </si>
  <si>
    <t>LOOP, SURG, BILLEAU, SM, 7 IN, 5.4X3.9 MM, EAR, OVL, FLX, MATTE, MIRROR, SATIN FINISH, TEF COAT, NYL, NS, LTX</t>
  </si>
  <si>
    <t>LOOP, SURG, BILLEAU, SM, 7 IN, 5.4X3.9 MM, OVL, FLX, MATTE, MIRROR</t>
  </si>
  <si>
    <t>5.4X3.9 MM</t>
  </si>
  <si>
    <t>OVAL, FLEXIBLE, MATTE, MIRROR, SATIN FINISH</t>
  </si>
  <si>
    <t>TEFLON COATED, NYLON</t>
  </si>
  <si>
    <t>https://www.bd.com/en-us/products-and-solutions/products/product-page.AU5610-001#overview, https://accessgudid.nlm.nih.gov/devices/10885403008443</t>
  </si>
  <si>
    <t>LAT0536BC</t>
  </si>
  <si>
    <t>LAT-0536-BC</t>
  </si>
  <si>
    <t>BD_LAT0536BC</t>
  </si>
  <si>
    <t>BIOPSY CUP D/A INSERT 5MM 36CM</t>
  </si>
  <si>
    <t>PRODIGO1057779</t>
  </si>
  <si>
    <t>Snowden-pencer Grasper 5 Mmx36 Cm Biopsy Double Action Cup Insert Insulated Handle Shaft Aluminum Non Sterile Latex</t>
  </si>
  <si>
    <t>GRASPER, ENDOSCOPIC, BIOPSY, 5 MMX36 CM, DOUBLE ACTION, CUP, INSERT, INSULATED HANDLE SHAFT, ALUMINUM, NON STERILE, SNOWDEN-PENCER, LATEX</t>
  </si>
  <si>
    <t>GRASPER, ENDOSCP, BX, 5 MMX36 CM, DBL ACT, CUP, INSRT, INSUL HNDL SHFT, ALUM, NS, SNOWDEN-PENCER, LTX</t>
  </si>
  <si>
    <t>GRASPER, ENDOSCP, BX, 5 MMX36 CM, DBL ACT, ALUM, SNOWDEN-PENCER</t>
  </si>
  <si>
    <t>BIOPSY</t>
  </si>
  <si>
    <t>DOUBLE ACTION, CUP, INSERT, INSULATED HANDLE SHAFT</t>
  </si>
  <si>
    <t>ALUMINUM</t>
  </si>
  <si>
    <t>https://www.bd.com/en-us/products-and-solutions/products/product-page.lat-0536-bc#overview, https://accessgudid.nlm.nih.gov/devices/10885403430350</t>
  </si>
  <si>
    <t>LAT0545BC</t>
  </si>
  <si>
    <t>LAT-0545-BC</t>
  </si>
  <si>
    <t>BD_LAT0545BC</t>
  </si>
  <si>
    <t>BIOPSY CUP D/A INSERT 5MM 45CM</t>
  </si>
  <si>
    <t>PRODIGO1057815</t>
  </si>
  <si>
    <t>BIOPSY CUP GRASPER 5MM 45CM</t>
  </si>
  <si>
    <t>CUP, BIOPSY, GRASPER, 5X45 MM, DOUBLE ACTION INSERT, INSULATED HANDLE, INSULATED SHAFT, NON STERILE, LATEX</t>
  </si>
  <si>
    <t>CUP BIOPSY GRASPER 5X45 MM DOUBLE ACTION INSERT INSULATED HANDLE INSULATED SHAFT NON STERILE LATEX</t>
  </si>
  <si>
    <t>CUP, BX, GRASPER, 5 MMX45 CM, DBL ACT INSRT, INSUL HNDL, INSUL SHFT</t>
  </si>
  <si>
    <t>CUP, BX, GRASPER, 5 MMX45 CM, DBL ACT INSRT, INSUL HNDL</t>
  </si>
  <si>
    <t>CUP</t>
  </si>
  <si>
    <t>DOUBLE ACTION INSERT, INSULATED HANDLE, INSULATED SHAFT</t>
  </si>
  <si>
    <t>https://www.bd.com/en-us/products-and-solutions/products/product-print-page.lat-0545-bc, https://accessgudid.nlm.nih.gov/devices</t>
  </si>
  <si>
    <t>LAT0321BCT</t>
  </si>
  <si>
    <t>LAT-0321-BCT</t>
  </si>
  <si>
    <t>BD_LAT0321BCT</t>
  </si>
  <si>
    <t>BIOPSY CUP W/ THORN D/A INSERT 3MM 21CM</t>
  </si>
  <si>
    <t>PRODIGO1057770</t>
  </si>
  <si>
    <t>Grasper 3 Mmx21 Cm Biopsy Double Action Cup Thorn Insert Insulated Handle Shaft Non Sterile Latex</t>
  </si>
  <si>
    <t>GRASPER, ENDOSCOPIC, BIOPSY, 3 MMX21 CM, DOUBLE ACTION, CUP, THORN, INSERT, INSULATED HANDLE SHAFT, NON STERILE, LATEX</t>
  </si>
  <si>
    <t>GRASPER, ENDOSCP, BX, 3 MMX21 CM, DBL ACT, CUP, THORN, INSRT, INSUL HNDL SHFT, NS, LTX</t>
  </si>
  <si>
    <t>GRASPER, ENDOSCP, BX, 3 MMX21 CM, DBL ACT, CUP, THORN, INSUL HNDL</t>
  </si>
  <si>
    <t>3 MMX21 CM</t>
  </si>
  <si>
    <t>DOUBLE ACTION, CUP, THORN, INSERT, INSULATED HANDLE SHAFT</t>
  </si>
  <si>
    <t>https://www.bd.com/en-us/products-and-solutions/products/product-page.LAT-0321-BCT#overview, https://accessgudid.nlm.nih.gov/devices/10885403430374</t>
  </si>
  <si>
    <t>LAT0536BCT</t>
  </si>
  <si>
    <t>LAT-0536-BCT</t>
  </si>
  <si>
    <t>BD_LAT0536BCT</t>
  </si>
  <si>
    <t>BIOPSY CUP W/ THORN D/A INSERT 5MM 36CM</t>
  </si>
  <si>
    <t>PRODIGO1057780</t>
  </si>
  <si>
    <t>Snowden-pencer Grasper 5 Mmx36 Cm Biopsy Double Action Cup Thorn Insert Insulated Handle Shaft Non Sterile Latex</t>
  </si>
  <si>
    <t>GRASPER, ENDOSCOPIC, BIOPSY, 5 MMX36 CM, DOUBLE ACTION, CUP, THORN, INSERT, INSULATED HANDLE SHAFT, NON STERILE, SNOWDEN-PENCER, LATEX</t>
  </si>
  <si>
    <t>GRASPER, ENDOSCP, BX, 5 MMX36 CM, DBL ACT, CUP, THORN, INSRT, INSUL HNDL SHFT, NS, SNOWDEN-PENCER, LTX</t>
  </si>
  <si>
    <t>GRASPER, ENDOSCP, BX, 5 MMX36 CM, DBL ACT, THORN, SNOWDEN-PENCER</t>
  </si>
  <si>
    <t>https://www.bd.com/en-us/products-and-solutions/products/product-page.lat-0536-bct#overview, https://accessgudid.nlm.nih.gov/devices/10885403430398</t>
  </si>
  <si>
    <t>LAT0545BCT</t>
  </si>
  <si>
    <t>LAT-0545-BCT</t>
  </si>
  <si>
    <t>BD_LAT0545BCT</t>
  </si>
  <si>
    <t>BIOPSY CUP W/ THORN D/A INSERT 5MM 45CM</t>
  </si>
  <si>
    <t>PRODIGO1057816</t>
  </si>
  <si>
    <t>BIOPSY CUP WITH THORN GRASPER</t>
  </si>
  <si>
    <t>CUP, BIOPSY, GRASPER, 5X45 MM, THORN, DOUBLE ACTION INSERT, NON STERILE, LATEX</t>
  </si>
  <si>
    <t>CUP BIOPSY GRASPER 5X45 MM THORN DOUBLE ACTION INSERT NON STERILE LATEX</t>
  </si>
  <si>
    <t>CUP, BX, GRASPER, 5 MMX45 CM, THORN, DBL ACT INSRT, NS, LTX</t>
  </si>
  <si>
    <t>THORN, DOUBLE ACTION INSERT</t>
  </si>
  <si>
    <t>https://www.bd.com/en-us/products-and-solutions/products/product-page.lat-0545-bct, https://accessgudid.nlm.nih.gov/devices</t>
  </si>
  <si>
    <t>LAT0536BP</t>
  </si>
  <si>
    <t>LAT-0536-BP</t>
  </si>
  <si>
    <t>BD_LAT0536BP</t>
  </si>
  <si>
    <t>BIOPSY PUNCH S/A INSERT 5MM 36CM</t>
  </si>
  <si>
    <t>PRODIGO1057783</t>
  </si>
  <si>
    <t>Snowden-pencer Grasper 5 Mmx36 Cm Biopsy Single Action Punch Insert Insulated Handle Shaft Non Sterile Latex</t>
  </si>
  <si>
    <t>GRASPER, ENDOSCOPIC, BIOPSY, 5 MMX36 CM, SINGLE ACTION, PUNCH, INSERT, INSULATED HANDLE SHAFT, NON STERILE, SNOWDEN-PENCER, LATEX</t>
  </si>
  <si>
    <t>GRASPER, ENDOSCP, BX, 5 MMX36 CM, SINGLE ACT, PNCH, INSRT, INSUL HNDL SHFT, NS, SNOWDEN-PENCER, LTX</t>
  </si>
  <si>
    <t>GRASPER, ENDOSCP, BX, 5 MMX36 CM, SINGLE ACT, PNCH, SNOWDEN-PENCER</t>
  </si>
  <si>
    <t>SINGLE ACTION, PUNCH, INSERT, INSULATED HANDLE SHAFT</t>
  </si>
  <si>
    <t>https://www.bd.com/en-us/products-and-solutions/products/product-page.lat-0536-bp#overview, https://accessgudid.nlm.nih.gov/devices/10885403431029</t>
  </si>
  <si>
    <t>LA8247</t>
  </si>
  <si>
    <t>BD_LA8247</t>
  </si>
  <si>
    <t>BIOPSY PUNCH SERRATED 5MM 35CM</t>
  </si>
  <si>
    <t>PRODIGO1057721</t>
  </si>
  <si>
    <t>42294925  Endoscopic needles or punches</t>
  </si>
  <si>
    <t>Punch 5 Mmx35 Cm Kerrison Biopsy Single Action Lower Serrated Jaw Insulated Shaft Non Rotation Insulated Handle Non Ratchet Satin Finish Stainless Steel Non Sterile Latex</t>
  </si>
  <si>
    <t>PUNCH, ENDOSCOPIC, KERRISON, 5 MMX35 CM, BIOPSY, SINGLE ACTION, LOWER SERRATED JAW, INSULATED SHAFT, NON ROTATION, INSULATED HANDLE, NON RATCHET, SATIN FINISH, STAINLESS STEEL, NON STERILE, LATEX</t>
  </si>
  <si>
    <t>PUNCH, ENDOSCP, KERRISON, 5 MMX35 CM, BX, SINGLE ACT, LOWER SERRATED JAW, INSUL SHFT, N ROT, INSUL HNDL, N RATCH, SATIN FINISH, SS, NS, LTX</t>
  </si>
  <si>
    <t>PUNCH, ENDOSCP, KERRISON, 5 MMX35 CM, BX, SINGLE ACT, LOWER JAW</t>
  </si>
  <si>
    <t>PUNCH</t>
  </si>
  <si>
    <t>KERRISON</t>
  </si>
  <si>
    <t>BIOPSY, SINGLE ACTION, LOWER SERRATED JAW, INSULATED SHAFT, NON ROTATION, INSULATED HANDLE, NON RATCHET, SATIN FINISH</t>
  </si>
  <si>
    <t>https://www.bd.com/en-us/offerings/capabilities/surgical-instruments/laparoscopic-instruments/serrated-biopsy-punch/la8247, https://accessgudid.nlm.nih.gov/devices/10885403053443</t>
  </si>
  <si>
    <t>LA824745</t>
  </si>
  <si>
    <t>LA8247-45</t>
  </si>
  <si>
    <t>BD_LA824745</t>
  </si>
  <si>
    <t>BIOPSY PUNCH SERRATED 5MM 45CM</t>
  </si>
  <si>
    <t>PRODIGO1057722</t>
  </si>
  <si>
    <t>Punch 5 Mmx45 Cm Kerrison Biopsy Single Action Lower Serrated Jaw Insulated Shaft Non Rotation Insulated Handle Non Ratchet Satin Finish Stainless Steel Non Sterile Latex</t>
  </si>
  <si>
    <t>PUNCH, ENDOSCOPIC, KERRISON, 5 MMX45 CM, BIOPSY, SINGLE ACTION, LOWER SERRATED JAW, INSULATED SHAFT, NON ROTATION, INSULATED HANDLE, NON RATCHET, SATIN FINISH, STAINLESS STEEL, NON STERILE, LATEX</t>
  </si>
  <si>
    <t>PUNCH, ENDOSCP, KERRISON, 5 MMX45 CM, BX, SINGLE ACT, LOWER SERRATED JAW, INSUL SHFT, N ROT, INSUL HNDL, N RATCH, SATIN FINISH, SS, NS, LTX</t>
  </si>
  <si>
    <t>PUNCH, ENDOSCP, KERRISON, 5 MMX45 CM, BX, SINGLE ACT, LOWER JAW</t>
  </si>
  <si>
    <t>https://www.bd.com/en-us/offerings/capabilities/surgical-instruments/laparoscopic-instruments/serrated-biopsy-punch/la8247-45, https://accessgudid.nlm.nih.gov/devices/10885403053450</t>
  </si>
  <si>
    <t>MO282</t>
  </si>
  <si>
    <t>BD_MO282</t>
  </si>
  <si>
    <t>BLAIR ELEVATOR #3 SHRP CVD LATERAL 7-7/8</t>
  </si>
  <si>
    <t>PRODIGO1057931</t>
  </si>
  <si>
    <t>BLAIR ELEVATOR CURVED LATERALLY. NO. 3 SHARP. OVERALL LENGTH 7-7/8IN (20CM).</t>
  </si>
  <si>
    <t>ELEVATOR, SURGICAL, BLAIR, 3, 7-7/8 IN, CURVED LATERALLY, SHARP, NON STERILE, LATEX</t>
  </si>
  <si>
    <t>ELEVATOR, SURG, BLAIR, 3, 7-7/8 IN, CRV LATERALLY, SHRP, NS, LTX</t>
  </si>
  <si>
    <t>BLAIR</t>
  </si>
  <si>
    <t>7-7/8 IN</t>
  </si>
  <si>
    <t>CURVED LATERALLY, SHARP</t>
  </si>
  <si>
    <t>https://www.bd.com/en-us/products-and-solutions/products/product-page.mo282#overview, https://accessgudid.nlm.nih.gov/devices/10885403058387</t>
  </si>
  <si>
    <t>MO283</t>
  </si>
  <si>
    <t>BD_MO283</t>
  </si>
  <si>
    <t>BLAIR ELEVATOR #4 SHRP CVD LATERAL 7-7/8</t>
  </si>
  <si>
    <t>PRODIGO1057932</t>
  </si>
  <si>
    <t>BLAIR ELEVATOR CURVED LATERALLY. NO. 4 SHARP. OVERALL LENGTH 7-7/8IN (20CM).</t>
  </si>
  <si>
    <t>ELEVATOR, SURGICAL, BLAIR, 4, 7-7/8 IN, CURVED LATERALLY, SHARP, NON STERILE, LATEX</t>
  </si>
  <si>
    <t>ELEVATOR, SURG, BLAIR, 4, 7-7/8 IN, CRV LATERALLY, SHRP, NS, LTX</t>
  </si>
  <si>
    <t>https://www.bd.com/en-us/products-and-solutions/products/product-page.mo283#overview, https://accessgudid.nlm.nih.gov/devices/10885403058394</t>
  </si>
  <si>
    <t>AU6100</t>
  </si>
  <si>
    <t>BD_AU6100</t>
  </si>
  <si>
    <t>BLAKE EAR FORCEPS SMALL ANGLED SERR TIP</t>
  </si>
  <si>
    <t>PRODIGO1056357</t>
  </si>
  <si>
    <t>BLAKE EAR FORCEPS SMALL LIGHT DELICATE. ANGLED WITH SERRATED TIPS. MIRROR FINISH. OVERALL LENGTH 3-1/2IN (8.9CM).</t>
  </si>
  <si>
    <t>FORCEP, SURGICAL, BLAKE, SMALL, 3.5 IN, EAR, LIGHT, DELICATE, ANGLED, WITH SERRATED TIP, SATIN, MIRROR FINISH, SPRING HANDLE, NON STERILE, LATEX</t>
  </si>
  <si>
    <t>FORCEP, SURG, BLAK, SM, 3.5 IN, EAR, LIGHT, DEL, ANGLED, W/ SERRATED TIP, SATIN, MIRROR FINISH, SPRING HNDL, NS, LTX</t>
  </si>
  <si>
    <t>FORCEP, SURG, BLAK, SM, 3.5 IN, EAR, LIGHT, DEL, ANGLED, SERRATED TIP</t>
  </si>
  <si>
    <t>BLAKE</t>
  </si>
  <si>
    <t>3.5 IN</t>
  </si>
  <si>
    <t>LIGHT, DELICATE, ANGLED, WITH SERRATED TIP, SATIN, MIRROR FINISH, SPRING HANDLE</t>
  </si>
  <si>
    <t>https://www.bd.com/en-us/products-and-solutions/products/product-page.au6100#overview, https://accessgudid.nlm.nih.gov/devices/10885403008726</t>
  </si>
  <si>
    <t>LAT0536BG</t>
  </si>
  <si>
    <t>LAT-0536-BG</t>
  </si>
  <si>
    <t>BD_LAT0536BG</t>
  </si>
  <si>
    <t>BLUNT CUP GRASPER D/A INSERT 5MM 36CM</t>
  </si>
  <si>
    <t>PRODIGO1057781</t>
  </si>
  <si>
    <t>Snowden-pencer Grasper 5 Mmx36 Cm Double Action Blunt Cup Insert Insulated Handle Shaft Non Sterile Latex</t>
  </si>
  <si>
    <t>GRASPER, ENDOSCOPIC, 5 MMX36 CM, DOUBLE ACTION, BLUNT CUP, INSERT, INSULATED HANDLE SHAFT, NON STERILE, SNOWDEN-PENCER, LATEX</t>
  </si>
  <si>
    <t>GRASPER, ENDOSCP, 5 MMX36 CM, DBL ACT, BLNT CUP, INSRT, INSUL HNDL SHFT, NS, SNOWDEN-PENCER, LTX</t>
  </si>
  <si>
    <t>GRASPER, ENDOSCP, 5 MMX36 CM, DBL ACT, BLNT CUP, SNOWDEN-PENCER</t>
  </si>
  <si>
    <t>DOUBLE ACTION, BLUNT CUP, INSERT, INSULATED HANDLE SHAFT</t>
  </si>
  <si>
    <t>https://www.bd.com/en-us/products-and-solutions/products/product-page.lat-0536-bg#overview, https://accessgudid.nlm.nih.gov/devices/10885403431616</t>
  </si>
  <si>
    <t>LA8503</t>
  </si>
  <si>
    <t>BD_LA8503</t>
  </si>
  <si>
    <t>BLUNT NEEDLE ELECTRODE 33CM</t>
  </si>
  <si>
    <t>PRODIGO1057747</t>
  </si>
  <si>
    <t>42295104  Electrosurgical or electrocautery equipment</t>
  </si>
  <si>
    <t>A9279</t>
  </si>
  <si>
    <t>MONITORING FEATURE/DEVICE, STAND-ALONE OR INTEGRATED, ANY TYPE, INCLUDES ALL ACCESSORIES, COMPONENTS AND ELECTRONICS, NOT OTHERWISE CLASSIFIED</t>
  </si>
  <si>
    <t>Electrode 5 Mmx33 Cm Needle Blunt Suction No Valve Insulated Handle Shaft Satin Finish Stainless Steel Non Sterile Latex</t>
  </si>
  <si>
    <t>ELECTRODE, ELECTROSURGICAL, NEEDLE, 5 MMX33 CM, BLUNT, SUCTION, NO VALVE, INSULATED HANDLE SHAFT, SATIN FINISH, STAINLESS STEEL, NON STERILE, LATEX</t>
  </si>
  <si>
    <t>ELECTRODE, ELECSURG, NDL, 5 MMX33 CM, BLNT, SUCTION, NO VLV, INSUL HNDL SHFT, SATIN FINISH, SS, NS, LTX</t>
  </si>
  <si>
    <t>ELECTRODE, ELECSURG, NDL, 5 MMX33 CM, BLNT, NO VLV, INSUL SHFT</t>
  </si>
  <si>
    <t>ELECTRODE</t>
  </si>
  <si>
    <t>ELECTROSURGICAL</t>
  </si>
  <si>
    <t>5 MMX33 CM</t>
  </si>
  <si>
    <t>BLUNT, SUCTION, NO VALVE, INSULATED HANDLE SHAFT, SATIN FINISH</t>
  </si>
  <si>
    <t>https://www.bd.com/en-us/products-and-solutions/products/product-page.la8503#overview, https://accessgudid.nlm.nih.gov/devices/10885403053856</t>
  </si>
  <si>
    <t>LA8510</t>
  </si>
  <si>
    <t>BD_LA8510</t>
  </si>
  <si>
    <t>BLUNT NOSE ELECTRODE 33CM</t>
  </si>
  <si>
    <t>PRODIGO1057755</t>
  </si>
  <si>
    <t>Electrode 5 Mmx33 Cm Nose Blunt Suction No Valve Non Sterile Latex</t>
  </si>
  <si>
    <t>ELECTRODE, ELECTROSURGICAL, NOSE, 5 MMX33 CM, BLUNT, SUCTION, NO VALVE, NON STERILE, LATEX</t>
  </si>
  <si>
    <t>ELECTRODE, ELECSURG, NOSE, 5 MMX33 CM, BLNT, SUCTION, NO VLV, NS, LTX</t>
  </si>
  <si>
    <t>ELECTRODE, ELECSURG, NOSE, 5 MMX33 CM, BLNT, SUCTION, NO VLV, NS</t>
  </si>
  <si>
    <t>NOSE</t>
  </si>
  <si>
    <t>BLUNT, SUCTION, NO VALVE</t>
  </si>
  <si>
    <t>https://www.bd.com/en-us/products-and-solutions/products/product-page.LA8510#overview, https://accessgudid.nlm.nih.gov/devices/10885403053993</t>
  </si>
  <si>
    <t>LA851045</t>
  </si>
  <si>
    <t>LA8510-45</t>
  </si>
  <si>
    <t>BD_LA851045</t>
  </si>
  <si>
    <t>BLUNT NOSE ELECTRODE 45CM</t>
  </si>
  <si>
    <t>PRODIGO1057756</t>
  </si>
  <si>
    <t>Electrode 5 Mmx45 Cm Nose Blunt Suction No Valve Non Sterile Latex</t>
  </si>
  <si>
    <t>ELECTRODE, ELECTROSURGICAL, NOSE, 5 MMX45 CM, BLUNT, SUCTION, NO VALVE, NON STERILE, LATEX</t>
  </si>
  <si>
    <t>ELECTRODE, ELECSURG, NOSE, 5 MMX45 CM, BLNT, SUCTION, NO VLV, NS, LTX</t>
  </si>
  <si>
    <t>ELECTRODE, ELECSURG, NOSE, 5 MMX45 CM, BLNT, SUCTION, NO VLV, NS</t>
  </si>
  <si>
    <t>https://www.bd.com/en-us/products-and-solutions/products/product-page.LA8510-45#overview, https://accessgudid.nlm.nih.gov/devices/10885403054006</t>
  </si>
  <si>
    <t>LA8526</t>
  </si>
  <si>
    <t>BD_LA8526</t>
  </si>
  <si>
    <t>BLUNT NOSE SUCT ELECTRODE W/VLV 5MM 33CM</t>
  </si>
  <si>
    <t>PRODIGO1057766</t>
  </si>
  <si>
    <t>Electrode 5 Mmx33 Cm Nose Blunt Suction Valve Insulated Handle Shaft Satin Finish Stainless Steel Non Sterile Latex</t>
  </si>
  <si>
    <t>ELECTRODE, ELECTROSURGICAL, NOSE, 5 MMX33 CM, BLUNT, SUCTION, VALVE, INSULATED HANDLE SHAFT, SATIN FINISH, STAINLESS STEEL, NON STERILE, LATEX</t>
  </si>
  <si>
    <t>ELECTRODE, ELECSURG, NOSE, 5 MMX33 CM, BLNT, SUCTION, VLV, INSUL HNDL SHFT, SATIN FINISH, SS, NS, LTX</t>
  </si>
  <si>
    <t>ELECTRODE, ELECSURG, NOSE, 5 MMX33 CM, BLNT, VLV, INSUL HNDL</t>
  </si>
  <si>
    <t>BLUNT, SUCTION, VALVE, INSULATED HANDLE SHAFT, SATIN FINISH</t>
  </si>
  <si>
    <t>https://www.bd.com/en-us/products-and-solutions/products/product-page.LA8526#overview, https://accessgudid.nlm.nih.gov/devices/10885403054310</t>
  </si>
  <si>
    <t>LA852645</t>
  </si>
  <si>
    <t>LA8526-45</t>
  </si>
  <si>
    <t>BD_LA852645</t>
  </si>
  <si>
    <t>BLUNT NOSE SUCT ELECTRODE W/VLV 5MM 45CM</t>
  </si>
  <si>
    <t>PRODIGO1057767</t>
  </si>
  <si>
    <t>Electrode 5 Mmx45 Cm Nose Blunt Suction Valve Insulated Handle Shaft Satin Finish Stainless Steel Non Sterile Latex</t>
  </si>
  <si>
    <t>ELECTRODE, ELECTROSURGICAL, NOSE, 5 MMX45 CM, BLUNT, SUCTION, VALVE, INSULATED HANDLE SHAFT, SATIN FINISH, STAINLESS STEEL, NON STERILE, LATEX</t>
  </si>
  <si>
    <t>ELECTRODE, ELECSURG, NOSE, 5 MMX45 CM, BLNT, SUCTION, VLV, INSUL HNDL SHFT, SATIN FINISH, SS, NS, LTX</t>
  </si>
  <si>
    <t>ELECTRODE, ELECSURG, NOSE, 5 MMX45 CM, BLNT, VLV, INSUL HNDL</t>
  </si>
  <si>
    <t>https://www.bd.com/en-us/products-and-solutions/products/product-page.LA8526-45#overview, https://accessgudid.nlm.nih.gov/devices/10885403054327</t>
  </si>
  <si>
    <t>LA8518</t>
  </si>
  <si>
    <t>BD_LA8518</t>
  </si>
  <si>
    <t>BLUNT NOSE SUCTION ELECTRODE 5MM 33CM</t>
  </si>
  <si>
    <t>PRODIGO1057761</t>
  </si>
  <si>
    <t>Electrode 5 Mmx33 Cm Nose Blunt Suction No Valve Insulated Handle Shaft Satin Finish Stainless Steel Non Sterile Latex</t>
  </si>
  <si>
    <t>ELECTRODE, ELECTROSURGICAL, NOSE, 5 MMX33 CM, BLUNT, SUCTION, NO VALVE, INSULATED HANDLE SHAFT, SATIN FINISH, STAINLESS STEEL, NON STERILE, LATEX</t>
  </si>
  <si>
    <t>ELECTRODE, ELECSURG, NOSE, 5 MMX33 CM, BLNT, SUCTION, NO VLV, INSUL HNDL SHFT, SATIN FINISH, SS, NS, LTX</t>
  </si>
  <si>
    <t>ELECTRODE, ELECSURG, NOSE, 5 MMX33 CM, BLNT, NO VLV, INSUL SHFT</t>
  </si>
  <si>
    <t>https://www.bd.com/en-us/products-and-solutions/products/product-page.LA8518#overview, https://accessgudid.nlm.nih.gov/devices/10885403054150</t>
  </si>
  <si>
    <t>LA851845</t>
  </si>
  <si>
    <t>LA8518-45</t>
  </si>
  <si>
    <t>BD_LA851845</t>
  </si>
  <si>
    <t>BLUNT NOSE SUCTION ELECTRODE 5MM 45CM</t>
  </si>
  <si>
    <t>PRODIGO1057762</t>
  </si>
  <si>
    <t>Electrode 5 Mmx45 Cm Nose Blunt Suction No Valve Insulated Handle Shaft Satin Finish Stainless Steel Non Sterile Latex</t>
  </si>
  <si>
    <t>ELECTRODE, ELECTROSURGICAL, NOSE, 5 MMX45 CM, BLUNT, SUCTION, NO VALVE, INSULATED HANDLE SHAFT, SATIN FINISH, STAINLESS STEEL, NON STERILE, LATEX</t>
  </si>
  <si>
    <t>ELECTRODE, ELECSURG, NOSE, 5 MMX45 CM, BLNT, SUCTION, NO VLV, INSUL HNDL SHFT, SATIN FINISH, SS, NS, LTX</t>
  </si>
  <si>
    <t>ELECTRODE, ELECSURG, NOSE, 5 MMX45 CM, BLNT, NO VLV, INSUL SHFT</t>
  </si>
  <si>
    <t>https://www.bd.com/en-us/products-and-solutions/products/product-page.LA8518-45#overview, https://accessgudid.nlm.nih.gov/devices/10885403054167</t>
  </si>
  <si>
    <t>AU6795020</t>
  </si>
  <si>
    <t>AU6795-020</t>
  </si>
  <si>
    <t>BD_AU6795020</t>
  </si>
  <si>
    <t>BONE JOINT RONG 2MM CRVD RNG HNDL 5 3/4"</t>
  </si>
  <si>
    <t>PRODIGO1056381</t>
  </si>
  <si>
    <t>42291612  Surgical rongeurs</t>
  </si>
  <si>
    <t>BONE JOINT RONGEUR RING HANDLED. SLIGHTLY CURVED JAWS 2MM WIDE. OVERALL LENGTH 7-1/8IN (18.1CM)</t>
  </si>
  <si>
    <t>RONGEUR, SURGICAL, 7-1/8IN, 2 MM, BONE JOINT, RING HANDLED, SLIGHTLY CURVED JAWS, NON STERILE, LATEX</t>
  </si>
  <si>
    <t>RONGEUR, SURG, 7-1/8IN, 2 MM, BNE JT, RNG HNDL, SLIGHTLY CRV JAWS, NS, LTX</t>
  </si>
  <si>
    <t>RONGEUR, SURG, 7-1/8IN, 2 MM, BNE JT, RNG HNDL, SLIGHTLY CRV JAWS</t>
  </si>
  <si>
    <t>RONGEUR</t>
  </si>
  <si>
    <t>7-1/8IN</t>
  </si>
  <si>
    <t>BONE JOINT</t>
  </si>
  <si>
    <t>RING HANDLED, SLIGHTLY CURVED JAWS</t>
  </si>
  <si>
    <t>https://www.bd.com/en-us/products-and-solutions/products/product-page.AU6795-020#overview, https://accessgudid.nlm.nih.gov/devices/10885403199851</t>
  </si>
  <si>
    <t>MO40</t>
  </si>
  <si>
    <t>BD_MO40</t>
  </si>
  <si>
    <t>BOSWORTH TONGUE DEPRESSOR BLADE 1IN WIDE</t>
  </si>
  <si>
    <t>PRODIGO1057935</t>
  </si>
  <si>
    <t>42181501  Tongue depressors or blades or sticks</t>
  </si>
  <si>
    <t>BOSWORTH TONGUE DEPRESSOR BLADE 1IN (2.5CM) WIDE.</t>
  </si>
  <si>
    <t>DEPRESSOR, TONGUE, BOSWORTH, 1 IN, SATIN FINISH, STAINLESS STEEL, NON STERILE, LATEX</t>
  </si>
  <si>
    <t>DEPRESSOR, TNGE, BOSWORTH, 1 IN, SATIN FINISH, SS, NS, LTX</t>
  </si>
  <si>
    <t>DEPRESSOR</t>
  </si>
  <si>
    <t>TONGUE</t>
  </si>
  <si>
    <t>BOSWORTH</t>
  </si>
  <si>
    <t>1 IN</t>
  </si>
  <si>
    <t>SATIN FINISH</t>
  </si>
  <si>
    <t>https://www.bd.com/en-us/products-and-solutions/products/product-page.mo40#overview, https://accessgudid.nlm.nih.gov/devices/10885403057892</t>
  </si>
  <si>
    <t>AU5186</t>
  </si>
  <si>
    <t>BD_AU5186</t>
  </si>
  <si>
    <t>BOUCHERON EAR SPECULUM ROUND TIP 8MM ID</t>
  </si>
  <si>
    <t>PRODIGO1056337</t>
  </si>
  <si>
    <t>42182017  Ear specula sets</t>
  </si>
  <si>
    <t>BOUCHERON EAR SPECULA ROUND TIP. CHROME PLATED. 8MM I.D.</t>
  </si>
  <si>
    <t>SPECULA, EXAM, BOUCHERON, 8 MM, EAR, ROUND TIP, DOUBLE ACTION, MATTE FINISH, CHROME PLATED, NON STERILE, LATEX</t>
  </si>
  <si>
    <t>SPECULA, EXAM, BOUCHERON, 8 MM, EAR, RND TIP, DBL ACT, MATTE FINISH, CHROM PLT, NS, LTX</t>
  </si>
  <si>
    <t>SPECULA, EXAM, BOUCHERON, 8 MM, EAR, RND TIP, DBL ACT, MATTE FINISH</t>
  </si>
  <si>
    <t>EXAM</t>
  </si>
  <si>
    <t>BOUCHERON</t>
  </si>
  <si>
    <t>8 MM</t>
  </si>
  <si>
    <t>ROUND TIP, DOUBLE ACTION, MATTE FINISH</t>
  </si>
  <si>
    <t>CHROME PLATED</t>
  </si>
  <si>
    <t>https://www.bd.com/en-us/products-and-solutions/products/product-page.AU5186#overview, https://accessgudid.nlm.nih.gov/devices/10885403007859</t>
  </si>
  <si>
    <t>AU5187</t>
  </si>
  <si>
    <t>BD_AU5187</t>
  </si>
  <si>
    <t>BOUCHERON EAR SPECULUM ROUND TIP 9MM ID</t>
  </si>
  <si>
    <t>PRODIGO1056338</t>
  </si>
  <si>
    <t>BOUCHERON EAR SPECULA ROUND TIP. CHROME PLATED. 9MM I.D.</t>
  </si>
  <si>
    <t>SPECULA, EXAM, BOUCHERON, 9 MM, EAR, ROUND TIP, DOUBLE ACTION, MATTE FINISH, CHROME PLATED, NON STERILE, LATEX</t>
  </si>
  <si>
    <t>SPECULA, EXAM, BOUCHERON, 9 MM, EAR, RND TIP, DBL ACT, MATTE FINISH, CHROM PLT, NS, LTX</t>
  </si>
  <si>
    <t>SPECULA, EXAM, BOUCHERON, 9 MM, EAR, RND TIP, DBL ACT, MATTE FINISH</t>
  </si>
  <si>
    <t>9 MM</t>
  </si>
  <si>
    <t>https://www.bd.com/en-us/products-and-solutions/products/product-page.AU5187#overview, https://accessgudid.nlm.nih.gov/devices/10885403007866</t>
  </si>
  <si>
    <t>CND</t>
  </si>
  <si>
    <t>LA6590</t>
  </si>
  <si>
    <t>BD_LA6590</t>
  </si>
  <si>
    <t>BOWEL FORCEP 33MMJAW DBL-ACT RH 5MM 35CM</t>
  </si>
  <si>
    <t>PRODIGO1057664</t>
  </si>
  <si>
    <t>Bowel grasper</t>
  </si>
  <si>
    <t>GRASPER, ENDOSCOPIC, BOWEL, 5 MMX35 CM, 33 MM, DOUBLE ACTION, FENESTRATED, JAW INSULATED SHAFT, ROTATION, RATCHETED, STAINLESS STEEL, NON STERILE, LATEX</t>
  </si>
  <si>
    <t>GRASPER, ENDOSCP, BWL, 5 MMX35 CM, 33 MM, DBL ACT, FEN, JAW INSUL SHFT, ROT, RATCHETED, SS, NS, LTX</t>
  </si>
  <si>
    <t>GRASPER, ENDOSCP, BWL, 5 MMX35 CM, 33 MM, DBL ACT, FEN, RATCHETED</t>
  </si>
  <si>
    <t>BOWEL</t>
  </si>
  <si>
    <t>33 MM</t>
  </si>
  <si>
    <t>DOUBLE ACTION, FENESTRATED, JAW INSULATED SHAFT, ROTATION, RATCHETED</t>
  </si>
  <si>
    <t>https://www.bd.com/en-us/products-and-solutions/products/product-page.la6590, https://accessgudid.nlm.nih.gov/devices/10885403052477</t>
  </si>
  <si>
    <t>GL600MM</t>
  </si>
  <si>
    <t>GL600-MM</t>
  </si>
  <si>
    <t>BD_GL600MM</t>
  </si>
  <si>
    <t>BOZEMAN UTERINE PACK FORCEPS CVD MIRROR</t>
  </si>
  <si>
    <t>PRODIGO1057528</t>
  </si>
  <si>
    <t>Bozeman uterine packing forceps Curved. Overall length 10in (25.4cm). Mueller-Mirror finish.</t>
  </si>
  <si>
    <t>FORCEP, SURGICAL, BOZEMAN, 10 IN, UTERINE, CURVED, MUELLER-MIRROR FINISH, RING HANDLE, PACK, NON STERILE, LATEX</t>
  </si>
  <si>
    <t>FORCEP, SURG, BOZEMAN, 10 IN, UTER, CRV, MUELLER-MIRROR FINISH, RNG HNDL, PK, NS, LTX</t>
  </si>
  <si>
    <t>FORCEP, SURG, BOZEMAN, 10 IN, UTER, CRV, MUELLER-MIRROR FINISH</t>
  </si>
  <si>
    <t>BOZEMAN</t>
  </si>
  <si>
    <t>CURVED, MUELLER-MIRROR FINISH, RING HANDLE, PACK</t>
  </si>
  <si>
    <t>https://www.bd.com/en-us/products-and-solutions/products/product-page.GL600-MM#overview, https://accessgudid.nlm.nih.gov/devices/10885403043444</t>
  </si>
  <si>
    <t>GL1240</t>
  </si>
  <si>
    <t>BD_GL1240</t>
  </si>
  <si>
    <t>BRAUN LIGATURE CARRIER RIGHT ANG HOOK</t>
  </si>
  <si>
    <t>PRODIGO1057354</t>
  </si>
  <si>
    <t>Braun ligature carrier Mirror and satin finish. Right-angle hook. Overall length 9-1/2in (24.1cm).</t>
  </si>
  <si>
    <t>CARRIER, LIGATURE, BRAUN, 9.5 IN, MIRROR AND SATIN FINISH, RIGHT ANGLE HOOK, DOUBLE ACTION, STAINLESS STEEL, NON STERILE, LATEX</t>
  </si>
  <si>
    <t>CARRIER, LIG, BRAUN, 9.5 IN, MIRROR &amp; SATIN FINISH, RT ANGLE HK, DBL ACT, SS, NS, LTX</t>
  </si>
  <si>
    <t>CARRIER, LIG, BRAUN, 9.5 IN, RT ANGLE HK, DBL ACT, SS, NS, LTX</t>
  </si>
  <si>
    <t>CARRIER</t>
  </si>
  <si>
    <t>LIGATURE</t>
  </si>
  <si>
    <t>BRAUN</t>
  </si>
  <si>
    <t>MIRROR AND SATIN FINISH, RIGHT ANGLE HOOK, DOUBLE ACTION</t>
  </si>
  <si>
    <t>https://www.bd.com/en-us/offerings/capabilities/surgical-instruments/open-instrumentation/braun-ligature-carrier/gl1240, https://accessgudid.nlm.nih.gov/devices/10885403043857</t>
  </si>
  <si>
    <t>GL462</t>
  </si>
  <si>
    <t>BD_GL462</t>
  </si>
  <si>
    <t>BREISKY-NAVRATIL VAG SPEC 3-15/16X1-3/16</t>
  </si>
  <si>
    <t>PRODIGO1057503</t>
  </si>
  <si>
    <t>Breisky-Navratil vaginal specula Mirror and satin finish. Overall length 12in (30.5cm). Blade 3-15/16in x 1-3/16in wide (10cm x 3cm).</t>
  </si>
  <si>
    <t>SPECULA, VAGINAL, BREISKY-NAVRATIL, 12 IN, 3-15/16X1-3/16 IN, MIRROR AND SATIN FINISH, NON STERILE, LATEX</t>
  </si>
  <si>
    <t>SPECULA, VAG, BREISKY-NAVRATIL, 12 IN, 3-15/16X1-3/16 IN, MIRROR &amp; SATIN FINISH, NS, LTX</t>
  </si>
  <si>
    <t>SPECULA, VAG, BREISKY-NAVRATIL, 12 IN, 3-15/16X1-3/16 IN</t>
  </si>
  <si>
    <t>BREISKY-NAVRATIL</t>
  </si>
  <si>
    <t>12 IN</t>
  </si>
  <si>
    <t>3-15/16X1-3/16 IN</t>
  </si>
  <si>
    <t>MIRROR AND SATIN FINISH</t>
  </si>
  <si>
    <t>https://www.bd.com/en-us/products-and-solutions/products/product-page.GL462#overview, https://accessgudid.nlm.nih.gov/devices/10885403043215</t>
  </si>
  <si>
    <t>GL466</t>
  </si>
  <si>
    <t>BD_GL466</t>
  </si>
  <si>
    <t>SURGICAL SPECULAS</t>
  </si>
  <si>
    <t>BREISKY-NAVRATIL VAG SPEC 5-1/8X1-3/8IN</t>
  </si>
  <si>
    <t>PRODIGO1057504</t>
  </si>
  <si>
    <t>Breisky-Navratil vaginal specula Mirror and satin finish. Overall length 12in (30.5cm). Blade 5-1/8in x 1-3/8in wide (13cm x 3.5cm).</t>
  </si>
  <si>
    <t>SPECULA, VAGINAL, BREISKY-NAVRATIL, 12 IN, 5-1/8X1-3/8 IN, MIRROR AND SATIN FINISH, NON STERILE, LATEX</t>
  </si>
  <si>
    <t>SPECULA, VAG, BREISKY-NAVRATIL, 12 IN, 5-1/8X1-3/8 IN, MIRROR &amp; SATIN FINISH, NS, LTX</t>
  </si>
  <si>
    <t>SPECULA, VAG, BREISKY-NAVRATIL, 12 IN, 5-1/8X1-3/8 IN, NS, LTX</t>
  </si>
  <si>
    <t>5-1/8X1-3/8 IN</t>
  </si>
  <si>
    <t>https://www.bd.com/en-us/products-and-solutions/products/product-page.GL466#overview, https://accessgudid.nlm.nih.gov/devices/10885403043253</t>
  </si>
  <si>
    <t>GL469</t>
  </si>
  <si>
    <t>BD_GL469</t>
  </si>
  <si>
    <t>BREISKY-NAVRATIL VAG SPEC 6-1/4X1-3/8IN</t>
  </si>
  <si>
    <t>PRODIGO1057505</t>
  </si>
  <si>
    <t>Breisky-Navratil vaginal specula Mirror and satin finish. Overall length 12in (30.5cm). Blade 6-1/4in x 1-3/8in wide (16cm x 3.5cm).</t>
  </si>
  <si>
    <t>SPECULA, VAGINAL, BREISKY-NAVRATIL, 12 IN, 6.25X1-3/8 IN, MIRROR AND SATIN FINISH, NON STERILE, LATEX</t>
  </si>
  <si>
    <t>SPECULA, VAG, BREISKY-NAVRATIL, 12 IN, 6.25X1-3/8 IN, MIRROR &amp; SATIN FINISH, NS, LTX</t>
  </si>
  <si>
    <t>SPECULA, VAG, BREISKY-NAVRATIL, 12 IN, 6.25X1-3/8 IN, NS, LTX</t>
  </si>
  <si>
    <t>6.25X1-3/8 IN</t>
  </si>
  <si>
    <t>https://www.bd.com/en-us/products-and-solutions/products/product-page.GL469#overview, https://accessgudid.nlm.nih.gov/devices/10885403043277</t>
  </si>
  <si>
    <t>GL470</t>
  </si>
  <si>
    <t>BD_GL470</t>
  </si>
  <si>
    <t>BREISKY-NAVRATIL VAG SPEC 6-11/16 X 1IN</t>
  </si>
  <si>
    <t>PRODIGO1057506</t>
  </si>
  <si>
    <t>Breisky-Navratil vaginal specula Mirror and satin finish. Overall length 12in (30.5cm). Blade 6-11/16in x 1in wide (17cm x 2.5cm).</t>
  </si>
  <si>
    <t>SPECULA, VAGINAL, BREISKY-NAVRATIL, 12 IN, 6-11/16X1 IN, MIRROR AND SATIN FINISH, NON STERILE, LATEX</t>
  </si>
  <si>
    <t>SPECULA, VAG, BREISKY-NAVRATIL, 12 IN, 6-11/16X1 IN, MIRROR &amp; SATIN FINISH, NS, LTX</t>
  </si>
  <si>
    <t>SPECULA, VAG, BREISKY-NAVRATIL, 12 IN, 6-11/16X1 IN, NS, LTX</t>
  </si>
  <si>
    <t>6-11/16X1 IN</t>
  </si>
  <si>
    <t>https://www.bd.com/en-us/products-and-solutions/products/product-page.GL470#overview, https://accessgudid.nlm.nih.gov/devices/10885403043284</t>
  </si>
  <si>
    <t>CH1728</t>
  </si>
  <si>
    <t>BD_CH1728</t>
  </si>
  <si>
    <t>BRIDGE DEEP SURG FORCEP SERR CVD DBL-ACT</t>
  </si>
  <si>
    <t>PRODIGO1056740</t>
  </si>
  <si>
    <t>Bridge deep surgery forceps Serrated Curved Double action box locks Overall length 18in</t>
  </si>
  <si>
    <t>FORCEP, SURGICAL, BRIDGE, 18 IN, DEEP SURGERY, CURVED, SERRATED, DOUBLE ACTION, SATIN FINISH, RING HANDLE, NON STERILE, LATEX</t>
  </si>
  <si>
    <t>FORCEP, SURG, BRIDGE, 18 IN, DP SURG, CRV, SERRATED, DBL ACT, SATIN FINISH, RNG HNDL, NS, LTX</t>
  </si>
  <si>
    <t>FORCEP, SURG, BRIDGE, 18 IN, DP SURG, CRV, SERRATED, DBL ACT, NS, LTX</t>
  </si>
  <si>
    <t>BRIDGE</t>
  </si>
  <si>
    <t>DEEP SURGERY, CURVED, SERRATED, DOUBLE ACTION, SATIN FINISH, RING HANDLE</t>
  </si>
  <si>
    <t>https://www.bd.com/en-us/products-and-solutions/products/product-page.CH1728#specifications, https://accessgudid.nlm.nih.gov/devices/10885403024351</t>
  </si>
  <si>
    <t>CH1724</t>
  </si>
  <si>
    <t>BD_CH1724</t>
  </si>
  <si>
    <t>BRIDGE DEEP SURGERY FORCEPS STR JAW 39MM</t>
  </si>
  <si>
    <t>PRODIGO1056738</t>
  </si>
  <si>
    <t>Bridge deep surgery forceps Serrated Overall length 11in 27.9cm Straight jaws length 39mm</t>
  </si>
  <si>
    <t>FORCEP, SURGICAL, BRIDGE, 11 IN, 39 MM, DEEP SURGERY, STRAIGHT JAW, SERRATED, DOUBLE ACTION, SATIN FINISH, RING HANDLE, GOLD COATED, STAINLESS STEEL, STELLITE, NON STERILE, LATEX</t>
  </si>
  <si>
    <t>FORCEP, SURG, BRIDGE, 11 IN, 39 MM, DP SURG, STR JAW, SERRATED, DBL ACT, SATIN FINISH, RNG HNDL, GLD COAT, SS, STELLITE, NS, LTX</t>
  </si>
  <si>
    <t>FORCEP, SURG, BRIDGE, 11 IN, 39 MM, DP SURG, STR JAW, SERRATED, SS</t>
  </si>
  <si>
    <t>11 IN</t>
  </si>
  <si>
    <t>39 MM</t>
  </si>
  <si>
    <t>DEEP SURGERY, STRAIGHT JAW, SERRATED, DOUBLE ACTION, SATIN FINISH, RING HANDLE</t>
  </si>
  <si>
    <t>GOLD COATED, STAINLESS STEEL, STELLITE</t>
  </si>
  <si>
    <t>https://www.bd.com/en-us/products-and-solutions/products/product-page.CH1724#specifications, https://accessgudid.nlm.nih.gov/devices/10885403024290</t>
  </si>
  <si>
    <t>GU3920</t>
  </si>
  <si>
    <t>BD_GU3920</t>
  </si>
  <si>
    <t>BRODNY URETHOGRAPHIC CLAMP/CANNULA</t>
  </si>
  <si>
    <t>PRODIGO1057548</t>
  </si>
  <si>
    <t>42293501  Irrigation or suction handpieces or cannulas or tips or catheters</t>
  </si>
  <si>
    <t>Brodny urethrographic clamp and cannula Useful in urethrography and injection of medications in the male. Matte mirror and satin finish. Rubber acorn tip and small metal tip (syringe not included). Cannula overall length 8-1/4in (21cm).</t>
  </si>
  <si>
    <t>CANNULA, SURGICAL, BRODNY, 8.25 IN, URETHROGRAPHIC CLAMP, INJECTION, MATTE, MIRROR AND SATIN FINISH, RUBBER ACORN AND SMALL METAL TIP, NON STERILE, LATEX</t>
  </si>
  <si>
    <t>CANNULA, SURG, BRODNY, 8.25 IN, URETHROGRAPHIC CLMP, INJ, MATTE, MIRROR &amp; SATIN FINISH, RUBBER ACORN &amp; SM MTL TIP, NS, LTX</t>
  </si>
  <si>
    <t>CANNULA, SURG, BRODNY, 8.25 IN, URETHROGRAPHIC CLMP, INJ, MATTE</t>
  </si>
  <si>
    <t>BRODNY</t>
  </si>
  <si>
    <t>8.25 IN</t>
  </si>
  <si>
    <t>URETHROGRAPHIC CLAMP, INJECTION, MATTE, MIRROR AND SATIN FINISH, RUBBER ACORN AND SMALL METAL TIP</t>
  </si>
  <si>
    <t>https://www.bd.com/en-us/products-and-solutions/products/product-page.GU3920#overview, https://accessgudid.nlm.nih.gov/devices/10885403048944</t>
  </si>
  <si>
    <t>BE2442</t>
  </si>
  <si>
    <t>BD_BE2442</t>
  </si>
  <si>
    <t>BRONCHIAL BIOPSY FORCEPS ANG CUP JAW 4MM</t>
  </si>
  <si>
    <t>PRODIGO1056399</t>
  </si>
  <si>
    <t>BRONCHIAL BIOPSY FORCEPS MALLEABLE SHAFT. 4MM ANGLED CUP JAWS. PASS DIAMETER 7.5MM. WORKING LENGTH 11IN (28CM).</t>
  </si>
  <si>
    <t>FORCEP, SURGICAL, BIOPSY, 11 IN, 4 MM, BRONCHIAL, ANGLED CUP, WITH JAW, MALLEABLE SHAFT, SATIN FINISH, RING HANDLE, NON STERILE, LATEX</t>
  </si>
  <si>
    <t>FORCEP, SURG, BX, 11 IN, 4 MM, BRONCH, ANGLED CUP, W/ JAW, MALL SHFT, SATIN FINISH, RNG HNDL, NS, LTX</t>
  </si>
  <si>
    <t>FORCEP, SURG, BX, 11 IN, 4 MM, BRONCH, ANGLED CUP, W/ JAW, MALL SHFT</t>
  </si>
  <si>
    <t>4 MM</t>
  </si>
  <si>
    <t>BRONCHIAL</t>
  </si>
  <si>
    <t>ANGLED CUP, WITH JAW, MALLEABLE SHAFT, SATIN FINISH, RING HANDLE</t>
  </si>
  <si>
    <t>https://www.bd.com/en-us/products-and-solutions/products/product-page.be2442#overview, https://accessgudid.nlm.nih.gov/devices/10885403015151</t>
  </si>
  <si>
    <t>BE4500</t>
  </si>
  <si>
    <t>BD_BE4500</t>
  </si>
  <si>
    <t>BRONCHOSCOPIC RULE IN&amp;CM GRAD</t>
  </si>
  <si>
    <t>PRODIGO1056434</t>
  </si>
  <si>
    <t>42293001  Surgical calipers or rulers or protractors</t>
  </si>
  <si>
    <t>BRONCHOSCOPIC RULE GRADUATED IN CENTIMETERS. CHROME PLATED. WORKING LENGTH 30CM.</t>
  </si>
  <si>
    <t>RULER, SURGICAL, BRONCHOSCOPIC, 30 CM, GRADUATED IN CENTIMETRE, CHROME PLATED, NON STERILE, LATEX</t>
  </si>
  <si>
    <t>RULER, SURG, BRONCHOSCOPIC, 30 CM, GRAD IN CENTIMETRE, CHROM PLT, NS, LTX</t>
  </si>
  <si>
    <t>RULER, SURG, BRONCHOSCOPIC, 30 CM, GRAD IN CENTIMETRE, CHROM PLT</t>
  </si>
  <si>
    <t>RULER</t>
  </si>
  <si>
    <t>BRONCHOSCOPIC</t>
  </si>
  <si>
    <t>30 CM</t>
  </si>
  <si>
    <t>GRADUATED IN CENTIMETRE</t>
  </si>
  <si>
    <t>https://www.bd.com/en-us/products-and-solutions/products/product-page.BE4500#overview</t>
  </si>
  <si>
    <t>NA6760003</t>
  </si>
  <si>
    <t>BD_NA6760003</t>
  </si>
  <si>
    <t>BRUNS CURETTE FORWARD SZ 0 3.7MMCUP 9IN</t>
  </si>
  <si>
    <t>PRODIGO1058023</t>
  </si>
  <si>
    <t>BRUNS CURETTE FORWARD. SIZE 0. CUP 3.7MM. OVERALL LENGTH 9IN 22.9CM</t>
  </si>
  <si>
    <t>CURETTE, SURGICAL, BRUNS, 0, 9 IN, 3.7 MM, FORWARD, CUP, NON STERILE, LATEX</t>
  </si>
  <si>
    <t>CURETTE SURGICAL BRUNS 0 9 IN 3.7 MM FORWARD NON STERILE LATEX</t>
  </si>
  <si>
    <t>CURETTE, SURG, BRUNS, 0, 9 IN, 3.7 MM, FORWARD CUP, NS, LTX</t>
  </si>
  <si>
    <t>CURETTE</t>
  </si>
  <si>
    <t>BRUNS</t>
  </si>
  <si>
    <t>3.7 MM</t>
  </si>
  <si>
    <t>FORWARD, CUP</t>
  </si>
  <si>
    <t>https://accessgudid.nlm.nih.gov/devices/10885403070013</t>
  </si>
  <si>
    <t>NA6760004</t>
  </si>
  <si>
    <t>BD_NA6760004</t>
  </si>
  <si>
    <t>BRUNS CURETTE FORWARD SZ 1 4.7MMCUP 9IN</t>
  </si>
  <si>
    <t>PRODIGO1058024</t>
  </si>
  <si>
    <t>BRUNS CURETTE FORWARD. SIZE 1. CUP 4.7MM. OVERALL LENGTH 9IN 22.9CM</t>
  </si>
  <si>
    <t>CURETTE, SURGICAL, BRUNS, 1, 9 IN, 4.7 MM, FORWARD, CUP NON STERILE, LATEX</t>
  </si>
  <si>
    <t>CURETTE SURGICAL BRUNS 1 9 IN 4.7 MM FORWARD CUP NON STERILE LATEX</t>
  </si>
  <si>
    <t>CURETTE, SURG, BRUNS, 1, 9 IN, 4.7 MM, FORWARD CUP, NS, LTX</t>
  </si>
  <si>
    <t>4.7 MM</t>
  </si>
  <si>
    <t>https://accessgudid.nlm.nih.gov/devices/10885403070020</t>
  </si>
  <si>
    <t>NA6760005</t>
  </si>
  <si>
    <t>BD_NA6760005</t>
  </si>
  <si>
    <t>BRUNS CURETTE FORWARD SZ 2 5.7MMCUP 9IN</t>
  </si>
  <si>
    <t>PRODIGO1058025</t>
  </si>
  <si>
    <t>BRUNS CURETTE FORWARD. SIZE 2. CUP 5.7MM. OVERALL LENGTH 9IN 22.9CM</t>
  </si>
  <si>
    <t>CURETTE, SURGICAL, BRUNS, 2, 9 IN, 5.7 MM, FORWARD, CUP NON STERILE, LATEX</t>
  </si>
  <si>
    <t>CURETTE SURGICAL BRUNS 2 9 IN 5.7 MM FORWARD CUP NON STERILE LATEX</t>
  </si>
  <si>
    <t>CURETTE, SURG, BRUNS, 2, 9 IN, 5.7 MM, FORWARD CUP, NS, LTX</t>
  </si>
  <si>
    <t>5.7 MM</t>
  </si>
  <si>
    <t>https://accessgudid.nlm.nih.gov/devices/10885403070037</t>
  </si>
  <si>
    <t>NA6760006</t>
  </si>
  <si>
    <t>BD_NA6760006</t>
  </si>
  <si>
    <t>BRUNS CURETTE FORWARD SZ 3 7MMCUP 9IN</t>
  </si>
  <si>
    <t>PRODIGO1058026</t>
  </si>
  <si>
    <t>BRUNS CURETTE FORWARD. SIZE 3. CUP 7MM. OVERALL LENGTH 9IN 22.9CM</t>
  </si>
  <si>
    <t>CURETTE, SURGICAL, BRUNS, 3, 9 IN, 7 MM, FORWARD, CUP NON STERILE, LATEX</t>
  </si>
  <si>
    <t>CURETTE SURGICAL BRUNS 3 9 IN 7 MM FORWARD CUP NON STERILE LATEX</t>
  </si>
  <si>
    <t>CURETTE, SURG, BRUNS, 3, 9 IN, 7 MM, FORWARD CUP, NS, LTX</t>
  </si>
  <si>
    <t>7 MM</t>
  </si>
  <si>
    <t>https://accessgudid.nlm.nih.gov/devices/10885403070044</t>
  </si>
  <si>
    <t>NA6760007</t>
  </si>
  <si>
    <t>BD_NA6760007</t>
  </si>
  <si>
    <t>BRUNS CURETTE FORWARD SZ 4 8.4MMCUP 9IN</t>
  </si>
  <si>
    <t>PRODIGO1058027</t>
  </si>
  <si>
    <t>BRUNS CURETTE FORWARD. SIZE 4. CUP 8.4MM. OVERALL LENGTH 9IN 22.9CM</t>
  </si>
  <si>
    <t>CURETTE, SURGICAL, BRUNS, 4, 9 IN, 8.4 MM, FORWARD, CUP NON STERILE, LATEX</t>
  </si>
  <si>
    <t>CURETTE SURGICAL BRUNS 4 9 IN 8.4 MM FORWARD CUP NON STERILE LATEX</t>
  </si>
  <si>
    <t>CURETTE, SURG, BRUNS, 4, 9 IN, 8.4 MM, FORWARD CUP, NS, LTX</t>
  </si>
  <si>
    <t>8.4 MM</t>
  </si>
  <si>
    <t>https://accessgudid.nlm.nih.gov/devices/10885403070051</t>
  </si>
  <si>
    <t>AU5583</t>
  </si>
  <si>
    <t>BD_AU5583</t>
  </si>
  <si>
    <t>BUCK EAR CURETTE SHARP SZ 2 3.6MM OD</t>
  </si>
  <si>
    <t>PRODIGO1056348</t>
  </si>
  <si>
    <t>BUCK EAR CURETTES SIZE 2 3.6MM O.D. SHARP. OVERALL LENGTH 5-3/4IN(14.7CM). MATTE AND MIRROR FINISH.</t>
  </si>
  <si>
    <t>CURETTE, SURGICAL, BUCK, 2, 5.75 IN, 3.6 MM, EAR, MATTE, MIRROR FINISH, SHARP, NON STERILE, LATEX</t>
  </si>
  <si>
    <t>CURETTE, SURG, BUCK, 2, 5.75 IN, 3.6 MM, EAR, MATTE, MIRROR FINISH, SHRP, NS, LTX</t>
  </si>
  <si>
    <t>CURETTE, SURG, BUCK, 2, 5.75 IN, 3.6 MM, MATTE, MIRROR FINISH, SHRP</t>
  </si>
  <si>
    <t>BUCK</t>
  </si>
  <si>
    <t>5.75 IN</t>
  </si>
  <si>
    <t>3.6 MM</t>
  </si>
  <si>
    <t>MATTE, MIRROR FINISH, SHARP</t>
  </si>
  <si>
    <t>https://www.bd.com/en-us/products-and-solutions/products/product-print-page.au5583, https://accessgudid.nlm.nih.gov/devices/10885403008351</t>
  </si>
  <si>
    <t>CH5160</t>
  </si>
  <si>
    <t>BD_CH5160</t>
  </si>
  <si>
    <t>BULLDOG CLAMP APPLY FORCEP ANG TIP 9-1/4</t>
  </si>
  <si>
    <t>PRODIGO1056851</t>
  </si>
  <si>
    <t>Bulldog clamp applying forceps Angled tips for ease of application or removal Overall length 9-1/4in</t>
  </si>
  <si>
    <t>FORCEP, SURGICAL, BULLDOG, 9.25 IN, CLAMP APPLYING, ANGLED TIP, RING HANDLE, SATIN FINISH, FOR EASE OF APPLICATION OR REMOVAL, NON STERILE, LATEX</t>
  </si>
  <si>
    <t>FORCEP, SURG, BULLDOG, 9.25 IN, CLMP APPLYING, ANGLED TIP, RNG HNDL, SATIN FINISH, FOR EASE OF APPL OR REMOVAL, NS, LTX</t>
  </si>
  <si>
    <t>FORCEP, SURG, BULLDOG, 9.25 IN, CLMP APPLYING, ANGLED, RNG HNDL, NS</t>
  </si>
  <si>
    <t>BULLDOG</t>
  </si>
  <si>
    <t>9.25 IN</t>
  </si>
  <si>
    <t>CLAMP APPLYING, ANGLED TIP, RING HANDLE, SATIN FINISH, FOR EASE OF APPLICATION OR REMOVAL</t>
  </si>
  <si>
    <t>https://www.bd.com/en-us/products-and-solutions/products/product-page.CH5160#specifications, https://accessgudid.nlm.nih.gov/devices/10885403027369</t>
  </si>
  <si>
    <t>CH6121</t>
  </si>
  <si>
    <t>BD_CH6121</t>
  </si>
  <si>
    <t>BULLDOG CLAMP TITAN STR 3.5CM SLT CLOSE</t>
  </si>
  <si>
    <t>PRODIGO1056999</t>
  </si>
  <si>
    <t>TITANIUM BULLDOG CLAMPS LIGHTWEIGHT CORROSION-RESISTANT SLIGHT CLOSE STRAIGHT JAW LENGTH 3CM CLAMP SURGICAL BULLDOG 3 CM LIGHTWEIGHT CORROSION RESISTANT SLIGHT CLOSE STRAIGHT JAW TITANIUM</t>
  </si>
  <si>
    <t>CLAMP, SURGICAL, BULLDOG, 3 CM, LIGHTWEIGHT, CORROSION RESISTANT, SLIGHT CLOSE, STRAIGHT, JAW, TITANIUM, NON STERILE, LATEX</t>
  </si>
  <si>
    <t>CLAMP, SURG, BULLDOG, 3 CM, LIGHTWEIGHT, CORROSION RESIST, SLGHT CLOSE, STR, JAW, TI, NS, LTX</t>
  </si>
  <si>
    <t>CLAMP, SURG, BULLDOG, 3 CM, SLGHT CLOSE, STR, JAW, TI, NS, LTX</t>
  </si>
  <si>
    <t>3 CM</t>
  </si>
  <si>
    <t>LIGHTWEIGHT, CORROSION RESISTANT, SLIGHT CLOSE, STRAIGHT, JAW</t>
  </si>
  <si>
    <t>TITANIUM</t>
  </si>
  <si>
    <t>3.5 CM</t>
  </si>
  <si>
    <t>http://www.megamedworld.com/wp-content/uploads/2019/03/VM_KVC-min.pdf, https://accessgudid.nlm.nih.gov/devices/10885403030451</t>
  </si>
  <si>
    <t>LA8205</t>
  </si>
  <si>
    <t>BD_LA8205</t>
  </si>
  <si>
    <t>BULLET NOSE GRASP FORCEPS 5MM 35CM MONO</t>
  </si>
  <si>
    <t>PRODIGO1057681</t>
  </si>
  <si>
    <t>Dissector 5 Mmx35 Cm Bullet Nose Double Action Tapered Serrated Jaw Insulated Shaft Rotation Insulated Handle Non Ratchet Satin Finish Monopolar Stainless Steel Non Sterile Latex</t>
  </si>
  <si>
    <t>DISSECTOR, ENDOSCOPIC, BULLET NOSE, 5 MMX35 CM, DOUBLE ACTION, TAPERED, SERRATED JAW, INSULATED SHAFT, ROTATION, INSULATED HANDLE, NON RATCHET, SATIN FINISH, MONOPOLAR, STAINLESS STEEL, NON STERILE, LATEX</t>
  </si>
  <si>
    <t>DISSECTOR, ENDOSCP, BULL NOSE, 5 MMX35 CM, DBL ACT, TAPR, SERRATED JAW, INSUL SHFT, ROT, INSUL HNDL, N RATCH, SATIN FINISH, MONOPOLAR, SS, NS, LTX</t>
  </si>
  <si>
    <t>DISSECTOR, ENDOSCP, BULL NOSE, 5 MMX35 CM, DBL ACT, TAPR, SERRATED</t>
  </si>
  <si>
    <t>DISSECTOR</t>
  </si>
  <si>
    <t>BULLET NOSE</t>
  </si>
  <si>
    <t>DOUBLE ACTION, TAPERED, SERRATED JAW, INSULATED SHAFT, ROTATION, INSULATED HANDLE, NON RATCHET, SATIN FINISH, MONOPOLAR</t>
  </si>
  <si>
    <t>GRASP FORCEPS</t>
  </si>
  <si>
    <t>https://www.bd.com/en-us/offerings/capabilities/surgical-instruments/laparoscopic-instruments/bullet-nose-dissector/la8205, https://accessgudid.nlm.nih.gov/devices/10885403052743</t>
  </si>
  <si>
    <t>CH12401</t>
  </si>
  <si>
    <t>CH1240-1</t>
  </si>
  <si>
    <t>BD_CH12401</t>
  </si>
  <si>
    <t>BURFORD RIB SPREADER TWO SMALL</t>
  </si>
  <si>
    <t>PRODIGO1056649</t>
  </si>
  <si>
    <t>42293304  Surgical spreaders</t>
  </si>
  <si>
    <t>BURFORD RIB SPREADER DOUBLE-ACTION TWO SMALL BLADES 4.4CM X 6.4CM LARGE BLADE 7.6CM X 6.4CM SPREAD 7-1/2IN LATEX NON STERILE</t>
  </si>
  <si>
    <t>SPREADER, SURGICAL, BURFORD, 4.4X6.4 CM, 7.6CM X 6.4CM, 7.5 IN, RIB, DOUBLE ACTION, TWO SMALL AND 1 LARGE BLADE, WITH ARM, SPREAD, NON STERILE, LATEX</t>
  </si>
  <si>
    <t>SPREADER, SURG, BURFORD, 4.4X6.4 CM, 7.6CM X 6.4CM, 7.5 IN, RIB, DBL ACT, TWO SM &amp; 1 LG BLADE, W/ ARM, SPRD, NS, LTX</t>
  </si>
  <si>
    <t>SPREADER, SURG, BURFORD, 4.4X6.4 CM, 7.6CM X 6.4CM, 7.5 IN, RIB</t>
  </si>
  <si>
    <t>SPREADER</t>
  </si>
  <si>
    <t>BURFORD</t>
  </si>
  <si>
    <t>4.4X6.4 CM, 7.6CM X 6.4CM, 7.5 IN</t>
  </si>
  <si>
    <t>DOUBLE ACTION, TWO SMALL AND 1 LARGE BLADE, WITH ARM, SPREAD</t>
  </si>
  <si>
    <t>https://www.bd.com/en-us/products-and-solutions/products/product-page.CH1240-1#specifications, https://accessgudid.nlm.nih.gov/devices/10885403023385</t>
  </si>
  <si>
    <t>AU12800</t>
  </si>
  <si>
    <t>BD_AU12800</t>
  </si>
  <si>
    <t>BUTLER BAYONET FORCEPS CUP JAWS 1.9MM</t>
  </si>
  <si>
    <t>PRODIGO1056173</t>
  </si>
  <si>
    <t>BUTLER FORCEPS BAYONET-SHAPED. CUP-SHAPED JAWS 1.9MM. OVERALL LENGTH 5-1/2IN (13.9CM).</t>
  </si>
  <si>
    <t>FORCEP, SURGICAL, BUTLER, 5.5 IN, 1.9 MM, CUP SHAPED JAW, BAYONET HANDLE, DOUBLE ACTION, SATIN FINISH, STAINLESS STEEL, NON STERILE, LATEX</t>
  </si>
  <si>
    <t>FORCEP, SURG, BUTLER, 5.5 IN, 1.9 MM, CUP SHP JAW, BAYNT HNDL, DBL ACT, SATIN FINISH, SS, NS, LTX</t>
  </si>
  <si>
    <t>FORCEP, SURG, BUTLER, 5.5 IN, 1.9 MM, CUP SHP JAW, BAYNT HNDL</t>
  </si>
  <si>
    <t>BUTLER</t>
  </si>
  <si>
    <t>5.5 IN</t>
  </si>
  <si>
    <t>1.9 MM</t>
  </si>
  <si>
    <t>CUP SHAPED JAW, BAYONET HANDLE, DOUBLE ACTION, SATIN FINISH</t>
  </si>
  <si>
    <t>https://www.bd.com/en-us/products-and-solutions/products/product-page.AU12800#overview, https://accessgudid.nlm.nih.gov/devices/10885403010132</t>
  </si>
  <si>
    <t>CH145</t>
  </si>
  <si>
    <t>BD_CH145</t>
  </si>
  <si>
    <t>CAMERON HAIGHT PERIOSTEAL ELEV DBL-END</t>
  </si>
  <si>
    <t>PRODIGO1056712</t>
  </si>
  <si>
    <t>CAMERON HAIGHT Periosteal Elevators</t>
  </si>
  <si>
    <t>ELEVATOR, SURGICAL, CAMERON HAIGHT, 9.25 IN, 12 MM, PERIOSTEAL, DOUBLE ENDED, ROUND BLADE, STRAIGHT EDGE, NON STERILE, LATEX</t>
  </si>
  <si>
    <t>ELEVATOR, SURG, CAMERON HAIGHT, 9.25 IN, 12 MM, PERIOST, DBL END, RND BLADE, STR EDGE, NS, LTX</t>
  </si>
  <si>
    <t>ELEVATOR, SURG, CAMERON HAIGHT, 9.25 IN, 12 MM, PERIOST, DBL, RND</t>
  </si>
  <si>
    <t>CAMERON HAIGHT</t>
  </si>
  <si>
    <t>12 MM</t>
  </si>
  <si>
    <t>PERIOSTEAL</t>
  </si>
  <si>
    <t>DOUBLE ENDED, ROUND BLADE, STRAIGHT EDGE</t>
  </si>
  <si>
    <t>http://www.lt-technologies.de/_ws/mediabase/_ts_1494230442000/Downloads/CardioCatalog_LIT12012_low-res.pdf, https://accessgudid.nlm.nih.gov/devices/10885403022630</t>
  </si>
  <si>
    <t>GU4080010</t>
  </si>
  <si>
    <t>GU4080-010</t>
  </si>
  <si>
    <t>BD_GU4080010</t>
  </si>
  <si>
    <t>CAMPBELL MINIATURE SOUND 10FR 9-1/2IN</t>
  </si>
  <si>
    <t>PRODIGO1057600</t>
  </si>
  <si>
    <t>42293603  Surgical sounds</t>
  </si>
  <si>
    <t>Campbell Miniature Sounds 10Fr. Short rounded tip. Mirror finish. Overall length 9-1/2in (24cm).</t>
  </si>
  <si>
    <t>SOUND, SURGICAL, CAMPBELL, 10 FRX9.5 IN, MINIATURE, SHORT, ROUND TIP, MIRROR FINISH, NON STERILE, LATEX</t>
  </si>
  <si>
    <t>SOUND, SURG, CAMPBELL, 10 FRX9.5 IN, MINIATURE, SHT, RND TIP, MIRROR FINISH, NS, LTX</t>
  </si>
  <si>
    <t>SOUND, SURG, CAMPBELL, 10 FRX9.5 IN, MINIATURE, SHT, RND TIP</t>
  </si>
  <si>
    <t>SOUND</t>
  </si>
  <si>
    <t>CAMPBELL</t>
  </si>
  <si>
    <t>10 FRX9.5 IN</t>
  </si>
  <si>
    <t>MINIATURE, SHORT, ROUND TIP, MIRROR FINISH</t>
  </si>
  <si>
    <t>https://www.bd.com/en-us/offerings/capabilities/surgical-instruments/open-instrumentation/campbell-miniature-sounds/gu4080-010, https://accessgudid.nlm.nih.gov/devices/10885403049651</t>
  </si>
  <si>
    <t>GU4080012</t>
  </si>
  <si>
    <t>GU4080-012</t>
  </si>
  <si>
    <t>BD_GU4080012</t>
  </si>
  <si>
    <t>CAMPBELL MINIATURE SOUND 12FR 9-1/2IN</t>
  </si>
  <si>
    <t>PRODIGO1057601</t>
  </si>
  <si>
    <t>Campbell Miniature Sounds 12Fr. Short rounded tip. Mirror finish. Overall length 9-1/2in (24cm).</t>
  </si>
  <si>
    <t>SOUND, SURGICAL, CAMPBELL, 12 FRX9.5 IN, MINIATURE, SHORT, ROUND TIP, MIRROR FINISH, NON STERILE, LATEX</t>
  </si>
  <si>
    <t>SOUND, SURG, CAMPBELL, 12 FRX9.5 IN, MINIATURE, SHT, RND TIP, MIRROR FINISH, NS, LTX</t>
  </si>
  <si>
    <t>SOUND, SURG, CAMPBELL, 12 FRX9.5 IN, MINIATURE, SHT, RND TIP</t>
  </si>
  <si>
    <t>12 FRX9.5 IN</t>
  </si>
  <si>
    <t>https://www.bd.com/en-us/offerings/capabilities/surgical-instruments/open-instrumentation/campbell-miniature-sounds/gu4080-012, https://accessgudid.nlm.nih.gov/devices/10885403049668</t>
  </si>
  <si>
    <t>GU4080014</t>
  </si>
  <si>
    <t>GU4080-014</t>
  </si>
  <si>
    <t>BD_GU4080014</t>
  </si>
  <si>
    <t>CAMPBELL MINIATURE SOUND 14FR 9-1/2IN</t>
  </si>
  <si>
    <t>PRODIGO1057602</t>
  </si>
  <si>
    <t>Campbell Miniature Sounds 14Fr. Short rounded tip. Mirror finish. Overall length 9-1/2in (24cm).</t>
  </si>
  <si>
    <t>SOUND, SURGICAL, CAMPBELL, 14 FRX9.5 IN, MINIATURE, SHORT, ROUND TIP, MIRROR FINISH, NON STERILE, LATEX</t>
  </si>
  <si>
    <t>SOUND, SURG, CAMPBELL, 14 FRX9.5 IN, MINIATURE, SHT, RND TIP, MIRROR FINISH, NS, LTX</t>
  </si>
  <si>
    <t>SOUND, SURG, CAMPBELL, 14 FRX9.5 IN, MINIATURE, SHT, RND TIP</t>
  </si>
  <si>
    <t>14 FRX9.5 IN</t>
  </si>
  <si>
    <t>https://www.bd.com/en-us/offerings/capabilities/surgical-instruments/open-instrumentation/campbell-miniature-sounds/gu4080-014, https://accessgudid.nlm.nih.gov/devices/10885403049675</t>
  </si>
  <si>
    <t>GU4080016</t>
  </si>
  <si>
    <t>GU4080-016</t>
  </si>
  <si>
    <t>BD_GU4080016</t>
  </si>
  <si>
    <t>CAMPBELL MINIATURE SOUND 16FR 9-1/2IN</t>
  </si>
  <si>
    <t>PRODIGO1057603</t>
  </si>
  <si>
    <t>Campbell Miniature Sounds 16Fr. Short rounded tip. Mirror finish. Overall length 9-1/2in (24cm).</t>
  </si>
  <si>
    <t>SOUND, SURGICAL, CAMPBELL, 16 FRX9.5 IN, MINIATURE, SHORT, ROUND TIP, MIRROR FINISH, NON STERILE, LATEX</t>
  </si>
  <si>
    <t>SOUND, SURG, CAMPBELL, 16 FRX9.5 IN, MINIATURE, SHT, RND TIP, MIRROR FINISH, NS, LTX</t>
  </si>
  <si>
    <t>SOUND, SURG, CAMPBELL, 16 FRX9.5 IN, MINIATURE, SHT, RND TIP</t>
  </si>
  <si>
    <t>16 FRX9.5 IN</t>
  </si>
  <si>
    <t>https://www.bd.com/en-us/offerings/capabilities/surgical-instruments/open-instrumentation/campbell-miniature-sounds/gu4080-016, https://accessgudid.nlm.nih.gov/devices/10885403049682</t>
  </si>
  <si>
    <t>GU4080018</t>
  </si>
  <si>
    <t>GU4080-018</t>
  </si>
  <si>
    <t>BD_GU4080018</t>
  </si>
  <si>
    <t>CAMPBELL MINIATURE SOUND 18FR 9-1/2IN</t>
  </si>
  <si>
    <t>PRODIGO1057604</t>
  </si>
  <si>
    <t>Campbell Miniature Sounds 18Fr. Short rounded tip. Mirror finish. Overall length 9-1/2in (24cm).</t>
  </si>
  <si>
    <t>SOUND, SURGICAL, CAMPBELL, 18 FRX9.5 IN, MINIATURE, SHORT, ROUND TIP, MIRROR FINISH, NON STERILE, LATEX</t>
  </si>
  <si>
    <t>SOUND, SURG, CAMPBELL, 18 FRX9.5 IN, MINIATURE, SHT, RND TIP, MIRROR FINISH, NS, LTX</t>
  </si>
  <si>
    <t>SOUND, SURG, CAMPBELL, 18 FRX9.5 IN, MINIATURE, SHT, RND TIP</t>
  </si>
  <si>
    <t>18 FRX9.5 IN</t>
  </si>
  <si>
    <t>https://www.bd.com/en-us/offerings/capabilities/surgical-instruments/open-instrumentation/campbell-miniature-sounds/gu4080-018, https://accessgudid.nlm.nih.gov/devices/10885403049699</t>
  </si>
  <si>
    <t>GU4080020</t>
  </si>
  <si>
    <t>GU4080-020</t>
  </si>
  <si>
    <t>BD_GU4080020</t>
  </si>
  <si>
    <t>CAMPBELL MINIATURE SOUND 20FR 9-1/2IN</t>
  </si>
  <si>
    <t>PRODIGO1057605</t>
  </si>
  <si>
    <t>Campbell Miniature Sounds 20Fr. Short rounded tip. Mirror finish. Overall length 9-1/2in (24cm).</t>
  </si>
  <si>
    <t>SOUND, SURGICAL, CAMPBELL, 20 FRX9.5 IN, MINIATURE, SHORT, ROUND TIP, MIRROR FINISH, NON STERILE, LATEX</t>
  </si>
  <si>
    <t>SOUND, SURG, CAMPBELL, 20 FRX9.5 IN, MINIATURE, SHT, RND TIP, MIRROR FINISH, NS, LTX</t>
  </si>
  <si>
    <t>SOUND, SURG, CAMPBELL, 20 FRX9.5 IN, MINIATURE, SHT, RND TIP</t>
  </si>
  <si>
    <t>20 FRX9.5 IN</t>
  </si>
  <si>
    <t>https://www.bd.com/en-us/offerings/capabilities/surgical-instruments/open-instrumentation/campbell-miniature-sounds/gu4080-020, https://accessgudid.nlm.nih.gov/devices/10885403049705</t>
  </si>
  <si>
    <t>GU4080022</t>
  </si>
  <si>
    <t>GU4080-022</t>
  </si>
  <si>
    <t>BD_GU4080022</t>
  </si>
  <si>
    <t>CAMPBELL MINIATURE SOUND 22FR 9-1/2IN</t>
  </si>
  <si>
    <t>PRODIGO1057606</t>
  </si>
  <si>
    <t>Campbell Miniature Sounds 22Fr. Short rounded tip. Mirror finish. Overall length 9-1/2in (24cm).</t>
  </si>
  <si>
    <t>SOUND, SURGICAL, CAMPBELL, 22 FRX9.5 IN, MINIATURE, SHORT, ROUND TIP, MIRROR FINISH, NON STERILE, LATEX</t>
  </si>
  <si>
    <t>SOUND, SURG, CAMPBELL, 22 FRX9.5 IN, MINIATURE, SHT, RND TIP, MIRROR FINISH, NS, LTX</t>
  </si>
  <si>
    <t>SOUND, SURG, CAMPBELL, 22 FRX9.5 IN, MINIATURE, SHT, RND TIP</t>
  </si>
  <si>
    <t>22 FRX9.5 IN</t>
  </si>
  <si>
    <t>https://www.bd.com/en-us/offerings/capabilities/surgical-instruments/open-instrumentation/campbell-miniature-sounds/gu4080-022, https://accessgudid.nlm.nih.gov/devices/10885403049712</t>
  </si>
  <si>
    <t>GU4080006</t>
  </si>
  <si>
    <t>GU4080-006</t>
  </si>
  <si>
    <t>BD_GU4080006</t>
  </si>
  <si>
    <t>CAMPBELL MINIATURE SOUND 6FR 9-1/2IN</t>
  </si>
  <si>
    <t>PRODIGO1057598</t>
  </si>
  <si>
    <t>Campbell Miniature Sounds 6Fr. Short rounded tip. Mirror finish. Overall length 9-1/2in (24cm).</t>
  </si>
  <si>
    <t>SOUND, SURGICAL, CAMPBELL, 6 FRX9.5 IN, MINIATURE, SHORT, ROUND TIP, MIRROR FINISH, NON STERILE, LATEX</t>
  </si>
  <si>
    <t>SOUND, SURG, CAMPBELL, 6 FRX9.5 IN, MINIATURE, SHT, RND TIP, MIRROR FINISH, NS, LTX</t>
  </si>
  <si>
    <t>SOUND, SURG, CAMPBELL, 6 FRX9.5 IN, MINIATURE, SHT, RND TIP</t>
  </si>
  <si>
    <t>6 FRX9.5 IN</t>
  </si>
  <si>
    <t>https://www.bd.com/en-us/offerings/capabilities/surgical-instruments/open-instrumentation/campbell-miniature-sounds/gu4080-006, https://accessgudid.nlm.nih.gov/devices/10885403049637</t>
  </si>
  <si>
    <t>GU4080008</t>
  </si>
  <si>
    <t>GU4080-008</t>
  </si>
  <si>
    <t>BD_GU4080008</t>
  </si>
  <si>
    <t>CAMPBELL MINIATURE SOUND 8FR 9-1/2IN</t>
  </si>
  <si>
    <t>PRODIGO1057599</t>
  </si>
  <si>
    <t>Campbell Miniature Sounds 8Fr. Short rounded tip. Mirror finish. Overall length 9-1/2in (24cm).</t>
  </si>
  <si>
    <t>SOUND, SURGICAL, CAMPBELL, 8 FRX9.5 IN, MINIATURE, SHORT, ROUND TIP, MIRROR FINISH, NON STERILE, LATEX</t>
  </si>
  <si>
    <t>SOUND, SURG, CAMPBELL, 8 FRX9.5 IN, MINIATURE, SHT, RND TIP, MIRROR FINISH, NS, LTX</t>
  </si>
  <si>
    <t>SOUND, SURG, CAMPBELL, 8 FRX9.5 IN, MINIATURE, SHT, RND TIP</t>
  </si>
  <si>
    <t>8 FRX9.5 IN</t>
  </si>
  <si>
    <t>https://www.bd.com/en-us/offerings/capabilities/surgical-instruments/open-instrumentation/campbell-miniature-sounds/gu4080-008, https://accessgudid.nlm.nih.gov/devices/10885403049644</t>
  </si>
  <si>
    <t>NL1150</t>
  </si>
  <si>
    <t>BD_NL1150</t>
  </si>
  <si>
    <t>CAMPBELL PERIOSTEAL ELEV BLDE 16MM 7-1/2</t>
  </si>
  <si>
    <t>PRODIGO1058052</t>
  </si>
  <si>
    <t>ELEVATOR, SURGICAL, CAMPBELL, 7.5 IN , 16 MM, PERIOSTEAL, SLIGHTLY CURVED BLADE, MIRROR AND SATIN FINISH, NON STERILE, LATEX</t>
  </si>
  <si>
    <t>ELEVATOR SURGICAL CAMPBELL 7.5 IN 16 MM PERIOSTEAL SLIGHTLY CURVED BLADE MIRROR AND SATIN FINISH NON STERILE LATEX</t>
  </si>
  <si>
    <t>ELEVATOR, SURG, CAMPBELL, 7.5 IN , 16 MM, PERIOST, SLIGHTLY CRV BLADE, MIRROR &amp; SATIN FINISH, NS, LTX</t>
  </si>
  <si>
    <t>ELEVATOR, SURG, CAMPBELL, 7.5 IN , 16 MM, PERIOST, CRV BLADE</t>
  </si>
  <si>
    <t>7.5 IN , 16 MM</t>
  </si>
  <si>
    <t>SLIGHTLY CURVED BLADE, MIRROR AND SATIN FINISH</t>
  </si>
  <si>
    <t>https://www.bd.com/en-us/products-and-solutions/products/product-page.nl1150#specifications</t>
  </si>
  <si>
    <t>AU13280</t>
  </si>
  <si>
    <t>BD_AU13280</t>
  </si>
  <si>
    <t>CAPAROSA WIRE CRIMP FORCEP STR NARR-GRVE</t>
  </si>
  <si>
    <t>PRODIGO1056187</t>
  </si>
  <si>
    <t>CAPAROSA WIRE-CRIMPING FORCEPS STRAIGHT WITH NARROW GROOVED JAWS. WORKING LENGTH 3-1/8IN (7.9CM).</t>
  </si>
  <si>
    <t>FORCEP, SURGICAL, CAPAROSA, 3-1/8 IN, STRAIGHT, NARROW, GROOVED JAW, WIRE CRIMPING, NON STERILE, LATEX</t>
  </si>
  <si>
    <t>FORCEP, SURG, CAPAROSA, 3-1/8 IN, STR, NAR, GROOVED JAW, WIRE CRIMPING, NS, LTX</t>
  </si>
  <si>
    <t>FORCEP, SURG, CAPAROSA, 3-1/8 IN, STR, GROOVED JAW, WIRE CRIMPING</t>
  </si>
  <si>
    <t>CAPAROSA</t>
  </si>
  <si>
    <t>3-1/8 IN</t>
  </si>
  <si>
    <t>STRAIGHT, NARROW, GROOVED JAW, WIRE CRIMPING</t>
  </si>
  <si>
    <t>http://www.surgimed.co.kr/download/5_ENT&amp;Oral.pdf, https://accessgudid.nlm.nih.gov/devices/10885403010354</t>
  </si>
  <si>
    <t>5_ENT&amp;Oral</t>
  </si>
  <si>
    <t>CH5690</t>
  </si>
  <si>
    <t>BD_CH5690</t>
  </si>
  <si>
    <t>CARDIO SCISSORS FINE STR BALL TIP 4-3/4</t>
  </si>
  <si>
    <t>PRODIGO1056907</t>
  </si>
  <si>
    <t>CARDIOVASCULAR SCISSORS VERY FINE AND DELICATE STRAIGHT MIRROR FINISH OVERALL LENGTH 12.1CM SCISSOR SURGICAL 12.1 CM CARDIOVASCULAR VERY FINE DELICATE STRAIGHT MIRROR FINISH</t>
  </si>
  <si>
    <t>SCISSOR, SURGICAL, 4.75 IN, CARDIOVASCULAR, VERY FINE, DELICATE, STRAIGHT, MIRROR FINISH, NON STERILE, LATEX</t>
  </si>
  <si>
    <t>SCISSOR, SURG, 4.75 IN, CV, VERY FN, DEL, STR, MIRROR FINISH, NS, LTX</t>
  </si>
  <si>
    <t>CARDIOVASCULAR</t>
  </si>
  <si>
    <t>VERY FINE, DELICATE, STRAIGHT, MIRROR FINISH</t>
  </si>
  <si>
    <t>http://www.megamedworld.com/wp-content/uploads/2019/03/VM_KVC-min.pdf, https://accessgudid.nlm.nih.gov/devices/10885403028892</t>
  </si>
  <si>
    <t>CH6000</t>
  </si>
  <si>
    <t>BD_CH6000</t>
  </si>
  <si>
    <t>CARDIOVASC TISSUE FORCEP 6-1/8IN</t>
  </si>
  <si>
    <t>PRODIGO1056952</t>
  </si>
  <si>
    <t>CARDIOVASCULAR TISSUE FORCEPS DELICATE JAW OVERALL LENGTH 15.6CM FORCEP SURGICAL TISSUE 15.6 CM CARDIOVASCULAR TISSUE DELICATE JAW</t>
  </si>
  <si>
    <t>FORCEP, SURGICAL, TISSUE, 6-1/8 IN, CARDIOVASCULAR TISSUE, DELICATE JAW, NON STERILE, LATEX</t>
  </si>
  <si>
    <t>FORCEP, SURG, TISS, 6-1/8 IN, CV TISS, DEL JAW, NS, LTX</t>
  </si>
  <si>
    <t>6-1/8 IN</t>
  </si>
  <si>
    <t>CARDIOVASCULAR TISSUE</t>
  </si>
  <si>
    <t>DELICATE JAW</t>
  </si>
  <si>
    <t>http://www.megamedworld.com/wp-content/uploads/2019/03/VM_KVC-min.pdf, https://accessgudid.nlm.nih.gov/devices/10885403029677</t>
  </si>
  <si>
    <t>CH6001</t>
  </si>
  <si>
    <t>BD_CH6001</t>
  </si>
  <si>
    <t>CARDIOVASC TISSUE FORCEP 7-3/4IN</t>
  </si>
  <si>
    <t>PRODIGO1056953</t>
  </si>
  <si>
    <t>CARDIOVASCULAR TISSUE FORCEPS DELICATE JAW OVERALL LENGTH 19.8CM FORCEP SURGICAL TISSUE 19.8 CM CARDIOVASCULAR TISSUE DELICATE JAW</t>
  </si>
  <si>
    <t>FORCEP, SURGICAL, TISSUE, 7.45 IN, CARDIOVASCULAR TISSUE, DELICATE JAW, NON STERILE, LATEX</t>
  </si>
  <si>
    <t>FORCEP, SURG, TISS, 7.45 IN, CV TISS, DEL JAW, NS, LTX</t>
  </si>
  <si>
    <t>7.45 IN</t>
  </si>
  <si>
    <t>http://www.megamedworld.com/wp-content/uploads/2019/03/VM_KVC-min.pdf, https://accessgudid.nlm.nih.gov/devices/10885403029684</t>
  </si>
  <si>
    <t>CH6002</t>
  </si>
  <si>
    <t>BD_CH6002</t>
  </si>
  <si>
    <t>CARDIOVASC TISSUE FORCEP 9-1/2IN</t>
  </si>
  <si>
    <t>PRODIGO1056954</t>
  </si>
  <si>
    <t>CARDIOVASCULAR TISSUE FORCEPS DELICATE JAW OVERALL LENGTH 24.1CM FORCEP SURGICAL TISSUE 24.1 CM CARDIOVASCULAR TISSUE DELICATE JAW</t>
  </si>
  <si>
    <t>FORCEP, SURGICAL, TISSUE, 9.5 IN, CARDIOVASCULAR TISSUE, DELICATE JAW, NON STERILE, LATEX</t>
  </si>
  <si>
    <t>FORCEP, SURG, TISS, 9.5 IN, CV TISS, DEL JAW, NS, LTX</t>
  </si>
  <si>
    <t>http://www.megamedworld.com/wp-content/uploads/2019/03/VM_KVC-min.pdf, https://accessgudid.nlm.nih.gov/devices/10885403029691</t>
  </si>
  <si>
    <t>MO510</t>
  </si>
  <si>
    <t>BD_MO510</t>
  </si>
  <si>
    <t>CARMODY TISSUE FORCEP 1X2 TTH SERR 6-1/4</t>
  </si>
  <si>
    <t>PRODIGO1057940</t>
  </si>
  <si>
    <t>CARMODY TISSUE FORCEPS FINE SERRATIONS ON JAWS. 1 X 2 TEETH. MIRROR FINISH. OVERALL LENGTH 6-1/4IN (15.9CM).</t>
  </si>
  <si>
    <t>FORCEP, SURGICAL, CARMODY, 6.25 IN, TISSUE, FINE SERRATION ON JAW, 1X2 TEETH, MIRROR FINISH, DOUBLE ACTION, SATIN, MATTE FINISH, SPRING HANDLE, STAINLESS STEEL, NON STERILE, LATEX</t>
  </si>
  <si>
    <t>FORCEP, SURG, CARMODY, 6.25 IN, TISS, FN SERRATION ON JAW, 1X2 TEETH, MIRROR FINISH, DBL ACT, SATIN, MATTE FINISH, SPRING HNDL, SS, NS, LTX</t>
  </si>
  <si>
    <t>FORCEP, SURG, CARMODY, 6.25 IN, FN SERRATION ON JAW, 1X2 TEETH</t>
  </si>
  <si>
    <t>CARMODY</t>
  </si>
  <si>
    <t>FINE SERRATION ON JAW, 1X2 TEETH, MIRROR FINISH, DOUBLE ACTION, SATIN, MATTE FINISH, SPRING HANDLE</t>
  </si>
  <si>
    <t>https://www.bd.com/en-us/products-and-solutions/products/product-page.mo510#overview, https://accessgudid.nlm.nih.gov/devices/10885403058509</t>
  </si>
  <si>
    <t>NL1130</t>
  </si>
  <si>
    <t>BD_NL1130</t>
  </si>
  <si>
    <t>CARROLL TYPE PERIOSTEAL ELEV DBL-END</t>
  </si>
  <si>
    <t>PRODIGO1058051</t>
  </si>
  <si>
    <t>ELEVATOR, SURGICAL, CARROLL, 5.5 IN, 3X100 MM, DOUBLE ENDED, ROUND BLADE, SATIN FINISH, STAINLESS STEEL, NON STERILE, LATEX</t>
  </si>
  <si>
    <t>ELEVATOR SURGICAL CARROLL 5.5 IN 3X100 MM DOUBLE ENDED ROUND BLADE SATIN FINISH STAINLESS STEEL NON STERILE LATEX</t>
  </si>
  <si>
    <t>ELEVATOR, SURG, CARROLL, 5.5 IN, 3X100 MM, DBL END, RND BLADE, SATIN FINISH, SS, NS, LTX</t>
  </si>
  <si>
    <t>ELEVATOR, SURG, CARROLL, 5.5 IN, 3X100 MM, DBL END, RND BLADE</t>
  </si>
  <si>
    <t>CARROLL</t>
  </si>
  <si>
    <t>3X100 MM</t>
  </si>
  <si>
    <t>DOUBLE ENDED, ROUND BLADE, SATIN FINISH</t>
  </si>
  <si>
    <t>https://www.bd.com/en-us/products-and-solutions/products/product-page.nl1130#overview</t>
  </si>
  <si>
    <t>CH6807</t>
  </si>
  <si>
    <t>BD_CH6807</t>
  </si>
  <si>
    <t>SURGICAL CLAMPS OR CLIPS OR FORCEPS</t>
  </si>
  <si>
    <t>CASTANEDA ANAST CLAMP 5/8JAW(1.5CM) 6IN</t>
  </si>
  <si>
    <t>PRODIGO1057088</t>
  </si>
  <si>
    <t>CASTANEDA Anastomosis Clamps Jaw length 5/8in
(1.5cm) depth 5mm</t>
  </si>
  <si>
    <t>CLAMP, SURGICAL, CASTANEDA, 6 IN, 5/8 INX5 MM, ANASTOMOSIS, JAW, NON STERILE, LATEX</t>
  </si>
  <si>
    <t>CLAMP, SURG, CASTANEDA, 6 IN, 5/8 INX5 MM, ANAS, JAW, NS, LTX</t>
  </si>
  <si>
    <t>CASTANEDA</t>
  </si>
  <si>
    <t>5/8 INX5 MM</t>
  </si>
  <si>
    <t>ANASTOMOSIS, JAW</t>
  </si>
  <si>
    <t>http://www.lt-technologies.de/_ws/mediabase/_ts_1494230442000/Downloads/CardioCatalog_LIT12012_low-res.pdf, https://accessgudid.nlm.nih.gov/devices/10885403032103</t>
  </si>
  <si>
    <t>CH6800</t>
  </si>
  <si>
    <t>BD_CH6800</t>
  </si>
  <si>
    <t>CASTANEDA MULTI-PURP CLAMP JAW 30DEG</t>
  </si>
  <si>
    <t>PRODIGO1057085</t>
  </si>
  <si>
    <t>CASTANEDA Multi-Purpose Clamps Jaw length 1-3/8in (3.5cm). Overall length 5in (12.7cm) Jaws angled 30°</t>
  </si>
  <si>
    <t>CLAMP, SURGICAL, CASTANEDA, 30 DEGREE, MULTI-PURPOSE, JAW ANGLED, NON STERILE, LATEX</t>
  </si>
  <si>
    <t>CLAMP, SURG, CASTANEDA, 30 DEG, MULTPURP, JAW ANGLED, NS, LTX</t>
  </si>
  <si>
    <t>30 DEGREE</t>
  </si>
  <si>
    <t>MULTI-PURPOSE, JAW ANGLED</t>
  </si>
  <si>
    <t>http://www.lt-technologies.de/_ws/mediabase/_ts_1494230442000/Downloads/CardioCatalog_LIT12012_low-res.pdf, https://accessgudid.nlm.nih.gov/devices/10885403032066</t>
  </si>
  <si>
    <t>CH6801</t>
  </si>
  <si>
    <t>BD_CH6801</t>
  </si>
  <si>
    <t>CASTANEDA MULTI-PURP CLAMP JAW 50DEG</t>
  </si>
  <si>
    <t>PRODIGO1057086</t>
  </si>
  <si>
    <t>CASTANEDA Multi-Purpose Clamps Jaw length 1-3/8in (3.5cm). Overall length 5in (12.7cm) Jaws angled 50°</t>
  </si>
  <si>
    <t>CLAMP, SURGICAL, CASTANEDA, 50 DEGREE, MULTI-PURPOSE, JAW ANGLED, NON STERILE, LATEX</t>
  </si>
  <si>
    <t>CLAMP, SURG, CASTANEDA, 50 DEG, MULTPURP, JAW ANGLED, NS, LTX</t>
  </si>
  <si>
    <t>50 DEGREE</t>
  </si>
  <si>
    <t>http://www.lt-technologies.de/_ws/mediabase/_ts_1494230442000/Downloads/CardioCatalog_LIT12012_low-res.pdf, https://accessgudid.nlm.nih.gov/devices/10885403032073</t>
  </si>
  <si>
    <t>CH6802</t>
  </si>
  <si>
    <t>BD_CH6802</t>
  </si>
  <si>
    <t>CASTANEDA MULTI-PURP CLAMP JAW 90DEG</t>
  </si>
  <si>
    <t>PRODIGO1057087</t>
  </si>
  <si>
    <t>CASTANEDA Multi-Purpose Clamps Jaw length 1-3/8in (3.5cm). Overall length 5in (12.7cm) Jaws angled 90°</t>
  </si>
  <si>
    <t>CLAMP, SURGICAL, CASTANEDA, 90 DEGREE, MULTI-PURPOSE, JAW ANGLED, NON STERILE, LATEX</t>
  </si>
  <si>
    <t>CLAMP, SURG, CASTANEDA, 90 DEG, MULTPURP, JAW ANGLED, NS, LTX</t>
  </si>
  <si>
    <t>http://www.lt-technologies.de/_ws/mediabase/_ts_1494230442000/Downloads/CardioCatalog_LIT12012_low-res.pdf, https://accessgudid.nlm.nih.gov/devices/10885403032080</t>
  </si>
  <si>
    <t>CH07428</t>
  </si>
  <si>
    <t>BD_CH07428</t>
  </si>
  <si>
    <t>CASTROVIEJO MICRO SCISSORS ANGLE 125DEG</t>
  </si>
  <si>
    <t>PRODIGO1056588</t>
  </si>
  <si>
    <t>CASTROVIEJO MICRO SCISSORS ROUND HANDLE SHARP FINE TIP ANGLED 125 Degree 4.5 IN SS LATEX NON STERILE</t>
  </si>
  <si>
    <t>SCISSOR, SURGICAL, CASTROVIEJO, MICRO, 125 DEGREE, 4.5 IN, SHARP FINE TIP, ROUND HANDLE, STAINLESS STEEL, NON STERILE, LATEX</t>
  </si>
  <si>
    <t>SCISSOR, SURG, CASTRO, MIC, 125 DEG, 4.5 IN, SHRP FN TIP, RND HNDL, SS, NS, LTX</t>
  </si>
  <si>
    <t>SCISSOR, SURG, CASTRO, MIC, 125 DEG, 4.5 IN, SHRP FN TIP, RND, SS</t>
  </si>
  <si>
    <t>CASTROVIEJO</t>
  </si>
  <si>
    <t>MICRO, 125 DEGREE</t>
  </si>
  <si>
    <t>4.5 IN</t>
  </si>
  <si>
    <t>SHARP FINE TIP, ROUND HANDLE</t>
  </si>
  <si>
    <t>http://www.lt-technologies.de/_ws/mediabase/_ts_1494230442000/Downloads/CardioCatalog_LIT12012_low-res.pdf, https://accessgudid.nlm.nih.gov/devices/10885403022173</t>
  </si>
  <si>
    <t>CH07422</t>
  </si>
  <si>
    <t>BD_CH07422</t>
  </si>
  <si>
    <t>CASTROVIEJO MICRO SCISSORS ANGLE 45DEG</t>
  </si>
  <si>
    <t>PRODIGO1056586</t>
  </si>
  <si>
    <t>CASTROVIEJO MICRO SCISSORS ROUND HANDLE SHARP FINE TIP ANGLED 45 Degree 4.5 IN SS LATEX NON STERILE</t>
  </si>
  <si>
    <t>SCISSOR, SURGICAL, CASTROVIEJO, MICRO, 45 DEGREE, 4.5 IN, SHARP FINE TIP, ROUND HANDLE, STAINLESS STEEL, NON STERILE, LATEX</t>
  </si>
  <si>
    <t>SCISSOR, SURG, CASTRO, MIC, 45 DEG, 4.5 IN, SHRP FN TIP, RND HNDL, SS, NS, LTX</t>
  </si>
  <si>
    <t>SCISSOR, SURG, CASTRO, MIC, 45 DEG, 4.5 IN, SHRP FN TIP, RND, SS</t>
  </si>
  <si>
    <t>MICRO, 45 DEGREE</t>
  </si>
  <si>
    <t>http://www.lt-technologies.de/_ws/mediabase/_ts_1494230442000/Downloads/CardioCatalog_LIT12012_low-res.pdf, https://accessgudid.nlm.nih.gov/devices/10885403022142</t>
  </si>
  <si>
    <t>CH07426</t>
  </si>
  <si>
    <t>BD_CH07426</t>
  </si>
  <si>
    <t>CASTROVIEJO MICRO SCISSORS ANGLE 90DEG</t>
  </si>
  <si>
    <t>PRODIGO1056587</t>
  </si>
  <si>
    <t>CASTROVIEJO MICRO SCISSORS ROUND HANDLE SHARP FINE TIP ANGLED 90 Degree 4.5 IN SS LATEX NON STERILE</t>
  </si>
  <si>
    <t>SCISSOR, SURGICAL, CASTROVIEJO, MICRO, 90 DEGREE, 4.5 IN, SHARP FINE TIP, ROUND HANDLE, STAINLESS STEEL, NON STERILE, LATEX</t>
  </si>
  <si>
    <t>SCISSOR, SURG, CASTRO, MIC, 90 DEG, 4.5 IN, SHRP FN TIP, RND HNDL, SS, NS, LTX</t>
  </si>
  <si>
    <t>SCISSOR, SURG, CASTRO, MIC, 90 DEG, 4.5 IN, SHRP FN TIP, RND, SS</t>
  </si>
  <si>
    <t>MICRO, 90 DEGREE</t>
  </si>
  <si>
    <t>http://www.lt-technologies.de/_ws/mediabase/_ts_1494230442000/Downloads/CardioCatalog_LIT12012_low-res.pdf, https://accessgudid.nlm.nih.gov/devices/10885403022166</t>
  </si>
  <si>
    <t>CH7460</t>
  </si>
  <si>
    <t>BD_CH7460</t>
  </si>
  <si>
    <t>CHERRY CLAMP CVD JAW</t>
  </si>
  <si>
    <t>PRODIGO1057156</t>
  </si>
  <si>
    <t>CHERRY Clamp Handle angled 60º. 2 x 3 teeth.
Curved jaws
length 5-3/4in
(14.6cm). 12-1/2in (31.7cm)</t>
  </si>
  <si>
    <t>CLAMP, SURGICAL, CHERRY, 60 DEGREE, 12.5 IN, 5.75 IN, HANDLE ANGLED, CURVED JAW, 2X3 TEETH, NON STERILE, LATEX</t>
  </si>
  <si>
    <t>CLAMP, SURG, CHERRY, 60 DEG, 12.5 IN, 5.75 IN, HNDL ANGLED, CRV JAW, 2X3 TEETH, NS, LTX</t>
  </si>
  <si>
    <t>CLAMP, SURG, CHERRY, 60 DEG, 12.5 IN, 5.75 IN, HNDL ANGLED, CRV JAW</t>
  </si>
  <si>
    <t>CHERRY</t>
  </si>
  <si>
    <t>60 DEGREE</t>
  </si>
  <si>
    <t>12.5 IN</t>
  </si>
  <si>
    <t>HANDLE ANGLED, CURVED JAW, 2X3 TEETH</t>
  </si>
  <si>
    <t>http://www.lt-technologies.de/_ws/mediabase/_ts_1494230442000/Downloads/CardioCatalog_LIT12012_low-res.pdf, https://accessgudid.nlm.nih.gov/devices/10885403033100</t>
  </si>
  <si>
    <t>NL1350</t>
  </si>
  <si>
    <t>BD_NL1350</t>
  </si>
  <si>
    <t>CHERRY S-SHAPE BRAIN RETR 10&amp;13MMW 6-3/4</t>
  </si>
  <si>
    <t>PRODIGO1058075</t>
  </si>
  <si>
    <t>CHERRY S-SHAPED BRAIN RETRACTORS</t>
  </si>
  <si>
    <t>RETRACTOR, SURGICAL, CHERRY S-SHAPED, 6.75 IN, 10X13 MM, DOUBLE ACTION, MATTE FINISH, NON STERILE, LATEX</t>
  </si>
  <si>
    <t>RETRACTOR SURGICAL CHERRY S-SHAPED 6.75 IN 10X13 MM DOUBLE ACTION MATTE FINISH NON STERILE LATEX</t>
  </si>
  <si>
    <t>RETRACTOR, SURG, CHERRY S-SHAPED, 6.75 IN, 10X13 MM, DBL ACT, MATTE FINISH, NS, LTX</t>
  </si>
  <si>
    <t>RETRACTOR, SURG, CHERRY S-SHAPED, 6.75 IN, 10X13 MM, DBL ACT</t>
  </si>
  <si>
    <t>CHERRY S-SHAPED</t>
  </si>
  <si>
    <t>6.75 IN</t>
  </si>
  <si>
    <t>10X13 MM</t>
  </si>
  <si>
    <t>DOUBLE ACTION, MATTE FINISH</t>
  </si>
  <si>
    <t>https://www.bd.com/en-us/products-and-solutions/products/product-page.NL1350#specifications, https://accessgudid.nlm.nih.gov/devices/10885403071263</t>
  </si>
  <si>
    <t>CH9302</t>
  </si>
  <si>
    <t>BD_CH9302</t>
  </si>
  <si>
    <t>CHEST FORCEPS CVD LGTH 11-7/8IN</t>
  </si>
  <si>
    <t>PRODIGO1057284</t>
  </si>
  <si>
    <t>Chest Forceps Curved jaw 11-7/8in</t>
  </si>
  <si>
    <t>FORCEP, SURGICAL, CHEST, 11-7/8 IN, 6 IN, CURVED LONG JAW, NON STERILE, LATEX</t>
  </si>
  <si>
    <t>FORCEP, SURG, CHST, 11-7/8 IN, 6 IN, CRV LNG JAW, NS, LTX</t>
  </si>
  <si>
    <t>CHEST</t>
  </si>
  <si>
    <t>11-7/8 IN</t>
  </si>
  <si>
    <t>CURVED LONG JAW</t>
  </si>
  <si>
    <t>https://www.hces.com.sg/wp-content/uploads/2021/04/Cardiovascular-Pages-from-vmueller-snowdenpencer-armamentarium-catalogue-4.pdf, https://accessgudid.nlm.nih.gov/devices/10885403035937</t>
  </si>
  <si>
    <t>CH9322</t>
  </si>
  <si>
    <t>BD_CH9322</t>
  </si>
  <si>
    <t>CHEST FORCEPS OVER LGTH 11-7/8IN</t>
  </si>
  <si>
    <t>PRODIGO1057292</t>
  </si>
  <si>
    <t>Chest Forceps CURVED HANDLE 11-7/8iN</t>
  </si>
  <si>
    <t>FORCEP, SURGICAL, CHEST, 11-7/8 IN, 4 IN, CURVED HANDLE, SHORT JAW, NON STERILE, LATEX</t>
  </si>
  <si>
    <t>FORCEP, SURG, CHST, 11-7/8 IN, 4 IN, CRV HNDL, SHT JAW, NS, LTX</t>
  </si>
  <si>
    <t>CURVED HANDLE, SHORT JAW</t>
  </si>
  <si>
    <t>https://www.hces.com.sg/wp-content/uploads/2021/04/Cardiovascular-Pages-from-vmueller-snowdenpencer-armamentarium-catalogue-4.pdf, https://accessgudid.nlm.nih.gov/devices/10885403036033</t>
  </si>
  <si>
    <t>CH9314</t>
  </si>
  <si>
    <t>BD_CH9314</t>
  </si>
  <si>
    <t>CHEST FORCEPS OVER LGTH 12-1/2IN</t>
  </si>
  <si>
    <t>PRODIGO1057288</t>
  </si>
  <si>
    <t>Chest Forceps Straight 12-1/2in</t>
  </si>
  <si>
    <t>FORCEP, SURGICAL, CHEST, 12.5 IN, 4 IN, STRAIGHT, SHORT JAW, NON STERILE, LATEX</t>
  </si>
  <si>
    <t>FORCEP, SURG, CHST, 12.5 IN, 4 IN, STR, SHT JAW, NS, LTX</t>
  </si>
  <si>
    <t>STRAIGHT, SHORT JAW</t>
  </si>
  <si>
    <t>https://www.hces.com.sg/wp-content/uploads/2021/04/Cardiovascular-Pages-from-vmueller-snowdenpencer-armamentarium-catalogue-4.pdf, https://accessgudid.nlm.nih.gov/devices/10885403035999</t>
  </si>
  <si>
    <t>CH9308</t>
  </si>
  <si>
    <t>BD_CH9308</t>
  </si>
  <si>
    <t>CHEST FORCEPS OVER LGTH 12-1/8IN</t>
  </si>
  <si>
    <t>PRODIGO1057287</t>
  </si>
  <si>
    <t>Chest Forceps CURVED HANDLE 12-1/8iN</t>
  </si>
  <si>
    <t>FORCEP, SURGICAL, CHEST, 12-1/8 IN, 6 IN, CURVED HANDLE, LONG JAW, NON STERILE, LATEX</t>
  </si>
  <si>
    <t>FORCEP, SURG, CHST, 12-1/8 IN, 6 IN, CRV HNDL, LNG JAW, NS, LTX</t>
  </si>
  <si>
    <t>12-1/8 IN</t>
  </si>
  <si>
    <t>CURVED HANDLE, LONG JAW</t>
  </si>
  <si>
    <t>https://www.hces.com.sg/wp-content/uploads/2021/04/Cardiovascular-Pages-from-vmueller-snowdenpencer-armamentarium-catalogue-4.pdf, https://accessgudid.nlm.nih.gov/devices/10885403035968</t>
  </si>
  <si>
    <t>CH9306</t>
  </si>
  <si>
    <t>BD_CH9306</t>
  </si>
  <si>
    <t>CHEST FORCEPS OVER LGTH 12IN(30.5CM)</t>
  </si>
  <si>
    <t>PRODIGO1057286</t>
  </si>
  <si>
    <t>Chest Forceps Curved-on-side 12IN</t>
  </si>
  <si>
    <t>FORCEP, SURGICAL, CHEST, 12 IN, 6 IN, CURVED ON SIDE, LONG JAW, NON STERILE, LATEX</t>
  </si>
  <si>
    <t>FORCEP, SURG, CHST, 12 IN, 6 IN, CRV ON SIDE, LNG JAW, NS, LTX</t>
  </si>
  <si>
    <t>CURVED ON SIDE, LONG JAW</t>
  </si>
  <si>
    <t>https://www.hces.com.sg/wp-content/uploads/2021/04/Cardiovascular-Pages-from-vmueller-snowdenpencer-armamentarium-catalogue-4.pdf, https://accessgudid.nlm.nih.gov/devices/10885403035951</t>
  </si>
  <si>
    <t>CH9320</t>
  </si>
  <si>
    <t>BD_CH9320</t>
  </si>
  <si>
    <t>PRODIGO1057291</t>
  </si>
  <si>
    <t>FORCEP, SURGICAL, CHEST, 12 IN, 4 IN, CURVED ON SIDE, SHORT JAW, NON STERILE, LATEX</t>
  </si>
  <si>
    <t>FORCEP, SURG, CHST, 12 IN, 4 IN, CRV ON SIDE, SHT JAW, NS, LTX</t>
  </si>
  <si>
    <t>CURVED ON SIDE, SHORT JAW</t>
  </si>
  <si>
    <t>https://www.hces.com.sg/wp-content/uploads/2021/04/Cardiovascular-Pages-from-vmueller-snowdenpencer-armamentarium-catalogue-4.pdf, https://accessgudid.nlm.nih.gov/devices/10885403036026</t>
  </si>
  <si>
    <t>LA0533CC</t>
  </si>
  <si>
    <t>LA-0533-CC</t>
  </si>
  <si>
    <t>BD_LA0533CC</t>
  </si>
  <si>
    <t>CHOLANGIOGRAM CLAMP COMPLETE INSTRUMENT</t>
  </si>
  <si>
    <t>PRODIGO1057656</t>
  </si>
  <si>
    <t>Cholangiogram clamp, double-action</t>
  </si>
  <si>
    <t>CLAMP, ENDOSCOPIC, CHOLANGIOGRAM, 5 MM, DOUBLE ACTION, COMPLETE INSTRUMENT, NON STERILE, LATEX</t>
  </si>
  <si>
    <t>CLAMP, ENDOSCP, CHOLANGIOGRAM, 5 MM, DBL ACT, COMPLETE INSTRUMENT, NS, LTX</t>
  </si>
  <si>
    <t>CLAMP, ENDOSCP, CHOLANGIOGRAM, 5 MM, DBL ACT, COMPLETE INSTRUMENT</t>
  </si>
  <si>
    <t>CHOLANGIOGRAM</t>
  </si>
  <si>
    <t>DOUBLE ACTION, COMPLETE INSTRUMENT</t>
  </si>
  <si>
    <t>https://www.bd.com/en-us/products-and-solutions/products/product-page.la-0533-cc, https://accessgudid.nlm.nih.gov/devices/10885403466670</t>
  </si>
  <si>
    <t>CH2255</t>
  </si>
  <si>
    <t>BD_CH2255</t>
  </si>
  <si>
    <t>CHURCH SCISSORS LIGHT LONG CVD BLUNT</t>
  </si>
  <si>
    <t>PRODIGO1056774</t>
  </si>
  <si>
    <t>CHURCH Scissors</t>
  </si>
  <si>
    <t>SCISSOR, SURGICAL, CHURCH, LONG, 10 IN, CURVED, LIGHT, BEVELED, MAYO TYPE DISSECTING BLADE, BLUNT, NON STERILE, LATEX</t>
  </si>
  <si>
    <t>SCISSOR, SURG, CHURCH, LNG, 10 IN, CRV, LIGHT, BVL, MAYO TYP DISECT BLADE, BLNT, NS, LTX</t>
  </si>
  <si>
    <t>SCISSOR, SURG, CHURCH, LNG, 10 IN, CRV, LIGHT, BVL, MAYO BLADE, BLNT</t>
  </si>
  <si>
    <t>CHURCH</t>
  </si>
  <si>
    <t>CURVED, LIGHT, BEVELED, MAYO TYPE DISSECTING BLADE, BLUNT</t>
  </si>
  <si>
    <t>http://www.lt-technologies.de/_ws/mediabase/_ts_1494230442000/Downloads/CardioCatalog_LIT12012_low-res.pdf, https://accessgudid.nlm.nih.gov/devices/10885403025143</t>
  </si>
  <si>
    <t>CH2240</t>
  </si>
  <si>
    <t>BD_CH2240</t>
  </si>
  <si>
    <t>CHURCH SCISSORS LIGHT LONG STR BLUNT</t>
  </si>
  <si>
    <t>PRODIGO1056772</t>
  </si>
  <si>
    <t>SCISSOR, SURGICAL, CHURCH, LONG, 6.75 IN, STRAIGHT, LIGHT, BEVELED, MAYO TYPE DISSECTING BLADE, BLUNT, NON STERILE, LATEX</t>
  </si>
  <si>
    <t>SCISSOR, SURG, CHURCH, LNG, 6.75 IN, STR, LIGHT, BVL, MAYO TYP DISECT BLADE, BLNT, NS, LTX</t>
  </si>
  <si>
    <t>SCISSOR, SURG, CHURCH, LNG, 6.75 IN, STR, LIGHT, MAYO BLADE, BLNT</t>
  </si>
  <si>
    <t>STRAIGHT, LIGHT, BEVELED, MAYO TYPE DISSECTING BLADE, BLUNT</t>
  </si>
  <si>
    <t>http://www.lt-technologies.de/_ws/mediabase/_ts_1494230442000/Downloads/CardioCatalog_LIT12012_low-res.pdf, https://accessgudid.nlm.nih.gov/devices/10885403024986</t>
  </si>
  <si>
    <t>CH13144</t>
  </si>
  <si>
    <t>BD_CH13144</t>
  </si>
  <si>
    <t>CLAMP APPLY FORCEP .4-2.25MM ANG W/O LCK</t>
  </si>
  <si>
    <t>PRODIGO1056700</t>
  </si>
  <si>
    <t>Clamp applying forceps</t>
  </si>
  <si>
    <t>FORCEP, SURGICAL, 5-7/8 IN, 0.4-2.25 MM, CLAMP APPLYING, ANGLED, WITHOUT LOCK, DOUBLE ACTION, SATIN FINISH, NON STERILE, LATEX</t>
  </si>
  <si>
    <t>FORCEP, SURG, 5-7/8 IN, 0.4-2.25 MM, CLMP APPLYING, ANGLED, W/O LCK, DBL ACT, SATIN FINISH, NS, LTX</t>
  </si>
  <si>
    <t>FORCEP, SURG, 5-7/8 IN, 0.4-2.25 MM, CLMP APPLYING, W/O LCK, DBL</t>
  </si>
  <si>
    <t>0.4-2.25 MM</t>
  </si>
  <si>
    <t>CLAMP APPLYING, ANGLED, WITHOUT LOCK, DOUBLE ACTION, SATIN FINISH</t>
  </si>
  <si>
    <t>https://www.bd.com/en-us/products-and-solutions/products/product-page.CH13144#specifications, https://accessgudid.nlm.nih.gov/devices/10885403124150</t>
  </si>
  <si>
    <t>CH13146</t>
  </si>
  <si>
    <t>BD_CH13146</t>
  </si>
  <si>
    <t>CLAMP APPLY FORCEP STR .4-1.5MM W/LCK</t>
  </si>
  <si>
    <t>PRODIGO1056702</t>
  </si>
  <si>
    <t>Clamp applying forceps Straight Overall length 5-1/2in 14cm With lock</t>
  </si>
  <si>
    <t>FORCEP, SURGICAL, 5.5 IN, 0.4-1.5 MM, CLAMP APPLYING, STRAIGHT, WITH LOCK, DOUBLE ACTION, SATIN FINISH</t>
  </si>
  <si>
    <t>FORCEP, SURG, 5.5 IN, 0.4-1.5 MM, CLMP APPLYING, STR, W/ LCK, DBL ACT, SATIN FINISH</t>
  </si>
  <si>
    <t>FORCEP, SURG, 5.5 IN, 0.4-1.5 MM, CLMP APPLYING, STR, LCK, DBL ACT</t>
  </si>
  <si>
    <t>0.4-1.5 MM</t>
  </si>
  <si>
    <t>CLAMP APPLYING, STRAIGHT, WITH LOCK, DOUBLE ACTION, SATIN FINISH</t>
  </si>
  <si>
    <t>https://www.bd.com/en-us/products-and-solutions/products/product-page.CH13146#specifications</t>
  </si>
  <si>
    <t>CH13145</t>
  </si>
  <si>
    <t>BD_CH13145</t>
  </si>
  <si>
    <t>CLAMP APPLY FORCEP STR .4-1.5MM W/O LOCK</t>
  </si>
  <si>
    <t>PRODIGO1056701</t>
  </si>
  <si>
    <t>Clamp applying forceps Straight Overall length 5-1/2in 14cm Without lock</t>
  </si>
  <si>
    <t>FORCEP, SURGICAL, 5.5 IN, 0.4-1.5 MM, CLAMP APPLYING, STRAIGHT, WITHOUT LOCK, DOUBLE ACTION, SATIN FINISH</t>
  </si>
  <si>
    <t>FORCEP, SURG, 5.5 IN, 0.4-1.5 MM, CLMP APPLYING, STR, W/O LCK, DBL ACT, SATIN FINISH</t>
  </si>
  <si>
    <t>FORCEP, SURG, 5.5 IN, 0.4-1.5 MM, CLMP APPLYING, STR, W/O LCK, DBL</t>
  </si>
  <si>
    <t>CLAMP APPLYING, STRAIGHT, WITHOUT LOCK, DOUBLE ACTION, SATIN FINISH</t>
  </si>
  <si>
    <t>https://www.bd.com/en-us/products-and-solutions/products/product-page.CH13145#specifications</t>
  </si>
  <si>
    <t>CH6355</t>
  </si>
  <si>
    <t>BD_CH6355</t>
  </si>
  <si>
    <t>CLAMP CARDIO COOLEY CVD JAW 4CM</t>
  </si>
  <si>
    <t>PRODIGO1057039</t>
  </si>
  <si>
    <t>CLAMP SURGICAL 8.25 IN 5.4 CM CURVED JAW</t>
  </si>
  <si>
    <t>CLAMP, SURGICAL, 8.25 IN, 5.4 CM, CURVED JAW, NON STERILE, LATEX</t>
  </si>
  <si>
    <t>CLAMP, SURG, 8.25 IN, 5.4 CM, CRV JAW, NS, LTX</t>
  </si>
  <si>
    <t>5.4 CM</t>
  </si>
  <si>
    <t>CURVED JAW</t>
  </si>
  <si>
    <t>4 CM</t>
  </si>
  <si>
    <t>http://www.megamedworld.com/wp-content/uploads/2019/03/VM_KVC-min.pdf, https://accessgudid.nlm.nih.gov/devices/10885403031465</t>
  </si>
  <si>
    <t>LAT1036CSA</t>
  </si>
  <si>
    <t>LAT-1036-CSA</t>
  </si>
  <si>
    <t>BD_LAT1036CSA</t>
  </si>
  <si>
    <t>CLAW 2X3 S/A INSERT 10MM 36CM</t>
  </si>
  <si>
    <t>PRODIGO1057835</t>
  </si>
  <si>
    <t>GRASPER, ENDOSCOPIC, CLAW, 10 MMX36 CM, 2X3, SINGLE ACTION INSERT, INSULATED HANDLE, INSULATED HANDLE, LAPAROSCOPIC, NON STERILE, LATEX</t>
  </si>
  <si>
    <t>GRASPER ENDOSCOPIC CLAW 10 MMX36 CM 2X3 SINGLE ACTION INSERT INSULATED HANDLE INSULATED HANDLE LAPAROSCOPIC NON STERILE LATEX</t>
  </si>
  <si>
    <t>GRASPER, ENDOSCP, CLAW, 10 MMX36 CM, 2X3, SINGLE ACT INSRT, INSUL HNDL, INSUL HNDL, LAP, NS, LTX</t>
  </si>
  <si>
    <t>GRASPER, ENDOSCP, CLAW, 10 MMX36 CM, 2X3, SINGLE ACT INSRT</t>
  </si>
  <si>
    <t>CLAW</t>
  </si>
  <si>
    <t>2X3, SINGLE ACTION INSERT, INSULATED HANDLE, INSULATED HANDLE, LAPAROSCOPIC</t>
  </si>
  <si>
    <t>https://www.bd.com/en-us/products-and-solutions/products/product-page.lat-1036-csa#specifications, https://accessgudid.nlm.nih.gov/devices/10885403431869</t>
  </si>
  <si>
    <t>LAT0536CSA</t>
  </si>
  <si>
    <t>LAT-0536CSA</t>
  </si>
  <si>
    <t>BD_LAT0536CSA</t>
  </si>
  <si>
    <t>CLAW 2X3 S/A INSERT 5MM 36CM</t>
  </si>
  <si>
    <t>PRODIGO1057787</t>
  </si>
  <si>
    <t>Snowden-pencer Grasper 5 Mmx36 Cm Claw 2x3 Teeth Single Action Insert Insulated Handle Shaft Non Sterile Latex</t>
  </si>
  <si>
    <t>GRASPER, ENDOSCOPIC, CLAW, 5 MMX36 CM, 2X3 TEETH, SINGLE ACTION, INSERT, INSULATED HANDLE SHAFT, NON STERILE, SNOWDEN-PENCER, LATEX</t>
  </si>
  <si>
    <t>GRASPER, ENDOSCP, CLAW, 5 MMX36 CM, 2X3 TEETH, SINGLE ACT, INSRT, INSUL HNDL SHFT, NS, SNOWDEN-PENCER, LTX</t>
  </si>
  <si>
    <t>GRASPER, ENDOSCP, CLAW, 5 MMX36 CM, 2X3 TEETH, SNOWDEN-PENCER</t>
  </si>
  <si>
    <t>2X3 TEETH, SINGLE ACTION, INSERT, INSULATED HANDLE SHAFT</t>
  </si>
  <si>
    <t>https://www.bd.com/en-us/products-and-solutions/products/product-page.lat-0536-CSA#overview, https://accessgudid.nlm.nih.gov/devices/10885403431647</t>
  </si>
  <si>
    <t>LAT0545CSA</t>
  </si>
  <si>
    <t>LAT-0545-CSA</t>
  </si>
  <si>
    <t>BD_LAT0545CSA</t>
  </si>
  <si>
    <t>CLAW 2X3 S/A INSERT 5MM 45CM</t>
  </si>
  <si>
    <t>PRODIGO1057820</t>
  </si>
  <si>
    <t>GRASPER, ENDOSCOPIC, CLAW, 5 MMX45 CM, 2X3, SINGLE ACTION INSERT, INSULATED HANDLE, INSULATED HANDLE, LAPAROSCOPIC, NON STERILE, LATEX</t>
  </si>
  <si>
    <t>GRASPER ENDOSCOPIC CLAW 5 MMX45 CM 2X3 SINGLE ACTION INSERT INSULATED HANDLE INSULATED HANDLE LAPAROSCOPIC NON STERILE LATEX</t>
  </si>
  <si>
    <t>GRASPER, ENDOSCP, CLAW, 5 MMX45 CM, 2X3, SINGLE ACT INSRT, INSUL HNDL, INSUL HNDL, LAP, NS, LTX</t>
  </si>
  <si>
    <t>GRASPER, ENDOSCP, CLAW, 5 MMX45 CM, 2X3, SINGLE ACT INSRT</t>
  </si>
  <si>
    <t>https://www.bd.com/en-us/products-and-solutions/products/product-page.lat-0545-csa#overview, https://accessgudid.nlm.nih.gov/devices/10885403431784</t>
  </si>
  <si>
    <t>LAT0536CL</t>
  </si>
  <si>
    <t>LAT-0536-CL</t>
  </si>
  <si>
    <t>BD_LAT0536CL</t>
  </si>
  <si>
    <t>CLINCH GRASPER D/A INSERT 5MM 36CM</t>
  </si>
  <si>
    <t>PRODIGO1057784</t>
  </si>
  <si>
    <t>Snowden-pencer Grasper 5 Mmx36 Cm Clinch Double Action Insert Insulated Handle Shaft Non Sterile Latex</t>
  </si>
  <si>
    <t>GRASPER, ENDOSCOPIC, CLINCH, 5 MMX36 CM, DOUBLE ACTION, INSERT, INSULATED HANDLE SHAFT, NON STERILE, SNOWDEN-PENCER, LATEX</t>
  </si>
  <si>
    <t>GRASPER, ENDOSCP, CLINCH, 5 MMX36 CM, DBL ACT, INSRT, INSUL HNDL SHFT, NS, SNOWDEN-PENCER, LTX</t>
  </si>
  <si>
    <t>GRASPER, ENDOSCP, CLINCH, 5 MMX36 CM, DBL ACT, SNOWDEN-PENCER</t>
  </si>
  <si>
    <t>CLINCH</t>
  </si>
  <si>
    <t>https://www.bd.com/en-us/products-and-solutions/products/product-page.lat-0536-cl#overview, https://accessgudid.nlm.nih.gov/devices/10885403431463</t>
  </si>
  <si>
    <t>LAT0545CL</t>
  </si>
  <si>
    <t>LAT-0545-CL</t>
  </si>
  <si>
    <t>BD_LAT0545CL</t>
  </si>
  <si>
    <t>CLINCH GRASPER D/A INSERT 5MM 45CM</t>
  </si>
  <si>
    <t>PRODIGO1057818</t>
  </si>
  <si>
    <t>GRASPER, ENDOSCOPIC, CLINCH, 5 MMX45 CM, DOUBLE ACTION INSERT, LAPAROSCOPIC, NON STERILE, LATEX</t>
  </si>
  <si>
    <t>GRASPER ENDOSCOPIC CLINCH 5 MMX45 CM DOUBLE ACTION INSERT LAPAROSCOPIC NON STERILE LATEX</t>
  </si>
  <si>
    <t>GRASPER, ENDOSCP, CLINCH, 5 MMX45 CM, DBL ACT INSRT, LAP, NS, LTX</t>
  </si>
  <si>
    <t>DOUBLE ACTION INSERT, LAPAROSCOPIC</t>
  </si>
  <si>
    <t>https://www.lt-technologies.de/_ws/mediabase/Downloads/V%20Mueller%20Take%20Apart%20Lap%20Instruments%20Brochure.pdf, https://accessgudid.nlm.nih.gov/devices/10885403431470</t>
  </si>
  <si>
    <t>NL2430</t>
  </si>
  <si>
    <t>BD_NL2430</t>
  </si>
  <si>
    <t>CLOWARD DURAL HOOK 2.5MM OVER LGTH 6-7/8</t>
  </si>
  <si>
    <t>PRODIGO1058147</t>
  </si>
  <si>
    <t>Cloward dural hook Sharp hook. Hook diameter 2.5mm. Overall length 6-7/8in (17.5cm)</t>
  </si>
  <si>
    <t>HOOK, SURGICAL, CLOWARD, 6-7/8 IN, 2.5 MM, DURAL SHARP HOOK, NON STERILE, LATEX</t>
  </si>
  <si>
    <t>HOOK, SURG, CLOWARD, 6-7/8 IN, 2.5 MM, DURA SHRP HK, NS, LTX</t>
  </si>
  <si>
    <t>CLOWARD</t>
  </si>
  <si>
    <t>2.5 MM</t>
  </si>
  <si>
    <t>DURAL SHARP HOOK</t>
  </si>
  <si>
    <t>https://www.bd.com/en-us/products-and-solutions/products/product-page.nl2430#overview, https://accessgudid.nlm.nih.gov/devices/10885403072703</t>
  </si>
  <si>
    <t>NA7101013</t>
  </si>
  <si>
    <t>NA7101-013</t>
  </si>
  <si>
    <t>BD_NA7101013</t>
  </si>
  <si>
    <t>COBB ELEVATOR HEX HANDLE 9-1/2IN</t>
  </si>
  <si>
    <t>PRODIGO1058029</t>
  </si>
  <si>
    <t>COBB ELEVATOR AFFINITY LINE. HEXAGON HANDLE. BLADE 13MM WIDE. OVERALL LENGTH 9-1/2IN 24.1CM</t>
  </si>
  <si>
    <t>ELEVATOR, SURGICAL, COBB, 9.5 IN, 13 MM, AFFINITY LINE, HEXAGON HANDLE, NON STERILE, LATEX</t>
  </si>
  <si>
    <t>ELEVATOR SURGICAL COBB 9.5 IN 13 MM AFFINITY LINE HEXAGON HANDLE NON STERILE LATEX</t>
  </si>
  <si>
    <t>ELEVATOR, SURG, COBB, 9.5 IN, 13 MM, AFFIN LN, HEX HNDL, NS, LTX</t>
  </si>
  <si>
    <t>COBB</t>
  </si>
  <si>
    <t>13 MM</t>
  </si>
  <si>
    <t>AFFINITY LINE, HEXAGON HANDLE</t>
  </si>
  <si>
    <t>https://www.bd.com/en-us/products-and-solutions/products/product-print-page.NA7101-013?printmode=true</t>
  </si>
  <si>
    <t>LAT0536CR</t>
  </si>
  <si>
    <t>LAT-0536-CR</t>
  </si>
  <si>
    <t>BD_LAT0536CR</t>
  </si>
  <si>
    <t>COBRA GRASPER D/A INSERT 5MM 36CM</t>
  </si>
  <si>
    <t>PRODIGO1057786</t>
  </si>
  <si>
    <t>Snowden-pencer Grasper 5 Mmx36 Cm Cobra Double Action Insert Insulated Handle Shaft Non Sterile Latex</t>
  </si>
  <si>
    <t>GRASPER, ENDOSCOPIC, COBRA, 5 MMX36 CM, DOUBLE ACTION, INSERT, INSULATED HANDLE SHAFT, NON STERILE, SNOWDEN-PENCER, LATEX</t>
  </si>
  <si>
    <t>GRASPER, ENDOSCP, COBRA, 5 MMX36 CM, DBL ACT, INSRT, INSUL HNDL SHFT, NS, SNOWDEN-PENCER, LTX</t>
  </si>
  <si>
    <t>GRASPER, ENDOSCP, COBRA, 5 MMX36 CM, DBL ACT, SNOWDEN-PENCER</t>
  </si>
  <si>
    <t>COBRA</t>
  </si>
  <si>
    <t>https://www.bd.com/en-us/products-and-solutions/products/product-page.lat-0536-cr, https://accessgudid.nlm.nih.gov/devices/10885403431630</t>
  </si>
  <si>
    <t>GL5000</t>
  </si>
  <si>
    <t>BD_GL5000</t>
  </si>
  <si>
    <t>COLLYER PELVIMETER IN&amp;CM GRADUATED</t>
  </si>
  <si>
    <t>PRODIGO1057512</t>
  </si>
  <si>
    <t>42293002  Surgical measuring gauges or rods or depth stops</t>
  </si>
  <si>
    <t>Collyer pelvimeter Graduated in inches and centimeters. External measurements.</t>
  </si>
  <si>
    <t>PELVIMETER, SURGICAL, COLLYER, GRADUATED IN INCHES AND CENTIMETRE, EXTERNAL MEASUREMENT, NON STERILE, LATEX</t>
  </si>
  <si>
    <t>PELVIMETER, SURG, COLLYER, GRAD IN INCHES &amp; CENTIMETRE, EXT MEAS, NS, LTX</t>
  </si>
  <si>
    <t>PELVIMETER, SURG, COLLYER, GRAD IN INCHES &amp; CENTIMETRE, EXT MEAS</t>
  </si>
  <si>
    <t>PELVIMETER</t>
  </si>
  <si>
    <t>COLLYER</t>
  </si>
  <si>
    <t>GRADUATED IN INCHES AND CENTIMETRE, EXTERNAL MEASUREMENT</t>
  </si>
  <si>
    <t>https://www.bd.com/en-us/products-and-solutions/products/product-page.GL5000#overview, https://accessgudid.nlm.nih.gov/devices/10885403046735</t>
  </si>
  <si>
    <t>MO1420</t>
  </si>
  <si>
    <t>BD_MO1420</t>
  </si>
  <si>
    <t>COLVER TONSIL PILLAR GRASPING FORCEPS</t>
  </si>
  <si>
    <t>PRODIGO1057890</t>
  </si>
  <si>
    <t>COLVER TONSIL PILLAR GRASPING FORCEPS 5 X 6 TEETH. OVERALL LENGTH 7-5/8IN (19.4CM).</t>
  </si>
  <si>
    <t>FORCEP, SURGICAL, COLVER, 7-5/8 IN, TONSIL, PILLAR, GRASPING, 5X6 TEETH, MATTE FINISH, RING HANDLE, STAINLESS STEEL, NON STERILE, LATEX</t>
  </si>
  <si>
    <t>FORCEP, SURG, COLVER, 7-5/8 IN, TONSIL, PILLAR, GRASPING, 5X6 TEETH, MATTE FINISH, RNG HNDL, SS, NS, LTX</t>
  </si>
  <si>
    <t>FORCEP, SURG, COLVER, 7-5/8 IN, TONSIL, PILLAR, GRASPING, 5X6 TEETH</t>
  </si>
  <si>
    <t>COLVER</t>
  </si>
  <si>
    <t>7-5/8 IN</t>
  </si>
  <si>
    <t>TONSIL</t>
  </si>
  <si>
    <t>PILLAR, GRASPING, 5X6 TEETH, MATTE FINISH, RING HANDLE</t>
  </si>
  <si>
    <t>https://www.bd.com/en-us/products-and-solutions/products/product-page.MO1420#overview, https://accessgudid.nlm.nih.gov/devices/10885403058769</t>
  </si>
  <si>
    <t>NL2280</t>
  </si>
  <si>
    <t>BD_NL2280</t>
  </si>
  <si>
    <t>CONE BIOPSY CANNULA 13GA WORK LGTH 3-1/2</t>
  </si>
  <si>
    <t>PRODIGO1058144</t>
  </si>
  <si>
    <t>Cone biopsy cannulas Mirror finish. Working length 3-1/2in (8.9cm). 13GA</t>
  </si>
  <si>
    <t>CANNULA, PERFUSION, CONE, 13 GAX3.5 IN, MIRROR FINISH, BIOPSY, NON STERILE, LATEX</t>
  </si>
  <si>
    <t>CANNULA, PERF, CONE, 13 GAX3.5 IN, MIRROR FINISH, BX, NS, LTX</t>
  </si>
  <si>
    <t>CONE</t>
  </si>
  <si>
    <t>13 GAX3.5 IN</t>
  </si>
  <si>
    <t>MIRROR FINISH, BIOPSY</t>
  </si>
  <si>
    <t>https://www.bd.com/en-us/products-and-solutions/products/product-page.NL2280#overview, https://accessgudid.nlm.nih.gov/devices/10885403072659</t>
  </si>
  <si>
    <t>NL2281</t>
  </si>
  <si>
    <t>BD_NL2281</t>
  </si>
  <si>
    <t>CONE BIOPSY CANNULA 15GA WORK LGTH 3-1/2</t>
  </si>
  <si>
    <t>PRODIGO1058145</t>
  </si>
  <si>
    <t>Cone biopsy cannulas Mirror finish. Working length 3-1/2in (8.9cm). 15GA.</t>
  </si>
  <si>
    <t>CANNULA, PERFUSION, CONE, 15 GAX3.5 IN, MIRROR FINISH, BIOPSY, NON STERILE, LATEX</t>
  </si>
  <si>
    <t>CANNULA, PERF, CONE, 15 GAX3.5 IN, MIRROR FINISH, BX, NS, LTX</t>
  </si>
  <si>
    <t>15 GAX3.5 IN</t>
  </si>
  <si>
    <t>https://www.bd.com/en-us/products-and-solutions/products/product-page.NL2281#overview, https://accessgudid.nlm.nih.gov/devices/10885403072666</t>
  </si>
  <si>
    <t>NL2112</t>
  </si>
  <si>
    <t>BD_NL2112</t>
  </si>
  <si>
    <t>CONE VENTRICULAR NEEDLE 1 HOLE 3-1/2IN</t>
  </si>
  <si>
    <t>PRODIGO1058137</t>
  </si>
  <si>
    <t>Cone ventricular needles Mirror finish. Working length 3-1/2in (8.9cm). With 1 hole. Diameter 16GA</t>
  </si>
  <si>
    <t>NEEDLE, VENTRICULAR, CONE, 16 GAX3.5 IN, 1 HOLE, MIRROR FINISH, NON STERILE, LATEX</t>
  </si>
  <si>
    <t>NEEDLE, VENTRICULAR, CONE, 16 GAX3.5 IN, 1 HOLE, MIRROR FINISH, NS, LTX</t>
  </si>
  <si>
    <t>NEEDLE, VENTRICULAR, CONE, 16 GAX3.5 IN, 1 HOLE, MIRROR FINISH</t>
  </si>
  <si>
    <t>VENTRICULAR</t>
  </si>
  <si>
    <t>16 GAX3.5 IN</t>
  </si>
  <si>
    <t>1 HOLE, MIRROR FINISH</t>
  </si>
  <si>
    <t>https://www.bd.com/en-us/products-and-solutions/products/product-page.NL2112#overview, https://accessgudid.nlm.nih.gov/devices/10885403072581</t>
  </si>
  <si>
    <t>NL2113</t>
  </si>
  <si>
    <t>BD_NL2113</t>
  </si>
  <si>
    <t>PRODIGO1058138</t>
  </si>
  <si>
    <t>Cone ventricular needles Mirror finish. Working length 3-1/2in (8.9cm). With 1 hole. Diameter 18GA</t>
  </si>
  <si>
    <t>NEEDLE, VENTRICULAR, CONE, 18 GAX3.5 IN, 1 HOLE, MIRROR FINISH, NON STERILE, LATEX</t>
  </si>
  <si>
    <t>NEEDLE, VENTRICULAR, CONE, 18 GAX3.5 IN, 1 HOLE, MIRROR FINISH, NS, LTX</t>
  </si>
  <si>
    <t>NEEDLE, VENTRICULAR, CONE, 18 GAX3.5 IN, 1 HOLE, MIRROR FINISH</t>
  </si>
  <si>
    <t>18 GAX3.5 IN</t>
  </si>
  <si>
    <t>https://www.bd.com/en-us/products-and-solutions/products/product-page.NL2113#overview, https://accessgudid.nlm.nih.gov/devices/10885403072598</t>
  </si>
  <si>
    <t>NL2110</t>
  </si>
  <si>
    <t>BD_NL2110</t>
  </si>
  <si>
    <t>CONE VENTRICULAR NEEDLE 2 HOLE 3-1/2IN</t>
  </si>
  <si>
    <t>PRODIGO1058135</t>
  </si>
  <si>
    <t>Cone ventricular needles Mirror finish. Working length 3-1/2in (8.9cm). With 2 holes. Diameter 16GA</t>
  </si>
  <si>
    <t>NEEDLE, VENTRICULAR, CONE, 16 GAX3.5 IN, 2 HOLE, MIRROR FINISH, NON STERILE, LATEX</t>
  </si>
  <si>
    <t>NEEDLE, VENTRICULAR, CONE, 16 GAX3.5 IN, 2 HOLE, MIRROR FINISH, NS, LTX</t>
  </si>
  <si>
    <t>NEEDLE, VENTRICULAR, CONE, 16 GAX3.5 IN, 2 HOLE, MIRROR FINISH</t>
  </si>
  <si>
    <t>2 HOLE, MIRROR FINISH</t>
  </si>
  <si>
    <t>https://www.bd.com/en-us/products-and-solutions/products/product-page.nl2110#overview, https://accessgudid.nlm.nih.gov/devices/10885403072567</t>
  </si>
  <si>
    <t>NL2111</t>
  </si>
  <si>
    <t>BD_NL2111</t>
  </si>
  <si>
    <t>PRODIGO1058136</t>
  </si>
  <si>
    <t>Cone ventricular needles Mirror finish. Working length 3-1/2in (8.9cm). With 2 holes. Diameter 18GA</t>
  </si>
  <si>
    <t>NEEDLE, VENTRICULAR, CONE, 18 GAX3.5 IN, 2 HOLE, MIRROR FINISH, NON STERILE, LATEX</t>
  </si>
  <si>
    <t>NEEDLE, VENTRICULAR, CONE, 18 GAX3.5 IN, 2 HOLE, MIRROR FINISH, NS, LTX</t>
  </si>
  <si>
    <t>NEEDLE, VENTRICULAR, CONE, 18 GAX3.5 IN, 2 HOLE, MIRROR FINISH</t>
  </si>
  <si>
    <t>https://www.bd.com/en-us/products-and-solutions/products/product-page.NL2111#overview, https://accessgudid.nlm.nih.gov/devices/10885403072574</t>
  </si>
  <si>
    <t>CH6568</t>
  </si>
  <si>
    <t>BD_CH6568</t>
  </si>
  <si>
    <t>COOLEY ANASTOMOSIS CLAMP JAW 19X6MM</t>
  </si>
  <si>
    <t>PRODIGO1057066</t>
  </si>
  <si>
    <t>COOLEY Anastomosis Clamps
Double-angled jaws are calibrated in 5mm increments.
Angled shanks. Overall length 6-1/2in (16.5cm). Jaw length
3/4in (1.9cm)
depth 6mm</t>
  </si>
  <si>
    <t>CLAMP, SURGICAL, COOLEY, 16.5 CM, 1.9 CMX6 MM, ANASTOMOSIS, DOUBLE-ANGLED JAW, ANGLED SHANK, NON STERILE, LATEX</t>
  </si>
  <si>
    <t>CLAMP, SURG, COOLEY, 16.5 CM, 1.9 CMX6 MM, ANAS, DOUBLE-ANGLED JAW, ANGLED SHANK, NS, LTX</t>
  </si>
  <si>
    <t>CLAMP, SURG, COOLEY, 16.5 CM, 1.9 CMX6 MM, ANAS, DOUBLE-ANGLED</t>
  </si>
  <si>
    <t>COOLEY</t>
  </si>
  <si>
    <t>16.5 CM</t>
  </si>
  <si>
    <t>1.9 CMX6 MM</t>
  </si>
  <si>
    <t>ANASTOMOSIS, DOUBLE-ANGLED JAW, ANGLED SHANK</t>
  </si>
  <si>
    <t>http://www.lt-technologies.de/_ws/mediabase/_ts_1494230442000/Downloads/CardioCatalog_LIT12012_low-res.pdf, https://accessgudid.nlm.nih.gov/devices/10885403031854</t>
  </si>
  <si>
    <t>CH6567</t>
  </si>
  <si>
    <t>BD_CH6567</t>
  </si>
  <si>
    <t>COOLEY ANASTOMOSIS CLAMP JAW19X7.3MM</t>
  </si>
  <si>
    <t>PRODIGO1057065</t>
  </si>
  <si>
    <t>COOLEY Anastomosis Clamps
Double-angled jaws are calibrated in 5mm increments.
Angled shanks. Overall length 6-1/2in (16.5cm). Jaw length
3/4in (1.9cm)
depth 7.3mm</t>
  </si>
  <si>
    <t>CLAMP, SURGICAL, COOLEY, 16.5 CM, 1.9 CMX7.3 MM, ANASTOMOSIS, DOUBLE-ANGLED JAW, ANGLED SHANK, NON STERILE, LATEX</t>
  </si>
  <si>
    <t>CLAMP, SURG, COOLEY, 16.5 CM, 1.9 CMX7.3 MM, ANAS, DOUBLE-ANGLED JAW, ANGLED SHANK, NS, LTX</t>
  </si>
  <si>
    <t>CLAMP, SURG, COOLEY, 16.5 CM, 1.9 CMX7.3 MM, ANAS, DOUBLE-ANGLED</t>
  </si>
  <si>
    <t>1.9 CMX7.3 MM</t>
  </si>
  <si>
    <t>http://www.lt-technologies.de/_ws/mediabase/_ts_1494230442000/Downloads/CardioCatalog_LIT12012_low-res.pdf, https://accessgudid.nlm.nih.gov/devices/10885403031847</t>
  </si>
  <si>
    <t>CH6444</t>
  </si>
  <si>
    <t>BD_CH6444</t>
  </si>
  <si>
    <t>COOLEY AORTA CLAMP CVD SHANKS 47X13MM</t>
  </si>
  <si>
    <t>PRODIGO1057048</t>
  </si>
  <si>
    <t>COOLEY Aorta Clamps Curved shanks Jaw length 1-7/8in (4.7cm) depth 1/2in (1.3cm).
Overall length 8in (20.3cm).</t>
  </si>
  <si>
    <t>CLAMP, SURGICAL, COOLEY, 20.3 CM, 4.7X1.3 MM, AORTA, CURVED, SHANK JAW, NON STERILE, LATEX</t>
  </si>
  <si>
    <t>CLAMP, SURG, COOLEY, 20.3 CM, 4.7X1.3 MM, AORT, CRV, SHANK JAW, NS, LTX</t>
  </si>
  <si>
    <t>CLAMP, SURG, COOLEY, 20.3 CM, 4.7X1.3 MM, AORT, CRV, SHANK JAW, NS</t>
  </si>
  <si>
    <t>20.3 CM</t>
  </si>
  <si>
    <t>4.7X1.3 MM</t>
  </si>
  <si>
    <t>CURVED, SHANK JAW</t>
  </si>
  <si>
    <t>http://www.lt-technologies.de/_ws/mediabase/_ts_1494230442000/Downloads/CardioCatalog_LIT12012_low-res.pdf, https://accessgudid.nlm.nih.gov/devices/10885403031557</t>
  </si>
  <si>
    <t>CH6446</t>
  </si>
  <si>
    <t>BD_CH6446</t>
  </si>
  <si>
    <t>COOLEY AORTA CLAMP CVD SHANKS 54X13MMJAW</t>
  </si>
  <si>
    <t>PRODIGO1057049</t>
  </si>
  <si>
    <t xml:space="preserve">COOLEY Aorta Clamps Curved shanks Jaw length 2-1/8in (5.4cm) depth 1/2in (1.3cm).
Overall length 10-3/4in (27.3cm).
</t>
  </si>
  <si>
    <t>CLAMP, SURGICAL, COOLEY, 27.3 CM, 5.4X1.3 CM, AORTA, CURVED, SHANK JAW, NON STERILE, LATEX</t>
  </si>
  <si>
    <t>CLAMP, SURG, COOLEY, 27.3 CM, 5.4X1.3 CM, AORT, CRV, SHANK JAW, NS, LTX</t>
  </si>
  <si>
    <t>CLAMP, SURG, COOLEY, 27.3 CM, 5.4X1.3 CM, AORT, CRV, SHANK JAW, NS</t>
  </si>
  <si>
    <t>27.3 CM</t>
  </si>
  <si>
    <t>5.4X1.3 CM</t>
  </si>
  <si>
    <t>http://www.lt-technologies.de/_ws/mediabase/_ts_1494230442000/Downloads/CardioCatalog_LIT12012_low-res.pdf, https://accessgudid.nlm.nih.gov/devices/10885403031564</t>
  </si>
  <si>
    <t>CH6442</t>
  </si>
  <si>
    <t>BD_CH6442</t>
  </si>
  <si>
    <t>COOLEY AORTA CLAMP CVD SHANKS 7.3X1.9CM</t>
  </si>
  <si>
    <t>PRODIGO1057047</t>
  </si>
  <si>
    <t>COOLEY Aorta Clamp Curved shanks Jaw length 2-7/8in (7.3cm) depth 3/4in
(1.9cm). Overall length
10in (25.4cm).</t>
  </si>
  <si>
    <t>CLAMP, SURGICAL, COOLEY, 25.4 CM, 7.3X1.9 CM, AORTA, CURVED, SHANK JAW, NON STERILE, LATEX</t>
  </si>
  <si>
    <t>CLAMP, SURG, COOLEY, 25.4 CM, 7.3X1.9 CM, AORT, CRV, SHANK JAW, NS, LTX</t>
  </si>
  <si>
    <t>CLAMP, SURG, COOLEY, 25.4 CM, 7.3X1.9 CM, AORT, CRV, SHANK JAW, NS</t>
  </si>
  <si>
    <t>25.4 CM</t>
  </si>
  <si>
    <t>7.3X1.9 CM</t>
  </si>
  <si>
    <t>http://www.lt-technologies.de/_ws/mediabase/_ts_1494230442000/Downloads/CardioCatalog_LIT12012_low-res.pdf, https://accessgudid.nlm.nih.gov/devices/10885403031540</t>
  </si>
  <si>
    <t>CH5674</t>
  </si>
  <si>
    <t>BD_CH5674</t>
  </si>
  <si>
    <t>COOLEY ARTERIOTOMY SCISSORS BLADE 30DEG</t>
  </si>
  <si>
    <t>PRODIGO1056900</t>
  </si>
  <si>
    <t>COOLEY ARTERIOTOMY SCISSORS BLADE ANGLE 30 DEGREE LENGTH 12MM MIRROR FINISH OVERALL LENGTH 27.3CM SCISSOR SURGICAL COOLEY 30 DEGREE 27.3 CM 12 MM ARTERIOTOMY BLADE ANGLE MIRROR FINISH</t>
  </si>
  <si>
    <t>SCISSOR, SURGICAL, COOLEY, 30 DEGREE, 10.75 IN, 0.5 IN, ARTERIOTOMY, BLADE ANGLED, MIRROR FINISH, NON STERILE, LATEX</t>
  </si>
  <si>
    <t>SCISSOR, SURG, COOLEY, 30 DEG, 10.75 IN, 0.5 IN, ARTOTMY, BLADE ANGLED, MIRROR FINISH, NS, LTX</t>
  </si>
  <si>
    <t>SCISSOR, SURG, COOLEY, 30 DEG, 10.75 IN, 0.5 IN, ARTOTMY, NS, LTX</t>
  </si>
  <si>
    <t>10.75 IN</t>
  </si>
  <si>
    <t>0.5 IN</t>
  </si>
  <si>
    <t>ARTERIOTOMY, BLADE ANGLED, MIRROR FINISH</t>
  </si>
  <si>
    <t>http://www.megamedworld.com/wp-content/uploads/2019/03/VM_KVC-min.pdf, https://accessgudid.nlm.nih.gov/devices/10885403028731</t>
  </si>
  <si>
    <t>CH8127</t>
  </si>
  <si>
    <t>BD_CH8127</t>
  </si>
  <si>
    <t>COOLEY ATRIAL RETR LEFT SERR 1.9X1.9CM</t>
  </si>
  <si>
    <t>PRODIGO1057210</t>
  </si>
  <si>
    <t>COOLEY Atrial Retractors Blade 1.9X1.9CM</t>
  </si>
  <si>
    <t>RETRACTOR, SURGICAL, COOLEY, 9 IN, 1.9X1.9 CM, LEFT, ATRIAL, WITH SERRATED BLADE, NON STERILE, LATEX</t>
  </si>
  <si>
    <t>RETRACTOR, SURG, COOLEY, 9 IN, 1.9X1.9 CM, LT, ATR, W/ SERRATED BLADE, NS, LTX</t>
  </si>
  <si>
    <t>RETRACTOR, SURG, COOLEY, 9 IN, 1.9X1.9 CM, LT, ATR, SERRATED BLADE</t>
  </si>
  <si>
    <t>1.9X1.9 CM</t>
  </si>
  <si>
    <t>LEFT, ATRIAL</t>
  </si>
  <si>
    <t>WITH SERRATED BLADE</t>
  </si>
  <si>
    <t>https://www.hces.com.sg/wp-content/uploads/2021/04/Cardiovascular-Pages-from-vmueller-snowdenpencer-armamentarium-catalogue-4.pdf, https://accessgudid.nlm.nih.gov/devices/10885403025051</t>
  </si>
  <si>
    <t>CH8126</t>
  </si>
  <si>
    <t>BD_CH8126</t>
  </si>
  <si>
    <t>COOLEY ATRIAL RETR LEFT SERR 1.9X3.8CM</t>
  </si>
  <si>
    <t>PRODIGO1057209</t>
  </si>
  <si>
    <t>COOLEY Atrial Retractors Blade 1.9X3.8CM</t>
  </si>
  <si>
    <t>RETRACTOR, SURGICAL, COOLEY, 9.5 IN, 1.9X3.8 CM, LEFT, ATRIAL, WITH SERRATED BLADE, NON STERILE, LATEX</t>
  </si>
  <si>
    <t>RETRACTOR, SURG, COOLEY, 9.5 IN, 1.9X3.8 CM, LT, ATR, W/ SERRATED BLADE, NS, LTX</t>
  </si>
  <si>
    <t>RETRACTOR, SURG, COOLEY, 9.5 IN, 1.9X3.8 CM, LT, W/ SERRATED BLADE</t>
  </si>
  <si>
    <t>1.9X3.8 CM</t>
  </si>
  <si>
    <t>https://www.hces.com.sg/wp-content/uploads/2021/04/Cardiovascular-Pages-from-vmueller-snowdenpencer-armamentarium-catalogue-4.pdf, https://accessgudid.nlm.nih.gov/devices/10885403025044</t>
  </si>
  <si>
    <t>CH8125</t>
  </si>
  <si>
    <t>BD_CH8125</t>
  </si>
  <si>
    <t>COOLEY ATRIAL RETR LEFT SERR 1.9X4.4CM</t>
  </si>
  <si>
    <t>PRODIGO1057208</t>
  </si>
  <si>
    <t>COOLEY Atrial Retractors Blade 1.9X4.4CM</t>
  </si>
  <si>
    <t>RETRACTOR, SURGICAL, COOLEY, 9.5 IN, 1.9X4.4 CM, LEFT, ATRIAL, WITH SERRATED BLADE, NON STERILE, LATEX</t>
  </si>
  <si>
    <t>RETRACTOR, SURG, COOLEY, 9.5 IN, 1.9X4.4 CM, LT, ATR, W/ SERRATED BLADE, NS, LTX</t>
  </si>
  <si>
    <t>RETRACTOR, SURG, COOLEY, 9.5 IN, 1.9X4.4 CM, LT, W/ SERRATED BLADE</t>
  </si>
  <si>
    <t>1.9X4.4 CM</t>
  </si>
  <si>
    <t>https://www.hces.com.sg/wp-content/uploads/2021/04/Cardiovascular-Pages-from-vmueller-snowdenpencer-armamentarium-catalogue-4.pdf, https://accessgudid.nlm.nih.gov/devices/10885403025037</t>
  </si>
  <si>
    <t>CH8123</t>
  </si>
  <si>
    <t>BD_CH8123</t>
  </si>
  <si>
    <t>COOLEY ATRIAL RETR RIGHT SERR 3.8X3.8CM</t>
  </si>
  <si>
    <t>PRODIGO1057207</t>
  </si>
  <si>
    <t>COOLEY Atrial Retractors Blade 1-1/2in x 1-1/2in</t>
  </si>
  <si>
    <t>RETRACTOR, SURGICAL, COOLEY, 9.25 IN, 3.8X3.8 CM, RIGHT, ATRIAL, WITH SERRATED BLADE, NON STERILE, LATEX</t>
  </si>
  <si>
    <t>RETRACTOR, SURG, COOLEY, 9.25 IN, 3.8X3.8 CM, RT, ATR, W/ SERRATED BLADE, NS, LTX</t>
  </si>
  <si>
    <t>RETRACTOR, SURG, COOLEY, 9.25 IN, 3.8X3.8 CM, RT, SERRATED BLADE</t>
  </si>
  <si>
    <t>3.8X3.8 CM</t>
  </si>
  <si>
    <t>RIGHT, ATRIAL</t>
  </si>
  <si>
    <t>https://www.hces.com.sg/wp-content/uploads/2021/04/Cardiovascular-Pages-from-vmueller-snowdenpencer-armamentarium-catalogue-4.pdf, https://accessgudid.nlm.nih.gov/devices/10885403025013</t>
  </si>
  <si>
    <t>CH8120</t>
  </si>
  <si>
    <t>BD_CH8120</t>
  </si>
  <si>
    <t>COOLEY ATRIAL RETR RIGHT SERR 5.1X4.4CM</t>
  </si>
  <si>
    <t>PRODIGO1057206</t>
  </si>
  <si>
    <t>COOLEY Atrial Retractors Blade 2in x 1-3/4in</t>
  </si>
  <si>
    <t>RETRACTOR, SURGICAL, COOLEY, 9.25 IN, 5.1X4.4 CM, RIGHT, ATRIAL, WITH SERRATED BLADE, NON STERILE, LATEX</t>
  </si>
  <si>
    <t>RETRACTOR, SURG, COOLEY, 9.25 IN, 5.1X4.4 CM, RT, ATR, W/ SERRATED BLADE, NS, LTX</t>
  </si>
  <si>
    <t>RETRACTOR, SURG, COOLEY, 9.25 IN, 5.1X4.4 CM, RT, SERRATED BLADE</t>
  </si>
  <si>
    <t>5.1X4.4 CM</t>
  </si>
  <si>
    <t>https://www.hces.com.sg/wp-content/uploads/2021/04/Cardiovascular-Pages-from-vmueller-snowdenpencer-armamentarium-catalogue-4.pdf, https://accessgudid.nlm.nih.gov/devices/10885403024993</t>
  </si>
  <si>
    <t>CH8119</t>
  </si>
  <si>
    <t>BD_CH8119</t>
  </si>
  <si>
    <t>COOLEY ATRIAL RETRACTOR OVERLGTH 9-1/4IN</t>
  </si>
  <si>
    <t>PRODIGO1057205</t>
  </si>
  <si>
    <t>COOLEY Atrial Retractors Blade 7/8in x 3/4in</t>
  </si>
  <si>
    <t>RETRACTOR, SURGICAL, COOLEY, 9.25 IN, 2.2X1.9 CM, RIGHT, ATRIAL, WITH SERRATED BLADE, NON STERILE, LATEX</t>
  </si>
  <si>
    <t>RETRACTOR, SURG, COOLEY, 9.25 IN, 2.2X1.9 CM, RT, ATR, W/ SERRATED BLADE, NS, LTX</t>
  </si>
  <si>
    <t>RETRACTOR, SURG, COOLEY, 9.25 IN, 2.2X1.9 CM, RT, SERRATED BLADE</t>
  </si>
  <si>
    <t>2.2X1.9 CM</t>
  </si>
  <si>
    <t>https://www.hces.com.sg/wp-content/uploads/2021/04/Cardiovascular-Pages-from-vmueller-snowdenpencer-armamentarium-catalogue-4.pdf, https://accessgudid.nlm.nih.gov/devices/10885403034435</t>
  </si>
  <si>
    <t>DIMENSION UPDATED AS PER SITE</t>
  </si>
  <si>
    <t>CH6648</t>
  </si>
  <si>
    <t>BD_CH6648</t>
  </si>
  <si>
    <t>COOLEY AURICULAR APPEND FORCEP 7.1CM</t>
  </si>
  <si>
    <t>PRODIGO1057075</t>
  </si>
  <si>
    <t>COOLEY Auricular Appendage Forceps Overall length
10in (25.4cm)</t>
  </si>
  <si>
    <t>CLAMP, SURGICAL, COOLEY, 25.4 CM, 4.1X1 CM, AURICULAR, APPENDAGE, JAW, NON STERILE, LATEX</t>
  </si>
  <si>
    <t>CLAMP, SURG, COOLEY, 25.4 CM, 4.1X1 CM, AUR, APPENDAGE, JAW, NS, LTX</t>
  </si>
  <si>
    <t>4.1X1 CM</t>
  </si>
  <si>
    <t>AURICULAR, APPENDAGE</t>
  </si>
  <si>
    <t>JAW</t>
  </si>
  <si>
    <t>7.1 CM</t>
  </si>
  <si>
    <t>http://www.lt-technologies.de/_ws/mediabase/_ts_1494230442000/Downloads/CardioCatalog_LIT12012_low-res.pdf, https://accessgudid.nlm.nih.gov/devices/10885403031977</t>
  </si>
  <si>
    <t>CH6405</t>
  </si>
  <si>
    <t>BD_CH6405</t>
  </si>
  <si>
    <t>COOLEY BRONCH CLAMP ANG SHANK JAW 90DEG</t>
  </si>
  <si>
    <t>PRODIGO1057043</t>
  </si>
  <si>
    <t>COOLEY BRONCHUS CLAMP SURGICAL 90 DEGREE 9.5 IN 3.45 IN ANGLED SHANKS, ANGLED JAW</t>
  </si>
  <si>
    <t>CLAMP, SURGICAL, COOLEY BRONCHUS, 90 DEGREE, 9.5 IN, 3.45 IN, ANGLED SHANKS, ANGLED JAW, NON STERILE, LATEX</t>
  </si>
  <si>
    <t>CLAMP, SURG, COOLEY BRONCHUS, 90 DEG, 9.5 IN, 3.45 IN, ANGLED SHANKS, ANGLED JAW, NS, LTX</t>
  </si>
  <si>
    <t>CLAMP, SURG, COOLEY BRONCHUS, 90 DEG, 9.5 IN, 3.45 IN, NS, LTX</t>
  </si>
  <si>
    <t>COOLEY BRONCHUS</t>
  </si>
  <si>
    <t>3.45 IN</t>
  </si>
  <si>
    <t>ANGLED SHANKS, ANGLED JAW</t>
  </si>
  <si>
    <t>http://www.megamedworld.com/wp-content/uploads/2019/03/VM_KVC-min.pdf, https://accessgudid.nlm.nih.gov/devices/10885403031502</t>
  </si>
  <si>
    <t>CH6036</t>
  </si>
  <si>
    <t>BD_CH6036</t>
  </si>
  <si>
    <t>COOLEY BULLDOG CLAMP CVD JAW 1.8CM</t>
  </si>
  <si>
    <t>PRODIGO1056960</t>
  </si>
  <si>
    <t>COOLEY BULLDOG CLAMP SURGICAL 2.5 IN 1.8 CM CURVED, FINELY SERRATED JAW</t>
  </si>
  <si>
    <t>CLAMP, SURGICAL, COOLEY BULLDOG, 2.5 IN, 1.8 CM, CURVED, FINELY SERRATED JAW, NON STERILE, LATEX</t>
  </si>
  <si>
    <t>CLAMP, SURG, COOLEY BULLDOG, 2.5 IN, 1.8 CM, CRV, FINELY SERRATED JAW, NS, LTX</t>
  </si>
  <si>
    <t>CLAMP, SURG, COOLEY BULLDOG, 2.5 IN, 1.8 CM, CRV, NS, LTX</t>
  </si>
  <si>
    <t>COOLEY BULLDOG</t>
  </si>
  <si>
    <t>2.5 IN</t>
  </si>
  <si>
    <t>1.8 CM</t>
  </si>
  <si>
    <t>CURVED, FINELY SERRATED JAW</t>
  </si>
  <si>
    <t>http://www.megamedworld.com/wp-content/uploads/2019/03/VM_KVC-min.pdf, https://accessgudid.nlm.nih.gov/devices/10885403029790</t>
  </si>
  <si>
    <t>CH6038</t>
  </si>
  <si>
    <t>BD_CH6038</t>
  </si>
  <si>
    <t>COOLEY BULLDOG CLAMP CVD JAW 6.2CM</t>
  </si>
  <si>
    <t>PRODIGO1056961</t>
  </si>
  <si>
    <t>COOLEY BULLDOG CLAMP SURGICAL 4.5 IN 6.2 CM CURVED, FINELY SERRATED JAW</t>
  </si>
  <si>
    <t>CLAMP, SURGICAL, COOLEY BULLDOG, 4.5 IN, 6.2 CM, CURVED, FINELY SERRATED JAW, NON STERILE, LATEX</t>
  </si>
  <si>
    <t>CLAMP, SURG, COOLEY BULLDOG, 4.5 IN, 6.2 CM, CRV, FINELY SERRATED JAW, NS, LTX</t>
  </si>
  <si>
    <t>CLAMP, SURG, COOLEY BULLDOG, 4.5 IN, 6.2 CM, CRV, NS, LTX</t>
  </si>
  <si>
    <t>6.2 CM</t>
  </si>
  <si>
    <t>http://www.megamedworld.com/wp-content/uploads/2019/03/VM_KVC-min.pdf, https://accessgudid.nlm.nih.gov/devices/10885403029806</t>
  </si>
  <si>
    <t>CH6032</t>
  </si>
  <si>
    <t>BD_CH6032</t>
  </si>
  <si>
    <t>COOLEY BULLDOG CLAMP STR JAW 4.8CM</t>
  </si>
  <si>
    <t>PRODIGO1056958</t>
  </si>
  <si>
    <t>COOLEY BULLDOG CLAMP SURGICAL 3-3/8 IN 4.8 CM STRAIGHT, FINELY SERRATED JAW</t>
  </si>
  <si>
    <t>CLAMP, SURGICAL, COOLEY BULLDOG, 3-3/8 IN, 4.8 CM, STRAIGHT, FINELY SERRATED JAW, NON STERILE, LATEX</t>
  </si>
  <si>
    <t>CLAMP, SURG, COOLEY BULLDOG, 3-3/8 IN, 4.8 CM, STR, FINELY SERRATED JAW, NS, LTX</t>
  </si>
  <si>
    <t>CLAMP, SURG, COOLEY BULLDOG, 3-3/8 IN, 4.8 CM, STR, NS, LTX</t>
  </si>
  <si>
    <t>3-3/8 IN</t>
  </si>
  <si>
    <t>4.8 CM</t>
  </si>
  <si>
    <t>STRAIGHT, FINELY SERRATED JAW</t>
  </si>
  <si>
    <t>http://www.megamedworld.com/wp-content/uploads/2019/03/VM_KVC-min.pdf, https://accessgudid.nlm.nih.gov/devices/10885403029752</t>
  </si>
  <si>
    <t>CH6033</t>
  </si>
  <si>
    <t>BD_CH6033</t>
  </si>
  <si>
    <t>COOLEY BULLDOG CLAMP STR JAW 6CM</t>
  </si>
  <si>
    <t>PRODIGO1056959</t>
  </si>
  <si>
    <t>COOLEY BULLDOG CLAMP SURGICAL 5 IN 6 CM STRAIGHT, FINELY SERRATED JAW</t>
  </si>
  <si>
    <t>CLAMP, SURGICAL, COOLEY BULLDOG, 5 IN, 6 CM, STRAIGHT, FINELY SERRATED JAW, NON STERILE, LATEX</t>
  </si>
  <si>
    <t>CLAMP, SURG, COOLEY BULLDOG, 5 IN, 6 CM, STR, FINELY SERRATED JAW, NS, LTX</t>
  </si>
  <si>
    <t>CLAMP, SURG, COOLEY BULLDOG, 5 IN, 6 CM, STR, NS, LTX</t>
  </si>
  <si>
    <t>6 CM</t>
  </si>
  <si>
    <t>http://www.megamedworld.com/wp-content/uploads/2019/03/VM_KVC-min.pdf, https://accessgudid.nlm.nih.gov/devices/10885403029769</t>
  </si>
  <si>
    <t>CH6646</t>
  </si>
  <si>
    <t>BD_CH6646</t>
  </si>
  <si>
    <t>COOLEY CARDIO CLAMP CVD JAW 6.4CM</t>
  </si>
  <si>
    <t>PRODIGO1057074</t>
  </si>
  <si>
    <t>COOLEY Cardiovascular Clamp Curved jaws. Jaw length 2in (5.1cm). Overall length
10-3/4in (27.3cm)</t>
  </si>
  <si>
    <t>CLAMP, SURGICAL, COOLEY, 27.3 CM, 6.4 CM, CARDIOVASCULAR, CURVED JAW, NON STERILE, LATEX</t>
  </si>
  <si>
    <t>CLAMP, SURG, COOLEY, 27.3 CM, 6.4 CM, CV, CRV JAW, NS, LTX</t>
  </si>
  <si>
    <t>6.4 CM</t>
  </si>
  <si>
    <t>https://www.bd.com/en-us/products-and-solutions/products/product-page.CH6646#overview, https://accessgudid.nlm.nih.gov/devices/10885403031960</t>
  </si>
  <si>
    <t>CH6602</t>
  </si>
  <si>
    <t>BD_CH6602</t>
  </si>
  <si>
    <t>COOLEY CAROTID/SUBCLAV/RENAL CLAMP</t>
  </si>
  <si>
    <t>PRODIGO1057070</t>
  </si>
  <si>
    <t>COOLEY Carotid Subclavian and Renal (CSR) Artery Clamps Jaw length
3in (7.6cm).
Overall length
9in (22.9cm)</t>
  </si>
  <si>
    <t>CLAMP, SURGICAL, COOLEY, 9 IN, 3 IN, CAROTID, SUBCLAVIAN, RENAL, ARTERY, JAW ANGLED, NON STERILE, LATEX</t>
  </si>
  <si>
    <t>CLAMP, SURG, COOLEY, 9 IN, 3 IN, CAR, SUBCLAV, RENAL, ART, JAW ANGLED, NS, LTX</t>
  </si>
  <si>
    <t>CLAMP, SURG, COOLEY, 9 IN, 3 IN, CAR, SUBCLAV, RENAL, ART, JAW ANGLED</t>
  </si>
  <si>
    <t>CAROTID, SUBCLAVIAN, RENAL, ARTERY</t>
  </si>
  <si>
    <t>JAW ANGLED</t>
  </si>
  <si>
    <t>http://www.lt-technologies.de/_ws/mediabase/_ts_1494230442000/Downloads/CardioCatalog_LIT12012_low-res.pdf, https://accessgudid.nlm.nih.gov/devices/10885403031908</t>
  </si>
  <si>
    <t>CH6604</t>
  </si>
  <si>
    <t>BD_CH6604</t>
  </si>
  <si>
    <t>PRODIGO1057071</t>
  </si>
  <si>
    <t>Cooley carotid subclavian and renal (CSR) artery clamp</t>
  </si>
  <si>
    <t>CLAMP, SURGICAL, COOLEY, 10-7/8 IN, 4.5 IN, CAROTID, SUBCLAVIAN, RENAL, ARTERY , JAW ANGLED, NON STERILE, LATEX</t>
  </si>
  <si>
    <t>CLAMP, SURG, COOLEY, 10-7/8 IN, 4.5 IN, CAR, SUBCLAV, RENAL, ART , JAW ANGLED, NS, LTX</t>
  </si>
  <si>
    <t>CLAMP, SURG, COOLEY, 10-7/8 IN, 4.5 IN, CAR, SUBCLAV, RENAL, ART, JAW</t>
  </si>
  <si>
    <t>10-7/8 IN</t>
  </si>
  <si>
    <t xml:space="preserve">CAROTID, SUBCLAVIAN, RENAL, ARTERY </t>
  </si>
  <si>
    <t>https://www.bd.com/en-us/products-and-solutions/products/product-page.ch6604#overview, https://accessgudid.nlm.nih.gov/devices/10885403031915</t>
  </si>
  <si>
    <t>CH6237</t>
  </si>
  <si>
    <t>BD_CH6237</t>
  </si>
  <si>
    <t>COOLEY CLAMP CVD JAW 3.9CM</t>
  </si>
  <si>
    <t>PRODIGO1057027</t>
  </si>
  <si>
    <t>COOLEY CLAMP SURGICAL 6.25 IN 3.5X1.3 CM CURVED JAW</t>
  </si>
  <si>
    <t>CLAMP, SURGICAL, COOLEY, 6.25 IN, 3.5X1.3 CM, CURVED JAW, NON STERILE, LATEX</t>
  </si>
  <si>
    <t>CLAMP, SURG, COOLEY, 6.25 IN, 3.5X1.3 CM, CRV JAW, NS, LTX</t>
  </si>
  <si>
    <t>3.5X1.3 CM</t>
  </si>
  <si>
    <t>3.9 CM</t>
  </si>
  <si>
    <t>http://www.megamedworld.com/wp-content/uploads/2019/03/VM_KVC-min.pdf, https://accessgudid.nlm.nih.gov/devices/10885403031274</t>
  </si>
  <si>
    <t>CH6183</t>
  </si>
  <si>
    <t>BD_CH6183</t>
  </si>
  <si>
    <t>COOLEY COARCTATION ANGLE SHANK JAW 5.3CM</t>
  </si>
  <si>
    <t>PRODIGO1057009</t>
  </si>
  <si>
    <t>COOLEY COARCTATION CLAMP ANGLED SHANKS JAW LENGTH 3.8CM OVERALL LENGTH 17.1CM CLAMP SURGICAL COOLEY 17.1 CM 3.8 CM COARCTATION ANGLED SHANK JAW</t>
  </si>
  <si>
    <t>CLAMP, SURGICAL, COOLEY, 6.45 IN, 3.8 CM, COARCTATION, ANGLED SHANK, JAW, NON STERILE, LATEX</t>
  </si>
  <si>
    <t>CLAMP, SURG, COOLEY, 6.45 IN, 3.8 CM, COARCTATION, ANGLED SHANK, JAW, NS, LTX</t>
  </si>
  <si>
    <t>CLAMP, SURG, COOLEY, 6.45 IN, 3.8 CM, ANGLED SHANK, JAW, NS, LTX</t>
  </si>
  <si>
    <t>6.45 IN</t>
  </si>
  <si>
    <t>3.8 CM</t>
  </si>
  <si>
    <t>COARCTATION, ANGLED SHANK, JAW</t>
  </si>
  <si>
    <t>5.3 CM</t>
  </si>
  <si>
    <t>http://www.megamedworld.com/wp-content/uploads/2019/03/VM_KVC-min.pdf, https://accessgudid.nlm.nih.gov/devices/10885403030666</t>
  </si>
  <si>
    <t>CH6312</t>
  </si>
  <si>
    <t>BD_CH6312</t>
  </si>
  <si>
    <t>COOLEY COARCTATION CLAMP ANG SHANK 8.3CM</t>
  </si>
  <si>
    <t>PRODIGO1057033</t>
  </si>
  <si>
    <t>COOLEY COARCTATION CLAMPS STRAIGHT JAWS ANGLED SHANK JAW LENGTH 7CM OVERALL LENGTH 24.8CM CLAMP SURGICAL COOLEY 24.8 CM 7 CM COARCTATION STRAIGHT JAW ANGLED SHANK</t>
  </si>
  <si>
    <t>CLAMP, SURGICAL, COOLEY, 24.8 CM, 7 CM, COARCTATION, STRAIGHT JAW, ANGLED SHANK, NON STERILE, LATEX</t>
  </si>
  <si>
    <t>CLAMP, SURG, COOLEY, 24.8 CM, 7 CM, COARCTATION, STR JAW, ANGLED SHANK, NS, LTX</t>
  </si>
  <si>
    <t>CLAMP, SURG, COOLEY, 24.8 CM, 7 CM, STR JAW, ANGLED SHANK, NS, LTX</t>
  </si>
  <si>
    <t>24.8 CM</t>
  </si>
  <si>
    <t>7 CM</t>
  </si>
  <si>
    <t>COARCTATION, STRAIGHT JAW, ANGLED SHANK</t>
  </si>
  <si>
    <t>8.3 CM</t>
  </si>
  <si>
    <t>http://www.megamedworld.com/wp-content/uploads/2019/03/VM_KVC-min.pdf, https://accessgudid.nlm.nih.gov/devices/10885403031397</t>
  </si>
  <si>
    <t>CH6302</t>
  </si>
  <si>
    <t>BD_CH6302</t>
  </si>
  <si>
    <t>COOLEY COARCTATION CLAMP SHANK 8.3CM</t>
  </si>
  <si>
    <t>PRODIGO1057032</t>
  </si>
  <si>
    <t>COOLEY COARCTATION CLAMPS STRAIGHT JAWS STRAIGHT SHANK JAW LENGTH 7CM OVERALL LENGTH 24.8CM CLAMP SURGICAL COOLEY 24.8 CM 7 CM COARCTATION STRAIGHT JAW STRAIGHT SHANK</t>
  </si>
  <si>
    <t>CLAMP, SURGICAL, COOLEY, 24.8 CM, 7 CM, COARCTATION, STRAIGHT JAW, STRAIGHT SHANK, NON STERILE, LATEX</t>
  </si>
  <si>
    <t>CLAMP, SURG, COOLEY, 24.8 CM, 7 CM, COARCTATION, STR JAW, STR SHANK, NS, LTX</t>
  </si>
  <si>
    <t>CLAMP, SURG, COOLEY, 24.8 CM, 7 CM, STR JAW, STR SHANK, NS, LTX</t>
  </si>
  <si>
    <t>COARCTATION, STRAIGHT JAW, STRAIGHT SHANK</t>
  </si>
  <si>
    <t>http://www.megamedworld.com/wp-content/uploads/2019/03/VM_KVC-min.pdf, https://accessgudid.nlm.nih.gov/devices/10885403031373</t>
  </si>
  <si>
    <t>CH6182</t>
  </si>
  <si>
    <t>BD_CH6182</t>
  </si>
  <si>
    <t>COOLEY COARCTATION CLAMP SHANK/JAW 5.3CM</t>
  </si>
  <si>
    <t>PRODIGO1057008</t>
  </si>
  <si>
    <t>COOLEY CLAMP SURGICAL 6.45 IN 3.8 CM COARCTATION, STRAIGHT JAW, SHANK</t>
  </si>
  <si>
    <t>CLAMP, SURGICAL, COOLEY, 6.45 IN, 3.8 CM, COARCTATION, STRAIGHT JAW, SHANK, NON STERILE, LATEX</t>
  </si>
  <si>
    <t>CLAMP, SURG, COOLEY, 6.45 IN, 3.8 CM, COARCTATION, STR JAW, SHANK, NS, LTX</t>
  </si>
  <si>
    <t>CLAMP, SURG, COOLEY, 6.45 IN, 3.8 CM, STR JAW, SHANK, NS, LTX</t>
  </si>
  <si>
    <t>COARCTATION, STRAIGHT JAW, SHANK</t>
  </si>
  <si>
    <t>http://www.megamedworld.com/wp-content/uploads/2019/03/VM_KVC-min.pdf, https://accessgudid.nlm.nih.gov/devices/10885403030659</t>
  </si>
  <si>
    <t>CH6185</t>
  </si>
  <si>
    <t>BD_CH6185</t>
  </si>
  <si>
    <t>COOLEY COARCTATION CLAMP SHANK/JAW 5.7CM</t>
  </si>
  <si>
    <t>PRODIGO1057010</t>
  </si>
  <si>
    <t>COOLEY COARCTATION CLAMPS STRAIGHT SHANKS JAW LENGTH 3.8CM OVERALL LENGTH 17.1CM CURVED JAW CLAMP SURGICAL COOLEY 17.1 CM 3.8 CM COARCTATION STRAIGHT SHANK CURVED JAW</t>
  </si>
  <si>
    <t>CLAMP, SURGICAL, COOLEY, 17.1 CM, 3.8 CM, COARCTATION, STRAIGHT SHANK, CURVED JAW, NON STERILE, LATEX</t>
  </si>
  <si>
    <t>CLAMP, SURG, COOLEY, 17.1 CM, 3.8 CM, COARCTATION, STR SHANK, CRV JAW, NS, LTX</t>
  </si>
  <si>
    <t>CLAMP, SURG, COOLEY, 17.1 CM, 3.8 CM, STR SHANK, CRV JAW, NS, LTX</t>
  </si>
  <si>
    <t>17.1 CM</t>
  </si>
  <si>
    <t>COARCTATION, STRAIGHT SHANK, CURVED JAW</t>
  </si>
  <si>
    <t>5.7 CM</t>
  </si>
  <si>
    <t>http://www.megamedworld.com/wp-content/uploads/2019/03/VM_KVC-min.pdf, https://accessgudid.nlm.nih.gov/devices/10885403030673</t>
  </si>
  <si>
    <t>CH6225</t>
  </si>
  <si>
    <t>BD_CH6225</t>
  </si>
  <si>
    <t>COOLEY DBL-ANG JAW CLAMP 2.7X5.7CM 60DEG</t>
  </si>
  <si>
    <t>PRODIGO1057021</t>
  </si>
  <si>
    <t>COOLEY DOUBLE-ANGLED CLAMPS JAWS ANGLED 60 DEGREE JAW LENGTH 3.8CM DEPTH 7.6MM OVERALL LENGTH 17.8CM CLAMP SURGICAL COOLEY 60 DEGREE 17.8 CM 3.8X7.6 CM DOUBLE ANGLED JAW ANGLED</t>
  </si>
  <si>
    <t>CLAMP, SURGICAL, COOLEY, 60 DEGREE, 17.8 CM, 3.8X7.6 CM, DOUBLE, ANGLED JAW, NON STERILE, LATEX</t>
  </si>
  <si>
    <t>CLAMP, SURG, COOLEY, 60 DEG, 17.8 CM, 3.8X7.6 CM, DBL, ANGLED JAW, NS, LTX</t>
  </si>
  <si>
    <t>CLAMP, SURG, COOLEY, 60 DEG, 17.8 CM, 3.8X7.6 CM, ANGLED JAW, NS</t>
  </si>
  <si>
    <t>17.8 CM</t>
  </si>
  <si>
    <t>3.8X7.6 CM</t>
  </si>
  <si>
    <t>DOUBLE, ANGLED JAW</t>
  </si>
  <si>
    <t>2.7X5.7 CM</t>
  </si>
  <si>
    <t>http://www.megamedworld.com/wp-content/uploads/2019/03/VM_KVC-min.pdf, https://accessgudid.nlm.nih.gov/devices/10885403031199</t>
  </si>
  <si>
    <t>CH6230</t>
  </si>
  <si>
    <t>BD_CH6230</t>
  </si>
  <si>
    <t>COOLEY DBL-ANG JAW CLAMP 3.0X4.6CM 90DEG</t>
  </si>
  <si>
    <t>PRODIGO1057023</t>
  </si>
  <si>
    <t>COOLEY CLAMP SURGICAL 90 DEGREE 6.5 IN 2.5X6.8 CM DOUBLE, ANGLED JAW</t>
  </si>
  <si>
    <t>CLAMP, SURGICAL, COOLEY, 90 DEGREE, 6.5 IN, 2.5X6.8 CM, DOUBLE, ANGLED JAW, NON STERILE, LATEX</t>
  </si>
  <si>
    <t>CLAMP, SURG, COOLEY, 90 DEG, 6.5 IN, 2.5X6.8 CM, DBL, ANGLED JAW, NS, LTX</t>
  </si>
  <si>
    <t>CLAMP, SURG, COOLEY, 90 DEG, 6.5 IN, 2.5X6.8 CM, DBL, ANGLED JAW, NS</t>
  </si>
  <si>
    <t>2.5X6.8 CM</t>
  </si>
  <si>
    <t>3X4.6 CM</t>
  </si>
  <si>
    <t>http://www.megamedworld.com/wp-content/uploads/2019/03/VM_KVC-min.pdf, https://accessgudid.nlm.nih.gov/devices/10885403031212</t>
  </si>
  <si>
    <t>CH6226</t>
  </si>
  <si>
    <t>BD_CH6226</t>
  </si>
  <si>
    <t>COOLEY DBL-ANG JAW CLAMP 3.3X5.6CM 60DEG</t>
  </si>
  <si>
    <t>PRODIGO1057022</t>
  </si>
  <si>
    <t>COOLEY DOUBLE-ANGLED CLAMPS JAWS ANGLED 60 DEGREE JAW LENGTH 3.2CM DEPTH 7.6MM OVERALL LENGTH 18.4CM CLAMP SURGICAL COOLEY 60 DEGREE 18.4 CM 3.2X7.6 CM DOUBLE ANGLED JAW ANGLED</t>
  </si>
  <si>
    <t>CLAMP, SURGICAL, COOLEY, 60 DEGREE, 18.4 CM, 3.2X7.6 CM, DOUBLE, ANGLED JAW, NON STERILE, LATEX</t>
  </si>
  <si>
    <t>CLAMP, SURG, COOLEY, 60 DEG, 18.4 CM, 3.2X7.6 CM, DBL, ANGLED JAW, NS, LTX</t>
  </si>
  <si>
    <t>CLAMP, SURG, COOLEY, 60 DEG, 18.4 CM, 3.2X7.6 CM, ANGLED JAW, NS</t>
  </si>
  <si>
    <t>18.4 CM</t>
  </si>
  <si>
    <t>3.2X7.6 CM</t>
  </si>
  <si>
    <t>3.3X5.6 CM</t>
  </si>
  <si>
    <t>http://www.megamedworld.com/wp-content/uploads/2019/03/VM_KVC-min.pdf, https://accessgudid.nlm.nih.gov/devices/10885403031205</t>
  </si>
  <si>
    <t>CH6233</t>
  </si>
  <si>
    <t>BD_CH6233</t>
  </si>
  <si>
    <t>COOLEY DERRA CLAMP - JAW 2.1X5.0CM</t>
  </si>
  <si>
    <t>PRODIGO1057024</t>
  </si>
  <si>
    <t>COOLEY-DERRA CLAMP SURGICAL 6.5 IN 1X1.9 CM JAW</t>
  </si>
  <si>
    <t>CLAMP, SURGICAL, COOLEY-DERRA, 6.5 IN, 1X1.9 CM, JAW, NON STERILE, LATEX</t>
  </si>
  <si>
    <t>CLAMP, SURG, COOLEY-DERRA, 6.5 IN, 1X1.9 CM, JAW, NS, LTX</t>
  </si>
  <si>
    <t>COOLEY-DERRA</t>
  </si>
  <si>
    <t>1X1.9 CM</t>
  </si>
  <si>
    <t>2.1X5 CM</t>
  </si>
  <si>
    <t>http://www.megamedworld.com/wp-content/uploads/2019/03/VM_KVC-min.pdf, https://accessgudid.nlm.nih.gov/devices/10885403031236</t>
  </si>
  <si>
    <t>CH6234</t>
  </si>
  <si>
    <t>BD_CH6234</t>
  </si>
  <si>
    <t>COOLEY DERRA CLAMP - JAW 2.5X5.3CM</t>
  </si>
  <si>
    <t>PRODIGO1057025</t>
  </si>
  <si>
    <t>COOLEY-DERRA CLAMP SURGICAL 6.5 IN 2.2X1.3 CM JAW</t>
  </si>
  <si>
    <t>CLAMP, SURGICAL, COOLEY-DERRA, 6.5 IN, 2.2X1.3 CM, JAW, NON STERILE, LATEX</t>
  </si>
  <si>
    <t>CLAMP, SURG, COOLEY-DERRA, 6.5 IN, 2.2X1.3 CM, JAW, NS, LTX</t>
  </si>
  <si>
    <t>2.2X1.3 CM</t>
  </si>
  <si>
    <t>2.5X5.3 CM</t>
  </si>
  <si>
    <t>http://www.megamedworld.com/wp-content/uploads/2019/03/VM_KVC-min.pdf, https://accessgudid.nlm.nih.gov/devices/10885403031243</t>
  </si>
  <si>
    <t>CH350</t>
  </si>
  <si>
    <t>BD_CH350</t>
  </si>
  <si>
    <t>COOLEY FIRST RIB SHEARS CVD BLADES 14IN</t>
  </si>
  <si>
    <t>PRODIGO1056833</t>
  </si>
  <si>
    <t>42291615  Surgical shears</t>
  </si>
  <si>
    <t>COOLEY Rib Shears</t>
  </si>
  <si>
    <t>SHEAR, SURGICAL, COOLEY, 14 IN, FIRST RIB, HEAVY, CURVED BLADE, NON STERILE, LATEX</t>
  </si>
  <si>
    <t>SHEAR, SURG, COOLEY, 14 IN, 1ST RIB, HVY, CRV BLADE, NS, LTX</t>
  </si>
  <si>
    <t>SHEAR</t>
  </si>
  <si>
    <t>FIRST RIB</t>
  </si>
  <si>
    <t>HEAVY, CURVED BLADE</t>
  </si>
  <si>
    <t>http://www.lt-technologies.de/_ws/mediabase/_ts_1494230442000/Downloads/CardioCatalog_LIT12012_low-res.pdf, https://accessgudid.nlm.nih.gov/devices/10885403022739</t>
  </si>
  <si>
    <t>CH6640</t>
  </si>
  <si>
    <t>BD_CH6640</t>
  </si>
  <si>
    <t>COOLEY ILIAC CLAMP STR JAW ANG CVD 8-1/4</t>
  </si>
  <si>
    <t>PRODIGO1057073</t>
  </si>
  <si>
    <t>COOLEY Iliac Clamps Curved shanks angled 45º. Straight jaws length 2-3/8in Overall length
8-1/4in (21.0cm)</t>
  </si>
  <si>
    <t>CLAMP, SURGICAL, COOLEY, 45 DEGREE, 2-3/8 IN, 8.25 IN, ILIAC, CURVED SHANK, STRAIGHT, JAW ANGLED, NON STERILE, LATEX</t>
  </si>
  <si>
    <t>CLAMP, SURG, COOLEY, 45 DEG, 2-3/8 IN, 8.25 IN, IL, CRV SHANK, STR, JAW ANGLED, NS, LTX</t>
  </si>
  <si>
    <t>CLAMP, SURG, COOLEY, 45 DEG, 2-3/8 IN, 8.25 IN, IL, CRV SHANK, STR</t>
  </si>
  <si>
    <t>2-3/8 IN</t>
  </si>
  <si>
    <t>ILIAC</t>
  </si>
  <si>
    <t>CURVED SHANK, STRAIGHT, JAW ANGLED</t>
  </si>
  <si>
    <t>http://www.lt-technologies.de/_ws/mediabase/_ts_1494230442000/Downloads/CardioCatalog_LIT12012_low-res.pdf, https://accessgudid.nlm.nih.gov/devices/10885403031946</t>
  </si>
  <si>
    <t>CH8059</t>
  </si>
  <si>
    <t>BD_CH8059</t>
  </si>
  <si>
    <t>COOLEY INTRACARDIAC SUCTION TUBE 12IN</t>
  </si>
  <si>
    <t>PRODIGO1057189</t>
  </si>
  <si>
    <t>42293515  Medical or surgical suction tubings</t>
  </si>
  <si>
    <t>Cooley intracardiac suction tube</t>
  </si>
  <si>
    <t>TUBE, SUCTION, COOLEY, 9 MMX12 IN, INTRACARDIAC, ROUND, PERFORATED END, DOUBLE ACTION, NON STERILE, LATEX</t>
  </si>
  <si>
    <t>TUBE, SUCTION, COOLEY, 9 MMX12 IN, INTCARD, RND, PERF END, DBL ACT, NS, LTX</t>
  </si>
  <si>
    <t>TUBE, SUCTION, COOLEY, 9 MMX12 IN, INTCARD, RND, PERF END, DBL ACT</t>
  </si>
  <si>
    <t>TUBE</t>
  </si>
  <si>
    <t>SUCTION</t>
  </si>
  <si>
    <t>9 MMX12 IN</t>
  </si>
  <si>
    <t>INTRACARDIAC</t>
  </si>
  <si>
    <t>ROUND, PERFORATED END, DOUBLE ACTION</t>
  </si>
  <si>
    <t>https://www.bd.com/en-us/products-and-solutions/products/product-page.ch8059, https://accessgudid.nlm.nih.gov/devices/10885403034060</t>
  </si>
  <si>
    <t>CH6661</t>
  </si>
  <si>
    <t>BD_CH6661</t>
  </si>
  <si>
    <t>COOLEY MULTI-PURP CLAMP JAW 60DEG 9"</t>
  </si>
  <si>
    <t>PRODIGO1057082</t>
  </si>
  <si>
    <t>COOLEY Multi-Purpose Angled Clamps Jaws angled 60º Jaw length 2-1/8in (5.4cm).
Overall length 9in (22.9cm).</t>
  </si>
  <si>
    <t>CLAMP, SURGICAL, COOLEY, 60 DEGREE, 9 IN, 2-1/8 IN, MULTI-PURPOSE, JAW ANGLED, NON STERILE, LATEX</t>
  </si>
  <si>
    <t>CLAMP, SURG, COOLEY, 60 DEG, 9 IN, 2-1/8 IN, MULTPURP, JAW ANGLED, NS, LTX</t>
  </si>
  <si>
    <t>CLAMP, SURG, COOLEY, 60 DEG, 9 IN, 2-1/8 IN, MULTPURP, JAW ANGLED</t>
  </si>
  <si>
    <t>2-1/8 IN</t>
  </si>
  <si>
    <t>http://www.lt-technologies.de/_ws/mediabase/_ts_1494230442000/Downloads/CardioCatalog_LIT12012_low-res.pdf, https://accessgudid.nlm.nih.gov/devices/10885403032042</t>
  </si>
  <si>
    <t>CH6660</t>
  </si>
  <si>
    <t>BD_CH6660</t>
  </si>
  <si>
    <t>COOLEY MULTI-PURP CLAMP JAW 60DEG 9-1/2</t>
  </si>
  <si>
    <t>PRODIGO1057081</t>
  </si>
  <si>
    <t>COOLEY Multi-Purpose Angled Clamps Jaws angled 60º Jaw length 1-1/2in (3.8cm).
Overall length 9-1/2in (24.1cm).</t>
  </si>
  <si>
    <t>CLAMP, SURGICAL, COOLEY, 60 DEGREE, 9.5 IN, 1.5 IN, MULTI-PURPOSE, JAW ANGLED, NON STERILE, LATEX</t>
  </si>
  <si>
    <t>CLAMP, SURG, COOLEY, 60 DEG, 9.5 IN, 1.5 IN, MULTPURP, JAW ANGLED, NS, LTX</t>
  </si>
  <si>
    <t>CLAMP, SURG, COOLEY, 60 DEG, 9.5 IN, 1.5 IN, MULTPURP, JAW ANGLED</t>
  </si>
  <si>
    <t>1.5 IN</t>
  </si>
  <si>
    <t>http://www.lt-technologies.de/_ws/mediabase/_ts_1494230442000/Downloads/CardioCatalog_LIT12012_low-res.pdf, https://accessgudid.nlm.nih.gov/devices/10885403032035</t>
  </si>
  <si>
    <t>CH6662</t>
  </si>
  <si>
    <t>BD_CH6662</t>
  </si>
  <si>
    <t>PRODIGO1057083</t>
  </si>
  <si>
    <t>COOLEY Multi-Purpose Angled Clamps Jaws angled 60º Jaw length 2-3/4in (7cm).
Overall length 9-1/2in (24.1cm)</t>
  </si>
  <si>
    <t>CLAMP, SURGICAL, COOLEY, 60 DEGREE, 9.5 IN, 2.75 IN, MULTI-PURPOSE, JAW ANGLED, NON STERILE, LATEX</t>
  </si>
  <si>
    <t>CLAMP, SURG, COOLEY, 60 DEG, 9.5 IN, 2.75 IN, MULTPURP, JAW ANGLED, NS, LTX</t>
  </si>
  <si>
    <t>CLAMP, SURG, COOLEY, 60 DEG, 9.5 IN, 2.75 IN, MULTPURP, JAW ANGLED</t>
  </si>
  <si>
    <t>2.75 IN</t>
  </si>
  <si>
    <t>http://www.lt-technologies.de/_ws/mediabase/_ts_1494230442000/Downloads/CardioCatalog_LIT12012_low-res.pdf, https://accessgudid.nlm.nih.gov/devices/10885403032059</t>
  </si>
  <si>
    <t>CH6622</t>
  </si>
  <si>
    <t>BD_CH6622</t>
  </si>
  <si>
    <t>COOLEY MULTI-PURP CLAMPS CVD JAW ANG LG</t>
  </si>
  <si>
    <t>PRODIGO1057072</t>
  </si>
  <si>
    <t>COOLEY Multi-Purpose Curved Clamps Acutely curved jaws Angled shanks. Overall length 8in (20.3cm) Jaw length 1-1/2in (3.8cm)
depth 3/4in (1.9cm)</t>
  </si>
  <si>
    <t>CLAMP, SURGICAL, COOLEY, 8 IN, 1.5X0.75 IN, MULTI-PURPOSE, CURVED, JAW ANGLED SHANK, NON STERILE, LATEX</t>
  </si>
  <si>
    <t>CLAMP, SURG, COOLEY, 8 IN, 1.5X0.75 IN, MULTPURP, CRV, JAW ANGLED SHANK, NS, LTX</t>
  </si>
  <si>
    <t>CLAMP, SURG, COOLEY, 8 IN, 1.5X0.75 IN, MULTPURP, CRV, JAW ANGLED</t>
  </si>
  <si>
    <t>1.5X0.75 IN</t>
  </si>
  <si>
    <t>MULTI-PURPOSE, CURVED, JAW ANGLED SHANK</t>
  </si>
  <si>
    <t>http://www.lt-technologies.de/_ws/mediabase/_ts_1494230442000/Downloads/CardioCatalog_LIT12012_low-res.pdf, https://accessgudid.nlm.nih.gov/devices/10885403031939</t>
  </si>
  <si>
    <t>CH6211</t>
  </si>
  <si>
    <t>BD_CH6211</t>
  </si>
  <si>
    <t>COOLEY MULTIPURPOSE CLAMP 34MM JAW 60DEG</t>
  </si>
  <si>
    <t>PRODIGO1057017</t>
  </si>
  <si>
    <t>COOLEY CLAMP SURGICAL 60 DEGREE 6-1/8 IN 1-1/8 IN MULTI PURPOSE, ANGLED JAW</t>
  </si>
  <si>
    <t>CLAMP, SURGICAL, COOLEY, 60 DEGREE, 6-1/8 IN, 1-1/8 IN, MULTI PURPOSE, ANGLED JAW, NON STERILE, LATEX</t>
  </si>
  <si>
    <t>CLAMP, SURG, COOLEY, 60 DEG, 6-1/8 IN, 1-1/8 IN, MULT PURP, ANGLED JAW, NS, LTX</t>
  </si>
  <si>
    <t>CLAMP, SURG, COOLEY, 60 DEG, 6-1/8 IN, 1-1/8 IN, MULT PURP, NS, LTX</t>
  </si>
  <si>
    <t>1-1/8 IN</t>
  </si>
  <si>
    <t>MULTI PURPOSE, ANGLED JAW</t>
  </si>
  <si>
    <t>34 MM</t>
  </si>
  <si>
    <t>http://www.megamedworld.com/wp-content/uploads/2019/03/VM_KVC-min.pdf, https://accessgudid.nlm.nih.gov/devices/10885403031151</t>
  </si>
  <si>
    <t>CH6212</t>
  </si>
  <si>
    <t>BD_CH6212</t>
  </si>
  <si>
    <t>COOLEY MULTIPURPOSE CLAMP 37MM JAW 90DEG</t>
  </si>
  <si>
    <t>PRODIGO1057018</t>
  </si>
  <si>
    <t>COOLEY MULTI-PURPOSE CLAMPS JAW ANGLED 90 DEGREE LENGTH 3.8CM OVERALL LENGTH 14CM CLAMP SURGICAL COOLEY 90 DEGREE 14 CM 3.8 CM MULTI PURPOSE JAW ANGLED</t>
  </si>
  <si>
    <t>CLAMP, SURGICAL, COOLEY, 90 DEGREE, 14 CM, 3.8 CM, MULTI PURPOSE, ANGLED JAW, NON STERILE, LATEX</t>
  </si>
  <si>
    <t>CLAMP, SURG, COOLEY, 90 DEG, 14 CM, 3.8 CM, MULT PURP, ANGLED JAW, NS, LTX</t>
  </si>
  <si>
    <t>CLAMP, SURG, COOLEY, 90 DEG, 14 CM, 3.8 CM, ANGLED JAW, NS, LTX</t>
  </si>
  <si>
    <t>14 CM</t>
  </si>
  <si>
    <t>37 MM</t>
  </si>
  <si>
    <t>http://www.megamedworld.com/wp-content/uploads/2019/03/VM_KVC-min.pdf, https://accessgudid.nlm.nih.gov/devices/10885403031168</t>
  </si>
  <si>
    <t>CH6210</t>
  </si>
  <si>
    <t>BD_CH6210</t>
  </si>
  <si>
    <t>COOLEY MULTIPURPOSE CLAMP 43MM JAW 25DEG</t>
  </si>
  <si>
    <t>PRODIGO1057016</t>
  </si>
  <si>
    <t>COOLEY CLAMP SURGICAL 30 DEGREE 6.5 IN 1.5 IN MULTI PURPOSE, ANGLED JAW</t>
  </si>
  <si>
    <t>CLAMP, SURGICAL, COOLEY, 30 DEGREE, 6.5 IN, 1.5 IN, MULTI PURPOSE, ANGLED JAW, NON STERILE, LATEX</t>
  </si>
  <si>
    <t>CLAMP, SURG, COOLEY, 30 DEG, 6.5 IN, 1.5 IN, MULT PURP, ANGLED JAW, NS, LTX</t>
  </si>
  <si>
    <t>CLAMP, SURG, COOLEY, 30 DEG, 6.5 IN, 1.5 IN, MULT PURP, NS, LTX</t>
  </si>
  <si>
    <t>43 MM, 25 DEGREE</t>
  </si>
  <si>
    <t>http://www.megamedworld.com/wp-content/uploads/2019/03/VM_KVC-min.pdf, https://accessgudid.nlm.nih.gov/devices/10885403031144</t>
  </si>
  <si>
    <t>CH6950007</t>
  </si>
  <si>
    <t>CH6950-007</t>
  </si>
  <si>
    <t>BD_CH6950007</t>
  </si>
  <si>
    <t>COOLEY NEONATE RETR BLADE 10X16MM</t>
  </si>
  <si>
    <t>PRODIGO1057096</t>
  </si>
  <si>
    <t>COOLEY STERNAL RETRACTOR BLADES 3/8X5/8IN(10X16MM) WIDE ARM LENGTH 2-1/8IN(5.4CM) SPREAD 3-1/8IN(7.9CM)</t>
  </si>
  <si>
    <t>BLADE, RETRACTOR, COOLEY, WIDE, 10X16 MM, 5.4 CM ARM, 7.9 CM SPREAD, STERNAL, NON STERILE, LATEX</t>
  </si>
  <si>
    <t>BLADE, RETRACTOR, COOLEY, WIDE, 10X16 MM, 5.4 CM ARM, 7.9 CM SPRD, STRNL, NS, LTX</t>
  </si>
  <si>
    <t>BLADE, RETRACTOR, COOLEY, WIDE, 10X16 MM, 5.4 CM ARM, 7.9 CM SPRD</t>
  </si>
  <si>
    <t>BLADE</t>
  </si>
  <si>
    <t>WIDE</t>
  </si>
  <si>
    <t>10X16 MM</t>
  </si>
  <si>
    <t>5.4 CM ARM, 7.9 CM SPREAD</t>
  </si>
  <si>
    <t>STERNAL</t>
  </si>
  <si>
    <t>https://accessgudid.nlm.nih.gov/devices/10885403032233</t>
  </si>
  <si>
    <t>CH6950008</t>
  </si>
  <si>
    <t>CH6950-008</t>
  </si>
  <si>
    <t>BD_CH6950008</t>
  </si>
  <si>
    <t>COOLEY NEONATE SCISSORS CVD METZ BLADES</t>
  </si>
  <si>
    <t>PRODIGO1057097</t>
  </si>
  <si>
    <t>COOLEY X-SMALL SCISSORS DELICATE CVD METZENBAUM-TYPE BLADES GOLD SHANKS OVERALL LENGTH 5-3/4IN(14.6CM)</t>
  </si>
  <si>
    <t>SCISSOR, SURGICAL, COOLEY, XSMALL, NEONATAL, 5.75 IN, DELICATE, CURVED, METZENBAUM BLADE, GOLD SHANK, NON STERILE, LATEX</t>
  </si>
  <si>
    <t>SCISSOR, SURG, COOLEY, XS, NEONATAL, 5.75 IN, DEL, CRV, METZ BLADE, GLD SHANK, NS, LTX</t>
  </si>
  <si>
    <t>SCISSOR, SURG, COOLEY, XS, NEONATAL, 5.75 IN, DEL, CRV, METZ BLADE</t>
  </si>
  <si>
    <t>NEONATAL</t>
  </si>
  <si>
    <t>DELICATE, CURVED, METZENBAUM BLADE, GOLD SHANK</t>
  </si>
  <si>
    <t>https://accessgudid.nlm.nih.gov/devices/10885403032240</t>
  </si>
  <si>
    <t>CH6653</t>
  </si>
  <si>
    <t>BD_CH6653</t>
  </si>
  <si>
    <t>COOLEY PARTIAL OCCL CLAMP JAW 6X1.2CM</t>
  </si>
  <si>
    <t>PRODIGO1057079</t>
  </si>
  <si>
    <t>COOLEY Partial Occlusion Clamps Jaw length
2-3/8in (6cm)
depth 1.2cm.
Overall length
9-1/2in (24.1cm).</t>
  </si>
  <si>
    <t>CLAMP, SURGICAL, COOLEY, 24.1 CM, 6X1.2 CM, PARTIAL OCCLUSION, JAW, NON STERILE, LATEX</t>
  </si>
  <si>
    <t>CLAMP, SURG, COOLEY, 24.1 CM, 6X1.2 CM, PART OCCL, JAW, NS, LTX</t>
  </si>
  <si>
    <t>24.1 CM</t>
  </si>
  <si>
    <t>6X1.2 CM</t>
  </si>
  <si>
    <t>PARTIAL OCCLUSION, JAW</t>
  </si>
  <si>
    <t>http://www.lt-technologies.de/_ws/mediabase/_ts_1494230442000/Downloads/CardioCatalog_LIT12012_low-res.pdf, https://accessgudid.nlm.nih.gov/devices/10885403032011</t>
  </si>
  <si>
    <t>CH6654</t>
  </si>
  <si>
    <t>BD_CH6654</t>
  </si>
  <si>
    <t>COOLEY PARTIAL OCCL CLAMP JAW 7.3X1.2CM</t>
  </si>
  <si>
    <t>PRODIGO1057080</t>
  </si>
  <si>
    <t>COOLEY Partial Occlusion Clamps Jaw length
2-7/8in (7.3cm)
depth 1.2cm.
Overall length
10-3/4in (27.3cm).</t>
  </si>
  <si>
    <t>CLAMP, SURGICAL, COOLEY, 27.3 CM, 7.3X1.2 CM, NON STERILE, LATEX</t>
  </si>
  <si>
    <t>CLAMP, SURG, COOLEY, 27.3 CM, 7.3X1.2 CM, NS, LTX</t>
  </si>
  <si>
    <t>7.3X1.2 CM</t>
  </si>
  <si>
    <t>http://www.lt-technologies.de/_ws/mediabase/_ts_1494230442000/Downloads/CardioCatalog_LIT12012_low-res.pdf, https://accessgudid.nlm.nih.gov/devices/10885403032028</t>
  </si>
  <si>
    <t>CH6651</t>
  </si>
  <si>
    <t>BD_CH6651</t>
  </si>
  <si>
    <t>COOLEY PARTIAL OCCLUSION CLAMP 3.5X7CM</t>
  </si>
  <si>
    <t>PRODIGO1057077</t>
  </si>
  <si>
    <t>COOLEY Partial Occlusion Clamps Jaw length
1-3/8in (3.5cm)
depth 7mm.
Overall length
8-1/2in (21.6cm).</t>
  </si>
  <si>
    <t>CLAMP, SURGICAL, COOLEY, 21.6 CM, 3.5 CMX7 MM, PARTIAL OCCLUSION, JAW, NON STERILE, LATEX</t>
  </si>
  <si>
    <t>CLAMP, SURG, COOLEY, 21.6 CM, 3.5 CMX7 MM, PART OCCL, JAW, NS, LTX</t>
  </si>
  <si>
    <t>21.6 CM</t>
  </si>
  <si>
    <t>3.5 CMX7 MM</t>
  </si>
  <si>
    <t>http://www.lt-technologies.de/_ws/mediabase/_ts_1494230442000/Downloads/CardioCatalog_LIT12012_low-res.pdf, https://accessgudid.nlm.nih.gov/devices/10885403031991</t>
  </si>
  <si>
    <t>CH6652</t>
  </si>
  <si>
    <t>BD_CH6652</t>
  </si>
  <si>
    <t>COOLEY PARTIAL OCCLUSION CLAMP 5.1X1.2CM</t>
  </si>
  <si>
    <t>PRODIGO1057078</t>
  </si>
  <si>
    <t>COOLEY Partial Occlusion Clamps Jaw length
2in (5.1cm)
depth 1.2cm.
Overall length
9in (22.9cm).</t>
  </si>
  <si>
    <t>CLAMP, SURGICAL, COOLEY, 22.9 CM, 5.1X1.2 CM, PARTIAL OCCLUSION, JAW, NON STERILE, LATEX</t>
  </si>
  <si>
    <t>CLAMP, SURG, COOLEY, 22.9 CM, 5.1X1.2 CM, PART OCCL, JAW, NS, LTX</t>
  </si>
  <si>
    <t>22.9 CM</t>
  </si>
  <si>
    <t>5.1X1.2 CM</t>
  </si>
  <si>
    <t>http://www.lt-technologies.de/_ws/mediabase/_ts_1494230442000/Downloads/CardioCatalog_LIT12012_low-res.pdf, https://accessgudid.nlm.nih.gov/devices/10885403032004</t>
  </si>
  <si>
    <t>CH6650</t>
  </si>
  <si>
    <t>BD_CH6650</t>
  </si>
  <si>
    <t>COOLEY PARTIAL OCCLUSION CLAMP JAW25X7MM</t>
  </si>
  <si>
    <t>PRODIGO1057076</t>
  </si>
  <si>
    <t>COOLEY Partial Occlusion Clamps Jaw length
1in (2.5cm)
depth 7mm.
Overall length
8in (20.3cm)</t>
  </si>
  <si>
    <t>CLAMP, SURGICAL, COOLEY, 20.3 CM, 2.5 CMX7 MM, PARTIAL OCCLUSION, JAW, NON STERILE, LATEX</t>
  </si>
  <si>
    <t>CLAMP, SURG, COOLEY, 20.3 CM, 2.5 CMX7 MM, PART OCCL, JAW, NS, LTX</t>
  </si>
  <si>
    <t>2.5 CMX7 MM</t>
  </si>
  <si>
    <t>http://www.lt-technologies.de/_ws/mediabase/_ts_1494230442000/Downloads/CardioCatalog_LIT12012_low-res.pdf, https://accessgudid.nlm.nih.gov/devices/10885403031984</t>
  </si>
  <si>
    <t>CH6181</t>
  </si>
  <si>
    <t>BD_CH6181</t>
  </si>
  <si>
    <t>COOLEY PATENT DUCTUS ANG SHANK JAW 4CM</t>
  </si>
  <si>
    <t>PRODIGO1057007</t>
  </si>
  <si>
    <t>COOLEY CLAMP SURGICAL 6.25 IN 3.2 CM PATENT DUCTUS, JAW, STRAIGHT SHANK</t>
  </si>
  <si>
    <t>CLAMP, SURGICAL, COOLEY, 6.25 IN, 3.2 CM, PATENT DUCTUS, JAW, STRAIGHT SHANK, NON STERILE, LATEX</t>
  </si>
  <si>
    <t>CLAMP, SURG, COOLEY, 6.25 IN, 3.2 CM, PAT DUCTUS, JAW, STR SHANK, NS, LTX</t>
  </si>
  <si>
    <t>CLAMP, SURG, COOLEY, 6.25 IN, 3.2 CM, PAT DUCTUS, JAW, STR SHANK, NS</t>
  </si>
  <si>
    <t>3.2 CM</t>
  </si>
  <si>
    <t>PATENT DUCTUS, JAW, STRAIGHT SHANK</t>
  </si>
  <si>
    <t>http://www.megamedworld.com/wp-content/uploads/2019/03/VM_KVC-min.pdf, https://accessgudid.nlm.nih.gov/devices/10885403030642</t>
  </si>
  <si>
    <t>CH6320</t>
  </si>
  <si>
    <t>BD_CH6320</t>
  </si>
  <si>
    <t>COOLEY PATENT DUCTUS CLAMP STR JAW 5.5CM</t>
  </si>
  <si>
    <t>PRODIGO1057034</t>
  </si>
  <si>
    <t>COOLEY CLAMP SURGICAL 21 CM 3 CM PATENT DUCTUS, STRAIGHT JAW, ANGLED SHANK</t>
  </si>
  <si>
    <t>CLAMP, SURGICAL, COOLEY, 21 CM, 3 CM, PATENT DUCTUS, STRAIGHT JAW, STRAIGHT SHANK, NON STERILE, LATEX</t>
  </si>
  <si>
    <t>CLAMP, SURG, COOLEY, 21 CM, 3 CM, PAT DUCTUS, STR JAW, STR SHANK, NS, LTX</t>
  </si>
  <si>
    <t>CLAMP, SURG, COOLEY, 21 CM, 3 CM, PAT DUCTUS, STR JAW, STR SHANK, NS</t>
  </si>
  <si>
    <t>21 CM</t>
  </si>
  <si>
    <t>PATENT DUCTUS, STRAIGHT JAW, STRAIGHT SHANK</t>
  </si>
  <si>
    <t>5.5 CM</t>
  </si>
  <si>
    <t>http://www.megamedworld.com/wp-content/uploads/2019/03/VM_KVC-min.pdf, https://accessgudid.nlm.nih.gov/devices/10885403031403</t>
  </si>
  <si>
    <t>CH6325</t>
  </si>
  <si>
    <t>BD_CH6325</t>
  </si>
  <si>
    <t>COOLEY PATENT DUCTUS CLMP ANG SHANK</t>
  </si>
  <si>
    <t>PRODIGO1057035</t>
  </si>
  <si>
    <t>COOLEY PATENT DUCTUS CLAMPS STRAIGHT JAWS LENGTH 3CM OVERALL LENGTH 21CM ANGLED SHANKS CLAMP SURGICAL COOLEY 21 CM 3 CM PATENT DUCTUS STRAIGHT JAW ANGLED SHANK</t>
  </si>
  <si>
    <t>CLAMP, SURGICAL, COOLEY, 21 CM, 3 CM, PATENT DUCTUS, STRAIGHT JAW, ANGLED SHANK, NON STERILE, LATEX</t>
  </si>
  <si>
    <t>CLAMP, SURG, COOLEY, 21 CM, 3 CM, PAT DUCTUS, STR JAW, ANGLED SHANK, NS, LTX</t>
  </si>
  <si>
    <t>CLAMP, SURG, COOLEY, 21 CM, 3 CM, PAT DUCTUS, STR JAW, NS, LTX</t>
  </si>
  <si>
    <t>PATENT DUCTUS, STRAIGHT JAW, ANGLED SHANK</t>
  </si>
  <si>
    <t>http://www.megamedworld.com/wp-content/uploads/2019/03/VM_KVC-min.pdf, https://accessgudid.nlm.nih.gov/devices/10885403031410</t>
  </si>
  <si>
    <t>CH6180</t>
  </si>
  <si>
    <t>BD_CH6180</t>
  </si>
  <si>
    <t>COOLEY PATENT DUCTUS STR SHANK JAW 4CM</t>
  </si>
  <si>
    <t>PRODIGO1057006</t>
  </si>
  <si>
    <t>COOLEY PATENT DUCTUS CLAMPS JAW LENGTH 3.2CM OVERALL LENGTH 15.9CM STRAIGHT SHANKS CLAMP SURGICAL COOLEY 15.9 CM 3.2 CM PATENT DUCTUS JAW STRAIGHT SHANK</t>
  </si>
  <si>
    <t>CLAMP, SURGICAL, COOLEY, 15.9 CM, 3.2 CM, PATENT DUCTUS, JAW, STRAIGHT SHANK, NON STERILE, LATEX</t>
  </si>
  <si>
    <t>CLAMP, SURG, COOLEY, 15.9 CM, 3.2 CM, PAT DUCTUS, JAW, STR SHANK, NS, LTX</t>
  </si>
  <si>
    <t>CLAMP, SURG, COOLEY, 15.9 CM, 3.2 CM, PAT DUCTUS, JAW, STR SHANK, NS</t>
  </si>
  <si>
    <t>15.9 CM</t>
  </si>
  <si>
    <t>http://www.megamedworld.com/wp-content/uploads/2019/03/VM_KVC-min.pdf, https://accessgudid.nlm.nih.gov/devices/10885403030635</t>
  </si>
  <si>
    <t>CH6201</t>
  </si>
  <si>
    <t>BD_CH6201</t>
  </si>
  <si>
    <t>COOLEY PERIPH VASC CLAMP 3.8CM JAW 45DEG</t>
  </si>
  <si>
    <t>PRODIGO1057015</t>
  </si>
  <si>
    <t>COOLEY CLAMP SURGICAL 55 DEGREE 7 IN 4.4 CM PERIPHERAL, VASCULAR LIGHT, ANGLED JAW</t>
  </si>
  <si>
    <t>CLAMP, SURGICAL, COOLEY, 55 DEGREE, 7 IN, 4.4 CM, PERIPHERAL, VASCULAR, LIGHT, ANGLED JAW, NON STERILE, LATEX</t>
  </si>
  <si>
    <t>CLAMP, SURG, COOLEY, 55 DEG, 7 IN, 4.4 CM, PERIPH, VASC, LIGHT, ANGLED JAW, NS, LTX</t>
  </si>
  <si>
    <t>CLAMP, SURG, COOLEY, 55 DEG, 7 IN, 4.4 CM, ANGLED JAW, NS, LTX</t>
  </si>
  <si>
    <t>55 DEGREE</t>
  </si>
  <si>
    <t>4.4 CM</t>
  </si>
  <si>
    <t>PERIPHERAL, VASCULAR</t>
  </si>
  <si>
    <t>LIGHT, ANGLED JAW</t>
  </si>
  <si>
    <t>http://www.megamedworld.com/wp-content/uploads/2019/03/VM_KVC-min.pdf, https://accessgudid.nlm.nih.gov/devices/10885403031137</t>
  </si>
  <si>
    <t>CH6198</t>
  </si>
  <si>
    <t>BD_CH6198</t>
  </si>
  <si>
    <t>COOLEY PERIPH VASC CLAMP 3.8CM JAW 55DEG</t>
  </si>
  <si>
    <t>PRODIGO1057012</t>
  </si>
  <si>
    <t>COOLEY PERIPHERAL VASCULAR CLAMPS LIGHT JAWS ANGLED 55 DEGREE JAW LENGTH 3.5CM OVERALL LENGTH 16.5CM CLAMP SURGICAL COOLEY 55 DEGREE 16.5 CM 3.5 CM PERIPHERAL VASCULAR LIGHT JAW ANGLED</t>
  </si>
  <si>
    <t>CLAMP, SURGICAL, COOLEY, 55 DEGREE, 6.45 IN, 3.5 CM, PERIPHERAL, VASCULAR, LIGHT, ANGLED JAW, NON STERILE, LATEX</t>
  </si>
  <si>
    <t>CLAMP, SURG, COOLEY, 55 DEG, 6.45 IN, 3.5 CM, PERIPH, VASC, LIGHT, ANGLED JAW, NS, LTX</t>
  </si>
  <si>
    <t>CLAMP, SURG, COOLEY, 55 DEG, 6.45 IN, 3.5 CM, ANGLED JAW, NS, LTX</t>
  </si>
  <si>
    <t>http://www.megamedworld.com/wp-content/uploads/2019/03/VM_KVC-min.pdf, https://accessgudid.nlm.nih.gov/devices/10885403030697</t>
  </si>
  <si>
    <t>CH6199</t>
  </si>
  <si>
    <t>BD_CH6199</t>
  </si>
  <si>
    <t>COOLEY PERIPH VASC CLAMP 4.4CM JAW 55DEG</t>
  </si>
  <si>
    <t>PRODIGO1057013</t>
  </si>
  <si>
    <t>COOLEY CLAMP SURGICAL 55 DEGREE 6.45 IN 4.4 CM PERIPHERAL, VASCULAR LIGHT, ANGLED JAW</t>
  </si>
  <si>
    <t>CLAMP, SURGICAL, COOLEY, 55 DEGREE, 6.45 IN, 4.4 CM, PERIPHERAL, VASCULAR, LIGHT, ANGLED JAW, NON STERILE, LATEX</t>
  </si>
  <si>
    <t>CLAMP, SURG, COOLEY, 55 DEG, 6.45 IN, 4.4 CM, PERIPH, VASC, LIGHT, ANGLED JAW, NS, LTX</t>
  </si>
  <si>
    <t>CLAMP, SURG, COOLEY, 55 DEG, 6.45 IN, 4.4 CM, ANGLED JAW, NS, LTX</t>
  </si>
  <si>
    <t>http://www.megamedworld.com/wp-content/uploads/2019/03/VM_KVC-min.pdf, https://accessgudid.nlm.nih.gov/devices/10885403030703</t>
  </si>
  <si>
    <t>CH6200</t>
  </si>
  <si>
    <t>BD_CH6200</t>
  </si>
  <si>
    <t>COOLEY PERIPH VASC CLAMP 6.8CM JAW 55DEG</t>
  </si>
  <si>
    <t>PRODIGO1057014</t>
  </si>
  <si>
    <t>COOLEY PERIPHERAL VASCULAR CLAMPS LIGHT JAWS ANGLED 55 DEGREE JAW LENGTH 7CM OVERALL LENGTH 17.8CM CLAMP SURGICAL COOLEY 55 DEGREE 17.8 CM 7 CM PERIPHERAL VASCULAR LIGHT JAW ANGLED</t>
  </si>
  <si>
    <t>CLAMP, SURGICAL, COOLEY, 55 DEGREE, 7 IN, 7 CM, PERIPHERAL, VASCULAR, LIGHT, ANGLED JAW, NON STERILE, LATEX</t>
  </si>
  <si>
    <t>CLAMP, SURG, COOLEY, 55 DEG, 7 IN, 7 CM, PERIPH, VASC, LIGHT, ANGLED JAW, NS, LTX</t>
  </si>
  <si>
    <t>CLAMP, SURG, COOLEY, 55 DEG, 7 IN, 7 CM, ANGLED JAW, NS, LTX</t>
  </si>
  <si>
    <t>6.8 CM</t>
  </si>
  <si>
    <t>http://www.megamedworld.com/wp-content/uploads/2019/03/VM_KVC-min.pdf, https://accessgudid.nlm.nih.gov/devices/10885403031120</t>
  </si>
  <si>
    <t>CH6190</t>
  </si>
  <si>
    <t>BD_CH6190</t>
  </si>
  <si>
    <t>COOLEY PERIPH VASC CLAMP STR JAW 5.2CM</t>
  </si>
  <si>
    <t>PRODIGO1057011</t>
  </si>
  <si>
    <t>COOLEY CLAMP SURGICAL 6.45 IN 4.4 CM PERIPHERAL, VASCULAR LIGHT, STRAIGHT JAW</t>
  </si>
  <si>
    <t>CLAMP, SURGICAL, COOLEY, 6.45 IN, 4.4 CM, PERIPHERAL, VASCULAR, LIGHT, STRAIGHT JAW, NON STERILE, LATEX</t>
  </si>
  <si>
    <t>CLAMP, SURG, COOLEY, 6.45 IN, 4.4 CM, PERIPH, VASC, LIGHT, STR JAW, NS, LTX</t>
  </si>
  <si>
    <t>CLAMP, SURG, COOLEY, 6.45 IN, 4.4 CM, LIGHT, STR JAW, NS, LTX</t>
  </si>
  <si>
    <t>LIGHT, STRAIGHT JAW</t>
  </si>
  <si>
    <t>5.2 CM</t>
  </si>
  <si>
    <t>http://www.megamedworld.com/wp-content/uploads/2019/03/VM_KVC-min.pdf, https://accessgudid.nlm.nih.gov/devices/10885403030680</t>
  </si>
  <si>
    <t>CH5700</t>
  </si>
  <si>
    <t>BD_CH5700</t>
  </si>
  <si>
    <t>COOLEY REVERSE CUT SCISSORS 120DEG 6-3/4</t>
  </si>
  <si>
    <t>PRODIGO1056911</t>
  </si>
  <si>
    <t>COOLEY SCISSOR SURGICAL 120 DEGREE 6.75 IN ANGLED BLADE, REVERSE CUT</t>
  </si>
  <si>
    <t>SCISSOR, SURGICAL, COOLEY, 120 DEGREE, 6.45 IN, ANGLED BLADE, REVERSE CUT, NON STERILE, LATEX</t>
  </si>
  <si>
    <t>SCISSOR, SURG, COOLEY, 120 DEG, 6.45 IN, ANGLED BLADE, RVS CUT, NS, LTX</t>
  </si>
  <si>
    <t>SCISSOR, SURG, COOLEY, 120 DEG, 6.45 IN, ANGLED BLADE, RVS CUT, NS</t>
  </si>
  <si>
    <t>120 DEGREE</t>
  </si>
  <si>
    <t>ANGLED BLADE, REVERSE CUT</t>
  </si>
  <si>
    <t>http://www.megamedworld.com/wp-content/uploads/2019/03/VM_KVC-min.pdf, https://accessgudid.nlm.nih.gov/devices/10885403029042</t>
  </si>
  <si>
    <t>CH1249</t>
  </si>
  <si>
    <t>BD_CH1249</t>
  </si>
  <si>
    <t>COOLEY RIB RETRACTOR PED 16X25MM 4IN</t>
  </si>
  <si>
    <t>PRODIGO1056651</t>
  </si>
  <si>
    <t>COOLEY RIB RETRACTORS DOUBLE-ACTION PEDIATRIC ALUMINUM ARMS AND BLADES BLADES 16MM X 25MM WIDE ARM LENGTH 4IN SPREAD 4.75IN LATEX NON STERILE</t>
  </si>
  <si>
    <t>RETRACTOR, SURGICAL, COOLEY, PEDIATRIC, 16X25 MM, 4 IN, 4.75 IN, RIB, DOUBLE ACTION, WITH BLADE, ARM, SPREAD, ALUMINIUM, NON STERILE, LATEX</t>
  </si>
  <si>
    <t>RETRACTOR, SURG, COOLEY, PEDIATRIC, 16X25 MM, 4 IN, 4.75 IN, RIB, DBL ACT, W/ BLADE, ARM, SPRD, ALUMINIUM, NS, LTX</t>
  </si>
  <si>
    <t>RETRACTOR, SURG, COOLEY, PEDIATRIC, 16X25 MM, 4 IN, 4.75 IN, RIB</t>
  </si>
  <si>
    <t>PEDIATRIC</t>
  </si>
  <si>
    <t>16X25 MM, 4 IN, 4.75 IN</t>
  </si>
  <si>
    <t>DOUBLE ACTION, WITH BLADE, ARM, SPREAD</t>
  </si>
  <si>
    <t>ALUMINIUM</t>
  </si>
  <si>
    <t>https://www.bd.com/en-us/products-and-solutions/products/product-page.CH1249#specifications, https://accessgudid.nlm.nih.gov/devices/10885403023446</t>
  </si>
  <si>
    <t>CH1248</t>
  </si>
  <si>
    <t>BD_CH1248</t>
  </si>
  <si>
    <t>COOLEY RIB RETRACTOR PED 35X35MM 5-3/4IN</t>
  </si>
  <si>
    <t>PRODIGO1056650</t>
  </si>
  <si>
    <t>COOLEY RIB RETRACTORS DOUBLE-ACTION PEDIATRIC ALUMINUM ARMS AND BLADES BLADES 35MM X 35MM WIDE ARM LENGTH 5-3/4IN SPREAD 7IN LATEX NON STERILE</t>
  </si>
  <si>
    <t>RETRACTOR, SURGICAL, COOLEY, PEDIATRIC, 35X35 MM, 5.75 IN, 7 IN, RIB, DOUBLE ACTION, WITH BLADE, ARM, SPREAD, ALUMINIUM, NON STERILE, LATEX</t>
  </si>
  <si>
    <t>RETRACTOR, SURG, COOLEY, PEDIATRIC, 35X35 MM, 5.75 IN, 7 IN, RIB, DBL ACT, W/ BLADE, ARM, SPRD, ALUMINIUM, NS, LTX</t>
  </si>
  <si>
    <t>RETRACTOR, SURG, COOLEY, PEDIATRIC, 35X35 MM, 5.75 IN, 7 IN, RIB</t>
  </si>
  <si>
    <t>35X35 MM, 5.75 IN, 7 IN</t>
  </si>
  <si>
    <t>https://www.bd.com/en-us/products-and-solutions/products/product-page.CH1248#overview, https://accessgudid.nlm.nih.gov/devices/10885403023453</t>
  </si>
  <si>
    <t>CH12801</t>
  </si>
  <si>
    <t>CH1280-1</t>
  </si>
  <si>
    <t>BD_CH12801</t>
  </si>
  <si>
    <t>COOLEY STERNUM RETR ADULT BLADE 3.5X5CM</t>
  </si>
  <si>
    <t>PRODIGO1056657</t>
  </si>
  <si>
    <t>COOLEY STERNAL RETRACTOR DOUBLE-ACTION BLADES 3.5CM X 5CM ARM LENGTH 5-3/4IN SPREAD 9-1/2IN SS LATEX NON STERILE</t>
  </si>
  <si>
    <t>RETRACTOR, SURGICAL, COOLEY, ADULT, 3.5X5 CM, 5.75 IN, 9.5 IN, STERNAL, DOUBLE ACTION, WITH BLADE, ARM, SPREAD, STAINLESS STEEL, NON STERILE, LATEX</t>
  </si>
  <si>
    <t>RETRACTOR, SURG, COOLEY, AD, 3.5X5 CM, 5.75 IN, 9.5 IN, STRNL, DBL ACT, W/ BLADE, ARM, SPRD, SS, NS, LTX</t>
  </si>
  <si>
    <t>RETRACTOR, SURG, COOLEY, AD, 3.5X5 CM, 5.75 IN, 9.5 IN, STRNL, DBL</t>
  </si>
  <si>
    <t>ADULT</t>
  </si>
  <si>
    <t>3.5X5 CM, 5.75 IN, 9.5 IN</t>
  </si>
  <si>
    <t>https://www.bd.com/en-us/products-and-solutions/products/product-page.CH12801#specifications, https://accessgudid.nlm.nih.gov/devices/10885403023620</t>
  </si>
  <si>
    <t>CH12851</t>
  </si>
  <si>
    <t>CH1285-1</t>
  </si>
  <si>
    <t>BD_CH12851</t>
  </si>
  <si>
    <t>COOLEY STERNUM RETR CHILD BLDE 2.1X4.6CM</t>
  </si>
  <si>
    <t>PRODIGO1056658</t>
  </si>
  <si>
    <t>COOLEY STERNAL RETRACTOR DOUBLE-ACTION BLADES 2.1CM X4.6CM ARM LENGTH 4-3/8IN SPREAD 8-1/4IN SS LATEX NON STERILE</t>
  </si>
  <si>
    <t>RETRACTOR, SURGICAL, COOLEY, CHILD, 2.1X4.6 CM, 4-3/8 IN, 8.25 IN, STERNAL, DOUBLE ACTION, WITH BLADE, ARM, SPREAD, STAINLESS STEEL, NON STERILE, LATEX</t>
  </si>
  <si>
    <t>RETRACTOR, SURG, COOLEY, CH, 2.1X4.6 CM, 4-3/8 IN, 8.25 IN, STRNL, DBL ACT, W/ BLADE, ARM, SPRD, SS, NS, LTX</t>
  </si>
  <si>
    <t>RETRACTOR, SURG, COOLEY, CH, 2.1X4.6 CM, 4-3/8 IN, 8.25 IN, STRNL</t>
  </si>
  <si>
    <t>CHILD</t>
  </si>
  <si>
    <t>2.1X4.6 CM, 4-3/8 IN, 8.25 IN</t>
  </si>
  <si>
    <t>https://www.bd.com/en-us/products-and-solutions/products/product-page.CH1285-1#overview, https://accessgudid.nlm.nih.gov/devices/10885403023644</t>
  </si>
  <si>
    <t>CH1288</t>
  </si>
  <si>
    <t>BD_CH1288</t>
  </si>
  <si>
    <t>COOLEY STERNUM RETRACTOR NB BLDE 14X16MM</t>
  </si>
  <si>
    <t>PRODIGO1056660</t>
  </si>
  <si>
    <t>COOLEY STERNAL RETRACTOR DOUBLE-ACTION ALUMINUM ARMS AND BLADES BLADES 14MM X 16MM WIDE ARM LENGTH 2.75 IN SPREAD 3-3/8IN LATEX NON STERILE</t>
  </si>
  <si>
    <t>RETRACTOR, SURGICAL, COOLEY, NEWBORN, 14X16 MM, 2.75 IN, 3-3/8IN, STERNAL, DOUBLE ACTION, WITH BLADE, ARM, SPREAD, ALUMINIUM, NON STERILE, LATEX</t>
  </si>
  <si>
    <t>RETRACTOR, SURG, COOLEY, NEWBORN, 14X16 MM, 2.75 IN, 3-3/8IN, STRNL, DBL ACT, W/ BLADE, ARM, SPRD, ALUMINIUM, NS, LTX</t>
  </si>
  <si>
    <t>RETRACTOR, SURG, COOLEY, NEWBORN, 14X16 MM, 2.75 IN, 3-3/8IN</t>
  </si>
  <si>
    <t>NEWBORN</t>
  </si>
  <si>
    <t>14X16 MM, 2.75 IN, 3-3/8IN</t>
  </si>
  <si>
    <t>https://www.bd.com/en-us/products-and-solutions/products/product-page.CH1288#overview, https://accessgudid.nlm.nih.gov/devices/10885403023668</t>
  </si>
  <si>
    <t>CH1289</t>
  </si>
  <si>
    <t>BD_CH1289</t>
  </si>
  <si>
    <t>COOLEY STERNUM RETRACTOR PED BLD 14X19MM</t>
  </si>
  <si>
    <t>PRODIGO1056661</t>
  </si>
  <si>
    <t>COOLEY STERNAL RETRACTOR DOUBLE-ACTION SMALL ALUMINUM ARMS AND BLADES.WITH STABILIZING PINS IN BLADE 14MM X 19MM ARM LENGTH 3-3/8IN SPREAD 4IN LATEX NON STERILE</t>
  </si>
  <si>
    <t>RETRACTOR, SURGICAL, COOLEY, SMALL, PEDIATRIC, 14X19 MM, 3-3/8 IN, 4 IN, STERNAL, DOUBLE ACTION, WITH STABILIZING PIN IN BLADE, ARM, SPREAD, NON STERILE, LATEX</t>
  </si>
  <si>
    <t>RETRACTOR, SURG, COOLEY, SM, PEDIATRIC, 14X19 MM, 3-3/8 IN, 4 IN, STRNL, DBL ACT, W/ STABILIZING PIN IN BLADE, ARM, SPRD, NS, LTX</t>
  </si>
  <si>
    <t>RETRACTOR, SURG, COOLEY, SM, PEDIATRIC, 14X19 MM, 3-3/8 IN, 4 IN</t>
  </si>
  <si>
    <t>14X19 MM, 3-3/8 IN, 4 IN</t>
  </si>
  <si>
    <t>DOUBLE ACTION, WITH STABILIZING PIN IN BLADE, ARM, SPREAD</t>
  </si>
  <si>
    <t>https://www.bd.com/en-us/products-and-solutions/products/product-page.CH1289#overview, https://accessgudid.nlm.nih.gov/devices/10885403023682</t>
  </si>
  <si>
    <t>CH1287</t>
  </si>
  <si>
    <t>BD_CH1287</t>
  </si>
  <si>
    <t>COOLEY STERNUM RETRACTOR PED BLD 20X29MM</t>
  </si>
  <si>
    <t>PRODIGO1056659</t>
  </si>
  <si>
    <t>COOLEY STERNAL RETRACTOR DOUBLE-ACTION ALUMINUM ARMS AND BLADES BLADES 20MM X 29MM WIDE ARM LENGTH 3-1/8IN SPREAD 4-5/8IN LATEX NON STERILE</t>
  </si>
  <si>
    <t>RETRACTOR, SURGICAL, COOLEY, PEDIATRIC, 20X29 MM, 3-1/8 IN, 4-5/8 IN, STERNAL, DOUBLE ACTION, WITH BLADE, ARM, SPREAD, ALUMINIUM, NON STERILE, LATEX</t>
  </si>
  <si>
    <t>RETRACTOR, SURG, COOLEY, PEDIATRIC, 20X29 MM, 3-1/8 IN, 4-5/8 IN, STRNL, DBL ACT, W/ BLADE, ARM, SPRD, ALUMINIUM, NS, LTX</t>
  </si>
  <si>
    <t>RETRACTOR, SURG, COOLEY, PEDIATRIC, 20X29 MM, 3-1/8 IN, 4-5/8 IN</t>
  </si>
  <si>
    <t>20X29 MM, 3-1/8 IN, 4-5/8 IN</t>
  </si>
  <si>
    <t>https://www.bd.com/en-us/products-and-solutions/products/product-page.CH1287#specifications, https://accessgudid.nlm.nih.gov/devices/10885403023651</t>
  </si>
  <si>
    <t>CH8060</t>
  </si>
  <si>
    <t>BD_CH8060</t>
  </si>
  <si>
    <t>COOLEY SUMP SUCTION TUBE OVER LGTH 13IN</t>
  </si>
  <si>
    <t>PRODIGO1057190</t>
  </si>
  <si>
    <t>Cooley sump suction tubes</t>
  </si>
  <si>
    <t>TUBE, SUCTION, COOLEY, 30 DEGREE, 7.5 MM TIP, 13 IN, SUMP, ANGLED, NON STERILE, LATEX</t>
  </si>
  <si>
    <t>TUBE, SUCTION, COOLEY, 30 DEG, 7.5 MM TIP, 13 IN, SUMP, ANGLED, NS, LTX</t>
  </si>
  <si>
    <t>TUBE, SUCTION, COOLEY, 30 DEG, 7.5 MM TIP, 13 IN, SUMP, ANGLED, LTX</t>
  </si>
  <si>
    <t>30 DEGREE, 7.5 MM TIP</t>
  </si>
  <si>
    <t>13 IN</t>
  </si>
  <si>
    <t>SUMP, ANGLED</t>
  </si>
  <si>
    <t>https://www.bd.com/en-us/products-and-solutions/products/product-page.ch8060, https://accessgudid.nlm.nih.gov/devices/10885403034077</t>
  </si>
  <si>
    <t>CH6574</t>
  </si>
  <si>
    <t>BD_CH6574</t>
  </si>
  <si>
    <t>COOLEY TANGENTIAL OCCL CLAMP JAW 35X10MM</t>
  </si>
  <si>
    <t>PRODIGO1057069</t>
  </si>
  <si>
    <t>COOLEY Tangential Occlusion Clamps
Double-angled jaws are calibrated in 5mm increments.
Overall length 7-3/4in (19.7cm) Jaw length 1-3/8in (3.5cm)
depth 10mm</t>
  </si>
  <si>
    <t>CLAMP, SURGICAL, COOLEY, 19.7 CM, 3.5 CMX10 MM, TANGENTIAL OCCLUSION, DOUBLE-ANGLED JAW, NON STERILE, LATEX</t>
  </si>
  <si>
    <t>CLAMP, SURG, COOLEY, 19.7 CM, 3.5 CMX10 MM, TANGENTIAL OCCL, DOUBLE-ANGLED JAW, NS, LTX</t>
  </si>
  <si>
    <t>CLAMP, SURG, COOLEY, 19.7 CM, 3.5 CMX10 MM, TANGENTIAL OCCL</t>
  </si>
  <si>
    <t>19.7 CM</t>
  </si>
  <si>
    <t>3.5 CMX10 MM</t>
  </si>
  <si>
    <t>TANGENTIAL OCCLUSION, DOUBLE-ANGLED JAW</t>
  </si>
  <si>
    <t>http://www.lt-technologies.de/_ws/mediabase/_ts_1494230442000/Downloads/CardioCatalog_LIT12012_low-res.pdf, https://accessgudid.nlm.nih.gov/devices/10885403031885</t>
  </si>
  <si>
    <t>CH6570</t>
  </si>
  <si>
    <t>BD_CH6570</t>
  </si>
  <si>
    <t>COOLEY TANGENTIAL OCCL CLAMPS JAW 19X6MM</t>
  </si>
  <si>
    <t>PRODIGO1057067</t>
  </si>
  <si>
    <t>COOLEY Tangential Occlusion Clamps
Double-angled jaws are calibrated in 5mm increments.
Overall length 7-3/4in (19.7cm) Jaw length 3/4in (1.9cm)
depth 6mm.</t>
  </si>
  <si>
    <t>CLAMP, SURGICAL, COOLEY, 19.7 CM, 1.9 CMX6 MM, TANGENTIAL OCCLUSION, DOUBLE-ANGLED JAW, NON STERILE, LATEX</t>
  </si>
  <si>
    <t>CLAMP, SURG, COOLEY, 19.7 CM, 1.9 CMX6 MM, TANGENTIAL OCCL, DOUBLE-ANGLED JAW, NS, LTX</t>
  </si>
  <si>
    <t>CLAMP, SURG, COOLEY, 19.7 CM, 1.9 CMX6 MM, TANGENTIAL OCCL</t>
  </si>
  <si>
    <t>http://www.lt-technologies.de/_ws/mediabase/_ts_1494230442000/Downloads/CardioCatalog_LIT12012_low-res.pdf, https://accessgudid.nlm.nih.gov/devices/10885403165924</t>
  </si>
  <si>
    <t>CH6572</t>
  </si>
  <si>
    <t>BD_CH6572</t>
  </si>
  <si>
    <t>COOLEY TANGENTIAL OCCL CLAMPS JAW 25X7MM</t>
  </si>
  <si>
    <t>PRODIGO1057068</t>
  </si>
  <si>
    <t>COOLEY Tangential Occlusion Clamps
Double-angled jaws are calibrated in 5mm increments.
Overall length 7-3/4in (19.7cm) Jaw length 1in (2.5cm)
depth 7mm</t>
  </si>
  <si>
    <t>CLAMP, SURGICAL, COOLEY, 19.7 CM, 2.5 CMX7 MM, TANGENTIAL OCCLUSION, DOUBLE-ANGLED JAW, NON STERILE, LATEX</t>
  </si>
  <si>
    <t>CLAMP, SURG, COOLEY, 19.7 CM, 2.5 CMX7 MM, TANGENTIAL OCCL, DOUBLE-ANGLED JAW, NS, LTX</t>
  </si>
  <si>
    <t>CLAMP, SURG, COOLEY, 19.7 CM, 2.5 CMX7 MM, TANGENTIAL OCCL</t>
  </si>
  <si>
    <t>http://www.lt-technologies.de/_ws/mediabase/_ts_1494230442000/Downloads/CardioCatalog_LIT12012_low-res.pdf, https://accessgudid.nlm.nih.gov/devices/10885403165931</t>
  </si>
  <si>
    <t>CH5656</t>
  </si>
  <si>
    <t>BD_CH5656</t>
  </si>
  <si>
    <t>COOLEY VASC SCISSOR 45DEG 1MM PROBE TIP</t>
  </si>
  <si>
    <t>PRODIGO1056882</t>
  </si>
  <si>
    <t>COOLEY VASCULAR SCISSORS OVERALL LENGTH 18.4CM MIRROR FINISH BLADES ANGLED 45 DEGREE 1MM PROBE POINT ON TIP SCISSOR SURGICAL COOLEY 45 DEGREE 18.4 CM 1 MM VASCULAR MIRROR FINISH BLADE ANGLED POINT ON TIP</t>
  </si>
  <si>
    <t>SCISSOR, SURGICAL, COOLEY, 45 DEGREE, 18.4 CM, 1 MM, VASCULAR, MIRROR FINISH, ANGLED BLADE, PROBE TIP, NON STERILE, LATEX</t>
  </si>
  <si>
    <t>SCISSOR, SURG, COOLEY, 45 DEG, 18.4 CM, 1 MM, VASC, MIRROR FINISH, ANGLED BLADE, PRB TIP, NS, LTX</t>
  </si>
  <si>
    <t>SCISSOR, SURG, COOLEY, 45 DEG, 18.4 CM, 1 MM, VASC, NS, LTX</t>
  </si>
  <si>
    <t>VASCULAR</t>
  </si>
  <si>
    <t>MIRROR FINISH, ANGLED BLADE, PROBE TIP</t>
  </si>
  <si>
    <t>http://www.megamedworld.com/wp-content/uploads/2019/03/VM_KVC-min.pdf, https://accessgudid.nlm.nih.gov/devices/10885403028274</t>
  </si>
  <si>
    <t>CH5657</t>
  </si>
  <si>
    <t>BD_CH5657</t>
  </si>
  <si>
    <t>COOLEY VASC SCISSOR 45DG 1.5MM PROBE TIP</t>
  </si>
  <si>
    <t>PRODIGO1056883</t>
  </si>
  <si>
    <t>COOLEY VASCULAR SCISSORS OVERALL LENGTH 18.4CM MIRROR FINISH BLADES ANGLED 45 DEGREE 1.5MM PROBE POINT ON TIP SCISSOR SURGICAL COOLEY 45 DEGREE 18.4 CM 1.5 MM VASCULAR MIRROR FINISH BLADE ANGLED POINT ON TIP</t>
  </si>
  <si>
    <t>SCISSOR, SURGICAL, COOLEY, 45 DEGREE, 18.4 CM, 1.5 MM, VASCULAR, MIRROR FINISH, ANGLED BLADE, PROBE TIP, NON STERILE, LATEX</t>
  </si>
  <si>
    <t>SCISSOR, SURG, COOLEY, 45 DEG, 18.4 CM, 1.5 MM, VASC, MIRROR FINISH, ANGLED BLADE, PRB TIP, NS, LTX</t>
  </si>
  <si>
    <t>SCISSOR, SURG, COOLEY, 45 DEG, 18.4 CM, 1.5 MM, VASC, PRB TIP, LTX</t>
  </si>
  <si>
    <t>1.5 MM</t>
  </si>
  <si>
    <t>http://www.megamedworld.com/wp-content/uploads/2019/03/VM_KVC-min.pdf, https://accessgudid.nlm.nih.gov/devices/10885403028281</t>
  </si>
  <si>
    <t>CH5954</t>
  </si>
  <si>
    <t>BD_CH5954</t>
  </si>
  <si>
    <t>COOLEY VASC TISSUE FORCEP 2.3MMJAW 9-1/2</t>
  </si>
  <si>
    <t>PRODIGO1056951</t>
  </si>
  <si>
    <t>COOLEY VASCULAR TISSUE FORCEPS COOLEY JAWS JAWS 2.3MM WIDE OVERALL LENGTH 24.1CM FORCEP SURGICAL COOLEY 24.1 CM 2.3 MM VASCULAR TISSUE COOLEY JAW WIDE</t>
  </si>
  <si>
    <t>FORCEP, SURGICAL, COOLEY, 9.5 IN, 2.3 MM, VASCULAR TISSUE, WIDE JAW, NON STERILE, LATEX</t>
  </si>
  <si>
    <t>FORCEP, SURG, COOLEY, 9.5 IN, 2.3 MM, VASC TISS, WIDE JAW, NS, LTX</t>
  </si>
  <si>
    <t>2.3 MM</t>
  </si>
  <si>
    <t>VASCULAR TISSUE</t>
  </si>
  <si>
    <t>WIDE JAW</t>
  </si>
  <si>
    <t>http://www.megamedworld.com/wp-content/uploads/2019/03/VM_KVC-min.pdf, https://accessgudid.nlm.nih.gov/devices/10885403029660</t>
  </si>
  <si>
    <t>CH5950</t>
  </si>
  <si>
    <t>BD_CH5950</t>
  </si>
  <si>
    <t>COOLEY VASC TISSUE FORCEPS 1.5MM JAW 6IN</t>
  </si>
  <si>
    <t>PRODIGO1056949</t>
  </si>
  <si>
    <t>COOLEY VASCULAR TISSUE FORCEPS JAWS 1.5MM WIDE OVERALL LENGTH 15.3CM FORCEP SURGICAL COOLEY 15.3 CMX1.5 MM VASCULAR TISSUE WIDE JAW</t>
  </si>
  <si>
    <t>FORCEP, SURGICAL, COOLEY, 6 IN, 1.5 MM, VASCULAR TISSUE, WIDE JAW, NON STERILE, LATEX</t>
  </si>
  <si>
    <t>FORCEP, SURG, COOLEY, 6 IN, 1.5 MM, VASC TISS, WIDE JAW, NS, LTX</t>
  </si>
  <si>
    <t>http://www.megamedworld.com/wp-content/uploads/2019/03/VM_KVC-min.pdf, https://accessgudid.nlm.nih.gov/devices/10885403029646</t>
  </si>
  <si>
    <t>CH5952</t>
  </si>
  <si>
    <t>BD_CH5952</t>
  </si>
  <si>
    <t>COOLEY VASC TISSUE FORCEPS 2MM JAW 7-3/4</t>
  </si>
  <si>
    <t>PRODIGO1056950</t>
  </si>
  <si>
    <t>COOLEY FORCEP SURGICAL 7.45 IN 2 MM VASCULAR TISSUE WIDE JAW</t>
  </si>
  <si>
    <t>FORCEP, SURGICAL, COOLEY, 7.45 IN, 2 MM, VASCULAR TISSUE, WIDE JAW, NON STERILE, LATEX</t>
  </si>
  <si>
    <t>FORCEP, SURG, COOLEY, 7.45 IN, 2 MM, VASC TISS, WIDE JAW, NS, LTX</t>
  </si>
  <si>
    <t>http://www.megamedworld.com/wp-content/uploads/2019/03/VM_KVC-min.pdf, https://accessgudid.nlm.nih.gov/devices/10885403029653</t>
  </si>
  <si>
    <t>CH6041</t>
  </si>
  <si>
    <t>BD_CH6041</t>
  </si>
  <si>
    <t>COOLEY X-ACT BULLDOG CVD JAW 3.6CM</t>
  </si>
  <si>
    <t>PRODIGO1056962</t>
  </si>
  <si>
    <t>COOLEY BULLDOG CLAMP SURGICAL 3.25 IN 3.6 CM CROSS ACTION, CURVED JAW</t>
  </si>
  <si>
    <t>CLAMP, SURGICAL, COOLEY BULLDOG, 3.25 IN, 3.6 CM, CROSS ACTION, CURVED JAW, NON STERILE, LATEX</t>
  </si>
  <si>
    <t>CLAMP, SURG, COOLEY BULLDOG, 3.25 IN, 3.6 CM, CROSS ACT, CRV JAW, NS, LTX</t>
  </si>
  <si>
    <t>CLAMP, SURG, COOLEY BULLDOG, 3.25 IN, 3.6 CM, CRV JAW, NS, LTX</t>
  </si>
  <si>
    <t>3.25 IN</t>
  </si>
  <si>
    <t>3.6 CM</t>
  </si>
  <si>
    <t>CROSS ACTION, CURVED JAW</t>
  </si>
  <si>
    <t>http://www.megamedworld.com/wp-content/uploads/2019/03/VM_KVC-min.pdf, https://accessgudid.nlm.nih.gov/devices/10885403029820</t>
  </si>
  <si>
    <t>CH6042</t>
  </si>
  <si>
    <t>BD_CH6042</t>
  </si>
  <si>
    <t>COOLEY X-ACT BULLDOG CVD JAW 4.5CM</t>
  </si>
  <si>
    <t>PRODIGO1056963</t>
  </si>
  <si>
    <t>COOLEY BULLDOG CLAMP SURGICAL 3-7/8 IN 4.5 CM CROSS ACTION, CURVED JAW</t>
  </si>
  <si>
    <t>CLAMP, SURGICAL, COOLEY BULLDOG, 3-7/8 IN, 4.5 CM, CROSS ACTION, CURVED JAW, NON STERILE, LATEX</t>
  </si>
  <si>
    <t>CLAMP, SURG, COOLEY BULLDOG, 3-7/8 IN, 4.5 CM, CROSS ACT, CRV JAW, NS, LTX</t>
  </si>
  <si>
    <t>CLAMP, SURG, COOLEY BULLDOG, 3-7/8 IN, 4.5 CM, CRV JAW, NS, LTX</t>
  </si>
  <si>
    <t>3-7/8 IN</t>
  </si>
  <si>
    <t>http://www.megamedworld.com/wp-content/uploads/2019/03/VM_KVC-min.pdf, https://accessgudid.nlm.nih.gov/devices/10885403029837</t>
  </si>
  <si>
    <t>CH6043</t>
  </si>
  <si>
    <t>BD_CH6043</t>
  </si>
  <si>
    <t>COOLEY X-ACT BULLDOG CVD JAW 6.5CM</t>
  </si>
  <si>
    <t>PRODIGO1056964</t>
  </si>
  <si>
    <t>COOLEY BULLDOG CLAMP SURGICAL 4.5 IN 6.5 CM CROSS ACTION, CURVED JAW</t>
  </si>
  <si>
    <t>CLAMP, SURGICAL, COOLEY BULLDOG, 4.5 IN, 6.5 CM, CROSS ACTION, CURVED JAW, NON STERILE, LATEX</t>
  </si>
  <si>
    <t>CLAMP, SURG, COOLEY BULLDOG, 4.5 IN, 6.5 CM, CROSS ACT, CRV JAW, NS, LTX</t>
  </si>
  <si>
    <t>CLAMP, SURG, COOLEY BULLDOG, 4.5 IN, 6.5 CM, CROSS ACT, CRV JAW, NS</t>
  </si>
  <si>
    <t>6.5 CM</t>
  </si>
  <si>
    <t>http://www.megamedworld.com/wp-content/uploads/2019/03/VM_KVC-min.pdf, https://accessgudid.nlm.nih.gov/devices/10885403029844</t>
  </si>
  <si>
    <t>CH6045</t>
  </si>
  <si>
    <t>BD_CH6045</t>
  </si>
  <si>
    <t>COOLEY X-ACT BULLDOG STR JAW 2.3CM</t>
  </si>
  <si>
    <t>PRODIGO1056965</t>
  </si>
  <si>
    <t>COOLEY BULLDOG CLAMP SURGICAL 3 IN 2.4 CM CROSS ACTION, STRAIGHT JAW</t>
  </si>
  <si>
    <t>CLAMP, SURGICAL, COOLEY BULLDOG, 3 IN, 2.3 CM, CROSS ACTION, STRAIGHT JAW, NON STERILE, LATEX</t>
  </si>
  <si>
    <t>CLAMP, SURG, COOLEY BULLDOG, 3 IN, 2.3 CM, CROSS ACT, STR JAW, NS, LTX</t>
  </si>
  <si>
    <t>CLAMP, SURG, COOLEY BULLDOG, 3 IN, 2.3 CM, CROSS ACT, STR JAW, NS</t>
  </si>
  <si>
    <t>2.3 CM</t>
  </si>
  <si>
    <t>CROSS ACTION, STRAIGHT JAW</t>
  </si>
  <si>
    <t>http://www.megamedworld.com/wp-content/uploads/2019/03/VM_KVC-min.pdf, https://accessgudid.nlm.nih.gov/devices/10885403029851</t>
  </si>
  <si>
    <t>CH6046</t>
  </si>
  <si>
    <t>BD_CH6046</t>
  </si>
  <si>
    <t>COOLEY X-ACT BULLDOG STR JAW 3.4CM</t>
  </si>
  <si>
    <t>PRODIGO1056966</t>
  </si>
  <si>
    <t>COOLEY BULLDOG CLAMP SURGICAL 3-3/8 IN 3.4 CM CROSS ACTION, STRAIGHT JAW</t>
  </si>
  <si>
    <t>CLAMP, SURGICAL, COOLEY BULLDOG, 3-3/8 IN, 3.4 CM, CROSS ACTION, STRAIGHT JAW, NON STERILE, LATEX</t>
  </si>
  <si>
    <t>CLAMP, SURG, COOLEY BULLDOG, 3-3/8 IN, 3.4 CM, CROSS ACT, STR JAW, NS, LTX</t>
  </si>
  <si>
    <t>CLAMP, SURG, COOLEY BULLDOG, 3-3/8 IN, 3.4 CM, STR JAW, NS, LTX</t>
  </si>
  <si>
    <t>3.4 CM</t>
  </si>
  <si>
    <t>http://www.megamedworld.com/wp-content/uploads/2019/03/VM_KVC-min.pdf, https://accessgudid.nlm.nih.gov/devices/10885403029868</t>
  </si>
  <si>
    <t>CH6047</t>
  </si>
  <si>
    <t>BD_CH6047</t>
  </si>
  <si>
    <t>COOLEY X-ACT BULLDOG STR JAW 4.7CM</t>
  </si>
  <si>
    <t>PRODIGO1056967</t>
  </si>
  <si>
    <t>COOLEY CROSS-ACTION BULLDOG CLAMPS STRAIGHT JAW JAW LENGTH 4.8CM OVERALL LENGTH 10.8CM CLAMP SURGICAL COOLEY 10.8 CM 4.8 CM CROSS ACTION BULLDOG STRAIGHT JAW</t>
  </si>
  <si>
    <t>CLAMP, SURGICAL, COOLEY BULLDOG, 10.8 CM, 4.7 CM, CROSS ACTION, STRAIGHT JAW, NON STERILE, LATEX</t>
  </si>
  <si>
    <t>CLAMP, SURG, COOLEY BULLDOG, 10.8 CM, 4.7 CM, CROSS ACT, STR JAW, NS, LTX</t>
  </si>
  <si>
    <t>CLAMP, SURG, COOLEY BULLDOG, 10.8 CM, 4.7 CM, STR JAW, NS, LTX</t>
  </si>
  <si>
    <t>10.8 CM</t>
  </si>
  <si>
    <t>4.7 CM</t>
  </si>
  <si>
    <t>http://www.megamedworld.com/wp-content/uploads/2019/03/VM_KVC-min.pdf, https://accessgudid.nlm.nih.gov/devices/10885403029875</t>
  </si>
  <si>
    <t>CH6048</t>
  </si>
  <si>
    <t>BD_CH6048</t>
  </si>
  <si>
    <t>COOLEY X-ACT BULLDOG STR JAW 6.7CM</t>
  </si>
  <si>
    <t>PRODIGO1056968</t>
  </si>
  <si>
    <t>COOLEY CROSS-ACTION BULLDOG CLAMPS STRAIGHT JAW JAW LENGTH 6.7CM OVERALL LENGTH 12.7CM CLAMP SURGICAL COOLEY 12.7 CM 6.7 CM CROSS ACTION BULLDOG STRAIGHT JAW</t>
  </si>
  <si>
    <t>CLAMP, SURGICAL, COOLEY BULLDOG, 12.7 CM, 6.7 CM, CROSS ACTION BULLDOG, STRAIGHT JAW, NON STERILE, LATEX</t>
  </si>
  <si>
    <t>CLAMP, SURG, COOLEY BULLDOG, 12.7 CM, 6.7 CM, CROSS ACT BULLDOG, STR JAW, NS, LTX</t>
  </si>
  <si>
    <t>CLAMP, SURG, COOLEY BULLDOG, 12.7 CM, 6.7 CM BULLDOG, STR JAW, NS</t>
  </si>
  <si>
    <t>12.7 CM</t>
  </si>
  <si>
    <t>6.7 CM</t>
  </si>
  <si>
    <t>CROSS ACTION BULLDOG, STRAIGHT JAW</t>
  </si>
  <si>
    <t>http://www.megamedworld.com/wp-content/uploads/2019/03/VM_KVC-min.pdf, https://accessgudid.nlm.nih.gov/devices/10885403029882</t>
  </si>
  <si>
    <t>CH6950002</t>
  </si>
  <si>
    <t>BD_CH6950002</t>
  </si>
  <si>
    <t>COOLEY X-SMALL CLAMP ANG JAW 4.5CM</t>
  </si>
  <si>
    <t>PRODIGO1057092</t>
  </si>
  <si>
    <t>COOLEY NEONATAL CLAMP</t>
  </si>
  <si>
    <t>CLAMP, SURGICAL, COOLEY, XSMALL, NEONATAL, 12.5 CM, 4.5 CM, CARDIOTHORACIC-CARDIOVASCULAR, ANGLED JAW, STAINLESS STEEL, NON STERILE, LATEX, REUSABLE</t>
  </si>
  <si>
    <t>CLAMP, SURG, COOLEY, XS, NEONATAL, 12.5 CM, 4.5 CM, CARDIOTHORACIC-CARDIOVASCULAR, ANGLED JAW, SS, NS, LTX, REUSE</t>
  </si>
  <si>
    <t>CLAMP, SURG, COOLEY, XS, NEONATAL, 12.5 CM, 4.5 CM, ANGLED JAW</t>
  </si>
  <si>
    <t>12.5 CM</t>
  </si>
  <si>
    <t>CARDIOTHORACIC-CARDIOVASCULAR</t>
  </si>
  <si>
    <t>ANGLED JAW</t>
  </si>
  <si>
    <t>REUSABLE</t>
  </si>
  <si>
    <t>https://shop.daviconsurgical.com/product/cooley-neonatal-clamp/, https://accessgudid.nlm.nih.gov/devices/10885403032189</t>
  </si>
  <si>
    <t>CH6950006</t>
  </si>
  <si>
    <t>BD_CH6950006</t>
  </si>
  <si>
    <t>COOLEY X-SMALL CLAMP CVD SHANK</t>
  </si>
  <si>
    <t>PRODIGO1057095</t>
  </si>
  <si>
    <t>CLAMP, SURGICAL, COOLEY, XSMALL, NEONATAL, 12.5 CM, CARDIOTHORACIC-CARDIOVASCULAR, CURVED SHANK, STAINLESS STEEL, NON STERILE, LATEX, REUSABLE</t>
  </si>
  <si>
    <t>CLAMP, SURG, COOLEY, XS, NEONATAL, 12.5 CM, CARDIOTHORACIC-CARDIOVASCULAR, CRV SHANK, SS, NS, LTX, REUSE</t>
  </si>
  <si>
    <t>CLAMP, SURG, COOLEY, XS, NEONATAL, 12.5 CM, CARDIOTHORACIC, CRV</t>
  </si>
  <si>
    <t>CURVED SHANK</t>
  </si>
  <si>
    <t>https://shop.daviconsurgical.com/product/cooley-neonatal-clamp/, https://accessgudid.nlm.nih.gov/devices/10885403032226</t>
  </si>
  <si>
    <t>CH6950004</t>
  </si>
  <si>
    <t>BD_CH6950004</t>
  </si>
  <si>
    <t>COOLEY X-SMALL CLAMP STR SHANK ANG</t>
  </si>
  <si>
    <t>PRODIGO1057093</t>
  </si>
  <si>
    <t>CLAMP, SURGICAL, COOLEY, XSMALL, NEONATAL, 12.5 CM, CARDIOTHORACIC-CARDIOVASCULAR, STRAIGHT SHANK, ANGLED JAW, STAINLESS STEEL, NON STERILE, LATEX, REUSABLE</t>
  </si>
  <si>
    <t>CLAMP, SURG, COOLEY, XS, NEONATAL, 12.5 CM, CARDIOTHORACIC-CARDIOVASCULAR, STR SHANK, ANGLED JAW, SS, NS, LTX, REUSE</t>
  </si>
  <si>
    <t>CLAMP, SURG, COOLEY, XS, NEONATAL, 12.5 CM, CARDIOTHORACIC</t>
  </si>
  <si>
    <t>STRAIGHT SHANK, ANGLED JAW</t>
  </si>
  <si>
    <t>https://shop.daviconsurgical.com/product/cooley-neonatal-clamp/, https://accessgudid.nlm.nih.gov/devices/10885403032202</t>
  </si>
  <si>
    <t>CH6950001</t>
  </si>
  <si>
    <t>BD_CH6950001</t>
  </si>
  <si>
    <t>COOLEY X-SMALL STR SHANKS&amp;JAW 4.5CM</t>
  </si>
  <si>
    <t>PRODIGO1057091</t>
  </si>
  <si>
    <t>CLAMP, SURGICAL, COOLEY, XSMALL, NEONATAL, 12.5 CM, 4.5 CM, CARDIOTHORACIC-CARDIOVASCULAR, STRAIGHT SHANK, JAW, STAINLESS STEEL, NON STERILE, LATEX, REUSABLE</t>
  </si>
  <si>
    <t>CLAMP, SURG, COOLEY, XS, NEONATAL, 12.5 CM, 4.5 CM, CARDIOTHORACIC-CARDIOVASCULAR, STR SHANK, JAW, SS, NS, LTX, REUSE</t>
  </si>
  <si>
    <t>CLAMP, SURG, COOLEY, XS, NEONATAL, 12.5 CM, 4.5 CM, CARDIOTHORACIC</t>
  </si>
  <si>
    <t>STRAIGHT SHANK, JAW</t>
  </si>
  <si>
    <t>https://shop.daviconsurgical.com/product/cooley-neonatal-clamp/, https://accessgudid.nlm.nih.gov/devices/10885403032172</t>
  </si>
  <si>
    <t>CH6215</t>
  </si>
  <si>
    <t>BD_CH6215</t>
  </si>
  <si>
    <t>COOLEY-BAUMGARTEN AORTIC CLAMP CVD 7.1CM</t>
  </si>
  <si>
    <t>PRODIGO1057019</t>
  </si>
  <si>
    <t>COOLEY-BAUMGARTEN AORTIC CLAMP SLIGHTLY CURVED JAWS AND SHANKS JAW LENGTH 6.4CM OVERALL LENGTH 19.1CM CLAMP SURGICAL COOLEY BAUMGARTEN 19.1 CM 6.4 CM AORTA SLIGHTLY CURVED JAW AND SHANK</t>
  </si>
  <si>
    <t>CLAMP, SURGICAL, COOLEY BAUMGARTEN, 19.1 CM, 6.4 CM, AORTA, SLIGHTLY CURVED JAW AND SHANK, NON STERILE, LATEX</t>
  </si>
  <si>
    <t>CLAMP, SURG, COOLEY BAUMGARTEN, 19.1 CM, 6.4 CM, AORT, SLIGHTLY CRV JAW &amp; SHANK, NS, LTX</t>
  </si>
  <si>
    <t>CLAMP, SURG, COOLEY BAUMGARTEN, 19.1 CM, 6.4 CM, AORT, NS, LTX</t>
  </si>
  <si>
    <t>COOLEY BAUMGARTEN</t>
  </si>
  <si>
    <t>19.1 CM</t>
  </si>
  <si>
    <t>SLIGHTLY CURVED JAW AND SHANK</t>
  </si>
  <si>
    <t>http://www.megamedworld.com/wp-content/uploads/2019/03/VM_KVC-min.pdf, https://accessgudid.nlm.nih.gov/devices/10885403031175</t>
  </si>
  <si>
    <t>882010</t>
  </si>
  <si>
    <t>88-2010</t>
  </si>
  <si>
    <t>BD_882010</t>
  </si>
  <si>
    <t>CORWIN SS KNIFE HANDLE B-P TYPE 5-3/4IN</t>
  </si>
  <si>
    <t>PRODIGO1056094</t>
  </si>
  <si>
    <t>42291630  Surgical knife handles</t>
  </si>
  <si>
    <t>SNOWDEN-PENCER CORWIN KNIFE HANDLE KNIFE ROUND HANDLE. FOR BARD-PARKER-TYPE BLADES 10-15. OVERALL LENGTH 5-3/4IN (14.5CM).</t>
  </si>
  <si>
    <t>HANDLE, KNIFE, CORWIN, 5.75 IN, ROUND, FOR BARD-PARKER TYPE BLADES 10-15, STAINLESS STEEL, NON STERILE, SNOWDEN-PENCER, LATEX</t>
  </si>
  <si>
    <t>HANDLE, KNIFE, CORWIN, 5.75 IN, RND, FOR BARD-PARKER TYP BLDE 10-15, SS, NS, SNOWDEN-PENCER, LTX</t>
  </si>
  <si>
    <t>HANDLE, KNIFE, CORWIN, 5.75 IN, RND, SNOWDEN-PENCER</t>
  </si>
  <si>
    <t>CORWIN</t>
  </si>
  <si>
    <t>ROUND, FOR BARD-PARKER TYPE BLADES 10-15</t>
  </si>
  <si>
    <t>https://www.lt-technologies.de/_ws/mediabase/Downloads/Snowden_pencer%20catalog%20final%2008-10-12.pdf, https://accessgudid.nlm.nih.gov/devices/10885403141195</t>
  </si>
  <si>
    <t>Snowden_pencer catalog final 08-10-12</t>
  </si>
  <si>
    <t>CH362</t>
  </si>
  <si>
    <t>BD_CH362</t>
  </si>
  <si>
    <t>CORYLLOS RIB SHEAR LEFT OVER LGTH 14-1/4</t>
  </si>
  <si>
    <t>PRODIGO1056836</t>
  </si>
  <si>
    <t>CORYLLOS Rib Shears</t>
  </si>
  <si>
    <t>SHEAR, SURGICAL, CORYLLOS, 14.25 IN, RIB, LEFT, PROTECTED POINT, NON STERILE, LATEX</t>
  </si>
  <si>
    <t>SHEAR, SURG, CORYLLOS, 14.25 IN, RIB, LT, PROTECTED PT, NS, LTX</t>
  </si>
  <si>
    <t>CORYLLOS</t>
  </si>
  <si>
    <t>14.25 IN</t>
  </si>
  <si>
    <t>LEFT, PROTECTED POINT</t>
  </si>
  <si>
    <t>http://www.lt-technologies.de/_ws/mediabase/_ts_1494230442000/Downloads/CardioCatalog_LIT12012_low-res.pdf, https://accessgudid.nlm.nih.gov/devices/10885403002045</t>
  </si>
  <si>
    <t>CH360</t>
  </si>
  <si>
    <t>BD_CH360</t>
  </si>
  <si>
    <t>CORYLLOS RIB SHEARS RGHT OVERLGTH 14-1/4</t>
  </si>
  <si>
    <t>PRODIGO1056835</t>
  </si>
  <si>
    <t>SHEAR, SURGICAL, CORYLLOS, 14.25 IN, RIB, RIGHT, PROTECTED POINT, NON STERILE, LATEX</t>
  </si>
  <si>
    <t>SHEAR, SURG, CORYLLOS, 14.25 IN, RIB, RT, PROTECTED PT, NS, LTX</t>
  </si>
  <si>
    <t>RIGHT, PROTECTED POINT</t>
  </si>
  <si>
    <t>http://www.lt-technologies.de/_ws/mediabase/_ts_1494230442000/Downloads/CardioCatalog_LIT12012_low-res.pdf, https://accessgudid.nlm.nih.gov/devices/10885403022746</t>
  </si>
  <si>
    <t>CV1033</t>
  </si>
  <si>
    <t>BD_CV1033</t>
  </si>
  <si>
    <t>COSGROVE FLEX CLAMP 33MM FOGARTY JAW</t>
  </si>
  <si>
    <t>PRODIGO1057293</t>
  </si>
  <si>
    <t>COSGROVE Slim Fit™ Clamp Fogarty-type jaw, length 33mm. Working length 31cm</t>
  </si>
  <si>
    <t>CLAMP, SURGICAL, 33 MM, FOGARTY TYPE JAW, NON STERILE, COSGROVE FLEX, SLIM FIT, LATEX</t>
  </si>
  <si>
    <t>CLAMP, SURG, 33 MM, FOGARTY TYP JAW, NS, COSGROVE FLX, SLIM FIT, LTX</t>
  </si>
  <si>
    <t>CLAMP, SURG, 33 MM, FOGARTY TYP JAW, NS, COSGROVE FLX, SLIM FIT</t>
  </si>
  <si>
    <t>FOGARTY TYPE JAW</t>
  </si>
  <si>
    <t>COSGROVE FLEX, SLIM FIT</t>
  </si>
  <si>
    <t>https://www.hces.com.sg/wp-content/uploads/2021/04/Cardiovascular-Pages-from-vmueller-snowdenpencer-armamentarium-catalogue-4.pdf, https://accessgudid.nlm.nih.gov/devices/10885403036255</t>
  </si>
  <si>
    <t>CV1061</t>
  </si>
  <si>
    <t>BD_CV1061</t>
  </si>
  <si>
    <t>COSGROVE FLEX CLAMP 61MM FOGARTY JAW</t>
  </si>
  <si>
    <t>PRODIGO1057294</t>
  </si>
  <si>
    <t>COSGROVE Slim Fit™ Clamp Fogarty-type jaw, length 61mm. Working length 33cm</t>
  </si>
  <si>
    <t>CLAMP, SURGICAL, 61 MM, FOGARTY TYPE JAW, NON STERILE, COSGROVE FLEX, SLIM FIT, LATEX</t>
  </si>
  <si>
    <t>CLAMP, SURG, 61 MM, FOGARTY TYP JAW, NS, COSGROVE FLX, SLIM FIT, LTX</t>
  </si>
  <si>
    <t>CLAMP, SURG, 61 MM, FOGARTY TYP JAW, NS, COSGROVE FLX, SLIM FIT</t>
  </si>
  <si>
    <t>61 MM</t>
  </si>
  <si>
    <t>https://www.hces.com.sg/wp-content/uploads/2021/04/Cardiovascular-Pages-from-vmueller-snowdenpencer-armamentarium-catalogue-4.pdf, https://accessgudid.nlm.nih.gov/devices/10885403036262</t>
  </si>
  <si>
    <t>CV1133</t>
  </si>
  <si>
    <t>BD_CV1133</t>
  </si>
  <si>
    <t>COSGROVE FLEX QCK-BEND 33MM FOGARTY-TYPE</t>
  </si>
  <si>
    <t>PRODIGO1057295</t>
  </si>
  <si>
    <t>COSGROVE Quick Bend™ Flex Clamp Fogarty-type jaws accept 33mm inserts.</t>
  </si>
  <si>
    <t>CLAMP, SURGICAL, 33 MM INSERT, FOGARTY TYPE JAW, SHORTENED NECK, NON STERILE, COSGROVE FLEX, QUICK BEND, LATEX</t>
  </si>
  <si>
    <t>CLAMP, SURG, 33 MM INSRT, FOGARTY TYP JAW, SHORTENED NK, NS, COSGROVE FLX, QUIK BEND, LTX</t>
  </si>
  <si>
    <t>CLAMP, SURG, 33 MM INSRT, FOGARTY JAW, NS, COSGROVE FLX, QUIK BEND</t>
  </si>
  <si>
    <t>33 MM INSERT</t>
  </si>
  <si>
    <t>FOGARTY TYPE JAW, SHORTENED NECK</t>
  </si>
  <si>
    <t>COSGROVE FLEX, QUICK BEND</t>
  </si>
  <si>
    <t>https://www.hces.com.sg/wp-content/uploads/2021/04/Cardiovascular-Pages-from-vmueller-snowdenpencer-armamentarium-catalogue-4.pdf, https://accessgudid.nlm.nih.gov/devices/10885403036279</t>
  </si>
  <si>
    <t>CV1161</t>
  </si>
  <si>
    <t>BD_CV1161</t>
  </si>
  <si>
    <t>COSGROVE FLEX QCK-BEND 61MM FOGARTY-TYPE</t>
  </si>
  <si>
    <t>PRODIGO1057296</t>
  </si>
  <si>
    <t>COSGROVE Quick Bend™ Flex Clamp Fogarty-type jaws accept 61mm inserts.</t>
  </si>
  <si>
    <t>CLAMP, SURGICAL, 61 MM INSERT, FOGARTY TYPE JAW, SHORTENED NECK, NON STERILE, COSGROVE FLEX, QUICK BEND, LATEX</t>
  </si>
  <si>
    <t>CLAMP, SURG, 61 MM INSRT, FOGARTY TYP JAW, SHORTENED NK, NS, COSGROVE FLX, QUIK BEND, LTX</t>
  </si>
  <si>
    <t>CLAMP, SURG, 61 MM INSRT, FOGARTY JAW, NS, COSGROVE FLX, QUIK BEND</t>
  </si>
  <si>
    <t>61 MM INSERT</t>
  </si>
  <si>
    <t>https://www.hces.com.sg/wp-content/uploads/2021/04/Cardiovascular-Pages-from-vmueller-snowdenpencer-armamentarium-catalogue-4.pdf, https://accessgudid.nlm.nih.gov/devices/10885403036286</t>
  </si>
  <si>
    <t>CV1186</t>
  </si>
  <si>
    <t>BD_CV1186</t>
  </si>
  <si>
    <t>COSGROVE FLEX QCK-BEND 86MM FOGARTY-TYPE</t>
  </si>
  <si>
    <t>PRODIGO1057297</t>
  </si>
  <si>
    <t>COSGROVE Quick Bend™ Flex Clamp Fogarty-type jaws accept 86mm inserts.</t>
  </si>
  <si>
    <t>CLAMP, SURGICAL, 86 MM INSERT, FOGARTY TYPE JAW, SHORTENED NECK, NON STERILE, COSGROVE FLEX, QUICK BEND, LATEX</t>
  </si>
  <si>
    <t>CLAMP, SURG, 86 MM INSRT, FOGARTY TYP JAW, SHORTENED NK, NS, COSGROVE FLX, QUIK BEND, LTX</t>
  </si>
  <si>
    <t>CLAMP, SURG, 86 MM INSRT, FOGARTY JAW, NS, COSGROVE FLX, QUIK BEND</t>
  </si>
  <si>
    <t>86 MM INSERT</t>
  </si>
  <si>
    <t>https://www.hces.com.sg/wp-content/uploads/2021/04/Cardiovascular-Pages-from-vmueller-snowdenpencer-armamentarium-catalogue-4.pdf, https://accessgudid.nlm.nih.gov/devices/10885403036293</t>
  </si>
  <si>
    <t>AU5631</t>
  </si>
  <si>
    <t>BD_AU5631</t>
  </si>
  <si>
    <t>COTTON APPLICATOR 5IN (12.7CM)</t>
  </si>
  <si>
    <t>PRODIGO1056351</t>
  </si>
  <si>
    <t>42295409  Surgical applicators</t>
  </si>
  <si>
    <t>ROBERTS COTTON APPLICATORS TRIANGULAR TIP. WORKING LENGTH 5IN (12.7CM).</t>
  </si>
  <si>
    <t>APPLICATOR, SURGICAL, ROBERTS, 5 IN, TRIANGULAR TIP, NON STERILE, LATEX</t>
  </si>
  <si>
    <t>APPLICATOR, SURG, ROBERTS, 5 IN, TRIANG TIP, NS, LTX</t>
  </si>
  <si>
    <t>APPLICATOR</t>
  </si>
  <si>
    <t>ROBERTS</t>
  </si>
  <si>
    <t>TRIANGULAR TIP</t>
  </si>
  <si>
    <t>https://www.bd.com/en-us/products-and-solutions/products/product-page.AU5631#overview, https://accessgudid.nlm.nih.gov/devices/10885403008528</t>
  </si>
  <si>
    <t>AU15195</t>
  </si>
  <si>
    <t>BD_AU15195</t>
  </si>
  <si>
    <t>CRABTREE DISCT JIMMY SM TIP BLADE 1.3MM</t>
  </si>
  <si>
    <t>PRODIGO1056255</t>
  </si>
  <si>
    <t>42292701  Surgical dissectors</t>
  </si>
  <si>
    <t>CRABTREE DISSECTORS INJIMMY.IN MALLEABLE SHAFT. OVERALL LENGTH 6-1/2IN (16.5CM). SMALL TIP. BLADE 1.3MM.</t>
  </si>
  <si>
    <t>DISSECTOR, SURGICAL, CRABTREE, SMALL TIP, 6.5 IN, 1.3 MM, JIMMY, MALLEABLE SHAFT, BLADE, NON STERILE, LATEX</t>
  </si>
  <si>
    <t>DISSECTOR, SURG, CRABTREE, SM TIP, 6.5 IN, 1.3 MM, JIMMY, MALL SHFT, BLADE, NS, LTX</t>
  </si>
  <si>
    <t>DISSECTOR, SURG, CRABTREE, SM TIP, 6.5 IN, 1.3 MM, JIMMY, MALL SHFT</t>
  </si>
  <si>
    <t>CRABTREE</t>
  </si>
  <si>
    <t>SMALL TIP</t>
  </si>
  <si>
    <t>1.3 MM</t>
  </si>
  <si>
    <t>JIMMY, MALLEABLE SHAFT, BLADE</t>
  </si>
  <si>
    <t>https://www.bd.com/en-us/products-and-solutions/products/product-page.AU15195#overview, https://accessgudid.nlm.nih.gov/devices/10885403011597</t>
  </si>
  <si>
    <t>CH5120</t>
  </si>
  <si>
    <t>BD_CH5120</t>
  </si>
  <si>
    <t>CRAFOORD COARCTATION CLAMP JAWS 7CM</t>
  </si>
  <si>
    <t>PRODIGO1056846</t>
  </si>
  <si>
    <t>CRAFOORD Coarctation Clamp</t>
  </si>
  <si>
    <t>CLAMP, SURGICAL, CRAFOORD, 9.25 IN, 7 CM, COARCTATION, LONGITUDINAL SERRATION, NON STERILE, LATEX</t>
  </si>
  <si>
    <t>CLAMP, SURG, CRAFOORD, 9.25 IN, 7 CM, COARCTATION, LONGITUDINAL SERRATION, NS, LTX</t>
  </si>
  <si>
    <t>CLAMP, SURG, CRAFOORD, 9.25 IN, 7 CM, COARCTATION, SERRATION, NS</t>
  </si>
  <si>
    <t>CRAFOORD</t>
  </si>
  <si>
    <t>COARCTATION, LONGITUDINAL SERRATION</t>
  </si>
  <si>
    <t>http://www.lt-technologies.de/_ws/mediabase/_ts_1494230442000/Downloads/CardioCatalog_LIT12012_low-res.pdf, https://accessgudid.nlm.nih.gov/devices/10885403027222</t>
  </si>
  <si>
    <t>CH6360</t>
  </si>
  <si>
    <t>BD_CH6360</t>
  </si>
  <si>
    <t>CRAFOORD COARCTATION FORCEP  JAW 7.5CM</t>
  </si>
  <si>
    <t>PRODIGO1057040</t>
  </si>
  <si>
    <t>CRAFOORD COARCTATION FORCEPS SLIGHTLY CURVED JAWS LENGTH 7CM OVERALL LENGTH 23.5CM FORCEP SURGICAL CRAFOORD 23.5 CM 7 CM COARCTATION SLIGHTLY CURVED JAW</t>
  </si>
  <si>
    <t>FORCEP, SURGICAL, CRAFOORD, 23.5 CM, 7.5 CM, COARCTATION, SLIGHTLY CURVED JAW, NON STERILE, LATEX</t>
  </si>
  <si>
    <t>FORCEP, SURG, CRAFOORD, 23.5 CM, 7.5 CM, COARCTATION, SLIGHTLY CRV JAW, NS, LTX</t>
  </si>
  <si>
    <t>FORCEP, SURG, CRAFOORD, 23.5 CM, 7.5 CM, SLIGHTLY CRV JAW, NS, LTX</t>
  </si>
  <si>
    <t>23.5 CM</t>
  </si>
  <si>
    <t>7.5 CM</t>
  </si>
  <si>
    <t>COARCTATION, SLIGHTLY CURVED JAW</t>
  </si>
  <si>
    <t>http://www.megamedworld.com/wp-content/uploads/2019/03/VM_KVC-min.pdf, https://accessgudid.nlm.nih.gov/devices/10885403031472</t>
  </si>
  <si>
    <t>CH1690</t>
  </si>
  <si>
    <t>BD_CH1690</t>
  </si>
  <si>
    <t>CRAFOORD COLLIER CLAMP CVD DEL 7-1/4IN</t>
  </si>
  <si>
    <t>PRODIGO1056728</t>
  </si>
  <si>
    <t>CRAFOORD COLLIER Clamps</t>
  </si>
  <si>
    <t>CLAMP, SURGICAL, CRAFOORD-COLLIER, 7.25 IN, CURVED, DELICATE, NON STERILE, LATEX</t>
  </si>
  <si>
    <t>CLAMP, SURG, CRAFOORD-COLLIER, 7.25 IN, CRV, DEL, NS, LTX</t>
  </si>
  <si>
    <t>CRAFOORD-COLLIER</t>
  </si>
  <si>
    <t>CURVED, DELICATE</t>
  </si>
  <si>
    <t>http://www.lt-technologies.de/_ws/mediabase/_ts_1494230442000/Downloads/CardioCatalog_LIT12012_low-res.pdf, https://accessgudid.nlm.nih.gov/devices/10885403024160</t>
  </si>
  <si>
    <t>CH1694</t>
  </si>
  <si>
    <t>BD_CH1694</t>
  </si>
  <si>
    <t>CRAFOORD COLLIER CLAMP CVD DEL 9-1/2IN</t>
  </si>
  <si>
    <t>PRODIGO1056729</t>
  </si>
  <si>
    <t>CLAMP, SURGICAL, CRAFOORD-COLLIER, 9.5 IN, CURVED, DELICATE, NON STERILE, LATEX</t>
  </si>
  <si>
    <t>CLAMP, SURG, CRAFOORD-COLLIER, 9.5 IN, CRV, DEL, NS, LTX</t>
  </si>
  <si>
    <t>http://www.lt-technologies.de/_ws/mediabase/_ts_1494230442000/Downloads/CardioCatalog_LIT12012_low-res.pdf, https://accessgudid.nlm.nih.gov/devices/10885403024153</t>
  </si>
  <si>
    <t>CH2040</t>
  </si>
  <si>
    <t>BD_CH2040</t>
  </si>
  <si>
    <t>CRAFOORD LOBECTOMY SCISSORS HVY CVD 12IN</t>
  </si>
  <si>
    <t>PRODIGO1056765</t>
  </si>
  <si>
    <t>CRAFOORD Lobectomy Scissors</t>
  </si>
  <si>
    <t>SCISSOR, SURGICAL, CRAFOORD, 12 IN, LOBECTOMY, CURVED HEAVIER BLADE, BLUNT/BLUNT, MIRROR, SATIN FINISH, NON STERILE, LATEX</t>
  </si>
  <si>
    <t>SCISSOR, SURG, CRAFOORD, 12 IN, LOBECTOMY, CRV HEAVIER BLADE, BLNT/BLNT, MIRROR, SATIN FINISH, NS, LTX</t>
  </si>
  <si>
    <t>SCISSOR, SURG, CRAFOORD, 12 IN, LOBECTOMY, CRV BLADE, BLNT/BLNT, NS</t>
  </si>
  <si>
    <t>LOBECTOMY, CURVED HEAVIER BLADE, BLUNT/BLUNT, MIRROR, SATIN FINISH</t>
  </si>
  <si>
    <t>http://www.lt-technologies.de/_ws/mediabase/_ts_1494230442000/Downloads/CardioCatalog_LIT12012_low-res.pdf, https://accessgudid.nlm.nih.gov/devices/10885403024771</t>
  </si>
  <si>
    <t>CH2610</t>
  </si>
  <si>
    <t>BD_CH2610</t>
  </si>
  <si>
    <t>CRILE SNGL-HOOK OVER LGTH 12-1/2IN</t>
  </si>
  <si>
    <t>PRODIGO1056812</t>
  </si>
  <si>
    <t>CRILE Single Hook</t>
  </si>
  <si>
    <t>HOOK, SURGICAL, CRILE, 12.5 IN, SINGLE, MIRROR, SATIN FINISH, NON STERILE, LATEX</t>
  </si>
  <si>
    <t>HOOK, SURG, CRL, 12.5 IN, SINGLE, MIRROR, SATIN FINISH, NS, LTX</t>
  </si>
  <si>
    <t>CRILE</t>
  </si>
  <si>
    <t>SINGLE, MIRROR, SATIN FINISH</t>
  </si>
  <si>
    <t>http://www.lt-technologies.de/_ws/mediabase/_ts_1494230442000/Downloads/CardioCatalog_LIT12012_low-res.pdf, https://accessgudid.nlm.nih.gov/devices/10885403026355</t>
  </si>
  <si>
    <t>CH1705</t>
  </si>
  <si>
    <t>BD_CH1705</t>
  </si>
  <si>
    <t>CRILE TYPE CLAMPS STR DEL SERR 1-1/2 JAW</t>
  </si>
  <si>
    <t>PRODIGO1056730</t>
  </si>
  <si>
    <t>CRILE Type Clamps</t>
  </si>
  <si>
    <t>CLAMP, SURGICAL, CRILE TYPE, 7.5 IN, 1.5 IN, STRAIGHT, DELICATE, SERRATED JAW, NON STERILE, LATEX</t>
  </si>
  <si>
    <t>CLAMP, SURG, CRL TYP, 7.5 IN, 1.5 IN, STR, DEL, SERRATED JAW, NS, LTX</t>
  </si>
  <si>
    <t>CRILE TYPE</t>
  </si>
  <si>
    <t>STRAIGHT, DELICATE, SERRATED JAW</t>
  </si>
  <si>
    <t>http://www.lt-technologies.de/_ws/mediabase/_ts_1494230442000/Downloads/CardioCatalog_LIT12012_low-res.pdf, https://accessgudid.nlm.nih.gov/devices/10885403024177</t>
  </si>
  <si>
    <t>MO277</t>
  </si>
  <si>
    <t>BD_MO277</t>
  </si>
  <si>
    <t>CRONIN CLEFT PALATE ELEV MED</t>
  </si>
  <si>
    <t>PRODIGO1057928</t>
  </si>
  <si>
    <t>CRONIN-TYPE CLEFT PALATE ELEVATOR MEDIUM. BLADE 12MM X 4.5MM WIDE.</t>
  </si>
  <si>
    <t>ELEVATOR, SURGICAL, CRONIN, MEDIUM, 12X4.5 MM, CLEFT PALATE, NON STERILE, LATEX</t>
  </si>
  <si>
    <t>ELEVATOR, SURG, CRONIN, MED, 12X4.5 MM, CLFT PAL, NS, LTX</t>
  </si>
  <si>
    <t>CRONIN</t>
  </si>
  <si>
    <t>12X4.5 MM</t>
  </si>
  <si>
    <t>CLEFT PALATE</t>
  </si>
  <si>
    <t>https://www.bd.com/en-us/products-and-solutions/products/product-page.MO277#overview, https://accessgudid.nlm.nih.gov/devices/10885403058356</t>
  </si>
  <si>
    <t>CH6113</t>
  </si>
  <si>
    <t>BD_CH6113</t>
  </si>
  <si>
    <t>CROSS-ACT BULLDOG CVD 7CM JAW 4-3/4IN</t>
  </si>
  <si>
    <t>PRODIGO1056998</t>
  </si>
  <si>
    <t>CROSS-ACTION BULLDOG CLAMPS DELICATE JAWS CURVED LENGTH 7CM OVERALL LENGTH 12CM CLAMP SURGICAL BULLDOG 12 CM 7 CM CROSS ACTION DELICATE JAW CURVED</t>
  </si>
  <si>
    <t>CLAMP, SURGICAL, BULLDOG, 4.45 IN, 7 CM, CROSS ACTION, DELICATE JAW, CURVED, NON STERILE, LATEX</t>
  </si>
  <si>
    <t>CLAMP, SURG, BULLDOG, 4.45 IN, 7 CM, CROSS ACT, DEL JAW, CRV, NS, LTX</t>
  </si>
  <si>
    <t>4.45 IN</t>
  </si>
  <si>
    <t>CROSS ACTION, DELICATE JAW, CURVED</t>
  </si>
  <si>
    <t>http://www.megamedworld.com/wp-content/uploads/2019/03/VM_KVC-min.pdf, https://accessgudid.nlm.nih.gov/devices/10885403030390</t>
  </si>
  <si>
    <t>CH6110</t>
  </si>
  <si>
    <t>BD_CH6110</t>
  </si>
  <si>
    <t>CROSS-ACT BULLDOG CVD JAW 1.9CM</t>
  </si>
  <si>
    <t>PRODIGO1056995</t>
  </si>
  <si>
    <t>CROSS-ACTION BULLDOG CLAMPS DELICATE JAWS CURVED LENGTH 2.3CM OVERALL LENGTH 7.5CM CLAMP SURGICAL BULLDOG 7.5 CM 2.3 CM CROSS ACTION DELICATE JAW CURVED</t>
  </si>
  <si>
    <t>CLAMP, SURGICAL, BULLDOG, 7.5 CM, 2.3 CM, CROSS ACTION, DELICATE JAW, CURVED, NON STERILE, LATEX</t>
  </si>
  <si>
    <t>CLAMP, SURG, BULLDOG, 7.5 CM, 2.3 CM, CROSS ACT, DEL JAW, CRV, NS, LTX</t>
  </si>
  <si>
    <t>CLAMP, SURG, BULLDOG, 7.5 CM, 2.3 CM, CROSS ACT, DEL JAW, CRV, NS</t>
  </si>
  <si>
    <t>1.9 CM</t>
  </si>
  <si>
    <t>http://www.megamedworld.com/wp-content/uploads/2019/03/VM_KVC-min.pdf, https://accessgudid.nlm.nih.gov/devices/10885403030369</t>
  </si>
  <si>
    <t>CH6111</t>
  </si>
  <si>
    <t>BD_CH6111</t>
  </si>
  <si>
    <t>CROSS-ACT BULLDOG CVD JAW 2.9CM</t>
  </si>
  <si>
    <t>PRODIGO1056996</t>
  </si>
  <si>
    <t>CROSS-ACTION BULLDOG CLAMPS DELICATE JAWS CURVED LENGTH 3.2CM OVERALL LENGTH 8.5CM CLAMP SURGICAL BULLDOG 8.5 CM 3.2 CM CROSS ACTION DELICATE JAW CURVED</t>
  </si>
  <si>
    <t>CLAMP, SURGICAL, BULLDOG, 8.5 CM, 3.2 CM, CROSS ACTION, DELICATE JAW, CURVED, NON STERILE, LATEX</t>
  </si>
  <si>
    <t>CLAMP, SURG, BULLDOG, 8.5 CM, 3.2 CM, CROSS ACT, DEL JAW, CRV, NS, LTX</t>
  </si>
  <si>
    <t>CLAMP, SURG, BULLDOG, 8.5 CM, 3.2 CM, CROSS ACT, DEL JAW, CRV, NS</t>
  </si>
  <si>
    <t>8.5 CM</t>
  </si>
  <si>
    <t>2.9 CM</t>
  </si>
  <si>
    <t>http://www.megamedworld.com/wp-content/uploads/2019/03/VM_KVC-min.pdf, https://accessgudid.nlm.nih.gov/devices/10885403165948</t>
  </si>
  <si>
    <t>CH6112</t>
  </si>
  <si>
    <t>BD_CH6112</t>
  </si>
  <si>
    <t>CROSS-ACT BULLDOG CVD JAW 6.3CM</t>
  </si>
  <si>
    <t>PRODIGO1056997</t>
  </si>
  <si>
    <t>CROSS-ACTION BULLDOG CLAMP CVD/JAW LGTH 5.3CM CLAMP 10.5CM | CLAMP SURGICAL BULLDOG 10.5 CM 5.3 CM CROSS ACTION CURVED JAW</t>
  </si>
  <si>
    <t>CLAMP, SURGICAL, BULLDOG, 10.5 CM, 5.3 CM, CROSS ACTION, CURVED JAW, NON STERILE, LATEX</t>
  </si>
  <si>
    <t>CLAMP, SURG, BULLDOG, 10.5 CM, 5.3 CM, CROSS ACT, CRV JAW, NS, LTX</t>
  </si>
  <si>
    <t>10.5 CM</t>
  </si>
  <si>
    <t>6.3 CM</t>
  </si>
  <si>
    <t>https://www.hces.com.sg/wp-content/uploads/2021/04/Cardiovascular-Pages-from-vmueller-snowdenpencer-armamentarium-catalogue-4.pdf, https://accessgudid.nlm.nih.gov/devices/10885403030383</t>
  </si>
  <si>
    <t>Cardiovascular-Pages-from-vmueller-snowdenpencer-armamentarium-catalogue-4.pdf</t>
  </si>
  <si>
    <t>CH6100</t>
  </si>
  <si>
    <t>BD_CH6100</t>
  </si>
  <si>
    <t>CROSS-ACT BULLDOG STR JAW 1.7CM</t>
  </si>
  <si>
    <t>PRODIGO1056992</t>
  </si>
  <si>
    <t>CROSS-ACTION BULLDOG CLAMPS DELICATE JAWS STRAIGHT LENGTH 1.7CM OVERALL LENGTH 7.6CM CLAMP SURGICAL BULLDOG 7.6 CM 1.7 CM CROSS ACTION DELICATE JAW STRAIGHT</t>
  </si>
  <si>
    <t>CLAMP, SURGICAL, BULLDOG, 7.6 CM, 1.7 CM, CROSS ACTION, DELICATE JAW, STRAIGHT, NON STERILE, LATEX</t>
  </si>
  <si>
    <t>CLAMP, SURG, BULLDOG, 7.6 CM, 1.7 CM, CROSS ACT, DEL JAW, STR, NS, LTX</t>
  </si>
  <si>
    <t>CLAMP, SURG, BULLDOG, 7.6 CM, 1.7 CM, CROSS ACT, DEL JAW, STR, NS</t>
  </si>
  <si>
    <t>7.6 CM</t>
  </si>
  <si>
    <t>1.7 CM</t>
  </si>
  <si>
    <t>CROSS ACTION, DELICATE JAW, STRAIGHT</t>
  </si>
  <si>
    <t>http://www.megamedworld.com/wp-content/uploads/2019/03/VM_KVC-min.pdf, https://accessgudid.nlm.nih.gov/devices/10885403030321</t>
  </si>
  <si>
    <t>CH6101</t>
  </si>
  <si>
    <t>BD_CH6101</t>
  </si>
  <si>
    <t>CROSS-ACT BULLDOG STR JAW 3CM</t>
  </si>
  <si>
    <t>PRODIGO1056993</t>
  </si>
  <si>
    <t>CROSS-ACTION BULLDOG CLAMPS DELICATE JAWS STRAIGHT LENGTH 3CM OVERALL LENGTH 7.6CM CLAMP SURGICAL BULLDOG 7.6 CM 3 CM CROSS ACTION DELICATE JAW STRAIGHT</t>
  </si>
  <si>
    <t>CLAMP, SURGICAL, BULLDOG, 7.6 CM, 3 CM, CROSS ACTION, DELICATE JAW, STRAIGHT, NON STERILE, LATEX</t>
  </si>
  <si>
    <t>CLAMP, SURG, BULLDOG, 7.6 CM, 3 CM, CROSS ACT, DEL JAW, STR, NS, LTX</t>
  </si>
  <si>
    <t>http://www.megamedworld.com/wp-content/uploads/2019/03/VM_KVC-min.pdf, https://accessgudid.nlm.nih.gov/devices/10885403030338</t>
  </si>
  <si>
    <t>CH6102</t>
  </si>
  <si>
    <t>BD_CH6102</t>
  </si>
  <si>
    <t>CROSS-ACT BULLDOG STR JAW 5CM</t>
  </si>
  <si>
    <t>PRODIGO1056994</t>
  </si>
  <si>
    <t>BULLDOG CLAMP SURGICAL 4-1/8 IN 5 CM CROSS ACTION, DELICATE JAW, STRAIGHT</t>
  </si>
  <si>
    <t>CLAMP, SURGICAL, BULLDOG, 4-1/8 IN, 5 CM, CROSS ACTION, DELICATE JAW, STRAIGHT, NON STERILE, LATEX</t>
  </si>
  <si>
    <t>CLAMP, SURG, BULLDOG, 4-1/8 IN, 5 CM, CROSS ACT, DEL JAW, STR, NS, LTX</t>
  </si>
  <si>
    <t>CLAMP, SURG, BULLDOG, 4-1/8 IN, 5 CM, CROSS ACT, DEL JAW, STR, NS</t>
  </si>
  <si>
    <t>4-1/8 IN</t>
  </si>
  <si>
    <t>5 CM</t>
  </si>
  <si>
    <t>http://www.megamedworld.com/wp-content/uploads/2019/03/VM_KVC-min.pdf, https://accessgudid.nlm.nih.gov/devices/10885403030345</t>
  </si>
  <si>
    <t>AU6212</t>
  </si>
  <si>
    <t>BD_AU6212</t>
  </si>
  <si>
    <t>CUP FORCEPS CUP 2MM WK LGTH 4IN(10CM)</t>
  </si>
  <si>
    <t>PRODIGO1056363</t>
  </si>
  <si>
    <t>CUP FORCEPS WORKING LENGTH 4IN (10CM). CUP 2MM.</t>
  </si>
  <si>
    <t>FORCEP, SURGICAL, 4 IN, 2 MM, CUP, NON STERILE, LATEX</t>
  </si>
  <si>
    <t>FORCEP, SURG, 4 IN, 2 MM, CUP, NS, LTX</t>
  </si>
  <si>
    <t>https://www.bd.com/en-us/products-and-solutions/products/product-page.au6212#overview, https://accessgudid.nlm.nih.gov/devices/10885403008870</t>
  </si>
  <si>
    <t>AU6213</t>
  </si>
  <si>
    <t>BD_AU6213</t>
  </si>
  <si>
    <t>CUP FORCEPS CUP 3MM WK LGTH 4IN(10CM)</t>
  </si>
  <si>
    <t>PRODIGO1056364</t>
  </si>
  <si>
    <t>CUP FORCEPS WORKING LENGTH 4IN (10CM). CUP 3MM.</t>
  </si>
  <si>
    <t>FORCEP, SURGICAL, 4 IN, 3 MM, CUP, NON STERILE, LATEX</t>
  </si>
  <si>
    <t>FORCEP, SURG, 4 IN, 3 MM, CUP, NS, LTX</t>
  </si>
  <si>
    <t>3 MM</t>
  </si>
  <si>
    <t>https://www.bd.com/en-us/products-and-solutions/products/product-page.AU6213#overview, https://accessgudid.nlm.nih.gov/devices/10885403008887</t>
  </si>
  <si>
    <t>LAT0536NHCL</t>
  </si>
  <si>
    <t>LAT-0536-NHCL</t>
  </si>
  <si>
    <t>BD_LAT0536NHCL</t>
  </si>
  <si>
    <t>CURVED LEFT NDL HLDR S/A INSERT 5MM 36CM</t>
  </si>
  <si>
    <t>PRODIGO1057802</t>
  </si>
  <si>
    <t>42292903  Surgical needle holders</t>
  </si>
  <si>
    <t>HOLDER, NEEDLE, CURVED LEFT, 5 MMX36 CM, SINGLE ACTION INSERT, ELECTROSURGICAL, INSULATED SHAFT, NON STERILE, LATEX</t>
  </si>
  <si>
    <t>HOLDER NEEDLE CURVED LEFT 5 MMX36 CM SINGLE ACTION INSERT ELECTROSURGICAL INSULATED SHAFT NON STERILE LATEX</t>
  </si>
  <si>
    <t>HOLDER, NDL, CRV LT, 5 MMX36 CM, SINGLE ACT INSRT, ELECSURG, INSUL SHFT, NS, LTX</t>
  </si>
  <si>
    <t>HOLDER, NDL, CRV LT, 5 MMX36 CM, SINGLE ACT INSRT, ELECSURG</t>
  </si>
  <si>
    <t>HOLDER</t>
  </si>
  <si>
    <t>CURVED LEFT</t>
  </si>
  <si>
    <t>SINGLE ACTION INSERT, ELECTROSURGICAL, INSULATED SHAFT</t>
  </si>
  <si>
    <t>https://www.bd.com/en-us/products-and-solutions/products/product-page.lat-0536-nhcl#specifications, https://accessgudid.nlm.nih.gov/devices/10885403430930</t>
  </si>
  <si>
    <t>LAT0545NHCL</t>
  </si>
  <si>
    <t>LAT-0545-NHCL</t>
  </si>
  <si>
    <t>BD_LAT0545NHCL</t>
  </si>
  <si>
    <t>CURVED LEFT NDL HLDR S/A INSERT 5MM 45CM</t>
  </si>
  <si>
    <t>PRODIGO1057829</t>
  </si>
  <si>
    <t>HOLDER, NEEDLE, CURVED LEFT, 5 MMX45 CM, SINGLE ACTION INSERT, ELECTROSURGICAL, INSULATED SHAFT, NON STERILE, LATEX</t>
  </si>
  <si>
    <t>HOLDER NEEDLE CURVED LEFT 5 MMX45 CM SINGLE ACTION INSERT ELECTROSURGICAL INSULATED SHAFT NON STERILE LATEX</t>
  </si>
  <si>
    <t>HOLDER, NDL, CRV LT, 5 MMX45 CM, SINGLE ACT INSRT, ELECSURG, INSUL SHFT, NS, LTX</t>
  </si>
  <si>
    <t>HOLDER, NDL, CRV LT, 5 MMX45 CM, SINGLE ACT INSRT, ELECSURG</t>
  </si>
  <si>
    <t>https://www.bd.com/en-us/products-and-solutions/products/product-page.lat-0545-nhcl#overview, https://accessgudid.nlm.nih.gov/devices/10885403430947</t>
  </si>
  <si>
    <t>LAT0321CM</t>
  </si>
  <si>
    <t>LAT-0321-CM</t>
  </si>
  <si>
    <t>BD_LAT0321CM</t>
  </si>
  <si>
    <t>CURVED METZ SCISSORS D/A INSERT 3MM 21CM</t>
  </si>
  <si>
    <t>PRODIGO1057771</t>
  </si>
  <si>
    <t>42294906  Endoscopic cutting instruments</t>
  </si>
  <si>
    <t>Scissor 3 Mmx21 Cm Metzenbaum Double Action Curved Insert Insulated Handle Shaft Non Sterile Latex</t>
  </si>
  <si>
    <t>SCISSOR, ENDOSCOPIC, METZENBAUM, 3 MMX21 CM, DOUBLE ACTION, CURVED, INSERT, INSULATED HANDLE SHAFT, NON STERILE, LATEX</t>
  </si>
  <si>
    <t>SCISSOR, ENDOSCP, METZ, 3 MMX21 CM, DBL ACT, CRV, INSRT, INSUL HNDL SHFT, NS, LTX</t>
  </si>
  <si>
    <t>SCISSOR, ENDOSCP, METZ, 3 MMX21 CM, DBL ACT, CRV, INSUL HNDL SHFT</t>
  </si>
  <si>
    <t>METZENBAUM</t>
  </si>
  <si>
    <t>DOUBLE ACTION, CURVED, INSERT, INSULATED HANDLE SHAFT</t>
  </si>
  <si>
    <t>https://www.bd.com/en-us/products-and-solutions/products/product-page.LAT-0321-CM#overview, https://accessgudid.nlm.nih.gov/devices/10885403431104</t>
  </si>
  <si>
    <t>LAT0333CM</t>
  </si>
  <si>
    <t>LAT-0333-CM</t>
  </si>
  <si>
    <t>BD_LAT0333CM</t>
  </si>
  <si>
    <t>CURVED METZ SCISSORS D/A INSERT 3MM 33CM</t>
  </si>
  <si>
    <t>PRODIGO1057773</t>
  </si>
  <si>
    <t>Scissor 3 Mmx33 Cm Metzenbaum Double Action Curved Insert Insulated Handle Shaft Non Sterile Latex</t>
  </si>
  <si>
    <t>SCISSOR, ENDOSCOPIC, METZENBAUM, 3 MMX33 CM, DOUBLE ACTION, CURVED, INSERT, INSULATED HANDLE SHAFT, NON STERILE, LATEX</t>
  </si>
  <si>
    <t>SCISSOR, ENDOSCP, METZ, 3 MMX33 CM, DBL ACT, CRV, INSRT, INSUL HNDL SHFT, NS, LTX</t>
  </si>
  <si>
    <t>SCISSOR, ENDOSCP, METZ, 3 MMX33 CM, DBL ACT, CRV, INSUL HNDL SHFT</t>
  </si>
  <si>
    <t>3 MMX33 CM</t>
  </si>
  <si>
    <t>https://www.bd.com/en-us/products-and-solutions/products/product-page.LAT-0333-CM#overview, https://accessgudid.nlm.nih.gov/devices/10885403431111</t>
  </si>
  <si>
    <t>LAT0536CM</t>
  </si>
  <si>
    <t>LAT-0536-CM</t>
  </si>
  <si>
    <t>BD_LAT0536CM</t>
  </si>
  <si>
    <t>CURVED METZ SCISSORS D/A INSERT 5MM 36CM</t>
  </si>
  <si>
    <t>PRODIGO1057785</t>
  </si>
  <si>
    <t>Snowden-pencer Scissor 5 Mmx36 Cm Metzenbaum Double Action Curved Insert Insulated Handle Shaft Non Sterile Latex</t>
  </si>
  <si>
    <t>SCISSOR, ENDOSCOPIC, METZENBAUM, 5 MMX36 CM, DOUBLE ACTION, CURVED, INSERT, INSULATED HANDLE SHAFT, NON STERILE, SNOWDEN-PENCER, LATEX</t>
  </si>
  <si>
    <t>SCISSOR, ENDOSCP, METZ, 5 MMX36 CM, DBL ACT, CRV, INSRT, INSUL HNDL SHFT, NS, SNOWDEN-PENCER, LTX</t>
  </si>
  <si>
    <t>SCISSOR, ENDOSCP, METZ, 5 MMX36 CM, DBL ACT, CRV, SNOWDEN-PENCER</t>
  </si>
  <si>
    <t>https://www.bd.com/en-us/products-and-solutions/products/product-page.lat-0536-cm#overview, https://accessgudid.nlm.nih.gov/devices/10885403431128</t>
  </si>
  <si>
    <t>LAT0545CM</t>
  </si>
  <si>
    <t>LAT-0545-CM</t>
  </si>
  <si>
    <t>BD_LAT0545CM</t>
  </si>
  <si>
    <t>CURVED METZ SCISSORS D/A INSERT 5MM 45CM</t>
  </si>
  <si>
    <t>PRODIGO1057819</t>
  </si>
  <si>
    <t>CURVED METZ SCISSORS</t>
  </si>
  <si>
    <t>SCISSORS, SURGICAL, METZ, 5 MMX45 CM, CURVED, DOUBLE ACTION, ELECTROSURGICAL, NON STERILE, LATEX</t>
  </si>
  <si>
    <t>SCISSORS SURGICAL METZ 5 MMX45 CM CURVED DOUBLE ACTION ELECTROSURGICAL NON STERILE LATEX</t>
  </si>
  <si>
    <t>SCISSORS, SURG, METZ, 5 MMX45 CM, CRV, DBL ACT, ELECSURG, NS, LTX</t>
  </si>
  <si>
    <t>SCISSORS</t>
  </si>
  <si>
    <t>METZ</t>
  </si>
  <si>
    <t>CURVED, DOUBLE ACTION, ELECTROSURGICAL</t>
  </si>
  <si>
    <t>https://www.bd.com/en-us/products-and-solutions/products/product-page.lat-0545-cm#overview, https://accessgudid.nlm.nih.gov/devices/10885403431135</t>
  </si>
  <si>
    <t>LAT0536NHCR</t>
  </si>
  <si>
    <t>LAT-0536-NHCR</t>
  </si>
  <si>
    <t>BD_LAT0536NHCR</t>
  </si>
  <si>
    <t>CURVED RGHT NDL HLDR S/A INSERT 5MM 36CM</t>
  </si>
  <si>
    <t>PRODIGO1057803</t>
  </si>
  <si>
    <t>HOLDER, NEEDLE, CURVED RIGHT, 5 MMX36 CM, SINGLE ACTION INSERT, ELECTROSURGICAL, INSULATED HANDLE, INSULATED SHAFT, NON STERILE, LATEX</t>
  </si>
  <si>
    <t>HOLDER NEEDLE CURVED RIGHT 5 MMX36 CM SINGLE ACTION INSERT ELECTROSURGICAL INSULATED HANDLE INSULATED SHAFT NON STERILE LATEX</t>
  </si>
  <si>
    <t>HOLDER, NDL, CRV RT, 5 MMX36 CM, SINGLE ACT INSRT, ELECSURG, INSUL HNDL, INSUL SHFT, NS, LTX</t>
  </si>
  <si>
    <t>HOLDER, NDL, CRV RT, 5 MMX36 CM, SINGLE ACT INSRT, ELECSURG</t>
  </si>
  <si>
    <t>CURVED RIGHT</t>
  </si>
  <si>
    <t>SINGLE ACTION INSERT, ELECTROSURGICAL, INSULATED HANDLE, INSULATED SHAFT</t>
  </si>
  <si>
    <t>https://www.bd.com/en-us/products-and-solutions/products/product-page.lat-0536-nhcr#specifications, https://accessgudid.nlm.nih.gov/devices/10885403430954</t>
  </si>
  <si>
    <t>NL1020</t>
  </si>
  <si>
    <t>BD_NL1020</t>
  </si>
  <si>
    <t>CUSHING ANGLE DECOMPRESSION RETR FENEST</t>
  </si>
  <si>
    <t>PRODIGO1058038</t>
  </si>
  <si>
    <t>CUSHING DECOMPRESSION RETRACTOR</t>
  </si>
  <si>
    <t>RETRACTOR, SURGICAL, CUSHING, 8.75 IN, DECOMPRESSION , ANGLED, FENESTRATED BLADE, NON STERILE, LATEX</t>
  </si>
  <si>
    <t>RETRACTOR SURGICAL CUSHING 8.75 IN DECOMPRESSION ANGLED FENESTRATED BLADE NON STERILE LATEX</t>
  </si>
  <si>
    <t>RETRACTOR, SURG, CUSHING, 8.75 IN, DECOMPRESSION , ANGLED, FEN BLADE, NS, LTX</t>
  </si>
  <si>
    <t>RETRACTOR, SURG, CUSHING, 8.75 IN, DECOMPRESSION , ANGLED</t>
  </si>
  <si>
    <t>CUSHING</t>
  </si>
  <si>
    <t>8.75 IN</t>
  </si>
  <si>
    <t>DECOMPRESSION , ANGLED, FENESTRATED BLADE</t>
  </si>
  <si>
    <t>https://www.bd.com/en-us/products-and-solutions/products/product-page.nl1020#specifications, https://accessgudid.nlm.nih.gov/devices/10885403070617</t>
  </si>
  <si>
    <t>NA1480</t>
  </si>
  <si>
    <t>BD_NA1480</t>
  </si>
  <si>
    <t>CUSHING DRESSING FORCEPS SERR 7IN</t>
  </si>
  <si>
    <t>PRODIGO1058009</t>
  </si>
  <si>
    <t>CUSHING DRESSING FORCEPS SERRATED. SEMI-SHARP DISSECTING END. OVERALL LENGTH 7IN 17.8CM</t>
  </si>
  <si>
    <t>FORCEP, SURGICAL, CUSHING, 7 IN, SERRATED, SEMI SHARP DISSECTING END, NON STERILE, LATEX</t>
  </si>
  <si>
    <t>FORCEP SURGICAL CUSHING 7 IN SERRATED SEMI SHARP DISSECTING END NON STERILE LATEX</t>
  </si>
  <si>
    <t>FORCEP, SURG, CUSHING, 7 IN, SERRATED, SEMI SHRP DISECT END, NS, LTX</t>
  </si>
  <si>
    <t>FORCEP, SURG, CUSHING, 7 IN, SERRATED, SEMI SHRP DISECT END, NS</t>
  </si>
  <si>
    <t>SERRATED, SEMI SHARP DISSECTING END</t>
  </si>
  <si>
    <t>https://www.bd.com/en-us/products-and-solutions/products/product-page.NL1480#overview, https://accessgudid.nlm.nih.gov/devices/10885403069673</t>
  </si>
  <si>
    <t>NL1481</t>
  </si>
  <si>
    <t>BD_NL1481</t>
  </si>
  <si>
    <t>CUSHING DRESSING FORCEPS SERRATED 8IN</t>
  </si>
  <si>
    <t>PRODIGO1058095</t>
  </si>
  <si>
    <t>FORCEP, SURGICAL, CUSHING, 8 IN, SERRATED, SEMI SHARP DISSECTING END, NON STERILE, LATEX</t>
  </si>
  <si>
    <t>FORCEP SURGICAL CUSHING 8 IN SERRATED SEMI SHARP DISSECTING END NON STERILE LATEX</t>
  </si>
  <si>
    <t>FORCEP, SURG, CUSHING, 8 IN, SERRATED, SEMI SHRP DISECT END, NS, LTX</t>
  </si>
  <si>
    <t>FORCEP, SURG, CUSHING, 8 IN, SERRATED, SEMI SHRP DISECT END, NS</t>
  </si>
  <si>
    <t>https://www.bd.com/en-us/products-and-solutions/products/product-page.NL1481#overview, https://accessgudid.nlm.nih.gov/devices/10885403071676</t>
  </si>
  <si>
    <t>NL1062</t>
  </si>
  <si>
    <t>BD_NL1062</t>
  </si>
  <si>
    <t>CUSHING ELEVATOR WIDE SHARP W/RND EDGE</t>
  </si>
  <si>
    <t>PRODIGO1058041</t>
  </si>
  <si>
    <t>CUSHING ELEVATOR WIDE SHARP END. OVERALL LENGTH 7-1/2IN 19.1CM. ROUND EDGE ON S CURVED SHANK. OVERALL LENGTH 7-1/2IN 19.1CM</t>
  </si>
  <si>
    <t>ELEVATOR, SURGICAL, CUSHING, 7.5 IN, WIDE, SHARP END, ROUND EDGE ON S CURVED SHANK, SATIN FINISH, STAINLESS STEEL, NON STERILE, LATEX</t>
  </si>
  <si>
    <t>ELEVATOR SURGICAL CUSHING 7.5 IN WIDE SHARP END ROUND EDGE ON S CURVED SHANK SATIN FINISH STAINLESS STEEL NON STERILE LATEX</t>
  </si>
  <si>
    <t>ELEVATOR, SURG, CUSHING, 7.5 IN, WIDE, SHRP END, RND EDGE ON S CRV SHANK, SATIN FINISH, SS, NS, LTX</t>
  </si>
  <si>
    <t>ELEVATOR, SURG, CUSHING, 7.5 IN, WIDE, SHRP END, RND EDGE ON</t>
  </si>
  <si>
    <t>WIDE, SHARP END, ROUND EDGE ON S CURVED SHANK, SATIN FINISH</t>
  </si>
  <si>
    <t>https://www.bd.com/en-us/products-and-solutions/products/product-page.NL1062#specifications</t>
  </si>
  <si>
    <t>NA1570</t>
  </si>
  <si>
    <t>BD_NA1570</t>
  </si>
  <si>
    <t>CUSHING FORCEP BAYONET-SHAPE SERR 1X1TTH</t>
  </si>
  <si>
    <t>PRODIGO1058010</t>
  </si>
  <si>
    <t>CUSHING FORCEP BAYONET-SHAPE. SERRATED WITH 1 X 2 TEETH. OVERALL LGTH 7-5/8IN 19.4CM.</t>
  </si>
  <si>
    <t>FORCEP, SURGICAL, CUSHING, 7-5/8 IN, BAYONET SHAPE, SERRATED, WITH 1X2 TEETH, NON STERILE, LATEX</t>
  </si>
  <si>
    <t>FORCEP SURGICAL CUSHING 7-5/8 IN BAYONET SHAPE SERRATED WITH 1X2 TEETH NON STERILE LATEX</t>
  </si>
  <si>
    <t>FORCEP, SURG, CUSHING, 7-5/8 IN, BAYNT SHP, SERRATED, W/ 1X2 TEETH, NS, LTX</t>
  </si>
  <si>
    <t>FORCEP, SURG, CUSHING, 7-5/8 IN, BAYNT SHP, SERRATED, 1X2 TEETH</t>
  </si>
  <si>
    <t>BAYONET SHAPE, SERRATED, WITH 1X2 TEETH</t>
  </si>
  <si>
    <t>https://accessgudid.nlm.nih.gov/devices/10885403069703</t>
  </si>
  <si>
    <t>NL1072</t>
  </si>
  <si>
    <t>BD_NL1072</t>
  </si>
  <si>
    <t>CUSHING STAPHYLORRHAPHY ELEV BLADE 6MM</t>
  </si>
  <si>
    <t>PRODIGO1058043</t>
  </si>
  <si>
    <t>ELEVATOR, SURGICAL, CUSHING, 8 IN, 6 MM, STAPHYLORRHAPHY, NON STERILE, LATEX</t>
  </si>
  <si>
    <t>ELEVATOR SURGICAL CUSHING 8 IN 6 MM STAPHYLORRHAPHY NON STERILE LATEX</t>
  </si>
  <si>
    <t>ELEVATOR, SURG, CUSHING, 8 IN, 6 MM, STAPHYL, NS, LTX</t>
  </si>
  <si>
    <t>6 MM</t>
  </si>
  <si>
    <t>STAPHYLORRHAPHY</t>
  </si>
  <si>
    <t>https://www.bd.com/en-us/products-and-solutions/products/product-page.nl1072</t>
  </si>
  <si>
    <t>NA1003</t>
  </si>
  <si>
    <t>BD_NA1003</t>
  </si>
  <si>
    <t>CUSHING STR RETRACTOR PLAIN EDGE 8-3/4IN</t>
  </si>
  <si>
    <t>PRODIGO1058002</t>
  </si>
  <si>
    <t>CUSHING STRAIGHT RETRACTOR PLAIN EDGE. OVERALL LGTH 8-3/4IN 22.2CM</t>
  </si>
  <si>
    <t>RETRACTOR, SURGICAL, CUSHING, 8.75 IN, STRAIGHT, PLAIN EDGE, NON STERILE, LATEX</t>
  </si>
  <si>
    <t>RETRACTOR SURGICAL CUSHING 8.75 IN STRAIGHT PLAIN EDGE NON STERILE LATEX</t>
  </si>
  <si>
    <t>RETRACTOR, SURG, CUSHING, 8.75 IN, STR, PLN EDGE, NS, LTX</t>
  </si>
  <si>
    <t>STRAIGHT, PLAIN EDGE</t>
  </si>
  <si>
    <t>https://accessgudid.nlm.nih.gov/devices/10885403069529</t>
  </si>
  <si>
    <t>NL1570</t>
  </si>
  <si>
    <t>BD_NL1570</t>
  </si>
  <si>
    <t>CUSHING TISS FORCEP BAYON SERR 1X2 TEETH</t>
  </si>
  <si>
    <t>PRODIGO1058102</t>
  </si>
  <si>
    <t>FORCEP, SURGICAL, CUSHING, 7-5/8 IN, BAYONET, SERRATED, 1X2 TEETH, SQUARE DISSECTING TIP, DOUBLE ACTION, SATIN FINISH, SPRING HANDLE, NON STERILE, LATEX</t>
  </si>
  <si>
    <t>FORCEP SURGICAL CUSHING 7-5/8 IN BAYONET SERRATED 1X2 TEETH SQUARE DISSECTING TIP DOUBLE ACTION SATIN FINISH SPRING HANDLE NON STERILE LATEX</t>
  </si>
  <si>
    <t>FORCEP, SURG, CUSHING, 7-5/8 IN, BAYNT, SERRATED, 1X2 TEETH, SQ DISECT TIP, DBL ACT, SATIN FINISH, SPRING HNDL, NS, LTX</t>
  </si>
  <si>
    <t>FORCEP, SURG, CUSHING, 7-5/8 IN, BAYNT, SERRATED, 1X2 TEETH</t>
  </si>
  <si>
    <t>BAYONET, SERRATED, 1X2 TEETH, SQUARE DISSECTING TIP, DOUBLE ACTION, SATIN FINISH, SPRING HANDLE</t>
  </si>
  <si>
    <t>https://www.bd.com/en-us/products-and-solutions/products/product-page.nl1570#overview, https://accessgudid.nlm.nih.gov/devices/10885403071799</t>
  </si>
  <si>
    <t>NA1470</t>
  </si>
  <si>
    <t>BD_NA1470</t>
  </si>
  <si>
    <t>CUSHING TISSUE FORCEPS 1X2 TEETH 7-1/4IN</t>
  </si>
  <si>
    <t>PRODIGO1058008</t>
  </si>
  <si>
    <t>CUSHING TISSUE FORCEP SEMI-SHARP DISSECTING END 1 X 2 TEETH OVERALL LGTH 7-1/4 18.4CM</t>
  </si>
  <si>
    <t>FORCEP, SURGICAL, CUSHING, 7.25 IN, TISSUE, SEMI-SHARP DISSECTING END, 1X2 TEETH, AFFINITY LINE, NON STERILE, LATEX</t>
  </si>
  <si>
    <t>FORCEP SURGICAL CUSHING 7.25 IN TISSUE SEMI-SHARP DISSECTING END 1X2 TEETH AFFINITY LINE NON STERILE LATEX</t>
  </si>
  <si>
    <t>FORCEP, SURG, CUSHING, 7.25 IN, TISS, SEMI-SHARP DISECT END, 1X2 TEETH, AFFIN LN, NS, LTX</t>
  </si>
  <si>
    <t>FORCEP, SURG, CUSHING, 7.25 IN, SEMI-SHRP DISECT END, 1X2 TEETH</t>
  </si>
  <si>
    <t>TISSUE, SEMI-SHARP DISSECTING END, 1X2 TEETH, AFFINITY LINE</t>
  </si>
  <si>
    <t>https://www.bd.com/en-us/products-and-solutions/products/product-page.NA1470#specifications, https://accessgudid.nlm.nih.gov/devices/10885403069659</t>
  </si>
  <si>
    <t>NL1471</t>
  </si>
  <si>
    <t>BD_NL1471</t>
  </si>
  <si>
    <t>CUSHING TISSUE FORCEPS 1X2 TTH SEMI-SHRP</t>
  </si>
  <si>
    <t>PRODIGO1058094</t>
  </si>
  <si>
    <t>CUSHING TISSUE FORCEPS 1 X 2 TEETH. SEMI-SHARP DISSECTING END. OVERALL LENGTH 8IN 20.3CM</t>
  </si>
  <si>
    <t>FORCEP, SURGICAL, CUSHING, 8 IN, TISSUE, SEMI-SHARP DISSECTING END, 1X2 TEETH, DOUBLE ACTION, SATIN FINISH, SPRING HANDLE, NON STERILE, LATEX</t>
  </si>
  <si>
    <t>FORCEP SURGICAL CUSHING 8 IN TISSUE SEMI-SHARP DISSECTING END 1X2 TEETH DOUBLE ACTION SATIN FINISH SPRING HANDLE NON STERILE LATEX</t>
  </si>
  <si>
    <t>FORCEP, SURG, CUSHING, 8 IN, TISS, SEMI-SHARP DISECT END, 1X2 TEETH, DBL ACT, SATIN FINISH, SPRING HNDL, NS, LTX</t>
  </si>
  <si>
    <t>FORCEP, SURG, CUSHING, 8 IN, TISS, SEMI-SHRP DISECT END, 1X2 TEETH</t>
  </si>
  <si>
    <t>TISSUE, SEMI-SHARP DISSECTING END, 1X2 TEETH, DOUBLE ACTION, SATIN FINISH, SPRING HANDLE</t>
  </si>
  <si>
    <t>https://www.bd.com/en-us/products-and-solutions/products/product-page.nl1471#overview, https://accessgudid.nlm.nih.gov/devices/10885403071652</t>
  </si>
  <si>
    <t>NL3030</t>
  </si>
  <si>
    <t>BD_NL3030</t>
  </si>
  <si>
    <t>DANDY NEUROSURG SCISSORS ANG SHANK 6-3/4</t>
  </si>
  <si>
    <t>PRODIGO1058157</t>
  </si>
  <si>
    <t>Dandy neurosurgical scissors Shanks angled-on-flat. Overall length 6-3/4in (17.1cm)</t>
  </si>
  <si>
    <t>SCISSOR, SURGICAL, DANDY, 6.75 IN, NEUROSURGICAL, SHANK ANGLED ON FLAT, NON STERILE, LATEX</t>
  </si>
  <si>
    <t>SCISSOR, SURG, DANDY, 6.75 IN, NEUROSURGICAL, SHANK ANGLED ON FLAT, NS, LTX</t>
  </si>
  <si>
    <t>SCISSOR, SURG, DANDY, 6.75 IN, NEUROSURGICAL, SHANK ANGLED ON</t>
  </si>
  <si>
    <t>DANDY</t>
  </si>
  <si>
    <t>NEUROSURGICAL, SHANK ANGLED ON FLAT</t>
  </si>
  <si>
    <t>https://www.bd.com/en-us/products-and-solutions/products/product-page.NL3030#overview, https://accessgudid.nlm.nih.gov/devices/10885403072956</t>
  </si>
  <si>
    <t>MO9744</t>
  </si>
  <si>
    <t>BD_MO9744</t>
  </si>
  <si>
    <t>DAUTREY-MUNRO OSTEOTOME 8MM 6-3/4IN</t>
  </si>
  <si>
    <t>PRODIGO1057983</t>
  </si>
  <si>
    <t>42291619  Surgical tomes</t>
  </si>
  <si>
    <t>DAUTREY-MUNRO-TYPE OSTEOTOMES SLIGHT CURVE. BLADE 8MM WIDE. OVERALL LENGTH 6-3/4IN (17.1CM).</t>
  </si>
  <si>
    <t>OSTEOTOME, SURGICAL, DAUTREY-MUNRO, 6.75 IN, 8 MM, SLIGHT CURVE, SINGLE ACTION, SATIN FINISH, STAINLESS STEEL, NON STERILE, LATEX</t>
  </si>
  <si>
    <t>OSTEOTOME, SURG, DAUTREY-MUNRO, 6.75 IN, 8 MM, SLGHT CRV, SINGLE ACT, SATIN FINISH, SS, NS, LTX</t>
  </si>
  <si>
    <t>OSTEOTOME, SURG, DAUTREY-MUNRO, 6.75 IN, 8 MM, SLGHT CRV</t>
  </si>
  <si>
    <t>OSTEOTOME</t>
  </si>
  <si>
    <t>DAUTREY-MUNRO</t>
  </si>
  <si>
    <t>SLIGHT CURVE, SINGLE ACTION, SATIN FINISH</t>
  </si>
  <si>
    <t>https://www.bd.com/en-us/products-and-solutions/products/product-page.MO9744#overview, https://accessgudid.nlm.nih.gov/devices/10885403068096</t>
  </si>
  <si>
    <t>CH905</t>
  </si>
  <si>
    <t>BD_CH905</t>
  </si>
  <si>
    <t>DAVIDSON SCAPULAR RETRACTOR BLADE 3X2IN</t>
  </si>
  <si>
    <t>PRODIGO1057276</t>
  </si>
  <si>
    <t>DAVIDSON Scapular Retractors Blade 3in x 2in (7.6cm x 5.1cm) wide.</t>
  </si>
  <si>
    <t>RETRACTOR, SURGICAL, DAVIDSON, 3X2 IN, SCAPULAR, WITH BLADE, NON STERILE, LATEX</t>
  </si>
  <si>
    <t>RETRACTOR, SURG, DAVIDSON, 3X2 IN, SCAPULAR, W/ BLADE, NS, LTX</t>
  </si>
  <si>
    <t>DAVIDSON</t>
  </si>
  <si>
    <t>3X2 IN</t>
  </si>
  <si>
    <t>SCAPULAR, WITH BLADE</t>
  </si>
  <si>
    <t>https://www.hces.com.sg/wp-content/uploads/2021/04/Cardiovascular-Pages-from-vmueller-snowdenpencer-armamentarium-catalogue-4.pdf, https://accessgudid.nlm.nih.gov/devices/10885403022999</t>
  </si>
  <si>
    <t>NL1300</t>
  </si>
  <si>
    <t>BD_NL1300</t>
  </si>
  <si>
    <t>DAVIS BRAIN RETRACTOR 1/2IN W 7-1/2IN</t>
  </si>
  <si>
    <t>PRODIGO1058070</t>
  </si>
  <si>
    <t>RETRACTOR, SURGICAL, DAVIS BRAIN, 7.5X0.5 IN, FLEXIBLE, SILVER, NON STERILE, LATEX</t>
  </si>
  <si>
    <t>RETRACTOR SURGICAL DAVIS BRAIN 7.5X0.5 IN FLEXIBLE SILVER NON STERILE LATEX</t>
  </si>
  <si>
    <t>RETRACTOR, SURG, DAV BRAIN, 7.5X0.5 IN, FLX, SLV, NS, LTX</t>
  </si>
  <si>
    <t>DAVIS BRAIN</t>
  </si>
  <si>
    <t>7.5X0.5 IN</t>
  </si>
  <si>
    <t>FLEXIBLE</t>
  </si>
  <si>
    <t>SILVER</t>
  </si>
  <si>
    <t>https://www.bd.com/en-us/products-and-solutions/products/product-print-page.nl1300, https://accessgudid.nlm.nih.gov/devices/10885403071201</t>
  </si>
  <si>
    <t>NL1301</t>
  </si>
  <si>
    <t>BD_NL1301</t>
  </si>
  <si>
    <t>DAVIS BRAIN RETRACTOR 5/8IN W 7-1/2IN</t>
  </si>
  <si>
    <t>PRODIGO1058071</t>
  </si>
  <si>
    <t>RETRACTOR, SURGICAL, DAVIS BRAIN, 7.5X5/8 IN, FLEXIBLE, SILVER, NON STERILE, LATEX</t>
  </si>
  <si>
    <t>RETRACTOR SURGICAL DAVIS BRAIN 7.5X5/8 IN FLEXIBLE SILVER NON STERILE LATEX</t>
  </si>
  <si>
    <t>RETRACTOR, SURG, DAV BRAIN, 7.5X5/8 IN, FLX, SLV, NS, LTX</t>
  </si>
  <si>
    <t>7.5X5/8 IN</t>
  </si>
  <si>
    <t>https://www.bd.com/en-us/products-and-solutions/products/product-page.NL1301#overview, https://accessgudid.nlm.nih.gov/devices/10885403071218</t>
  </si>
  <si>
    <t>NL1311</t>
  </si>
  <si>
    <t>BD_NL1311</t>
  </si>
  <si>
    <t>DAVIS BRAIN SPATULA DBL END 22&amp;25MM 8IN</t>
  </si>
  <si>
    <t>PRODIGO1058073</t>
  </si>
  <si>
    <t>42294002  Surgical spatulas</t>
  </si>
  <si>
    <t>DAVIS BRAIN SPATULAS</t>
  </si>
  <si>
    <t>SPATULA, SURGICAL, DAVIS BRAIN, 8 IN, 22X25 MM, DOUBLE ENDED, NON STERILE, LATEX</t>
  </si>
  <si>
    <t>SPATULA SURGICAL DAVIS BRAIN 8 IN 22X25 MM DOUBLE ENDED NON STERILE LATEX</t>
  </si>
  <si>
    <t>SPATULA, SURG, DAV BRAIN, 8 IN, 22X25 MM, DBL END, NS, LTX</t>
  </si>
  <si>
    <t>SPATULA</t>
  </si>
  <si>
    <t>22X25 MM</t>
  </si>
  <si>
    <t>DOUBLE ENDED</t>
  </si>
  <si>
    <t>https://www.bd.com/en-us/products-and-solutions/products/product-page.nl1311#overview, https://accessgudid.nlm.nih.gov/devices/10885403071249</t>
  </si>
  <si>
    <t>MO150</t>
  </si>
  <si>
    <t>BD_MO150</t>
  </si>
  <si>
    <t>DAVIS CROWE MOUTH GAG RIGHT W/FRAME TTH</t>
  </si>
  <si>
    <t>PRODIGO1057895</t>
  </si>
  <si>
    <t>42293104  Surgical mouth gags</t>
  </si>
  <si>
    <t>DAVIS-CROWE MOUTH GAGS STANDARD PATTERN WITH DOUBLE BITE. COMPLETE WITH FRAME (MO156-RIGHT OR MO154-LEFT) TOOTH PLATE (MO160) AND FOUR TONGUE BLADES (MO161 MO162 MO163 MO164). FOR PATIENT'S RIGHT.</t>
  </si>
  <si>
    <t>GAG, MOUTH, DAVIS-CROWE, STANDARD PATTERN, WITH DOUBLE BITE, COMPLETE WITH FRAME, TOOTH PLATE, AND FOUR TONGUE BLADES FOR PATIENT RIGHT, NON STERILE, LATEX</t>
  </si>
  <si>
    <t>GAG, MOUTH, DAVIS-CROWE, STD PAT, W/ DBL BITE, COMPLETE W/ FRAME, TOOTH PLATE, &amp; 4 TNGE BLDE FOR PT RT, NS, LTX</t>
  </si>
  <si>
    <t>GAG, MOUTH, DAVIS-CROWE, STD PAT, W/ DBL BITE, COMPLETE W/ FRAME</t>
  </si>
  <si>
    <t>GAG</t>
  </si>
  <si>
    <t>MOUTH</t>
  </si>
  <si>
    <t>DAVIS-CROWE</t>
  </si>
  <si>
    <t>STANDARD PATTERN, WITH DOUBLE BITE, COMPLETE WITH FRAME, TOOTH PLATE, AND FOUR TONGUE BLADES FOR PATIENT RIGHT</t>
  </si>
  <si>
    <t>https://www.bd.com/en-us/products-and-solutions/products/product-page.mo150#overview, https://accessgudid.nlm.nih.gov/devices/10885403160004</t>
  </si>
  <si>
    <t>MO420</t>
  </si>
  <si>
    <t>BD_MO420</t>
  </si>
  <si>
    <t>DAVIS RETRACTOR DOUBLE-ENDED BLADES</t>
  </si>
  <si>
    <t>PRODIGO1057936</t>
  </si>
  <si>
    <t>DAVIS RETRACTOR DOUBLE-ENDED WITH SLIGHTLY LIPPED BLADES FOR SUPPORT. BLADES 19MM X 9MM WIDE AND 23MM X 6.4MM WIDE. MIRROR AND SATIN FINISH. OVERALL LENGTH 6IN (15.2CM).</t>
  </si>
  <si>
    <t>RETRACTOR, SURGICAL, DAVIS, 6 IN, 19X9 MM, 23X6.4 MM, DOUBLE-ENDED, WITH SLIGHTLY LIPPED BLADE, MIRROR, SATIN FINISH, NON STERILE, LATEX</t>
  </si>
  <si>
    <t>RETRACTOR, SURG, DAV, 6 IN, 19X9 MM, 23X6.4 MM, DOUBLE-ENDED, W/ SLIGHTLY LIP BLADE, MIRROR, SATIN FINISH, NS, LTX</t>
  </si>
  <si>
    <t>RETRACTOR, SURG, DAV, 6 IN, 19X9 MM, 23X6.4 MM, DOUBLE-ENDED</t>
  </si>
  <si>
    <t>DAVIS</t>
  </si>
  <si>
    <t>19X9 MM, 23X6.4 MM</t>
  </si>
  <si>
    <t>DOUBLE-ENDED, WITH SLIGHTLY LIPPED BLADE, MIRROR, SATIN FINISH</t>
  </si>
  <si>
    <t>https://www.bd.com/en-us/products-and-solutions/products/product-page.mo420#overview</t>
  </si>
  <si>
    <t>NL2760</t>
  </si>
  <si>
    <t>BD_NL2760</t>
  </si>
  <si>
    <t>DAVIS SPATULA SEMI-SHARP OVER LGTH 7-5/8</t>
  </si>
  <si>
    <t>PRODIGO1058152</t>
  </si>
  <si>
    <t>Davis spatula Semi-sharp. Mirror and satin finish. Overall length 7-5/8in (19.4cm)</t>
  </si>
  <si>
    <t>SPATULA, SURGICAL, DAVIS, 7-5/8 IN, SEMI SHARP, MIRROR, SATIN FINISH, NON STERILE, LATEX</t>
  </si>
  <si>
    <t>SPATULA, SURG, DAV, 7-5/8 IN, SEMI SHRP, MIRROR, SATIN FINISH, NS, LTX</t>
  </si>
  <si>
    <t>SPATULA, SURG, DAV, 7-5/8 IN, SEMI SHRP, MIRROR, SATIN FINISH</t>
  </si>
  <si>
    <t>SEMI SHARP, MIRROR, SATIN FINISH</t>
  </si>
  <si>
    <t>https://www.bd.com/en-us/products-and-solutions/products/product-page.nl2760#overview, https://accessgudid.nlm.nih.gov/devices/10885403072840</t>
  </si>
  <si>
    <t>MO161</t>
  </si>
  <si>
    <t>BD_MO161</t>
  </si>
  <si>
    <t>DAVIS-CROWE MOUTH GAG TONGUE BLDE #2</t>
  </si>
  <si>
    <t>PRODIGO1057903</t>
  </si>
  <si>
    <t>DAVIS-CROWE MOUTH GAG TONGUE DEPRESSOR BLADES NO. 2. 7.0CM X 2.3CM WIDE.</t>
  </si>
  <si>
    <t>GAG, MOUTH, DAVIS-CROWE, 2, 7X2.3 CM, TONGUE DEPRESSOR BLADE, SATIN FINISH, RETRACTION, STAINLESS STEEL, NON STERILE, LATEX</t>
  </si>
  <si>
    <t>GAG, MOUTH, DAVIS-CROWE, 2, 7X2.3 CM, TNGE DEPRESSOR BLADE, SATIN FINISH, RETRCT, SS, NS, LTX</t>
  </si>
  <si>
    <t>GAG, MOUTH, DAVIS-CROWE, 2, 7X2.3 CM, SATIN FINISH, RETRCT</t>
  </si>
  <si>
    <t>7X2.3 CM</t>
  </si>
  <si>
    <t>TONGUE DEPRESSOR BLADE, SATIN FINISH, RETRACTION</t>
  </si>
  <si>
    <t>https://www.bd.com/en-us/products-and-solutions/products/product-page.MO161#overview, https://accessgudid.nlm.nih.gov/devices/10885403058158</t>
  </si>
  <si>
    <t>MO165</t>
  </si>
  <si>
    <t>BD_MO165</t>
  </si>
  <si>
    <t>DAVIS-CROWE MOUTH GAG TONGUE BLDE #2 W/O</t>
  </si>
  <si>
    <t>PRODIGO1057908</t>
  </si>
  <si>
    <t>DAVIS-CROWE MOUTH GAG TONGUE DEPRESSOR BLADES WITHOUT TUBE NO. 2. 7.0CM X 2.3CM WIDE.</t>
  </si>
  <si>
    <t>GAG, MOUTH, DAVIS-CROWE, 2, 7X2.3 CM, TONGUE DEPRESSOR BLADE, WITHOUT TUBE, SATIN FINISH, RETRACTION, STAINLESS STEEL, NON STERILE, LATEX</t>
  </si>
  <si>
    <t>GAG, MOUTH, DAVIS-CROWE, 2, 7X2.3 CM, TNGE DEPRESSOR BLADE, W/O TUBE, SATIN FINISH, RETRCT, SS, NS, LTX</t>
  </si>
  <si>
    <t>GAG, MOUTH, DAVIS-CROWE, 2, 7X2.3 CM, W/O TUBE, SATIN FINISH, RETRCT</t>
  </si>
  <si>
    <t>TONGUE DEPRESSOR BLADE, WITHOUT TUBE, SATIN FINISH, RETRACTION</t>
  </si>
  <si>
    <t>https://www.bd.com/en-us/products-and-solutions/products/product-page.MO165#overview, https://accessgudid.nlm.nih.gov/devices/10885403058219</t>
  </si>
  <si>
    <t>MO162</t>
  </si>
  <si>
    <t>BD_MO162</t>
  </si>
  <si>
    <t>DAVIS-CROWE MOUTH GAG TONGUE BLDE #3</t>
  </si>
  <si>
    <t>PRODIGO1057905</t>
  </si>
  <si>
    <t>DAVIS-CROWE MOUTH GAG TONGUE DEPRESSOR BLADES NO. 3. 8.5CM X 2.4CM WIDE.</t>
  </si>
  <si>
    <t>GAG, MOUTH, DAVIS-CROWE, 3, 8.5X2.4 CM, TONGUE DEPRESSOR BLADE, SATIN FINISH, RETRACTION, STAINLESS STEEL, NON STERILE, LATEX</t>
  </si>
  <si>
    <t>GAG, MOUTH, DAVIS-CROWE, 3, 8.5X2.4 CM, TNGE DEPRESSOR BLADE, SATIN FINISH, RETRCT, SS, NS, LTX</t>
  </si>
  <si>
    <t>GAG, MOUTH, DAVIS-CROWE, 3, 8.5X2.4 CM, SATIN FINISH, RETRCT, SS</t>
  </si>
  <si>
    <t>8.5X2.4 CM</t>
  </si>
  <si>
    <t>https://www.bd.com/en-us/products-and-solutions/products/product-page.MO162#overview, https://accessgudid.nlm.nih.gov/devices/10885403058165</t>
  </si>
  <si>
    <t>MO166</t>
  </si>
  <si>
    <t>BD_MO166</t>
  </si>
  <si>
    <t>DAVIS-CROWE MOUTH GAG TONGUE BLDE #3 W/O</t>
  </si>
  <si>
    <t>PRODIGO1057910</t>
  </si>
  <si>
    <t>DAVIS-CROWE MOUTH GAG TONGUE DEPRESSOR BLADES WITHOUT TUBE NO. 3. 8.5CM X 2.4CM WIDE.</t>
  </si>
  <si>
    <t>GAG, MOUTH, DAVIS-CROWE, 3, 8.5X2.4 CM, TONGUE DEPRESSOR BLADE, WITHOUT TUBE, SATIN FINISH, STAINLESS STEEL, NON STERILE, LATEX</t>
  </si>
  <si>
    <t>GAG, MOUTH, DAVIS-CROWE, 3, 8.5X2.4 CM, TNGE DEPRESSOR BLADE, W/O TUBE, SATIN FINISH, SS, NS, LTX</t>
  </si>
  <si>
    <t>GAG, MOUTH, DAVIS-CROWE, 3, 8.5X2.4 CM, W/O TUBE, SATIN FINISH, SS</t>
  </si>
  <si>
    <t>TONGUE DEPRESSOR BLADE, WITHOUT TUBE, SATIN FINISH</t>
  </si>
  <si>
    <t>https://www.bd.com/en-us/products-and-solutions/products/product-page.MO166#overview, https://accessgudid.nlm.nih.gov/devices/10885403058226</t>
  </si>
  <si>
    <t>MO163</t>
  </si>
  <si>
    <t>BD_MO163</t>
  </si>
  <si>
    <t>DAVIS-CROWE MOUTH GAG TONGUE BLDE #4</t>
  </si>
  <si>
    <t>PRODIGO1057906</t>
  </si>
  <si>
    <t>DAVIS-CROWE MOUTH GAG TONGUE DEPRESSOR BLADES NO. 4. 9.5CM X 2.5CM WIDE.</t>
  </si>
  <si>
    <t>GAG, MOUTH, DAVIS-CROWE, 4, 9.5X2.5 CM, TONGUE DEPRESSOR BLADE, SATIN FINISH, RETRACTION, STAINLESS STEEL, NON STERILE, LATEX</t>
  </si>
  <si>
    <t>GAG, MOUTH, DAVIS-CROWE, 4, 9.5X2.5 CM, TNGE DEPRESSOR BLADE, SATIN FINISH, RETRCT, SS, NS, LTX</t>
  </si>
  <si>
    <t>GAG, MOUTH, DAVIS-CROWE, 4, 9.5X2.5 CM, SATIN FINISH, RETRCT, SS</t>
  </si>
  <si>
    <t>9.5X2.5 CM</t>
  </si>
  <si>
    <t>https://www.bd.com/en-us/products-and-solutions/products/product-page.MO163#overview, https://accessgudid.nlm.nih.gov/devices/10885403058189</t>
  </si>
  <si>
    <t>MO167</t>
  </si>
  <si>
    <t>BD_MO167</t>
  </si>
  <si>
    <t>DAVIS-CROWE MOUTH GAG TONGUE BLDE #4 W/O</t>
  </si>
  <si>
    <t>PRODIGO1057911</t>
  </si>
  <si>
    <t>DAVIS-CROWE MOUTH GAG TONGUE DEPRESSOR BLADES WITHOUT TUBE NO. 4. 9.5CM X 2.5CM WIDE.</t>
  </si>
  <si>
    <t>GAG, MOUTH, DAVIS-CROWE, 4, 9.5X2.5 CM, TONGUE DEPRESSOR BLADE, WITHOUT TUBE, SATIN FINISH, STAINLESS STEEL, NON STERILE, LATEX</t>
  </si>
  <si>
    <t>GAG, MOUTH, DAVIS-CROWE, 4, 9.5X2.5 CM, TNGE DEPRESSOR BLADE, W/O TUBE, SATIN FINISH, SS, NS, LTX</t>
  </si>
  <si>
    <t>GAG, MOUTH, DAVIS-CROWE, 4, 9.5X2.5 CM, W/O TUBE, SATIN FINISH, SS</t>
  </si>
  <si>
    <t>https://www.bd.com/en-us/products-and-solutions/products/product-page.MO167#overview, https://accessgudid.nlm.nih.gov/devices/10885403058233</t>
  </si>
  <si>
    <t>MO164</t>
  </si>
  <si>
    <t>BD_MO164</t>
  </si>
  <si>
    <t>DAVIS-CROWE MOUTH GAG TONGUE BLDE #5</t>
  </si>
  <si>
    <t>PRODIGO1057907</t>
  </si>
  <si>
    <t>DAVIS-CROWE MOUTH GAG TONGUE DEPRESSOR BLADES NO. 5. 11CM X 2.6CM WIDE.</t>
  </si>
  <si>
    <t>GAG, MOUTH, DAVIS-CROWE, 5, 11X2.6 CM, TONGUE DEPRESSOR BLADE, SATIN FINISH, RETRACTION, STAINLESS STEEL, NON STERILE, LATEX</t>
  </si>
  <si>
    <t>GAG, MOUTH, DAVIS-CROWE, 5, 11X2.6 CM, TNGE DEPRESSOR BLADE, SATIN FINISH, RETRCT, SS, NS, LTX</t>
  </si>
  <si>
    <t>GAG, MOUTH, DAVIS-CROWE, 5, 11X2.6 CM, SATIN FINISH, RETRCT, SS</t>
  </si>
  <si>
    <t>11X2.6 CM</t>
  </si>
  <si>
    <t>https://www.bd.com/en-us/products-and-solutions/products/product-page.mo164#overview, https://accessgudid.nlm.nih.gov/devices/10885403058202</t>
  </si>
  <si>
    <t>MO168</t>
  </si>
  <si>
    <t>BD_MO168</t>
  </si>
  <si>
    <t>DAVIS-CROWE MOUTH GAG TONGUE BLDE #5 W/O</t>
  </si>
  <si>
    <t>PRODIGO1057912</t>
  </si>
  <si>
    <t>DAVIS-CROWE MOUTH GAG TONGUE DEPRESSOR BLADES WITHOUT TUBE NO. 5. 11CM X 2.6CM WIDE.</t>
  </si>
  <si>
    <t>GAG, MOUTH, DAVIS-CROWE, 5, 11X2.6 CM, TONGUE DEPRESSOR BLADE, WITHOUT TUBE, SATIN FINISH, STAINLESS STEEL, NON STERILE, LATEX</t>
  </si>
  <si>
    <t>GAG, MOUTH, DAVIS-CROWE, 5, 11X2.6 CM, TNGE DEPRESSOR BLADE, W/O TUBE, SATIN FINISH, SS, NS, LTX</t>
  </si>
  <si>
    <t>GAG, MOUTH, DAVIS-CROWE, 5, 11X2.6 CM, W/O TUBE, SATIN FINISH, SS</t>
  </si>
  <si>
    <t>https://www.bd.com/en-us/products-and-solutions/products/product-page.mo168#overview, https://accessgudid.nlm.nih.gov/devices/10885403058240</t>
  </si>
  <si>
    <t>GL482</t>
  </si>
  <si>
    <t>BD_GL482</t>
  </si>
  <si>
    <t>DE LEE CORNER RETRACTOR 2-3/4 X 2 LEFT</t>
  </si>
  <si>
    <t>PRODIGO1057509</t>
  </si>
  <si>
    <t>De Lee corner retractors Blade 2-3/4in x 2in wide. Overall length 10in (25.5cm). Left.</t>
  </si>
  <si>
    <t>RETRACTOR, SURGICAL, DE LEE CORNER, 10 IN, 2.75X2 IN, LEFT, NON STERILE, LATEX</t>
  </si>
  <si>
    <t>RETRACTOR, SURG, DE LEE CORNER, 10 IN, 2.75X2 IN, LT, NS, LTX</t>
  </si>
  <si>
    <t>DE LEE CORNER</t>
  </si>
  <si>
    <t>2.75X2 IN</t>
  </si>
  <si>
    <t>LEFT</t>
  </si>
  <si>
    <t>https://www.bd.com/en-us/products-and-solutions/products/product-page.GL482#overview, https://accessgudid.nlm.nih.gov/devices/10885403043321</t>
  </si>
  <si>
    <t>GL481</t>
  </si>
  <si>
    <t>BD_GL481</t>
  </si>
  <si>
    <t>DE LEE CORNER RETRACTOR 2-3/4 X 2 RIGHT</t>
  </si>
  <si>
    <t>PRODIGO1057508</t>
  </si>
  <si>
    <t>De Lee corner retractors Blade 2-3/4in x 2in wide. Overall length 10in (25.5cm). Right.</t>
  </si>
  <si>
    <t>RETRACTOR, SURGICAL, DE LEE CORNER, 10 IN, 2.75X2 IN, RIGHT, NON STERILE, LATEX</t>
  </si>
  <si>
    <t>RETRACTOR, SURG, DE LEE CORNER, 10 IN, 2.75X2 IN, RT, NS, LTX</t>
  </si>
  <si>
    <t>https://www.bd.com/en-us/products-and-solutions/products/product-page.GL481#overview, https://accessgudid.nlm.nih.gov/devices/10885403043314</t>
  </si>
  <si>
    <t>GL53204</t>
  </si>
  <si>
    <t>GL5320-4</t>
  </si>
  <si>
    <t>BD_GL53204</t>
  </si>
  <si>
    <t>DE LEE OBSTETRICAL FORCEPS DEL 12IN</t>
  </si>
  <si>
    <t>PRODIGO1057518</t>
  </si>
  <si>
    <t>De Lee obstetrical forceps Mirror and satin finish. Overall length 12in (30.5cm).</t>
  </si>
  <si>
    <t>FORCEP, SURGICAL, DE LEE, 12 IN, MIRROR SATIN FINISH, OBSTETRICAL, STAINLESS STEEL, NON STERILE, LATEX</t>
  </si>
  <si>
    <t>FORCEP, SURG, DE LEE, 12 IN, MIRROR SATIN FINISH, OB, SS, NS, LTX</t>
  </si>
  <si>
    <t>DE LEE</t>
  </si>
  <si>
    <t>MIRROR SATIN FINISH, OBSTETRICAL</t>
  </si>
  <si>
    <t>https://www.bd.com/en-us/products-and-solutions/products/product-page.gl5320-4#overview, https://accessgudid.nlm.nih.gov/devices/10885403046834</t>
  </si>
  <si>
    <t>GL620</t>
  </si>
  <si>
    <t>BD_GL620</t>
  </si>
  <si>
    <t>DE LEE UTERINE PACKING FORCEP CVD 11-1/4</t>
  </si>
  <si>
    <t>PRODIGO1057529</t>
  </si>
  <si>
    <t>De Lee uterine packing forceps Curved. Overall length 11-1/4in (28.7cm).</t>
  </si>
  <si>
    <t>FORCEP, SURGICAL, DE LEE, 11.25 IN, UTERINE, PACKING, CURVED, NON STERILE, LATEX</t>
  </si>
  <si>
    <t>FORCEP, SURG, DE LEE, 11.25 IN, UTER, PK, CRV, NS, LTX</t>
  </si>
  <si>
    <t>11.25 IN</t>
  </si>
  <si>
    <t>PACKING, CURVED</t>
  </si>
  <si>
    <t>https://www.bd.com/en-us/products-and-solutions/products/product-page.GL620#overview, https://accessgudid.nlm.nih.gov/devices/10885403043451</t>
  </si>
  <si>
    <t>MO1650</t>
  </si>
  <si>
    <t>BD_MO1650</t>
  </si>
  <si>
    <t>DEAN SCISSORS ANG BLADES 1 SERR HNDL CVD</t>
  </si>
  <si>
    <t>PRODIGO1057909</t>
  </si>
  <si>
    <t>DEAN SCISSORS ANGLED BLADES LENGTH 3CM FROM MID-SCREW. ONE BLADE SERRATED. HANDLES SLIGHTLY CURVED. MIRROR FINISH. OVERALL LENGTH 6-3/4IN (17.1CM).</t>
  </si>
  <si>
    <t>SCISSOR, SURGICAL, DEAN, 6.75 IN, 3 CM, ANGLED, ONE BLADE SERRATED, HANDLES SLIGHTLY CURVED, MIRROR FINISH, NON STERILE, LATEX</t>
  </si>
  <si>
    <t>SCISSOR, SURG, DEAN, 6.75 IN, 3 CM, ANGLED, 1 BLADE SERRATED, HNDL SLIGHTLY CRV, MIRROR FINISH, NS, LTX</t>
  </si>
  <si>
    <t>SCISSOR, SURG, DEAN, 6.75 IN, 3 CM, ANGLED, HNDL SLIGHTLY CRV</t>
  </si>
  <si>
    <t>DEAN</t>
  </si>
  <si>
    <t>ANGLED, ONE BLADE SERRATED, HANDLES SLIGHTLY CURVED, MIRROR FINISH</t>
  </si>
  <si>
    <t>https://www.bd.com/en-us/products-and-solutions/products/product-page.mo1650#overview, https://accessgudid.nlm.nih.gov/devices/10885403058943</t>
  </si>
  <si>
    <t>CH7600</t>
  </si>
  <si>
    <t>BD_CH7600</t>
  </si>
  <si>
    <t>DEBAKEY  ARTERY CLAMP 9-5/8"</t>
  </si>
  <si>
    <t>PRODIGO1057163</t>
  </si>
  <si>
    <t>DeBAKEY Artery Clamp</t>
  </si>
  <si>
    <t>CLAMP, SURGICAL, DEBAKEY, 9-5/8 IN, 2.5 IN, ARTERY, RATCHET HANDLE. CURVED, 1X9 RATCHET, NON STERILE, LATEX</t>
  </si>
  <si>
    <t>CLAMP, SURG, DEBAKEY, 9-5/8 IN, 2.5 IN, ART, RATCH HANDLE. CRV, 1X9 RATCH, NS, LTX</t>
  </si>
  <si>
    <t>CLAMP, SURG, DEBAKEY, 9-5/8 IN, 2.5 IN, ART, RATCH HANDLE. CRV, 1X9</t>
  </si>
  <si>
    <t>DEBAKEY</t>
  </si>
  <si>
    <t>9-5/8 IN</t>
  </si>
  <si>
    <t>RATCHET HANDLE. CURVED, 1X9 RATCHET</t>
  </si>
  <si>
    <t>https://www.bd.com/en-us/products-and-solutions/products/product-page.CH7600#overview, https://accessgudid.nlm.nih.gov/devices/10885403033223</t>
  </si>
  <si>
    <t>CH7175</t>
  </si>
  <si>
    <t>BD_CH7175</t>
  </si>
  <si>
    <t>DEBAKEY AORTIC S-SHAPE CLAMP CVD 6.7CMJW</t>
  </si>
  <si>
    <t>PRODIGO1057112</t>
  </si>
  <si>
    <t>DeBAKEY Aortic Clamp Curved jaws and light springy shanks conform to S-shape Jaw length 3in (7.6cm).
Overall length
7-1/4in (18.4cm).</t>
  </si>
  <si>
    <t>CLAMP, SURGICAL, DEBAKEY, 18.4 CM, 7.6 CM, AORTIC, CURVED JAW, LIGHT, SPRINGY SHANK, CONFORM TO S-SHAPE, NON STERILE, LATEX</t>
  </si>
  <si>
    <t>CLAMP, SURG, DEBAKEY, 18.4 CM, 7.6 CM, AORT, CRV JAW, LIGHT, SPRINGY SHANK, CONFORM TO S-SHAPE, NS, LTX</t>
  </si>
  <si>
    <t>CLAMP, SURG, DEBAKEY, 18.4 CM, 7.6 CM, AORT, CRV JAW, LIGHT</t>
  </si>
  <si>
    <t>AORTIC</t>
  </si>
  <si>
    <t>CURVED JAW, LIGHT, SPRINGY SHANK, CONFORM TO S-SHAPE</t>
  </si>
  <si>
    <t>https://www.bd.com/en-us/products-and-solutions/products/product-page.CH7175#overview, https://accessgudid.nlm.nih.gov/devices/10885403032479</t>
  </si>
  <si>
    <t>CH7116</t>
  </si>
  <si>
    <t>BD_CH7116</t>
  </si>
  <si>
    <t>DEBAKEY BAINBRIDGE VASC CLAMP CVD 7-1/8</t>
  </si>
  <si>
    <t>PRODIGO1057106</t>
  </si>
  <si>
    <t>DeBAKEY-BAINBRIGE Vascular Clamps Curved. Jaw length 1-1/2in (4cm).
Overall length 6-7/8in (17.4cm).</t>
  </si>
  <si>
    <t>CLAMP, SURGICAL, DEBAKEY-BAINBRIGE, 7-1/8 IN, 2.5 IN, VASCULAR, CURVED JAW, NON STERILE, LATEX</t>
  </si>
  <si>
    <t>CLAMP, SURG, DEBAKEY-BAINBRIGE, 7-1/8 IN, 2.5 IN, VASC, CRV JAW, NS, LTX</t>
  </si>
  <si>
    <t>CLAMP, SURG, DEBAKEY-BAINBRIGE, 7-1/8 IN, 2.5 IN, VASC, CRV JAW</t>
  </si>
  <si>
    <t>DEBAKEY-BAINBRIGE</t>
  </si>
  <si>
    <t>https://www.bd.com/en-us/products-and-solutions/products/product-page.ch7116#overview, https://accessgudid.nlm.nih.gov/devices/10885403032370</t>
  </si>
  <si>
    <t>CH7117</t>
  </si>
  <si>
    <t>BD_CH7117</t>
  </si>
  <si>
    <t>DEBAKEY BAINBRIDGE VASC CLAMP CVD JAWS</t>
  </si>
  <si>
    <t>PRODIGO1057107</t>
  </si>
  <si>
    <t>DeBAKEY-BAINBRIGE Vascular Clamps Curved. Jaw length 2-3/8in (6cm).
Overall length 7-3/4in (19.7cm)</t>
  </si>
  <si>
    <t>CLAMP, SURGICAL, DEBAKEY-BAINBRIGE, 7.75 IN, 2-3/8 IN, VASCULAR, CURVED JAW, NON STERILE, LATEX</t>
  </si>
  <si>
    <t>CLAMP, SURG, DEBAKEY-BAINBRIGE, 7.75 IN, 2-3/8 IN, VASC, CRV JAW, NS, LTX</t>
  </si>
  <si>
    <t>CLAMP, SURG, DEBAKEY-BAINBRIGE, 7.75 IN, 2-3/8 IN, VASC, CRV JAW</t>
  </si>
  <si>
    <t>7.75 IN</t>
  </si>
  <si>
    <t>http://www.lt-technologies.de/_ws/mediabase/_ts_1494230442000/Downloads/CardioCatalog_LIT12012_low-res.pdf, https://accessgudid.nlm.nih.gov/devices/10885403032387</t>
  </si>
  <si>
    <t>CH6086</t>
  </si>
  <si>
    <t>BD_CH6086</t>
  </si>
  <si>
    <t>DEBAKEY BULLDOG X-ACT CVD JAW 1"(2.6CM)</t>
  </si>
  <si>
    <t>PRODIGO1056984</t>
  </si>
  <si>
    <t>DEBAKEY BULLDOG CLAMP SURGICAL 3-3/8 IN 3 CM CROSS ACTION, CURVED JAW</t>
  </si>
  <si>
    <t>CLAMP, SURGICAL, DEBAKEY BULLDOG, 3-3/8 IN, 3 CM, CROSS ACTION, CURVED JAW, NON STERILE, LATEX</t>
  </si>
  <si>
    <t>CLAMP, SURG, DEBAKEY BULLDOG, 3-3/8 IN, 3 CM, CROSS ACT, CRV JAW, NS, LTX</t>
  </si>
  <si>
    <t>CLAMP, SURG, DEBAKEY BULLDOG, 3-3/8 IN, 3 CM, CRV JAW, NS, LTX</t>
  </si>
  <si>
    <t>2.6 CM</t>
  </si>
  <si>
    <t>http://www.megamedworld.com/wp-content/uploads/2019/03/VM_KVC-min.pdf, https://accessgudid.nlm.nih.gov/devices/10885403030178</t>
  </si>
  <si>
    <t>CH6085</t>
  </si>
  <si>
    <t>BD_CH6085</t>
  </si>
  <si>
    <t>DEBAKEY BULLDOG X-ACT CVD JAW 3"(2CM)</t>
  </si>
  <si>
    <t>PRODIGO1056983</t>
  </si>
  <si>
    <t>DEBAKEY BULLDOG CLAMP SURGICAL 3 IN 2 CM CROSS ACTION, CURVED JAW</t>
  </si>
  <si>
    <t>CLAMP, SURGICAL, DEBAKEY BULLDOG, 3 IN, 3 IN, CROSS ACTION, CURVED JAW, NON STERILE, LATEX</t>
  </si>
  <si>
    <t>CLAMP, SURG, DEBAKEY BULLDOG, 3 IN, 3 IN, CROSS ACT, CRV JAW, NS, LTX</t>
  </si>
  <si>
    <t>CLAMP, SURG, DEBAKEY BULLDOG, 3 IN, 3 IN, CROSS ACT, CRV JAW, NS</t>
  </si>
  <si>
    <t>https://www.hces.com.sg/wp-content/uploads/2021/04/Cardiovascular-Pages-from-vmueller-snowdenpencer-armamentarium-catalogue-4.pdf, https://accessgudid.nlm.nih.gov/devices/10885403030161</t>
  </si>
  <si>
    <t>CH6088</t>
  </si>
  <si>
    <t>BD_CH6088</t>
  </si>
  <si>
    <t>DEBAKEY BULLDOG X-ACT CVD JAW 5.7</t>
  </si>
  <si>
    <t>PRODIGO1056986</t>
  </si>
  <si>
    <t>DEBAKEY CROSS-ACTION BULLDOG CLAMPS CURVED JAW JAW LENGTH 6.5CM OVERALL LENGTH 12CM CLAMP SURGICAL DEBAKEY 12 CM 6.5 CM BULLDOG CROSS ACTION CURVED JAW</t>
  </si>
  <si>
    <t>CLAMP, SURGICAL, DEBAKEY BULLDOG, 12 CM, 6.5 CM, CROSS ACTION, CURVED JAW, NON STERILE, LATEX</t>
  </si>
  <si>
    <t>CLAMP, SURG, DEBAKEY BULLDOG, 12 CM, 6.5 CM, CROSS ACT, CRV JAW, NS, LTX</t>
  </si>
  <si>
    <t>CLAMP, SURG, DEBAKEY BULLDOG, 12 CM, 6.5 CM, CROSS ACT, CRV JAW, NS</t>
  </si>
  <si>
    <t>12 CM</t>
  </si>
  <si>
    <t>http://www.megamedworld.com/wp-content/uploads/2019/03/VM_KVC-min.pdf, https://accessgudid.nlm.nih.gov/devices/10885403030192</t>
  </si>
  <si>
    <t>CH6087</t>
  </si>
  <si>
    <t>BD_CH6087</t>
  </si>
  <si>
    <t>DEBAKEY BULLDOG X-ACT CVD JW 4CM</t>
  </si>
  <si>
    <t>PRODIGO1056985</t>
  </si>
  <si>
    <t>DEBAKEY CROSS-ACTION BULLDOG CLAMPS CURVED JAW JAW LENGTH 4.5CM OVERALL LENGTH 10.5CM CLAMP SURGICAL DEBAKEY 10.5 CM 4.5 CM BULLDOG CROSS ACTION CURVED JAW</t>
  </si>
  <si>
    <t>CLAMP, SURGICAL, DEBAKEY BULLDOG, 10.5 CM, 4.5 CM, CROSS ACTION, CURVED JAW, NON STERILE, LATEX</t>
  </si>
  <si>
    <t>CLAMP, SURG, DEBAKEY BULLDOG, 10.5 CM, 4.5 CM, CROSS ACT, CRV JAW, NS, LTX</t>
  </si>
  <si>
    <t>CLAMP, SURG, DEBAKEY BULLDOG, 10.5 CM, 4.5 CM, CRV JAW, NS, LTX</t>
  </si>
  <si>
    <t>http://www.megamedworld.com/wp-content/uploads/2019/03/VM_KVC-min.pdf, https://accessgudid.nlm.nih.gov/devices/10885403030185</t>
  </si>
  <si>
    <t>CH6081</t>
  </si>
  <si>
    <t>BD_CH6081</t>
  </si>
  <si>
    <t>DEBAKEY BULLDOG X-ACT STR JAW 3"(2CM)</t>
  </si>
  <si>
    <t>PRODIGO1056980</t>
  </si>
  <si>
    <t>DEBAKEY CROSS-ACTION BULLDOG CLAMPS STRAIGHT JAW JAW LENGTH 2CM OVERALL LENGTH 7.6CM CLAMP SURGICAL DEBAKEY 7.6 CM 2 CM BULLDOG CROSS ACTION STRAIGHT JAW</t>
  </si>
  <si>
    <t>CLAMP, SURGICAL, DEBAKEY BULLDOG, 7.6 CM, 3 IN, CROSS ACTION, STRAIGHT JAW, NON STERILE, LATEX</t>
  </si>
  <si>
    <t>CLAMP, SURG, DEBAKEY BULLDOG, 7.6 CM, 3 IN, CROSS ACT, STR JAW, NS, LTX</t>
  </si>
  <si>
    <t>CLAMP, SURG, DEBAKEY BULLDOG, 7.6 CM, 3 IN, CROSS ACT, STR JAW, NS</t>
  </si>
  <si>
    <t>http://www.megamedworld.com/wp-content/uploads/2019/03/VM_KVC-min.pdf, https://accessgudid.nlm.nih.gov/devices/10885403030123</t>
  </si>
  <si>
    <t>CH6083</t>
  </si>
  <si>
    <t>BD_CH6083</t>
  </si>
  <si>
    <t>DEBAKEY BULLDOG X-ACT STR JAW 4.8CM</t>
  </si>
  <si>
    <t>PRODIGO1056981</t>
  </si>
  <si>
    <t>DEBAKEY CROSS-ACTION BULLDOG CLAMPS STRAIGHT JAW JAW LENGTH 4.5CM OVERALL LENGTH 10.5CM CLAMP SURGICAL DEBAKEY 10.5 CM 4.5 CM BULLDOG CROSS ACTION STRAIGHT JAW</t>
  </si>
  <si>
    <t>CLAMP, SURGICAL, DEBAKEY BULLDOG, 10.5 CM, 4.5 CM, CROSS ACTION, STRAIGHT JAW, NON STERILE, LATEX</t>
  </si>
  <si>
    <t>CLAMP, SURG, DEBAKEY BULLDOG, 10.5 CM, 4.5 CM, CROSS ACT, STR JAW, NS, LTX</t>
  </si>
  <si>
    <t>CLAMP, SURG, DEBAKEY BULLDOG, 10.5 CM, 4.5 CM, STR JAW, NS, LTX</t>
  </si>
  <si>
    <t>http://www.megamedworld.com/wp-content/uploads/2019/03/VM_KVC-min.pdf, https://accessgudid.nlm.nih.gov/devices/10885403030147</t>
  </si>
  <si>
    <t>CH6084</t>
  </si>
  <si>
    <t>BD_CH6084</t>
  </si>
  <si>
    <t>DEBAKEY BULLDOG X-ACT STR JAW 6.8CM</t>
  </si>
  <si>
    <t>PRODIGO1056982</t>
  </si>
  <si>
    <t>DEBAKEY BULLDOG CLAMP X-ACTION/STR JAW 6.5CM LGTH 4-3/4IN-12CM | CLAMP SURGICAL DEBAKEY 12 CM 6.5 CM BULLDOG X ACTION STRAIGHT JAW</t>
  </si>
  <si>
    <t>CLAMP, SURGICAL, DEBAKEY BULLDOG, 12 CM, 6.5 CM, CROSS ACTION, STRAIGHT JAW, NON STERILE, LATEX</t>
  </si>
  <si>
    <t>CLAMP, SURG, DEBAKEY BULLDOG, 12 CM, 6.5 CM, CROSS ACT, STR JAW, NS, LTX</t>
  </si>
  <si>
    <t>CLAMP, SURG, DEBAKEY BULLDOG, 12 CM, 6.5 CM, CROSS ACT, STR JAW, NS</t>
  </si>
  <si>
    <t>https://www.hces.com.sg/wp-content/uploads/2021/04/Cardiovascular-Pages-from-vmueller-snowdenpencer-armamentarium-catalogue-4.pdf, https://accessgudid.nlm.nih.gov/devices/10885403030154</t>
  </si>
  <si>
    <t>LAT0536DB</t>
  </si>
  <si>
    <t>LAT-0536-DB</t>
  </si>
  <si>
    <t>BD_LAT0536DB</t>
  </si>
  <si>
    <t>DEBAKEY CLAMP D/A INSERT 5MM 36CM</t>
  </si>
  <si>
    <t>PRODIGO1057789</t>
  </si>
  <si>
    <t>Snowden-pencer Clamp 5 Mmx36 Cm Debakey Double Action Insert Non Sterile Latex</t>
  </si>
  <si>
    <t>CLAMP, ENDOSCOPIC, DEBAKEY, 5 MMX36 CM, DOUBLE ACTION, INSERT, NON STERILE, SNOWDEN-PENCER, LATEX</t>
  </si>
  <si>
    <t>CLAMP, ENDOSCP, DEBAKEY, 5 MMX36 CM, DBL ACT, INSRT, NS, SNOWDEN-PENCER, LTX</t>
  </si>
  <si>
    <t>CLAMP, ENDOSCP, DEBAKEY, 5 MMX36 CM, DBL ACT, SNOWDEN-PENCER</t>
  </si>
  <si>
    <t>DOUBLE ACTION, INSERT</t>
  </si>
  <si>
    <t>https://www.bd.com/en-us/products-and-solutions/products/product-page.lat-0536-dB#overview, https://accessgudid.nlm.nih.gov/devices/10885403431418</t>
  </si>
  <si>
    <t>LAT0545DB</t>
  </si>
  <si>
    <t>LAT-0545-DB</t>
  </si>
  <si>
    <t>BD_LAT0545DB</t>
  </si>
  <si>
    <t>DEBAKEY CLAMP D/A INSERT 5MM 45CM</t>
  </si>
  <si>
    <t>PRODIGO1057821</t>
  </si>
  <si>
    <t>CLAMP, SURGICAL, DEBAKEY, 5X45 MM, DOUBLE ACTION INSERT, NON STERILE, LATEX</t>
  </si>
  <si>
    <t>CLAMP SURGICAL DEBAKEY 5X45 MM DOUBLE ACTION INSERT NON STERILE LATEX</t>
  </si>
  <si>
    <t>CLAMP, SURG, DEBAKEY, 5X45 MM, DBL ACT INSRT, NS, LTX</t>
  </si>
  <si>
    <t>CLAMP, SURG, DEBAKEY, 5 MMX45 CM, DBL ACT INSRT, NS, LTX</t>
  </si>
  <si>
    <t>https://www.bd.com/en-us/products-and-solutions/products/product-page.LAT-0545-DB#overview, https://accessgudid.nlm.nih.gov/devices</t>
  </si>
  <si>
    <t>CH7112</t>
  </si>
  <si>
    <t>BD_CH7112</t>
  </si>
  <si>
    <t>DEBAKEY COARCTATION  ANG STR JAW 7CM</t>
  </si>
  <si>
    <t>PRODIGO1057104</t>
  </si>
  <si>
    <t>DeBAKEY Coarctation Vascular Clamps Straight non-crushing jaws length 2-1/8in (5.4cm).
Overall length 9in (22.9cm). Angled shank</t>
  </si>
  <si>
    <t>CLAMP, SURGICAL, DEBAKEY, 9 IN, 5.4 CM, COARCTATION VASCULAR, ANGLED, NON-CRUSHING JAW, STRAIGHT SHANK, NON STERILE, LATEX</t>
  </si>
  <si>
    <t>CLAMP, SURG, DEBAKEY, 9 IN, 5.4 CM, COARCTATION VASC, ANGLED, NON-CRUSHING JAW, STR SHANK, NS, LTX</t>
  </si>
  <si>
    <t>CLAMP, SURG, DEBAKEY, 9 IN, 5.4 CM, COARCTATION VASC, ANGLED</t>
  </si>
  <si>
    <t>COARCTATION VASCULAR</t>
  </si>
  <si>
    <t>ANGLED, NON-CRUSHING JAW, STRAIGHT SHANK</t>
  </si>
  <si>
    <t>http://www.lt-technologies.de/_ws/mediabase/_ts_1494230442000/Downloads/CardioCatalog_LIT12012_low-res.pdf, https://accessgudid.nlm.nih.gov/devices/10885403032332</t>
  </si>
  <si>
    <t>CH7110</t>
  </si>
  <si>
    <t>BD_CH7110</t>
  </si>
  <si>
    <t>DEBAKEY COARCTATION STR SHNK &amp; JAW 7CM</t>
  </si>
  <si>
    <t>PRODIGO1057103</t>
  </si>
  <si>
    <t>DeBAKEY Coarctation Vascular Clamps Straight non-crushing jaws length 2-1/8in (5.4cm).
Overall length 9in (22.9cm). Straight shank</t>
  </si>
  <si>
    <t>CLAMP, SURGICAL, DEBAKEY, 9 IN, 5.4 CM, COARCTATION VASCULAR, STRAIGHT, NON-CRUSHING JAW, STRAIGHT SHANK, NON STERILE, LATEX</t>
  </si>
  <si>
    <t>CLAMP, SURG, DEBAKEY, 9 IN, 5.4 CM, COARCTATION VASC, STR, NON-CRUSHING JAW, STR SHANK, NS, LTX</t>
  </si>
  <si>
    <t>CLAMP, SURG, DEBAKEY, 9 IN, 5.4 CM, COARCTATION VASC, NON-CRUSHING</t>
  </si>
  <si>
    <t>STRAIGHT, NON-CRUSHING JAW, STRAIGHT SHANK</t>
  </si>
  <si>
    <t>http://www.lt-technologies.de/_ws/mediabase/_ts_1494230442000/Downloads/CardioCatalog_LIT12012_low-res.pdf, https://accessgudid.nlm.nih.gov/devices/10885403032325</t>
  </si>
  <si>
    <t>CH7230</t>
  </si>
  <si>
    <t>BD_CH7230</t>
  </si>
  <si>
    <t>DEBAKEY CVD CLAMP STRNG CVD 5.6CM JW</t>
  </si>
  <si>
    <t>PRODIGO1057126</t>
  </si>
  <si>
    <t xml:space="preserve">DeBAKEY Curved Clamp Strongly curved jaws
length 2-3/8in (6cm) Overall length
10-1/4in (26cm) </t>
  </si>
  <si>
    <t>CLAMP, SURGICAL, DEBAKEY, 26 CM, 6 CM, STRONGLY CURVED JAW, NON STERILE, LATEX</t>
  </si>
  <si>
    <t>CLAMP, SURG, DEBAKEY, 26 CM, 6 CM, STRONGLY CRV JAW, NS, LTX</t>
  </si>
  <si>
    <t>26 CM</t>
  </si>
  <si>
    <t>STRONGLY CURVED JAW</t>
  </si>
  <si>
    <t>5.6 CM</t>
  </si>
  <si>
    <t>http://www.lt-technologies.de/_ws/mediabase/_ts_1494230442000/Downloads/CardioCatalog_LIT12012_low-res.pdf, https://accessgudid.nlm.nih.gov/devices/10885403032684</t>
  </si>
  <si>
    <t>CH801417</t>
  </si>
  <si>
    <t>CH8014-17</t>
  </si>
  <si>
    <t>BD_CH801417</t>
  </si>
  <si>
    <t>DEBAKEY MICRO FORCEPS RND HNDL 1.2MM TIP</t>
  </si>
  <si>
    <t>PRODIGO1057180</t>
  </si>
  <si>
    <t>DeBakey micro tissue forceps</t>
  </si>
  <si>
    <t>FORCEP, SURGICAL, DEBAKEY, MICRO, 6.75 IN, 1.2 MM TIP, ROUND HANDLE, TISSUE, NON STERILE, LATEX</t>
  </si>
  <si>
    <t>FORCEP, SURG, DEBAKEY, MIC, 6.75 IN, 1.2 MM TIP, RND HNDL, TISS, NS, LTX</t>
  </si>
  <si>
    <t>FORCEP, SURG, DEBAKEY, MIC, 6.75 IN, 1.2 MM TIP, RND HNDL, TISS</t>
  </si>
  <si>
    <t>1.2 MM TIP</t>
  </si>
  <si>
    <t>ROUND HANDLE, TISSUE</t>
  </si>
  <si>
    <t>https://www.bd.com/en-us/products-and-solutions/products/product-page.CH8014-17#overview, https://accessgudid.nlm.nih.gov/devices/10885403033865</t>
  </si>
  <si>
    <t>CH7120</t>
  </si>
  <si>
    <t>BD_CH7120</t>
  </si>
  <si>
    <t>DEBAKEY MINI MULTI-PURP CLAMP JAW 30DEG</t>
  </si>
  <si>
    <t>PRODIGO1057109</t>
  </si>
  <si>
    <t>DeBAKEY Miniature Multi-Purpose Clamps Jaw length 1-1/8in (2.9cm). Overall length 6-1/2in (16.5cm).Jaws angled 30°.</t>
  </si>
  <si>
    <t>CLAMP, SURGICAL, DEBAKEY, 30 DEGREE, 6.5 IN, 1-1/8 IN, MINIATURE, MULTI-PURPOSE, JAW ANGLED, NON STERILE, LATEX</t>
  </si>
  <si>
    <t>CLAMP, SURG, DEBAKEY, 30 DEG, 6.5 IN, 1-1/8 IN, MINIATURE, MULTPURP, JAW ANGLED, NS, LTX</t>
  </si>
  <si>
    <t>CLAMP, SURG, DEBAKEY, 30 DEG, 6.5 IN, 1-1/8 IN, MINIATURE, MULTPURP</t>
  </si>
  <si>
    <t>MINIATURE, MULTI-PURPOSE, JAW ANGLED</t>
  </si>
  <si>
    <t>http://www.lt-technologies.de/_ws/mediabase/_ts_1494230442000/Downloads/CardioCatalog_LIT12012_low-res.pdf, https://accessgudid.nlm.nih.gov/devices/10885403032417</t>
  </si>
  <si>
    <t>CH7124</t>
  </si>
  <si>
    <t>BD_CH7124</t>
  </si>
  <si>
    <t>DEBAKEY MINI MULTI-PURP CLAMP JAW 90DEG</t>
  </si>
  <si>
    <t>PRODIGO1057110</t>
  </si>
  <si>
    <t>DeBAKEY Miniature Multi-Purpose Clamps Jaw length 1-1/8in (2.9cm). Overall length 6-1/2in (16.5cm).Jaws angled 90°.</t>
  </si>
  <si>
    <t>CLAMP, SURGICAL, DEBAKEY, 90 DEGREE, 6.5 IN, 1-1/8 IN, MINIATURE, MULTI-PURPOSE, JAW ANGLED, NON STERILE, LATEX</t>
  </si>
  <si>
    <t>CLAMP, SURG, DEBAKEY, 90 DEG, 6.5 IN, 1-1/8 IN, MINIATURE, MULTPURP, JAW ANGLED, NS, LTX</t>
  </si>
  <si>
    <t>CLAMP, SURG, DEBAKEY, 90 DEG, 6.5 IN, 1-1/8 IN, MINIATURE, MULTPURP</t>
  </si>
  <si>
    <t>http://www.lt-technologies.de/_ws/mediabase/_ts_1494230442000/Downloads/CardioCatalog_LIT12012_low-res.pdf, https://accessgudid.nlm.nih.gov/devices/10885403032431</t>
  </si>
  <si>
    <t>CH7265</t>
  </si>
  <si>
    <t>BD_CH7265</t>
  </si>
  <si>
    <t>DEBAKEY MULTI-PURP AORTA CLAMP 90DEG 9IN</t>
  </si>
  <si>
    <t>PRODIGO1057133</t>
  </si>
  <si>
    <t>DeBAKEY Multi-Purpose Aorta Clamp DeBAKEY Multi-Purpose Aorta Clamp Overall length
9in (22.9cm)</t>
  </si>
  <si>
    <t>CLAMP, SURGICAL, DEBAKEY, 90 DEGREE, 9 IN, 4.25 IN, AORTA, MULTI PURPOSE, JAW ANGLED, NON STERILE, LATEX</t>
  </si>
  <si>
    <t>CLAMP, SURG, DEBAKEY, 90 DEG, 9 IN, 4.25 IN, AORT, MULT PURP, JAW ANGLED, NS, LTX</t>
  </si>
  <si>
    <t>CLAMP, SURG, DEBAKEY, 90 DEG, 9 IN, 4.25 IN, AORT, MULT PURP, JAW</t>
  </si>
  <si>
    <t>4.25 IN</t>
  </si>
  <si>
    <t>MULTI PURPOSE, JAW ANGLED</t>
  </si>
  <si>
    <t>http://www.lt-technologies.de/_ws/mediabase/_ts_1494230442000/Downloads/CardioCatalog_LIT12012_low-res.pdf, https://accessgudid.nlm.nih.gov/devices/10885403032790</t>
  </si>
  <si>
    <t>CH7268</t>
  </si>
  <si>
    <t>BD_CH7268</t>
  </si>
  <si>
    <t>DEBAKEY MULTI-PURP CLAMP JAW 25DEG 9"</t>
  </si>
  <si>
    <t>PRODIGO1057134</t>
  </si>
  <si>
    <t>DeBAKEY Multi-Purpose Clamp Jaws angled 25º length 1-1/2in (3.8cm) Overall length
9in (22.9cm)</t>
  </si>
  <si>
    <t>CLAMP, SURGICAL, DEBAKEY, 25 DEGREE, 9 IN, 1.5 IN, MULTI PURPOSE, JAW ANGLED, NON STERILE, LATEX</t>
  </si>
  <si>
    <t>CLAMP, SURG, DEBAKEY, 25 DEG, 9 IN, 1.5 IN, MULT PURP, JAW ANGLED, NS, LTX</t>
  </si>
  <si>
    <t>CLAMP, SURG, DEBAKEY, 25 DEG, 9 IN, 1.5 IN, MULT PURP, JAW ANGLED</t>
  </si>
  <si>
    <t>25 DEGREE</t>
  </si>
  <si>
    <t>http://www.lt-technologies.de/_ws/mediabase/_ts_1494230442000/Downloads/CardioCatalog_LIT12012_low-res.pdf, https://accessgudid.nlm.nih.gov/devices/10885403032806</t>
  </si>
  <si>
    <t>CH7272</t>
  </si>
  <si>
    <t>BD_CH7272</t>
  </si>
  <si>
    <t>DEBAKEY MULTI-PURP CLAMP JAW 5CM 60DEG</t>
  </si>
  <si>
    <t>PRODIGO1057135</t>
  </si>
  <si>
    <t>DeBAKEY Multi-Purpose Clamps Curved shanks. Jaws angled 60º jaw length
2in (5.1cm).
Overall length
8-1/4in (21cm)</t>
  </si>
  <si>
    <t>CLAMP, SURGICAL, DEBAKEY, 60 DEGREE, 21 CM, 5.1 CM, MULTI PURPOSE, CURVED SHANK, JAW ANGLED, NON STERILE, LATEX</t>
  </si>
  <si>
    <t>CLAMP, SURG, DEBAKEY, 60 DEG, 21 CM, 5.1 CM, MULT PURP, CRV SHANK, JAW ANGLED, NS, LTX</t>
  </si>
  <si>
    <t>CLAMP, SURG, DEBAKEY, 60 DEG, 21 CM, 5.1 CM, MULT PURP, CRV SHANK</t>
  </si>
  <si>
    <t>5.1 CM</t>
  </si>
  <si>
    <t>MULTI PURPOSE, CURVED SHANK, JAW ANGLED</t>
  </si>
  <si>
    <t>http://www.lt-technologies.de/_ws/mediabase/_ts_1494230442000/Downloads/CardioCatalog_LIT12012_low-res.pdf, https://accessgudid.nlm.nih.gov/devices/10885403032820</t>
  </si>
  <si>
    <t>CH7274</t>
  </si>
  <si>
    <t>BD_CH7274</t>
  </si>
  <si>
    <t>DEBAKEY MULTI-PURP CLAMP JAW 6.1CM 60DEG</t>
  </si>
  <si>
    <t>PRODIGO1057136</t>
  </si>
  <si>
    <t>DeBAKEY Multi-Purpose Clamps Curved shanks. Jaws angled 60º Jaw length
2-1/2in (6.4cm).
Overall length
8-1/2in (21.5cm)</t>
  </si>
  <si>
    <t>CLAMP, SURGICAL, DEBAKEY, 60 DEGREE, 24.3 CM, 6.1 CM, MULTI PURPOSE, CURVED SHANK, JAW ANGLED, NON STERILE, LATEX</t>
  </si>
  <si>
    <t>CLAMP, SURG, DEBAKEY, 60 DEG, 24.3 CM, 6.1 CM, MULT PURP, CRV SHANK, JAW ANGLED, NS, LTX</t>
  </si>
  <si>
    <t>CLAMP, SURG, DEBAKEY, 60 DEG, 24.3 CM, 6.1 CM, MULT PURP, CRV SHANK</t>
  </si>
  <si>
    <t>24.3 CM</t>
  </si>
  <si>
    <t>6.1 CM</t>
  </si>
  <si>
    <t>https://www.bd.com/en-us/products-and-solutions/products/product-page.ch7274#overview, https://accessgudid.nlm.nih.gov/devices/10885403032837</t>
  </si>
  <si>
    <t>CH7262</t>
  </si>
  <si>
    <t>BD_CH7262</t>
  </si>
  <si>
    <t>DEBAKEY MULTI-PURP CLAMP JAW 6.2CM 90DEG</t>
  </si>
  <si>
    <t>PRODIGO1057131</t>
  </si>
  <si>
    <t>DeBAKEY Multi-Purpose Clamps Jaws angled 90º Jaw length 2in (5.1cm).
Overall length
8in (20.3cm).</t>
  </si>
  <si>
    <t>CLAMP, SURGICAL, DEBAKEY, 90 DEGREE, 18 CM, 6.2 CM, MULTI PURPOSE, JAW ANGLED, NON STERILE, LATEX</t>
  </si>
  <si>
    <t>CLAMP, SURG, DEBAKEY, 90 DEG, 18 CM, 6.2 CM, MULT PURP, JAW ANGLED, NS, LTX</t>
  </si>
  <si>
    <t>CLAMP, SURG, DEBAKEY, 90 DEG, 18 CM, 6.2 CM, MULT PURP, JAW ANGLED</t>
  </si>
  <si>
    <t>18 CM</t>
  </si>
  <si>
    <t>https://www.bd.com/en-us/products-and-solutions/products/product-page.ch7262#overview, https://accessgudid.nlm.nih.gov/devices/10885403032776</t>
  </si>
  <si>
    <t>CH7264</t>
  </si>
  <si>
    <t>BD_CH7264</t>
  </si>
  <si>
    <t>DEBAKEY MULTI-PURP CLAMP JAW 7.6CM 90DEG</t>
  </si>
  <si>
    <t>PRODIGO1057132</t>
  </si>
  <si>
    <t>DeBAKEY Multi-Purpose Clamps Jaws angled 90º Jaw length 2-1/2in (6.4cm).
Overall length
8-1/2in (21.6cm).</t>
  </si>
  <si>
    <t>CLAMP, SURGICAL, DEBAKEY, 90 DEGREE, 22 CM, 7.6 CM, MULTI PURPOSE, JAW ANGLED, NON STERILE, LATEX</t>
  </si>
  <si>
    <t>CLAMP, SURG, DEBAKEY, 90 DEG, 22 CM, 7.6 CM, MULT PURP, JAW ANGLED, NS, LTX</t>
  </si>
  <si>
    <t>CLAMP, SURG, DEBAKEY, 90 DEG, 22 CM, 7.6 CM, MULT PURP, JAW ANGLED</t>
  </si>
  <si>
    <t>22 CM</t>
  </si>
  <si>
    <t>https://www.bd.com/en-us/products-and-solutions/products/product-page.ch7264#overview, https://accessgudid.nlm.nih.gov/devices/10885403032783</t>
  </si>
  <si>
    <t>CH7276</t>
  </si>
  <si>
    <t>BD_CH7276</t>
  </si>
  <si>
    <t>DEBAKEY MULTI-PURP CLAMP JAW 9.5CM 60DG</t>
  </si>
  <si>
    <t>PRODIGO1057137</t>
  </si>
  <si>
    <t>DeBAKEY Multi-Purpose Clamps Curved shanks. Jaws angled 60º Jaw length
4in (10.2cm).
Overall length
12in (30.5cm)</t>
  </si>
  <si>
    <t>CLAMP, SURGICAL, DEBAKEY, 60 DEGREE, 30.5 CM, 9.5 CM, MULTI PURPOSE, CURVED SHANK, JAW ANGLED, NON STERILE, LATEX</t>
  </si>
  <si>
    <t>CLAMP, SURG, DEBAKEY, 60 DEG, 30.5 CM, 9.5 CM, MULT PURP, CRV SHANK, JAW ANGLED, NS, LTX</t>
  </si>
  <si>
    <t>CLAMP, SURG, DEBAKEY, 60 DEG, 30.5 CM, 9.5 CM, MULT PURP, CRV SHANK</t>
  </si>
  <si>
    <t>30.5 CM</t>
  </si>
  <si>
    <t>9.5 CM</t>
  </si>
  <si>
    <t>https://www.bd.com/en-us/products-and-solutions/products/product-page.ch7276#overview, https://accessgudid.nlm.nih.gov/devices/10885403032844</t>
  </si>
  <si>
    <t>CH7102</t>
  </si>
  <si>
    <t>BD_CH7102</t>
  </si>
  <si>
    <t>DEBAKEY PATENT DUCTUS ANG SHANK JAW</t>
  </si>
  <si>
    <t>PRODIGO1057102</t>
  </si>
  <si>
    <t>DeBAKEY Patent Ductus and Peripheral
Vascular Clamps
Straight jaws length 1-1/8in (3cm).
Overall length 8in (20.3cm) Angled shanks</t>
  </si>
  <si>
    <t>CLAMP, SURGICAL, DEBAKEY, 8 IN, PERIPHERAL VASCULAR, PATENT DUCTUS, STRAIGHT JAW, ANGLED SHANK, NON STERILE, LATEX</t>
  </si>
  <si>
    <t>CLAMP, SURG, DEBAKEY, 8 IN, PERIPH VASC, PAT DUCTUS, STR JAW, ANGLED SHANK, NS, LTX</t>
  </si>
  <si>
    <t>CLAMP, SURG, DEBAKEY, 8 IN, PERIPH VASC, PAT DUCTUS, STR JAW</t>
  </si>
  <si>
    <t>PERIPHERAL VASCULAR</t>
  </si>
  <si>
    <t>http://www.lt-technologies.de/_ws/mediabase/_ts_1494230442000/Downloads/CardioCatalog_LIT12012_low-res.pdf, https://accessgudid.nlm.nih.gov/devices/10885403032318</t>
  </si>
  <si>
    <t>CH7100</t>
  </si>
  <si>
    <t>BD_CH7100</t>
  </si>
  <si>
    <t>DEBAKEY PATENT DUCTUS STR SHANK/JAW</t>
  </si>
  <si>
    <t>PRODIGO1057101</t>
  </si>
  <si>
    <t>DeBAKEY Patent Ductus and Peripheral
Vascular Clamps
Straight jaws length 1-1/8in (3cm).
Overall length 8in (20.3cm) Straight shanks</t>
  </si>
  <si>
    <t>CLAMP, SURGICAL, DEBAKEY, 8 IN, PERIPHERAL VASCULAR, PATENT DUCTUS, STRAIGHT JAW, STRAIGHT SHANK, NON STERILE, LATEX</t>
  </si>
  <si>
    <t>CLAMP, SURG, DEBAKEY, 8 IN, PERIPH VASC, PAT DUCTUS, STR JAW, STR SHANK, NS, LTX</t>
  </si>
  <si>
    <t>CLAMP, SURG, DEBAKEY, 8 IN, PERIPH VASC, PAT DUCTUS, STR JAW, STR</t>
  </si>
  <si>
    <t>http://www.lt-technologies.de/_ws/mediabase/_ts_1494230442000/Downloads/CardioCatalog_LIT12012_low-res.pdf, https://accessgudid.nlm.nih.gov/devices/10885403032301</t>
  </si>
  <si>
    <t>CH7155</t>
  </si>
  <si>
    <t>BD_CH7155</t>
  </si>
  <si>
    <t>DEBAKEY PERIPHERL VASC CVD JAW 4CM</t>
  </si>
  <si>
    <t>PRODIGO1057111</t>
  </si>
  <si>
    <t>DeBAKEY Curved Peripheral Vascular Clamp A small lightweight clamp.
Curved jaws
length 1-7/8in (4.8cm). 6in</t>
  </si>
  <si>
    <t>CLAMP, SURGICAL, DEBAKEY, SMALL, 6 IN, 4.8 CM, PERIPHERAL, VASCULAR, CURVED JAW, LIGHTWEIGHT, NON STERILE, LATEX</t>
  </si>
  <si>
    <t>CLAMP, SURG, DEBAKEY, SM, 6 IN, 4.8 CM, PERIPH, VASC, CRV JAW, LIGHTWEIGHT, NS, LTX</t>
  </si>
  <si>
    <t>CLAMP, SURG, DEBAKEY, SM, 6 IN, 4.8 CM, PERIPH, VASC, CRV JAW</t>
  </si>
  <si>
    <t>CURVED JAW, LIGHTWEIGHT</t>
  </si>
  <si>
    <t>http://www.lt-technologies.de/_ws/mediabase/_ts_1494230442000/Downloads/CardioCatalog_LIT12012_low-res.pdf, https://accessgudid.nlm.nih.gov/devices/10885403032455</t>
  </si>
  <si>
    <t>CH6096</t>
  </si>
  <si>
    <t>BD_CH6096</t>
  </si>
  <si>
    <t>DEBAKEY RING-HNDL BULLDOG CVD JAW STR</t>
  </si>
  <si>
    <t>PRODIGO1056989</t>
  </si>
  <si>
    <t>DEBAKEY RING-HANDLED BULLDOG CLAMPS OVERALL LENGTH 13CM CURVED JAW LENGTH 4.8CM CLAMP SURGICAL DEBAKEY 13 CM 4.8 CM RING HANDLED BULLDOG CURVED JAW</t>
  </si>
  <si>
    <t>CLAMP, SURGICAL, DEBAKEY BULLDOG, 13 CM, 4.8 CM, CURVED JAW, RING HANDLE, NON STERILE, LATEX</t>
  </si>
  <si>
    <t>CLAMP, SURG, DEBAKEY BULLDOG, 13 CM, 4.8 CM, CRV JAW, RNG HNDL, NS, LTX</t>
  </si>
  <si>
    <t>CLAMP, SURG, DEBAKEY BULLDOG, 13 CM, 4.8 CM, CRV JAW, RNG HNDL, NS</t>
  </si>
  <si>
    <t>13 CM</t>
  </si>
  <si>
    <t>http://www.megamedworld.com/wp-content/uploads/2019/03/VM_KVC-min.pdf, https://accessgudid.nlm.nih.gov/devices/10885403030284</t>
  </si>
  <si>
    <t>CH6098</t>
  </si>
  <si>
    <t>BD_CH6098</t>
  </si>
  <si>
    <t>DEBAKEY RING-HNDL BULLDOG STR ANGLE JAW</t>
  </si>
  <si>
    <t>PRODIGO1056990</t>
  </si>
  <si>
    <t>DEBAKEY RING-HANDLED BULLDOG CLAMP OVERALL LENGTH 10CM JAW ANGLED 90 DEGREE LENGTH 4CM CLAMP SURGICAL DEBAKEY 90 DEGREE 10 CM 4 CM RING HANDLED BULLDOG JAW ANGLED</t>
  </si>
  <si>
    <t>CLAMP, SURGICAL, DEBAKEY BULLDOG, 90 DEGREE, 10 CM, 4 CM, ANGLED JAW, RING HANDLED, NON STERILE, LATEX</t>
  </si>
  <si>
    <t>CLAMP, SURG, DEBAKEY BULLDOG, 90 DEG, 10 CM, 4 CM, ANGLED JAW, RNG HNDL, NS, LTX</t>
  </si>
  <si>
    <t>CLAMP, SURG, DEBAKEY BULLDOG, 90 DEG, 10 CM, 4 CM, RNG HNDL, NS, LTX</t>
  </si>
  <si>
    <t>10 CM</t>
  </si>
  <si>
    <t>ANGLED JAW, RING HANDLED</t>
  </si>
  <si>
    <t>http://www.megamedworld.com/wp-content/uploads/2019/03/VM_KVC-min.pdf, https://accessgudid.nlm.nih.gov/devices/10885403030307</t>
  </si>
  <si>
    <t>CH7304</t>
  </si>
  <si>
    <t>BD_CH7304</t>
  </si>
  <si>
    <t>DEBAKEY SATINSKY CLAMP LARGE JAW</t>
  </si>
  <si>
    <t>PRODIGO1057147</t>
  </si>
  <si>
    <t>DeBAKEY SATINSKY Clamps Overall length 10in (25.4cm). Large jaws length 2-3/8in (6cm)
depth 3/4in (1.9cm)</t>
  </si>
  <si>
    <t>CLAMP, SURGICAL, DEBAKEY SATINSKY, LARGE, 10 IN, 2-3/8X0.75 IN, JAW, NON STERILE, LATEX</t>
  </si>
  <si>
    <t>CLAMP, SURG, DEBAKEY SATINSKY, LG, 10 IN, 2-3/8X0.75 IN, JAW, NS, LTX</t>
  </si>
  <si>
    <t>CLAMP, SURG, DEBAKEY SATINSKY, LG, 10 IN, 2-3/8X0.75 IN, JAW</t>
  </si>
  <si>
    <t>DEBAKEY SATINSKY</t>
  </si>
  <si>
    <t>LARGE</t>
  </si>
  <si>
    <t>2-3/8X0.75 IN</t>
  </si>
  <si>
    <t>http://www.lt-technologies.de/_ws/mediabase/_ts_1494230442000/Downloads/CardioCatalog_LIT12012_low-res.pdf, https://accessgudid.nlm.nih.gov/devices/10885403032967</t>
  </si>
  <si>
    <t>CH7302</t>
  </si>
  <si>
    <t>BD_CH7302</t>
  </si>
  <si>
    <t>DEBAKEY SATINSKY CLAMP MEDIUM JAW</t>
  </si>
  <si>
    <t>PRODIGO1057146</t>
  </si>
  <si>
    <t>DeBAKEY SATINSKY Clamps Overall length 10in (25.4cm). Medium jaws length 2-1/8in (5.4cm)
depth 3/4in (1.9cm)</t>
  </si>
  <si>
    <t>CLAMP, SURGICAL, DEBAKEY SATINSKY, MEDIUM, 10 IN, 2-1/8X0.75 IN, JAW, NON STERILE, LATEX</t>
  </si>
  <si>
    <t>CLAMP, SURG, DEBAKEY SATINSKY, MED, 10 IN, 2-1/8X0.75 IN, JAW, NS, LTX</t>
  </si>
  <si>
    <t>CLAMP, SURG, DEBAKEY SATINSKY, MED, 10 IN, 2-1/8X0.75 IN, JAW</t>
  </si>
  <si>
    <t>2-1/8X0.75 IN</t>
  </si>
  <si>
    <t>http://www.lt-technologies.de/_ws/mediabase/_ts_1494230442000/Downloads/CardioCatalog_LIT12012_low-res.pdf, https://accessgudid.nlm.nih.gov/devices/10885403032950</t>
  </si>
  <si>
    <t>CH7300</t>
  </si>
  <si>
    <t>BD_CH7300</t>
  </si>
  <si>
    <t>DEBAKEY SATINSKY CLAMP SMALL JAW</t>
  </si>
  <si>
    <t>PRODIGO1057145</t>
  </si>
  <si>
    <t>DeBAKEY SATINSKY Clamps Overall length 10in (25.4cm). Small jaws
length 2in (5.1cm)
depth 5/16in (0.9cm)</t>
  </si>
  <si>
    <t>CLAMP, SURGICAL, DEBAKEY SATINSKY, SMALL , 10 IN, 2X5/16 IN, JAW, NON STERILE, LATEX</t>
  </si>
  <si>
    <t>CLAMP, SURG, DEBAKEY SATINSKY, SM , 10 IN, 2X5/16 IN, JAW, NS, LTX</t>
  </si>
  <si>
    <t xml:space="preserve">SMALL </t>
  </si>
  <si>
    <t>2X5/16 IN</t>
  </si>
  <si>
    <t>http://www.lt-technologies.de/_ws/mediabase/_ts_1494230442000/Downloads/CardioCatalog_LIT12012_low-res.pdf, https://accessgudid.nlm.nih.gov/devices/10885403032943</t>
  </si>
  <si>
    <t>CH7252</t>
  </si>
  <si>
    <t>BD_CH7252</t>
  </si>
  <si>
    <t>DEBAKEY SIDEWINDER AORTA CLAMP CVD</t>
  </si>
  <si>
    <t>PRODIGO1057130</t>
  </si>
  <si>
    <t>DeBAKEY “Sidewinder” Aorta Clamps Double curved Jaw length 1-3/4in (4.5cm).
Overall length
9in (22.9cm).</t>
  </si>
  <si>
    <t>CLAMP, SURGICAL, DEBAKEY, 22.9 CM, 4.5 CM, AORTA, SIDEWINDER, DOUBLE CURVED JAW, NON STERILE, LATEX</t>
  </si>
  <si>
    <t>CLAMP, SURG, DEBAKEY, 22.9 CM, 4.5 CM, AORT, SIDEWNDR, DBL CRV JAW, NS, LTX</t>
  </si>
  <si>
    <t>CLAMP, SURG, DEBAKEY, 22.9 CM, 4.5 CM, AORT, SIDEWNDR, DBL CRV JAW</t>
  </si>
  <si>
    <t>SIDEWINDER, DOUBLE CURVED JAW</t>
  </si>
  <si>
    <t>http://www.lt-technologies.de/_ws/mediabase/_ts_1494230442000/Downloads/CardioCatalog_LIT12012_low-res.pdf, https://accessgudid.nlm.nih.gov/devices/10885403032769</t>
  </si>
  <si>
    <t>CH7251</t>
  </si>
  <si>
    <t>BD_CH7251</t>
  </si>
  <si>
    <t>DEBAKEY SIDEWINDER AORTA CLAMP DBL CVD</t>
  </si>
  <si>
    <t>PRODIGO1057129</t>
  </si>
  <si>
    <t>DeBAKEY “Sidewinder” Aorta Clamps Double curved jaw length 2-3/8in (6cm).
Overall length
10-1/2in (26.7cm)</t>
  </si>
  <si>
    <t>CLAMP, SURGICAL, DEBAKEY, 26.7 CM, 6 CM, AORTA, SIDEWINDER, DOUBLE CURVED JAW, NON STERILE, LATEX</t>
  </si>
  <si>
    <t>CLAMP, SURG, DEBAKEY, 26.7 CM, 6 CM, AORT, SIDEWNDR, DBL CRV JAW, NS, LTX</t>
  </si>
  <si>
    <t>CLAMP, SURG, DEBAKEY, 26.7 CM, 6 CM, AORT, SIDEWNDR, DBL CRV JAW</t>
  </si>
  <si>
    <t>26.7 CM</t>
  </si>
  <si>
    <t>http://www.lt-technologies.de/_ws/mediabase/_ts_1494230442000/Downloads/CardioCatalog_LIT12012_low-res.pdf, https://accessgudid.nlm.nih.gov/devices/10885403032752</t>
  </si>
  <si>
    <t>CH7290</t>
  </si>
  <si>
    <t>BD_CH7290</t>
  </si>
  <si>
    <t>DEBAKEY TANGENTIAL OCCL CLAMP 3.6X1.2CM</t>
  </si>
  <si>
    <t>PRODIGO1057140</t>
  </si>
  <si>
    <t>DeBAKEY Tangential Occlusion Clamps Jaw length 3.5cm
depth 1.1cm.
Overall length
7-3/4in (19.7cm)</t>
  </si>
  <si>
    <t>CLAMP, SURGICAL, DEBAKEY, 20 CM, 3.4X1.2 CM, TANGENTIAL OCCLUSION, JAW, NON STERILE, LATEX</t>
  </si>
  <si>
    <t>CLAMP, SURG, DEBAKEY, 20 CM, 3.4X1.2 CM, TANGENTIAL OCCL, JAW, NS, LTX</t>
  </si>
  <si>
    <t>CLAMP, SURG, DEBAKEY, 20 CM, 3.4X1.2 CM, TANGENTIAL OCCL, JAW</t>
  </si>
  <si>
    <t>20 CM</t>
  </si>
  <si>
    <t>3.4X1.2 CM</t>
  </si>
  <si>
    <t>TANGENTIAL OCCLUSION, JAW</t>
  </si>
  <si>
    <t>3.6X1.2CM</t>
  </si>
  <si>
    <t>http://www.lt-technologies.de/_ws/mediabase/_ts_1494230442000/Downloads/CardioCatalog_LIT12012_low-res.pdf, https://accessgudid.nlm.nih.gov/devices/10885403032899</t>
  </si>
  <si>
    <t>CH7294</t>
  </si>
  <si>
    <t>BD_CH7294</t>
  </si>
  <si>
    <t>DEBAKEY TANGENTIAL OCCL CLAMP 5.5X1.8CM</t>
  </si>
  <si>
    <t>PRODIGO1057142</t>
  </si>
  <si>
    <t>DeBAKEY Tangential Occlusion Clamps Jaw length 5.5cm
depth 1.5cm.
Overall length
10-1/2in (26.7cm).</t>
  </si>
  <si>
    <t>CLAMP, SURGICAL, DEBAKEY, 26.7 CM, 5.5X1.5 CM, TANGENTIAL OCCLUSION, JAW, NON STERILE, LATEX</t>
  </si>
  <si>
    <t>CLAMP, SURG, DEBAKEY, 26.7 CM, 5.5X1.5 CM, TANGENTIAL OCCL, JAW, NS, LTX</t>
  </si>
  <si>
    <t>CLAMP, SURG, DEBAKEY, 26.7 CM, 5.5X1.5 CM, TANGENTIAL OCCL, JAW</t>
  </si>
  <si>
    <t>5.5X1.5 CM</t>
  </si>
  <si>
    <t>5.5X1.8CM</t>
  </si>
  <si>
    <t>http://www.lt-technologies.de/_ws/mediabase/_ts_1494230442000/Downloads/CardioCatalog_LIT12012_low-res.pdf, https://accessgudid.nlm.nih.gov/devices/10885403032912</t>
  </si>
  <si>
    <t>CH7292</t>
  </si>
  <si>
    <t>BD_CH7292</t>
  </si>
  <si>
    <t>DEBAKEY TANGENTIAL OCCL CLAMP 5.5X1.9CM</t>
  </si>
  <si>
    <t>PRODIGO1057141</t>
  </si>
  <si>
    <t>DeBAKEY Tangential Occlusion Clamps Jaw length 4.8cm
depth 1.6cm.
Overall length
10-1/4in (26cm)</t>
  </si>
  <si>
    <t>CLAMP, SURGICAL, DEBAKEY, 26 CM, 4.8X1.9 CM, TANGENTIAL OCCLUSION, JAW, NON STERILE, LATEX</t>
  </si>
  <si>
    <t>CLAMP, SURG, DEBAKEY, 26 CM, 4.8X1.9 CM, TANGENTIAL OCCL, JAW, NS, LTX</t>
  </si>
  <si>
    <t>CLAMP, SURG, DEBAKEY, 26 CM, 4.8X1.9 CM, TANGENTIAL OCCL, JAW</t>
  </si>
  <si>
    <t>4.8X1.9 CM</t>
  </si>
  <si>
    <t>5.5X1.9CM</t>
  </si>
  <si>
    <t>https://www.bd.com/en-us/products-and-solutions/products/product-page.CH7292#overview, https://accessgudid.nlm.nih.gov/devices/10885403032905</t>
  </si>
  <si>
    <t>CH7296</t>
  </si>
  <si>
    <t>BD_CH7296</t>
  </si>
  <si>
    <t>DEBAKEY TANGENTIAL OCCL CLAMP 6X1.4CMJAW</t>
  </si>
  <si>
    <t>PRODIGO1057143</t>
  </si>
  <si>
    <t>DeBAKEY Tangential Occlusion Clamps Jaw length 6cm
depth 1.4cm.
Overall length
10-3/4in (27.3cm).</t>
  </si>
  <si>
    <t>CLAMP, SURGICAL, DEBAKEY, 27.3 CM, 6X1.4 CM, TANGENTIAL OCCLUSION, JAW, NON STERILE, LATEX</t>
  </si>
  <si>
    <t>CLAMP, SURG, DEBAKEY, 27.3 CM, 6X1.4 CM, TANGENTIAL OCCL, JAW, NS, LTX</t>
  </si>
  <si>
    <t>CLAMP, SURG, DEBAKEY, 27.3 CM, 6X1.4 CM, TANGENTIAL OCCL, JAW</t>
  </si>
  <si>
    <t>6X1.4 CM</t>
  </si>
  <si>
    <t>http://www.lt-technologies.de/_ws/mediabase/_ts_1494230442000/Downloads/CardioCatalog_LIT12012_low-res.pdf, https://accessgudid.nlm.nih.gov/devices/10885403032929</t>
  </si>
  <si>
    <t>CH7298</t>
  </si>
  <si>
    <t>BD_CH7298</t>
  </si>
  <si>
    <t>DEBAKEY TANGENTIAL OCCL CLAMP 8.1X2.1CM</t>
  </si>
  <si>
    <t>PRODIGO1057144</t>
  </si>
  <si>
    <t>DeBAKEY Tangential Occlusion Clamps Jaw length 7.5cm
depth 1.7cm.
Overall length
11in (28cm).</t>
  </si>
  <si>
    <t>CLAMP, SURGICAL, DEBAKEY, 28 CM, 6.8X2.1 CM, TANGENTIAL OCCLUSION, JAW, NON STERILE, LATEX</t>
  </si>
  <si>
    <t>CLAMP, SURG, DEBAKEY, 28 CM, 6.8X2.1 CM, TANGENTIAL OCCL, JAW, NS, LTX</t>
  </si>
  <si>
    <t>CLAMP, SURG, DEBAKEY, 28 CM, 6.8X2.1 CM, TANGENTIAL OCCL, JAW</t>
  </si>
  <si>
    <t>28 CM</t>
  </si>
  <si>
    <t>6.8X2.1 CM</t>
  </si>
  <si>
    <t>8.1X2.1CM</t>
  </si>
  <si>
    <t>https://www.bd.com/en-us/products-and-solutions/products/product-page.CH7298#overview, https://accessgudid.nlm.nih.gov/devices/10885403032936</t>
  </si>
  <si>
    <t>CA5906</t>
  </si>
  <si>
    <t>BD_CA5906</t>
  </si>
  <si>
    <t>DEBAKEY TISSUE FORCEPS 2MM WIDE 12IN</t>
  </si>
  <si>
    <t>PRODIGO1056487</t>
  </si>
  <si>
    <t>DeBAKEY Vascular Tissue Forceps Affinity Line. Overall length 12in (30.5cm)</t>
  </si>
  <si>
    <t>FORCEP, SURGICAL, DEBAKEY, 12 INX2 MM, VASCULAR, TISSUE, NON STERILE, LATEX</t>
  </si>
  <si>
    <t>FORCEP, SURG, DEBAKEY, 12 INX2 MM, VASC, TISS, NS, LTX</t>
  </si>
  <si>
    <t>12 INX2 MM</t>
  </si>
  <si>
    <t>VASCULAR, TISSUE</t>
  </si>
  <si>
    <t>https://www.bd.com/en-us/products-and-solutions/products/product-page.CA5906#overview, https://accessgudid.nlm.nih.gov/devices/10885403018770</t>
  </si>
  <si>
    <t>CA5900</t>
  </si>
  <si>
    <t>BD_CA5900</t>
  </si>
  <si>
    <t>DEBAKEY TISSUE FORCEPS 2MM WIDE 6-1/4IN</t>
  </si>
  <si>
    <t>PRODIGO1056484</t>
  </si>
  <si>
    <t>DeBAKEY Vascular Tissue Forceps Affinity Line. Overall length 6-1/4in (15.9cm)</t>
  </si>
  <si>
    <t>FORCEP, SURGICAL, DEBAKEY, 6.25 INX2 MM, VASCULAR, TISSUE, AFFINITY LINE, NON STERILE, LATEX</t>
  </si>
  <si>
    <t>FORCEP, SURG, DEBAKEY, 6.25 INX2 MM, VASC, TISS, AFFIN LN, NS, LTX</t>
  </si>
  <si>
    <t>6.25 INX2 MM</t>
  </si>
  <si>
    <t>https://www.bd.com/en-us/products-and-solutions/products/product-page.CA5900#overview, https://accessgudid.nlm.nih.gov/devices/10885403018749</t>
  </si>
  <si>
    <t>CA5902</t>
  </si>
  <si>
    <t>BD_CA5902</t>
  </si>
  <si>
    <t>DEBAKEY TISSUE FORCEPS 2MM WIDE 7-3/4IN</t>
  </si>
  <si>
    <t>PRODIGO1056485</t>
  </si>
  <si>
    <t>DeBAKEY Vascular Tissue Forceps Affinity Line. Overall length 7-3/4in (19.7cm)</t>
  </si>
  <si>
    <t>FORCEP, SURGICAL, DEBAKEY, 7.75 INX2 MM, VASCULAR, TISSUE, NON STERILE, LATEX</t>
  </si>
  <si>
    <t>FORCEP, SURG, DEBAKEY, 7.75 INX2 MM, VASC, TISS, NS, LTX</t>
  </si>
  <si>
    <t>7.75 INX2 MM</t>
  </si>
  <si>
    <t>https://www.bd.com/en-us/products-and-solutions/products/product-page.CA5902#overview, https://accessgudid.nlm.nih.gov/devices/10885403018756</t>
  </si>
  <si>
    <t>CA5904</t>
  </si>
  <si>
    <t>BD_CA5904</t>
  </si>
  <si>
    <t>DEBAKEY TISSUE FORCEPS 2MM WIDE 9-1/2IN</t>
  </si>
  <si>
    <t>PRODIGO1056486</t>
  </si>
  <si>
    <t>DeBAKEY Vascular Tissue Forceps Affinity Line. Overall length 9-1/2in (24.1cm)</t>
  </si>
  <si>
    <t>FORCEP, SURGICAL, DEBAKEY, 9.5 INX2 MM, VASCULAR, TISSUE, NON STERILE, LATEX</t>
  </si>
  <si>
    <t>FORCEP, SURG, DEBAKEY, 9.5 INX2 MM, VASC, TISS, NS, LTX</t>
  </si>
  <si>
    <t>9.5 INX2 MM</t>
  </si>
  <si>
    <t>https://www.bd.com/en-us/products-and-solutions/products/product-page.CA5904#overview, https://accessgudid.nlm.nih.gov/devices/10885403018763</t>
  </si>
  <si>
    <t>CH5926</t>
  </si>
  <si>
    <t>BD_CH5926</t>
  </si>
  <si>
    <t>DEBAKEY TISSUE FORCEPS ANGLED 10IN</t>
  </si>
  <si>
    <t>PRODIGO1056945</t>
  </si>
  <si>
    <t>DEBAKEY VASCULAR TISSUE FORCEPS ANGLED JAWS TAPER FROM 2MM OVERALL LENGTH 25.4CM FORCEP SURGICAL DEBAKEY 25.4 CM VASCULAR TISSUE ANGLED JAWS TAPER FROM 2 MM</t>
  </si>
  <si>
    <t>FORCEP, SURGICAL, DEBAKEY, 10 IN, VASCULAR TISSUE, ANGLED, JAWS TAPER FROM 2 MM, NON STERILE, LATEX</t>
  </si>
  <si>
    <t>FORCEP, SURG, DEBAKEY, 10 IN, VASC TISS, ANGLED, JAWS TAPR FR 2 MM, NS, LTX</t>
  </si>
  <si>
    <t>FORCEP, SURG, DEBAKEY, 10 IN, VASC TISS, ANGLED, NS, LTX</t>
  </si>
  <si>
    <t>ANGLED, JAWS TAPER FROM 2 MM</t>
  </si>
  <si>
    <t>http://www.megamedworld.com/wp-content/uploads/2019/03/VM_KVC-min.pdf, https://accessgudid.nlm.nih.gov/devices/10885403029561</t>
  </si>
  <si>
    <t>CH5920</t>
  </si>
  <si>
    <t>BD_CH5920</t>
  </si>
  <si>
    <t>DEBAKEY TISSUE FORCEPS ANGLED 6IN</t>
  </si>
  <si>
    <t>PRODIGO1056942</t>
  </si>
  <si>
    <t>DEBAKEY VASCULAR TISSUE FORCEPS ANGLED JAWS TAPER FROM 2MM OVERALL LENGTH 15.2CM FORCEP SURGICAL DEBAKEY 15.2 CM VASCULAR TISSUE ANGLED JAWS TAPER FROM 2 MM</t>
  </si>
  <si>
    <t>FORCEP, SURGICAL, DEBAKEY, 6 IN, VASCULAR TISSUE, ANGLED, JAWS TAPER FROM 2 MM, NON STERILE, LATEX</t>
  </si>
  <si>
    <t>FORCEP, SURG, DEBAKEY, 6 IN, VASC TISS, ANGLED, JAWS TAPR FR 2 MM, NS, LTX</t>
  </si>
  <si>
    <t>FORCEP, SURG, DEBAKEY, 6 IN, VASC TISS, ANGLED, NS, LTX</t>
  </si>
  <si>
    <t>http://www.megamedworld.com/wp-content/uploads/2019/03/VM_KVC-min.pdf, https://accessgudid.nlm.nih.gov/devices/10885403029530</t>
  </si>
  <si>
    <t>CH5924</t>
  </si>
  <si>
    <t>BD_CH5924</t>
  </si>
  <si>
    <t>DEBAKEY TISSUE FORCEPS ANGLED 9-1/2IN</t>
  </si>
  <si>
    <t>PRODIGO1056944</t>
  </si>
  <si>
    <t>DEBAKEY VASCULAR TISSUE FORCEPS ANGLED JAWS TAPER FROM 2MM OVERALL LENGTH 24.1CM FORCEP SURGICAL DEBAKEY 24.1 CM VASCULAR TISSUE ANGLED JAWS TAPER FROM 2 MM</t>
  </si>
  <si>
    <t>FORCEP, SURGICAL, DEBAKEY, 9.5 IN, VASCULAR TISSUE, ANGLED, JAWS TAPER FROM 2 MM, NON STERILE, LATEX</t>
  </si>
  <si>
    <t>FORCEP, SURG, DEBAKEY, 9.5 IN, VASC TISS, ANGLED, JAWS TAPR FR 2 MM, NS, LTX</t>
  </si>
  <si>
    <t>FORCEP, SURG, DEBAKEY, 9.5 IN, VASC TISS, ANGLED, NS, LTX</t>
  </si>
  <si>
    <t>http://www.megamedworld.com/wp-content/uploads/2019/03/VM_KVC-min.pdf, https://accessgudid.nlm.nih.gov/devices/10885403029554</t>
  </si>
  <si>
    <t>CH0444</t>
  </si>
  <si>
    <t>BD_CH0444</t>
  </si>
  <si>
    <t>DEBAKEY TISSUE FORCEPS STR LGTH 7-3/4IN</t>
  </si>
  <si>
    <t>PRODIGO1056539</t>
  </si>
  <si>
    <t>DEBAKEY TISSUE FORCEPS STRAIGHT FLUTED HANDLE OVERALL LENGTH 19.7CM 1MM TIPS FORCEP SURGICAL DEBAKEY 1 MM 19.7 CM TISSUE STRAIGHT FLUTED HANDLE TIP</t>
  </si>
  <si>
    <t>FORCEP, SURGICAL, DEBAKEY, 1 MM, 7.75 IN, TISSUE, STRAIGHT, FLUTED HANDLE, NON STERILE, LATEX</t>
  </si>
  <si>
    <t>FORCEP, SURG, DEBAKEY, 1 MM, 7.75 IN, TISS, STR, FLUT HNDL, NS, LTX</t>
  </si>
  <si>
    <t>STRAIGHT, FLUTED HANDLE</t>
  </si>
  <si>
    <t>http://www.megamedworld.com/wp-content/uploads/2019/03/VM_KVC-min.pdf, https://accessgudid.nlm.nih.gov/devices/10885403019777</t>
  </si>
  <si>
    <t>CH0446</t>
  </si>
  <si>
    <t>BD_CH0446</t>
  </si>
  <si>
    <t>PRODIGO1056540</t>
  </si>
  <si>
    <t>DEBAKEY TISSUE FORCEPS STRAIGHT FLUTED HANDLE OVERALL LENGTH 19.7CM 2MM TIPS FORCEP SURGICAL DEBAKEY 2 MM 19.7 CM TISSUE STRAIGHT FLUTED HANDLE TIP</t>
  </si>
  <si>
    <t>FORCEP, SURGICAL, DEBAKEY, 2 MM, 7.75 IN, TISSUE, STRAIGHT, FLUTED HANDLE, NON STERILE, LATEX</t>
  </si>
  <si>
    <t>FORCEP, SURG, DEBAKEY, 2 MM, 7.75 IN, TISS, STR, FLUT HNDL, NS, LTX</t>
  </si>
  <si>
    <t>http://www.megamedworld.com/wp-content/uploads/2019/03/VM_KVC-min.pdf, https://accessgudid.nlm.nih.gov/devices/10885403019784</t>
  </si>
  <si>
    <t>CH03730</t>
  </si>
  <si>
    <t>BD_CH03730</t>
  </si>
  <si>
    <t>DEBAKEY TITAN MICRO FORCEPS STR 7-1/8IN</t>
  </si>
  <si>
    <t>PRODIGO1056512</t>
  </si>
  <si>
    <t>FORCEP MICRO 1 MM 7-1/8 IN CARDIOVASCULAR TITANIUM DEBAKEY STRAIGHT DOUBLE ACTION ROUND SPRING HANDLE BLUE ANODIZED FINISH</t>
  </si>
  <si>
    <t>FORCEP, SURGICAL, DEBAKEY, MICRO, 1 MM, 7-1/8 IN, CARDIOVASCULAR, STRAIGHT, DOUBLE ACTION, ROUND SPRING HANDLE, BLUE ANODIZED FINISH, TITANIUM, NON STERILE, LATEX</t>
  </si>
  <si>
    <t>FORCEP, SURG, DEBAKEY, MIC, 1 MM, 7-1/8 IN, CV, STR, DBL ACT, RND SPRING HNDL, BLU ANODIZED FINISH, TI, NS, LTX</t>
  </si>
  <si>
    <t>FORCEP, SURG, DEBAKEY, MIC, 1 MM, 7-1/8 IN, CV, STR, DBL ACT, TI</t>
  </si>
  <si>
    <t>MICRO, 1 MM</t>
  </si>
  <si>
    <t>STRAIGHT, DOUBLE ACTION, ROUND SPRING HANDLE, BLUE ANODIZED FINISH</t>
  </si>
  <si>
    <t>https://www.bd.com/en-us/offerings/capabilities/surgical-instruments/open-instrumentation/titanium-debakey-micro-forceps/ch03730, https://accessgudid.nlm.nih.gov/devices/10885403020889</t>
  </si>
  <si>
    <t>CH037308</t>
  </si>
  <si>
    <t>CH03730-8</t>
  </si>
  <si>
    <t>BD_CH037308</t>
  </si>
  <si>
    <t>DEBAKEY TITAN MICRO FORCEPS STR 8-1/8IN</t>
  </si>
  <si>
    <t>PRODIGO1056513</t>
  </si>
  <si>
    <t>Titanium DeBAKEY Micro Forceps Straight. Round handle. Tips 1mm wide. 8-1/4in (21cm)</t>
  </si>
  <si>
    <t>FORCEP, SURGICAL, DEBAKEY, MICRO, 1 MM, 8.25 IN, STRAIGHT. ROUND HANDLE, TITANIUM, NON STERILE, LATEX</t>
  </si>
  <si>
    <t>FORCEP, SURG, DEBAKEY, MIC, 1 MM, 8.25 IN, STRAIGHT. RND HNDL, TI, NS, LTX</t>
  </si>
  <si>
    <t>FORCEP, SURG, DEBAKEY, MIC, 1 MM, 8.25 IN, STRAIGHT. RND HNDL, TI</t>
  </si>
  <si>
    <t>STRAIGHT. ROUND HANDLE</t>
  </si>
  <si>
    <t>http://www.megamedworld.com/wp-content/uploads/2019/03/VM_KVC-min.pdf, https://accessgudid.nlm.nih.gov/devices/10885403020896</t>
  </si>
  <si>
    <t>CH5902T</t>
  </si>
  <si>
    <t>CH5902-T</t>
  </si>
  <si>
    <t>BD_CH5902T</t>
  </si>
  <si>
    <t>DEBAKEY TITAN TISSUE FORCEP 7-3/4IN</t>
  </si>
  <si>
    <t>PRODIGO1056930</t>
  </si>
  <si>
    <t>DEBAKEY FORCEP SURGICAL 7.45 IN 2 MM</t>
  </si>
  <si>
    <t>FORCEP, SURGICAL, DEBAKEY, 7.45 IN, 2 MM, NON STERILE, LATEX</t>
  </si>
  <si>
    <t>FORCEP, SURG, DEBAKEY, 7.45 IN, 2 MM, NS, LTX</t>
  </si>
  <si>
    <t>http://www.megamedworld.com/wp-content/uploads/2019/03/VM_KVC-min.pdf, https://accessgudid.nlm.nih.gov/devices/10885403029349</t>
  </si>
  <si>
    <t>CH5883T</t>
  </si>
  <si>
    <t>CH5883-T</t>
  </si>
  <si>
    <t>BD_CH5883T</t>
  </si>
  <si>
    <t>DEBAKEY TITAN TISSUE FORCEP TIP 1MMW 6IN</t>
  </si>
  <si>
    <t>PRODIGO1056926</t>
  </si>
  <si>
    <t>DEBAKEY FORCEP SURGICAL 6 IN 1 MM TISSUE TITANIUM</t>
  </si>
  <si>
    <t>FORCEP, SURGICAL, DEBAKEY, 6 IN, 1 MM, TISSUE, TITANIUM, NON STERILE, LATEX</t>
  </si>
  <si>
    <t>FORCEP, SURG, DEBAKEY, 6 IN, 1 MM, TISS, TI, NS, LTX</t>
  </si>
  <si>
    <t>http://www.megamedworld.com/wp-content/uploads/2019/03/VM_KVC-min.pdf, https://accessgudid.nlm.nih.gov/devices/10885403029202</t>
  </si>
  <si>
    <t>CH5900T</t>
  </si>
  <si>
    <t>CH5900-T</t>
  </si>
  <si>
    <t>BD_CH5900T</t>
  </si>
  <si>
    <t>DEBAKEY TITAN TISSUE FORCEP TIP 2MMW 6IN</t>
  </si>
  <si>
    <t>PRODIGO1056929</t>
  </si>
  <si>
    <t>DEBAKEY FORCEP SURGICAL 6 IN 2 MM</t>
  </si>
  <si>
    <t>FORCEP, SURGICAL, DEBAKEY, 6 IN, 2 MM, NON STERILE, LATEX</t>
  </si>
  <si>
    <t>FORCEP, SURG, DEBAKEY, 6 IN, 2 MM, NS, LTX</t>
  </si>
  <si>
    <t>http://www.megamedworld.com/wp-content/uploads/2019/03/VM_KVC-min.pdf, https://accessgudid.nlm.nih.gov/devices/10885403029318</t>
  </si>
  <si>
    <t>CH5906T</t>
  </si>
  <si>
    <t>CH5906-T</t>
  </si>
  <si>
    <t>BD_CH5906T</t>
  </si>
  <si>
    <t>DEBAKEY TITANIUM TISSUE FORCEPS 12IN</t>
  </si>
  <si>
    <t>PRODIGO1056934</t>
  </si>
  <si>
    <t>DEBAKEY FORCEP SURGICAL 12 IN 2 MM</t>
  </si>
  <si>
    <t>FORCEP, SURGICAL, DEBAKEY, 12 IN, 2 MM, NON STERILE, LATEX</t>
  </si>
  <si>
    <t>FORCEP, SURG, DEBAKEY, 12 IN, 2 MM, NS, LTX</t>
  </si>
  <si>
    <t>http://www.megamedworld.com/wp-content/uploads/2019/03/VM_KVC-min.pdf, https://accessgudid.nlm.nih.gov/devices/10885403029417</t>
  </si>
  <si>
    <t>CH5885T</t>
  </si>
  <si>
    <t>CH5885-T</t>
  </si>
  <si>
    <t>BD_CH5885T</t>
  </si>
  <si>
    <t>DEBAKEY TITANIUM TISSUE FORCEPS 7-3/4IN</t>
  </si>
  <si>
    <t>PRODIGO1056927</t>
  </si>
  <si>
    <t>DEBAKEY FORCEP SURGICAL 7.45 IN 1 MM TISSUE TITANIUM</t>
  </si>
  <si>
    <t>FORCEP, SURGICAL, DEBAKEY, 7.45 IN, 1 MM, TISSUE, TITANIUM, NON STERILE, LATEX</t>
  </si>
  <si>
    <t>FORCEP, SURG, DEBAKEY, 7.45 IN, 1 MM, TISS, TI, NS, LTX</t>
  </si>
  <si>
    <t>http://www.megamedworld.com/wp-content/uploads/2019/03/VM_KVC-min.pdf, https://accessgudid.nlm.nih.gov/devices/10885403029226</t>
  </si>
  <si>
    <t>CH5914T</t>
  </si>
  <si>
    <t>CH5914-T</t>
  </si>
  <si>
    <t>BD_CH5914T</t>
  </si>
  <si>
    <t>PRODIGO1056941</t>
  </si>
  <si>
    <t>DEBAKEY FORCEP SURGICAL 7.45 IN 3 MM DISSECTING, TISSUE TITANIUM</t>
  </si>
  <si>
    <t>FORCEP, SURGICAL, DEBAKEY, 7.45 IN, 3 MM, DISSECTING, TISSUE, TITANIUM, NON STERILE, LATEX</t>
  </si>
  <si>
    <t>FORCEP, SURG, DEBAKEY, 7.45 IN, 3 MM, DISECT, TISS, TI, NS, LTX</t>
  </si>
  <si>
    <t>DISSECTING, TISSUE</t>
  </si>
  <si>
    <t>http://www.megamedworld.com/wp-content/uploads/2019/03/VM_KVC-min.pdf, https://accessgudid.nlm.nih.gov/devices/10885403029509</t>
  </si>
  <si>
    <t>CH5887T</t>
  </si>
  <si>
    <t>CH5887-T</t>
  </si>
  <si>
    <t>BD_CH5887T</t>
  </si>
  <si>
    <t>DEBAKEY TITANIUM TISSUE FORCEPS 9-1/2IN</t>
  </si>
  <si>
    <t>PRODIGO1056928</t>
  </si>
  <si>
    <t>DEBAKEY FORCEP SURGICAL 9.5 IN 1 MM TISSUE TITANIUM</t>
  </si>
  <si>
    <t>FORCEP, SURGICAL, DEBAKEY, 9.5 IN, 1 MM, TISSUE, TITANIUM, NON STERILE, LATEX</t>
  </si>
  <si>
    <t>FORCEP, SURG, DEBAKEY, 9.5 IN, 1 MM, TISS, TI, NS, LTX</t>
  </si>
  <si>
    <t>http://www.megamedworld.com/wp-content/uploads/2019/03/VM_KVC-min.pdf, https://accessgudid.nlm.nih.gov/devices/10885403029240</t>
  </si>
  <si>
    <t>CH5904T</t>
  </si>
  <si>
    <t>CH5904-T</t>
  </si>
  <si>
    <t>BD_CH5904T</t>
  </si>
  <si>
    <t>PRODIGO1056932</t>
  </si>
  <si>
    <t>DEBAKEY FORCEP SURGICAL 9.5 IN 2 MM</t>
  </si>
  <si>
    <t>FORCEP, SURGICAL, DEBAKEY, 9.5 IN, 2 MM, NON STERILE, LATEX</t>
  </si>
  <si>
    <t>FORCEP, SURG, DEBAKEY, 9.5 IN, 2 MM, NS, LTX</t>
  </si>
  <si>
    <t>http://www.megamedworld.com/wp-content/uploads/2019/03/VM_KVC-min.pdf, https://accessgudid.nlm.nih.gov/devices/10885403029387</t>
  </si>
  <si>
    <t>CH5669001</t>
  </si>
  <si>
    <t>CH5669-001</t>
  </si>
  <si>
    <t>BD_CH5669001</t>
  </si>
  <si>
    <t>DEBAKEY VASC SCISSORS BLADES 25DEG 9IN</t>
  </si>
  <si>
    <t>PRODIGO1056893</t>
  </si>
  <si>
    <t>DEBAKEY SCISSOR SURGICAL 25 DEGREE 9 IN 1 IN ANGLED BLADE, MIRROR FINISH</t>
  </si>
  <si>
    <t>SCISSOR, SURGICAL, DEBAKEY, 25 DEGREE, 9 IN, 1 IN, ANGLED BLADE, MIRROR FINISH, NON STERILE, LATEX</t>
  </si>
  <si>
    <t>SCISSOR, SURG, DEBAKEY, 25 DEG, 9 IN, 1 IN, ANGLED BLADE, MIRROR FINISH, NS, LTX</t>
  </si>
  <si>
    <t>SCISSOR, SURG, DEBAKEY, 25 DEG, 9 IN, 1 IN, ANGLED BLADE, NS, LTX</t>
  </si>
  <si>
    <t>ANGLED BLADE, MIRROR FINISH</t>
  </si>
  <si>
    <t>http://www.megamedworld.com/wp-content/uploads/2019/03/VM_KVC-min.pdf, https://accessgudid.nlm.nih.gov/devices/10885403028618</t>
  </si>
  <si>
    <t>CH5669002</t>
  </si>
  <si>
    <t>CH5669-002</t>
  </si>
  <si>
    <t>BD_CH5669002</t>
  </si>
  <si>
    <t>DEBAKEY VASC SCISSORS BLADES 45DEG 9IN</t>
  </si>
  <si>
    <t>PRODIGO1056894</t>
  </si>
  <si>
    <t>DEBAKEY SCISSOR SURGICAL 45 DEGREE 9 IN 1 IN ANGLED BLADE, MIRROR FINISH</t>
  </si>
  <si>
    <t>SCISSOR, SURGICAL, DEBAKEY, 45 DEGREE, 9 IN, 1 IN, ANGLED BLADE, MIRROR FINISH, NON STERILE, LATEX</t>
  </si>
  <si>
    <t>SCISSOR, SURG, DEBAKEY, 45 DEG, 9 IN, 1 IN, ANGLED BLADE, MIRROR FINISH, NS, LTX</t>
  </si>
  <si>
    <t>SCISSOR, SURG, DEBAKEY, 45 DEG, 9 IN, 1 IN, ANGLED BLADE, NS, LTX</t>
  </si>
  <si>
    <t>http://www.megamedworld.com/wp-content/uploads/2019/03/VM_KVC-min.pdf, https://accessgudid.nlm.nih.gov/devices/10885403028625</t>
  </si>
  <si>
    <t>CH5669003</t>
  </si>
  <si>
    <t>CH5669-003</t>
  </si>
  <si>
    <t>BD_CH5669003</t>
  </si>
  <si>
    <t>DEBAKEY VASC SCISSORS BLADES 60DEG 9IN</t>
  </si>
  <si>
    <t>PRODIGO1056895</t>
  </si>
  <si>
    <t>DEBAKEY SCISSOR SURGICAL 60 DEGREE 9 IN 1 IN ANGLED BLADE, MIRROR FINISH</t>
  </si>
  <si>
    <t>SCISSOR, SURGICAL, DEBAKEY, 60 DEGREE, 9 IN, 1 IN, ANGLED BLADE, MIRROR FINISH, NON STERILE, LATEX</t>
  </si>
  <si>
    <t>SCISSOR, SURG, DEBAKEY, 60 DEG, 9 IN, 1 IN, ANGLED BLADE, MIRROR FINISH, NS, LTX</t>
  </si>
  <si>
    <t>SCISSOR, SURG, DEBAKEY, 60 DEG, 9 IN, 1 IN, ANGLED BLADE, NS, LTX</t>
  </si>
  <si>
    <t>http://www.megamedworld.com/wp-content/uploads/2019/03/VM_KVC-min.pdf, https://accessgudid.nlm.nih.gov/devices/10885403028632</t>
  </si>
  <si>
    <t>CH5670001</t>
  </si>
  <si>
    <t>CH5670-001</t>
  </si>
  <si>
    <t>BD_CH5670001</t>
  </si>
  <si>
    <t>DEBAKEY VASC SCISSR BLD 25DEG 11-1/4IN</t>
  </si>
  <si>
    <t>PRODIGO1056897</t>
  </si>
  <si>
    <t>DEBAKEY SCISSOR SURGICAL 25 DEGREE 11.25 IN 1 IN ANGLED BLADE, MIRROR FINISH</t>
  </si>
  <si>
    <t>SCISSOR, SURGICAL, DEBAKEY, 25 DEGREE, 11.25 IN, 1 IN, ANGLED BLADE, MIRROR FINISH, NON STERILE, LATEX</t>
  </si>
  <si>
    <t>SCISSOR, SURG, DEBAKEY, 25 DEG, 11.25 IN, 1 IN, ANGLED BLADE, MIRROR FINISH, NS, LTX</t>
  </si>
  <si>
    <t>SCISSOR, SURG, DEBAKEY, 25 DEG, 11.25 IN, 1 IN, ANGLED BLADE, NS</t>
  </si>
  <si>
    <t>http://www.megamedworld.com/wp-content/uploads/2019/03/VM_KVC-min.pdf, https://accessgudid.nlm.nih.gov/devices/10885403028656</t>
  </si>
  <si>
    <t>CH7231</t>
  </si>
  <si>
    <t>BD_CH7231</t>
  </si>
  <si>
    <t>DEBAKEY-BAHNSON CLAMP CVD JAW 6.7CM</t>
  </si>
  <si>
    <t>PRODIGO1057127</t>
  </si>
  <si>
    <t>DeBAKEY-BAHNSON Curved Clamps Curved jaws
length 2-1/2in (6.4cm).
Overall length
10-3/4in (27.3cm)</t>
  </si>
  <si>
    <t>CLAMP, SURGICAL, DEBAKEY-BAHNSON, 27.3 CM, 6.4 CM, CURVED JAW, NON STERILE, LATEX</t>
  </si>
  <si>
    <t>CLAMP, SURG, DEBAKEY-BAHNSON, 27.3 CM, 6.4 CM, CRV JAW, NS, LTX</t>
  </si>
  <si>
    <t>DEBAKEY-BAHNSON</t>
  </si>
  <si>
    <t>http://www.lt-technologies.de/_ws/mediabase/_ts_1494230442000/Downloads/CardioCatalog_LIT12012_low-res.pdf, https://accessgudid.nlm.nih.gov/devices/10885403032691</t>
  </si>
  <si>
    <t>CH7232</t>
  </si>
  <si>
    <t>BD_CH7232</t>
  </si>
  <si>
    <t>DEBAKEY-BAHNSON CLAMP SLTLY CVD JAW7.8CM</t>
  </si>
  <si>
    <t>PRODIGO1057128</t>
  </si>
  <si>
    <t>DeBAKEY-BAHNSON Curved Clamps Slightly curved jaws
length 3in (7.6cm).
Overall length
11-1/4in (28.6cm).</t>
  </si>
  <si>
    <t>CLAMP, SURGICAL, DEBAKEY-BAHNSON, 26.7 CM, 7.6 CM, SLIGHTLY CURVED JAW, NON STERILE, LATEX</t>
  </si>
  <si>
    <t>CLAMP, SURG, DEBAKEY-BAHNSON, 26.7 CM, 7.6 CM, SLIGHTLY CRV JAW, NS, LTX</t>
  </si>
  <si>
    <t>CLAMP, SURG, DEBAKEY-BAHNSON, 26.7 CM, 7.6 CM, SLIGHTLY CRV JAW</t>
  </si>
  <si>
    <t>SLIGHTLY CURVED JAW</t>
  </si>
  <si>
    <t>7.8 CM</t>
  </si>
  <si>
    <t>https://www.bd.com/en-us/products-and-solutions/products/product-page.ch7232#overview, https://accessgudid.nlm.nih.gov/devices/10885403032707</t>
  </si>
  <si>
    <t>CH7813</t>
  </si>
  <si>
    <t>BD_CH7813</t>
  </si>
  <si>
    <t>DEBAKEY-CASTANEDA CLAMP DEL CVD 45DEG</t>
  </si>
  <si>
    <t>PRODIGO1057165</t>
  </si>
  <si>
    <t>DeBAKEY-CASTANEDA Clamps Delicate narrow. 1.4mm DeBAKEY jaws.
Overall length 4-3/4in (12.1cm). Jaws angled 45°.
Curved shaft</t>
  </si>
  <si>
    <t>CLAMP, SURGICAL, DEBAKEY-CASTANEDA, 45 DEGREE, 12.1 CM, 1.4 MM, DELICATE, NARROW, JAW ANGLED, CURVED SHAFT, NON STERILE, LATEX</t>
  </si>
  <si>
    <t>CLAMP, SURG, DEBAKEY-CASTANEDA, 45 DEG, 12.1 CM, 1.4 MM, DEL, NAR, JAW ANGLED, CRV SHFT, NS, LTX</t>
  </si>
  <si>
    <t>CLAMP, SURG, DEBAKEY-CASTANEDA, 45 DEG, 12.1 CM, 1.4 MM, DEL, NAR</t>
  </si>
  <si>
    <t>DEBAKEY-CASTANEDA</t>
  </si>
  <si>
    <t>12.1 CM</t>
  </si>
  <si>
    <t>1.4 MM</t>
  </si>
  <si>
    <t>DELICATE, NARROW, JAW ANGLED, CURVED SHAFT</t>
  </si>
  <si>
    <t>http://www.lt-technologies.de/_ws/mediabase/_ts_1494230442000/Downloads/CardioCatalog_LIT12012_low-res.pdf, https://accessgudid.nlm.nih.gov/devices/10885403033292</t>
  </si>
  <si>
    <t>CH7814</t>
  </si>
  <si>
    <t>BD_CH7814</t>
  </si>
  <si>
    <t>DEBAKEY-CASTANEDA CLAMP DEL CVD 60DEG</t>
  </si>
  <si>
    <t>PRODIGO1057166</t>
  </si>
  <si>
    <t>DeBAKEY-CASTANEDA Clamps Delicate narrow. 1.4mm DeBAKEY jaws.
Overall length 4-3/4in (12.1cm). Jaws angled 60°.
Curved shaft</t>
  </si>
  <si>
    <t>CLAMP, SURGICAL, DEBAKEY-CASTANEDA, 60 DEGREE, 12.1 CM, 1.4 MM, DELICATE, NARROW, JAW ANGLED, CURVED SHAFT, NON STERILE, LATEX</t>
  </si>
  <si>
    <t>CLAMP, SURG, DEBAKEY-CASTANEDA, 60 DEG, 12.1 CM, 1.4 MM, DEL, NAR, JAW ANGLED, CRV SHFT, NS, LTX</t>
  </si>
  <si>
    <t>CLAMP, SURG, DEBAKEY-CASTANEDA, 60 DEG, 12.1 CM, 1.4 MM, DEL, NAR</t>
  </si>
  <si>
    <t>http://www.lt-technologies.de/_ws/mediabase/_ts_1494230442000/Downloads/CardioCatalog_LIT12012_low-res.pdf, https://accessgudid.nlm.nih.gov/devices/10885403033308</t>
  </si>
  <si>
    <t>CH7815</t>
  </si>
  <si>
    <t>BD_CH7815</t>
  </si>
  <si>
    <t>DEBAKEY-CASTANEDA CLAMP DEL CVD 90DEG</t>
  </si>
  <si>
    <t>PRODIGO1057167</t>
  </si>
  <si>
    <t>DeBAKEY-CASTANEDA Clamps Delicate narrow. 1.4mm DeBAKEY jaws.
Overall length 4-3/4in (12.1cm). Jaws angled 90°.
Curved shaft</t>
  </si>
  <si>
    <t>CLAMP, SURGICAL, DEBAKEY-CASTANEDA, 90 DEGREE, 12.1 CM, 1.4 MM, DELICATE, NARROW, JAW ANGLED, CURVED SHAFT, NON STERILE, LATEX</t>
  </si>
  <si>
    <t>CLAMP, SURG, DEBAKEY-CASTANEDA, 90 DEG, 12.1 CM, 1.4 MM, DEL, NAR, JAW ANGLED, CRV SHFT, NS, LTX</t>
  </si>
  <si>
    <t>CLAMP, SURG, DEBAKEY-CASTANEDA, 90 DEG, 12.1 CM, 1.4 MM, DEL, NAR</t>
  </si>
  <si>
    <t>http://www.lt-technologies.de/_ws/mediabase/_ts_1494230442000/Downloads/CardioCatalog_LIT12012_low-res.pdf, https://accessgudid.nlm.nih.gov/devices/10885403033315</t>
  </si>
  <si>
    <t>CH5667001</t>
  </si>
  <si>
    <t>CH5667-001</t>
  </si>
  <si>
    <t>BD_CH5667001</t>
  </si>
  <si>
    <t>DEBAKEY-POTTS SCISSORS BLADE 20DEG 6-1/2</t>
  </si>
  <si>
    <t>PRODIGO1056891</t>
  </si>
  <si>
    <t>DEBAKEY POTTS SCISSOR SURGICAL 25 DEGREE 6.5 IN 1 IN ANGLED, MIRROR FINISH, BLUNT/BLUNT</t>
  </si>
  <si>
    <t>SCISSOR, SURGICAL, DEBAKEY POTTS, 25 DEGREE, 6.5 IN, 1 IN, ANGLED, MIRROR FINISH, BLUNT/BLUNT, NON STERILE, LATEX</t>
  </si>
  <si>
    <t>SCISSOR, SURG, DEBAKEY POTTS, 25 DEG, 6.5 IN, 1 IN, ANGLED, MIRROR FINISH, BLUNT/BLUNT, NS, LTX</t>
  </si>
  <si>
    <t>SCISSOR, SURG, DEBAKEY POTTS, 25 DEG, 6.5 IN, 1 IN, ANGLED, NS, LTX</t>
  </si>
  <si>
    <t>DEBAKEY POTTS</t>
  </si>
  <si>
    <t>ANGLED, MIRROR FINISH, BLUNT/BLUNT</t>
  </si>
  <si>
    <t>http://www.megamedworld.com/wp-content/uploads/2019/03/VM_KVC-min.pdf, https://accessgudid.nlm.nih.gov/devices/10885403028533</t>
  </si>
  <si>
    <t>CH803419</t>
  </si>
  <si>
    <t>CH8034-19</t>
  </si>
  <si>
    <t>BD_CH803419</t>
  </si>
  <si>
    <t>DEL TOUCH BAYONET FORCEP STR TIP 7-5/8IN</t>
  </si>
  <si>
    <t>PRODIGO1057185</t>
  </si>
  <si>
    <t>Delicate Touch bayonet-shaped forceps</t>
  </si>
  <si>
    <t>FORCEP, SURGICAL, BAYONET-SHAPED, 7-5/8 IN, STRAIGHT, NON STERILE, DELICATE TOUCH, LATEX</t>
  </si>
  <si>
    <t>FORCEP, SURG, BAYONET-SHAPED, 7-5/8 IN, STR, NS, DEL TCH, LTX</t>
  </si>
  <si>
    <t>BAYONET-SHAPED</t>
  </si>
  <si>
    <t>STRAIGHT</t>
  </si>
  <si>
    <t>DELICATE TOUCH</t>
  </si>
  <si>
    <t>https://www.bd.com/en-us/products-and-solutions/products/product-page.CH8034-19#overview, https://accessgudid.nlm.nih.gov/devices/10885403033933</t>
  </si>
  <si>
    <t>CH0658</t>
  </si>
  <si>
    <t>BD_CH0658</t>
  </si>
  <si>
    <t>DEL TOUCH CASTRO FLAT HNDL HLDR W/CATCH</t>
  </si>
  <si>
    <t>PRODIGO1056573</t>
  </si>
  <si>
    <t>DELICATE TOUCH CASTROVIEJO MICRO NEEDLE HOLDERS FLAT HANDLE STRAIGHT WITH CATCH 5.75 IN SS LATEX NON STERILE</t>
  </si>
  <si>
    <t>HOLDER, NEEDLE, CASTROVIEJO, MICRO, 5.75 IN, WITH CATCH, STRAIGHT, FLAT HANDLE, STAINLESS STEEL, NON STERILE, DELICATE TOUCH, LATEX</t>
  </si>
  <si>
    <t>HOLDER, NDL, CASTRO, MIC, 5.75 IN, W/ CTCH, STR, FLAT HNDL, SS, NS, DEL TCH, LTX</t>
  </si>
  <si>
    <t xml:space="preserve">HOLDER, NDL, CASTRO, MIC, 5.75 IN, W/ CTCH, STR, FLAT, SS, DEL TCH </t>
  </si>
  <si>
    <t>WITH CATCH, STRAIGHT, FLAT HANDLE</t>
  </si>
  <si>
    <t>http://www.lt-technologies.de/_ws/mediabase/_ts_1494230442000/Downloads/CardioCatalog_LIT12012_low-res.pdf, https://accessgudid.nlm.nih.gov/devices/10885403020056</t>
  </si>
  <si>
    <t>CH0662</t>
  </si>
  <si>
    <t>BD_CH0662</t>
  </si>
  <si>
    <t>PRODIGO1056575</t>
  </si>
  <si>
    <t>DELICATE TOUCH CASTROVIEJO MICRO NEEDLE HOLDERS FLAT HANDLE CURVED WITH CATCH 5.75 IN SS LATEX NON STERILE</t>
  </si>
  <si>
    <t>HOLDER, NEEDLE, CASTROVIEJO, MICRO, 5.75 IN, WITH CATCH, CURVED, FLAT HANDLE, STAINLESS STEEL, NON STERILE, DELICATE TOUCH, LATEX</t>
  </si>
  <si>
    <t>HOLDER, NDL, CASTRO, MIC, 5.75 IN, W/ CTCH, CRV, FLAT HNDL, SS, NS, DEL TCH, LTX</t>
  </si>
  <si>
    <t xml:space="preserve">HOLDER, NDL, CASTRO, MIC, 5.75 IN, W/ CTCH, CRV, FLAT, SS, DEL TCH </t>
  </si>
  <si>
    <t>WITH CATCH, CURVED, FLAT HANDLE</t>
  </si>
  <si>
    <t>http://www.lt-technologies.de/_ws/mediabase/_ts_1494230442000/Downloads/CardioCatalog_LIT12012_low-res.pdf, https://accessgudid.nlm.nih.gov/devices/10885403020070</t>
  </si>
  <si>
    <t>CH0660</t>
  </si>
  <si>
    <t>BD_CH0660</t>
  </si>
  <si>
    <t>DEL TOUCH CASTRO FLT HNDL HLDR W/O CATCH</t>
  </si>
  <si>
    <t>PRODIGO1056574</t>
  </si>
  <si>
    <t>DELICATE TOUCH CASTROVIEJO MICRO NEEDLE HOLDERS FLAT HANDLE STRAIGHT WITHOUT CATCH 5.75 IN SS LATEX NON STERILE</t>
  </si>
  <si>
    <t>HOLDER, NEEDLE, CASTROVIEJO, MICRO, 5.75 IN, WITHOUT CATCH, STRAIGHT, FLAT HANDLE, STAINLESS STEEL, NON STERILE, DELICATE TOUCH, LATEX</t>
  </si>
  <si>
    <t>HOLDER, NDL, CASTRO, MIC, 5.75 IN, W/O CTCH, STR, FLAT HNDL, SS, NS, DEL TCH, LTX</t>
  </si>
  <si>
    <t xml:space="preserve">HOLDER, NDL, CASTRO, MIC, 5.75 IN, W/O CTCH, STR, FLAT, SS, DEL TCH </t>
  </si>
  <si>
    <t>WITHOUT CATCH, STRAIGHT, FLAT HANDLE</t>
  </si>
  <si>
    <t>http://www.lt-technologies.de/_ws/mediabase/_ts_1494230442000/Downloads/CardioCatalog_LIT12012_low-res.pdf, https://accessgudid.nlm.nih.gov/devices/10885403020063</t>
  </si>
  <si>
    <t>CH0664</t>
  </si>
  <si>
    <t>BD_CH0664</t>
  </si>
  <si>
    <t>PRODIGO1056576</t>
  </si>
  <si>
    <t>DELICATE TOUCH CASTROVIEJO MICRO NEEDLE HOLDERS FLAT HANDLE CURVED WITHOUT CATCH 5.75 IN SS LATEX NON STERILE</t>
  </si>
  <si>
    <t>HOLDER, NEEDLE, CASTROVIEJO, MICRO, 5.75 IN, WITHOUT CATCH, CURVED, FLAT HANDLE, STAINLESS STEEL, NON STERILE, DELICATE TOUCH, LATEX</t>
  </si>
  <si>
    <t>HOLDER, NDL, CASTRO, MIC, 5.75 IN, W/O CTCH, CRV, FLAT HNDL, SS, NS, DEL TCH, LTX</t>
  </si>
  <si>
    <t xml:space="preserve">HOLDER, NDL, CASTRO, MIC, 5.75 IN, W/O CTCH, CRV, FLAT, SS, DEL TCH </t>
  </si>
  <si>
    <t>WITHOUT CATCH, CURVED, FLAT HANDLE</t>
  </si>
  <si>
    <t>http://www.lt-technologies.de/_ws/mediabase/_ts_1494230442000/Downloads/CardioCatalog_LIT12012_low-res.pdf, https://accessgudid.nlm.nih.gov/devices/10885403020087</t>
  </si>
  <si>
    <t>CH8186</t>
  </si>
  <si>
    <t>BD_CH8186</t>
  </si>
  <si>
    <t>DEL TOUCH CASTRO NDL HLDR CVD 10IN</t>
  </si>
  <si>
    <t>PRODIGO1057226</t>
  </si>
  <si>
    <t>Delicate Touch® CASTROVIEJO Needle Holders CURVED 10IN</t>
  </si>
  <si>
    <t>HOLDER, NEEDLE, CASTROVIEJO, 10 IN, CURVED, DUST JAW SURFACE, WITH LOCK, NON STERILE, DELICATE TOUCH, LATEX</t>
  </si>
  <si>
    <t>HOLDER, NDL, CASTRO, 10 IN, CRV, DUST JAW SURF, W/ LCK, NS, DEL TCH, LTX</t>
  </si>
  <si>
    <t>HOLDER, NDL, CASTRO, 10 IN, CRV, DUST JAW SURF, W/ LCK, NS, DEL TCH</t>
  </si>
  <si>
    <t>CURVED, DUST JAW SURFACE, WITH LOCK</t>
  </si>
  <si>
    <t>https://www.hces.com.sg/wp-content/uploads/2021/04/Cardiovascular-Pages-from-vmueller-snowdenpencer-armamentarium-catalogue-4.pdf, https://accessgudid.nlm.nih.gov/devices/10885403034848</t>
  </si>
  <si>
    <t>CH8188</t>
  </si>
  <si>
    <t>BD_CH8188</t>
  </si>
  <si>
    <t>DEL TOUCH CASTRO NDL HLDR CVD 12IN</t>
  </si>
  <si>
    <t>PRODIGO1057227</t>
  </si>
  <si>
    <t>Delicate Touch® CASTROVIEJO Needle Holders CURVED 12IN</t>
  </si>
  <si>
    <t>HOLDER, NEEDLE, CASTROVIEJO, 12 IN, CURVED, DUST JAW SURFACE, WITH LOCK, NON STERILE, DELICATE TOUCH, LATEX</t>
  </si>
  <si>
    <t>HOLDER, NDL, CASTRO, 12 IN, CRV, DUST JAW SURF, W/ LCK, NS, DEL TCH, LTX</t>
  </si>
  <si>
    <t>HOLDER, NDL, CASTRO, 12 IN, CRV, DUST JAW SURF, W/ LCK, NS, DEL TCH</t>
  </si>
  <si>
    <t>https://www.hces.com.sg/wp-content/uploads/2021/04/Cardiovascular-Pages-from-vmueller-snowdenpencer-armamentarium-catalogue-4.pdf, https://accessgudid.nlm.nih.gov/devices/10885403034862</t>
  </si>
  <si>
    <t>CH814519</t>
  </si>
  <si>
    <t>CH8145-19</t>
  </si>
  <si>
    <t>BD_CH814519</t>
  </si>
  <si>
    <t>DEL TOUCH CASTRO NDL HLDR CVD X-DEL JAW</t>
  </si>
  <si>
    <t>PRODIGO1057216</t>
  </si>
  <si>
    <t>Delicate Touch® CASTROVIEJO Needle Holders Curved 7-5/8in</t>
  </si>
  <si>
    <t>HOLDER, NEEDLE, CASTROVIEJO, 7-5/8 IN, CURVED, EXTRA DELICATE JAW, NON STERILE, DELICATE TOUCH, LATEX</t>
  </si>
  <si>
    <t>HOLDER, NDL, CASTRO, 7-5/8 IN, CRV, X DEL JAW, NS, DEL TCH, LTX</t>
  </si>
  <si>
    <t>CURVED, EXTRA DELICATE JAW</t>
  </si>
  <si>
    <t>https://www.hces.com.sg/wp-content/uploads/2021/04/Cardiovascular-Pages-from-vmueller-snowdenpencer-armamentarium-catalogue-4.pdf, https://accessgudid.nlm.nih.gov/devices/10885403034541</t>
  </si>
  <si>
    <t>CH815521</t>
  </si>
  <si>
    <t>CH8155-21</t>
  </si>
  <si>
    <t>BD_CH815521</t>
  </si>
  <si>
    <t>PRODIGO1057221</t>
  </si>
  <si>
    <t>Delicate Touch® CASTROVIEJO Needle Holders curved 8-1/4in</t>
  </si>
  <si>
    <t>HOLDER, NEEDLE, CASTROVIEJO, 8.25 IN, CURVED, EXTRA DELICATE JAW, NON STERILE, DELICATE TOUCH, LATEX</t>
  </si>
  <si>
    <t>HOLDER, NDL, CASTRO, 8.25 IN, CRV, X DEL JAW, NS, DEL TCH, LTX</t>
  </si>
  <si>
    <t>https://www.hces.com.sg/wp-content/uploads/2021/04/Cardiovascular-Pages-from-vmueller-snowdenpencer-armamentarium-catalogue-4.pdf, https://accessgudid.nlm.nih.gov/devices/10885403034626</t>
  </si>
  <si>
    <t>CH0650</t>
  </si>
  <si>
    <t>BD_CH0650</t>
  </si>
  <si>
    <t>DEL TOUCH CASTRO NDL HOLDER STR W/CATCH</t>
  </si>
  <si>
    <t>PRODIGO1056569</t>
  </si>
  <si>
    <t>DELICATE TOUCH CASTROVIEJO MICRO NEEDLE HOLDERS ROUND HANDLE STRAIGHT WITH CATCH 5.75 IN SS LATEX NON STERILE</t>
  </si>
  <si>
    <t>HOLDER, NEEDLE, CASTROVIEJO, MICRO, 5.75 IN, WITH CATCH, STRAIGHT, ROUND HANDLE, STAINLESS STEEL, NON STERILE, DELICATE TOUCH, LATEX</t>
  </si>
  <si>
    <t>HOLDER, NDL, CASTRO, MIC, 5.75 IN, W/ CTCH, STR, RND HNDL, SS, NS, DEL TCH, LTX</t>
  </si>
  <si>
    <t xml:space="preserve">HOLDER, NDL, CASTRO, MIC, 5.75 IN, W/ CTCH, STR, RND, SS, DEL TCH </t>
  </si>
  <si>
    <t>WITH CATCH, STRAIGHT, ROUND HANDLE</t>
  </si>
  <si>
    <t>http://www.lt-technologies.de/_ws/mediabase/_ts_1494230442000/Downloads/CardioCatalog_LIT12012_low-res.pdf, https://accessgudid.nlm.nih.gov/devices/10885403020018</t>
  </si>
  <si>
    <t>CH0652</t>
  </si>
  <si>
    <t>BD_CH0652</t>
  </si>
  <si>
    <t>DEL TOUCH CASTRO RND HNDL HLDR W/O CATCH</t>
  </si>
  <si>
    <t>PRODIGO1056570</t>
  </si>
  <si>
    <t>DELICATE TOUCH CASTROVIEJO MICRO NEEDLE HOLDERS ROUND HANDLE STRAIGHT WITHOUT CATCH 5.75 IN SS LATEX NON STERILE</t>
  </si>
  <si>
    <t>HOLDER, NEEDLE, CASTROVIEJO, MICRO, 5.75 IN, WITHOUT CATCH, STRAIGHT, ROUND HANDLE, STAINLESS STEEL, NON STERILE, DELICATE TOUCH, LATEX</t>
  </si>
  <si>
    <t>HOLDER, NDL, CASTRO, MIC, 5.75 IN, W/O CTCH, STR, RND HNDL, SS, NS, DEL TCH, LTX</t>
  </si>
  <si>
    <t xml:space="preserve">HOLDER, NDL, CASTRO, MIC, 5.75 IN, W/O CTCH, STR, RND, SS, DEL TCH </t>
  </si>
  <si>
    <t>WITHOUT CATCH, STRAIGHT, ROUND HANDLE</t>
  </si>
  <si>
    <t>http://www.lt-technologies.de/_ws/mediabase/_ts_1494230442000/Downloads/CardioCatalog_LIT12012_low-res.pdf, https://accessgudid.nlm.nih.gov/devices/10885403020025</t>
  </si>
  <si>
    <t>CH0656</t>
  </si>
  <si>
    <t>BD_CH0656</t>
  </si>
  <si>
    <t>PRODIGO1056572</t>
  </si>
  <si>
    <t>DELICATE TOUCH CASTROVIEJO MICRO NEEDLE HOLDERS ROUND HANDLE CURVED WITHOUT CATCH 5.75 IN SS LATEX NON STERILE</t>
  </si>
  <si>
    <t>HOLDER, NEEDLE, CASTROVIEJO, MICRO, 5.75 IN, WITHOUT CATCH, CURVED, ROUND HANDLE, STAINLESS STEEL, NON STERILE, DELICATE TOUCH, LATEX</t>
  </si>
  <si>
    <t>HOLDER, NDL, CASTRO, MIC, 5.75 IN, W/O CTCH, CRV, RND HNDL, SS, NS, DEL TCH, LTX</t>
  </si>
  <si>
    <t xml:space="preserve">HOLDER, NDL, CASTRO, MIC, 5.75 IN, W/O CTCH, CRV, RND, SS, DEL TCH </t>
  </si>
  <si>
    <t>WITHOUT CATCH, CURVED, ROUND HANDLE</t>
  </si>
  <si>
    <t>http://www.lt-technologies.de/_ws/mediabase/_ts_1494230442000/Downloads/CardioCatalog_LIT12012_low-res.pdf, https://accessgudid.nlm.nih.gov/devices/10885403020049</t>
  </si>
  <si>
    <t>CH814019</t>
  </si>
  <si>
    <t>CH8140-19</t>
  </si>
  <si>
    <t>BD_CH814019</t>
  </si>
  <si>
    <t>DEL TOUCH CASTROVIEJO NDL HLD STR X-DEL</t>
  </si>
  <si>
    <t>PRODIGO1057215</t>
  </si>
  <si>
    <t>Delicate Touch® CASTROVIEJO Needle Holders Straight 7-5/8in</t>
  </si>
  <si>
    <t>HOLDER, NEEDLE, CASTROVIEJO, 7-5/8 IN, STRAIGHT, EXTRA DELICATE JAW, NON STERILE, DELICATE TOUCH, LATEX</t>
  </si>
  <si>
    <t>HOLDER, NDL, CASTRO, 7-5/8 IN, STR, X DEL JAW, NS, DEL TCH, LTX</t>
  </si>
  <si>
    <t>STRAIGHT, EXTRA DELICATE JAW</t>
  </si>
  <si>
    <t>https://www.hces.com.sg/wp-content/uploads/2021/04/Cardiovascular-Pages-from-vmueller-snowdenpencer-armamentarium-catalogue-4.pdf, https://accessgudid.nlm.nih.gov/devices/10885403034534</t>
  </si>
  <si>
    <t>CH800517</t>
  </si>
  <si>
    <t>CH8005-17</t>
  </si>
  <si>
    <t>BD_CH800517</t>
  </si>
  <si>
    <t>DEL TOUCH CUSHING FORCEP STR TIP 6-7/8IN</t>
  </si>
  <si>
    <t>PRODIGO1057178</t>
  </si>
  <si>
    <t>Delicate Touch Cushing forcep</t>
  </si>
  <si>
    <t>FORCEP, SURGICAL, CUSHING, 6-7/8 IN, STRAIGHT TIP, NON STERILE, DELICATE TOUCH, LATEX</t>
  </si>
  <si>
    <t>FORCEP, SURG, CUSHING, 6-7/8 IN, STR TIP, NS, DEL TCH, LTX</t>
  </si>
  <si>
    <t>STRAIGHT TIP</t>
  </si>
  <si>
    <t>https://www.bd.com/en-us/products-and-solutions/products/product-page.CH8005-17#overview, https://accessgudid.nlm.nih.gov/devices/10885403033841</t>
  </si>
  <si>
    <t>CH801017</t>
  </si>
  <si>
    <t>CH8010-17</t>
  </si>
  <si>
    <t>BD_CH801017</t>
  </si>
  <si>
    <t>DEL TOUCH CUSHING FORCEP TIP 40DEG 6-5/8</t>
  </si>
  <si>
    <t>PRODIGO1057179</t>
  </si>
  <si>
    <t>FORCEP, SURGICAL, CUSHING, 40 DEGREE, 6-5/8 IN, ANGLED TIP, NON STERILE, LATEX</t>
  </si>
  <si>
    <t>FORCEP, SURG, CUSHING, 40 DEG, 6-5/8 IN, ANGLED TIP, NS, LTX</t>
  </si>
  <si>
    <t>40 DEGREE</t>
  </si>
  <si>
    <t>6-5/8 IN</t>
  </si>
  <si>
    <t>ANGLED TIP</t>
  </si>
  <si>
    <t>https://www.bd.com/en-us/products-and-solutions/products/product-page.CH8010-17#overview, https://accessgudid.nlm.nih.gov/devices/10885403033858</t>
  </si>
  <si>
    <t>CH03412</t>
  </si>
  <si>
    <t>BD_CH03412</t>
  </si>
  <si>
    <t>DEL TOUCH DEBAKEY NEEDLE HOLDER TITAN</t>
  </si>
  <si>
    <t>PRODIGO1056507</t>
  </si>
  <si>
    <t>Titanium Delicate Touch DeBAKEY Needle Holder Dust jaw surface for use with 5-0 suture and smaller. Straight. Overall length 7-1/8in (18.1cm).</t>
  </si>
  <si>
    <t>HOLDER, NEEDLE, DEBAKEY, 7-1/8 IN, STRAIGHT, DUST JAW, SURFACE, FOR 5-0 SUTURE AND SMALLER, TITANIUM, NON STERILE, DELICATE TOUCH, LATEX</t>
  </si>
  <si>
    <t>HOLDER, NEEDLE, DEBAKEY, 7-1/8 IN, STRAIGHT, DUST JAW, SURFACE, FOR 5-0 SMALL SUTURE, TITANIUM, NON STERILE, DELICATE TOUCH, LATEX</t>
  </si>
  <si>
    <t>HOLDER, NDL, DEBAKEY, 7-1/8 IN, STR, DUST JAW, SURF, FOR 5-0 SUTURE &amp; SMALLER, TI, NS, DEL TCH, LTX</t>
  </si>
  <si>
    <t>HOLDER, NDL, DEBAKEY, 7-1/8 IN, STR, DUST, SURF, FOR 5-0 SM SUTURE</t>
  </si>
  <si>
    <t>STRAIGHT, DUST JAW, SURFACE, FOR 5-0 SMALL SUTURE</t>
  </si>
  <si>
    <t>http://www.megamedworld.com/wp-content/uploads/2019/03/VM_KVC-min.pdf, https://accessgudid.nlm.nih.gov/devices/10885403020674</t>
  </si>
  <si>
    <t>CH03418</t>
  </si>
  <si>
    <t>BD_CH03418</t>
  </si>
  <si>
    <t>DEL TOUCH DEBAKEY NEEDLE HOLDER TITANIAM</t>
  </si>
  <si>
    <t>PRODIGO1056508</t>
  </si>
  <si>
    <t>DELICATE TOUCH NEEDLE HOLDER 10 IN TITANIUM CARDIOVASCULAR DEBAKEY STRAIGHT STANDARD RING HANDLE DUSTED JAW FOR 3-0 SMALL SUTURE</t>
  </si>
  <si>
    <t>HOLDER, NEEDLE, DEBAKEY, 10 IN, CARDIOVASCULAR, STRAIGHT, STANDARD, DUST JAW, RING HANDLE, FOR 3-0 SMALL SUTURE, TITANIUM, NON STERILE, DELICATE TOUCH, LATEX</t>
  </si>
  <si>
    <t>HOLDER, NDL, DEBAKEY, 10 IN, CV, STR, STD, DUST JAW, RNG HNDL, FOR 3-0 SM SUTURE, TI, NS, DEL TCH, LTX</t>
  </si>
  <si>
    <t>HOLDER, NDL, DEBAKEY, 10 IN, CV, STR, STD, DUST JAW, RNG HNDL, TI</t>
  </si>
  <si>
    <t>STRAIGHT, STANDARD, DUST JAW, RING HANDLE, FOR 3-0 SMALL SUTURE</t>
  </si>
  <si>
    <t>https://www.bd.com/en-us/offerings/capabilities/surgical-instruments/open-instrumentation/titanium-delicate-touch-debakey-needle-holders/ch03418, https://accessgudid.nlm.nih.gov/devices/10885403020704</t>
  </si>
  <si>
    <t>CH04320</t>
  </si>
  <si>
    <t>BD_CH04320</t>
  </si>
  <si>
    <t>DEL TOUCH DENNIS MICRO FORCEP 2MMTIP STR</t>
  </si>
  <si>
    <t>PRODIGO1056538</t>
  </si>
  <si>
    <t>DELICATE TOUCH DENNIS MICRO FORCEPS ROUND HANDLE 2MM RING TIPS STRAIGHT OVERALL LENGTH 17.8CM FORCEP SURGICAL DENNIS 2 MM MICRO 17.8 CM ROUND HANDLE RING TIP STRAIGHT DELICATE TOUCH</t>
  </si>
  <si>
    <t>FORCEP, SURGICAL, DENNIS, MICRO, 2 MM, 7 IN, STRAIGHT, ROUND HANDLE, RING TIP, NON STERILE, DELICATE TOUCH, LATEX</t>
  </si>
  <si>
    <t>FORCEP, SURG, DENNIS, MIC, 2 MM, 7 IN, STR, RND HNDL, RNG TIP, NS, DEL TCH, LTX</t>
  </si>
  <si>
    <t>FORCEP, SURG, DENNIS, MIC, 2 MM, 7 IN, STR, RND HNDL, RNG, DEL TCH</t>
  </si>
  <si>
    <t>DENNIS</t>
  </si>
  <si>
    <t>MICRO, 2 MM</t>
  </si>
  <si>
    <t>STRAIGHT, ROUND HANDLE, RING TIP</t>
  </si>
  <si>
    <t>http://www.megamedworld.com/wp-content/uploads/2019/03/VM_KVC-min.pdf, https://accessgudid.nlm.nih.gov/devices/10885403021770</t>
  </si>
  <si>
    <t>CH037208</t>
  </si>
  <si>
    <t>CH03720-8</t>
  </si>
  <si>
    <t>BD_CH037208</t>
  </si>
  <si>
    <t>DEL TOUCH DENNIS MICRO STR FORCEPS 8-1/4</t>
  </si>
  <si>
    <t>PRODIGO1056511</t>
  </si>
  <si>
    <t>Titanium Delicate Touch DENNIS Micro Forceps Round handle. 1mm ring tips. Straight. 8-1/4in (21cm).</t>
  </si>
  <si>
    <t>FORCEP, SURGICAL, DENNIS, MICRO, 1 MM, 8.25 IN, STRAIGHT, ROUND HANDLE, RING TIP, TITANIUM, NON STERILE, DELICATE TOUCH, LATEX</t>
  </si>
  <si>
    <t>FORCEP, SURG, DENNIS, MIC, 1 MM, 8.25 IN, STR, RND HNDL, RNG TIP, TI, NS, DEL TCH, LTX</t>
  </si>
  <si>
    <t>FORCEP, SURG, DENNIS, MIC, 1 MM, 8.25 IN, STR, RND HNDL, RNG TIP, TI</t>
  </si>
  <si>
    <t>http://www.megamedworld.com/wp-content/uploads/2019/03/VM_KVC-min.pdf, https://accessgudid.nlm.nih.gov/devices/10885403020865</t>
  </si>
  <si>
    <t>CH0496</t>
  </si>
  <si>
    <t>BD_CH0496</t>
  </si>
  <si>
    <t>DEL TOUCH FORCEP RND HNDL PLATFM TIP CVD</t>
  </si>
  <si>
    <t>PRODIGO1056545</t>
  </si>
  <si>
    <t>DELICATE TOUCH MICRO FORCEPS ROUND HANDLE CURVED PLATFORM TIPS 0.8MM WIDE OVERALL LENGTH 18.1CM FORCEP SURGICAL 0.8 MM MICRO 18.1 CM WIDE ROUND HANDLE CURVED PLATFORM TIP DELICATE TOUCH</t>
  </si>
  <si>
    <t>FORCEP, SURGICAL, CURVED, MICRO, 0.8 MM, 7-1/8 IN, ROUND HANDLE, PLATFORM TIP, NON STERILE, DELICATE TOUCH, LATEX</t>
  </si>
  <si>
    <t>FORCEP, SURG, CRV, MIC, 0.8 MM, 7-1/8 IN, RND HNDL, PLATFORM TIP, NS, DEL TCH, LTX</t>
  </si>
  <si>
    <t>FORCEP, SURG, CRV, MIC, 0.8 MM, 7-1/8 IN, RND HNDL, PLATFORM TIP</t>
  </si>
  <si>
    <t>CURVED</t>
  </si>
  <si>
    <t>MICRO, 0.8 MM</t>
  </si>
  <si>
    <t>ROUND HANDLE, PLATFORM TIP</t>
  </si>
  <si>
    <t>http://www.megamedworld.com/wp-content/uploads/2019/03/VM_KVC-min.pdf, https://accessgudid.nlm.nih.gov/devices/10885403019845</t>
  </si>
  <si>
    <t>CH0499</t>
  </si>
  <si>
    <t>BD_CH0499</t>
  </si>
  <si>
    <t>PRODIGO1056548</t>
  </si>
  <si>
    <t>DELICATE TOUCH MICRO FORCEPS ROUND HANDLE CURVED PLATFORM TIPS 0.8MM WIDE OVERALL LENGTH 21CM FORCEP SURGICAL 0.8 MM MICRO 21 CM WIDE ROUND HANDLE CURVED PLATFORM TIP DELICATE TOUCH</t>
  </si>
  <si>
    <t>FORCEP, SURGICAL, CURVED, MICRO, 0.8 MM, 8.25 IN, ROUND HANDLE, PLATFORM TIP, NON STERILE, DELICATE TOUCH, LATEX</t>
  </si>
  <si>
    <t>FORCEP, SURG, CRV, MIC, 0.8 MM, 8.25 IN, RND HNDL, PLATFORM TIP, NS, DEL TCH, LTX</t>
  </si>
  <si>
    <t>FORCEP, SURG, CRV, MIC, 0.8 MM, 8.25 IN, RND HNDL, PLATFORM, DEL TCH</t>
  </si>
  <si>
    <t>http://www.megamedworld.com/wp-content/uploads/2019/03/VM_KVC-min.pdf, https://accessgudid.nlm.nih.gov/devices/10885403019883</t>
  </si>
  <si>
    <t>CH04235</t>
  </si>
  <si>
    <t>BD_CH04235</t>
  </si>
  <si>
    <t>DEL TOUCH FORCEPS RND HNDL LITE 1X2TEETH</t>
  </si>
  <si>
    <t>PRODIGO1056529</t>
  </si>
  <si>
    <t>DELICATE TOUCH MICRO FORCEPS LIGHTWEIGHT 1 X 2 TEETH ROUND HANDLE PLATFORM TIPS 0.8MM WIDE MIRROR AND SATIN FINISH OVERALL LENGTH 18.1CM FORCEP SURGICAL MICRO 0.8 MMX18.1 CM 1X2 TEETH WIDE LIGHTWEIGHT ROUND HANDLE PLATFORM TIP MIRROR SATIN FINISH DELICATE TOUCH</t>
  </si>
  <si>
    <t>FORCEP, SURGICAL, PLATFORM TIP, MICRO, 0.8 MM, 7-1/8 IN, 1X2 TEETH, LIGHTWEIGHT, ROUND HANDLE, SATIN AND MIRROR FINISH, NON STERILE, DELICATE TOUCH, LATEX</t>
  </si>
  <si>
    <t>FORCEP, SURG, PLATFORM TIP, MIC, 0.8 MM, 7-1/8 IN, 1X2 TEETH, LIGHTWEIGHT, RND HNDL, SATIN &amp; MIRROR FINISH, NS, DEL TCH, LTX</t>
  </si>
  <si>
    <t>FORCEP, SURG, PLATFORM TIP, MIC, 0.8 MM, 7-1/8 IN, 1X2 TEETH</t>
  </si>
  <si>
    <t>PLATFORM TIP</t>
  </si>
  <si>
    <t>1X2 TEETH, LIGHTWEIGHT, ROUND HANDLE, SATIN AND MIRROR FINISH</t>
  </si>
  <si>
    <t>http://www.megamedworld.com/wp-content/uploads/2019/03/VM_KVC-min.pdf, https://accessgudid.nlm.nih.gov/devices/10885403021121</t>
  </si>
  <si>
    <t>CH0495</t>
  </si>
  <si>
    <t>BD_CH0495</t>
  </si>
  <si>
    <t>DEL TOUCH FORCEPS RND HNDL STR PLATFORM</t>
  </si>
  <si>
    <t>PRODIGO1056544</t>
  </si>
  <si>
    <t>DELICATE TOUCH MICRO FORCEPS ROUND HANDLE STRAIGHT PLATFORM TIPS 0.9MM WIDE OVERALL LENGTH 18.1CM FORCEP SURGICAL 0.9 MM MICRO 18.1 CM WIDE ROUND HANDLE STRAIGHT PLATFORM TIP DELICATE TOUCH</t>
  </si>
  <si>
    <t>FORCEP, SURGICAL, STRAIGHT, MICRO, 0.9 MM, 7-1/8 IN, ROUND HANDLE, PLATFORM TIP, NON STERILE, DELICATE TOUCH, LATEX</t>
  </si>
  <si>
    <t>FORCEP, SURG, STR, MIC, 0.9 MM, 7-1/8 IN, RND HNDL, PLATFORM TIP, NS, DEL TCH, LTX</t>
  </si>
  <si>
    <t>FORCEP, SURG, STR, MIC, 0.9 MM, 7-1/8 IN, RND HNDL, PLATFORM TIP</t>
  </si>
  <si>
    <t>MICRO, 0.9 MM</t>
  </si>
  <si>
    <t>http://www.megamedworld.com/wp-content/uploads/2019/03/VM_KVC-min.pdf, https://accessgudid.nlm.nih.gov/devices/10885403019838</t>
  </si>
  <si>
    <t>CH0498</t>
  </si>
  <si>
    <t>BD_CH0498</t>
  </si>
  <si>
    <t>PRODIGO1056547</t>
  </si>
  <si>
    <t>DELICATE TOUCH MICRO FORCEPS ROUND HANDLE STRAIGHT PLATFORM TIPS 0.9MM WIDE OVERALL LENGTH 21CM FORCEP SURGICAL 0.9 MM MICRO 21 CM WIDE ROUND HANDLE STRAIGHT PLATFORM TIP DELICATE TOUCH</t>
  </si>
  <si>
    <t>FORCEP, SURGICAL, STRAIGHT, MICRO, 0.9 MM, 8.25 IN, ROUND HANDLE, PLATFORM TIP, NON STERILE, DELICATE TOUCH, LATEX</t>
  </si>
  <si>
    <t>FORCEP, SURG, STR, MIC, 0.9 MM, 8.25 IN, RND HNDL, PLATFORM TIP, NS, DEL TCH, LTX</t>
  </si>
  <si>
    <t>FORCEP, SURG, STR, MIC, 0.9 MM, 8.25 IN, RND HNDL, PLATFORM, DEL TCH</t>
  </si>
  <si>
    <t>http://www.megamedworld.com/wp-content/uploads/2019/03/VM_KVC-min.pdf, https://accessgudid.nlm.nih.gov/devices/10885403019876</t>
  </si>
  <si>
    <t>CH03742</t>
  </si>
  <si>
    <t>BD_CH03742</t>
  </si>
  <si>
    <t>DEL TOUCH GERALD DEBAKEY STR FORCEPS 8IN</t>
  </si>
  <si>
    <t>PRODIGO1056514</t>
  </si>
  <si>
    <t>DELICATE TOUCH GERALD-DEBAKEY FORCEPS STRAIGHT FLAT HANDLE 1MM WIDE DEBAKEY TIPS OVERALL LENGTH 20.3CM FORCEP SURGICAL GERALD DEBAKEY 1 MM 20.3 CM FLAT HANDLE STRAIGHT TIP WIDE DELICATE TOUCH</t>
  </si>
  <si>
    <t>FORCEP, SURGICAL, GERALD DEBAKEY, 1 MM, 8 IN, STRAIGHT, FLAT HANDLE, NON STERILE, DELICATE TOUCH, LATEX</t>
  </si>
  <si>
    <t>FORCEP, SURG, GERALD DEBAKEY, 1 MM, 8 IN, STR, FLAT HNDL, NS, DEL TCH, LTX</t>
  </si>
  <si>
    <t>FORCEP, SURG, GERALD DEBAKEY, 1 MM, 8 IN, STR, FLAT HNDL, DEL TCH</t>
  </si>
  <si>
    <t>GERALD DEBAKEY</t>
  </si>
  <si>
    <t>STRAIGHT, FLAT HANDLE</t>
  </si>
  <si>
    <t>http://www.megamedworld.com/wp-content/uploads/2019/03/VM_KVC-min.pdf, https://accessgudid.nlm.nih.gov/devices/10885403020919</t>
  </si>
  <si>
    <t>CH04246</t>
  </si>
  <si>
    <t>BD_CH04246</t>
  </si>
  <si>
    <t>DEL TOUCH GERALD FORCEPS 1MM TIP 7IN</t>
  </si>
  <si>
    <t>PRODIGO1056531</t>
  </si>
  <si>
    <t>DELICATE TOUCH GERALD FORCEPS STRAIGHT FLAT HANDLE 1MM TIPS OVERALL LENGTH 17.8CM FORCEP SURGICAL GERALD 1 MM 17.8 CM STRAIGHT FLAT HANDLE TIP DELICATE TOUCH</t>
  </si>
  <si>
    <t>FORCEP, SURGICAL, GERALD, 1 MM, 7 IN, STRAIGHT, FLAT HANDLE, NON STERILE, DELICATE TOUCH, LATEX</t>
  </si>
  <si>
    <t>FORCEP, SURG, GERALD, 1 MM, 7 IN, STR, FLAT HNDL, NS, DEL TCH, LTX</t>
  </si>
  <si>
    <t>GERALD</t>
  </si>
  <si>
    <t>http://www.megamedworld.com/wp-content/uploads/2019/03/VM_KVC-min.pdf, https://accessgudid.nlm.nih.gov/devices/10885403021152</t>
  </si>
  <si>
    <t>CH04248</t>
  </si>
  <si>
    <t>BD_CH04248</t>
  </si>
  <si>
    <t>DEL TOUCH GERALD FORCEPS STR 8IN</t>
  </si>
  <si>
    <t>PRODIGO1056532</t>
  </si>
  <si>
    <t>DELICATE TOUCH GERALD FORCEPS STRAIGHT FLAT HANDLE 1MM TIPS OVERALL LENGTH 20.3CM FORCEP SURGICAL GERALD 1 MM 20.3 CM STRAIGHT FLAT HANDLE TIP DELICATE TOUCH</t>
  </si>
  <si>
    <t>FORCEP, SURGICAL, GERALD, 1 MM, 8 IN, STRAIGHT, FLAT HANDLE, NON STERILE, DELICATE TOUCH, LATEX</t>
  </si>
  <si>
    <t>FORCEP, SURG, GERALD, 1 MM, 8 IN, STR, FLAT HNDL, NS, DEL TCH, LTX</t>
  </si>
  <si>
    <t>http://www.megamedworld.com/wp-content/uploads/2019/03/VM_KVC-min.pdf, https://accessgudid.nlm.nih.gov/devices/10885403021169</t>
  </si>
  <si>
    <t>CH03752</t>
  </si>
  <si>
    <t>BD_CH03752</t>
  </si>
  <si>
    <t>DEL TOUCH GERALD FORCEPS TITAN STR 8IN</t>
  </si>
  <si>
    <t>PRODIGO1056515</t>
  </si>
  <si>
    <t>DELICATE TOUCH FORCEP 1 MM 8 IN CARDIOVASCULAR TITANIUM GERALD DEBAKEY STRAIGHT DOUBLE ACTION FLAT SPRING HANDLE BLUE ANODIZED FINISH</t>
  </si>
  <si>
    <t>FORCEP, SURGICAL, GERALD, 1 MM, 8 IN, CARDIOVASCULAR, STRAIGHT, DOUBLE ACTION, FLAT SPRING HANDLE, BLUE ANODIZED FINISH, TITANIUM, NON STERILE, DELICATE TOUCH, LATEX</t>
  </si>
  <si>
    <t>FORCEP, SURG, GERALD, 1 MM, 8 IN, CV, STR, DBL ACT, FLAT SPRING HNDL, BLU ANODIZED FINISH, TI, NS, DEL TCH, LTX</t>
  </si>
  <si>
    <t>FORCEP, SURG, GERALD, 1 MM, 8 IN, CV, STR, DBL ACT, FLAT HNDL, TI</t>
  </si>
  <si>
    <t>STRAIGHT, DOUBLE ACTION, FLAT SPRING HANDLE, BLUE ANODIZED FINISH</t>
  </si>
  <si>
    <t>https://www.bd.com/en-us/offerings/capabilities/surgical-instruments/open-instrumentation/titanium-delicate-touch-gerald-forceps/ch03752, https://accessgudid.nlm.nih.gov/devices/10885403020933</t>
  </si>
  <si>
    <t>CH813715</t>
  </si>
  <si>
    <t>CH8137-15</t>
  </si>
  <si>
    <t>BD_CH813715</t>
  </si>
  <si>
    <t>DEL TOUCH JACOBSON NDL HLDR CVD JAW 6IN</t>
  </si>
  <si>
    <t>PRODIGO1057214</t>
  </si>
  <si>
    <t>Delicate Touch® JACOBSON Needle Holders Curved jaw</t>
  </si>
  <si>
    <t>HOLDER, NEEDLE, JACOBSON, 6 IN, CURVED JAW, NON STERILE, DELICATE TOUCH, LATEX</t>
  </si>
  <si>
    <t>HOLDER, NDL, JACOBSON, 6 IN, CRV JAW, NS, DEL TCH, LTX</t>
  </si>
  <si>
    <t>JACOBSON</t>
  </si>
  <si>
    <t>https://www.hces.com.sg/wp-content/uploads/2021/04/Cardiovascular-Pages-from-vmueller-snowdenpencer-armamentarium-catalogue-4.pdf, https://accessgudid.nlm.nih.gov/devices/10885403034503</t>
  </si>
  <si>
    <t>CH813515</t>
  </si>
  <si>
    <t>CH8135-15</t>
  </si>
  <si>
    <t>BD_CH813515</t>
  </si>
  <si>
    <t>DEL TOUCH JACOBSON NDL HLDR STR JAW</t>
  </si>
  <si>
    <t>PRODIGO1057211</t>
  </si>
  <si>
    <t>Delicate Touch® JACOBSON Needle Holders Straight jaw</t>
  </si>
  <si>
    <t>HOLDER, NEEDLE, JACOBSON, 6 IN, STRAIGHT JAW, NON STERILE, DELICATE TOUCH, LATEX</t>
  </si>
  <si>
    <t>HOLDER, NDL, JACOBSON, 6 IN, STR JAW, NS, DEL TCH, LTX</t>
  </si>
  <si>
    <t>STRAIGHT JAW</t>
  </si>
  <si>
    <t>https://www.hces.com.sg/wp-content/uploads/2021/04/Cardiovascular-Pages-from-vmueller-snowdenpencer-armamentarium-catalogue-4.pdf, https://accessgudid.nlm.nih.gov/devices/10885403034473</t>
  </si>
  <si>
    <t>CH0674</t>
  </si>
  <si>
    <t>BD_CH0674</t>
  </si>
  <si>
    <t>DEL TOUCH JACOBSON NDL HOLDER CVD 6-3/4</t>
  </si>
  <si>
    <t>PRODIGO1056579</t>
  </si>
  <si>
    <t>DELICATE TOUCH JACOBSON MICRO NEEDLE HOLDERS FLAT HANDLE CURVED WITH CATCH 6.75 IN SS LATEX NON STERILE</t>
  </si>
  <si>
    <t>HOLDER, NEEDLE, JACOBSON, MICRO, 6.75 IN, WITH CATCH, CURVED, FLAT HANDLE, STAINLESS STEEL, NON STERILE, DELICATE TOUCH, LATEX</t>
  </si>
  <si>
    <t>HOLDER, NDL, JACOBSON, MIC, 6.75 IN, W/ CTCH, CRV, FLAT HNDL, SS, NS, DEL TCH, LTX</t>
  </si>
  <si>
    <t xml:space="preserve">HOLDER, NDL, JACOBSON, MIC, 6.75 IN, W/ CTCH, CRV, FLAT, SS, DEL TCH </t>
  </si>
  <si>
    <t>http://www.lt-technologies.de/_ws/mediabase/_ts_1494230442000/Downloads/CardioCatalog_LIT12012_low-res.pdf, https://accessgudid.nlm.nih.gov/devices/10885403020117</t>
  </si>
  <si>
    <t>CH0676</t>
  </si>
  <si>
    <t>BD_CH0676</t>
  </si>
  <si>
    <t>PRODIGO1056580</t>
  </si>
  <si>
    <t>DELICATE TOUCH JACOBSON MICRO NEEDLE HOLDERS FLAT HANDLE CURVED WITHOUT CATCH 6.75 IN SS LATEX NON STERILE</t>
  </si>
  <si>
    <t>HOLDER, NEEDLE, JACOBSON, MICRO, 6.75 IN, WITHOUT CATCH, CURVED, FLAT HANDLE, STAINLESS STEEL, NON STERILE, DELICATE TOUCH, LATEX</t>
  </si>
  <si>
    <t>HOLDER, NDL, JACOBSON, MIC, 6.75 IN, W/O CTCH, CRV, FLAT HNDL, SS, NS, DEL TCH, LTX</t>
  </si>
  <si>
    <t xml:space="preserve">HOLDER, NDL, JACOBSON, MIC, 6.75 IN, W/O CTCH, CRV, SS, DEL TCH </t>
  </si>
  <si>
    <t>http://www.lt-technologies.de/_ws/mediabase/_ts_1494230442000/Downloads/CardioCatalog_LIT12012_low-res.pdf, https://accessgudid.nlm.nih.gov/devices/10885403020124</t>
  </si>
  <si>
    <t>CH0694</t>
  </si>
  <si>
    <t>BD_CH0694</t>
  </si>
  <si>
    <t>DEL TOUCH JACOBSON NDL HOLDER CVD 7-1/4</t>
  </si>
  <si>
    <t>PRODIGO1056585</t>
  </si>
  <si>
    <t>DELICATE TOUCH JACOBSON MICRO NEEDLE HOLDERS FLAT HANDLE CURVED WITH CATCH 7.25 IN SS LATEX NON STERILE</t>
  </si>
  <si>
    <t>HOLDER, NEEDLE, JACOBSON, MICRO, 7.25 IN, WITH CATCH, CURVED, FLAT HANDLE, STAINLESS STEEL, NON STERILE, DELICATE TOUCH, LATEX</t>
  </si>
  <si>
    <t>HOLDER, NDL, JACOBSON, MIC, 7.25 IN, W/ CTCH, CRV, FLAT HNDL, SS, NS, DEL TCH, LTX</t>
  </si>
  <si>
    <t>HOLDER, NDL, JACOBSON, MIC, 7.25 IN, W/ CTCH, CRV, FLAT, SS, DEL TCH</t>
  </si>
  <si>
    <t>http://www.lt-technologies.de/_ws/mediabase/_ts_1494230442000/Downloads/CardioCatalog_LIT12012_low-res.pdf, https://accessgudid.nlm.nih.gov/devices/10885403020193</t>
  </si>
  <si>
    <t>CH06160</t>
  </si>
  <si>
    <t>BD_CH06160</t>
  </si>
  <si>
    <t>DEL TOUCH JACOBSON NDL HOLDER CVD 9-1/2</t>
  </si>
  <si>
    <t>PRODIGO1056563</t>
  </si>
  <si>
    <t>HOLDER NEEDLE JACOBSON 9.5 IN MICRO CURVED WITH LOCK DUST FLAT SPRING HANDLE MIRROR SATIN FINISH STAINLESS STEEL ALUMINUM DELICATE TOUCH</t>
  </si>
  <si>
    <t>HOLDER, NEEDLE, JACOBSON, MICRO, 9.5 IN, CURVED, DUST FLAT, SPRING HANDLE, WITH LOCK, SATIN AND MIRROR FINISH, STAINLESS STEEL, ALUMINUM, NON STERILE, DELICATE TOUCH, LATEX</t>
  </si>
  <si>
    <t>HOLDER, NDL, JACOBSON, MIC, 9.5 IN, CRV, DUST FLAT, SPRING HNDL, W/ LCK, SATIN &amp; MIRROR FINISH, SS, ALUM, NS, DEL TCH, LTX</t>
  </si>
  <si>
    <t>HOLDER, NDL, JACOBSON, MIC, 9.5 IN, CRV, DUST FLAT, SPRING HNDL</t>
  </si>
  <si>
    <t>CURVED, DUST FLAT, SPRING HANDLE, WITH LOCK, SATIN AND MIRROR FINISH</t>
  </si>
  <si>
    <t>STAINLESS STEEL, ALUMINUM</t>
  </si>
  <si>
    <t>https://www.bd.com/en-us/offerings/capabilities/surgical-instruments/open-instrumentation/delicate-touch-jacobson-micro-needle-holders/ch06160, https://accessgudid.nlm.nih.gov/devices/10885403022067</t>
  </si>
  <si>
    <t>CH0670</t>
  </si>
  <si>
    <t>BD_CH0670</t>
  </si>
  <si>
    <t>DEL TOUCH JACOBSON NDL HOLDER STR 6-3/4</t>
  </si>
  <si>
    <t>PRODIGO1056577</t>
  </si>
  <si>
    <t>DELICATE TOUCH JACOBSON MICRO NEEDLE HOLDERS FLAT HANDLE STRAIGHT WITH CATCH 6.75 IN SS LATEX NON STERILE</t>
  </si>
  <si>
    <t>HOLDER, NEEDLE, JACOBSON, MICRO, 6.75 IN, WITH CATCH, STRAIGHT, FLAT HANDLE, STAINLESS STEEL, NON STERILE, DELICATE TOUCH, LATEX</t>
  </si>
  <si>
    <t>HOLDER, NDL, JACOBSON, MIC, 6.75 IN, W/ CTCH, STR, FLAT HNDL, SS, NS, DEL TCH, LTX</t>
  </si>
  <si>
    <t xml:space="preserve">HOLDER, NDL, JACOBSON, MIC, 6.75 IN, W/ CTCH, STR, FLAT, SS, DEL TCH </t>
  </si>
  <si>
    <t>http://www.lt-technologies.de/_ws/mediabase/_ts_1494230442000/Downloads/CardioCatalog_LIT12012_low-res.pdf, https://accessgudid.nlm.nih.gov/devices/10885403020094</t>
  </si>
  <si>
    <t>CH0672</t>
  </si>
  <si>
    <t>BD_CH0672</t>
  </si>
  <si>
    <t>PRODIGO1056578</t>
  </si>
  <si>
    <t>DELICATE TOUCH JACOBSON MICRO NEEDLE HOLDERS FLAT HANDLE STRAIGHT WITHOUT CATCH 6.75 IN SS LATEX NON STERILE</t>
  </si>
  <si>
    <t>HOLDER, NEEDLE, JACOBSON, MICRO, 6.75 IN, WITHOUT CATCH, STRAIGHT, FLAT HANDLE, STAINLESS STEEL, NON STERILE, DELICATE TOUCH, LATEX</t>
  </si>
  <si>
    <t>HOLDER, NDL, JACOBSON, MIC, 6.75 IN, W/O CTCH, STR, FLAT HNDL, SS, NS, DEL TCH, LTX</t>
  </si>
  <si>
    <t xml:space="preserve">HOLDER, NDL, JACOBSON, MIC, 6.75 IN, W/O CTCH, STR, SS, DEL TCH </t>
  </si>
  <si>
    <t>http://www.lt-technologies.de/_ws/mediabase/_ts_1494230442000/Downloads/CardioCatalog_LIT12012_low-res.pdf, https://accessgudid.nlm.nih.gov/devices/10885403020100</t>
  </si>
  <si>
    <t>CH03224</t>
  </si>
  <si>
    <t>BD_CH03224</t>
  </si>
  <si>
    <t>DEL TOUCH JACOBSON NDL HOLDER STR 7-1/4</t>
  </si>
  <si>
    <t>PRODIGO1056501</t>
  </si>
  <si>
    <t>DELICATE TOUCH NEEDLE HOLDER 7-1/4 IN MICRO TITANIUM CARDIOVASCULAR JACOBSON STRAIGHT HANDLE FLAT STYLE WITH LOCK</t>
  </si>
  <si>
    <t>HOLDER, NEEDLE, JACOBSON, MICRO, 7.25 IN, CARDIOVASCULAR, STRAIGHT, FLAT HANDLE, WITH LOCK, TITANIUM, NON STERILE, DELICATE TOUCH, LATEX</t>
  </si>
  <si>
    <t>HOLDER, NDL, JACOBSON, MIC, 7.25 IN, CV, STR, FLAT HNDL, W/ LCK, TI, NS, DEL TCH, LTX</t>
  </si>
  <si>
    <t>HOLDER, NDL, JACOBSON, MIC, 7.25 IN, CV, STR, FLAT HNDL, W/ LCK, TI</t>
  </si>
  <si>
    <t>STRAIGHT, FLAT HANDLE, WITH LOCK</t>
  </si>
  <si>
    <t>https://www.bd.com/en-us/offerings/capabilities/surgical-instruments/open-instrumentation/titanium-delicate-touch-jacobson-micro-needle-holders/ch03224, https://accessgudid.nlm.nih.gov/devices/10885403020490</t>
  </si>
  <si>
    <t>CH0690</t>
  </si>
  <si>
    <t>BD_CH0690</t>
  </si>
  <si>
    <t>PRODIGO1056583</t>
  </si>
  <si>
    <t>DELICATE TOUCH JACOBSON MICRO NEEDLE HOLDERS FLAT HANDLE STRAIGHT WITH CATCH 7.25 IN SS LATEX NON STERILE</t>
  </si>
  <si>
    <t>HOLDER, NEEDLE, JACOBSON, MICRO, 7.25 IN, WITH CATCH, STRAIGHT, FLAT HANDLE, STAINLESS STEEL, NON STERILE, DELICATE TOUCH, LATEX</t>
  </si>
  <si>
    <t>HOLDER, NDL, JACOBSON, MIC, 7.25 IN, W/ CTCH, STR, FLAT HNDL, SS, NS, DEL TCH, LTX</t>
  </si>
  <si>
    <t>HOLDER, NDL, JACOBSON, MIC, 7.25 IN, W/ CTCH, STR, FLAT, SS, DEL TCH</t>
  </si>
  <si>
    <t>http://www.lt-technologies.de/_ws/mediabase/_ts_1494230442000/Downloads/CardioCatalog_LIT12012_low-res.pdf, https://accessgudid.nlm.nih.gov/devices/10885403020179</t>
  </si>
  <si>
    <t>CH0692</t>
  </si>
  <si>
    <t>BD_CH0692</t>
  </si>
  <si>
    <t>SURGICAL NEEDLE HOLDERS</t>
  </si>
  <si>
    <t>PRODIGO1056584</t>
  </si>
  <si>
    <t>DELICATE TOUCH JACOBSON MICRO NEEDLE HOLDERS FLAT HANDLE STRAIGHT WITHOUT CATCH 7.25 IN SS LATEX NON STERILE</t>
  </si>
  <si>
    <t>HOLDER, NEEDLE, JACOBSON, MICRO, 7.25 IN, WITHOUT CATCH, STRAIGHT, FLAT HANDLE, STAINLESS STEEL, NON STERILE, DELICATE TOUCH, LATEX</t>
  </si>
  <si>
    <t>HOLDER, NDL, JACOBSON, MIC, 7.25 IN, W/O CTCH, STR, FLAT HNDL, SS, NS, DEL TCH, LTX</t>
  </si>
  <si>
    <t>HOLDER, NDL, JACOBSON, MIC, 7.25 IN, W/O CTCH, STR, FLAT, SS, DEL TCH</t>
  </si>
  <si>
    <t>http://www.lt-technologies.de/_ws/mediabase/_ts_1494230442000/Downloads/CardioCatalog_LIT12012_low-res.pdf, https://accessgudid.nlm.nih.gov/devices/10885403020186</t>
  </si>
  <si>
    <t>CH06110</t>
  </si>
  <si>
    <t>BD_CH06110</t>
  </si>
  <si>
    <t>DEL TOUCH JACOBSON NDL HOLDER STR 8-1/2</t>
  </si>
  <si>
    <t>PRODIGO1056550</t>
  </si>
  <si>
    <t>HOLDER NEEDLE JACOBSON 8.5 IN MICRO STRAIGHT DUST FLAT WITHOUT LOCK SPRING HANDLE MIRROR SATIN FINISH STAINLESS STEEL DELICATE TOUCH</t>
  </si>
  <si>
    <t>HOLDER, NEEDLE, JACOBSON, MICRO, 8.5 IN, STRAIGHT, SPRING HANDLE, WITHOUT LOCK, SATIN AND MIRROR FINISH, STAINLESS STEEL, NON STERILE, DELICATE TOUCH, LATEX</t>
  </si>
  <si>
    <t>HOLDER, NDL, JACOBSON, MIC, 8.5 IN, STR, SPRING HNDL, W/O LCK, SATIN &amp; MIRROR FINISH, SS, NS, DEL TCH, LTX</t>
  </si>
  <si>
    <t>HOLDER, NDL, JACOBSON, MIC, 8.5 IN, STR, SPRING HNDL, W/O LCK, SS</t>
  </si>
  <si>
    <t>STRAIGHT, SPRING HANDLE, WITHOUT LOCK, SATIN AND MIRROR FINISH</t>
  </si>
  <si>
    <t>https://www.bd.com/en-us/offerings/capabilities/surgical-instruments/open-instrumentation/delicate-touch-jacobson-micro-needle-holders/ch06110, https://accessgudid.nlm.nih.gov/devices/10885403021824</t>
  </si>
  <si>
    <t>CH06158</t>
  </si>
  <si>
    <t>BD_CH06158</t>
  </si>
  <si>
    <t>DEL TOUCH JACOBSON NDL HOLDER STR 9-1/2</t>
  </si>
  <si>
    <t>PRODIGO1056561</t>
  </si>
  <si>
    <t>HOLDER NEEDLE JACOBSON 9.5 IN MICRO STRAIGHT WITH LOCK DUST ROUND SPRING HANDLE MIRROR SATIN FINISH STAINLESS STEEL DELICATE TOUCH</t>
  </si>
  <si>
    <t>HOLDER, NEEDLE, JACOBSON, MICRO, 9.5 IN, STRAIGHT, ROUND SPRING HANDLE, WITH LOCK, SATIN AND MIRROR FINISH, STAINLESS STEEL, NON STERILE, DELICATE TOUCH, LATEX</t>
  </si>
  <si>
    <t>HOLDER, NDL, JACOBSON, MIC, 9.5 IN, STR, RND SPRING HNDL, W/ LCK, SATIN &amp; MIRROR FINISH, SS, NS, DEL TCH, LTX</t>
  </si>
  <si>
    <t>HOLDER, NDL, JACOBSON, MIC, 9.5 IN, STR, RND SPRING HNDL, W/ LCK, SS</t>
  </si>
  <si>
    <t>STRAIGHT, ROUND SPRING HANDLE, WITH LOCK, SATIN AND MIRROR FINISH</t>
  </si>
  <si>
    <t>https://www.bd.com/en-us/offerings/capabilities/surgical-instruments/open-instrumentation/delicate-touch-jacobson-micro-needle-holders/ch06158, https://accessgudid.nlm.nih.gov/devices/10885403022043</t>
  </si>
  <si>
    <t>CH06159</t>
  </si>
  <si>
    <t>BD_CH06159</t>
  </si>
  <si>
    <t>PRODIGO1056562</t>
  </si>
  <si>
    <t>HOLDER NEEDLE JACOBSON 9.5 IN MICRO STRAIGHT DUST FLAT WITHOUT LOCK SPRING HANDLE MIRROR SATIN FINISH STAINLESS STEEL DELICATE TOUCH</t>
  </si>
  <si>
    <t>HOLDER, NEEDLE, JACOBSON, MICRO, 9.5 IN, STRAIGHT, DUST FLAT, SPRING HANDLE, WITHOUT LOCK, SATIN AND MIRROR FINISH, STAINLESS STEEL, NON STERILE, DELICATE TOUCH, LATEX</t>
  </si>
  <si>
    <t>HOLDER, NDL, JACOBSON, MIC, 9.5 IN, STR, DUST FLAT, SPRING HNDL, W/O LCK, SATIN &amp; MIRROR FINISH, SS, NS, DEL TCH, LTX</t>
  </si>
  <si>
    <t>HOLDER, NDL, JACOBSON, MIC, 9.5 IN, STR, DUST FLAT, SPRING HNDL</t>
  </si>
  <si>
    <t>STRAIGHT, DUST FLAT, SPRING HANDLE, WITHOUT LOCK, SATIN AND MIRROR FINISH</t>
  </si>
  <si>
    <t>https://www.bd.com/en-us/offerings/capabilities/surgical-instruments/open-instrumentation/delicate-touch-jacobson-micro-needle-holders/ch06159, https://accessgudid.nlm.nih.gov/devices/10885403022050</t>
  </si>
  <si>
    <t>CH03224S</t>
  </si>
  <si>
    <t>BD_CH03224S</t>
  </si>
  <si>
    <t>DEL TOUCH JACOBSON NH TITAN W/C 7-1/4IN</t>
  </si>
  <si>
    <t>PRODIGO1056502</t>
  </si>
  <si>
    <t>Titanium Delicate Touch JACOBSON Needle Holders Finely tapered jaws. Flat handle. With lock. Straight. Overall length 7-1/4in (18.4cm).</t>
  </si>
  <si>
    <t>HOLDER, NEEDLE, JACOBSON, 7.25 IN, STRAIGHT, FINELY TAPERED JAW, FLAT HANDLE, WITH LOCK, TITANIUM, NON STERILE, DELICATE TOUCH, LATEX</t>
  </si>
  <si>
    <t>HOLDER, NDL, JACOBSON, 7.25 IN, STR, FINELY TAPR JAW, FLAT HNDL, W/ LCK, TI, NS, DEL TCH, LTX</t>
  </si>
  <si>
    <t>HOLDER, NDL, JACOBSON, 7.25 IN, STR, FINELY TAPR JAW, FLAT HNDL, TI</t>
  </si>
  <si>
    <t>STRAIGHT, FINELY TAPERED JAW, FLAT HANDLE, WITH LOCK</t>
  </si>
  <si>
    <t>W/CIN</t>
  </si>
  <si>
    <t>http://www.megamedworld.com/wp-content/uploads/2019/03/VM_KVC-min.pdf, https://accessgudid.nlm.nih.gov/devices/10885403020506</t>
  </si>
  <si>
    <t>CH03234S</t>
  </si>
  <si>
    <t>BD_CH03234S</t>
  </si>
  <si>
    <t>DEL TOUCH JACOBSON NH TITAN W/CTCH 8-1/2</t>
  </si>
  <si>
    <t>PRODIGO1056506</t>
  </si>
  <si>
    <t>Titanium Delicate Touch JACOBSON Needle Holders Finely tapered jaws. Flat handle. With lock. Straight. Overall length 8-1/2in (21.6cm)</t>
  </si>
  <si>
    <t>HOLDER, NEEDLE, JACOBSON, 8.5 IN, STRAIGHT, FINELY TAPERED JAW, FLAT HANDLE, WITH LOCK, TITANIUM, NON STERILE, DELICATE TOUCH, LATEX</t>
  </si>
  <si>
    <t>HOLDER, NDL, JACOBSON, 8.5 IN, STR, FINELY TAPR JAW, FLAT HNDL, W/ LCK, TI, NS, DEL TCH, LTX</t>
  </si>
  <si>
    <t>HOLDER, NDL, JACOBSON, 8.5 IN, STR, FINELY TAPR JAW, FLAT HNDL, TI</t>
  </si>
  <si>
    <t>W/CTCH</t>
  </si>
  <si>
    <t>http://www.megamedworld.com/wp-content/uploads/2019/03/VM_KVC-min.pdf, https://accessgudid.nlm.nih.gov/devices/10885403020582</t>
  </si>
  <si>
    <t>CH06148</t>
  </si>
  <si>
    <t>BD_CH06148</t>
  </si>
  <si>
    <t>DEL TOUCH JACOBSON RING NDL HDLR W/CATCH</t>
  </si>
  <si>
    <t>PRODIGO1056559</t>
  </si>
  <si>
    <t>Delicate Touch JACOBSON Ring-Handled Micro Needle Holders With lock. Mirror and Satin Finish. 7-1/4in (18.4cm).</t>
  </si>
  <si>
    <t>HOLDER, NEEDLE, JACOBSON, MICRO, 7.25 IN, RING HANDLE, WITH LOCK, SATIN AND MIRROR FINISH, NON STERILE, DELICATE TOUCH, LATEX</t>
  </si>
  <si>
    <t>HOLDER, NDL, JACOBSON, MIC, 7.25 IN, RNG HNDL, W/ LCK, SATIN &amp; MIRROR FINISH, NS, DEL TCH, LTX</t>
  </si>
  <si>
    <t>HOLDER, NDL, JACOBSON, MIC, 7.25 IN, RNG HNDL, W/ LCK, DEL TCH</t>
  </si>
  <si>
    <t>RING HANDLE, WITH LOCK, SATIN AND MIRROR FINISH</t>
  </si>
  <si>
    <t>W/CATCH</t>
  </si>
  <si>
    <t>http://www.megamedworld.com/wp-content/uploads/2019/03/VM_KVC-min.pdf, https://accessgudid.nlm.nih.gov/devices/10885403022012</t>
  </si>
  <si>
    <t>CH06152</t>
  </si>
  <si>
    <t>BD_CH06152</t>
  </si>
  <si>
    <t>DEL TOUCH JACOBSON RING NDL HLDR W/CATCH</t>
  </si>
  <si>
    <t>PRODIGO1056560</t>
  </si>
  <si>
    <t>Delicate Touch JACOBSON Ring-Handled Micro Needle Holders With lock. Mirror and Satin Finish. 9in (22.9cm)</t>
  </si>
  <si>
    <t>HOLDER, NEEDLE, JACOBSON, MICRO, 9 IN, RING HANDLE, WITH LOCK, SATIN AND MIRROR FINISH, NON STERILE, DELICATE TOUCH, LATEX</t>
  </si>
  <si>
    <t>HOLDER, NDL, JACOBSON, MIC, 9 IN, RNG HNDL, W/ LCK, SATIN &amp; MIRROR FINISH, NS, DEL TCH, LTX</t>
  </si>
  <si>
    <t>HOLDER, NDL, JACOBSON, MIC, 9 IN, RNG HNDL, W/ LCK, DEL TCH</t>
  </si>
  <si>
    <t>http://www.megamedworld.com/wp-content/uploads/2019/03/VM_KVC-min.pdf, https://accessgudid.nlm.nih.gov/devices/10885403022036</t>
  </si>
  <si>
    <t>CH06100</t>
  </si>
  <si>
    <t>BD_CH06100</t>
  </si>
  <si>
    <t>DEL TOUCH JCBSN MICRO NEEDLE HOLDER STR</t>
  </si>
  <si>
    <t>PRODIGO1056549</t>
  </si>
  <si>
    <t>HOLDER NEEDLE JACOBSON MICRO 8 IN STRAIGHT DUST JAW TEETH FLAT RATCHET SPRING KNURLED HANDLE LOCK SATIN FINISH FOR 5-0 SMALL SUTURE DELICATE TOUCH</t>
  </si>
  <si>
    <t>HOLDER, NEEDLE, JACOBSON, MICRO, 8 IN, STRAIGHT, DUST JAW, FLAT TEETH, RATCHET, SPRING KNURLED HANDLE, LOCK SATIN FINISH FOR 5-0 SMALL SUTURE, NON STERILE, DELICATE TOUCH, LATEX</t>
  </si>
  <si>
    <t>HOLDER, NDL, JACOBSON, MIC, 8 IN, STR, DUST JAW, FLAT TEETH, RATCH, SPRING KNURLED HNDL, LCK SATIN FINISH FOR 5-0 SM SUTURE, NS, DEL TCH, LTX</t>
  </si>
  <si>
    <t>HOLDER, NDL, JACOBSON, MIC, 8 IN, STR, DUST JAW, FLAT TEETH, RATCH</t>
  </si>
  <si>
    <t>STRAIGHT, DUST JAW, FLAT TEETH, RATCHET, SPRING KNURLED HANDLE, LOCK SATIN FINISH FOR 5-0 SMALL SUTURE</t>
  </si>
  <si>
    <t>https://www.bd.com/en-us/products-and-solutions/products/product-page.CH06100, https://accessgudid.nlm.nih.gov/devices/10885403021794</t>
  </si>
  <si>
    <t>CH8225</t>
  </si>
  <si>
    <t>BD_CH8225</t>
  </si>
  <si>
    <t>DEL TOUCH JCBSN NDL HLDR CVD W/CATCH</t>
  </si>
  <si>
    <t>PRODIGO1057232</t>
  </si>
  <si>
    <t>Delicate Touch® JACOBSON Needle Holders With lock. CURVED 12IN</t>
  </si>
  <si>
    <t>HOLDER, NEEDLE, JACOBSON, 12 IN, CURVED, DUST JAW SURFACE, ROUND HANDLE, WITH LOCK, NON STERILE, DELICATE TOUCH, LATEX</t>
  </si>
  <si>
    <t>HOLDER, NDL, JACOBSON, 12 IN, CRV, DUST JAW SURF, RND HNDL, W/ LCK, NS, DEL TCH, LTX</t>
  </si>
  <si>
    <t>HOLDER, NDL, JACOBSON, 12 IN, CRV, DUST JAW SURF, W/ LCK, DEL TCH</t>
  </si>
  <si>
    <t>CURVED, DUST JAW SURFACE, ROUND HANDLE, WITH LOCK</t>
  </si>
  <si>
    <t>https://www.hces.com.sg/wp-content/uploads/2021/04/Cardiovascular-Pages-from-vmueller-snowdenpencer-armamentarium-catalogue-4.pdf, https://accessgudid.nlm.nih.gov/devices/10885403034961</t>
  </si>
  <si>
    <t>CH8210</t>
  </si>
  <si>
    <t>BD_CH8210</t>
  </si>
  <si>
    <t>DEL TOUCH JCBSN NDL HLDR STR W/CATCH</t>
  </si>
  <si>
    <t>PRODIGO1057229</t>
  </si>
  <si>
    <t>Delicate Touch® JACOBSON Needle Holders With lock. StraighT 10IN</t>
  </si>
  <si>
    <t>HOLDER, NEEDLE, JACOBSON, 10 IN, STRAIGHT, DUST JAW SURFACE, ROUND HANDLE, WITH LOCK, NON STERILE, DELICATE TOUCH, LATEX</t>
  </si>
  <si>
    <t>HOLDER, NDL, JACOBSON, 10 IN, STR, DUST JAW SURF, RND HNDL, W/ LCK, NS, DEL TCH, LTX</t>
  </si>
  <si>
    <t>HOLDER, NDL, JACOBSON, 10 IN, STR, DUST JAW SURF, RND, LCK, DEL TCH</t>
  </si>
  <si>
    <t>STRAIGHT, DUST JAW SURFACE, ROUND HANDLE, WITH LOCK</t>
  </si>
  <si>
    <t>https://www.hces.com.sg/wp-content/uploads/2021/04/Cardiovascular-Pages-from-vmueller-snowdenpencer-armamentarium-catalogue-4.pdf, https://accessgudid.nlm.nih.gov/devices/10885403034909</t>
  </si>
  <si>
    <t>CH8218</t>
  </si>
  <si>
    <t>BD_CH8218</t>
  </si>
  <si>
    <t>PRODIGO1057231</t>
  </si>
  <si>
    <t>Delicate Touch® JACOBSON Needle Holders With lock. StraighT 12IN</t>
  </si>
  <si>
    <t>HOLDER, NEEDLE, JACOBSON, 12 IN, STRAIGHT, DUST JAW SURFACE, ROUND HANDLE, WITH LOCK, NON STERILE, DELICATE TOUCH, LATEX</t>
  </si>
  <si>
    <t>HOLDER, NDL, JACOBSON, 12 IN, STR, DUST JAW SURF, RND HNDL, W/ LCK, NS, DEL TCH, LTX</t>
  </si>
  <si>
    <t>HOLDER, NDL, JACOBSON, 12 IN, STR, DUST JAW SURF, RND, LCK, DEL TCH</t>
  </si>
  <si>
    <t>https://www.hces.com.sg/wp-content/uploads/2021/04/Cardiovascular-Pages-from-vmueller-snowdenpencer-armamentarium-catalogue-4.pdf, https://accessgudid.nlm.nih.gov/devices/10885403034947</t>
  </si>
  <si>
    <t>CH8212</t>
  </si>
  <si>
    <t>BD_CH8212</t>
  </si>
  <si>
    <t>DEL TOUCH JCBSN NDL HLDR STR W/O CATCH</t>
  </si>
  <si>
    <t>PRODIGO1057230</t>
  </si>
  <si>
    <t>Delicate Touch® JACOBSON Needle Holders WithOUT lock. StraighT 10IN</t>
  </si>
  <si>
    <t>HOLDER, NEEDLE, JACOBSON, 10 IN, STRAIGHT, DUST JAW SURFACE, ROUND HANDLE, WITHOUT LOCK, NON STERILE, DELICATE TOUCH, LATEX</t>
  </si>
  <si>
    <t>HOLDER, NDL, JACOBSON, 10 IN, STR, DUST JAW SURF, RND HNDL, W/O LCK, NS, DEL TCH, LTX</t>
  </si>
  <si>
    <t>HOLDER, NDL, JACOBSON, 10 IN, STR, DUST JAW SURF, W/O LCK, DEL TCH</t>
  </si>
  <si>
    <t>STRAIGHT, DUST JAW SURFACE, ROUND HANDLE, WITHOUT LOCK</t>
  </si>
  <si>
    <t>https://www.hces.com.sg/wp-content/uploads/2021/04/Cardiovascular-Pages-from-vmueller-snowdenpencer-armamentarium-catalogue-4.pdf, https://accessgudid.nlm.nih.gov/devices/10885403034916</t>
  </si>
  <si>
    <t>CH03228</t>
  </si>
  <si>
    <t>BD_CH03228</t>
  </si>
  <si>
    <t>DEL TOUCH JCBSN NDL HLDR TITAN CVD 7-1/4</t>
  </si>
  <si>
    <t>PRODIGO1056504</t>
  </si>
  <si>
    <t>DELICATE TOUCH NEEDLE HOLDER 7-1/4 IN MICRO TITANIUM CARDIOVASCULAR JACOBSON CURVED HANDLE FLAT STYLE WITH LOCK</t>
  </si>
  <si>
    <t>HOLDER, NEEDLE, JACOBSON, MICRO, 7.25 IN, CARDIOVASCULAR, CURVED, FLAT HANDLE, WITH LOCK, TITANIUM, NON STERILE, DELICATE TOUCH, LATEX</t>
  </si>
  <si>
    <t>HOLDER, NDL, JACOBSON, MIC, 7.25 IN, CV, CRV, FLAT HNDL, W/ LCK, TI, NS, DEL TCH, LTX</t>
  </si>
  <si>
    <t>HOLDER, NDL, JACOBSON, MIC, 7.25 IN, CV, CRV, FLAT HNDL, W/ LCK, TI</t>
  </si>
  <si>
    <t>CURVED, FLAT HANDLE, WITH LOCK</t>
  </si>
  <si>
    <t>https://www.bd.com/en-us/offerings/capabilities/surgical-instruments/open-instrumentation/titanium-delicate-touch-jacobson-micro-needle-holders/ch03228, https://accessgudid.nlm.nih.gov/devices/10885403020537</t>
  </si>
  <si>
    <t>CH03226</t>
  </si>
  <si>
    <t>BD_CH03226</t>
  </si>
  <si>
    <t>DEL TOUCH JCBSN NDL HLDR TITAN STR 7-1/4</t>
  </si>
  <si>
    <t>PRODIGO1056503</t>
  </si>
  <si>
    <t>TITANIUM DELICATE TOUCH JACOBSON NEEDLE HOLDERS FLAT HANDLE STRAIGHT WITHOUT LOCK OVERALL LENGTH 18.4CM HOLDER NEEDLE JACOBSON 18.4 CM FLAT HANDLE STRAIGHT WITHOUT LOCK TITANIUM DELICATE TOUCH</t>
  </si>
  <si>
    <t>HOLDER, NEEDLE, JACOBSON, 7.25 IN, STRAIGHT, FLAT HANDLE, WITHOUT LOCK, TITANIUM, NON STERILE, DELICATE TOUCH, LATEX</t>
  </si>
  <si>
    <t>HOLDER, NDL, JACOBSON, 7.25 IN, STR, FLAT HNDL, W/O LCK, TI, NS, DEL TCH, LTX</t>
  </si>
  <si>
    <t>HOLDER, NDL, JACOBSON, 7.25 IN, STR, FLAT HNDL, W/O LCK, TI, DEL TCH</t>
  </si>
  <si>
    <t>STRAIGHT, FLAT HANDLE, WITHOUT LOCK</t>
  </si>
  <si>
    <t>http://www.megamedworld.com/wp-content/uploads/2019/03/VM_KVC-min.pdf, https://accessgudid.nlm.nih.gov/devices/10885403020513</t>
  </si>
  <si>
    <t>CH03234</t>
  </si>
  <si>
    <t>BD_CH03234</t>
  </si>
  <si>
    <t>DEL TOUCH JCBSN NDL HLDR TITAN STR 8-1/2</t>
  </si>
  <si>
    <t>PRODIGO1056505</t>
  </si>
  <si>
    <t>DELICATE TOUCH NEEDLE HOLDER 8 -1/2 IN MICRO TITANIUM CARDIOVASCULAR JACOBSON STRAIGHT HANDLE FLAT STYLE WITH LOCK</t>
  </si>
  <si>
    <t>HOLDER, NEEDLE, JACOBSON, MICRO, 8.5 IN, CARDIOVASCULAR, STRAIGHT, FLAT HANDLE, WITH LOCK, TITANIUM, NON STERILE, DELICATE TOUCH, LATEX</t>
  </si>
  <si>
    <t>HOLDER, NDL, JACOBSON, MIC, 8.5 IN, CV, STR, FLAT HNDL, W/ LCK, TI, NS, DEL TCH, LTX</t>
  </si>
  <si>
    <t>HOLDER, NDL, JACOBSON, MIC, 8.5 IN, CV, STR, FLAT HNDL, W/ LCK, TI</t>
  </si>
  <si>
    <t>https://www.bd.com/en-us/offerings/capabilities/surgical-instruments/open-instrumentation/titanium-delicate-touch-jacobson-micro-needle-holders/ch03234, https://accessgudid.nlm.nih.gov/devices/10885403020575</t>
  </si>
  <si>
    <t>CH06125</t>
  </si>
  <si>
    <t>BD_CH06125</t>
  </si>
  <si>
    <t>DEL TOUCH JCBSN NEEDLE HOLDER CVD 8-1/4</t>
  </si>
  <si>
    <t>PRODIGO1056555</t>
  </si>
  <si>
    <t>HOLDER NEEDLE JACOBSON 8.25 IN MICRO CURVED WITH LOCK DUST ROUND SPRING HANDLE MIRROR SATIN FINISH STAINLESS STEEL DELICATE TOUCH</t>
  </si>
  <si>
    <t>HOLDER, NEEDLE, JACOBSON, MICRO, 8.25 IN, CURVED, SPRING HANDLE, WITH LOCK ROUND, SATIN AND MIRROR FINISH, STAINLESS STEEL, NON STERILE, DELICATE TOUCH, LATEX</t>
  </si>
  <si>
    <t>HOLDER, NDL, JACOBSON, MIC, 8.25 IN, CRV, SPRING HNDL, W/ LCK RND, SATIN &amp; MIRROR FINISH, SS, NS, DEL TCH, LTX</t>
  </si>
  <si>
    <t>HOLDER, NDL, JACOBSON, MIC, 8.25 IN, CRV, SPRING HNDL, W/ LCK RND</t>
  </si>
  <si>
    <t>CURVED, SPRING HANDLE, WITH LOCK ROUND, SATIN AND MIRROR FINISH</t>
  </si>
  <si>
    <t>https://www.bd.com/en-us/offerings/capabilities/surgical-instruments/open-instrumentation/delicate-touch-jacobson-micro-needle-holders/ch06125, https://accessgudid.nlm.nih.gov/devices/10885403021947</t>
  </si>
  <si>
    <t>CH06126</t>
  </si>
  <si>
    <t>BD_CH06126</t>
  </si>
  <si>
    <t>PRODIGO1056556</t>
  </si>
  <si>
    <t>Delicate Touch JACOBSON Micro Needle Holders Round handle. Spiral cut. Mirror and Satin Finish. Overall length 8-1/4in (21cm). Curved. Without lock.</t>
  </si>
  <si>
    <t>HOLDER, NEEDLE, JACOBSON, MICRO, 8.25 IN, CURVED, ROUND HANDLE, SPIRAL CUT, WITHOUT LOCK, SATIN AND MIRROR FINISH, NON STERILE, DELICATE TOUCH, LATEX</t>
  </si>
  <si>
    <t>HOLDER, NDL, JACOBSON, MIC, 8.25 IN, CRV, RND HNDL, SPRL CUT, W/O LCK, SATIN &amp; MIRROR FINISH, NS, DEL TCH, LTX</t>
  </si>
  <si>
    <t>HOLDER, NDL, JACOBSON, MIC, 8.25 IN, CRV, RND HNDL, SPRL CUT</t>
  </si>
  <si>
    <t>CURVED, ROUND HANDLE, SPIRAL CUT, WITHOUT LOCK, SATIN AND MIRROR FINISH</t>
  </si>
  <si>
    <t>http://www.megamedworld.com/wp-content/uploads/2019/03/VM_KVC-min.pdf, https://accessgudid.nlm.nih.gov/devices/10885403021954</t>
  </si>
  <si>
    <t>CH06127</t>
  </si>
  <si>
    <t>BD_CH06127</t>
  </si>
  <si>
    <t>PRODIGO1056557</t>
  </si>
  <si>
    <t>Delicate Touch JACOBSON Micro Needle Holders Round handle. Mirror and Satin Finish. Curved. Without lock. Overall length 8-1/4in (21cm).</t>
  </si>
  <si>
    <t>HOLDER, NEEDLE, JACOBSON, MICRO, 8.25 IN, CURVED, ROUND HANDLE, WITHOUT LOCK, SATIN AND MIRROR FINISH, NON STERILE, DELICATE TOUCH, LATEX</t>
  </si>
  <si>
    <t>HOLDER, NDL, JACOBSON, MIC, 8.25 IN, CRV, RND HNDL, W/O LCK, SATIN &amp; MIRROR FINISH, NS, DEL TCH, LTX</t>
  </si>
  <si>
    <t>HOLDER, NDL, JACOBSON, MIC, 8.25 IN, CRV, RND HNDL, W/O LCK, DEL TCH</t>
  </si>
  <si>
    <t>CURVED, ROUND HANDLE, WITHOUT LOCK, SATIN AND MIRROR FINISH</t>
  </si>
  <si>
    <t>http://www.megamedworld.com/wp-content/uploads/2019/03/VM_KVC-min.pdf, https://accessgudid.nlm.nih.gov/devices/10885403021961</t>
  </si>
  <si>
    <t>CH0682</t>
  </si>
  <si>
    <t>BD_CH0682</t>
  </si>
  <si>
    <t>DEL TOUCH JCBSN NEEDLE HOLDER STR 7-1/4</t>
  </si>
  <si>
    <t>PRODIGO1056581</t>
  </si>
  <si>
    <t>DELICATE TOUCH JACOBSON MICRO NEEDLE HOLDERS ROUND HANDLE MIRROR AND SATIN FINISH STRAIGHT WITH CATCH 7.25 IN STAINLESS STEEL TUNGSTEN CARBIDE LATEX NON STERILE</t>
  </si>
  <si>
    <t>HOLDER, NEEDLE, JACOBSON, MICRO, 7.25 IN, WITH CATCH, STRAIGHT, ROUND HANDLE, MIRROR AND SATIN FINISH, STAINLESS STEEL, TUNGSTEN CARBIDE, NON STERILE, DELICATE TOUCH, LATEX</t>
  </si>
  <si>
    <t>HOLDER, NDL, JACOBSON, MIC, 7.25 IN, W/ CTCH, STR, RND HNDL, MIRROR &amp; SATIN FINISH, SS, TUNGSTEN CARBIDE, NS, DEL TCH, LTX</t>
  </si>
  <si>
    <t>HOLDER, NDL, JACOBSON, MIC, 7.25 IN, W/ CTCH, STR, RND, SS, DEL TCH</t>
  </si>
  <si>
    <t>WITH CATCH, STRAIGHT, ROUND HANDLE, MIRROR AND SATIN FINISH</t>
  </si>
  <si>
    <t>STAINLESS STEEL, TUNGSTEN CARBIDE</t>
  </si>
  <si>
    <t>http://www.lt-technologies.de/_ws/mediabase/_ts_1494230442000/Downloads/CardioCatalog_LIT12012_low-res.pdf, https://accessgudid.nlm.nih.gov/devices/10885403020131</t>
  </si>
  <si>
    <t>CH0684</t>
  </si>
  <si>
    <t>BD_CH0684</t>
  </si>
  <si>
    <t>PRODIGO1056582</t>
  </si>
  <si>
    <t>DELICATE TOUCH JACOBSON MICRO NEEDLE HOLDERS ROUND HANDLE MIRROR AND SATIN FINISH STRAIGHT WITHOUT CATCH 7.25 IN STAINLESS STEEL TUNGSTEN CARBIDE LATEX NON STERILE</t>
  </si>
  <si>
    <t>HOLDER, NEEDLE, JACOBSON, MICRO, 7.25 IN, WITHOUT CATCH, STRAIGHT, ROUND HANDLE, MIRROR AND SATIN FINISH, STAINLESS STEEL, TUNGSTEN CARBIDE, NON STERILE, DELICATE TOUCH, LATEX</t>
  </si>
  <si>
    <t>HOLDER, NDL, JACOBSON, MIC, 7.25 IN, W/O CTCH, STR, RND HNDL, MIRROR &amp; SATIN FINISH, SS, TUNGSTEN CARBIDE, NS, DEL TCH, LTX</t>
  </si>
  <si>
    <t>HOLDER, NDL, JACOBSON, MIC, 7.25 IN, W/O CTCH, STR, RND, SS, DEL TCH</t>
  </si>
  <si>
    <t>WITHOUT CATCH, STRAIGHT, ROUND HANDLE, MIRROR AND SATIN FINISH</t>
  </si>
  <si>
    <t>http://www.lt-technologies.de/_ws/mediabase/_ts_1494230442000/Downloads/CardioCatalog_LIT12012_low-res.pdf, https://accessgudid.nlm.nih.gov/devices/10885403020148</t>
  </si>
  <si>
    <t>CH06120</t>
  </si>
  <si>
    <t>BD_CH06120</t>
  </si>
  <si>
    <t>DEL TOUCH JCBSN NEEDLE HOLDER STR 8-1/4</t>
  </si>
  <si>
    <t>PRODIGO1056551</t>
  </si>
  <si>
    <t>HOLDER NEEDLE JACOBSON 8.25 IN MICRO STRAIGHT DUST ROUND SPRING HANDLE WITH LOCK MIRROR SATIN FINISH STAINLESS STEEL DELICATE TOUCH</t>
  </si>
  <si>
    <t>HOLDER, NEEDLE, JACOBSON, MICRO, 8.25 IN, STRAIGHT, ROUND SPRING HANDLE, WITH LOCK, SATIN AND MIRROR FINISH, STAINLESS STEEL, NON STERILE, DELICATE TOUCH, LATEX</t>
  </si>
  <si>
    <t>HOLDER, NDL, JACOBSON, MIC, 8.25 IN, STR, RND SPRING HNDL, W/ LCK, SATIN &amp; MIRROR FINISH, SS, NS, DEL TCH, LTX</t>
  </si>
  <si>
    <t>HOLDER, NDL, JACOBSON, MIC, 8.25 IN, STR, RND SPRING HNDL, W/ LCK</t>
  </si>
  <si>
    <t>https://www.bd.com/en-us/offerings/capabilities/surgical-instruments/open-instrumentation/delicate-touch-jacobson-micro-needle-holders/ch06120, https://accessgudid.nlm.nih.gov/devices/10885403021893</t>
  </si>
  <si>
    <t>CH06121</t>
  </si>
  <si>
    <t>BD_CH06121</t>
  </si>
  <si>
    <t>PRODIGO1056552</t>
  </si>
  <si>
    <t>HOLDER NEEDLE JACOBSON 8.25 IN MICRO STRAIGHT WITH LOCK DUST ROUND SPRING HANDLE MIRROR SATIN FINISH STAINLESS STEEL DELICATE TOUCH</t>
  </si>
  <si>
    <t>HOLDER, NEEDLE, JACOBSON, MICRO, 8.25 IN, STRAIGHT, ROUND SPRING HANDLE, WITH LOCK , SATIN AND MIRROR FINISH, STAINLESS STEEL, NON STERILE, DELICATE TOUCH, LATEX</t>
  </si>
  <si>
    <t>HOLDER, NDL, JACOBSON, MIC, 8.25 IN, STR, RND SPRING HNDL, W/ LCK , SATIN &amp; MIRROR FINISH, SS, NS, DEL TCH, LTX</t>
  </si>
  <si>
    <t xml:space="preserve">HOLDER, NDL, JACOBSON, MIC, 8.25 IN, STR, RND SPRING HNDL, W/ LCK </t>
  </si>
  <si>
    <t>STRAIGHT, ROUND SPRING HANDLE, WITH LOCK , SATIN AND MIRROR FINISH</t>
  </si>
  <si>
    <t>https://www.bd.com/en-us/offerings/capabilities/surgical-instruments/open-instrumentation/delicate-touch-jacobson-micro-needle-holders/ch06121, https://accessgudid.nlm.nih.gov/devices/10885403021909</t>
  </si>
  <si>
    <t>CH06122</t>
  </si>
  <si>
    <t>BD_CH06122</t>
  </si>
  <si>
    <t>PRODIGO1056553</t>
  </si>
  <si>
    <t>HOLDER NEEDLE JACOBSON 8.25 IN MICRO STRAIGHT DUST ROUND SPRING HANDLE WITHOUT LOCK MIRROR SATIN FINISH STAINLESS STEEL DELICATE TOUCH</t>
  </si>
  <si>
    <t>HOLDER, NEEDLE, JACOBSON, MICRO, 8.25 IN, STRAIGHT, ROUND SPRING HANDLE, WITHOUT LOCK, SATIN AND MIRROR FINISH, STAINLESS STEEL, NON STERILE, DELICATE TOUCH, LATEX</t>
  </si>
  <si>
    <t>HOLDER, NDL, JACOBSON, MIC, 8.25 IN, STR, RND SPRING HNDL, W/O LCK, SATIN &amp; MIRROR FINISH, SS, NS, DEL TCH, LTX</t>
  </si>
  <si>
    <t>HOLDER, NDL, JACOBSON, MIC, 8.25 IN, STR, RND SPRING HNDL, W/O LCK</t>
  </si>
  <si>
    <t>STRAIGHT, ROUND SPRING HANDLE, WITHOUT LOCK, SATIN AND MIRROR FINISH</t>
  </si>
  <si>
    <t>https://www.bd.com/en-us/offerings/capabilities/surgical-instruments/open-instrumentation/delicate-touch-jacobson-micro-needle-holders/ch06122, https://accessgudid.nlm.nih.gov/devices/10885403021916</t>
  </si>
  <si>
    <t>CH06123</t>
  </si>
  <si>
    <t>BD_CH06123</t>
  </si>
  <si>
    <t>PRODIGO1056554</t>
  </si>
  <si>
    <t>DELICATE TOUCH NEEDLE HOLDER 8-1/4 IN MICRO SHORT STAINLESS-STEEL CARDIOVASCULAR JACOBSON STRAIGHT DUSTED TEETH SATIN FINISH SPRING HANDLE ROUND STYLE WITH LOCK</t>
  </si>
  <si>
    <t>HOLDER, NEEDLE, JACOBSON, MICRO, 8.25 IN, CARDIOVASCULAR, STRAIGHT, DUST TEETH, ROUND HANDLE, WITH LOCK, SATIN FINISH, STAINLESS-STEEL, NON STERILE, DELICATE TOUCH, LATEX</t>
  </si>
  <si>
    <t>HOLDER, NEEDLE, JACOBSON, MICRO, 8.25 IN, CARDIOVASCULAR, STRAIGHT, DUST TEETH, ROUND HANDLE, WITH LOCK, SATIN FINISH, STAINLESS STEEL, NON STERILE, DELICATE TOUCH, LATEX</t>
  </si>
  <si>
    <t>HOLDER, NDL, JACOBSON, MIC, 8.25 IN, CV, STR, DUST TEETH, RND HNDL, W/ LCK, SATIN FINISH, STAINLESS STEEL, NS, DEL TCH, LTX</t>
  </si>
  <si>
    <t>HOLDER, NDL, JACOBSON, MIC, 8.25 IN, CV, STR, DUST TEETH, RND HNDL</t>
  </si>
  <si>
    <t>STRAIGHT, DUST TEETH, ROUND HANDLE, WITH LOCK, SATIN FINISH</t>
  </si>
  <si>
    <t>https://www.bd.com/en-us/offerings/capabilities/surgical-instruments/open-instrumentation/delicate-touch-jacobson-micro-needle-holders/ch06123, https://accessgudid.nlm.nih.gov/devices/10885403021923</t>
  </si>
  <si>
    <t>CH06130</t>
  </si>
  <si>
    <t>BD_CH06130</t>
  </si>
  <si>
    <t>DEL TOUCH JCBSN NEEDLE HOLDER STR 9IN</t>
  </si>
  <si>
    <t>PRODIGO1056558</t>
  </si>
  <si>
    <t>HOLDER NEEDLE JACOBSON 9 IN MICRO STRAIGHT DUST ROUND SPRING HANDLE WITHOUT LOCK MIRROR SATIN FINISH STAINLESS STEEL DELICATE TOUCH</t>
  </si>
  <si>
    <t>HOLDER, NEEDLE, JACOBSON, MICRO, 9 IN, STRAIGHT, ROUND SPRING HANDLE, WITHOUT LOCK, SATIN AND MIRROR FINISH, STAINLESS STEEL, NON STERILE, DELICATE TOUCH, LATEX</t>
  </si>
  <si>
    <t>HOLDER, NDL, JACOBSON, MIC, 9 IN, STR, RND SPRING HNDL, W/O LCK, SATIN &amp; MIRROR FINISH, SS, NS, DEL TCH, LTX</t>
  </si>
  <si>
    <t>HOLDER, NDL, JACOBSON, MIC, 9 IN, STR, RND SPRING HNDL, W/O LCK, SS</t>
  </si>
  <si>
    <t>https://www.bd.com/en-us/offerings/capabilities/surgical-instruments/open-instrumentation/delicate-touch-jacobson-micro-needle-holders/ch06130, https://accessgudid.nlm.nih.gov/devices/10885403021985</t>
  </si>
  <si>
    <t>CH04250</t>
  </si>
  <si>
    <t>BD_CH04250</t>
  </si>
  <si>
    <t>DEL TOUCH MICRO FORCEP LTWT 1MM RING TIP</t>
  </si>
  <si>
    <t>PRODIGO1056533</t>
  </si>
  <si>
    <t>Delicate Touch Micro Forceps Lightweight. Straight. Round handle. Satin and Mirror finish. 1mm ring tips. Overall length 7-1/8in (18.1cm)</t>
  </si>
  <si>
    <t>FORCEP, SURGICAL, STRAIGHT, MICRO, 1 MM, 7-1/8 IN, LIGHTWEIGHT, ROUND HANDLE, SATIN AND MIRROR FINISH, RING TIP, NON STERILE, DELICATE TOUCH, LATEX</t>
  </si>
  <si>
    <t>FORCEP, SURG, STR, MIC, 1 MM, 7-1/8 IN, LIGHTWEIGHT, RND HNDL, SATIN &amp; MIRROR FINISH, RNG TIP, NS, DEL TCH, LTX</t>
  </si>
  <si>
    <t>FORCEP, SURG, STR, MIC, 1 MM, 7-1/8 IN, LIGHTWEIGHT, RND HNDL, RNG</t>
  </si>
  <si>
    <t>LIGHTWEIGHT, ROUND HANDLE, SATIN AND MIRROR FINISH, RING TIP</t>
  </si>
  <si>
    <t>http://www.megamedworld.com/wp-content/uploads/2019/03/VM_KVC-min.pdf, https://accessgudid.nlm.nih.gov/devices/10885403021183</t>
  </si>
  <si>
    <t>CH04252</t>
  </si>
  <si>
    <t>BD_CH04252</t>
  </si>
  <si>
    <t>PRODIGO1056534</t>
  </si>
  <si>
    <t>DELICATE TOUCH MICRO FORCEPS LIGHTWEIGHT STRAIGHT ROUND HANDLE SATIN AND MIRROR FINISH 1MM RING TIPS OVERALL LENGTH 21CM FORCEP SURGICAL 1 MM MICRO 21 CM LIGHTWEIGHT STRAIGHT ROUND HANDLE SATIN AND MIRROR FINISH RING TIP DELICATE TOUCH</t>
  </si>
  <si>
    <t>FORCEP, SURGICAL, STRAIGHT, MICRO, 1 MM, 8.25 IN, LIGHTWEIGHT, ROUND HANDLE, SATIN AND MIRROR FINISH, RING TIP, NON STERILE, DELICATE TOUCH, LATEX</t>
  </si>
  <si>
    <t>FORCEP, SURG, STR, MIC, 1 MM, 8.25 IN, LIGHTWEIGHT, RND HNDL, SATIN &amp; MIRROR FINISH, RNG TIP, NS, DEL TCH, LTX</t>
  </si>
  <si>
    <t>FORCEP, SURG, STR, MIC, 1 MM, 8.25 IN, LIGHTWEIGHT, RND HNDL, RNG</t>
  </si>
  <si>
    <t>http://www.megamedworld.com/wp-content/uploads/2019/03/VM_KVC-min.pdf, https://accessgudid.nlm.nih.gov/devices/10885403021190</t>
  </si>
  <si>
    <t>CH04260</t>
  </si>
  <si>
    <t>BD_CH04260</t>
  </si>
  <si>
    <t>DEL TOUCH MICRO FORCEP LTWT PLATFORM TIP</t>
  </si>
  <si>
    <t>PRODIGO1056535</t>
  </si>
  <si>
    <t>DELICATE TOUCH MICRO FORCEPS LIGHTWEIGHT STRAIGHT PLATFORM TIPS ROUND HANDLE MIRROR AND SATIN FINISH OVERALL LENGTH 18.1CM FORCEP SURGICAL MICRO 18.1 CM LIGHTWEIGHT STRAIGHT ROUND HANDLE SATIN AND MIRROR FINISH PLATFORM TIP DELICATE TOUCH</t>
  </si>
  <si>
    <t>FORCEP, SURGICAL, STRAIGHT, MICRO, 7-1/8 IN, LIGHTWEIGHT, ROUND HANDLE, SATIN AND MIRROR FINISH, PLATFORM TIP, NON STERILE, DELICATE TOUCH, LATEX</t>
  </si>
  <si>
    <t>FORCEP, SURG, STR, MIC, 7-1/8 IN, LIGHTWEIGHT, RND HNDL, SATIN &amp; MIRROR FINISH, PLATFORM TIP, NS, DEL TCH, LTX</t>
  </si>
  <si>
    <t>FORCEP, SURG, STR, MIC, 7-1/8 IN, LIGHTWEIGHT, RND HNDL, PLATFORM</t>
  </si>
  <si>
    <t>LIGHTWEIGHT, ROUND HANDLE, SATIN AND MIRROR FINISH, PLATFORM TIP</t>
  </si>
  <si>
    <t>http://www.megamedworld.com/wp-content/uploads/2019/03/VM_KVC-min.pdf, https://accessgudid.nlm.nih.gov/devices/10885403021725</t>
  </si>
  <si>
    <t>CH04262</t>
  </si>
  <si>
    <t>BD_CH04262</t>
  </si>
  <si>
    <t>PRODIGO1056536</t>
  </si>
  <si>
    <t>Delicate Touch Micro Forceps Lightweight. Straight. Platform tips. Round handle. Mirror and Satin Finish. 8-1/4in (21cm)</t>
  </si>
  <si>
    <t>FORCEP, SURGICAL, STRAIGHT, MICRO, 8.25 IN, LIGHTWEIGHT, ROUND HANDLE, SATIN AND MIRROR FINISH, PLATFORM TIP, NON STERILE, DELICATE TOUCH, LATEX</t>
  </si>
  <si>
    <t>FORCEP, SURG, STR, MIC, 8.25 IN, LIGHTWEIGHT, RND HNDL, SATIN &amp; MIRROR FINISH, PLATFORM TIP, NS, DEL TCH, LTX</t>
  </si>
  <si>
    <t>FORCEP, SURG, STR, MIC, 8.25 IN, LIGHTWEIGHT, RND HNDL, PLATFORM</t>
  </si>
  <si>
    <t>http://www.megamedworld.com/wp-content/uploads/2019/03/VM_KVC-min.pdf, https://accessgudid.nlm.nih.gov/devices/10885403021732</t>
  </si>
  <si>
    <t>CH0497</t>
  </si>
  <si>
    <t>BD_CH0497</t>
  </si>
  <si>
    <t>DEL TOUCH MICRO FORCEP LTWT STR RND HNDL</t>
  </si>
  <si>
    <t>PRODIGO1056546</t>
  </si>
  <si>
    <t>DELICATE TOUCH MICRO FORCEPS ROUND HANDLE LIGHTWEIGHT STRAIGHT OVERALL LENGTH 18.1CM FORCEP SURGICAL MICRO 18.1 CM ROUND HANDLE LIGHTWEIGHT STRAIGHT DELICATE TOUCH</t>
  </si>
  <si>
    <t>FORCEP, SURGICAL, STRAIGHT, MICRO, 7-1/8 IN, LIGHTWEIGHT, ROUND HANDLE, NON STERILE, DELICATE TOUCH, LATEX</t>
  </si>
  <si>
    <t>FORCEP, SURG, STR, MIC, 7-1/8 IN, LIGHTWEIGHT, RND HNDL, NS, DEL TCH, LTX</t>
  </si>
  <si>
    <t>FORCEP, SURG, STR, MIC, 7-1/8 IN, LIGHTWEIGHT, RND HNDL, DEL TCH</t>
  </si>
  <si>
    <t>LIGHTWEIGHT, ROUND HANDLE</t>
  </si>
  <si>
    <t>http://www.megamedworld.com/wp-content/uploads/2019/03/VM_KVC-min.pdf, https://accessgudid.nlm.nih.gov/devices/10885403019852</t>
  </si>
  <si>
    <t>CH04228</t>
  </si>
  <si>
    <t>BD_CH04228</t>
  </si>
  <si>
    <t>DEL TOUCH MICRO FORCEP STR RING TIP 10IN</t>
  </si>
  <si>
    <t>PRODIGO1056526</t>
  </si>
  <si>
    <t>Delicate Touch Micro Forceps Round handle. Straight. 1mm ring tips. 10in (25.4cm).</t>
  </si>
  <si>
    <t>FORCEP, SURGICAL, STRAIGHT, MICRO, 1 MM, 10 IN, ROUND HANDLE, RING TIP, NON STERILE, DELICATE TOUCH, LATEX</t>
  </si>
  <si>
    <t>FORCEP, SURG, STR, MIC, 1 MM, 10 IN, RND HNDL, RNG TIP, NS, DEL TCH, LTX</t>
  </si>
  <si>
    <t>FORCEP, SURG, STR, MIC, 1 MM, 10 IN, RND HNDL, RNG TIP, NS, DEL TCH</t>
  </si>
  <si>
    <t>ROUND HANDLE, RING TIP</t>
  </si>
  <si>
    <t>http://www.megamedworld.com/wp-content/uploads/2019/03/VM_KVC-min.pdf, https://accessgudid.nlm.nih.gov/devices/10885403021091</t>
  </si>
  <si>
    <t>CH04280</t>
  </si>
  <si>
    <t>BD_CH04280</t>
  </si>
  <si>
    <t>DEL TOUCH MICRO FORCEPS 1MM TIPS STR</t>
  </si>
  <si>
    <t>PRODIGO1056537</t>
  </si>
  <si>
    <t>DELICATE TOUCH MICRO FORCEPS LIGHTWEIGHT STRAIGHT 1MM PLATFORM RING TIPS ROUND HANDLE OVERALL LENGTH 18.1CM FORCEP SURGICAL 1 MM MICRO 18.1 CM LIGHTWEIGHT STRAIGHT ROUND HANDLE PLATFORM TIP DELICATE TOUCH</t>
  </si>
  <si>
    <t>FORCEP, SURGICAL, STRAIGHT, MICRO, 1 MM, 7-1/8 IN, LIGHTWEIGHT, ROUND HANDLE, PLATFORM TIP, NON STERILE, DELICATE TOUCH, LATEX</t>
  </si>
  <si>
    <t>FORCEP, SURG, STR, MIC, 1 MM, 7-1/8 IN, LIGHTWEIGHT, RND HNDL, PLATFORM TIP, NS, DEL TCH, LTX</t>
  </si>
  <si>
    <t>FORCEP, SURG, STR, MIC, 1 MM, 7-1/8 IN, LIGHTWEIGHT, RND HNDL</t>
  </si>
  <si>
    <t>LIGHTWEIGHT, ROUND HANDLE, PLATFORM TIP</t>
  </si>
  <si>
    <t>http://www.megamedworld.com/wp-content/uploads/2019/03/VM_KVC-min.pdf, https://accessgudid.nlm.nih.gov/devices/10885403021756</t>
  </si>
  <si>
    <t>CH802517</t>
  </si>
  <si>
    <t>CH8025-17</t>
  </si>
  <si>
    <t>BD_CH802517</t>
  </si>
  <si>
    <t>DEL TOUCH MICRO FORCEPS CVD TIP</t>
  </si>
  <si>
    <t>PRODIGO1057184</t>
  </si>
  <si>
    <t>Delicate Touch micro forceps</t>
  </si>
  <si>
    <t>FORCEP, SURGICAL, MICRO, 6-7/8 IN, CURVED TIP, NON STERILE, DELICATE TOUCH, LATEX</t>
  </si>
  <si>
    <t>FORCEP, SURG, MIC, 6-7/8 IN, CRV TIP, NS, DEL TCH, LTX</t>
  </si>
  <si>
    <t>CURVED TIP</t>
  </si>
  <si>
    <t>https://www.bd.com/en-us/products-and-solutions/products/product-page.CH8025-17#overview, https://accessgudid.nlm.nih.gov/devices/10885403033919</t>
  </si>
  <si>
    <t>CH04204</t>
  </si>
  <si>
    <t>BD_CH04204</t>
  </si>
  <si>
    <t>DEL TOUCH MICRO FORCEPS STR 10IN</t>
  </si>
  <si>
    <t>PRODIGO1056521</t>
  </si>
  <si>
    <t>Delicate Touch Micro Forceps Round handle. Straight. Platform tips 0.9mm wide. Overall length 10in (25.4cm)</t>
  </si>
  <si>
    <t>FORCEP, SURGICAL, STRAIGHT, MICRO, 0.9 MM, 10 IN, ROUND HANDLE, PLATFORM TIP, NON STERILE, DELICATE TOUCH, LATEX</t>
  </si>
  <si>
    <t>FORCEP, SURG, STR, MIC, 0.9 MM, 10 IN, RND HNDL, PLATFORM TIP, NS, DEL TCH, LTX</t>
  </si>
  <si>
    <t>FORCEP, SURG, STR, MIC, 0.9 MM, 10 IN, RND HNDL, PLATFORM, DEL TCH</t>
  </si>
  <si>
    <t>http://www.megamedworld.com/wp-content/uploads/2019/03/VM_KVC-min.pdf, https://accessgudid.nlm.nih.gov/devices/10885403020995</t>
  </si>
  <si>
    <t>CH04220</t>
  </si>
  <si>
    <t>BD_CH04220</t>
  </si>
  <si>
    <t>DEL TOUCH MICRO FORCEPS STR RING TIP</t>
  </si>
  <si>
    <t>PRODIGO1056523</t>
  </si>
  <si>
    <t>Delicate Touch Micro Forceps Round handle. Straight. 1mm ring tips. 7-1/4in (18.4cm)</t>
  </si>
  <si>
    <t>FORCEP, SURGICAL, STRAIGHT, MICRO, 1 MM, 7.25 IN, ROUND HANDLE, RING TIP, NON STERILE, DELICATE TOUCH, LATEX</t>
  </si>
  <si>
    <t>FORCEP, SURG, STR, MIC, 1 MM, 7.25 IN, RND HNDL, RNG TIP, NS, DEL TCH, LTX</t>
  </si>
  <si>
    <t>FORCEP, SURG, STR, MIC, 1 MM, 7.25 IN, RND HNDL, RNG TIP, NS, DEL TCH</t>
  </si>
  <si>
    <t>http://www.megamedworld.com/wp-content/uploads/2019/03/VM_KVC-min.pdf, https://accessgudid.nlm.nih.gov/devices/10885403021039</t>
  </si>
  <si>
    <t>CH04224</t>
  </si>
  <si>
    <t>BD_CH04224</t>
  </si>
  <si>
    <t>PRODIGO1056524</t>
  </si>
  <si>
    <t>Delicate Touch Micro Forceps Round handle. Straight. 1mm ring tips 8-1/4in (21cm)</t>
  </si>
  <si>
    <t>FORCEP, SURGICAL, STRAIGHT, MICRO, 1 MM, 8.25 IN, ROUND HANDLE, RING TIP, NON STERILE, DELICATE TOUCH, LATEX</t>
  </si>
  <si>
    <t>FORCEP, SURG, STR, MIC, 1 MM, 8.25 IN, RND HNDL, RNG TIP, NS, DEL TCH, LTX</t>
  </si>
  <si>
    <t>FORCEP, SURG, STR, MIC, 1 MM, 8.25 IN, RND HNDL, RNG TIP, NS, DEL TCH</t>
  </si>
  <si>
    <t>http://www.megamedworld.com/wp-content/uploads/2019/03/VM_KVC-min.pdf, https://accessgudid.nlm.nih.gov/devices/10885403021053</t>
  </si>
  <si>
    <t>CH04216</t>
  </si>
  <si>
    <t>BD_CH04216</t>
  </si>
  <si>
    <t>DEL TOUCH MICRO FORCEPS STR RING TIP 6IN</t>
  </si>
  <si>
    <t>PRODIGO1056522</t>
  </si>
  <si>
    <t>DELICATE TOUCH MICRO FORCEPS ROUND HANDLE STRAIGHT 1MM RING TIPS OVERALL LENGTH 15.2CM FORCEP SURGICAL 1 MM MICRO 15.2 CM STRAIGHT ROUND HANDLE TIP DELICATE TOUCH</t>
  </si>
  <si>
    <t>FORCEP, SURGICAL, STRAIGHT, MICRO, 1 MM, 6 IN, ROUND HANDLE, RING TIP, NON STERILE, DELICATE TOUCH, LATEX</t>
  </si>
  <si>
    <t>FORCEP, SURG, STR, MIC, 1 MM, 6 IN, RND HNDL, RNG TIP, NS, DEL TCH, LTX</t>
  </si>
  <si>
    <t>FORCEP, SURG, STR, MIC, 1 MM, 6 IN, RND HNDL, RNG TIP, NS, DEL TCH</t>
  </si>
  <si>
    <t>http://www.megamedworld.com/wp-content/uploads/2019/03/VM_KVC-min.pdf, https://accessgudid.nlm.nih.gov/devices/10885403021015</t>
  </si>
  <si>
    <t>CH04226</t>
  </si>
  <si>
    <t>BD_CH04226</t>
  </si>
  <si>
    <t>DEL TOUCH MICRO FORCEPS STR RING TIP 9IN</t>
  </si>
  <si>
    <t>PRODIGO1056525</t>
  </si>
  <si>
    <t>DELICATE TOUCH MICRO FORCEPS ROUND HANDLE STRAIGHT 1MM RING TIPS OVERALL LENGTH 22.9CM FORCEP SURGICAL 1 MM MICRO 22.9 CM ROUND HANDLE RING TIP STRAIGHT DELICATE TOUCH</t>
  </si>
  <si>
    <t>FORCEP, SURGICAL, STRAIGHT, MICRO, 1 MM, 9 IN, ROUND HANDLE, RING TIP, NON STERILE, DELICATE TOUCH, LATEX</t>
  </si>
  <si>
    <t>FORCEP, SURG, STR, MIC, 1 MM, 9 IN, RND HNDL, RNG TIP, NS, DEL TCH, LTX</t>
  </si>
  <si>
    <t>FORCEP, SURG, STR, MIC, 1 MM, 9 IN, RND HNDL, RNG TIP, NS, DEL TCH</t>
  </si>
  <si>
    <t>http://www.megamedworld.com/wp-content/uploads/2019/03/VM_KVC-min.pdf, https://accessgudid.nlm.nih.gov/devices/10885403021077</t>
  </si>
  <si>
    <t>CH810620</t>
  </si>
  <si>
    <t>CH8106-20</t>
  </si>
  <si>
    <t>BD_CH810620</t>
  </si>
  <si>
    <t>DEL TOUCH MICRO RING HNDL NDL HLDR STR</t>
  </si>
  <si>
    <t>PRODIGO1057201</t>
  </si>
  <si>
    <t>Delicate Touch® Micro Ring-Handled Needle Holders Straight jaw 7-7/8in</t>
  </si>
  <si>
    <t>HOLDER, NEEDLE, RING HANDLED, MICRO, 7-7/8 IN, STRAIGHT JAW, NON STERILE, DELICATE TOUCH, LATEX</t>
  </si>
  <si>
    <t>HOLDER, NDL, RNG HNDL, MIC, 7-7/8 IN, STR JAW, NS, DEL TCH, LTX</t>
  </si>
  <si>
    <t>RING HANDLED</t>
  </si>
  <si>
    <t>https://www.hces.com.sg/wp-content/uploads/2021/04/Cardiovascular-Pages-from-vmueller-snowdenpencer-armamentarium-catalogue-4.pdf, https://accessgudid.nlm.nih.gov/devices/10885403034329</t>
  </si>
  <si>
    <t>CH810823</t>
  </si>
  <si>
    <t>CH8108-23</t>
  </si>
  <si>
    <t>BD_CH810823</t>
  </si>
  <si>
    <t>PRODIGO1057202</t>
  </si>
  <si>
    <t>Delicate Touch® Micro Ring-Handled Needle Holders Straight jaw 9in</t>
  </si>
  <si>
    <t>HOLDER, NEEDLE, RING HANDLED, MICRO, 9 IN, STRAIGHT JAW, NON STERILE, DELICATE TOUCH, LATEX</t>
  </si>
  <si>
    <t>HOLDER, NDL, RNG HNDL, MIC, 9 IN, STR JAW, NS, DEL TCH, LTX</t>
  </si>
  <si>
    <t>https://www.hces.com.sg/wp-content/uploads/2021/04/Cardiovascular-Pages-from-vmueller-snowdenpencer-armamentarium-catalogue-4.pdf, https://accessgudid.nlm.nih.gov/devices/10885403034343</t>
  </si>
  <si>
    <t>CH0624</t>
  </si>
  <si>
    <t>BD_CH0624</t>
  </si>
  <si>
    <t>DEL TOUCH MICRO RING HNDL NEEDLE HOLDER</t>
  </si>
  <si>
    <t>PRODIGO1056564</t>
  </si>
  <si>
    <t>HOLDER NEEDLE MICRO 5.75 IN DUST STRAIGHT RING HANDLE SATIN FINISH STAINLESS STEEL TUNGSTEN CARBIDE DELICATE TOUCH</t>
  </si>
  <si>
    <t>HOLDER, NEEDLE, STRAIGHT, MICRO, 5.75 IN, RING HANDLE, SATIN FINISH, STAINLESS STEEL, TUNGSTEN CARBIDE, NON STERILE, DELICATE TOUCH, LATEX</t>
  </si>
  <si>
    <t>HOLDER, NDL, STR, MIC, 5.75 IN, RNG HNDL, SATIN FINISH, SS, TUNGSTEN CARBIDE, NS, DEL TCH, LTX</t>
  </si>
  <si>
    <t>HOLDER, NDL, STR, MIC, 5.75 IN, RNG HNDL, SATIN FINISH, SS, DEL TCH</t>
  </si>
  <si>
    <t>RING HANDLE, SATIN FINISH</t>
  </si>
  <si>
    <t>https://www.bd.com/en-us/offerings/capabilities/surgical-instruments/open-instrumentation/delicate-touch-micro-needle-holders/ch0624, https://accessgudid.nlm.nih.gov/devices/10885403019906</t>
  </si>
  <si>
    <t>CH0628</t>
  </si>
  <si>
    <t>BD_CH0628</t>
  </si>
  <si>
    <t>PRODIGO1056565</t>
  </si>
  <si>
    <t>HOLDER NEEDLE MICRO 6.25 IN DUST STRAIGHT RING HANDLE SATIN FINISH STAINLESS STEEL TUNGSTEN CARBIDE GOLD COATED DELICATE TOUCH</t>
  </si>
  <si>
    <t>HOLDER, NEEDLE, STRAIGHT, MICRO, 6.25 IN, RING HANDLE, SATIN FINISH, STAINLESS STEEL, TUNGSTEN CARBIDE, GOLD COATED, NON STERILE, DELICATE TOUCH, LATEX</t>
  </si>
  <si>
    <t>HOLDER, NDL, STR, MIC, 6.25 IN, RNG HNDL, SATIN FINISH, SS, TUNGSTEN CARBIDE, GLD COAT, NS, DEL TCH, LTX</t>
  </si>
  <si>
    <t>HOLDER, NDL, STR, MIC, 6.25 IN, RNG HNDL, SATIN FINISH, SS, GLD COAT</t>
  </si>
  <si>
    <t>STAINLESS STEEL, TUNGSTEN CARBIDE, GOLD COATED</t>
  </si>
  <si>
    <t>https://www.bd.com/en-us/offerings/capabilities/surgical-instruments/open-instrumentation/delicate-touch-micro-needle-holders/ch0628, https://accessgudid.nlm.nih.gov/devices/10885403019913</t>
  </si>
  <si>
    <t>CH0632</t>
  </si>
  <si>
    <t>BD_CH0632</t>
  </si>
  <si>
    <t>PRODIGO1056566</t>
  </si>
  <si>
    <t>HOLDER NEEDLE MICRO 7.25 IN DUST STRAIGHT RING HANDLE SATIN FINISH STAINLESS STEEL TUNGSTEN CARBIDE GOLD COATED DELICATE TOUCH</t>
  </si>
  <si>
    <t>HOLDER, NEEDLE, STRAIGHT, MICRO, 7.25 IN, RING HANDLE, SATIN FINISH, STAINLESS STEEL, TUNGSTEN CARBIDE, GOLD COATED, NON STERILE, DELICATE TOUCH, LATEX</t>
  </si>
  <si>
    <t>HOLDER, NDL, STR, MIC, 7.25 IN, RNG HNDL, SATIN FINISH, SS, TUNGSTEN CARBIDE, GLD COAT, NS, DEL TCH, LTX</t>
  </si>
  <si>
    <t>HOLDER, NDL, STR, MIC, 7.25 IN, RNG HNDL, SATIN FINISH, SS, GLD COAT</t>
  </si>
  <si>
    <t>https://www.bd.com/en-us/offerings/capabilities/surgical-instruments/open-instrumentation/delicate-touch-micro-needle-holders/ch0632, https://accessgudid.nlm.nih.gov/devices/10885403019944</t>
  </si>
  <si>
    <t>CH813519</t>
  </si>
  <si>
    <t>CH8135-19</t>
  </si>
  <si>
    <t>BD_CH813519</t>
  </si>
  <si>
    <t>DEL TOUCH NEEDLE HOLDER STR JAW</t>
  </si>
  <si>
    <t>PRODIGO1057212</t>
  </si>
  <si>
    <t>Delicate Touch® Micro Needle Holders Straight 7-5/8in</t>
  </si>
  <si>
    <t>HOLDER, NEEDLE, STRAIGHT, MICRO, 7-5/8 IN, EXTRA FINE JAW, ROUND HANDLE, NON STERILE, DELICATE TOUCH, LATEX</t>
  </si>
  <si>
    <t>HOLDER, NDL, STR, MIC, 7-5/8 IN, X FN JAW, RND HNDL, NS, DEL TCH, LTX</t>
  </si>
  <si>
    <t>EXTRA FINE JAW, ROUND HANDLE</t>
  </si>
  <si>
    <t>https://www.hces.com.sg/wp-content/uploads/2021/04/Cardiovascular-Pages-from-vmueller-snowdenpencer-armamentarium-catalogue-4.pdf, https://accessgudid.nlm.nih.gov/devices/10885403034480</t>
  </si>
  <si>
    <t>CH813521</t>
  </si>
  <si>
    <t>CH8135-21</t>
  </si>
  <si>
    <t>BD_CH813521</t>
  </si>
  <si>
    <t>DEL TOUCH NEEDLE HOLDER STR JAW RND HNDL</t>
  </si>
  <si>
    <t>PRODIGO1057213</t>
  </si>
  <si>
    <t>Delicate Touch® Micro Needle Holders Straight 8-1/4in</t>
  </si>
  <si>
    <t>HOLDER, NEEDLE, STRAIGHT, MICRO, 8.25 IN, EXTRA FINE JAW, ROUND HANDLE, NON STERILE, DELICATE TOUCH, LATEX</t>
  </si>
  <si>
    <t>HOLDER, NDL, STR, MIC, 8.25 IN, X FN JAW, RND HNDL, NS, DEL TCH, LTX</t>
  </si>
  <si>
    <t>https://www.hces.com.sg/wp-content/uploads/2021/04/Cardiovascular-Pages-from-vmueller-snowdenpencer-armamentarium-catalogue-4.pdf, https://accessgudid.nlm.nih.gov/devices/10885403034497</t>
  </si>
  <si>
    <t>CH801617</t>
  </si>
  <si>
    <t>CH8016-17</t>
  </si>
  <si>
    <t>BD_CH801617</t>
  </si>
  <si>
    <t>DEL TOUCH RING-TIP TISSUE FORCEP</t>
  </si>
  <si>
    <t>PRODIGO1057181</t>
  </si>
  <si>
    <t>Delicate Touch micro tying ring tip forceps</t>
  </si>
  <si>
    <t>FORCEP, SURGICAL, MICRO, 6.75 IN, TYING RING TIP, STRAIGHT JAW, NON STERILE, DELICATE TOUCH, LATEX</t>
  </si>
  <si>
    <t>FORCEP, SURG, MIC, 6.75 IN, TYNG RNG TIP, STR JAW, NS, DEL TCH, LTX</t>
  </si>
  <si>
    <t>TYING RING TIP, STRAIGHT JAW</t>
  </si>
  <si>
    <t>https://www.bd.com/en-us/products-and-solutions/products/product-page.CH8016-17#overview, https://accessgudid.nlm.nih.gov/devices/10885403033889</t>
  </si>
  <si>
    <t>CH801821</t>
  </si>
  <si>
    <t>CH8018-21</t>
  </si>
  <si>
    <t>BD_CH801821</t>
  </si>
  <si>
    <t>DEL TOUCH RING-TIP TISSUE FORCEP 8-1/4IN</t>
  </si>
  <si>
    <t>PRODIGO1057182</t>
  </si>
  <si>
    <t>Delicate Touch micro tying ring tip forceps 17.5 cm</t>
  </si>
  <si>
    <t>FORCEP, SURGICAL, MICRO, 8.25 IN, TYING RING TIP, STRAIGHT JAW, NON STERILE, DELICATE TOUCH, LATEX</t>
  </si>
  <si>
    <t>FORCEP, SURG, MIC, 8.25 IN, TYNG RNG TIP, STR JAW, NS, DEL TCH, LTX</t>
  </si>
  <si>
    <t>https://www.bd.com/en-us/products-and-solutions/products/product-page.CH8018-21#overview, https://accessgudid.nlm.nih.gov/devices/10885403033896</t>
  </si>
  <si>
    <t>CH8180</t>
  </si>
  <si>
    <t>BD_CH8180</t>
  </si>
  <si>
    <t>DEL TOUCH TITAN CASTRO NDL HLDR 9-1/2IN</t>
  </si>
  <si>
    <t>PRODIGO1057225</t>
  </si>
  <si>
    <t>Titanium Delicate Touch® CASTROVIEJO Needle Holders straight 9-1/2in</t>
  </si>
  <si>
    <t>HOLDER, NEEDLE, CASTROVIEJO, 9.5 IN, STRAIGHT, DUST JAW SURFACE, WITH LOCK, TITANIUM, NON STERILE, DELICATE TOUCH, LATEX</t>
  </si>
  <si>
    <t>HOLDER, NDL, CASTRO, 9.5 IN, STR, DUST JAW SURF, W/ LCK, TI, NS, DEL TCH, LTX</t>
  </si>
  <si>
    <t>HOLDER, NDL, CASTRO, 9.5 IN, STR, DUST JAW SURF, LCK, TI, NS, DEL TCH</t>
  </si>
  <si>
    <t>STRAIGHT, DUST JAW SURFACE, WITH LOCK</t>
  </si>
  <si>
    <t>https://www.hces.com.sg/wp-content/uploads/2021/04/Cardiovascular-Pages-from-vmueller-snowdenpencer-armamentarium-catalogue-4.pdf, https://accessgudid.nlm.nih.gov/devices/10885403034763</t>
  </si>
  <si>
    <t>GL680</t>
  </si>
  <si>
    <t>BD_GL680</t>
  </si>
  <si>
    <t>DELEE CERVIX HOLDG FORCEPS 10IN STR SERR</t>
  </si>
  <si>
    <t>PRODIGO1057537</t>
  </si>
  <si>
    <t>De Lee cervix holding forceps Straight. Serrated. Overall length 9-1/2in (24.1cm).</t>
  </si>
  <si>
    <t>FORCEP, SURGICAL, DE LEE, 9.5 IN, CERVIX HOLDING, STRAIGHT, SERRATED, NON STERILE, LATEX</t>
  </si>
  <si>
    <t>FORCEP, SURG, DE LEE, 9.5 IN, CERV HOLDING, STR, SERRATED, NS, LTX</t>
  </si>
  <si>
    <t>CERVIX HOLDING, STRAIGHT, SERRATED</t>
  </si>
  <si>
    <t>https://www.bd.com/en-us/products-and-solutions/products/product-page.GL680#overview, https://accessgudid.nlm.nih.gov/devices/10885403043567</t>
  </si>
  <si>
    <t>NL3002</t>
  </si>
  <si>
    <t>BD_NL3002</t>
  </si>
  <si>
    <t>DEMARTEL SCISSORS SHARP/SHARP CVD 7-3/4</t>
  </si>
  <si>
    <t>PRODIGO1058155</t>
  </si>
  <si>
    <t>DeMartel scissors Sharp/sharp. Delicate. Curved blades length 3cm from mid-screw. Mirror finish. Overall length 7-3/4in (19.6cm)</t>
  </si>
  <si>
    <t>SCISSOR, SURGICAL, DEMARTEL, 7.75 IN, SHARP, DELICATE. CURVED BLADE, LENGTH 3CM FROM MID SCREW, MIRROR FINISH, NON STERILE, LATEX</t>
  </si>
  <si>
    <t>SCISSOR, SURG, DEMARTEL, 7.75 IN, SHRP, DELICATE. CRV BLADE, LEN 3CM FR MID SCR, MIRROR FINISH, NS, LTX</t>
  </si>
  <si>
    <t>SCISSOR, SURG, DEMARTEL, 7.75 IN, SHRP, DELICATE. CRV BLADE, LEN</t>
  </si>
  <si>
    <t>DEMARTEL</t>
  </si>
  <si>
    <t>SHARP, DELICATE. CURVED BLADE, LENGTH 3CM FROM MID SCREW, MIRROR FINISH</t>
  </si>
  <si>
    <t>https://www.bd.com/en-us/products-and-solutions/products/product-page.NL3002#overview, https://accessgudid.nlm.nih.gov/devices/10885403072932</t>
  </si>
  <si>
    <t>CH5693</t>
  </si>
  <si>
    <t>BD_CH5693</t>
  </si>
  <si>
    <t>DEMARTEL VASCULAR SCISSORS STR B/B 7-3/4</t>
  </si>
  <si>
    <t>PRODIGO1056908</t>
  </si>
  <si>
    <t>DEMARTEL VASCULAR SCISSORS SLIM AND DELICATE BLUNT/BLUNT BLADE LENGTH FROM MID-SCREW 2.9CM MIRROR FINISH STRAIGHT OVERALL LENGTH 19.7CM SCISSOR SURGICAL DEMARTEL 19.7 CM 2.9 CM VASCULAR SLIM DELICATE BLUNT/BLUNT BLADE LENGTH FROM MID SCREW MIRROR FINISH</t>
  </si>
  <si>
    <t>SCISSOR, SURGICAL, DEMARTEL, 7.45 IN, VASCULAR, SLIM, DELICATE, BLUNT/BLUNT, MIRROR FINISH, NON STERILE, LATEX</t>
  </si>
  <si>
    <t>SCISSOR, SURG, DEMARTEL, 7.45 IN, VASC, SLIM, DEL, BLUNT/BLUNT, MIRROR FINISH, NS, LTX</t>
  </si>
  <si>
    <t>SCISSOR, SURG, DEMARTEL, 7.45 IN, VASC, SLIM, DEL, BLUNT/BLUNT, NS</t>
  </si>
  <si>
    <t>SLIM, DELICATE, BLUNT/BLUNT, MIRROR FINISH</t>
  </si>
  <si>
    <t>http://www.megamedworld.com/wp-content/uploads/2019/03/VM_KVC-min.pdf, https://accessgudid.nlm.nih.gov/devices/10885403028922</t>
  </si>
  <si>
    <t>AU12332</t>
  </si>
  <si>
    <t>BD_AU12332</t>
  </si>
  <si>
    <t>DERLACKI CAPSULE KNIFE ANGLED 20DEG</t>
  </si>
  <si>
    <t>PRODIGO1056154</t>
  </si>
  <si>
    <t>DERLACKI CAPSULE KNIVES OVERALL LENGTH 6-1/4IN (15.9CM). ANGLED 20 DEGREES.</t>
  </si>
  <si>
    <t>KNIVES, SURGICAL, DERLACKI, 20 DEGREE, 6.25 IN, CAPSULE, ANGLED, NON STERILE, LATEX</t>
  </si>
  <si>
    <t>KNIVES, SURG, DERLACKI, 20 DEG, 6.25 IN, CAPSULE, ANGLED, NS, LTX</t>
  </si>
  <si>
    <t>KNIVES</t>
  </si>
  <si>
    <t>DERLACKI</t>
  </si>
  <si>
    <t>20 DEGREE</t>
  </si>
  <si>
    <t>CAPSULE, ANGLED</t>
  </si>
  <si>
    <t>https://www.bd.com/en-us/products-and-solutions/products/product-page.AU12332#overview, https://accessgudid.nlm.nih.gov/devices/10885403009884</t>
  </si>
  <si>
    <t>AU12330</t>
  </si>
  <si>
    <t>BD_AU12330</t>
  </si>
  <si>
    <t>DERLACKI CAPSULE KNIFE SLIGHTLY CVD</t>
  </si>
  <si>
    <t>PRODIGO1056153</t>
  </si>
  <si>
    <t>DERLACKI CAPSULE KNIVES OVERALL LENGTH 6-1/4IN (15.9CM). SLIGHTLY CURVED BLADE.</t>
  </si>
  <si>
    <t>KNIVES, SURGICAL, DERLACKI, 6.25 IN, CAPSULE, SLIGHTLY CURVED BLADE, NON STERILE, LATEX</t>
  </si>
  <si>
    <t>KNIVES, SURG, DERLACKI, 6.25 IN, CAPSULE, SLIGHTLY CRV BLADE, NS, LTX</t>
  </si>
  <si>
    <t>KNIVES, SURG, DERLACKI, 6.25 IN, CAPSULE, SLIGHTLY CRV BLADE, NS</t>
  </si>
  <si>
    <t>CAPSULE, SLIGHTLY CURVED BLADE</t>
  </si>
  <si>
    <t>https://www.bd.com/en-us/products-and-solutions/products/product-page.AU12330#overview, https://accessgudid.nlm.nih.gov/devices/10885403009877</t>
  </si>
  <si>
    <t>AU12312</t>
  </si>
  <si>
    <t>BD_AU12312</t>
  </si>
  <si>
    <t>DERLACKI CHISEL 12DEG NARROW BLADE 0.5MM</t>
  </si>
  <si>
    <t>PRODIGO1056152</t>
  </si>
  <si>
    <t>42291606  Surgical chisels or gouges</t>
  </si>
  <si>
    <t>DERLACKI CHISELS NARROW BLADE 0.5MM WIDE. OVERALL LENGTH 6-1/4IN (15.9CM). ANGLED 12 DEGREES.</t>
  </si>
  <si>
    <t>CHISEL, SURGICAL, DERLACKI, 12 DEGREE, 6.25 IN, NARROW BLADE, ANGLED, NON STERILE, LATEX</t>
  </si>
  <si>
    <t>CHISEL, SURG, DERLACKI, 12 DEG, 6.25 IN, NAR BLADE, ANGLED, NS, LTX</t>
  </si>
  <si>
    <t>CHISEL</t>
  </si>
  <si>
    <t>12 DEGREE</t>
  </si>
  <si>
    <t>NARROW BLADE, ANGLED</t>
  </si>
  <si>
    <t>https://www.bd.com/en-us/products-and-solutions/products/product-page.AU12312#overview, https://accessgudid.nlm.nih.gov/devices/10885403009853#</t>
  </si>
  <si>
    <t>AU12310</t>
  </si>
  <si>
    <t>BD_AU12310</t>
  </si>
  <si>
    <t>DERLACKI CHISEL STR NARR BLADE 0.5MM</t>
  </si>
  <si>
    <t>PRODIGO1056151</t>
  </si>
  <si>
    <t>DERLACKI CHISELS NARROW BLADE 0.5MM WIDE. OVERALL LENGTH 6-1/4IN (15.9CM). STRAIGHT.</t>
  </si>
  <si>
    <t>CHISEL, SURGICAL, DERLACKI, 6.25 IN, 0.5 MM, NARROW BLADE, STRAIGHT, NON STERILE, LATEX</t>
  </si>
  <si>
    <t>CHISEL, SURG, DERLACKI, 6.25 IN, 0.5 MM, NAR BLADE, STR, NS, LTX</t>
  </si>
  <si>
    <t>NARROW BLADE, STRAIGHT</t>
  </si>
  <si>
    <t>https://www.bd.com/en-us/products-and-solutions/products/product-page.AU12310#overview, https://accessgudid.nlm.nih.gov/devices/10885403009846</t>
  </si>
  <si>
    <t>CH6816</t>
  </si>
  <si>
    <t>BD_CH6816</t>
  </si>
  <si>
    <t>DERRA MINI ANASTOMOSIS CLAMP MED JAW</t>
  </si>
  <si>
    <t>PRODIGO1057090</t>
  </si>
  <si>
    <t>DERRA Miniature Anastomosis Clamps Medium. Jaw 3/4in (2cm).
Overall length
7-1/8in (18cm)</t>
  </si>
  <si>
    <t>CLAMP, SURGICAL, DERRA, MEDIUM, 18 CM, 2 CM, MINIATURE, ANASTOMOSIS, SPRING HANDLE, JAW, NON STERILE, LATEX</t>
  </si>
  <si>
    <t>CLAMP, SURG, DERRA, MED, 18 CM, 2 CM, MINIATURE, ANAS, SPRING HNDL, JAW, NS, LTX</t>
  </si>
  <si>
    <t>CLAMP, SURG, DERRA, MED, 18 CM, 2 CM, MINIATURE, ANAS, SPRING HNDL</t>
  </si>
  <si>
    <t>DERRA</t>
  </si>
  <si>
    <t>2 CM</t>
  </si>
  <si>
    <t>MINIATURE, ANASTOMOSIS, SPRING HANDLE, JAW</t>
  </si>
  <si>
    <t>http://www.lt-technologies.de/_ws/mediabase/_ts_1494230442000/Downloads/CardioCatalog_LIT12012_low-res.pdf, https://accessgudid.nlm.nih.gov/devices/10885403032141</t>
  </si>
  <si>
    <t>CH6814</t>
  </si>
  <si>
    <t>BD_CH6814</t>
  </si>
  <si>
    <t>DERRA MINI ANASTOMOSIS CLAMP SM JAW</t>
  </si>
  <si>
    <t>PRODIGO1057089</t>
  </si>
  <si>
    <t>DERRA Miniature Anastomosis Clamps Small. Jaw 1/2in (1.5cm).
Overall length
6-7/8in (17.4cm)</t>
  </si>
  <si>
    <t>CLAMP, SURGICAL, DERRA, SMALL, 17.4 CM, 1.5 CM, MINIATURE, ANASTOMOSIS, SPRING HANDLE, JAW, NON STERILE, LATEX</t>
  </si>
  <si>
    <t>CLAMP, SURG, DERRA, SM, 17.4 CM, 1.5 CM, MINIATURE, ANAS, SPRING HNDL, JAW, NS, LTX</t>
  </si>
  <si>
    <t>CLAMP, SURG, DERRA, SM, 17.4 CM, 1.5 CM, MINIATURE, ANAS, SPRING</t>
  </si>
  <si>
    <t>17.4 CM</t>
  </si>
  <si>
    <t>1.5 CM</t>
  </si>
  <si>
    <t>http://www.lt-technologies.de/_ws/mediabase/_ts_1494230442000/Downloads/CardioCatalog_LIT12012_low-res.pdf, https://accessgudid.nlm.nih.gov/devices/10885403032134</t>
  </si>
  <si>
    <t>CH5098</t>
  </si>
  <si>
    <t>BD_CH5098</t>
  </si>
  <si>
    <t>DERRA VESTIBULAR CLAMP 75X44MM JAW 9-1/2</t>
  </si>
  <si>
    <t>PRODIGO1056845</t>
  </si>
  <si>
    <t>DERRA Vestibular Clamp</t>
  </si>
  <si>
    <t>CLAMP, SURGICAL, DERRA, 9.5 IN, 75X44 MM, VESTIBULAR, LONGITUDINAL SERRATION, NON STERILE, LATEX</t>
  </si>
  <si>
    <t>CLAMP, SURG, DERRA, 9.5 IN, 75X44 MM, VESTIBULAR, LONGITUDINAL SERRATION, NS, LTX</t>
  </si>
  <si>
    <t>CLAMP, SURG, DERRA, 9.5 IN, 75X44 MM, VESTIBULAR, SERRATION, NS</t>
  </si>
  <si>
    <t>75X44 MM</t>
  </si>
  <si>
    <t>VESTIBULAR</t>
  </si>
  <si>
    <t>LONGITUDINAL SERRATION</t>
  </si>
  <si>
    <t>http://www.lt-technologies.de/_ws/mediabase/_ts_1494230442000/Downloads/CardioCatalog_LIT12012_low-res.pdf, https://accessgudid.nlm.nih.gov/devices/10885403027208</t>
  </si>
  <si>
    <t>NA5770</t>
  </si>
  <si>
    <t>BD_NA5770</t>
  </si>
  <si>
    <t>D'ERRICO NERVE RETR BAYONET SHANK CVDEND</t>
  </si>
  <si>
    <t>PRODIGO1058018</t>
  </si>
  <si>
    <t>D ERRICO NERVE RETR BAYONET SHANK CVDEND</t>
  </si>
  <si>
    <t>RETRACTOR, NERVE, DERRICO, 9 IN, 7.9 MM, BAYONET SHANK, CURVED BLADE END, NON STERILE, LATEX</t>
  </si>
  <si>
    <t>RETRACTOR NERVE DERRICO 9 IN 7.9 MM BAYONET SHANK CURVED BLADE END NON STERILE LATEX</t>
  </si>
  <si>
    <t>RETRACTOR, NERVE, DERRICO, 9 IN, 7.9 MM, BAYNT SHANK, CRV BLADE END, NS, LTX</t>
  </si>
  <si>
    <t>RETRACTOR, NERVE, DERRICO, 9 IN, 7.9 MM, BAYNT SHANK, CRV BLADE</t>
  </si>
  <si>
    <t>NERVE</t>
  </si>
  <si>
    <t>DERRICO</t>
  </si>
  <si>
    <t>7.9 MM</t>
  </si>
  <si>
    <t>BAYONET SHANK, CURVED BLADE END</t>
  </si>
  <si>
    <t>https://www.bd.com/en-us/products-and-solutions/products/product-page.nl5770#specifications, https://accessgudid.nlm.nih.gov/devices/10885403069987</t>
  </si>
  <si>
    <t>NA952</t>
  </si>
  <si>
    <t>BD_NA952</t>
  </si>
  <si>
    <t>D'ERRICO-ADSON RETR 7-3/8IN W/ANG SHANKS</t>
  </si>
  <si>
    <t>PRODIGO1058033</t>
  </si>
  <si>
    <t>D ERRICO-ADSON RETR 7-3/8IN W/ANG SHANKS</t>
  </si>
  <si>
    <t>RETRACTOR, SURGICAL, DERRICO-ADSON, 7-3/8 IN, AFFINITY LINE, ANGLED SHANKS, NON STERILE, LATEX</t>
  </si>
  <si>
    <t>RETRACTOR SURGICAL DERRICO-ADSON 7-3/8 IN AFFINITY LINE ANGLED SHANKS NON STERILE LATEX</t>
  </si>
  <si>
    <t>RETRACTOR, SURG, DERRICO-ADSON, 7-3/8 IN, AFFIN LN, ANGLED SHANKS, NS, LTX</t>
  </si>
  <si>
    <t>RETRACTOR, SURG, DERRICO-ADSON, 7-3/8 IN, AFFIN LN, ANGLED SHANKS</t>
  </si>
  <si>
    <t>DERRICO-ADSON</t>
  </si>
  <si>
    <t>7-3/8 IN</t>
  </si>
  <si>
    <t>AFFINITY LINE, ANGLED SHANKS</t>
  </si>
  <si>
    <t>https://www.bd.com/en-us/products-and-solutions/products/product-page.na952#specifications, https://accessgudid.nlm.nih.gov/devices/10885403069512</t>
  </si>
  <si>
    <t>GL1220</t>
  </si>
  <si>
    <t>BD_GL1220</t>
  </si>
  <si>
    <t>DESCHAMPS-NAVRATIL LIGATURE CVD LEFT NDL</t>
  </si>
  <si>
    <t>PRODIGO1057351</t>
  </si>
  <si>
    <t>42294203  General surgical instrument sets</t>
  </si>
  <si>
    <t>Deschamps-Navratil ligature needles Mirror and satin finish. Overall length 8-11/16in (22cm). Curved left for the right hand.</t>
  </si>
  <si>
    <t>NEEDLE, LIGATURE, DESCHAMPS-NAVRATIL, 8-11/16 IN, MIRROR AND SATIN FINISH, CURVED LEFT, STAINLESS STEEL, NON STERILE, LATEX</t>
  </si>
  <si>
    <t>NEEDLE, LIG, DESCHAMPS-NAVRATIL, 8-11/16 IN, MIRROR &amp; SATIN FINISH, CRV LT, SS, NS, LTX</t>
  </si>
  <si>
    <t>NEEDLE, LIG, DESCHAMPS-NAVRATIL, 8-11/16 IN, CRV LT, SS, NS, LTX</t>
  </si>
  <si>
    <t>DESCHAMPS-NAVRATIL</t>
  </si>
  <si>
    <t>8-11/16 IN</t>
  </si>
  <si>
    <t>MIRROR AND SATIN FINISH, CURVED LEFT</t>
  </si>
  <si>
    <t>https://www.bd.com/en-us/offerings/capabilities/surgical-instruments/open-instrumentation/deschamps-navratil-ligature-needles/gl1220, https://accessgudid.nlm.nih.gov/devices/10885403043802</t>
  </si>
  <si>
    <t>CH5720001</t>
  </si>
  <si>
    <t>CH5720-001</t>
  </si>
  <si>
    <t>BD_CH5720001</t>
  </si>
  <si>
    <t>DIETHRICH ARTERY SCISSOR 25DEG BLADE 7IN</t>
  </si>
  <si>
    <t>PRODIGO1056915</t>
  </si>
  <si>
    <t>DIETHRICH SCISSOR SURGICAL 25 DEGREE 7 IN ARTERY EXTRA DELICATE BLADE</t>
  </si>
  <si>
    <t>SCISSOR, SURGICAL, DIETHRICH, 25 DEGREE, 7 IN, ARTERY, EXTRA DELICATE BLADE, NON STERILE, LATEX</t>
  </si>
  <si>
    <t>SCISSOR, SURG, DIETHRICH, 25 DEG, 7 IN, ART, X DEL BLADE, NS, LTX</t>
  </si>
  <si>
    <t>DIETHRICH</t>
  </si>
  <si>
    <t>EXTRA DELICATE BLADE</t>
  </si>
  <si>
    <t>http://www.megamedworld.com/wp-content/uploads/2019/03/VM_KVC-min.pdf, https://accessgudid.nlm.nih.gov/devices/10885403028991</t>
  </si>
  <si>
    <t>CH5725001</t>
  </si>
  <si>
    <t>CH5725-001</t>
  </si>
  <si>
    <t>BD_CH5725001</t>
  </si>
  <si>
    <t>DIETHRICH ARTERY SCISSOR 45DEG BLADE 7IN</t>
  </si>
  <si>
    <t>PRODIGO1056916</t>
  </si>
  <si>
    <t>DIETHRICH SCISSOR SURGICAL 45 DEGREE 7 IN ARTERY EXTRA DELICATE BLADE</t>
  </si>
  <si>
    <t>SCISSOR, SURGICAL, DIETHRICH, 45 DEGREE, 7 IN, ARTERY, EXTRA DELICATE BLADE, NON STERILE, LATEX</t>
  </si>
  <si>
    <t>SCISSOR, SURG, DIETHRICH, 45 DEG, 7 IN, ART, X DEL BLADE, NS, LTX</t>
  </si>
  <si>
    <t>http://www.megamedworld.com/wp-content/uploads/2019/03/VM_KVC-min.pdf, https://accessgudid.nlm.nih.gov/devices/10885403028977</t>
  </si>
  <si>
    <t>CH5730001</t>
  </si>
  <si>
    <t>CH5730-001</t>
  </si>
  <si>
    <t>BD_CH5730001</t>
  </si>
  <si>
    <t>DIETHRICH ARTERY SCISSOR 60DEG BLADE 7IN</t>
  </si>
  <si>
    <t>PRODIGO1056918</t>
  </si>
  <si>
    <t>DIETHRICH SCISSOR SURGICAL 60 DEGREE 7 IN ARTERY ANGLED</t>
  </si>
  <si>
    <t>SCISSOR, SURGICAL, DIETHRICH, 60 DEGREE, 7 IN, ARTERY, ANGLED, NON STERILE, LATEX</t>
  </si>
  <si>
    <t>SCISSOR, SURG, DIETHRICH, 60 DEG, 7 IN, ART, ANGLED, NS, LTX</t>
  </si>
  <si>
    <t>http://www.megamedworld.com/wp-content/uploads/2019/03/VM_KVC-min.pdf, https://accessgudid.nlm.nih.gov/devices/10885403029080</t>
  </si>
  <si>
    <t>CH5735001</t>
  </si>
  <si>
    <t>CH5735-001</t>
  </si>
  <si>
    <t>BD_CH5735001</t>
  </si>
  <si>
    <t>DIETHRICH ARTERY SCISSOR 90DEG BLADE 7IN</t>
  </si>
  <si>
    <t>PRODIGO1056920</t>
  </si>
  <si>
    <t>DIETHRICH SCISSOR SURGICAL 90 DEGREE 7 IN ARTERY ANGLED</t>
  </si>
  <si>
    <t>SCISSOR, SURGICAL, DIETHRICH, 90 DEGREE, 7 IN, ARTERY, ANGLED, NON STERILE, LATEX</t>
  </si>
  <si>
    <t>SCISSOR, SURG, DIETHRICH, 90 DEG, 7 IN, ART, ANGLED, NS, LTX</t>
  </si>
  <si>
    <t>http://www.megamedworld.com/wp-content/uploads/2019/03/VM_KVC-min.pdf, https://accessgudid.nlm.nih.gov/devices/10885403029103</t>
  </si>
  <si>
    <t>CH5742</t>
  </si>
  <si>
    <t>BD_CH5742</t>
  </si>
  <si>
    <t>DIETHRICH CARDIOVASCULR SCISSOR CVD BLDE</t>
  </si>
  <si>
    <t>PRODIGO1056922</t>
  </si>
  <si>
    <t>DIETHRICH CARDIOVASCULAR SCISSORS SERRATED BLADES OVERALL LENGTH 22.9CM FULLY CURVED BLADES SCISSOR SURGICAL DIETHRICH 22.9 CM CARDIOVASCULAR SERRATED FULLY CURVED BLADE</t>
  </si>
  <si>
    <t>SCISSOR, SURGICAL, DIETHRICH, 22.9 CM, CARDIOVASCULAR, SERRATED, FULLY CURVED BLADE, NON STERILE, LATEX</t>
  </si>
  <si>
    <t>SCISSOR, SURG, DIETHRICH, 22.9 CM, CV, SERRATED, FULL CRV BLADE, NS, LTX</t>
  </si>
  <si>
    <t>SCISSOR, SURG, DIETHRICH, 22.9 CM, CV, SERRATED, FULL CRV BLADE, NS</t>
  </si>
  <si>
    <t>SERRATED, FULLY CURVED BLADE</t>
  </si>
  <si>
    <t>http://www.megamedworld.com/wp-content/uploads/2019/03/VM_KVC-min.pdf, https://accessgudid.nlm.nih.gov/devices/10885403029158</t>
  </si>
  <si>
    <t>CH5740</t>
  </si>
  <si>
    <t>BD_CH5740</t>
  </si>
  <si>
    <t>DIETHRICH CORONARY ARTERY 125DEG SCISSOR</t>
  </si>
  <si>
    <t>PRODIGO1056921</t>
  </si>
  <si>
    <t>DIETHRICH ARTERY SCISSORS TAPERED SHAFTS WITH THIN NARROW BLADE DELICATE LIGHTWEIGHT SATIN FINISH BLADE LENGTH 19MM OVERALL LENGTH 18.4CM BLADES ANGLED 125 DEGREE WITH STABILIZER BAR SCISSOR SURGICAL DIETHRICH 125 DEGREE 18.4 CM 19 MM ARTERY TAPERED SHAFT NARROW BLADE DELICATE LIGHT WEIGHT SATIN FINISH ANGLED WITH STABILIZER BAR THIN</t>
  </si>
  <si>
    <t>SCISSOR, SURGICAL, DIETHRICH, 125 DEGREE, 18.4 CM, 19 MM, ARTERY, TAPERED SHAFT, NARROW BLADE, DELICATE, LIGHT WEIGHT, SATIN FINISH, ANGLED, WITH STABILIZER BAR, THIN, NON STERILE, LATEX</t>
  </si>
  <si>
    <t>SCISSOR, SURG, DIETHRICH, 125 DEG, 18.4 CM, 19 MM, ART, TAPR SHFT, NAR BLADE, DEL, LIGHT WT, SATIN FINISH, ANGLED, W/ STBL BAR, THN, NS, LTX</t>
  </si>
  <si>
    <t>SCISSOR, SURG, DIETHRICH, 125 DEG, 18.4 CM, 19 MM, TAPR SHFT, LTX</t>
  </si>
  <si>
    <t>125 DEGREE</t>
  </si>
  <si>
    <t>19 MM</t>
  </si>
  <si>
    <t>TAPERED SHAFT, NARROW BLADE, DELICATE, LIGHT WEIGHT, SATIN FINISH, ANGLED, WITH STABILIZER BAR, THIN</t>
  </si>
  <si>
    <t>http://www.megamedworld.com/wp-content/uploads/2019/03/VM_KVC-min.pdf, https://accessgudid.nlm.nih.gov/devices/10885403029110</t>
  </si>
  <si>
    <t>CH5730</t>
  </si>
  <si>
    <t>BD_CH5730</t>
  </si>
  <si>
    <t>DIETHRICH CORONARY ARTERY 60DEG SCISSORS</t>
  </si>
  <si>
    <t>PRODIGO1056917</t>
  </si>
  <si>
    <t>DIETHRICH SCISSOR SURGICAL 60 DEGREE 7.25 IN 0.75 IN ARTERY, CORONARY ANGLED</t>
  </si>
  <si>
    <t>SCISSOR, SURGICAL, DIETHRICH, 60 DEGREE, 7.25 IN, 0.75 IN, ARTERY, CORONARY, ANGLED, NON STERILE, LATEX</t>
  </si>
  <si>
    <t>SCISSOR, SURG, DIETHRICH, 60 DEG, 7.25 IN, 0.75 IN, ART, CORONARY, ANGLED, NS, LTX</t>
  </si>
  <si>
    <t>SCISSOR, SURG, DIETHRICH, 60 DEG, 7.25 IN, 0.75 IN, ART, NS, LTX</t>
  </si>
  <si>
    <t>0.75 IN</t>
  </si>
  <si>
    <t>ARTERY, CORONARY</t>
  </si>
  <si>
    <t>http://www.megamedworld.com/wp-content/uploads/2019/03/VM_KVC-min.pdf, https://accessgudid.nlm.nih.gov/devices/10885403029073</t>
  </si>
  <si>
    <t>CH5735</t>
  </si>
  <si>
    <t>BD_CH5735</t>
  </si>
  <si>
    <t>DIETHRICH CORONARY ARTERY 90DEG SCISSORS</t>
  </si>
  <si>
    <t>PRODIGO1056919</t>
  </si>
  <si>
    <t>DIETHRICH SCISSOR SURGICAL 90 DEGREE 7.25 IN 0.75 IN ARTERY ANGLED</t>
  </si>
  <si>
    <t>SCISSOR, SURGICAL, DIETHRICH, 90 DEGREE, 7.25 IN, 0.75 IN, ARTERY, ANGLED, NON STERILE, LATEX</t>
  </si>
  <si>
    <t>SCISSOR, SURG, DIETHRICH, 90 DEG, 7.25 IN, 0.75 IN, ART, ANGLED, NS, LTX</t>
  </si>
  <si>
    <t>SCISSOR, SURG, DIETHRICH, 90 DEG, 7.25 IN, 0.75 IN, ART, ANGLED, NS</t>
  </si>
  <si>
    <t>http://www.megamedworld.com/wp-content/uploads/2019/03/VM_KVC-min.pdf, https://accessgudid.nlm.nih.gov/devices/10885403029097</t>
  </si>
  <si>
    <t>CH13102</t>
  </si>
  <si>
    <t>BD_CH13102</t>
  </si>
  <si>
    <t>DILATOR FORCEPS STR TIP 0.2MM DIA FLAT</t>
  </si>
  <si>
    <t>PRODIGO1056694</t>
  </si>
  <si>
    <t>Dilator forceps Straight Flat handle Overall length 5-1/4in 13.5cm Tip diameter 0.2mm</t>
  </si>
  <si>
    <t>FORCEP, SURGICAL, 0.2 MM TIP, 5.25 IN, DILATOR, STRAIGHT, FLAT HANDLE, STAINLESS STEEL</t>
  </si>
  <si>
    <t>FORCEP, SURG, 0.2 MM TIP, 5.25 IN, DIL, STR, FLAT HNDL, SS</t>
  </si>
  <si>
    <t>0.2 MM TIP</t>
  </si>
  <si>
    <t>5.25 IN</t>
  </si>
  <si>
    <t>DILATOR, STRAIGHT, FLAT HANDLE</t>
  </si>
  <si>
    <t>https://www.bd.com/en-us/products-and-solutions/products/product-page.CH13102#specifications</t>
  </si>
  <si>
    <t>CH13101</t>
  </si>
  <si>
    <t>BD_CH13101</t>
  </si>
  <si>
    <t>DILATOR FORCEPS STR TIP 0.3MM DIA FLAT</t>
  </si>
  <si>
    <t>PRODIGO1056693</t>
  </si>
  <si>
    <t>Dilator forceps Straight Flat handle Overall length 5-1/4in 13.5cm Tip diameter 0.3mm</t>
  </si>
  <si>
    <t>FORCEP, SURGICAL, 0.3 MM TIP, 5.25 IN, DILATOR, STRAIGHT, FLAT HANDLE, STAINLESS STEEL</t>
  </si>
  <si>
    <t>FORCEP, SURG, 0.3 MM TIP, 5.25 IN, DIL, STR, FLAT HNDL, SS</t>
  </si>
  <si>
    <t>0.3 MM TIP</t>
  </si>
  <si>
    <t>https://www.bd.com/en-us/products-and-solutions/products/product-page.CH13101#specifications</t>
  </si>
  <si>
    <t>CH13150</t>
  </si>
  <si>
    <t>BD_CH13150</t>
  </si>
  <si>
    <t>DILATOR FORCEPS TIP 10DEG 0.2MM DIA FLAT</t>
  </si>
  <si>
    <t>PRODIGO1056704</t>
  </si>
  <si>
    <t>Dilator forceps Tip angled 10 degrees diameter 0.2mm Flat handle 9mm wide Overall length 4-3/8in</t>
  </si>
  <si>
    <t>FORCEP, SURGICAL, 10 DEGREE, 0.2 MM TIP, 4-3/8 INX9 MM, DILATOR, ANGLED, FLAT HANDLE, STAINLESS STEEL</t>
  </si>
  <si>
    <t>FORCEP, SURG, 10 DEG, 0.2 MM TIP, 4-3/8 INX9 MM, DIL, ANGLED, FLAT HNDL, SS</t>
  </si>
  <si>
    <t>FORCEP, SURG, 10 DEG, 0.2 MM TIP, 4-3/8 INX9 MM, DIL, ANGLED, SS</t>
  </si>
  <si>
    <t>10 DEGREE, 0.2 MM TIP</t>
  </si>
  <si>
    <t>4-3/8 INX9 MM</t>
  </si>
  <si>
    <t>DILATOR, ANGLED, FLAT HANDLE</t>
  </si>
  <si>
    <t>https://www.bd.com/en-us/products-and-solutions/products/product-page.CH13150#specifications</t>
  </si>
  <si>
    <t>CH13149</t>
  </si>
  <si>
    <t>BD_CH13149</t>
  </si>
  <si>
    <t>DILATOR FORCEPS TIP 10DEG 0.3MM DIA FLAT</t>
  </si>
  <si>
    <t>PRODIGO1056703</t>
  </si>
  <si>
    <t>Dilator forceps Tip angled 10 degrees diameter 0.3mm Flat handle 9mm wide Overall length 4-3/8in</t>
  </si>
  <si>
    <t>FORCEP, SURGICAL, 10 DEGREE, 0.3 MM TIP, 4-3/8 INX9 MM, DILATOR, ANGLED, FLAT HANDLE, STAINLESS STEEL</t>
  </si>
  <si>
    <t>FORCEP, SURG, 10 DEG, 0.3 MM TIP, 4-3/8 INX9 MM, DIL, ANGLED, FLAT HNDL, SS</t>
  </si>
  <si>
    <t>FORCEP, SURG, 10 DEG, 0.3 MM TIP, 4-3/8 INX9 MM, DIL, ANGLED, SS</t>
  </si>
  <si>
    <t>10 DEGREE, 0.3 MM TIP</t>
  </si>
  <si>
    <t>https://www.bd.com/en-us/products-and-solutions/products/product-page.CH13149#specifications</t>
  </si>
  <si>
    <t>CH13096</t>
  </si>
  <si>
    <t>BD_CH13096</t>
  </si>
  <si>
    <t>DILATOR FORCEPS TIP 45DEG 0.3MM DIA FLAT</t>
  </si>
  <si>
    <t>PRODIGO1056691</t>
  </si>
  <si>
    <t>DILATOR FORCEPS FLAT SPRING HANDLE TIP ANGLED 45 DIAMETER 0.3MM OVERALL LENGTH 5-1/4IN SS</t>
  </si>
  <si>
    <t>FORCEP, SURGICAL, DILATOR, 0.3 MM, 45 DEGREE, 5.25 IN, FLAT SPRING HANDLE, TIP, STAINLESS STEEL</t>
  </si>
  <si>
    <t>FORCEP, SURG, DIL, 0.3 MM, 45 DEG, 5.25 IN, FLAT SPRING HNDL, TIP, SS</t>
  </si>
  <si>
    <t>FORCEP, SURG, DIL, 0.3 MM, 45 DEG, 5.25 IN, FLAT SPRING HNDL, SS</t>
  </si>
  <si>
    <t>DILATOR</t>
  </si>
  <si>
    <t>0.3 MM, 45 DEGREE</t>
  </si>
  <si>
    <t>FLAT SPRING HANDLE, TIP</t>
  </si>
  <si>
    <t>https://www.bd.com/en-us/products-and-solutions/products/product-page.CH13096#overview</t>
  </si>
  <si>
    <t>CH10015</t>
  </si>
  <si>
    <t>BD_CH10015</t>
  </si>
  <si>
    <t>DILATOR FORCEPS TIP DIAMETER 0.2</t>
  </si>
  <si>
    <t>PRODIGO1056608</t>
  </si>
  <si>
    <t xml:space="preserve">DILATOR FORCEPS ROUND SPRING HANDLE TIP DIAMETER 0.2MM 7IN SS </t>
  </si>
  <si>
    <t>FORCEP, SURGICAL, DILATOR, 0.2 MM, 7 IN, ROUND SPRING HANDLE, STAINLESS STEEL</t>
  </si>
  <si>
    <t>FORCEP, SURG, DIL, 0.2 MM, 7 IN, RND SPRING HNDL, SS</t>
  </si>
  <si>
    <t>0.2 MM</t>
  </si>
  <si>
    <t>ROUND SPRING HANDLE</t>
  </si>
  <si>
    <t>https://www.bd.com/en-us/products-and-solutions/products/product-page.CH10015#overview</t>
  </si>
  <si>
    <t>Potential Duplicate Across Consolidated, Ref ID 289349</t>
  </si>
  <si>
    <t>MO130001</t>
  </si>
  <si>
    <t>MO130-001</t>
  </si>
  <si>
    <t>BD_MO130001</t>
  </si>
  <si>
    <t>DINGMAN MOUTH GAG FRAME ONLY</t>
  </si>
  <si>
    <t>PRODIGO1057883</t>
  </si>
  <si>
    <t>DINGMAN MOUTH GAGS FRAME ONLY.</t>
  </si>
  <si>
    <t>GAG, MOUTH, DINGMAN, FRAME, RETRACTION, SATIN FINISH, STAINLESS STEEL, NON STERILE, LATEX</t>
  </si>
  <si>
    <t>GAG, MOUTH, DINGMAN, FRAME, RETRCT, SATIN FINISH, SS, NS, LTX</t>
  </si>
  <si>
    <t>DINGMAN</t>
  </si>
  <si>
    <t>FRAME, RETRACTION, SATIN FINISH</t>
  </si>
  <si>
    <t>https://www.bd.com/en-us/products-and-solutions/products/product-page.mo130-001#overview, https://accessgudid.nlm.nih.gov/devices/10885403058011</t>
  </si>
  <si>
    <t>CH13055</t>
  </si>
  <si>
    <t>BD_CH13055</t>
  </si>
  <si>
    <t>DISSECT SCISSOR CVD BLADE 15MM FLAT HNDL</t>
  </si>
  <si>
    <t>PRODIGO1056681</t>
  </si>
  <si>
    <t>DISSECTING SCISSORS FLAT HANDLE CURVED BLADE 15MM OVERALL LENGTH 4-3/8IN</t>
  </si>
  <si>
    <t>SCISSOR, SURGICAL, DISSECTING, 4-3/8 IN, 15 MM, CURVED, WITH BLADE, FLAT HANDLE, NON STERILE, LATEX</t>
  </si>
  <si>
    <t>SCISSOR, SURG, DISECT, 4-3/8 IN, 15 MM, CRV, W/ BLADE, FLAT HNDL, NS, LTX</t>
  </si>
  <si>
    <t>SCISSOR, SURG, DISECT, 4-3/8 IN, 15 MM, CRV, W/ BLADE, FLAT HNDL</t>
  </si>
  <si>
    <t>DISSECTING</t>
  </si>
  <si>
    <t>4-3/8 IN</t>
  </si>
  <si>
    <t>CURVED, WITH BLADE, FLAT HANDLE</t>
  </si>
  <si>
    <t>https://www.bd.com/en-us/products-and-solutions/products/product-page.CH13055#overviews</t>
  </si>
  <si>
    <t>CH13162</t>
  </si>
  <si>
    <t>BD_CH13162</t>
  </si>
  <si>
    <t>DISSECTING SCISSORS CVD BLADE 9MM</t>
  </si>
  <si>
    <t>PRODIGO1056707</t>
  </si>
  <si>
    <t>Dissecting Scissors</t>
  </si>
  <si>
    <t>SCISSOR, SURGICAL, 5-7/8 IN, 9 MM, DISSECTING, CURVED, ROUND HANDLE, WITH BLADE, NON STERILE, LATEX</t>
  </si>
  <si>
    <t>SCISSOR, SURG, 5-7/8 IN, 9 MM, DISECT, CRV, RND HNDL, W/ BLADE, NS, LTX</t>
  </si>
  <si>
    <t>SCISSOR, SURG, 5-7/8 IN, 9 MM, DISECT, CRV, RND HNDL, BLADE, NS, LTX</t>
  </si>
  <si>
    <t>DISSECTING, CURVED, ROUND HANDLE, WITH BLADE</t>
  </si>
  <si>
    <t>https://www.bd.com/en-us/products-and-solutions/products/product-page.CH13162#overview, https://accessgudid.nlm.nih.gov/devices/10885403036118</t>
  </si>
  <si>
    <t>CH13060</t>
  </si>
  <si>
    <t>BD_CH13060</t>
  </si>
  <si>
    <t>DISSECTING SCISSORS CVD BLADE LGTH 15MM</t>
  </si>
  <si>
    <t>PRODIGO1056682</t>
  </si>
  <si>
    <t>DISSECTING SCISSORS CURVED BLADE LENGTH 15MM OVERALL LENGTH 5-7/8IN LATEX NON STERILE</t>
  </si>
  <si>
    <t>SCISSOR, SURGICAL, DISSECTING, 5-7/8 IN, 15 MM, CURVED, WITH BLADE, FLAT HANDLE, NON STERILE, LATEX</t>
  </si>
  <si>
    <t>SCISSOR, SURG, DISECT, 5-7/8 IN, 15 MM, CRV, W/ BLADE, FLAT HNDL, NS, LTX</t>
  </si>
  <si>
    <t>SCISSOR, SURG, DISECT, 5-7/8 IN, 15 MM, CRV, W/ BLADE, FLAT HNDL</t>
  </si>
  <si>
    <t>https://www.bd.com/en-us/products-and-solutions/products/product-page.CH13060#overview, https://accessgudid.nlm.nih.gov/devices/10885403036088</t>
  </si>
  <si>
    <t>CH13161</t>
  </si>
  <si>
    <t>BD_CH13161</t>
  </si>
  <si>
    <t>DISSECTING SCISSORS CVD SERR 9MM</t>
  </si>
  <si>
    <t>PRODIGO1056706</t>
  </si>
  <si>
    <t>SCISSOR, SURGICAL, 5-7/8 IN, 9 MM, DISSECTING, CURVED, ROUND HANDLE, WITH SERRATED BLADE, NON STERILE, LATEX</t>
  </si>
  <si>
    <t>SCISSOR, SURG, 5-7/8 IN, 9 MM, DISECT, CRV, RND HNDL, W/ SERRATED BLADE, NS, LTX</t>
  </si>
  <si>
    <t>SCISSOR, SURG, 5-7/8 IN, 9 MM, DISECT, CRV, SERRATED BLADE, NS, LTX</t>
  </si>
  <si>
    <t>DISSECTING, CURVED, ROUND HANDLE, WITH SERRATED BLADE</t>
  </si>
  <si>
    <t>https://www.bd.com/en-us/products-and-solutions/products/product-page.CH13161#specifications, https://accessgudid.nlm.nih.gov/devices/10885403036101</t>
  </si>
  <si>
    <t>CH2605</t>
  </si>
  <si>
    <t>BD_CH2605</t>
  </si>
  <si>
    <t>DISSECTOR DBL-END OVER LGTH 7IN</t>
  </si>
  <si>
    <t>PRODIGO1056811</t>
  </si>
  <si>
    <t>Double Ended Dissector</t>
  </si>
  <si>
    <t>DISSECTOR, SURGICAL, 7 IN, DOUBLE ENDED, NON STERILE, LATEX</t>
  </si>
  <si>
    <t>DISSECTOR, SURG, 7 IN, DBL END, NS, LTX</t>
  </si>
  <si>
    <t>http://www.lt-technologies.de/_ws/mediabase/_ts_1494230442000/Downloads/CardioCatalog_LIT12012_low-res.pdf, https://accessgudid.nlm.nih.gov/devices/10885403026348</t>
  </si>
  <si>
    <t>MO552</t>
  </si>
  <si>
    <t>BD_MO552</t>
  </si>
  <si>
    <t>DOCKTOR SUTURE NDL TISS 1X2 TEETH FORCEP</t>
  </si>
  <si>
    <t>PRODIGO1057942</t>
  </si>
  <si>
    <t>DOCKTOR SUTURE NEEDLE AND TISSUE FORCEPS 1 X 2 TEETH. OVERALL LENGTH 4-3/4IN (12.1CM).</t>
  </si>
  <si>
    <t>FORCEP, SURGICAL, DOCKTOR, 4.75 IN, TISSUE, SUTURE, NEEDLE, 1X2 TEETH, NON STERILE, LATEX</t>
  </si>
  <si>
    <t>FORCEP, SURG, DOCKTOR, 4.75 IN, TISS, SUTURE, NDL, 1X2 TEETH, NS, LTX</t>
  </si>
  <si>
    <t>DOCKTOR</t>
  </si>
  <si>
    <t>SUTURE, NEEDLE, 1X2 TEETH</t>
  </si>
  <si>
    <t>https://www.bd.com/en-us/products-and-solutions/products/product-page.mo552#overview, https://accessgudid.nlm.nih.gov/devices/10885403058523</t>
  </si>
  <si>
    <t>MA552</t>
  </si>
  <si>
    <t>BD_MA552</t>
  </si>
  <si>
    <t>DOCKTOR SUTURE NEEDLE/TISS FORCEP 1X2TTH</t>
  </si>
  <si>
    <t>PRODIGO1057854</t>
  </si>
  <si>
    <t>DOCKTOR SUTURE NEEDLE AND TISSUE FORCEPS AFFINITY LINE. 1X2 TEETH. OVERALL LENGTH 4-3/4IN (12.1CM).</t>
  </si>
  <si>
    <t>FORCEP, SURGICAL, DOCKTOR, 4.75 IN, TISSUE, SUTURE, NEEDLE, 1X2 TEETH, AFFINITY LINE, NON STERILE, LATEX</t>
  </si>
  <si>
    <t>FORCEP, SURG, DOCKTOR, 4.75 IN, TISS, SUTURE, NDL, 1X2 TEETH, AFFIN LN, NS, LTX</t>
  </si>
  <si>
    <t>FORCEP, SURG, DOCKTOR, 4.75 IN, TISS, SUTURE, 1X2 TEETH, AFFIN LN</t>
  </si>
  <si>
    <t>SUTURE, NEEDLE, 1X2 TEETH, AFFINITY LINE</t>
  </si>
  <si>
    <t>https://www.bd.com/en-us/products-and-solutions/products/product-page.MA552#overview, https://accessgudid.nlm.nih.gov/devices/10885403056345</t>
  </si>
  <si>
    <t>LAT0536DGC</t>
  </si>
  <si>
    <t>LAT-0536-DGC</t>
  </si>
  <si>
    <t>BD_LAT0536DGC</t>
  </si>
  <si>
    <t>DOLPHIN GRASPER CUP  D/A INSERT 5MM 36CM</t>
  </si>
  <si>
    <t>PRODIGO1057794</t>
  </si>
  <si>
    <t>Snowden-pencer Grasper 5 Mmx36 Cm Dolphin Double Action With Cup Insert Non Sterile Latex</t>
  </si>
  <si>
    <t>GRASPER, ENDOSCOPIC, DOLPHIN, 5 MMX36 CM, DOUBLE ACTION, WITH CUP, INSERT, NON STERILE, SNOWDEN-PENCER, LATEX</t>
  </si>
  <si>
    <t>GRASPER, ENDOSCP, DOLPHIN, 5 MMX36 CM, DBL ACT, W/ CUP, INSRT, NS, SNOWDEN-PENCER, LTX</t>
  </si>
  <si>
    <t>GRASPER, ENDOSCP, DOLPHIN, 5 MMX36 CM, DBL, CUP, SNOWDEN-PENCER</t>
  </si>
  <si>
    <t>DOLPHIN</t>
  </si>
  <si>
    <t>DOUBLE ACTION, WITH CUP, INSERT</t>
  </si>
  <si>
    <t>https://www.bd.com/en-us/products-and-solutions/products/product-page.lat-0536-dgc#overview, https://accessgudid.nlm.nih.gov/devices/10885403466687</t>
  </si>
  <si>
    <t>LAT0536DG</t>
  </si>
  <si>
    <t>LAT-0536-DG</t>
  </si>
  <si>
    <t>BD_LAT0536DG</t>
  </si>
  <si>
    <t>DOLPHIN GRASPER D/A INSERT 5MM 36CM</t>
  </si>
  <si>
    <t>PRODIGO1057791</t>
  </si>
  <si>
    <t>Snowden-pencer Grasper 5 Mmx36 Cm Dolphin Double Action Insert Insulated Handle Shaft Non Sterile Latex</t>
  </si>
  <si>
    <t>GRASPER, ENDOSCOPIC, DOLPHIN, 5 MMX36 CM, DOUBLE ACTION, INSERT, INSULATED HANDLE SHAFT, NON STERILE, SNOWDEN-PENCER, LATEX</t>
  </si>
  <si>
    <t>GRASPER, ENDOSCP, DOLPHIN, 5 MMX36 CM, DBL ACT, INSRT, INSUL HNDL SHFT, NS, SNOWDEN-PENCER, LTX</t>
  </si>
  <si>
    <t>GRASPER, ENDOSCP, DOLPHIN, 5 MMX36 CM, DBL, INSUL, SNOWDEN-PENCER</t>
  </si>
  <si>
    <t>https://www.bd.com/en-us/products-and-solutions/products/product-page.lat-0536-dg, https://accessgudid.nlm.nih.gov/devices/10885403431661</t>
  </si>
  <si>
    <t>LAT0536DG20</t>
  </si>
  <si>
    <t>LAT-0536DG20</t>
  </si>
  <si>
    <t>BD_LAT0536DG20</t>
  </si>
  <si>
    <t>DORSEY FEN 20MM D/A INSERT 5MM 36CM</t>
  </si>
  <si>
    <t>PRODIGO1057792</t>
  </si>
  <si>
    <t>Snowden-pencer Grasper 5 Mmx36 Cm Dorsey 20 Mm Double Action Fenestrated Insert Non Sterile Latex</t>
  </si>
  <si>
    <t>GRASPER, ENDOSCOPIC, DORSEY, 5 MMX36 CM, 20 MM, DOUBLE ACTION, FENESTRATED, INSERT, NON STERILE, SNOWDEN-PENCER, LATEX</t>
  </si>
  <si>
    <t>GRASPER, ENDOSCP, DORSEY, 5 MMX36 CM, 20 MM, DBL ACT, FEN, INSRT, NS, SNOWDEN-PENCER, LTX</t>
  </si>
  <si>
    <t>GRASPER, ENDOSCP, DORSEY, 5 MMX36 CM, 20 MM, FEN, SNOWDEN-PENCER</t>
  </si>
  <si>
    <t>DORSEY</t>
  </si>
  <si>
    <t>20 MM</t>
  </si>
  <si>
    <t>DOUBLE ACTION, FENESTRATED, INSERT</t>
  </si>
  <si>
    <t>https://www.bd.com/en-us/products-and-solutions/products/product-page.lat-0536-dg20, https://accessgudid.nlm.nih.gov/devices/10885403431272</t>
  </si>
  <si>
    <t>LAT0545DG20</t>
  </si>
  <si>
    <t>LAT-0545-DG20</t>
  </si>
  <si>
    <t>BD_LAT0545DG20</t>
  </si>
  <si>
    <t>DORSEY FEN 20MM D/A INSERT 5MM 45CM</t>
  </si>
  <si>
    <t>PRODIGO1057823</t>
  </si>
  <si>
    <t>DORSEY FENESTRATED GRASPER 20 MM JAW</t>
  </si>
  <si>
    <t>GRASPER, ENDOSCOPIC, DORSEY, 5 MMX45 CM, 20 MM, FENESTRATED, DOUBLE ACTION INSERT, WITH JAW, NON STERILE, LATEX</t>
  </si>
  <si>
    <t>GRASPER ENDOSCOPIC DORSEY 5 MMX45 CM 20 MM FENESTRATED DOUBLE ACTION INSERT WITH JAW NON STERILE LATEX</t>
  </si>
  <si>
    <t>GRASPER, ENDOSCP, DORSEY, 5 MMX45 CM, 20 MM, FEN, DBL ACT INSRT, W/ JAW, NS, LTX</t>
  </si>
  <si>
    <t>GRASPER, ENDOSCP, DORSEY, 5 MMX45 CM, 20 MM, FEN, DBL ACT INSRT</t>
  </si>
  <si>
    <t>FENESTRATED, DOUBLE ACTION INSERT, WITH JAW</t>
  </si>
  <si>
    <t>https://www.bd.com/en-us/products-and-solutions/products/product-page.lat-0545-dg20#specifications, https://accessgudid.nlm.nih.gov/devices/10885403431289</t>
  </si>
  <si>
    <t>LAT0536DG40</t>
  </si>
  <si>
    <t>LAT-0536-DG40</t>
  </si>
  <si>
    <t>BD_LAT0536DG40</t>
  </si>
  <si>
    <t>DORSEY FEN 40MM D/A INSERT 5MM 36CM</t>
  </si>
  <si>
    <t>PRODIGO1057793</t>
  </si>
  <si>
    <t>Snowden-pencer Grasper 5 Mmx36 Cm Dorsey 40 Mm Double Action Fenestrated Insert Non Sterile Latex</t>
  </si>
  <si>
    <t>GRASPER, ENDOSCOPIC, DORSEY, 5 MMX36 CM, 40 MM, DOUBLE ACTION, FENESTRATED, INSERT, NON STERILE, SNOWDEN-PENCER, LATEX</t>
  </si>
  <si>
    <t>GRASPER, ENDOSCP, DORSEY, 5 MMX36 CM, 40 MM, DBL ACT, FEN, INSRT, NS, SNOWDEN-PENCER, LTX</t>
  </si>
  <si>
    <t>GRASPER, ENDOSCP, DORSEY, 5 MMX36 CM, 40 MM, FEN, SNOWDEN-PENCER</t>
  </si>
  <si>
    <t>40 MM</t>
  </si>
  <si>
    <t>https://www.bd.com/en-us/products-and-solutions/products/product-page.lat-0536-dg40, https://accessgudid.nlm.nih.gov/devices/10885403431395</t>
  </si>
  <si>
    <t>LAT0545DG40</t>
  </si>
  <si>
    <t>LAT-0545-DG40</t>
  </si>
  <si>
    <t>BD_LAT0545DG40</t>
  </si>
  <si>
    <t>DORSEY FEN 40MM D/A INSERT 5MM 45CM</t>
  </si>
  <si>
    <t>PRODIGO1057824</t>
  </si>
  <si>
    <t>DORSEY FENESTRATED GRASPER 40 MM JAW</t>
  </si>
  <si>
    <t>GRASPER, ENDOSCOPIC, DORSEY, 5 MMX45 CM, 40 MM, FENESTRATED, DOUBLE ACTION INSERT, WITH JAW, NON STERILE, LATEX</t>
  </si>
  <si>
    <t>GRASPER ENDOSCOPIC DORSEY 5 MMX45 CM 40 MM FENESTRATED DOUBLE ACTION INSERT WITH JAW NON STERILE LATEX</t>
  </si>
  <si>
    <t>GRASPER, ENDOSCP, DORSEY, 5 MMX45 CM, 40 MM, FEN, DBL ACT INSRT, W/ JAW, NS, LTX</t>
  </si>
  <si>
    <t>GRASPER, ENDOSCP, DORSEY, 5 MMX45 CM, 40 MM, FEN, DBL ACT INSRT</t>
  </si>
  <si>
    <t>https://www.bd.com/en-us/products-and-solutions/products/product-print-page.lat-0545-dg40, https://accessgudid.nlm.nih.gov/devices/10885403431401</t>
  </si>
  <si>
    <t>CH11012</t>
  </si>
  <si>
    <t>BD_CH11012</t>
  </si>
  <si>
    <t>DOUBLE CLAMP ARTERY F/0.4-1.0MM VESSELS</t>
  </si>
  <si>
    <t>PRODIGO1056625</t>
  </si>
  <si>
    <t>DOUBLE CLAMPS WITH FRAME ARTERY STATIONARY 0.4MM-1MM LATEX NON STERILE</t>
  </si>
  <si>
    <t>CLAMP, SURGICAL, DOUBLE, 0.4-1 MM, ARTERY, WITH FRAME, STATIONARY, FOR VESSEL, NON STERILE, LATEX</t>
  </si>
  <si>
    <t>CLAMP, SURG, DBL, 0.4-1 MM, ART, W/ FRAME, STATIONARY, FOR VES, NS, LTX</t>
  </si>
  <si>
    <t>CLAMP, SURG, DBL, 0.4-1 MM, ART, W/ FRAME, STATIONARY, FOR VES, NS</t>
  </si>
  <si>
    <t>DOUBLE</t>
  </si>
  <si>
    <t>WITH FRAME, STATIONARY, FOR VESSEL</t>
  </si>
  <si>
    <t>http://www.lt-technologies.de/_ws/mediabase/_ts_1494230442000/Downloads/CardioCatalog_LIT12012_low-res.pdf, https://accessgudid.nlm.nih.gov/devices/10885403123634</t>
  </si>
  <si>
    <t>CH36</t>
  </si>
  <si>
    <t>BD_CH36</t>
  </si>
  <si>
    <t>DOYEN COSTAL ELEV BLADE 2.5CM LEFT 7IN</t>
  </si>
  <si>
    <t>PRODIGO1056834</t>
  </si>
  <si>
    <t>DOYEN Costal Elevators</t>
  </si>
  <si>
    <t>ELEVATOR, SURGICAL, DOYEN COSTAL, 7 IN, 2.5 CM, LEFT, NON STERILE, LATEX</t>
  </si>
  <si>
    <t>ELEVATOR, SURG, DOYEN COSTAL, 7 IN, 2.5 CM, LT, NS, LTX</t>
  </si>
  <si>
    <t>DOYEN COSTAL</t>
  </si>
  <si>
    <t>2.5 CM</t>
  </si>
  <si>
    <t>http://www.lt-technologies.de/_ws/mediabase/_ts_1494230442000/Downloads/CardioCatalog_LIT12012_low-res.pdf, https://accessgudid.nlm.nih.gov/devices/10885403022425</t>
  </si>
  <si>
    <t>CH35</t>
  </si>
  <si>
    <t>BD_CH35</t>
  </si>
  <si>
    <t>DOYEN COSTAL ELEV BLADE 2.5CM RIGHT 7IN</t>
  </si>
  <si>
    <t>PRODIGO1056832</t>
  </si>
  <si>
    <t>ELEVATOR, SURGICAL, DOYEN COSTAL, 7 IN, 2.5 CM, RIGHT, WITH BLADE, NON STERILE, LATEX</t>
  </si>
  <si>
    <t>ELEVATOR, SURG, DOYEN COSTAL, 7 IN, 2.5 CM, RT, W/ BLADE, NS, LTX</t>
  </si>
  <si>
    <t>WITH BLADE</t>
  </si>
  <si>
    <t>http://www.lt-technologies.de/_ws/mediabase/_ts_1494230442000/Downloads/CardioCatalog_LIT12012_low-res.pdf, https://accessgudid.nlm.nih.gov/devices/10885403022418</t>
  </si>
  <si>
    <t>LA8215</t>
  </si>
  <si>
    <t>BD_LA8215</t>
  </si>
  <si>
    <t>DUAL CUP GRASP FORCEPS RATCH 5MM 35CM</t>
  </si>
  <si>
    <t>PRODIGO1057691</t>
  </si>
  <si>
    <t>Grasper 5 Mmx35 Cm Dual Cup Double Action Upper And Lower Serrated Jaw Insulated Shaft Rotation Ratchet Satin Finish Stainless Steel Non Sterile Latex</t>
  </si>
  <si>
    <t>GRASPER, ENDOSCOPIC, DUAL CUP, 5 MMX35 CM, DOUBLE ACTION, UPPER AND LOWER SERRATED JAW, INSULATED SHAFT, ROTATION, RATCHET, SATIN FINISH, STAINLESS STEEL, NON STERILE, LATEX</t>
  </si>
  <si>
    <t>GRASPER, ENDOSCP, 2 CUP, 5 MMX35 CM, DBL ACT, UPPER &amp; LOWER SERRATED JAW, INSUL SHFT, ROT, RATCH, SATIN FINISH, SS, NS, LTX</t>
  </si>
  <si>
    <t>GRASPER, ENDOSCP, 2 CUP, 5 MMX35 CM, DBL ACT, UPPER &amp; LOWER JAW</t>
  </si>
  <si>
    <t>DUAL CUP</t>
  </si>
  <si>
    <t>DOUBLE ACTION, UPPER AND LOWER SERRATED JAW, INSULATED SHAFT, ROTATION, RATCHET, SATIN FINISH</t>
  </si>
  <si>
    <t>https://www.bd.com/en-us/offerings/capabilities/surgical-instruments/laparoscopic-instruments/dual-cup-grasper/la8215, https://accessgudid.nlm.nih.gov/devices/10885403052897</t>
  </si>
  <si>
    <t>LA821545</t>
  </si>
  <si>
    <t>LA8215-45</t>
  </si>
  <si>
    <t>BD_LA821545</t>
  </si>
  <si>
    <t>DUAL CUP GRASP FORCEPS RATCHET 5MM 45CM</t>
  </si>
  <si>
    <t>PRODIGO1057692</t>
  </si>
  <si>
    <t>Grasper 5 Mmx45 Cm Dual Cup Double Action Upper And Lower Serrated Jaw Insulated Shaft Rotation Ratchet Satin Finish Stainless Steel Non Sterile Latex</t>
  </si>
  <si>
    <t>GRASPER, ENDOSCOPIC, DUAL CUP, 5 MMX45 CM, DOUBLE ACTION, UPPER AND LOWER SERRATED JAW, INSULATED SHAFT, ROTATION, RATCHET, SATIN FINISH, STAINLESS STEEL, NON STERILE, LATEX</t>
  </si>
  <si>
    <t>GRASPER, ENDOSCP, 2 CUP, 5 MMX45 CM, DBL ACT, UPPER &amp; LOWER SERRATED JAW, INSUL SHFT, ROT, RATCH, SATIN FINISH, SS, NS, LTX</t>
  </si>
  <si>
    <t>GRASPER, ENDOSCP, 2 CUP, 5 MMX45 CM, DBL ACT, UPPER &amp; LOWER JAW</t>
  </si>
  <si>
    <t>https://www.bd.com/en-us/products-and-solutions/products/product-page.la8215-45#overview, https://accessgudid.nlm.nih.gov/devices/10885403052903</t>
  </si>
  <si>
    <t>MO9750</t>
  </si>
  <si>
    <t>BD_MO9750</t>
  </si>
  <si>
    <t>DUNN-DAUTREY SPATULA OSTEOTOME 8MMW STR</t>
  </si>
  <si>
    <t>PRODIGO1057984</t>
  </si>
  <si>
    <t>DUNN-DAUTREY-TYPE SPATULA OSTEOTOMES OVERALL LENGTH 6-1/4IN (15.9CM). STRAIGHT. BLADE 8MM WIDE.</t>
  </si>
  <si>
    <t>OSTEOTOME, SURGICAL, DUNN-DAUTREY, 6.25 IN, 8 MM, STRAIGHT, SINGLE ACTION, SATIN FINISH, STAINLESS STEEL, NON STERILE, LATEX</t>
  </si>
  <si>
    <t>OSTEOTOME, SURG, DUNN-DAUTREY, 6.25 IN, 8 MM, STR, SINGLE ACT, SATIN FINISH, SS, NS, LTX</t>
  </si>
  <si>
    <t>OSTEOTOME, SURG, DUNN-DAUTREY, 6.25 IN, 8 MM, STR, SINGLE ACT</t>
  </si>
  <si>
    <t>DUNN-DAUTREY</t>
  </si>
  <si>
    <t>STRAIGHT, SINGLE ACTION, SATIN FINISH</t>
  </si>
  <si>
    <t>https://www.bd.com/en-us/products-and-solutions/products/product-page.MO9750#overview, https://accessgudid.nlm.nih.gov/devices/10885403068119</t>
  </si>
  <si>
    <t>LA8282</t>
  </si>
  <si>
    <t>BD_LA8282</t>
  </si>
  <si>
    <t>DUVAL GRASPING FORCEP SERR JAW 10MM 35CM</t>
  </si>
  <si>
    <t>PRODIGO1057733</t>
  </si>
  <si>
    <t>Snowden-pencer Grasper 10 Mmx35 Cm Duval Double Action Serrated Triangular Slotted Jaw Non Insulated Rotation Ratchet Stainless Steel Non Sterile Latex</t>
  </si>
  <si>
    <t>GRASPER, ENDOSCOPIC, DUVAL, 10 MMX35 CM, DOUBLE ACTION, SERRATED, TRIANGULAR, SLOTTED JAW, NON INSULATED, ROTATION, RATCHET, STAINLESS STEEL, NON STERILE, SNOWDEN-PENCER, LATEX</t>
  </si>
  <si>
    <t>GRASPER, ENDOSCP, DUVAL, 10 MMX35 CM, DBL ACT, SERRATED, TRIANG, SLT JAW, N INSUL, ROT, RATCH, SS, NS, SNOWDEN-PENCER, LTX</t>
  </si>
  <si>
    <t>GRASPER, ENDOSCP, DUVAL, 10 MMX35 CM, DBL, TRIANG, SNOWDEN-PENCER</t>
  </si>
  <si>
    <t>DUVAL</t>
  </si>
  <si>
    <t>10 MMX35 CM</t>
  </si>
  <si>
    <t>DOUBLE ACTION, SERRATED, TRIANGULAR, SLOTTED JAW, NON INSULATED, ROTATION, RATCHET</t>
  </si>
  <si>
    <t>https://www.bd.com/en-us/products-and-solutions/products/product-page.LA8282#overview, https://accessgudid.nlm.nih.gov/devices/10885403053641</t>
  </si>
  <si>
    <t>GL422</t>
  </si>
  <si>
    <t>BD_GL422</t>
  </si>
  <si>
    <t>EASTMAN VAG RETR LG BLADE 4X1-1/2IN</t>
  </si>
  <si>
    <t>PRODIGO1057492</t>
  </si>
  <si>
    <t>Eastman vaginal retractors Overall length 6-7/8in (17.5cm). Large. Blade 4in x 1-1/2in wide (10.2cm x 3.8cm).</t>
  </si>
  <si>
    <t>RETRACTOR, SURGICAL, EASTMAN, LARGE, 6-7/8 IN, 4X1.5 IN, VAGINAL, BLADE, NON STERILE, LATEX</t>
  </si>
  <si>
    <t>RETRACTOR, SURG, EASTMAN, LG, 6-7/8 IN, 4X1.5 IN, VAG, BLADE, NS, LTX</t>
  </si>
  <si>
    <t>EASTMAN</t>
  </si>
  <si>
    <t>4X1.5 IN</t>
  </si>
  <si>
    <t>https://www.bd.com/en-us/products-and-solutions/products/product-page.GL422#overview, https://accessgudid.nlm.nih.gov/devices/10885403043154</t>
  </si>
  <si>
    <t>GL421</t>
  </si>
  <si>
    <t>BD_GL421</t>
  </si>
  <si>
    <t>EASTMAN VAG RETR MED BLADE 3-1/2X1-1/2IN</t>
  </si>
  <si>
    <t>PRODIGO1057488</t>
  </si>
  <si>
    <t>Eastman vaginal retractors Overall length 6-7/8in (17.5cm). Medium. Blade 3-1/2in x 1-1/2in wide (8.9cm x 3.8cm).</t>
  </si>
  <si>
    <t>RETRACTOR, SURGICAL, EASTMAN, MEDIUM, 3.5X1.5 IN, VAGINAL, BLADE, NON STERILE, LATEX</t>
  </si>
  <si>
    <t>RETRACTOR, SURG, EASTMAN, MED, 3.5X1.5 IN, VAG, BLADE, NS, LTX</t>
  </si>
  <si>
    <t>3.5X1.5 IN</t>
  </si>
  <si>
    <t>https://www.bd.com/en-us/products-and-solutions/products/product-page.GL421#overview, https://accessgudid.nlm.nih.gov/devices/10885403043147</t>
  </si>
  <si>
    <t>GL1401019</t>
  </si>
  <si>
    <t>GL1401-019</t>
  </si>
  <si>
    <t>BD_GL1401019</t>
  </si>
  <si>
    <t>EGAR UTERINE DILATOR 19MM OVRLGTH 7-1/4</t>
  </si>
  <si>
    <t>PRODIGO1057371</t>
  </si>
  <si>
    <t>42292601  Surgical dilators</t>
  </si>
  <si>
    <t>Hegar uterine dilators Solid single-ended. Mirror finish. Overall length 7-1/4in (18.5cm). Size 19mm.</t>
  </si>
  <si>
    <t>DILATOR, SURGICAL, HEGAR, 19 MM, 7.25 IN, UTERINE, SOLID, SINGLE END, MIRROR FINISH, STAINLESS STEEL, NON STERILE, LATEX, REUSABLE</t>
  </si>
  <si>
    <t>DILATOR, SURG, HEG, 19 MM, 7.25 IN, UTER, SLD, SINGLE END, MIRROR FINISH, SS, NS, LTX, REUSE</t>
  </si>
  <si>
    <t>DILATOR, SURG, HEG, 19 MM, 7.25 IN, SLD, SINGLE END, MIRROR FINISH</t>
  </si>
  <si>
    <t>HEGAR</t>
  </si>
  <si>
    <t>SOLID, SINGLE END, MIRROR FINISH</t>
  </si>
  <si>
    <t>https://www.bd.com/en-us/products-and-solutions/products/product-page.GL1401-019, https://accessgudid.nlm.nih.gov/devices/10885403044137</t>
  </si>
  <si>
    <t>IBI85809</t>
  </si>
  <si>
    <t>IBI-85809</t>
  </si>
  <si>
    <t>ABBOTT_IBI85809</t>
  </si>
  <si>
    <t>EKG CONNECTING Cable 5 FT</t>
  </si>
  <si>
    <t>PRODIGO1061002</t>
  </si>
  <si>
    <t>42295810  Surgical thermal ablation system accessories</t>
  </si>
  <si>
    <t>Electrophysiology Cable 1.5m 1804-S</t>
  </si>
  <si>
    <t>CABLE, CATHETER, ABLATION, 5 FT, EKG CONNECTING, STERILE, LATEX-FREE</t>
  </si>
  <si>
    <t>CABLE, CATH, ABLATN, 5 FT, EKG CONN, STRL, LF</t>
  </si>
  <si>
    <t>CABLE</t>
  </si>
  <si>
    <t>ABLATION</t>
  </si>
  <si>
    <t>5 FT</t>
  </si>
  <si>
    <t>EKG CONNECTING</t>
  </si>
  <si>
    <t>LATEX-FREE</t>
  </si>
  <si>
    <t>https://www.esutures.com/product/0-in-date/107-st.-jude/645-accessories/46283630-sjm-electrophysiology-cable-1.5m-IBI-85809/</t>
  </si>
  <si>
    <t>GL801</t>
  </si>
  <si>
    <t>BD_GL801</t>
  </si>
  <si>
    <t>EMMETT TENACULUM HOOK #2 SHARP LGTH 9IN</t>
  </si>
  <si>
    <t>PRODIGO1057540</t>
  </si>
  <si>
    <t>Emmett tenaculum hooks Overall length 9in (22.9cm). Style No. 2. Sharp.</t>
  </si>
  <si>
    <t>HOOK, SURGICAL, EMMETT, 2, 9 IN, TENACULUM, SHARP, NON STERILE, LATEX</t>
  </si>
  <si>
    <t>HOOK, SURG, EMMETT, 2, 9 IN, TENAC, SHRP, NS, LTX</t>
  </si>
  <si>
    <t>EMMETT</t>
  </si>
  <si>
    <t>TENACULUM, SHARP</t>
  </si>
  <si>
    <t>https://www.bd.com/en-us/products-and-solutions/products/product-page.GL801#overview, https://accessgudid.nlm.nih.gov/devices/10885403043628</t>
  </si>
  <si>
    <t>GL802</t>
  </si>
  <si>
    <t>BD_GL802</t>
  </si>
  <si>
    <t>EMMETT TENACULUM HOOK #3 SHARP LGTH 9IN</t>
  </si>
  <si>
    <t>PRODIGO1057541</t>
  </si>
  <si>
    <t>Emmett tenaculum hooks Overall length 9in (22.9cm). Style No. 3. Sharp.</t>
  </si>
  <si>
    <t>HOOK, SURGICAL, EMMETT, 3, 9 IN, TENACULUM, SHARP, NON STERILE, LATEX</t>
  </si>
  <si>
    <t>HOOK, SURG, EMMETT, 3, 9 IN, TENAC, SHRP, NS, LTX</t>
  </si>
  <si>
    <t>https://www.bd.com/en-us/products-and-solutions/products/product-page.GL802#overview, https://accessgudid.nlm.nih.gov/devices/10885403043635</t>
  </si>
  <si>
    <t>GL800001</t>
  </si>
  <si>
    <t>GL800-001</t>
  </si>
  <si>
    <t>BD_GL800001</t>
  </si>
  <si>
    <t>EMMETT TENACULUM HOOK BLUNT #1 9IN</t>
  </si>
  <si>
    <t>PRODIGO1057539</t>
  </si>
  <si>
    <t>Emmett tenaculum hooks Overall length 9in (22.9cm). Style No. 1. Blunt.</t>
  </si>
  <si>
    <t>HOOK, SURGICAL, EMMETT, 1, 9 IN, TENACULUM, BLUNT, SHARP, NON STERILE, LATEX</t>
  </si>
  <si>
    <t>HOOK, SURG, EMMETT, 1, 9 IN, TENAC, BLNT, SHRP, NS, LTX</t>
  </si>
  <si>
    <t>TENACULUM, BLUNT, SHARP</t>
  </si>
  <si>
    <t>https://www.bd.com/en-us/products-and-solutions/products/product-page.GL800-001#overview, https://accessgudid.nlm.nih.gov/devices/10885403043611</t>
  </si>
  <si>
    <t>MO9720</t>
  </si>
  <si>
    <t>BD_MO9720</t>
  </si>
  <si>
    <t>EPKER OSTEOTOME 12 X 8MM STR 7IN</t>
  </si>
  <si>
    <t>PRODIGO1057982</t>
  </si>
  <si>
    <t>EPKER-TYPE OSTEOTOMES OVERALL LENGTH 7IN (17.8CM). STRAIGHT. 1.2MM X 8MM WIDE.</t>
  </si>
  <si>
    <t>OSTEOTOME, SURGICAL, EPKER, 7 IN, 1.2X8 MM, STRAIGHT, SINGLE ACTION, STAINLESS STEEL, NON STERILE, LATEX</t>
  </si>
  <si>
    <t>OSTEOTOME, SURG, EPKER, 7 IN, 1.2X8 MM, STR, SINGLE ACT, SS, NS, LTX</t>
  </si>
  <si>
    <t>EPKER</t>
  </si>
  <si>
    <t>1.2X8 MM</t>
  </si>
  <si>
    <t>STRAIGHT, SINGLE ACTION</t>
  </si>
  <si>
    <t>https://www.bd.com/en-us/products-and-solutions/products/product-page.MO9720#overview, https://accessgudid.nlm.nih.gov/devices/10885403067228</t>
  </si>
  <si>
    <t>401915</t>
  </si>
  <si>
    <t>ABBOTT_401915</t>
  </si>
  <si>
    <t>EPL 6F DEC 2/5 2M 115 XLGCRL</t>
  </si>
  <si>
    <t>PRODIGO1060620</t>
  </si>
  <si>
    <t>LIVEWIRE ELECTROPHYSIOLOGY CATHETERS DECAPOLAR 6FR 2-5-2MM 2MM TIP EXTRA LRG CURL 115CM</t>
  </si>
  <si>
    <t>CATHETER, ELECTROPHYSIOLOGY, XLARGE CURL, 2-5-2 MM SPACING, 2 MM TIP, 6 FRX115 CM, DECAPOLAR, STERILE, LIVEWIRE, LATEX</t>
  </si>
  <si>
    <t>CATHETER, ELECTROPHYSIOLOGY, XL CURL, 2-5-2 MM SPC, 2 MM TIP, 6 FRX115 CM, DECAPOLAR, STRL, LIVEWIRE, LTX</t>
  </si>
  <si>
    <t>CATHETER, ELECTROPHYSIOLOGY, XL CURL, 2-5-2 MM, 2 MM, 6 FRX115 CM</t>
  </si>
  <si>
    <t>XLARGE CURL</t>
  </si>
  <si>
    <t>2-5-2 MM SPACING, 2 MM TIP</t>
  </si>
  <si>
    <t>6 FRX115 CM</t>
  </si>
  <si>
    <t>DECAPOLAR</t>
  </si>
  <si>
    <t>LIVEWIRE</t>
  </si>
  <si>
    <t>https://www.cardiovascular.abbott/content/dam/bss/divisionalsites/cv/pdf/guides/2019_us_electrophysiology_prod.pdf, https://accessgudid.nlm.nih.gov/devices/10841898111556</t>
  </si>
  <si>
    <t>D402058</t>
  </si>
  <si>
    <t>ABBOTT_D402058</t>
  </si>
  <si>
    <t>EPL 6F MEDIGUIDE DEC 2/5 115cm MD SWP</t>
  </si>
  <si>
    <t>PRODIGO1060861</t>
  </si>
  <si>
    <t>CATHETER ELECTROPHYSIOLOGY MEDIUM SWEEP 2-5-2 MM SPACING 2 MM TIP 6 FRX115 CM 1 MM BAND DECAPOLAR MEDIGUIDE ENABLED LIVEWIRE</t>
  </si>
  <si>
    <t>CATHETER, ELECTROPHYSIOLOGY, MEDIUM SWEEP, 2-5-2 MM SPACING, 2 MM TIP, 6 FRX115 CM, 1 MM, DECAPOLAR, MEDIGUIDE ENABLED, CANNULATOR, STERILE, LIVEWIRE, LATEX</t>
  </si>
  <si>
    <t>CATHETER, ELECTROPHYSIOLOGY, MED SWP, 2-5-2 MM SPC, 2 MM TIP, 6 FRX115 CM, 1 MM, DECAPOLAR, MEDIGUIDE ENABLED, CANNULATOR, STRL, LIVEWIRE, LTX</t>
  </si>
  <si>
    <t>CATHETER, ELECTROPHYSIOLOGY, MED SWP, 2-5-2 MM, 2 MM, 6 FRX115 CM</t>
  </si>
  <si>
    <t>MEDIUM SWEEP</t>
  </si>
  <si>
    <t>DECAPOLAR, MEDIGUIDE ENABLED, CANNULATOR</t>
  </si>
  <si>
    <t>https://www.cardiovascular.abbott/content/dam/bss/divisionalsites/cv/pdf/guides/HCPCS-Device-Category-C-Codes-Guide.pdf, https://www.esutures.com/product/2-indate-expired/107-st.-jude/652-diagnostic-catheters/46275561-sjm-livewire-mediguide-enabled-diagnostic-catheter-6f-D402058/, https://accessgudid.nlm.nih.gov/devices/05414734216890</t>
  </si>
  <si>
    <t>402032</t>
  </si>
  <si>
    <t>ABBOTT_402032</t>
  </si>
  <si>
    <t>EPL DUODEC 6F 115cm LG CURL 2/4 G2</t>
  </si>
  <si>
    <t>PRODIGO1060660</t>
  </si>
  <si>
    <t>CATHETER ELECTROPHYSIOLOGY LARGE CURL 2-4-2 MM SPACING 2 TIP 6 FRX115 CM DUO DECAPOLAR LIVEWIRE</t>
  </si>
  <si>
    <t>CATHETER, ELECTROPHYSIOLOGY, LARGE CURL, 2-4-2 MM SPACING, 2 TIP, 6 FRX115 CM, DUO DECAPOLAR, STERILE, LIVEWIRE, LATEX</t>
  </si>
  <si>
    <t>CATHETER, ELECTROPHYSIOLOGY, LG CURL, 2-4-2 MM SPC, 2 TIP, 6 FRX115 CM, DUO DECAPOLAR, STRL, LIVEWIRE, LTX</t>
  </si>
  <si>
    <t>CATHETER, ELECTROPHYSIOLOGY, LG CURL, 2-4-2 MM, 2 MM, 6 FRX115 CM</t>
  </si>
  <si>
    <t>LARGE CURL</t>
  </si>
  <si>
    <t>2-4-2 MM SPACING, 2 MM TIP</t>
  </si>
  <si>
    <t>DUO DECAPOLAR</t>
  </si>
  <si>
    <t>https://www.cardiovascular.abbott/content/dam/bss/divisionalsites/cv/pdf/guides/2019_us_electrophysiology_prod.pdf</t>
  </si>
  <si>
    <t>401470</t>
  </si>
  <si>
    <t>ABBOTT_401470</t>
  </si>
  <si>
    <t xml:space="preserve">EPS 6F QUAD 2MM 120CM CRD                                   </t>
  </si>
  <si>
    <t>PRODIGO1060590</t>
  </si>
  <si>
    <t>CATHETER ELECTROPHYSIOLOGY CRD CURVE 2 MM 6 FRX120 CM QUADRIPOLAR CONVENIENT CABLE SUPREME</t>
  </si>
  <si>
    <t>CATHETER, ELECTROPHYSIOLOGY, CRD CURVE, 2 MM SPACING, 6 FRX120 CM, QUADRIPOLAR, CONVENIENT CABLE, STERILE, SUPREME, LATEX</t>
  </si>
  <si>
    <t>CATHETER, ELECTROPHYSIOLOGY, CRD CRV, 2 MM SPC, 6 FRX120 CM, QPLR, CONVENIENT CABLE, STRL, SUPREME, LTX</t>
  </si>
  <si>
    <t>CATHETER, ELECTROPHYSIOLOGY, CRD, 2 MM SPC, 6 FRX120 CM, SUPREME</t>
  </si>
  <si>
    <t>CRD CURVE</t>
  </si>
  <si>
    <t>2 MM SPACING</t>
  </si>
  <si>
    <t>6 FRX120 CM</t>
  </si>
  <si>
    <t>QUADRIPOLAR, CONVENIENT CABLE</t>
  </si>
  <si>
    <t>SUPREME</t>
  </si>
  <si>
    <t>https://www.cardiovascular.abbott/content/dam/bss/divisionalsites/cv/pdf/guides/2019_us_electrophysiology_prod.pdf, https://accessgudid.nlm.nih.gov/devices/05414734201476</t>
  </si>
  <si>
    <t>MO1980</t>
  </si>
  <si>
    <t>BD_MO1980</t>
  </si>
  <si>
    <t>EVES TONSIL SNARE 11-1/8IN W/O RATCHET</t>
  </si>
  <si>
    <t>PRODIGO1057920</t>
  </si>
  <si>
    <t>42291616  Surgical snares or snare wires</t>
  </si>
  <si>
    <t>EVES TONSIL SNARES INCLUDES 12 WIRES. OVERALL LENGTH 11-1/8IN (28.3CM). WITHOUT RATCHET.</t>
  </si>
  <si>
    <t>SNARE, TONSIL, EVES, 11-1/8 IN, 12 WIRE, WITHOUT RATCHET, NON STERILE, LATEX</t>
  </si>
  <si>
    <t>SNARE, TONSIL, EVES, 11-1/8 IN, 12 WIRE, W/O RATCH, NS, LTX</t>
  </si>
  <si>
    <t>SNARE</t>
  </si>
  <si>
    <t>EVES</t>
  </si>
  <si>
    <t>11-1/8 IN</t>
  </si>
  <si>
    <t>12 WIRE, WITHOUT RATCHET</t>
  </si>
  <si>
    <t>https://www.bd.com/en-us/products-and-solutions/products/product-page.MO1980#overview, https://accessgudid.nlm.nih.gov/devices/10885403059100</t>
  </si>
  <si>
    <t>MO1970</t>
  </si>
  <si>
    <t>BD_MO1970</t>
  </si>
  <si>
    <t>EVES TONSIL SNARE 11-1/8IN W/RATCHET</t>
  </si>
  <si>
    <t>PRODIGO1057919</t>
  </si>
  <si>
    <t>EVES TONSIL SNARES INCLUDES 12 WIRES. OVERALL LENGTH 11-1/8IN (28.3CM). WITH RATCHET.</t>
  </si>
  <si>
    <t>SNARE, TONSIL, EVES, 11-1/8 IN, 12 WIRE, WITH RATCHET, NON STERILE, LATEX</t>
  </si>
  <si>
    <t>SNARE, TONSIL, EVES, 11-1/8 IN, 12 WIRE, W/ RATCH, NS, LTX</t>
  </si>
  <si>
    <t>12 WIRE, WITH RATCHET</t>
  </si>
  <si>
    <t>https://www.bd.com/en-us/products-and-solutions/products/product-page.MO1970#overview, https://accessgudid.nlm.nih.gov/devices/10885403059094</t>
  </si>
  <si>
    <t>MO11005</t>
  </si>
  <si>
    <t>BD_MO11005</t>
  </si>
  <si>
    <t>EXODONTIA ORAL CURETTE #10 DBL-END</t>
  </si>
  <si>
    <t>PRODIGO1057864</t>
  </si>
  <si>
    <t>42152808  Periodontal curettes</t>
  </si>
  <si>
    <t>EXODONTIA ORAL CURETTES DOUBLE-ENDED NO. 10. OVERALL LENGTH 7-1/4IN(18.4CM).</t>
  </si>
  <si>
    <t>CURETTE, DENTAL, EXODONTIA, 10, 7.25 IN, ORAL, DOUBLE-ENDED, SATIN FINISH, STAINLESS STEEL, NON STERILE, LATEX</t>
  </si>
  <si>
    <t>CURETTE, DENT, EXODONTIA, 10, 7.25 IN, ORAL, DOUBLE-ENDED, SATIN FINISH, SS, NS, LTX</t>
  </si>
  <si>
    <t>CURETTE, DENT, EXODONTIA, 10, 7.25 IN, DOUBLE-ENDED, SATIN FINISH</t>
  </si>
  <si>
    <t>DENTAL</t>
  </si>
  <si>
    <t>EXODONTIA</t>
  </si>
  <si>
    <t>ORAL</t>
  </si>
  <si>
    <t>DOUBLE-ENDED, SATIN FINISH</t>
  </si>
  <si>
    <t>https://www.bd.com/en-us/products-and-solutions/products/product-page.MO11005#overview, https://accessgudid.nlm.nih.gov/devices/10885403068690</t>
  </si>
  <si>
    <t>MO10030</t>
  </si>
  <si>
    <t>BD_MO10030</t>
  </si>
  <si>
    <t>EXODONTIA ORAL GAUZE DIRECTOR/LIG TUCKER</t>
  </si>
  <si>
    <t>PRODIGO1057858</t>
  </si>
  <si>
    <t>42292603  Surgical probes or directors</t>
  </si>
  <si>
    <t>EXODONTIA ORAL GAUZE DIRECTOR AND LIGATURE TUCKER EXODONTIA ORAL GAUZE DIRECTOR AND LIGATURE TUCKER</t>
  </si>
  <si>
    <t>DIRECTOR, SURGICAL, 6.75 IN, EXODONTIA, ORAL GAUZE, WITH LIGATURE TUCKER, DOUBLE-ENDED, SATIN FINISH, STAINLESS STEEL, NON STERILE, LATEX</t>
  </si>
  <si>
    <t>DIRECTOR, SURG, 6.75 IN, EXODONTIA, ORAL GZ, W/ LIG TUCKER, DOUBLE-ENDED, SATIN FINISH, SS, NS, LTX</t>
  </si>
  <si>
    <t>DIRECTOR, SURG, 6.75 IN, EXODONTIA, ORAL GZ, W/ LIG TUCKER</t>
  </si>
  <si>
    <t>DIRECTOR</t>
  </si>
  <si>
    <t>EXODONTIA, ORAL GAUZE, WITH LIGATURE TUCKER, DOUBLE-ENDED, SATIN FINISH</t>
  </si>
  <si>
    <t>https://www.bd.com/en-us/products-and-solutions/products/product-page.mo10030#overview, https://accessgudid.nlm.nih.gov/devices/10885403068621</t>
  </si>
  <si>
    <t>MO10005</t>
  </si>
  <si>
    <t>BD_MO10005</t>
  </si>
  <si>
    <t>EXODONTIA ORAL ROOT TEASER #37 MED DEL</t>
  </si>
  <si>
    <t>PRODIGO1057856</t>
  </si>
  <si>
    <t>42151686  Dental instrument sets</t>
  </si>
  <si>
    <t>EXODONTIA ORAL ROOT TEASERS NO. 37. MEDIUM DELICATE. OVERALL LENGTH 7-3/4IN (19.7CM).</t>
  </si>
  <si>
    <t>TEASER, DENTAL, 37, 7.75 IN, ORAL ROOT, EXODONTIA, MEDIUM DELICATE, SATIN FINISH, STAINLESS STEEL, NON STERILE, LATEX</t>
  </si>
  <si>
    <t>TEASER, DENT, 37, 7.75 IN, ORAL ROOT, EXODONTIA, MED DEL, SATIN FINISH, SS, NS, LTX</t>
  </si>
  <si>
    <t>TEASER, DENT, 37, 7.75 IN, EXODONTIA, MED DEL, SATIN FINISH</t>
  </si>
  <si>
    <t>TEASER</t>
  </si>
  <si>
    <t>ORAL ROOT</t>
  </si>
  <si>
    <t>EXODONTIA, MEDIUM DELICATE, SATIN FINISH</t>
  </si>
  <si>
    <t>https://www.bd.com/en-us/products-and-solutions/products/product-page.mo10005#overview, https://accessgudid.nlm.nih.gov/devices/10885403068577</t>
  </si>
  <si>
    <t>AU5236</t>
  </si>
  <si>
    <t>BD_AU5236</t>
  </si>
  <si>
    <t>FARRIOR EAR SPEC OVAL 20DEG TIP 6X7MM</t>
  </si>
  <si>
    <t>PRODIGO1056341</t>
  </si>
  <si>
    <t>FARRIOR EAR SPECULA GLARE-REDUCING INTERIOR SURFACE. OVAL TIP. TIP ANGLED 20 DEGREES. 6MM X 7MM I.D.</t>
  </si>
  <si>
    <t>SPECULA, EXAM, FARRIOR, 20 DEGREE, 6X7 MM, EAR, GLARE-REDUCING INTERIOR SURFACE, OVAL TIP, ANGLED, MATTE FINISH, STAINLESS STEEL, NON STERILE, LATEX</t>
  </si>
  <si>
    <t>SPECULA, EXAM, FARRIOR, 20 DEG, 6X7 MM, EAR, GLARE-REDUCING INT SURF, OVL TIP, ANGLED, MATTE FINISH, SS, NS, LTX</t>
  </si>
  <si>
    <t>SPECULA, EXAM, FARRIOR, 20 DEG, 6X7 MM, GLARE-REDUCING INT SURF</t>
  </si>
  <si>
    <t>FARRIOR</t>
  </si>
  <si>
    <t>6X7 MM</t>
  </si>
  <si>
    <t>GLARE-REDUCING INTERIOR SURFACE, OVAL TIP, ANGLED, MATTE FINISH</t>
  </si>
  <si>
    <t>https://www.bd.com/en-us/products-and-solutions/products/product-page.au5236#overview, https://accessgudid.nlm.nih.gov/devices/10885403007958</t>
  </si>
  <si>
    <t>AU5238</t>
  </si>
  <si>
    <t>BD_AU5238</t>
  </si>
  <si>
    <t>FARRIOR EAR SPEC OVAL 20DEG TIP 7X8MM</t>
  </si>
  <si>
    <t>PRODIGO1056344</t>
  </si>
  <si>
    <t>FARRIOR EAR SPECULUM OVAL TIP 7 X 8MM I.D. ANGLED TIP 20°</t>
  </si>
  <si>
    <t>SPECULA, SURGICAL, FARRIOR, 20 DEGREE, 7X8 MM, EAR, GLARE-REDUCING INTERIOR SURFACE, OVAL TIP, ANGLED, MATTE FINISH, STAINLESS STEEL, NON STERILE, LATEX</t>
  </si>
  <si>
    <t>SPECULA, SURG, FARRIOR, 20 DEG, 7X8 MM, EAR, GLARE-REDUCING INT SURF, OVL TIP, ANGLED, MATTE FINISH, SS, NS, LTX</t>
  </si>
  <si>
    <t>SPECULA, SURG, FARRIOR, 20 DEG, 7X8 MM, EAR, OVL TIP, MATTE FINISH</t>
  </si>
  <si>
    <t>7X8 MM</t>
  </si>
  <si>
    <t>https://accessgudid.nlm.nih.gov/devices/10885403007989</t>
  </si>
  <si>
    <t>AU5237</t>
  </si>
  <si>
    <t>BD_AU5237</t>
  </si>
  <si>
    <t>FARRIOR EAR SPEC OVAL 20DG TIP 6.5X7.5MM</t>
  </si>
  <si>
    <t>PRODIGO1056343</t>
  </si>
  <si>
    <t>FARRIOR EAR SPECULA GLARE-REDUCING INTERIOR SURFACE. OVAL TIP. TIP ANGLED 20 DEGREES. 6.5MM X 7.5MM I.D.</t>
  </si>
  <si>
    <t>SPECULA, EXAM, FARRIOR, 20 DEGREE, 6.5X7.5 MM, EAR, GLARE-REDUCING INTERIOR SURFACE, OVAL TIP, ANGLED, MATTE FINISH, STAINLESS STEEL, NON STERILE, LATEX</t>
  </si>
  <si>
    <t>SPECULA, EXAM, FARRIOR, 20 DEG, 6.5X7.5 MM, EAR, GLARE-REDUCING INT SURF, OVL TIP, ANGLED, MATTE FINISH, SS, NS, LTX</t>
  </si>
  <si>
    <t>SPECULA, EXAM, FARRIOR, 20 DEG, 6.5X7.5 MM, EAR, OVL TIP, ANGLED</t>
  </si>
  <si>
    <t>6.5X7.5 MM</t>
  </si>
  <si>
    <t>https://www.bd.com/en-us/products-and-solutions/products/product-page.AU5237#overview, https://accessgudid.nlm.nih.gov/devices/10885403007965</t>
  </si>
  <si>
    <t>AU52324</t>
  </si>
  <si>
    <t>AU5232-4</t>
  </si>
  <si>
    <t>BD_AU52324</t>
  </si>
  <si>
    <t>FARRIOR EAR SPEC OVAL FLAT TIP 4X5MM ID</t>
  </si>
  <si>
    <t>PRODIGO1056339</t>
  </si>
  <si>
    <t>FARRIOR EAR SPECULA GLARE-REDUCING INTERIOR SURFACE. OVAL TIP. FLAT TIP. 4MM X 5MM I.D.</t>
  </si>
  <si>
    <t>SPECULA, EXAM, FARRIOR, 4X5 MM, EAR, GLARE-REDUCING INTERIOR SURFACE, OVAL TIP, FLAT TIP, MATTE FINISH, STAINLESS STEEL, NON STERILE, LATEX</t>
  </si>
  <si>
    <t>SPECULA, EXAM, FARRIOR, 4X5 MM, EAR, GLARE-REDUCING INT SURF, OVL TIP, FLAT TIP, MATTE FINISH, SS, NS, LTX</t>
  </si>
  <si>
    <t>SPECULA, EXAM, FARRIOR, 4X5 MM, EAR, GLARE-REDUCING INT SURF</t>
  </si>
  <si>
    <t>4X5 MM</t>
  </si>
  <si>
    <t>GLARE-REDUCING INTERIOR SURFACE, OVAL TIP, FLAT TIP, MATTE FINISH</t>
  </si>
  <si>
    <t>https://www.bd.com/en-us/products-and-solutions/products/product-page.AU5232-4#overview, https://accessgudid.nlm.nih.gov/devices/10885403007903</t>
  </si>
  <si>
    <t>AU52345</t>
  </si>
  <si>
    <t>AU5234-5</t>
  </si>
  <si>
    <t>BD_AU52345</t>
  </si>
  <si>
    <t>FARRIOR EAR SPEC OVAL FLAT TIP 5X6MM ID</t>
  </si>
  <si>
    <t>PRODIGO1056340</t>
  </si>
  <si>
    <t>FARRIOR EAR SPECULA GLARE-REDUCING INTERIOR SURFACE. OVAL TIP. FLAT TIP. 5MM X 6MM I.D.</t>
  </si>
  <si>
    <t>SPECULA, EXAM, FARRIOR, 5X6 MM, EAR, GLARE-REDUCING INTERIOR SURFACE, OVAL TIP, FLAT TIP, MATTE FINISH, STAINLESS STEEL, NON STERILE, LATEX</t>
  </si>
  <si>
    <t>SPECULA, EXAM, FARRIOR, 5X6 MM, EAR, GLARE-REDUCING INT SURF, OVL TIP, FLAT TIP, MATTE FINISH, SS, NS, LTX</t>
  </si>
  <si>
    <t>SPECULA, EXAM, FARRIOR, 5X6 MM, EAR, GLARE-REDUCING INT SURF</t>
  </si>
  <si>
    <t>5X6 MM</t>
  </si>
  <si>
    <t>https://www.bd.com/en-us/products-and-solutions/products/product-page.au5234-5#overview, https://accessgudid.nlm.nih.gov/devices/10885403007934</t>
  </si>
  <si>
    <t>AU52366</t>
  </si>
  <si>
    <t>AU5236-6</t>
  </si>
  <si>
    <t>BD_AU52366</t>
  </si>
  <si>
    <t>FARRIOR EAR SPEC OVAL FLAT TIP 6X7MM ID</t>
  </si>
  <si>
    <t>PRODIGO1056342</t>
  </si>
  <si>
    <t>FARRIOR EAR SPECULA GLARE-REDUCING INTERIOR SURFACE. OVAL TIP. FLAT TIP. 6MM X 7MM I.D.</t>
  </si>
  <si>
    <t>SPECULA, EXAM, FARRIOR, 6X7 MM, EAR, GLARE-REDUCING INTERIOR SURFACE, OVAL TIP, FLAT TIP, MATTE FINISH, STAINLESS STEEL, NON STERILE, LATEX</t>
  </si>
  <si>
    <t>SPECULA, EXAM, FARRIOR, 6X7 MM, EAR, GLARE-REDUCING INT SURF, OVL TIP, FLAT TIP, MATTE FINISH, SS, NS, LTX</t>
  </si>
  <si>
    <t>SPECULA, EXAM, FARRIOR, 6X7 MM, EAR, GLARE-REDUCING INT SURF</t>
  </si>
  <si>
    <t>https://www.bd.com/en-us/products-and-solutions/products/product-page.AU5236-6#overview, https://accessgudid.nlm.nih.gov/devices/10885403007965</t>
  </si>
  <si>
    <t>AU52387</t>
  </si>
  <si>
    <t>BD_AU52387</t>
  </si>
  <si>
    <t>FARRIOR EAR SPEC OVAL FLAT TIP 7X8MM ID</t>
  </si>
  <si>
    <t>PRODIGO1056345</t>
  </si>
  <si>
    <t>FARRIOR EAR SPECULA GLARE-REDUCING INTERIOR SURFACE. OVAL TIP. FLAT TIP. 7MM X 8MM I.D.</t>
  </si>
  <si>
    <t>SPECULA, EXAM, FARRIOR, 7X8 MM, EAR, GLARE-REDUCING INTERIOR SURFACE, OVAL TIP, FLAT TIP, MATTE FINISH, STAINLESS STEEL, NON STERILE, LATEX</t>
  </si>
  <si>
    <t>SPECULA, EXAM, FARRIOR, 7X8 MM, EAR, GLARE-REDUCING INT SURF, OVL TIP, FLAT TIP, MATTE FINISH, SS, NS, LTX</t>
  </si>
  <si>
    <t>SPECULA, EXAM, FARRIOR, 7X8 MM, EAR, OVL, FLAT TIP, MATTE FINISH</t>
  </si>
  <si>
    <t>https://www.bd.com/en-us/products-and-solutions/products/product-page.AU5238-7#overview, https://accessgudid.nlm.nih.gov/devices/10885403007996</t>
  </si>
  <si>
    <t>CH5653</t>
  </si>
  <si>
    <t>BD_CH5653</t>
  </si>
  <si>
    <t>FAVALORO CVD SHANK CORONARY 130DEG SCISS</t>
  </si>
  <si>
    <t>PRODIGO1056880</t>
  </si>
  <si>
    <t>FAVALORO CURVED SHANK CORONARY SCISSORS BLADES ANGLED 130 DEGREE BLADE LENGTH 11MM OVERALL LENGTH 17.1CM SCISSOR SURGICAL FAVALORO 130 DEGREE 17.1 CM 11 MM CORONARY CURVED SHANK BLADE ANGLED</t>
  </si>
  <si>
    <t>SCISSOR, SURGICAL, FAVALORO, 130 DEGREE, 6.75 IN, 7/16 IN, CORONARY, CURVED SHANK, ANGLED BLADE, NON STERILE, LATEX</t>
  </si>
  <si>
    <t>SCISSOR, SURG, FAVALORO, 130 DEG, 6.75 IN, 7/16 IN, CORONARY, CRV SHANK, ANGLED BLADE, NS, LTX</t>
  </si>
  <si>
    <t>SCISSOR, SURG, FAVALORO, 130 DEG, 6.75 IN, 7/16 IN, CRV SHANK, NS</t>
  </si>
  <si>
    <t>FAVALORO</t>
  </si>
  <si>
    <t>130 DEGREE</t>
  </si>
  <si>
    <t>7/16 IN</t>
  </si>
  <si>
    <t>CORONARY</t>
  </si>
  <si>
    <t>CURVED SHANK, ANGLED BLADE</t>
  </si>
  <si>
    <t>http://www.megamedworld.com/wp-content/uploads/2019/03/VM_KVC-min.pdf, https://accessgudid.nlm.nih.gov/devices/10885403028250</t>
  </si>
  <si>
    <t>LAT0536DF</t>
  </si>
  <si>
    <t>LAT-0536-DF</t>
  </si>
  <si>
    <t>BD_LAT0536DF</t>
  </si>
  <si>
    <t>FENESTRATED DISSECT D/A INSERT 5MM 36CM</t>
  </si>
  <si>
    <t>PRODIGO1057790</t>
  </si>
  <si>
    <t>Snowden-pencer Dissector 5 Mmx36 Cm Fenestrated Double Action Insert Insulated Shaft Non Sterile Latex</t>
  </si>
  <si>
    <t>DISSECTOR, ENDOSCOPIC, FENESTRATED, 5 MMX36 CM, DOUBLE ACTION, INSERT, INSULATED SHAFT, NON STERILE, SNOWDEN-PENCER, LATEX</t>
  </si>
  <si>
    <t>DISSECTOR, ENDOSCP, FEN, 5 MMX36 CM, DBL ACT, INSRT, INSUL SHFT, NS, SNOWDEN-PENCER, LTX</t>
  </si>
  <si>
    <t>DISSECTOR, ENDOSCP, FEN, 5 MMX36 CM, DBL, INSUL, SNOWDEN-PENCER</t>
  </si>
  <si>
    <t>FENESTRATED</t>
  </si>
  <si>
    <t>https://www.bd.com/en-us/products-and-solutions/products/product-page.lat-0536-dF#overview, https://accessgudid.nlm.nih.gov/devices/10885403431654</t>
  </si>
  <si>
    <t>LAT0545DF</t>
  </si>
  <si>
    <t>LAT-0545-DF</t>
  </si>
  <si>
    <t>BD_LAT0545DF</t>
  </si>
  <si>
    <t>FENESTRATED DISSECT D/A INSERT 5MM 45CM</t>
  </si>
  <si>
    <t>PRODIGO1057822</t>
  </si>
  <si>
    <t>FENESTRATED DISSECTOR D/A INSERT 5MM 45CM</t>
  </si>
  <si>
    <t>DISSECTOR, ENDOSCOPIC, FENESTRATED, 5 MMX45 CM, DOUBLE ACTION INSERT, INSULATED SHAFT, LAPAROSCOPIC, NON STERILE, LATEX</t>
  </si>
  <si>
    <t>DISSECTOR ENDOSCOPIC FENESTRATED 5 MMX45 CM DOUBLE ACTION INSERT INSULATED SHAFT LAPAROSCOPIC NON STERILE LATEX</t>
  </si>
  <si>
    <t>DISSECTOR, ENDOSCP, FEN, 5 MMX45 CM, DBL ACT INSRT, INSUL SHFT, LAP, NS, LTX</t>
  </si>
  <si>
    <t>DISSECTOR, ENDOSCP, FEN, 5 MMX45 CM, DBL ACT INSRT, INSUL SHFT</t>
  </si>
  <si>
    <t>DOUBLE ACTION INSERT, INSULATED SHAFT, LAPAROSCOPIC</t>
  </si>
  <si>
    <t>https://www.bd.com/en-us/products-and-solutions/products/product-page.lat-0545-df</t>
  </si>
  <si>
    <t>VA15201</t>
  </si>
  <si>
    <t>BD_VA15201</t>
  </si>
  <si>
    <t>FINGER RING CUTTER REPLACE BLD F/VA15200</t>
  </si>
  <si>
    <t>PRODIGO1060544</t>
  </si>
  <si>
    <t>42291621  Finger ring removers or cutters</t>
  </si>
  <si>
    <t>BLADE F/RING CUTTER D/S</t>
  </si>
  <si>
    <t>BLADE, SURGICAL, FOR RING CUTTER, REPLACEMENT, NON STERILE, LATEX</t>
  </si>
  <si>
    <t>BLADE, SURG, FOR RNG CUT, REPL, NS, LTX</t>
  </si>
  <si>
    <t>FOR RING CUTTER, REPLACEMENT</t>
  </si>
  <si>
    <t>https://mms.mckesson.com/product/1029108/CareFusion-VA15201, https://accessgudid.nlm.nih.gov/devices/10885403136221</t>
  </si>
  <si>
    <t>CH12101</t>
  </si>
  <si>
    <t>CH1210-1</t>
  </si>
  <si>
    <t>BD_CH12101</t>
  </si>
  <si>
    <t>FINOCHIETTO PED RIB SPREADER 3.2X4.4CM</t>
  </si>
  <si>
    <t>PRODIGO1056643</t>
  </si>
  <si>
    <t>FINOCHIETTO SMALL RIB SPREADER DOUBLE-ACTION CURVED BLADE ARMS BLADES 3.2X4.4CM ARM LENGTH 5-1/2IN SPREAD 6IN LATEX NON STERILE</t>
  </si>
  <si>
    <t>SPREADER, SURGICAL, FINOCHIETTO, SMALL, PEDIATRIC, 3.2X4.4 CM, 5.5 IN, 6 IN, RIB, DOUBLE ACTION, CURVED BLADE, WITH ARM, SPREAD, NON STERILE, LATEX</t>
  </si>
  <si>
    <t>SPREADER, SURG, FINOCHIETTO, SM, PEDIATRIC, 3.2X4.4 CM, 5.5 IN, 6 IN, RIB, DBL ACT, CRV BLADE, W/ ARM, SPRD, NS, LTX</t>
  </si>
  <si>
    <t>SPREADER, SURG, FINOCHIETTO, SM, PEDIATRIC, 3.2X4.4 CM, 5.5 IN</t>
  </si>
  <si>
    <t>FINOCHIETTO</t>
  </si>
  <si>
    <t>3.2X4.4 CM, 5.5 IN, 6 IN</t>
  </si>
  <si>
    <t>DOUBLE ACTION, CURVED BLADE, WITH ARM, SPREAD</t>
  </si>
  <si>
    <t>https://www.bd.com/en-us/products-and-solutions/products/product-page.ch1210-1#overview, https://accessgudid.nlm.nih.gov/devices/10885403023231</t>
  </si>
  <si>
    <t>CH12151</t>
  </si>
  <si>
    <t>CH1215-1</t>
  </si>
  <si>
    <t>BD_CH12151</t>
  </si>
  <si>
    <t>FINOCHIETTO RIB SPRDR ADLT 44X63MM</t>
  </si>
  <si>
    <t>PRODIGO1056644</t>
  </si>
  <si>
    <t>FINOCHIETTO RIB SPREADER DOUBLE-ACTION CURVED BLADE ARMS BLADES 44X63MM ARM LENGTH 7-1/4IN SPREAD 8-1/2IN ADULT LATEX NON STERILE</t>
  </si>
  <si>
    <t>SPREADER, SURGICAL, FINOCHIETTO, ADULT, 44X63 MM, 7.25 IN, 8.5 IN, RIB, DOUBLE ACTION, CURVED BLADE, WITH ARM, SPREAD, NON STERILE, LATEX</t>
  </si>
  <si>
    <t>SPREADER, SURG, FINOCHIETTO, AD, 44X63 MM, 7.25 IN, 8.5 IN, RIB, DBL ACT, CRV BLADE, W/ ARM, SPRD, NS, LTX</t>
  </si>
  <si>
    <t>SPREADER, SURG, FINOCHIETTO, AD, 44X63 MM, 7.25 IN, 8.5 IN, RIB, DBL</t>
  </si>
  <si>
    <t>44X63 MM, 7.25 IN, 8.5 IN</t>
  </si>
  <si>
    <t>https://www.bd.com/en-us/products-and-solutions/products/product-page.ch1215-1, https://accessgudid.nlm.nih.gov/devices/10885403023286</t>
  </si>
  <si>
    <t>CH1216</t>
  </si>
  <si>
    <t>BD_CH1216</t>
  </si>
  <si>
    <t>FINOCHIETTO RIB SPREADER ALUM 3.8X6CM</t>
  </si>
  <si>
    <t>PRODIGO1056645</t>
  </si>
  <si>
    <t>FINOCHIETTO RIB SPREADER DOUBLE ACTION ALUMINUM ARMS AND BLADE ADULT BLADE 3.8CM X 6CM ARM LENGTH 7-1/4IN SPREAD 7-5/8IN LATEX NON STERILE</t>
  </si>
  <si>
    <t>SPREADER, SURGICAL, FINOCHIETTO, ADULT, 3.8X6 CM, 7.25 IN, 7-5/8 IN, RIB, DOUBLE ACTION,  WITH BLADE, ARM, SPREAD, ALUMINIUM, NON STERILE, LATEX</t>
  </si>
  <si>
    <t>SPREADER, SURG, FINOCHIETTO, AD, 3.8X6 CM, 7.25 IN, 7-5/8 IN, RIB, DBL ACT , W/ BLADE, ARM, SPRD, ALUMINIUM, NS, LTX</t>
  </si>
  <si>
    <t>SPREADER, SURG, FINOCHIETTO, AD, 3.8X6 CM, 7.25 IN, 7-5/8 IN, RIB</t>
  </si>
  <si>
    <t>3.8X6 CM, 7.25 IN, 7-5/8 IN</t>
  </si>
  <si>
    <t>DOUBLE ACTION,  WITH BLADE, ARM, SPREAD</t>
  </si>
  <si>
    <t>https://www.bd.com/en-us/products-and-solutions/products/product-page.CH1216#overview, https://accessgudid.nlm.nih.gov/devices/10885403023293</t>
  </si>
  <si>
    <t>CH1221</t>
  </si>
  <si>
    <t>BD_CH1221</t>
  </si>
  <si>
    <t>FINOCHIETTO RIB SPREADER ALUM 7.6X6CM LG</t>
  </si>
  <si>
    <t>PRODIGO1056647</t>
  </si>
  <si>
    <t>FINOCHIETTO RIB SPREADER DOUBLE-ACTION ALUMINUM ARMS AND BLADES LARGE BLADES 7.6CM X 6CM WIDE ARM LENGTH 7IN SPREAD 7-1/2IN LATEX NON STERILE</t>
  </si>
  <si>
    <t>SPREADER, SURGICAL, FINOCHIETTO, LARGE, 7.6X6 CM, 7 IN, 7.5 IN, RIB, DOUBLE ACTION,  WITH BLADE, ARM, SPREAD, ALUMINIUM, NON STERILE, LATEX</t>
  </si>
  <si>
    <t>SPREADER, SURG, FINOCHIETTO, LG, 7.6X6 CM, 7 IN, 7.5 IN, RIB, DBL ACT , W/ BLADE, ARM, SPRD, ALUMINIUM, NS, LTX</t>
  </si>
  <si>
    <t>SPREADER, SURG, FINOCHIETTO, LG, 7.6X6 CM, 7 IN, 7.5 IN, RIB, DBL</t>
  </si>
  <si>
    <t>7.6X6 CM, 7 IN, 7.5 IN</t>
  </si>
  <si>
    <t>https://www.bd.com/en-us/products-and-solutions/products/product-page.CH1221#overview, https://accessgudid.nlm.nih.gov/devices/10885403023323</t>
  </si>
  <si>
    <t>CH12201</t>
  </si>
  <si>
    <t>CH1220-1</t>
  </si>
  <si>
    <t>BD_CH12201</t>
  </si>
  <si>
    <t>FINOCHIETTO RIB SPREADER LARGE 70X64MM</t>
  </si>
  <si>
    <t>PRODIGO1056646</t>
  </si>
  <si>
    <t>FINOCHIETTO RIB SPREADER DOUBLE-ACTION CURVED BLADE ARMS ARM LENGTH 7-1/4IN SPREAD 8-1/2IN 70X64MM WIDE BLADE LATEX NON STERILE</t>
  </si>
  <si>
    <t>SPREADER, SURGICAL, FINOCHIETTO, LARGE, 70X64 MM, 7.25 IN, 8.5 IN, RIB, DOUBLE ACTION, CURVED BLADE, WITH ARM, SPREAD, NON STERILE, LATEX</t>
  </si>
  <si>
    <t>SPREADER, SURG, FINOCHIETTO, LG, 70X64 MM, 7.25 IN, 8.5 IN, RIB, DBL ACT, CRV BLADE, W/ ARM, SPRD, NS, LTX</t>
  </si>
  <si>
    <t>SPREADER, SURG, FINOCHIETTO, LG, 70X64 MM, 7.25 IN, 8.5 IN, RIB, DBL</t>
  </si>
  <si>
    <t>70X64 MM, 7.25 IN, 8.5 IN</t>
  </si>
  <si>
    <t>https://www.bd.com/en-us/products-and-solutions/products/product-page.CH1220-1#specifications, https://accessgudid.nlm.nih.gov/devices/10885403023316</t>
  </si>
  <si>
    <t>CH1260</t>
  </si>
  <si>
    <t>BD_CH1260</t>
  </si>
  <si>
    <t>FINOCHIETTO RIB SPREADER PED 10X15MM</t>
  </si>
  <si>
    <t>PRODIGO1056654</t>
  </si>
  <si>
    <t>FINOCHIETTO RIB SPREADER PEDIATRIC DOUBLE-ACTION ALUMINUM ARMS AND BLADES BLADES 10MM X 15MM WIDE ARM LENGTH 2-3/4IN SPREAD 2-3/4IN LATEX NON STERILE</t>
  </si>
  <si>
    <t>SPREADER, SURGICAL, FINOCHIETTO, PEDIATRIC, 10X15 MM, 2.75 IN, 2.75 IN, RIB, DOUBLE ACTION, WITH BLADE, ARM, SPREAD, ALUMINIUM, NON STERILE, LATEX</t>
  </si>
  <si>
    <t>SPREADER, SURG, FINOCHIETTO, PEDIATRIC, 10X15 MM, 2.75 IN, 2.75 IN, RIB, DBL ACT, W/ BLADE, ARM, SPRD, ALUMINIUM, NS, LTX</t>
  </si>
  <si>
    <t>SPREADER, SURG, FINOCHIETTO, PEDIATRIC, 10X15 MM, 2.75 IN, 2.75 IN</t>
  </si>
  <si>
    <t>10X15 MM, 2.75 IN, 2.75 IN</t>
  </si>
  <si>
    <t>https://www.bd.com/en-us/products-and-solutions/products/product-page.CH1260#specifications, https://accessgudid.nlm.nih.gov/devices/10885403023538</t>
  </si>
  <si>
    <t>CH1261</t>
  </si>
  <si>
    <t>BD_CH1261</t>
  </si>
  <si>
    <t>FINOCHIETTO RIB SPREADER PED 6X6MM</t>
  </si>
  <si>
    <t>PRODIGO1056655</t>
  </si>
  <si>
    <t>FINOCHIETTO RIB SPREADER PEDIATRIC DOUBLE-ACTION ALUMINUM ARMS AND BLADES BLADES 6MM X 6MM WIDE ARM LENGTH 1-3/8IN SPREAD 1-3/8IN LATEX NON STERILE</t>
  </si>
  <si>
    <t>SPREADER, SURGICAL, FINOCHIETTO, PEDIATRIC, 6X6 MM, 1-3/8 IN, 1-3/8 IN, RIB, DOUBLE ACTION, WITH BLADE, ARM, SPREAD, ALUMINIUM, NON STERILE, LATEX</t>
  </si>
  <si>
    <t>SPREADER, SURG, FINOCHIETTO, PEDIATRIC, 6X6 MM, 1-3/8 IN, 1-3/8 IN, RIB, DBL ACT, W/ BLADE, ARM, SPRD, ALUMINIUM, NS, LTX</t>
  </si>
  <si>
    <t>SPREADER, SURG, FINOCHIETTO, PEDIATRIC, 6X6 MM, 1-3/8 IN, 1-3/8 IN</t>
  </si>
  <si>
    <t>6X6 MM, 1-3/8 IN, 1-3/8 IN</t>
  </si>
  <si>
    <t>https://www.bd.com/en-us/products-and-solutions/products/product-page.CH1261#overview, https://accessgudid.nlm.nih.gov/devices/10885403023552</t>
  </si>
  <si>
    <t>CH1780</t>
  </si>
  <si>
    <t>BD_CH1780</t>
  </si>
  <si>
    <t>FINOCHIETTO THORACIC FORCEPS RT ANG JAWS</t>
  </si>
  <si>
    <t>PRODIGO1056746</t>
  </si>
  <si>
    <t>Finochietto thoracic forceps Longitudinally serrated right angled jaws Perforated tip Overall length 9-3/4in</t>
  </si>
  <si>
    <t>FORCEP, SURGICAL, FINOCHIETTO, 9.75 IN, THORACIC, RIGHT ANGLED JAW, LONGITUDINAL SERRATION, PERFORATED TIP, NON STERILE, LATEX</t>
  </si>
  <si>
    <t>FORCEP, SURG, FINOCHIETTO, 9.75 IN, THOR, RT ANGLED JAW, LONGITUDINAL SERRATION, PERF TIP, NS, LTX</t>
  </si>
  <si>
    <t>FORCEP, SURG, FINOCHIETTO, 9.75 IN, RT ANGLED, SERRATION, PERF, NS</t>
  </si>
  <si>
    <t>THORACIC</t>
  </si>
  <si>
    <t>RIGHT ANGLED JAW, LONGITUDINAL SERRATION, PERFORATED TIP</t>
  </si>
  <si>
    <t>https://www.bd.com/en-us/products-and-solutions/products/product-page.CH1780#specifications, https://accessgudid.nlm.nih.gov/devices/10885403024481</t>
  </si>
  <si>
    <t>CH6270</t>
  </si>
  <si>
    <t>BD_CH6270</t>
  </si>
  <si>
    <t>FITZGERALD AORTIC ANEUR CLAMP CVD JAW</t>
  </si>
  <si>
    <t>PRODIGO1057030</t>
  </si>
  <si>
    <t>FITZGERALD AORTA CLAMPS SLIGHTLY CURVED COOLEY JAWS JAW LENGTH 11.2CM OVERALL LENGTH 31CM CLAMP SURGICAL FITZGERALD 31 CM 11.2 CM AORTA SLIGHTLY CURVED COOLEY JAW</t>
  </si>
  <si>
    <t>CLAMP, SURGICAL, FITZGERALD, 31 CM, 11.2 CM, AORTA, SLIGHTLY CURVED COOLEY JAW, NON STERILE, LATEX</t>
  </si>
  <si>
    <t>CLAMP, SURG, FITZGERALD, 31 CM, 11.2 CM, AORT, SLIGHTLY CRV COOLEY JAW, NS, LTX</t>
  </si>
  <si>
    <t>CLAMP, SURG, FITZGERALD, 31 CM, 11.2 CM, AORT, NS, LTX</t>
  </si>
  <si>
    <t>FITZGERALD</t>
  </si>
  <si>
    <t>31 CM</t>
  </si>
  <si>
    <t>11.2 CM</t>
  </si>
  <si>
    <t>SLIGHTLY CURVED COOLEY JAW</t>
  </si>
  <si>
    <t>http://www.megamedworld.com/wp-content/uploads/2019/03/VM_KVC-min.pdf, https://accessgudid.nlm.nih.gov/devices/10885403031328</t>
  </si>
  <si>
    <t>CH6272</t>
  </si>
  <si>
    <t>BD_CH6272</t>
  </si>
  <si>
    <t>FITZGERALD AORTIC ANEUR CVD CLAMP 13.2CM</t>
  </si>
  <si>
    <t>PRODIGO1057031</t>
  </si>
  <si>
    <t>FITZGERALD AORTA CLAMPS SLIGHTLY CURVED COOLEY JAWS JAW LENGTH 13.2CM OVERALL LENGTH 33CM CLAMP SURGICAL FITZGERALD 33 CM 13.2 CM AORTA SLIGHTLY CURVED COOLEY JAW</t>
  </si>
  <si>
    <t>CLAMP, SURGICAL, FITZGERALD, 33 CM, 13.2 CM, AORTA, SLIGHTLY CURVED COOLEY JAW, NON STERILE, LATEX</t>
  </si>
  <si>
    <t>CLAMP, SURG, FITZGERALD, 33 CM, 13.2 CM, AORT, SLIGHTLY CRV COOLEY JAW, NS, LTX</t>
  </si>
  <si>
    <t>CLAMP, SURG, FITZGERALD, 33 CM, 13.2 CM, AORT, NS, LTX</t>
  </si>
  <si>
    <t>33 CM</t>
  </si>
  <si>
    <t>13.2 CM</t>
  </si>
  <si>
    <t>http://www.megamedworld.com/wp-content/uploads/2019/03/VM_KVC-min.pdf, https://accessgudid.nlm.nih.gov/devices/10885403031335</t>
  </si>
  <si>
    <t>CH6260</t>
  </si>
  <si>
    <t>BD_CH6260</t>
  </si>
  <si>
    <t>FITZGERALD AORTIC ANEUR CVD CLAMP 8.5CM</t>
  </si>
  <si>
    <t>PRODIGO1057028</t>
  </si>
  <si>
    <t>FITZGERALD CLAMP SURGICAL 10 IN 8.5 CM AORTA SLIGHTLY CURVED COOLEY JAW</t>
  </si>
  <si>
    <t>CLAMP, SURGICAL, FITZGERALD, 10 IN, 8.5 CM, AORTA, SLIGHTLY CURVED COOLEY JAW, NON STERILE, LATEX</t>
  </si>
  <si>
    <t>CLAMP, SURG, FITZGERALD, 10 IN, 8.5 CM, AORT, SLIGHTLY CRV COOLEY JAW, NS, LTX</t>
  </si>
  <si>
    <t>CLAMP, SURG, FITZGERALD, 10 IN, 8.5 CM, AORT, NS, LTX</t>
  </si>
  <si>
    <t>http://www.megamedworld.com/wp-content/uploads/2019/03/VM_KVC-min.pdf, https://accessgudid.nlm.nih.gov/devices/10885403031304</t>
  </si>
  <si>
    <t>CH6262</t>
  </si>
  <si>
    <t>BD_CH6262</t>
  </si>
  <si>
    <t>FITZGERALD AORTIC ANEUR CVD CLAMP 9.5CM</t>
  </si>
  <si>
    <t>PRODIGO1057029</t>
  </si>
  <si>
    <t>FITZGERALD AORTA CLAMPS SLIGHTLY CURVED COOLEY JAWS JAW LENGTH 9.5CM OVERALL LENGTH 26.5CM CLAMP SURGICAL FITZGERALD 26.5 CM 9.5 CM AORTA SLIGHTLY CURVED COOLEY JAW</t>
  </si>
  <si>
    <t>CLAMP, SURGICAL, FITZGERALD, 26.5 CM, 9.5 CM, AORTA, SLIGHTLY CURVED COOLEY JAW, NON STERILE, LATEX</t>
  </si>
  <si>
    <t>CLAMP, SURG, FITZGERALD, 26.5 CM, 9.5 CM, AORT, SLIGHTLY CRV COOLEY JAW, NS, LTX</t>
  </si>
  <si>
    <t>CLAMP, SURG, FITZGERALD, 26.5 CM, 9.5 CM, AORT, NS, LTX</t>
  </si>
  <si>
    <t>26.5 CM</t>
  </si>
  <si>
    <t>http://www.megamedworld.com/wp-content/uploads/2019/03/VM_KVC-min.pdf, https://accessgudid.nlm.nih.gov/devices/10885403031311</t>
  </si>
  <si>
    <t>LA8411</t>
  </si>
  <si>
    <t>BD_LA8411</t>
  </si>
  <si>
    <t>FIVE FINGER FAN RETR RIGID 95MM SPREAD</t>
  </si>
  <si>
    <t>PRODIGO1057742</t>
  </si>
  <si>
    <t>42294929  Endoscopic retractors</t>
  </si>
  <si>
    <t>Retractor 10 Mmx38 Cm Fan 94 Mm Rigid Five Finger Satin Finish Spread Stainless Steel Non Sterile Latex</t>
  </si>
  <si>
    <t>RETRACTOR, ENDOSCOPIC, FAN, 10 MMX38 CM, 94 MM, RIGID, FIVE FINGER, SATIN FINISH, SPREAD, STAINLESS STEEL, NON STERILE, LATEX</t>
  </si>
  <si>
    <t>RETRACTOR, ENDOSCP, FAN, 10 MMX38 CM, 94 MM, RIGID, FIVE FNGR, SATIN FINISH, SPRD, SS, NS, LTX</t>
  </si>
  <si>
    <t>RETRACTOR, ENDOSCP, FAN, 10 MMX38 CM, 94 MM, RIGID, FIVE FNGR</t>
  </si>
  <si>
    <t>FAN</t>
  </si>
  <si>
    <t>10 MMX38 CM</t>
  </si>
  <si>
    <t>94 MM</t>
  </si>
  <si>
    <t>RIGID, FIVE FINGER, SATIN FINISH, SPREAD</t>
  </si>
  <si>
    <t>95 MM</t>
  </si>
  <si>
    <t>https://www.bd.com/en-us/offerings/capabilities/surgical-instruments/laparoscopic-instruments/rigid-fan-retractor/la8411, https://accessgudid.nlm.nih.gov/devices/10885403053771</t>
  </si>
  <si>
    <t>NL1277002</t>
  </si>
  <si>
    <t>NL1277-002</t>
  </si>
  <si>
    <t>BD_NL1277002</t>
  </si>
  <si>
    <t>FIXATION BASE F/SKULL MOUNTG HOLDS 2 FLX</t>
  </si>
  <si>
    <t>PRODIGO1058066</t>
  </si>
  <si>
    <t>FIXATION BASE FOR MOUNTING ON TWO FLEXIBLE ARMS</t>
  </si>
  <si>
    <t>BASE, RETRACTOR, FOR MOUNTING ON TWO FLEXIBLE ARMS, SKULL MOUNTG HOLDS 2 FLX, NON STERILE, LATEX</t>
  </si>
  <si>
    <t>BASE RETRACTOR FOR MOUNTING ON TWO FLEXIBLE ARMS SKULL MOUNTG HOLDS 2 FLX NON STERILE LATEX</t>
  </si>
  <si>
    <t>BASE, RETRACTOR, FOR MT ON TWO FLX ARMS, SKULL MOUNTG HLD 2 FLX, NS, LTX</t>
  </si>
  <si>
    <t>BASE, RETRACTOR, FOR MT ON TWO FLX ARMS, SKULL MOUNTG HLD 2 FLX</t>
  </si>
  <si>
    <t>BASE</t>
  </si>
  <si>
    <t>FOR MOUNTING ON TWO FLEXIBLE ARMS, SKULL MOUNTG HOLDS 2 FLX</t>
  </si>
  <si>
    <t>https://www.bd.com/en-us/products-and-solutions/products/product-page.NL1277-002#overview, https://accessgudid.nlm.nih.gov/devices</t>
  </si>
  <si>
    <t>GA1805</t>
  </si>
  <si>
    <t>BD_GA1805</t>
  </si>
  <si>
    <t>FLETCHER-VAN DOREN FORCEPS</t>
  </si>
  <si>
    <t>PRODIGO1057327</t>
  </si>
  <si>
    <t xml:space="preserve">Fletcher-Van Doren Forceps Affinity Line. Overall length 9-1/2in (24.1cm). </t>
  </si>
  <si>
    <t>FORCEP, SURGICAL, FLETCHER-VAN DOREN, 9.5 IN, AFFINITY LINE, NON STERILE, LATEX</t>
  </si>
  <si>
    <t>FORCEP, SURG, FLETCHER-VAN DOREN, 9.5 IN, AFFIN LN, NS, LTX</t>
  </si>
  <si>
    <t>FLETCHER-VAN DOREN</t>
  </si>
  <si>
    <t>https://www.bd.com/en-us/products-and-solutions/products/product-page.GA1805#overview, https://accessgudid.nlm.nih.gov/devices/10885403042492</t>
  </si>
  <si>
    <t>LATFC</t>
  </si>
  <si>
    <t>BD_LATFC</t>
  </si>
  <si>
    <t>FLUSH PORT CAP FOR TAKE-APART HANDLE</t>
  </si>
  <si>
    <t>PRODIGO1057840</t>
  </si>
  <si>
    <t>42294938  Sealing caps for endoscopes</t>
  </si>
  <si>
    <t>FLUSH PORT CAP FOR MODULAR HANDLE</t>
  </si>
  <si>
    <t>CAP, ENDOSCOPIC, FLUSH PORT, FOR TAKE-APART HANDLE, NON STERILE, LATEX</t>
  </si>
  <si>
    <t>CAP ENDOSCOPIC FLUSH PORT FOR TAKE-APART HANDLE NON STERILE LATEX</t>
  </si>
  <si>
    <t>CAP, ENDOSCP, FLSH PRT, FOR TAKE-APART HNDL, NS, LTX</t>
  </si>
  <si>
    <t>CAP</t>
  </si>
  <si>
    <t>FLUSH PORT</t>
  </si>
  <si>
    <t>FOR TAKE-APART HANDLE</t>
  </si>
  <si>
    <t>https://accessgudid.nlm.nih.gov/devices/70885403464548, https://accessgudid.nlm.nih.gov/devices</t>
  </si>
  <si>
    <t>GL651MM</t>
  </si>
  <si>
    <t>GL651-MM</t>
  </si>
  <si>
    <t>BD_GL651MM</t>
  </si>
  <si>
    <t>FOERSTER SPONGE FORCEP SMOOTH STR MIRROR</t>
  </si>
  <si>
    <t>PRODIGO1057531</t>
  </si>
  <si>
    <t>Foerster sponge forceps Straight. Smooth. Mueller-Mirror finish. Overall length 9-3/4in (24.8cm).</t>
  </si>
  <si>
    <t>FORCEP, SURGICAL, FOERSTER, 9.75 IN, SPONGE, STRAIGHT, SMOOTH JAW, MUELLER-MIRROR FINISH, RING HANDLE, STAINLESS STEEL, NON STERILE, LATEX</t>
  </si>
  <si>
    <t>FORCEP, SURG, FOERSTER, 9.75 IN, SPNG, STR, SMOOTH JAW, MUELLER-MIRROR FINISH, RNG HNDL, SS, NS, LTX</t>
  </si>
  <si>
    <t>FORCEP, SURG, FOERSTER, 9.75 IN, SPNG, STR, SMOOTH JAW, RNG HNDL</t>
  </si>
  <si>
    <t>FOERSTER</t>
  </si>
  <si>
    <t>SPONGE, STRAIGHT, SMOOTH JAW, MUELLER-MIRROR FINISH, RING HANDLE</t>
  </si>
  <si>
    <t>https://www.bd.com/en-us/products-and-solutions/products/product-page.GL651-MM#overview, https://accessgudid.nlm.nih.gov/devices/10885403043499</t>
  </si>
  <si>
    <t>GA660</t>
  </si>
  <si>
    <t>BD_GA660</t>
  </si>
  <si>
    <t>FOERSTER SPONGE FORCEPS CVD SERR 9-1/2IN</t>
  </si>
  <si>
    <t>PRODIGO1057348</t>
  </si>
  <si>
    <t>Foerster Sponge Forceps Affinity Line. Curved. Serrated Overall length 9-1/2in (24.1cm).</t>
  </si>
  <si>
    <t>FORCEP, SURGICAL, FOERSTER, 9.5 IN, SPONGE, AFFINITY LINE, CURVED, SERRATED, NON STERILE, LATEX</t>
  </si>
  <si>
    <t>FORCEP, SURG, FOERSTER, 9.5 IN, SPNG, AFFIN LN, CRV, SERRATED, NS, LTX</t>
  </si>
  <si>
    <t>FORCEP, SURG, FOERSTER, 9.5 IN, SPNG, AFFIN LN, CRV, SERRATED, NS</t>
  </si>
  <si>
    <t>SPONGE, AFFINITY LINE, CURVED, SERRATED</t>
  </si>
  <si>
    <t>https://www.bd.com/en-us/products-and-solutions/products/product-page.GA660#overview, https://accessgudid.nlm.nih.gov/devices/10885403042157</t>
  </si>
  <si>
    <t>GL661</t>
  </si>
  <si>
    <t>BD_GL661</t>
  </si>
  <si>
    <t>FOERSTER SPONGE FORCEPS CVD SMTH JAWS</t>
  </si>
  <si>
    <t>PRODIGO1057535</t>
  </si>
  <si>
    <t>Foerster sponge forceps Curved. Overall length 9-5/8in (24.4cm). Smooth.</t>
  </si>
  <si>
    <t>FORCEP, SURGICAL, FOERSTER, 9-5/8 IN, SPONGE, CURVED, RING HANDLE, SMOOTH JAW, NON STERILE, LATEX</t>
  </si>
  <si>
    <t>FORCEP, SURG, FOERSTER, 9-5/8 IN, SPNG, CRV, RNG HNDL, SMOOTH JAW, NS, LTX</t>
  </si>
  <si>
    <t>FORCEP, SURG, FOERSTER, 9-5/8 IN, SPNG, CRV, RNG HNDL, SMOOTH JAW</t>
  </si>
  <si>
    <t>SPONGE, CURVED, RING HANDLE, SMOOTH JAW</t>
  </si>
  <si>
    <t>https://www.bd.com/en-us/products-and-solutions/products/product-page.GL661#overview, https://accessgudid.nlm.nih.gov/devices/10885403043543</t>
  </si>
  <si>
    <t>GL652</t>
  </si>
  <si>
    <t>BD_GL652</t>
  </si>
  <si>
    <t>FOERSTER SPONGE FORCEPS STR SERR 12IN</t>
  </si>
  <si>
    <t>PRODIGO1057532</t>
  </si>
  <si>
    <t>Foerster sponge forceps Straight. Serrated. Overall length 12in (30.5cm).</t>
  </si>
  <si>
    <t>FORCEP, SURGICAL, FOERSTER, 12 IN, SPONGE, STRAIGHT, SERRATED, RING HANDLE, STAINLESS STEEL, NON STERILE, LATEX</t>
  </si>
  <si>
    <t>FORCEP, SURG, FOERSTER, 12 IN, SPNG, STR, SERRATED, RNG HNDL, SS, NS, LTX</t>
  </si>
  <si>
    <t>FORCEP, SURG, FOERSTER, 12 IN, SPNG, STR, SERRATED, RNG HNDL, SS, NS</t>
  </si>
  <si>
    <t>SPONGE, STRAIGHT, SERRATED, RING HANDLE</t>
  </si>
  <si>
    <t>https://www.bd.com/en-us/products-and-solutions/products/product-page.GL652#overview, https://accessgudid.nlm.nih.gov/devices/10885403043505</t>
  </si>
  <si>
    <t>GL656</t>
  </si>
  <si>
    <t>BD_GL656</t>
  </si>
  <si>
    <t>FOERSTER SPONGE FORCEPS STR SERR 16IN</t>
  </si>
  <si>
    <t>PRODIGO1057534</t>
  </si>
  <si>
    <t>Foerster sponge forceps Straight. Serrated. Overall length 16in (40.6cm).</t>
  </si>
  <si>
    <t>FORCEP, SURGICAL, FOERSTER, 16 IN, SPONGE, STRAIGHT, SERRATED, RING HANDLE, STAINLESS STEEL, NON STERILE, LATEX</t>
  </si>
  <si>
    <t>FORCEP, SURG, FOERSTER, 16 IN, SPNG, STR, SERRATED, RNG HNDL, SS, NS, LTX</t>
  </si>
  <si>
    <t>FORCEP, SURG, FOERSTER, 16 IN, SPNG, STR, SERRATED, RNG HNDL, SS, NS</t>
  </si>
  <si>
    <t>16 IN</t>
  </si>
  <si>
    <t>https://www.bd.com/en-us/products-and-solutions/products/product-page.GL656#overview, https://accessgudid.nlm.nih.gov/devices/10885403043529</t>
  </si>
  <si>
    <t>GL651</t>
  </si>
  <si>
    <t>BD_GL651</t>
  </si>
  <si>
    <t>FOERSTER SPONGE FORCEPS STR SMOOTH JAWS</t>
  </si>
  <si>
    <t>PRODIGO1057530</t>
  </si>
  <si>
    <t>Foerster sponge forceps Straight. Smooth. Overall length 9-3/4in (24.8cm).</t>
  </si>
  <si>
    <t>FORCEP, SURGICAL, FOERSTER, 9.75 IN, SPONGE, STRAIGHT, SMOOTH JAW, RING HANDLE, NON STERILE, LATEX</t>
  </si>
  <si>
    <t>FORCEP, SURG, FOERSTER, 9.75 IN, SPNG, STR, SMOOTH JAW, RNG HNDL, NS, LTX</t>
  </si>
  <si>
    <t>FORCEP, SURG, FOERSTER, 9.75 IN, SPNG, STR, SMOOTH JAW, RNG HNDL, NS</t>
  </si>
  <si>
    <t>SPONGE, STRAIGHT, SMOOTH JAW, RING HANDLE</t>
  </si>
  <si>
    <t>https://www.bd.com/en-us/products-and-solutions/products/product-page.GL651#overview, https://accessgudid.nlm.nih.gov/devices/10885403043482</t>
  </si>
  <si>
    <t>GA651</t>
  </si>
  <si>
    <t>BD_GA651</t>
  </si>
  <si>
    <t>FOERSTER SPONGE FORCEPS STR SMTH 9-3/4IN</t>
  </si>
  <si>
    <t>PRODIGO1057347</t>
  </si>
  <si>
    <t>Foerster Sponge Forceps Affinity Line. Straight. Smooth. Overall lenth 9-3/4in (24.8cm).</t>
  </si>
  <si>
    <t>FORCEP, SURGICAL, FOERSTER, 9.75 IN, SPONGE, AFFINITY LINE, STRAIGHT, SMOOTH, NON STERILE, LATEX</t>
  </si>
  <si>
    <t>FORCEP, SURG, FOERSTER, 9.75 IN, SPNG, AFFIN LN, STR, SMOOTH, NS, LTX</t>
  </si>
  <si>
    <t>SPONGE, AFFINITY LINE, STRAIGHT, SMOOTH</t>
  </si>
  <si>
    <t>https://www.bd.com/en-us/products-and-solutions/products/product-page.GA651#overview, https://accessgudid.nlm.nih.gov/devices/10885403042140</t>
  </si>
  <si>
    <t>CV5055</t>
  </si>
  <si>
    <t>BD_CV5055</t>
  </si>
  <si>
    <t>FOGARTY HYDRAGRIP FORCEPS STR 12-1/4IN</t>
  </si>
  <si>
    <t>PRODIGO1057298</t>
  </si>
  <si>
    <t>Fogarty Hydragrip® Forceps STRAIGHT</t>
  </si>
  <si>
    <t>FORCEP, SURGICAL, 12.25 IN, 86 MM INSERT, STRAIGHT, NON STERILE, FOGARTY HYDRAGRIP, LATEX</t>
  </si>
  <si>
    <t>FORCEP, SURG, 12.25 IN, 86 MM INSRT, STR, NS, FOGARTY HYDRAGRIP, LTX</t>
  </si>
  <si>
    <t>FORCEP, SURG, 12.25 IN, 86 MM INSRT, STR, NS, FOGARTY HYDRAGRIP</t>
  </si>
  <si>
    <t>12.25 IN</t>
  </si>
  <si>
    <t>FOGARTY HYDRAGRIP</t>
  </si>
  <si>
    <t>https://www.hces.com.sg/wp-content/uploads/2021/04/Cardiovascular-Pages-from-vmueller-snowdenpencer-armamentarium-catalogue-4.pdf, https://accessgudid.nlm.nih.gov/devices/10885403036361</t>
  </si>
  <si>
    <t>CV5111</t>
  </si>
  <si>
    <t>BD_CV5111</t>
  </si>
  <si>
    <t>FOGARTY SPRING CLIP APPLICATOR FORCEPS</t>
  </si>
  <si>
    <t>PRODIGO1057300</t>
  </si>
  <si>
    <t>Fogarty® Spring Clip Applicator Forceps 7 IN</t>
  </si>
  <si>
    <t>FORCEP, SURGICAL, 7 IN, APPLICATOR, FOR 12 MM SPRING CLIP, NON STERILE, FOGARTY, LATEX</t>
  </si>
  <si>
    <t>FORCEP, SURG, 7 IN, APPL, FOR 12 MM SPRING CLP, NS, FOGARTY, LTX</t>
  </si>
  <si>
    <t>APPLICATOR, FOR 12 MM SPRING CLIP</t>
  </si>
  <si>
    <t>FOGARTY</t>
  </si>
  <si>
    <t>https://www.hces.com.sg/wp-content/uploads/2021/04/Cardiovascular-Pages-from-vmueller-snowdenpencer-armamentarium-catalogue-4.pdf, https://accessgudid.nlm.nih.gov/devices/10885403036385</t>
  </si>
  <si>
    <t>CV5110</t>
  </si>
  <si>
    <t>BD_CV5110</t>
  </si>
  <si>
    <t>FOGARTY SPRING CLIP APPLICR FORCEP F/6MM</t>
  </si>
  <si>
    <t>PRODIGO1057299</t>
  </si>
  <si>
    <t>Fogarty® Spring Clip Applicator Forceps 7-1/4 IN</t>
  </si>
  <si>
    <t>FORCEP, SURGICAL, 7.25 IN, APPLICATOR, FOR 6 MM SPRING CLIP, NON STERILE, FOGARTY, LATEX</t>
  </si>
  <si>
    <t>FORCEP, SURG, 7.25 IN, APPL, FOR 6 MM SPRING CLP, NS, FOGARTY, LTX</t>
  </si>
  <si>
    <t>APPLICATOR, FOR 6 MM SPRING CLIP</t>
  </si>
  <si>
    <t>https://www.hces.com.sg/wp-content/uploads/2021/04/Cardiovascular-Pages-from-vmueller-snowdenpencer-armamentarium-catalogue-4.pdf, https://accessgudid.nlm.nih.gov/devices/10885403036378</t>
  </si>
  <si>
    <t>H0110</t>
  </si>
  <si>
    <t>H-0110</t>
  </si>
  <si>
    <t>BD_H0110</t>
  </si>
  <si>
    <t>FORCEPS BAY 7.25IN CUSHING SERR W/DI</t>
  </si>
  <si>
    <t>PRODIGO1057653</t>
  </si>
  <si>
    <t>Cushing Tissue Forceps Serrated with dissector end. Bayonet. Overall length 7-1/4in (18.4cm).</t>
  </si>
  <si>
    <t>FORCEP, SURGICAL, BAYONET, 7.25 IN, TISSUE, CUSHING, DRESSING, SERRATED, WITH DISSECTOR END, NON STERILE, LATEX</t>
  </si>
  <si>
    <t>FORCEP, SURG, BAYNT, 7.25 IN, TISS, CUSHING, DRSG, SERRATED, W/ DISSECTOR END, NS, LTX</t>
  </si>
  <si>
    <t>FORCEP, SURG, BAYNT, 7.25 IN, TISS, CUSHING, DRSG, W/ DISSECTOR END</t>
  </si>
  <si>
    <t>BAYONET</t>
  </si>
  <si>
    <t>CUSHING, DRESSING, SERRATED, WITH DISSECTOR END</t>
  </si>
  <si>
    <t>https://www.bd.com/en-us/products-and-solutions/products/product-page.H-0110#overview, https://accessgudid.nlm.nih.gov/devices/10885403051173</t>
  </si>
  <si>
    <t>NL1554</t>
  </si>
  <si>
    <t>BD_NL1554</t>
  </si>
  <si>
    <t>FORCEPS TITAN BAY FINE TIP 0.5MM ANG UP</t>
  </si>
  <si>
    <t>PRODIGO1058101</t>
  </si>
  <si>
    <t>TITANIUM BIPOLAR FORCEPS</t>
  </si>
  <si>
    <t>FORCEP, SURGICAL, BIPOLAR, 8.75 IN, 0.5 MM, ANGLED UP, FINE TIP, TITANIUM, NON STERILE, LATEX</t>
  </si>
  <si>
    <t>FORCEP SURGICAL BIPOLAR 8.75 IN 0.5 MM ANGLED UP FINE TIP TITANIUM NON STERILE LATEX</t>
  </si>
  <si>
    <t>FORCEP, SURG, BPLR, 8.75 IN, 0.5 MM, ANGLED UP, FN TIP, TI, NS, LTX</t>
  </si>
  <si>
    <t>BIPOLAR</t>
  </si>
  <si>
    <t>ANGLED UP, FINE TIP</t>
  </si>
  <si>
    <t>https://www.bd.com/en-us/products-and-solutions/products/product-page.NL1554#overview, https://accessgudid.nlm.nih.gov/devices/10885403071775</t>
  </si>
  <si>
    <t>NL1541</t>
  </si>
  <si>
    <t>BD_NL1541</t>
  </si>
  <si>
    <t>FORCEPS TITAN BIPOLAR .5MM STR TIP 6IN</t>
  </si>
  <si>
    <t>PRODIGO1058097</t>
  </si>
  <si>
    <t>FORCEP, SURGICAL, BIPOLAR, 5-7/8 IN, 0.5 MM, STRAIGHT, ROUND STRAIGHT HANDLE, TITANIUM, NON STERILE, LATEX</t>
  </si>
  <si>
    <t>FORCEP SURGICAL BIPOLAR 5-7/8 IN 0.5 MM STRAIGHT ROUND STRAIGHT HANDLE TITANIUM NON STERILE LATEX</t>
  </si>
  <si>
    <t>FORCEP, SURG, BPLR, 5-7/8 IN, 0.5 MM, STR, RND STR HNDL, TI, NS, LTX</t>
  </si>
  <si>
    <t>STRAIGHT, ROUND STRAIGHT HANDLE</t>
  </si>
  <si>
    <t>https://www.bd.com/en-us/products-and-solutions/products/product-page.NL1541#overview, https://accessgudid.nlm.nih.gov/devices/10885403071706</t>
  </si>
  <si>
    <t>NL1870005</t>
  </si>
  <si>
    <t>NL1870-005</t>
  </si>
  <si>
    <t>BD_NL1870005</t>
  </si>
  <si>
    <t>FOX BIPOLAR FORCEPS 16CM .5MM TIP</t>
  </si>
  <si>
    <t>PRODIGO1058104</t>
  </si>
  <si>
    <t>Fox bipolar forceps Straight. Matte and mirror finish. Tips 0.5mm wide</t>
  </si>
  <si>
    <t>FORCEP, SURGICAL, FOX, 16 CM, 0.5 MM, BIPOLAR, STRAIGHT, MATTE, MIRROR FINISH, NON STERILE, LATEX</t>
  </si>
  <si>
    <t>FORCEP, SURG, FOX, 16 CM, 0.5 MM, BPLR, STR, MATTE, MIRROR FINISH, NS, LTX</t>
  </si>
  <si>
    <t>FORCEP, SURG, FOX, 16 CM, 0.5 MM, BPLR, STR, MATTE, MIRROR FINISH</t>
  </si>
  <si>
    <t>FOX</t>
  </si>
  <si>
    <t>16 CM</t>
  </si>
  <si>
    <t>BIPOLAR, STRAIGHT, MATTE, MIRROR FINISH</t>
  </si>
  <si>
    <t>https://www.bd.com/en-us/products-and-solutions/products/product-page.NL1870-005#overview, https://accessgudid.nlm.nih.gov/devices/10885403071997</t>
  </si>
  <si>
    <t>NL1875</t>
  </si>
  <si>
    <t>BD_NL1875</t>
  </si>
  <si>
    <t>FOX BIPOLAR FORCEPS 20CM .5MM TIP ANG UP</t>
  </si>
  <si>
    <t>PRODIGO1058110</t>
  </si>
  <si>
    <t>Fox bipolar forceps Tips 0.5mm wide. Matte and mirror finish. Overall length 7-3/4in (19.7cm). Angled up</t>
  </si>
  <si>
    <t>FORCEP, SURGICAL, FOX, 20 CM, 0.5 MM, BIPOLAR, STRAIGHT, MATTE, MIRROR FINISH, ANGLED UP TIP, NON STERILE, LATEX</t>
  </si>
  <si>
    <t>FORCEP, SURG, FOX, 20 CM, 0.5 MM, BPLR, STR, MATTE, MIRROR FINISH, ANGLED UP TIP, NS, LTX</t>
  </si>
  <si>
    <t>FORCEP, SURG, FOX, 20 CM, 0.5 MM, BPLR, STR, MATTE, MIRROR, ANGLED</t>
  </si>
  <si>
    <t>BIPOLAR, STRAIGHT, MATTE, MIRROR FINISH, ANGLED UP TIP</t>
  </si>
  <si>
    <t>https://www.bd.com/en-us/products-and-solutions/products/product-page.NL1875#overview, https://accessgudid.nlm.nih.gov/devices/10885403072109</t>
  </si>
  <si>
    <t>NL1873</t>
  </si>
  <si>
    <t>BD_NL1873</t>
  </si>
  <si>
    <t>FOX BIPOLAR FORCEPS 20CM .5MM TIP CVD UP</t>
  </si>
  <si>
    <t>PRODIGO1058109</t>
  </si>
  <si>
    <t>Fox bipolar forceps Tips 0.5mm wide. Matte and mirror finish. Overall length 7-3/4in (19.7cm). Curved up</t>
  </si>
  <si>
    <t>FORCEP, SURGICAL, FOX, 20 CM, 0.5 MM, BIPOLAR, STRAIGHT, MATTE, MIRROR FINISH, CURVED UP TIP, NON STERILE, LATEX</t>
  </si>
  <si>
    <t>FORCEP, SURG, FOX, 20 CM, 0.5 MM, BPLR, STR, MATTE, MIRROR FINISH, CRV UP TIP, NS, LTX</t>
  </si>
  <si>
    <t>FORCEP, SURG, FOX, 20 CM, 0.5 MM, BPLR, STR, MATTE, MIRROR FINISH</t>
  </si>
  <si>
    <t>BIPOLAR, STRAIGHT, MATTE, MIRROR FINISH, CURVED UP TIP</t>
  </si>
  <si>
    <t>https://www.bd.com/en-us/products-and-solutions/products/product-page.NL1873#overview, https://accessgudid.nlm.nih.gov/devices/10885403072086</t>
  </si>
  <si>
    <t>NL1871005</t>
  </si>
  <si>
    <t>NL1871-005</t>
  </si>
  <si>
    <t>BD_NL1871005</t>
  </si>
  <si>
    <t>FOX BIPOLAR FORCEPS STR TIPS 0.5MM 7-1/4</t>
  </si>
  <si>
    <t>PRODIGO1058106</t>
  </si>
  <si>
    <t>Fox bipolar forceps Straight. Matte and mirror finish. Tips 0.5mm wide. Overall length 7-1/4in (18.4cm)</t>
  </si>
  <si>
    <t>FORCEP, SURGICAL, FOX, 7.25 IN, 0.5 MM, BIPOLAR, STRAIGHT, MATTE, MIRROR FINISH, NON STERILE, LATEX</t>
  </si>
  <si>
    <t>FORCEP, SURG, FOX, 7.25 IN, 0.5 MM, BPLR, STR, MATTE, MIRROR FINISH, NS, LTX</t>
  </si>
  <si>
    <t>FORCEP, SURG, FOX, 7.25 IN, 0.5 MM, BPLR, STR, MATTE, MIRROR FINISH</t>
  </si>
  <si>
    <t>https://www.bd.com/en-us/products-and-solutions/products/product-page.NL1871-005#overview, https://accessgudid.nlm.nih.gov/devices/10885403072017</t>
  </si>
  <si>
    <t>NL1872005</t>
  </si>
  <si>
    <t>NL1872-005</t>
  </si>
  <si>
    <t>BD_NL1872005</t>
  </si>
  <si>
    <t>FOX BIPOLAR FORCEPS STR TIPS 0.5MM 7-7/8</t>
  </si>
  <si>
    <t>PRODIGO1058107</t>
  </si>
  <si>
    <t>Fox bipolar forceps Straight. Matte and mirror finish. Tips 0.5mm wide. Overall length 7-7/8in (20cm)</t>
  </si>
  <si>
    <t>FORCEP, SURGICAL, FOX, 7-7/8 IN, 0.5 MM, BIPOLAR, STRAIGHT, MATTE, MIRROR FINISH, NON STERILE, LATEX</t>
  </si>
  <si>
    <t>FORCEP, SURG, FOX, 7-7/8 IN, 0.5 MM, BPLR, STR, MATTE, MIRROR FINISH, NS, LTX</t>
  </si>
  <si>
    <t>FORCEP, SURG, FOX, 7-7/8 IN, 0.5 MM, BPLR, STR, MATTE, MIRROR FINISH</t>
  </si>
  <si>
    <t>https://www.bd.com/en-us/products-and-solutions/products/product-page.NL1872-005#overview, https://accessgudid.nlm.nih.gov/devices/10885403072031</t>
  </si>
  <si>
    <t>NL1870010</t>
  </si>
  <si>
    <t>NL1870-010</t>
  </si>
  <si>
    <t>BD_NL1870010</t>
  </si>
  <si>
    <t>FOX BIPOLAR FORCEPS STR TIPS 1MM 6-1/4IN</t>
  </si>
  <si>
    <t>PRODIGO1058105</t>
  </si>
  <si>
    <t>Fox bipolar forceps Straight. Matte and mirror finish. Tips 1mm wide</t>
  </si>
  <si>
    <t>FORCEP, SURGICAL, FOX, 6.25 IN, 1 MM, BIPOLAR, STRAIGHT, MATTE, MIRROR FINISH, NON STERILE, LATEX</t>
  </si>
  <si>
    <t>FORCEP, SURG, FOX, 6.25 IN, 1 MM, BPLR, STR, MATTE, MIRROR FINISH, NS, LTX</t>
  </si>
  <si>
    <t>FORCEP, SURG, FOX, 6.25 IN, 1 MM, BPLR, STR, MATTE, MIRROR FINISH</t>
  </si>
  <si>
    <t>https://www.bd.com/en-us/products-and-solutions/products/product-page.NL1870-010#overview, https://accessgudid.nlm.nih.gov/devices/10885403072000</t>
  </si>
  <si>
    <t>NL1872010</t>
  </si>
  <si>
    <t>NL1872-010</t>
  </si>
  <si>
    <t>BD_NL1872010</t>
  </si>
  <si>
    <t>FOX BIPOLAR FORCEPS STR TIPS 1MM 7-7/8IN</t>
  </si>
  <si>
    <t>PRODIGO1058108</t>
  </si>
  <si>
    <t>Fox bipolar forceps Straight. Matte and mirror finish. Tips 1mm wide. Overall length 7-7/8in (20cm)</t>
  </si>
  <si>
    <t>FORCEP, SURGICAL, FOX, 7-7/8 IN, 1 MM, BIPOLAR, STRAIGHT, MATTE, MIRROR FINISH, NON STERILE, LATEX</t>
  </si>
  <si>
    <t>FORCEP, SURG, FOX, 7-7/8 IN, 1 MM, BPLR, STR, MATTE, MIRROR FINISH, NS, LTX</t>
  </si>
  <si>
    <t>FORCEP, SURG, FOX, 7-7/8 IN, 1 MM, BPLR, STR, MATTE, MIRROR FINISH</t>
  </si>
  <si>
    <t>https://www.bd.com/en-us/products-and-solutions/products/product-page.NL1872-010#overview, https://accessgudid.nlm.nih.gov/devices/10885403072048</t>
  </si>
  <si>
    <t>NL19006</t>
  </si>
  <si>
    <t>NL1900-6</t>
  </si>
  <si>
    <t>BD_NL19006</t>
  </si>
  <si>
    <t>FRAZIER SUCTION TUBE 6FR WK LGTH 3-7/8</t>
  </si>
  <si>
    <t>PRODIGO1058111</t>
  </si>
  <si>
    <t>Frazier suction tubes Angled. With finger valve and obturator. 6Fr. Working length 3-7/8in (9.8cm)</t>
  </si>
  <si>
    <t>TUBE, SUCTION, FRAZIER, 6 FRX3-7/8 IN, ANGLE, WITH FINGER VALVE, OBTURATOR, NON STERILE, LATEX</t>
  </si>
  <si>
    <t>TUBE, SUCTION, FRAZIER, 6 FRX3-7/8 IN, ANGLE, W/ FNGR VLV, OBTURATOR, NS, LTX</t>
  </si>
  <si>
    <t>TUBE, SUCTION, FRAZIER, 6 FRX3-7/8 IN, ANGLE, W/ FNGR, OBTURATOR</t>
  </si>
  <si>
    <t>FRAZIER</t>
  </si>
  <si>
    <t>6 FRX3-7/8 IN</t>
  </si>
  <si>
    <t>ANGLE, WITH FINGER VALVE, OBTURATOR</t>
  </si>
  <si>
    <t>https://www.bd.com/en-us/products-and-solutions/products/product-page.nl1900-6#overview, https://accessgudid.nlm.nih.gov/devices/10885403072130</t>
  </si>
  <si>
    <t>NL2122</t>
  </si>
  <si>
    <t>BD_NL2122</t>
  </si>
  <si>
    <t>FRAZIER VENTR CANNULA 12GA 3-1/2IN</t>
  </si>
  <si>
    <t>PRODIGO1058141</t>
  </si>
  <si>
    <t>42294741  Ventricular cannulas or needles</t>
  </si>
  <si>
    <t>Frazier ventricular cannulas Graduated in centimeters. Diameter 12GA. Mirror finish. Working length 3-1/2in (8.9cm)</t>
  </si>
  <si>
    <t>CANNULA, VENTRICULAR, FRAZIER, 12 GAX3.5 IN, GRADUATED IN CENTIMETER, MIRROR FINISH, NON STERILE, LATEX</t>
  </si>
  <si>
    <t>CANNULA, VENTRICULAR, FRAZIER, 12 GAX3.5 IN, GRAD IN CM, MIRROR FINISH, NS, LTX</t>
  </si>
  <si>
    <t>CANNULA, VENTRICULAR, FRAZIER, 12 GAX3.5 IN, GRAD IN CM, MIRROR</t>
  </si>
  <si>
    <t>12 GAX3.5 IN</t>
  </si>
  <si>
    <t>GRADUATED IN CENTIMETER, MIRROR FINISH</t>
  </si>
  <si>
    <t>https://www.bd.com/en-us/products-and-solutions/products/product-page.nl2122#overview, https://accessgudid.nlm.nih.gov/devices/10885403072628</t>
  </si>
  <si>
    <t>NL2121</t>
  </si>
  <si>
    <t>BD_NL2121</t>
  </si>
  <si>
    <t>FRAZIER VENTR CANNULA DIA 12GA 2-1/8IN</t>
  </si>
  <si>
    <t>PRODIGO1058140</t>
  </si>
  <si>
    <t>Frazier ventricular cannulas Graduated in centimeters. Diameter 12GA. Mirror finish. Working length 2-1/8in (5.4cm)</t>
  </si>
  <si>
    <t>CANNULA, VENTRICULAR, FRAZIER, 12 GAX2-1/8 IN, GRADUATED IN CENTIMETER, MIRROR FINISH, NON STERILE, LATEX</t>
  </si>
  <si>
    <t>CANNULA, VENTRICULAR, FRAZIER, 12 GAX2-1/8 IN, GRAD IN CM, MIRROR FINISH, NS, LTX</t>
  </si>
  <si>
    <t>CANNULA, VENTRICULAR, FRAZIER, 12 GAX2-1/8 IN, GRAD IN CM, MIRROR</t>
  </si>
  <si>
    <t>12 GAX2-1/8 IN</t>
  </si>
  <si>
    <t>https://www.bd.com/en-us/products-and-solutions/products/product-page.NL2121#overview, https://accessgudid.nlm.nih.gov/devices/10885403072611</t>
  </si>
  <si>
    <t>NL2120</t>
  </si>
  <si>
    <t>BD_NL2120</t>
  </si>
  <si>
    <t>FRAZIER VENTRICULAR CANNULA DIA 12GA 2IN</t>
  </si>
  <si>
    <t>PRODIGO1058139</t>
  </si>
  <si>
    <t>Frazier ventricular cannulas Graduated in centimeters. Diameter 12GA. Mirror finish. Working length 2in (5.2cm)</t>
  </si>
  <si>
    <t>CANNULA, VENTRICULAR, FRAZIER, 12 GAX2 IN, GRADUATED IN CENTIMETER, MIRROR FINISH, NON STERILE, LATEX</t>
  </si>
  <si>
    <t>CANNULA, VENTRICULAR, FRAZIER, 12 GAX2 IN, GRAD IN CM, MIRROR FINISH, NS, LTX</t>
  </si>
  <si>
    <t>CANNULA, VENTRICULAR, FRAZIER, 12 GAX2 IN, GRAD IN CM, MIRROR</t>
  </si>
  <si>
    <t>12 GAX2 IN</t>
  </si>
  <si>
    <t>https://www.bd.com/en-us/products-and-solutions/products/product-page.NL2120#overview, https://accessgudid.nlm.nih.gov/devices/10885403072604</t>
  </si>
  <si>
    <t>881066</t>
  </si>
  <si>
    <t>88-1066</t>
  </si>
  <si>
    <t>BD_881066</t>
  </si>
  <si>
    <t>FREEMAN RAKE SS RETR 1-1/2 38MMW 7IN</t>
  </si>
  <si>
    <t>PRODIGO1056093</t>
  </si>
  <si>
    <t>SNOWDEN-PENCER FREEMAN RAKE RETRACTORS 4-PRONG RETRACTOR. FEATURES TWO RECESSED INNER PRONGS 7IN (18CM) X 1-1/2IN (38MM) WIDE.</t>
  </si>
  <si>
    <t>RETRACTOR, SURGICAL, FREEMAN, 7X1.5 IN, RAKE, 4-PRONG, STAINLESS STEEL, NON STERILE, SNOWDEN-PENCER, LATEX</t>
  </si>
  <si>
    <t>RETRACTOR, SURG, FREEMAN, 7X1.5 IN, RAKE, 4-PRONG, SS, NS, SNOWDEN-PENCER, LTX</t>
  </si>
  <si>
    <t>RETRACTOR, SURG, FREEMAN, 7X1.5 IN, RAKE, 4-PRONG, SNOWDEN-PENCER</t>
  </si>
  <si>
    <t>FREEMAN</t>
  </si>
  <si>
    <t>7X1.5 IN</t>
  </si>
  <si>
    <t>RAKE, 4-PRONG</t>
  </si>
  <si>
    <t>https://www.lt-technologies.de/_ws/mediabase/Downloads/Snowden_pencer%20catalog%20final%2008-10-12.pdf, https://accessgudid.nlm.nih.gov/devices/10885403151538</t>
  </si>
  <si>
    <t>882335</t>
  </si>
  <si>
    <t>88-2335</t>
  </si>
  <si>
    <t>BD_882335</t>
  </si>
  <si>
    <t>FREEMAN SS AREOLA MARKER 38MM DIA</t>
  </si>
  <si>
    <t>PRODIGO1056095</t>
  </si>
  <si>
    <t>42292802  Surgical marking instruments for general use</t>
  </si>
  <si>
    <t>SNOWDEN-PENCER FREEMAN MARKERS CENTRALLY LOCATED APERTURE. 38MM DIAMETER.</t>
  </si>
  <si>
    <t>MARKER, SURGICAL, FREEMAN AREOLA, 38 IN, CENTRALLY LOCATED APERTURE, STAINLESS STEEL, NON STERILE, SNOWDEN-PENCER, LATEX</t>
  </si>
  <si>
    <t>MARKER, SURG, FREEMAN AREOLA, 38 IN, CENTRALLY LOCATED APER, SS, NS, SNOWDEN-PENCER, LTX</t>
  </si>
  <si>
    <t>MARKER, SURG, FREEMAN AREOLA, 38 IN, SNOWDEN-PENCER</t>
  </si>
  <si>
    <t>MARKER</t>
  </si>
  <si>
    <t>FREEMAN AREOLA</t>
  </si>
  <si>
    <t>38 IN</t>
  </si>
  <si>
    <t>CENTRALLY LOCATED APERTURE</t>
  </si>
  <si>
    <t>https://www.lt-technologies.de/_ws/mediabase/Downloads/Snowden_pencer%20catalog%20final%2008-10-12.pdf, https://accessgudid.nlm.nih.gov/devices/10885403152221</t>
  </si>
  <si>
    <t>882336</t>
  </si>
  <si>
    <t>88-2336</t>
  </si>
  <si>
    <t>BD_882336</t>
  </si>
  <si>
    <t>FREEMAN SS AREOLA MARKER 42MM DIA</t>
  </si>
  <si>
    <t>PRODIGO1056096</t>
  </si>
  <si>
    <t>SNOWDEN-PENCER FREEMAN MARKERS CENTRALLY LOCATED APERTURE. 42MM DIAMETER.</t>
  </si>
  <si>
    <t>MARKER, SURGICAL, FREEMAN AREOLA, 42 IN, CENTRALLY LOCATED APERTURE, STAINLESS STEEL, NON STERILE, SNOWDEN-PENCER, LATEX</t>
  </si>
  <si>
    <t>MARKER, SURG, FREEMAN AREOLA, 42 IN, CENTRALLY LOCATED APER, SS, NS, SNOWDEN-PENCER, LTX</t>
  </si>
  <si>
    <t>MARKER, SURG, FREEMAN AREOLA, 42 IN, SNOWDEN-PENCER</t>
  </si>
  <si>
    <t>42 IN</t>
  </si>
  <si>
    <t>https://www.lt-technologies.de/_ws/mediabase/Downloads/Snowden_pencer%20catalog%20final%2008-10-12.pdf, https://accessgudid.nlm.nih.gov/devices/10885403152238</t>
  </si>
  <si>
    <t>NL1958004</t>
  </si>
  <si>
    <t>NL1958-004</t>
  </si>
  <si>
    <t>BD_NL1958004</t>
  </si>
  <si>
    <t>FUKUSHIMA TAPER TEARDROP SUCT TUBE 4FR</t>
  </si>
  <si>
    <t>PRODIGO1058127</t>
  </si>
  <si>
    <t>Fukushima Tapered Teardrop Suction Tube</t>
  </si>
  <si>
    <t>TUBE, SUCTION, FUKUSHIMA STYLE, 4 FR, TAPERED TEARDROP, NON STERILE, LATEX</t>
  </si>
  <si>
    <t>TUBE, SUCTION, FUKUSHIMA STYL, 4 FR, TAPR TEARDROP, NS, LTX</t>
  </si>
  <si>
    <t>FUKUSHIMA STYLE</t>
  </si>
  <si>
    <t>4 FR</t>
  </si>
  <si>
    <t>TAPERED TEARDROP</t>
  </si>
  <si>
    <t>https://accessgudid.nlm.nih.gov/devices/00190776001186, https://accessgudid.nlm.nih.gov/devices/00190776001186</t>
  </si>
  <si>
    <t>NL1958005</t>
  </si>
  <si>
    <t>NL1958-005</t>
  </si>
  <si>
    <t>BD_NL1958005</t>
  </si>
  <si>
    <t>FUKUSHIMA TAPER TEARDROP SUCT TUBE 5FR</t>
  </si>
  <si>
    <t>PRODIGO1058128</t>
  </si>
  <si>
    <t>TUBE, SUCTION, FUKUSHIMA STYLE, 5 FR, TAPERED TEARDROP, NON STERILE, LATEX</t>
  </si>
  <si>
    <t>TUBE, SUCTION, FUKUSHIMA STYL, 5 FR, TAPR TEARDROP, NS, LTX</t>
  </si>
  <si>
    <t>5 FR</t>
  </si>
  <si>
    <t>https://accessgudid.nlm.nih.gov/devices/00190776001193, https://accessgudid.nlm.nih.gov/devices/00190776001193</t>
  </si>
  <si>
    <t>NL1958006</t>
  </si>
  <si>
    <t>NL1958-006</t>
  </si>
  <si>
    <t>BD_NL1958006</t>
  </si>
  <si>
    <t>FUKUSHIMA TAPER TEARDROP SUCT TUBE 6FR</t>
  </si>
  <si>
    <t>PRODIGO1058129</t>
  </si>
  <si>
    <t>TUBE, SUCTION, FUKUSHIMA STYLE, 6 FR, TAPERED TEARDROP, NON STERILE, LATEX</t>
  </si>
  <si>
    <t>TUBE, SUCTION, FUKUSHIMA STYL, 6 FR, TAPR TEARDROP, NS, LTX</t>
  </si>
  <si>
    <t>6 FR</t>
  </si>
  <si>
    <t>https://accessgudid.nlm.nih.gov/devices/00190776001209, https://accessgudid.nlm.nih.gov/devices/00190776001209</t>
  </si>
  <si>
    <t>NL1958007</t>
  </si>
  <si>
    <t>NL1958-007</t>
  </si>
  <si>
    <t>BD_NL1958007</t>
  </si>
  <si>
    <t>FUKUSHIMA TAPER TEARDROP SUCT TUBE 7FR</t>
  </si>
  <si>
    <t>PRODIGO1058130</t>
  </si>
  <si>
    <t>Fukushima-style tapered teardrop suction tubes Extra-long: overall length 9in (22.9cm)7Fr.</t>
  </si>
  <si>
    <t>TUBE, SUCTION, FUKUSHIMA STYLE, 7 FR, TAPERED TEARDROP, NON STERILE, LATEX</t>
  </si>
  <si>
    <t>TUBE, SUCTION, FUKUSHIMA STYL, 7 FR, TAPR TEARDROP, NS, LTX</t>
  </si>
  <si>
    <t>7 FR</t>
  </si>
  <si>
    <t>https://www.bd.com/en-us/products-and-solutions/products/product-page.nl1958-007#overview, https://accessgudid.nlm.nih.gov/devices/00190776001216</t>
  </si>
  <si>
    <t>NL1958008</t>
  </si>
  <si>
    <t>NL1958-008</t>
  </si>
  <si>
    <t>BD_NL1958008</t>
  </si>
  <si>
    <t>FUKUSHIMA TAPER TEARDROP SUCT TUBE 8FR</t>
  </si>
  <si>
    <t>PRODIGO1058131</t>
  </si>
  <si>
    <t>TUBE, SUCTION, FUKUSHIMA STYLE, 8 FR, TAPERED TEARDROP, NON STERILE, LATEX</t>
  </si>
  <si>
    <t>TUBE, SUCTION, FUKUSHIMA STYL, 8 FR, TAPR TEARDROP, NS, LTX</t>
  </si>
  <si>
    <t>8 FR</t>
  </si>
  <si>
    <t>https://accessgudid.nlm.nih.gov/devices/00190776001223, https://accessgudid.nlm.nih.gov/devices/00190776001223</t>
  </si>
  <si>
    <t>NL1958009</t>
  </si>
  <si>
    <t>NL1958-009</t>
  </si>
  <si>
    <t>BD_NL1958009</t>
  </si>
  <si>
    <t>FUKUSHIMA TAPER TEARDROP SUCT TUBE 9FR</t>
  </si>
  <si>
    <t>PRODIGO1058132</t>
  </si>
  <si>
    <t>TUBE, SUCTION, FUKUSHIMA STYLE, 9 FR, TAPERED TEARDROP, NON STERILE, LATEX</t>
  </si>
  <si>
    <t>TUBE, SUCTION, FUKUSHIMA STYL, 9 FR, TAPR TEARDROP, NS, LTX</t>
  </si>
  <si>
    <t>9 FR</t>
  </si>
  <si>
    <t>https://accessgudid.nlm.nih.gov/devices/00190776001230, https://accessgudid.nlm.nih.gov/devices/00190776001230</t>
  </si>
  <si>
    <t>CH5580</t>
  </si>
  <si>
    <t>BD_CH5580</t>
  </si>
  <si>
    <t>GARRETT VASC DILATOR 1.0-5.0MM 9/ST</t>
  </si>
  <si>
    <t>PRODIGO1056873</t>
  </si>
  <si>
    <t>42203440  Cardiovascular vessel dilators</t>
  </si>
  <si>
    <t>GARRETT DILATOR VASCULAR 8-1/8 IN 1.5 MM THIN SHAFT, ELONGATED OVAL MATTE, MIRROR FINISH</t>
  </si>
  <si>
    <t>DILATOR, VASCULAR, GARRETT, 8-1/8 IN, 1.5 MM, THIN SHAFT, ELONGATED OVAL MATTE, MIRROR FINISH, NON STERILE, LATEX</t>
  </si>
  <si>
    <t>DILATOR, VASC, GARRETT, 8-1/8 IN, 1.5 MM, THN SHFT, ELONGATED OVL MATTE, MIRROR FINISH, NS, LTX</t>
  </si>
  <si>
    <t>DILATOR, VASC, GARRETT, 8-1/8 IN, 1.5 MM, THN SHFT, NS, LTX</t>
  </si>
  <si>
    <t>GARRETT</t>
  </si>
  <si>
    <t>8-1/8 IN</t>
  </si>
  <si>
    <t>THIN SHAFT, ELONGATED OVAL MATTE, MIRROR FINISH</t>
  </si>
  <si>
    <t>https://www.hces.com.sg/wp-content/uploads/2021/04/Cardiovascular-Pages-from-vmueller-snowdenpencer-armamentarium-catalogue-4.pdf, https://accessgudid.nlm.nih.gov/devices/10885403027802</t>
  </si>
  <si>
    <t>CH5590010</t>
  </si>
  <si>
    <t>CH5590-010</t>
  </si>
  <si>
    <t>BD_CH5590010</t>
  </si>
  <si>
    <t>GARRETT VASC DILATOR HOLDER FOR 5-1/2IN</t>
  </si>
  <si>
    <t>PRODIGO1056876</t>
  </si>
  <si>
    <t>42291901  Surgical instrument holders or positioners</t>
  </si>
  <si>
    <t>GARRETT HOLDER DILATOR 5.5 IN</t>
  </si>
  <si>
    <t>HOLDER, DILATOR, GARRETT, 5.5 IN, VASCULAR, NON STERILE, LATEX</t>
  </si>
  <si>
    <t>HOLDER, DIL, GARRETT, 5.5 IN, VASC, NS, LTX</t>
  </si>
  <si>
    <t>https://www.hces.com.sg/wp-content/uploads/2021/04/Cardiovascular-Pages-from-vmueller-snowdenpencer-armamentarium-catalogue-4.pdf, https://accessgudid.nlm.nih.gov/devices/10885403028069</t>
  </si>
  <si>
    <t>CH5590006</t>
  </si>
  <si>
    <t>CH5590-006</t>
  </si>
  <si>
    <t>BD_CH5590006</t>
  </si>
  <si>
    <t>GARRETT VASC DILATOR TIP SZ 3.5MM 5-1/2</t>
  </si>
  <si>
    <t>PRODIGO1056875</t>
  </si>
  <si>
    <t>GARRETT DILATOR VASCULAR 5.5 IN 3.5 MM WITH TIP</t>
  </si>
  <si>
    <t>DILATOR, VASCULAR, GARRETT, 5.5 IN, 3.5 MM, WITH TIP, NON STERILE, LATEX</t>
  </si>
  <si>
    <t>DILATOR, VASC, GARRETT, 5.5 IN, 3.5 MM, W/ TIP, NS, LTX</t>
  </si>
  <si>
    <t>3.5 MM</t>
  </si>
  <si>
    <t>WITH TIP</t>
  </si>
  <si>
    <t>https://www.hces.com.sg/wp-content/uploads/2021/04/Cardiovascular-Pages-from-vmueller-snowdenpencer-armamentarium-catalogue-4.pdf, https://accessgudid.nlm.nih.gov/devices/10885403028021</t>
  </si>
  <si>
    <t>GL510</t>
  </si>
  <si>
    <t>BD_GL510</t>
  </si>
  <si>
    <t>GELPI PERINEAL RETR 7IN W/BALL STOPS</t>
  </si>
  <si>
    <t>PRODIGO1057515</t>
  </si>
  <si>
    <t>Gelpi perineal retractor Self-retaining. Balls stops on sharp tenaculum prongs. Total opening 3-1/4in (8.3cm). Arm length 4-3/4in (12.1cm). Overall length 7in (17.8cm).</t>
  </si>
  <si>
    <t>RETRACTOR, SURGICAL, GELPI, 7 IN, 3.25 IN, 4.75 IN, PERINEAL, SELF-RETAINING, BALL STOP ON SHARP TENACULUM PRONG, RING HANDLE, NON STERILE, LATEX</t>
  </si>
  <si>
    <t>RETRACTOR, SURG, GELPI, 7 IN, 3.25 IN, 4.75 IN, PERINL, SELF RET, BALL STP ON SHRP TENAC PRNG, RNG HNDL, NS, LTX</t>
  </si>
  <si>
    <t>RETRACTOR, SURG, GELPI, 7 IN, 3.25 IN, 4.75 IN, PERINL, SELF RET</t>
  </si>
  <si>
    <t>GELPI</t>
  </si>
  <si>
    <t>3.25 IN, 4.75 IN</t>
  </si>
  <si>
    <t>PERINEAL</t>
  </si>
  <si>
    <t>SELF-RETAINING, BALL STOP ON SHARP TENACULUM PRONG, RING HANDLE</t>
  </si>
  <si>
    <t>https://www.bd.com/en-us/products-and-solutions/products/product-page.GL510#overview, https://accessgudid.nlm.nih.gov/devices/10885403043390</t>
  </si>
  <si>
    <t>GA500</t>
  </si>
  <si>
    <t>BD_GA500</t>
  </si>
  <si>
    <t>GELPI PERINEAL RETR SELF-RETAIN SHARP</t>
  </si>
  <si>
    <t>PRODIGO1057344</t>
  </si>
  <si>
    <t>GELPI PERINEAL RETRACTORS SHARP TENACULUM PRONGS. OVERALL LGTH 7-1/2IN (19CM).</t>
  </si>
  <si>
    <t>RETRACTOR, SURGICAL, GELPI, 7.5 IN, PERINEAL, SHARP, TENACULUM PRONG, NON STERILE, LATEX</t>
  </si>
  <si>
    <t>RETRACTOR, SURG, GELPI, 7.5 IN, PERINL, SHRP, TENAC PRNG, NS, LTX</t>
  </si>
  <si>
    <t>SHARP, TENACULUM PRONG</t>
  </si>
  <si>
    <t>https://accessgudid.nlm.nih.gov/devices/10885403042102, https://accessgudid.nlm.nih.gov/devices/10885403042102</t>
  </si>
  <si>
    <t>GA501</t>
  </si>
  <si>
    <t>BD_GA501</t>
  </si>
  <si>
    <t>PRODIGO1057345</t>
  </si>
  <si>
    <t>Gelpi Perineal Retractor Affinity Line. Self Retaining. Sharp. Overall length 5in (12.7cm).</t>
  </si>
  <si>
    <t>RETRACTOR, SURGICAL, GELPI, 5 IN, PERINEAL, AFFINITY LINE, SELF RETAINING, SHARP, NON STERILE, LATEX</t>
  </si>
  <si>
    <t>RETRACTOR, SURG, GELPI, 5 IN, PERINL, AFFIN LN, SELF RET, SHRP, NS, LTX</t>
  </si>
  <si>
    <t>RETRACTOR, SURG, GELPI, 5 IN, PERINL, AFFIN LN, SELF RET, SHRP, NS</t>
  </si>
  <si>
    <t>AFFINITY LINE, SELF RETAINING, SHARP</t>
  </si>
  <si>
    <t>https://www.bd.com/en-us/products-and-solutions/products/product-page.GA501#overview, https://accessgudid.nlm.nih.gov/devices/10885403042119</t>
  </si>
  <si>
    <t>GL502</t>
  </si>
  <si>
    <t>BD_GL502</t>
  </si>
  <si>
    <t>GELPI PERINEAL RETRACTOR SHARP TENACULUM</t>
  </si>
  <si>
    <t>PRODIGO1057513</t>
  </si>
  <si>
    <t>Gelpi perineal retractor Self-retaining. Sharp tenaculum prongs. Total opening 1-5/8in (4.1cm). Arm length 2in (5cm). Overall length 4-1/2in (11.4cm).</t>
  </si>
  <si>
    <t>RETRACTOR, SURGICAL, GELPI, 4.5 IN, 1-5/8 IN, 2 IN, PERINEAL, SELF-RETAINING, SHARP, TENACULUM PRONG, NON STERILE, LATEX</t>
  </si>
  <si>
    <t>RETRACTOR, SURG, GELPI, 4.5 IN, 1-5/8 IN, 2 IN, PERINL, SELF RET, SHRP, TENAC PRNG, NS, LTX</t>
  </si>
  <si>
    <t>RETRACTOR, SURG, GELPI, 4.5 IN, 1-5/8 IN, 2 IN, PERINL, SELF RET</t>
  </si>
  <si>
    <t>1-5/8 IN, 2 IN</t>
  </si>
  <si>
    <t>SELF-RETAINING, SHARP, TENACULUM PRONG</t>
  </si>
  <si>
    <t>https://www.bd.com/en-us/offerings/capabilities/surgical-instruments/open-instrumentation/gelpi-perineal-retractor/gl502, https://accessgudid.nlm.nih.gov/devices/10885403043376</t>
  </si>
  <si>
    <t>GL503</t>
  </si>
  <si>
    <t>BD_GL503</t>
  </si>
  <si>
    <t>PRODIGO1057514</t>
  </si>
  <si>
    <t>Gelpi perineal retractor Self-retaining. Sharp tenaculum prongs. Total opening 1-3/8in (3.5cm). Arm length 1-1/4in (3.2cm). Overall length 3-1/2in (8.9cm).</t>
  </si>
  <si>
    <t>RETRACTOR, SURGICAL, GELPI, 3.5 IN, 1-3/8 IN, 1.25 IN, PERINEAL, SELF-RETAINING, SHARP, TENACULUM PRONG, NON STERILE, LATEX</t>
  </si>
  <si>
    <t>RETRACTOR, SURG, GELPI, 3.5 IN, 1-3/8 IN, 1.25 IN, PERINL, SELF RET, SHRP, TENAC PRNG, NS, LTX</t>
  </si>
  <si>
    <t>RETRACTOR, SURG, GELPI, 3.5 IN, 1-3/8 IN, 1.25 IN, PERINL, SELF RET</t>
  </si>
  <si>
    <t>1-3/8 IN, 1.25 IN</t>
  </si>
  <si>
    <t>https://www.bd.com/en-us/products-and-solutions/products/product-page.GL503#overview, https://accessgudid.nlm.nih.gov/devices/10885403043383</t>
  </si>
  <si>
    <t>NL1802</t>
  </si>
  <si>
    <t>BD_NL1802</t>
  </si>
  <si>
    <t>GERALD BIPOLR BAYONET INSUL FORCEP 5-3/4</t>
  </si>
  <si>
    <t>PRODIGO1058103</t>
  </si>
  <si>
    <t>Gerald bipolar forceps Bayonet shape. Kynar-insulated. Matte and mirror finish. Without cord. Overall length 5-3/4in (14.6cm).</t>
  </si>
  <si>
    <t>FORCEP, SURGICAL, GERALD, 5.75 IN, BAYONET SHAPE, KYNAR-INSULATED, MATTE, MIRROR FINISH, NON STERILE, LATEX</t>
  </si>
  <si>
    <t>FORCEP, SURG, GERALD, 5.75 IN, BAYNT SHP, KYNAR-INSULATED, MATTE, MIRROR FINISH, NS, LTX</t>
  </si>
  <si>
    <t>FORCEP, SURG, GERALD, 5.75 IN, BAYNT SHP, KYNAR-INSULATED, MATTE</t>
  </si>
  <si>
    <t>BAYONET SHAPE, KYNAR-INSULATED, MATTE, MIRROR FINISH</t>
  </si>
  <si>
    <t>https://www.bd.com/en-us/products-and-solutions/products/product-page.nl1802#overview, https://accessgudid.nlm.nih.gov/devices/10885403071942</t>
  </si>
  <si>
    <t>CH04242</t>
  </si>
  <si>
    <t>BD_CH04242</t>
  </si>
  <si>
    <t>GERALD DEBAKEY FORCEPS STR 1MM TIPS 8IN</t>
  </si>
  <si>
    <t>PRODIGO1056530</t>
  </si>
  <si>
    <t>GERALD-DEBAKEY FORCEPS STRAIGHT FLAT HANDLE TIPS 1MM WIDE OVERALL LENGTH 20CM FORCEP SURGICAL GERALD DEBAKEY 1 MM 20 CM STRAIGHT FLAT HANDLE TIP</t>
  </si>
  <si>
    <t>FORCEP, SURGICAL, GERALD DEBAKEY, 1 MM, 8 IN, STRAIGHT, FLAT HANDLE, NON STERILE, LATEX</t>
  </si>
  <si>
    <t>FORCEP, SURG, GERALD DEBAKEY, 1 MM, 8 IN, STR, FLAT HNDL, NS, LTX</t>
  </si>
  <si>
    <t>http://www.megamedworld.com/wp-content/uploads/2019/03/VM_KVC-min.pdf, https://accessgudid.nlm.nih.gov/devices/10885403021138</t>
  </si>
  <si>
    <t>NL1452</t>
  </si>
  <si>
    <t>BD_NL1452</t>
  </si>
  <si>
    <t>GERALD DEBAKEY TISS FORCEPS TIP 1MMW 8IN</t>
  </si>
  <si>
    <t>PRODIGO1058087</t>
  </si>
  <si>
    <t>GERALD-DEBAKEY TISSUE FORCEPS TIPS 1MM WIDE. OVERALL LENGTH 8IN 20.3CM</t>
  </si>
  <si>
    <t>FORCEP, SURGICAL, GERALD-DEBAKEY, 1 MM, 8 IN, TISSUE, NON STERILE, LATEX</t>
  </si>
  <si>
    <t>FORCEP SURGICAL GERALD-DEBAKEY 1 MM 8 IN TISSUE NON STERILE LATEX</t>
  </si>
  <si>
    <t>FORCEP, SURG, GERALD-DEBAKEY, 1 MM, 8 IN, TISS, NS, LTX</t>
  </si>
  <si>
    <t>GERALD-DEBAKEY</t>
  </si>
  <si>
    <t>https://www.bd.com/en-us/products-and-solutions/products/product-page.NL1452#specifications, https://accessgudid.nlm.nih.gov/devices/10885403071515</t>
  </si>
  <si>
    <t>NA1440</t>
  </si>
  <si>
    <t>BD_NA1440</t>
  </si>
  <si>
    <t>GERALD FORCEPS 1X2 TEETH OVER LGTH 7IN</t>
  </si>
  <si>
    <t>PRODIGO1058006</t>
  </si>
  <si>
    <t>GERALD FORCEPS AFFINITY LINE. 1 X 2 TEETH. OVERALL LENGTH 7IN 17.8CM</t>
  </si>
  <si>
    <t>FORCEP, SURGICAL, GERALD, 7 IN, AFFINITY LINE, 1X2 TEETH, NON STERILE, LATEX</t>
  </si>
  <si>
    <t>FORCEP SURGICAL GERALD 7 IN AFFINITY LINE 1X2 TEETH NON STERILE LATEX</t>
  </si>
  <si>
    <t>FORCEP, SURG, GERALD, 7 IN, AFFIN LN, 1X2 TEETH, NS, LTX</t>
  </si>
  <si>
    <t>AFFINITY LINE, 1X2 TEETH</t>
  </si>
  <si>
    <t>https://www.bd.com/en-us/products-and-solutions/products/product-page.NA1440#overview</t>
  </si>
  <si>
    <t>CH0479</t>
  </si>
  <si>
    <t>BD_CH0479</t>
  </si>
  <si>
    <t>GERALD FORCEPS STR OVER LGTH 10IN</t>
  </si>
  <si>
    <t>PRODIGO1056542</t>
  </si>
  <si>
    <t>GERALD Forceps Straight. Flat handle Cross-serrated tips 1mm wide. Overall length 10in (25.4cm)</t>
  </si>
  <si>
    <t>FORCEP, SURGICAL, GERALD, 1 MM, 10 IN, STRAIGHT, FLAT HANDLE, CROSS SERRATED TIP, NON STERILE, LATEX</t>
  </si>
  <si>
    <t>FORCEP, SURG, GERALD, 1 MM, 10 IN, STR, FLAT HNDL, CROSS SERRATED TIP, NS, LTX</t>
  </si>
  <si>
    <t>FORCEP, SURG, GERALD, 1 MM, 10 IN, STR, FLAT HNDL, CROSS SERRATED</t>
  </si>
  <si>
    <t>STRAIGHT, FLAT HANDLE, CROSS SERRATED TIP</t>
  </si>
  <si>
    <t>http://www.megamedworld.com/wp-content/uploads/2019/03/VM_KVC-min.pdf, https://accessgudid.nlm.nih.gov/devices/10885403019814</t>
  </si>
  <si>
    <t>CH047912</t>
  </si>
  <si>
    <t>CH0479-12</t>
  </si>
  <si>
    <t>BD_CH047912</t>
  </si>
  <si>
    <t>GERALD FORCEPS STR OVER LGTH 12IN</t>
  </si>
  <si>
    <t>PRODIGO1056543</t>
  </si>
  <si>
    <t>GERALD Forceps Straight. Flat handle Cross-serrated tips 1.5mm wide. Overall length 12in (30.5cm)</t>
  </si>
  <si>
    <t>FORCEP, SURGICAL, GERALD, 1.5 MM, 12 IN, STRAIGHT, FLAT HANDLE, CROSS SERRATED TIP, NON STERILE, LATEX</t>
  </si>
  <si>
    <t>FORCEP, SURG, GERALD, 1.5 MM, 12 IN, STR, FLAT HNDL, CROSS SERRATED TIP, NS, LTX</t>
  </si>
  <si>
    <t>FORCEP, SURG, GERALD, 1.5 MM, 12 IN, STR, FLAT HNDL, CROSS SERRATED</t>
  </si>
  <si>
    <t>http://www.megamedworld.com/wp-content/uploads/2019/03/VM_KVC-min.pdf, https://accessgudid.nlm.nih.gov/devices/10885403019821</t>
  </si>
  <si>
    <t>CH0477</t>
  </si>
  <si>
    <t>BD_CH0477</t>
  </si>
  <si>
    <t>GERALD FORCEPS STR OVERALL LGTH 7-3/4IN</t>
  </si>
  <si>
    <t>PRODIGO1056541</t>
  </si>
  <si>
    <t>GERALD FORCEPS STRAIGHT FLAT HANDLE CROSS SERRATED TIPS 1MM WIDE OVERALL LENGTH 19.7CM FORCEP SURGICAL GERALD 1 MM 19.7 CM STRAIGHT FLAT HANDLE CROSS SERRATED TIP WIDE</t>
  </si>
  <si>
    <t>FORCEP, SURGICAL, GERALD, 1 MM, 7.75 IN, STRAIGHT, FLAT HANDLE, CROSS SERRATED TIP, NON STERILE, LATEX</t>
  </si>
  <si>
    <t>FORCEP, SURG, GERALD, 1 MM, 7.75 IN, STR, FLAT HNDL, CROSS SERRATED TIP, NS, LTX</t>
  </si>
  <si>
    <t>FORCEP, SURG, GERALD, 1 MM, 7.75 IN, STR, FLAT HNDL, CROSS SERRATED</t>
  </si>
  <si>
    <t>http://www.megamedworld.com/wp-content/uploads/2019/03/VM_KVC-min.pdf, https://accessgudid.nlm.nih.gov/devices/10885403019807</t>
  </si>
  <si>
    <t>NL1445</t>
  </si>
  <si>
    <t>BD_NL1445</t>
  </si>
  <si>
    <t>GERALD FORCEPS STR SERR FLAT HNDL 9-1/4</t>
  </si>
  <si>
    <t>PRODIGO1058086</t>
  </si>
  <si>
    <t>GERALD FORCEPS STRAIGHT. FLAT HANDLE. SERRATED TIPS. OVERALL LENGTH 9-1/4IN  23.5CM</t>
  </si>
  <si>
    <t>FORCEP, SURGICAL, GERALD, 9.25 IN, STRAIGHT, FLAT HANDLE, SERRATED TIPS, NON STERILE, LATEX</t>
  </si>
  <si>
    <t>FORCEP SURGICAL GERALD 9.25 IN STRAIGHT FLAT HANDLE SERRATED TIPS NON STERILE LATEX</t>
  </si>
  <si>
    <t>FORCEP, SURG, GERALD, 9.25 IN, STR, FLAT HNDL, SERRATED TIP, NS, LTX</t>
  </si>
  <si>
    <t>STRAIGHT, FLAT HANDLE, SERRATED TIPS</t>
  </si>
  <si>
    <t>https://www.bd.com/en-us/products-and-solutions/products/product-page.NL1445#overview, https://accessgudid.nlm.nih.gov/devices/10885403071485</t>
  </si>
  <si>
    <t>NA850</t>
  </si>
  <si>
    <t>BD_NA850</t>
  </si>
  <si>
    <t>GIGLI WIRE SAW DBL-LOOP 11-7/8IN</t>
  </si>
  <si>
    <t>PRODIGO1058031</t>
  </si>
  <si>
    <t>42291604  Surgical bone hand saws or wire saws or saw handles</t>
  </si>
  <si>
    <t>GIGLI WIRE SAW AFFINITY LINE. DOUBLE-LOOP. OVERALL LENGTH 11-7/8IN 30CM</t>
  </si>
  <si>
    <t>SAW, WIRE, GIGLI, 11-7/8 IN, AFFINITY LINE, DOUBLE LOOP, NON STERILE, LATEX</t>
  </si>
  <si>
    <t>SAW WIRE GIGLI 11-7/8 IN AFFINITY LINE DOUBLE LOOP NON STERILE LATEX</t>
  </si>
  <si>
    <t>SAW, WIRE, GIGLI, 11-7/8 IN, AFFIN LN, DBL LOOP, NS, LTX</t>
  </si>
  <si>
    <t>SAW</t>
  </si>
  <si>
    <t>WIRE</t>
  </si>
  <si>
    <t>GIGLI</t>
  </si>
  <si>
    <t>AFFINITY LINE, DOUBLE LOOP</t>
  </si>
  <si>
    <t>https://www.bd.com/en-us/products-and-solutions/products/product-page.NA850#overview, https://accessgudid.nlm.nih.gov/devices/10885403069475</t>
  </si>
  <si>
    <t>GU8777</t>
  </si>
  <si>
    <t>BD_GU8777</t>
  </si>
  <si>
    <t>GIL-VERNET RETR BLADE 13MM WIDE 11-3/8IN</t>
  </si>
  <si>
    <t>PRODIGO1057647</t>
  </si>
  <si>
    <t>Gil-Vernet retractors Malleable shaft. Overall length 11-1/4in (28.6cm). Blade 13mm wide.</t>
  </si>
  <si>
    <t>RETRACTOR, SURGICAL, GIL VERNET, 11.25 IN, 13 MM, BLADE, WIDE, MALLEABLE SHAFT, NON STERILE, LATEX</t>
  </si>
  <si>
    <t>RETRACTOR, SURG, GIL VERNET, 11.25 IN, 13 MM, BLADE, WIDE, MALL SHFT, NS, LTX</t>
  </si>
  <si>
    <t>RETRACTOR, SURG, GIL VERNET, 11.25 IN, 13 MM, WIDE, MALL SHFT</t>
  </si>
  <si>
    <t>GIL VERNET</t>
  </si>
  <si>
    <t>BLADE, WIDE, MALLEABLE SHAFT</t>
  </si>
  <si>
    <t>https://www.bd.com/en-us/products-and-solutions/products/product-page.GU8777#overview, https://accessgudid.nlm.nih.gov/devices/10885403050909</t>
  </si>
  <si>
    <t>GU8778</t>
  </si>
  <si>
    <t>BD_GU8778</t>
  </si>
  <si>
    <t>GIL-VERNET RETR BLADE 15MM WIDE 11-3/8IN</t>
  </si>
  <si>
    <t>PRODIGO1057648</t>
  </si>
  <si>
    <t>Gil-Vernet retractors Malleable shaft. Overall length 11-1/4in (28.6cm). Blade 15mm wide.</t>
  </si>
  <si>
    <t>RETRACTOR, SURGICAL, GIL VERNET, 11.25 IN, 15 MM, BLADE, WIDE, MALLEABLE SHAFT, NON STERILE, LATEX</t>
  </si>
  <si>
    <t>RETRACTOR, SURG, GIL VERNET, 11.25 IN, 15 MM, BLADE, WIDE, MALL SHFT, NS, LTX</t>
  </si>
  <si>
    <t>RETRACTOR, SURG, GIL VERNET, 11.25 IN, 15 MM, WIDE, MALL SHFT</t>
  </si>
  <si>
    <t>https://www.bd.com/en-us/products-and-solutions/products/product-page.GU8778#overview, https://accessgudid.nlm.nih.gov/devices/10885403050916</t>
  </si>
  <si>
    <t>GU8779</t>
  </si>
  <si>
    <t>BD_GU8779</t>
  </si>
  <si>
    <t>GIL-VERNET RETR BLADE 18MM WIDE 11-3/8IN</t>
  </si>
  <si>
    <t>PRODIGO1057649</t>
  </si>
  <si>
    <t>Gil-Vernet retractors Malleable shaft. Overall length 11-1/4in (28.6cm). Blade 18mm wide.</t>
  </si>
  <si>
    <t>RETRACTOR, SURGICAL, GIL VERNET, 11.25 IN, 18 MM, BLADE, WIDE, MALLEABLE SHAFT, NON STERILE, LATEX</t>
  </si>
  <si>
    <t>RETRACTOR, SURG, GIL VERNET, 11.25 IN, 18 MM, BLADE, WIDE, MALL SHFT, NS, LTX</t>
  </si>
  <si>
    <t>RETRACTOR, SURG, GIL VERNET, 11.25 IN, 18 MM, WIDE, MALL SHFT</t>
  </si>
  <si>
    <t>18 MM</t>
  </si>
  <si>
    <t>https://www.bd.com/en-us/products-and-solutions/products/product-page.GU8779#overview, https://accessgudid.nlm.nih.gov/devices/10885403050923</t>
  </si>
  <si>
    <t>GU8775</t>
  </si>
  <si>
    <t>BD_GU8775</t>
  </si>
  <si>
    <t>GIL-VERNET RETR BLADE 9MM WIDE 11-3/8IN</t>
  </si>
  <si>
    <t>PRODIGO1057645</t>
  </si>
  <si>
    <t>Gil-Vernet retractors Malleable shaft. Overall length 11-1/4in (28.6cm). Blade 9mm wide.</t>
  </si>
  <si>
    <t>RETRACTOR, SURGICAL, GIL VERNET, 11.25 IN, 9 MM, BLADE, WIDE, MALLEABLE SHAFT, NON STERILE, LATEX</t>
  </si>
  <si>
    <t>RETRACTOR, SURG, GIL VERNET, 11.25 IN, 9 MM, BLADE, WIDE, MALL SHFT, NS, LTX</t>
  </si>
  <si>
    <t>RETRACTOR, SURG, GIL VERNET, 11.25 IN, 9 MM, BLADE, WIDE, MALL SHFT</t>
  </si>
  <si>
    <t>https://www.bd.com/en-us/products-and-solutions/products/product-page.GU8775#overview, https://accessgudid.nlm.nih.gov/devices/10885403050886</t>
  </si>
  <si>
    <t>GL360</t>
  </si>
  <si>
    <t>BD_GL360</t>
  </si>
  <si>
    <t>GLENNER RETR BLADE 5-1/4X1IN(13.3X2.5CM)</t>
  </si>
  <si>
    <t>PRODIGO1057469</t>
  </si>
  <si>
    <t>Glenner retractor Blade 5-1/4in x 1in wide (13.3cm x 2.5cm). Overall length 10-5/8in (27cm).</t>
  </si>
  <si>
    <t>RETRACTOR, SURGICAL, GLENNER, 10-5/8 IN, 5.25X1 IN, BLADE, NON STERILE, LATEX</t>
  </si>
  <si>
    <t>RETRACTOR, SURG, GLENNER, 10-5/8 IN, 5.25X1 IN, BLADE, NS, LTX</t>
  </si>
  <si>
    <t>GLENNER</t>
  </si>
  <si>
    <t>10-5/8 IN</t>
  </si>
  <si>
    <t>5.25X1 IN</t>
  </si>
  <si>
    <t>https://www.bd.com/en-us/products-and-solutions/products/product-page.GL360#overview, https://accessgudid.nlm.nih.gov/devices/10885403043062</t>
  </si>
  <si>
    <t>GL3122001</t>
  </si>
  <si>
    <t>GL3122-001</t>
  </si>
  <si>
    <t>BD_GL3122001</t>
  </si>
  <si>
    <t>GLENNER UTERINE FORCEPS CVD LEFT</t>
  </si>
  <si>
    <t>PRODIGO1057422</t>
  </si>
  <si>
    <t>Glenner uterine forceps Overall length 8-1/4in (21cm). Curved left for patient's right.</t>
  </si>
  <si>
    <t>FORCEP, SURGICAL, GLENNER, 8.25 IN, UTERINE, CURVED LEFT, NON STERILE, LATEX</t>
  </si>
  <si>
    <t>FORCEP, SURG, GLENNER, 8.25 IN, UTER, CRV LT, NS, LTX</t>
  </si>
  <si>
    <t>https://www.bd.com/en-us/products-and-solutions/products/product-page.GL3122-001#overview, https://accessgudid.nlm.nih.gov/devices/10885403045226</t>
  </si>
  <si>
    <t>GL3122002</t>
  </si>
  <si>
    <t>GL3122-002</t>
  </si>
  <si>
    <t>BD_GL3122002</t>
  </si>
  <si>
    <t>GLENNER UTERINE FORCEPS CVD RIGHT</t>
  </si>
  <si>
    <t>PRODIGO1057423</t>
  </si>
  <si>
    <t>Glenner uterine forceps Overall length 8-1/4in (21cm). Curved right for patient's left.</t>
  </si>
  <si>
    <t>FORCEP, SURGICAL, GLENNER, 8.25 IN, UTERINE, CURVED RIGHT, NON STERILE, LATEX</t>
  </si>
  <si>
    <t>FORCEP, SURG, GLENNER, 8.25 IN, UTER, CRV RT, NS, LTX</t>
  </si>
  <si>
    <t>https://www.bd.com/en-us/products-and-solutions/products/product-page.GL3122-002#overview, https://accessgudid.nlm.nih.gov/devices/10885403045233</t>
  </si>
  <si>
    <t>CH7310</t>
  </si>
  <si>
    <t>BD_CH7310</t>
  </si>
  <si>
    <t>GLOVER AURICULAR APPEND CLAMP 4.3X7CM</t>
  </si>
  <si>
    <t>PRODIGO1057148</t>
  </si>
  <si>
    <t>GLOVER Auricular Appendage Clamp 1-3/4in (4.3cm) depth 7mm. 9in (22.9cm).</t>
  </si>
  <si>
    <t>CLAMP, SURGICAL, GLOVER, 9 IN, 4.3 CMX7 MM, AURICULAR, APPENDAGE, NON STERILE, LATEX</t>
  </si>
  <si>
    <t>CLAMP, SURG, GLOVER, 9 IN, 4.3 CMX7 MM, AUR, APPENDAGE, NS, LTX</t>
  </si>
  <si>
    <t>GLOVER</t>
  </si>
  <si>
    <t>4.3 CMX7 MM</t>
  </si>
  <si>
    <t>http://www.lt-technologies.de/_ws/mediabase/_ts_1494230442000/Downloads/CardioCatalog_LIT12012_low-res.pdf, https://accessgudid.nlm.nih.gov/devices/10885403032974</t>
  </si>
  <si>
    <t>CH6075</t>
  </si>
  <si>
    <t>BD_CH6075</t>
  </si>
  <si>
    <t>GLOVER BULLDOG COOLEY 90DEG 1"(2.6CM)</t>
  </si>
  <si>
    <t>PRODIGO1056977</t>
  </si>
  <si>
    <t>GLOVER BULLDOG CLAMP SURGICAL 90 DEGREE 1-5/8 IN 3.1 CM ANGLED JAW</t>
  </si>
  <si>
    <t>CLAMP, SURGICAL, GLOVER BULLDOG, 90 DEGREE, 1-5/8 IN, 3.1 CM, ANGLED JAW, NON STERILE, LATEX</t>
  </si>
  <si>
    <t>CLAMP, SURG, GLOVER BULLDOG, 90 DEG, 1-5/8 IN, 3.1 CM, ANGLED JAW, NS, LTX</t>
  </si>
  <si>
    <t>CLAMP, SURG, GLOVER BULLDOG, 90 DEG, 1-5/8 IN, 3.1 CM, NS, LTX</t>
  </si>
  <si>
    <t>GLOVER BULLDOG</t>
  </si>
  <si>
    <t>1-5/8 IN</t>
  </si>
  <si>
    <t>3.1 CM</t>
  </si>
  <si>
    <t>1"(2.6CM)</t>
  </si>
  <si>
    <t>http://www.megamedworld.com/wp-content/uploads/2019/03/VM_KVC-min.pdf, https://accessgudid.nlm.nih.gov/devices/10885403030048</t>
  </si>
  <si>
    <t>CH6072</t>
  </si>
  <si>
    <t>BD_CH6072</t>
  </si>
  <si>
    <t>GLOVER BULLDOG DEBAKEY CVD JAW 3.7CM</t>
  </si>
  <si>
    <t>PRODIGO1056975</t>
  </si>
  <si>
    <t>GLOVER BULLDOG CLAMP SURGICAL 3.5 IN 4 CM DEBAKEY JAW, CURVED</t>
  </si>
  <si>
    <t>CLAMP, SURGICAL, GLOVER BULLDOG, 3.5 IN, 4 CM, DEBAKEY JAW, CURVED, NON STERILE, LATEX</t>
  </si>
  <si>
    <t>CLAMP, SURG, GLOVER BULLDOG, 3.5 IN, 4 CM, DEBAKEY JAW, CRV, NS, LTX</t>
  </si>
  <si>
    <t>DEBAKEY JAW, CURVED</t>
  </si>
  <si>
    <t>3.7 CM</t>
  </si>
  <si>
    <t>http://www.megamedworld.com/wp-content/uploads/2019/03/VM_KVC-min.pdf, https://accessgudid.nlm.nih.gov/devices/10885403030024</t>
  </si>
  <si>
    <t>CH6073</t>
  </si>
  <si>
    <t>BD_CH6073</t>
  </si>
  <si>
    <t>GLOVER BULLDOG DEBAKEY CVD JAW 6CM</t>
  </si>
  <si>
    <t>PRODIGO1056976</t>
  </si>
  <si>
    <t>GLOVER BULLDOG CLAMPS CURVED DEBAKEY JAWS JAW LENGTH 6CM OVERALL LENGTH 12.1CM CLAMP SURGICAL GLOVER 12.1 CM 6 CM BULLDOG DEBAKEY JAW CURVED</t>
  </si>
  <si>
    <t>CLAMP, SURGICAL, GLOVER BULLDOG, 12.1 CM, 6 CM, DEBAKEY JAW, CURVED, NON STERILE, LATEX</t>
  </si>
  <si>
    <t>CLAMP, SURG, GLOVER BULLDOG, 12.1 CM, 6 CM, DEBAKEY JAW, CRV, NS, LTX</t>
  </si>
  <si>
    <t>CLAMP, SURG, GLOVER BULLDOG, 12.1 CM, 6 CM, DEBAKEY JAW, CRV, NS</t>
  </si>
  <si>
    <t>http://www.megamedworld.com/wp-content/uploads/2019/03/VM_KVC-min.pdf, https://accessgudid.nlm.nih.gov/devices/10885403030031</t>
  </si>
  <si>
    <t>CH6067</t>
  </si>
  <si>
    <t>BD_CH6067</t>
  </si>
  <si>
    <t>GLOVER BULLDOG DEBAKEY STR JAW 4.8CM</t>
  </si>
  <si>
    <t>PRODIGO1056973</t>
  </si>
  <si>
    <t>GLOVER BULLDOG CLAMP SURGICAL 3.5 IN 4.8 CM DEBAKEY JAW, STRAIGHT</t>
  </si>
  <si>
    <t>CLAMP, SURGICAL, GLOVER BULLDOG, 3.5 IN, 4.8 CM, DEBAKEY JAW, STRAIGHT, NON STERILE, LATEX</t>
  </si>
  <si>
    <t>CLAMP, SURG, GLOVER BULLDOG, 3.5 IN, 4.8 CM, DEBAKEY JAW, STR, NS, LTX</t>
  </si>
  <si>
    <t>CLAMP, SURG, GLOVER BULLDOG, 3.5 IN, 4.8 CM, DEBAKEY JAW, STR, NS</t>
  </si>
  <si>
    <t>DEBAKEY JAW, STRAIGHT</t>
  </si>
  <si>
    <t>http://www.megamedworld.com/wp-content/uploads/2019/03/VM_KVC-min.pdf, https://accessgudid.nlm.nih.gov/devices/10885403029981</t>
  </si>
  <si>
    <t>CH6068</t>
  </si>
  <si>
    <t>BD_CH6068</t>
  </si>
  <si>
    <t>GLOVER BULLDOG DEBAKEY STR JAW 6.5CM</t>
  </si>
  <si>
    <t>PRODIGO1056974</t>
  </si>
  <si>
    <t>GLOVER BULLDOG CLAMPS STRAIGHT DEBAKEY JAWS JAW LENGTH 6CM OVERALL LENGTH 12.1CM CLAMP SURGICAL GLOVER 12.1 CM 6 CM BULLDOG DEBAKEY JAW STRAIGHT</t>
  </si>
  <si>
    <t>CLAMP, SURGICAL, GLOVER BULLDOG, 12.1 CM, 6.5 CM, DEBAKEY JAW, STRAIGHT, NON STERILE, LATEX</t>
  </si>
  <si>
    <t>CLAMP, SURG, GLOVER BULLDOG, 12.1 CM, 6.5 CM, DEBAKEY JAW, STR, NS, LTX</t>
  </si>
  <si>
    <t>CLAMP, SURG, GLOVER BULLDOG, 12.1 CM, 6.5 CM, DEBAKEY JAW, STR, NS</t>
  </si>
  <si>
    <t>http://www.megamedworld.com/wp-content/uploads/2019/03/VM_KVC-min.pdf, https://accessgudid.nlm.nih.gov/devices/10885403029998</t>
  </si>
  <si>
    <t>CH7182</t>
  </si>
  <si>
    <t>BD_CH7182</t>
  </si>
  <si>
    <t>GLOVER COARCT CLAMP ANGLED 10-1/2IN</t>
  </si>
  <si>
    <t>PRODIGO1057114</t>
  </si>
  <si>
    <t>GLOVER Coarctation Clamps Extra-long. Angled.
Jaw length 2-3/4in (7cm).
Overall length 10-1/2in (26.7cm</t>
  </si>
  <si>
    <t>CLAMP, SURGICAL, GLOVER, EXTRA LONG,  10.5 IN, 2.75 IN, COARCTATION, ANNGLED, JAW, NON STERILE, LATEX</t>
  </si>
  <si>
    <t>CLAMP, SURG, GLOVER, XLN,  10.5 IN, 2.75 IN, COARCTATION, ANNGLED, JAW, NS, LTX</t>
  </si>
  <si>
    <t>CLAMP, SURG, GLOVER, XLN,  10.5 IN, 2.75 IN, COARCTATION, ANNGLED</t>
  </si>
  <si>
    <t>EXTRA LONG</t>
  </si>
  <si>
    <t xml:space="preserve"> 10.5 IN</t>
  </si>
  <si>
    <t>COARCTATION, ANNGLED, JAW</t>
  </si>
  <si>
    <t>http://www.lt-technologies.de/_ws/mediabase/_ts_1494230442000/Downloads/CardioCatalog_LIT12012_low-res.pdf, https://accessgudid.nlm.nih.gov/devices/10885403032493</t>
  </si>
  <si>
    <t>CH7180</t>
  </si>
  <si>
    <t>BD_CH7180</t>
  </si>
  <si>
    <t>GLOVER COARCT CLAMP STR OVER LGTH 10-1/2</t>
  </si>
  <si>
    <t>PRODIGO1057113</t>
  </si>
  <si>
    <t>GLOVER Coarctation Clamps Extra-long. Straight.
Jaw length 2-3/4in (7cm).
Overall length 10-1/2in (26.7cm</t>
  </si>
  <si>
    <t>CLAMP, SURGICAL, GLOVER, EXTRA LONG,  10.5 IN, 2.75 IN, COARCTATION, STRAIGHT, JAW, NON STERILE, LATEX</t>
  </si>
  <si>
    <t>CLAMP, SURG, GLOVER, XLN,  10.5 IN, 2.75 IN, COARCTATION, STR, JAW, NS, LTX</t>
  </si>
  <si>
    <t>CLAMP, SURG, GLOVER, XLN,  10.5 IN, 2.75 IN, COARCTATION, STR, JAW</t>
  </si>
  <si>
    <t>COARCTATION, STRAIGHT, JAW</t>
  </si>
  <si>
    <t>OVERALL LENGTH</t>
  </si>
  <si>
    <t>http://www.lt-technologies.de/_ws/mediabase/_ts_1494230442000/Downloads/CardioCatalog_LIT12012_low-res.pdf, https://accessgudid.nlm.nih.gov/devices/10885403032486</t>
  </si>
  <si>
    <t>CH6350</t>
  </si>
  <si>
    <t>BD_CH6350</t>
  </si>
  <si>
    <t>GLOVER CVD CLAMP COOLEY JAW 5.1CM</t>
  </si>
  <si>
    <t>PRODIGO1057037</t>
  </si>
  <si>
    <t>GLOVER COOLEY CLAMP SURGICAL 8.5 IN 5.1 CM CURVED JAW</t>
  </si>
  <si>
    <t>CLAMP, SURGICAL, GLOVER COOLEY, 8.5 IN, 5.1 CM, CURVED JAW, NON STERILE, LATEX</t>
  </si>
  <si>
    <t>CLAMP, SURG, GLOVER COOLEY, 8.5 IN, 5.1 CM, CRV JAW, NS, LTX</t>
  </si>
  <si>
    <t>GLOVER COOLEY</t>
  </si>
  <si>
    <t>http://www.megamedworld.com/wp-content/uploads/2019/03/VM_KVC-min.pdf, https://accessgudid.nlm.nih.gov/devices/10885403031434</t>
  </si>
  <si>
    <t>CH7115</t>
  </si>
  <si>
    <t>BD_CH7115</t>
  </si>
  <si>
    <t>GLOVER CVD FORCEPS CVD JAWS 5.6CM 2-1/4"</t>
  </si>
  <si>
    <t>PRODIGO1057105</t>
  </si>
  <si>
    <t>GLOVER Curved Forceps Curved jaws length 1-3/4in (4.5cm)
depth 7mm 8-1/4in</t>
  </si>
  <si>
    <t>FORCEP, SURGICAL, GLOVER, 8.25 IN,  4.5 CMX7 MM, CURVED JAW, NON STERILE, LATEX</t>
  </si>
  <si>
    <t>FORCEP, SURG, GLOVER, 8.25 IN,  4.5 CMX7 MM, CRV JAW, NS, LTX</t>
  </si>
  <si>
    <t xml:space="preserve"> 4.5 CMX7 MM</t>
  </si>
  <si>
    <t>5.6 CMX2-1/4 IN</t>
  </si>
  <si>
    <t>http://www.lt-technologies.de/_ws/mediabase/_ts_1494230442000/Downloads/CardioCatalog_LIT12012_low-res.pdf, https://accessgudid.nlm.nih.gov/devices/10885403032363</t>
  </si>
  <si>
    <t>CH7119</t>
  </si>
  <si>
    <t>BD_CH7119</t>
  </si>
  <si>
    <t>GLOVER SPOON-SHP FORCEP CVD JAW 7.6M</t>
  </si>
  <si>
    <t>PRODIGO1057108</t>
  </si>
  <si>
    <t>GLOVER Spoon-Shaped Forceps Curved jaw length 1-7/8in
(4.8cm) depth 8mm.
Overall length
9-1/2in (24.1cm)</t>
  </si>
  <si>
    <t>FORCEP, SURGICAL, GLOVER, 25.5 CM, 7.6 CMX12 MM, SPOON-SHAPED, NON STERILE, LATEX</t>
  </si>
  <si>
    <t>FORCEP, SURG, GLOVER, 25.5 CM, 7.6 CMX12 MM, SPOON-SHAPED, NS, LTX</t>
  </si>
  <si>
    <t>25.5 CM</t>
  </si>
  <si>
    <t>7.6 CMX12 MM</t>
  </si>
  <si>
    <t>SPOON-SHAPED</t>
  </si>
  <si>
    <t>https://www.bd.com/en-us/products-and-solutions/products/product-page.CH7119#overview, https://accessgudid.nlm.nih.gov/devices/10885403032400</t>
  </si>
  <si>
    <t>CH315</t>
  </si>
  <si>
    <t>BD_CH315</t>
  </si>
  <si>
    <t>GLUCK RIB SHEARS OVER LGTH 7-3/4IN</t>
  </si>
  <si>
    <t>PRODIGO1056823</t>
  </si>
  <si>
    <t>GLUCK Rib Shears</t>
  </si>
  <si>
    <t>SHEAR, SURGICAL, GLUCK, 7.75 IN, RIB, NON STERILE, LATEX</t>
  </si>
  <si>
    <t>SHEAR, SURG, GLUCK, 7.75 IN, RIB, NS, LTX</t>
  </si>
  <si>
    <t>GLUCK</t>
  </si>
  <si>
    <t>http://www.lt-technologies.de/_ws/mediabase/_ts_1494230442000/Downloads/CardioCatalog_LIT12012_low-res.pdf, https://accessgudid.nlm.nih.gov/devices/10885403022685</t>
  </si>
  <si>
    <t>LA8202</t>
  </si>
  <si>
    <t>BD_LA8202</t>
  </si>
  <si>
    <t>GRASP FORCEP RATCH DBLACT INSUL 5MM 35CM</t>
  </si>
  <si>
    <t>PRODIGO1057677</t>
  </si>
  <si>
    <t>Grasper 5 Mmx35 Cm Straight Double Action Serrated Cup Jaw Insulated Shaft Non Rotation Ratchet Satin Finish For Proximal Recess Stainless Steel Non Sterile Latex</t>
  </si>
  <si>
    <t>GRASPER, ENDOSCOPIC, STRAIGHT, 5 MMX35 CM, DOUBLE ACTION, SERRATED CUP JAW, INSULATED SHAFT, NON ROTATION, RATCHET, SATIN FINISH, FOR PROXIMAL RECESS, STAINLESS STEEL, NON STERILE, LATEX</t>
  </si>
  <si>
    <t>GRASPER, ENDOSCP, STR, 5 MMX35 CM, DBL ACT, SERRATED CUP JAW, INSUL SHFT, N ROT, RATCH, SATIN FINISH, FOR PROX RECESS, SS, NS, LTX</t>
  </si>
  <si>
    <t>GRASPER, ENDOSCP, STR, 5 MMX35 CM, DBL ACT, SERRATED CUP, N ROT</t>
  </si>
  <si>
    <t>DOUBLE ACTION, SERRATED CUP JAW, INSULATED SHAFT, NON ROTATION, RATCHET, SATIN FINISH, FOR PROXIMAL RECESS</t>
  </si>
  <si>
    <t>https://www.bd.com/en-us/offerings/capabilities/surgical-instruments/laparoscopic-instruments/serrated-cup-grasper/la8202, https://accessgudid.nlm.nih.gov/devices/10885403052682</t>
  </si>
  <si>
    <t>LA8203</t>
  </si>
  <si>
    <t>BD_LA8203</t>
  </si>
  <si>
    <t>GRASP FORCEPS DBL-ACT MONO 5MM 35CM</t>
  </si>
  <si>
    <t>PRODIGO1057678</t>
  </si>
  <si>
    <t>Dissector 5 Mmx35 Cm Straight Double Action Serrated Cup Jaw Insulated Shaft Non Rotation Insulated Handle Non Ratchet Satin Finish Monopolar For Proximal Recess Stainless Steel Non Sterile Latex</t>
  </si>
  <si>
    <t>DISSECTOR, ENDOSCOPIC, STRAIGHT, 5 MMX35 CM, DOUBLE ACTION, SERRATED CUP JAW, INSULATED SHAFT, NON ROTATION, INSULATED HANDLE, NON RATCHET, SATIN FINISH, MONOPOLAR, FOR PROXIMAL RECESS, STAINLESS STEEL, NON STERILE, LATEX</t>
  </si>
  <si>
    <t>DISSECTOR, ENDOSCP, STR, 5 MMX35 CM, DBL ACT, SERRATED CUP JAW, INSUL SHFT, N ROT, INSUL HNDL, N RATCH, SATIN FINISH, MONOPOLAR, FOR PROX RECESS, SS, NS, LTX</t>
  </si>
  <si>
    <t>DISSECTOR, ENDOSCP, STR, 5 MMX35 CM, DBL ACT, SERRATED CUP JAW</t>
  </si>
  <si>
    <t>DOUBLE ACTION, SERRATED CUP JAW, INSULATED SHAFT, NON ROTATION, INSULATED HANDLE, NON RATCHET, SATIN FINISH, MONOPOLAR, FOR PROXIMAL RECESS</t>
  </si>
  <si>
    <t>https://www.bd.com/en-us/offerings/capabilities/surgical-instruments/laparoscopic-instruments/serrated-cup-dissector/la8203, https://accessgudid.nlm.nih.gov/devices/10885403052699</t>
  </si>
  <si>
    <t>LA822445</t>
  </si>
  <si>
    <t>LA8224-45</t>
  </si>
  <si>
    <t>BD_LA822445</t>
  </si>
  <si>
    <t>GRASP FORCEPS LG 5MM 45CM RATCHET</t>
  </si>
  <si>
    <t>PRODIGO1057699</t>
  </si>
  <si>
    <t>Grasper 5 Mmx45 Cm Long Fundus Double Action Waved Edge Insulated Shaft Rotation Ratchet Satin Finish Stainless Steel Non Sterile Latex</t>
  </si>
  <si>
    <t>GRASPER, ENDOSCOPIC, FUNDUS, LONG, 5 MMX45 CM, DOUBLE ACTION, WAVED EDGE, INSULATED SHAFT, ROTATION, RATCHET, SATIN FINISH, STAINLESS STEEL, NON STERILE, LATEX</t>
  </si>
  <si>
    <t>GRASPER, ENDOSCP, FUND, LNG, 5 MMX45 CM, DBL ACT, WAVED EDGE, INSUL SHFT, ROT, RATCH, SATIN FINISH, SS, NS, LTX</t>
  </si>
  <si>
    <t>GRASPER, ENDOSCP, FUND, LNG, 5 MMX45 CM, DBL ACT, WAVED EDGE</t>
  </si>
  <si>
    <t>FUNDUS</t>
  </si>
  <si>
    <t>DOUBLE ACTION, WAVED EDGE, INSULATED SHAFT, ROTATION, RATCHET, SATIN FINISH</t>
  </si>
  <si>
    <t>https://www.bd.com/en-us/offerings/capabilities/surgical-instruments/laparoscopic-instruments/fundus-grasper/la8224-45, https://accessgudid.nlm.nih.gov/devices/10885403053092</t>
  </si>
  <si>
    <t>LA8201</t>
  </si>
  <si>
    <t>BD_LA8201</t>
  </si>
  <si>
    <t>GRASP FORCEPS RATCHET 5MM 35CM</t>
  </si>
  <si>
    <t>PRODIGO1057676</t>
  </si>
  <si>
    <t>Grasper 5 Mmx35 Cm Straight Double Action Serrated Cup Jaw Insulated Shaft Rotation Ratchet Satin Finish For Proximal Recess Stainless Steel Non Sterile Latex</t>
  </si>
  <si>
    <t>GRASPER, ENDOSCOPIC, STRAIGHT, 5 MMX35 CM, DOUBLE ACTION, SERRATED CUP JAW, INSULATED SHAFT, ROTATION, RATCHET, SATIN FINISH, FOR PROXIMAL RECESS, STAINLESS STEEL, NON STERILE, LATEX</t>
  </si>
  <si>
    <t>GRASPER, ENDOSCP, STR, 5 MMX35 CM, DBL ACT, SERRATED CUP JAW, INSUL SHFT, ROT, RATCH, SATIN FINISH, FOR PROX RECESS, SS, NS, LTX</t>
  </si>
  <si>
    <t>GRASPER, ENDOSCP, STR, 5 MMX35 CM, DBL ACT, SERRATED CUP, ROT</t>
  </si>
  <si>
    <t>DOUBLE ACTION, SERRATED CUP JAW, INSULATED SHAFT, ROTATION, RATCHET, SATIN FINISH, FOR PROXIMAL RECESS</t>
  </si>
  <si>
    <t>https://www.bd.com/en-us/offerings/capabilities/surgical-instruments/laparoscopic-instruments/serrated-cup-grasper/la8201, https://accessgudid.nlm.nih.gov/devices/10885403052668</t>
  </si>
  <si>
    <t>LA820445</t>
  </si>
  <si>
    <t>LA8204-45</t>
  </si>
  <si>
    <t>BD_LA820445</t>
  </si>
  <si>
    <t>GRASP FORCEPS SPIN-FREE 5MM 45CM MONO</t>
  </si>
  <si>
    <t>PRODIGO1057680</t>
  </si>
  <si>
    <t>Dissector 5 Mmx45 Cm Straight Double Action Serrated Cup Jaw Insulated Shaft Non Rotation Insulated Handle Non Ratchet Satin Finish Monopolar Spin Free For Proximal Recess Stainless Steel Non Sterile Latex</t>
  </si>
  <si>
    <t>DISSECTOR, ENDOSCOPIC, STRAIGHT, 5 MMX45 CM, DOUBLE ACTION, SERRATED CUP JAW, INSULATED SHAFT, NON ROTATION, INSULATED HANDLE, NON RATCHET, SATIN FINISH, MONOPOLAR, SPIN FREE, FOR PROXIMAL RECESS, STAINLESS STEEL, NON STERILE, LATEX</t>
  </si>
  <si>
    <t>DISSECTOR, ENDOSCP, STR, 5 MMX45 CM, DBL ACT, SERRATED CUP JAW, INSUL SHFT, N ROT, INSUL HNDL, N RATCH, SATIN FINISH, MONOPOLAR, SPIN FREE, FOR PROX RECESS, SS, NS, LTX</t>
  </si>
  <si>
    <t>DISSECTOR, ENDOSCP, STR, 5 MMX45 CM, DBL ACT, SERRATED CUP JAW</t>
  </si>
  <si>
    <t>DOUBLE ACTION, SERRATED CUP JAW, INSULATED SHAFT, NON ROTATION, INSULATED HANDLE, NON RATCHET, SATIN FINISH, MONOPOLAR, SPIN FREE, FOR PROXIMAL RECESS</t>
  </si>
  <si>
    <t>https://www.bd.com/en-us/offerings/capabilities/surgical-instruments/laparoscopic-instruments/serrated-cup-dissector/la8204-45, https://accessgudid.nlm.nih.gov/devices/10885403052729</t>
  </si>
  <si>
    <t>LA820345</t>
  </si>
  <si>
    <t>LA8203-45</t>
  </si>
  <si>
    <t>BD_LA820345</t>
  </si>
  <si>
    <t>GRASP FORCEPS STR MONOPOLAR 5MM 45CM</t>
  </si>
  <si>
    <t>PRODIGO1057679</t>
  </si>
  <si>
    <t>Dissector 5 Mmx45 Cm Straight Double Action Serrated Cup Jaw Insulated Shaft Non Rotation Insulated Handle Non Ratchet Satin Finish Monopolar For Proximal Recess Stainless Steel Non Sterile Latex</t>
  </si>
  <si>
    <t>DISSECTOR, ENDOSCOPIC, STRAIGHT, 5 MMX45 CM, DOUBLE ACTION, SERRATED CUP JAW, INSULATED SHAFT, NON ROTATION, INSULATED HANDLE, NON RATCHET, SATIN FINISH, MONOPOLAR, FOR PROXIMAL RECESS, STAINLESS STEEL, NON STERILE, LATEX</t>
  </si>
  <si>
    <t>DISSECTOR, ENDOSCP, STR, 5 MMX45 CM, DBL ACT, SERRATED CUP JAW, INSUL SHFT, N ROT, INSUL HNDL, N RATCH, SATIN FINISH, MONOPOLAR, FOR PROX RECESS, SS, NS, LTX</t>
  </si>
  <si>
    <t>DISSECTOR, ENDOSCP, STR, 5 MMX45 CM, DBL ACT, SERRATED CUP, FREE</t>
  </si>
  <si>
    <t>https://www.bd.com/en-us/offerings/capabilities/surgical-instruments/laparoscopic-instruments/serrated-cup-dissector/la8203-45, https://accessgudid.nlm.nih.gov/devices/10885403052705</t>
  </si>
  <si>
    <t>LA8206</t>
  </si>
  <si>
    <t>BD_LA8206</t>
  </si>
  <si>
    <t>GRASP TUNGSTN-CARB FORCEPS 5MM 35CM MONO</t>
  </si>
  <si>
    <t>PRODIGO1057682</t>
  </si>
  <si>
    <t>Grasper 5 Mmx37 Cm Heavy Double Action Insulated Shaft Rotation Ratchet Satin Finish Monopolar Tungsten Carbide Non Sterile Latex</t>
  </si>
  <si>
    <t>GRASPER, ENDOSCOPIC, HEAVY, 5 MMX37 CM, DOUBLE ACTION, INSULATED SHAFT, ROTATION, RATCHET, SATIN FINISH, MONOPOLAR, TUNGSTEN CARBIDE, NON STERILE, LATEX</t>
  </si>
  <si>
    <t>GRASPER, ENDOSCP, HVY, 5 MMX37 CM, DBL ACT, INSUL SHFT, ROT, RATCH, SATIN FINISH, MONOPOLAR, TUNGSTEN CARBIDE, NS, LTX</t>
  </si>
  <si>
    <t>GRASPER, ENDOSCP, HVY, 5 MMX37 CM, DBL ACT, INSUL SHFT, ROT, RATCH</t>
  </si>
  <si>
    <t>HEAVY</t>
  </si>
  <si>
    <t>5 MMX37 CM</t>
  </si>
  <si>
    <t>DOUBLE ACTION, INSULATED SHAFT, ROTATION, RATCHET, SATIN FINISH, MONOPOLAR</t>
  </si>
  <si>
    <t>https://www.bd.com/en-us/offerings/capabilities/surgical-instruments/laparoscopic-instruments/heavy-tungsten-carbide-grasper/la8206, https://accessgudid.nlm.nih.gov/devices/10885403052750</t>
  </si>
  <si>
    <t>LA8207</t>
  </si>
  <si>
    <t>BD_LA8207</t>
  </si>
  <si>
    <t>GRASP/DISSECT FORCEPS DBL-ACT 5MM 35CM</t>
  </si>
  <si>
    <t>PRODIGO1057683</t>
  </si>
  <si>
    <t>Dissector 5 Mmx35 Cm Grasping Double Action Cupped Tip Tooth Jaw Insulated Shaft Non Rotation Insulated Handle Non Ratchet Satin Finish Stainless Steel Non Sterile Latex</t>
  </si>
  <si>
    <t>DISSECTOR, ENDOSCOPIC, GRASPING, 5 MMX35 CM, DOUBLE ACTION, CUPPED TIP, TOOTH JAW, INSULATED SHAFT, NON ROTATION, INSULATED HANDLE, NON RATCHET, SATIN FINISH, STAINLESS STEEL, NON STERILE, LATEX</t>
  </si>
  <si>
    <t>DISSECTOR, ENDOSCP, GRASPING, 5 MMX35 CM, DBL ACT, CUP TIP, TOOTH JAW, INSUL SHFT, N ROT, INSUL HNDL, N RATCH, SATIN FINISH, SS, NS, LTX</t>
  </si>
  <si>
    <t>DISSECTOR, ENDOSCP, GRASPING, 5 MMX35 CM, DBL ACT, CUP TIP, TOOTH</t>
  </si>
  <si>
    <t>GRASPING</t>
  </si>
  <si>
    <t>DOUBLE ACTION, CUPPED TIP, TOOTH JAW, INSULATED SHAFT, NON ROTATION, INSULATED HANDLE, NON RATCHET, SATIN FINISH</t>
  </si>
  <si>
    <t>https://www.bd.com/en-us/offerings/capabilities/surgical-instruments/laparoscopic-instruments/grasping-dissector/la8207, https://accessgudid.nlm.nih.gov/devices/10885403052767</t>
  </si>
  <si>
    <t>LA8254</t>
  </si>
  <si>
    <t>BD_LA8254</t>
  </si>
  <si>
    <t>GRASPING BIPOLAR FORCEPS 5MM 32CM</t>
  </si>
  <si>
    <t>PRODIGO1057725</t>
  </si>
  <si>
    <t>Forcep 5 Mmx32 Cm Grasping Double Action Bipolar Waved Jaw Insulated Shaft Non Rotation Insulated Handle Non Ratchet Satin Finish Stainless Steel Non Sterile Latex</t>
  </si>
  <si>
    <t>FORCEP, ENDOSCOPIC, GRASPING, 5 MMX32 CM, DOUBLE ACTION, BIPOLAR, WAVED JAW, INSULATED SHAFT, NON ROTATION, INSULATED HANDLE, NON RATCHET, SATIN FINISH, STAINLESS STEEL, NON STERILE, LATEX</t>
  </si>
  <si>
    <t>FORCEP, ENDOSCP, GRASPING, 5 MMX32 CM, DBL ACT, BPLR, WAVED JAW, INSUL SHFT, N ROT, INSUL HNDL, N RATCH, SATIN FINISH, SS, NS, LTX</t>
  </si>
  <si>
    <t>FORCEP, ENDOSCP, GRASPING, 5 MMX32 CM, DBL ACT, BPLR, WAVED JAW</t>
  </si>
  <si>
    <t>5 MMX32 CM</t>
  </si>
  <si>
    <t>DOUBLE ACTION, BIPOLAR, WAVED JAW, INSULATED SHAFT, NON ROTATION, INSULATED HANDLE, NON RATCHET, SATIN FINISH</t>
  </si>
  <si>
    <t>https://www.bd.com/en-us/offerings/capabilities/surgical-instruments/laparoscopic-instruments/grasping-bipolar-forceps/la8254, https://accessgudid.nlm.nih.gov/devices/10885403053504</t>
  </si>
  <si>
    <t>LA825445</t>
  </si>
  <si>
    <t>LA8254-45</t>
  </si>
  <si>
    <t>BD_LA825445</t>
  </si>
  <si>
    <t>GRASPING BIPOLAR FORCEPS 5MM 45CM</t>
  </si>
  <si>
    <t>PRODIGO1057726</t>
  </si>
  <si>
    <t>Forcep 5 Mmx45 Cm Grasping Double Action Bipolar Waved Jaw Insulated Shaft Non Rotation Insulated Handle Non Ratchet Satin Finish Stainless Steel Non Sterile Latex</t>
  </si>
  <si>
    <t>FORCEP, ENDOSCOPIC, GRASPING, 5 MMX45 CM, DOUBLE ACTION, BIPOLAR, WAVED JAW, INSULATED SHAFT, NON ROTATION, INSULATED HANDLE, NON RATCHET, SATIN FINISH, STAINLESS STEEL, NON STERILE, LATEX</t>
  </si>
  <si>
    <t>FORCEP, ENDOSCP, GRASPING, 5 MMX45 CM, DBL ACT, BPLR, WAVED JAW, INSUL SHFT, N ROT, INSUL HNDL, N RATCH, SATIN FINISH, SS, NS, LTX</t>
  </si>
  <si>
    <t>FORCEP, ENDOSCP, GRASPING, 5 MMX45 CM, DBL ACT, BPLR, WAVED JAW</t>
  </si>
  <si>
    <t>https://www.bd.com/en-us/offerings/capabilities/surgical-instruments/laparoscopic-instruments/grasping-bipolar-forceps/la8254-45, https://accessgudid.nlm.nih.gov/devices/10885403053511</t>
  </si>
  <si>
    <t>GA18</t>
  </si>
  <si>
    <t>BD_GA18</t>
  </si>
  <si>
    <t>GRAVES IMPROVED VAG SPEC LG 4-1/4X1-5/16</t>
  </si>
  <si>
    <t>PRODIGO1057326</t>
  </si>
  <si>
    <t>Graves Improved Vaginal Specula Affinity Line. Large. Blade 4-1/4in x 1-5/16in (10.8cm x 3.5cm) wide. Mirror finish.</t>
  </si>
  <si>
    <t>SPECULA, SURGICAL, GRAVES, LARGE, 4.25X1-5/16 IN, VAGINAL, IMPROVED, AFFINITY LINE, BLADE, MIRROR FINISH, NON STERILE, LATEX</t>
  </si>
  <si>
    <t>SPECULA, SURG, GRV, LG, 4.25X1-5/16 IN, VAG, IMPROVED, AFFIN LN, BLADE, MIRROR FINISH, NS, LTX</t>
  </si>
  <si>
    <t>SPECULA, SURG, GRV, LG, 4.25X1-5/16 IN, VAG, IMPROVED, AFFIN LN</t>
  </si>
  <si>
    <t>GRAVES</t>
  </si>
  <si>
    <t>4.25X1-5/16 IN</t>
  </si>
  <si>
    <t>IMPROVED, AFFINITY LINE, BLADE, MIRROR FINISH</t>
  </si>
  <si>
    <t>https://www.bd.com/en-us/products-and-solutions/products/product-page.GA18#overview, https://accessgudid.nlm.nih.gov/devices/10885403041969</t>
  </si>
  <si>
    <t>GA25</t>
  </si>
  <si>
    <t>BD_GA25</t>
  </si>
  <si>
    <t>GRAVES OPEN-SIDE VAG SPEC MED 4X1-5/16IN</t>
  </si>
  <si>
    <t>PRODIGO1057328</t>
  </si>
  <si>
    <t>Graves Open-Side Vaginal Specula Affinity Line. Medium. 4in x 1-5/16in (10.2cm x 3.4cm) wide.</t>
  </si>
  <si>
    <t>SPECULA, SURGICAL, GRAVES, MEDIUM, 4X1-5/16 IN, VAGINAL, OPEN-SIDE, AFFINITY LINE, NON STERILE, LATEX</t>
  </si>
  <si>
    <t>SPECULA, SURG, GRV, MED, 4X1-5/16 IN, VAG, OPEN-SIDE, AFFIN LN, NS, LTX</t>
  </si>
  <si>
    <t>SPECULA, SURG, GRV, MED, 4X1-5/16 IN, VAG, OPEN-SIDE, AFFIN LN, NS</t>
  </si>
  <si>
    <t>4X1-5/16 IN</t>
  </si>
  <si>
    <t>OPEN-SIDE, AFFINITY LINE</t>
  </si>
  <si>
    <t>https://www.bd.com/en-us/products-and-solutions/products/product-page.GA25, https://accessgudid.nlm.nih.gov/devices/10885403041976</t>
  </si>
  <si>
    <t>LS11</t>
  </si>
  <si>
    <t>BD_LS11</t>
  </si>
  <si>
    <t>GRAVES VAG SPEC W/SMOKE EVAC TUBE</t>
  </si>
  <si>
    <t>PRODIGO1057843</t>
  </si>
  <si>
    <t>GRAVES VAGINAL SPECULA MEDIUM. SMOKE EVACUATION TUBE. 4IN X 1-3/8IN 10.2CM X 3.5CM</t>
  </si>
  <si>
    <t>SPECULA, VAGINAL, GRAVES, 4 INX1-3/8 IN, SMOKE EVACUATION TUBE, NON STERILE, LATEX</t>
  </si>
  <si>
    <t>SPECULA VAGINAL GRAVES 4 INX1-3/8 IN SMOKE EVACUATION TUBE NON STERILE LATEX</t>
  </si>
  <si>
    <t>SPECULA, VAG, GRV, 4 INX1-3/8 IN, SMK EVAC TUBE, NS, LTX</t>
  </si>
  <si>
    <t>4 INX1-3/8 IN</t>
  </si>
  <si>
    <t>SMOKE EVACUATION TUBE</t>
  </si>
  <si>
    <t>https://www.bd.com/en-us/products-and-solutions/products/product-page.LS11#overview, https://accessgudid.nlm.nih.gov/devices/10885403054693</t>
  </si>
  <si>
    <t>GL20</t>
  </si>
  <si>
    <t>BD_GL20</t>
  </si>
  <si>
    <t>GRAVES VAG SPECULUM W/SUCT 4-1/2X1-3/8"</t>
  </si>
  <si>
    <t>PRODIGO1057411</t>
  </si>
  <si>
    <t>Graves speculum with suction With permanent smoke evacuation tube. Sklar Blue RF Coated. Large. Blade 4-1/2in x 1-3/8in wide (11.4cm x 3.5cm).</t>
  </si>
  <si>
    <t>SPECULUM, VAGINAL, GRAVES, LARGE, 4.5X1-3/8 IN, WITH SUCTION, WITH PERMANENT SMOKE EVACUATION TUBE, SKLAR BLUE RF COATED, BLADE, NON STERILE, LATEX</t>
  </si>
  <si>
    <t>SPECULUM, VAG, GRV, LG, 4.5X1-3/8 IN, W/ SUCTION, W/ PERM SMK EVAC TUBE, SKLAR BLU RF COAT, BLADE, NS, LTX</t>
  </si>
  <si>
    <t>SPECULUM, VAG, GRV, LG, 4.5X1-3/8 IN, SUCTION, PERM SMK EVAC TUBE</t>
  </si>
  <si>
    <t>SPECULUM</t>
  </si>
  <si>
    <t>4.5X1-3/8 IN</t>
  </si>
  <si>
    <t>WITH SUCTION, WITH PERMANENT SMOKE EVACUATION TUBE, SKLAR BLUE RF COATED, BLADE</t>
  </si>
  <si>
    <t>https://www.bd.com/en-us/products-and-solutions/products/product-page.GL20#overview, https://accessgudid.nlm.nih.gov/devices/10885403083518</t>
  </si>
  <si>
    <t>CH6091</t>
  </si>
  <si>
    <t>BD_CH6091</t>
  </si>
  <si>
    <t>GREGORY BULLDOG CLAMP STR JAW 4.5CM</t>
  </si>
  <si>
    <t>PRODIGO1056988</t>
  </si>
  <si>
    <t>GREGORY BULLDOG CLAMPS 1 X 2 TEETH STRAIGHT JAW LENGTH 4.4CM OVERALL LENGTH 10.8CM CLAMP SURGICAL GREGORY 10.8 CM 4.4 CM 1X2 TEETH BULLDOG STRAIGHT JAW</t>
  </si>
  <si>
    <t>CLAMP, SURGICAL, GREGORY BULLDOG, 10.8 CM, 4.4 CM, 1X2 TEETH, STRAIGHT JAW, NON STERILE, LATEX</t>
  </si>
  <si>
    <t>CLAMP, SURG, GREGORY BULLDOG, 10.8 CM, 4.4 CM, 1X2 TEETH, STR JAW, NS, LTX</t>
  </si>
  <si>
    <t>CLAMP, SURG, GREGORY BULLDOG, 10.8 CM, 4.4 CM, STR JAW, NS, LTX</t>
  </si>
  <si>
    <t>GREGORY BULLDOG</t>
  </si>
  <si>
    <t>1X2 TEETH, STRAIGHT JAW</t>
  </si>
  <si>
    <t>http://www.megamedworld.com/wp-content/uploads/2019/03/VM_KVC-min.pdf, https://accessgudid.nlm.nih.gov/devices/10885403030222</t>
  </si>
  <si>
    <t>CH6090</t>
  </si>
  <si>
    <t>BD_CH6090</t>
  </si>
  <si>
    <t>GREGORY BULLDOG CLAMP STR JAW 5.5CM</t>
  </si>
  <si>
    <t>PRODIGO1056987</t>
  </si>
  <si>
    <t>GREGORY BULLDOG CLAMPS 1 X 2 TEETH CURVED JAW LENGTH 1.25CM OVERALL LENGTH 10.8CM CLAMP SURGICAL GREGORY 10.8 CM 1.25 CM 1X2 TEETH BULLDOG CURVED JAW</t>
  </si>
  <si>
    <t>CLAMP, SURGICAL, GREGORY BULLDOG, 10.8 CM, 1.25 CM, 1X2 TEETH, CURVED JAW, NON STERILE, LATEX</t>
  </si>
  <si>
    <t>CLAMP, SURG, GREGORY BULLDOG, 10.8 CM, 1.25 CM, 1X2 TEETH, CRV JAW, NS, LTX</t>
  </si>
  <si>
    <t>CLAMP, SURG, GREGORY BULLDOG, 10.8 CM, 1.25 CM, CRV JAW, NS, LTX</t>
  </si>
  <si>
    <t>1.25 CM</t>
  </si>
  <si>
    <t>1X2 TEETH, CURVED JAW</t>
  </si>
  <si>
    <t>http://www.megamedworld.com/wp-content/uploads/2019/03/VM_KVC-min.pdf, https://accessgudid.nlm.nih.gov/devices/10885403030215</t>
  </si>
  <si>
    <t>CH7222</t>
  </si>
  <si>
    <t>BD_CH7222</t>
  </si>
  <si>
    <t>GREGORY PROFUNDA CLAMP LARGE JAW 7.8CM</t>
  </si>
  <si>
    <t>PRODIGO1057125</t>
  </si>
  <si>
    <t>GREGORY Profunda Clamps Large.
Jaw length
2-7/8in (7.3cm).
Overall length
7-3/4in (19.7cm)</t>
  </si>
  <si>
    <t>CLAMP, SURGICAL, GREGORY, LARGE, 19.7 CM, 7.3 CM, PROFUNDA, NON STERILE, LATEX</t>
  </si>
  <si>
    <t>CLAMP, SURG, GREGORY, LG, 19.7 CM, 7.3 CM, PROFUNDA, NS, LTX</t>
  </si>
  <si>
    <t>GREGORY</t>
  </si>
  <si>
    <t>7.3 CM</t>
  </si>
  <si>
    <t>PROFUNDA</t>
  </si>
  <si>
    <t>http://www.lt-technologies.de/_ws/mediabase/_ts_1494230442000/Downloads/CardioCatalog_LIT12012_low-res.pdf, https://accessgudid.nlm.nih.gov/devices/10885403032677</t>
  </si>
  <si>
    <t>CH7219</t>
  </si>
  <si>
    <t>BD_CH7219</t>
  </si>
  <si>
    <t>GREGORY PROFUNDA CLMP EX-SMALL 5-3/8"</t>
  </si>
  <si>
    <t>PRODIGO1057124</t>
  </si>
  <si>
    <t>GREGORY PROFUNDA CLAMP EX-SMALL JAW LENGTH 1-1/4IN OVERALL LENGTH 5-3/8IN(13.6CM)</t>
  </si>
  <si>
    <t>CLAMP, SURGICAL, GREGORY, XSMALL, 5-3/8 IN, 1.25 IN, PROFUNDA, NON STERILE, LATEX</t>
  </si>
  <si>
    <t>CLAMP, SURG, GREGORY, XS, 5-3/8 IN, 1.25 IN, PROFUNDA, NS, LTX</t>
  </si>
  <si>
    <t>5-3/8 IN</t>
  </si>
  <si>
    <t>1.25 IN</t>
  </si>
  <si>
    <t>https://accessgudid.nlm.nih.gov/devices/10885403200120</t>
  </si>
  <si>
    <t>AA6130</t>
  </si>
  <si>
    <t>BD_AA6130</t>
  </si>
  <si>
    <t>GRUENWALD EAR FORCEP BAYO-SHAPE SERR TIP</t>
  </si>
  <si>
    <t>PRODIGO1056102</t>
  </si>
  <si>
    <t>GRUENWALD EAR FORCEP AFFINITY LINE. BAYONET SERRATED. OVERALL LENGTH 6-1/4IN (15.9CM).</t>
  </si>
  <si>
    <t>FORCEP, SURGICAL, GRUENWALD, 6.25 IN, EAR, BAYONET, SERRATED, NON STERILE, LATEX</t>
  </si>
  <si>
    <t>FORCEP, SURG, GRUENWALD, 6.25 IN, EAR, BAYNT, SERRATED, NS, LTX</t>
  </si>
  <si>
    <t>GRUENWALD</t>
  </si>
  <si>
    <t>BAYONET, SERRATED</t>
  </si>
  <si>
    <t>https://www.bd.com/en-us/products-and-solutions/products/product-page.AA6130#overview, https://accessgudid.nlm.nih.gov/devices/10885403007149</t>
  </si>
  <si>
    <t>AU13410</t>
  </si>
  <si>
    <t>BD_AU13410</t>
  </si>
  <si>
    <t>GUILFORD-WRIGHT DBL-EDGE SICKLE KNIFE</t>
  </si>
  <si>
    <t>PRODIGO1056202</t>
  </si>
  <si>
    <t>GUILFORD-WRIGHT DOUBLE-EDGED SICKLE KNIFE DOUBLE-EDGED BLADE LENGTH 8MM. OVERALL LENGTH 5-1/2IN (14CM).</t>
  </si>
  <si>
    <t>KNIFE, SURGICAL, GUILFORD-WRIGHT, 5.5 IN, 8 MM, DOUBLE EDGE BLADE, SICKLE, NON STERILE, LATEX</t>
  </si>
  <si>
    <t>KNIFE, SURG, GUILFORD-WRIGHT, 5.5 IN, 8 MM, DBL EDGE BLADE, SCKL, NS, LTX</t>
  </si>
  <si>
    <t>KNIFE, SURG, GUILFORD-WRIGHT, 5.5 IN, 8 MM, DBL EDGE BLADE, SCKL</t>
  </si>
  <si>
    <t>GUILFORD-WRIGHT</t>
  </si>
  <si>
    <t>DOUBLE EDGE BLADE, SICKLE</t>
  </si>
  <si>
    <t>https://www.bd.com/en-us/products-and-solutions/products/product-page.AU13410#overview, https://accessgudid.nlm.nih.gov/devices/10885403010484</t>
  </si>
  <si>
    <t>AU13300</t>
  </si>
  <si>
    <t>BD_AU13300</t>
  </si>
  <si>
    <t>GUILFORD-WRIGHT DUCKBILL ELEV CVD BLADE</t>
  </si>
  <si>
    <t>PRODIGO1056188</t>
  </si>
  <si>
    <t>GUILFORD-WRIGHT DUCKBILL ELEVATORS CURVED. BLADE 4MM WIDE. MIRROR AND SATIN FINISH. OVERALL LENGTH 5-5/8IN (14.3CM).</t>
  </si>
  <si>
    <t>ELEVATOR, SURGICAL, GUILFORD WRIGHT, 5-5/8 IN, 4 MM, DUCKBILL, CURVED, MIRROR, SATIN FINISH, NON STERILE, LATEX</t>
  </si>
  <si>
    <t>ELEVATOR, SURG, GUILFORD WRGHT, 5-5/8 IN, 4 MM, DUCKBILL, CRV, MIRROR, SATIN FINISH, NS, LTX</t>
  </si>
  <si>
    <t>ELEVATOR, SURG, GUILFORD WRGHT, 5-5/8 IN, 4 MM, DUCKBILL, MIRROR</t>
  </si>
  <si>
    <t>GUILFORD WRIGHT</t>
  </si>
  <si>
    <t>5-5/8 IN</t>
  </si>
  <si>
    <t>DUCKBILL, CURVED, MIRROR, SATIN FINISH</t>
  </si>
  <si>
    <t>https://www.bd.com/en-us/products-and-solutions/products/product-page.AU13300#overview, https://accessgudid.nlm.nih.gov/devices/10885403010361</t>
  </si>
  <si>
    <t>AU13305</t>
  </si>
  <si>
    <t>BD_AU13305</t>
  </si>
  <si>
    <t>GUILFORD-WRIGHT ELEV FULL CVD BLDE 3.5MM</t>
  </si>
  <si>
    <t>PRODIGO1056189</t>
  </si>
  <si>
    <t>GUILFORD-WRIGHT DUCKBILL ELEVATORS FULLY CURVED. BLADE 3.5MM WIDE. OVERALL LENGTH 6-1/2IN (16.5CM).</t>
  </si>
  <si>
    <t>ELEVATOR, SURGICAL, GUILFORD WRIGHT, 6.5 IN, 3.5 MM, DUCKBILL, FULLY CURVED, SATIN FINISH, NON STERILE, LATEX</t>
  </si>
  <si>
    <t>ELEVATOR, SURG, GUILFORD WRGHT, 6.5 IN, 3.5 MM, DUCKBILL, FULL CRV, SATIN FINISH, NS, LTX</t>
  </si>
  <si>
    <t>ELEVATOR, SURG, GUILFORD WRGHT, 6.5 IN, 3.5 MM, DUCKBILL, FULL CRV</t>
  </si>
  <si>
    <t>DUCKBILL, FULLY CURVED, SATIN FINISH</t>
  </si>
  <si>
    <t>https://www.bd.com/en-us/products-and-solutions/products/product-page.AU13305#overview, https://accessgudid.nlm.nih.gov/devices/10885403010378</t>
  </si>
  <si>
    <t>AU13352</t>
  </si>
  <si>
    <t>BD_AU13352</t>
  </si>
  <si>
    <t>GUILFORD-WRIGHT FT PLATE PICK ANG 45DEG</t>
  </si>
  <si>
    <t>PRODIGO1056194</t>
  </si>
  <si>
    <t>42292704  Surgical picks</t>
  </si>
  <si>
    <t>GUILFORD-WRIGHT FOOT PLATE PICKS 0.15MM WIDE PICK. OVERALL LENGTH 5-1/2IN (14CM). ANGLED 45 DEGREES.</t>
  </si>
  <si>
    <t>PICK, SURGICAL, GUILFORD WRIGHT, 45 DEGREE, 5.5 INX0.15 MM, FOOTPLATE, ANGLED, NON STERILE, LATEX</t>
  </si>
  <si>
    <t>PICK, SURG, GUILFORD WRGHT, 45 DEG, 5.5 INX0.15 MM, FTPLT, ANGLED, NS, LTX</t>
  </si>
  <si>
    <t>PICK, SURG, GUILFORD WRGHT, 45 DEG, 5.5 INX0.15 MM, FTPLT, ANGLED</t>
  </si>
  <si>
    <t>PICK</t>
  </si>
  <si>
    <t>5.5 INX0.15 MM</t>
  </si>
  <si>
    <t>FOOTPLATE, ANGLED</t>
  </si>
  <si>
    <t>https://www.bd.com/en-us/products-and-solutions/products/product-page.AU13352#overview, https://accessgudid.nlm.nih.gov/devices/10885403010446</t>
  </si>
  <si>
    <t>AU13354</t>
  </si>
  <si>
    <t>BD_AU13354</t>
  </si>
  <si>
    <t>GUILFORD-WRIGHT FT PLATE PICK ANG 90DEG</t>
  </si>
  <si>
    <t>PRODIGO1056195</t>
  </si>
  <si>
    <t>GUILFORD-WRIGHT FOOT PLATE PICKS 0.15MM WIDE PICK. OVERALL LENGTH 5-1/2IN (14CM). ANGLED 90 DEGREES.</t>
  </si>
  <si>
    <t>PICK, SURGICAL, GUILFORD WRIGHT, 90 DEGREE, 5.5 INX0.15 MM, FOOTPLATE, ANGLED, NON STERILE, LATEX</t>
  </si>
  <si>
    <t>PICK, SURG, GUILFORD WRGHT, 90 DEG, 5.5 INX0.15 MM, FTPLT, ANGLED, NS, LTX</t>
  </si>
  <si>
    <t>PICK, SURG, GUILFORD WRGHT, 90 DEG, 5.5 INX0.15 MM, FTPLT, ANGLED</t>
  </si>
  <si>
    <t>https://www.bd.com/en-us/products-and-solutions/products/product-page.AU13354#overview, https://accessgudid.nlm.nih.gov/devices/10885403010453</t>
  </si>
  <si>
    <t>AU13330</t>
  </si>
  <si>
    <t>BD_AU13330</t>
  </si>
  <si>
    <t>GUILFORD-WRIGHT MICRO BONE CURETTE 1.2 X</t>
  </si>
  <si>
    <t>PRODIGO1056190</t>
  </si>
  <si>
    <t>GUILFORD-WRIGHT MICRO BONE CURETTES OVERALL LENGTH 5-1/8IN (13CM). 2.1MM X 1.2MM WIDE. SLIGHTLY ANGLED OVAL CUP.</t>
  </si>
  <si>
    <t>CURETTE, SURGICAL, GUILFORD WRIGHT, MICRO, 5-1/8 IN, 2.1X1.2 MM, BONE, SLIGHTLY ANGLED, OVAL CUP, BLADE, STAINLESS STEEL, NON STERILE, LATEX</t>
  </si>
  <si>
    <t>CURETTE, SURG, GUILFORD WRGHT, MIC, 5-1/8 IN, 2.1X1.2 MM, BNE, SLIGHTLY ANGLED, OVL CUP, BLADE, SS, NS, LTX</t>
  </si>
  <si>
    <t>CURETTE, SURG, GUILFORD WRGHT, MIC, 5-1/8 IN, 2.1X1.2 MM, BNE</t>
  </si>
  <si>
    <t>5-1/8 IN</t>
  </si>
  <si>
    <t>2.1X1.2 MM</t>
  </si>
  <si>
    <t>BONE</t>
  </si>
  <si>
    <t>SLIGHTLY ANGLED, OVAL CUP, BLADE</t>
  </si>
  <si>
    <t>https://www.bd.com/en-us/products-and-solutions/products/product-page.AU13330#overview, https://accessgudid.nlm.nih.gov/devices/10885403010392</t>
  </si>
  <si>
    <t>AU13334</t>
  </si>
  <si>
    <t>BD_AU13334</t>
  </si>
  <si>
    <t>GUILFORD-WRIGHT MICRO BONE CURETTE 1.5 X</t>
  </si>
  <si>
    <t>PRODIGO1056191</t>
  </si>
  <si>
    <t>GUILFORD-WRIGHT MICRO BONE CURETTES OVERALL LENGTH 5-1/8IN (13CM). 2.9MM X 1.5MM WIDE. SLIGHTLY ANGLED OVAL CUP.</t>
  </si>
  <si>
    <t>CURETTE, SURGICAL, GUILFORD WRIGHT, MICRO, 5-1/8 IN, 2.9X1.5 MM, BONE, SLIGHTLY ANGLED, OVAL CUP, BLADE, STAINLESS STEEL, NON STERILE, LATEX</t>
  </si>
  <si>
    <t>CURETTE, SURG, GUILFORD WRGHT, MIC, 5-1/8 IN, 2.9X1.5 MM, BNE, SLIGHTLY ANGLED, OVL CUP, BLADE, SS, NS, LTX</t>
  </si>
  <si>
    <t>CURETTE, SURG, GUILFORD WRGHT, MIC, 5-1/8 IN, 2.9X1.5 MM, BNE</t>
  </si>
  <si>
    <t>2.9X1.5 MM</t>
  </si>
  <si>
    <t>https://www.bd.com/en-us/products-and-solutions/products/product-page.AU13334#overview, https://accessgudid.nlm.nih.gov/devices/10885403010415</t>
  </si>
  <si>
    <t>AU13338</t>
  </si>
  <si>
    <t>BD_AU13338</t>
  </si>
  <si>
    <t>PRODIGO1056193</t>
  </si>
  <si>
    <t>GUILFORD-WRIGHT MICRO BONE CURETTES OVERALL LENGTH 5-1/8IN (13CM). 2.6MM X 1.5MM WIDE. ANGLED OVAL CUP.</t>
  </si>
  <si>
    <t>CURETTE, SURGICAL, GUILFORD WRIGHT, MICRO, 5-1/8 IN, 2.6X1.5 MM, BONE, SLIGHTLY ANGLED, OVAL CUP, BLADE, STAINLESS STEEL, NON STERILE, LATEX</t>
  </si>
  <si>
    <t>CURETTE, SURG, GUILFORD WRGHT, MIC, 5-1/8 IN, 2.6X1.5 MM, BNE, SLIGHTLY ANGLED, OVL CUP, BLADE, SS, NS, LTX</t>
  </si>
  <si>
    <t>CURETTE, SURG, GUILFORD WRGHT, MIC, 5-1/8 IN, 2.6X1.5 MM, BNE</t>
  </si>
  <si>
    <t>2.6X1.5 MM</t>
  </si>
  <si>
    <t>https://www.bd.com/en-us/products-and-solutions/products/product-page.AU13338#overview, https://accessgudid.nlm.nih.gov/devices/10885403010439</t>
  </si>
  <si>
    <t>AU13336</t>
  </si>
  <si>
    <t>BD_AU13336</t>
  </si>
  <si>
    <t>GUILFORD-WRIGHT MICRO BONE CURETTE 1.8 X</t>
  </si>
  <si>
    <t>PRODIGO1056192</t>
  </si>
  <si>
    <t>GUILFORD-WRIGHT MICRO BONE CURETTES OVERALL LENGTH 5-1/8IN (13CM). 3MM X 1.8MM WIDE. SLIGHTLY ANGLED OVAL CUP</t>
  </si>
  <si>
    <t>CURETTE, SURGICAL, GUILFORD WRIGHT, MICRO, 5-1/8 IN, 3X1.8 MM, BONE, SLIGHTLY ANGLED, OVAL CUP, BLADE, NON STERILE, LATEX</t>
  </si>
  <si>
    <t>CURETTE, SURG, GUILFORD WRGHT, MIC, 5-1/8 IN, 3X1.8 MM, BNE, SLIGHTLY ANGLED, OVL CUP, BLADE, NS, LTX</t>
  </si>
  <si>
    <t>CURETTE, SURG, GUILFORD WRGHT, MIC, 5-1/8 IN, 3X1.8 MM, BNE</t>
  </si>
  <si>
    <t>3X1.8 MM</t>
  </si>
  <si>
    <t>https://www.bd.com/en-us/products-and-solutions/products/product-page.AU13336#overview, https://accessgudid.nlm.nih.gov/devices/10885403010422</t>
  </si>
  <si>
    <t>CH13062</t>
  </si>
  <si>
    <t>BD_CH13062</t>
  </si>
  <si>
    <t>HAND-APP APPROX CLAMP W/O FRAME DBL BLK</t>
  </si>
  <si>
    <t>PRODIGO1056684</t>
  </si>
  <si>
    <t>HAND-APPLIED APPROXIMATOR CLAMP DOUBLE-ACTION BLACK OXIDE FINISH FLAT JAWS DOUBLE WITHOUT FRAME VESSEL SIZE 1.5MM-3.5MM.SS LATEX NON STERILE</t>
  </si>
  <si>
    <t>CLAMP, SURGICAL, APPROXIMATOR, 1.5-3.5 MM, HAND APPLIED, DOUBLE ACTION, BLACK OXIDE FINISH, FLAT JAW, WITHOUT FRAME, STAINLESS STEEL, NON STERILE, LATEX</t>
  </si>
  <si>
    <t>CLAMP, SURG, APPRX, 1.5-3.5 MM, HND APPLIED, DBL ACT, BLK OXIDE FINISH, FLAT JAW, W/O FRAME, SS, NS, LTX</t>
  </si>
  <si>
    <t>CLAMP, SURG, APPRX, 1.5-3.5 MM, HND APPLIED, DBL, BLK OXIDE FINISH</t>
  </si>
  <si>
    <t>1.5-3.5 MM</t>
  </si>
  <si>
    <t>HAND APPLIED, DOUBLE ACTION, BLACK OXIDE FINISH, FLAT JAW, WITHOUT FRAME</t>
  </si>
  <si>
    <t>https://www.bd.com/en-us/products-and-solutions/products/product-page.CH13062#overview, https://accessgudid.nlm.nih.gov/devices/10885403124129</t>
  </si>
  <si>
    <t>CH13061</t>
  </si>
  <si>
    <t>BD_CH13061</t>
  </si>
  <si>
    <t>HAND-APPLIED APPROX CLAMP W/O FRAME DBL</t>
  </si>
  <si>
    <t>PRODIGO1056683</t>
  </si>
  <si>
    <t>HAND-APPLIED APPROXIMATOR CLAMP DOUBLE-ACTION SATIN FINISH FLAT JAWS DOUBLE WITHOUT FRAME VESSEL SIZE 1.5MM-3.5MM.SS LATEX NON STERILE</t>
  </si>
  <si>
    <t>CLAMP, SURGICAL, APPROXIMATOR, 1.5-3.5 MM, HAND APPLIED, DOUBLE ACTION, SATIN FINISH, FLAT JAW, WITHOUT FRAME, STAINLESS STEEL, NON STERILE, LATEX</t>
  </si>
  <si>
    <t>CLAMP, SURG, APPRX, 1.5-3.5 MM, HND APPLIED, DBL ACT, SATIN FINISH, FLAT JAW, W/O FRAME, SS, NS, LTX</t>
  </si>
  <si>
    <t>CLAMP, SURG, APPRX, 1.5-3.5 MM, HND APPLIED, DBL ACT, SATIN FINISH</t>
  </si>
  <si>
    <t>HAND APPLIED, DOUBLE ACTION, SATIN FINISH, FLAT JAW, WITHOUT FRAME</t>
  </si>
  <si>
    <t>https://www.bd.com/en-us/products-and-solutions/products/product-page.CH13061#overview, https://accessgudid.nlm.nih.gov/devices/10885403124112</t>
  </si>
  <si>
    <t>CH13036</t>
  </si>
  <si>
    <t>BD_CH13036</t>
  </si>
  <si>
    <t>HAND-APPLIED CLAMP SINGLE W/O FRAME PAIR</t>
  </si>
  <si>
    <t>PRODIGO1056673</t>
  </si>
  <si>
    <t>HAND-APPLIED CLAMPS FLAT JAWS SINGLE WITHOUT FRAME VESSEL SIZE 2MM-5MM LATEX NON STERILE</t>
  </si>
  <si>
    <t>CLAMP, SURGICAL, SINGLE, 2-5 MM, HAND APPLIED, FLAT JAW, WITHOUT FRAME, NON STERILE, LATEX</t>
  </si>
  <si>
    <t>CLAMP, SURG, SINGLE, 2-5 MM, HND APPLIED, FLAT JAW, W/O FRAME, NS, LTX</t>
  </si>
  <si>
    <t>CLAMP, SURG, SINGLE, 2-5 MM, HND APPLIED, FLAT JAW, W/O FRAME, NS</t>
  </si>
  <si>
    <t>SINGLE</t>
  </si>
  <si>
    <t>2-5 MM</t>
  </si>
  <si>
    <t>HAND APPLIED, FLAT JAW, WITHOUT FRAME</t>
  </si>
  <si>
    <t>PAIR</t>
  </si>
  <si>
    <t>http://www.lt-technologies.de/_ws/mediabase/_ts_1494230442000/Downloads/CardioCatalog_LIT12012_low-res.pdf, https://accessgudid.nlm.nih.gov/devices/70885403124091</t>
  </si>
  <si>
    <t>CH13064</t>
  </si>
  <si>
    <t>BD_CH13064</t>
  </si>
  <si>
    <t>HAND-APPLIED CLAMP SNGL PR F/1.5-3.5MM</t>
  </si>
  <si>
    <t>PRODIGO1056685</t>
  </si>
  <si>
    <t>HAND-APPLIED CLAMP FLAT JAWS SINGLE WITHOUT FRAME VESSEL SIZE 1.5MM-3.5MM BLACK LATEX NON STERILE</t>
  </si>
  <si>
    <t>CLAMP, SURGICAL, SINGLE, 1.5-3.5 MM, HAND APPLIED, FLAT JAW, WITHOUT FRAME, STAINLESS STEEL, BLACK, NON STERILE, LATEX</t>
  </si>
  <si>
    <t>CLAMP, SURG, SINGLE, 1.5-3.5 MM, HND APPLIED, FLAT JAW, W/O FRAME, SS, BLK, NS, LTX</t>
  </si>
  <si>
    <t>CLAMP, SURG, SINGLE, 1.5-3.5 MM, HND APPLIED, FLAT JAW, W/O FRAME</t>
  </si>
  <si>
    <t>https://www.bd.com/en-us/products-and-solutions/products/product-page.CH13064#overview, https://accessgudid.nlm.nih.gov/devices/70885403124145</t>
  </si>
  <si>
    <t>NA890</t>
  </si>
  <si>
    <t>BD_NA890</t>
  </si>
  <si>
    <t>HANDLE F/GIGLI SAW LOOP STYLE PAIR</t>
  </si>
  <si>
    <t>PRODIGO1058032</t>
  </si>
  <si>
    <t>AFFINITY - HANDLE FOR GIGLI SAW LOOP STYLE PAIR</t>
  </si>
  <si>
    <t>HANDLE, GIGLI SAW, LOOP STYLE PAIR, AFFINITY, NON STERILE, LATEX</t>
  </si>
  <si>
    <t>HANDLE GIGLI SAW LOOP STYLE PAIR AFFINITY NON STERILE LATEX</t>
  </si>
  <si>
    <t>HANDLE, GIGLI SAW, LOOP STYL PR, AFFIN, NS, LTX</t>
  </si>
  <si>
    <t>GIGLI SAW</t>
  </si>
  <si>
    <t>LOOP STYLE PAIR</t>
  </si>
  <si>
    <t>AFFINITY</t>
  </si>
  <si>
    <t>https://accessgudid.nlm.nih.gov/devices/70885403184057</t>
  </si>
  <si>
    <t>LATHNR</t>
  </si>
  <si>
    <t>LAT-HN-R</t>
  </si>
  <si>
    <t>BD_LATHNR</t>
  </si>
  <si>
    <t>HANDLE NON-RATCHETED (MODIFIED HANDLE)</t>
  </si>
  <si>
    <t>PRODIGO1057841</t>
  </si>
  <si>
    <t>42292403  Surgical ratchet handles</t>
  </si>
  <si>
    <t>HANDLE NON-RATCHETED</t>
  </si>
  <si>
    <t>HANDLE, NON-RATCHETED, MODIFIED, NON STERILE, LATEX</t>
  </si>
  <si>
    <t>HANDLE NON-RATCHETED MODIFIED NON STERILE LATEX</t>
  </si>
  <si>
    <t>HANDLE, NON-RATCHETED, MOD, NS, LTX</t>
  </si>
  <si>
    <t>NON-RATCHETED</t>
  </si>
  <si>
    <t>MODIFIED</t>
  </si>
  <si>
    <t>https://www.bd.com/en-us/products-and-solutions/products/product-page.LAT-H-NR#specifications, https://accessgudid.nlm.nih.gov/devices/10885403431234</t>
  </si>
  <si>
    <t>LATHR</t>
  </si>
  <si>
    <t>LAT-HR</t>
  </si>
  <si>
    <t>BD_LATHR</t>
  </si>
  <si>
    <t>HANDLE RATCHETED (MODIFIED HANDLE)</t>
  </si>
  <si>
    <t>PRODIGO1057842</t>
  </si>
  <si>
    <t>MODULAR HANDLE RATCHETED</t>
  </si>
  <si>
    <t>HANDLE, RATCHETED, MODIFIED, NON STERILE, LATEX</t>
  </si>
  <si>
    <t>HANDLE RATCHETED MODIFIED NON STERILE LATEX</t>
  </si>
  <si>
    <t>HANDLE, RATCHETED, MOD, NS, LTX</t>
  </si>
  <si>
    <t>https://accessgudid.nlm.nih.gov/devices/10885403431241</t>
  </si>
  <si>
    <t>GL1471003</t>
  </si>
  <si>
    <t>GL1471-003</t>
  </si>
  <si>
    <t>BD_GL1471003</t>
  </si>
  <si>
    <t>HANK-BRADLEY UTER DIL DBL-END 13-14FR</t>
  </si>
  <si>
    <t>PRODIGO1057384</t>
  </si>
  <si>
    <t>Hank-Bradley uterine dilators Cannulated. Double-ended. Mirror finish. Overall length 10-1/2in (26.7cm). Size 13-14.</t>
  </si>
  <si>
    <t>DILATOR, SURGICAL, HANK-BRADLEY, 13-14 FRX10.5 IN, UTERINE, DOUBLE END, CANNULATED, DOUBLE ACTION, MIRROR FINISH, STAINLESS STEEL, NON STERILE, LATEX</t>
  </si>
  <si>
    <t>DILATOR, SURG, HANK-BRADLEY, 13-14 FRX10.5 IN, UTER, DBL END, CANN, DBL ACT, MIRROR FINISH, SS, NS, LTX</t>
  </si>
  <si>
    <t>DILATOR, SURG, HANK-BRADLEY, 13-14 FRX10.5 IN, UTER, DBL END, CANN</t>
  </si>
  <si>
    <t>HANK-BRADLEY</t>
  </si>
  <si>
    <t>13-14 FRX10.5 IN</t>
  </si>
  <si>
    <t>DOUBLE END, CANNULATED, DOUBLE ACTION, MIRROR FINISH</t>
  </si>
  <si>
    <t>https://www.bd.com/en-us/offerings/capabilities/surgical-instruments/open-instrumentation/hank-bradley-uterine-dilators/gl1471-003, https://accessgudid.nlm.nih.gov/devices/10885403044519</t>
  </si>
  <si>
    <t>GL1471004</t>
  </si>
  <si>
    <t>GL1471-004</t>
  </si>
  <si>
    <t>BD_GL1471004</t>
  </si>
  <si>
    <t>HANK-BRADLEY UTER DIL DBL-END 15-16FR</t>
  </si>
  <si>
    <t>PRODIGO1057385</t>
  </si>
  <si>
    <t>Hank-Bradley uterine dilators Cannulated. Double-ended. Mirror finish. Overall length 10-1/2in (26.7cm). Size 15-16.</t>
  </si>
  <si>
    <t>DILATOR, SURGICAL, HANK-BRADLEY, 15-16 FRX10.5 IN, UTERINE, DOUBLE END, CANNULATED, DOUBLE ACTION, MIRROR FINISH, STAINLESS STEEL, NON STERILE, LATEX</t>
  </si>
  <si>
    <t>DILATOR, SURG, HANK-BRADLEY, 15-16 FRX10.5 IN, UTER, DBL END, CANN, DBL ACT, MIRROR FINISH, SS, NS, LTX</t>
  </si>
  <si>
    <t>DILATOR, SURG, HANK-BRADLEY, 15-16 FRX10.5 IN, UTER, DBL END, CANN</t>
  </si>
  <si>
    <t>15-16 FRX10.5 IN</t>
  </si>
  <si>
    <t>https://www.bd.com/en-us/offerings/capabilities/surgical-instruments/open-instrumentation/hank-bradley-uterine-dilators/gl1471-004, https://accessgudid.nlm.nih.gov/devices/10885403044526</t>
  </si>
  <si>
    <t>GL1471005</t>
  </si>
  <si>
    <t>GL1471-005</t>
  </si>
  <si>
    <t>BD_GL1471005</t>
  </si>
  <si>
    <t>HANK-BRADLEY UTER DIL DBL-END 17-18FR</t>
  </si>
  <si>
    <t>PRODIGO1057386</t>
  </si>
  <si>
    <t>Hank-Bradley uterine dilators Cannulated. Double-ended. Mirror finish. Overall length 10-1/2in (26.7cm). Size 17-18.</t>
  </si>
  <si>
    <t>DILATOR, SURGICAL, HANK-BRADLEY, 17-18 FRX10.5 IN, UTERINE, DOUBLE END, CANNULATED, DOUBLE ACTION, MIRROR FINISH, STAINLESS STEEL, NON STERILE, LATEX</t>
  </si>
  <si>
    <t>DILATOR, SURG, HANK-BRADLEY, 17-18 FRX10.5 IN, UTER, DBL END, CANN, DBL ACT, MIRROR FINISH, SS, NS, LTX</t>
  </si>
  <si>
    <t>DILATOR, SURG, HANK-BRADLEY, 17-18 FRX10.5 IN, UTER, DBL END, CANN</t>
  </si>
  <si>
    <t>17-18 FRX10.5 IN</t>
  </si>
  <si>
    <t>https://www.bd.com/en-us/offerings/capabilities/surgical-instruments/open-instrumentation/hank-bradley-uterine-dilators/gl1471-005, https://accessgudid.nlm.nih.gov/devices/10885403044533</t>
  </si>
  <si>
    <t>GL1471006</t>
  </si>
  <si>
    <t>GL1471-006</t>
  </si>
  <si>
    <t>BD_GL1471006</t>
  </si>
  <si>
    <t>HANK-BRADLEY UTER DIL DBL-END 19-20FR</t>
  </si>
  <si>
    <t>PRODIGO1057387</t>
  </si>
  <si>
    <t>Hank-Bradley uterine dilators Cannulated. Double-ended. Mirror finish. Overall length 10-1/2in (26.7cm). Size 19-20.</t>
  </si>
  <si>
    <t>DILATOR, SURGICAL, HANK-BRADLEY, 19-20 FRX10.5 IN, UTERINE, DOUBLE END, CANNULATED, DOUBLE ACTION, MIRROR FINISH, STAINLESS STEEL, NON STERILE, LATEX</t>
  </si>
  <si>
    <t>DILATOR, SURG, HANK-BRADLEY, 19-20 FRX10.5 IN, UTER, DBL END, CANN, DBL ACT, MIRROR FINISH, SS, NS, LTX</t>
  </si>
  <si>
    <t>DILATOR, SURG, HANK-BRADLEY, 19-20 FRX10.5 IN, UTER, DBL END, CANN</t>
  </si>
  <si>
    <t>19-20 FRX10.5 IN</t>
  </si>
  <si>
    <t>https://www.bd.com/en-us/offerings/capabilities/surgical-instruments/open-instrumentation/hank-bradley-uterine-dilators/gl1471-006, https://accessgudid.nlm.nih.gov/devices/10885403044557</t>
  </si>
  <si>
    <t>GL1471001</t>
  </si>
  <si>
    <t>GL1471-001</t>
  </si>
  <si>
    <t>BD_GL1471001</t>
  </si>
  <si>
    <t>HANK-BRADLEY UTER DILATOR DBL-END 9-10FR</t>
  </si>
  <si>
    <t>PRODIGO1057382</t>
  </si>
  <si>
    <t>Hank-Bradley uterine dilators Cannulated. Double-ended. Mirror finish. Overall length 10-1/2in (26.7cm). Size 9-10.</t>
  </si>
  <si>
    <t>DILATOR, SURGICAL, HANK-BRADLEY, 9-10 FRX10.5 IN, UTERINE, DOUBLE END, CANNULATED, DOUBLE ACTION, MIRROR FINISH, STAINLESS STEEL, NON STERILE, LATEX</t>
  </si>
  <si>
    <t>DILATOR, SURG, HANK-BRADLEY, 9-10 FRX10.5 IN, UTER, DBL END, CANN, DBL ACT, MIRROR FINISH, SS, NS, LTX</t>
  </si>
  <si>
    <t>DILATOR, SURG, HANK-BRADLEY, 9-10 FRX10.5 IN, UTER, DBL END, CANN</t>
  </si>
  <si>
    <t>9-10 FRX10.5 IN</t>
  </si>
  <si>
    <t>https://www.bd.com/en-us/offerings/capabilities/surgical-instruments/open-instrumentation/hank-bradley-uterine-dilators/gl1471-001, https://accessgudid.nlm.nih.gov/devices/10885403044496</t>
  </si>
  <si>
    <t>GL1471002</t>
  </si>
  <si>
    <t>GL1471-002</t>
  </si>
  <si>
    <t>BD_GL1471002</t>
  </si>
  <si>
    <t>HANK-BRADLEY UTER DILATR DBL-END 11-12FR</t>
  </si>
  <si>
    <t>PRODIGO1057383</t>
  </si>
  <si>
    <t>Hank-Bradley uterine dilators Cannulated. Double-ended. Mirror finish. Overall length 10-1/2in (26.7cm). Size 11-12.</t>
  </si>
  <si>
    <t>DILATOR, SURGICAL, HANK-BRADLEY, 11-12 FRX10.5 IN, UTERINE, DOUBLE END, CANNULATED, DOUBLE ACTION, MIRROR FINISH, STAINLESS STEEL, NON STERILE, LATEX</t>
  </si>
  <si>
    <t>DILATOR, SURG, HANK-BRADLEY, 11-12 FRX10.5 IN, UTER, DBL END, CANN, DBL ACT, MIRROR FINISH, SS, NS, LTX</t>
  </si>
  <si>
    <t>DILATOR, SURG, HANK-BRADLEY, 11-12 FRX10.5 IN, UTER, DBL END, CANN</t>
  </si>
  <si>
    <t>11-12 FRX10.5 IN</t>
  </si>
  <si>
    <t>https://www.bd.com/en-us/offerings/capabilities/surgical-instruments/open-instrumentation/hank-bradley-uterine-dilators/gl1471-002, https://accessgudid.nlm.nih.gov/devices/10885403044502</t>
  </si>
  <si>
    <t>CH6473</t>
  </si>
  <si>
    <t>BD_CH6473</t>
  </si>
  <si>
    <t>HARKEN CLAMP  CVD JAW COOLEY TEETH 5CM</t>
  </si>
  <si>
    <t>PRODIGO1057053</t>
  </si>
  <si>
    <t>HARKEN Clamps Curved jaws with COOLEY teeth. Overall length 10in (25.4cm) Jaw length 1-7/8in (4.8cm).</t>
  </si>
  <si>
    <t>CLAMP, SURGICAL, HARKEN, 25.4 CM, 5 CM, CURVED JAW, WITH COOLEY TEETH, NON STERILE, LATEX</t>
  </si>
  <si>
    <t>CLAMP, SURG, HARKEN, 25.4 CM, 5 CM, CRV JAW, W/ COOLEY TEETH, NS, LTX</t>
  </si>
  <si>
    <t>CLAMP, SURG, HARKEN, 25.4 CM, 5 CM, CRV JAW, W/ COOLEY TEETH, NS</t>
  </si>
  <si>
    <t>HARKEN</t>
  </si>
  <si>
    <t>CURVED JAW, WITH COOLEY TEETH</t>
  </si>
  <si>
    <t>http://www.lt-technologies.de/_ws/mediabase/_ts_1494230442000/Downloads/CardioCatalog_LIT12012_low-res.pdf, https://accessgudid.nlm.nih.gov/devices/10885403031625</t>
  </si>
  <si>
    <t>CH6462</t>
  </si>
  <si>
    <t>BD_CH6462</t>
  </si>
  <si>
    <t>HARKEN CLAMP CVD JAW 2-7/8 W/CROSS-SERR</t>
  </si>
  <si>
    <t>PRODIGO1057051</t>
  </si>
  <si>
    <t>HARKEN Clamps Curved jaw with cross-serrations Jaw length Jaw length 2-7/8in (7.4cm).
Overall length
9-1/2in (24.1cm).</t>
  </si>
  <si>
    <t>CLAMP, SURGICAL, HARKEN, 9.5 IN, 2-7/8 IN, CURVED JAW, WITH CROSS-SERRATION, NON STERILE, LATEX</t>
  </si>
  <si>
    <t>CLAMP, SURG, HARKEN, 9.5 IN, 2-7/8 IN, CRV JAW, W/ CROSS-SERRATION, NS, LTX</t>
  </si>
  <si>
    <t>CLAMP, SURG, HARKEN, 9.5 IN, 2-7/8 IN, CRV JAW, W/CROSS-SERRATION</t>
  </si>
  <si>
    <t>2-7/8 IN</t>
  </si>
  <si>
    <t>CURVED JAW, WITH CROSS-SERRATION</t>
  </si>
  <si>
    <t>http://www.lt-technologies.de/_ws/mediabase/_ts_1494230442000/Downloads/CardioCatalog_LIT12012_low-res.pdf, https://accessgudid.nlm.nih.gov/devices/10885403031595</t>
  </si>
  <si>
    <t>CH6461</t>
  </si>
  <si>
    <t>BD_CH6461</t>
  </si>
  <si>
    <t>HARKEN CLAMP CVD JAW 3-1/8 W/CROSS-SERR</t>
  </si>
  <si>
    <t>PRODIGO1057050</t>
  </si>
  <si>
    <t>HARKEN Clamps Curved jaw with cross-serrations Jaw length 3-1/8in (8cm).
Overall length
9-3/4in (24.9cm).</t>
  </si>
  <si>
    <t>CLAMP, SURGICAL, HARKEN, 9.75 IN, 3-1/8 IN, CURVED JAW, WITH CROSS-SERRATION, NON STERILE, LATEX</t>
  </si>
  <si>
    <t>CLAMP, SURG, HARKEN, 9.75 IN, 3-1/8 IN, CRV JAW, W/ CROSS-SERRATION, NS, LTX</t>
  </si>
  <si>
    <t>CLAMP, SURG, HARKEN, 9.75 IN, 3-1/8 IN, CRV JAW, W/CROSS-SERRATION</t>
  </si>
  <si>
    <t>http://www.lt-technologies.de/_ws/mediabase/_ts_1494230442000/Downloads/CardioCatalog_LIT12012_low-res.pdf, https://accessgudid.nlm.nih.gov/devices/10885403031588</t>
  </si>
  <si>
    <t>CH6474</t>
  </si>
  <si>
    <t>BD_CH6474</t>
  </si>
  <si>
    <t>HARKEN CLAMP CVD JAW 6.4CM COOLEY TEETH</t>
  </si>
  <si>
    <t>PRODIGO1057054</t>
  </si>
  <si>
    <t>HARKEN Clamps Curved jaws with COOLEY teeth. Overall length 10in (25.4cm) Jaw length
2-1/2in (6.4cm).</t>
  </si>
  <si>
    <t>CLAMP, SURGICAL, HARKEN, 25.4 CM, 6.4 CM, CURVED JAW, WITH COOLEY TEETH, NON STERILE, LATEX</t>
  </si>
  <si>
    <t>CLAMP, SURG, HARKEN, 25.4 CM, 6.4 CM, CRV JAW, W/ COOLEY TEETH, NS, LTX</t>
  </si>
  <si>
    <t>CLAMP, SURG, HARKEN, 25.4 CM, 6.4 CM, CRV JAW, W/ COOLEY TEETH, NS</t>
  </si>
  <si>
    <t>http://www.lt-technologies.de/_ws/mediabase/_ts_1494230442000/Downloads/CardioCatalog_LIT12012_low-res.pdf, https://accessgudid.nlm.nih.gov/devices/10885403031632</t>
  </si>
  <si>
    <t>CH6464</t>
  </si>
  <si>
    <t>BD_CH6464</t>
  </si>
  <si>
    <t>HARKEN CLAMP CVD JAW 6CM X-SERR 9-1/4IN</t>
  </si>
  <si>
    <t>PRODIGO1057052</t>
  </si>
  <si>
    <t>HARKEN Clamps Curved jaw with cross-serrations Jaw length 2-3/8in (6cm).
Overall length
9-3/8in (23.8cm).</t>
  </si>
  <si>
    <t>CLAMP, SURGICAL, HARKEN, 9-3/8 IN, 6 CM, CURVED JAW, WITH CROSS-SERRATION, NON STERILE, LATEX</t>
  </si>
  <si>
    <t>CLAMP, SURG, HARKEN, 9-3/8 IN, 6 CM, CRV JAW, W/ CROSS-SERRATION, NS, LTX</t>
  </si>
  <si>
    <t>CLAMP, SURG, HARKEN, 9-3/8 IN, 6 CM, CRV JAW, W/CROSS-SERRATION</t>
  </si>
  <si>
    <t>9-3/8 IN</t>
  </si>
  <si>
    <t>http://www.lt-technologies.de/_ws/mediabase/_ts_1494230442000/Downloads/CardioCatalog_LIT12012_low-res.pdf, https://accessgudid.nlm.nih.gov/devices/10885403031618</t>
  </si>
  <si>
    <t>CH12351</t>
  </si>
  <si>
    <t>CH1235-1</t>
  </si>
  <si>
    <t>BD_CH12351</t>
  </si>
  <si>
    <t>HARKEN RIB SPREADER 2-5/8X2-1/8IN PERMIN</t>
  </si>
  <si>
    <t>PRODIGO1056648</t>
  </si>
  <si>
    <t>HARKEN RIB SPREADER TWO DETACHABLE SCAPULA BLADE BLADES 2-5/8IN X 2-1/8IN ARM LENGTH 9-3/4IN SPREAD 7-1/2IN LATEX NON STERILE</t>
  </si>
  <si>
    <t>SPREADER, SURGICAL, HARKEN, 2-5/8X2-1/8 IN, 9.75 IN, 7.5 IN, RIB, TWO DETACHABLE SCAPULA BLADE, WITH ARM, SPREAD, NON STERILE, LATEX</t>
  </si>
  <si>
    <t>SPREADER, SURG, HARKEN, 2-5/8X2-1/8 IN, 9.75 IN, 7.5 IN, RIB, TWO DETACHABLE SCAPULA BLADE, W/ ARM, SPRD, NS, LTX</t>
  </si>
  <si>
    <t>SPREADER, SURG, HARKEN, 2-5/8X2-1/8 IN, 9.75 IN, 7.5 IN, RIB, SPRD</t>
  </si>
  <si>
    <t>2-5/8X2-1/8 IN, 9.75 IN, 7.5 IN</t>
  </si>
  <si>
    <t>TWO DETACHABLE SCAPULA BLADE, WITH ARM, SPREAD</t>
  </si>
  <si>
    <t>PERMIN</t>
  </si>
  <si>
    <t>https://www.bd.com/en-us/products-and-solutions/products/product-page.CH1235-1#specifications, https://accessgudid.nlm.nih.gov/devices/10885403083570</t>
  </si>
  <si>
    <t>CH1760</t>
  </si>
  <si>
    <t>BD_CH1760</t>
  </si>
  <si>
    <t>HARRINGTON FORCEP 60MM RIGHT ANGJAW 12IN</t>
  </si>
  <si>
    <t>PRODIGO1056744</t>
  </si>
  <si>
    <t>Harrington forceps Longitudinal serrations and cross serrated tip Right angled jaws length 2-3/8in 6cm Overall length 12in</t>
  </si>
  <si>
    <t>FORCEP, SURGICAL, HARRINGTON, 12 IN, 60 MM, RIGHT ANGLED, LONGITUDINAL SERRATION, CROSS SERRATED TIP, NON STERILE, LATEX</t>
  </si>
  <si>
    <t>FORCEP, SURG, HARRINGTON, 12 IN, 60 MM, RT ANGLED, LONGITUDINAL SERRATION, CROSS SERRATED TIP, NS, LTX</t>
  </si>
  <si>
    <t>FORCEP, SURG, HARRINGTON, 12 IN, 60 MM, RT ANGLED, SERRATION, LTX</t>
  </si>
  <si>
    <t>HARRINGTON</t>
  </si>
  <si>
    <t>60 MM</t>
  </si>
  <si>
    <t>RIGHT ANGLED, LONGITUDINAL SERRATION, CROSS SERRATED TIP</t>
  </si>
  <si>
    <t>https://www.bd.com/en-us/products-and-solutions/products/product-page.CH1760#specifications, https://accessgudid.nlm.nih.gov/devices/10885403024443</t>
  </si>
  <si>
    <t>CH1740</t>
  </si>
  <si>
    <t>BD_CH1740</t>
  </si>
  <si>
    <t>HARRINGTON FORCEP SLT CVD JAW 7CM 12-1/2</t>
  </si>
  <si>
    <t>PRODIGO1056743</t>
  </si>
  <si>
    <t>Harrington forceps Longitudinal serrations and cross serrated tip Slightly curved jaws length 2-3/4in 7cm Overall length 12-1/2in</t>
  </si>
  <si>
    <t>FORCEP, SURGICAL, HARRINGTON, 12.5 IN, 2.75 IN, SLIGHTLY CURVED, LONGITUDINAL SERRATION, CROSS SERRATED TIP, NON STERILE, LATEX</t>
  </si>
  <si>
    <t>FORCEP, SURG, HARRINGTON, 12.5 IN, 2.75 IN, SLIGHTLY CRV, LONGITUDINAL SERRATION, CROSS SERRATED TIP, NS, LTX</t>
  </si>
  <si>
    <t>FORCEP, SURG, HARRINGTON, 12.5 IN, 2.75 IN, SLIGHTLY CRV, NS, LTX</t>
  </si>
  <si>
    <t>SLIGHTLY CURVED, LONGITUDINAL SERRATION, CROSS SERRATED TIP</t>
  </si>
  <si>
    <t>https://www.bd.com/en-us/products-and-solutions/products/product-page.CH1740#specifications, https://accessgudid.nlm.nih.gov/devices/10885403024436</t>
  </si>
  <si>
    <t>CH1008</t>
  </si>
  <si>
    <t>BD_CH1008</t>
  </si>
  <si>
    <t>HARRINGTON RETR LG BLADE 7-1/2X4-1/2IN</t>
  </si>
  <si>
    <t>PRODIGO1056611</t>
  </si>
  <si>
    <t>HARRINGTON RETRACTORS 14.5 IN LARGE BLADE 7-1/2IN X 4-1/2IN LATEX NON STERILE</t>
  </si>
  <si>
    <t>RETRACTOR, SURGICAL, HARRINGTON, 14.5 IN, 7.5X4.5 IN, LARGE BLADE, NON STERILE, LATEX</t>
  </si>
  <si>
    <t>RETRACTOR, SURG, HARRINGTON, 14.5 IN, 7.5X4.5 IN, LG BLADE, NS, LTX</t>
  </si>
  <si>
    <t>14.5 IN</t>
  </si>
  <si>
    <t>7.5X4.5 IN</t>
  </si>
  <si>
    <t>LARGE BLADE</t>
  </si>
  <si>
    <t>https://www.bd.com/en-us/products-and-solutions/products/product-page.CH1008#overview, https://accessgudid.nlm.nih.gov/devices/10885403023026</t>
  </si>
  <si>
    <t>CH1000</t>
  </si>
  <si>
    <t>BD_CH1000</t>
  </si>
  <si>
    <t>HARRINGTON SPLANCHNIC RETR BLADE 5X1-1/2</t>
  </si>
  <si>
    <t>PRODIGO1056602</t>
  </si>
  <si>
    <t>HARRINGTON SPLANCHNIC RETRACTORS FLAT DEEPLY CURVED SPRINGY BLADE WITH THICKENED DISTAL END.BLADE 5IN X 1-1/2IN WIDE 12.5 IN LATEX NON STERILE</t>
  </si>
  <si>
    <t>RETRACTOR, SURGICAL, HARRINGTON, 12.5 IN, 5X1.5 IN, SPLANCHNIC, FLAT, DEEPLY CURVED, SPRINGY BLADE WITH THICKENED DISTAL END, NON STERILE, LATEX</t>
  </si>
  <si>
    <t>RETRACTOR, SURG, HARRINGTON, 12.5 IN, 5X1.5 IN, SPLANCHNIC, FLAT, DEEPLY CRV, SPRINGY BLADE W/ THCKN DSTL END, NS, LTX</t>
  </si>
  <si>
    <t>RETRACTOR, SURG, HARRINGTON, 12.5 IN, 5X1.5 IN, SPLANCHNIC, FLAT</t>
  </si>
  <si>
    <t>5X1.5 IN</t>
  </si>
  <si>
    <t>SPLANCHNIC, FLAT, DEEPLY CURVED, SPRINGY BLADE WITH THICKENED DISTAL END</t>
  </si>
  <si>
    <t>http://www.lt-technologies.de/_ws/mediabase/_ts_1494230442000/Downloads/CardioCatalog_LIT12012_low-res.pdf, https://accessgudid.nlm.nih.gov/devices/10885403023002</t>
  </si>
  <si>
    <t>CH1005</t>
  </si>
  <si>
    <t>BD_CH1005</t>
  </si>
  <si>
    <t>HARRINGTON SPLANCHNIC RETR BLADE 5X2-1/2</t>
  </si>
  <si>
    <t>PRODIGO1056610</t>
  </si>
  <si>
    <t>HARRINGTON SPLANCHNIC RETRACTORS FLAT DEEPLY CURVED SPRINGY BLADE WITH THICKENED DISTAL END 12.5 IN BLADE 5IN X 2-1/2IN LATEX NON STERILE</t>
  </si>
  <si>
    <t>RETRACTOR, SURGICAL, HARRINGTON, 12.5 IN, 5X2.5 IN, SPLANCHNIC, FLAT, DEEPLY CURVED, SPRINGY BLADE WITH THICKENED DISTAL END, NON STERILE, LATEX</t>
  </si>
  <si>
    <t>RETRACTOR, SURG, HARRINGTON, 12.5 IN, 5X2.5 IN, SPLANCHNIC, FLAT, DEEPLY CRV, SPRINGY BLADE W/ THCKN DSTL END, NS, LTX</t>
  </si>
  <si>
    <t>RETRACTOR, SURG, HARRINGTON, 12.5 IN, 5X2.5 IN, SPLANCHNIC, FLAT</t>
  </si>
  <si>
    <t>5X2.5 IN</t>
  </si>
  <si>
    <t>https://www.bd.com/en-us/products-and-solutions/products/product-page.CH1005#overview, https://accessgudid.nlm.nih.gov/devices/10885403023019</t>
  </si>
  <si>
    <t>CH1770</t>
  </si>
  <si>
    <t>BD_CH1770</t>
  </si>
  <si>
    <t>HARRINGTON-MIXTER FORCEPS RIGHT ANGLE</t>
  </si>
  <si>
    <t>PRODIGO1056745</t>
  </si>
  <si>
    <t>Harrington-Mixter forceps Right angled jaws with longitudinal serrations and cross-serrated tip Overall length 12-1/2in</t>
  </si>
  <si>
    <t>FORCEP, SURGICAL, HARRINGTON-MIXTER, 12.5 IN, RIGHT ANGLED, LONGITUDINAL SERRATION, CROSS SERRATED TIP, NON STERILE, LATEX</t>
  </si>
  <si>
    <t>FORCEP, SURG, HARRINGTON-MIXTER, 12.5 IN, RT ANGLED, LONGITUDINAL SERRATION, CROSS SERRATED TIP, NS, LTX</t>
  </si>
  <si>
    <t>FORCEP, SURG, HARRINGTON-MIXTER, 12.5 IN, RT ANGLED, SERRATION, NS</t>
  </si>
  <si>
    <t>HARRINGTON-MIXTER</t>
  </si>
  <si>
    <t>https://www.bd.com/en-us/products-and-solutions/products/product-page.CH1770#specifications, https://accessgudid.nlm.nih.gov/devices/10885403024450</t>
  </si>
  <si>
    <t>CH1010</t>
  </si>
  <si>
    <t>BD_CH1010</t>
  </si>
  <si>
    <t>HARRINGTON-PEMBERTON RETR 7-1/2X2-1/2IN</t>
  </si>
  <si>
    <t>PRODIGO1056612</t>
  </si>
  <si>
    <t>HARRINGTON-PEMBERTON RETRACTOR BLADE 7-1/2IN X 2-1/2IN THICKENED DISTAL END 14.5 IN LATEX NON STERILE</t>
  </si>
  <si>
    <t>RETRACTOR, SURGICAL, HARRINGTON-PEMBERTON, 14.5 IN, 7.5X2.5 IN, THICKENED DISTAL END, NON STERILE, LATEX</t>
  </si>
  <si>
    <t>RETRACTOR, SURG, HARRINGTON-PEMBERTON, 14.5 IN, 7.5X2.5 IN, THCKN DSTL END, NS, LTX</t>
  </si>
  <si>
    <t>RETRACTOR, SURG, HARRINGTON-PEMBERTON, 14.5 IN, 7.5X2.5 IN, NS</t>
  </si>
  <si>
    <t>HARRINGTON-PEMBERTON</t>
  </si>
  <si>
    <t>7.5X2.5 IN</t>
  </si>
  <si>
    <t>THICKENED DISTAL END</t>
  </si>
  <si>
    <t>https://www.bd.com/en-us/products-and-solutions/products/product-page.CH1010#overview, https://accessgudid.nlm.nih.gov/devices/10885403023040</t>
  </si>
  <si>
    <t>AU6150</t>
  </si>
  <si>
    <t>BD_AU6150</t>
  </si>
  <si>
    <t>ENDOSCOPIC NEEDLES OR PUNCHES</t>
  </si>
  <si>
    <t>HARTMANN EAR FORCEP DEL SERR CUP JAW 2IN</t>
  </si>
  <si>
    <t>PRODIGO1056358</t>
  </si>
  <si>
    <t>HARTMANN EAR FORCEPS SERRATED CUPPED JAWS. EXTREMELY DELICATE. WORKING LENGTH 2IN (5.1CM).</t>
  </si>
  <si>
    <t>FORCEP, SURGICAL, HARTMANN, 2 IN, EAR, SERRATED, CUPPED JAW, EXTREMELY DELICATE, DOUBLE ACTION, SATIN FINISH, RING HANDLE, STAINLESS STEEL, NON STERILE, LATEX</t>
  </si>
  <si>
    <t>FORCEP, SURG, HARTMANN, 2 IN, EAR, SERRATED, CUP JAW, EXTREMELY DEL, DBL ACT, SATIN FINISH, RNG HNDL, SS, NS, LTX</t>
  </si>
  <si>
    <t>FORCEP, SURG, HARTMANN, 2 IN, SERRATED, EXTREMELY DEL, DBL ACT</t>
  </si>
  <si>
    <t>HARTMANN</t>
  </si>
  <si>
    <t>SERRATED, CUPPED JAW, EXTREMELY DELICATE, DOUBLE ACTION, SATIN FINISH, RING HANDLE</t>
  </si>
  <si>
    <t>https://www.bd.com/en-us/products-and-solutions/products/product-page.AU6150#overview, https://accessgudid.nlm.nih.gov/devices/10885403008788</t>
  </si>
  <si>
    <t>AU6155</t>
  </si>
  <si>
    <t>BD_AU6155</t>
  </si>
  <si>
    <t>HARTMANN EAR LT PATTERN SERR FORCEPS CUP</t>
  </si>
  <si>
    <t>PRODIGO1056359</t>
  </si>
  <si>
    <t>HARTMANN EAR FORCEPS SERRATED CUPPED JAWS. LIGHT PATTERN. WORKING LENGTH 2-3/8IN (6CM).</t>
  </si>
  <si>
    <t>FORCEP, SURGICAL, HARTMANN, 2-3/8 IN, EAR, SERRATED, CUPPED JAWS, LIGHT PATTERN, DOUBLE ACTION, SATIN FINISH, RING HANDLE, STAINLESS STEEL, NON STERILE, LATEX</t>
  </si>
  <si>
    <t>FORCEP, SURG, HARTMANN, 2-3/8 IN, EAR, SERRATED, CUP JAWS, LIGHT PAT, DBL ACT, SATIN FINISH, RNG HNDL, SS, NS, LTX</t>
  </si>
  <si>
    <t>FORCEP, SURG, HARTMANN, 2-3/8 IN, SERRATED, CUP JAWS, LIGHT PAT</t>
  </si>
  <si>
    <t>SERRATED, CUPPED JAWS, LIGHT PATTERN, DOUBLE ACTION, SATIN FINISH, RING HANDLE</t>
  </si>
  <si>
    <t>https://www.bd.com/en-us/products-and-solutions/products/product-page.AU6155#overview, https://accessgudid.nlm.nih.gov/devices/10885403008795</t>
  </si>
  <si>
    <t>AU6160</t>
  </si>
  <si>
    <t>BD_AU6160</t>
  </si>
  <si>
    <t>HARTMANN EAR REG PATTERN SERR FORCEPS</t>
  </si>
  <si>
    <t>PRODIGO1056360</t>
  </si>
  <si>
    <t>HARTMANN EAR FORCEPS SERRATED CUPPED JAWS. REGULAR PATTERN. WORKING LENGTH 2-3/16IN (5.5CM).</t>
  </si>
  <si>
    <t>FORCEP, SURGICAL, HARTMANN, 2-3/16 IN, EAR, SERRATED, CUPPED JAWS, REGULAR PATTERN, SATIN FINISH, RING HANDLE, STAINLESS STEEL, NON STERILE, LATEX</t>
  </si>
  <si>
    <t>FORCEP, SURG, HARTMANN, 2-3/16 IN, EAR, SERRATED, CUP JAWS, REG PAT, SATIN FINISH, RNG HNDL, SS, NS, LTX</t>
  </si>
  <si>
    <t>FORCEP, SURG, HARTMANN, 2-3/16 IN, EAR, SERRATED, CUP JAWS, REG PAT</t>
  </si>
  <si>
    <t>2-3/16 IN</t>
  </si>
  <si>
    <t>SERRATED, CUPPED JAWS, REGULAR PATTERN, SATIN FINISH, RING HANDLE</t>
  </si>
  <si>
    <t>https://www.bd.com/en-us/products-and-solutions/products/product-page.AU6160#overview, https://accessgudid.nlm.nih.gov/devices/10885403008801</t>
  </si>
  <si>
    <t>GL3124</t>
  </si>
  <si>
    <t>BD_GL3124</t>
  </si>
  <si>
    <t>HEANEY CLAMP CVD OVER LGTH 12IN(30.5CM)</t>
  </si>
  <si>
    <t>PRODIGO1057425</t>
  </si>
  <si>
    <t>Heaney uterine forceps Overall length 12in (30.5cm). Curved.</t>
  </si>
  <si>
    <t>FORCEP, SURGICAL, HEANEY, 12 IN, UTERINE, CURVED, CLAMP, NON STERILE, LATEX</t>
  </si>
  <si>
    <t>FORCEP, SURG, HEANEY, 12 IN, UTER, CRV, CLMP, NS, LTX</t>
  </si>
  <si>
    <t>HEANEY</t>
  </si>
  <si>
    <t>CURVED, CLAMP</t>
  </si>
  <si>
    <t>https://www.bd.com/en-us/products-and-solutions/products/product-page.GL3124#overview, https://accessgudid.nlm.nih.gov/devices/10885403045257</t>
  </si>
  <si>
    <t>GA3100</t>
  </si>
  <si>
    <t>BD_GA3100</t>
  </si>
  <si>
    <t>HEANEY HYSTERECTOMY FORCEPS CVD 8-1/2IN</t>
  </si>
  <si>
    <t>PRODIGO1057333</t>
  </si>
  <si>
    <t>Heaney Hysterectomy Forceps Affinity Line. Curved. Overall length 8-1/2in (21.6cm).</t>
  </si>
  <si>
    <t>FORCEP, SURGICAL, HEANEY, 8.5 IN, HYSTERECTOMY, AFFINITY LINE, CURVED, NON STERILE, LATEX</t>
  </si>
  <si>
    <t>FORCEP, SURG, HEANEY, 8.5 IN, HYS, AFFIN LN, CRV, NS, LTX</t>
  </si>
  <si>
    <t>HYSTERECTOMY, AFFINITY LINE, CURVED</t>
  </si>
  <si>
    <t>https://www.bd.com/en-us/products-and-solutions/products/product-page.GA3100#overview, https://accessgudid.nlm.nih.gov/devices/10885403042508</t>
  </si>
  <si>
    <t>GL392</t>
  </si>
  <si>
    <t>BD_GL392</t>
  </si>
  <si>
    <t>HEANEY RETRACTOR LARGE BLADE 3-1/4X1-1/8</t>
  </si>
  <si>
    <t>PRODIGO1057486</t>
  </si>
  <si>
    <t>Heaney retractors Overall length 6-3/4in (17.1cm). Large. Blade 3-1/4in x 1-1/8in wide (8.3cm x 2.8cm).</t>
  </si>
  <si>
    <t>RETRACTOR, SURGICAL, HEANEY, LARGE, 6.75 IN, 3.25X1-1/8 IN, BLADE, NON STERILE, LATEX</t>
  </si>
  <si>
    <t>RETRACTOR, SURG, HEANEY, LG, 6.75 IN, 3.25X1-1/8 IN, BLADE, NS, LTX</t>
  </si>
  <si>
    <t>3.25X1-1/8 IN</t>
  </si>
  <si>
    <t>https://www.bd.com/en-us/products-and-solutions/products/product-page.GL392#overview, https://accessgudid.nlm.nih.gov/devices/10885403043093</t>
  </si>
  <si>
    <t>GL391</t>
  </si>
  <si>
    <t>BD_GL391</t>
  </si>
  <si>
    <t>HEANEY RETRACTOR MED BLADE 2-7/8X1-1/8</t>
  </si>
  <si>
    <t>PRODIGO1057485</t>
  </si>
  <si>
    <t>Heaney retractors Overall length 6-3/4in (17.1cm). Medium. Blade 2-7/8in x 1-1/8in wide (7.3cm x 2.8cm).</t>
  </si>
  <si>
    <t>RETRACTOR, SURGICAL, HEANEY, MEDIUM, 6.75 IN, 2-7/8X1-1/8 IN, BLADE, NON STERILE, LATEX</t>
  </si>
  <si>
    <t>RETRACTOR, SURG, HEANEY, MED, 6.75 IN, 2-7/8X1-1/8 IN, BLADE, NS, LTX</t>
  </si>
  <si>
    <t>RETRACTOR, SURG, HEANEY, MED, 6.75 IN, 2-7/8X1-1/8 IN, BLADE, NS</t>
  </si>
  <si>
    <t>2-7/8X1-1/8 IN</t>
  </si>
  <si>
    <t>https://www.bd.com/en-us/products-and-solutions/products/product-page.GL391#overview, https://accessgudid.nlm.nih.gov/devices/10885403043086</t>
  </si>
  <si>
    <t>GA3110</t>
  </si>
  <si>
    <t>BD_GA3110</t>
  </si>
  <si>
    <t>HEANEY-KANTER HYSTERECTOMY FORCEPS CVD</t>
  </si>
  <si>
    <t>PRODIGO1057334</t>
  </si>
  <si>
    <t>Heaney-Kanter Hysterectomy Forceps Affinity Line. Curved. Overall length 8-1/4in (21cm).</t>
  </si>
  <si>
    <t>FORCEP, SURGICAL, HEANEY-KANTER, 8.25 IN, HYSTERECTOMY, AFFINITY LINE, CURVED, NON STERILE, LATEX</t>
  </si>
  <si>
    <t>FORCEP, SURG, HEANEY-KANTER, 8.25 IN, HYS, AFFIN LN, CRV, NS, LTX</t>
  </si>
  <si>
    <t>HEANEY-KANTER</t>
  </si>
  <si>
    <t>https://www.bd.com/en-us/products-and-solutions/products/product-print-page.GA3110?printmode=true, https://accessgudid.nlm.nih.gov/devices/10885403042522</t>
  </si>
  <si>
    <t>GL3101</t>
  </si>
  <si>
    <t>BD_GL3101</t>
  </si>
  <si>
    <t>HEANEY-REZEK HYSTERECTOMY FORCEPS STR</t>
  </si>
  <si>
    <t>PRODIGO1057419</t>
  </si>
  <si>
    <t>Heaney-Rezek uterine forceps Straight criss-cross serrations. Overall length 8-1/4in (21cm).</t>
  </si>
  <si>
    <t>FORCEP, SURGICAL, HEANEY REZEK, 8.25 IN, UTERINE, HYSTERECTOMY, STRAIGHT, CRISS CROSS SERRATION, NON STERILE, LATEX</t>
  </si>
  <si>
    <t>FORCEP, SURG, HEANEY REZEK, 8.25 IN, UTER, HYS, STR, CRISS CROSS SERRATION, NS, LTX</t>
  </si>
  <si>
    <t>FORCEP, SURG, HEANEY REZEK, 8.25 IN, STR, CRISS CROSS SERRATION</t>
  </si>
  <si>
    <t>HEANEY REZEK</t>
  </si>
  <si>
    <t>HYSTERECTOMY, STRAIGHT, CRISS CROSS SERRATION</t>
  </si>
  <si>
    <t>https://www.bd.com/en-us/products-and-solutions/products/product-page.GL3101#overview, https://accessgudid.nlm.nih.gov/devices/10885403045189</t>
  </si>
  <si>
    <t>GL1401010</t>
  </si>
  <si>
    <t>GL1401-010</t>
  </si>
  <si>
    <t>BD_GL1401010</t>
  </si>
  <si>
    <t>HEGAR UTERINE DILATOR 10MM OVRLGTH 7-1/4</t>
  </si>
  <si>
    <t>PRODIGO1057364</t>
  </si>
  <si>
    <t>Hegar uterine dilators Solid single-ended. Mirror finish. Overall length 7-1/4in (18.5cm). Size 10mm.</t>
  </si>
  <si>
    <t>DILATOR, SURGICAL, HEGAR, 10 MM, 7.25 IN, UTERINE, SOLID, SINGLE ENDED, DOUBLE ACTION, MIRROR FINISH, STAINLESS STEEL, NON STERILE, LATEX</t>
  </si>
  <si>
    <t>DILATOR, SURG, HEG, 10 MM, 7.25 IN, UTER, SLD, SINGLE END, DBL ACT, MIRROR FINISH, SS, NS, LTX</t>
  </si>
  <si>
    <t>DILATOR, SURG, HEG, 10 MM, 7.25 IN, UTER, SLD, SINGLE END, DBL ACT</t>
  </si>
  <si>
    <t>10 MM</t>
  </si>
  <si>
    <t>SOLID, SINGLE ENDED, DOUBLE ACTION, MIRROR FINISH</t>
  </si>
  <si>
    <t>https://www.bd.com/en-us/products-and-solutions/products/product-page.GL1401-010#overview, https://accessgudid.nlm.nih.gov/devices/10885403044021</t>
  </si>
  <si>
    <t>GL1401011</t>
  </si>
  <si>
    <t>GL1401-011</t>
  </si>
  <si>
    <t>BD_GL1401011</t>
  </si>
  <si>
    <t>HEGAR UTERINE DILATOR 11MM OVRLGTH 7-1/4</t>
  </si>
  <si>
    <t>PRODIGO1057365</t>
  </si>
  <si>
    <t>Hegar uterine dilators Solid single-ended. Mirror finish. Overall length 7-1/4in (18.5cm). Size 11mm.</t>
  </si>
  <si>
    <t>DILATOR, SURGICAL, HEGAR, 11 MM, 7.25 IN, UTERINE, SOLID, SINGLE ENDED, MIRROR FINISH, STAINLESS STEEL, NON STERILE, LATEX</t>
  </si>
  <si>
    <t>DILATOR, SURG, HEG, 11 MM, 7.25 IN, UTER, SLD, SINGLE END, MIRROR FINISH, SS, NS, LTX</t>
  </si>
  <si>
    <t>DILATOR, SURG, HEG, 11 MM, 7.25 IN, SLD, SINGLE END, MIRROR FINISH</t>
  </si>
  <si>
    <t>11 MM</t>
  </si>
  <si>
    <t>SOLID, SINGLE ENDED, MIRROR FINISH</t>
  </si>
  <si>
    <t>https://www.bd.com/en-us/products-and-solutions/products/product-page.GL1401-011#overview, https://accessgudid.nlm.nih.gov/devices/10885403165757</t>
  </si>
  <si>
    <t>GL1401012</t>
  </si>
  <si>
    <t>GL1401-012</t>
  </si>
  <si>
    <t>BD_GL1401012</t>
  </si>
  <si>
    <t>HEGAR UTERINE DILATOR 12MM OVRLGTH 7-1/4</t>
  </si>
  <si>
    <t>PRODIGO1057366</t>
  </si>
  <si>
    <t>Hegar uterine dilators Solid single-ended. Mirror finish. Overall length 7-1/4in (18.5cm). Size 12mm.</t>
  </si>
  <si>
    <t>DILATOR, SURGICAL, HEGAR, 12 MM, 7.25 IN, UTERINE, SOLID, SINGLE ENDED, MIRROR FINISH, STAINLESS STEEL, NON STERILE, LATEX</t>
  </si>
  <si>
    <t>DILATOR, SURG, HEG, 12 MM, 7.25 IN, UTER, SLD, SINGLE END, MIRROR FINISH, SS, NS, LTX</t>
  </si>
  <si>
    <t>DILATOR, SURG, HEG, 12 MM, 7.25 IN, SLD, SINGLE END, MIRROR FINISH</t>
  </si>
  <si>
    <t>https://www.bd.com/en-us/products-and-solutions/products/product-page.GL1401-012#overview, https://accessgudid.nlm.nih.gov/devices/10885403044069</t>
  </si>
  <si>
    <t>GL1401013</t>
  </si>
  <si>
    <t>GL1401-013</t>
  </si>
  <si>
    <t>BD_GL1401013</t>
  </si>
  <si>
    <t>HEGAR UTERINE DILATOR 13MM OVRLGTH 7-1/4</t>
  </si>
  <si>
    <t>PRODIGO1057367</t>
  </si>
  <si>
    <t>Hegar uterine dilators Solid single-ended. Mirror finish. Overall length 7-1/4in (18.5cm). Size 13mm.</t>
  </si>
  <si>
    <t>DILATOR, SURGICAL, HEGAR, 13 MM, 7.25 IN, UTERINE, SOLID, SINGLE ENDED, MIRROR FINISH, STAINLESS STEEL, NON STERILE, LATEX</t>
  </si>
  <si>
    <t>DILATOR, SURG, HEG, 13 MM, 7.25 IN, UTER, SLD, SINGLE END, MIRROR FINISH, SS, NS, LTX</t>
  </si>
  <si>
    <t>DILATOR, SURG, HEG, 13 MM, 7.25 IN, SLD, SINGLE END, MIRROR FINISH</t>
  </si>
  <si>
    <t>https://www.bd.com/en-us/products-and-solutions/products/product-page.GL1401-013#overview, https://accessgudid.nlm.nih.gov/devices/10885403044076</t>
  </si>
  <si>
    <t>GL1401014</t>
  </si>
  <si>
    <t>GL1401-014</t>
  </si>
  <si>
    <t>BD_GL1401014</t>
  </si>
  <si>
    <t>HEGAR UTERINE DILATOR 14MM OVRLGTH 7-1/4</t>
  </si>
  <si>
    <t>PRODIGO1057368</t>
  </si>
  <si>
    <t>Hegar uterine dilators Solid single-ended. Mirror finish. Overall length 7-1/4in (18.5cm). Size 14mm.</t>
  </si>
  <si>
    <t>DILATOR, SURGICAL, HEGAR, 14 MM, 7.25 IN, UTERINE, SOLID, SINGLE ENDED, MIRROR FINISH, STAINLESS STEEL, NON STERILE, LATEX</t>
  </si>
  <si>
    <t>DILATOR, SURG, HEG, 14 MM, 7.25 IN, UTER, SLD, SINGLE END, MIRROR FINISH, SS, NS, LTX</t>
  </si>
  <si>
    <t>DILATOR, SURG, HEG, 14 MM, 7.25 IN, SLD, SINGLE END, MIRROR FINISH</t>
  </si>
  <si>
    <t>https://www.bd.com/en-us/products-and-solutions/products/product-page.GL1401-014#overview, https://accessgudid.nlm.nih.gov/devices/10885403044083</t>
  </si>
  <si>
    <t>GL1401017</t>
  </si>
  <si>
    <t>GL1401-017</t>
  </si>
  <si>
    <t>BD_GL1401017</t>
  </si>
  <si>
    <t>HEGAR UTERINE DILATOR 17MM OVRLGTH 7-1/4</t>
  </si>
  <si>
    <t>PRODIGO1057369</t>
  </si>
  <si>
    <t>Hegar uterine dilators Solid single-ended. Mirror finish. Overall length 7-1/4in (18.5cm). Size 17mm.</t>
  </si>
  <si>
    <t>DILATOR, SURGICAL, HEGAR, 17 MM, 7.25 IN, UTERINE, SOLID, SINGLE END, MIRROR FINISH, STAINLESS STEEL, NON STERILE, LATEX, REUSABLE</t>
  </si>
  <si>
    <t>DILATOR, SURG, HEG, 17 MM, 7.25 IN, UTER, SLD, SINGLE END, MIRROR FINISH, SS, NS, LTX, REUSE</t>
  </si>
  <si>
    <t>DILATOR, SURG, HEG, 17 MM, 7.25 IN, SLD, SINGLE END, MIRROR FINISH</t>
  </si>
  <si>
    <t>17 MM</t>
  </si>
  <si>
    <t>https://www.bd.com/en-us/products-and-solutions/products/product-page.GL1401-017, https://accessgudid.nlm.nih.gov/devices/10885403044113</t>
  </si>
  <si>
    <t>GL1401018</t>
  </si>
  <si>
    <t>GL1401-018</t>
  </si>
  <si>
    <t>BD_GL1401018</t>
  </si>
  <si>
    <t>HEGAR UTERINE DILATOR 18MM OVRLGTH 7-1/4</t>
  </si>
  <si>
    <t>PRODIGO1057370</t>
  </si>
  <si>
    <t>Hegar uterine dilators Solid single-ended. Mirror finish. Overall length 7-1/4in (18.5cm). Size 18mm.</t>
  </si>
  <si>
    <t>DILATOR, SURGICAL, HEGAR, 18 MM, 7.25 IN, UTERINE, SOLID, SINGLE END, MIRROR FINISH, STAINLESS STEEL, NON STERILE, LATEX</t>
  </si>
  <si>
    <t>DILATOR, SURG, HEG, 18 MM, 7.25 IN, UTER, SLD, SINGLE END, MIRROR FINISH, SS, NS, LTX</t>
  </si>
  <si>
    <t>DILATOR, SURG, HEG, 18 MM, 7.25 IN, SLD, SINGLE END, MIRROR FINISH</t>
  </si>
  <si>
    <t>https://www.bd.com/en-us/products-and-solutions/products/product-page.GL1401-018#overview, https://accessgudid.nlm.nih.gov/devices/10885403044120</t>
  </si>
  <si>
    <t>GL1401020</t>
  </si>
  <si>
    <t>GL1401-020</t>
  </si>
  <si>
    <t>BD_GL1401020</t>
  </si>
  <si>
    <t>HEGAR UTERINE DILATOR 20MM OVRLGTH 7-1/4</t>
  </si>
  <si>
    <t>PRODIGO1057372</t>
  </si>
  <si>
    <t>Hegar uterine dilators Solid single-ended. Mirror finish. Overall length 7-1/4in (18.5cm). Size 20mm.</t>
  </si>
  <si>
    <t>DILATOR, SURGICAL, HEGAR, 20 MM, 7.25 IN, UTERINE, SOLID, SINGLE END, DOUBLE ACTION, MIRROR FINISH, STAINLESS STEEL, NON STERILE, LATEX</t>
  </si>
  <si>
    <t>DILATOR, SURG, HEG, 20 MM, 7.25 IN, UTER, SLD, SINGLE END, DBL ACT, MIRROR FINISH, SS, NS, LTX</t>
  </si>
  <si>
    <t>DILATOR, SURG, HEG, 20 MM, 7.25 IN, UTER, SLD, SINGLE END, DBL ACT</t>
  </si>
  <si>
    <t>SOLID, SINGLE END, DOUBLE ACTION, MIRROR FINISH</t>
  </si>
  <si>
    <t>https://www.bd.com/en-us/products-and-solutions/products/product-page.GL1401-020#overview, https://accessgudid.nlm.nih.gov/devices/10885403044144</t>
  </si>
  <si>
    <t>GL1401021</t>
  </si>
  <si>
    <t>GL1401-021</t>
  </si>
  <si>
    <t>BD_GL1401021</t>
  </si>
  <si>
    <t>HEGAR UTERINE DILATOR 21MM OVRLGTH 7-1/4</t>
  </si>
  <si>
    <t>PRODIGO1057373</t>
  </si>
  <si>
    <t>Hegar uterine dilators Solid single-ended. Mirror finish. Overall length 7-1/4in (18.5cm). Size 21mm.</t>
  </si>
  <si>
    <t>DILATOR, SURGICAL, HEGAR, 21 MM, 7.25 IN, UTERINE, SOLID, SINGLE END, DOUBLE ACTION, MIRROR FINISH, STAINLESS STEEL, NON STERILE, LATEX, REUSABLE</t>
  </si>
  <si>
    <t>DILATOR, SURG, HEG, 21 MM, 7.25 IN, UTER, SLD, SINGLE END, DBL ACT, MIRROR FINISH, SS, NS, LTX, REUSE</t>
  </si>
  <si>
    <t>DILATOR, SURG, HEG, 21 MM, 7.25 IN, UTER, SLD, SINGLE END, DBL ACT</t>
  </si>
  <si>
    <t>21 MM</t>
  </si>
  <si>
    <t>https://www.bd.com/en-us/products-and-solutions/products/product-page.GL1401-021, https://accessgudid.nlm.nih.gov/devices/10885403044151</t>
  </si>
  <si>
    <t>GL1401022</t>
  </si>
  <si>
    <t>GL1401-022</t>
  </si>
  <si>
    <t>BD_GL1401022</t>
  </si>
  <si>
    <t>HEGAR UTERINE DILATOR 22MM OVRLGTH 7-1/4</t>
  </si>
  <si>
    <t>PRODIGO1057374</t>
  </si>
  <si>
    <t>Hegar uterine dilators Solid single-ended. Mirror finish. Overall length 7-1/4in (18.5cm). Size 22mm.</t>
  </si>
  <si>
    <t>DILATOR, SURGICAL, HEGAR, 22 MM, 7.25 IN, UTERINE, SOLID, SINGLE END, DOUBLE ACTION, MIRROR FINISH, STAINLESS STEEL, NON STERILE, LATEX</t>
  </si>
  <si>
    <t>DILATOR, SURG, HEG, 22 MM, 7.25 IN, UTER, SLD, SINGLE END, DBL ACT, MIRROR FINISH, SS, NS, LTX</t>
  </si>
  <si>
    <t>DILATOR, SURG, HEG, 22 MM, 7.25 IN, UTER, SLD, SINGLE END, DBL ACT</t>
  </si>
  <si>
    <t>22 MM</t>
  </si>
  <si>
    <t>https://www.bd.com/en-us/products-and-solutions/products/product-page.GL1401-022#overview, https://accessgudid.nlm.nih.gov/devices/10885403044168</t>
  </si>
  <si>
    <t>GL1401023</t>
  </si>
  <si>
    <t>GL1401-023</t>
  </si>
  <si>
    <t>BD_GL1401023</t>
  </si>
  <si>
    <t>HEGAR UTERINE DILATOR 23MM OVRLGTH 7-1/4</t>
  </si>
  <si>
    <t>PRODIGO1057375</t>
  </si>
  <si>
    <t>Hegar uterine dilators Solid single-ended. Mirror finish. Overall length 7-1/4in (18.5cm). Size 23mm.</t>
  </si>
  <si>
    <t>DILATOR, SURGICAL, HEGAR, 23 MM, 7.25 IN, UTERINE, SOLID, SINGLE END, DOUBLE ACTION, MIRROR FINISH, STAINLESS STEEL, NON STERILE, LATEX, REUSABLE</t>
  </si>
  <si>
    <t>DILATOR, SURG, HEG, 23 MM, 7.25 IN, UTER, SLD, SINGLE END, DBL ACT, MIRROR FINISH, SS, NS, LTX, REUSE</t>
  </si>
  <si>
    <t>DILATOR, SURG, HEG, 23 MM, 7.25 IN, UTER, SLD, SINGLE END, DBL ACT</t>
  </si>
  <si>
    <t>23 MM</t>
  </si>
  <si>
    <t>https://www.bd.com/en-us/products-and-solutions/products/product-page.GL1401-023, https://accessgudid.nlm.nih.gov/devices/10885403044175</t>
  </si>
  <si>
    <t>GL1401024</t>
  </si>
  <si>
    <t>GL1401-024</t>
  </si>
  <si>
    <t>BD_GL1401024</t>
  </si>
  <si>
    <t>HEGAR UTERINE DILATOR 24MM OVRLGTH 7-1/4</t>
  </si>
  <si>
    <t>PRODIGO1057376</t>
  </si>
  <si>
    <t>Hegar uterine dilators Solid single-ended. Mirror finish. Overall length 7-1/4in (18.5cm). Size 24mm.</t>
  </si>
  <si>
    <t>DILATOR, SURGICAL, HEGAR, 24 MM, 7.25 IN, UTERINE, SOLID, SINGLE END, DOUBLE ACTION, MIRROR FINISH, STAINLESS STEEL, NON STERILE, LATEX</t>
  </si>
  <si>
    <t>DILATOR, SURG, HEG, 24 MM, 7.25 IN, UTER, SLD, SINGLE END, DBL ACT, MIRROR FINISH, SS, NS, LTX</t>
  </si>
  <si>
    <t>DILATOR, SURG, HEG, 24 MM, 7.25 IN, UTER, SLD, SINGLE END, DBL ACT</t>
  </si>
  <si>
    <t>24 MM</t>
  </si>
  <si>
    <t>https://www.bd.com/en-us/products-and-solutions/products/product-page.GL1401-024#overview, https://accessgudid.nlm.nih.gov/devices/10885403044182</t>
  </si>
  <si>
    <t>GL1401025</t>
  </si>
  <si>
    <t>GL1401-025</t>
  </si>
  <si>
    <t>BD_GL1401025</t>
  </si>
  <si>
    <t>HEGAR UTERINE DILATOR 25MM OVRLGTH 7-1/4</t>
  </si>
  <si>
    <t>PRODIGO1057377</t>
  </si>
  <si>
    <t>Hegar uterine dilators Solid single-ended. Mirror finish. Overall length 7-1/4in (18.5cm). Size 25mm.</t>
  </si>
  <si>
    <t>DILATOR, SURGICAL, HEGAR, 25 MM, 7.25 IN, UTERINE, SOLID, SINGLE END, DOUBLE ACTION, MIRROR FINISH, STAINLESS STEEL, NON STERILE, LATEX, REUSABLE</t>
  </si>
  <si>
    <t>DILATOR, SURG, HEG, 25 MM, 7.25 IN, UTER, SLD, SINGLE END, DBL ACT, MIRROR FINISH, SS, NS, LTX, REUSE</t>
  </si>
  <si>
    <t>DILATOR, SURG, HEG, 25 MM, 7.25 IN, UTER, SLD, SINGLE END, DBL ACT</t>
  </si>
  <si>
    <t>25 MM</t>
  </si>
  <si>
    <t>https://www.bd.com/en-us/products-and-solutions/products/product-page.GL1401-025, https://accessgudid.nlm.nih.gov/devices/10885403044199</t>
  </si>
  <si>
    <t>GL1401026</t>
  </si>
  <si>
    <t>GL1401-026</t>
  </si>
  <si>
    <t>BD_GL1401026</t>
  </si>
  <si>
    <t>HEGAR UTERINE DILATOR 26MM OVRLGTH 7-1/4</t>
  </si>
  <si>
    <t>PRODIGO1057378</t>
  </si>
  <si>
    <t>Hegar uterine dilators Solid single-ended. Mirror finish. Overall length 7-1/4in (18.5cm). Size 26mm.</t>
  </si>
  <si>
    <t>DILATOR, SURGICAL, HEGAR, 26 MM, 7.25 IN, UTERINE, SOLID, SINGLE END, DOUBLE ACTION, MIRROR FINISH, STAINLESS STEEL, NON STERILE, LATEX</t>
  </si>
  <si>
    <t>DILATOR, SURG, HEG, 26 MM, 7.25 IN, UTER, SLD, SINGLE END, DBL ACT, MIRROR FINISH, SS, NS, LTX</t>
  </si>
  <si>
    <t>DILATOR, SURG, HEG, 26 MM, 7.25 IN, UTER, SLD, SINGLE END, DBL ACT</t>
  </si>
  <si>
    <t>26 MM</t>
  </si>
  <si>
    <t>https://www.bd.com/en-us/products-and-solutions/products/product-page.GL1401-026#overview, https://accessgudid.nlm.nih.gov/devices/10885403044205</t>
  </si>
  <si>
    <t>GL1401002</t>
  </si>
  <si>
    <t>GL1401-002</t>
  </si>
  <si>
    <t>BD_GL1401002</t>
  </si>
  <si>
    <t>HEGAR UTERINE DILATOR 2MM OVERLGTH 7-1/4</t>
  </si>
  <si>
    <t>PRODIGO1057356</t>
  </si>
  <si>
    <t>Hegar uterine dilators Solid single-ended. Mirror finish. Overall length 7-1/4in (18.5cm). Size 2mm.</t>
  </si>
  <si>
    <t>DILATOR, SURGICAL, HEGAR, 2 MM, 7.25 IN, UTERINE, SOLID, SINGLE ENDED, DOUBLE ACTION, MIRROR FINISH, STAINLESS STEEL, NON STERILE, LATEX</t>
  </si>
  <si>
    <t>DILATOR, SURG, HEG, 2 MM, 7.25 IN, UTER, SLD, SINGLE END, DBL ACT, MIRROR FINISH, SS, NS, LTX</t>
  </si>
  <si>
    <t>DILATOR, SURG, HEG, 2 MM, 7.25 IN, UTER, SLD, SINGLE END, DBL ACT</t>
  </si>
  <si>
    <t>https://www.bd.com/en-us/products-and-solutions/products/product-page.GL1401-002#overview, https://accessgudid.nlm.nih.gov/devices/10885403043932</t>
  </si>
  <si>
    <t>GL1401003</t>
  </si>
  <si>
    <t>GL1401-003</t>
  </si>
  <si>
    <t>BD_GL1401003</t>
  </si>
  <si>
    <t>HEGAR UTERINE DILATOR 3MM OVERLGTH 7-1/4</t>
  </si>
  <si>
    <t>PRODIGO1057357</t>
  </si>
  <si>
    <t>Hegar uterine dilators Solid single-ended. Mirror finish. Overall length 7-1/4in (18.5cm). Size 3mm.</t>
  </si>
  <si>
    <t>DILATOR, SURGICAL, HEGAR, 3 MM, 7.25 IN, UTERINE, SOLID, SINGLE ENDED, DOUBLE ACTION, MIRROR FINISH, STAINLESS STEEL, NON STERILE, LATEX</t>
  </si>
  <si>
    <t>DILATOR, SURG, HEG, 3 MM, 7.25 IN, UTER, SLD, SINGLE END, DBL ACT, MIRROR FINISH, SS, NS, LTX</t>
  </si>
  <si>
    <t>DILATOR, SURG, HEG, 3 MM, 7.25 IN, UTER, SLD, SINGLE END, DBL ACT</t>
  </si>
  <si>
    <t>https://www.bd.com/en-us/products-and-solutions/products/product-page.gl1401-003#overview, https://accessgudid.nlm.nih.gov/devices/10885403043949</t>
  </si>
  <si>
    <t>GL1401004</t>
  </si>
  <si>
    <t>GL1401-004</t>
  </si>
  <si>
    <t>BD_GL1401004</t>
  </si>
  <si>
    <t>HEGAR UTERINE DILATOR 4MM OVERLGTH 7-1/4</t>
  </si>
  <si>
    <t>PRODIGO1057358</t>
  </si>
  <si>
    <t>Hegar uterine dilators Solid single-ended. Mirror finish. Overall length 7-1/4in (18.5cm). Size 4mm.</t>
  </si>
  <si>
    <t>DILATOR, SURGICAL, HEGAR, 4 MM, 7.25 IN, UTERINE, SOLID, SINGLE END, DOUBLE ACTION, MIRROR FINISH, STAINLESS STEEL, NON STERILE, LATEX</t>
  </si>
  <si>
    <t>DILATOR, SURG, HEG, 4 MM, 7.25 IN, UTER, SLD, SINGLE END, DBL ACT, MIRROR FINISH, SS, NS, LTX</t>
  </si>
  <si>
    <t>DILATOR, SURG, HEG, 4 MM, 7.25 IN, UTER, SLD, SINGLE END, DBL ACT</t>
  </si>
  <si>
    <t>https://www.bd.com/en-us/offerings/capabilities/surgical-instruments/open-instrumentation/hegar-uterine-dilators/gl1401-004, https://accessgudid.nlm.nih.gov/devices/10885403043956</t>
  </si>
  <si>
    <t>GL1401005</t>
  </si>
  <si>
    <t>GL1401-005</t>
  </si>
  <si>
    <t>BD_GL1401005</t>
  </si>
  <si>
    <t>HEGAR UTERINE DILATOR 5MM OVERLGTH 7-1/4</t>
  </si>
  <si>
    <t>PRODIGO1057359</t>
  </si>
  <si>
    <t>Hegar uterine dilators Solid single-ended. Mirror finish. Overall length 7-1/4in (18.5cm). Size 5mm.</t>
  </si>
  <si>
    <t>DILATOR, SURGICAL, HEGAR, 5 MM, 7.25 IN, UTERINE, SOLID, SINGLE END, DOUBLE ACTION, MIRROR FINISH, STAINLESS STEEL, NON STERILE, LATEX</t>
  </si>
  <si>
    <t>DILATOR, SURG, HEG, 5 MM, 7.25 IN, UTER, SLD, SINGLE END, DBL ACT, MIRROR FINISH, SS, NS, LTX</t>
  </si>
  <si>
    <t>DILATOR, SURG, HEG, 5 MM, 7.25 IN, UTER, SLD, SINGLE END, DBL ACT</t>
  </si>
  <si>
    <t>https://www.bd.com/en-us/offerings/capabilities/surgical-instruments/open-instrumentation/hegar-uterine-dilators/gl1401-005, https://accessgudid.nlm.nih.gov/devices/10885403043963</t>
  </si>
  <si>
    <t>GL1401006</t>
  </si>
  <si>
    <t>GL1401-006</t>
  </si>
  <si>
    <t>BD_GL1401006</t>
  </si>
  <si>
    <t>HEGAR UTERINE DILATOR 6MM OVERLGTH 7-1/4</t>
  </si>
  <si>
    <t>PRODIGO1057360</t>
  </si>
  <si>
    <t>Hegar uterine dilators Solid single-ended. Mirror finish. Overall length 7-1/4in (18.5cm). Size 6mm.</t>
  </si>
  <si>
    <t>DILATOR, SURGICAL, HEGAR, 6 MM, 7.25 IN, UTERINE, SOLID, SINGLE ENDED, DOUBLE ACTION, MIRROR FINISH, STAINLESS STEEL, NON STERILE, LATEX</t>
  </si>
  <si>
    <t>DILATOR, SURG, HEG, 6 MM, 7.25 IN, UTER, SLD, SINGLE END, DBL ACT, MIRROR FINISH, SS, NS, LTX</t>
  </si>
  <si>
    <t>DILATOR, SURG, HEG, 6 MM, 7.25 IN, UTER, SLD, SINGLE END, DBL ACT</t>
  </si>
  <si>
    <t>https://www.bd.com/en-us/products-and-solutions/products/product-print-page.GL1401-006?printmode=true, https://accessgudid.nlm.nih.gov/devices/10885403043970</t>
  </si>
  <si>
    <t>GL1401007</t>
  </si>
  <si>
    <t>GL1401-007</t>
  </si>
  <si>
    <t>BD_GL1401007</t>
  </si>
  <si>
    <t>HEGAR UTERINE DILATOR 7MM OVERLGTH 7-1/4</t>
  </si>
  <si>
    <t>PRODIGO1057361</t>
  </si>
  <si>
    <t>Hegar uterine dilators Solid single-ended. Mirror finish. Overall length 7-1/4in (18.5cm). Size 7mm.</t>
  </si>
  <si>
    <t>DILATOR, SURGICAL, HEGAR, 7 MM, 7.25 IN, UTERINE, SOLID, SINGLE ENDED, DOUBLE ACTION, MIRROR FINISH, STAINLESS STEEL, NON STERILE, LATEX</t>
  </si>
  <si>
    <t>DILATOR, SURG, HEG, 7 MM, 7.25 IN, UTER, SLD, SINGLE END, DBL ACT, MIRROR FINISH, SS, NS, LTX</t>
  </si>
  <si>
    <t>DILATOR, SURG, HEG, 7 MM, 7.25 IN, UTER, SLD, SINGLE END, DBL ACT</t>
  </si>
  <si>
    <t>https://www.bd.com/en-us/products-and-solutions/products/product-page.gl1401-007#overview, https://accessgudid.nlm.nih.gov/devices/10885403043987</t>
  </si>
  <si>
    <t>GL1401008</t>
  </si>
  <si>
    <t>GL1401-008</t>
  </si>
  <si>
    <t>BD_GL1401008</t>
  </si>
  <si>
    <t>HEGAR UTERINE DILATOR 8MM OVERLGTH 7-1/4</t>
  </si>
  <si>
    <t>PRODIGO1057362</t>
  </si>
  <si>
    <t>Hegar uterine dilators Solid single-ended. Mirror finish. Overall length 7-1/4in (18.5cm). Size 8mm.</t>
  </si>
  <si>
    <t>DILATOR, SURGICAL, HEGAR, 8 MM, 7.25 IN, UTERINE, SOLID, SINGLE ENDED, DOUBLE ACTION, MIRROR FINISH, STAINLESS STEEL, NON STERILE, LATEX</t>
  </si>
  <si>
    <t>DILATOR, SURG, HEG, 8 MM, 7.25 IN, UTER, SLD, SINGLE END, DBL ACT, MIRROR FINISH, SS, NS, LTX</t>
  </si>
  <si>
    <t>DILATOR, SURG, HEG, 8 MM, 7.25 IN, UTER, SLD, SINGLE END, DBL ACT</t>
  </si>
  <si>
    <t>https://www.bd.com/en-us/products-and-solutions/products/product-page.GL1401-008#overview, https://accessgudid.nlm.nih.gov/devices/10885403043994</t>
  </si>
  <si>
    <t>GL1401009</t>
  </si>
  <si>
    <t>GL1401-009</t>
  </si>
  <si>
    <t>BD_GL1401009</t>
  </si>
  <si>
    <t>HEGAR UTERINE DILATOR 9MM OVERLGTH 7-1/4</t>
  </si>
  <si>
    <t>PRODIGO1057363</t>
  </si>
  <si>
    <t>Hegar uterine dilators Solid single-ended. Mirror finish. Overall length 7-1/4in (18.5cm). Size 9mm.</t>
  </si>
  <si>
    <t>DILATOR, SURGICAL, HEGAR, 9 MM, 7.25 IN, UTERINE, SOLID, SINGLE ENDED, DOUBLE ACTION, MIRROR FINISH, STAINLESS STEEL, NON STERILE, LATEX</t>
  </si>
  <si>
    <t>DILATOR, SURG, HEG, 9 MM, 7.25 IN, UTER, SLD, SINGLE END, DBL ACT, MIRROR FINISH, SS, NS, LTX</t>
  </si>
  <si>
    <t>DILATOR, SURG, HEG, 9 MM, 7.25 IN, UTER, SLD, SINGLE END, DBL ACT</t>
  </si>
  <si>
    <t>https://www.bd.com/en-us/products-and-solutions/products/product-page.GL1401-009#overview, https://accessgudid.nlm.nih.gov/devices/10885403044007</t>
  </si>
  <si>
    <t>GL1411003</t>
  </si>
  <si>
    <t>GL1411-003</t>
  </si>
  <si>
    <t>BD_GL1411003</t>
  </si>
  <si>
    <t>HEGAR UTERINE DILATOR DBL-END 7-8MM 8IN</t>
  </si>
  <si>
    <t>PRODIGO1057380</t>
  </si>
  <si>
    <t>Hegar uterine dilators Hollow double-ended. Mirror finish. Overall length 8in (20.3cm). Size 7-8mm.</t>
  </si>
  <si>
    <t>DILATOR, SURGICAL, HEGAR, 7-8 MM, 8 IN, UTERINE, HOLLOW, DOUBLE ENDED, MIRROR FINISH, STAINLESS STEEL, NON STERILE, LATEX</t>
  </si>
  <si>
    <t>DILATOR, SURG, HEG, 7-8 MM, 8 IN, UTER, HLLW, DBL END, MIRROR FINISH, SS, NS, LTX</t>
  </si>
  <si>
    <t>DILATOR, SURG, HEG, 7-8 MM, 8 IN, UTER, HLLW, DBL END, MIRROR FINISH</t>
  </si>
  <si>
    <t>7-8 MM</t>
  </si>
  <si>
    <t>HOLLOW, DOUBLE ENDED, MIRROR FINISH</t>
  </si>
  <si>
    <t>https://www.bd.com/en-us/products-and-solutions/products/product-page.GL1411-003#overview, https://accessgudid.nlm.nih.gov/devices/10885403044243</t>
  </si>
  <si>
    <t>GA1411005</t>
  </si>
  <si>
    <t>GA1411-005</t>
  </si>
  <si>
    <t>BD_GA1411005</t>
  </si>
  <si>
    <t>HEGAR UTERINE DILATOR DBL-END SZ 11-12MM</t>
  </si>
  <si>
    <t>PRODIGO1057316</t>
  </si>
  <si>
    <t>Hegar Uterine Dilator Affinity Line. Size 11-12mm. Double-ended. Overall length 8-1/4in (21cm).</t>
  </si>
  <si>
    <t>DILATOR, SURGICAL, HEGAR, 11-12 MM, 8.25 IN, UTERINE, AFFINITY LINE, DOUBLE-ENDED, NON STERILE, LATEX</t>
  </si>
  <si>
    <t>DILATOR, SURG, HEG, 11-12 MM, 8.25 IN, UTER, AFFIN LN, DOUBLE-ENDED, NS, LTX</t>
  </si>
  <si>
    <t>DILATOR, SURG, HEG, 11-12 MM, 8.25 IN, UTER, AFFIN LN, DOUBLE-ENDED</t>
  </si>
  <si>
    <t>11-12 MM</t>
  </si>
  <si>
    <t>AFFINITY LINE, DOUBLE-ENDED</t>
  </si>
  <si>
    <t>https://www.bd.com/en-us/products-and-solutions/products/product-page.GA1411-005#overview, https://accessgudid.nlm.nih.gov/devices/10885403042300</t>
  </si>
  <si>
    <t>GA1411007</t>
  </si>
  <si>
    <t>GA1411-007</t>
  </si>
  <si>
    <t>BD_GA1411007</t>
  </si>
  <si>
    <t>HEGAR UTERINE DILATOR DBL-END SZ 15-16MM</t>
  </si>
  <si>
    <t>PRODIGO1057317</t>
  </si>
  <si>
    <t>Hegar Uterine Dilator Affinity Line. Size 15-16mm. Double-ended. Overall length 8-1/4in (21cm).</t>
  </si>
  <si>
    <t>DILATOR, SURGICAL, HEGAR, 15-16 MM, 8.25 IN, UTERINE, AFFINITY LINE, DOUBLE-ENDED, NON STERILE, LATEX</t>
  </si>
  <si>
    <t>DILATOR, SURG, HEG, 15-16 MM, 8.25 IN, UTER, AFFIN LN, DOUBLE-ENDED, NS, LTX</t>
  </si>
  <si>
    <t>DILATOR, SURG, HEG, 15-16 MM, 8.25 IN, UTER, AFFIN LN, DOUBLE-ENDED</t>
  </si>
  <si>
    <t>15-16 MM</t>
  </si>
  <si>
    <t>https://www.bd.com/en-us/products-and-solutions/products/product-page.GA1411-007#overview, https://accessgudid.nlm.nih.gov/devices/10885403042317</t>
  </si>
  <si>
    <t>GA1411004</t>
  </si>
  <si>
    <t>GA1411-004</t>
  </si>
  <si>
    <t>BD_GA1411004</t>
  </si>
  <si>
    <t>HEGAR UTERINE DILATOR DBL-END SZ 9-10MM</t>
  </si>
  <si>
    <t>PRODIGO1057315</t>
  </si>
  <si>
    <t>Hegar Uterine Dilator Affinity Line. Size 9-10mm. Double-ended. Overall length 8-1/4in (21cm).</t>
  </si>
  <si>
    <t>DILATOR, SURGICAL, HEGAR, 9-10 MM, 8.25 IN, UTERINE, AFFINITY LINE, DOUBLE-ENDED, NON STERILE, LATEX</t>
  </si>
  <si>
    <t>DILATOR, SURG, HEG, 9-10 MM, 8.25 IN, UTER, AFFIN LN, DOUBLE-ENDED, NS, LTX</t>
  </si>
  <si>
    <t>DILATOR, SURG, HEG, 9-10 MM, 8.25 IN, UTER, AFFIN LN, DOUBLE-ENDED</t>
  </si>
  <si>
    <t>9-10 MM</t>
  </si>
  <si>
    <t>https://www.bd.com/en-us/products-and-solutions/products/product-page.GA1411-004#overview, https://accessgudid.nlm.nih.gov/devices/10885403042294</t>
  </si>
  <si>
    <t>GL1401</t>
  </si>
  <si>
    <t>BD_GL1401</t>
  </si>
  <si>
    <t>HEGAR UTERINE SET/26 7-1/4IN</t>
  </si>
  <si>
    <t>PRODIGO1057355</t>
  </si>
  <si>
    <t>Hegar uterine dilators Solid single-ended. Mirror finish. Overall length 7-1/4in (18.5cm). Set of 26. Single ended. One of each size 1mm to 26mm.</t>
  </si>
  <si>
    <t>DILATOR, SURGICAL, HEGAR, 1-26 MM, 7.25 IN, UTERINE, SOLID, SINGLE ENDED, DOUBLE ACTION, MIRROR FINISH, SET, STAINLESS STEEL, NON STERILE, LATEX</t>
  </si>
  <si>
    <t>DILATOR, SURG, HEG, 1-26 MM, 7.25 IN, UTER, SLD, SINGLE END, DBL ACT, MIRROR FINISH, SET, SS, NS, LTX</t>
  </si>
  <si>
    <t>DILATOR, SURG, HEG, 1-26 MM, 7.25 IN, UTER, SLD, SINGLE END, DBL ACT</t>
  </si>
  <si>
    <t>1-26 MM</t>
  </si>
  <si>
    <t>SOLID, SINGLE ENDED, DOUBLE ACTION, MIRROR FINISH, SET</t>
  </si>
  <si>
    <t>https://www.bd.com/en-us/products-and-solutions/products/product-page.gl1401#overview, https://accessgudid.nlm.nih.gov/devices/10885403043918</t>
  </si>
  <si>
    <t>GL1411</t>
  </si>
  <si>
    <t>BD_GL1411</t>
  </si>
  <si>
    <t>HEGAR UTERINE SET/8 8IN</t>
  </si>
  <si>
    <t>PRODIGO1057379</t>
  </si>
  <si>
    <t>Hegar uterine dilators Hollow double-ended. Mirror finish. Overall length 8in (20.3cm). Set of eight. One each of the following sizes: 3mm-4mm 5mm-6mm 7mm-8mm 9mm-10mm 11mm-12mm 13mm-14mm 15mm-16mm 17mm-18mm.</t>
  </si>
  <si>
    <t>DILATOR, SURGICAL, HEGAR, 8 IN, UTERINE, HOLLOW, DOUBLE ENDED, DOUBLE ACTION, MIRROR FINISH, SET OF EIGHT, STAINLESS STEEL, NON STERILE, LATEX</t>
  </si>
  <si>
    <t>DILATOR, SURG, HEG, 8 IN, UTER, HLLW, DBL END, DBL ACT, MIRROR FINISH, SET OF EIGHT, SS, NS, LTX</t>
  </si>
  <si>
    <t>DILATOR, SURG, HEG, 8 IN, UTER, HLLW, DBL END, DBL ACT, SET OF EIGHT</t>
  </si>
  <si>
    <t>HOLLOW, DOUBLE ENDED, DOUBLE ACTION, MIRROR FINISH, SET OF EIGHT</t>
  </si>
  <si>
    <t>https://www.bd.com/en-us/products-and-solutions/products/product-page.gl1411#overview, https://accessgudid.nlm.nih.gov/devices/10885403044212</t>
  </si>
  <si>
    <t>CH6522</t>
  </si>
  <si>
    <t>BD_CH6522</t>
  </si>
  <si>
    <t>HENDREN CARDIO CLAMP 12MM DEL COOLEY JAW</t>
  </si>
  <si>
    <t>PRODIGO1057058</t>
  </si>
  <si>
    <t>HENDREN Cardiovascular Clamps Delicate. COOLEY jaws in 5mm increments. Overall length 6 1/4in (15.9cm).</t>
  </si>
  <si>
    <t>CLAMP, SURGICAL, HENDREN, 15.9 CM, 12 MM, CARDIOVASCULAR, DELICATE, COOLEY JAW, NON STERILE, LATEX</t>
  </si>
  <si>
    <t>CLAMP, SURG, HENDREN, 15.9 CM, 12 MM, CV, DEL, COOLEY JAW, NS, LTX</t>
  </si>
  <si>
    <t>HENDREN</t>
  </si>
  <si>
    <t>DELICATE, COOLEY JAW</t>
  </si>
  <si>
    <t>http://www.lt-technologies.de/_ws/mediabase/_ts_1494230442000/Downloads/CardioCatalog_LIT12012_low-res.pdf, https://accessgudid.nlm.nih.gov/devices/10885403031731</t>
  </si>
  <si>
    <t>CH6542</t>
  </si>
  <si>
    <t>BD_CH6542</t>
  </si>
  <si>
    <t>HENDREN CARDIO CLAMP 12MM VRY DEL COOLEY</t>
  </si>
  <si>
    <t>PRODIGO1057061</t>
  </si>
  <si>
    <t>HENDREN Cardiovascular Clamps Very Delicate. COOLEY jaws in 5mm increments. Overall length 8-1/4in (21cm). Jaw base 12mm</t>
  </si>
  <si>
    <t>CLAMP, SURGICAL, HENDREN, 21 CM, 12 MM, CARDIOVASCULAR, VERY DELICATE, COOLEY JAW, NON STERILE, LATEX</t>
  </si>
  <si>
    <t>CLAMP, SURG, HENDREN, 21 CM, 12 MM, CV, VERY DEL, COOLEY JAW, NS, LTX</t>
  </si>
  <si>
    <t>VERY DELICATE, COOLEY JAW</t>
  </si>
  <si>
    <t>http://www.lt-technologies.de/_ws/mediabase/_ts_1494230442000/Downloads/CardioCatalog_LIT12012_low-res.pdf, https://accessgudid.nlm.nih.gov/devices/10885403031809</t>
  </si>
  <si>
    <t>CH6544</t>
  </si>
  <si>
    <t>BD_CH6544</t>
  </si>
  <si>
    <t>HENDREN CARDIO CLAMP 18MM VRY DEL COOLEY</t>
  </si>
  <si>
    <t>PRODIGO1057062</t>
  </si>
  <si>
    <t>HENDREN Cardiovascular Clamps Very Delicate. COOLEY jaws in 5mm increments. Overall length 8-1/4in (21cm). Jaw base 18mm</t>
  </si>
  <si>
    <t>CLAMP, SURGICAL, HENDREN, 21 CM, 18 MM, CARDIOVASCULAR, VERY DELICATE, COOLEY JAW, NON STERILE, LATEX</t>
  </si>
  <si>
    <t>CLAMP, SURG, HENDREN, 21 CM, 18 MM, CV, VERY DEL, COOLEY JAW, NS, LTX</t>
  </si>
  <si>
    <t>http://www.lt-technologies.de/_ws/mediabase/_ts_1494230442000/Downloads/CardioCatalog_LIT12012_low-res.pdf, https://accessgudid.nlm.nih.gov/devices/10885403031816</t>
  </si>
  <si>
    <t>CH6526</t>
  </si>
  <si>
    <t>BD_CH6526</t>
  </si>
  <si>
    <t>HENDREN CARDIO CLAMP 24MM DEL COOLEY JAW</t>
  </si>
  <si>
    <t>PRODIGO1057059</t>
  </si>
  <si>
    <t>Hendren cardiovascular clamps</t>
  </si>
  <si>
    <t>CLAMP, SURGICAL, HENDREN, 15.9 CM, 24 MM, CARDIOVASCULAR, DELICATE, COOLEY JAW, NON STERILE, LATEX</t>
  </si>
  <si>
    <t>CLAMP, SURG, HENDREN, 15.9 CM, 24 MM, CV, DEL, COOLEY JAW, NS, LTX</t>
  </si>
  <si>
    <t>https://www.bd.com/en-us/products-and-solutions/products/product-page.ch6526#overview, https://accessgudid.nlm.nih.gov/devices/10885403031755</t>
  </si>
  <si>
    <t>CH6546</t>
  </si>
  <si>
    <t>BD_CH6546</t>
  </si>
  <si>
    <t>HENDREN CARDIO CLAMP 24MM VRY DEL COOLEY</t>
  </si>
  <si>
    <t>PRODIGO1057063</t>
  </si>
  <si>
    <t>HENDREN Cardiovascular Clamps Very Delicate. COOLEY jaws in 5mm increments. Overall length 8-1/4in (21cm). Jaw base 24mm</t>
  </si>
  <si>
    <t>CLAMP, SURGICAL, HENDREN, 21 CM, 24 MM, CARDIOVASCULAR, VERY DELICATE, COOLEY JAW, NON STERILE, LATEX</t>
  </si>
  <si>
    <t>CLAMP, SURG, HENDREN, 21 CM, 24 MM, CV, VERY DEL, COOLEY JAW, NS, LTX</t>
  </si>
  <si>
    <t>http://www.lt-technologies.de/_ws/mediabase/_ts_1494230442000/Downloads/CardioCatalog_LIT12012_low-res.pdf, https://accessgudid.nlm.nih.gov/devices/10885403031823</t>
  </si>
  <si>
    <t>CH6548</t>
  </si>
  <si>
    <t>BD_CH6548</t>
  </si>
  <si>
    <t>HENDREN CARDIO CLAMP 30MM VRY DEL COOLEY</t>
  </si>
  <si>
    <t>PRODIGO1057064</t>
  </si>
  <si>
    <t>HENDREN Cardiovascular Clamps Very Delicate. COOLEY jaws in 5mm increments. Overall length 8-1/4in (21cm). Jaw base 30mm</t>
  </si>
  <si>
    <t>CLAMP, SURGICAL, HENDREN, 21 CM, 30 MM, CARDIOVASCULAR, VERY DELICATE, COOLEY JAW, NON STERILE, LATEX</t>
  </si>
  <si>
    <t>CLAMP, SURG, HENDREN, 21 CM, 30 MM, CV, VERY DEL, COOLEY JAW, NS, LTX</t>
  </si>
  <si>
    <t>30 MM</t>
  </si>
  <si>
    <t>http://www.lt-technologies.de/_ws/mediabase/_ts_1494230442000/Downloads/CardioCatalog_LIT12012_low-res.pdf, https://accessgudid.nlm.nih.gov/devices/10885403031830</t>
  </si>
  <si>
    <t>CH6540</t>
  </si>
  <si>
    <t>BD_CH6540</t>
  </si>
  <si>
    <t>HENDREN CARDIO CLAMP 8MM VERY DEL COOLEY</t>
  </si>
  <si>
    <t>PRODIGO1057060</t>
  </si>
  <si>
    <t>HENDREN Cardiovascular Clamps Very Delicate. COOLEY jaws in 5mm increments. Overall length 8-1/4in (21cm). Jaw base 6mm</t>
  </si>
  <si>
    <t>CLAMP, SURGICAL, HENDREN, 21 CM, 6 MM, CARDIOVASCULAR, VERY DELICATE, COOLEY JAW, NON STERILE, LATEX</t>
  </si>
  <si>
    <t>CLAMP, SURG, HENDREN, 21 CM, 6 MM, CV, VERY DEL, COOLEY JAW, NS, LTX</t>
  </si>
  <si>
    <t>http://www.lt-technologies.de/_ws/mediabase/_ts_1494230442000/Downloads/CardioCatalog_LIT12012_low-res.pdf, https://accessgudid.nlm.nih.gov/devices/10885403031793</t>
  </si>
  <si>
    <t>CH1130</t>
  </si>
  <si>
    <t>BD_CH1130</t>
  </si>
  <si>
    <t>HENLY RETRACTOR -ORIGINAL TYPE 6-1/2IN</t>
  </si>
  <si>
    <t>PRODIGO1056626</t>
  </si>
  <si>
    <t>HENLY RETRACTORS ORIGINAL-TYPE MODIFIED VERSION COMPLETE SET INCLUDES HENLY RETRACTOR 6.5 IN WITH THREE CENTER BLADE LATEX NON STERILE</t>
  </si>
  <si>
    <t>RETRACTOR, SURGICAL, HENLY, 6.5 IN, ORIGINAL TYPE, MODIFIED VERSION, COMPLETE SET, WITH THREE CENTER BLADE, NON STERILE, LATEX</t>
  </si>
  <si>
    <t>RETRACTOR, SURG, HENLY, 6.5 IN, ORIG TYP, MOD VERSION, COMPLETE SET, W/ 3 CENTER BLADE, NS, LTX</t>
  </si>
  <si>
    <t>RETRACTOR, SURG, HENLY, 6.5 IN, ORIG TYP, MOD VERSION, W/ 3 BLADE</t>
  </si>
  <si>
    <t>HENLY</t>
  </si>
  <si>
    <t>ORIGINAL TYPE, MODIFIED VERSION, COMPLETE SET, WITH THREE CENTER BLADE</t>
  </si>
  <si>
    <t>http://www.lt-technologies.de/_ws/mediabase/_ts_1494230442000/Downloads/CardioCatalog_LIT12012_low-res.pdf, https://accessgudid.nlm.nih.gov/devices/10885403023187</t>
  </si>
  <si>
    <t>GU8790</t>
  </si>
  <si>
    <t>BD_GU8790</t>
  </si>
  <si>
    <t>HERRICK KIDNEY PEDICLE CLAMP HEAVY SERR</t>
  </si>
  <si>
    <t>PRODIGO1057650</t>
  </si>
  <si>
    <t>Herrick kidney pedicle clamp Double-angled serrated jaws. Heavy model. Overall length 9-1/2in (24.1cm).</t>
  </si>
  <si>
    <t>CLAMP, SURGICAL, HERRICK, 9.5 IN, KIDNEY, PEDICLE, SERRATED, DOUBLE ANGLED JAW, HEAVY, NON STERILE, LATEX</t>
  </si>
  <si>
    <t>CLAMP, SURG, HERRICK, 9.5 IN, KID, PEDCL, SERRATED, DBL ANGLED JAW, HVY, NS, LTX</t>
  </si>
  <si>
    <t>CLAMP, SURG, HERRICK, 9.5 IN, PEDCL, SERRATED, DBL ANGLED JAW, HVY</t>
  </si>
  <si>
    <t>HERRICK</t>
  </si>
  <si>
    <t>KIDNEY, PEDICLE</t>
  </si>
  <si>
    <t>SERRATED, DOUBLE ANGLED JAW, HEAVY</t>
  </si>
  <si>
    <t>https://www.bd.com/en-us/products-and-solutions/products/product-page.GU8790#overview, https://accessgudid.nlm.nih.gov/devices/10885403050930</t>
  </si>
  <si>
    <t>GL5830</t>
  </si>
  <si>
    <t>BD_GL5830</t>
  </si>
  <si>
    <t>HIRST-EMMETT PLACENTA FORCEPS CVD 11IN</t>
  </si>
  <si>
    <t>PRODIGO1057527</t>
  </si>
  <si>
    <t>Hirst-Emmett placenta forceps Curved fenestrated jaw. Overall length 11in (27.9cm).</t>
  </si>
  <si>
    <t>FORCEP, SURGICAL, HIRST EMMETT, 11 IN, PLACENTA, CURVED FENESTRATED JAW, NON STERILE, LATEX</t>
  </si>
  <si>
    <t>FORCEP, SURG, HIRST EMMETT, 11 IN, PLCNTA, CRV FEN JAW, NS, LTX</t>
  </si>
  <si>
    <t>HIRST EMMETT</t>
  </si>
  <si>
    <t>PLACENTA</t>
  </si>
  <si>
    <t>CURVED FENESTRATED JAW</t>
  </si>
  <si>
    <t>https://www.bd.com/en-us/products-and-solutions/products/product-page.GL5830#overview, https://accessgudid.nlm.nih.gov/devices/10885403047008</t>
  </si>
  <si>
    <t>AU6230</t>
  </si>
  <si>
    <t>BD_AU6230</t>
  </si>
  <si>
    <t>HOFFMAN EAR FORCEPS PUNCH-ACT 2MM CUP</t>
  </si>
  <si>
    <t>PRODIGO1056366</t>
  </si>
  <si>
    <t>HOFFMANN EAR FORCEPS PUNCHES ACTION. CUP 2MM. WORKING LENGTH 2-3/4IN (7CM).</t>
  </si>
  <si>
    <t>FORCEP, SURGICAL, HOFFMANN, 2.75 IN, 2 MM, EAR, PUNCHES ACTION, CUP, NON STERILE, LATEX</t>
  </si>
  <si>
    <t>FORCEP, SURG, HOFFMANN, 2.75 IN, 2 MM, EAR, PUNCHES ACT, CUP, NS, LTX</t>
  </si>
  <si>
    <t>HOFFMANN</t>
  </si>
  <si>
    <t>PUNCHES ACTION, CUP</t>
  </si>
  <si>
    <t>https://www.bd.com/en-us/products-and-solutions/products/product-page.AU6230#overview, https://accessgudid.nlm.nih.gov/devices/10885403008900</t>
  </si>
  <si>
    <t>LA824645</t>
  </si>
  <si>
    <t>LA8246-45</t>
  </si>
  <si>
    <t>BD_LA824645</t>
  </si>
  <si>
    <t>HOOK BIOPSY PUNCH 5MM 45CM</t>
  </si>
  <si>
    <t>PRODIGO1057720</t>
  </si>
  <si>
    <t>Punch 5 Mmx45 Cm Kerrison Biopsy Single Action Hook Jaw Insulated Shaft Non Rotation Insulated Handle Non Ratchet Satin Finish Monopolar Stainless Steel Non Sterile Latex</t>
  </si>
  <si>
    <t>PUNCH, ENDOSCOPIC, KERRISON, 5 MMX45 CM, BIOPSY, SINGLE ACTION, HOOK JAW, INSULATED SHAFT, NON ROTATION, INSULATED HANDLE, NON RATCHET, SATIN FINISH, MONOPOLAR, STAINLESS STEEL, NON STERILE, LATEX</t>
  </si>
  <si>
    <t>PUNCH, ENDOSCP, KERRISON, 5 MMX45 CM, BX, SINGLE ACT, HK JAW, INSUL SHFT, N ROT, INSUL HNDL, N RATCH, SATIN FINISH, MONOPOLAR, SS, NS, LTX</t>
  </si>
  <si>
    <t>PUNCH, ENDOSCP, KERRISON, 5 MMX45 CM, BX, SINGLE ACT, HK JAW</t>
  </si>
  <si>
    <t>BIOPSY, SINGLE ACTION, HOOK JAW, INSULATED SHAFT, NON ROTATION, INSULATED HANDLE, NON RATCHET, SATIN FINISH, MONOPOLAR</t>
  </si>
  <si>
    <t>https://www.bd.com/en-us/offerings/capabilities/surgical-instruments/laparoscopic-instruments/hook-biopsy-punch/la8246-45, https://accessgudid.nlm.nih.gov/devices/10885403053436</t>
  </si>
  <si>
    <t>LA8246</t>
  </si>
  <si>
    <t>BD_LA8246</t>
  </si>
  <si>
    <t>HOOK BIOPSY PUNCH MONOPOLAR 5MM 35CM</t>
  </si>
  <si>
    <t>PRODIGO1057719</t>
  </si>
  <si>
    <t>Punch 5 Mmx35 Cm Kerrison Biopsy Single Action Hook Jaw Insulated Shaft Non Rotation Insulated Handle Non Ratchet Satin Finish Monopolar Stainless Steel Non Sterile Latex</t>
  </si>
  <si>
    <t>PUNCH, ENDOSCOPIC, KERRISON, 5 MMX35 CM, BIOPSY, SINGLE ACTION, HOOK JAW, INSULATED SHAFT, NON ROTATION, INSULATED HANDLE, NON RATCHET, SATIN FINISH, MONOPOLAR, STAINLESS STEEL, NON STERILE, LATEX</t>
  </si>
  <si>
    <t>PUNCH, ENDOSCP, KERRISON, 5 MMX35 CM, BX, SINGLE ACT, HK JAW, INSUL SHFT, N ROT, INSUL HNDL, N RATCH, SATIN FINISH, MONOPOLAR, SS, NS, LTX</t>
  </si>
  <si>
    <t>PUNCH, ENDOSCP, KERRISON, 5 MMX35 CM, BX, SINGLE ACT, HK JAW</t>
  </si>
  <si>
    <t>https://www.bd.com/en-us/offerings/capabilities/surgical-instruments/laparoscopic-instruments/hook-biopsy-punch/la8246, https://accessgudid.nlm.nih.gov/devices/10885403053429</t>
  </si>
  <si>
    <t>LA8505</t>
  </si>
  <si>
    <t>BD_LA8505</t>
  </si>
  <si>
    <t>HOOK ELECTRODE RIGHT ANGLE 33CM</t>
  </si>
  <si>
    <t>PRODIGO1057748</t>
  </si>
  <si>
    <t>Electrode 5 Mmx33 Cm 90 Degree Hook Right Angled Suction No Valve Non Sterile Latex</t>
  </si>
  <si>
    <t>ELECTRODE, ELECTROSURGICAL, HOOK, 90 DEGREE, 5 MMX33 CM, RIGHT ANGLED, SUCTION, NO VALVE, NON STERILE, LATEX</t>
  </si>
  <si>
    <t>ELECTRODE, ELECSURG, HK, 90 DEG, 5 MMX33 CM, RT ANGLED, SUCTION, NO VLV, NS, LTX</t>
  </si>
  <si>
    <t>ELECTRODE, ELECSURG, HK, 90 DEG, 5 MMX33 CM, RT ANGLED, NO VLV</t>
  </si>
  <si>
    <t>RIGHT ANGLED, SUCTION, NO VALVE</t>
  </si>
  <si>
    <t>https://www.bd.com/en-us/offerings/capabilities/surgical-instruments/laparoscopic-instruments/right-angled-hook-electrode/la8505, https://accessgudid.nlm.nih.gov/devices/10885403053894</t>
  </si>
  <si>
    <t>LA850545</t>
  </si>
  <si>
    <t>LA8505-45</t>
  </si>
  <si>
    <t>BD_LA850545</t>
  </si>
  <si>
    <t>HOOK ELECTRODE RIGHT ANGLED 45CM</t>
  </si>
  <si>
    <t>PRODIGO1057749</t>
  </si>
  <si>
    <t>Electrode 5 Mmx45 Cm 90 Degree Hook Right Angled Suction No Valve Non Sterile Latex</t>
  </si>
  <si>
    <t>ELECTRODE, ELECTROSURGICAL, HOOK, 90 DEGREE, 5 MMX45 CM, RIGHT ANGLED, SUCTION, NO VALVE, NON STERILE, LATEX</t>
  </si>
  <si>
    <t>ELECTRODE, ELECSURG, HK, 90 DEG, 5 MMX45 CM, RT ANGLED, SUCTION, NO VLV, NS, LTX</t>
  </si>
  <si>
    <t>ELECTRODE, ELECSURG, HK, 90 DEG, 5 MMX45 CM, RT ANGLED, NO VLV</t>
  </si>
  <si>
    <t>https://www.bd.com/en-us/offerings/capabilities/surgical-instruments/laparoscopic-instruments/right-angled-hook-electrode/la8505-45, https://accessgudid.nlm.nih.gov/devices/10885403053900</t>
  </si>
  <si>
    <t>CH10000</t>
  </si>
  <si>
    <t>BD_CH10000</t>
  </si>
  <si>
    <t>HOOK FORCEPS CASTROVIEJO-STYLE EX FINE</t>
  </si>
  <si>
    <t>PRODIGO1056603</t>
  </si>
  <si>
    <t xml:space="preserve">HOOK FORCEPS CASTROVIEJO-STYLE SPRING HANDLE EXTRA-FINE HOOKS OVERALL LENGTH 4-3/4IN SS </t>
  </si>
  <si>
    <t>FORCEP, SURGICAL, CASTROVIEJO, 4.75 IN, EXTRA FINE HOOK, SPRING HANDLE, STAINLESS STEEL</t>
  </si>
  <si>
    <t>FORCEP, SURG, CASTRO, 4.75 IN, X FN HK, SPRING HNDL, SS</t>
  </si>
  <si>
    <t>EXTRA FINE HOOK, SPRING HANDLE</t>
  </si>
  <si>
    <t>https://www.bd.com/en-us/products-and-solutions/products/product-page.CH10000#overview</t>
  </si>
  <si>
    <t>CH10002</t>
  </si>
  <si>
    <t>BD_CH10002</t>
  </si>
  <si>
    <t>HOOK FORCEPS STANDARD HOOKS FLAT HANDLE</t>
  </si>
  <si>
    <t>PRODIGO1056605</t>
  </si>
  <si>
    <t>HOOK FORCEPS FLAT SPRING HANDLE STANDARD 4.75IN SS</t>
  </si>
  <si>
    <t>FORCEP, SURGICAL, HOOK, STANDARD, 4.75 IN, FLAT SPRING HANDLE, STAINLESS STEEL</t>
  </si>
  <si>
    <t>FORCEP, SURG, HK, STD, 4.75 IN, FLAT SPRING HNDL, SS</t>
  </si>
  <si>
    <t>STANDARD</t>
  </si>
  <si>
    <t>FLAT SPRING HANDLE</t>
  </si>
  <si>
    <t>https://www.bd.com/en-us/products-and-solutions/products/product-page.CH10002#overview</t>
  </si>
  <si>
    <t>LA8108</t>
  </si>
  <si>
    <t>BD_LA8108</t>
  </si>
  <si>
    <t>HOOK SCISSOR MONOPOLAR SPINFREE 5MM 35CM</t>
  </si>
  <si>
    <t>PRODIGO1057674</t>
  </si>
  <si>
    <t>Scissor 5 Mmx35 Cm Hook Single Action Monopolar Rotation Non Ratchet Satin Finish Spin Free Stainless Steel Non Sterile Latex</t>
  </si>
  <si>
    <t>SCISSOR, ENDOSCOPIC, HOOK, 5 MMX35 CM, SINGLE ACTION, MONOPOLAR, ROTATION, NON RATCHET, SATIN FINISH, SPIN FREE, STAINLESS STEEL, NON STERILE, LATEX</t>
  </si>
  <si>
    <t>SCISSOR, ENDOSCP, HK, 5 MMX35 CM, SINGLE ACT, MONOPOLAR, ROT, N RATCH, SATIN FINISH, SPIN FREE, SS, NS, LTX</t>
  </si>
  <si>
    <t>SCISSOR, ENDOSCP, HK, 5 MMX35 CM, SINGLE ACT, MONOPOLAR, ROT</t>
  </si>
  <si>
    <t>SINGLE ACTION, MONOPOLAR, ROTATION, NON RATCHET, SATIN FINISH, SPIN FREE</t>
  </si>
  <si>
    <t>https://www.bd.com/en-us/offerings/capabilities/surgical-instruments/laparoscopic-instruments/hook-scissors/la8108, https://accessgudid.nlm.nih.gov/devices/10885403052637</t>
  </si>
  <si>
    <t>LA810845</t>
  </si>
  <si>
    <t>LA8108-45</t>
  </si>
  <si>
    <t>BD_LA810845</t>
  </si>
  <si>
    <t>HOOK SCISSOR MONOPOLAR SPINFREE 5MM 45CM</t>
  </si>
  <si>
    <t>PRODIGO1057675</t>
  </si>
  <si>
    <t>Scissor 5 Mmx45 Cm Hook Single Action Monopolar Rotation Non Ratchet Satin Finish Spin Free Stainless Steel Non Sterile Latex</t>
  </si>
  <si>
    <t>SCISSOR, ENDOSCOPIC, HOOK, 5 MMX45 CM, SINGLE ACTION, MONOPOLAR, ROTATION, NON RATCHET, SATIN FINISH, SPIN FREE, STAINLESS STEEL, NON STERILE, LATEX</t>
  </si>
  <si>
    <t>SCISSOR, ENDOSCP, HK, 5 MMX45 CM, SINGLE ACT, MONOPOLAR, ROT, N RATCH, SATIN FINISH, SPIN FREE, SS, NS, LTX</t>
  </si>
  <si>
    <t>SCISSOR, ENDOSCP, HK, 5 MMX45 CM, SINGLE ACT, MONOPOLAR, ROT</t>
  </si>
  <si>
    <t>https://www.bd.com/en-us/offerings/capabilities/surgical-instruments/laparoscopic-instruments/hook-scissors/la8108-45, https://accessgudid.nlm.nih.gov/devices/10885403052644</t>
  </si>
  <si>
    <t>LAT0536HS</t>
  </si>
  <si>
    <t>LAT-0536-HS</t>
  </si>
  <si>
    <t>BD_LAT0536HS</t>
  </si>
  <si>
    <t>HOOK SCISSOR S/A INSERT 5MM 36CM</t>
  </si>
  <si>
    <t>PRODIGO1057795</t>
  </si>
  <si>
    <t>HOOK SCISSORS S/A INSERT 5MM 36CM</t>
  </si>
  <si>
    <t>SCISSOR, ENDOSCOPIC, HOOK, 5 MMX36 CM, SINGLE ACTION, INSERT, ELECTROSURGICAL, INSULATED SHAFT, INSULATED HANDLE, LAPAROSCOPIC, NON STERILE, LATEX</t>
  </si>
  <si>
    <t>SCISSOR ENDOSCOPIC HOOK 5 MMX36 CM SINGLE ACTION INSERT ELECTROSURGICAL INSULATED SHAFT INSULATED HANDLE LAPAROSCOPIC NON STERILE LATEX</t>
  </si>
  <si>
    <t>SCISSOR, ENDOSCP, HK, 5 MMX36 CM, SINGLE ACT, INSRT, ELECSURG, INSUL SHFT, INSUL HNDL, LAP, NS, LTX</t>
  </si>
  <si>
    <t>SCISSOR, ENDOSCP, HK, 5 MMX36 CM, SINGLE ACT, INSRT, ELECSURG</t>
  </si>
  <si>
    <t>SINGLE ACTION, INSERT, ELECTROSURGICAL, INSULATED SHAFT, INSULATED HANDLE, LAPAROSCOPIC</t>
  </si>
  <si>
    <t>https://www.bd.com/en-us/products-and-solutions/products/product-page.LAT-0536-HS#specifications, https://accessgudid.nlm.nih.gov/devices/10885403431166</t>
  </si>
  <si>
    <t>LA8107</t>
  </si>
  <si>
    <t>BD_LA8107</t>
  </si>
  <si>
    <t>HOOK SCISSORS 5MM 35CM</t>
  </si>
  <si>
    <t>PRODIGO1057673</t>
  </si>
  <si>
    <t>Scissor 5 Mmx35 Cm Hook Single Action Monopolar Non Insulated Non Rotation Non Ratchet Satin Finish Stainless Steel Non Sterile Latex</t>
  </si>
  <si>
    <t>SCISSOR, ENDOSCOPIC, HOOK, 5 MMX35 CM, SINGLE ACTION, MONOPOLAR, NON INSULATED, NON ROTATION, NON RATCHET, SATIN FINISH, STAINLESS STEEL, NON STERILE, LATEX</t>
  </si>
  <si>
    <t>SCISSOR, ENDOSCP, HK, 5 MMX35 CM, SINGLE ACT, MONOPOLAR, N INSUL, N ROT, N RATCH, SATIN FINISH, SS, NS, LTX</t>
  </si>
  <si>
    <t>SCISSOR, ENDOSCP, HK, 5 MMX35 CM, SINGLE ACT, MONOPOLAR, N INSUL</t>
  </si>
  <si>
    <t>SINGLE ACTION, MONOPOLAR, NON INSULATED, NON ROTATION, NON RATCHET, SATIN FINISH</t>
  </si>
  <si>
    <t>https://www.bd.com/en-us/products-and-solutions/products/product-page.LA8107#overview, https://accessgudid.nlm.nih.gov/devices/10885403052620</t>
  </si>
  <si>
    <t>LA8106</t>
  </si>
  <si>
    <t>BD_LA8106</t>
  </si>
  <si>
    <t>HOOK SCISSORS MONOPOLAR 5MM 35CM</t>
  </si>
  <si>
    <t>PRODIGO1057671</t>
  </si>
  <si>
    <t>Scissor 5 Mmx35 Cm Hook Single Action Monopolar Insulated Handle Non Rotation Non Ratchet Satin Finish Stainless Steel Non Sterile Latex</t>
  </si>
  <si>
    <t>SCISSOR, ENDOSCOPIC, HOOK, 5 MMX35 CM, SINGLE ACTION, MONOPOLAR, INSULATED HANDLE, NON ROTATION, NON RATCHET, SATIN FINISH, STAINLESS STEEL, NON STERILE, LATEX</t>
  </si>
  <si>
    <t>SCISSOR, ENDOSCP, HK, 5 MMX35 CM, SINGLE ACT, MONOPOLAR, INSUL HNDL, N ROT, N RATCH, SATIN FINISH, SS, NS, LTX</t>
  </si>
  <si>
    <t>SCISSOR, ENDOSCP, HK, 5 MMX35 CM, SINGLE ACT, MONOPOLAR, INSUL</t>
  </si>
  <si>
    <t>SINGLE ACTION, MONOPOLAR, INSULATED HANDLE, NON ROTATION, NON RATCHET, SATIN FINISH</t>
  </si>
  <si>
    <t>https://www.bd.com/en-us/offerings/capabilities/surgical-instruments/laparoscopic-instruments/hook-scissors/la8106, https://accessgudid.nlm.nih.gov/devices/10885403052606</t>
  </si>
  <si>
    <t>LA810645</t>
  </si>
  <si>
    <t>LA8106-45</t>
  </si>
  <si>
    <t>BD_LA810645</t>
  </si>
  <si>
    <t>HOOK SCISSORS MONOPOLAR 5MM 45CM</t>
  </si>
  <si>
    <t>PRODIGO1057672</t>
  </si>
  <si>
    <t>Scissor 5 Mmx45 Cm Hook Single Action Monopolar Insulated Handle Non Rotation Non Ratchet Satin Finish Stainless Steel Non Sterile Latex</t>
  </si>
  <si>
    <t>SCISSOR, ENDOSCOPIC, HOOK, 5 MMX45 CM, SINGLE ACTION, MONOPOLAR, INSULATED HANDLE, NON ROTATION, NON RATCHET, SATIN FINISH, STAINLESS STEEL, NON STERILE, LATEX</t>
  </si>
  <si>
    <t>SCISSOR, ENDOSCP, HK, 5 MMX45 CM, SINGLE ACT, MONOPOLAR, INSUL HNDL, N ROT, N RATCH, SATIN FINISH, SS, NS, LTX</t>
  </si>
  <si>
    <t>SCISSOR, ENDOSCP, HK, 5 MMX45 CM, SINGLE ACT, MONOPOLAR, INSUL</t>
  </si>
  <si>
    <t>https://www.bd.com/en-us/products-and-solutions/products/product-page.la8106-45#overview, https://accessgudid.nlm.nih.gov/devices/10885403052613</t>
  </si>
  <si>
    <t>LA8513</t>
  </si>
  <si>
    <t>BD_LA8513</t>
  </si>
  <si>
    <t>HOOK SUCT COAGULATOR RIGHT ANGLED 33CM</t>
  </si>
  <si>
    <t>PRODIGO1057757</t>
  </si>
  <si>
    <t>Electrode 5 Mmx33 Cm Hook Right Angled Suction No Valve Non Sterile Latex</t>
  </si>
  <si>
    <t>ELECTRODE, ELECTROSURGICAL, HOOK, 5 MMX33 CM, RIGHT ANGLED, SUCTION, NO VALVE, NON STERILE, LATEX</t>
  </si>
  <si>
    <t>ELECTRODE, ELECSURG, HK, 5 MMX33 CM, RT ANGLED, SUCTION, NO VLV, NS, LTX</t>
  </si>
  <si>
    <t>ELECTRODE, ELECSURG, HK, 5 MMX33 CM, RT ANGLED, SUCTION, NO VLV, NS</t>
  </si>
  <si>
    <t>https://www.bd.com/en-us/products-and-solutions/products/product-page.LA8513#overview, https://accessgudid.nlm.nih.gov/devices/10885403054051</t>
  </si>
  <si>
    <t>LA851345</t>
  </si>
  <si>
    <t>LA8513-45</t>
  </si>
  <si>
    <t>BD_LA851345</t>
  </si>
  <si>
    <t>HOOK SUCT COAGULATOR RIGHT ANGLED 45CM</t>
  </si>
  <si>
    <t>PRODIGO1057758</t>
  </si>
  <si>
    <t>Electrode 5 Mmx45 Cm Hook Right Angled Suction No Valve Non Sterile Latex</t>
  </si>
  <si>
    <t>ELECTRODE, ELECTROSURGICAL, HOOK, 5 MMX45 CM, RIGHT ANGLED, SUCTION, NO VALVE, NON STERILE, LATEX</t>
  </si>
  <si>
    <t>ELECTRODE, ELECSURG, HK, 5 MMX45 CM, RT ANGLED, SUCTION, NO VLV, NS, LTX</t>
  </si>
  <si>
    <t>ELECTRODE, ELECSURG, HK, 5 MMX45 CM, RT ANGLED, SUCTION, NO VLV, NS</t>
  </si>
  <si>
    <t>https://www.bd.com/en-us/products-and-solutions/products/product-page.LA8513-45#overview, https://accessgudid.nlm.nih.gov/devices/10885403054068</t>
  </si>
  <si>
    <t>LA8521</t>
  </si>
  <si>
    <t>BD_LA8521</t>
  </si>
  <si>
    <t>HOOK SUCT ELECT RIGHT ANG 5MM 33CM W/VLV</t>
  </si>
  <si>
    <t>PRODIGO1057763</t>
  </si>
  <si>
    <t>Electrode 5 Mmx33 Cm Hook Right Angled Suction Valve Non Sterile Latex</t>
  </si>
  <si>
    <t>ELECTRODE, ELECTROSURGICAL, HOOK, 5 MMX33 CM, RIGHT ANGLED, SUCTION, VALVE, NON STERILE, LATEX</t>
  </si>
  <si>
    <t>ELECTRODE, ELECSURG, HK, 5 MMX33 CM, RT ANGLED, SUCTION, VLV, NS, LTX</t>
  </si>
  <si>
    <t>ELECTRODE, ELECSURG, HK, 5 MMX33 CM, RT ANGLED, SUCTION, VLV, NS</t>
  </si>
  <si>
    <t>RIGHT ANGLED, SUCTION, VALVE</t>
  </si>
  <si>
    <t>https://www.bd.com/en-us/products-and-solutions/products/product-page.LA8521#overview, https://accessgudid.nlm.nih.gov/devices/10885403054211</t>
  </si>
  <si>
    <t>LA852145</t>
  </si>
  <si>
    <t>LA8521-45</t>
  </si>
  <si>
    <t>BD_LA852145</t>
  </si>
  <si>
    <t>HOOK SUCT ELECT RIGHT ANG 5MM 45CM W/VLV</t>
  </si>
  <si>
    <t>PRODIGO1057764</t>
  </si>
  <si>
    <t>Electrode 5 Mmx45 Cm Hook Right Angled Suction Valve Non Sterile Latex</t>
  </si>
  <si>
    <t>ELECTRODE, ELECTROSURGICAL, HOOK, 5 MMX45 CM, RIGHT ANGLED, SUCTION, VALVE, NON STERILE, LATEX</t>
  </si>
  <si>
    <t>ELECTRODE, ELECSURG, HK, 5 MMX45 CM, RT ANGLED, SUCTION, VLV, NS, LTX</t>
  </si>
  <si>
    <t>ELECTRODE, ELECSURG, HK, 5 MMX45 CM, RT ANGLED, SUCTION, VLV, NS</t>
  </si>
  <si>
    <t>https://www.bd.com/en-us/products-and-solutions/products/product-page.LA8521-45#overview, https://accessgudid.nlm.nih.gov/devices/10885403054228</t>
  </si>
  <si>
    <t>AU20870</t>
  </si>
  <si>
    <t>BD_AU20870</t>
  </si>
  <si>
    <t>HOUGH ALLIG FORCEPS DEL SERR SIDE JAWS</t>
  </si>
  <si>
    <t>PRODIGO1056317</t>
  </si>
  <si>
    <t>HOUGH ALLIGATOR FORCEPS DELICATE SERRATED SIDE-GRASPING JAWS. WORKING LENGTH 3-1/8IN (7.9CM). ANGLED RIGHT.</t>
  </si>
  <si>
    <t>FORCEP, SURGICAL, HOUGH, 3-1/8 IN, ALLIGATOR, DELICATE, SERRATED, SIDE-GRASPING JAW, RIGHT ANGLED, NON STERILE, LATEX</t>
  </si>
  <si>
    <t>FORCEP, SURG, HOUGH, 3-1/8 IN, ALLIGATOR, DEL, SERRATED, SIDE-GRASPING JAW, RT ANGLED, NS, LTX</t>
  </si>
  <si>
    <t>FORCEP, SURG, HOUGH, 3-1/8 IN, ALLIGATOR, DEL, SERRATED, RT ANGLED</t>
  </si>
  <si>
    <t>HOUGH</t>
  </si>
  <si>
    <t>ALLIGATOR, DELICATE, SERRATED, SIDE-GRASPING JAW, RIGHT ANGLED</t>
  </si>
  <si>
    <t>https://www.bd.com/en-us/products-and-solutions/products/product-page.AU20870#overview, https://accessgudid.nlm.nih.gov/devices/10885403012792</t>
  </si>
  <si>
    <t>AU20872</t>
  </si>
  <si>
    <t>BD_AU20872</t>
  </si>
  <si>
    <t>PRODIGO1056318</t>
  </si>
  <si>
    <t>HOUGH ALLIGATOR FORCEPS DELICATE SERRATED SIDE-GRASPING JAWS. WORKING LENGTH 3-1/8IN (7.9CM). ANGLED LEFT.</t>
  </si>
  <si>
    <t>FORCEP, SURGICAL, HOUGH, 3-1/8 IN, ALLIGATOR, DELICATE, SERRATED, SIDE-GRASPING JAW, LEFT ANGLED, NON STERILE, LATEX</t>
  </si>
  <si>
    <t>FORCEP, SURG, HOUGH, 3-1/8 IN, ALLIGATOR, DEL, SERRATED, SIDE-GRASPING JAW, LT ANGLED, NS, LTX</t>
  </si>
  <si>
    <t>FORCEP, SURG, HOUGH, 3-1/8 IN, ALLIGATOR, DEL, SERRATED, LT ANGLED</t>
  </si>
  <si>
    <t>ALLIGATOR, DELICATE, SERRATED, SIDE-GRASPING JAW, LEFT ANGLED</t>
  </si>
  <si>
    <t>https://www.bd.com/en-us/products-and-solutions/products/product-page.AU20872#overview, https://accessgudid.nlm.nih.gov/devices/10885403012808</t>
  </si>
  <si>
    <t>AU20880</t>
  </si>
  <si>
    <t>BD_AU20880</t>
  </si>
  <si>
    <t>HOUGH ANT CRUROTOMY NIPPER 3MMJAW ANG RT</t>
  </si>
  <si>
    <t>PRODIGO1056319</t>
  </si>
  <si>
    <t>42291609  Surgical nippers</t>
  </si>
  <si>
    <t>HOUGH ANTERIOR CRUROTOMY NIPPER EDGES OF JAWS BEVELED TO CREATE MINIATURE BONE CUTTER. JAW LENGTH 3MM. ANGLED RIGHT. OVERALL LENGTH 5-3/8IN (13.6CM).</t>
  </si>
  <si>
    <t>NIPPER, SURGICAL, HOUGH, 5-3/8 IN, 3 MM, ANTERIOR, RIGHT ANGLED, CRUROTOMY, NON STERILE, LATEX</t>
  </si>
  <si>
    <t>NIPPER, SURG, HOUGH, 5-3/8 IN, 3 MM, ANTR, RT ANGLED, CRUROTOMY, NS, LTX</t>
  </si>
  <si>
    <t>NIPPER, SURG, HOUGH, 5-3/8 IN, 3 MM, ANTR, RT ANGLED, CRUROTOMY, NS</t>
  </si>
  <si>
    <t>NIPPER</t>
  </si>
  <si>
    <t>ANTERIOR</t>
  </si>
  <si>
    <t>RIGHT ANGLED, CRUROTOMY</t>
  </si>
  <si>
    <t>https://www.bd.com/en-us/products-and-solutions/products/product-page.AU20880#overview, https://accessgudid.nlm.nih.gov/devices/10885403012815</t>
  </si>
  <si>
    <t>AU20720</t>
  </si>
  <si>
    <t>BD_AU20720</t>
  </si>
  <si>
    <t>HOUGH EXCAV WHIRLYBIRD CVD LEFT .7X3MM</t>
  </si>
  <si>
    <t>PRODIGO1056304</t>
  </si>
  <si>
    <t>HOUGH EXCAVATORS INWHIRLYBIRD-STYLEIN. OVERALL LENGTH 6IN (15.2CM). CURVED LEFT. BLADE 0.7MM WIDE LENGTH 3MM.</t>
  </si>
  <si>
    <t>EXCAVATOR, SURGICAL, HOUGH, 6 IN, 3X0.7 MM, WHIRLYBIRD-STYLE, CURVED LEFT, SATIN FINISH, NON STERILE, LATEX</t>
  </si>
  <si>
    <t>EXCAVATOR, SURG, HOUGH, 6 IN, 3X0.7 MM, WHIRLYBIRD-STYLE, CRV LT, SATIN FINISH, NS, LTX</t>
  </si>
  <si>
    <t>EXCAVATOR, SURG, HOUGH, 6 IN, 3X0.7 MM, WHIRLYBIRD-STYLE, CRV LT</t>
  </si>
  <si>
    <t>3X0.7 MM</t>
  </si>
  <si>
    <t>WHIRLYBIRD-STYLE, CURVED LEFT, SATIN FINISH</t>
  </si>
  <si>
    <t>https://www.bd.com/en-us/products-and-solutions/products/product-page.AU20720#overview, https://accessgudid.nlm.nih.gov/devices/10885403012679</t>
  </si>
  <si>
    <t>AU20700</t>
  </si>
  <si>
    <t>BD_AU20700</t>
  </si>
  <si>
    <t>HOUGH EXCAV WHIRLYBIRD CVD LEFT 1X4MM</t>
  </si>
  <si>
    <t>PRODIGO1056302</t>
  </si>
  <si>
    <t>HOUGH EXCAVATORS INWHIRLYBIRD-STYLEIN. OVERALL LENGTH 6IN (15.2CM). CURVED LEFT. BLADE 1MM WIDE LENGTH 4MM.</t>
  </si>
  <si>
    <t>EXCAVATOR, SURGICAL, HOUGH, 6 IN, 4X1 MM, WHIRLYBIRD-STYLE, CURVED LEFT, SATIN FINISH, NON STERILE, LATEX</t>
  </si>
  <si>
    <t>EXCAVATOR, SURG, HOUGH, 6 IN, 4X1 MM, WHIRLYBIRD-STYLE, CRV LT, SATIN FINISH, NS, LTX</t>
  </si>
  <si>
    <t>EXCAVATOR, SURG, HOUGH, 6 IN, 4X1 MM, WHIRLYBIRD-STYLE, CRV LT</t>
  </si>
  <si>
    <t>4X1 MM</t>
  </si>
  <si>
    <t>https://www.bd.com/en-us/products-and-solutions/products/product-page.au20700#overview, https://accessgudid.nlm.nih.gov/devices/10885403012655</t>
  </si>
  <si>
    <t>AU20725</t>
  </si>
  <si>
    <t>BD_AU20725</t>
  </si>
  <si>
    <t>HOUGH EXCAV WHIRLYBIRD CVD RIGHT .7X3MM</t>
  </si>
  <si>
    <t>PRODIGO1056305</t>
  </si>
  <si>
    <t>HOUGH EXCAVATORS INWHIRLYBIRD-STYLEIN. OVERALL LENGTH 6IN (15.2CM). CURVED RIGHT. BLADE 0.7MM WIDE LENGTH 3MM.</t>
  </si>
  <si>
    <t>EXCAVATOR, SURGICAL, HOUGH, 6 IN, 3X0.7 MM, WHIRLYBIRD-STYLE, CURVED RIGHT, SATIN FINISH, NON STERILE, LATEX</t>
  </si>
  <si>
    <t>EXCAVATOR, SURG, HOUGH, 6 IN, 3X0.7 MM, WHIRLYBIRD-STYLE, CRV RT, SATIN FINISH, NS, LTX</t>
  </si>
  <si>
    <t>EXCAVATOR, SURG, HOUGH, 6 IN, 3X0.7 MM, WHIRLYBIRD-STYLE, CRV RT</t>
  </si>
  <si>
    <t>WHIRLYBIRD-STYLE, CURVED RIGHT, SATIN FINISH</t>
  </si>
  <si>
    <t>https://www.bd.com/en-us/products-and-solutions/products/product-page.AU20725#overview, https://accessgudid.nlm.nih.gov/devices/10885403012686</t>
  </si>
  <si>
    <t>AU20705</t>
  </si>
  <si>
    <t>BD_AU20705</t>
  </si>
  <si>
    <t>HOUGH EXCAV WHIRLYBIRD CVD RIGHT 1X4MM</t>
  </si>
  <si>
    <t>PRODIGO1056303</t>
  </si>
  <si>
    <t>HOUGH EXCAVATORS INWHIRLYBIRD-STYLEIN. OVERALL LENGTH 6IN (15.2CM). CURVED RIGHT. BLADE 1MM WIDE LENGTH 4MM.</t>
  </si>
  <si>
    <t>EXCAVATOR, SURGICAL, HOUGH, 6 IN, 4X1 MM, WHIRLYBIRD-STYLE, CURVED RIGHT, SATIN FINISH, NON STERILE, LATEX</t>
  </si>
  <si>
    <t>EXCAVATOR, SURG, HOUGH, 6 IN, 4X1 MM, WHIRLYBIRD-STYLE, CRV RT, SATIN FINISH, NS, LTX</t>
  </si>
  <si>
    <t>EXCAVATOR, SURG, HOUGH, 6 IN, 4X1 MM, WHIRLYBIRD-STYLE, CRV RT</t>
  </si>
  <si>
    <t>https://www.bd.com/en-us/products-and-solutions/products/product-print-page.au20705, https://accessgudid.nlm.nih.gov/devices/10885403012662</t>
  </si>
  <si>
    <t>AU20800</t>
  </si>
  <si>
    <t>BD_AU20800</t>
  </si>
  <si>
    <t>HOUGH EXCAVATOR HOE STYLE BLADE 45DEG</t>
  </si>
  <si>
    <t>PRODIGO1056310</t>
  </si>
  <si>
    <t>HOUGH EXCAVATORS INHOE-STYLEIN. ANGLED SHAFT. OVERALL LENGTH 5-7/8IN (14.9CM). BLADE 0.5MM WIDE LENGTH 0.8MM. ANGLED 45 DEGREES.</t>
  </si>
  <si>
    <t>EXCAVATOR, SURGICAL, HOUGH, 45 DEGREE, 5-7/8 IN, 0.8X0.5 MM, HOE-STYLE, ANGLED SHAFT, SATIN FINISH, NON STERILE, LATEX</t>
  </si>
  <si>
    <t>EXCAVATOR, SURG, HOUGH, 45 DEG, 5-7/8 IN, 0.8X0.5 MM, HOE-STYLE, ANGLED SHFT, SATIN FINISH, NS, LTX</t>
  </si>
  <si>
    <t>EXCAVATOR, SURG, HOUGH, 45 DEG, 5-7/8 IN, 0.8X0.5 MM, HOE-STYLE</t>
  </si>
  <si>
    <t>0.8X0.5 MM</t>
  </si>
  <si>
    <t>HOE-STYLE, ANGLED SHAFT, SATIN FINISH</t>
  </si>
  <si>
    <t>https://www.bd.com/en-us/products-and-solutions/products/product-page.au20800#overview, https://accessgudid.nlm.nih.gov/devices/10885403012723</t>
  </si>
  <si>
    <t>AU20802</t>
  </si>
  <si>
    <t>BD_AU20802</t>
  </si>
  <si>
    <t>HOUGH EXCAVATOR HOE STYLE BLADE 90DEG</t>
  </si>
  <si>
    <t>PRODIGO1056311</t>
  </si>
  <si>
    <t>HOUGH EXCAVATORS INHOE-STYLEIN. ANGLED SHAFT. OVERALL LENGTH 5-7/8IN (14.9CM). BLADE 0.25MM WIDE LENGTH 0.8MM. ANGLED 90 DEGREES.</t>
  </si>
  <si>
    <t>EXCAVATOR, SURGICAL, HOUGH, 90 DEGREE, 5-7/8 IN, 0.8X0.25 MM, HOE-STYLE, ANGLED SHAFT, NON STERILE, LATEX</t>
  </si>
  <si>
    <t>EXCAVATOR, SURG, HOUGH, 90 DEG, 5-7/8 IN, 0.8X0.25 MM, HOE-STYLE, ANGLED SHFT, NS, LTX</t>
  </si>
  <si>
    <t>EXCAVATOR, SURG, HOUGH, 90 DEG, 5-7/8 IN, 0.8X0.25 MM, HOE-STYLE</t>
  </si>
  <si>
    <t>0.8X0.25 MM</t>
  </si>
  <si>
    <t>HOE-STYLE, ANGLED SHAFT</t>
  </si>
  <si>
    <t>https://www.bd.com/en-us/products-and-solutions/products/product-page.AU20802#overview, https://accessgudid.nlm.nih.gov/devices/10885403012730</t>
  </si>
  <si>
    <t>AU20805</t>
  </si>
  <si>
    <t>BD_AU20805</t>
  </si>
  <si>
    <t>HOUGH OVAL WINDOW EXCAV HEAVY ANGLE LEFT</t>
  </si>
  <si>
    <t>PRODIGO1056312</t>
  </si>
  <si>
    <t>HOUGH OVAL WINDOW EXCAVATORS HEAVY. OVERALL LENGTH 6-1/4IN (15.9CM). ANGLED LEFT.</t>
  </si>
  <si>
    <t>EXCAVATOR, SURGICAL, HOUGH, 6.25 IN, OVAL WINDOW, HEAVY, LEFT ANGLED, NON STERILE, LATEX</t>
  </si>
  <si>
    <t>EXCAVATOR, SURG, HOUGH, 6.25 IN, OVL WINDOW, HVY, LT ANGLED, NS, LTX</t>
  </si>
  <si>
    <t>OVAL WINDOW, HEAVY, LEFT ANGLED</t>
  </si>
  <si>
    <t>https://www.bd.com/en-us/products-and-solutions/products/product-page.AU20805#overview, https://accessgudid.nlm.nih.gov/devices/10885403012747</t>
  </si>
  <si>
    <t>AU20795</t>
  </si>
  <si>
    <t>BD_AU20795</t>
  </si>
  <si>
    <t>HOUGH STAPED FOOT PLATE PICK SLT CVD TIP</t>
  </si>
  <si>
    <t>PRODIGO1056309</t>
  </si>
  <si>
    <t>HOUGH STAPEDECTOMY FOOT PLATE PICKS TIP 0.1MM WIDE. OVERALL LENGTH 5-7/8IN (14.9CM). SLIGHTLY CURVED TIP.</t>
  </si>
  <si>
    <t>PICK, SURGICAL, HOUGH, 0.1 MM, 5-7/8 IN, STAPEDECTOMY, FOOT PLATE, SLIGHTLY CURVED TIP, NON STERILE, LATEX</t>
  </si>
  <si>
    <t>PICK, SURG, HOUGH, 0.1 MM, 5-7/8 IN, STAPEDECTOMY, FT PLATE, SLIGHTLY CRV TIP, NS, LTX</t>
  </si>
  <si>
    <t>PICK, SURG, HOUGH, 0.1 MM, 5-7/8 IN, STAPEDECTOMY, SLIGHTLY CRV</t>
  </si>
  <si>
    <t>0.1 MM</t>
  </si>
  <si>
    <t>STAPEDECTOMY, FOOT PLATE, SLIGHTLY CURVED TIP</t>
  </si>
  <si>
    <t>https://www.bd.com/en-us/products-and-solutions/products/product-page.AU20795#overview, https://accessgudid.nlm.nih.gov/devices/10885403012716</t>
  </si>
  <si>
    <t>AU20780</t>
  </si>
  <si>
    <t>BD_AU20780</t>
  </si>
  <si>
    <t>HOUGH STAPED FOOT PLATE PICK STRTIP 15DG</t>
  </si>
  <si>
    <t>PRODIGO1056306</t>
  </si>
  <si>
    <t>HOUGH STAPEDECTOMY FOOT PLATE PICKS TIP 0.1MM WIDE. OVERALL LENGTH 5-7/8IN (14.9CM). ACMI TO LUXTEC HEAD LAMP. SINGLE CABLE 45?.</t>
  </si>
  <si>
    <t>PICK, SURGICAL, HOUGH, 15 DEGREE, 0.1 MM, 5-7/8 IN, STAPEDECTOMY, FOOT PLATE, STRAIGHT TIP, SATIN FINISH, NON STERILE, LATEX</t>
  </si>
  <si>
    <t>PICK, SURG, HOUGH, 15 DEG, 0.1 MM, 5-7/8 IN, STAPEDECTOMY, FT PLATE, STR TIP, SATIN FINISH, NS, LTX</t>
  </si>
  <si>
    <t>PICK, SURG, HOUGH, 15 DEG, 0.1 MM, 5-7/8 IN, STAPEDECTOMY, STR TIP</t>
  </si>
  <si>
    <t>15 DEGREE, 0.1 MM</t>
  </si>
  <si>
    <t>STAPEDECTOMY, FOOT PLATE, STRAIGHT TIP, SATIN FINISH</t>
  </si>
  <si>
    <t>https://www.bd.com/en-us/products-and-solutions/products/product-page.AU20780#overview, https://accessgudid.nlm.nih.gov/devices/10885403012693</t>
  </si>
  <si>
    <t>AU20785</t>
  </si>
  <si>
    <t>BD_AU20785</t>
  </si>
  <si>
    <t>HOUGH STAPED FOOT PLATE PICK STRTIP 45DG</t>
  </si>
  <si>
    <t>PRODIGO1056307</t>
  </si>
  <si>
    <t>HOUGH STAPEDECTOMY FOOT PLATE PICKS TIP 0.1MM WIDE. OVERALL LENGTH 5-7/8IN (14.9CM). TIP ANGLED 45 DEGREES.</t>
  </si>
  <si>
    <t>PICK, SURGICAL, HOUGH, 45 DEGREE, 0.1 MM, 5-7/8 IN, STAPEDECTOMY, FOOT PLATE, STRAIGHT TIP, SATIN FINISH, NON STERILE, LATEX</t>
  </si>
  <si>
    <t>PICK, SURG, HOUGH, 45 DEG, 0.1 MM, 5-7/8 IN, STAPEDECTOMY, FT PLATE, STR TIP, SATIN FINISH, NS, LTX</t>
  </si>
  <si>
    <t>PICK, SURG, HOUGH, 45 DEG, 0.1 MM, 5-7/8 IN, STAPEDECTOMY, STR TIP</t>
  </si>
  <si>
    <t>45 DEGREE, 0.1 MM</t>
  </si>
  <si>
    <t>https://www.bd.com/en-us/products-and-solutions/products/product-page.AU20785#overview, https://accessgudid.nlm.nih.gov/devices/10885403124556</t>
  </si>
  <si>
    <t>AU20790</t>
  </si>
  <si>
    <t>BD_AU20790</t>
  </si>
  <si>
    <t>HOUGH STAPED FOOT PLATE PICK STRTIP 90DG</t>
  </si>
  <si>
    <t>PRODIGO1056308</t>
  </si>
  <si>
    <t>HOUGH STAPEDECTOMY FOOT PLATE PICKS TRAIGHT TIP 0.65MM WIDE. ANGLED 90 DEGREES. OVERALL LENGTH 5-7/8IN (14.9CM).</t>
  </si>
  <si>
    <t>PICK, SURGICAL, HOUGH, 90 DEGREE, 0.65 MM, 5-7/8 IN, STAPEDECTOMY, FOOT PLATE, STRAIGHT TIP, SATIN FINISH, NON STERILE, LATEX</t>
  </si>
  <si>
    <t>PICK, SURG, HOUGH, 90 DEG, 0.65 MM, 5-7/8 IN, STAPEDECTOMY, FT PLATE, STR TIP, SATIN FINISH, NS, LTX</t>
  </si>
  <si>
    <t>PICK, SURG, HOUGH, 90 DEG, 0.65 MM, 5-7/8 IN, STAPEDECTOMY, STR TIP</t>
  </si>
  <si>
    <t>90 DEGREE, 0.65 MM</t>
  </si>
  <si>
    <t>https://www.bd.com/en-us/products-and-solutions/products/product-page.AU20790#overview, https://accessgudid.nlm.nih.gov/devices/10885403012709</t>
  </si>
  <si>
    <t>AU20832</t>
  </si>
  <si>
    <t>BD_AU20832</t>
  </si>
  <si>
    <t>HOUGH STAPEDIAL FOOT PLATE AUGER F/0.6MM</t>
  </si>
  <si>
    <t>PRODIGO1056316</t>
  </si>
  <si>
    <t>42143513  Otological instruments</t>
  </si>
  <si>
    <t>HOUGH STAPEDIAL FOOT PLATE AUGERS OVERALL LENGTH 5-3/4IN (14.6CM). FOR 0.6MM PISTON.</t>
  </si>
  <si>
    <t>AUGER, OTOLOGY, HOUGH, 5.75 IN, STAPEDIAL, FOOT PLATE, FOR 0.6 MM PISTON, NON STERILE, LATEX</t>
  </si>
  <si>
    <t>AUGER, OTO, HOUGH, 5.75 IN, STAPEDIAL, FT PLATE, FOR 0.6 MM PISTON, NS, LTX</t>
  </si>
  <si>
    <t>AUGER, OTO, HOUGH, 5.75 IN, STAPEDIAL, FT PLATE, FOR 0.6 MM PISTON</t>
  </si>
  <si>
    <t>AUGER</t>
  </si>
  <si>
    <t>OTOLOGY</t>
  </si>
  <si>
    <t>STAPEDIAL, FOOT PLATE, FOR 0.6 MM PISTON</t>
  </si>
  <si>
    <t>https://www.bd.com/en-us/products-and-solutions/products/product-page.AU20832#overview, https://accessgudid.nlm.nih.gov/devices/10885403012785</t>
  </si>
  <si>
    <t>AU20830</t>
  </si>
  <si>
    <t>BD_AU20830</t>
  </si>
  <si>
    <t>HOUGH STAPEDIAL FOOT PLATE AUGER F/0.8MM</t>
  </si>
  <si>
    <t>PRODIGO1056315</t>
  </si>
  <si>
    <t>HOUGH STAPEDIAL FOOT PLATE AUGERS OVERALL LENGTH 5-3/4IN (14.6CM). FOR 0.8MM PISTON.</t>
  </si>
  <si>
    <t>AUGER, OTOLOGY, HOUGH, 5.75 IN, STAPEDIAL, FOOT PLATE, FOR 0.8 MM PISTON, NON STERILE, LATEX</t>
  </si>
  <si>
    <t>AUGER, OTO, HOUGH, 5.75 IN, STAPEDIAL, FT PLATE, FOR 0.8 MM PISTON, NS, LTX</t>
  </si>
  <si>
    <t>AUGER, OTO, HOUGH, 5.75 IN, STAPEDIAL, FT PLATE, FOR 0.8 MM PISTON</t>
  </si>
  <si>
    <t>STAPEDIAL, FOOT PLATE, FOR 0.8 MM PISTON</t>
  </si>
  <si>
    <t>https://www.bd.com/en-us/products-and-solutions/products/product-page.au20830#overview, https://accessgudid.nlm.nih.gov/devices/10885403012778</t>
  </si>
  <si>
    <t>AU13760</t>
  </si>
  <si>
    <t>BD_AU13760</t>
  </si>
  <si>
    <t>HOUGH-SAUNDERS STAPES HOE #7 0.8MM TIP</t>
  </si>
  <si>
    <t>PRODIGO1056218</t>
  </si>
  <si>
    <t>HOUGH-SAUNDERS STAPES HOE NO. 7. MALLEABLE 2-3/4IN (7CM) SHAFT. TIP 0.8MM ANGLED 90 DEGREES. OVERALL LENGTH 6-1/2IN (16.5CM).</t>
  </si>
  <si>
    <t>HOOK, SURGICAL, HOUGH-SAUNDERS, 90 DEGREE, 7, 0.8 MM, 6.5 IN, 2.75 IN, STAPES, HOE, MALLEABLE SHAFT, NON STERILE, LATEX</t>
  </si>
  <si>
    <t>HOOK, SURG, HOUGH-SAUNDERS, 90 DEG, 7, 0.8 MM, 6.5 IN, 2.75 IN, STAP, HOE, MALL SHFT, NS, LTX</t>
  </si>
  <si>
    <t>HOOK, SURG, HOUGH-SAUNDERS, 90 DEG, 7, 0.8 MM, 6.5 IN, 2.75 IN, STAP</t>
  </si>
  <si>
    <t>HOUGH-SAUNDERS</t>
  </si>
  <si>
    <t>90 DEGREE, 7, 0.8 MM</t>
  </si>
  <si>
    <t>STAPES, HOE, MALLEABLE SHAFT</t>
  </si>
  <si>
    <t>https://www.bd.com/en-us/products-and-solutions/products/product-page.au13760#overview, https://accessgudid.nlm.nih.gov/devices/10885403010675</t>
  </si>
  <si>
    <t>AU15315</t>
  </si>
  <si>
    <t>BD_AU15315</t>
  </si>
  <si>
    <t>HOUSE ALLIG FORCEPS FINE SERR OPEN RIGHT</t>
  </si>
  <si>
    <t>PRODIGO1056265</t>
  </si>
  <si>
    <t>HOUSE ALLIGATOR FORCEPS FINE SERRATED JAWS OPEN HORIZONTALLY TO RIGHT. WORKING LENGTH 3-1/8IN (7.9CM).</t>
  </si>
  <si>
    <t>FORCEP, SURGICAL, HOUSE, 3-1/8 IN, ALLIGATOR, FINE, SERRATED JAW, OPEN HORIZONTALLY TO RIGHT, NON STERILE, LATEX</t>
  </si>
  <si>
    <t>FORCEP, SURG, HOUSE, 3-1/8 IN, ALLIGATOR, FN, SERRATED JAW, OPN HORIZONTALLY TO RT, NS, LTX</t>
  </si>
  <si>
    <t>FORCEP, SURG, HOUSE, 3-1/8 IN, ALLIGATOR, FN, SERRATED JAW</t>
  </si>
  <si>
    <t>HOUSE</t>
  </si>
  <si>
    <t>ALLIGATOR, FINE, SERRATED JAW, OPEN HORIZONTALLY TO RIGHT</t>
  </si>
  <si>
    <t>https://www.bd.com/en-us/products-and-solutions/products/product-page.au15315#overview, https://accessgudid.nlm.nih.gov/devices/10885403011825</t>
  </si>
  <si>
    <t>AU14125</t>
  </si>
  <si>
    <t>BD_AU14125</t>
  </si>
  <si>
    <t>HOUSE CUP FORCEPS DELICATE CUP</t>
  </si>
  <si>
    <t>PRODIGO1056238</t>
  </si>
  <si>
    <t>HOUSE CUP FORCEPS DELICATE OVAL CUP JAWS 2.7MM. WORKING LENGTH 2-7/8IN (7.3CM).</t>
  </si>
  <si>
    <t>FORCEP, SURGICAL, HOUSE CUP, 2-7/8 IN, 2.7 MM, DELICATE OVAL CUP JAW, NON STERILE, LATEX</t>
  </si>
  <si>
    <t>FORCEP, SURG, HOUSE CUP, 2-7/8 IN, 2.7 MM, DEL OVL CUP JAW, NS, LTX</t>
  </si>
  <si>
    <t>HOUSE CUP</t>
  </si>
  <si>
    <t>2.7 MM</t>
  </si>
  <si>
    <t>DELICATE OVAL CUP JAW</t>
  </si>
  <si>
    <t>https://www.bd.com/en-us/products-and-solutions/products/product-page.au14125#overview, https://accessgudid.nlm.nih.gov/devices/10885403010927</t>
  </si>
  <si>
    <t>AU15200</t>
  </si>
  <si>
    <t>BD_AU15200</t>
  </si>
  <si>
    <t>HOUSE FOOT PLATE CHISEL STR BLADE 0.6MM</t>
  </si>
  <si>
    <t>PRODIGO1056256</t>
  </si>
  <si>
    <t>HOUSE FOOT PLATE CHISELS MALLEABLE SHAFT. OVERALL LENGTH 6-1/4IN (15.9CM). STRAIGHT. BLADE 0.6MM WIDE.</t>
  </si>
  <si>
    <t>CHISEL, SURGICAL, HOUSE, 6.25 IN, 0.6 MM, FOOT PLATE, MALLEABLE SHAFT, STRAIGHT, BLADE, NON STERILE, LATEX</t>
  </si>
  <si>
    <t>CHISEL, SURG, HOUSE, 6.25 IN, 0.6 MM, FT PLATE, MALL SHFT, STR, BLADE, NS, LTX</t>
  </si>
  <si>
    <t>CHISEL, SURG, HOUSE, 6.25 IN, 0.6 MM, FT PLATE, MALL SHFT, STR</t>
  </si>
  <si>
    <t>0.6 MM</t>
  </si>
  <si>
    <t>FOOT PLATE, MALLEABLE SHAFT, STRAIGHT, BLADE</t>
  </si>
  <si>
    <t>https://www.bd.com/en-us/products-and-solutions/products/product-page.AU15200#overview, https://accessgudid.nlm.nih.gov/devices/10885403011603</t>
  </si>
  <si>
    <t>AU15210</t>
  </si>
  <si>
    <t>BD_AU15210</t>
  </si>
  <si>
    <t>HOUSE FOOT PLATE CHISEL STRONG CVD 0.5MM</t>
  </si>
  <si>
    <t>PRODIGO1056257</t>
  </si>
  <si>
    <t>HOUSE FOOT PLATE CHISELS MALLEABLE SHAFT. OVERALL LENGTH 6-1/4IN (15.9CM). STRONGLY CURVED. BLADE 0.5MM WIDE.</t>
  </si>
  <si>
    <t>CHISEL, SURGICAL, HOUSE, 6.25 IN, 0.5 MM, FOOT PLATE, MALLEABLE SHAFT, STRONGLY CURVED, BLADE, NON STERILE, LATEX</t>
  </si>
  <si>
    <t>CHISEL, SURG, HOUSE, 6.25 IN, 0.5 MM, FT PLATE, MALL SHFT, STRONGLY CRV, BLADE, NS, LTX</t>
  </si>
  <si>
    <t>CHISEL, SURG, HOUSE, 6.25 IN, 0.5 MM, MALL SHFT, STRONGLY CRV</t>
  </si>
  <si>
    <t>FOOT PLATE, MALLEABLE SHAFT, STRONGLY CURVED, BLADE</t>
  </si>
  <si>
    <t>https://www.bd.com/en-us/products-and-solutions/products/product-page.AU15210#overview, https://accessgudid.nlm.nih.gov/devices/10885403011627</t>
  </si>
  <si>
    <t>AU16660</t>
  </si>
  <si>
    <t>BD_AU16660</t>
  </si>
  <si>
    <t>HOUSE GELFOAM PRESSURE FORCP 1.25X1.25CM</t>
  </si>
  <si>
    <t>PRODIGO1056278</t>
  </si>
  <si>
    <t>HOUSE GELFOAM&lt;SUP&gt;®&lt;/SUP&gt; PRESSURE FORCEPS JAW 1/2IN X 1/2IN (1.25CM X 1.25CM). OVERALL LENGTH 6-1/4IN (15.9CM).</t>
  </si>
  <si>
    <t>FORCEP, SURGICAL, HOUSE, 6.25 IN, 0.5X0.5 IN, NON STERILE, LATEX</t>
  </si>
  <si>
    <t>FORCEP, SURG, HOUSE, 6.25 IN, 0.5X0.5 IN, NS, LTX</t>
  </si>
  <si>
    <t>0.5X0.5 IN</t>
  </si>
  <si>
    <t>https://www.bd.com/en-us/products-and-solutions/products/product-page.au16660#overview, https://accessgudid.nlm.nih.gov/devices/10885403012211</t>
  </si>
  <si>
    <t>AU15275</t>
  </si>
  <si>
    <t>BD_AU15275</t>
  </si>
  <si>
    <t>HOUSE MEASURE ROD 4MM OVER LGTH 6-1/2IN</t>
  </si>
  <si>
    <t>PRODIGO1056262</t>
  </si>
  <si>
    <t>HOUSE MEASURING RODS OVERALL LENGTH 6-1/2IN (16.5CM). 4MM.</t>
  </si>
  <si>
    <t>ROD, MEASURING, HOUSE, 4 MMX6.5 IN, SATIN FINISH, NON STERILE, LATEX</t>
  </si>
  <si>
    <t>ROD, MEAS, HOUSE, 4 MMX6.5 IN, SATIN FINISH, NS, LTX</t>
  </si>
  <si>
    <t>ROD</t>
  </si>
  <si>
    <t>MEASURING</t>
  </si>
  <si>
    <t>4 MMX6.5 IN</t>
  </si>
  <si>
    <t>https://www.bd.com/en-us/products-and-solutions/products/product-page.AU15275#overview, https://accessgudid.nlm.nih.gov/devices/10885403011771</t>
  </si>
  <si>
    <t>AU15270</t>
  </si>
  <si>
    <t>BD_AU15270</t>
  </si>
  <si>
    <t>HOUSE MEASURING ROD 3.5MM OVERLGTH 6-1/2</t>
  </si>
  <si>
    <t>PRODIGO1056261</t>
  </si>
  <si>
    <t>HOUSE MEASURING RODS OVERALL LENGTH 6-1/2IN (16.5CM). 3.5MM.</t>
  </si>
  <si>
    <t>ROD, MEASURING, HOUSE, 3.5 MMX6.5 IN, SATIN FINISH, NON STERILE, LATEX</t>
  </si>
  <si>
    <t>ROD, MEAS, HOUSE, 3.5 MMX6.5 IN, SATIN FINISH, NS, LTX</t>
  </si>
  <si>
    <t>3.5 MMX6.5 IN</t>
  </si>
  <si>
    <t>https://www.bd.com/en-us/products-and-solutions/products/product-page.AU15270#overview, https://accessgudid.nlm.nih.gov/devices/10885403011764</t>
  </si>
  <si>
    <t>AU15280</t>
  </si>
  <si>
    <t>BD_AU15280</t>
  </si>
  <si>
    <t>HOUSE MEASURING ROD 4.5MM OVERLGTH 6-1/2</t>
  </si>
  <si>
    <t>PRODIGO1056263</t>
  </si>
  <si>
    <t>HOUSE MEASURING RODS OVERALL LENGTH 6-1/2IN (16.5CM). 4.5MM.</t>
  </si>
  <si>
    <t>ROD, MEASURING, HOUSE, 4.5 MMX6.5 IN, SATIN FINISH, NON STERILE, LATEX</t>
  </si>
  <si>
    <t>ROD, MEAS, HOUSE, 4.5 MMX6.5 IN, SATIN FINISH, NS, LTX</t>
  </si>
  <si>
    <t>4.5 MMX6.5 IN</t>
  </si>
  <si>
    <t>https://www.bd.com/en-us/products-and-solutions/products/product-page.AU15280#overview, https://accessgudid.nlm.nih.gov/devices/10885403011788</t>
  </si>
  <si>
    <t>AU173703</t>
  </si>
  <si>
    <t>AU17370-3</t>
  </si>
  <si>
    <t>BD_AU173703</t>
  </si>
  <si>
    <t>HOUSE OPHTHALMIC BLDE NONSTRL 3IN(7.6CM)</t>
  </si>
  <si>
    <t>PRODIGO1056282</t>
  </si>
  <si>
    <t>42294511  Ophthalmic surgical knives or blades</t>
  </si>
  <si>
    <t>HOUSE OPHTHALMIC BLADE FITS HANDLE AU17370001. NON-STERILE. OVERALL LENGTH 3IN (7.6CM).</t>
  </si>
  <si>
    <t>BLADE, OPHTHALMIC, HOUSE, 3 IN, FITS HANDLE AU17370001, NON STERILE, LATEX</t>
  </si>
  <si>
    <t>BLADE, OPHTH, HOUSE, 3 IN, FITS HNDL AU17370001, NS, LTX</t>
  </si>
  <si>
    <t>OPHTHALMIC</t>
  </si>
  <si>
    <t>FITS HANDLE AU17370001</t>
  </si>
  <si>
    <t>https://www.bd.com/en-us/products-and-solutions/products/product-page.AU17370-3#overview, https://accessgudid.nlm.nih.gov/devices/10885403012327</t>
  </si>
  <si>
    <t>AU15150</t>
  </si>
  <si>
    <t>BD_AU15150</t>
  </si>
  <si>
    <t>HOUSE OVAL WINDOW HOOK MED SHAFT 1/3MM</t>
  </si>
  <si>
    <t>PRODIGO1056254</t>
  </si>
  <si>
    <t>HOUSE OVAL WINDOW HOOKS MALLEABLE SHAFT. HOOK 0.3MM ANGLED 90 DEGREES. OVERALL LENGTH 6-1/2IN (16.5CM). MEDIUM SHAFT.</t>
  </si>
  <si>
    <t>HOOK, SURGICAL, HOUSE, 90 DEGREE, 6.5 IN, 0.3MM, OVAL WINDOW, MALLEABLE SHAFT, ANGLED, MEDIUM SHAFT, NON STERILE, LATEX</t>
  </si>
  <si>
    <t>HOOK, SURG, HOUSE, 90 DEG, 6.5 IN, 0.3MM, OVL WINDOW, MALL SHFT, ANGLED, MED SHFT, NS, LTX</t>
  </si>
  <si>
    <t>HOOK, SURG, HOUSE, 90 DEG, 6.5 IN, 0.3MM, OVL WINDOW, MALL SHFT</t>
  </si>
  <si>
    <t>0.3MM</t>
  </si>
  <si>
    <t>OVAL WINDOW, MALLEABLE SHAFT, ANGLED, MEDIUM SHAFT</t>
  </si>
  <si>
    <t>https://www.bd.com/en-us/products-and-solutions/products/product-page.AU15150#overview, https://accessgudid.nlm.nih.gov/devices/10885403011498</t>
  </si>
  <si>
    <t>AU15065</t>
  </si>
  <si>
    <t>BD_AU15065</t>
  </si>
  <si>
    <t>HOUSE SEPARATOR BAYONET STYLE 1.5MM TIP</t>
  </si>
  <si>
    <t>PRODIGO1056250</t>
  </si>
  <si>
    <t>42293302  Surgical separators</t>
  </si>
  <si>
    <t>HOUSE SEPARATORS BAYONET-STYLE. OVERALL LENGTH 6-5/8IN (16.8CM). 1.5MM TIP SLIGHTLY CURVED.</t>
  </si>
  <si>
    <t>SEPARATOR, SURGICAL, HOUSE, 1.5 MM, 6-5/8 IN, BAYONET-STYLE, SLIGHTLY CURVED, NON STERILE, LATEX</t>
  </si>
  <si>
    <t>SEPARATOR, SURG, HOUSE, 1.5 MM, 6-5/8 IN, BAYONET-STYLE, SLIGHTLY CRV, NS, LTX</t>
  </si>
  <si>
    <t>SEPARATOR, SURG, HOUSE, 1.5 MM, 6-5/8 IN, BAYONET, SLIGHTLY CRV</t>
  </si>
  <si>
    <t>SEPARATOR</t>
  </si>
  <si>
    <t>BAYONET-STYLE, SLIGHTLY CURVED</t>
  </si>
  <si>
    <t>https://www.bd.com/en-us/products-and-solutions/products/product-page.AU15065#overview, https://accessgudid.nlm.nih.gov/devices/10885403011375</t>
  </si>
  <si>
    <t>AU12454</t>
  </si>
  <si>
    <t>BD_AU12454</t>
  </si>
  <si>
    <t>HOUSE STAPES CURETTE DBL-END LGTH 6-1/4</t>
  </si>
  <si>
    <t>PRODIGO1056161</t>
  </si>
  <si>
    <t>HOUSE STAPES CURETTES DOUBLE-ENDED. OVERALL LENGTH 6-1/4IN (15.9CM). 2.5MM X 1.8MM AND 3MM X 1.8MM OVAL CUPS.</t>
  </si>
  <si>
    <t>CURETTE, SURGICAL, HOUSE STAPE, 6.25 IN, 2.5X1.8 MM, 3X1.8 MM, DOUBLE-ENDED, OVAL CUP, NON STERILE, LATEX</t>
  </si>
  <si>
    <t>CURETTE, SURG, HOUSE STAPE, 6.25 IN, 2.5X1.8 MM, 3X1.8 MM, DOUBLE-ENDED, OVL CUP, NS, LTX</t>
  </si>
  <si>
    <t>CURETTE, SURG, HOUSE STAPE, 6.25 IN, 2.5X1.8 MM, 3X1.8 MM, OVL CUP</t>
  </si>
  <si>
    <t>HOUSE STAPE</t>
  </si>
  <si>
    <t>2.5X1.8 MM, 3X1.8 MM</t>
  </si>
  <si>
    <t>DOUBLE-ENDED, OVAL CUP</t>
  </si>
  <si>
    <t>https://www.bd.com/en-us/products-and-solutions/products/product-page.AU12454#overview, https://accessgudid.nlm.nih.gov/devices/10885403009983</t>
  </si>
  <si>
    <t>AU12456</t>
  </si>
  <si>
    <t>BD_AU12456</t>
  </si>
  <si>
    <t>PRODIGO1056162</t>
  </si>
  <si>
    <t>HOUSE STAPES CURETTES DOUBLE-ENDED. OVERALL LENGTH 6-1/4IN (15.9CM). 2MM X 1.5MM AND 2.9MM X 1.5MM OVAL CUPS.</t>
  </si>
  <si>
    <t>CURETTE, SURGICAL, HOUSE STAPE, 6.25 IN, 2.5X1.5 MM, 2.9X1.5 MM, DOUBLE-ENDED, OVAL CUP, NON STERILE, LATEX</t>
  </si>
  <si>
    <t>CURETTE, SURG, HOUSE STAPE, 6.25 IN, 2.5X1.5 MM, 2.9X1.5 MM, DOUBLE-ENDED, OVL CUP, NS, LTX</t>
  </si>
  <si>
    <t>CURETTE, SURG, HOUSE STAPE, 6.25 IN, 2.5X1.5 MM, 2.9X1.5 MM</t>
  </si>
  <si>
    <t>2.5X1.5 MM, 2.9X1.5 MM</t>
  </si>
  <si>
    <t>https://www.bd.com/en-us/products-and-solutions/products/product-page.AU12456#overview, https://accessgudid.nlm.nih.gov/devices/10885403009990</t>
  </si>
  <si>
    <t>AU15005</t>
  </si>
  <si>
    <t>BD_AU15005</t>
  </si>
  <si>
    <t>HOUSE STAPES SPECULUM ROUND TIP 4.5MM ID</t>
  </si>
  <si>
    <t>PRODIGO1056244</t>
  </si>
  <si>
    <t>42182011  Medical exam specula or dilator tips or tip dispensers</t>
  </si>
  <si>
    <t>HOUSE STAPES SPECULA ROUND TIP. CHROME PLATED. 4.5MM I.D.</t>
  </si>
  <si>
    <t>SPECULA, EXAM, HOUSE, 4.5 MM, STAPES, ROUND TIP, MATTE FINISH, CHROME PLATED, NON STERILE, LATEX</t>
  </si>
  <si>
    <t>SPECULA, EXAM, HOUSE, 4.5 MM, STAP, RND TIP, MATTE FINISH, CHROM PLT, NS, LTX</t>
  </si>
  <si>
    <t>SPECULA, EXAM, HOUSE, 4.5 MM, STAP, RND, MATTE FINISH, CHROM PLT</t>
  </si>
  <si>
    <t>4.5 MM</t>
  </si>
  <si>
    <t>STAPES, ROUND TIP, MATTE FINISH</t>
  </si>
  <si>
    <t>https://www.bd.com/en-us/products-and-solutions/products/product-page.AU15005#overview, https://accessgudid.nlm.nih.gov/devices/10885403011269</t>
  </si>
  <si>
    <t>AU15370</t>
  </si>
  <si>
    <t>BD_AU15370</t>
  </si>
  <si>
    <t>HOUSE SUCT IRRIGATOR 12FR WORKLGTH 2-3/4</t>
  </si>
  <si>
    <t>PRODIGO1056268</t>
  </si>
  <si>
    <t>HOUSE SUCTION IRRIGATOR. 12FR. WORKING LENGTH 2-3/4IN (7CM). 12FR. WORKING LENGTH 2-3/4IN (7CM).</t>
  </si>
  <si>
    <t>IRRIGATOR, SUCTION, HOUSE, 12 FRX2.75 IN, NON STERILE, LATEX</t>
  </si>
  <si>
    <t>IRRIGATOR, SUCTION, HOUSE, 12 FRX2.75 IN, NS, LTX</t>
  </si>
  <si>
    <t>IRRIGATOR</t>
  </si>
  <si>
    <t>12 FRX2.75 IN</t>
  </si>
  <si>
    <t>https://www.bd.com/en-us/products-and-solutions/products/product-page.au15370#overview, https://accessgudid.nlm.nih.gov/devices/10885403011986</t>
  </si>
  <si>
    <t>AU15355</t>
  </si>
  <si>
    <t>BD_AU15355</t>
  </si>
  <si>
    <t>HOUSE SUCT IRRIGATOR 8FR WORK LGTH 2-3/4</t>
  </si>
  <si>
    <t>PRODIGO1056267</t>
  </si>
  <si>
    <t>HOUSE SUCTION IRRIGATOR. 8FR. WORKING LENGTH 2-3/4IN (7CM). 8FR. WORKING LENGTH 2-3/4IN (7CM).</t>
  </si>
  <si>
    <t>IRRIGATOR, SUCTION, HOUSE, 8 FRX2.75 IN, NON STERILE, LATEX</t>
  </si>
  <si>
    <t>IRRIGATOR, SUCTION, HOUSE, 8 FRX2.75 IN, NS, LTX</t>
  </si>
  <si>
    <t>8 FRX2.75 IN</t>
  </si>
  <si>
    <t>https://www.bd.com/en-us/products-and-solutions/products/product-page.au15355#overview, https://accessgudid.nlm.nih.gov/devices/10885403011948</t>
  </si>
  <si>
    <t>AU15130</t>
  </si>
  <si>
    <t>BD_AU15130</t>
  </si>
  <si>
    <t>HOUSE-BARBARA SHATTERING NEEDLE STR MALL</t>
  </si>
  <si>
    <t>PRODIGO1056253</t>
  </si>
  <si>
    <t>42294218  Ear nose and throat ENT surgical instrument sets</t>
  </si>
  <si>
    <t>HOUSE-BARBARA SHATTERING NEEDLE STRAIGHT TIP. MALLEABLE SHAFT. OVERALL LENGTH 6-1/2IN (16.5CM).</t>
  </si>
  <si>
    <t>NEEDLE, SURGICAL, HOUSE-BARBARA, 6.5 IN, SHATTERING, STRAIGHT TIP, MALLEABLE SHAFT, NON STERILE, LATEX</t>
  </si>
  <si>
    <t>NEEDLE, SURG, HOUSE-BARBARA, 6.5 IN, SHATTERING, STR TIP, MALL SHFT, NS, LTX</t>
  </si>
  <si>
    <t>NEEDLE, SURG, HOUSE-BARBARA, 6.5 IN, SHATTERING, STR, MALL SHFT</t>
  </si>
  <si>
    <t>HOUSE-BARBARA</t>
  </si>
  <si>
    <t>SHATTERING, STRAIGHT TIP, MALLEABLE SHAFT</t>
  </si>
  <si>
    <t>https://www.bd.com/en-us/products-and-solutions/products/product-page.au15130#overview, https://accessgudid.nlm.nih.gov/devices/10885403011467</t>
  </si>
  <si>
    <t>AU13720</t>
  </si>
  <si>
    <t>BD_AU13720</t>
  </si>
  <si>
    <t>HOUSE-PAPARELLA CURETTE DBL-END OVAL CUP</t>
  </si>
  <si>
    <t>PRODIGO1056215</t>
  </si>
  <si>
    <t>HOUSE-PAPARELLA STAPES CURETTE NO. 19. DOUBLE-ENDED WITH OVAL CUPS. 3.3MM X 2MM AND 2.5MM X 1.6MM WIDE. OVERALL LENGTH 6-1/4IN (15.9CM).</t>
  </si>
  <si>
    <t>CURETTE, SURGICAL, HOUSE-PAPARELLA STAPES, 19, 6.25 IN, 3.3X2 MM, 2.5X1.6 MM, DOUBLE-ENDED, OVAL CUP, NON STERILE, LATEX</t>
  </si>
  <si>
    <t>CURETTE, SURG, HOUSE-PAPARELLA STAP, 19, 6.25 IN, 3.3X2 MM, 2.5X1.6 MM, DOUBLE-ENDED, OVL CUP, NS, LTX</t>
  </si>
  <si>
    <t>CURETTE, SURG, HOUSE-PAPARELLA STAP, 19, 6.25 IN, 3.3X2 MM</t>
  </si>
  <si>
    <t>HOUSE-PAPARELLA STAPES</t>
  </si>
  <si>
    <t>3.3X2 MM, 2.5X1.6 MM</t>
  </si>
  <si>
    <t>https://www.bd.com/en-us/products-and-solutions/products/product-page.au13720#overview, https://accessgudid.nlm.nih.gov/devices/10885403010620</t>
  </si>
  <si>
    <t>AU15394</t>
  </si>
  <si>
    <t>BD_AU15394</t>
  </si>
  <si>
    <t>HOUSE-RADPOUR SUCT-IRRIG 10FR 3-1/2IN</t>
  </si>
  <si>
    <t>PRODIGO1056271</t>
  </si>
  <si>
    <t>V. MUELLER HOUSE-RADPOUR SUCTION- IRRIGATOR 10FR WORKING LENGTH 3-1/2IN (8.9CM)</t>
  </si>
  <si>
    <t>IRRIGATOR, SUCTION, HOUSE RADPOUR, 10 FRX3.5 IN, FINGER-CONTROLLED STOPCOCK, CHROME-PLATED, NON STERILE, LATEX</t>
  </si>
  <si>
    <t>IRRIGATOR, SUCTION, HOUSE RADPOUR, 10 FRX3.5 IN, FINGER-CONTROLLED STOPCOCK, CHROME-PLATED, NS, LTX</t>
  </si>
  <si>
    <t>IRRIGATOR, SUCTION, HOUSE RADPOUR, 10 FRX3.5 IN, CHROME-PLATED</t>
  </si>
  <si>
    <t>HOUSE RADPOUR</t>
  </si>
  <si>
    <t>10 FRX3.5 IN</t>
  </si>
  <si>
    <t>FINGER-CONTROLLED STOPCOCK</t>
  </si>
  <si>
    <t>CHROME-PLATED</t>
  </si>
  <si>
    <t>https://accessgudid.nlm.nih.gov/devices/10885403012044</t>
  </si>
  <si>
    <t>AU15396</t>
  </si>
  <si>
    <t>BD_AU15396</t>
  </si>
  <si>
    <t>HOUSE-RADPOUR SUCT-IRRIG 12FR 3-1/2IN</t>
  </si>
  <si>
    <t>PRODIGO1056272</t>
  </si>
  <si>
    <t>HOUSE-RADPOUR SUCTION-IRRIGATORS FINGER-CONTROLLED STOPCOCK ON IRRIGATOR. STOPCOCK IS CHROME-PLATED. WORKING LENGTH 3-1/2IN (8.9CM). 12FR.</t>
  </si>
  <si>
    <t>IRRIGATOR, SUCTION, HOUSE RADPOUR, 12 FRX3.5 IN, FINGER-CONTROLLED STOPCOCK, SATIN FINISH, CHROME-PLATED, NON STERILE, LATEX</t>
  </si>
  <si>
    <t>IRRIGATOR, SUCTION, HOUSE RADPOUR, 12 FRX3.5 IN, FINGER-CONTROLLED STOPCOCK, SATIN FINISH, CHROME-PLATED, NS, LTX</t>
  </si>
  <si>
    <t>IRRIGATOR, SUCTION, HOUSE RADPOUR, 12 FRX3.5 IN, SATIN FINISH</t>
  </si>
  <si>
    <t>12 FRX3.5 IN</t>
  </si>
  <si>
    <t>SATIN FINISH, CHROME-PLATED</t>
  </si>
  <si>
    <t>https://www.bd.com/en-us/products-and-solutions/products/product-page.au15396#overview, https://accessgudid.nlm.nih.gov/devices/10885403012051</t>
  </si>
  <si>
    <t>AU15390</t>
  </si>
  <si>
    <t>BD_AU15390</t>
  </si>
  <si>
    <t>HOUSE-RADPOUR SUCT-IRRIG 7FR 3-1/2IN</t>
  </si>
  <si>
    <t>PRODIGO1056269</t>
  </si>
  <si>
    <t>HOUSE RADPOUR SUCTION IRRIGATOR. 7FR. FINGER-CONTROLLED STOPCOCK ON IRRIGATOR. STOPCOCK IS CHROME-PLATED. WORKING LENGTH 3-1/2IN (8.9CM). FINGER-CONTROLLED STOPCOCK ON IRRIGATOR. STOPCOCK IS CHROME-PLATED. WORKING LENGTH 3-1/2IN (8.9CM). 7FR.</t>
  </si>
  <si>
    <t>IRRIGATOR, SUCTION, HOUSE RADPOUR, 7 FRX3.5 IN, FINGER-CONTROLLED STOPCOCK, SATIN FINISH, CHROME-PLATED, NON STERILE, LATEX</t>
  </si>
  <si>
    <t>IRRIGATOR, SUCTION, HOUSE RADPOUR, 7 FRX3.5 IN, FINGER-CONTROLLED STOPCOCK, SATIN FINISH, CHROME-PLATED, NS, LTX</t>
  </si>
  <si>
    <t>IRRIGATOR, SUCTION, HOUSE RADPOUR, 7 FRX3.5 IN, SATIN FINISH</t>
  </si>
  <si>
    <t>7 FRX3.5 IN</t>
  </si>
  <si>
    <t>https://www.bd.com/en-us/products-and-solutions/products/product-page.au15390#overview, https://accessgudid.nlm.nih.gov/devices/10885403012013</t>
  </si>
  <si>
    <t>AU15392</t>
  </si>
  <si>
    <t>BD_AU15392</t>
  </si>
  <si>
    <t>HOUSE-RADPOUR SUCT-IRRIG 8FR 3-1/2IN</t>
  </si>
  <si>
    <t>PRODIGO1056270</t>
  </si>
  <si>
    <t>HOUSE-RADPOUR SUCTION-IRRIGATORS FINGER-CONTROLLED STOPCOCK ON IRRIGATOR. STOPCOCK IS CHROME-PLATED. WORKING LENGTH 3-1/2IN (8.9CM). 8FR.</t>
  </si>
  <si>
    <t>IRRIGATOR, SUCTION, HOUSE RADPOUR, 8 FRX3.5 IN, FINGER-CONTROLLED STOPCOCK, CHROME-PLATED, NON STERILE, LATEX</t>
  </si>
  <si>
    <t>IRRIGATOR, SUCTION, HOUSE RADPOUR, 8 FRX3.5 IN, FINGER-CONTROLLED STOPCOCK, CHROME-PLATED, NS, LTX</t>
  </si>
  <si>
    <t>IRRIGATOR, SUCTION, HOUSE RADPOUR, 8 FRX3.5 IN, CHROME-PLATED</t>
  </si>
  <si>
    <t>8 FRX3.5 IN</t>
  </si>
  <si>
    <t>https://www.bd.com/en-us/products-and-solutions/products/product-page.au15392#overview, https://accessgudid.nlm.nih.gov/devices/10885403012020</t>
  </si>
  <si>
    <t>AU16005</t>
  </si>
  <si>
    <t>BD_AU16005</t>
  </si>
  <si>
    <t>HOUSE-WULLSTEIN FORCEP OVAL CUP LFT BEND</t>
  </si>
  <si>
    <t>PRODIGO1056274</t>
  </si>
  <si>
    <t>HOUSE-WULLSTEIN OVAL CUP FORCEPS WORKING LENGTH 3-3/16IN (8.1CM). JAWS BENT LEFT.</t>
  </si>
  <si>
    <t>FORCEP, SURGICAL, HOUSE-WULLSTEIN, 3-3/16 IN, OVAL CUP, JAW BENT LEFT, NON STERILE, LATEX</t>
  </si>
  <si>
    <t>FORCEP, SURG, HOUSE-WULLSTEIN, 3-3/16 IN, OVL CUP, JAW BENT LT, NS, LTX</t>
  </si>
  <si>
    <t>FORCEP, SURG, HOUSE-WULLSTEIN, 3-3/16 IN, OVL CUP, JAW BENT LT, NS</t>
  </si>
  <si>
    <t>HOUSE-WULLSTEIN</t>
  </si>
  <si>
    <t>3-3/16 IN</t>
  </si>
  <si>
    <t>OVAL CUP, JAW BENT LEFT</t>
  </si>
  <si>
    <t>https://www.bd.com/en-us/products-and-solutions/products/product-page.AU16005#overview, https://accessgudid.nlm.nih.gov/devices/10885403012143</t>
  </si>
  <si>
    <t>AU16000</t>
  </si>
  <si>
    <t>BD_AU16000</t>
  </si>
  <si>
    <t>HOUSE-WULLSTEIN FORCEPS OVAL CUP RT BEND</t>
  </si>
  <si>
    <t>PRODIGO1056273</t>
  </si>
  <si>
    <t>HOUSE-WULLSTEIN OVAL CUP FORCEPS WORKING LENGTH 3-3/16IN (8.1CM). JAWS BENT RIGHT.</t>
  </si>
  <si>
    <t>FORCEP, SURGICAL, HOUSE-WULLSTEIN, 3-3/16 IN, OVAL CUP, JAW BENT RIGHT, NON STERILE, LATEX</t>
  </si>
  <si>
    <t>FORCEP, SURG, HOUSE-WULLSTEIN, 3-3/16 IN, OVL CUP, JAW BENT RT, NS, LTX</t>
  </si>
  <si>
    <t>FORCEP, SURG, HOUSE-WULLSTEIN, 3-3/16 IN, OVL CUP, JAW BENT RT, NS</t>
  </si>
  <si>
    <t>OVAL CUP, JAW BENT RIGHT</t>
  </si>
  <si>
    <t>https://www.bd.com/en-us/products-and-solutions/products/product-page.AU16000#overview, https://accessgudid.nlm.nih.gov/devices/10885403012136</t>
  </si>
  <si>
    <t>CH7202</t>
  </si>
  <si>
    <t>BD_CH7202</t>
  </si>
  <si>
    <t>HOWARD AORTIC ANEURYSM CLAMP 11-3/4IN</t>
  </si>
  <si>
    <t>PRODIGO1057119</t>
  </si>
  <si>
    <t>HOWARD Aortic Aneurysm Clamps Reverse curve shanks.
DeBAKEY 2 x 3 jaw</t>
  </si>
  <si>
    <t>CLAMP, SURGICAL, HOWARD, 11.75 IN, 2X3 JAW, AORTIC, ANEURYSM, REVERSE CURVE SHANK, DEBAKEY, NON STERILE, LATEX</t>
  </si>
  <si>
    <t>CLAMP, SURG, HOWARD, 11.75 IN, 2X3 JAW, AORT, ANEUR, RVS CRV SHANK, DEBAKEY, NS, LTX</t>
  </si>
  <si>
    <t>CLAMP, SURG, HOWARD, 11.75 IN, 2X3 JAW, AORT, ANEUR, RVS CRV SHANK</t>
  </si>
  <si>
    <t>HOWARD</t>
  </si>
  <si>
    <t>11.75 IN</t>
  </si>
  <si>
    <t>2X3 JAW</t>
  </si>
  <si>
    <t>ANEURYSM, REVERSE CURVE SHANK, DEBAKEY</t>
  </si>
  <si>
    <t>http://www.lt-technologies.de/_ws/mediabase/_ts_1494230442000/Downloads/CardioCatalog_LIT12012_low-res.pdf, https://accessgudid.nlm.nih.gov/devices/10885403032578</t>
  </si>
  <si>
    <t>CH7204</t>
  </si>
  <si>
    <t>BD_CH7204</t>
  </si>
  <si>
    <t>HOWARD AORTIC ANEURYSM CLAMP 11IN</t>
  </si>
  <si>
    <t>PRODIGO1057120</t>
  </si>
  <si>
    <t>HOWARD Aortic Aneurysm Clamps Reverse curve shanks.
Angled DeBAKEY 1 x 2 jaw</t>
  </si>
  <si>
    <t>CLAMP, SURGICAL, HOWARD, 11.75 IN, 1X2 JAW, AORTIC, ANEURYSM, ANGLED, DEBAKEY, NON STERILE, LATEX</t>
  </si>
  <si>
    <t>CLAMP, SURG, HOWARD, 11.75 IN, 1X2 JAW, AORT, ANEUR, ANGLED, DEBAKEY, NS, LTX</t>
  </si>
  <si>
    <t>CLAMP, SURG, HOWARD, 11.75 IN, 1X2 JAW, AORT, ANEUR, ANGLED, DEBAKEY</t>
  </si>
  <si>
    <t>1X2 JAW</t>
  </si>
  <si>
    <t>ANEURYSM, ANGLED, DEBAKEY</t>
  </si>
  <si>
    <t>http://www.lt-technologies.de/_ws/mediabase/_ts_1494230442000/Downloads/CardioCatalog_LIT12012_low-res.pdf, https://accessgudid.nlm.nih.gov/devices/10885403032585</t>
  </si>
  <si>
    <t>GL34</t>
  </si>
  <si>
    <t>BD_GL34</t>
  </si>
  <si>
    <t>HUFFMAN-GRAVES VAG SPEC 4-5/16X9/16IN</t>
  </si>
  <si>
    <t>PRODIGO1057457</t>
  </si>
  <si>
    <t>Huffman-Graves vaginal speculum 4-5/16in x 9/16in wide (11cm x 1.4cm).</t>
  </si>
  <si>
    <t>SPECULUM, VAGINAL, HUFFMAN-GRAVES, 4-5/16X9/16 IN, NON STERILE, LATEX</t>
  </si>
  <si>
    <t>SPECULUM, VAG, HUFFMAN-GRAVES, 4-5/16X9/16 IN, NS, LTX</t>
  </si>
  <si>
    <t>HUFFMAN-GRAVES</t>
  </si>
  <si>
    <t>4-5/16X9/16 IN</t>
  </si>
  <si>
    <t>https://www.bd.com/en-us/products-and-solutions/products/product-page.GL34#overview, https://accessgudid.nlm.nih.gov/devices/10885403042836</t>
  </si>
  <si>
    <t>MA1280</t>
  </si>
  <si>
    <t>BD_MA1280</t>
  </si>
  <si>
    <t>HURD TONSIL DISSECTOR&amp;PILLAR RETR 8-3/4</t>
  </si>
  <si>
    <t>PRODIGO1057844</t>
  </si>
  <si>
    <t>42294219  Orthopedic surgical instrument sets</t>
  </si>
  <si>
    <t>A4550</t>
  </si>
  <si>
    <t>SURGICAL TRAYS</t>
  </si>
  <si>
    <t>HURD TONSIL DISSECTOR &amp; PILLAR RETRACTOR AFFINITY LINE. OVERALL LENGTH 8-3/4IN (22.2CM).</t>
  </si>
  <si>
    <t>INSTRUMENT SET, 8.75 IN, HURD TONSIL DISSECTOR &amp; PILLAR RETRACTOR, NON STERILE, LATEX</t>
  </si>
  <si>
    <t>INSTRUMENT SET, 8.75 IN, HURD TONSIL DISSECTOR &amp; PILLAR RETRACTOR, NS, LTX</t>
  </si>
  <si>
    <t>INSTRUMENT SET, 8.75 IN, HURD TONSIL DISSECTOR &amp; PILLAR</t>
  </si>
  <si>
    <t>INSTRUMENT SET</t>
  </si>
  <si>
    <t>HURD TONSIL DISSECTOR &amp; PILLAR RETRACTOR</t>
  </si>
  <si>
    <t>https://www.bd.com/en-us/products-and-solutions/products/product-page.MA1280#overview, https://accessgudid.nlm.nih.gov/devices/10885403056376</t>
  </si>
  <si>
    <t>IBI85931</t>
  </si>
  <si>
    <t>IBI-85931</t>
  </si>
  <si>
    <t>ABBOTT_IBI85931</t>
  </si>
  <si>
    <t>IBI 1924-S 24 PIN DIAGNOSTIC CONNECTING CABLE</t>
  </si>
  <si>
    <t>PRODIGO1061004</t>
  </si>
  <si>
    <t>42203448  Diagnostic or interventional vascular catheter accessories</t>
  </si>
  <si>
    <t>24 PIN DIAGNOSTIC CONNECTING CABLE</t>
  </si>
  <si>
    <t>CABLE, CATHETER, 150 CM, 24 PIN, STERILE, LATEX-FREE</t>
  </si>
  <si>
    <t>CABLE, CATH, 150 CM, 24 PIN, STRL, LF</t>
  </si>
  <si>
    <t>150 CM</t>
  </si>
  <si>
    <t>24 PIN</t>
  </si>
  <si>
    <t>F27100</t>
  </si>
  <si>
    <t>F271.00</t>
  </si>
  <si>
    <t>BD_F27100</t>
  </si>
  <si>
    <t>INJECTION NEEDLE 15GA 32CM</t>
  </si>
  <si>
    <t>PRODIGO1057304</t>
  </si>
  <si>
    <t>Injection needle, 15 g, 32 cm length</t>
  </si>
  <si>
    <t>NEEDLE, ASPIRATION, INJECTION, 15 GAX32 CM, NON STERILE, ENDOLAP, LATEX, REUSABLE</t>
  </si>
  <si>
    <t>NEEDLE, ASPIR, INJ, 15 GAX32 CM, NS, ENDOLAP, LTX, REUSE</t>
  </si>
  <si>
    <t>ASPIRATION</t>
  </si>
  <si>
    <t>INJECTION</t>
  </si>
  <si>
    <t>15 GAX32 CM</t>
  </si>
  <si>
    <t>ENDOLAP</t>
  </si>
  <si>
    <t>https://www.bd.com/en-us/products-and-solutions/products/product-page.F271.00, https://accessgudid.nlm.nih.gov/devices/10885403040405</t>
  </si>
  <si>
    <t>F27103</t>
  </si>
  <si>
    <t>F271.03</t>
  </si>
  <si>
    <t>BD_F27103</t>
  </si>
  <si>
    <t>INJECTION NEEDLE 18GA 45CM LONG</t>
  </si>
  <si>
    <t>PRODIGO1057305</t>
  </si>
  <si>
    <t>Injection needle, 18 g, 45 cm length</t>
  </si>
  <si>
    <t>NEEDLE, ASPIRATION, INJECTION, 18 GAX45 CM, NON STERILE, ENDOLAP, LATEX, REUSABLE</t>
  </si>
  <si>
    <t>NEEDLE, ASPIR, INJ, 18 GAX45 CM, NS, ENDOLAP, LTX, REUSE</t>
  </si>
  <si>
    <t>18 GAX45 CM</t>
  </si>
  <si>
    <t>https://www.bd.com/en-us/products-and-solutions/products/product-page.F271.03, https://accessgudid.nlm.nih.gov/devices/10885403040436</t>
  </si>
  <si>
    <t>IBI81918</t>
  </si>
  <si>
    <t>IBI-81918</t>
  </si>
  <si>
    <t>ABBOTT_IBI81918</t>
  </si>
  <si>
    <t>INQUIRY 7F LUMA STEER DEC 1110-L-7-25-L</t>
  </si>
  <si>
    <t>PRODIGO1060969</t>
  </si>
  <si>
    <t>Inquiry Electrophysiology Catheters Luma-Cath Catheter 7 F Decapolar steerable 1110-L-7-25-L 2-5-2MM SPACING 1MM TIP Large CURVE 110CM</t>
  </si>
  <si>
    <t>CATHETER, ELECTROPHYSIOLOGY, LARGE CURVE, 2-5-2 MM SPACING, 1 MM TIP, 7 FRX110 CM, DECAPOLAR, STEERABLE, 1110-L-7-25-L, STERILE, INQUIRY, LUMA-CATH, LATEX</t>
  </si>
  <si>
    <t>CATHETER, ELECTROPHYSIOLOGY, LG CRV, 2-5-2 MM SPC, 1 MM TIP, 7 FRX110 CM, DECAPOLAR, STEER, 1110-L-7-25-L, STRL, INQUIRY, LUMA-CATH, LTX</t>
  </si>
  <si>
    <t>CATHETER, ELECTROPHYSIOLOGY, LG CRV, 2-5-2 MM, 1 MM, 7 FRX110 CM</t>
  </si>
  <si>
    <t>LARGE CURVE</t>
  </si>
  <si>
    <t>2-5-2 MM SPACING, 1 MM TIP</t>
  </si>
  <si>
    <t>DECAPOLAR, STEERABLE, 1110-L-7-25-L</t>
  </si>
  <si>
    <t>INQUIRY, LUMA-CATH</t>
  </si>
  <si>
    <t>https://www.cardiovascular.abbott/content/dam/bss/divisionalsites/cv/pdf/guides/2019_us_electrophysiology_prod.pdf, https://accessgudid.nlm.nih.gov/devices/05414734306201</t>
  </si>
  <si>
    <t>IBI81920</t>
  </si>
  <si>
    <t>IBI-81920</t>
  </si>
  <si>
    <t>ABBOTT_IBI81920</t>
  </si>
  <si>
    <t>INQUIRY 7F LUMA STEER DEC 1110-L-7-25-M</t>
  </si>
  <si>
    <t>PRODIGO1060970</t>
  </si>
  <si>
    <t>Inquiry Electrophysiology Catheters Luma-Cath Catheter 7 F Decapolar steerable 1110-L-7-25-M 2-5-2MM SPACING 1MM TIP Medium CURVE 110CM</t>
  </si>
  <si>
    <t>CATHETER, ELECTROPHYSIOLOGY, MEDIUM CURVE, 2-5-2 MM SPACING, 1 MM TIP, 7 FRX110 CM, DECAPOLAR, STEERABLE, 1110-L-7-25-M, STERILE, INQUIRY, LUMA-CATH, LATEX</t>
  </si>
  <si>
    <t>CATHETER, ELECTROPHYSIOLOGY, MED CRV, 2-5-2 MM SPC, 1 MM TIP, 7 FRX110 CM, DECAPOLAR, STEER, 1110-L-7-25-M, STRL, INQUIRY, LUMA-CATH, LTX</t>
  </si>
  <si>
    <t>CATHETER, ELECTROPHYSIOLOGY, MED CRV, 2-5-2 MM, 1 MM, 7 FRX110 CM</t>
  </si>
  <si>
    <t>MEDIUM CURVE</t>
  </si>
  <si>
    <t>DECAPOLAR, STEERABLE, 1110-L-7-25-M</t>
  </si>
  <si>
    <t>https://www.cardiovascular.abbott/content/dam/bss/divisionalsites/cv/pdf/guides/2019_us_electrophysiology_prod.pdf, https://accessgudid.nlm.nih.gov/devices/05414734306218</t>
  </si>
  <si>
    <t>CH8000056</t>
  </si>
  <si>
    <t>BD_CH8000056</t>
  </si>
  <si>
    <t>INTRACARDIAC SUCKER GUARD F/MAYO SET</t>
  </si>
  <si>
    <t>PRODIGO1057176</t>
  </si>
  <si>
    <t>42294703  Intracardiac suction devices</t>
  </si>
  <si>
    <t>Intracardiac Sucker Guard</t>
  </si>
  <si>
    <t>GUARD, INSTRUMENT, SUCKER, INTRACARDIAC, FOR MAYO SET, NON STERILE, LATEX</t>
  </si>
  <si>
    <t>GUARD, INSTRUMENT, SUC, INTCARD, FOR MAYO SET, NS, LTX</t>
  </si>
  <si>
    <t>GUARD</t>
  </si>
  <si>
    <t>INSTRUMENT</t>
  </si>
  <si>
    <t>SUCKER</t>
  </si>
  <si>
    <t>FOR MAYO SET</t>
  </si>
  <si>
    <t>https://www.bd.com/en-us/products-and-solutions/products/product-page.CH8000-056#overview, https://accessgudid.nlm.nih.gov/devices/10885403033797</t>
  </si>
  <si>
    <t>CH3314</t>
  </si>
  <si>
    <t>BD_CH3314</t>
  </si>
  <si>
    <t>IRRIG/INJECT NEEDLE CVD 1.2MM 3-1/8IN</t>
  </si>
  <si>
    <t>PRODIGO1056828</t>
  </si>
  <si>
    <t>42142525  Irrigation needles</t>
  </si>
  <si>
    <t>Irrigation/injection needles</t>
  </si>
  <si>
    <t>NEEDLE, IRRIGATION/INJECTION, 1.2 MMX3-1/8 IN, CURVED, OLIVE TIP, STAINLESS STEEL, NON STERILE, LATEX</t>
  </si>
  <si>
    <t>NEEDLE, IRRIGATION/INJECTION, 1.2 MMX3-1/8 IN, CRV, OLV TIP, SS, NS, LTX</t>
  </si>
  <si>
    <t>NEEDLE, IRRIGATION/INJECTION, 1.2 MMX3-1/8 IN, CRV, OLV TIP, SS</t>
  </si>
  <si>
    <t>IRRIGATION/INJECTION</t>
  </si>
  <si>
    <t>1.2 MMX3-1/8 IN</t>
  </si>
  <si>
    <t>CURVED, OLIVE TIP</t>
  </si>
  <si>
    <t>https://www.bd.com/en-us/products-and-solutions/products/product-page.CH3314#specifications, https://accessgudid.nlm.nih.gov/devices/10885403026652</t>
  </si>
  <si>
    <t>CH3316</t>
  </si>
  <si>
    <t>BD_CH3316</t>
  </si>
  <si>
    <t>IRRIG/INJECT NEEDLE CVD 1.5MM 3-1/8IN</t>
  </si>
  <si>
    <t>PRODIGO1056829</t>
  </si>
  <si>
    <t>NEEDLE, IRRIGATION/INJECTION, 1.5 MMX3-1/8 IN, CURVED, OLIVE TIP, STAINLESS STEEL, NON STERILE, LATEX</t>
  </si>
  <si>
    <t>NEEDLE, IRRIGATION/INJECTION, 1.5 MMX3-1/8 IN, CRV, OLV TIP, SS, NS, LTX</t>
  </si>
  <si>
    <t>NEEDLE, IRRIGATION/INJECTION, 1.5 MMX3-1/8 IN, CRV, OLV TIP, SS</t>
  </si>
  <si>
    <t>1.5 MMX3-1/8 IN</t>
  </si>
  <si>
    <t>https://www.bd.com/en-us/products-and-solutions/products/product-page.CH3316#overview, https://accessgudid.nlm.nih.gov/devices/10885403026669</t>
  </si>
  <si>
    <t>CH3310</t>
  </si>
  <si>
    <t>BD_CH3310</t>
  </si>
  <si>
    <t>IRRIG/INJECT NEEDLE STR 1.2MM 3-1/8IN</t>
  </si>
  <si>
    <t>PRODIGO1056826</t>
  </si>
  <si>
    <t>NEEDLE, IRRIGATION/INJECTION, 1.2 MMX3-1/8 IN, STRAIGHT, OLIVE TIP, STAINLESS STEEL, NON STERILE, LATEX</t>
  </si>
  <si>
    <t>NEEDLE, IRRIGATION/INJECTION, 1.2 MMX3-1/8 IN, STR, OLV TIP, SS, NS, LTX</t>
  </si>
  <si>
    <t>NEEDLE, IRRIGATION/INJECTION, 1.2 MMX3-1/8 IN, STR, OLV TIP, SS</t>
  </si>
  <si>
    <t>STRAIGHT, OLIVE TIP</t>
  </si>
  <si>
    <t>https://www.bd.com/en-us/products-and-solutions/products/product-page.CH3310#overview, https://accessgudid.nlm.nih.gov/devices/10885403026621</t>
  </si>
  <si>
    <t>CH3312</t>
  </si>
  <si>
    <t>BD_CH3312</t>
  </si>
  <si>
    <t>IRRIG/INJECT NEEDLE STR 1.5MM 3-1/8IN</t>
  </si>
  <si>
    <t>PRODIGO1056827</t>
  </si>
  <si>
    <t>NEEDLE, IRRIGATION/INJECTION, 1.5 MMX3-1/8 IN, STRAIGHT, OLIVE TIP, STAINLESS STEEL, NON STERILE, LATEX</t>
  </si>
  <si>
    <t>NEEDLE, IRRIGATION/INJECTION, 1.5 MMX3-1/8 IN, STR, OLV TIP, SS, NS, LTX</t>
  </si>
  <si>
    <t>NEEDLE, IRRIGATION/INJECTION, 1.5 MMX3-1/8 IN, STR, OLV TIP, SS</t>
  </si>
  <si>
    <t>https://www.bd.com/en-us/products-and-solutions/products/product-page.CH3312#overview, https://accessgudid.nlm.nih.gov/devices/10885403026645</t>
  </si>
  <si>
    <t>LA8507</t>
  </si>
  <si>
    <t>BD_LA8507</t>
  </si>
  <si>
    <t>J HOOK ELECTRODE CVD 33CM</t>
  </si>
  <si>
    <t>PRODIGO1057751</t>
  </si>
  <si>
    <t>Electrode 5 Mmx33 Cm J Hook Curved Suction No Valve Non Sterile Latex</t>
  </si>
  <si>
    <t>ELECTRODE, ELECTROSURGICAL, J HOOK, 5 MMX33 CM, CURVED, SUCTION, NO VALVE, NON STERILE, LATEX</t>
  </si>
  <si>
    <t>ELECTRODE, ELECSURG, J HK, 5 MMX33 CM, CRV, SUCTION, NO VLV, NS, LTX</t>
  </si>
  <si>
    <t>J HOOK</t>
  </si>
  <si>
    <t>CURVED, SUCTION, NO VALVE</t>
  </si>
  <si>
    <t>https://www.bd.com/en-us/products-and-solutions/products/product-page.la8507#overview, https://accessgudid.nlm.nih.gov/devices/10885403053931</t>
  </si>
  <si>
    <t>LA850745</t>
  </si>
  <si>
    <t>LA8507-45</t>
  </si>
  <si>
    <t>BD_LA850745</t>
  </si>
  <si>
    <t>J HOOK ELECTRODE CVD 45CM</t>
  </si>
  <si>
    <t>PRODIGO1057752</t>
  </si>
  <si>
    <t>Electrode 5 Mmx45 Cm J Hook Curved Suction No Valve Non Sterile Latex</t>
  </si>
  <si>
    <t>ELECTRODE, ELECTROSURGICAL, J HOOK, 5 MMX45 CM, CURVED, SUCTION, NO VALVE, NON STERILE, LATEX</t>
  </si>
  <si>
    <t>ELECTRODE, ELECSURG, J HK, 5 MMX45 CM, CRV, SUCTION, NO VLV, NS, LTX</t>
  </si>
  <si>
    <t>https://www.bd.com/en-us/products-and-solutions/products/product-page.la8507-45#overview, https://accessgudid.nlm.nih.gov/devices/10885403053948</t>
  </si>
  <si>
    <t>LA8515</t>
  </si>
  <si>
    <t>BD_LA8515</t>
  </si>
  <si>
    <t>J HOOK SUCTION ELECTRODE CVD 33CM</t>
  </si>
  <si>
    <t>PRODIGO1057759</t>
  </si>
  <si>
    <t>ELECTRODE, ELECTROSURGICAL, J HOOK, 5 MMX33 CM, CURVED, SUCTION, NO VALVE, NON STERILE, LATEX, LA8515</t>
  </si>
  <si>
    <t>ELECTRODE, ELECSURG, J HK, 5 MMX33 CM, CRV, SUCTION, NO VLV, LA8515</t>
  </si>
  <si>
    <t>https://www.bd.com/en-us/products-and-solutions/products/product-page.LA8515#overview, https://accessgudid.nlm.nih.gov/devices/10885403054099</t>
  </si>
  <si>
    <t>Description duplicate, Ref# added</t>
  </si>
  <si>
    <t>BE2430</t>
  </si>
  <si>
    <t>BD_BE2430</t>
  </si>
  <si>
    <t>JACKSON LARYNGEAL FORCEP DEL ANG CUP 2MM</t>
  </si>
  <si>
    <t>PRODIGO1056397</t>
  </si>
  <si>
    <t>JACKSON LARYNGEAL FORCEPS DELICATE. 2MM ANGLED CUP. WORKING LENGTH 11IN (28CM).</t>
  </si>
  <si>
    <t>FORCEP, SURGICAL, JACKSON, 11 IN, 2 MM, LARYNGEAL, DELICATE, ANGLED CUP, RING HANDLE, NON STERILE, LATEX</t>
  </si>
  <si>
    <t>FORCEP, SURG, JACKSON, 11 IN, 2 MM, LARYNGEAL, DEL, ANGLED CUP, RNG HNDL, NS, LTX</t>
  </si>
  <si>
    <t>FORCEP, SURG, JACKSON, 11 IN, 2 MM, LARYNGEAL, DEL, ANGLED CUP</t>
  </si>
  <si>
    <t>JACKSON</t>
  </si>
  <si>
    <t>LARYNGEAL</t>
  </si>
  <si>
    <t>DELICATE, ANGLED CUP, RING HANDLE</t>
  </si>
  <si>
    <t>https://www.bd.com/en-us/products-and-solutions/products/product-page.be2430#specifications, https://accessgudid.nlm.nih.gov/devices/10885403015113</t>
  </si>
  <si>
    <t>BE2431</t>
  </si>
  <si>
    <t>BD_BE2431</t>
  </si>
  <si>
    <t>JACKSON LARYNGEAL FORCEP DEL ANG CUP 4MM</t>
  </si>
  <si>
    <t>PRODIGO1056398</t>
  </si>
  <si>
    <t>JACKSON LARYNGEAL FORCEPS DELICATE. 4MM ANGLED CUP. WORKING LENGTH 11IN (28CM).</t>
  </si>
  <si>
    <t>FORCEP, SURGICAL, JACKSON, 11 IN, 4 MM, LARYNGEAL, DELICATE, ANGLED CUP, RING HANDLE, NON STERILE, LATEX</t>
  </si>
  <si>
    <t>FORCEP, SURG, JACKSON, 11 IN, 4 MM, LARYNGEAL, DEL, ANGLED CUP, RNG HNDL, NS, LTX</t>
  </si>
  <si>
    <t>FORCEP, SURG, JACKSON, 11 IN, 4 MM, LARYNGEAL, DEL, ANGLED CUP</t>
  </si>
  <si>
    <t>https://www.bd.com/en-us/products-and-solutions/products/product-page.be2431#specifications, https://accessgudid.nlm.nih.gov/devices/10885403015120</t>
  </si>
  <si>
    <t>BE700</t>
  </si>
  <si>
    <t>BD_BE700</t>
  </si>
  <si>
    <t>JACKSON LARYNGEAL FORCEPS CROSS-ACT SERR</t>
  </si>
  <si>
    <t>PRODIGO1056435</t>
  </si>
  <si>
    <t>JACKSON LARYNGEAL FORCEPS CROSS-ACTION. SERRATED TOOTHED JAW.</t>
  </si>
  <si>
    <t>FORCEP, SURGICAL, JACKSON, LARYNGEAL, CROSS ACTION, SERRATED, TOOTHED JAW, SPRING HANDLE, NON STERILE, LATEX</t>
  </si>
  <si>
    <t>FORCEP, SURG, JACKSON, LARYNGEAL, CROSS ACT, SERRATED, TOOTHED JAW, SPRING HNDL, NS, LTX</t>
  </si>
  <si>
    <t>FORCEP, SURG, JACKSON, LARYNGEAL, CROSS ACT, SERRATED, TOOTHED JAW</t>
  </si>
  <si>
    <t>CROSS ACTION, SERRATED, TOOTHED JAW, SPRING HANDLE</t>
  </si>
  <si>
    <t>https://www.bd.com/en-us/products-and-solutions/products/product-page.be700#specifications, https://accessgudid.nlm.nih.gov/devices/10885403014826</t>
  </si>
  <si>
    <t>BE3011</t>
  </si>
  <si>
    <t>BD_BE3011</t>
  </si>
  <si>
    <t>JACKSON OPEN-END ASPIRAT TUBE 4MM DIA</t>
  </si>
  <si>
    <t>PRODIGO1056422</t>
  </si>
  <si>
    <t>JACKSON OPEN-END ASPIRATING TUBES DIAMETER 4MM. OVERALL LENGTH 16IN (40.6CM).</t>
  </si>
  <si>
    <t>TUBE, ASPIRATING, JACKSON, 4 MMX16 IN, OPEN-END, SATIN FINISH, STAINLESS STEEL, NON STERILE, LATEX</t>
  </si>
  <si>
    <t>TUBE, ASPIR, JACKSON, 4 MMX16 IN, OPN END, SATIN FINISH, SS, NS, LTX</t>
  </si>
  <si>
    <t>ASPIRATING</t>
  </si>
  <si>
    <t>4 MMX16 IN</t>
  </si>
  <si>
    <t>OPEN-END, SATIN FINISH</t>
  </si>
  <si>
    <t>https://www.bd.com/en-us/products-and-solutions/products/product-page.be3011#overview, https://accessgudid.nlm.nih.gov/devices/10885403015847</t>
  </si>
  <si>
    <t>BE3012</t>
  </si>
  <si>
    <t>BD_BE3012</t>
  </si>
  <si>
    <t>PRODIGO1056423</t>
  </si>
  <si>
    <t>JACKSON OPEN-END ASPIRATING TUBES DIAMETER 4MM. OVERALL LENGTH 18IN (45.7CM).</t>
  </si>
  <si>
    <t>TUBE, ASPIRATING, JACKSON, 4 MMX18 IN, OPEN-END, SATIN FINISH, STAINLESS STEEL, NON STERILE, LATEX</t>
  </si>
  <si>
    <t>TUBE, ASPIR, JACKSON, 4 MMX18 IN, OPN END, SATIN FINISH, SS, NS, LTX</t>
  </si>
  <si>
    <t>4 MMX18 IN</t>
  </si>
  <si>
    <t>https://www.bd.com/en-us/products-and-solutions/products/product-page.be3012#overview, https://accessgudid.nlm.nih.gov/devices/10885403015854</t>
  </si>
  <si>
    <t>BE3013</t>
  </si>
  <si>
    <t>BD_BE3013</t>
  </si>
  <si>
    <t>PRODIGO1056424</t>
  </si>
  <si>
    <t>JACKSON OPEN-END ASPIRATING TUBES DIAMETER 4MM. OVERALL LENGTH 20IN (50.8CM).</t>
  </si>
  <si>
    <t>TUBE, ASPIRATING, JACKSON, 4 MMX20 IN, OPEN-END, SATIN FINISH, STAINLESS STEEL, NON STERILE, LATEX</t>
  </si>
  <si>
    <t>TUBE, ASPIR, JACKSON, 4 MMX20 IN, OPN END, SATIN FINISH, SS, NS, LTX</t>
  </si>
  <si>
    <t>4 MMX20 IN</t>
  </si>
  <si>
    <t>https://www.bd.com/en-us/products-and-solutions/products/product-page.be3013#overview, https://accessgudid.nlm.nih.gov/devices/10885403015861</t>
  </si>
  <si>
    <t>BE3014</t>
  </si>
  <si>
    <t>BD_BE3014</t>
  </si>
  <si>
    <t>PRODIGO1056425</t>
  </si>
  <si>
    <t>JACKSON OPEN-END ASPIRATING TUBES DIAMETER 4MM. OVERALL LENGTH 22IN (55.9CM).</t>
  </si>
  <si>
    <t>TUBE, ASPIRATING, JACKSON, 4 MMX22 IN, OPEN-END, SATIN FINISH, STAINLESS STEEL, NON STERILE, LATEX</t>
  </si>
  <si>
    <t>TUBE, ASPIR, JACKSON, 4 MMX22 IN, OPN END, SATIN FINISH, SS, NS, LTX</t>
  </si>
  <si>
    <t>4 MMX22 IN</t>
  </si>
  <si>
    <t>https://www.bd.com/en-us/products-and-solutions/products/product-page.be3014#overview, https://accessgudid.nlm.nih.gov/devices/10885403015878</t>
  </si>
  <si>
    <t>BE400</t>
  </si>
  <si>
    <t>BD_BE400</t>
  </si>
  <si>
    <t>JACKSON TRACHEAL RETRACTOR DBL-END 7IN</t>
  </si>
  <si>
    <t>PRODIGO1056428</t>
  </si>
  <si>
    <t>JACKSON TRACHEAL RETRACTOR DOUBLE-ENDED. FLAT BLADE 1/2IN (1.3CM) WIDE ON ONE END TWO PRONGS ON THE OTHER END. OVERALL LENGTH 7IN (17.8CM).</t>
  </si>
  <si>
    <t>RETRACTOR, SURGICAL, JACKSON, 7 IN, 0.5 IN, TRACHEAL, DOUBLE ENDED, FLAT BLADE, NON STERILE, LATEX</t>
  </si>
  <si>
    <t>RETRACTOR, SURG, JACKSON, 7 IN, 0.5 IN, TRACH, DBL END, FLAT BLADE, NS, LTX</t>
  </si>
  <si>
    <t>RETRACTOR, SURG, JACKSON, 7 IN, 0.5 IN, TRACH, DBL END, FLAT BLADE</t>
  </si>
  <si>
    <t>TRACHEAL</t>
  </si>
  <si>
    <t>DOUBLE ENDED, FLAT BLADE</t>
  </si>
  <si>
    <t>https://www.bd.com/en-us/products-and-solutions/products/product-page.be400#overview, https://accessgudid.nlm.nih.gov/devices/10885403014635</t>
  </si>
  <si>
    <t>BE3001</t>
  </si>
  <si>
    <t>BD_BE3001</t>
  </si>
  <si>
    <t>JACKSON VELVET EYE ASPIRAT TUBE 3MM DIA</t>
  </si>
  <si>
    <t>PRODIGO1056417</t>
  </si>
  <si>
    <t>JACKSON VELVET EYE ASPIRATING TUBES DISTAL TIP HAS A SMOOTH OVAL-SHAPED OPENING ON EACH SIDE IN OPPOSING POSITIONS AND A CLOSED BLUNT END. DIAMETER 3MM. OVERALL LENGTH 16IN (40.6CM).</t>
  </si>
  <si>
    <t>TUBE, ASPIRATING, JACKSON, 3 MMX16 IN, VELVET EYE, DISTAL TIP, SMOOTH, OVAL SHAPED, SATIN FINISH, STAINLESS STEEL, NON STERILE, LATEX</t>
  </si>
  <si>
    <t>TUBE, ASPIR, JACKSON, 3 MMX16 IN, VELVET EYE, DSTL TIP, SMOOTH, OVL SHP, SATIN FINISH, SS, NS, LTX</t>
  </si>
  <si>
    <t>TUBE, ASPIR, JACKSON, 3 MMX16 IN, VELVET EYE, DSTL TIP, SMOOTH</t>
  </si>
  <si>
    <t>3 MMX16 IN</t>
  </si>
  <si>
    <t>VELVET EYE, DISTAL TIP, SMOOTH, OVAL SHAPED, SATIN FINISH</t>
  </si>
  <si>
    <t>https://www.bd.com/en-us/products-and-solutions/products/product-page.be3001#overview, https://accessgudid.nlm.nih.gov/devices/10885403015779</t>
  </si>
  <si>
    <t>BE3000</t>
  </si>
  <si>
    <t>BD_BE3000</t>
  </si>
  <si>
    <t>JACKSON VELVET EYE ASPIRAT TUBE 4MM DIA</t>
  </si>
  <si>
    <t>PRODIGO1056416</t>
  </si>
  <si>
    <t>JACKSON VELVET EYE ASPIRATING TUBES DISTAL TIP HAS A SMOOTH OVAL-SHAPED OPENING ON EACH SIDE IN OPPOSING POSITIONS AND A CLOSED BLUNT END. DIAMETER 4MM. OVERALL LENGTH 10IN (25.4CM).</t>
  </si>
  <si>
    <t>TUBE, ASPIRATING, JACKSON, 4 MMX10 IN, VELVET EYE, DISTAL TIP, SMOOTH, OVAL SHAPED, SATIN FINISH, STAINLESS STEEL, NON STERILE, LATEX</t>
  </si>
  <si>
    <t>TUBE, ASPIR, JACKSON, 4 MMX10 IN, VELVET EYE, DSTL TIP, SMOOTH, OVL SHP, SATIN FINISH, SS, NS, LTX</t>
  </si>
  <si>
    <t>TUBE, ASPIR, JACKSON, 4 MMX10 IN, VELVET EYE, DSTL TIP, SMOOTH</t>
  </si>
  <si>
    <t>4 MMX10 IN</t>
  </si>
  <si>
    <t>https://www.bd.com/en-us/products-and-solutions/products/product-page.be3000#overview, https://accessgudid.nlm.nih.gov/devices/10885403015427</t>
  </si>
  <si>
    <t>BE3002</t>
  </si>
  <si>
    <t>BD_BE3002</t>
  </si>
  <si>
    <t>PRODIGO1056418</t>
  </si>
  <si>
    <t>JACKSON VELVET EYE ASPIRATING TUBES DISTAL TIP HAS A SMOOTH OVAL-SHAPED OPENING ON EACH SIDE IN OPPOSING POSITIONS AND A CLOSED BLUNT END. DIAMETER 4MM. OVERALL LENGTH 16IN (40.6CM).</t>
  </si>
  <si>
    <t>TUBE, ASPIRATING, JACKSON, 4 MMX16 IN, VELVET EYE, DISTAL TIP, SMOOTH, OVAL SHAPED, SATIN FINISH, STAINLESS STEEL, NON STERILE, LATEX</t>
  </si>
  <si>
    <t>TUBE, ASPIR, JACKSON, 4 MMX16 IN, VELVET EYE, DSTL TIP, SMOOTH, OVL SHP, SATIN FINISH, SS, NS, LTX</t>
  </si>
  <si>
    <t>TUBE, ASPIR, JACKSON, 4 MMX16 IN, VELVET EYE, DSTL TIP, SMOOTH</t>
  </si>
  <si>
    <t>https://www.bd.com/en-us/products-and-solutions/products/product-page.be3002#overview, https://accessgudid.nlm.nih.gov/devices/10885403015786</t>
  </si>
  <si>
    <t>BE3003</t>
  </si>
  <si>
    <t>BD_BE3003</t>
  </si>
  <si>
    <t>PRODIGO1056419</t>
  </si>
  <si>
    <t>JACKSON VELVET EYE ASPIRATING TUBES DISTAL TIP HAS A SMOOTH OVAL-SHAPED OPENING ON EACH SIDE IN OPPOSING POSITIONS AND A CLOSED BLUNT END. DIAMETER 4MM. OVERALL LENGTH 18IN (45.7CM).</t>
  </si>
  <si>
    <t>TUBE, ASPIRATING, JACKSON, 4 MMX18 IN, VELVET EYE, DISTAL TIP, SMOOTH, OVAL SHAPED, SATIN FINISH, STAINLESS STEEL, NON STERILE, LATEX</t>
  </si>
  <si>
    <t>TUBE, ASPIR, JACKSON, 4 MMX18 IN, VELVET EYE, DSTL TIP, SMOOTH, OVL SHP, SATIN FINISH, SS, NS, LTX</t>
  </si>
  <si>
    <t>TUBE, ASPIR, JACKSON, 4 MMX18 IN, VELVET EYE, DSTL TIP, SMOOTH</t>
  </si>
  <si>
    <t>https://www.bd.com/en-us/products-and-solutions/products/product-page.be3003#overview, https://accessgudid.nlm.nih.gov/devices/10885403015793</t>
  </si>
  <si>
    <t>BE3005</t>
  </si>
  <si>
    <t>BD_BE3005</t>
  </si>
  <si>
    <t>PRODIGO1056420</t>
  </si>
  <si>
    <t>JACKSON VELVET EYE ASPIRATING TUBES DISTAL TIP HAS A SMOOTH OVAL-SHAPED OPENING ON EACH SIDE IN OPPOSING POSITIONS AND A CLOSED BLUNT END. DIAMETER 4MM. OVERALL LENGTH 22IN (55.9CM).</t>
  </si>
  <si>
    <t>TUBE, ASPIRATING, JACKSON, 4 MMX22 IN, VELVET EYE, DISTAL TIP, SMOOTH, OVAL SHAPED, SATIN FINISH, STAINLESS STEEL, NON STERILE, LATEX</t>
  </si>
  <si>
    <t>TUBE, ASPIR, JACKSON, 4 MMX22 IN, VELVET EYE, DSTL TIP, SMOOTH, OVL SHP, SATIN FINISH, SS, NS, LTX</t>
  </si>
  <si>
    <t>TUBE, ASPIR, JACKSON, 4 MMX22 IN, VELVET EYE, DSTL TIP, SMOOTH</t>
  </si>
  <si>
    <t>https://www.bd.com/en-us/products-and-solutions/products/product-page.be3005#overview, https://accessgudid.nlm.nih.gov/devices/10885403015816</t>
  </si>
  <si>
    <t>BE3006</t>
  </si>
  <si>
    <t>BD_BE3006</t>
  </si>
  <si>
    <t>PRODIGO1056421</t>
  </si>
  <si>
    <t>JACKSON VELVET EYE ASPIRATING TUBES DISTAL TIP HAS A SMOOTH OVAL-SHAPED OPENING ON EACH SIDE IN OPPOSING POSITIONS AND A CLOSED BLUNT END. DIAMETER 4MM. OVERALL LENGTH 26IN (66CM).</t>
  </si>
  <si>
    <t>TUBE, ASPIRATING, JACKSON, 4 MMX26 IN, VELVET EYE, DISTAL TIP, SMOOTH, OVAL SHAPED, SATIN FINISH, STAINLESS STEEL, NON STERILE, LATEX</t>
  </si>
  <si>
    <t>TUBE, ASPIR, JACKSON, 4 MMX26 IN, VELVET EYE, DSTL TIP, SMOOTH, OVL SHP, SATIN FINISH, SS, NS, LTX</t>
  </si>
  <si>
    <t>TUBE, ASPIR, JACKSON, 4 MMX26 IN, VELVET EYE, DSTL TIP, SMOOTH</t>
  </si>
  <si>
    <t>4 MMX26 IN</t>
  </si>
  <si>
    <t>https://www.bd.com/en-us/products-and-solutions/products/product-page.be3006#overview, https://accessgudid.nlm.nih.gov/devices/10885403015823</t>
  </si>
  <si>
    <t>GL952</t>
  </si>
  <si>
    <t>BD_GL952</t>
  </si>
  <si>
    <t>JACOB UTERINE VULSELLUM FORCP CVD 2X2TTH</t>
  </si>
  <si>
    <t>PRODIGO1057546</t>
  </si>
  <si>
    <t>Jacob uterine vulsellum forceps 2 x 2 teeth. Overall length 8-1/4in (21cm). Curved on side.</t>
  </si>
  <si>
    <t>FORCEP, SURGICAL, JACOB, 8.25 IN, UTERINE, VULSELLUM, 2X2 TEETH, CURVED ON SIDE, NON STERILE, LATEX</t>
  </si>
  <si>
    <t>FORCEP, SURG, JACOB, 8.25 IN, UTER, VULSELLUM, 2X2 TEETH, CRV ON SIDE, NS, LTX</t>
  </si>
  <si>
    <t>FORCEP, SURG, JACOB, 8.25 IN, VULSELLUM, 2X2 TEETH, CRV ON SIDE</t>
  </si>
  <si>
    <t>JACOB</t>
  </si>
  <si>
    <t>VULSELLUM, 2X2 TEETH, CURVED ON SIDE</t>
  </si>
  <si>
    <t>https://www.bd.com/en-us/products-and-solutions/products/product-page.GL952#overview, https://accessgudid.nlm.nih.gov/devices/10885403043741</t>
  </si>
  <si>
    <t>CH07460</t>
  </si>
  <si>
    <t>BD_CH07460</t>
  </si>
  <si>
    <t>JACOBSON ANG SPRING HNDL SCISSORS 25DEG</t>
  </si>
  <si>
    <t>PRODIGO1056593</t>
  </si>
  <si>
    <t>JACOBSON ANGLED SPRING HANDLED SCISSORS ROUND HANDLE FINE BLADES ANGLED 25 Degree SHARP 7 IN LATEX NON STERILE</t>
  </si>
  <si>
    <t>SCISSOR, SURGICAL, JACOBSON, 25 DEGREE, 7 IN, SHARP, FINE BLADE, ROUND SPRING HANDLE, NON STERILE, LATEX</t>
  </si>
  <si>
    <t>SCISSOR, SURG, JACOBSON, 25 DEG, 7 IN, SHRP, FN BLADE, RND SPRING HNDL, NS, LTX</t>
  </si>
  <si>
    <t>SCISSOR, SURG, JACOBSON, 25 DEG, 7 IN, SHRP, FN BLADE, RND HNDL</t>
  </si>
  <si>
    <t>SHARP, FINE BLADE, ROUND SPRING HANDLE</t>
  </si>
  <si>
    <t>http://www.lt-technologies.de/_ws/mediabase/_ts_1494230442000/Downloads/CardioCatalog_LIT12012_low-res.pdf, https://accessgudid.nlm.nih.gov/devices/10885403022234</t>
  </si>
  <si>
    <t>CH07466</t>
  </si>
  <si>
    <t>BD_CH07466</t>
  </si>
  <si>
    <t>JACOBSON ANG SPRING HNDL SCISSORS 90DEG</t>
  </si>
  <si>
    <t>PRODIGO1056597</t>
  </si>
  <si>
    <t>JACOBSON ANGLED SPRING-HANDLED SCISSORS ROUND HANDLE FINE BLADES ANGLED 90 Degree SHARP 7IN LATEX NON STERILE</t>
  </si>
  <si>
    <t>SCISSOR, SURGICAL, JACOBSON, 90 DEGREE, 7 IN, SHARP TIP, FINE BLADE, ROUND SPRING HANDLE, STAINLESS STEEL, NON STERILE, LATEX</t>
  </si>
  <si>
    <t>SCISSOR, SURG, JACOBSON, 90 DEG, 7 IN, SHRP TIP, FN BLADE, RND SPRING HNDL, SS, NS, LTX</t>
  </si>
  <si>
    <t>SCISSOR, SURG, JACOBSON, 90 DEG, 7 IN, SHRP TIP, FN BLADE, RND, SS</t>
  </si>
  <si>
    <t>SHARP TIP, FINE BLADE, ROUND SPRING HANDLE</t>
  </si>
  <si>
    <t>http://www.lt-technologies.de/_ws/mediabase/_ts_1494230442000/Downloads/CardioCatalog_LIT12012_low-res.pdf, https://accessgudid.nlm.nih.gov/devices/10885403022296</t>
  </si>
  <si>
    <t>CH07462</t>
  </si>
  <si>
    <t>BD_CH07462</t>
  </si>
  <si>
    <t>JACOBSON ANGLE SPRING HNDL SCISS 45DEG</t>
  </si>
  <si>
    <t>PRODIGO1056594</t>
  </si>
  <si>
    <t>JACOBSON ANGLED SPRING HANDLED SCISSORS ROUND HANDLE FINE BLADES ANGLED 45 Degree SHARP 7 IN LATEX NON STERILE</t>
  </si>
  <si>
    <t>SCISSOR, SURGICAL, JACOBSON, 45 DEGREE, 7 IN, SHARP, FINE BLADE, ROUND SPRING HANDLE, NON STERILE, LATEX</t>
  </si>
  <si>
    <t>SCISSOR, SURG, JACOBSON, 45 DEG, 7 IN, SHRP, FN BLADE, RND SPRING HNDL, NS, LTX</t>
  </si>
  <si>
    <t>SCISSOR, SURG, JACOBSON, 45 DEG, 7 IN, SHRP, FN BLADE, RND HNDL</t>
  </si>
  <si>
    <t>http://www.lt-technologies.de/_ws/mediabase/_ts_1494230442000/Downloads/CardioCatalog_LIT12012_low-res.pdf, https://accessgudid.nlm.nih.gov/devices/10885403022258</t>
  </si>
  <si>
    <t>CH8535</t>
  </si>
  <si>
    <t>BD_CH8535</t>
  </si>
  <si>
    <t>JACOBSON DRESS FORCEP BAYON HNDL 6-1/2IN</t>
  </si>
  <si>
    <t>PRODIGO1057239</t>
  </si>
  <si>
    <t>JACOBSON Dressing Forceps 6-1/2IN</t>
  </si>
  <si>
    <t>FORCEP, SURGICAL, JACOBSON, 6.5 IN, DRESSING, THIN BAYONET-SHAPED HANDLE, SMOOTH JAW, NON STERILE, LATEX</t>
  </si>
  <si>
    <t>FORCEP, SURG, JACOBSON, 6.5 IN, DRSG, THN BAYONET-SHAPED HNDL, SMOOTH JAW, NS, LTX</t>
  </si>
  <si>
    <t>FORCEP, SURG, JACOBSON, 6.5 IN, DRSG, BAYONET-SHAPED, SMOOTH JAW</t>
  </si>
  <si>
    <t>DRESSING, THIN BAYONET-SHAPED HANDLE, SMOOTH JAW</t>
  </si>
  <si>
    <t>https://www.hces.com.sg/wp-content/uploads/2021/04/Cardiovascular-Pages-from-vmueller-snowdenpencer-armamentarium-catalogue-4.pdf, https://accessgudid.nlm.nih.gov/devices/10885403035104</t>
  </si>
  <si>
    <t>CH8520</t>
  </si>
  <si>
    <t>BD_CH8520</t>
  </si>
  <si>
    <t>JACOBSON DRESS FORCEPS SMOOTH JAWS 4-3/4</t>
  </si>
  <si>
    <t>PRODIGO1057237</t>
  </si>
  <si>
    <t>JACOBSON Dressing Forceps 4-3/4IN</t>
  </si>
  <si>
    <t>FORCEP, SURGICAL, JACOBSON, 4.75 IN, DRESSING, DELICATE, BROAD HANDLE, SMOOTH JAW, NON STERILE, LATEX</t>
  </si>
  <si>
    <t>FORCEP, SURG, JACOBSON, 4.75 IN, DRSG, DEL, BROAD HNDL, SMOOTH JAW, NS, LTX</t>
  </si>
  <si>
    <t>FORCEP, SURG, JACOBSON, 4.75 IN, DRSG, DEL, BROAD HNDL, SMOOTH JAW</t>
  </si>
  <si>
    <t>DRESSING, DELICATE, BROAD HANDLE, SMOOTH JAW</t>
  </si>
  <si>
    <t>https://www.hces.com.sg/wp-content/uploads/2021/04/Cardiovascular-Pages-from-vmueller-snowdenpencer-armamentarium-catalogue-4.pdf, https://accessgudid.nlm.nih.gov/devices/10885403035050</t>
  </si>
  <si>
    <t>CH8515</t>
  </si>
  <si>
    <t>BD_CH8515</t>
  </si>
  <si>
    <t>JACOBSON DRESS FORCEPS SMOOTH JAWS 4IN</t>
  </si>
  <si>
    <t>PRODIGO1057236</t>
  </si>
  <si>
    <t>JACOBSON Dressing Forceps 4IN</t>
  </si>
  <si>
    <t>FORCEP, SURGICAL, JACOBSON, 4 IN, DRESSING, THIN HANDLE, SMOOTH JAW, NON STERILE, LATEX</t>
  </si>
  <si>
    <t>FORCEP, SURG, JACOBSON, 4 IN, DRSG, THN HNDL, SMOOTH JAW, NS, LTX</t>
  </si>
  <si>
    <t>DRESSING, THIN HANDLE, SMOOTH JAW</t>
  </si>
  <si>
    <t>https://www.hces.com.sg/wp-content/uploads/2021/04/Cardiovascular-Pages-from-vmueller-snowdenpencer-armamentarium-catalogue-4.pdf, https://accessgudid.nlm.nih.gov/devices/10885403035043</t>
  </si>
  <si>
    <t>CH8530</t>
  </si>
  <si>
    <t>BD_CH8530</t>
  </si>
  <si>
    <t>JACOBSON DRESSING FORCEPS SMOOTH JAW 6IN</t>
  </si>
  <si>
    <t>PRODIGO1057238</t>
  </si>
  <si>
    <t>JACOBSON Dressing Forceps 6IN</t>
  </si>
  <si>
    <t>FORCEP, SURGICAL, JACOBSON, 6 IN, DRESSING, THIN HANDLE, WITH STABILIZING PIN, SMOOTH JAW, NON STERILE, LATEX</t>
  </si>
  <si>
    <t>FORCEP, SURG, JACOBSON, 6 IN, DRSG, THN HNDL, W/ STABILIZING PIN, SMOOTH JAW, NS, LTX</t>
  </si>
  <si>
    <t>FORCEP, SURG, JACOBSON, 6 IN, DRSG, THN HNDL, W/ STABILIZING PIN</t>
  </si>
  <si>
    <t>DRESSING, THIN HANDLE, WITH STABILIZING PIN, SMOOTH JAW</t>
  </si>
  <si>
    <t>https://www.hces.com.sg/wp-content/uploads/2021/04/Cardiovascular-Pages-from-vmueller-snowdenpencer-armamentarium-catalogue-4.pdf, https://accessgudid.nlm.nih.gov/devices/10885403035081</t>
  </si>
  <si>
    <t>CH8540</t>
  </si>
  <si>
    <t>BD_CH8540</t>
  </si>
  <si>
    <t>JACOBSON DRESSING FORCEPS SMOOTH JAW 9IN</t>
  </si>
  <si>
    <t>PRODIGO1057240</t>
  </si>
  <si>
    <t>JACOBSON Dressing Forceps 9IN</t>
  </si>
  <si>
    <t>FORCEP, SURGICAL, JACOBSON, 9 IN, DRESSING, THIN HANDLE, WITH STABILIZING PIN, SMOOTH JAW, NON STERILE, LATEX</t>
  </si>
  <si>
    <t>FORCEP, SURG, JACOBSON, 9 IN, DRSG, THN HNDL, W/ STABILIZING PIN, SMOOTH JAW, NS, LTX</t>
  </si>
  <si>
    <t>FORCEP, SURG, JACOBSON, 9 IN, DRSG, THN HNDL, W/ STABILIZING PIN</t>
  </si>
  <si>
    <t>https://www.hces.com.sg/wp-content/uploads/2021/04/Cardiovascular-Pages-from-vmueller-snowdenpencer-armamentarium-catalogue-4.pdf, https://accessgudid.nlm.nih.gov/devices/10885403035111</t>
  </si>
  <si>
    <t>CH8585</t>
  </si>
  <si>
    <t>BD_CH8585</t>
  </si>
  <si>
    <t>JACOBSON ENDAR SPATULA ANG 10X1MM 7IN</t>
  </si>
  <si>
    <t>PRODIGO1057245</t>
  </si>
  <si>
    <t>JACOBSON Endarterectomy Spatulas ANGLED</t>
  </si>
  <si>
    <t>SPATULA, SURGICAL, JACOBSON, 45 DEGREE, 7 IN, 10X1 MM, ANGLED, ENDARTERECTOMY, WITH SEMI-SHARP BLADE, NON STERILE, LATEX</t>
  </si>
  <si>
    <t>SPATULA, SURG, JACOBSON, 45 DEG, 7 IN, 10X1 MM, ANGLED, ENDART, W/ SEMI-SHARP BLADE, NS, LTX</t>
  </si>
  <si>
    <t>SPATULA, SURG, JACOBSON, 45 DEG, 7 IN, 10X1 MM, ANGLED, ENDART, NS</t>
  </si>
  <si>
    <t>10X1 MM</t>
  </si>
  <si>
    <t>ANGLED, ENDARTERECTOMY, WITH SEMI-SHARP BLADE</t>
  </si>
  <si>
    <t>https://www.hces.com.sg/wp-content/uploads/2021/04/Cardiovascular-Pages-from-vmueller-snowdenpencer-armamentarium-catalogue-4.pdf, https://accessgudid.nlm.nih.gov/devices/10885403035197</t>
  </si>
  <si>
    <t>CH8580</t>
  </si>
  <si>
    <t>BD_CH8580</t>
  </si>
  <si>
    <t>JACOBSON ENDAR SPATULA STR 10X1MM 7IN</t>
  </si>
  <si>
    <t>PRODIGO1057244</t>
  </si>
  <si>
    <t>JACOBSON Endarterectomy Spatulas STRAIGHT</t>
  </si>
  <si>
    <t>SPATULA, SURGICAL, JACOBSON, 7 IN, 10X1 MM, STRAIGHT, ENDARTERECTOMY, WITH SEMI-SHARP BLADE, NON STERILE, LATEX</t>
  </si>
  <si>
    <t>SPATULA, SURG, JACOBSON, 7 IN, 10X1 MM, STR, ENDART, W/ SEMI-SHARP BLADE, NS, LTX</t>
  </si>
  <si>
    <t>SPATULA, SURG, JACOBSON, 7 IN, 10X1 MM, STR, ENDART, SEMI-SHARP</t>
  </si>
  <si>
    <t>STRAIGHT, ENDARTERECTOMY, WITH SEMI-SHARP BLADE</t>
  </si>
  <si>
    <t>https://www.hces.com.sg/wp-content/uploads/2021/04/Cardiovascular-Pages-from-vmueller-snowdenpencer-armamentarium-catalogue-4.pdf, https://accessgudid.nlm.nih.gov/devices/10885403035180</t>
  </si>
  <si>
    <t>CA8620</t>
  </si>
  <si>
    <t>BD_CA8620</t>
  </si>
  <si>
    <t>JACOBSON HEMOSTATIC FORCEP DEL SLTLY CVD</t>
  </si>
  <si>
    <t>PRODIGO1056490</t>
  </si>
  <si>
    <t>Jacobson Hemostatic Forcep Affinity Line. Slightly curved. Overall length 7-1/2in (19.1cm)</t>
  </si>
  <si>
    <t>FORCEP, SURGICAL, JACOBSON, 7.5 IN, DELICATE, HEMOSTATIC, SLIGHTLY CURVED, AFFINITY LINE, NON STERILE, LATEX</t>
  </si>
  <si>
    <t>FORCEP, SURG, JACOBSON, 7.5 IN, DEL, HEMOSTATIC, SLIGHTLY CRV, AFFIN LN, NS, LTX</t>
  </si>
  <si>
    <t>FORCEP, SURG, JACOBSON, 7.5 IN, DEL, HEMOSTATIC, SLIGHTLY CRV</t>
  </si>
  <si>
    <t>DELICATE, HEMOSTATIC, SLIGHTLY CURVED, AFFINITY LINE</t>
  </si>
  <si>
    <t>https://www.bd.com/en-us/products-and-solutions/products/product-page.CA8620#overview, https://accessgudid.nlm.nih.gov/devices/10885403018848</t>
  </si>
  <si>
    <t>CH074681</t>
  </si>
  <si>
    <t>CH07468-1</t>
  </si>
  <si>
    <t>BD_CH074681</t>
  </si>
  <si>
    <t>JACOBSON MICRO SCISSORS BLADE ANG 125DEG</t>
  </si>
  <si>
    <t>PRODIGO1056598</t>
  </si>
  <si>
    <t>JACOBSON MICRO SCISSORS SHARP FINE TIPS BLADES ANGLED 125 Degree 7IN SS LATEX NON STERILE</t>
  </si>
  <si>
    <t>SCISSOR, SURGICAL, JACOBSON, MICRO, 125 DEGREE, 7 IN, SHARP FINE TIP, ANGLED BLADE, STAINLESS STEEL, NON STERILE, LATEX</t>
  </si>
  <si>
    <t>SCISSOR, SURG, JACOBSON, MIC, 125 DEG, 7 IN, SHRP FN TIP, ANGLED BLADE, SS, NS, LTX</t>
  </si>
  <si>
    <t>SCISSOR, SURG, JACOBSON, MIC, 125 DEG, 7 IN, SHRP FN TIP, BLADE, SS</t>
  </si>
  <si>
    <t>SHARP FINE TIP, ANGLED BLADE</t>
  </si>
  <si>
    <t>http://www.lt-technologies.de/_ws/mediabase/_ts_1494230442000/Downloads/CardioCatalog_LIT12012_low-res.pdf, https://accessgudid.nlm.nih.gov/devices/10885403022326</t>
  </si>
  <si>
    <t>CH074621</t>
  </si>
  <si>
    <t>CH07462-1</t>
  </si>
  <si>
    <t>BD_CH074621</t>
  </si>
  <si>
    <t>JACOBSON MICRO SCISSORS BLADE ANG 45DEG</t>
  </si>
  <si>
    <t>PRODIGO1056595</t>
  </si>
  <si>
    <t>JACOBSON MICRO SCISSORS SHARP FINE TIPS BLADES ANGLED 45 Degree 7IN SS LATEX NON STERILE</t>
  </si>
  <si>
    <t>SCISSOR, SURGICAL, JACOBSON, MICRO, 45 DEGREE, 7 IN, SHARP FINE TIP, ANGLED BLADE, STAINLESS STEEL, NON STERILE, LATEX</t>
  </si>
  <si>
    <t>SCISSOR, SURG, JACOBSON, MIC, 45 DEG, 7 IN, SHRP FN TIP, ANGLED BLADE, SS, NS, LTX</t>
  </si>
  <si>
    <t>SCISSOR, SURG, JACOBSON, MIC, 45 DEG, 7 IN, SHRP FN TIP, BLADE, SS</t>
  </si>
  <si>
    <t>http://www.lt-technologies.de/_ws/mediabase/_ts_1494230442000/Downloads/CardioCatalog_LIT12012_low-res.pdf, https://accessgudid.nlm.nih.gov/devices/10885403022265</t>
  </si>
  <si>
    <t>CH074641</t>
  </si>
  <si>
    <t>CH07464-1</t>
  </si>
  <si>
    <t>BD_CH074641</t>
  </si>
  <si>
    <t>JACOBSON MICRO SCISSORS BLADE ANG 60DEG</t>
  </si>
  <si>
    <t>PRODIGO1056596</t>
  </si>
  <si>
    <t>JACOBSON MICRO SCISSORS SHARP FINE TIPS BLADES ANGLED 60 Degree 7IN SS LATEX NON STERILE</t>
  </si>
  <si>
    <t>SCISSOR, SURGICAL, JACOBSON, MICRO, 60 DEGREE, 7 IN, SHARP FINE TIP, ANGLED BLADE, STAINLESS STEEL, NON STERILE, LATEX</t>
  </si>
  <si>
    <t>SCISSOR, SURG, JACOBSON, MIC, 60 DEG, 7 IN, SHRP FN TIP, ANGLED BLADE, SS, NS, LTX</t>
  </si>
  <si>
    <t>SCISSOR, SURG, JACOBSON, MIC, 60 DEG, 7 IN, SHRP FN TIP, BLADE, SS</t>
  </si>
  <si>
    <t>MICRO, 60 DEGREE</t>
  </si>
  <si>
    <t>http://www.lt-technologies.de/_ws/mediabase/_ts_1494230442000/Downloads/CardioCatalog_LIT12012_low-res.pdf, https://accessgudid.nlm.nih.gov/devices/10885403022289</t>
  </si>
  <si>
    <t>CH07470</t>
  </si>
  <si>
    <t>BD_CH07470</t>
  </si>
  <si>
    <t>JACOBSON MICRO SCISSORS FLAT BLADE 25DEG</t>
  </si>
  <si>
    <t>PRODIGO1056599</t>
  </si>
  <si>
    <t>JACOBSON MICRO SCISSORS FLAT HANDLE ANGLED ON FLAT BLADES 25 Degree 7IN SS LATEX NON STERILE</t>
  </si>
  <si>
    <t>SCISSOR, SURGICAL, JACOBSON, MICRO, 25 DEGREE, 7 IN, FLAT HANDLE, ANGLED ON FLAT BLADE, STAINLESS STEEL, NON STERILE, LATEX</t>
  </si>
  <si>
    <t>SCISSOR, SURG, JACOBSON, MIC, 25 DEG, 7 IN, FLAT HNDL, ANGLED ON FLAT BLADE, SS, NS, LTX</t>
  </si>
  <si>
    <t>SCISSOR, SURG, JACOBSON, MIC, 25 DEG, 7 IN, FLAT HNDL, BLADE, SS</t>
  </si>
  <si>
    <t>MICRO, 25 DEGREE</t>
  </si>
  <si>
    <t>FLAT HANDLE, ANGLED ON FLAT BLADE</t>
  </si>
  <si>
    <t>http://www.lt-technologies.de/_ws/mediabase/_ts_1494230442000/Downloads/CardioCatalog_LIT12012_low-res.pdf, https://accessgudid.nlm.nih.gov/devices/10885403022333</t>
  </si>
  <si>
    <t>CH07458</t>
  </si>
  <si>
    <t>BD_CH07458</t>
  </si>
  <si>
    <t>JACOBSON MICRO SCISSORS FLAT HNDL 125DEG</t>
  </si>
  <si>
    <t>PRODIGO1056592</t>
  </si>
  <si>
    <t>JACOBSON ANGLED SPRING HANDLED SCISSORS FLAT HANDLE FINE BLADES ANGLED 125 Degree SHARP 6.5 IN LATEX NON STERILE</t>
  </si>
  <si>
    <t>SCISSOR, SURGICAL, JACOBSON, MICRO, 125 DEGREE, 6.5 IN, SHARP, FINE BLADE, FLAT SPRING HANDLE, NON STERILE, LATEX</t>
  </si>
  <si>
    <t>SCISSOR, SURG, JACOBSON, MIC, 125 DEG, 6.5 IN, SHRP, FN BLADE, FLAT SPRING HNDL, NS, LTX</t>
  </si>
  <si>
    <t>SCISSOR, SURG, JACOBSON, MIC, 125 DEG, 6.5 IN, SHRP, FN BLADE, FLAT</t>
  </si>
  <si>
    <t>SHARP, FINE BLADE, FLAT SPRING HANDLE</t>
  </si>
  <si>
    <t>http://www.lt-technologies.de/_ws/mediabase/_ts_1494230442000/Downloads/CardioCatalog_LIT12012_low-res.pdf, https://accessgudid.nlm.nih.gov/devices/10885403022227</t>
  </si>
  <si>
    <t>CH07450</t>
  </si>
  <si>
    <t>BD_CH07450</t>
  </si>
  <si>
    <t>JACOBSON MICRO SCISSORS FLAT HNDL 25DEG</t>
  </si>
  <si>
    <t>PRODIGO1056589</t>
  </si>
  <si>
    <t>JACOBSON ANGLED SPRING HANDLED SCISSORS FLAT HANDLE FINE BLADES ANGLED 25 Degree SHARP 6.5 IN LATEX NON STERILE</t>
  </si>
  <si>
    <t>SCISSOR, SURGICAL, JACOBSON, MICRO, 25 DEGREE, 6.5 IN, SHARP, FINE BLADE, FLAT SPRING HANDLE, NON STERILE, LATEX</t>
  </si>
  <si>
    <t>SCISSOR, SURG, JACOBSON, MIC, 25 DEG, 6.5 IN, SHRP, FN BLADE, FLAT SPRING HNDL, NS, LTX</t>
  </si>
  <si>
    <t>SCISSOR, SURG, JACOBSON, MIC, 25 DEG, 6.5 IN, SHRP, FN BLADE, FLAT</t>
  </si>
  <si>
    <t>http://www.lt-technologies.de/_ws/mediabase/_ts_1494230442000/Downloads/CardioCatalog_LIT12012_low-res.pdf, https://accessgudid.nlm.nih.gov/devices/10885403022180</t>
  </si>
  <si>
    <t>CH07452</t>
  </si>
  <si>
    <t>BD_CH07452</t>
  </si>
  <si>
    <t>JACOBSON MICRO SCISSORS FLAT HNDL 45DEG</t>
  </si>
  <si>
    <t>PRODIGO1056590</t>
  </si>
  <si>
    <t>JACOBSON ANGLED SPRING HANDLED SCISSORS FLAT HANDLE FINE BLADES ANGLED 45 Degree SHARP 6.5 IN LATEX NON STERILE</t>
  </si>
  <si>
    <t>SCISSOR, SURGICAL, JACOBSON, MICRO, 45 DEGREE, 6.5 IN, SHARP, FINE BLADE, FLAT SPRING HANDLE, NON STERILE, LATEX</t>
  </si>
  <si>
    <t>SCISSOR, SURG, JACOBSON, MIC, 45 DEG, 6.5 IN, SHRP, FN BLADE, FLAT SPRING HNDL, NS, LTX</t>
  </si>
  <si>
    <t>SCISSOR, SURG, JACOBSON, MIC, 45 DEG, 6.5 IN, SHRP, FN BLADE, FLAT</t>
  </si>
  <si>
    <t>http://www.lt-technologies.de/_ws/mediabase/_ts_1494230442000/Downloads/CardioCatalog_LIT12012_low-res.pdf, https://accessgudid.nlm.nih.gov/devices/10885403022197</t>
  </si>
  <si>
    <t>CH07456</t>
  </si>
  <si>
    <t>BD_CH07456</t>
  </si>
  <si>
    <t>JACOBSON MICRO SCISSORS FLAT HNDL 90DEG</t>
  </si>
  <si>
    <t>PRODIGO1056591</t>
  </si>
  <si>
    <t>JACOBSON ANGLED SPRING HANDLED SCISSORS FLAT HANDLE FINE BLADES ANGLED 90 Degree SHARP 6.5 IN LATEX NON STERILE</t>
  </si>
  <si>
    <t>SCISSOR, SURGICAL, JACOBSON, MICRO, 90 DEGREE, 6.5 IN, SHARP, FINE BLADE, FLAT SPRING HANDLE, NON STERILE, LATEX</t>
  </si>
  <si>
    <t>SCISSOR, SURG, JACOBSON, MIC, 90 DEG, 6.5 IN, SHRP, FN BLADE, FLAT SPRING HNDL, NS, LTX</t>
  </si>
  <si>
    <t>SCISSOR, SURG, JACOBSON, MIC, 90 DEG, 6.5 IN, SHRP, FN BLADE, FLAT</t>
  </si>
  <si>
    <t>http://www.lt-technologies.de/_ws/mediabase/_ts_1494230442000/Downloads/CardioCatalog_LIT12012_low-res.pdf, https://accessgudid.nlm.nih.gov/devices/10885403022210</t>
  </si>
  <si>
    <t>CA8610</t>
  </si>
  <si>
    <t>BD_CA8610</t>
  </si>
  <si>
    <t>JACOBSON MOSQUITO FORCEPS DEL CVD 5IN</t>
  </si>
  <si>
    <t>PRODIGO1056489</t>
  </si>
  <si>
    <t>Jacobson Mosquito Forcep Affinity Line. Curved. Overall length 5in (12.7cm)</t>
  </si>
  <si>
    <t>FORCEP, SURGICAL, JACOBSON MOSQUITO, 5 IN, DELICATE, CURVED, AFFINITY LINE, NON STERILE, LATEX</t>
  </si>
  <si>
    <t>FORCEP, SURG, JACOBSON MOSQ, 5 IN, DEL, CRV, AFFIN LN, NS, LTX</t>
  </si>
  <si>
    <t>JACOBSON MOSQUITO</t>
  </si>
  <si>
    <t>DELICATE, CURVED, AFFINITY LINE</t>
  </si>
  <si>
    <t>https://www.bd.com/en-us/products-and-solutions/products/product-page.CA8610#overview, https://accessgudid.nlm.nih.gov/devices/10885403018831</t>
  </si>
  <si>
    <t>CH8590001</t>
  </si>
  <si>
    <t>CH8590-001</t>
  </si>
  <si>
    <t>BD_CH8590001</t>
  </si>
  <si>
    <t>JACOBSON NDL HOLDER SPRING HNDL SMTH JAW</t>
  </si>
  <si>
    <t>PRODIGO1057247</t>
  </si>
  <si>
    <t>JACOBSON Spring-Handled Needle Holders 8-5/8IN</t>
  </si>
  <si>
    <t>HOLDER, NEEDLE, JACOBSON, 8-5/8 IN, SPRING-HANDLED, SMOOTH JAW, NON STERILE, LATEX</t>
  </si>
  <si>
    <t>HOLDER, NDL, JACOBSON, 8-5/8 IN, SPRING-HANDLED, SMOOTH JAW, NS, LTX</t>
  </si>
  <si>
    <t>HOLDER, NDL, JACOBSON, 8-5/8 IN, SPRING-HANDLED, SMOOTH JAW, LTX</t>
  </si>
  <si>
    <t>8-5/8 IN</t>
  </si>
  <si>
    <t>SPRING-HANDLED, SMOOTH JAW</t>
  </si>
  <si>
    <t>https://www.hces.com.sg/wp-content/uploads/2021/04/Cardiovascular-Pages-from-vmueller-snowdenpencer-armamentarium-catalogue-4.pdf, https://accessgudid.nlm.nih.gov/devices/10885403035234</t>
  </si>
  <si>
    <t>CH8592001</t>
  </si>
  <si>
    <t>CH8592-001</t>
  </si>
  <si>
    <t>BD_CH8592001</t>
  </si>
  <si>
    <t>PRODIGO1057250</t>
  </si>
  <si>
    <t>JACOBSON Spring-Handled Needle Holders</t>
  </si>
  <si>
    <t>HOLDER, NEEDLE, JACOBSON, 7 IN, SPRING-HANDLED, SMOOTH JAW, NON STERILE, LATEX</t>
  </si>
  <si>
    <t>HOLDER, NDL, JACOBSON, 7 IN, SPRING-HANDLED, SMOOTH JAW, NS, LTX</t>
  </si>
  <si>
    <t>https://www.hces.com.sg/wp-content/uploads/2021/04/Cardiovascular-Pages-from-vmueller-snowdenpencer-armamentarium-catalogue-4.pdf, https://accessgudid.nlm.nih.gov/devices/10885403035272</t>
  </si>
  <si>
    <t>CH8590</t>
  </si>
  <si>
    <t>BD_CH8590</t>
  </si>
  <si>
    <t>JACOBSON NEEDLE HOLDR SMTH JAW RND CATCH</t>
  </si>
  <si>
    <t>PRODIGO1057246</t>
  </si>
  <si>
    <t>JACOBSON Needle Holders 8-3/4IN</t>
  </si>
  <si>
    <t>HOLDER, NEEDLE, JACOBSON, 8.75 IN, STRAIGHT, SPRING HANDLE, ROUND LOCK, SMOOTH JAW, NON STERILE, LATEX</t>
  </si>
  <si>
    <t>HOLDER, NDL, JACOBSON, 8.75 IN, STR, SPRING HNDL, RND LCK, SMOOTH JAW, NS, LTX</t>
  </si>
  <si>
    <t>HOLDER, NDL, JACOBSON, 8.75 IN, STR, SPRING HNDL, RND LCK, SMOOTH</t>
  </si>
  <si>
    <t>STRAIGHT, SPRING HANDLE, ROUND LOCK, SMOOTH JAW</t>
  </si>
  <si>
    <t>https://www.hces.com.sg/wp-content/uploads/2021/04/Cardiovascular-Pages-from-vmueller-snowdenpencer-armamentarium-catalogue-4.pdf, https://accessgudid.nlm.nih.gov/devices/10885403035227</t>
  </si>
  <si>
    <t>CH8592</t>
  </si>
  <si>
    <t>BD_CH8592</t>
  </si>
  <si>
    <t>PRODIGO1057249</t>
  </si>
  <si>
    <t>JACOBSON Needle Holders 7IN</t>
  </si>
  <si>
    <t>HOLDER, NEEDLE, JACOBSON, 7 IN, STRAIGHT, SPRING HANDLE, ROUND LOCK, SMOOTH JAW, CATCH, NON STERILE, LATEX</t>
  </si>
  <si>
    <t>HOLDER, NDL, JACOBSON, 7 IN, STR, SPRING HNDL, RND LCK, SMOOTH JAW, CTCH, NS, LTX</t>
  </si>
  <si>
    <t>HOLDER, NDL, JACOBSON, 7 IN, STR, SPRING HNDL, RND LCK, CTCH, LTX</t>
  </si>
  <si>
    <t>STRAIGHT, SPRING HANDLE, ROUND LOCK, SMOOTH JAW, CATCH</t>
  </si>
  <si>
    <t>https://www.hces.com.sg/wp-content/uploads/2021/04/Cardiovascular-Pages-from-vmueller-snowdenpencer-armamentarium-catalogue-4.pdf, https://accessgudid.nlm.nih.gov/devices/10885403035265</t>
  </si>
  <si>
    <t>NL3085</t>
  </si>
  <si>
    <t>BD_NL3085</t>
  </si>
  <si>
    <t>JACOBSON PROBE STR TWO BALL TIPS 7-1/4IN</t>
  </si>
  <si>
    <t>PRODIGO1058161</t>
  </si>
  <si>
    <t>Jacobson probe Straight two ball tips. Mirror and satin finish. Overall length 7-1/4in (18.4cm)</t>
  </si>
  <si>
    <t>PROBE, SURGICAL, JACOBSON, 7.25 IN, STRAIGHT, TWO BALL TIP, MIRROR, SATIN FINISH, NON STERILE, LATEX</t>
  </si>
  <si>
    <t>PROBE, SURG, JACOBSON, 7.25 IN, STR, TWO BALL TIP, MIRROR, SATIN FINISH, NS, LTX</t>
  </si>
  <si>
    <t>PROBE, SURG, JACOBSON, 7.25 IN, STR, TWO BALL TIP, MIRROR, SATIN</t>
  </si>
  <si>
    <t>PROBE</t>
  </si>
  <si>
    <t>STRAIGHT, TWO BALL TIP, MIRROR, SATIN FINISH</t>
  </si>
  <si>
    <t>https://www.bd.com/en-us/products-and-solutions/products/product-page.NL3085#overview, https://accessgudid.nlm.nih.gov/devices/10885403073021</t>
  </si>
  <si>
    <t>CH8545</t>
  </si>
  <si>
    <t>BD_CH8545</t>
  </si>
  <si>
    <t>JACOBSON SPRING HNDL SCISSORS CVD 5-1/4</t>
  </si>
  <si>
    <t>PRODIGO1057241</t>
  </si>
  <si>
    <t>JACOBSON Spring-Handled Scissors 5-1/4IN</t>
  </si>
  <si>
    <t>SCISSOR, SURGICAL, JACOBSON, 5.25 IN, 7/8 IN, SPRING HANDLED, CURVED BLADE, MIRROR FINISH, NON STERILE, LATEX</t>
  </si>
  <si>
    <t>SCISSOR, SURG, JACOBSON, 5.25 IN, 7/8 IN, SPRING HNDL, CRV BLADE, MIRROR FINISH, NS, LTX</t>
  </si>
  <si>
    <t>SCISSOR, SURG, JACOBSON, 5.25 IN, 7/8 IN, SPRING HNDL, CRV, MIRROR</t>
  </si>
  <si>
    <t>7/8 IN</t>
  </si>
  <si>
    <t>SPRING HANDLED, CURVED BLADE, MIRROR FINISH</t>
  </si>
  <si>
    <t>https://www.hces.com.sg/wp-content/uploads/2021/04/Cardiovascular-Pages-from-vmueller-snowdenpencer-armamentarium-catalogue-4.pdf, https://accessgudid.nlm.nih.gov/devices/10885403035128</t>
  </si>
  <si>
    <t>CH8550</t>
  </si>
  <si>
    <t>BD_CH8550</t>
  </si>
  <si>
    <t>JACOBSON SPRING HNDL SCISSORS CVD 6-1/2</t>
  </si>
  <si>
    <t>PRODIGO1057242</t>
  </si>
  <si>
    <t>JACOBSON Spring-Handled Scissors 6-1/2IN</t>
  </si>
  <si>
    <t>SCISSOR, SURGICAL, JACOBSON, 6.5 IN, 7/8 IN, SPRING HANDLED, CURVED BLADE, MIRROR FINISH, NON STERILE, LATEX</t>
  </si>
  <si>
    <t>SCISSOR, SURG, JACOBSON, 6.5 IN, 7/8 IN, SPRING HNDL, CRV BLADE, MIRROR FINISH, NS, LTX</t>
  </si>
  <si>
    <t>SCISSOR, SURG, JACOBSON, 6.5 IN, 7/8 IN, SPRING HNDL, CRV, MIRROR</t>
  </si>
  <si>
    <t>https://www.hces.com.sg/wp-content/uploads/2021/04/Cardiovascular-Pages-from-vmueller-snowdenpencer-armamentarium-catalogue-4.pdf, https://accessgudid.nlm.nih.gov/devices/10885403035135</t>
  </si>
  <si>
    <t>BE2827</t>
  </si>
  <si>
    <t>BD_BE2827</t>
  </si>
  <si>
    <t>JAKO MICROLARYN FORCEP L CUP-SHAPE RIGHT</t>
  </si>
  <si>
    <t>PRODIGO1056406</t>
  </si>
  <si>
    <t>JAKO MICROLARYNGEAL CUP-SHAPED FORCEPS CUP DIAMETER 2.5MM. PASS DIAMETER 4.5MM. WORKING LENGTH 9-1/2IN (24CM). ANGLED RIGHT.</t>
  </si>
  <si>
    <t>FORCEP, SURGICAL, JAKO, 9.5 IN, 2.5 MM, MICROLARYNGEAL, CUP SHAPED, RIGHT ANGLED, RING HANDLE, NON STERILE, LATEX</t>
  </si>
  <si>
    <t>FORCEP, SURG, JAKO, 9.5 IN, 2.5 MM, MICROLARYNGEAL, CUP SHP, RT ANGLED, RNG HNDL, NS, LTX</t>
  </si>
  <si>
    <t>FORCEP, SURG, JAKO, 9.5 IN, 2.5 MM, MICROLARYNGEAL, RT ANGLED</t>
  </si>
  <si>
    <t>JAKO</t>
  </si>
  <si>
    <t>MICROLARYNGEAL</t>
  </si>
  <si>
    <t>CUP SHAPED, RIGHT ANGLED, RING HANDLE</t>
  </si>
  <si>
    <t>https://www.bd.com/en-us/products-and-solutions/products/product-page.BE2827#specifications, https://accessgudid.nlm.nih.gov/devices/10885403015298</t>
  </si>
  <si>
    <t>BE2833</t>
  </si>
  <si>
    <t>BD_BE2833</t>
  </si>
  <si>
    <t>JAKO MICROLARYN SCISS HORZ BLADE 6MM STR</t>
  </si>
  <si>
    <t>PRODIGO1056409</t>
  </si>
  <si>
    <t>JAKO MICROLARYNGEAL SCISSORS BLADE LENGTH 6MM. WORKING LENGTH 9-1/4IN (23.5CM). STRAIGHT HORIZONTAL.</t>
  </si>
  <si>
    <t>SCISSOR, SURGICAL, JAKO, 9.25 IN, 6 MM, MICROLARYNGEAL, BLADE, STRAIGHT, HORIZONTAL, SATIN FINISH, STAINLESS STEEL, NON STERILE, LATEX</t>
  </si>
  <si>
    <t>SCISSOR, SURG, JAKO, 9.25 IN, 6 MM, MICROLARYNGEAL, BLADE, STR, HORIZONTAL, SATIN FINISH, SS, NS, LTX</t>
  </si>
  <si>
    <t>SCISSOR, SURG, JAKO, 9.25 IN, 6 MM, STR, HORIZONTAL, SATIN FINISH</t>
  </si>
  <si>
    <t>BLADE, STRAIGHT, HORIZONTAL, SATIN FINISH</t>
  </si>
  <si>
    <t>https://www.bd.com/en-us/products-and-solutions/products/product-page.BE2833#overview, https://accessgudid.nlm.nih.gov/devices/10885403015335</t>
  </si>
  <si>
    <t>BE2832</t>
  </si>
  <si>
    <t>BD_BE2832</t>
  </si>
  <si>
    <t>JAKO MICROLARYN SCISS VERT BLADE 6MM STR</t>
  </si>
  <si>
    <t>PRODIGO1056408</t>
  </si>
  <si>
    <t>JAKO MICROLARYNGEAL SCISSORS BLADE LENGTH 6MM. WORKING LENGTH 9-1/4IN (23.5CM). STRAIGHT VERTICAL.</t>
  </si>
  <si>
    <t>SCISSOR, SURGICAL, JAKO, 9.25 IN, 6 MM, MICROLARYNGEAL, BLADE, STRAIGHT, VERTICAL, SATIN FINISH, STAINLESS STEEL, NON STERILE, LATEX</t>
  </si>
  <si>
    <t>SCISSOR, SURG, JAKO, 9.25 IN, 6 MM, MICROLARYNGEAL, BLADE, STR, VERTICAL, SATIN FINISH, SS, NS, LTX</t>
  </si>
  <si>
    <t>SCISSOR, SURG, JAKO, 9.25 IN, 6 MM, STR, VERTICAL, SATIN FINISH</t>
  </si>
  <si>
    <t>BLADE, STRAIGHT, VERTICAL, SATIN FINISH</t>
  </si>
  <si>
    <t>https://www.bd.com/en-us/products-and-solutions/products/product-page.BE2832#overview, https://accessgudid.nlm.nih.gov/devices/10885403015328</t>
  </si>
  <si>
    <t>BE2834</t>
  </si>
  <si>
    <t>BD_BE2834</t>
  </si>
  <si>
    <t>JAKO MICROLARYN SCISSORS CVD 6MM LEFT</t>
  </si>
  <si>
    <t>PRODIGO1056410</t>
  </si>
  <si>
    <t>JAKO MICROLARYNGEAL SCISSORS BLADE LENGTH 6MM. WORKING LENGTH 9-1/4IN (23.5CM). ANGLED LEFT.</t>
  </si>
  <si>
    <t>SCISSOR, SURGICAL, JAKO, 9.25 IN, 6 MM, MICROLARYNGEAL, BLADE, LEFT ANGLED, SATIN FINISH, STAINLESS STEEL, NON STERILE, LATEX</t>
  </si>
  <si>
    <t>SCISSOR, SURG, JAKO, 9.25 IN, 6 MM, MICROLARYNGEAL, BLADE, LT ANGLED, SATIN FINISH, SS, NS, LTX</t>
  </si>
  <si>
    <t>SCISSOR, SURG, JAKO, 9.25 IN, 6 MM, LT ANGLED, SATIN FINISH</t>
  </si>
  <si>
    <t>BLADE, LEFT ANGLED, SATIN FINISH</t>
  </si>
  <si>
    <t>https://www.bd.com/en-us/products-and-solutions/products/product-page.BE2834#overview, https://accessgudid.nlm.nih.gov/devices/10885403015342</t>
  </si>
  <si>
    <t>BE2825</t>
  </si>
  <si>
    <t>BD_BE2825</t>
  </si>
  <si>
    <t>JAKO MICROLARYNGEAL CUP-SHAPE STR FORCEP</t>
  </si>
  <si>
    <t>PRODIGO1056405</t>
  </si>
  <si>
    <t>JAKO MICROLARYNGEAL CUP-SHAPED FORCEPS CUP DIAMETER 2.5MM. PASS DIAMETER 4.5MM. WORKING LENGTH 9-1/2IN (24CM). STRAIGHT.</t>
  </si>
  <si>
    <t>FORCEP, SURGICAL, JAKO, 9.5 IN, 2.5 MM, MICROLARYNGEAL, CUP SHAPED, STRAIGHT, RING HANDLE, NON STERILE, LATEX</t>
  </si>
  <si>
    <t>FORCEP, SURG, JAKO, 9.5 IN, 2.5 MM, MICROLARYNGEAL, CUP SHP, STR, RNG HNDL, NS, LTX</t>
  </si>
  <si>
    <t>FORCEP, SURG, JAKO, 9.5 IN, 2.5 MM, MICROLARYNGEAL, STR, RNG HNDL</t>
  </si>
  <si>
    <t>CUP SHAPED, STRAIGHT, RING HANDLE</t>
  </si>
  <si>
    <t>https://www.bd.com/en-us/products-and-solutions/products/product-page.BE2825#specifications, https://accessgudid.nlm.nih.gov/devices/10885403015274</t>
  </si>
  <si>
    <t>BE2828</t>
  </si>
  <si>
    <t>BD_BE2828</t>
  </si>
  <si>
    <t>JAKO MICROLARYNGEAL CUP-SHP ANGUP FORCEP</t>
  </si>
  <si>
    <t>PRODIGO1056407</t>
  </si>
  <si>
    <t>JAKO MICROLARYNGEAL CUP-SHAPED FORCEPS ANGLED UP. PASS DIAMETER 5.5MM. WORKING LENGTH 9-1/4IN (23.5CM). CUP DIAMETER 2.5MM.</t>
  </si>
  <si>
    <t>FORCEP, SURGICAL, JAKO, 9.25 IN, 2.5 MM, MICROLARYNGEAL, CUP SHAPED, ANGLED UP, RING HANDLE, NON STERILE, LATEX</t>
  </si>
  <si>
    <t>FORCEP, SURG, JAKO, 9.25 IN, 2.5 MM, MICROLARYNGEAL, CUP SHP, ANGLED UP, RNG HNDL, NS, LTX</t>
  </si>
  <si>
    <t>FORCEP, SURG, JAKO, 9.25 IN, 2.5 MM, ANGLED UP, RNG HNDL</t>
  </si>
  <si>
    <t>CUP SHAPED, ANGLED UP, RING HANDLE</t>
  </si>
  <si>
    <t>https://www.bd.com/en-us/products-and-solutions/products/product-page.BE2828#specifications, https://accessgudid.nlm.nih.gov/devices/10885403015304</t>
  </si>
  <si>
    <t>BE2820</t>
  </si>
  <si>
    <t>BD_BE2820</t>
  </si>
  <si>
    <t>JAKO MICROLARYNGEAL GRASPING STR FORCEPS</t>
  </si>
  <si>
    <t>PRODIGO1056402</t>
  </si>
  <si>
    <t>JAKO MICROLARYNGEAL GRASPING FORCEPS GRASPING TIP 1.5MM X 8.5MM WIDE. WORKING LENGTH 9-1/2IN (24CM). STRAIGHT. PASS DIAMETER 3.5MM.</t>
  </si>
  <si>
    <t>FORCEP, SURGICAL, JAKO, 9.5 IN, 1.5X8.5 MM, MICROLARYNGEAL, GRASPING TIP, STRAIGHT, NON STERILE, LATEX</t>
  </si>
  <si>
    <t>FORCEP, SURG, JAKO, 9.5 IN, 1.5X8.5 MM, MICROLARYNGEAL, GRASPING TIP, STR, NS, LTX</t>
  </si>
  <si>
    <t>FORCEP, SURG, JAKO, 9.5 IN, 1.5X8.5 MM, MICROLARYNGEAL, STR</t>
  </si>
  <si>
    <t>1.5X8.5 MM</t>
  </si>
  <si>
    <t>GRASPING TIP, STRAIGHT</t>
  </si>
  <si>
    <t>https://www.bd.com/en-us/products-and-solutions/products/product-page.BE2820#specifications, https://accessgudid.nlm.nih.gov/devices/10885403015243</t>
  </si>
  <si>
    <t>NL3698001</t>
  </si>
  <si>
    <t>NL3698-001</t>
  </si>
  <si>
    <t>BD_NL3698001</t>
  </si>
  <si>
    <t>JANNETTA ALLIGATOR GRASPING STR FORCEPS</t>
  </si>
  <si>
    <t>PRODIGO1058174</t>
  </si>
  <si>
    <t>Jannetta alligator grasping forceps Delicate. Working length 5-3/8in (13.7cm). Straight</t>
  </si>
  <si>
    <t>FORCEP, SURGICAL, JANNETTA ALLIGATOR, 5-3/8 IN, GRASPING, DELICATE, STRAIGHT, NON STERILE, LATEX</t>
  </si>
  <si>
    <t>FORCEP, SURG, JANNETTA ALLIGATOR, 5-3/8 IN, GRASPING, DEL, STR, NS, LTX</t>
  </si>
  <si>
    <t>FORCEP, SURG, JANNETTA ALLIGATOR, 5-3/8 IN, GRASPING, DEL, STR</t>
  </si>
  <si>
    <t>JANNETTA ALLIGATOR</t>
  </si>
  <si>
    <t>GRASPING, DELICATE, STRAIGHT</t>
  </si>
  <si>
    <t>https://www.bd.com/en-us/products-and-solutions/products/product-page.NL3698-001#overview, https://accessgudid.nlm.nih.gov/devices/10885403073267</t>
  </si>
  <si>
    <t>NL3774</t>
  </si>
  <si>
    <t>BD_NL3774</t>
  </si>
  <si>
    <t>JANNETTA ANEURYSM NECK DISSECT LEFT</t>
  </si>
  <si>
    <t>PRODIGO1058194</t>
  </si>
  <si>
    <t>Jannetta aneurysm neck dissectors Ligature carrier. Suture hole in blade. Overall length 7-1/2in (19.1cm). Left</t>
  </si>
  <si>
    <t>DISSECTOR, SURGICAL, JANNETTA, 7.5 IN, LEFT, NECK, ANEURYSM, LIGATURE CARRIER, SUTURE HOLE IN BLADE, NON STERILE, LATEX</t>
  </si>
  <si>
    <t>DISSECTOR, SURG, JANNETTA, 7.5 IN, LT, NK, ANEUR, LIG CARR, SUTURE HOLE IN BLADE, NS, LTX</t>
  </si>
  <si>
    <t>DISSECTOR, SURG, JANNETTA, 7.5 IN, LT, NK, ANEUR, LIG CARR</t>
  </si>
  <si>
    <t>JANNETTA</t>
  </si>
  <si>
    <t>LEFT, NECK</t>
  </si>
  <si>
    <t>ANEURYSM, LIGATURE CARRIER, SUTURE HOLE IN BLADE</t>
  </si>
  <si>
    <t>https://www.bd.com/en-us/products-and-solutions/products/product-page.NL3774#overview, https://accessgudid.nlm.nih.gov/devices/10885403073496</t>
  </si>
  <si>
    <t>NL3773</t>
  </si>
  <si>
    <t>BD_NL3773</t>
  </si>
  <si>
    <t>JANNETTA ANEURYSM NECK DISSECTOR RIGHT</t>
  </si>
  <si>
    <t>PRODIGO1058193</t>
  </si>
  <si>
    <t>Jannetta aneurysm neck dissectors Ligature carrier. Suture hole in blade. Overall length 7-1/2in (19.1cm). Right</t>
  </si>
  <si>
    <t>DISSECTOR, SURGICAL, JANNETTA, 7.5 IN, RIGHT, NECK, ANEURYSM, LIGATURE CARRIER, SUTURE HOLE IN BLADE, NON STERILE, LATEX</t>
  </si>
  <si>
    <t>DISSECTOR, SURG, JANNETTA, 7.5 IN, RT, NK, ANEUR, LIG CARR, SUTURE HOLE IN BLADE, NS, LTX</t>
  </si>
  <si>
    <t>DISSECTOR, SURG, JANNETTA, 7.5 IN, RT, NK, ANEUR, LIG CARR</t>
  </si>
  <si>
    <t>RIGHT, NECK</t>
  </si>
  <si>
    <t>https://www.bd.com/en-us/products-and-solutions/products/product-page.NL3773#overview, https://accessgudid.nlm.nih.gov/devices/10885403073489</t>
  </si>
  <si>
    <t>NL3776</t>
  </si>
  <si>
    <t>BD_NL3776</t>
  </si>
  <si>
    <t>JANNETTA BAYONET FORCEPS SMOOTH 6-1/4IN</t>
  </si>
  <si>
    <t>PRODIGO1058195</t>
  </si>
  <si>
    <t>Jannetta forceps Bayonet. Overall length 6-1/4in (15.9cm). Fine smooth points</t>
  </si>
  <si>
    <t>FORCEP, SURGICAL, JANNETTA, 6.25 IN, BAYONET, FINE, SMOOTH POINT, NON STERILE, LATEX</t>
  </si>
  <si>
    <t>FORCEP, SURG, JANNETTA, 6.25 IN, BAYNT, FN, SMOOTH PT, NS, LTX</t>
  </si>
  <si>
    <t>BAYONET, FINE, SMOOTH POINT</t>
  </si>
  <si>
    <t>https://www.bd.com/en-us/products-and-solutions/products/product-page.NL3776#overview, https://accessgudid.nlm.nih.gov/devices/10885403073519</t>
  </si>
  <si>
    <t>NL3778</t>
  </si>
  <si>
    <t>BD_NL3778</t>
  </si>
  <si>
    <t>JANNETTA BAYONET SHAPE SCISSORS DEL CVD</t>
  </si>
  <si>
    <t>PRODIGO1058197</t>
  </si>
  <si>
    <t>Jannetta bayonet shaped scissors Very delicate curved blades sharp points. Blade length 9mm. Spring handle. Overall length 7-1/4in (18.4cm)</t>
  </si>
  <si>
    <t>SCISSOR, SURGICAL, JANNETTA, 7.25 IN, 9 MM, BAYONET SHAPE, VERY DELICATE CURVED BLADE, SHARP POINT, SPRING HANDLE, NON STERILE, LATEX</t>
  </si>
  <si>
    <t>SCISSOR, SURG, JANNETTA, 7.25 IN, 9 MM, BAYNT SHP, VERY DEL CRV BLADE, SHRP PT, SPRING HNDL, NS, LTX</t>
  </si>
  <si>
    <t>SCISSOR, SURG, JANNETTA, 7.25 IN, 9 MM, BAYNT SHP, VERY DEL CRV</t>
  </si>
  <si>
    <t>BAYONET SHAPE, VERY DELICATE CURVED BLADE, SHARP POINT, SPRING HANDLE</t>
  </si>
  <si>
    <t>https://www.bd.com/en-us/products-and-solutions/products/product-page.NL3778#overview, https://accessgudid.nlm.nih.gov/devices/10885403073533</t>
  </si>
  <si>
    <t>NL3771</t>
  </si>
  <si>
    <t>BD_NL3771</t>
  </si>
  <si>
    <t>JANNETTA DBL-PRONG FORK 30DEG 1.3MMW</t>
  </si>
  <si>
    <t>PRODIGO1058192</t>
  </si>
  <si>
    <t>42296816  Orthopedic surgical instruments</t>
  </si>
  <si>
    <t>Jannetta double prong forks Angled 30 degrees</t>
  </si>
  <si>
    <t>FORK, SURGICAL, JANNETTA, 30 DEGREE, 1.3 MM, ANGLED, DOUBLE PRONG, NON STERILE, LATEX</t>
  </si>
  <si>
    <t>FORK, SURG, JANNETTA, 30 DEG, 1.3 MM, ANGLED, DBL PRNG, NS, LTX</t>
  </si>
  <si>
    <t>FORK</t>
  </si>
  <si>
    <t>ANGLED, DOUBLE PRONG</t>
  </si>
  <si>
    <t>https://www.bd.com/en-us/products-and-solutions/products/product-page.NL3771#overview, https://accessgudid.nlm.nih.gov/devices/10885403073465</t>
  </si>
  <si>
    <t>NL3764</t>
  </si>
  <si>
    <t>BD_NL3764</t>
  </si>
  <si>
    <t>SURGICAL DISSECTORS</t>
  </si>
  <si>
    <t>JANNETTA DISSECTOR CVD BLADE 1.6MM 7-1/2</t>
  </si>
  <si>
    <t>PRODIGO1058185</t>
  </si>
  <si>
    <t>Jannetta dissectors Curved blade. Overall length 7-1/2in (19.1cm). Small. Tip 1.6mm wide</t>
  </si>
  <si>
    <t>DISSECTOR, SURGICAL, JANNETTA, SMALL, 7.5 IN, 1.6 MM, CURVED BLADE, NON STERILE, LATEX</t>
  </si>
  <si>
    <t>DISSECTOR, SURG, JANNETTA, SM, 7.5 IN, 1.6 MM, CRV BLADE, NS, LTX</t>
  </si>
  <si>
    <t>1.6 MM</t>
  </si>
  <si>
    <t>CURVED BLADE</t>
  </si>
  <si>
    <t>https://www.bd.com/en-us/products-and-solutions/products/product-page.nl3764#overview, https://accessgudid.nlm.nih.gov/devices/10885403073380</t>
  </si>
  <si>
    <t>NL3765</t>
  </si>
  <si>
    <t>BD_NL3765</t>
  </si>
  <si>
    <t>JANNETTA DISSECTOR CVD BLADE 2MM 7-1/2IN</t>
  </si>
  <si>
    <t>PRODIGO1058186</t>
  </si>
  <si>
    <t>Jannetta dissectors Curved blade. Overall length 7-1/2in (19.1cm). Large. Tip 2mm wide</t>
  </si>
  <si>
    <t>DISSECTOR, SURGICAL, JANNETTA, LARGE, 7.5 IN, 2 MM, CURVED BLADE, NON STERILE, LATEX</t>
  </si>
  <si>
    <t>DISSECTOR, SURG, JANNETTA, LG, 7.5 IN, 2 MM, CRV BLADE, NS, LTX</t>
  </si>
  <si>
    <t>https://www.bd.com/en-us/products-and-solutions/products/product-page.NL3765#overview, https://accessgudid.nlm.nih.gov/devices/10885403073397</t>
  </si>
  <si>
    <t>NL3762</t>
  </si>
  <si>
    <t>BD_NL3762</t>
  </si>
  <si>
    <t>JANNETTA DUCKBILL ELEVATOR 2.7MM 7-1/2IN</t>
  </si>
  <si>
    <t>PRODIGO1058183</t>
  </si>
  <si>
    <t>Jannetta duckbill elevator Curved tip 2.7mm wide. Angled shaft. Overall length 7-1/2in (19.1cm)</t>
  </si>
  <si>
    <t>ELEVATOR, SURGICAL, JANNETTA DUCKBILL, 7.5 IN, 2.7 MM, CURVED TIP, ANGLED SHAFT, NON STERILE, LATEX</t>
  </si>
  <si>
    <t>ELEVATOR, SURG, JANNETTA DUCKBILL, 7.5 IN, 2.7 MM, CRV TIP, ANGLED SHFT, NS, LTX</t>
  </si>
  <si>
    <t>ELEVATOR, SURG, JANNETTA DUCKBILL, 7.5 IN, 2.7 MM, CRV TIP, ANGLED</t>
  </si>
  <si>
    <t>JANNETTA DUCKBILL</t>
  </si>
  <si>
    <t>CURVED TIP, ANGLED SHAFT</t>
  </si>
  <si>
    <t>https://www.bd.com/en-us/products-and-solutions/products/product-page.nl3762#overview, https://accessgudid.nlm.nih.gov/devices/10885403073366</t>
  </si>
  <si>
    <t>NL3768001</t>
  </si>
  <si>
    <t>NL3768-001</t>
  </si>
  <si>
    <t>BD_NL3768001</t>
  </si>
  <si>
    <t>JANNETTA HOOK MED 45DEG 2.8MM 7-1/2IN</t>
  </si>
  <si>
    <t>PRODIGO1058190</t>
  </si>
  <si>
    <t>Jannetta hook Medium. Tip length 2.8mm. Angled 45</t>
  </si>
  <si>
    <t>HOOK, SURGICAL, JANNETTA, 45 DEGREE, MEDIUM, 7.5 IN, 2.8 MM, ANGLED, NON STERILE, LATEX</t>
  </si>
  <si>
    <t>HOOK, SURG, JANNETTA, 45 DEG, MED, 7.5 IN, 2.8 MM, ANGLED, NS, LTX</t>
  </si>
  <si>
    <t>45 DEGREE, MEDIUM</t>
  </si>
  <si>
    <t>2.8 MM</t>
  </si>
  <si>
    <t>https://www.bd.com/en-us/products-and-solutions/products/product-page.NL3768-001#overview, https://accessgudid.nlm.nih.gov/devices/10885403073434</t>
  </si>
  <si>
    <t>NL3767</t>
  </si>
  <si>
    <t>BD_NL3767</t>
  </si>
  <si>
    <t>JANNETTA PROBE SMALL 1.7MM 45DEG 7-1/2IN</t>
  </si>
  <si>
    <t>PRODIGO1058188</t>
  </si>
  <si>
    <t>Jannetta probe Small. Tip length 1.7mm. Angled 45</t>
  </si>
  <si>
    <t>PROBE, SURGICAL, JANNETTA, 45 DEGREE, SMALL, 7.5 IN, 1.7 MM, ANGLED, NON STERILE, LATEX</t>
  </si>
  <si>
    <t>PROBE, SURG, JANNETTA, 45 DEG, SM, 7.5 IN, 1.7 MM, ANGLED, NS, LTX</t>
  </si>
  <si>
    <t>45 DEGREE, SMALL</t>
  </si>
  <si>
    <t>1.7 MM</t>
  </si>
  <si>
    <t>https://www.bd.com/en-us/products-and-solutions/products/product-print-page.nl3767, https://accessgudid.nlm.nih.gov/devices/10885403073410</t>
  </si>
  <si>
    <t>AU5670</t>
  </si>
  <si>
    <t>BD_AU5670</t>
  </si>
  <si>
    <t>JANSEN-NEWHART MASTOID PROBE TIP 4MM</t>
  </si>
  <si>
    <t>PRODIGO1056352</t>
  </si>
  <si>
    <t>JANSEN-NEWHART MASTOID PROBE TIP LENGTH 4MM. OVERALL LENGTH 6-1/2IN (16.5CM).</t>
  </si>
  <si>
    <t>PROBE, SURGICAL, JANSEN-NEWHART, 6.5 IN, 4 MM, MASTOID, NON STERILE, LATEX</t>
  </si>
  <si>
    <t>PROBE, SURG, JANSEN-NEWHART, 6.5 IN, 4 MM, MASTOID, NS, LTX</t>
  </si>
  <si>
    <t>JANSEN-NEWHART</t>
  </si>
  <si>
    <t>MASTOID</t>
  </si>
  <si>
    <t>https://www.bd.com/en-us/products-and-solutions/products/product-page.AU5670#overview, https://accessgudid.nlm.nih.gov/devices/10885403008542</t>
  </si>
  <si>
    <t>GL2375</t>
  </si>
  <si>
    <t>BD_GL2375</t>
  </si>
  <si>
    <t>JARCHO SELF-RETAIN UTERINE CANNULA 8-1/4</t>
  </si>
  <si>
    <t>PRODIGO1057415</t>
  </si>
  <si>
    <t>42143208  Intrauterine insemination cannulas</t>
  </si>
  <si>
    <t>Jarcho self-retaining uterine cannula Cannula. Overall length 8-1/4in (21cm).</t>
  </si>
  <si>
    <t>CANNULA, SURGICAL, JARCHO, 8.25 IN, UTERINE, SELF-RETAINING, NON STERILE, LATEX</t>
  </si>
  <si>
    <t>CANNULA, SURG, JARCHO, 8.25 IN, UTER, SELF RET, NS, LTX</t>
  </si>
  <si>
    <t>JARCHO</t>
  </si>
  <si>
    <t>SELF-RETAINING</t>
  </si>
  <si>
    <t>https://www.bd.com/en-us/products-and-solutions/products/product-page.GL2375#overview, https://accessgudid.nlm.nih.gov/devices/10885403045110</t>
  </si>
  <si>
    <t>GL2375001</t>
  </si>
  <si>
    <t>GL2375-001</t>
  </si>
  <si>
    <t>BD_GL2375001</t>
  </si>
  <si>
    <t>JARCHO TENACULUM HOLDER OVERLGTH 2-1/4IN</t>
  </si>
  <si>
    <t>PRODIGO1057416</t>
  </si>
  <si>
    <t>Jarcho self-retaining uterine cannula Tenaculum Holder for GL2375. Overall length 2-1/4in (5.7cm).</t>
  </si>
  <si>
    <t>CANNULA, SURGICAL, JARCHO, 2.25 IN, UTERINE, SELF-RETAINING, TENACULUM HOLDER, NON STERILE, LATEX</t>
  </si>
  <si>
    <t>CANNULA, SURG, JARCHO, 2.25 IN, UTER, SELF RET, TENAC HOLDER, NS, LTX</t>
  </si>
  <si>
    <t>CANNULA, SURG, JARCHO, 2.25 IN, UTER, SELF RET, TENAC HOLDER, NS</t>
  </si>
  <si>
    <t>2.25 IN</t>
  </si>
  <si>
    <t>SELF-RETAINING, TENACULUM HOLDER</t>
  </si>
  <si>
    <t>https://www.bd.com/en-us/products-and-solutions/products/product-page.GL2375-001#overview, https://accessgudid.nlm.nih.gov/devices/10885403045127</t>
  </si>
  <si>
    <t>MO100</t>
  </si>
  <si>
    <t>BD_MO100</t>
  </si>
  <si>
    <t>JENNINGS MOUTH GAG ADULT W/RATCHET LOCK</t>
  </si>
  <si>
    <t>PRODIGO1057855</t>
  </si>
  <si>
    <t>JENNINGS MOUTH GAG SELF-RETAINING WITH AUTOMATIC RATCHET LOCK. MIRROR AND SATIN FINISH. ADULT SIZE. OVERALL LENGTH 8IN (20.3CM).</t>
  </si>
  <si>
    <t>GAG, MOUTH, JENNINGS, ADULT, 8 IN, SELF-RETAINING, WITH AUTOMATIC RATCHET LOCK, MIRROR, SATIN FINISH, NON STERILE, LATEX</t>
  </si>
  <si>
    <t>GAG, MOUTH, JENNINGS, AD, 8 IN, SELF RET, W/ AUTO RATCH LCK, MIRROR, SATIN FINISH, NS, LTX</t>
  </si>
  <si>
    <t>GAG, MOUTH, JENNINGS, AD, 8 IN, SELF RET, W/ AUTO RATCH LCK, MIRROR</t>
  </si>
  <si>
    <t>JENNINGS</t>
  </si>
  <si>
    <t>SELF-RETAINING, WITH AUTOMATIC RATCHET LOCK, MIRROR, SATIN FINISH</t>
  </si>
  <si>
    <t>https://www.bd.com/en-us/products-and-solutions/products/product-page.MO100#overview, https://accessgudid.nlm.nih.gov/devices/10885403057960</t>
  </si>
  <si>
    <t>MO101</t>
  </si>
  <si>
    <t>BD_MO101</t>
  </si>
  <si>
    <t>JENNINGS MOUTH GAG CHILD W/RATCHET LOCK</t>
  </si>
  <si>
    <t>PRODIGO1057860</t>
  </si>
  <si>
    <t>JENNINGS MOUTH GAG SELF-RETAINING WITH AUTOMATIC RATCHET LOCK. MIRROR AND SATIN FINISH. CHILD SIZE. OVERALL LENGTH 7IN (17.8CM).</t>
  </si>
  <si>
    <t>GAG, MOUTH, JENNINGS, CHILD, 7 IN, SELF-RETAINING, WITH AUTOMATIC RATCHET LOCK, MIRROR, SATIN FINISH, NON STERILE, LATEX</t>
  </si>
  <si>
    <t>GAG, MOUTH, JENNINGS, CH, 7 IN, SELF RET, W/ AUTO RATCH LCK, MIRROR, SATIN FINISH, NS, LTX</t>
  </si>
  <si>
    <t>GAG, MOUTH, JENNINGS, CH, 7 IN, SELF RET, W/ AUTO RATCH LCK, MIRROR</t>
  </si>
  <si>
    <t>https://www.bd.com/en-us/products-and-solutions/products/product-page.mo101#overview, https://accessgudid.nlm.nih.gov/devices/10885403057977</t>
  </si>
  <si>
    <t>MO102</t>
  </si>
  <si>
    <t>BD_MO102</t>
  </si>
  <si>
    <t>JENNINGS MOUTH GAG INFANT W/RATCHET LOCK</t>
  </si>
  <si>
    <t>PRODIGO1057861</t>
  </si>
  <si>
    <t>JENNINGS MOUTH GAG SELF-RETAINING WITH AUTOMATIC RATCHET LOCK. MIRROR AND SATIN FINISH. INFANT SIZE. OVERALL LENGTH 6-1/4IN (15.9CM).</t>
  </si>
  <si>
    <t>GAG, MOUTH, JENNINGS, INFANT, 6.25 IN, SELF-RETAINING, WITH AUTOMATIC RATCHET LOCK, MIRROR, SATIN FINISH, NON STERILE, LATEX</t>
  </si>
  <si>
    <t>GAG, MOUTH, JENNINGS, INF, 6.25 IN, SELF RET, W/ AUTO RATCH LCK, MIRROR, SATIN FINISH, NS, LTX</t>
  </si>
  <si>
    <t>GAG, MOUTH, JENNINGS, INF, 6.25 IN, SELF RET, AUTO RATCH LCK</t>
  </si>
  <si>
    <t>INFANT</t>
  </si>
  <si>
    <t>https://www.bd.com/en-us/products-and-solutions/products/product-page.MO102#overview, https://accessgudid.nlm.nih.gov/devices/10885403057984</t>
  </si>
  <si>
    <t>CH13087</t>
  </si>
  <si>
    <t>BD_CH13087</t>
  </si>
  <si>
    <t>JEWELER FORCEP STR TIP .3MMDIA FLAT HNDL</t>
  </si>
  <si>
    <t>PRODIGO1056688</t>
  </si>
  <si>
    <t>JEWELERS FORCEPS STRAIGHT DOUBLE-ACTION TIP DIAMETER 0.3MM FLAT SPRING HANDLE 9MM WIDE OVERALL LENGTH 4-3/8IN NON STERILE</t>
  </si>
  <si>
    <t>FORCEP, SURGICAL, JEWELERS, 0.3 MM, 4-3/8 IN, 9 MM, STRAIGHT TIP, DOUBLE ACTION, FLAT SPRING HANDLE, NON STERILE</t>
  </si>
  <si>
    <t>FORCEP, SURG, JWL, 0.3 MM, 4-3/8 IN, 9 MM, STR TIP, DBL ACT, FLAT SPRING HNDL, NS</t>
  </si>
  <si>
    <t>FORCEP, SURG, JWL, 0.3 MM, 4-3/8 IN, 9 MM, STR, DBL ACT, FLAT HNDL</t>
  </si>
  <si>
    <t>JEWELERS</t>
  </si>
  <si>
    <t>0.3 MM</t>
  </si>
  <si>
    <t>STRAIGHT TIP, DOUBLE ACTION, FLAT SPRING HANDLE</t>
  </si>
  <si>
    <t>https://www.bd.com/en-us/products-and-solutions/products/product-page.CH13087#overview, https://mms.mckesson.com/product/822860/V-Mueller-CH13087</t>
  </si>
  <si>
    <t>CH13103</t>
  </si>
  <si>
    <t>BD_CH13103</t>
  </si>
  <si>
    <t>JEWELERS FORCEP STR .3MMTIP W/TY-PLATFRM</t>
  </si>
  <si>
    <t>PRODIGO1056695</t>
  </si>
  <si>
    <t>Jewelers forceps Straight With tying platform Tip diameter 0.3mm Flat handle 9mm wide Overall length 5-1/4in</t>
  </si>
  <si>
    <t>FORCEP, SURGICAL, JEWELERS, 0.3 MM TIP, 5.25 INX9 MM, STRAIGHT, WITH TYING PLATFORM, FLAT HANDLE, DOUBLE ACTION</t>
  </si>
  <si>
    <t>FORCEP, SURG, JWL, 0.3 MM TIP, 5.25 INX9 MM, STR, W/ TYNG PLATFORM, FLAT HNDL, DBL ACT</t>
  </si>
  <si>
    <t>FORCEP, SURG, JWL, 0.3 MM TIP, 5.25 INX9 MM, STR, PLATFORM, FLAT</t>
  </si>
  <si>
    <t>5.25 INX9 MM</t>
  </si>
  <si>
    <t>STRAIGHT, WITH TYING PLATFORM, FLAT HANDLE, DOUBLE ACTION</t>
  </si>
  <si>
    <t>https://www.bd.com/en-us/products-and-solutions/products/product-page.CH13103#specifications</t>
  </si>
  <si>
    <t>CH13112</t>
  </si>
  <si>
    <t>BD_CH13112</t>
  </si>
  <si>
    <t>PRODIGO1056698</t>
  </si>
  <si>
    <t>Jewelers forceps Straight With tying platform Tip diameter 0.3mm Flat handle 7mm wide Overall length 5-1/4in</t>
  </si>
  <si>
    <t>FORCEP, SURGICAL, JEWELERS, 0.3 MM TIP, 5.25 INX7 MM, STRAIGHT, WITH TYING PLATFORM, FLAT HANDLE, DOUBLE ACTION</t>
  </si>
  <si>
    <t>FORCEP, SURG, JWL, 0.3 MM TIP, 5.25 INX7 MM, STR, W/ TYNG PLATFORM, FLAT HNDL, DBL ACT</t>
  </si>
  <si>
    <t>FORCEP, SURG, JWL, 0.3 MM TIP, 5.25 INX7 MM, STR, PLATFORM, FLAT</t>
  </si>
  <si>
    <t>5.25 INX7 MM</t>
  </si>
  <si>
    <t>https://www.bd.com/en-us/products-and-solutions/products/product-page.CH13112#specifications</t>
  </si>
  <si>
    <t>CH13100</t>
  </si>
  <si>
    <t>BD_CH13100</t>
  </si>
  <si>
    <t>JEWELERS FORCEPS STR TIP 0.3MM DIA</t>
  </si>
  <si>
    <t>PRODIGO1056692</t>
  </si>
  <si>
    <t>Jewelers forceps Straight Tip diameter 0.3mm Flat handle 9mm wide Overall length 5-1/4in</t>
  </si>
  <si>
    <t>FORCEP, SURGICAL, JEWELERS, 0.3 MM TIP, 5.25 INX9 MM, STRAIGHT, FLAT HANDLE, DOUBLE ACTION</t>
  </si>
  <si>
    <t>FORCEP, SURG, JWL, 0.3 MM TIP, 5.25 INX9 MM, STR, FLAT HNDL, DBL ACT</t>
  </si>
  <si>
    <t>FORCEP, SURG, JWL, 0.3 MM TIP, 5.25 INX9 MM, STR, FLAT HNDL, DBL</t>
  </si>
  <si>
    <t>STRAIGHT, FLAT HANDLE, DOUBLE ACTION</t>
  </si>
  <si>
    <t>https://www.bd.com/en-us/products-and-solutions/products/product-page.CH13100#overview</t>
  </si>
  <si>
    <t>CH13082</t>
  </si>
  <si>
    <t>BD_CH13082</t>
  </si>
  <si>
    <t>JEWELERS FORCEPS STR TIP 0.3MM DIA FLAT</t>
  </si>
  <si>
    <t>PRODIGO1056687</t>
  </si>
  <si>
    <t>JEWELERS FORCEPS STRAIGHT DOUBLE-ACTION TIP DIAMETER 0.3MM FLAT SPRING HANDLE 9MM WIDE OVERALL LENGTH 4-3/4IN NON STERILE</t>
  </si>
  <si>
    <t>FORCEP, SURGICAL, JEWELERS, 0.3 MM, 4.75 IN, 9 MM, STRAIGHT TIP, DOUBLE ACTION, FLAT SPRING HANDLE, NON STERILE</t>
  </si>
  <si>
    <t>FORCEP, SURG, JWL, 0.3 MM, 4.75 IN, 9 MM, STR TIP, DBL ACT, FLAT SPRING HNDL, NS</t>
  </si>
  <si>
    <t>FORCEP, SURG, JWL, 0.3 MM, 4.75 IN, 9 MM, STR, DBL ACT, FLAT HNDL</t>
  </si>
  <si>
    <t>https://www.bd.com/en-us/products-and-solutions/products/product-page.ch13082, https://mms.mckesson.com/product/822860/V-Mueller-CH13087</t>
  </si>
  <si>
    <t>CH13110</t>
  </si>
  <si>
    <t>BD_CH13110</t>
  </si>
  <si>
    <t>PRODIGO1056697</t>
  </si>
  <si>
    <t>Jewelers forceps Straight Tip diameter 0.3mm Flat handle 7mm wide Overall length 5-1/4in</t>
  </si>
  <si>
    <t>FORCEP, SURGICAL, JEWELERS, 0.3 MM TIP, 5.25 INX7 MM, STRAIGHT, FLAT HANDLE, DOUBLE ACTION</t>
  </si>
  <si>
    <t>FORCEP, SURG, JWL, 0.3 MM TIP, 5.25 INX7 MM, STR, FLAT HNDL, DBL ACT</t>
  </si>
  <si>
    <t>FORCEP, SURG, JWL, 0.3 MM TIP, 5.25 INX7 MM, STR, FLAT HNDL, DBL</t>
  </si>
  <si>
    <t>https://www.bd.com/en-us/products-and-solutions/products/product-page.CH13110#specifications</t>
  </si>
  <si>
    <t>CH13093</t>
  </si>
  <si>
    <t>BD_CH13093</t>
  </si>
  <si>
    <t>JEWELERS FORCEPS TIP 45DEG 0.3MMDIA FLAT</t>
  </si>
  <si>
    <t>PRODIGO1056689</t>
  </si>
  <si>
    <t>JEWELERS FORCEPS DOUBLE-ACTION TIP DIAMETER 0.3MM TIP ANGLED 45 FLAT SPRING HANDLE 9MM WIDE OVERALL LENGTH 5-1/4IN</t>
  </si>
  <si>
    <t>FORCEP, SURGICAL, JEWELERS, 0.3 MM, 45 DEGREE, 5.25 IN, 9 MM, DOUBLE ACTION, TIP, FLAT SPRING HANDLE</t>
  </si>
  <si>
    <t>FORCEP, SURG, JWL, 0.3 MM, 45 DEG, 5.25 IN, 9 MM, DBL ACT, TIP, FLAT SPRING HNDL</t>
  </si>
  <si>
    <t>FORCEP, SURG, JWL, 0.3 MM, 45 DEG, 5.25 IN, 9 MM, DBL ACT, FLAT HNDL</t>
  </si>
  <si>
    <t>DOUBLE ACTION, TIP, FLAT SPRING HANDLE</t>
  </si>
  <si>
    <t>https://www.bd.com/en-us/products-and-solutions/products/product-page.CH13093#overview</t>
  </si>
  <si>
    <t>CH13095</t>
  </si>
  <si>
    <t>BD_CH13095</t>
  </si>
  <si>
    <t>PRODIGO1056690</t>
  </si>
  <si>
    <t>JEWELERS FORCEPS DOUBLE-ACTION TIP DIAMETER 0.3MM TIP ANGLED 40 FLAT HANDLE 9MM WIDE OVERALL LENGTH 5-1/4IN</t>
  </si>
  <si>
    <t>FORCEP, SURGICAL, JEWELERS, 0.3 MM, 40 DEGREE, 5.25 IN, 9 MM, DOUBLE ACTION, TIP, FLAT SPRING HANDLE</t>
  </si>
  <si>
    <t>FORCEP, SURG, JWL, 0.3 MM, 40 DEG, 5.25 IN, 9 MM, DBL ACT, TIP, FLAT SPRING HNDL</t>
  </si>
  <si>
    <t>FORCEP, SURG, JWL, 0.3 MM, 40 DEG, 5.25 IN, 9 MM, DBL ACT, FLAT HNDL</t>
  </si>
  <si>
    <t>0.3 MM, 40 DEGREE</t>
  </si>
  <si>
    <t>https://www.bd.com/en-us/products-and-solutions/products/product-page.CH13095#overview</t>
  </si>
  <si>
    <t>GU4060012</t>
  </si>
  <si>
    <t>GU4060-012</t>
  </si>
  <si>
    <t>BD_GU4060012</t>
  </si>
  <si>
    <t>SURGICAL SOUND SETS</t>
  </si>
  <si>
    <t>JEWETT URETHRAL SOUNDS 12FR STR 9-1/2IN</t>
  </si>
  <si>
    <t>PRODIGO1057587</t>
  </si>
  <si>
    <t>Jewett Urethral Sound 12Fr</t>
  </si>
  <si>
    <t>SOUND, URETHRAL, JEWETT, 12 FRX9.5 IN, STRAIGHT, MIRROR AND SATIN FINISH, NON STERILE, LATEX</t>
  </si>
  <si>
    <t>SOUND, URETH, JEWETT, 12 FRX9.5 IN, STR, MIRROR &amp; SATIN FINISH, NS, LTX</t>
  </si>
  <si>
    <t>SOUND, URETH, JEWETT, 12 FRX9.5 IN, STR, MIRROR &amp; SATIN FINISH, NS</t>
  </si>
  <si>
    <t>URETHRAL</t>
  </si>
  <si>
    <t>JEWETT</t>
  </si>
  <si>
    <t>STRAIGHT, MIRROR AND SATIN FINISH</t>
  </si>
  <si>
    <t>https://www.bd.com/en-us/offerings/capabilities/surgical-instruments/open-instrumentation/jewett-urethral-sounds/gu4060-012, https://accessgudid.nlm.nih.gov/devices/10885403049521</t>
  </si>
  <si>
    <t>GU4060014</t>
  </si>
  <si>
    <t>GU4060-014</t>
  </si>
  <si>
    <t>BD_GU4060014</t>
  </si>
  <si>
    <t>JEWETT URETHRAL SOUNDS 14FR STR 9-1/2IN</t>
  </si>
  <si>
    <t>PRODIGO1057588</t>
  </si>
  <si>
    <t>Jewett Urethral Sound 14Fr</t>
  </si>
  <si>
    <t>SOUND, URETHRAL, JEWETT, 14 FRX9.5 IN, STRAIGHT, MIRROR AND SATIN FINISH, NON STERILE, LATEX</t>
  </si>
  <si>
    <t>SOUND, URETH, JEWETT, 14 FRX9.5 IN, STR, MIRROR &amp; SATIN FINISH, NS, LTX</t>
  </si>
  <si>
    <t>SOUND, URETH, JEWETT, 14 FRX9.5 IN, STR, MIRROR &amp; SATIN FINISH, NS</t>
  </si>
  <si>
    <t>https://www.bd.com/en-us/offerings/capabilities/surgical-instruments/open-instrumentation/jewett-urethral-sounds/gu4060-014, https://accessgudid.nlm.nih.gov/devices/10885403049538</t>
  </si>
  <si>
    <t>GU4060016</t>
  </si>
  <si>
    <t>GU4060-016</t>
  </si>
  <si>
    <t>BD_GU4060016</t>
  </si>
  <si>
    <t>JEWETT URETHRAL SOUNDS 16FR STR 9-1/2IN</t>
  </si>
  <si>
    <t>PRODIGO1057589</t>
  </si>
  <si>
    <t>Jewett Urethral Sound 16Fr</t>
  </si>
  <si>
    <t>SOUND, URETHRAL, JEWETT, 16 FRX9.5 IN, STRAIGHT, MIRROR AND SATIN FINISH, NON STERILE, LATEX</t>
  </si>
  <si>
    <t>SOUND, URETH, JEWETT, 16 FRX9.5 IN, STR, MIRROR &amp; SATIN FINISH, NS, LTX</t>
  </si>
  <si>
    <t>SOUND, URETH, JEWETT, 16 FRX9.5 IN, STR, MIRROR &amp; SATIN FINISH, NS</t>
  </si>
  <si>
    <t>https://www.bd.com/en-us/offerings/capabilities/surgical-instruments/open-instrumentation/jewett-urethral-sounds/gu4060-016, https://accessgudid.nlm.nih.gov/devices/10885403049545</t>
  </si>
  <si>
    <t>GU4060018</t>
  </si>
  <si>
    <t>GU4060-018</t>
  </si>
  <si>
    <t>BD_GU4060018</t>
  </si>
  <si>
    <t>JEWETT URETHRAL SOUNDS 18FR STR 9-1/2IN</t>
  </si>
  <si>
    <t>PRODIGO1057590</t>
  </si>
  <si>
    <t>Jewett Urethral Sound 18Fr</t>
  </si>
  <si>
    <t>SOUND, URETHRAL, JEWETT, 18 FRX9.5 IN, STRAIGHT, MIRROR AND SATIN FINISH, NON STERILE, LATEX</t>
  </si>
  <si>
    <t>SOUND, URETH, JEWETT, 18 FRX9.5 IN, STR, MIRROR &amp; SATIN FINISH, NS, LTX</t>
  </si>
  <si>
    <t>SOUND, URETH, JEWETT, 18 FRX9.5 IN, STR, MIRROR &amp; SATIN FINISH, NS</t>
  </si>
  <si>
    <t>https://www.bd.com/en-us/offerings/capabilities/surgical-instruments/open-instrumentation/jewett-urethral-sounds/gu4060-018, https://accessgudid.nlm.nih.gov/devices/10885403049552</t>
  </si>
  <si>
    <t>GU4060020</t>
  </si>
  <si>
    <t>GU4060-020</t>
  </si>
  <si>
    <t>BD_GU4060020</t>
  </si>
  <si>
    <t>JEWETT URETHRAL SOUNDS 20FR STR 9-1/2IN</t>
  </si>
  <si>
    <t>PRODIGO1057591</t>
  </si>
  <si>
    <t>Jewett Urethral Sound 20Fr</t>
  </si>
  <si>
    <t>SOUND, URETHRAL, JEWETT, 20 FRX9.5 IN, STRAIGHT, MIRROR AND SATIN FINISH, NON STERILE, LATEX</t>
  </si>
  <si>
    <t>SOUND, URETH, JEWETT, 20 FRX9.5 IN, STR, MIRROR &amp; SATIN FINISH, NS, LTX</t>
  </si>
  <si>
    <t>SOUND, URETH, JEWETT, 20 FRX9.5 IN, STR, MIRROR &amp; SATIN FINISH, NS</t>
  </si>
  <si>
    <t>https://www.bd.com/en-us/offerings/capabilities/surgical-instruments/open-instrumentation/jewett-urethral-sounds/gu4060-020, https://accessgudid.nlm.nih.gov/devices/10885403049569</t>
  </si>
  <si>
    <t>GU4060022</t>
  </si>
  <si>
    <t>GU4060-022</t>
  </si>
  <si>
    <t>BD_GU4060022</t>
  </si>
  <si>
    <t>JEWETT URETHRAL SOUNDS 22FR STR 9-1/2IN</t>
  </si>
  <si>
    <t>PRODIGO1057592</t>
  </si>
  <si>
    <t>Jewett Urethral Sound 22Fr</t>
  </si>
  <si>
    <t>SOUND, URETHRAL, JEWETT, 22 FRX9.5 IN, STRAIGHT, MIRROR AND SATIN FINISH, NON STERILE, LATEX</t>
  </si>
  <si>
    <t>SOUND, URETH, JEWETT, 22 FRX9.5 IN, STR, MIRROR &amp; SATIN FINISH, NS, LTX</t>
  </si>
  <si>
    <t>SOUND, URETH, JEWETT, 22 FRX9.5 IN, STR, MIRROR &amp; SATIN FINISH, NS</t>
  </si>
  <si>
    <t>https://www.bd.com/en-us/offerings/capabilities/surgical-instruments/open-instrumentation/jewett-urethral-sounds/gu4060-022, https://accessgudid.nlm.nih.gov/devices/10885403049576</t>
  </si>
  <si>
    <t>GU4060024</t>
  </si>
  <si>
    <t>GU4060-024</t>
  </si>
  <si>
    <t>BD_GU4060024</t>
  </si>
  <si>
    <t>JEWETT URETHRAL SOUNDS 24FR STR 9-1/2IN</t>
  </si>
  <si>
    <t>PRODIGO1057593</t>
  </si>
  <si>
    <t>Jewett Urethral Sound 24Fr</t>
  </si>
  <si>
    <t>SOUND, URETHRAL, JEWETT, 24 FRX9.5 IN, STRAIGHT, MIRROR AND SATIN FINISH, NON STERILE, LATEX</t>
  </si>
  <si>
    <t>SOUND, URETH, JEWETT, 24 FRX9.5 IN, STR, MIRROR &amp; SATIN FINISH, NS, LTX</t>
  </si>
  <si>
    <t>SOUND, URETH, JEWETT, 24 FRX9.5 IN, STR, MIRROR &amp; SATIN FINISH, NS</t>
  </si>
  <si>
    <t>24 FRX9.5 IN</t>
  </si>
  <si>
    <t>https://www.bd.com/en-us/offerings/capabilities/surgical-instruments/open-instrumentation/jewett-urethral-sounds/gu4060-024, https://accessgudid.nlm.nih.gov/devices/10885403049583</t>
  </si>
  <si>
    <t>GU4060026</t>
  </si>
  <si>
    <t>GU4060-026</t>
  </si>
  <si>
    <t>BD_GU4060026</t>
  </si>
  <si>
    <t>JEWETT URETHRAL SOUNDS 26FR STR 9-1/2IN</t>
  </si>
  <si>
    <t>PRODIGO1057594</t>
  </si>
  <si>
    <t>Jewett Urethral Sound 26Fr</t>
  </si>
  <si>
    <t>SOUND, URETHRAL, JEWETT, 26 FRX9.5 IN, STRAIGHT, MIRROR AND SATIN FINISH, NON STERILE, LATEX</t>
  </si>
  <si>
    <t>SOUND, URETH, JEWETT, 26 FRX9.5 IN, STR, MIRROR &amp; SATIN FINISH, NS, LTX</t>
  </si>
  <si>
    <t>SOUND, URETH, JEWETT, 26 FRX9.5 IN, STR, MIRROR &amp; SATIN FINISH, NS</t>
  </si>
  <si>
    <t>26 FRX9.5 IN</t>
  </si>
  <si>
    <t>https://www.bd.com/en-us/offerings/capabilities/surgical-instruments/open-instrumentation/jewett-urethral-sounds/gu4060-026, https://accessgudid.nlm.nih.gov/devices/10885403049590</t>
  </si>
  <si>
    <t>GU4060028</t>
  </si>
  <si>
    <t>GU4060-028</t>
  </si>
  <si>
    <t>BD_GU4060028</t>
  </si>
  <si>
    <t>JEWETT URETHRAL SOUNDS 28FR STR 9-1/2IN</t>
  </si>
  <si>
    <t>PRODIGO1057595</t>
  </si>
  <si>
    <t>Jewett Urethral Sound 28Fr</t>
  </si>
  <si>
    <t>SOUND, URETHRAL, JEWETT, 28 FRX9.5 IN, STRAIGHT, MIRROR AND SATIN FINISH, NON STERILE, LATEX</t>
  </si>
  <si>
    <t>SOUND, URETH, JEWETT, 28 FRX9.5 IN, STR, MIRROR &amp; SATIN FINISH, NS, LTX</t>
  </si>
  <si>
    <t>SOUND, URETH, JEWETT, 28 FRX9.5 IN, STR, MIRROR &amp; SATIN FINISH, NS</t>
  </si>
  <si>
    <t>28 FRX9.5 IN</t>
  </si>
  <si>
    <t>https://www.bd.com/en-us/offerings/capabilities/surgical-instruments/open-instrumentation/jewett-urethral-sounds/gu4060-028, https://accessgudid.nlm.nih.gov/devices/10885403049606</t>
  </si>
  <si>
    <t>GU4060030</t>
  </si>
  <si>
    <t>GU4060-030</t>
  </si>
  <si>
    <t>BD_GU4060030</t>
  </si>
  <si>
    <t>JEWETT URETHRAL SOUNDS 30FR STR 9-1/2IN</t>
  </si>
  <si>
    <t>PRODIGO1057596</t>
  </si>
  <si>
    <t>Jewett Urethral Sound 30Fr</t>
  </si>
  <si>
    <t>SOUND, URETHRAL, JEWETT, 30 FRX9.5 IN, STRAIGHT, MIRROR AND SATIN FINISH, NON STERILE, LATEX</t>
  </si>
  <si>
    <t>SOUND, URETH, JEWETT, 30 FRX9.5 IN, STR, MIRROR &amp; SATIN FINISH, NS, LTX</t>
  </si>
  <si>
    <t>SOUND, URETH, JEWETT, 30 FRX9.5 IN, STR, MIRROR &amp; SATIN FINISH, NS</t>
  </si>
  <si>
    <t>30 FRX9.5 IN</t>
  </si>
  <si>
    <t>https://www.bd.com/en-us/offerings/capabilities/surgical-instruments/open-instrumentation/jewett-urethral-sounds/gu4060-030, https://accessgudid.nlm.nih.gov/devices/10885403049613</t>
  </si>
  <si>
    <t>GU4060032</t>
  </si>
  <si>
    <t>GU4060-032</t>
  </si>
  <si>
    <t>BD_GU4060032</t>
  </si>
  <si>
    <t>JEWETT URETHRAL SOUNDS 32FR STR 9-1/2IN</t>
  </si>
  <si>
    <t>PRODIGO1057597</t>
  </si>
  <si>
    <t>Jewett Urethral Sound 32Fr</t>
  </si>
  <si>
    <t>SOUND, URETHRAL, JEWETT, 32 FRX9.5 IN, STRAIGHT, MIRROR AND SATIN FINISH, NON STERILE, LATEX</t>
  </si>
  <si>
    <t>SOUND, URETH, JEWETT, 32 FRX9.5 IN, STR, MIRROR &amp; SATIN FINISH, NS, LTX</t>
  </si>
  <si>
    <t>SOUND, URETH, JEWETT, 32 FRX9.5 IN, STR, MIRROR &amp; SATIN FINISH, NS</t>
  </si>
  <si>
    <t>32 FRX9.5 IN</t>
  </si>
  <si>
    <t>https://www.bd.com/en-us/offerings/capabilities/surgical-instruments/open-instrumentation/jewett-urethral-sounds/gu4060-032, https://accessgudid.nlm.nih.gov/devices/10885403049620</t>
  </si>
  <si>
    <t>CH51521</t>
  </si>
  <si>
    <t>CH5152-1</t>
  </si>
  <si>
    <t>BD_CH51521</t>
  </si>
  <si>
    <t>JOHNS HOPKINS BULLDOG SLT CVD JAW 2-1/4</t>
  </si>
  <si>
    <t>PRODIGO1056848</t>
  </si>
  <si>
    <t>Johns Hopkins bulldog clamps</t>
  </si>
  <si>
    <t>CLAMP, SURGICAL, JOHNS HOPKINS BULLDOG, 2.25 IN, SLIGHTLY CURVED, SERRATED JAW, NON STERILE, LATEX</t>
  </si>
  <si>
    <t>CLAMP, SURG, JOHNS HOPKINS BULLDOG, 2.25 IN, SLIGHTLY CRV, SERRATED JAW, NS, LTX</t>
  </si>
  <si>
    <t>CLAMP, SURG, JOHNS HOPKINS BULLDOG, 2.25 IN, CRV, SERRATED JAW, NS</t>
  </si>
  <si>
    <t>JOHNS HOPKINS BULLDOG</t>
  </si>
  <si>
    <t>SLIGHTLY CURVED, SERRATED JAW</t>
  </si>
  <si>
    <t>https://www.bd.com/en-us/products-and-solutions/products/product-page.CH5152-1#overview, https://accessgudid.nlm.nih.gov/devices/10885403001376</t>
  </si>
  <si>
    <t>AU13170</t>
  </si>
  <si>
    <t>BD_AU13170</t>
  </si>
  <si>
    <t>JORDAN HOOK BAYONET 1MM 90DEG TIP DOWN</t>
  </si>
  <si>
    <t>PRODIGO1056186</t>
  </si>
  <si>
    <t>JORDAN HOOKS BAYONET SHAFT. 1MM TIP. OVERALL LENGTH 6-1/2IN (16.5CM). TIP ANGLED DOWN 90 DEGREES.</t>
  </si>
  <si>
    <t>HOOK, SURGICAL, JORDAN, 90 DEGREE, 1 MM, 6.5 IN, 1 MM, ANGLED DOWN, BAYONET SHAFT, SATIN FINISH, STAINLESS STEEL, NON STERILE, LATEX</t>
  </si>
  <si>
    <t>HOOK, SURG, JORDAN, 90 DEG, 1 MM, 6.5 IN, 1 MM, ANGLED DN, BAYNT SHFT, SATIN FINISH, SS, NS, LTX</t>
  </si>
  <si>
    <t>HOOK, SURG, JORDAN, 90 DEG, 1 MM, 6.5 IN, 1 MM, ANGLED DN</t>
  </si>
  <si>
    <t>JORDAN</t>
  </si>
  <si>
    <t>90 DEGREE, 1 MM</t>
  </si>
  <si>
    <t>ANGLED DOWN, BAYONET SHAFT, SATIN FINISH</t>
  </si>
  <si>
    <t>https://www.bd.com/en-us/products-and-solutions/products/product-page.AU13170#overview, https://accessgudid.nlm.nih.gov/devices/10885403010347</t>
  </si>
  <si>
    <t>AU13160</t>
  </si>
  <si>
    <t>BD_AU13160</t>
  </si>
  <si>
    <t>JORDAN HOOK BAYONET 1MM ANGLE TIP 45DEG</t>
  </si>
  <si>
    <t>PRODIGO1056185</t>
  </si>
  <si>
    <t>JORDAN HOOKS BAYONET SHAFT. 1MM TIP. OVERALL LENGTH 6-1/2IN (16.5CM). TIP ANGLED UP 45 DEGREES.</t>
  </si>
  <si>
    <t>HOOK, SURGICAL, JORDAN, 45 DEGREE, 1 MM, 6.5 IN, ANGLED UP, BAYONET SHAFT, SATIN FINISH, STAINLESS STEEL, NON STERILE, LATEX</t>
  </si>
  <si>
    <t>HOOK, SURG, JORDAN, 45 DEG, 1 MM, 6.5 IN, ANGLED UP, BAYNT SHFT, SATIN FINISH, SS, NS, LTX</t>
  </si>
  <si>
    <t>HOOK, SURG, JORDAN, 45 DEG, 1 MM, 6.5 IN, ANGLED UP, BAYNT SHFT</t>
  </si>
  <si>
    <t>45 DEGREE, 1 MM</t>
  </si>
  <si>
    <t>ANGLED UP, BAYONET SHAFT, SATIN FINISH</t>
  </si>
  <si>
    <t>https://www.bd.com/en-us/products-and-solutions/products/product-page.AU13160#overview, https://accessgudid.nlm.nih.gov/devices/10885403010323</t>
  </si>
  <si>
    <t>AU13135</t>
  </si>
  <si>
    <t>BD_AU13135</t>
  </si>
  <si>
    <t>JORDAN NEEDLE BAYON SHAPE STR SHAFT FINE</t>
  </si>
  <si>
    <t>PRODIGO1056184</t>
  </si>
  <si>
    <t>42142504  Biopsy needles</t>
  </si>
  <si>
    <t>JORDAN NEEDLES BAYONET-SHAPED. STRAIGHT SHAFT. OVERALL LENGTH 6-1/2IN (16.5CM). FINE SHAFT.</t>
  </si>
  <si>
    <t>NEEDLE, BIOPSY, JORDAN, 6.5 IN, STRAIGHT SHAFT, FINE, BAYONET SHAPED, NON STERILE, LATEX</t>
  </si>
  <si>
    <t>NEEDLE, BX, JORDAN, 6.5 IN, STR SHFT, FN, BAYNT SHP, NS, LTX</t>
  </si>
  <si>
    <t>STRAIGHT SHAFT, FINE, BAYONET SHAPED</t>
  </si>
  <si>
    <t>https://www.bd.com/en-us/products-and-solutions/products/product-page.au13135#overview, https://accessgudid.nlm.nih.gov/devices/10885403010293</t>
  </si>
  <si>
    <t>AU13130</t>
  </si>
  <si>
    <t>BD_AU13130</t>
  </si>
  <si>
    <t>JORDAN NEEDLE BAYON SHAPE STR SHAFT HVY</t>
  </si>
  <si>
    <t>PRODIGO1056183</t>
  </si>
  <si>
    <t>JORDAN NEEDLES BAYONET-SHAPED. STRAIGHT SHAFT. OVERALL LENGTH 6-1/2IN (16.5CM). HEAVY SHAFT.</t>
  </si>
  <si>
    <t>NEEDLE, BIOPSY, JORDAN, 6.5 IN, STRAIGHT SHAFT, HEAVY, BAYONET SHAPED, NON STERILE, LATEX</t>
  </si>
  <si>
    <t>NEEDLE, BX, JORDAN, 6.5 IN, STR SHFT, HVY, BAYNT SHP, NS, LTX</t>
  </si>
  <si>
    <t>STRAIGHT SHAFT, HEAVY, BAYONET SHAPED</t>
  </si>
  <si>
    <t>https://www.bd.com/en-us/products-and-solutions/products/product-page.au13130#overview, https://accessgudid.nlm.nih.gov/devices/10885403010286</t>
  </si>
  <si>
    <t>AU11380</t>
  </si>
  <si>
    <t>BD_AU11380</t>
  </si>
  <si>
    <t>JUERS-LEMPERT RONG FORCEP STR JAW</t>
  </si>
  <si>
    <t>PRODIGO1056134</t>
  </si>
  <si>
    <t>JUERS-LEMPERT RONGEUR FORCEPS STRAIGHT JAWS 2.5MM. CURVED ON HANDLE. OVERALL LENGTH 7-1/4IN (18.4CM)</t>
  </si>
  <si>
    <t>FORCEP, SURGICAL, JUERS-LEMPERT, 7.25 IN, 2.5 MM, RONGEUR, STRAIGHT JAWS, CURVED ON HANDLE, NON STERILE, LATEX</t>
  </si>
  <si>
    <t>FORCEP, SURG, JUERS-LEMPERT, 7.25 IN, 2.5 MM, RONGEUR, STR JAWS, CRV ON HNDL, NS, LTX</t>
  </si>
  <si>
    <t>FORCEP, SURG, JUERS-LEMPERT, 7.25 IN, 2.5 MM, RONGEUR, STR JAWS</t>
  </si>
  <si>
    <t>JUERS-LEMPERT</t>
  </si>
  <si>
    <t>RONGEUR, STRAIGHT JAWS, CURVED ON HANDLE</t>
  </si>
  <si>
    <t>https://www.bd.com/en-us/products-and-solutions/products/product-page.AU11380#overview, https://accessgudid.nlm.nih.gov/devices/10885403009556</t>
  </si>
  <si>
    <t>BE2471</t>
  </si>
  <si>
    <t>BD_BE2471</t>
  </si>
  <si>
    <t>KAHLER BRONCHIAL GRASP FORCEPS JAW 2MM</t>
  </si>
  <si>
    <t>PRODIGO1056400</t>
  </si>
  <si>
    <t>KAHLER BRONCHIAL GRASPING FORCEPS ALLIGATOR STYLE. JAW 2MM WIDE. PASS DIAMETER 5MM. WORKING LENGTH 19-5/8IN (50CM).</t>
  </si>
  <si>
    <t>FORCEP, SURGICAL, KAHLER, 19-5/8 IN, 2 MM, BRONCHIAL, GRASPING, ALLIGATOR STYLE, NON STERILE, LATEX</t>
  </si>
  <si>
    <t>FORCEP, SURG, KAHLER, 19-5/8 IN, 2 MM, BRONCH, GRASPING, ALLIGATOR STYL, NS, LTX</t>
  </si>
  <si>
    <t>FORCEP, SURG, KAHLER, 19-5/8 IN, 2 MM, GRASPING, ALLIGATOR STYL</t>
  </si>
  <si>
    <t>KAHLER</t>
  </si>
  <si>
    <t>19-5/8 IN</t>
  </si>
  <si>
    <t>GRASPING, ALLIGATOR STYLE</t>
  </si>
  <si>
    <t>https://www.bd.com/en-us/products-and-solutions/products/product-page.be2471#overview, https://accessgudid.nlm.nih.gov/devices/10885403015175</t>
  </si>
  <si>
    <t>CH5197</t>
  </si>
  <si>
    <t>BD_CH5197</t>
  </si>
  <si>
    <t>KANTROWITZ FORCEPS ANGLE JAWS 12IN</t>
  </si>
  <si>
    <t>PRODIGO1056863</t>
  </si>
  <si>
    <t>Kantrowitz dressing forceps Curved serrated tips Angled jaws Overall length 12in</t>
  </si>
  <si>
    <t>FORCEP, SURGICAL, KANTROWITZ, 12 IN, DRESSING, CURVED, SERRATED TIP, ANGLED JAW, NON STERILE, LATEX</t>
  </si>
  <si>
    <t>FORCEP, SURG, KANTROWITZ, 12 IN, DRSG, CRV, SERRATED TIP, ANGLED JAW, NS, LTX</t>
  </si>
  <si>
    <t>FORCEP, SURG, KANTROWITZ, 12 IN, DRSG, CRV, SERRATED TIP, ANGLED</t>
  </si>
  <si>
    <t>KANTROWITZ</t>
  </si>
  <si>
    <t>DRESSING, CURVED, SERRATED TIP, ANGLED JAW</t>
  </si>
  <si>
    <t>https://www.bd.com/en-us/products-and-solutions/products/product-page.CH5197#specifications, https://accessgudid.nlm.nih.gov/devices/10885403027703</t>
  </si>
  <si>
    <t>CH5199</t>
  </si>
  <si>
    <t>BD_CH5199</t>
  </si>
  <si>
    <t>KANTROWITZ FORCEPS ANGLE JAWS 14IN</t>
  </si>
  <si>
    <t>PRODIGO1056864</t>
  </si>
  <si>
    <t>Kantrowitz dressing forceps Curved serrated tips Angled jaws Overall length 14in</t>
  </si>
  <si>
    <t>FORCEP, SURGICAL, KANTROWITZ, 14 IN, DRESSING, CURVED, SERRATED TIP, ANGLED JAW, NON STERILE, LATEX</t>
  </si>
  <si>
    <t>FORCEP, SURG, KANTROWITZ, 14 IN, DRSG, CRV, SERRATED TIP, ANGLED JAW, NS, LTX</t>
  </si>
  <si>
    <t>FORCEP, SURG, KANTROWITZ, 14 IN, DRSG, CRV, SERRATED TIP, ANGLED</t>
  </si>
  <si>
    <t>https://www.bd.com/en-us/products-and-solutions/products/product-page.CH5199#specifications, https://accessgudid.nlm.nih.gov/devices/10885403027710</t>
  </si>
  <si>
    <t>CA1721001</t>
  </si>
  <si>
    <t>CA1721-001</t>
  </si>
  <si>
    <t>BD_CA1721001</t>
  </si>
  <si>
    <t>KANTROWITZ THORACIC CLAMP DEL 6-1/4IN</t>
  </si>
  <si>
    <t>PRODIGO1056450</t>
  </si>
  <si>
    <t>Kantrowitz Thoracic Clamp Affinity Line. Delicate. Overall length 6-1/4in (15.9cm)</t>
  </si>
  <si>
    <t>CLAMP, SURGICAL, KANTROWITZ, 6.25 IN, THORACIC, DELICATE, AFFINITY LINE, NON STERILE, LATEX</t>
  </si>
  <si>
    <t>CLAMP, SURG, KANTROWITZ, 6.25 IN, THOR, DEL, AFFIN LN, NS, LTX</t>
  </si>
  <si>
    <t>DELICATE, AFFINITY LINE</t>
  </si>
  <si>
    <t>https://www.bd.com/en-us/products-and-solutions/products/product-page.CA1721-001#overview, https://accessgudid.nlm.nih.gov/devices/10885403018138</t>
  </si>
  <si>
    <t>CH1721001</t>
  </si>
  <si>
    <t>CH1721-001</t>
  </si>
  <si>
    <t>BD_CH1721001</t>
  </si>
  <si>
    <t>KANTROWITZ THORACIC CLAMP DEL RT ANG JAW</t>
  </si>
  <si>
    <t>PRODIGO1056736</t>
  </si>
  <si>
    <t>KANTROWITZ Thoracic Clamps</t>
  </si>
  <si>
    <t>CLAMP, SURGICAL, KANTROWITZ, 6 IN, THORACIC, RIGHT ANGLED JAW, LONG HANDLE, SLENDER, DELICATE, NON STERILE, LATEX</t>
  </si>
  <si>
    <t>CLAMP, SURG, KANTROWITZ, 6 IN, THOR, RT ANGLED JAW, LNG HNDL, SLENDER, DEL, NS, LTX</t>
  </si>
  <si>
    <t>CLAMP, SURG, KANTROWITZ, 6 IN, THOR, RT ANGLED JAW, LNG HNDL, DEL</t>
  </si>
  <si>
    <t>RIGHT ANGLED JAW, LONG HANDLE, SLENDER, DELICATE</t>
  </si>
  <si>
    <t>http://www.lt-technologies.de/_ws/mediabase/_ts_1494230442000/Downloads/CardioCatalog_LIT12012_low-res.pdf, https://accessgudid.nlm.nih.gov/devices/10885403024269</t>
  </si>
  <si>
    <t>CA1722</t>
  </si>
  <si>
    <t>BD_CA1722</t>
  </si>
  <si>
    <t>KANTROWITZ THORACIC CLAMP OVERLGTH 9-3/4</t>
  </si>
  <si>
    <t>PRODIGO1056451</t>
  </si>
  <si>
    <t>Kantrowitz Thoracic Clamp Affinity Line. Overall length 9-3/4in (24.8cm)</t>
  </si>
  <si>
    <t>CLAMP, SURGICAL, KANTROWITZ, 9.75 IN, THORACIC, AFFINITY LINE, NON STERILE, LATEX</t>
  </si>
  <si>
    <t>CLAMP, SURG, KANTROWITZ, 9.75 IN, THOR, AFFIN LN, NS, LTX</t>
  </si>
  <si>
    <t>https://www.bd.com/en-us/products-and-solutions/products/product-page.CA1722#overview, https://accessgudid.nlm.nih.gov/devices/10885403018145</t>
  </si>
  <si>
    <t>CA1721</t>
  </si>
  <si>
    <t>BD_CA1721</t>
  </si>
  <si>
    <t>KANTROWITZ THORACIC CLAMP RIGHT-ANG SERR</t>
  </si>
  <si>
    <t>PRODIGO1056449</t>
  </si>
  <si>
    <t>Kantrowitz Thoracic Clamp Affinity Line. Overall length 7-1/2in (19.1cm)</t>
  </si>
  <si>
    <t>CLAMP, SURGICAL, KANTROWITZ, 7.5 IN, THORACIC, RIGHT ANGLE, SERRATED, AFFINITY LINE, NON STERILE, LATEX</t>
  </si>
  <si>
    <t>CLAMP, SURG, KANTROWITZ, 7.5 IN, THOR, RT ANGLE, SERRATED, AFFIN LN, NS, LTX</t>
  </si>
  <si>
    <t>CLAMP, SURG, KANTROWITZ, 7.5 IN, THOR, RT ANGLE, SERRATED, AFFIN LN</t>
  </si>
  <si>
    <t>RIGHT ANGLE, SERRATED, AFFINITY LINE</t>
  </si>
  <si>
    <t>https://www.bd.com/en-us/products-and-solutions/products/product-page.CA1721#overview, https://accessgudid.nlm.nih.gov/devices/10885403018121</t>
  </si>
  <si>
    <t>CH1723</t>
  </si>
  <si>
    <t>BD_CH1723</t>
  </si>
  <si>
    <t>KANTROWITZ THORACIC CLAMP RT ANGLE JAW</t>
  </si>
  <si>
    <t>PRODIGO1056737</t>
  </si>
  <si>
    <t>CLAMP, SURGICAL, KANTROWITZ, 10.75 IN, THORACIC, RIGHT ANGLED JAW, LONG HANDLE, SLENDER, DELICATE, NON STERILE, LATEX</t>
  </si>
  <si>
    <t>CLAMP, SURG, KANTROWITZ, 10.75 IN, THOR, RT ANGLED JAW, LNG HNDL, SLENDER, DEL, NS, LTX</t>
  </si>
  <si>
    <t>CLAMP, SURG, KANTROWITZ, 10.75 IN, THOR, RT ANGLED, LNG HNDL, DEL</t>
  </si>
  <si>
    <t>http://www.lt-technologies.de/_ws/mediabase/_ts_1494230442000/Downloads/CardioCatalog_LIT12012_low-res.pdf, https://accessgudid.nlm.nih.gov/devices/10885403024283</t>
  </si>
  <si>
    <t>CA1723</t>
  </si>
  <si>
    <t>BD_CA1723</t>
  </si>
  <si>
    <t>KANTROWITZ THORACIC CLMP OVERLGTH 10-3/4</t>
  </si>
  <si>
    <t>PRODIGO1056452</t>
  </si>
  <si>
    <t>CLAMP, SURGICAL, KANTROWITZ, 7.5 IN, THORACIC, AFFINITY LINE, NON STERILE, LATEX</t>
  </si>
  <si>
    <t>CLAMP, SURG, KANTROWITZ, 7.5 IN, THOR, AFFIN LN, NS, LTX</t>
  </si>
  <si>
    <t>https://www.bd.com/en-us/products-and-solutions/products/product-page.CA1723#overview, https://accessgudid.nlm.nih.gov/devices/10885403018152</t>
  </si>
  <si>
    <t>LAT0536KLY</t>
  </si>
  <si>
    <t>LAT-0536-KLY</t>
  </si>
  <si>
    <t>BD_LAT0536KLY</t>
  </si>
  <si>
    <t>KELLY GRASPER D/A INSERT 5MM 36CM</t>
  </si>
  <si>
    <t>PRODIGO1057796</t>
  </si>
  <si>
    <t>KELLY DISSECTOR INSERT 5MM 36CM</t>
  </si>
  <si>
    <t>DISSECTOR, ENDOSCOPIC, KELLY, 5 MMX36 CM, DOUBLE ACTION, ELECTROSURGICAL, INSULATED HANDLE, INSULATED SHAFT, NON STERILE, LATEX</t>
  </si>
  <si>
    <t>DISSECTOR ENDOSCOPIC KELLY 5 MMX36 CM DOUBLE ACTION ELECTROSURGICAL INSULATED HANDLE INSULATED SHAFT NON STERILE LATEX</t>
  </si>
  <si>
    <t>DISSECTOR, ENDOSCP, KEL, 5 MMX36 CM, DBL ACT, ELECSURG, INSUL HNDL, INSUL SHFT, NS, LTX</t>
  </si>
  <si>
    <t>DISSECTOR, ENDOSCP, KEL, 5 MMX36 CM, DBL ACT, ELECSURG, INSUL HNDL</t>
  </si>
  <si>
    <t>KELLY</t>
  </si>
  <si>
    <t>DOUBLE ACTION, ELECTROSURGICAL, INSULATED HANDLE, INSULATED SHAFT</t>
  </si>
  <si>
    <t>https://www.bd.com/en-us/products-and-solutions/products/product-print-page.lat-0536-kly</t>
  </si>
  <si>
    <t>GL5800</t>
  </si>
  <si>
    <t>BD_GL5800</t>
  </si>
  <si>
    <t>KELLY PLACENTA FORCEPS CVD 12-1/2IN</t>
  </si>
  <si>
    <t>PRODIGO1057525</t>
  </si>
  <si>
    <t>Kelly placenta forceps Curved serrated fenestrated jaw. Overall length 12-1/2in (32cm).</t>
  </si>
  <si>
    <t>FORCEP, SURGICAL, KELLY, 12.5 IN, PLACENTA, CURVED, SERRATED, FENESTRATED JAW, NON STERILE, LATEX</t>
  </si>
  <si>
    <t>FORCEP, SURG, KEL, 12.5 IN, PLCNTA, CRV, SERRATED, FEN JAW, NS, LTX</t>
  </si>
  <si>
    <t>CURVED, SERRATED, FENESTRATED JAW</t>
  </si>
  <si>
    <t>https://www.bd.com/en-us/products-and-solutions/products/product-page.GL5800#overview, https://accessgudid.nlm.nih.gov/devices/10885403046988</t>
  </si>
  <si>
    <t>GL1701</t>
  </si>
  <si>
    <t>BD_GL1701</t>
  </si>
  <si>
    <t>KELLY-GRAY UTERINE CURETTE SZ 1 9-1/2IN</t>
  </si>
  <si>
    <t>PRODIGO1057396</t>
  </si>
  <si>
    <t>Kelly-Gray uterine curettes Serrated cutting edge. Overall length 9-1/2in (24.1cm). Size 1.</t>
  </si>
  <si>
    <t>CURETTE, SURGICAL, KELLY-GRAY, 1, 9.5 IN, UTERINE, SERRATED CUTTING EDGE, SATIN FINISH, STAINLESS STEEL, NON STERILE, LATEX</t>
  </si>
  <si>
    <t>CURETTE, SURG, KELLY-GRAY, 1, 9.5 IN, UTER, SERRATED CUT EDGE, SATIN FINISH, SS, NS, LTX</t>
  </si>
  <si>
    <t>CURETTE, SURG, KELLY-GRAY, 1, 9.5 IN, UTER, SERRATED CUT EDGE</t>
  </si>
  <si>
    <t>KELLY-GRAY</t>
  </si>
  <si>
    <t>SERRATED CUTTING EDGE, SATIN FINISH</t>
  </si>
  <si>
    <t>https://www.bd.com/en-us/products-and-solutions/products/product-page.GL1701#overview, https://accessgudid.nlm.nih.gov/devices/10885403044823</t>
  </si>
  <si>
    <t>GL1702</t>
  </si>
  <si>
    <t>BD_GL1702</t>
  </si>
  <si>
    <t>KELLY-GRAY UTERINE CURETTE SZ 2 9-1/2IN</t>
  </si>
  <si>
    <t>PRODIGO1057397</t>
  </si>
  <si>
    <t>Kelly-Gray uterine curettes Serrated cutting edge. Overall length 9-1/2in (24.1cm). Size 2.</t>
  </si>
  <si>
    <t>CURETTE, SURGICAL, KELLY GRAY, 2, 9.5 IN, UTERINE, SERRATED CUTTING EDGE, SATIN FINISH, STAINLESS STEEL, NON STERILE, LATEX</t>
  </si>
  <si>
    <t>CURETTE, SURG, KEL GRY, 2, 9.5 IN, UTER, SERRATED CUT EDGE, SATIN FINISH, SS, NS, LTX</t>
  </si>
  <si>
    <t>CURETTE, SURG, KEL GRY, 2, 9.5 IN, SERRATED CUT EDGE, SATIN FINISH</t>
  </si>
  <si>
    <t>KELLY GRAY</t>
  </si>
  <si>
    <t>https://www.bd.com/en-us/products-and-solutions/products/product-page.GL1702#overview, https://accessgudid.nlm.nih.gov/devices/10885403044830</t>
  </si>
  <si>
    <t>AU6770</t>
  </si>
  <si>
    <t>BD_AU6770</t>
  </si>
  <si>
    <t>KERRISON RONGEUR FORCEPS SMALL 4IN</t>
  </si>
  <si>
    <t>PRODIGO1056376</t>
  </si>
  <si>
    <t>KERRISON RONGEUR FORCEPS WORKING LENGTH 4IN (10.2CM). SMALL SIZE 1. JAWS 4.1MM WIDE.</t>
  </si>
  <si>
    <t>FORCEP, SURGICAL, KERRISON, 1, SMALL, 4 IN, 4.1 MM, RONGEUR, SPRING HANDLE, NON STERILE, LATEX</t>
  </si>
  <si>
    <t>FORCEP, SURG, KERRISON, 1, SM, 4 IN, 4.1 MM, RONGEUR, SPRING HNDL, NS, LTX</t>
  </si>
  <si>
    <t>FORCEP, SURG, KERRISON, 1, SM, 4 IN, 4.1 MM, RONGEUR, SPRING HNDL, NS</t>
  </si>
  <si>
    <t>1, SMALL</t>
  </si>
  <si>
    <t>4.1 MM</t>
  </si>
  <si>
    <t>RONGEUR, SPRING HANDLE</t>
  </si>
  <si>
    <t>https://www.bd.com/en-us/products-and-solutions/products/product-page.au6770#overview, https://accessgudid.nlm.nih.gov/devices/10885403009150</t>
  </si>
  <si>
    <t>AU6769</t>
  </si>
  <si>
    <t>BD_AU6769</t>
  </si>
  <si>
    <t>KERRISON RONGEUR X-SM SZ 0 JAW 3.6MM 4IN</t>
  </si>
  <si>
    <t>PRODIGO1056375</t>
  </si>
  <si>
    <t>KERRISON RONGEUR FORCEPS WORKING LENGTH 4IN (10.2CM). EXTRA-SMALL SIZE 0. JAWS 3.6MM WIDE.</t>
  </si>
  <si>
    <t>FORCEP, SURGICAL, KERRISON, 0, XSMALL, 4 IN, 3.6 MM, RONGEUR, SATIN FINISH, SPRING HANDLE, STAINLESS STEEL, NON STERILE, LATEX</t>
  </si>
  <si>
    <t>FORCEP, SURG, KERRISON, 0, XS, 4 IN, 3.6 MM, RONGEUR, SATIN FINISH, SPRING HNDL, SS, NS, LTX</t>
  </si>
  <si>
    <t>FORCEP, SURG, KERRISON, 0, XS, 4 IN, 3.6 MM, RONGEUR, SATIN FINISH</t>
  </si>
  <si>
    <t>0, XSMALL</t>
  </si>
  <si>
    <t>RONGEUR, SATIN FINISH, SPRING HANDLE</t>
  </si>
  <si>
    <t>https://www.bd.com/en-us/products-and-solutions/products/product-page.AU6769#overview, https://accessgudid.nlm.nih.gov/devices/10885403009143</t>
  </si>
  <si>
    <t>GA1775</t>
  </si>
  <si>
    <t>BD_GA1775</t>
  </si>
  <si>
    <t>KEVORKIAN-YOUNGE ENDOCERV BIOPSY CURETTE</t>
  </si>
  <si>
    <t>PRODIGO1057325</t>
  </si>
  <si>
    <t>Kevorkian-Younge Endocervical Biopsy Curette Affinity Line. Overall length 12in (30.5cm).</t>
  </si>
  <si>
    <t>CURETTE, SURGICAL, KEVORKIAN-YOUNGE, 12 IN, ENDOCERVICAL, BIOPSY, AFFINITY LINE, NON STERILE, LATEX</t>
  </si>
  <si>
    <t>CURETTE, SURG, KEVORKIAN-YOUNGE, 12 IN, ENDOCERV, BX, AFFIN LN, NS, LTX</t>
  </si>
  <si>
    <t>CURETTE, SURG, KEVORKIAN-YOUNGE, 12 IN, ENDOCERV, BX, AFFIN LN, NS</t>
  </si>
  <si>
    <t>KEVORKIAN-YOUNGE</t>
  </si>
  <si>
    <t>ENDOCERVICAL, BIOPSY, AFFINITY LINE</t>
  </si>
  <si>
    <t>https://www.bd.com/en-us/products-and-solutions/products/product-page.GA1775#overview, https://accessgudid.nlm.nih.gov/devices/10885403042485</t>
  </si>
  <si>
    <t>F23109</t>
  </si>
  <si>
    <t>F231.09</t>
  </si>
  <si>
    <t>BD_F23109</t>
  </si>
  <si>
    <t>KLEPPINGER BIPOLAR FORCEPS 32CM W/O TONG</t>
  </si>
  <si>
    <t>PRODIGO1057303</t>
  </si>
  <si>
    <t>42295143  Electrosurgical or electrocautery accessories or attachments</t>
  </si>
  <si>
    <t>Kleppinger bipolar forceps 32</t>
  </si>
  <si>
    <t>FORCEP, ELECTROSURGICAL, KLEPPINGER, 32 CM, BIPOLAR, SYRINGE STYLE HANDLE, WITHOUT TONG, UNINSULATED, NO ROTATION, NON RATCHETED, STAINLESS STEEL, NON STERILE, LATEX</t>
  </si>
  <si>
    <t>FORCEP, ELECSURG, KLEPPINGER, 32 CM, BPLR, SYR STYL HNDL, W/O TONG, UNINSULATED, NO ROT, N RATCHETED, SS, NS, LTX</t>
  </si>
  <si>
    <t>FORCEP, ELECSURG, KLEPPINGER, 32 CM, BPLR, SYR STYL, W/O TONG, SS</t>
  </si>
  <si>
    <t>KLEPPINGER</t>
  </si>
  <si>
    <t>32 CM</t>
  </si>
  <si>
    <t>BIPOLAR, SYRINGE STYLE HANDLE, WITHOUT TONG, UNINSULATED, NO ROTATION, NON RATCHETED</t>
  </si>
  <si>
    <t>https://www.bd.com/en-us/products-and-solutions/products/product-print-page.ftr401, https://accessgudid.nlm.nih.gov/devices/10885403037535</t>
  </si>
  <si>
    <t>F23108</t>
  </si>
  <si>
    <t>F231.08</t>
  </si>
  <si>
    <t>BD_F23108</t>
  </si>
  <si>
    <t>KLEPPINGER BIPOLAR FORCEPS 45CM W/O TONG</t>
  </si>
  <si>
    <t>PRODIGO1057302</t>
  </si>
  <si>
    <t>Kleppinger bipolar forceps 45</t>
  </si>
  <si>
    <t>FORCEP, ELECTROSURGICAL, KLEPPINGER, 45 CM, BIPOLAR, SYRINGE STYLE HANDLE, WITHOUT TONG, UNINSULATED, NO ROTATION, NON RATCHETED, STAINLESS STEEL, NON STERILE, LATEX</t>
  </si>
  <si>
    <t>FORCEP, ELECSURG, KLEPPINGER, 45 CM, BPLR, SYR STYL HNDL, W/O TONG, UNINSULATED, NO ROT, N RATCHETED, SS, NS, LTX</t>
  </si>
  <si>
    <t>FORCEP, ELECSURG, KLEPPINGER, 45 CM, BPLR, SYR STYL, W/O TONG, SS</t>
  </si>
  <si>
    <t>45 CM</t>
  </si>
  <si>
    <t>https://www.bd.com/en-us/products-and-solutions/products/product-page.F231.08, https://accessgudid.nlm.nih.gov/devices/10885403037528</t>
  </si>
  <si>
    <t>CH860</t>
  </si>
  <si>
    <t>BD_CH860</t>
  </si>
  <si>
    <t>KRASKY RETR CVD BLADE 5.1X2.5CM W/6 SHRP</t>
  </si>
  <si>
    <t>PRODIGO1057251</t>
  </si>
  <si>
    <t>Krasky retractor</t>
  </si>
  <si>
    <t>RETRACTOR, SURGICAL, KRASKY, 11 IN, 5.1X2.5 CM, CURVED BLADE, WITH 6 SHARP PRONG, NON STERILE, LATEX</t>
  </si>
  <si>
    <t>RETRACTOR, SURG, KRASKY, 11 IN, 5.1X2.5 CM, CRV BLADE, W/ 6 SHRP PRNG, NS, LTX</t>
  </si>
  <si>
    <t>RETRACTOR, SURG, KRASKY, 11 IN, 5.1X2.5 CM, CRV BLADE, 6 SHRP PRNG</t>
  </si>
  <si>
    <t>KRASKY</t>
  </si>
  <si>
    <t>5.1X2.5 CM</t>
  </si>
  <si>
    <t>CURVED BLADE, WITH 6 SHARP PRONG</t>
  </si>
  <si>
    <t>https://www.hces.com.sg/wp-content/uploads/2021/04/Cardiovascular-Pages-from-vmueller-snowdenpencer-armamentarium-catalogue-4.pdf, https://accessgudid.nlm.nih.gov/devices/10885403022968</t>
  </si>
  <si>
    <t>GL495</t>
  </si>
  <si>
    <t>BD_GL495</t>
  </si>
  <si>
    <t>LATERAL VAGINAL RETRACTOR 11"</t>
  </si>
  <si>
    <t>PRODIGO1057511</t>
  </si>
  <si>
    <t>Lateral vaginal retractor Blades fir inside a vaginal speculum. Ratchet handle. Sklar Blue RF Coated for electrosurgery. Overall length 11in (28cm).</t>
  </si>
  <si>
    <t>SPECULA, VAGINAL, 11 IN, LATERAL, RATCHET HANDLE, SKLAR BLUE RF COATED FOR ELECTROSURGERY, NON STERILE, LATEX</t>
  </si>
  <si>
    <t>SPECULA, VAG, 11 IN, LAT, RATCH HNDL, SKLAR BLU RF COAT FOR ELECSURG, NS, LTX</t>
  </si>
  <si>
    <t>SPECULA, VAG, 11 IN, LAT, RATCH HNDL, SKLAR BLU RF COAT</t>
  </si>
  <si>
    <t>LATERAL</t>
  </si>
  <si>
    <t>RATCHET HANDLE, SKLAR BLUE RF COATED FOR ELECTROSURGERY</t>
  </si>
  <si>
    <t>https://www.bd.com/en-us/products-and-solutions/products/product-page.GL495#overview, https://accessgudid.nlm.nih.gov/devices/10885403083532</t>
  </si>
  <si>
    <t>GL446</t>
  </si>
  <si>
    <t>BD_GL446</t>
  </si>
  <si>
    <t>LATERAL WALL RETRBLDE LGTH 2-1/2IN 64MM</t>
  </si>
  <si>
    <t>PRODIGO1057499</t>
  </si>
  <si>
    <t>Lateral wall retractor For use inside vaginal speculum. Closed shanks. Blade length 2-1/2in (6.4cm).</t>
  </si>
  <si>
    <t>RETRACTOR, SURGICAL, WALL, 2.5 IN, LATERAL, CLOSED SHANK, WITH BLADE, RING HANDLE, FOR INNER VAGINAL SPECULUM, STAINLESS STEEL</t>
  </si>
  <si>
    <t>RETRACTOR, SURG, WALL, 2.5 IN, LAT, CLOSED SHANK, W/ BLADE, RNG HNDL, FOR INNR VAG SPECLM, SS</t>
  </si>
  <si>
    <t>RETRACTOR, SURG, WALL, 2.5 IN, LAT, CLOSED SHANK, BLADE, RNG HNDL</t>
  </si>
  <si>
    <t>WALL</t>
  </si>
  <si>
    <t>CLOSED SHANK, WITH BLADE, RING HANDLE, FOR INNER VAGINAL SPECULUM</t>
  </si>
  <si>
    <t>https://www.bd.com/en-us/offerings/capabilities/surgical-instruments/open-instrumentation/lateral-wall-retractor/gl446</t>
  </si>
  <si>
    <t>GU8150</t>
  </si>
  <si>
    <t>BD_GU8150</t>
  </si>
  <si>
    <t>LEADER VAS ISOLATION FORCEPS BALL TIPS</t>
  </si>
  <si>
    <t>PRODIGO1057615</t>
  </si>
  <si>
    <t>Leader vas isolation forceps Useful in fixation for anesthesia. Ball tips. Overall length 5-1/4in (13.3cm).</t>
  </si>
  <si>
    <t>FORCEP, SURGICAL, LEADER VAS, 5.25 IN, DOUBLE ACTION, ISOLATION, BALL TIP, RING HANDLE, RATCHET, MATTE FINISH, FOR UROLOGY FIXATION ANAESTHESIA, STAINLESS STEEL, NON STERILE, LATEX</t>
  </si>
  <si>
    <t>FORCEP, SURG, LEADER VAS, 5.25 IN, DBL ACT, ISOLATN, BALL TIP, RNG HNDL, RATCH, MATTE FINISH, FOR UROLOGY FIX ANAESTHESIA, SS, NS, LTX</t>
  </si>
  <si>
    <t>FORCEP, SURG, LEADER VAS, 5.25 IN, DBL ACT, ISOLATN, RNG HNDL</t>
  </si>
  <si>
    <t>LEADER VAS</t>
  </si>
  <si>
    <t>DOUBLE ACTION, ISOLATION, BALL TIP, RING HANDLE, RATCHET, MATTE FINISH, FOR UROLOGY FIXATION ANAESTHESIA</t>
  </si>
  <si>
    <t>https://www.bd.com/en-us/offerings/capabilities/surgical-instruments/open-instrumentation/leader-vas-isolation-forceps/gu8150, https://accessgudid.nlm.nih.gov/devices/10885403050176</t>
  </si>
  <si>
    <t>CH8680001</t>
  </si>
  <si>
    <t>CH8680-001</t>
  </si>
  <si>
    <t>BD_CH8680001</t>
  </si>
  <si>
    <t>LEATHER VALVULOTOME RETROGRADE 13IN</t>
  </si>
  <si>
    <t>PRODIGO1057265</t>
  </si>
  <si>
    <t>42203409  Angioscopic valvulotomes</t>
  </si>
  <si>
    <t>LEATHER (Modified MILLS) Retrograde Valvulotomes 13IN</t>
  </si>
  <si>
    <t>VALVULOTOME, ANGIOSCOPIC, LEATHER, 2.9 MM TIP, 13 IN, RETROGRADE, BLADE ON INSIDE EDGE, MIRROR FINISH, NON STERILE, LATEX</t>
  </si>
  <si>
    <t>VALVULOTOME, ANGIOSCOPIC, LTHR, 2.9 MM TIP, 13 IN, RETROGRADE, BLADE ON INSIDE EDGE, MIRROR FINISH, NS, LTX</t>
  </si>
  <si>
    <t>VALVULOTOME, ANGIOSCOPIC, LTHR, 2.9 MM TIP, 13 IN, RETROGRADE, NS</t>
  </si>
  <si>
    <t>VALVULOTOME</t>
  </si>
  <si>
    <t>ANGIOSCOPIC</t>
  </si>
  <si>
    <t>LEATHER</t>
  </si>
  <si>
    <t>2.9 MM TIP</t>
  </si>
  <si>
    <t>RETROGRADE, BLADE ON INSIDE EDGE, MIRROR FINISH</t>
  </si>
  <si>
    <t>https://www.hces.com.sg/wp-content/uploads/2021/04/Cardiovascular-Pages-from-vmueller-snowdenpencer-armamentarium-catalogue-4.pdf, https://accessgudid.nlm.nih.gov/devices/10885403035579</t>
  </si>
  <si>
    <t>CH8675</t>
  </si>
  <si>
    <t>BD_CH8675</t>
  </si>
  <si>
    <t>LEATHER-KARMODY SCISSORS IN-SITU VALVE</t>
  </si>
  <si>
    <t>PRODIGO1057263</t>
  </si>
  <si>
    <t>LEATHER KARMODY In Situ Valve Scissors 6-3/4in (17.2cm)</t>
  </si>
  <si>
    <t>SCISSOR, SURGICAL, LEATHER KARMODY, 6.75 IN, IN SITU VALVE, BLUNT TIP, SERRATED BLADE. ALLIGATOR STYLE, NON STERILE, LATEX</t>
  </si>
  <si>
    <t>SCISSOR, SURG, LTHR KARMODY, 6.75 IN, IN SITU VLV, BLNT TIP, SERRATED BLADE. ALLIGATOR STYL, NS, LTX</t>
  </si>
  <si>
    <t>SCISSOR, SURG, LTHR KARMODY, 6.75 IN, IN SITU VLV, BLNT, ALLIGATOR</t>
  </si>
  <si>
    <t>LEATHER KARMODY</t>
  </si>
  <si>
    <t>IN SITU VALVE, BLUNT TIP, SERRATED BLADE. ALLIGATOR STYLE</t>
  </si>
  <si>
    <t>https://www.hces.com.sg/wp-content/uploads/2021/04/Cardiovascular-Pages-from-vmueller-snowdenpencer-armamentarium-catalogue-4.pdf, https://accessgudid.nlm.nih.gov/devices/10885403035524</t>
  </si>
  <si>
    <t>CH680</t>
  </si>
  <si>
    <t>BD_CH680</t>
  </si>
  <si>
    <t>LEBSCHE STERNUM KNIFE OVER LGTH 10IN</t>
  </si>
  <si>
    <t>PRODIGO1057084</t>
  </si>
  <si>
    <t>LEBSCHE Sternum Knife Overall length
10in (25.4cm).</t>
  </si>
  <si>
    <t>KNIVE, SURGICAL, LEBSCHE STERNUM, 10 IN, NON STERILE, LATEX</t>
  </si>
  <si>
    <t>KNIVE, SURG, LEBSCHE STRNM, 10 IN, NS, LTX</t>
  </si>
  <si>
    <t>KNIVE</t>
  </si>
  <si>
    <t>LEBSCHE STERNUM</t>
  </si>
  <si>
    <t>http://www.lt-technologies.de/_ws/mediabase/_ts_1494230442000/Downloads/CardioCatalog_LIT12012_low-res.pdf, https://accessgudid.nlm.nih.gov/devices/10885403022852</t>
  </si>
  <si>
    <t>GU4050010</t>
  </si>
  <si>
    <t>GU4050-010</t>
  </si>
  <si>
    <t>BD_GU4050010</t>
  </si>
  <si>
    <t>LEFORT URETHRAL SOUND 10FR THREAD 1/56IN</t>
  </si>
  <si>
    <t>PRODIGO1057577</t>
  </si>
  <si>
    <t>Lefort Urethral Sound 10Fr</t>
  </si>
  <si>
    <t>SOUND, URETHRAL, LEFORT, 10 FRX11 IN, 1/56 IN, THREADED FOR STANDARD FILIFORM, MIRROR AND SATIN FINISH, NON STERILE, LATEX</t>
  </si>
  <si>
    <t>SOUND, URETH, LEFORT, 10 FRX11 IN, 1/56 IN, THRD FOR STD FILIFORM, MIRROR &amp; SATIN FINISH, NS, LTX</t>
  </si>
  <si>
    <t>SOUND, URETH, LEFORT, 10 FRX11 IN, 1/56 IN, THRD FOR STD FILIFORM</t>
  </si>
  <si>
    <t>LEFORT</t>
  </si>
  <si>
    <t>10 FRX11 IN</t>
  </si>
  <si>
    <t>1/56 IN</t>
  </si>
  <si>
    <t>THREADED FOR STANDARD FILIFORM, MIRROR AND SATIN FINISH</t>
  </si>
  <si>
    <t>https://www.bd.com/en-us/products-and-solutions/products/product-page.GU4050-010#overview, https://accessgudid.nlm.nih.gov/devices/10885403049415</t>
  </si>
  <si>
    <t>GU4050012</t>
  </si>
  <si>
    <t>GU4050-012</t>
  </si>
  <si>
    <t>BD_GU4050012</t>
  </si>
  <si>
    <t>LEFORT URETHRAL SOUND 12FR THREAD 1/56IN</t>
  </si>
  <si>
    <t>PRODIGO1057578</t>
  </si>
  <si>
    <t>Lefort Urethral Sound 12Fr</t>
  </si>
  <si>
    <t>SOUND, URETHRAL, LEFORT, 12 FRX11 IN, 1/56 IN, THREADED FOR STANDARD FILIFORM, MIRROR AND SATIN FINISH, NON STERILE, LATEX</t>
  </si>
  <si>
    <t>SOUND, URETH, LEFORT, 12 FRX11 IN, 1/56 IN, THRD FOR STD FILIFORM, MIRROR &amp; SATIN FINISH, NS, LTX</t>
  </si>
  <si>
    <t>SOUND, URETH, LEFORT, 12 FRX11 IN, 1/56 IN, THRD FOR STD FILIFORM</t>
  </si>
  <si>
    <t>12 FRX11 IN</t>
  </si>
  <si>
    <t>https://www.bd.com/en-us/offerings/capabilities/surgical-instruments/open-instrumentation/lefort-urethral-sounds/gu4050-012, https://accessgudid.nlm.nih.gov/devices/10885403049422</t>
  </si>
  <si>
    <t>GU4050014</t>
  </si>
  <si>
    <t>GU4050-014</t>
  </si>
  <si>
    <t>BD_GU4050014</t>
  </si>
  <si>
    <t>LEFORT URETHRAL SOUND 14FR THREAD 1/56IN</t>
  </si>
  <si>
    <t>PRODIGO1057579</t>
  </si>
  <si>
    <t>Lefort Urethral Sound 14Fr</t>
  </si>
  <si>
    <t>SOUND, URETHRAL, LEFORT, 14 FRX11 IN, 1/56 IN, THREADED FOR STANDARD FILIFORM, MIRROR AND SATIN FINISH, NON STERILE, LATEX</t>
  </si>
  <si>
    <t>SOUND, URETH, LEFORT, 14 FRX11 IN, 1/56 IN, THRD FOR STD FILIFORM, MIRROR &amp; SATIN FINISH, NS, LTX</t>
  </si>
  <si>
    <t>SOUND, URETH, LEFORT, 14 FRX11 IN, 1/56 IN, THRD FOR STD FILIFORM</t>
  </si>
  <si>
    <t>14 FRX11 IN</t>
  </si>
  <si>
    <t>https://www.bd.com/en-us/offerings/capabilities/surgical-instruments/open-instrumentation/lefort-urethral-sounds/gu4050-014, https://accessgudid.nlm.nih.gov/devices/10885403049439</t>
  </si>
  <si>
    <t>GU4050016</t>
  </si>
  <si>
    <t>GU4050-016</t>
  </si>
  <si>
    <t>BD_GU4050016</t>
  </si>
  <si>
    <t>LEFORT URETHRAL SOUND 16FR THREAD 1/56IN</t>
  </si>
  <si>
    <t>PRODIGO1057580</t>
  </si>
  <si>
    <t>Lefort Urethral Sound 16Fr</t>
  </si>
  <si>
    <t>SOUND, URETHRAL, LEFORT, 16 FRX11 IN, 1/56 IN, THREADED FOR STANDARD FILIFORM, MIRROR AND SATIN FINISH, NON STERILE, LATEX</t>
  </si>
  <si>
    <t>SOUND, URETH, LEFORT, 16 FRX11 IN, 1/56 IN, THRD FOR STD FILIFORM, MIRROR &amp; SATIN FINISH, NS, LTX</t>
  </si>
  <si>
    <t>SOUND, URETH, LEFORT, 16 FRX11 IN, 1/56 IN, THRD FOR STD FILIFORM</t>
  </si>
  <si>
    <t>16 FRX11 IN</t>
  </si>
  <si>
    <t>https://www.bd.com/en-us/products-and-solutions/products/product-page.GU4050-016#overview, https://accessgudid.nlm.nih.gov/devices/10885403049446</t>
  </si>
  <si>
    <t>GU4050018</t>
  </si>
  <si>
    <t>GU4050-018</t>
  </si>
  <si>
    <t>BD_GU4050018</t>
  </si>
  <si>
    <t>LEFORT URETHRAL SOUND 18FR THREAD 1/56IN</t>
  </si>
  <si>
    <t>PRODIGO1057581</t>
  </si>
  <si>
    <t>Lefort Urethral Sound 18Fr</t>
  </si>
  <si>
    <t>SOUND, URETHRAL, LEFORT, 18 FRX11 IN, 1/56 IN, THREADED FOR STANDARD FILIFORM, MIRROR AND SATIN FINISH, NON STERILE, LATEX</t>
  </si>
  <si>
    <t>SOUND, URETH, LEFORT, 18 FRX11 IN, 1/56 IN, THRD FOR STD FILIFORM, MIRROR &amp; SATIN FINISH, NS, LTX</t>
  </si>
  <si>
    <t>SOUND, URETH, LEFORT, 18 FRX11 IN, 1/56 IN, THRD FOR STD FILIFORM</t>
  </si>
  <si>
    <t>18 FRX11 IN</t>
  </si>
  <si>
    <t>https://www.bd.com/en-us/offerings/capabilities/surgical-instruments/open-instrumentation/lefort-urethral-sounds/gu4050-018, https://accessgudid.nlm.nih.gov/devices/10885403049453</t>
  </si>
  <si>
    <t>GU4050020</t>
  </si>
  <si>
    <t>GU4050-020</t>
  </si>
  <si>
    <t>BD_GU4050020</t>
  </si>
  <si>
    <t>LEFORT URETHRAL SOUND 20FR THREAD 1/56IN</t>
  </si>
  <si>
    <t>PRODIGO1057582</t>
  </si>
  <si>
    <t>Lefort Urethral Sound 20Fr</t>
  </si>
  <si>
    <t>SOUND, URETHRAL, LEFORT, 20 FRX11 IN, 1/56 IN, THREADED FOR STANDARD FILIFORM, MIRROR AND SATIN FINISH, NON STERILE, LATEX</t>
  </si>
  <si>
    <t>SOUND, URETH, LEFORT, 20 FRX11 IN, 1/56 IN, THRD FOR STD FILIFORM, MIRROR &amp; SATIN FINISH, NS, LTX</t>
  </si>
  <si>
    <t>SOUND, URETH, LEFORT, 20 FRX11 IN, 1/56 IN, THRD FOR STD FILIFORM</t>
  </si>
  <si>
    <t>20 FRX11 IN</t>
  </si>
  <si>
    <t>https://www.bd.com/en-us/offerings/capabilities/surgical-instruments/open-instrumentation/lefort-urethral-sounds/gu4050-020, https://accessgudid.nlm.nih.gov/devices/10885403049460</t>
  </si>
  <si>
    <t>GU4050022</t>
  </si>
  <si>
    <t>GU4050-022</t>
  </si>
  <si>
    <t>BD_GU4050022</t>
  </si>
  <si>
    <t>LEFORT URETHRAL SOUND 22FR THREAD 1/56IN</t>
  </si>
  <si>
    <t>PRODIGO1057583</t>
  </si>
  <si>
    <t>Lefort Urethral Sound 22Fr</t>
  </si>
  <si>
    <t>SOUND, URETHRAL, LEFORT, 22 FRX11 IN, 1/56 IN, THREADED FOR STANDARD FILIFORM, MIRROR AND SATIN FINISH, NON STERILE, LATEX</t>
  </si>
  <si>
    <t>SOUND, URETH, LEFORT, 22 FRX11 IN, 1/56 IN, THRD FOR STD FILIFORM, MIRROR &amp; SATIN FINISH, NS, LTX</t>
  </si>
  <si>
    <t>SOUND, URETH, LEFORT, 22 FRX11 IN, 1/56 IN, THRD FOR STD FILIFORM</t>
  </si>
  <si>
    <t>22 FRX11 IN</t>
  </si>
  <si>
    <t>https://www.bd.com/en-us/offerings/capabilities/surgical-instruments/open-instrumentation/lefort-urethral-sounds/gu4050-022, https://accessgudid.nlm.nih.gov/devices/10885403049477</t>
  </si>
  <si>
    <t>GU4050024</t>
  </si>
  <si>
    <t>GU4050-024</t>
  </si>
  <si>
    <t>BD_GU4050024</t>
  </si>
  <si>
    <t>LEFORT URETHRAL SOUND 24FR THREAD 1/56IN</t>
  </si>
  <si>
    <t>PRODIGO1057584</t>
  </si>
  <si>
    <t>Lefort Urethral Sound 24Fr</t>
  </si>
  <si>
    <t>SOUND, URETHRAL, LEFORT, 24 FRX11 IN, 1/56 IN, THREADED FOR STANDARD FILIFORM, MIRROR AND SATIN FINISH, NON STERILE, LATEX</t>
  </si>
  <si>
    <t>SOUND, URETH, LEFORT, 24 FRX11 IN, 1/56 IN, THRD FOR STD FILIFORM, MIRROR &amp; SATIN FINISH, NS, LTX</t>
  </si>
  <si>
    <t>SOUND, URETH, LEFORT, 24 FRX11 IN, 1/56 IN, THRD FOR STD FILIFORM</t>
  </si>
  <si>
    <t>24 FRX11 IN</t>
  </si>
  <si>
    <t>https://www.bd.com/en-us/offerings/capabilities/surgical-instruments/open-instrumentation/lefort-urethral-sounds/gu4050-024, https://accessgudid.nlm.nih.gov/devices/10885403049484</t>
  </si>
  <si>
    <t>GU4050026</t>
  </si>
  <si>
    <t>GU4050-026</t>
  </si>
  <si>
    <t>BD_GU4050026</t>
  </si>
  <si>
    <t>LEFORT URETHRAL SOUND 26FR THREAD 1/56IN</t>
  </si>
  <si>
    <t>PRODIGO1057585</t>
  </si>
  <si>
    <t>Lefort Urethral Sound 26Fr</t>
  </si>
  <si>
    <t>SOUND, URETHRAL, LEFORT, 26 FRX11 IN, 1/56 IN, THREADED FOR STANDARD FILIFORM, MIRROR AND SATIN FINISH, NON STERILE, LATEX</t>
  </si>
  <si>
    <t>SOUND, URETH, LEFORT, 26 FRX11 IN, 1/56 IN, THRD FOR STD FILIFORM, MIRROR &amp; SATIN FINISH, NS, LTX</t>
  </si>
  <si>
    <t>SOUND, URETH, LEFORT, 26 FRX11 IN, 1/56 IN, THRD FOR STD FILIFORM</t>
  </si>
  <si>
    <t>26 FRX11 IN</t>
  </si>
  <si>
    <t>https://www.bd.com/en-us/offerings/capabilities/surgical-instruments/open-instrumentation/lefort-urethral-sounds/gu4050-026, https://accessgudid.nlm.nih.gov/devices/10885403049491</t>
  </si>
  <si>
    <t>GU4050030</t>
  </si>
  <si>
    <t>GU4050-030</t>
  </si>
  <si>
    <t>BD_GU4050030</t>
  </si>
  <si>
    <t>LEFORT URETHRAL SOUND 30FR THREAD 1/56IN</t>
  </si>
  <si>
    <t>PRODIGO1057586</t>
  </si>
  <si>
    <t>Lefort Urethral Sound 30Fr</t>
  </si>
  <si>
    <t>SOUND, URETHRAL, LEFORT, 30 FRX11 IN, 1/56 IN, THREADED FOR STANDARD FILIFORM, MIRROR AND SATIN FINISH, NON STERILE, LATEX</t>
  </si>
  <si>
    <t>SOUND, URETH, LEFORT, 30 FRX11 IN, 1/56 IN, THRD FOR STD FILIFORM, MIRROR &amp; SATIN FINISH, NS, LTX</t>
  </si>
  <si>
    <t>SOUND, URETH, LEFORT, 30 FRX11 IN, 1/56 IN, THRD FOR STD FILIFORM</t>
  </si>
  <si>
    <t>30 FRX11 IN</t>
  </si>
  <si>
    <t>https://www.bd.com/en-us/products-and-solutions/products/product-page.GU4050-030#overview, https://accessgudid.nlm.nih.gov/devices/10885403049514</t>
  </si>
  <si>
    <t>GU4050008</t>
  </si>
  <si>
    <t>GU4050-008</t>
  </si>
  <si>
    <t>BD_GU4050008</t>
  </si>
  <si>
    <t>LEFORT URETHRAL SOUND 8FR THREAD 1/56IN</t>
  </si>
  <si>
    <t>PRODIGO1057576</t>
  </si>
  <si>
    <t>Lefort Urethral Sound 8Fr</t>
  </si>
  <si>
    <t>SOUND, URETHRAL, LEFORT, 8 FRX11 IN, 1/56 IN, THREADED FOR STANDARD FILIFORM, MIRROR AND SATIN FINISH, NON STERILE, LATEX</t>
  </si>
  <si>
    <t>SOUND, URETH, LEFORT, 8 FRX11 IN, 1/56 IN, THRD FOR STD FILIFORM, MIRROR &amp; SATIN FINISH, NS, LTX</t>
  </si>
  <si>
    <t>SOUND, URETH, LEFORT, 8 FRX11 IN, 1/56 IN, THRD FOR STD FILIFORM</t>
  </si>
  <si>
    <t>8 FRX11 IN</t>
  </si>
  <si>
    <t>https://www.bd.com/en-us/offerings/capabilities/surgical-instruments/open-instrumentation/lefort-urethral-sounds/gu4050-008, https://accessgudid.nlm.nih.gov/devices/10885403049408</t>
  </si>
  <si>
    <t>NA631</t>
  </si>
  <si>
    <t>BD_NA631</t>
  </si>
  <si>
    <t>LEKSELL RONG FORCEPS DBL-ACT 5X16MM JAW</t>
  </si>
  <si>
    <t>PRODIGO1058020</t>
  </si>
  <si>
    <t>LEKSELL RONGEUR FORCEPS AFFINITY LINE. DOUBLE-ACTION. JAWS 5MM X 16MM. OVERALL LENGTH 9-3/4IN 24.8CM</t>
  </si>
  <si>
    <t>FORCEP, SURGICAL, LEKSELL, 9.75 IN, 5 MMX16 MM, RONGEUR, AFFINITY LINE, DOUBLE ACTION, WITH JAWS, NON STERILE, LATEX</t>
  </si>
  <si>
    <t>FORCEP SURGICAL LEKSELL 9.75 IN 5 MMX16 MM RONGEUR AFFINITY LINE DOUBLE ACTION WITH JAWS NON STERILE LATEX</t>
  </si>
  <si>
    <t>FORCEP, SURG, LEKSELL, 9.75 IN, 5 MMX16 MM, RONGEUR, AFFIN LN, DBL ACT, W/ JAWS, NS, LTX</t>
  </si>
  <si>
    <t>FORCEP, SURG, LEKSELL, 9.75 IN, 5 MMX16 MM, RONGEUR, AFFIN LN</t>
  </si>
  <si>
    <t>LEKSELL</t>
  </si>
  <si>
    <t>5 MMX16 MM</t>
  </si>
  <si>
    <t>RONGEUR, AFFINITY LINE, DOUBLE ACTION, WITH JAWS</t>
  </si>
  <si>
    <t>https://www.bd.com/en-us/products-and-solutions/products/product-page.na631#overview, https://accessgudid.nlm.nih.gov/devices/10885403069468</t>
  </si>
  <si>
    <t>NA630</t>
  </si>
  <si>
    <t>BD_NA630</t>
  </si>
  <si>
    <t>LEKSELL RONG FORCEPS DBL-ACT 8X16MM JAW</t>
  </si>
  <si>
    <t>PRODIGO1058019</t>
  </si>
  <si>
    <t>LEKSELL RONGEUR FORCEP AFFINITY LINE. DOUBLE-ACTION. JAWS 8MM X 16MM. OVERALL LENGTH 9-3/4IN 24.8CM</t>
  </si>
  <si>
    <t>FORCEP, SURGICAL, LEKSELL, 9.75 IN, 8 MMX16 MM, RONGEUR, AFFINITY LINE, DOUBLE ACTION, WITH JAWS, NON STERILE, LATEX</t>
  </si>
  <si>
    <t>FORCEP SURGICAL LEKSELL 9.75 IN 8 MMX16 MM RONGEUR AFFINITY LINE DOUBLE ACTION WITH JAWS NON STERILE LATEX</t>
  </si>
  <si>
    <t>FORCEP, SURG, LEKSELL, 9.75 IN, 8 MMX16 MM, RONGEUR, AFFIN LN, DBL ACT, W/ JAWS, NS, LTX</t>
  </si>
  <si>
    <t>FORCEP, SURG, LEKSELL, 9.75 IN, 8 MMX16 MM, RONGEUR, AFFIN LN</t>
  </si>
  <si>
    <t>8 MMX16 MM</t>
  </si>
  <si>
    <t>https://www.bd.com/en-us/products-and-solutions/products/product-page.NA630#overview, https://accessgudid.nlm.nih.gov/devices/10885403069451</t>
  </si>
  <si>
    <t>CH7192</t>
  </si>
  <si>
    <t>BD_CH7192</t>
  </si>
  <si>
    <t>LELAND JONES PERIPH VASC CLAMP CVD</t>
  </si>
  <si>
    <t>PRODIGO1057117</t>
  </si>
  <si>
    <t>LELAND JONES Peripheral Vascular Clamps Jaw length 3-1/2in (8.9cm). Overall length 8-1/4in (21cm). Jaws angled 15º</t>
  </si>
  <si>
    <t>CLAMP, SURGICAL, LELAND JONES, 15 DEGREE, 21 CM, 8.9 CM, PERIPHERAL, VASCULAR, CURVED, JAW ANGLED, NON STERILE, LATEX</t>
  </si>
  <si>
    <t>CLAMP, SURG, LELAND JONES, 15 DEG, 21 CM, 8.9 CM, PERIPH, VASC, CRV, JAW ANGLED, NS, LTX</t>
  </si>
  <si>
    <t>CLAMP, SURG, LELAND JONES, 15 DEG, 21 CM, 8.9 CM, PERIPH, VASC, CRV</t>
  </si>
  <si>
    <t>LELAND JONES</t>
  </si>
  <si>
    <t>15 DEGREE</t>
  </si>
  <si>
    <t>8.9 CM</t>
  </si>
  <si>
    <t>CURVED, JAW ANGLED</t>
  </si>
  <si>
    <t>http://www.lt-technologies.de/_ws/mediabase/_ts_1494230442000/Downloads/CardioCatalog_LIT12012_low-res.pdf, https://accessgudid.nlm.nih.gov/devices/10885403032547</t>
  </si>
  <si>
    <t>CH7194</t>
  </si>
  <si>
    <t>BD_CH7194</t>
  </si>
  <si>
    <t>PRODIGO1057118</t>
  </si>
  <si>
    <t>LELAND JONES Peripheral Vascular Clamps Jaw length 3-1/2in (8.9cm). Overall length 8-1/4in (21cm). Jaws angled 30º</t>
  </si>
  <si>
    <t>CLAMP, SURGICAL, LELAND JONES, 30 DEGREE, 21 CM, 8.9 CM, PERIPHERAL, VASCULAR, CURVED, JAW ANGLED, NON STERILE, LATEX</t>
  </si>
  <si>
    <t>CLAMP, SURG, LELAND JONES, 30 DEG, 21 CM, 8.9 CM, PERIPH, VASC, CRV, JAW ANGLED, NS, LTX</t>
  </si>
  <si>
    <t>CLAMP, SURG, LELAND JONES, 30 DEG, 21 CM, 8.9 CM, PERIPH, VASC, CRV</t>
  </si>
  <si>
    <t>http://www.lt-technologies.de/_ws/mediabase/_ts_1494230442000/Downloads/CardioCatalog_LIT12012_low-res.pdf, https://accessgudid.nlm.nih.gov/devices/10885403032554</t>
  </si>
  <si>
    <t>CH7190</t>
  </si>
  <si>
    <t>BD_CH7190</t>
  </si>
  <si>
    <t>LELAND JONES PERIPH VASC CLAMP STR</t>
  </si>
  <si>
    <t>PRODIGO1057116</t>
  </si>
  <si>
    <t>LELAND JONES Peripheral Vascular Clamps Jaw length 3-1/2in (8.9cm). Overall length 8-1/4in (21cm). Straight</t>
  </si>
  <si>
    <t>CLAMP, SURGICAL, LELAND JONES, 21 CM, 8.9 CM, PERIPHERAL, VASCULAR, STRAIGHT, NON STERILE, LATEX</t>
  </si>
  <si>
    <t>CLAMP, SURG, LELAND JONES, 21 CM, 8.9 CM, PERIPH, VASC, STR, NS, LTX</t>
  </si>
  <si>
    <t>http://www.lt-technologies.de/_ws/mediabase/_ts_1494230442000/Downloads/CardioCatalog_LIT12012_low-res.pdf, https://accessgudid.nlm.nih.gov/devices/10885403032530</t>
  </si>
  <si>
    <t>CH7490</t>
  </si>
  <si>
    <t>BD_CH7490</t>
  </si>
  <si>
    <t>LEMOLE-STRONG AORTA CLAMP STR 8"</t>
  </si>
  <si>
    <t>PRODIGO1057160</t>
  </si>
  <si>
    <t>LEMOLE-STRONG Aorta Clamps Jaw width 1-3/4in (4.4cm)
depth 7/8in (2.2cm Straight.
Overall length
7-3/4in (19.6cm).</t>
  </si>
  <si>
    <t>CLAMP, SURGICAL, LEMOLE-STRONG, 8 IN, 1.75X7/8 IN, AORTA, STRAIGHT, JAW, NON STERILE, LATEX</t>
  </si>
  <si>
    <t>CLAMP, SURG, LEMOLE-STRONG, 8 IN, 1.75X7/8 IN, AORT, STR, JAW, NS, LTX</t>
  </si>
  <si>
    <t>CLAMP, SURG, LEMOLE-STRONG, 8 IN, 1.75X7/8 IN, AORT, STR, JAW</t>
  </si>
  <si>
    <t>LEMOLE-STRONG</t>
  </si>
  <si>
    <t>1.75X7/8 IN</t>
  </si>
  <si>
    <t>STRAIGHT, JAW</t>
  </si>
  <si>
    <t>http://www.lt-technologies.de/_ws/mediabase/_ts_1494230442000/Downloads/CardioCatalog_LIT12012_low-res.pdf, https://accessgudid.nlm.nih.gov/devices/10885403033162</t>
  </si>
  <si>
    <t>AU11300</t>
  </si>
  <si>
    <t>BD_AU11300</t>
  </si>
  <si>
    <t>LEMPERT CURETTE OVALCUP SZ 6/0 1.5X2.3MM</t>
  </si>
  <si>
    <t>PRODIGO1056125</t>
  </si>
  <si>
    <t>LEMPERT FINE CURETTES SIZE 6/0. CUP 2.3MM X 1.5MM WIDE. OVERALL LENGTH 7-7/8IN (19.8CM).</t>
  </si>
  <si>
    <t>CURETTE, SURGICAL, LEMPERT, 6/0, 7-7/8 IN, 2.3X1.5 MM, FINE, OVAL CUP, NON STERILE, LATEX</t>
  </si>
  <si>
    <t>CURETTE, SURG, LEMPERT, 6/0, 7-7/8 IN, 2.3X1.5 MM, FN, OVL CUP, NS, LTX</t>
  </si>
  <si>
    <t>CURETTE, SURG, LEMPERT, 6/0, 7-7/8 IN, 2.3X1.5 MM, FN, OVL CUP, NS</t>
  </si>
  <si>
    <t>LEMPERT</t>
  </si>
  <si>
    <t>6/0</t>
  </si>
  <si>
    <t>2.3X1.5 MM</t>
  </si>
  <si>
    <t>FINE, OVAL CUP</t>
  </si>
  <si>
    <t>https://www.bd.com/en-us/products-and-solutions/products/product-page.AU11300#overview, https://accessgudid.nlm.nih.gov/devices/10885403009358</t>
  </si>
  <si>
    <t>AU11374</t>
  </si>
  <si>
    <t>BD_AU11374</t>
  </si>
  <si>
    <t>LEMPERT RONGEUR FORCEP LT-MOD SLENDER JW</t>
  </si>
  <si>
    <t>PRODIGO1056133</t>
  </si>
  <si>
    <t>LEMPERT RONGEUR FORCEPS LIGHT MODEL WITH SLENDER JAWS. JAWS 10MM X 3MM WIDE. OVERALL LENGTH 9IN (22.9CM).</t>
  </si>
  <si>
    <t>FORCEP, SURGICAL, LEMPERT, 9 IN, 10X3 MM, RONGEUR, LIGHT MODEL, WITH SLENDER JAW, NON STERILE, LATEX</t>
  </si>
  <si>
    <t>FORCEP, SURG, LEMPERT, 9 IN, 10X3 MM, RONGEUR, LIGHT MODEL, W/ SLENDER JAW, NS, LTX</t>
  </si>
  <si>
    <t>FORCEP, SURG, LEMPERT, 9 IN, 10X3 MM, RONGEUR, LIGHT MODEL</t>
  </si>
  <si>
    <t>10X3 MM</t>
  </si>
  <si>
    <t>RONGEUR, LIGHT MODEL, WITH SLENDER JAW</t>
  </si>
  <si>
    <t>https://www.bd.com/en-us/products-and-solutions/products/product-page.AU11374#overview, https://accessgudid.nlm.nih.gov/devices/10885403009549</t>
  </si>
  <si>
    <t>AA11372</t>
  </si>
  <si>
    <t>BD_AA11372</t>
  </si>
  <si>
    <t>LEMPERT RONGEUR FORCEPS LIGHT MODEL</t>
  </si>
  <si>
    <t>PRODIGO1056099</t>
  </si>
  <si>
    <t>LEMPERT RONGEUR FORCEPS AFFINITY LINE. LIGHT MODEL. OVERALL LENGTH 6IN (15.2CM).</t>
  </si>
  <si>
    <t>FORCEP, SURGICAL, LEMPERT, 6 IN, RONGEUR, LIGHT MODEL, NON STERILE, LATEX</t>
  </si>
  <si>
    <t>FORCEP, SURG, LEMPERT, 6 IN, RONGEUR, LIGHT MODEL, NS, LTX</t>
  </si>
  <si>
    <t>RONGEUR, LIGHT MODEL</t>
  </si>
  <si>
    <t>https://www.bd.com/en-us/products-and-solutions/products/product-page.AA11372#overview, https://accessgudid.nlm.nih.gov/devices/10885403007354</t>
  </si>
  <si>
    <t>AU16015</t>
  </si>
  <si>
    <t>BD_AU16015</t>
  </si>
  <si>
    <t>LEMPERT-TYPE CURETTE SZ 3 OVER LGTH 7IN</t>
  </si>
  <si>
    <t>PRODIGO1056276</t>
  </si>
  <si>
    <t>LEMPERT-TYPE CURETTES SIZE 3. CUP 3.4MM X 2.5MM WIDE. OVERALL LENGTH 7IN (17.9CM).</t>
  </si>
  <si>
    <t>CURETTE, SURGICAL, LEMPERT, 3, 7 IN, 3.4X2.5 MM, NON STERILE, LATEX</t>
  </si>
  <si>
    <t>CURETTE, SURG, LEMPERT, 3, 7 IN, 3.4X2.5 MM, NS, LTX</t>
  </si>
  <si>
    <t>3.4X2.5 MM</t>
  </si>
  <si>
    <t>https://www.bd.com/en-us/products-and-solutions/products/product-page.AU16015#overview, https://accessgudid.nlm.nih.gov/devices/10885403012174</t>
  </si>
  <si>
    <t>AU16020</t>
  </si>
  <si>
    <t>BD_AU16020</t>
  </si>
  <si>
    <t>LEMPERT-TYPE CURETTE SZ 5 OVER LGTH 7IN</t>
  </si>
  <si>
    <t>PRODIGO1056277</t>
  </si>
  <si>
    <t>LEMPERT-TYPE CURETTES SIZE 5. CUP 2.7 X 2MM WIDE. OVERALL LENGTH 7IN (17.9CM).</t>
  </si>
  <si>
    <t>CURETTE, SURGICAL, LEMPERT, 5, 7 IN, 2.7X2 MM, NON STERILE, LATEX</t>
  </si>
  <si>
    <t>CURETTE, SURG, LEMPERT, 5, 7 IN, 2.7X2 MM, NS, LTX</t>
  </si>
  <si>
    <t>2.7X2 MM</t>
  </si>
  <si>
    <t>https://www.bd.com/en-us/products-and-solutions/products/product-page.AU16020#overview, https://accessgudid.nlm.nih.gov/devices/10885403012198</t>
  </si>
  <si>
    <t>CH7000</t>
  </si>
  <si>
    <t>BD_CH7000</t>
  </si>
  <si>
    <t>LERICHE HEMOSTAT DEL STR SERR JAW FORCEP</t>
  </si>
  <si>
    <t>PRODIGO1057099</t>
  </si>
  <si>
    <t>LERICHE Hemostatic Forceps Serrated jaws.
Overall length
6in (15.2cm) Delicate Straight</t>
  </si>
  <si>
    <t>FORCEP, SURGICAL, LERICHE, 6 IN, SERRATED JAW, HEMOSTATIC, DELICATE, STRAIGHT, NON STERILE, LATEX</t>
  </si>
  <si>
    <t>FORCEP, SURG, LERICHE, 6 IN, SERRATED JAW, HEMOSTATIC, DEL, STR, NS, LTX</t>
  </si>
  <si>
    <t>FORCEP, SURG, LERICHE, 6 IN, SERRATED JAW, HEMOSTATIC, DEL, STR, NS</t>
  </si>
  <si>
    <t>LERICHE</t>
  </si>
  <si>
    <t>SERRATED JAW, HEMOSTATIC, DELICATE, STRAIGHT</t>
  </si>
  <si>
    <t>http://www.lt-technologies.de/_ws/mediabase/_ts_1494230442000/Downloads/CardioCatalog_LIT12012_low-res.pdf, https://accessgudid.nlm.nih.gov/devices/10885403032271</t>
  </si>
  <si>
    <t>CH7002</t>
  </si>
  <si>
    <t>BD_CH7002</t>
  </si>
  <si>
    <t>LERICHE HEMOSTAT FORCEP STR SERR JAW 1X2</t>
  </si>
  <si>
    <t>PRODIGO1057100</t>
  </si>
  <si>
    <t>LERICHE Hemostatic Forceps Serrated jaws.
Overall length
6in (15.2cm) Straight.
1 x 2 teeth</t>
  </si>
  <si>
    <t>FORCEP, SURGICAL, LERICHE, 6 IN, SERRATED JAW, HEMOSTATIC, STRAIGHT, 1X2 TEETH, NON STERILE, LATEX</t>
  </si>
  <si>
    <t>FORCEP, SURG, LERICHE, 6 IN, SERRATED JAW, HEMOSTATIC, STR, 1X2 TEETH, NS, LTX</t>
  </si>
  <si>
    <t>FORCEP, SURG, LERICHE, 6 IN, SERRATED JAW, HEMOSTATIC, STR, 1X2</t>
  </si>
  <si>
    <t>SERRATED JAW, HEMOSTATIC, STRAIGHT, 1X2 TEETH</t>
  </si>
  <si>
    <t>http://www.lt-technologies.de/_ws/mediabase/_ts_1494230442000/Downloads/CardioCatalog_LIT12012_low-res.pdf, https://accessgudid.nlm.nih.gov/devices/10885403032295</t>
  </si>
  <si>
    <t>NA6960</t>
  </si>
  <si>
    <t>BD_NA6960</t>
  </si>
  <si>
    <t>LEWIN SPINAL PERFORATING FORCEPS 6-7/8IN</t>
  </si>
  <si>
    <t>PRODIGO1058028</t>
  </si>
  <si>
    <t>LEWIN SPINAL PERFORATING FORCEPS AFFINITY LINE. OVERALL LENGTH 6-7/8IN 17.5CM</t>
  </si>
  <si>
    <t>FORCEP, SURGICAL, LEWIN, 6-7/8 IN, SPINAL, PERFORATING, AFFINITY LINE, NON STERILE, LATEX</t>
  </si>
  <si>
    <t>FORCEP SURGICAL LEWIN 6-7/8 IN SPINAL PERFORATING AFFINITY LINE NON STERILE LATEX</t>
  </si>
  <si>
    <t>FORCEP, SURG, LEWIN, 6-7/8 IN, SPNL, PERFORATING, AFFIN LN, NS, LTX</t>
  </si>
  <si>
    <t>LEWIN</t>
  </si>
  <si>
    <t>SPINAL</t>
  </si>
  <si>
    <t>PERFORATING, AFFINITY LINE</t>
  </si>
  <si>
    <t>https://www.bd.com/en-us/products-and-solutions/products/product-page.NA6960#specifications, https://accessgudid.nlm.nih.gov/devices/10885403070068</t>
  </si>
  <si>
    <t>CH0764</t>
  </si>
  <si>
    <t>BD_CH0764</t>
  </si>
  <si>
    <t>LILEHEI-POTTS TENOTOMY SCISSORS CVD 7"</t>
  </si>
  <si>
    <t>PRODIGO1056600</t>
  </si>
  <si>
    <t>LILEHEI-POTTS TENOTOMY SCISSORS CURVED 7IN LATEX NON STERILE</t>
  </si>
  <si>
    <t>SCISSOR, SURGICAL, LILEHEI-POTTS, 7 IN, TENOTOMY, CURVED, NON STERILE, LATEX</t>
  </si>
  <si>
    <t>SCISSOR, SURG, LILEHEI-POTTS, 7 IN, TENOTOMY, CRV, NS, LTX</t>
  </si>
  <si>
    <t>LILEHEI-POTTS</t>
  </si>
  <si>
    <t>TENOTOMY, CURVED</t>
  </si>
  <si>
    <t>http://www.lt-technologies.de/_ws/mediabase/_ts_1494230442000/Downloads/CardioCatalog_LIT12012_low-res.pdf, https://accessgudid.nlm.nih.gov/devices/10885403020223</t>
  </si>
  <si>
    <t>CH8360</t>
  </si>
  <si>
    <t>BD_CH8360</t>
  </si>
  <si>
    <t>LINDLEY SCISSORS SPRING HNDL BLD 90DEG</t>
  </si>
  <si>
    <t>PRODIGO1057235</t>
  </si>
  <si>
    <t>LINDLEY Scissors 8IN</t>
  </si>
  <si>
    <t>SCISSOR, SURGICAL, LINDLEY, 8 IN, DELICATE, SPRING HANDLED, 90 DEGREE ANGLED BLADE, NON STERILE, LATEX</t>
  </si>
  <si>
    <t>SCISSOR, SURG, LINDLEY, 8 IN, DEL, SPRING HNDL, 90 DEG ANGLED BLADE, NS, LTX</t>
  </si>
  <si>
    <t>SCISSOR, SURG, LINDLEY, 8 IN, SPRING HNDL, 90 DEG ANGLED BLADE</t>
  </si>
  <si>
    <t>LINDLEY</t>
  </si>
  <si>
    <t>DELICATE, SPRING HANDLED, 90 DEGREE ANGLED BLADE</t>
  </si>
  <si>
    <t>https://www.hces.com.sg/wp-content/uploads/2021/04/Cardiovascular-Pages-from-vmueller-snowdenpencer-armamentarium-catalogue-4.pdf, https://accessgudid.nlm.nih.gov/devices/10885403035005</t>
  </si>
  <si>
    <t>CH5687</t>
  </si>
  <si>
    <t>BD_CH5687</t>
  </si>
  <si>
    <t>LITWAK CARDIO SCISSORS CVD BLADE 10-7/8"</t>
  </si>
  <si>
    <t>PRODIGO1056905</t>
  </si>
  <si>
    <t>LITWAK CARDIOVASCULAR SCISSORS ANGLED-ON-SIDE OVERALL LENGTH 27.9CM FULLY CURVED BLADES SCISSOR SURGICAL LITWAK 27.9 CM CARDIOVASCULAR ANGLED ON SIDE FULLY CURVED BLADE</t>
  </si>
  <si>
    <t>SCISSOR, SURGICAL, LITWAK, 10-7/8 IN, CARDIOVASCULAR, ANGLED ON SIDE, FULLY CURVED BLADE, NON STERILE, LATEX</t>
  </si>
  <si>
    <t>SCISSOR, SURG, LITWAK, 10-7/8 IN, CV, ANGLED ON SIDE, FULL CRV BLADE, NS, LTX</t>
  </si>
  <si>
    <t>SCISSOR, SURG, LITWAK, 10-7/8 IN, CV, FULL CRV BLADE, NS, LTX</t>
  </si>
  <si>
    <t>LITWAK</t>
  </si>
  <si>
    <t>ANGLED ON SIDE, FULLY CURVED BLADE</t>
  </si>
  <si>
    <t>http://www.megamedworld.com/wp-content/uploads/2019/03/VM_KVC-min.pdf, https://accessgudid.nlm.nih.gov/devices/10885403028878</t>
  </si>
  <si>
    <t>CH5688</t>
  </si>
  <si>
    <t>BD_CH5688</t>
  </si>
  <si>
    <t>LITWAK GENERAL UTILITY SCISSORS CVD B/B</t>
  </si>
  <si>
    <t>PRODIGO1056906</t>
  </si>
  <si>
    <t>LITWAK GENERAL UTILITY SCISSORS CURVED BLUNT/BLUNT MIRROR FINISH OVERALL LENGTH 11.7CM SCISSOR SURGICAL LITWAK 11.7 CM GENERAL UTILITY CURVED BLUNT/BLUNT MIRROR FINISH</t>
  </si>
  <si>
    <t>SCISSOR, SURGICAL, LITWAK, 4-5/8 IN, GENERAL UTILITY, CURVED, BLUNT/BLUNT, MIRROR FINISH, NON STERILE, LATEX</t>
  </si>
  <si>
    <t>SCISSOR, SURG, LITWAK, 4-5/8 IN, GEN UTIL, CRV, BLUNT/BLUNT, MIRROR FINISH, NS, LTX</t>
  </si>
  <si>
    <t>SCISSOR, SURG, LITWAK, 4-5/8 IN, GEN UTIL, CRV, BLUNT/BLUNT, NS, LTX</t>
  </si>
  <si>
    <t>4-5/8 IN</t>
  </si>
  <si>
    <t>GENERAL UTILITY, CURVED, BLUNT/BLUNT, MIRROR FINISH</t>
  </si>
  <si>
    <t>http://www.megamedworld.com/wp-content/uploads/2019/03/VM_KVC-min.pdf, https://accessgudid.nlm.nih.gov/devices/10885403028885</t>
  </si>
  <si>
    <t>CH5655</t>
  </si>
  <si>
    <t>BD_CH5655</t>
  </si>
  <si>
    <t>LITWIN SCISSORS BLADE 45DEG 7IN</t>
  </si>
  <si>
    <t>PRODIGO1056881</t>
  </si>
  <si>
    <t>LITWIN ANGLED SCISSORS BLADES ANGLED 45 DEGREE MIRROR FINISH OVERALL LENGTH 18.4CM SCISSOR SURGICAL LITWIN 45 DEGREE 18.4 CM ANGLED BLADE MIRROR FINISH</t>
  </si>
  <si>
    <t>SCISSOR, SURGICAL, LITWIN, 45 DEGREE, 7 IN, ANGLED, BLADE, MIRROR FINISH, NON STERILE, LATEX</t>
  </si>
  <si>
    <t>SCISSOR, SURG, LITWIN, 45 DEG, 7 IN, ANGLED, BLADE, MIRROR FINISH, NS, LTX</t>
  </si>
  <si>
    <t>SCISSOR, SURG, LITWIN, 45 DEG, 7 IN, ANGLED, BLADE, NS</t>
  </si>
  <si>
    <t>LITWIN</t>
  </si>
  <si>
    <t>ANGLED, BLADE, MIRROR FINISH</t>
  </si>
  <si>
    <t>http://www.megamedworld.com/wp-content/uploads/2019/03/VM_KVC-min.pdf, https://accessgudid.nlm.nih.gov/devices/10885403028267</t>
  </si>
  <si>
    <t>LA8219</t>
  </si>
  <si>
    <t>BD_LA8219</t>
  </si>
  <si>
    <t>LONG ALLIS GRASP FORCEPS 5MM 37CM ATRAUM</t>
  </si>
  <si>
    <t>PRODIGO1057694</t>
  </si>
  <si>
    <t>Grasper 5 Mmx37 Cm Long Allis 19 Mm Double Action Atraumatic Insulated Shaft Rotation Ratchet Satin Finish Stainless Steel Non Sterile Latex</t>
  </si>
  <si>
    <t>GRASPER, ENDOSCOPIC, ALLIS, LONG, 5 MMX37 CM, 19 MM, DOUBLE ACTION, ATRAUMATIC, INSULATED SHAFT, ROTATION, RATCHET, SATIN FINISH, STAINLESS STEEL, NON STERILE, LATEX</t>
  </si>
  <si>
    <t>GRASPER, ENDOSCP, ALLIS, LNG, 5 MMX37 CM, 19 MM, DBL ACT, ATRAUM, INSUL SHFT, ROT, RATCH, SATIN FINISH, SS, NS, LTX</t>
  </si>
  <si>
    <t>GRASPER, ENDOSCP, ALLIS, LNG, 5 MMX37 CM, 19 MM, DBL ACT, ATRAUM</t>
  </si>
  <si>
    <t>DOUBLE ACTION, ATRAUMATIC, INSULATED SHAFT, ROTATION, RATCHET, SATIN FINISH</t>
  </si>
  <si>
    <t>https://www.bd.com/en-us/offerings/capabilities/surgical-instruments/laparoscopic-instruments/long-allis-grasper/la8219, https://accessgudid.nlm.nih.gov/devices/10885403052989</t>
  </si>
  <si>
    <t>LA8227</t>
  </si>
  <si>
    <t>BD_LA8227</t>
  </si>
  <si>
    <t>LONG GRAB FORCEPS DBL-ACT 5MM 37CM RATCH</t>
  </si>
  <si>
    <t>PRODIGO1057702</t>
  </si>
  <si>
    <t>Grasper 5 Mmx37 Cm Long Grabber Double Action Interlocking Serrated Fenestrated Jaw Insulated Shaft Rotation Ratchet Stainless Steel Non Sterile Latex</t>
  </si>
  <si>
    <t>GRASPER, ENDOSCOPIC, GRABBER, LONG, 5 MMX37 CM, DOUBLE ACTION, INTERLOCKING, SERRATED, FENESTRATED JAW, INSULATED SHAFT, ROTATION, RATCHET, STAINLESS STEEL, NON STERILE, LATEX</t>
  </si>
  <si>
    <t>GRASPER, ENDOSCP, GRAB, LNG, 5 MMX37 CM, DBL ACT, INTLOK, SERRATED, FEN JAW, INSUL SHFT, ROT, RATCH, SS, NS, LTX</t>
  </si>
  <si>
    <t>GRASPER, ENDOSCP, GRAB, LNG, 5 MMX37 CM, DBL ACT, INTLOK, SERRATED</t>
  </si>
  <si>
    <t>GRABBER</t>
  </si>
  <si>
    <t>DOUBLE ACTION, INTERLOCKING, SERRATED, FENESTRATED JAW, INSULATED SHAFT, ROTATION, RATCHET</t>
  </si>
  <si>
    <t>https://www.bd.com/en-us/products-and-solutions/products/product-page.LA8227#overview, https://accessgudid.nlm.nih.gov/devices/10885403053122</t>
  </si>
  <si>
    <t>LA8223</t>
  </si>
  <si>
    <t>BD_LA8223</t>
  </si>
  <si>
    <t>LONG GRASP FORCEPS 5MM 37CM RATCHET</t>
  </si>
  <si>
    <t>PRODIGO1057697</t>
  </si>
  <si>
    <t>Grasper 5 Mmx37 Cm Long Fundus Single Action Waved Edge Insulated Shaft Rotation Ratchet Satin Finish Stainless Steel Non Sterile Latex</t>
  </si>
  <si>
    <t>GRASPER, ENDOSCOPIC, FUNDUS, LONG, 5 MMX37 CM, SINGLE ACTION, WAVED EDGE, INSULATED SHAFT, ROTATION, RATCHET, SATIN FINISH, STAINLESS STEEL, NON STERILE, LATEX</t>
  </si>
  <si>
    <t>GRASPER, ENDOSCP, FUND, LNG, 5 MMX37 CM, SINGLE ACT, WAVED EDGE, INSUL SHFT, ROT, RATCH, SATIN FINISH, SS, NS, LTX</t>
  </si>
  <si>
    <t>GRASPER, ENDOSCP, FUND, LNG, 5 MMX37 CM, SINGLE ACT, WAVED EDGE</t>
  </si>
  <si>
    <t>SINGLE ACTION, WAVED EDGE, INSULATED SHAFT, ROTATION, RATCHET, SATIN FINISH</t>
  </si>
  <si>
    <t>https://www.bd.com/en-us/offerings/capabilities/surgical-instruments/laparoscopic-instruments/fundus-grasper/la8223, https://accessgudid.nlm.nih.gov/devices/10885403053054</t>
  </si>
  <si>
    <t>LA8224</t>
  </si>
  <si>
    <t>BD_LA8224</t>
  </si>
  <si>
    <t>LONG GRASP FORCEPS DBL-ACT LG 5MM 37CM</t>
  </si>
  <si>
    <t>PRODIGO1057698</t>
  </si>
  <si>
    <t>Grasper 5 Mmx37 Cm Long Fundus Double Action Waved Edge Insulated Shaft Rotation Ratchet Satin Finish Stainless Steel Non Sterile Latex</t>
  </si>
  <si>
    <t>GRASPER, ENDOSCOPIC, FUNDUS, LONG, 5 MMX37 CM, DOUBLE ACTION, WAVED EDGE, INSULATED SHAFT, ROTATION, RATCHET, SATIN FINISH, STAINLESS STEEL, NON STERILE, LATEX</t>
  </si>
  <si>
    <t>GRASPER, ENDOSCP, FUND, LNG, 5 MMX37 CM, DBL ACT, WAVED EDGE, INSUL SHFT, ROT, RATCH, SATIN FINISH, SS, NS, LTX</t>
  </si>
  <si>
    <t>GRASPER, ENDOSCP, FUND, LNG, 5 MMX37 CM, DBL ACT, WAVED EDGE</t>
  </si>
  <si>
    <t>https://www.bd.com/en-us/offerings/capabilities/surgical-instruments/laparoscopic-instruments/fundus-grasper/la8224, https://accessgudid.nlm.nih.gov/devices/10885403053085</t>
  </si>
  <si>
    <t>LA8232</t>
  </si>
  <si>
    <t>BD_LA8232</t>
  </si>
  <si>
    <t>LONG GRASP T/C FORCEPS DBL-ACT 5MM 35CM</t>
  </si>
  <si>
    <t>PRODIGO1057707</t>
  </si>
  <si>
    <t>Grasper 5 Mmx35 Cm Long 22 Mm Double Action Insulated Shaft Rotation Ratchet Satin Finish Tungsten Carbide Non Sterile Latex</t>
  </si>
  <si>
    <t>GRASPER, ENDOSCOPIC, LONG, 5 MMX35 CM, 22 MM, DOUBLE ACTION, INSULATED SHAFT, ROTATION, RATCHET, SATIN FINISH, TUNGSTEN CARBIDE, NON STERILE, LATEX</t>
  </si>
  <si>
    <t>GRASPER, ENDOSCP, LNG, 5 MMX35 CM, 22 MM, DBL ACT, INSUL SHFT, ROT, RATCH, SATIN FINISH, TUNGSTEN CARBIDE, NS, LTX</t>
  </si>
  <si>
    <t>GRASPER, ENDOSCP, LNG, 5 MMX35 CM, 22 MM, DBL ACT, SHFT, ROT, RATCH</t>
  </si>
  <si>
    <t>DOUBLE ACTION, INSULATED SHAFT, ROTATION, RATCHET, SATIN FINISH</t>
  </si>
  <si>
    <t>https://www.bd.com/en-us/products-and-solutions/products/product-page.LA8232#overview, https://accessgudid.nlm.nih.gov/devices/10885403053184</t>
  </si>
  <si>
    <t>LA8226</t>
  </si>
  <si>
    <t>BD_LA8226</t>
  </si>
  <si>
    <t>LONG RETR GRASP FORCEPS 5MM 37CM DBL-ACT</t>
  </si>
  <si>
    <t>PRODIGO1057701</t>
  </si>
  <si>
    <t>Grasper 5 Mmx37 Cm Long Retraction 2x3 Interlocking Teeth Double Action Ridged Jaw Insulated Shaft Rotation Ratchet Satin Finish Stainless Steel Non Sterile Latex</t>
  </si>
  <si>
    <t>GRASPER, ENDOSCOPIC, RETRACTION, LONG, 5 MMX37 CM, 2X3 INTERLOCKING TEETH, DOUBLE ACTION, RIDGED JAW, INSULATED SHAFT, ROTATION, RATCHET, SATIN FINISH, STAINLESS STEEL, NON STERILE, LATEX</t>
  </si>
  <si>
    <t>GRASPER, ENDOSCP, RETRCT, LNG, 5 MMX37 CM, 2X3 INTLOK TEETH, DBL ACT, RIDGED JAW, INSUL SHFT, ROT, RATCH, SATIN FINISH, SS, NS, LTX</t>
  </si>
  <si>
    <t>GRASPER, ENDOSCP, RETRCT, LNG, 5 MMX37 CM, 2X3 INTLOK, DBL ACT</t>
  </si>
  <si>
    <t>RETRACTION</t>
  </si>
  <si>
    <t>2X3 INTERLOCKING TEETH, DOUBLE ACTION, RIDGED JAW, INSULATED SHAFT, ROTATION, RATCHET, SATIN FINISH</t>
  </si>
  <si>
    <t>https://www.bd.com/en-us/offerings/capabilities/surgical-instruments/laparoscopic-instruments/retraction-grasper/la8226, https://accessgudid.nlm.nih.gov/devices/10885403053115</t>
  </si>
  <si>
    <t>LA8225</t>
  </si>
  <si>
    <t>BD_LA8225</t>
  </si>
  <si>
    <t>LONG RETRACT GRASP FORCEP 5MM 37CM RATCH</t>
  </si>
  <si>
    <t>PRODIGO1057700</t>
  </si>
  <si>
    <t>Grasper 5 Mmx37 Cm Long Retraction 2x3 Interlocking Teeth Single Action Ridged Jaw Insulated Shaft Rotation Ratchet Satin Finish Stainless Steel Non Sterile Latex</t>
  </si>
  <si>
    <t>GRASPER, ENDOSCOPIC, RETRACTION, LONG, 5 MMX37 CM, 2X3 INTERLOCKING TEETH, SINGLE ACTION, RIDGED JAW, INSULATED SHAFT, ROTATION, RATCHET, SATIN FINISH, STAINLESS STEEL, NON STERILE, LATEX</t>
  </si>
  <si>
    <t>GRASPER, ENDOSCP, RETRCT, LNG, 5 MMX37 CM, 2X3 INTLOK TEETH, SINGLE ACT, RIDGED JAW, INSUL SHFT, ROT, RATCH, SATIN FINISH, SS, NS, LTX</t>
  </si>
  <si>
    <t>GRASPER, ENDOSCP, RETRCT, LNG, 5 MMX37 CM, 2X3 INTLOK, SINGLE ACT</t>
  </si>
  <si>
    <t>2X3 INTERLOCKING TEETH, SINGLE ACTION, RIDGED JAW, INSULATED SHAFT, ROTATION, RATCHET, SATIN FINISH</t>
  </si>
  <si>
    <t>https://www.bd.com/en-us/offerings/capabilities/surgical-instruments/laparoscopic-instruments/retraction-grasper/la8225, https://accessgudid.nlm.nih.gov/devices/10885403053108</t>
  </si>
  <si>
    <t>CH1610</t>
  </si>
  <si>
    <t>BD_CH1610</t>
  </si>
  <si>
    <t>LOVELACE LUNG FORCEPS ANG SHANK JAW 25MM</t>
  </si>
  <si>
    <t>PRODIGO1056721</t>
  </si>
  <si>
    <t>Lovelace lung forceps Angled shanks Jaws 1in 25mm wide Overall length 7-3/8in</t>
  </si>
  <si>
    <t>FORCEP, SURGICAL, LOVELACE LUNG, 7-3/8 IN, 25 MM JAW, ANGLED SHANK, NON STERILE, LATEX</t>
  </si>
  <si>
    <t>FORCEP, SURG, LOVELACE LUNG, 7-3/8 IN, 25 MM JAW, ANGLED SHANK, NS, LTX</t>
  </si>
  <si>
    <t>FORCEP, SURG, LOVELACE LUNG, 7-3/8 IN, 25 MM JAW, ANGLED SHANK, NS</t>
  </si>
  <si>
    <t>LOVELACE LUNG</t>
  </si>
  <si>
    <t>25 MM JAW</t>
  </si>
  <si>
    <t>ANGLED SHANK</t>
  </si>
  <si>
    <t>https://www.bd.com/en-us/products-and-solutions/products/product-page.CH1610#specifications, https://accessgudid.nlm.nih.gov/devices/10885403024047</t>
  </si>
  <si>
    <t>GU8390</t>
  </si>
  <si>
    <t>BD_GU8390</t>
  </si>
  <si>
    <t>LOWSLEY TRACTOR CVD 20FR WORKLGTH 10-1/2</t>
  </si>
  <si>
    <t>PRODIGO1057633</t>
  </si>
  <si>
    <t>42296802  General surgical instruments</t>
  </si>
  <si>
    <t>Lowsley prostatic tractors Caliber 20Fr. Curved. Working length 9-3/4in (25cm). Overall length 13in (33cm).</t>
  </si>
  <si>
    <t>TRACTOR, SURGICAL, LOWSLEY, 20 FRX9.75 IN, CURVED, NON STERILE, LATEX</t>
  </si>
  <si>
    <t>TRACTOR, SURG, LOWSLEY, 20 FRX9.75 IN, CRV, NS, LTX</t>
  </si>
  <si>
    <t>TRACTOR</t>
  </si>
  <si>
    <t>LOWSLEY</t>
  </si>
  <si>
    <t>20 FRX9.75 IN</t>
  </si>
  <si>
    <t>https://www.bd.com/en-us/products-and-solutions/products/product-page.GU8390#overview, https://accessgudid.nlm.nih.gov/devices/10885403039027</t>
  </si>
  <si>
    <t>GU8391</t>
  </si>
  <si>
    <t>BD_GU8391</t>
  </si>
  <si>
    <t>LOWSLEY TRACTOR STR 20FR WORK LGTH 9IN</t>
  </si>
  <si>
    <t>PRODIGO1057634</t>
  </si>
  <si>
    <t>Lowsley prostatic tractors Caliber 20Fr. Straight. Working length 9in (23cm). Overall length 12-1/4in (31cm).</t>
  </si>
  <si>
    <t>TRACTOR, SURGICAL, LOWSLEY, 20 FRX9 IN, STRAIGHT, NON STERILE, LATEX</t>
  </si>
  <si>
    <t>TRACTOR, SURG, LOWSLEY, 20 FRX9 IN, STR, NS, LTX</t>
  </si>
  <si>
    <t>20 FRX9 IN</t>
  </si>
  <si>
    <t>https://www.bd.com/en-us/products-and-solutions/products/product-page.GU8391#overview, https://accessgudid.nlm.nih.gov/devices/10885403039034</t>
  </si>
  <si>
    <t>AU12280</t>
  </si>
  <si>
    <t>BD_AU12280</t>
  </si>
  <si>
    <t>LUER ADAPTER F/SUCTION CANNULA STR</t>
  </si>
  <si>
    <t>PRODIGO1056145</t>
  </si>
  <si>
    <t>LUER ADAPTER. FOR SUCTION CANNULAS. STRAIGHT. WITH FINGER REST AND VALVE. OVERALL LENGTH 3-1/4IN (8.3CM). FOR SUCTION CANNULAS. STRAIGHT. WITH FINGER REST AND VALVE. OVERALL LENGTH 3-1/4IN (8.3CM).</t>
  </si>
  <si>
    <t>ADAPTER, SUCTION, 3.25 IN, LUER, STRAIGHT, FOR SUCTION CANNULA/FINGER REST VALVE, NON STERILE, LATEX</t>
  </si>
  <si>
    <t>ADAPTER, SUCTION, 3.25 IN, LUER, STR, FOR SUCTION CANNULA/FINGER REST VLV, NS, LTX</t>
  </si>
  <si>
    <t>ADAPTER, SUCTION, 3.25 IN, LUER, STR</t>
  </si>
  <si>
    <t>ADAPTER</t>
  </si>
  <si>
    <t>LUER, STRAIGHT, FOR SUCTION CANNULA/FINGER REST VALVE</t>
  </si>
  <si>
    <t>https://www.bd.com/en-us/products-and-solutions/products/product-page.AU12280#overview, https://accessgudid.nlm.nih.gov/devices/10885403009785</t>
  </si>
  <si>
    <t>AU6740</t>
  </si>
  <si>
    <t>BD_AU6740</t>
  </si>
  <si>
    <t>LUER-WHITING RONG FORCEP CVD 6.5X13MMJAW</t>
  </si>
  <si>
    <t>PRODIGO1056373</t>
  </si>
  <si>
    <t>LUER-WHITING RONGEUR FORCEPS CURVED JAWS 6.5MM X 13MM. OVERALL LENGTH 7IN (18CM).</t>
  </si>
  <si>
    <t>FORCEP, SURGICAL, LUER-WHITING, 7 IN, 6.5X13 MM, RONGEUR, CURVED JAW, NON STERILE, LATEX</t>
  </si>
  <si>
    <t>FORCEP, SURG, LUER-WHITING, 7 IN, 6.5X13 MM, RONGEUR, CRV JAW, NS, LTX</t>
  </si>
  <si>
    <t>FORCEP, SURG, LUER-WHITING, 7 IN, 6.5X13 MM, RONGEUR, CRV JAW, NS</t>
  </si>
  <si>
    <t>LUER-WHITING</t>
  </si>
  <si>
    <t>6.5X13 MM</t>
  </si>
  <si>
    <t>RONGEUR, CURVED JAW</t>
  </si>
  <si>
    <t>https://www.bd.com/en-us/products-and-solutions/products/product-print-page.au6740, https://accessgudid.nlm.nih.gov/devices/10885403009112</t>
  </si>
  <si>
    <t>GL5520</t>
  </si>
  <si>
    <t>BD_GL5520</t>
  </si>
  <si>
    <t>LUIKART-KIELLAND OBSTETRICAL FORCEPS</t>
  </si>
  <si>
    <t>PRODIGO1057522</t>
  </si>
  <si>
    <t>LUIKART-KIELLAND OBSTETRICAL FORCEPS 1 PAIR SOLID LUIKART BLADES OVERALL LENGTH 17 in(43.5CM)</t>
  </si>
  <si>
    <t>FORCEP, SURGICAL, LUIKART KIELLAND, 17 IN, OBSTETRICAL, WITH 1 PAIR, SOLID BLADE, NON STERILE, LATEX</t>
  </si>
  <si>
    <t>FORCEP, SURG, LUIKART KIELLAND, 17 IN, OB, W/ 1 PR, SLD BLADE, NS, LTX</t>
  </si>
  <si>
    <t>FORCEP, SURG, LUIKART KIELLAND, 17 IN, OB, W/ 1 PR, SLD BLADE, NS</t>
  </si>
  <si>
    <t>LUIKART KIELLAND</t>
  </si>
  <si>
    <t>17 IN</t>
  </si>
  <si>
    <t>OBSTETRICAL, WITH 1 PAIR, SOLID BLADE</t>
  </si>
  <si>
    <t>https://accessgudid.nlm.nih.gov/devices/70885403160488, https://accessgudid.nlm.nih.gov/devices/70885403160488</t>
  </si>
  <si>
    <t>BE410</t>
  </si>
  <si>
    <t>BD_BE410</t>
  </si>
  <si>
    <t>LUKENS THYMUS RETR DBL-END 12&amp;8MM BLADES</t>
  </si>
  <si>
    <t>PRODIGO1056429</t>
  </si>
  <si>
    <t>LUKENS THYMUS RETRACTOR DOUBLE-ENDED. BLADES 12MM AND 8MM WIDE. OVERALL LENGTH 7IN (17.8CM).</t>
  </si>
  <si>
    <t>RETRACTOR, SURGICAL, LUKENS THYMUS, 7 IN, 12X8 MM, DOUBLE-ENDED, NON STERILE, LATEX</t>
  </si>
  <si>
    <t>RETRACTOR, SURG, LUKENS THYMUS, 7 IN, 12X8 MM, DOUBLE-ENDED, NS, LTX</t>
  </si>
  <si>
    <t>RETRACTOR, SURG, LUKENS THYMUS, 7 IN, 12X8 MM, DOUBLE-ENDED, NS</t>
  </si>
  <si>
    <t>LUKENS THYMUS</t>
  </si>
  <si>
    <t>12X8 MM</t>
  </si>
  <si>
    <t>DOUBLE-ENDED</t>
  </si>
  <si>
    <t>https://www.bd.com/en-us/products-and-solutions/products/product-page.be410#overview, https://accessgudid.nlm.nih.gov/devices/10885403014642</t>
  </si>
  <si>
    <t>MO610</t>
  </si>
  <si>
    <t>BD_MO610</t>
  </si>
  <si>
    <t>MACKENTY SCISSORS CVD SHARP POINT 6-3/4</t>
  </si>
  <si>
    <t>PRODIGO1057943</t>
  </si>
  <si>
    <t>MACKENTY-TYPE SCISSORS CURVED STRONG BLADES. SHARP POINTS. MIRROR FINISH. OVERALL LENGTH 6-3/4IN (17.1CM).</t>
  </si>
  <si>
    <t>SCISSOR, SURGICAL, MACKENTY, 6.75 IN, CURVED, STRONG BLADE, SHARP POINT, MIRROR FINISH, NON STERILE, LATEX</t>
  </si>
  <si>
    <t>SCISSOR, SURG, MACKENTY, 6.75 IN, CRV, STR BLADE, SHRP PT, MIRROR FINISH, NS, LTX</t>
  </si>
  <si>
    <t>SCISSOR, SURG, MACKENTY, 6.75 IN, CRV, STR BLADE, MIRROR FINISH</t>
  </si>
  <si>
    <t>MACKENTY</t>
  </si>
  <si>
    <t>CURVED, STRONG BLADE, SHARP POINT, MIRROR FINISH</t>
  </si>
  <si>
    <t>https://www.bd.com/en-us/products-and-solutions/products/product-page.MO610#overview, https://accessgudid.nlm.nih.gov/devices/10885403058554</t>
  </si>
  <si>
    <t>MO1460</t>
  </si>
  <si>
    <t>BD_MO1460</t>
  </si>
  <si>
    <t>MAGIELSKI TONSIL SEIZING FORCEPS</t>
  </si>
  <si>
    <t>PRODIGO1057893</t>
  </si>
  <si>
    <t>MAGIELSKI TONSIL SEIZING FORCEPS TWO OPPOSING ROWS OF NON-TRAUMATIC ALLIS-TYPE TEETH ASSURE OF FIRM GRIP. OVERALL LENGTH 7-1/2IN (19.1CM).</t>
  </si>
  <si>
    <t>FORCEP, SURGICAL, MAGIELSKI, 7.5 IN, TONSIL, SEIZING, NON STERILE, LATEX</t>
  </si>
  <si>
    <t>FORCEP, SURG, MAGIELSKI, 7.5 IN, TONSIL, SEIZING, NS, LTX</t>
  </si>
  <si>
    <t>MAGIELSKI</t>
  </si>
  <si>
    <t>SEIZING</t>
  </si>
  <si>
    <t>https://www.bd.com/en-us/products-and-solutions/products/product-page.mo1460#overview, https://accessgudid.nlm.nih.gov/devices/10885403058776</t>
  </si>
  <si>
    <t>AA11105</t>
  </si>
  <si>
    <t>BD_AA11105</t>
  </si>
  <si>
    <t>MAGILL FORCEPS CHILD</t>
  </si>
  <si>
    <t>PRODIGO1056098</t>
  </si>
  <si>
    <t>MAGILL FORCEPS CHILD AFFINITY LINE. SMALL SIZE.</t>
  </si>
  <si>
    <t>FORCEP, SURGICAL, MAGILL, SMALL, CHILD, NON STERILE, LATEX</t>
  </si>
  <si>
    <t>FORCEP, SURG, MAGILL, SM, CH, NS, LTX</t>
  </si>
  <si>
    <t>MAGILL</t>
  </si>
  <si>
    <t>https://www.bd.com/en-us/products-and-solutions/products/product-page.AA11105#overview, https://accessgudid.nlm.nih.gov/devices/10885403007262</t>
  </si>
  <si>
    <t>LA821345</t>
  </si>
  <si>
    <t>LA8213-45</t>
  </si>
  <si>
    <t>BD_LA821345</t>
  </si>
  <si>
    <t>MARYLAND DISSECT FORCEPS MONO 5MM 45CM</t>
  </si>
  <si>
    <t>PRODIGO1057689</t>
  </si>
  <si>
    <t>Dissector 5 Mmx45 Cm Maryland Curved Double Action Serrated Jaw Insulated Shaft Non Rotation Insulated Handle Non Ratchet Satin Finish Monopolar Stainless Steel Non Sterile Latex</t>
  </si>
  <si>
    <t>DISSECTOR, ENDOSCOPIC, MARYLAND, 5 MMX45 CM, CURVED, DOUBLE ACTION, SERRATED JAW, INSULATED SHAFT, NON ROTATION, INSULATED HANDLE, NON RATCHET, SATIN FINISH, MONOPOLAR, STAINLESS STEEL, NON STERILE, LATEX</t>
  </si>
  <si>
    <t>DISSECTOR, ENDOSCP, MARYLAND, 5 MMX45 CM, CRV, DBL ACT, SERRATED JAW, INSUL SHFT, N ROT, INSUL HNDL, N RATCH, SATIN FINISH, MONOPOLAR, SS, NS, LTX</t>
  </si>
  <si>
    <t>DISSECTOR, ENDOSCP, MARYLAND, 5 MMX45 CM, CRV, DBL ACT, N ROT</t>
  </si>
  <si>
    <t>MARYLAND</t>
  </si>
  <si>
    <t>CURVED, DOUBLE ACTION, SERRATED JAW, INSULATED SHAFT, NON ROTATION, INSULATED HANDLE, NON RATCHET, SATIN FINISH, MONOPOLAR</t>
  </si>
  <si>
    <t>https://www.bd.com/en-us/offerings/capabilities/surgical-instruments/laparoscopic-instruments/maryland-dissector/la8213-45, https://accessgudid.nlm.nih.gov/devices/10885403052859</t>
  </si>
  <si>
    <t>LAT0321MD</t>
  </si>
  <si>
    <t>LAT-0321-MD</t>
  </si>
  <si>
    <t>BD_LAT0321MD</t>
  </si>
  <si>
    <t>MARYLAND GRASPER D/A INSERT 3MM 21CM</t>
  </si>
  <si>
    <t>PRODIGO1057772</t>
  </si>
  <si>
    <t>Dissector 3 Mmx21 Cm Maryland Double Action Insert Insulated Handle Shaft Non Sterile Latex</t>
  </si>
  <si>
    <t>DISSECTOR, ENDOSCOPIC, MARYLAND, 3 MMX21 CM, DOUBLE ACTION, INSERT, INSULATED HANDLE SHAFT, NON STERILE, LATEX</t>
  </si>
  <si>
    <t>DISSECTOR, ENDOSCP, MARYLAND, 3 MMX21 CM, DBL ACT, INSRT, INSUL HNDL SHFT, NS, LTX</t>
  </si>
  <si>
    <t>DISSECTOR, ENDOSCP, MARYLAND, 3 MMX21 CM, DBL ACT, INSUL HNDL</t>
  </si>
  <si>
    <t>https://www.bd.com/en-us/products-and-solutions/products/product-page.LAT-0321-MD#overview, https://accessgudid.nlm.nih.gov/devices/10885403430794</t>
  </si>
  <si>
    <t>LAT0333MD</t>
  </si>
  <si>
    <t>LAT-0333-MD</t>
  </si>
  <si>
    <t>BD_LAT0333MD</t>
  </si>
  <si>
    <t>MARYLAND GRASPER D/A INSERT 3MM 33CM</t>
  </si>
  <si>
    <t>PRODIGO1057774</t>
  </si>
  <si>
    <t>Grasper 3 Mmx33 Cm Maryland Double Action Insert Insulated Handle Shaft Non Sterile Latex</t>
  </si>
  <si>
    <t>GRASPER, ENDOSCOPIC, MARYLAND, 3 MMX33 CM, DOUBLE ACTION, INSERT, INSULATED HANDLE SHAFT, NON STERILE, LATEX</t>
  </si>
  <si>
    <t>GRASPER, ENDOSCP, MARYLAND, 3 MMX33 CM, DBL ACT, INSRT, INSUL HNDL SHFT, NS, LTX</t>
  </si>
  <si>
    <t>GRASPER, ENDOSCP, MARYLAND, 3 MMX33 CM, DBL ACT, INSUL HNDL SHFT</t>
  </si>
  <si>
    <t>https://www.bd.com/en-us/products-and-solutions/products/product-page.LAT-0333-MD#overview, https://accessgudid.nlm.nih.gov/devices/10885403431555</t>
  </si>
  <si>
    <t>LAT0536MD</t>
  </si>
  <si>
    <t>LAT-0536-MD</t>
  </si>
  <si>
    <t>BD_LAT0536MD</t>
  </si>
  <si>
    <t>MARYLAND GRASPER D/A INSERT 5MM 36CM</t>
  </si>
  <si>
    <t>PRODIGO1057797</t>
  </si>
  <si>
    <t>MARYLAND DISSECTOR INSERT 5MM 36CM</t>
  </si>
  <si>
    <t>DISSECTOR, ENDOSCOPIC, MARYLAND, 5 MMX36 CM, DOUBLE ACTION INSERT, INSULATED HANDLE, INSULATED SHAFT, LAPAROSCOPIC, NON STERILE, LATEX</t>
  </si>
  <si>
    <t>DISSECTOR ENDOSCOPIC MARYLAND 5 MMX36 CM DOUBLE ACTION INSERT INSULATED HANDLE INSULATED SHAFT LAPAROSCOPIC NON STERILE LATEX</t>
  </si>
  <si>
    <t>DISSECTOR, ENDOSCP, MARYLAND, 5 MMX36 CM, DBL ACT INSRT, INSUL HNDL, INSUL SHFT, LAP, NS, LTX</t>
  </si>
  <si>
    <t>DISSECTOR, ENDOSCP, MARYLAND, 5 MMX36 CM, DBL ACT INSRT</t>
  </si>
  <si>
    <t>DOUBLE ACTION INSERT, INSULATED HANDLE, INSULATED SHAFT, LAPAROSCOPIC</t>
  </si>
  <si>
    <t>https://www.bd.com/en-us/products-and-solutions/products/product-page.LAT-0536-MD#overview</t>
  </si>
  <si>
    <t>LAT0545MD</t>
  </si>
  <si>
    <t>LAT-0545-MD</t>
  </si>
  <si>
    <t>BD_LAT0545MD</t>
  </si>
  <si>
    <t>MARYLAND GRASPER D/A INSERT 5MM 45CM</t>
  </si>
  <si>
    <t>PRODIGO1057825</t>
  </si>
  <si>
    <t>MARYLAND DISSECTOR INSERT 5MM 45CM</t>
  </si>
  <si>
    <t>DISSECTOR, ENDOSCOPIC, MARYLAND, 5 MMX45 CM, DOUBLE ACTION INSERT, INSULATED HANDLE, INSULATED SHAFT, LAPAROSCOPIC, NON STERILE, LATEX</t>
  </si>
  <si>
    <t>DISSECTOR ENDOSCOPIC MARYLAND 5 MMX45 CM DOUBLE ACTION INSERT INSULATED HANDLE INSULATED SHAFT LAPAROSCOPIC NON STERILE LATEX</t>
  </si>
  <si>
    <t>DISSECTOR, ENDOSCP, MARYLAND, 5 MMX45 CM, DBL ACT INSRT, INSUL HNDL, INSUL SHFT, LAP, NS, LTX</t>
  </si>
  <si>
    <t>DISSECTOR, ENDOSCP, MARYLAND, 5 MMX45 CM, DBL ACT INSRT</t>
  </si>
  <si>
    <t>https://www.bd.com/en-us/products-and-solutions/products/product-page.lat-0545-md#overview</t>
  </si>
  <si>
    <t>CH2440</t>
  </si>
  <si>
    <t>BD_CH2440</t>
  </si>
  <si>
    <t>MASSON NEEDLE HOLDER HEAVY 10-1/2IN</t>
  </si>
  <si>
    <t>PRODIGO1056793</t>
  </si>
  <si>
    <t>MASSON Needle Holder</t>
  </si>
  <si>
    <t>HOLDER, NEEDLE, MASSON, 10.5 IN, HEAVY DUTY, NON STERILE, LATEX</t>
  </si>
  <si>
    <t>HOLDER, NDL, MASSON, 10.5 IN, HVY DTY, NS, LTX</t>
  </si>
  <si>
    <t>MASSON</t>
  </si>
  <si>
    <t>10.5 IN</t>
  </si>
  <si>
    <t>HEAVY DUTY</t>
  </si>
  <si>
    <t>http://www.lt-technologies.de/_ws/mediabase/_ts_1494230442000/Downloads/CardioCatalog_LIT12012_low-res.pdf, https://accessgudid.nlm.nih.gov/devices/10885403025464</t>
  </si>
  <si>
    <t>GU8212</t>
  </si>
  <si>
    <t>BD_GU8212</t>
  </si>
  <si>
    <t>MASSON-JUDD BLADDER RETR W/2 SWIVEL BLDE</t>
  </si>
  <si>
    <t>PRODIGO1057622</t>
  </si>
  <si>
    <t>Masson-Judd bladder retractor Self-retaining with two swivel blades. Crossbar 6-5/8in (16.8cm). Blade depth 3in (6.9cm). Arm length 5-1/8in (13cm).</t>
  </si>
  <si>
    <t>RETRACTOR, SURGICAL, MASSON-JUDD, 6-5/8 IN, 3 IN, 5-1/8 IN, BLADDER, SELF-RETAINING, WITH TWO SWIVEL BLADE, CROSSBAR, NON STERILE, LATEX</t>
  </si>
  <si>
    <t>RETRACTOR, SURG, MASSON-JUDD, 6-5/8 IN, 3 IN, 5-1/8 IN, BLDR, SELF RET, W/ TWO SWVL BLADE, CROSSBAR, NS, LTX</t>
  </si>
  <si>
    <t>RETRACTOR, SURG, MASSON-JUDD, 6-5/8 IN, 3 IN, 5-1/8 IN, BLDR</t>
  </si>
  <si>
    <t>MASSON-JUDD</t>
  </si>
  <si>
    <t>3 IN, 5-1/8 IN</t>
  </si>
  <si>
    <t>BLADDER</t>
  </si>
  <si>
    <t>SELF-RETAINING, WITH TWO SWIVEL BLADE, CROSSBAR</t>
  </si>
  <si>
    <t>https://www.bd.com/en-us/products-and-solutions/products/product-page.GU8212#overview, https://accessgudid.nlm.nih.gov/devices/10885403050305</t>
  </si>
  <si>
    <t>GL3268</t>
  </si>
  <si>
    <t>BD_GL3268</t>
  </si>
  <si>
    <t>MASTERSON HYSTRECTOMY FORCEPS STR 8-1/2</t>
  </si>
  <si>
    <t>PRODIGO1057447</t>
  </si>
  <si>
    <t>Masterson uterine forceps Straight. Overall length 8-1/2in (21.6cm).</t>
  </si>
  <si>
    <t>FORCEP, SURGICAL, MASTERSON, 8.5 IN, HYSTERECTOMY, STRAIGHT, DOUBLE ACTION, RING HANDLE, STAINLESS STEEL, GOLD PLATED, NON STERILE, LATEX</t>
  </si>
  <si>
    <t>FORCEP, SURG, MASTERSON, 8.5 IN, HYS, STR, DBL ACT, RNG HNDL, SS, GLD PLT, NS, LTX</t>
  </si>
  <si>
    <t>FORCEP, SURG, MASTERSON, 8.5 IN, HYS, STR, DBL ACT, RNG HNDL, SS</t>
  </si>
  <si>
    <t>MASTERSON</t>
  </si>
  <si>
    <t>HYSTERECTOMY, STRAIGHT, DOUBLE ACTION, RING HANDLE</t>
  </si>
  <si>
    <t>STAINLESS STEEL, GOLD PLATED</t>
  </si>
  <si>
    <t>https://www.bd.com/en-us/products-and-solutions/products/product-page.GL3268#overview, https://accessgudid.nlm.nih.gov/devices/00190776000424</t>
  </si>
  <si>
    <t>CH80</t>
  </si>
  <si>
    <t>BD_CH80</t>
  </si>
  <si>
    <t>MATSON RIB STRIPPER/ELEV ADULT 8-3/4IN</t>
  </si>
  <si>
    <t>PRODIGO1057174</t>
  </si>
  <si>
    <t>MATSON RIB STRIPPER &amp; ELEVATOR ADULT STRIPPER 2.5MM WIDE ELEVATOR 1.6CM WIDE OVERALL LENGTH 8-3/4IN(22.2CM)</t>
  </si>
  <si>
    <t>INSTRUMENT SET, MATSON, ADULT, 8.75 INX2.5 MMX1.6 CM, RIB STRIPPER, ELEVATOR, NON STERILE, LATEX</t>
  </si>
  <si>
    <t>INSTRUMENT SET, MATSON, AD, 8.75 INX2.5 MMX1.6 CM, RIB STRIPPER, ELEV, NS, LTX</t>
  </si>
  <si>
    <t>INSTRUMENT SET, MATSON, AD, 8.75 INX2.5 MMX1.6 CM, RIB STRIPPER</t>
  </si>
  <si>
    <t>MATSON</t>
  </si>
  <si>
    <t>8.75 INX2.5 MMX1.6 CM</t>
  </si>
  <si>
    <t>RIB STRIPPER, ELEVATOR</t>
  </si>
  <si>
    <t>https://accessgudid.nlm.nih.gov/devices/10885403022432</t>
  </si>
  <si>
    <t>CH82</t>
  </si>
  <si>
    <t>BD_CH82</t>
  </si>
  <si>
    <t>MATSON RIB STRIPPER/ELEV PED 5-1/2IN</t>
  </si>
  <si>
    <t>PRODIGO1057228</t>
  </si>
  <si>
    <t>MATSON Rib Strippers and Elevators</t>
  </si>
  <si>
    <t>SURGICAL INSTRUMENT SET, MATSON, PEDIATRIC, 5.5 IN, 2.1X1.2 CM, RIB, STRIPPER, ELEVATOR, NON STERILE, LATEX</t>
  </si>
  <si>
    <t>SURGICAL INSTRUMENT SET, MATSON, PEDIATRIC, 5.5 IN, 2.1X1.2 CM, RIB, STRIPPER, ELEV, NS, LTX</t>
  </si>
  <si>
    <t>SURGICAL INSTRUMENT SET, MATSON, 5.5 IN, 2.1X1.2 CM, RIB, ELEV, NS</t>
  </si>
  <si>
    <t>SURGICAL INSTRUMENT SET</t>
  </si>
  <si>
    <t>2.1X1.2 CM</t>
  </si>
  <si>
    <t>STRIPPER, ELEVATOR</t>
  </si>
  <si>
    <t>https://www.hces.com.sg/wp-content/uploads/2021/04/Cardiovascular-Pages-from-vmueller-snowdenpencer-armamentarium-catalogue-4.pdf, https://accessgudid.nlm.nih.gov/devices/10885403022449</t>
  </si>
  <si>
    <t>GL475</t>
  </si>
  <si>
    <t>BD_GL475</t>
  </si>
  <si>
    <t>MATZENAUER VAG SPEC 4-5/16X1IN</t>
  </si>
  <si>
    <t>PRODIGO1057507</t>
  </si>
  <si>
    <t>Matzenauer vaginal speculum Mirror and satin finish. Blade 4-5/16in x 1in wide (11cm x 2.5cm). Overall length 12-3/8in (31.5cm).</t>
  </si>
  <si>
    <t>SPECULA, VAGINAL, MATZENAUER, 12-3/8 IN, 4-5/16X1 IN, MIRROR AND SATIN FINISH, NON STERILE, LATEX</t>
  </si>
  <si>
    <t>SPECULA, VAG, MATZENAUER, 12-3/8 IN, 4-5/16X1 IN, MIRROR &amp; SATIN FINISH, NS, LTX</t>
  </si>
  <si>
    <t>SPECULA, VAG, MATZENAUER, 12-3/8 IN, 4-5/16X1 IN, NS, LTX</t>
  </si>
  <si>
    <t>MATZENAUER</t>
  </si>
  <si>
    <t>12-3/8 IN</t>
  </si>
  <si>
    <t>4-5/16X1 IN</t>
  </si>
  <si>
    <t>https://www.bd.com/en-us/products-and-solutions/products/product-page.GL475#overview, https://accessgudid.nlm.nih.gov/devices/10885403043291</t>
  </si>
  <si>
    <t>GL486</t>
  </si>
  <si>
    <t>BD_GL486</t>
  </si>
  <si>
    <t>MATZENAUER VAG SPEC BLADE 4-3/4 X 1-1/2</t>
  </si>
  <si>
    <t>PRODIGO1057510</t>
  </si>
  <si>
    <t>Matzenauer vaginal speculum Blade 4-3/4in x 1-1/2in wide (12cm x 3.8cm).</t>
  </si>
  <si>
    <t>SPECULA, VAGINAL, MATZENAUER, 4.75X1.5 IN, NON STERILE, LATEX</t>
  </si>
  <si>
    <t>SPECULA, VAG, MATZENAUER, 4.75X1.5 IN, NS, LTX</t>
  </si>
  <si>
    <t>4.75X1.5 IN</t>
  </si>
  <si>
    <t>https://www.bd.com/en-us/products-and-solutions/products/product-page.GL486#overview, https://accessgudid.nlm.nih.gov/devices/10885403043345</t>
  </si>
  <si>
    <t>CH2080</t>
  </si>
  <si>
    <t>BD_CH2080</t>
  </si>
  <si>
    <t>MAYO-HARRINGTON DISSECT STR SCISSOR 11IN</t>
  </si>
  <si>
    <t>PRODIGO1056767</t>
  </si>
  <si>
    <t>MAYO HARRINGTON Dissecting Scissors</t>
  </si>
  <si>
    <t>SCISSOR, SURGICAL, MAYO-HARRINGTON, 11 IN, DISSECTING, STRAIGHT, MIRROR FINISH, NON STERILE, LATEX</t>
  </si>
  <si>
    <t>SCISSOR, SURG, MAYO-HARRINGTON, 11 IN, DISECT, STR, MIRROR FINISH, NS, LTX</t>
  </si>
  <si>
    <t>SCISSOR, SURG, MAYO-HARRINGTON, 11 IN, DISECT, STR, MIRROR FINISH</t>
  </si>
  <si>
    <t>MAYO-HARRINGTON</t>
  </si>
  <si>
    <t>DISSECTING, STRAIGHT, MIRROR FINISH</t>
  </si>
  <si>
    <t>http://www.lt-technologies.de/_ws/mediabase/_ts_1494230442000/Downloads/CardioCatalog_LIT12012_low-res.pdf, https://accessgudid.nlm.nih.gov/devices/10885403024825</t>
  </si>
  <si>
    <t>CH1520</t>
  </si>
  <si>
    <t>BD_CH1520</t>
  </si>
  <si>
    <t>MAYO-RUSSIAN TISSUE FORCEPS 14IN</t>
  </si>
  <si>
    <t>PRODIGO1056714</t>
  </si>
  <si>
    <t>Mayo Russian tissue forceps Rugged non-perforating teeth surround the perforated jaws Deeply serrated handles Overall length 14in</t>
  </si>
  <si>
    <t>FORCEP, SURGICAL, MAYO-RUSSIAN, 14 IN, RUGGED, NON PERFORATING TEETH SURROUND THE PERFORATED JAW, DEEPLY SERRATED HANDLE, TISSUE, NON STERILE, LATEX</t>
  </si>
  <si>
    <t>FORCEP, SURG, MAYO-RUSSIAN, 14 IN, RUGGED, N PERFORATING TEETH SURROUND THE PERF JAW, DEEPLY SERRATED HNDL, TISS, NS, LTX</t>
  </si>
  <si>
    <t>FORCEP, SURG, MAYO-RUSSIAN, 14 IN, RUGGED, N PERFORATING TEETH</t>
  </si>
  <si>
    <t>MAYO-RUSSIAN</t>
  </si>
  <si>
    <t>RUGGED, NON PERFORATING TEETH SURROUND THE PERFORATED JAW, DEEPLY SERRATED HANDLE</t>
  </si>
  <si>
    <t>https://www.bd.com/en-us/products-and-solutions/products/product-page.CH1520#specifications, https://accessgudid.nlm.nih.gov/devices/10885403023934</t>
  </si>
  <si>
    <t>AU12930</t>
  </si>
  <si>
    <t>BD_AU12930</t>
  </si>
  <si>
    <t>MCCABE CANAL KNIFE RND BLADE 45DEG 2.5MM</t>
  </si>
  <si>
    <t>PRODIGO1056179</t>
  </si>
  <si>
    <t>MCCABE CANAL KNIVES SHARP ROUND BLADE ANGLED 45 DEGREES. SQUARE HOLLOW HANDLE. MIRROR AND SATIN FINISH. OVERALL LENGTH 6-1/4IN (15.9CM). DIAMETER 2.5MM.</t>
  </si>
  <si>
    <t>KNIFE, SURGICAL, MCCABE CANAL, 45 DEGREE, 2.5 MMX6.25 IN, ANGLED, SHARP, ROUND BLADE, SQUARE, HOLLOW HANDLE, MIRROR, SATIN FINISH, NON STERILE, LATEX</t>
  </si>
  <si>
    <t>KNIFE, SURG, MCCABE CNL, 45 DEG, 2.5 MMX6.25 IN, ANGLED, SHRP, RND BLADE, SQ, HLLW HNDL, MIRROR, SATIN FINISH, NS, LTX</t>
  </si>
  <si>
    <t>KNIFE, SURG, MCCABE CNL, 45 DEG, 2.5 MMX6.25 IN, ANGLED, RND BLADE</t>
  </si>
  <si>
    <t>MCCABE CANAL</t>
  </si>
  <si>
    <t>2.5 MMX6.25 IN</t>
  </si>
  <si>
    <t>ANGLED, SHARP, ROUND BLADE, SQUARE, HOLLOW HANDLE, MIRROR, SATIN FINISH</t>
  </si>
  <si>
    <t>https://www.bd.com/en-us/products-and-solutions/products/product-page.AU12930#overview, https://accessgudid.nlm.nih.gov/devices/10885403010200</t>
  </si>
  <si>
    <t>AU12920</t>
  </si>
  <si>
    <t>BD_AU12920</t>
  </si>
  <si>
    <t>MCCABE CANAL KNIFE ROUND BLADE 2MM 45DEG</t>
  </si>
  <si>
    <t>PRODIGO1056178</t>
  </si>
  <si>
    <t>MCCABE CANAL KNIVES SHARP ROUND BLADE ANGLED 45 DEGREES. SQUARE HOLLOW HANDLE. MIRROR AND SATIN FINISH. OVERALL LENGTH 6-1/4IN (15.9CM). DIAMETER 2MM.</t>
  </si>
  <si>
    <t>KNIFE, SURGICAL, MCCABE CANAL, 45 DEGREE, 2 MMX6.25 IN, ANGLED, SHARP, ROUND BLADE, SQUARE, HOLLOW HANDLE, MIRROR, SATIN FINISH, NON STERILE, LATEX</t>
  </si>
  <si>
    <t>KNIFE, SURG, MCCABE CNL, 45 DEG, 2 MMX6.25 IN, ANGLED, SHRP, RND BLADE, SQ, HLLW HNDL, MIRROR, SATIN FINISH, NS, LTX</t>
  </si>
  <si>
    <t>KNIFE, SURG, MCCABE CNL, 45 DEG, 2 MMX6.25 IN, ANGLED, RND BLADE</t>
  </si>
  <si>
    <t>2 MMX6.25 IN</t>
  </si>
  <si>
    <t>https://www.bd.com/en-us/products-and-solutions/products/product-page.AU12920#overview, https://accessgudid.nlm.nih.gov/devices/10885403010194</t>
  </si>
  <si>
    <t>AU12950</t>
  </si>
  <si>
    <t>BD_AU12950</t>
  </si>
  <si>
    <t>MCCABE FLAP KNIFE DISSECTR DBL-END 20&amp;40</t>
  </si>
  <si>
    <t>PRODIGO1056180</t>
  </si>
  <si>
    <t>MCCABE FLAP KNIFE DISSECTOR DOUBLE-ENDED WITH 2MM X 3.5MM WIDE BLADES ANGLED 20 DEGREES AND 45 DEGREES. SQUARE HOLLOW HANDLE. OVERALL LENGTH 7-1/4IN (18.4CM).</t>
  </si>
  <si>
    <t>DISSECTOR, SURGICAL, MCCABE, 20/45 DEGREE, 7.25 IN, 3X2 MM, FLAP KNIFE, DOUBLE ENDED, ANGLED, SQUARE, HOLLOW HANDLE, NON STERILE, LATEX</t>
  </si>
  <si>
    <t>DISSECTOR, SURG, MCCABE, 20/45 DEG, 7.25 IN, 3X2 MM, FLAP KNIFE, DBL END, ANGLED, SQ, HLLW HNDL, NS, LTX</t>
  </si>
  <si>
    <t>DISSECTOR, SURG, MCCABE, 20/45 DEG, 7.25 IN, 3X2 MM, FLAP KNIFE</t>
  </si>
  <si>
    <t>MCCABE</t>
  </si>
  <si>
    <t>20/45 DEGREE</t>
  </si>
  <si>
    <t>3X2 MM</t>
  </si>
  <si>
    <t>FLAP KNIFE, DOUBLE ENDED, ANGLED, SQUARE, HOLLOW HANDLE</t>
  </si>
  <si>
    <t>https://www.bd.com/en-us/products-and-solutions/products/product-page.au12950#overview, https://accessgudid.nlm.nih.gov/devices/10885403010217</t>
  </si>
  <si>
    <t>AU12830</t>
  </si>
  <si>
    <t>BD_AU12830</t>
  </si>
  <si>
    <t>MCCABE MEASURING INSTRUMENT 6-1/8IN</t>
  </si>
  <si>
    <t>PRODIGO1056174</t>
  </si>
  <si>
    <t>MCCABE MEASURING INSTRUMENT SLIGHTLY CURVED ROUND SHAFT WITH CALIBRATIONS AT 3MM 4MM AND 5MM. OVERALL LENGTH 6-1/8IN (15.6CM).</t>
  </si>
  <si>
    <t>DEVICE, MEASURING, MCCABE, 6-1/8 IN, SLIGHTLY CURVED, ROUND SHAFT, CALIBRATION, 3/4/5 MM FOR MEASURING INSTRUMENT, NON STERILE, LATEX</t>
  </si>
  <si>
    <t>DEVICE, MEAS, MCCABE, 6-1/8 IN, SLIGHTLY CRV, RND SHFT, CALIB, 3/4/5 MM FOR MEAS INSTRUMENT, NS, LTX</t>
  </si>
  <si>
    <t>DEVICE, MEAS, MCCABE, 6-1/8 IN, SLIGHTLY CRV, RND SHFT, CALIB</t>
  </si>
  <si>
    <t>DEVICE</t>
  </si>
  <si>
    <t>SLIGHTLY CURVED, ROUND SHAFT, CALIBRATION, 3/4/5 MM FOR MEASURING INSTRUMENT</t>
  </si>
  <si>
    <t>https://www.bd.com/en-us/products-and-solutions/products/product-page.AU12830#overview, https://accessgudid.nlm.nih.gov/devices/10885403010156</t>
  </si>
  <si>
    <t>AU12995</t>
  </si>
  <si>
    <t>BD_AU12995</t>
  </si>
  <si>
    <t>MCCABE PERFORATION RASP BLADE ANG 120DEG</t>
  </si>
  <si>
    <t>PRODIGO1056182</t>
  </si>
  <si>
    <t>42291611  Surgical rasps or files</t>
  </si>
  <si>
    <t>MCCABE PERFORATION RASPS RASP ON INSIDE OF BLADE. OVERALL LENGTH 6-1/4IN (15.9CM). BLADE ANGLED 120 DEGREES. SQUARE SOLID HANDLE.</t>
  </si>
  <si>
    <t>RASP, SURGICAL, MCCABE, 120 DEGREE, 6.25 IN, ANGLED, PERFORATION, SQUARE SOLID HANDLE, NON STERILE, LATEX</t>
  </si>
  <si>
    <t>RASP, SURG, MCCABE, 120 DEG, 6.25 IN, ANGLED, PERF, SQ SLD HNDL, NS, LTX</t>
  </si>
  <si>
    <t>RASP, SURG, MCCABE, 120 DEG, 6.25 IN, ANGLED, PERF, SQ SLD HNDL, NS</t>
  </si>
  <si>
    <t>RASP</t>
  </si>
  <si>
    <t>ANGLED, PERFORATION, SQUARE SOLID HANDLE</t>
  </si>
  <si>
    <t>https://www.bd.com/en-us/products-and-solutions/products/product-page.AU12995#overview, https://accessgudid.nlm.nih.gov/devices/10885403010255</t>
  </si>
  <si>
    <t>AU12990</t>
  </si>
  <si>
    <t>BD_AU12990</t>
  </si>
  <si>
    <t>MCCABE PERFORATION RASP BLADE ANG 45DEG</t>
  </si>
  <si>
    <t>PRODIGO1056181</t>
  </si>
  <si>
    <t>MCCABE PERFORATION RASPS RASP ON INSIDE OF BLADE. OVERALL LENGTH 6-1/4IN (15.9CM). ANGLED 45 DEGREES.</t>
  </si>
  <si>
    <t>RASP, SURGICAL, MCCABE, 45 DEGREE, 6.25 IN, ANGLED, PERFORATION, NON STERILE, LATEX</t>
  </si>
  <si>
    <t>RASP, SURG, MCCABE, 45 DEG, 6.25 IN, ANGLED, PERF, NS, LTX</t>
  </si>
  <si>
    <t>ANGLED, PERFORATION</t>
  </si>
  <si>
    <t>https://www.bd.com/en-us/products-and-solutions/products/product-page.AU12990#overview, https://accessgudid.nlm.nih.gov/devices/10885403010248</t>
  </si>
  <si>
    <t>GU4090018</t>
  </si>
  <si>
    <t>GU4090-018</t>
  </si>
  <si>
    <t>BD_GU4090018</t>
  </si>
  <si>
    <t>MCCREA FEMALE SOUND 18FR OVER LGTH 7-5/8</t>
  </si>
  <si>
    <t>PRODIGO1057607</t>
  </si>
  <si>
    <t>McCrea female sounds Mirror and satin finish. Overall length 7-5/8in (19.4cm). 18Fr.</t>
  </si>
  <si>
    <t>SOUND, SURGICAL, MCCREA, 18 FRX7-5/8 IN, FEMALE, MIRROR AND SATIN FINISH, NON STERILE, LATEX</t>
  </si>
  <si>
    <t>SOUND, SURG, MCCREA, 18 FRX7-5/8 IN, FEMALE, MIRROR &amp; SATIN FINISH, NS, LTX</t>
  </si>
  <si>
    <t>SOUND, SURG, MCCREA, 18 FRX7-5/8 IN, FEMALE, MIRROR &amp; SATIN</t>
  </si>
  <si>
    <t>MCCREA</t>
  </si>
  <si>
    <t>18 FRX7-5/8 IN</t>
  </si>
  <si>
    <t>FEMALE</t>
  </si>
  <si>
    <t>https://www.bd.com/en-us/products-and-solutions/products/product-page.GU4090-018#overview, https://accessgudid.nlm.nih.gov/devices/10885403049774</t>
  </si>
  <si>
    <t>GU4090030</t>
  </si>
  <si>
    <t>GU4090-030</t>
  </si>
  <si>
    <t>BD_GU4090030</t>
  </si>
  <si>
    <t>MCCREA FEMALE SOUND 30FR OVER LGTH 7-5/8</t>
  </si>
  <si>
    <t>PRODIGO1057608</t>
  </si>
  <si>
    <t>McCrea female sounds Mirror and satin finish. Overall length 7-5/8in (19.4cm). 30Fr.</t>
  </si>
  <si>
    <t>SOUND, SURGICAL, MCCREA, 30 FRX7-5/8 IN, FEMALE, MIRROR AND SATIN FINISH, NON STERILE, LATEX</t>
  </si>
  <si>
    <t>SOUND, SURG, MCCREA, 30 FRX7-5/8 IN, FEMALE, MIRROR &amp; SATIN FINISH, NS, LTX</t>
  </si>
  <si>
    <t>SOUND, SURG, MCCREA, 30 FRX7-5/8 IN, FEMALE, MIRROR &amp; SATIN</t>
  </si>
  <si>
    <t>30 FRX7-5/8 IN</t>
  </si>
  <si>
    <t>https://www.bd.com/en-us/products-and-solutions/products/product-page.GU4090-030#overview, https://accessgudid.nlm.nih.gov/devices/10885403049835</t>
  </si>
  <si>
    <t>GU4090036</t>
  </si>
  <si>
    <t>GU4090-036</t>
  </si>
  <si>
    <t>BD_GU4090036</t>
  </si>
  <si>
    <t>MCCREA FEMALE SOUND 36FR OVER LGTH 7-5/8</t>
  </si>
  <si>
    <t>PRODIGO1057609</t>
  </si>
  <si>
    <t>McCrea female sounds McCrea female sounds</t>
  </si>
  <si>
    <t>SOUND, SURGICAL, MCCREA, 36 FRX7-5/8 IN, FEMALE, MIRROR AND SATIN FINISH, NON STERILE, LATEX</t>
  </si>
  <si>
    <t>SOUND, SURG, MCCREA, 36 FRX7-5/8 IN, FEMALE, MIRROR &amp; SATIN FINISH, NS, LTX</t>
  </si>
  <si>
    <t>SOUND, SURG, MCCREA, 36 FRX7-5/8 IN, FEMALE, MIRROR &amp; SATIN</t>
  </si>
  <si>
    <t>36 FRX7-5/8 IN</t>
  </si>
  <si>
    <t>https://www.bd.com/en-us/products-and-solutions/products/product-page.GU4090-036#overview, https://accessgudid.nlm.nih.gov/devices/10885403049866</t>
  </si>
  <si>
    <t>MO1720</t>
  </si>
  <si>
    <t>BD_MO1720</t>
  </si>
  <si>
    <t>MCHENRY TONSIL ARTERY/SPONGE FORCEPS 8IN</t>
  </si>
  <si>
    <t>PRODIGO1057913</t>
  </si>
  <si>
    <t>MCHENRY TONSIL ARTERY AND SPONGE HOLDING FORCEPS OPEN FINGER RINGS. SLIGHTLY CURVED JAWS. OVERALL LENGTH 8IN (20.3CM).</t>
  </si>
  <si>
    <t>FORCEP, SURGICAL, MCHENRY, 8 IN, TONSIL, ARTERY, SPONGE HOLDING, OPEN FINGER RING, SLIGHTLY CURVED JAW, NON STERILE, LATEX</t>
  </si>
  <si>
    <t>FORCEP, SURG, MCHENRY, 8 IN, TONSIL, ART, SPNG HOLDING, OPN FNGR RNG, SLIGHTLY CRV JAW, NS, LTX</t>
  </si>
  <si>
    <t>FORCEP, SURG, MCHENRY, 8 IN, TONSIL, SPNG HOLDING, OPN FNGR RNG</t>
  </si>
  <si>
    <t>MCHENRY</t>
  </si>
  <si>
    <t>TONSIL, ARTERY</t>
  </si>
  <si>
    <t>SPONGE HOLDING, OPEN FINGER RING, SLIGHTLY CURVED JAW</t>
  </si>
  <si>
    <t>https://www.bd.com/en-us/products-and-solutions/products/product-page.MO1720#overview, https://accessgudid.nlm.nih.gov/devices/10885403058981</t>
  </si>
  <si>
    <t>MO144</t>
  </si>
  <si>
    <t>BD_MO144</t>
  </si>
  <si>
    <t>MCIVOR TONGUE BLADE #2-1/2 3 X 1IN</t>
  </si>
  <si>
    <t>PRODIGO1057892</t>
  </si>
  <si>
    <t>MCIVOR MOUTH GAGS BLADE NO. 2-1/2. SMALL. 3IN X 1IN (7.5CM X 2.3CM) WIDE.</t>
  </si>
  <si>
    <t>GAG, MOUTH, MCIVOR, 2.5, SMALL, 3X1 IN, SATIN FINISH, RETRACTION, STAINLESS STEEL, NON STERILE, LATEX</t>
  </si>
  <si>
    <t>GAG, MOUTH, MCIVOR, 2.5, SM, 3X1 IN, SATIN FINISH, RETRCT, SS, NS, LTX</t>
  </si>
  <si>
    <t>MCIVOR</t>
  </si>
  <si>
    <t>2.5, SMALL</t>
  </si>
  <si>
    <t>3X1 IN</t>
  </si>
  <si>
    <t>SATIN FINISH, RETRACTION</t>
  </si>
  <si>
    <t>https://www.bd.com/en-us/products-and-solutions/products/product-page.MO144#overview, https://accessgudid.nlm.nih.gov/devices/10885403058097</t>
  </si>
  <si>
    <t>MO142</t>
  </si>
  <si>
    <t>BD_MO142</t>
  </si>
  <si>
    <t>MCIVOR TONGUE BLADE LARGE #4 4X1IN</t>
  </si>
  <si>
    <t>PRODIGO1057889</t>
  </si>
  <si>
    <t>MCIVOR MOUTH GAGS BLADE NO. 4. LARGE. 4IN X 1IN (10.3CM X 2.6CM) WIDE.</t>
  </si>
  <si>
    <t>GAG, MOUTH, MCIVOR, 4, LARGE, 4X1 IN, BLADE, SATIN FINISH, STAINLESS STEEL, NON STERILE, LATEX</t>
  </si>
  <si>
    <t>GAG, MOUTH, MCIVOR, 4, LG, 4X1 IN, BLADE, SATIN FINISH, SS, NS, LTX</t>
  </si>
  <si>
    <t>4, LARGE</t>
  </si>
  <si>
    <t>4X1 IN</t>
  </si>
  <si>
    <t>BLADE, SATIN FINISH</t>
  </si>
  <si>
    <t>https://www.bd.com/en-us/products-and-solutions/products/product-page.mo142#overview, https://accessgudid.nlm.nih.gov/devices/10885403058073</t>
  </si>
  <si>
    <t>MO143</t>
  </si>
  <si>
    <t>BD_MO143</t>
  </si>
  <si>
    <t>MCIVOR TONGUE BLADE MED #3 3-5/8X1IN</t>
  </si>
  <si>
    <t>PRODIGO1057891</t>
  </si>
  <si>
    <t>MCIVOR MOUTH GAGS BLADE NO. 3. MEDIUM. 3-5/8IN X 1IN (9.1CM X 2.5CM) WIDE.</t>
  </si>
  <si>
    <t>GAG, MOUTH, MCIVOR, 3, MEDIUM, 3-5/8X1 IN, SATIN FINISH, RETRACTION, STAINLESS STEEL, NON STERILE, LATEX</t>
  </si>
  <si>
    <t>GAG, MOUTH, MCIVOR, 3, MED, 3-5/8X1 IN, SATIN FINISH, RETRCT, SS, NS, LTX</t>
  </si>
  <si>
    <t>GAG, MOUTH, MCIVOR, 3, MED, 3-5/8X1 IN, SATIN FINISH, RETRCT, SS, NS</t>
  </si>
  <si>
    <t>3, MEDIUM</t>
  </si>
  <si>
    <t>3-5/8X1 IN</t>
  </si>
  <si>
    <t>https://www.bd.com/en-us/products-and-solutions/products/product-page.MO143#overview, https://accessgudid.nlm.nih.gov/devices/10885403058080</t>
  </si>
  <si>
    <t>GL55304</t>
  </si>
  <si>
    <t>GL5530-4</t>
  </si>
  <si>
    <t>BD_GL55304</t>
  </si>
  <si>
    <t>MCLANE-TUCKER OB FORCEPS OVERLGTH 16-1/4</t>
  </si>
  <si>
    <t>PRODIGO1057523</t>
  </si>
  <si>
    <t>MCLANE-TUCKER OBSTETRICAL FORCEPS 1 PAIR SOLID BLADES LONG OVERALL LENGTH 16-1/4 in(41.3CM)</t>
  </si>
  <si>
    <t>FORCEP, SURGICAL, MCLANE-TUCKER, LONG, 16.25 IN, OBSTETRICAL, WITH 1 PAIR, SOLID BLADE, NON STERILE, LATEX</t>
  </si>
  <si>
    <t>FORCEP, SURG, MCLANE-TUCKER, LNG, 16.25 IN, OB, W/ 1 PR, SLD BLADE, NS, LTX</t>
  </si>
  <si>
    <t>FORCEP, SURG, MCLANE-TUCKER, LNG, 16.25 IN, OB, W/ 1 PR, SLD BLADE</t>
  </si>
  <si>
    <t>MCLANE-TUCKER</t>
  </si>
  <si>
    <t>16.25 IN</t>
  </si>
  <si>
    <t>https://accessgudid.nlm.nih.gov/devices/70885403160501, https://accessgudid.nlm.nih.gov/devices/70885403160501</t>
  </si>
  <si>
    <t>CH2034001</t>
  </si>
  <si>
    <t>CH2034-001</t>
  </si>
  <si>
    <t>BD_CH2034001</t>
  </si>
  <si>
    <t>METZ DISCT SCISSOR BL/BL STR 4.1CM</t>
  </si>
  <si>
    <t>PRODIGO1056763</t>
  </si>
  <si>
    <t>METZENBAUM Dissecting Scissors</t>
  </si>
  <si>
    <t>SCISSOR, SURGICAL, METZENBAUM, 8 IN, 4.1 CM, STRAIGHT, DISSECTING, BLUNT/BLUNT, MIRROR, SATIN FINISH, NON STERILE, LATEX</t>
  </si>
  <si>
    <t>SCISSOR, SURG, METZ, 8 IN, 4.1 CM, STR, DISECT, BLNT/BLNT, MIRROR, SATIN FINISH, NS, LTX</t>
  </si>
  <si>
    <t>SCISSOR, SURG, METZ, 8 IN, 4.1 CM, STR, DISECT, BLNT/BLNT, SATIN</t>
  </si>
  <si>
    <t>4.1 CM</t>
  </si>
  <si>
    <t>STRAIGHT, DISSECTING, BLUNT/BLUNT, MIRROR, SATIN FINISH</t>
  </si>
  <si>
    <t>http://www.lt-technologies.de/_ws/mediabase/_ts_1494230442000/Downloads/CardioCatalog_LIT12012_low-res.pdf, https://accessgudid.nlm.nih.gov/devices/10885403024740</t>
  </si>
  <si>
    <t>MA1600</t>
  </si>
  <si>
    <t>BD_MA1600</t>
  </si>
  <si>
    <t>METZ DISSECT SCISSOR CVD-ON-FLAT B/B 7IN</t>
  </si>
  <si>
    <t>PRODIGO1057846</t>
  </si>
  <si>
    <t>METZENBAUM DISSECTING SCISSORS AFFINITY LINE. SLIGHTLY CURVED-ON-FLAT. BLUNT/BLUNT. OVERALL LENGTH 7IN (17.8CM).</t>
  </si>
  <si>
    <t>SCISSOR, SURGICAL, METZENBAUM, 7 IN, DISSECTING, SLIGHTLY CURVED-ON-FLAT, BLUNT/BLUNT, NON STERILE, LATEX</t>
  </si>
  <si>
    <t>SCISSOR, SURG, METZ, 7 IN, DISECT, SLIGHTLY CURVED-ON-FLAT, BLUNT/BLUNT, NS, LTX</t>
  </si>
  <si>
    <t>SCISSOR, SURG, METZ, 7 IN, SLIGHTLY CURVED-ON-FLAT, BLUNT/BLUNT</t>
  </si>
  <si>
    <t>DISSECTING, SLIGHTLY CURVED-ON-FLAT, BLUNT/BLUNT</t>
  </si>
  <si>
    <t>https://www.bd.com/en-us/products-and-solutions/products/product-page.MA1600#overview, https://accessgudid.nlm.nih.gov/devices/10885403056390</t>
  </si>
  <si>
    <t>MO1598</t>
  </si>
  <si>
    <t>BD_MO1598</t>
  </si>
  <si>
    <t>METZ DISSECTING SCISSORS BL/BL STR 7IN</t>
  </si>
  <si>
    <t>PRODIGO1057896</t>
  </si>
  <si>
    <t>METZENBAUM DISSECTING SCISSORS DISSECTING BLADES. BLUNT/BLUNT. OVERALL LENGTH 7IN (17.8CM). STRAIGHT.</t>
  </si>
  <si>
    <t>SCISSOR, SURGICAL, METZENBAUM, 7 IN, DISSECTING BLADE, BLUNT/BLUNT, STRAIGHT, RING HANDLE, NON STERILE, LATEX</t>
  </si>
  <si>
    <t>SCISSOR, SURG, METZ, 7 IN, DISECT BLADE, BLUNT/BLUNT, STR, RNG HNDL, NS, LTX</t>
  </si>
  <si>
    <t>SCISSOR, SURG, METZ, 7 IN, DISECT BLADE, BLUNT/BLUNT, STR, RNG HNDL</t>
  </si>
  <si>
    <t>DISSECTING BLADE, BLUNT/BLUNT, STRAIGHT, RING HANDLE</t>
  </si>
  <si>
    <t>https://www.bd.com/en-us/products-and-solutions/products/product-page.MO1598#overview, https://accessgudid.nlm.nih.gov/devices/10885403058806</t>
  </si>
  <si>
    <t>MA1603</t>
  </si>
  <si>
    <t>BD_MA1603</t>
  </si>
  <si>
    <t>METZ DISSECTING SCISSORS LIGHT MODEL CVD</t>
  </si>
  <si>
    <t>PRODIGO1057849</t>
  </si>
  <si>
    <t>METZENBAUM DISSECTING SCISSORS AFFINITY LINE. LIGHT MODEL CURVED. OVERALL LENGTH 7-3/8IN (18.7CM).</t>
  </si>
  <si>
    <t>SCISSOR, SURGICAL, METZENBAUM, 7-3/8 IN, DISSECTING, LIGHT MODEL, CURVED, NON STERILE, LATEX</t>
  </si>
  <si>
    <t>SCISSOR, SURG, METZ, 7-3/8 IN, DISECT, LIGHT MODEL, CRV, NS, LTX</t>
  </si>
  <si>
    <t>DISSECTING, LIGHT MODEL, CURVED</t>
  </si>
  <si>
    <t>https://www.bd.com/en-us/products-and-solutions/products/product-page.MA1603#overview, https://accessgudid.nlm.nih.gov/devices/10885403056468</t>
  </si>
  <si>
    <t>CH2034</t>
  </si>
  <si>
    <t>BD_CH2034</t>
  </si>
  <si>
    <t>SURGICAL SCISSORS</t>
  </si>
  <si>
    <t>METZ SCISSOR CVD BLADE BL/BL 8IN</t>
  </si>
  <si>
    <t>PRODIGO1056762</t>
  </si>
  <si>
    <t>SCISSOR, SURGICAL, METZENBAUM, 8 IN, LOBECTOMY, WITH CURVED BLADE, BLUNT/BLUNT, MIRROR, SATIN FINISH, NON STERILE, LATEX</t>
  </si>
  <si>
    <t>SCISSOR, SURG, METZ, 8 IN, LOBECTOMY, W/ CRV BLADE, BLNT/BLNT, MIRROR, SATIN FINISH, NS, LTX</t>
  </si>
  <si>
    <t>SCISSOR, SURG, METZ, 8 IN, LOBECTOMY, W/ CRV BLADE, BLNT/BLNT, NS</t>
  </si>
  <si>
    <t>LOBECTOMY, WITH CURVED BLADE, BLUNT/BLUNT, MIRROR, SATIN FINISH</t>
  </si>
  <si>
    <t>http://www.lt-technologies.de/_ws/mediabase/_ts_1494230442000/Downloads/CardioCatalog_LIT12012_low-res.pdf, https://accessgudid.nlm.nih.gov/devices/10885403024733</t>
  </si>
  <si>
    <t>CH2030</t>
  </si>
  <si>
    <t>BD_CH2030</t>
  </si>
  <si>
    <t>METZ SCISSOR LOBECTOMY CVD BL/BL 11-3/16</t>
  </si>
  <si>
    <t>PRODIGO1056761</t>
  </si>
  <si>
    <t>SCISSOR, SURGICAL, METZENBAUM, 11-3/16 IN, LOBECTOMY, WITH CURVED BLADE, BLUNT/BLUNT, MIRROR, SATIN FINISH, NON STERILE, LATEX</t>
  </si>
  <si>
    <t>SCISSOR, SURG, METZ, 11-3/16 IN, LOBECTOMY, W/ CRV BLADE, BLNT/BLNT, MIRROR, SATIN FINISH, NS, LTX</t>
  </si>
  <si>
    <t>SCISSOR, SURG, METZ, 11-3/16 IN, LOBECTOMY, CRV BLADE, BLNT/BLNT</t>
  </si>
  <si>
    <t>11-3/16 IN</t>
  </si>
  <si>
    <t>http://www.lt-technologies.de/_ws/mediabase/_ts_1494230442000/Downloads/CardioCatalog_LIT12012_low-res.pdf, https://accessgudid.nlm.nih.gov/devices/10885403024719</t>
  </si>
  <si>
    <t>MO1600001</t>
  </si>
  <si>
    <t>MO1600-001</t>
  </si>
  <si>
    <t>BD_MO1600001</t>
  </si>
  <si>
    <t>METZENBAUM SCISSORS LEFTHAND CVD B/B 7IN</t>
  </si>
  <si>
    <t>PRODIGO1057898</t>
  </si>
  <si>
    <t>METZENBAUM DISSECTING SCISSORS DISSECTING BLADES. BLUNT/BLUNT. OVERALL LENGTH 7IN (17.8CM). SLIGHTLY CURVED-ON-FLAT. LEFT-HANDED.</t>
  </si>
  <si>
    <t>SCISSOR, SURGICAL, METZENBAUM, 7 IN, DISSECTING BLADE, BLUNT/BLUNT, SLIGHTLY CURVED ON FLAT, LEFT HANDED, RING HANDLE, NON STERILE, LATEX</t>
  </si>
  <si>
    <t>SCISSOR, SURG, METZ, 7 IN, DISECT BLADE, BLUNT/BLUNT, SLIGHTLY CRV ON FLAT, LT HND, RNG HNDL, NS, LTX</t>
  </si>
  <si>
    <t>SCISSOR, SURG, METZ, 7 IN, BLUNT/BLUNT, SLIGHTLY CRV ON FLAT</t>
  </si>
  <si>
    <t>DISSECTING BLADE, BLUNT/BLUNT, SLIGHTLY CURVED ON FLAT, LEFT HANDED, RING HANDLE</t>
  </si>
  <si>
    <t>https://www.bd.com/en-us/products-and-solutions/products/product-page.mo1600-001#overview, https://accessgudid.nlm.nih.gov/devices/10885403058820</t>
  </si>
  <si>
    <t>NA5132</t>
  </si>
  <si>
    <t>BD_NA5132</t>
  </si>
  <si>
    <t>MEYERDING RETR BLADE 5/8X2IN WIDE 8-1/2</t>
  </si>
  <si>
    <t>PRODIGO1058017</t>
  </si>
  <si>
    <t>MEYERDING RETRACTOR BLADE AFFINITY LINE. BLADE 5/8IN X 2IN 1.6CM X 5.1CM WIDE. OVERALL LENGTH 8-1/2IN 21.6CM</t>
  </si>
  <si>
    <t>RETRACTOR, SURGICAL, MEYERDING, 8.5 IN, 5/8X2 IN, AFFINITY LINE, WITH BLADE, NON STERILE, LATEX</t>
  </si>
  <si>
    <t>RETRACTOR SURGICAL MEYERDING 8.5 IN 5/8X2 IN AFFINITY LINE WITH BLADE NON STERILE LATEX</t>
  </si>
  <si>
    <t>RETRACTOR, SURG, MEYERDING, 8.5 IN, 5/8X2 IN, AFFIN LN, W/ BLADE, NS, LTX</t>
  </si>
  <si>
    <t>RETRACTOR, SURG, MEYERDING, 8.5 IN, 5/8X2 IN, AFFIN LN, W/ BLADE</t>
  </si>
  <si>
    <t>MEYERDING</t>
  </si>
  <si>
    <t>5/8X2 IN</t>
  </si>
  <si>
    <t>AFFINITY LINE, WITH BLADE</t>
  </si>
  <si>
    <t>https://www.bd.com/en-us/products-and-solutions/products/product-page.na5132#specifications, https://accessgudid.nlm.nih.gov/devices/10885403069963</t>
  </si>
  <si>
    <t>NA5131</t>
  </si>
  <si>
    <t>BD_NA5131</t>
  </si>
  <si>
    <t>MEYERDING RETRACTOR BLADE 1X3INW 9-1/4IN</t>
  </si>
  <si>
    <t>PRODIGO1058016</t>
  </si>
  <si>
    <t>MEYERDING RETRACTOR BLADE AFFINITY LINE. BLADE 1IN X 3IN 2.5CM X 7.6CM WIDE. OVERALL LENGTH 9-1/4IN 23.5CM</t>
  </si>
  <si>
    <t>RETRACTOR, SURGICAL, MEYERDING, 9.25 IN, 1X3 IN, AFFINITY LINE, WITH BLADE, NON STERILE, LATEX</t>
  </si>
  <si>
    <t>RETRACTOR SURGICAL MEYERDING 9.25 IN 1X3 IN AFFINITY LINE WITH BLADE NON STERILE LATEX</t>
  </si>
  <si>
    <t>RETRACTOR, SURG, MEYERDING, 9.25 IN, 1X3 IN, AFFIN LN, W/ BLADE, NS, LTX</t>
  </si>
  <si>
    <t>RETRACTOR, SURG, MEYERDING, 9.25 IN, 1X3 IN, AFFIN LN, W/ BLADE</t>
  </si>
  <si>
    <t>1X3 IN</t>
  </si>
  <si>
    <t>https://www.bd.com/en-us/products-and-solutions/products/product-page.NA5131#overview, https://accessgudid.nlm.nih.gov/devices/10885403069956</t>
  </si>
  <si>
    <t>LA8208</t>
  </si>
  <si>
    <t>BD_LA8208</t>
  </si>
  <si>
    <t>MICRO DISSECT FORCEP DBL-ACT 5MM 35CM</t>
  </si>
  <si>
    <t>PRODIGO1057684</t>
  </si>
  <si>
    <t>Dissector 5 Mmx35 Cm Micro Fenestrated Double Action Serrated Delicate Jaw Insulated Shaft Non Rotation Insulated Handle Non Ratchet Satin Finish Stainless Steel Non Sterile Latex</t>
  </si>
  <si>
    <t>DISSECTOR, ENDOSCOPIC, FENESTRATED, MICRO, 5 MMX35 CM, DOUBLE ACTION, SERRATED DELICATE JAW, INSULATED SHAFT, NON ROTATION, INSULATED HANDLE, NON RATCHET, SATIN FINISH, STAINLESS STEEL, NON STERILE, LATEX</t>
  </si>
  <si>
    <t>DISSECTOR, ENDOSCP, FEN, MIC, 5 MMX35 CM, DBL ACT, SERRATED DEL JAW, INSUL SHFT, N ROT, INSUL HNDL, N RATCH, SATIN FINISH, SS, NS, LTX</t>
  </si>
  <si>
    <t>DISSECTOR, ENDOSCP, FEN, MIC, 5 MMX35 CM, DBL ACT, SERRATED DEL</t>
  </si>
  <si>
    <t>DOUBLE ACTION, SERRATED DELICATE JAW, INSULATED SHAFT, NON ROTATION, INSULATED HANDLE, NON RATCHET, SATIN FINISH</t>
  </si>
  <si>
    <t>https://www.bd.com/en-us/offerings/capabilities/surgical-instruments/laparoscopic-instruments/micro-dissector/la8208, https://accessgudid.nlm.nih.gov/devices/10885403052774</t>
  </si>
  <si>
    <t>CH04230</t>
  </si>
  <si>
    <t>BD_CH04230</t>
  </si>
  <si>
    <t>MICRO FORCEPS RND HANDLE 1MM DEBAKEY TIP</t>
  </si>
  <si>
    <t>PRODIGO1056527</t>
  </si>
  <si>
    <t>DEBAKEY MICRO TISSUE FORCEPS LIGHTWEIGHT ROUND HANDLE TIPS 1MM WIDE OVERALL LENGTH 18.1CM FORCEP SURGICAL DEBAKEY 1 MM MICRO 18.1 CM TISSUE LIGHTWEIGHT ROUND HANDLE TIP WIDE</t>
  </si>
  <si>
    <t>FORCEP, SURGICAL, DEBAKEY, MICRO, 1 MM, 7-1/8 IN, TISSUE, LIGHTWEIGHT, ROUND HANDLE, NON STERILE, LATEX</t>
  </si>
  <si>
    <t>FORCEP, SURG, DEBAKEY, MIC, 1 MM, 7-1/8 IN, TISS, LIGHTWEIGHT, RND HNDL, NS, LTX</t>
  </si>
  <si>
    <t>FORCEP, SURG, DEBAKEY, MIC, 1 MM, 7-1/8 IN, LIGHTWEIGHT, RND HNDL</t>
  </si>
  <si>
    <t>http://www.megamedworld.com/wp-content/uploads/2019/03/VM_KVC-min.pdf, https://accessgudid.nlm.nih.gov/devices/10885403021107</t>
  </si>
  <si>
    <t>CH04232</t>
  </si>
  <si>
    <t>BD_CH04232</t>
  </si>
  <si>
    <t>PRODIGO1056528</t>
  </si>
  <si>
    <t>DEBAKEY MICRO TISSUE FORCEPS LIGHTWEIGHT ROUND HANDLE TIPS 1MM WIDE OVERALL LENGTH 21CM FORCEP SURGICAL DEBAKEY 1 MM MICRO 21 CM TISSUE LIGHTWEIGHT ROUND HANDLE TIP WIDE</t>
  </si>
  <si>
    <t>FORCEP, SURGICAL, DEBAKEY, MICRO, 1 MM, 8.25 IN, LIGHTWEIGHT, ROUND HANDLE, NON STERILE, LATEX</t>
  </si>
  <si>
    <t>FORCEP, SURG, DEBAKEY, MIC, 1 MM, 8.25 IN, LIGHTWEIGHT, RND HNDL, NS, LTX</t>
  </si>
  <si>
    <t>FORCEP, SURG, DEBAKEY, MIC, 1 MM, 8.25 IN, LIGHTWEIGHT, RND HNDL, NS</t>
  </si>
  <si>
    <t>http://www.megamedworld.com/wp-content/uploads/2019/03/VM_KVC-min.pdf, https://accessgudid.nlm.nih.gov/devices/10885403021114</t>
  </si>
  <si>
    <t>CH13158</t>
  </si>
  <si>
    <t>BD_CH13158</t>
  </si>
  <si>
    <t>MICRO FORCEPS STR TIP DIA 0.3MM RND HNDL</t>
  </si>
  <si>
    <t>PRODIGO1056705</t>
  </si>
  <si>
    <t>Microsurgical forceps Counterbalanced Round handle Overall length 5-7/8in 15cm Straight Tip diameter 0.3mm</t>
  </si>
  <si>
    <t>FORCEP, SURGICAL, 0.3 MM TIP, 5-7/8 IN, MICROSURGICAL, STRAIGHT, COUNTERBALANCED, ROUND HANDLE, DOUBLE ACTION, STAINLESS STEEL</t>
  </si>
  <si>
    <t>FORCEP, SURG, 0.3 MM TIP, 5-7/8 IN, MICSURG, STR, COUNTERBALANCED, RND HNDL, DBL ACT, SS</t>
  </si>
  <si>
    <t>FORCEP, SURG, 0.3 MM TIP, 5-7/8 IN, MICSURG, STR, RND HNDL, DBL, SS</t>
  </si>
  <si>
    <t>MICROSURGICAL, STRAIGHT, COUNTERBALANCED, ROUND HANDLE, DOUBLE ACTION</t>
  </si>
  <si>
    <t>https://www.bd.com/en-us/products-and-solutions/products/product-page.CH13158#specifications</t>
  </si>
  <si>
    <t>GL4411</t>
  </si>
  <si>
    <t>BD_GL4411</t>
  </si>
  <si>
    <t>MICRO NEEDLE HOLDER W/LOCK</t>
  </si>
  <si>
    <t>PRODIGO1057497</t>
  </si>
  <si>
    <t>Micro-tubal needle holders Curved jaws. Overall length 7in (17.8cm).</t>
  </si>
  <si>
    <t>HOLDER, NEEDLE, 7 IN, MICRO-TUBAL, CURVED JAW, WITH LOCK, NON STERILE, LATEX</t>
  </si>
  <si>
    <t>HOLDER, NDL, 7 IN, MICRO-TUBAL, CRV JAW, W/ LCK, NS, LTX</t>
  </si>
  <si>
    <t>MICRO-TUBAL, CURVED JAW, WITH LOCK</t>
  </si>
  <si>
    <t>https://www.bd.com/en-us/products-and-solutions/products/product-page.GL4411#overview, https://accessgudid.nlm.nih.gov/devices/10885403046407</t>
  </si>
  <si>
    <t>GL4321</t>
  </si>
  <si>
    <t>BD_GL4321</t>
  </si>
  <si>
    <t>MICRO SCISSOR CVD 7IN</t>
  </si>
  <si>
    <t>PRODIGO1057495</t>
  </si>
  <si>
    <t>Micro-tubal scissors Matte and mirror finish. Overall length 7in (17.8cm). Curved.</t>
  </si>
  <si>
    <t>SCISSOR, SURGICAL, 7 IN, MICRO-TUBAL, CURVED, MATTE AND MIRROR FINISH, SATIN FINISH, SPRING HANDLE, NON STERILE, LATEX</t>
  </si>
  <si>
    <t>SCISSOR, SURG, 7 IN, MICRO-TUBAL, CRV, MATTE &amp; MIRROR FINISH, SATIN FINISH, SPRING HNDL, NS, LTX</t>
  </si>
  <si>
    <t>SCISSOR, SURG, 7 IN, MICRO-TUBAL, CRV, MATTE &amp; MIRROR FINISH</t>
  </si>
  <si>
    <t>MICRO-TUBAL, CURVED, MATTE AND MIRROR FINISH, SATIN FINISH, SPRING HANDLE</t>
  </si>
  <si>
    <t>https://www.bd.com/en-us/products-and-solutions/products/product-page.GL4321#overview, https://accessgudid.nlm.nih.gov/devices/10885403046377</t>
  </si>
  <si>
    <t>LAT0536MSS</t>
  </si>
  <si>
    <t>LAT-0536-MSS</t>
  </si>
  <si>
    <t>BD_LAT0536MSS</t>
  </si>
  <si>
    <t>MICRO SCISSOR STRGHT S/A INSERT 5MM 36CM</t>
  </si>
  <si>
    <t>PRODIGO1057798</t>
  </si>
  <si>
    <t>MICRO SCISSORS STRAIGHT S/A INSERT 5MM 36CM</t>
  </si>
  <si>
    <t>SCISSOR, ENDOSCOPIC, MICRO, 5 MMX36 CM, STRAIGHT, NON STERILE, LATEX</t>
  </si>
  <si>
    <t>SCISSOR ENDOSCOPIC MICRO 5 MMX36 CM STRAIGHT NON STERILE LATEX</t>
  </si>
  <si>
    <t>SCISSOR, ENDOSCP, MIC, 5 MMX36 CM, STR, NS, LTX</t>
  </si>
  <si>
    <t>https://www.bd.com/en-us/products-and-solutions/products/product-page.lat-0536-mss#specifications, https://accessgudid.nlm.nih.gov/devices/10885403431180</t>
  </si>
  <si>
    <t>LA8101</t>
  </si>
  <si>
    <t>BD_LA8101</t>
  </si>
  <si>
    <t>MICRO SCISSORS 5MM 35CM CVD LEFT</t>
  </si>
  <si>
    <t>PRODIGO1057665</t>
  </si>
  <si>
    <t>Scissor 5 Mmx35 Cm Micro Curved Left Single Action Blade Non Insulated Non Rotation Non Ratchet Satin Finish Stainless Steel Non Sterile Latex</t>
  </si>
  <si>
    <t>SCISSOR, ENDOSCOPIC, CURVED LEFT, MICRO, 5 MMX35 CM, SINGLE ACTION, BLADE, NON INSULATED, NON ROTATION, NON RATCHET, SATIN FINISH, STAINLESS STEEL, NON STERILE, LATEX</t>
  </si>
  <si>
    <t>SCISSOR, ENDOSCP, CRV LT, MIC, 5 MMX35 CM, SINGLE ACT, BLADE, N INSUL, N ROT, N RATCH, SATIN FINISH, SS, NS, LTX</t>
  </si>
  <si>
    <t>SCISSOR, ENDOSCP, CRV LT, MIC, 5 MMX35 CM, SINGLE ACT, BLADE</t>
  </si>
  <si>
    <t>SINGLE ACTION, BLADE, NON INSULATED, NON ROTATION, NON RATCHET, SATIN FINISH</t>
  </si>
  <si>
    <t>https://www.bd.com/en-us/offerings/capabilities/surgical-instruments/laparoscopic-instruments/micro-scissors/la8101, https://accessgudid.nlm.nih.gov/devices/10885403052514</t>
  </si>
  <si>
    <t>LA8102</t>
  </si>
  <si>
    <t>BD_LA8102</t>
  </si>
  <si>
    <t>MICRO SCISSORS 5MM 35CM STR</t>
  </si>
  <si>
    <t>PRODIGO1057666</t>
  </si>
  <si>
    <t>Scissor 5 Mmx35 Cm Micro Straight Single Action Blade Non Insulated Non Rotation Non Ratchet Satin Finish Stainless Steel Non Sterile Latex</t>
  </si>
  <si>
    <t>SCISSOR, ENDOSCOPIC, STRAIGHT, MICRO, 5 MMX35 CM, SINGLE ACTION, BLADE, NON INSULATED, NON ROTATION, NON RATCHET, SATIN FINISH, STAINLESS STEEL, NON STERILE, LATEX</t>
  </si>
  <si>
    <t>SCISSOR, ENDOSCP, STR, MIC, 5 MMX35 CM, SINGLE ACT, BLADE, N INSUL, N ROT, N RATCH, SATIN FINISH, SS, NS, LTX</t>
  </si>
  <si>
    <t>SCISSOR, ENDOSCP, STR, MIC, 5 MMX35 CM, SINGLE ACT, BLADE, N INSUL</t>
  </si>
  <si>
    <t>https://www.bd.com/en-us/offerings/capabilities/surgical-instruments/laparoscopic-instruments/micro-scissors/la8102, https://accessgudid.nlm.nih.gov/devices/10885403052521</t>
  </si>
  <si>
    <t>GL4212</t>
  </si>
  <si>
    <t>BD_GL4212</t>
  </si>
  <si>
    <t>MICRO TISSUE FORCEPS 2 TEETH 0.3MM 6IN</t>
  </si>
  <si>
    <t>PRODIGO1057490</t>
  </si>
  <si>
    <t>Micro tissue forceps Straight. 1 x 2 teeth. Size 0.3mm. 6mm platform. Overall length 6in (15.2cm).</t>
  </si>
  <si>
    <t>FORCEP, SURGICAL, MICRO, 0.3 MM, 6 IN, 6 MM, TISSUE, 1X2 TEETH, STRAIGHT, SPRING HANDLE, STAINLESS STEEL, NON STERILE, LATEX</t>
  </si>
  <si>
    <t>FORCEP, SURG, MIC, 0.3 MM, 6 IN, 6 MM, TISS, 1X2 TEETH, STR, SPRING HNDL, SS, NS, LTX</t>
  </si>
  <si>
    <t>FORCEP, SURG, MIC, 0.3 MM, 6 IN, 6 MM, TISS, 1X2 TEETH, STR</t>
  </si>
  <si>
    <t>MICRO, 0.3 MM</t>
  </si>
  <si>
    <t>1X2 TEETH, STRAIGHT, SPRING HANDLE</t>
  </si>
  <si>
    <t>https://www.bd.com/en-us/products-and-solutions/products/product-page.GL4212#overview, https://accessgudid.nlm.nih.gov/devices/10885403046315</t>
  </si>
  <si>
    <t>GL4213</t>
  </si>
  <si>
    <t>BD_GL4213</t>
  </si>
  <si>
    <t>MICRO TISSUE FORCEPS CVD 6IN W/1CM PLTFM</t>
  </si>
  <si>
    <t>PRODIGO1057491</t>
  </si>
  <si>
    <t>Micro forceps 1cm platform. Overall length 6in (15.2cm). Curved.</t>
  </si>
  <si>
    <t>FORCEP, SURGICAL, MICRO, 6 IN, 1 CM, TISSUE, CURVED, PLATFORM, SPRING HANDLE, NON STERILE, LATEX</t>
  </si>
  <si>
    <t>FORCEP, SURG, MIC, 6 IN, 1 CM, TISS, CRV, PLATFORM, SPRING HNDL, NS, LTX</t>
  </si>
  <si>
    <t>FORCEP, SURG, MIC, 6 IN, 1 CM, TISS, CRV, PLATFORM, SPRING HNDL, NS</t>
  </si>
  <si>
    <t>1 CM</t>
  </si>
  <si>
    <t>CURVED, PLATFORM, 
SPRING HANDLE</t>
  </si>
  <si>
    <t>https://www.bd.com/en-us/products-and-solutions/products/product-page.GL4213#overview, https://accessgudid.nlm.nih.gov/devices/10885403046322</t>
  </si>
  <si>
    <t>CH10012</t>
  </si>
  <si>
    <t>BD_CH10012</t>
  </si>
  <si>
    <t>MICROSURG FORCEPS CVD TIP W/TYNG PLTFRM</t>
  </si>
  <si>
    <t>PRODIGO1056607</t>
  </si>
  <si>
    <t>MICROSURGICAL FORCEPS ROUND SPRING HANDLE CURVED WITH TYING PLATFORM OVERALL LENGTH 5-7/8IN SS</t>
  </si>
  <si>
    <t>FORCEP, SURGICAL, CURVED, MICRO, 5-7/8 IN, DOUBLE ACTION, WITH TYING PLATFORM, ROUND SPRING HANDLE, STAINLESS STEEL</t>
  </si>
  <si>
    <t>FORCEP, SURG, CRV, MIC, 5-7/8 IN, DBL ACT, W/ TYNG PLATFORM, RND SPRING HNDL, SS</t>
  </si>
  <si>
    <t>FORCEP, SURG, CRV, MIC, 5-7/8 IN, DBL ACT, W/ TYNG PLATFORM, SS</t>
  </si>
  <si>
    <t>DOUBLE ACTION, WITH TYING PLATFORM, ROUND SPRING HANDLE</t>
  </si>
  <si>
    <t>https://www.bd.com/en-us/products-and-solutions/products/product-page.CH10012#overview</t>
  </si>
  <si>
    <t>CH10010</t>
  </si>
  <si>
    <t>BD_CH10010</t>
  </si>
  <si>
    <t>MICROSURG FORCEPS STR TIP W/TYNG PLTFRM</t>
  </si>
  <si>
    <t>PRODIGO1056606</t>
  </si>
  <si>
    <t>MICROSURGICAL FORCEPS ROUND SPRING HANDLE STRAIGHT WITH TYING PLATFORM OVERALL LENGTH 5-7/8IN DOUBLE-ACTION SS</t>
  </si>
  <si>
    <t>FORCEP, SURGICAL, STRAIGHT, MICRO, 5-7/8 IN, DOUBLE ACTION, WITH TYING PLATFORM, ROUND SPRING HANDLE, STAINLESS STEEL</t>
  </si>
  <si>
    <t>FORCEP, SURG, STR, MIC, 5-7/8 IN, DBL ACT, W/ TYNG PLATFORM, RND SPRING HNDL, SS</t>
  </si>
  <si>
    <t>FORCEP, SURG, STR, MIC, 5-7/8 IN, DBL ACT, W/ TYNG PLATFORM, SS</t>
  </si>
  <si>
    <t>https://www.bd.com/en-us/products-and-solutions/products/product-page.CH10010#overview</t>
  </si>
  <si>
    <t>CH130061</t>
  </si>
  <si>
    <t>CH13006-1</t>
  </si>
  <si>
    <t>BD_CH130061</t>
  </si>
  <si>
    <t>MICROSURG NDL HLDR .4MM TIP W/LOCK CVD</t>
  </si>
  <si>
    <t>PRODIGO1056668</t>
  </si>
  <si>
    <t>MICROSURGICAL NEEDLE HOLDERS CURVED ROUND HANDLE WITH LOCK HANDLE DIAMETER 8MM TIP DIAMETER 0.4MM OVERALL LENGTH 5-7/8IN SS SMOOTH TEETH STYLE</t>
  </si>
  <si>
    <t>HOLDER, NEEDLE, CURVED TIP, MICRO, 0.4 MM, 5-7/8 IN, 8 MM, WITH LOCK, SMOOTH TEETH STYLE, ROUND HANDLE, STAINLESS STEEL</t>
  </si>
  <si>
    <t>HOLDER, NDL, CRV TIP, MIC, 0.4 MM, 5-7/8 IN, 8 MM, W/ LCK, SMOOTH TEETH STYL, RND HNDL, SS</t>
  </si>
  <si>
    <t>HOLDER, NDL, CRV TIP, MIC, 0.4 MM, 5-7/8 IN, 8 MM, W/ LCK, RND, SS</t>
  </si>
  <si>
    <t>MICRO, 0.4 MM</t>
  </si>
  <si>
    <t>WITH LOCK, SMOOTH TEETH STYLE, ROUND HANDLE</t>
  </si>
  <si>
    <t>https://www.bd.com/en-us/products-and-solutions/products/product-page.CH13006-1#specifications</t>
  </si>
  <si>
    <t>CH130081</t>
  </si>
  <si>
    <t>CH13008-1</t>
  </si>
  <si>
    <t>BD_CH130081</t>
  </si>
  <si>
    <t>PRODIGO1056670</t>
  </si>
  <si>
    <t>MICROSURGICAL NEEDLE HOLDERS CURVED ROUND HANDLE WITH LOCK HANDLE DIAMETER 8MM TIP DIAMETER 0.4MM OVERALL LENGTH 7IN SS SMOOTH TEETH STYLE</t>
  </si>
  <si>
    <t>HOLDER, NEEDLE, CURVED TIP, MICRO, 0.4 MM, 7 IN, 8 MM, WITH LOCK, SMOOTH TEETH STYLE, ROUND HANDLE, STAINLESS STEEL</t>
  </si>
  <si>
    <t>HOLDER, NDL, CRV TIP, MIC, 0.4 MM, 7 IN, 8 MM, W/ LCK, SMOOTH TEETH STYL, RND HNDL, SS</t>
  </si>
  <si>
    <t>HOLDER, NDL, CRV TIP, MIC, 0.4 MM, 7 IN, 8 MM, W/ LCK, RND HNDL, SS</t>
  </si>
  <si>
    <t>https://www.bd.com/en-us/products-and-solutions/products/product-page.CH13008-1#overview</t>
  </si>
  <si>
    <t>CH130083</t>
  </si>
  <si>
    <t>CH13008-3</t>
  </si>
  <si>
    <t>BD_CH130083</t>
  </si>
  <si>
    <t>MICROSURG NDL HLDR .4MM TIP W/LOCK STR</t>
  </si>
  <si>
    <t>PRODIGO1056672</t>
  </si>
  <si>
    <t>MICROSURGICAL NEEDLE HOLDERS STRAIGHT TIPS ROUND HANDLE WITH LOCK HANDLE DIAMETER 8MM TIP DIAMETER 0.4MM OVERALL LENGTH 7IN SMOOTH TEETH STYLE</t>
  </si>
  <si>
    <t>HOLDER, NEEDLE, STRAIGHT TIP, MICRO, 0.4 MM, 7 IN, 8 MM, WITH LOCK, SMOOTH TEETH STYLE, ROUND HANDLE, STAINLESS STEEL</t>
  </si>
  <si>
    <t>HOLDER, NDL, STR TIP, MIC, 0.4 MM, 7 IN, 8 MM, W/ LCK, SMOOTH TEETH STYL, RND HNDL, SS</t>
  </si>
  <si>
    <t>HOLDER, NDL, STR TIP, MIC, 0.4 MM, 7 IN, 8 MM, W/ LCK, RND HNDL, SS</t>
  </si>
  <si>
    <t>https://www.bd.com/en-us/products-and-solutions/products/product-page.CH13008-3#overview</t>
  </si>
  <si>
    <t>CH13003</t>
  </si>
  <si>
    <t>BD_CH13003</t>
  </si>
  <si>
    <t>MICROSURG NDL HLDR .4MM TIP W/O LOCK CVD</t>
  </si>
  <si>
    <t>PRODIGO1056667</t>
  </si>
  <si>
    <t>MICROSURGICAL NEEDLE HOLDERS CURVED TIPS ROUND HANDLE WITHOUT LOCK HANDLE DIAMETER 8MM TIP DIAMETER 0.4MM OVERALL LENGTH 5.5IN SS SMOTH TEETH STYLE</t>
  </si>
  <si>
    <t>HOLDER, NEEDLE, CURVED TIP, MICRO, 0.4 MM, 5.5IN, 8 MM, WITHOUT LOCK, SMOOTH TEETH STYLE, ROUND HANDLE, STAINLESS STEEL</t>
  </si>
  <si>
    <t>HOLDER, NDL, CRV TIP, MIC, 0.4 MM, 5.5IN, 8 MM, W/O LCK, SMOOTH TEETH STYL, RND HNDL, SS</t>
  </si>
  <si>
    <t>HOLDER, NDL, CRV TIP, MIC, 0.4 MM, 5.5IN, 8 MM, W/O LCK, RND HNDL, SS</t>
  </si>
  <si>
    <t>5.5IN</t>
  </si>
  <si>
    <t>WITHOUT LOCK, SMOOTH TEETH STYLE, ROUND HANDLE</t>
  </si>
  <si>
    <t>https://www.bd.com/en-us/products-and-solutions/products/product-page.CH13003#overview</t>
  </si>
  <si>
    <t>CH130082</t>
  </si>
  <si>
    <t>CH13008-2</t>
  </si>
  <si>
    <t>BD_CH130082</t>
  </si>
  <si>
    <t>MICROSURG NDL HLDR .4MM TIP W/O LOCK STR</t>
  </si>
  <si>
    <t>PRODIGO1056671</t>
  </si>
  <si>
    <t>MICROSURGICAL NEEDLE HOLDERS STRAIGHT TIPS ROUND HANDLE WITHOUT LOCK HANDLE DIAMETER 8MM TIP DIAMETER 0.4MM OVERALL LENGTH 7IN SMOOTH TEETH STYLE</t>
  </si>
  <si>
    <t>HOLDER, NEEDLE, STRAIGHT TIP, MICRO, 0.4 MM, 7 IN, 8 MM, WITHOUT LOCK, SMOOTH TEETH STYLE, ROUND HANDLE, STAINLESS STEEL</t>
  </si>
  <si>
    <t>HOLDER, NDL, STR TIP, MIC, 0.4 MM, 7 IN, 8 MM, W/O LCK, SMOOTH TEETH STYL, RND HNDL, SS</t>
  </si>
  <si>
    <t>HOLDER, NDL, STR TIP, MIC, 0.4 MM, 7 IN, 8 MM, W/O LCK, RND HNDL, SS</t>
  </si>
  <si>
    <t>https://www.bd.com/en-us/products-and-solutions/products/product-page.CH13008-2#overview</t>
  </si>
  <si>
    <t>CH13001</t>
  </si>
  <si>
    <t>BD_CH13001</t>
  </si>
  <si>
    <t>MICROSURG NDL HLDR .5MM TIP W/O LOCK CVD</t>
  </si>
  <si>
    <t>PRODIGO1056666</t>
  </si>
  <si>
    <t>MICROSURGICAL NEEDLE HOLDERS CURVED TIPS ROUND HANDLE WITHOUT LOCK HANDLE DIAMETER 10MM TIP DIAMETER 0.5MM OVERALL LENGTH 5-1/8IN SS SMOTH TEETH STYLE</t>
  </si>
  <si>
    <t>HOLDER, NEEDLE, CURVED TIP, MICRO, 0.5 MM, 5-1/8 IN, 10 MM, WITHOUT LOCK, SMOOTH TEETH STYLE, ROUND HANDLE, STAINLESS STEEL</t>
  </si>
  <si>
    <t>HOLDER, NDL, CRV TIP, MIC, 0.5 MM, 5-1/8 IN, 10 MM, W/O LCK, SMOOTH TEETH STYL, RND HNDL, SS</t>
  </si>
  <si>
    <t>HOLDER, NDL, CRV TIP, MIC, 0.5 MM, 5-1/8 IN, 10 MM, W/O LCK, RND, SS</t>
  </si>
  <si>
    <t>MICRO, 0.5 MM</t>
  </si>
  <si>
    <t>https://www.bd.com/en-us/products-and-solutions/products/product-page.CH13001#overview</t>
  </si>
  <si>
    <t>CH10017</t>
  </si>
  <si>
    <t>BD_CH10017</t>
  </si>
  <si>
    <t>MICROSURGICAL FORCEPS STR 1 X 2 TEETH</t>
  </si>
  <si>
    <t>PRODIGO1056609</t>
  </si>
  <si>
    <t>MICROSURGICAL FORCEPS STRAIGHT 1 X 2 TEETH ROUND SPRING HANDLE,7IN SS</t>
  </si>
  <si>
    <t>FORCEP, SURGICAL, STRAIGHT, MICRO, 7 IN, 1X2 TEETH, ROUND SPRING HANDLE, STAINLESS STEEL</t>
  </si>
  <si>
    <t>FORCEP, SURG, STR, MIC, 7 IN, 1X2 TEETH, RND SPRING HNDL, SS</t>
  </si>
  <si>
    <t>1X2 TEETH, ROUND SPRING HANDLE</t>
  </si>
  <si>
    <t>https://www.bd.com/en-us/products-and-solutions/products/product-page.Ch10017#overview</t>
  </si>
  <si>
    <t>CH5706</t>
  </si>
  <si>
    <t>BD_CH5706</t>
  </si>
  <si>
    <t>MILLS CIRCUMFLEX SCISSORS BLADES 125DEG</t>
  </si>
  <si>
    <t>PRODIGO1056913</t>
  </si>
  <si>
    <t>MILLS CIRCUMFLEX SCISSORS BLADES ANGLED 125 DEGREE 1MM BALL ON TIP OVERALL LENGTH 18.4CM SCISSOR SURGICAL MILLS 125 DEGREE 1 MM 18.4 CM CIRCUMFLEX BLADE ANGLED BALL ON TIP</t>
  </si>
  <si>
    <t>SCISSOR, SURGICAL, MILLS CIRCUMFLEX, 125 DEGREE, 7.25 IN, 1 MM, BLADE ANGLED, BALL ON TIP, NON STERILE, LATEX</t>
  </si>
  <si>
    <t>SCISSOR, SURG, MILL CIRCUMFLEX, 125 DEG, 7.25 IN, 1 MM, BLADE ANGLED, BALL ON TIP, NS, LTX</t>
  </si>
  <si>
    <t>SCISSOR, SURG, MILL CIRCUMFLEX, 125 DEG, 7.25 IN, 1 MM, NS, LTX</t>
  </si>
  <si>
    <t>MILLS CIRCUMFLEX</t>
  </si>
  <si>
    <t>BLADE ANGLED, BALL ON TIP</t>
  </si>
  <si>
    <t>http://www.megamedworld.com/wp-content/uploads/2019/03/VM_KVC-min.pdf, https://accessgudid.nlm.nih.gov/devices/10885403029028</t>
  </si>
  <si>
    <t>CH9210004</t>
  </si>
  <si>
    <t>CH9210-004</t>
  </si>
  <si>
    <t>BD_CH9210004</t>
  </si>
  <si>
    <t>MILLS CORONARY ENDARTERECTOMY LOOPS 6/ST</t>
  </si>
  <si>
    <t>PRODIGO1057282</t>
  </si>
  <si>
    <t>Mills Coronary Endarterectomy Loops</t>
  </si>
  <si>
    <t>LOOP, SURGICAL, MILLS, 5-1/8 IN, CORONARY, ENDARTERECTOMY, WIRE, GRADUATED, NON STERILE, LATEX</t>
  </si>
  <si>
    <t>LOOP, SURG, MILL, 5-1/8 IN, CORONARY, ENDART, WIRE, GRAD, NS, LTX</t>
  </si>
  <si>
    <t>MILLS</t>
  </si>
  <si>
    <t>ENDARTERECTOMY, WIRE, GRADUATED</t>
  </si>
  <si>
    <t>6/ST</t>
  </si>
  <si>
    <t>https://www.bd.com/en-us/products-and-solutions/products/product-page.CH9210-004, https://accessgudid.nlm.nih.gov/devices/10885403035906</t>
  </si>
  <si>
    <t>CH8772</t>
  </si>
  <si>
    <t>BD_CH8772</t>
  </si>
  <si>
    <t>MILLS CV TISS FRCP .5MM TEARDRP RING TIP</t>
  </si>
  <si>
    <t>PRODIGO1057273</t>
  </si>
  <si>
    <t>MILLS Thoracic Tissue Forceps 7IN</t>
  </si>
  <si>
    <t>FORCEP, SURGICAL, MILLS, 1.5 MM TIP, 7 IN, CARDIOVASCULAR, THORACIC, ROUND BARRAQUER HANDLE, TEAR DROP RING TIP, TISSUE, NON STERILE, LATEX</t>
  </si>
  <si>
    <t>FORCEP, SURG, MILL, 1.5 MM TIP, 7 IN, CV, THOR, RND BARRQR HNDL, TEAR GTT RNG TIP, TISS, NS, LTX</t>
  </si>
  <si>
    <t>FORCEP, SURG, MILL, 1.5 MM TIP, 7 IN, RND BARRQR HNDL, RNG, TISS, NS</t>
  </si>
  <si>
    <t>1.5 MM TIP</t>
  </si>
  <si>
    <t>CARDIOVASCULAR, THORACIC</t>
  </si>
  <si>
    <t>ROUND BARRAQUER HANDLE, TEAR DROP RING TIP</t>
  </si>
  <si>
    <t>https://www.hces.com.sg/wp-content/uploads/2021/04/Cardiovascular-Pages-from-vmueller-snowdenpencer-armamentarium-catalogue-4.pdf, https://accessgudid.nlm.nih.gov/devices/10885403035760</t>
  </si>
  <si>
    <t>CH8752</t>
  </si>
  <si>
    <t>BD_CH8752</t>
  </si>
  <si>
    <t>MILLS MICROVASC NDL HOLDER DEL SMTH CVD</t>
  </si>
  <si>
    <t>PRODIGO1057270</t>
  </si>
  <si>
    <t>MILLS Microvascular Needle Holder 8IN</t>
  </si>
  <si>
    <t>HOLDER, NEEDLE, MILLS, 8 IN, MICROVASCULAR, CAPTAIN HOOK, ROUND BARRAQUER HANDLE, DELICATE, SMOOTH, CURVED JAW, NON STERILE, LATEX</t>
  </si>
  <si>
    <t>HOLDER, NDL, MILL, 8 IN, MICROVASCULAR, CAPTAIN HK, RND BARRQR HNDL, DEL, SMOOTH, CRV JAW, NS, LTX</t>
  </si>
  <si>
    <t>HOLDER, NDL, MILL, 8 IN, MICROVASCULAR, CAPTAIN HK, BARRQR HNDL, NS</t>
  </si>
  <si>
    <t>MICROVASCULAR</t>
  </si>
  <si>
    <t>CAPTAIN HOOK, ROUND BARRAQUER HANDLE, DELICATE, SMOOTH, CURVED JAW</t>
  </si>
  <si>
    <t>https://www.hces.com.sg/wp-content/uploads/2021/04/Cardiovascular-Pages-from-vmueller-snowdenpencer-armamentarium-catalogue-4.pdf, https://accessgudid.nlm.nih.gov/devices/10885403035715</t>
  </si>
  <si>
    <t>CH8770001</t>
  </si>
  <si>
    <t>CH8770-001</t>
  </si>
  <si>
    <t>BD_CH8770001</t>
  </si>
  <si>
    <t>MILLS THORACIC TISS FORCEP  .5MM</t>
  </si>
  <si>
    <t>PRODIGO1057272</t>
  </si>
  <si>
    <t>MILLS Cardiovascular Tissue Forceps 7IN</t>
  </si>
  <si>
    <t>FORCEP, SURGICAL, MILLS, 0.5 MM TIP, 7 IN, CARDIOVASCULAR, THORACIC, ROUND BARRAQUER HANDLE, TEAR DROP RING TIP, TISSUE, NON STERILE, LATEX</t>
  </si>
  <si>
    <t>FORCEP, SURG, MILL, 0.5 MM TIP, 7 IN, CV, THOR, RND BARRQR HNDL, TEAR GTT RNG TIP, TISS, NS, LTX</t>
  </si>
  <si>
    <t>FORCEP, SURG, MILL, 0.5 MM TIP, 7 IN, RND BARRQR HNDL, RNG, TISS, NS</t>
  </si>
  <si>
    <t>0.5 MM TIP</t>
  </si>
  <si>
    <t>https://www.hces.com.sg/wp-content/uploads/2021/04/Cardiovascular-Pages-from-vmueller-snowdenpencer-armamentarium-catalogue-4.pdf, https://accessgudid.nlm.nih.gov/devices/10885403035753</t>
  </si>
  <si>
    <t>LAT0536MX45</t>
  </si>
  <si>
    <t>LAT-0536-MX45</t>
  </si>
  <si>
    <t>BD_LAT0536MX45</t>
  </si>
  <si>
    <t>MIXTER 45° D/A INSERT 5MM 36CM8</t>
  </si>
  <si>
    <t>PRODIGO1057799</t>
  </si>
  <si>
    <t>MIXTER 45 DISSECTOR D/A INSERT 5MM 36CM</t>
  </si>
  <si>
    <t>DISSECTOR, ENDOSCOPIC, MIXTER, 45 DEGREE, 5 MMX36 CM, DOUBLE ACTION INSERT, NON STERILE, LATEX</t>
  </si>
  <si>
    <t>DISSECTOR ENDOSCOPIC MIXTER 45 DEGREE 5 MMX36 CM DOUBLE ACTION INSERT NON STERILE LATEX</t>
  </si>
  <si>
    <t>DISSECTOR, ENDOSCP, MIXTER, 45 DEG, 5 MMX36 CM, DBL ACT INSRT, NS, LTX</t>
  </si>
  <si>
    <t>DISSECTOR, ENDOSCP, MIXTER, 45 DEG, 5 MMX36 CM, DBL ACT INSRT, NS</t>
  </si>
  <si>
    <t>MIXTER</t>
  </si>
  <si>
    <t>https://www.bd.com/en-us/products-and-solutions/products/product-page.LAT-0536-MX45</t>
  </si>
  <si>
    <t>LAT0545MX45</t>
  </si>
  <si>
    <t>LAT-0545-MX45</t>
  </si>
  <si>
    <t>BD_LAT0545MX45</t>
  </si>
  <si>
    <t>MIXTER 45° D/A INSERT 5MM 45CM</t>
  </si>
  <si>
    <t>PRODIGO1057826</t>
  </si>
  <si>
    <t>MIXTER 45 DISSECTOR D/A INSERT 5MM 45CM</t>
  </si>
  <si>
    <t>DISSECTOR, ENDOSCOPIC, MIXTER, 45 DEGREE, 5 MMX45 CM, DOUBLE ACTION INSERT, NON STERILE, LATEX</t>
  </si>
  <si>
    <t>DISSECTOR ENDOSCOPIC MIXTER 45 DEGREE 5 MMX45 CM DOUBLE ACTION INSERT NON STERILE LATEX</t>
  </si>
  <si>
    <t>DISSECTOR, ENDOSCP, MIXTER, 45 DEG, 5 MMX45 CM, DBL ACT INSRT, NS, LTX</t>
  </si>
  <si>
    <t>DISSECTOR, ENDOSCP, MIXTER, 45 DEG, 5 MMX45 CM, DBL ACT INSRT, NS</t>
  </si>
  <si>
    <t>https://www.bd.com/en-us/products-and-solutions/products/product-page.LAT-0545-MX45#overview</t>
  </si>
  <si>
    <t>LAT0536MX90</t>
  </si>
  <si>
    <t>LAT-0536-MX90</t>
  </si>
  <si>
    <t>BD_LAT0536MX90</t>
  </si>
  <si>
    <t>MIXTER 90° D/A INSERT 5MM 36CM</t>
  </si>
  <si>
    <t>PRODIGO1057800</t>
  </si>
  <si>
    <t>MIXTER 90 DISSECTOR D/A INSERT 5MM 36CM</t>
  </si>
  <si>
    <t>DISSECTOR, ENDOSCOPIC, MIXTER, 90 DEGREE, 5 MMX36 CM, DOUBLE ACTION INSERT, NON STERILE, LATEX</t>
  </si>
  <si>
    <t>DISSECTOR ENDOSCOPIC MIXTER 90 DEGREE 5 MMX36 CM DOUBLE ACTION INSERT NON STERILE LATEX</t>
  </si>
  <si>
    <t>DISSECTOR, ENDOSCP, MIXTER, 90 DEG, 5 MMX36 CM, DBL ACT INSRT, NS, LTX</t>
  </si>
  <si>
    <t>DISSECTOR, ENDOSCP, MIXTER, 90 DEG, 5 MMX36 CM, DBL ACT INSRT, NS</t>
  </si>
  <si>
    <t>https://www.bd.com/en-us/products-and-solutions/products/product-page.LAT-0536-MX90#overview</t>
  </si>
  <si>
    <t>CH1730006</t>
  </si>
  <si>
    <t>CH1730-006</t>
  </si>
  <si>
    <t>BD_CH1730006</t>
  </si>
  <si>
    <t>MIXTER FORCEPS RIGHT ANG OVER LGTH 14IN</t>
  </si>
  <si>
    <t>PRODIGO1056741</t>
  </si>
  <si>
    <t>Mixter thoracic forceps Gemini type Delicate right angled serrated jaws Overall length 14in</t>
  </si>
  <si>
    <t>FORCEP, SURGICAL, MIXTER, 14 IN, THORACIC, GEMINI TYPE, DELICATE, RIGHT ANGLED, SERRATED, DOUBLE ACTION, SATIN FINISH, RING HANDLE, STAINLESS STEEL, NON STERILE, LATEX</t>
  </si>
  <si>
    <t>FORCEP, SURG, MIXTER, 14 IN, THOR, GEM TYP, DEL, RT ANGLED, SERRATED, DBL ACT, SATIN FINISH, RNG HNDL, SS, NS, LTX</t>
  </si>
  <si>
    <t>FORCEP, SURG, MIXTER, 14 IN, THOR, GEM TYP, DEL, RT ANGLED, SS, LTX</t>
  </si>
  <si>
    <t>GEMINI TYPE, DELICATE, RIGHT ANGLED, SERRATED, DOUBLE ACTION, SATIN FINISH, RING HANDLE</t>
  </si>
  <si>
    <t>https://www.bd.com/en-us/products-and-solutions/products/product-page.CH1730-006#specifications, https://accessgudid.nlm.nih.gov/devices/10885403024405</t>
  </si>
  <si>
    <t>CH1726</t>
  </si>
  <si>
    <t>BD_CH1726</t>
  </si>
  <si>
    <t>MIXTER FORCEPS RIGHT ANGLE JAWS 10-1/2IN</t>
  </si>
  <si>
    <t>PRODIGO1056739</t>
  </si>
  <si>
    <t>Mixter forceps Right angled jaws with longitudinal serrations and cross-serrated tip Overall length 10-1/2in</t>
  </si>
  <si>
    <t>FORCEP, SURGICAL, MIXTER, 10.5 IN, RIGHT ANGLED JAW, WITH LONGITUDINAL SERRATION, CROSS SERRATED TIP, RING HANDLE, DOUBLE ACTION, STAINLESS STEEL, NON STERILE, LATEX</t>
  </si>
  <si>
    <t>FORCEP, SURG, MIXTER, 10.5 IN, RT ANGLED JAW, W/ LONGITUDINAL SERRATION, CROSS SERRATED TIP, RNG HNDL, DBL ACT, SS, NS, LTX</t>
  </si>
  <si>
    <t>FORCEP, SURG, MIXTER, 10.5 IN, RT ANGLED JAW, DBL ACT, SS, NS, LTX</t>
  </si>
  <si>
    <t>RIGHT ANGLED JAW, WITH LONGITUDINAL SERRATION, CROSS SERRATED TIP, RING HANDLE, DOUBLE ACTION</t>
  </si>
  <si>
    <t>https://www.bd.com/en-us/products-and-solutions/products/product-page.CH1726#specifications, https://accessgudid.nlm.nih.gov/devices/10885403024337</t>
  </si>
  <si>
    <t>LA8278</t>
  </si>
  <si>
    <t>BD_LA8278</t>
  </si>
  <si>
    <t>MIXTER SPREADER DISSECT FORCEP 10MM 35CM</t>
  </si>
  <si>
    <t>PRODIGO1057731</t>
  </si>
  <si>
    <t>Dissector 10 Mmx35 Cm Mixter Double Action Right Angled Jaw Long Tip Rotation Non Ratchet Satin Finish Stainless Steel Non Sterile Latex</t>
  </si>
  <si>
    <t>DISSECTOR, ENDOSCOPIC, MIXTER, 10 MMX35 CM, DOUBLE ACTION, RIGHT ANGLED JAW, LONG TIP, ROTATION, NON RATCHET, SATIN FINISH, STAINLESS STEEL, NON STERILE, LATEX</t>
  </si>
  <si>
    <t>DISSECTOR, ENDOSCP, MIXTER, 10 MMX35 CM, DBL ACT, RT ANGLED JAW, LT, ROT, N RATCH, SATIN FINISH, SS, NS, LTX</t>
  </si>
  <si>
    <t>DISSECTOR, ENDOSCP, MIXTER, 10 MMX35 CM, DBL ACT, RT ANGLED JAW</t>
  </si>
  <si>
    <t>DOUBLE ACTION, RIGHT ANGLED JAW, LONG TIP, ROTATION, NON RATCHET, SATIN FINISH</t>
  </si>
  <si>
    <t>SPREADER FORCEP</t>
  </si>
  <si>
    <t>https://www.bd.com/en-us/offerings/capabilities/surgical-instruments/laparoscopic-instruments/mixter-dissector/la8278, https://accessgudid.nlm.nih.gov/devices/10885403053603</t>
  </si>
  <si>
    <t>LA8238</t>
  </si>
  <si>
    <t>BD_LA8238</t>
  </si>
  <si>
    <t>MIXTER SPREADER DISSECT FORCEP SHORT TIP</t>
  </si>
  <si>
    <t>PRODIGO1057712</t>
  </si>
  <si>
    <t>Snowden-pencer Dissector 5 Mmx35 Cm Short Mixter Double Action Right-angled Jaw Insulated Shaft Rotation Insulated Handle Non Ratchet Satin Finish Stainless Steel Non Sterile Latex</t>
  </si>
  <si>
    <t>DISSECTOR, ENDOSCOPIC, MIXTER, SHORT, 5 MMX35 CM, DOUBLE ACTION, RIGHT-ANGLED JAW, INSULATED SHAFT, ROTATION, INSULATED HANDLE, NON RATCHET, SATIN FINISH, STAINLESS STEEL, NON STERILE, SNOWDEN-PENCER, LATEX</t>
  </si>
  <si>
    <t>DISSECTOR, ENDOSCP, MIXTER, SHT, 5 MMX35 CM, DBL ACT, RIGHT-ANGLED JAW, INSUL SHFT, ROT, INSUL HNDL, N RATCH, SATIN FINISH, SS, NS, SNOWDEN-PENCER, LTX</t>
  </si>
  <si>
    <t>DISSECTOR, ENDOSCP, MIXTER, SHT, 5 MMX35 CM, RIGHT, SNOWDEN-PENCER</t>
  </si>
  <si>
    <t>SHORT</t>
  </si>
  <si>
    <t>DOUBLE ACTION, RIGHT-ANGLED JAW, INSULATED SHAFT, ROTATION, INSULATED HANDLE, NON RATCHET, SATIN FINISH</t>
  </si>
  <si>
    <t>https://www.bd.com/en-us/offerings/capabilities/surgical-instruments/laparoscopic-instruments/mixter-dissector/la8238, https://accessgudid.nlm.nih.gov/devices/10885403053276</t>
  </si>
  <si>
    <t>CA1730004</t>
  </si>
  <si>
    <t>CA1730-004</t>
  </si>
  <si>
    <t>BD_CA1730004</t>
  </si>
  <si>
    <t>MIXTER THORACIC FORCEP DEL (GEMINI-TYPE)</t>
  </si>
  <si>
    <t>PRODIGO1056456</t>
  </si>
  <si>
    <t>Mixter Thoracic Forceps Affinity Line. Overall length 11in (27.9cm)</t>
  </si>
  <si>
    <t>FORCEP, SURGICAL, GEMINI, 11 IN, THORACIC, MIXTER, DELICATE, AFFINITY LINE, NON STERILE, LATEX</t>
  </si>
  <si>
    <t>FORCEP, SURG, GEM, 11 IN, THOR, MIXTER, DEL, AFFIN LN, NS, LTX</t>
  </si>
  <si>
    <t>GEMINI</t>
  </si>
  <si>
    <t>MIXTER, DELICATE, AFFINITY LINE</t>
  </si>
  <si>
    <t>https://www.bd.com/en-us/products-and-solutions/products/product-page.CA1730-004#overview, https://accessgudid.nlm.nih.gov/devices/10885403018190</t>
  </si>
  <si>
    <t>CA1730001</t>
  </si>
  <si>
    <t>CA1730-001</t>
  </si>
  <si>
    <t>BD_CA1730001</t>
  </si>
  <si>
    <t>MIXTER THORACIC FORCEPS DEL(GEMINI-TYPE)</t>
  </si>
  <si>
    <t>PRODIGO1056453</t>
  </si>
  <si>
    <t>Mixter Thoracic Forceps Affinity Line. Overall length 7-1/4in (18.4cm)</t>
  </si>
  <si>
    <t>FORCEP, SURGICAL, GEMINI, 7.25 IN, THORACIC, MIXTER, DELICATE, AFFINITY LINE, NON STERILE, LATEX</t>
  </si>
  <si>
    <t>FORCEP, SURG, GEM, 7.25 IN, THOR, MIXTER, DEL, AFFIN LN, NS, LTX</t>
  </si>
  <si>
    <t>https://www.bd.com/en-us/products-and-solutions/products/product-page.CA1730-001#overview, https://accessgudid.nlm.nih.gov/devices/10885403018169</t>
  </si>
  <si>
    <t>CA1730002</t>
  </si>
  <si>
    <t>CA1730-002</t>
  </si>
  <si>
    <t>BD_CA1730002</t>
  </si>
  <si>
    <t>PRODIGO1056454</t>
  </si>
  <si>
    <t>Mixter Thoracic Forceps Affinity Line. Overall length 8in (20.3cm)</t>
  </si>
  <si>
    <t>FORCEP, SURGICAL, GEMINI, 8 IN, THORACIC, MIXTER, DELICATE, AFFINITY LINE, NON STERILE, LATEX</t>
  </si>
  <si>
    <t>FORCEP, SURG, GEM, 8 IN, THOR, MIXTER, DEL, AFFIN LN, NS, LTX</t>
  </si>
  <si>
    <t>https://www.bd.com/en-us/products-and-solutions/products/product-page.CA1730-002#overview, https://accessgudid.nlm.nih.gov/devices/10885403018176</t>
  </si>
  <si>
    <t>CA1730003</t>
  </si>
  <si>
    <t>CA1730-003</t>
  </si>
  <si>
    <t>BD_CA1730003</t>
  </si>
  <si>
    <t>PRODIGO1056455</t>
  </si>
  <si>
    <t>Mixter Thoracic Forceps Affinity Line. Overall length 9in (22.9cm)</t>
  </si>
  <si>
    <t>FORCEP, SURGICAL, GEMINI, 9 IN, THORACIC, MIXTER, DELICATE, AFFINITY LINE, NON STERILE, LATEX</t>
  </si>
  <si>
    <t>FORCEP, SURG, GEM, 9 IN, THOR, MIXTER, DEL, AFFIN LN, NS, LTX</t>
  </si>
  <si>
    <t>https://www.bd.com/en-us/products-and-solutions/products/product-page.CA1730-003#overview, https://accessgudid.nlm.nih.gov/devices/10885403018183</t>
  </si>
  <si>
    <t>CH1730008</t>
  </si>
  <si>
    <t>CH1730-008</t>
  </si>
  <si>
    <t>BD_CH1730008</t>
  </si>
  <si>
    <t>MIXTER THORACIC FORCEPS GEMINI-TYPE DEL</t>
  </si>
  <si>
    <t>PRODIGO1056742</t>
  </si>
  <si>
    <t>Mixter thoracic forceps Gemini type Delicate right angled serrated jaws Overall length 16in</t>
  </si>
  <si>
    <t>FORCEP, SURGICAL, MIXTER, 16 IN, THORACIC, GEMINI TYPE, DELICATE, RIGHT ANGLED, SERRATED, DOUBLE ACTION, SATIN FINISH, RING HANDLE, STAINLESS STEEL, NON STERILE, LATEX</t>
  </si>
  <si>
    <t>FORCEP, SURG, MIXTER, 16 IN, THOR, GEM TYP, DEL, RT ANGLED, SERRATED, DBL ACT, SATIN FINISH, RNG HNDL, SS, NS, LTX</t>
  </si>
  <si>
    <t>FORCEP, SURG, MIXTER, 16 IN, THOR, GEM TYP, DEL, RT ANGLED, SS, LTX</t>
  </si>
  <si>
    <t>https://www.bd.com/en-us/products-and-solutions/products/product-page.CH1730-008#specifications, https://accessgudid.nlm.nih.gov/devices/10885403024412</t>
  </si>
  <si>
    <t>MO9620</t>
  </si>
  <si>
    <t>BD_MO9620</t>
  </si>
  <si>
    <t>MODIFIED FREER ELEV SHRP DBL-END SLT CVD</t>
  </si>
  <si>
    <t>PRODIGO1057972</t>
  </si>
  <si>
    <t>FREER-TYPE (MODIFIED) ELEVATORS DOUBLE-ENDED. SHARP. OVERALL LENGTH 8-1/2IN (21.6CM). SLIGHTLY CURVED.</t>
  </si>
  <si>
    <t>ELEVATOR, SURGICAL, FREER, 8.5 IN, DOUBLE-ENDED, SHARP, SLIGHTLY CURVED, NON STERILE, LATEX</t>
  </si>
  <si>
    <t>ELEVATOR, SURG, FREER, 8.5 IN, DOUBLE-ENDED, SHRP, SLIGHTLY CRV, NS, LTX</t>
  </si>
  <si>
    <t>ELEVATOR, SURG, FREER, 8.5 IN, DOUBLE-ENDED, SHRP, SLIGHTLY CRV</t>
  </si>
  <si>
    <t>FREER</t>
  </si>
  <si>
    <t>DOUBLE-ENDED, SHARP, SLIGHTLY CURVED</t>
  </si>
  <si>
    <t>https://www.bd.com/en-us/products-and-solutions/products/product-page.mo9620#overview, https://accessgudid.nlm.nih.gov/devices/10885403066979</t>
  </si>
  <si>
    <t>CH5695</t>
  </si>
  <si>
    <t>BD_CH5695</t>
  </si>
  <si>
    <t>MORSE SCISSOR CVD BLDE EXTERNAL SHRP 7IN</t>
  </si>
  <si>
    <t>PRODIGO1056909</t>
  </si>
  <si>
    <t>MORSE SCISSOR SURGICAL 7 IN CURVED BLADE, MIRROR FINISH, EXTERNAL SHARP</t>
  </si>
  <si>
    <t>SCISSOR, SURGICAL, MORSE, 7 IN, CURVED BLADE, MIRROR FINISH, EXTERNAL SHARP, NON STERILE, LATEX</t>
  </si>
  <si>
    <t>SCISSOR, SURG, MORSE, 7 IN, CRV BLADE, MIRROR FINISH, EXT SHRP, NS, LTX</t>
  </si>
  <si>
    <t>SCISSOR, SURG, MORSE, 7 IN, CRV BLADE, EXT SHRP, NS, LTX</t>
  </si>
  <si>
    <t>MORSE</t>
  </si>
  <si>
    <t>CURVED BLADE, MIRROR FINISH, EXTERNAL SHARP</t>
  </si>
  <si>
    <t>http://www.megamedworld.com/wp-content/uploads/2019/03/VM_KVC-min.pdf, https://accessgudid.nlm.nih.gov/devices/10885403028946</t>
  </si>
  <si>
    <t>GL3262</t>
  </si>
  <si>
    <t>BD_GL3262</t>
  </si>
  <si>
    <t>MOYNIHAM-NAVRATIL FORCEPS ANG 9-1/2IN</t>
  </si>
  <si>
    <t>PRODIGO1057446</t>
  </si>
  <si>
    <t>Moynihan-Navratil forceps Angled. Overall length 9-1/2in (24cm).</t>
  </si>
  <si>
    <t>FORCEP, SURGICAL, MOYNIHAN-NAVRATIL, 9.5 IN, ANGLED, NON STERILE, LATEX</t>
  </si>
  <si>
    <t>FORCEP, SURG, MOYNIHAN-NAVRATIL, 9.5 IN, ANGLED, NS, LTX</t>
  </si>
  <si>
    <t>MOYNIHAN-NAVRATIL</t>
  </si>
  <si>
    <t>https://www.bd.com/en-us/products-and-solutions/products/product-page.GL3262#overview, https://accessgudid.nlm.nih.gov/devices/10885403045479</t>
  </si>
  <si>
    <t>CH6502</t>
  </si>
  <si>
    <t>BD_CH6502</t>
  </si>
  <si>
    <t>MULLER CLAMP ANGLE SHANKS JAW 5.3CM</t>
  </si>
  <si>
    <t>PRODIGO1057056</t>
  </si>
  <si>
    <t>MULLER Clamps V. Mueller delicate jaws. Jaw length 2.1cm. Overall length 7-1/4in (18.4cm). Angled shanks</t>
  </si>
  <si>
    <t>CLAMP, SURGICAL, MULLER, 18.4 CM, 5.3 CM,  DELICATE JAW, ANGLED SHANK, NON STERILE, LATEX</t>
  </si>
  <si>
    <t>CLAMP, SURG, MULLER, 18.4 CM, 5.3 CM,  DEL JAW, ANGLED SHANK, NS, LTX</t>
  </si>
  <si>
    <t>CLAMP, SURG, MULLER, 18.4 CM, 5.3 CM,  DEL JAW, ANGLED SHANK, NS</t>
  </si>
  <si>
    <t>MULLER</t>
  </si>
  <si>
    <t xml:space="preserve"> DELICATE JAW, ANGLED SHANK</t>
  </si>
  <si>
    <t>http://www.lt-technologies.de/_ws/mediabase/_ts_1494230442000/Downloads/CardioCatalog_LIT12012_low-res.pdf, https://accessgudid.nlm.nih.gov/devices/10885403031649</t>
  </si>
  <si>
    <t>CH6500</t>
  </si>
  <si>
    <t>BD_CH6500</t>
  </si>
  <si>
    <t>MULLER CLAMP STR SHANKS JAW 5.3CM</t>
  </si>
  <si>
    <t>PRODIGO1057055</t>
  </si>
  <si>
    <t>MULLER Clamps V. Mueller delicate jaws. Jaw length 2.1cm. Overall length 7-1/4in (18.4cm). Straight shanks</t>
  </si>
  <si>
    <t>CLAMP, SURGICAL, MULLER, 18.4 CM, 5.3 CM,  DELICATE JAW, STRAIGHT SHANK, NON STERILE, LATEX</t>
  </si>
  <si>
    <t>CLAMP, SURG, MULLER, 18.4 CM, 5.3 CM,  DEL JAW, STR SHANK, NS, LTX</t>
  </si>
  <si>
    <t xml:space="preserve"> DELICATE JAW, STRAIGHT SHANK</t>
  </si>
  <si>
    <t>http://www.lt-technologies.de/_ws/mediabase/_ts_1494230442000/Downloads/CardioCatalog_LIT12012_low-res.pdf, https://accessgudid.nlm.nih.gov/devices/10885403020360</t>
  </si>
  <si>
    <t>LA8300</t>
  </si>
  <si>
    <t>BD_LA8300</t>
  </si>
  <si>
    <t>NEEDLE HOLDER SPRING-LOAD HNDL 3MM 35CM</t>
  </si>
  <si>
    <t>PRODIGO1057734</t>
  </si>
  <si>
    <t>Holder 3 Mmx35 Cm Single Action Non Insulated Non Rotation Non Ratchet Spring Return Handle Stainless Steel Non Sterile Latex</t>
  </si>
  <si>
    <t>HOLDER, NEEDLE, 3 MMX35 CM, SINGLE ACTION, NON INSULATED, NON ROTATION, NON RATCHET, SPRING RETURN HANDLE, STAINLESS STEEL, NON STERILE, LATEX</t>
  </si>
  <si>
    <t>HOLDER, NDL, 3 MMX35 CM, SINGLE ACT, N INSUL, N ROT, N RATCH, SPRING RET HNDL, SS, NS, LTX</t>
  </si>
  <si>
    <t>HOLDER, NDL, 3 MMX35 CM, SINGLE, N INSUL, N ROT, N RATCH, SPRING</t>
  </si>
  <si>
    <t>3 MMX35 CM</t>
  </si>
  <si>
    <t>SINGLE ACTION, NON INSULATED, NON ROTATION, NON RATCHET, SPRING RETURN HANDLE</t>
  </si>
  <si>
    <t>https://www.bd.com/en-us/products-and-solutions/products/product-page.LA8300#overview, https://accessgudid.nlm.nih.gov/devices/10885403053665</t>
  </si>
  <si>
    <t>LA8301</t>
  </si>
  <si>
    <t>BD_LA8301</t>
  </si>
  <si>
    <t>NEEDLE HOLDER SPRING-LOAD HNDL 5MM 35CM</t>
  </si>
  <si>
    <t>PRODIGO1057735</t>
  </si>
  <si>
    <t>Holder 5 Mmx35 Cm Single Action Non Insulated Non Rotation Non Ratchet Spring Return Handle Stainless Steel Non Sterile Latex</t>
  </si>
  <si>
    <t>HOLDER, NEEDLE, 5 MMX35 CM, SINGLE ACTION, NON INSULATED, NON ROTATION, NON RATCHET, SPRING RETURN HANDLE, STAINLESS STEEL, NON STERILE, LATEX</t>
  </si>
  <si>
    <t>HOLDER, NDL, 5 MMX35 CM, SINGLE ACT, N INSUL, N ROT, N RATCH, SPRING RET HNDL, SS, NS, LTX</t>
  </si>
  <si>
    <t>HOLDER, NDL, 5 MMX35 CM, SINGLE, N INSUL, N ROT, N RATCH, SPRING</t>
  </si>
  <si>
    <t>https://www.bd.com/en-us/products-and-solutions/products/product-page.LA8301#overview, https://accessgudid.nlm.nih.gov/devices/10885403053672</t>
  </si>
  <si>
    <t>LAT0536NN</t>
  </si>
  <si>
    <t>LAT-0536-NN</t>
  </si>
  <si>
    <t>BD_LAT0536NN</t>
  </si>
  <si>
    <t>NEEDLE NOSE D/A  INSERT 5MM 36CM</t>
  </si>
  <si>
    <t>PRODIGO1057804</t>
  </si>
  <si>
    <t>NEEDLE NOSE GRASPER D/A INSERT 5MM 36</t>
  </si>
  <si>
    <t>GRASPER, ENDOSCOPIC, NEEDLE NOSE, 5 MMX36 CM, DOUBLE ACTION INSERT, ELECTROSURGICAL, INSULATED HANDLE, INSULATED SHAFT, NON STERILE, LATEX</t>
  </si>
  <si>
    <t>GRASPER ENDOSCOPIC NEEDLE NOSE 5 MMX36 CM DOUBLE ACTION INSERT ELECTROSURGICAL INSULATED HANDLE INSULATED SHAFT NON STERILE LATEX</t>
  </si>
  <si>
    <t>GRASPER, ENDOSCP, NDL NOSE, 5 MMX36 CM, DBL ACT INSRT, ELECSURG, INSUL HNDL, INSUL SHFT, NS, LTX</t>
  </si>
  <si>
    <t>GRASPER, ENDOSCP, NDL NOSE, 5 MMX36 CM, DBL ACT INSRT, INSUL HNDL</t>
  </si>
  <si>
    <t>NEEDLE NOSE</t>
  </si>
  <si>
    <t>DOUBLE ACTION INSERT, ELECTROSURGICAL, INSULATED HANDLE, INSULATED SHAFT</t>
  </si>
  <si>
    <t>https://www.bd.com/en-us/products-and-solutions/products/product-page.lat-0536-nn#specifications, https://accessgudid.nlm.nih.gov/devices/10885403431692</t>
  </si>
  <si>
    <t>LA8222</t>
  </si>
  <si>
    <t>BD_LA8222</t>
  </si>
  <si>
    <t>NEEDLE NOSE FORCEP DBL-ACT MONO 5MM 35CM</t>
  </si>
  <si>
    <t>PRODIGO1057696</t>
  </si>
  <si>
    <t>Dissector 5 Mmx35 Cm Needle Nose Double Action Fine Tapered Serrated Jaw Slim Insulated Shaft Non Rotation Insulated Handle Non Ratchet Satin Finish Monopolar Stainless Steel Non Sterile Latex</t>
  </si>
  <si>
    <t>DISSECTOR, ENDOSCOPIC, NEEDLE NOSE, 5 MMX35 CM, DOUBLE ACTION, FINE TAPERED, SERRATED JAW, SLIM, INSULATED SHAFT, NON ROTATION, INSULATED HANDLE, NON RATCHET, SATIN FINISH, MONOPOLAR, STAINLESS STEEL, NON STERILE, LATEX</t>
  </si>
  <si>
    <t>DISSECTOR, ENDOSCP, NDL NOSE, 5 MMX35 CM, DBL ACT, FN TAPR, SERRATED JAW, SLIM, INSUL SHFT, N ROT, INSUL HNDL, N RATCH, SATIN FINISH, MONOPOLAR, SS, NS, LTX</t>
  </si>
  <si>
    <t>DISSECTOR, ENDOSCP, NDL NOSE, 5 MMX35 CM, DBL ACT, SERRATED JAW</t>
  </si>
  <si>
    <t>DOUBLE ACTION, FINE TAPERED, SERRATED JAW, SLIM, INSULATED SHAFT, NON ROTATION, INSULATED HANDLE, NON RATCHET, SATIN FINISH, MONOPOLAR</t>
  </si>
  <si>
    <t>https://www.bd.com/en-us/offerings/capabilities/surgical-instruments/laparoscopic-instruments/needle-nose-dissector/la8222, https://accessgudid.nlm.nih.gov/devices/10885403053047</t>
  </si>
  <si>
    <t>CH2026</t>
  </si>
  <si>
    <t>BD_CH2026</t>
  </si>
  <si>
    <t>NELSON LOBECTOMY SCISSOR OVERLGTH 10"</t>
  </si>
  <si>
    <t>PRODIGO1056759</t>
  </si>
  <si>
    <t>NELSON Lobectomy Scissors</t>
  </si>
  <si>
    <t>SCISSOR, SURGICAL, NELSON, 10 IN, LOBECTOMY, ROUNDED, CURVED BLADE, NON STERILE, LATEX</t>
  </si>
  <si>
    <t>SCISSOR, SURG, NELSON, 10 IN, LOBECTOMY, ROUNDED, CRV BLADE, NS, LTX</t>
  </si>
  <si>
    <t>NELSON</t>
  </si>
  <si>
    <t>LOBECTOMY, ROUNDED, CURVED BLADE</t>
  </si>
  <si>
    <t>https://www.bd.com/en-us/products-and-solutions/products/product-page.CH2026#overview, https://accessgudid.nlm.nih.gov/devices/10885403024696</t>
  </si>
  <si>
    <t>CH2027</t>
  </si>
  <si>
    <t>BD_CH2027</t>
  </si>
  <si>
    <t>NELSON LOBECTOMY SCISSORS 14-1/4"</t>
  </si>
  <si>
    <t>PRODIGO1056760</t>
  </si>
  <si>
    <t>SCISSOR, SURGICAL, NELSON, 14.25 IN, LOBECTOMY, ROUNDED, CURVED BLADE, NON STERILE, LATEX</t>
  </si>
  <si>
    <t>SCISSOR, SURG, NELSON, 14.25 IN, LOBECTOMY, ROUNDED, CRV BLADE, NS, LTX</t>
  </si>
  <si>
    <t>SCISSOR, SURG, NELSON, 14.25 IN, LOBECTOMY, ROUNDED, CRV BLADE, NS</t>
  </si>
  <si>
    <t>http://www.lt-technologies.de/_ws/mediabase/_ts_1494230442000/Downloads/CardioCatalog_LIT12012_low-res.pdf, https://accessgudid.nlm.nih.gov/devices/10885403024702</t>
  </si>
  <si>
    <t>CH2025S</t>
  </si>
  <si>
    <t>CH2025-S</t>
  </si>
  <si>
    <t>BD_CH2025S</t>
  </si>
  <si>
    <t>NELSON METZ SCISSORS SUPERCUT CVD 1-SERR</t>
  </si>
  <si>
    <t>PRODIGO1056758</t>
  </si>
  <si>
    <t>Super Cut METZENBAUM Dissecting Scissors</t>
  </si>
  <si>
    <t>SCISSOR, SURGICAL, NELSON METZENBAUM, 11.75 IN, DISSECTING, SUPER CUT, CURVED, ONE SERRATED BLADE, MIRROR, SATIN FINISH, NON STERILE, LATEX</t>
  </si>
  <si>
    <t>SCISSOR, SURG, NELSON METZ, 11.75 IN, DISECT, SUPER CUT, CRV, 1 SERRATED BLADE, MIRROR, SATIN FINISH, NS, LTX</t>
  </si>
  <si>
    <t>SCISSOR, SURG, NELSON METZ, 11.75 IN, DISECT, SUPER CUT, CRV, BLADE</t>
  </si>
  <si>
    <t>NELSON METZENBAUM</t>
  </si>
  <si>
    <t>DISSECTING, SUPER CUT, CURVED, ONE SERRATED BLADE, MIRROR, SATIN FINISH</t>
  </si>
  <si>
    <t>http://www.lt-technologies.de/_ws/mediabase/_ts_1494230442000/Downloads/CardioCatalog_LIT12012_low-res.pdf, https://accessgudid.nlm.nih.gov/devices/10885403024689</t>
  </si>
  <si>
    <t>DE10722</t>
  </si>
  <si>
    <t>BD_DE10722</t>
  </si>
  <si>
    <t>NEUROLOGICAL PERCUSSION HAMMER SET4-IN-1</t>
  </si>
  <si>
    <t>PRODIGO1057301</t>
  </si>
  <si>
    <t>42292502  Surgical hammers or mallets</t>
  </si>
  <si>
    <t>Neurological percussion hammer</t>
  </si>
  <si>
    <t>HAMMER, SURGICAL, PERCUSSION, NEUROLOGICAL, 4-IN-1 SET, NEEDLE, SOFT BRUSH, CHROME PLATED, NON STERILE, LATEX</t>
  </si>
  <si>
    <t>HAMMER, SURG, PERCUSSION, NEURO, 4-IN-1 SET, NDL, SFT BRSH, CHROM PLT, NS, LTX</t>
  </si>
  <si>
    <t>HAMMER, SURG, PERCUSSION, NEURO, 4-IN-1 SET, NDL, BRSH, CHROM PLT</t>
  </si>
  <si>
    <t>HAMMER</t>
  </si>
  <si>
    <t>PERCUSSION</t>
  </si>
  <si>
    <t>NEUROLOGICAL, 4-IN-1 SET, NEEDLE, SOFT BRUSH</t>
  </si>
  <si>
    <t>https://www.bd.com/en-us/products-and-solutions/products/product-page.DE10722, https://accessgudid.nlm.nih.gov/devices/10885403036491</t>
  </si>
  <si>
    <t>GL1223</t>
  </si>
  <si>
    <t>BD_GL1223</t>
  </si>
  <si>
    <t>NICHOLS-DESCHAMPS-NAVRATIL LIG NDL LEFT</t>
  </si>
  <si>
    <t>PRODIGO1057353</t>
  </si>
  <si>
    <t>Nichols-Deschamps-Navratil ligature needles Overall length 11-7/16in (29cm). Curved left for the right hand.</t>
  </si>
  <si>
    <t>NEEDLE, LIGATURE, NICHOLS-DESCHAMPS-NAVRATIL, 11-7/16 IN, SATIN FINISH, CURVED LEFT, STAINLESS STEEL, NON STERILE, LATEX</t>
  </si>
  <si>
    <t>NEEDLE, LIG, NICHOLS-DESCHAMPS-NAVRATIL, 11-7/16 IN, SATIN FINISH, CRV LT, SS, NS, LTX</t>
  </si>
  <si>
    <t>NEEDLE, LIG, NICHOLS-DESCHAMPS-NAVRATIL, 11-7/16 IN, CRV LT</t>
  </si>
  <si>
    <t>NICHOLS-DESCHAMPS-NAVRATIL</t>
  </si>
  <si>
    <t>11-7/16 IN</t>
  </si>
  <si>
    <t>SATIN FINISH, CURVED LEFT</t>
  </si>
  <si>
    <t>https://www.bd.com/en-us/offerings/capabilities/surgical-instruments/open-instrumentation/nichols-deschamps-navratil-ligature-needles/gl1223, https://accessgudid.nlm.nih.gov/devices/10885403043833</t>
  </si>
  <si>
    <t>CH12920</t>
  </si>
  <si>
    <t>BD_CH12920</t>
  </si>
  <si>
    <t>NOON VASC ACCESS TUNN 3 TIPS(6 7&amp;9MM)</t>
  </si>
  <si>
    <t>PRODIGO1056664</t>
  </si>
  <si>
    <t>42293804  Surgical tunnelers</t>
  </si>
  <si>
    <t>NOON (MODIFIED) VASCULAR ACCESS TUNNELER INCLUDES THREE INTERCHANGEABLE OLIVE TIPS 6 7 AND 9MM DIAMETERS MIRROR FINISH 9.25 IN LATEX NON STERILE</t>
  </si>
  <si>
    <t>TUNNELER, SURGICAL, NOON MODIFIED, 6 MM, 7 MM, 9 MM, 9.25 IN, VASCULAR ACCESS, WITH 3 INTERCHANGEABLE OLIVE TIP, MIRROR FINISH, NON STERILE, LATEX</t>
  </si>
  <si>
    <t>TUNNELER, SURG, NOON MOD, 6 MM, 7 MM, 9 MM, 9.25 IN, VASC ACCS, W/ 3 INTERCHANGEABLE OLV TIP, MIRROR FINISH, NS, LTX</t>
  </si>
  <si>
    <t>TUNNELER, SURG, NOON MOD, 6 MM, 7 MM, 9 MM, 9.25 IN, VASC ACCS, OLV</t>
  </si>
  <si>
    <t>TUNNELER</t>
  </si>
  <si>
    <t>NOON MODIFIED</t>
  </si>
  <si>
    <t>6 MM, 7 MM, 9 MM</t>
  </si>
  <si>
    <t>VASCULAR ACCESS, WITH 3 INTERCHANGEABLE OLIVE TIP, MIRROR FINISH</t>
  </si>
  <si>
    <t>https://www.bd.com/en-us/products-and-solutions/products/product-page.CH12920#overview, https://accessgudid.nlm.nih.gov/devices/10885403036057</t>
  </si>
  <si>
    <t>GU8161</t>
  </si>
  <si>
    <t>BD_GU8161</t>
  </si>
  <si>
    <t>NO-SCALPEL VASECTOMY FORCEPS CVD JAWS</t>
  </si>
  <si>
    <t>PRODIGO1057618</t>
  </si>
  <si>
    <t>No-scalpel vasectomy forceps Sharp-pointed smooth curved jaws. Jaw length 3/4 in(20cm) Overall length 5-1/8 in(13cm).</t>
  </si>
  <si>
    <t>FORCEP, SURGICAL, VASECTOMY, 5 IN, 0.75 IN, NO SCALPEL, SHARP POINTED, SMOOTH, CURVED JAW, NON STERILE, LATEX</t>
  </si>
  <si>
    <t>FORCEP, SURG, VASECTOMY, 5 IN, 0.75 IN, NO SCALPEL, SHRP PT, SMOOTH, CRV JAW, NS, LTX</t>
  </si>
  <si>
    <t>FORCEP, SURG, VASECTOMY, 5 IN, 0.75 IN, NO SCALPEL, SHRP PT, SMOOTH</t>
  </si>
  <si>
    <t>VASECTOMY</t>
  </si>
  <si>
    <t>NO SCALPEL, SHARP POINTED, SMOOTH, CURVED JAW</t>
  </si>
  <si>
    <t>https://www.bd.com/en-us/products-and-solutions/products/product-page.gu8161#overview, https://accessgudid.nlm.nih.gov/devices/10885403050213</t>
  </si>
  <si>
    <t>CARDINAL HEALTH</t>
  </si>
  <si>
    <t>V11440012</t>
  </si>
  <si>
    <t>V11440-012</t>
  </si>
  <si>
    <t>CARDINAL</t>
  </si>
  <si>
    <t>CARDINAL_V11440012</t>
  </si>
  <si>
    <t>NOVAPLUS COLD PAK LG 6X9</t>
  </si>
  <si>
    <t>PRODIGO1058225</t>
  </si>
  <si>
    <t>42142108  Therapeutic heating or cooling pads or compresses or packs</t>
  </si>
  <si>
    <t>E0238</t>
  </si>
  <si>
    <t>NON-ELECTRIC HEAT PAD, MOIST</t>
  </si>
  <si>
    <t>PACK COLD INSTANT 7X9IN LARGE 12/BOX NOVAPLUS ( CS 48 )</t>
  </si>
  <si>
    <t>THERAPEUTIC PACK, INSTANT COLD, LARGE, 7X9 IN, NON STERILE, LATEX-FREE</t>
  </si>
  <si>
    <t>THERAPEUTIC PACK, INSTANT CLD, LG, 7X9 IN, NS, LF</t>
  </si>
  <si>
    <t>THERAPEUTIC PACK</t>
  </si>
  <si>
    <t>INSTANT COLD</t>
  </si>
  <si>
    <t>7X9 IN</t>
  </si>
  <si>
    <t>https://www.beesmed.com/cardinal-healthcare-corporaton-v11440012-pack-cold-instant-7x9in-large-12box-novaplus-p-51017.html, https://accessgudid.nlm.nih.gov/devices/10885380057472</t>
  </si>
  <si>
    <t>V11440512</t>
  </si>
  <si>
    <t>V11440-512</t>
  </si>
  <si>
    <t>CARDINAL_V11440512</t>
  </si>
  <si>
    <t>NOVAPLUS COLD PAK SM/LONG 4.5X9</t>
  </si>
  <si>
    <t>PRODIGO1058226</t>
  </si>
  <si>
    <t>PACK COLD INSTANT 4.5X9IN SMALL/LONG 12/BOX NOVAPLUS ( CS 48 )</t>
  </si>
  <si>
    <t>THERAPEUTIC PACK, INSTANT COLD, SMALL/LONG, 4.5X9 IN, NON STERILE, LATEX-FREE</t>
  </si>
  <si>
    <t>THERAPEUTIC PACK, INSTANT CLD, SMALL/LONG, 4.5X9 IN, NS, LF</t>
  </si>
  <si>
    <t>SMALL/LONG</t>
  </si>
  <si>
    <t>4.5X9 IN</t>
  </si>
  <si>
    <t>https://www.beesmed.com/cardinal-healthcare-corporaton-v11440512-pack-cold-instant-45x9in-smalllong-12box-novaplus-p-51018.html, https://accessgudid.nlm.nih.gov/devices/10192253061451</t>
  </si>
  <si>
    <t>V11450040B</t>
  </si>
  <si>
    <t>CARDINAL_V11450040B</t>
  </si>
  <si>
    <t>NOVAPLUS HOT PACK MEDIUM 6X6.5</t>
  </si>
  <si>
    <t>PRODIGO1058229</t>
  </si>
  <si>
    <t>PACK HOT INSTANT MEDIUM LASTS 30-45MIN 6X6 1/2IN NOVAPLUS ( CS 40 )</t>
  </si>
  <si>
    <t>THERAPEUTIC PACK, INSTANT HOT, MEDIUM, 6X6.5 IN, LASTS 30-45 MINUTE, NON STERILE, LATEX</t>
  </si>
  <si>
    <t>THERAPEUTIC PACK, INSTANT HOT, MED, 6X6.5 IN, LASTS 30-45 MIN, NS, LTX</t>
  </si>
  <si>
    <t>THERAPEUTIC PACK, INSTANT HOT, MED, 6X6.5 IN, LASTS 30-45 MIN, NS</t>
  </si>
  <si>
    <t>INSTANT HOT</t>
  </si>
  <si>
    <t>6X6.5 IN</t>
  </si>
  <si>
    <t>LASTS 30-45 MINUTE</t>
  </si>
  <si>
    <t>https://www.beesmed.com/cardinal-healthcare-corporaton-v11450040b-pack-hot-instant-medium-lasts-45min-6x6-12in-novaplus-p-126388.html, https://accessgudid.nlm.nih.gov/devices/10885380167195</t>
  </si>
  <si>
    <t>V11900100</t>
  </si>
  <si>
    <t>V11900-100</t>
  </si>
  <si>
    <t>CARDINAL_V11900100</t>
  </si>
  <si>
    <t>NOVAPLUS ICE BAG - EYE 4.5  X 10</t>
  </si>
  <si>
    <t>PRODIGO1058236</t>
  </si>
  <si>
    <t>42142111  Therapeutic ice packs or pillows</t>
  </si>
  <si>
    <t>BAG ICE EYE 4 1/2X10IN SPECIALITY SOFT OUTER NOVAPLUS ( CS 30 )</t>
  </si>
  <si>
    <t>BAG, ICE, EYE, 4.5X10 IN, SPECIALITY, SOFT OUTER, NOVAPLUS</t>
  </si>
  <si>
    <t>BAG, ICE, EYE, 4.5X10 IN, SPECIALITY, SFT OUTER, NOVAPLUS</t>
  </si>
  <si>
    <t>BAG</t>
  </si>
  <si>
    <t>ICE</t>
  </si>
  <si>
    <t>EYE</t>
  </si>
  <si>
    <t>4.5X10 IN</t>
  </si>
  <si>
    <t>SPECIALITY, SOFT OUTER</t>
  </si>
  <si>
    <t>NOVAPLUS</t>
  </si>
  <si>
    <t>https://www.beesmed.com/cardinal-healthcare-corporaton-v11900100-bag-ice-eye-12x10in-speciality-soft-outer-novaplus-p-126487.html</t>
  </si>
  <si>
    <t>V11700100</t>
  </si>
  <si>
    <t>V11700-100</t>
  </si>
  <si>
    <t>CARDINAL_V11700100</t>
  </si>
  <si>
    <t>NOVAPLUS ICE BAG - XL 11  X 21</t>
  </si>
  <si>
    <t>PRODIGO1058233</t>
  </si>
  <si>
    <t>BAG ICE XLARGE SYSTEM 11X21IN SPECIALTY NOVAPLUS ( CS 10 )</t>
  </si>
  <si>
    <t>BAG, ICE, XLARGE, 11X21 IN, SPECIALTY</t>
  </si>
  <si>
    <t>BAG, ICE, XL, 11X21 IN, SPEC</t>
  </si>
  <si>
    <t>XLARGE</t>
  </si>
  <si>
    <t>11X21 IN</t>
  </si>
  <si>
    <t>SPECIALTY</t>
  </si>
  <si>
    <t>https://www.beesmed.com/cardinal-healthcare-corporaton-v11700100-bag-ice-xlarge-system-11x21in-specialty-novaplus-p-126486.html</t>
  </si>
  <si>
    <t>V11300100</t>
  </si>
  <si>
    <t>V11300-100</t>
  </si>
  <si>
    <t>CARDINAL_V11300100</t>
  </si>
  <si>
    <t>NOVAPLUS ICE BAG 6.5  X 13</t>
  </si>
  <si>
    <t>PRODIGO1058222</t>
  </si>
  <si>
    <t>BAG ICE RECTANGULAR 6 1/2X13IN LARGE REUSABLE NOVAPLUS ( CS 80 )</t>
  </si>
  <si>
    <t>BAG, ICE, RECTANGULAR, LARGE, 6.5X13 IN, REUSABLE</t>
  </si>
  <si>
    <t>BAG, ICE, RECTANGULAR, LG, 6.5X13 IN, REUSE</t>
  </si>
  <si>
    <t>RECTANGULAR</t>
  </si>
  <si>
    <t>6.5X13 IN</t>
  </si>
  <si>
    <t>https://www.beesmed.com/cardinal-healthcare-corporaton-v11300100-bag-ice-rectangular-12x13in-large-reusable-novaplus-p-51021.html</t>
  </si>
  <si>
    <t>V11800200</t>
  </si>
  <si>
    <t>V11800-200</t>
  </si>
  <si>
    <t>CARDINAL_V11800200</t>
  </si>
  <si>
    <t>NOVAPLUS ICE BAG FACIAL 5X12IN</t>
  </si>
  <si>
    <t>PRODIGO1058235</t>
  </si>
  <si>
    <t>BAG ICE BILATERAL FACIAL 5X12IN NOVAPLUS ( CS 24 )</t>
  </si>
  <si>
    <t>BAG, ICE, BILATERAL FACIAL, 5X12 IN, NOVAPLUS</t>
  </si>
  <si>
    <t>BAG, ICE, BILATERAL FACE, 5X12 IN, NOVAPLUS</t>
  </si>
  <si>
    <t>BILATERAL FACIAL</t>
  </si>
  <si>
    <t>5X12 IN</t>
  </si>
  <si>
    <t>https://www.beesmed.com/cardinal-healthcare-corporaton-v11800200-bag-ice-bilateral-facial-5x12in-novaplus-p-51016.html</t>
  </si>
  <si>
    <t>V11600300</t>
  </si>
  <si>
    <t>V11600-300</t>
  </si>
  <si>
    <t>CARDINAL_V11600300</t>
  </si>
  <si>
    <t>NOVAPLUS ICE BAG L ELASTIC 6X14IN</t>
  </si>
  <si>
    <t>PRODIGO1058232</t>
  </si>
  <si>
    <t>BAG ICE ELASTIC LARGE 6X14IN NOVAPLUS ( BX 15 )</t>
  </si>
  <si>
    <t>BAG, ICE, LARGE, 6X14 IN, ELASTIC</t>
  </si>
  <si>
    <t>BAG, ICE, LG, 6X14 IN, ELASTIC</t>
  </si>
  <si>
    <t>6X14 IN</t>
  </si>
  <si>
    <t>ELASTIC</t>
  </si>
  <si>
    <t>https://www.beesmed.com/cardinal-healthcare-corporaton-v11600300-bag-ice-elastic-large-6x14in-novaplus-p-51012.html</t>
  </si>
  <si>
    <t>V11500100</t>
  </si>
  <si>
    <t>V11500-100</t>
  </si>
  <si>
    <t>CARDINAL_V11500100</t>
  </si>
  <si>
    <t>NOVAPLUS ICE BAG PERINEAL 4X12IN</t>
  </si>
  <si>
    <t>PRODIGO1058230</t>
  </si>
  <si>
    <t>BAG ICE PERINEAL 4X12IN SPECIALTY NOVAPLUS ( CS 100 )</t>
  </si>
  <si>
    <t>BAG, ICE, PERINEAL, 4X12 IN, SPECIALTY, DISPOSABLE</t>
  </si>
  <si>
    <t>BAG, ICE, PERINL, 4X12 IN, SPEC, DISP</t>
  </si>
  <si>
    <t>4X12 IN</t>
  </si>
  <si>
    <t>DISPOSABLE</t>
  </si>
  <si>
    <t>https://www.beesmed.com/cardinal-healthcare-corporaton-v11500100-bag-ice-perineal-4x12in-specialty-novaplus-100-p-126482.html</t>
  </si>
  <si>
    <t>V11600100</t>
  </si>
  <si>
    <t>V11600-100</t>
  </si>
  <si>
    <t>CARDINAL_V11600100</t>
  </si>
  <si>
    <t>NOVAPLUS ICE BAG S ELASTIC 5X12IN</t>
  </si>
  <si>
    <t>PRODIGO1058231</t>
  </si>
  <si>
    <t>NOVAPLUS ICE BAGS - BAG ICE NOVAPLUS S ELASTIC 5X12IN</t>
  </si>
  <si>
    <t>BAG, ICE, SMALL, 5X12 IN, ELASTIC</t>
  </si>
  <si>
    <t>BAG, ICE, SM, 5X12 IN, ELASTIC</t>
  </si>
  <si>
    <t>https://www.graylinemedical.com/products/cardinal-health-novaplus-ice-bags-bag-ice-novaplus-s-elastic-5x12-v11600-100</t>
  </si>
  <si>
    <t>V11700200</t>
  </si>
  <si>
    <t>V11700-200</t>
  </si>
  <si>
    <t>CARDINAL_V11700200</t>
  </si>
  <si>
    <t>NOVAPLUS ICE BAG XL REPL 8.5X11IN</t>
  </si>
  <si>
    <t>PRODIGO1058234</t>
  </si>
  <si>
    <t xml:space="preserve">NOVATION ICE BAG REPLACEMENT - NOVATION REPLACEMENT ICE BAGS SIZE XL </t>
  </si>
  <si>
    <t>BAG, ICE, XLARGE, REPLACEMENT, NOVATION, LATEX-FREE</t>
  </si>
  <si>
    <t>BAG, ICE, XL, REPL, NOVATION, LF</t>
  </si>
  <si>
    <t>REPLACEMENT</t>
  </si>
  <si>
    <t>NOVATION</t>
  </si>
  <si>
    <t>https://www.graylinemedical.com/products/cardinal-health-novation-ice-bag-replacement-novation-replacement-ice-bags-size-xl-v11700-200</t>
  </si>
  <si>
    <t>MO9616</t>
  </si>
  <si>
    <t>BD_MO9616</t>
  </si>
  <si>
    <t>OBWEGESER  PRISTL ELEV ANG 7MM BLDE</t>
  </si>
  <si>
    <t>PRODIGO1057971</t>
  </si>
  <si>
    <t>OBWEGESER-TYPE MANDIBULAR PERIOSTEAL ELEVATORS ANGLED. OVERALL LENGTH 8IN (20.3CM). BLADE 8MM WIDE.</t>
  </si>
  <si>
    <t>ELEVATOR, SURGICAL, OBWEGESER, 8 IN, 8 MM, MANDIBULAR PERIOSTEAL, ANGLED, SATIN FINISH, STAINLESS STEEL, NON STERILE, LATEX</t>
  </si>
  <si>
    <t>ELEVATOR, SURG, OBWEGESER, 8 IN, 8 MM, MAND PERIOST, ANGLED, SATIN FINISH, SS, NS, LTX</t>
  </si>
  <si>
    <t>ELEVATOR, SURG, OBWEGESER, 8 IN, 8 MM, MAND PERIOST, SATIN FINISH</t>
  </si>
  <si>
    <t>OBWEGESER</t>
  </si>
  <si>
    <t>MANDIBULAR PERIOSTEAL, ANGLED, SATIN FINISH</t>
  </si>
  <si>
    <t>https://www.bd.com/en-us/products-and-solutions/products/product-page.MO9616#overview, https://accessgudid.nlm.nih.gov/devices/10885403066948</t>
  </si>
  <si>
    <t>MO9315</t>
  </si>
  <si>
    <t>BD_MO9315</t>
  </si>
  <si>
    <t>OBWEGESER  RETR 11X15X70 8-3/4IN</t>
  </si>
  <si>
    <t>PRODIGO1057961</t>
  </si>
  <si>
    <t>OBWEGESER-TYPE RAMUS RETRACTOR CURVED. CONCLAVE BLADE. OVERALL LENGTH 8-3/4IN (22.2CM). 70MM X 15MM WIDE.</t>
  </si>
  <si>
    <t>RETRACTOR, SURGICAL, OBWEGESER, 8.75 IN, 70X15 MM, RAMUS, CURVED, CONCLAVE BLADE, SATIN FINISH, STAINLESS STEEL, NON STERILE, LATEX</t>
  </si>
  <si>
    <t>RETRACTOR, SURG, OBWEGESER, 8.75 IN, 70X15 MM, RAMUS, CRV, CONCLAVE BLADE, SATIN FINISH, SS, NS, LTX</t>
  </si>
  <si>
    <t>RETRACTOR, SURG, OBWEGESER, 8.75 IN, 70X15 MM, RAMUS, CRV</t>
  </si>
  <si>
    <t>70X15 MM</t>
  </si>
  <si>
    <t>RAMUS</t>
  </si>
  <si>
    <t>CURVED, CONCLAVE BLADE, SATIN FINISH</t>
  </si>
  <si>
    <t>https://www.bd.com/en-us/products-and-solutions/products/product-page.mo9315#overview, https://accessgudid.nlm.nih.gov/devices/10885403066719</t>
  </si>
  <si>
    <t>MO9608</t>
  </si>
  <si>
    <t>BD_MO9608</t>
  </si>
  <si>
    <t>OBWEGESER PERIOSTEAL ELEVATOR BLADE 11MM</t>
  </si>
  <si>
    <t>PRODIGO1057970</t>
  </si>
  <si>
    <t>OBWEGESER-TYPE PERIOSTEAL ELEVATORS FLAT. OVERALL LENGTH 7IN (17.8CM). BLADE 11MM WIDE.</t>
  </si>
  <si>
    <t>ELEVATOR, SURGICAL, OBWEGESER, 7 IN, 11 MM, PERIOSTEAL, FLAT, SATIN FINISH, STAINLESS STEEL, NON STERILE, LATEX</t>
  </si>
  <si>
    <t>ELEVATOR, SURG, OBWEGESER, 7 IN, 11 MM, PERIOST, FLAT, SATIN FINISH, SS, NS, LTX</t>
  </si>
  <si>
    <t>ELEVATOR, SURG, OBWEGESER, 7 IN, 11 MM, PERIOST, FLAT, SATIN FINISH</t>
  </si>
  <si>
    <t>PERIOSTEAL, FLAT, SATIN FINISH</t>
  </si>
  <si>
    <t>https://www.bd.com/en-us/products-and-solutions/products/product-page.MO9608#overview, https://accessgudid.nlm.nih.gov/devices/10885403066924</t>
  </si>
  <si>
    <t>MO9600</t>
  </si>
  <si>
    <t>BD_MO9600</t>
  </si>
  <si>
    <t>OBWEGESER PERIOSTEAL ELEVATOR BLADE 6MMW</t>
  </si>
  <si>
    <t>PRODIGO1057967</t>
  </si>
  <si>
    <t>OBWEGESER-TYPE PERIOSTEAL ELEVATORS FLAT. OVERALL LENGTH 7IN (17.8CM). BLADE 6MM WIDE.</t>
  </si>
  <si>
    <t>ELEVATOR, SURGICAL, OBWEGESER, 7 IN, 6 MM, PERIOSTEAL, FLAT, SATIN FINISH, STAINLESS STEEL, NON STERILE, LATEX</t>
  </si>
  <si>
    <t>ELEVATOR, SURG, OBWEGESER, 7 IN, 6 MM, PERIOST, FLAT, SATIN FINISH, SS, NS, LTX</t>
  </si>
  <si>
    <t>ELEVATOR, SURG, OBWEGESER, 7 IN, 6 MM, PERIOST, FLAT, SATIN FINISH</t>
  </si>
  <si>
    <t>https://www.bd.com/en-us/products-and-solutions/products/product-page.MO9600#overview, https://accessgudid.nlm.nih.gov/devices/10885403066894</t>
  </si>
  <si>
    <t>MO9602</t>
  </si>
  <si>
    <t>BD_MO9602</t>
  </si>
  <si>
    <t>OBWEGESER PERIOSTEAL ELEVATOR BLADE 7MMW</t>
  </si>
  <si>
    <t>PRODIGO1057968</t>
  </si>
  <si>
    <t>OBWEGESER-TYPE PERIOSTEAL ELEVATORS FLAT. OVERALL LENGTH 7IN (17.8CM). BLADE 7MM WIDE.</t>
  </si>
  <si>
    <t>ELEVATOR, SURGICAL, OBWEGESER, 7 IN, 7 MM, PERIOSTEAL, FLAT, SATIN FINISH, STAINLESS STEEL, NON STERILE, LATEX</t>
  </si>
  <si>
    <t>ELEVATOR, SURG, OBWEGESER, 7 IN, 7 MM, PERIOST, FLAT, SATIN FINISH, SS, NS, LTX</t>
  </si>
  <si>
    <t>ELEVATOR, SURG, OBWEGESER, 7 IN, 7 MM, PERIOST, FLAT, SATIN FINISH</t>
  </si>
  <si>
    <t>https://www.bd.com/en-us/products-and-solutions/products/product-page.MO9602#overview, https://accessgudid.nlm.nih.gov/devices/10885403066900</t>
  </si>
  <si>
    <t>MO9604</t>
  </si>
  <si>
    <t>BD_MO9604</t>
  </si>
  <si>
    <t>OBWEGESER PERIOSTEAL ELEVATOR BLADE 9MMW</t>
  </si>
  <si>
    <t>PRODIGO1057969</t>
  </si>
  <si>
    <t>OBWEGESER-TYPE PERIOSTEAL ELEVATORS FLAT. OVERALL LENGTH 7IN (17.8CM). BLADE 9MM WIDE.</t>
  </si>
  <si>
    <t>ELEVATOR, SURGICAL, OBWEGESER, 7 IN, 9 MM, PERIOSTEAL, FLAT, SATIN FINISH, STAINLESS STEEL, NON STERILE, LATEX</t>
  </si>
  <si>
    <t>ELEVATOR, SURG, OBWEGESER, 7 IN, 9 MM, PERIOST, FLAT, SATIN FINISH, SS, NS, LTX</t>
  </si>
  <si>
    <t>ELEVATOR, SURG, OBWEGESER, 7 IN, 9 MM, PERIOST, FLAT, SATIN FINISH</t>
  </si>
  <si>
    <t>https://www.bd.com/en-us/products-and-solutions/products/product-page.MO9604#overview, https://accessgudid.nlm.nih.gov/devices/10885403066917</t>
  </si>
  <si>
    <t>MO9302</t>
  </si>
  <si>
    <t>BD_MO9302</t>
  </si>
  <si>
    <t>OBWEGESER RETRACTOR 10X35 DOWN 8-3/4IN</t>
  </si>
  <si>
    <t>PRODIGO1057960</t>
  </si>
  <si>
    <t>OBWEGESER-TYPE SOFT TISSUE RETRACTORS CONCAVE BLADE. OVERALL LENGTH 8-3/4IN (22.2CM). CURVED DOWN. 35MM X 10MM WIDE.</t>
  </si>
  <si>
    <t>RETRACTOR, SURGICAL, OBWEGESER, 8.75 IN, 35X10 MM, SOFT TISSUE, CURVED DOWN, CONCAVE BLADE, SATIN FINISH, STAINLESS STEEL, NON STERILE, LATEX</t>
  </si>
  <si>
    <t>RETRACTOR, SURG, OBWEGESER, 8.75 IN, 35X10 MM, SFT TISS, CRV DN, CONCV BLADE, SATIN FINISH, SS, NS, LTX</t>
  </si>
  <si>
    <t>RETRACTOR, SURG, OBWEGESER, 8.75 IN, 35X10 MM, SFT TISS, CRV DN</t>
  </si>
  <si>
    <t>35X10 MM</t>
  </si>
  <si>
    <t>SOFT TISSUE</t>
  </si>
  <si>
    <t>CURVED DOWN, CONCAVE BLADE, SATIN FINISH</t>
  </si>
  <si>
    <t>https://www.bd.com/en-us/products-and-solutions/products/product-page.MO9302#overview, https://accessgudid.nlm.nih.gov/devices/10885403059483</t>
  </si>
  <si>
    <t>MO9300</t>
  </si>
  <si>
    <t>BD_MO9300</t>
  </si>
  <si>
    <t>OBWEGESER RETRACTOR 7X25 DOWN 8-3/4IN</t>
  </si>
  <si>
    <t>PRODIGO1057959</t>
  </si>
  <si>
    <t>OBWEGESER-TYPE SOFT TISSUE RETRACTORS CONCAVE BLADE. OVERALL LENGTH 8-3/4IN (22.2CM). CURVED DOWN. 25MM X 7MM WIDE.</t>
  </si>
  <si>
    <t>RETRACTOR, SURGICAL, OBWEGESER, 8.75 IN, 25X7 MM, SOFT TISSUE, CURVED DOWN, CONCAVE BLADE, SATIN FINISH, STAINLESS STEEL, NON STERILE, LATEX</t>
  </si>
  <si>
    <t>RETRACTOR, SURG, OBWEGESER, 8.75 IN, 25X7 MM, SFT TISS, CRV DN, CONCV BLADE, SATIN FINISH, SS, NS, LTX</t>
  </si>
  <si>
    <t>RETRACTOR, SURG, OBWEGESER, 8.75 IN, 25X7 MM, SFT TISS, CRV DN</t>
  </si>
  <si>
    <t>25X7 MM</t>
  </si>
  <si>
    <t>https://www.bd.com/en-us/products-and-solutions/products/product-page.MO9300#overview, https://accessgudid.nlm.nih.gov/devices/10885403059476</t>
  </si>
  <si>
    <t>MO9200</t>
  </si>
  <si>
    <t>BD_MO9200</t>
  </si>
  <si>
    <t>OBWEGESER RETRACTOR 7X25MM UP 8-3/4IN</t>
  </si>
  <si>
    <t>PRODIGO1057958</t>
  </si>
  <si>
    <t>OBWEGESER-TYPE SOFT TISSUE RETRACTORS CONCAVE BLADE. OVERALL LENGTH 8-3/4IN (22.2CM). CURVED UP. 25MM X 7MM WIDE.</t>
  </si>
  <si>
    <t>RETRACTOR, SURGICAL, OBWEGESER, 8.75 IN, 25X7 MM, SOFT TISSUE, CURVED UP, CONCAVE BLADE, SATIN FINISH, STAINLESS STEEL, NON STERILE, LATEX</t>
  </si>
  <si>
    <t>RETRACTOR, SURG, OBWEGESER, 8.75 IN, 25X7 MM, SFT TISS, CRV UP, CONCV BLADE, SATIN FINISH, SS, NS, LTX</t>
  </si>
  <si>
    <t>RETRACTOR, SURG, OBWEGESER, 8.75 IN, 25X7 MM, SFT TISS, CRV UP</t>
  </si>
  <si>
    <t>CURVED UP, CONCAVE BLADE, SATIN FINISH</t>
  </si>
  <si>
    <t>https://www.bd.com/en-us/products-and-solutions/products/product-page.MO9200#overview, https://accessgudid.nlm.nih.gov/devices/10885403059407</t>
  </si>
  <si>
    <t>MO9002</t>
  </si>
  <si>
    <t>BD_MO9002</t>
  </si>
  <si>
    <t>OBWEGESER TISSUE RETR 11X42MM TIP CVD DN</t>
  </si>
  <si>
    <t>PRODIGO1057945</t>
  </si>
  <si>
    <t>OBWEGESER-TYPE TISSUE RETRACTORS FLAT BLADE. OVERALL LENGTH 8-3/4IN (22.2CM). CURVED DOWN. 42MM X 10MM WIDE.</t>
  </si>
  <si>
    <t>RETRACTOR, SURGICAL, OBWEGESER, 8.75 IN, 42X10 MM, TISSUE, CURVED DOWN, FLAT BLADE, NON STERILE, LATEX</t>
  </si>
  <si>
    <t>RETRACTOR, SURG, OBWEGESER, 8.75 IN, 42X10 MM, TISS, CRV DN, FLAT BLADE, NS, LTX</t>
  </si>
  <si>
    <t>RETRACTOR, SURG, OBWEGESER, 8.75 IN, 42X10 MM, TISS, CRV DN</t>
  </si>
  <si>
    <t>42X10 MM</t>
  </si>
  <si>
    <t>CURVED DOWN, FLAT BLADE</t>
  </si>
  <si>
    <t>https://www.bd.com/en-us/products-and-solutions/products/product-page.MO9002#overview, https://accessgudid.nlm.nih.gov/devices/10885403059223</t>
  </si>
  <si>
    <t>MO9004</t>
  </si>
  <si>
    <t>BD_MO9004</t>
  </si>
  <si>
    <t>OBWEGESER TISSUE RETR 12X55MM TIP CVD DN</t>
  </si>
  <si>
    <t>PRODIGO1057946</t>
  </si>
  <si>
    <t>OBWEGESER-TYPE TISSUE RETRACTORS FLAT BLADE. OVERALL LENGTH 8-3/4IN (22.2CM). CURVED DOWN. 55MM X 12MM WIDE.</t>
  </si>
  <si>
    <t>RETRACTOR, SURGICAL, OBWEGESER, 8.75 IN, 55X12 MM, TISSUE, CURVED DOWN, FLAT BLADE, NON STERILE, LATEX</t>
  </si>
  <si>
    <t>RETRACTOR, SURG, OBWEGESER, 8.75 IN, 55X12 MM, TISS, CRV DN, FLAT BLADE, NS, LTX</t>
  </si>
  <si>
    <t>RETRACTOR, SURG, OBWEGESER, 8.75 IN, 55X12 MM, TISS, CRV DN</t>
  </si>
  <si>
    <t>55X12 MM</t>
  </si>
  <si>
    <t>https://www.bd.com/en-us/products-and-solutions/products/product-page.MO9004#overview, https://accessgudid.nlm.nih.gov/devices/10885403059230</t>
  </si>
  <si>
    <t>MO9012</t>
  </si>
  <si>
    <t>BD_MO9012</t>
  </si>
  <si>
    <t>OBWEGESER TISSUE RETR 12X60MM TIP CVD UP</t>
  </si>
  <si>
    <t>PRODIGO1057950</t>
  </si>
  <si>
    <t>OBWEGESER-TYPE TISSUE RETRACTORS FLAT BLADE. OVERALL LENGTH 8-3/4IN (22.2CM). CURVED UP. 60MM X 12MM WIDE.</t>
  </si>
  <si>
    <t>RETRACTOR, SURGICAL, OBWEGESER, 8.75 IN, 60X12 MM, TISSUE, CURVED UP, FLAT BLADE, NON STERILE, LATEX</t>
  </si>
  <si>
    <t>RETRACTOR, SURG, OBWEGESER, 8.75 IN, 60X12 MM, TISS, CRV UP, FLAT BLADE, NS, LTX</t>
  </si>
  <si>
    <t>RETRACTOR, SURG, OBWEGESER, 8.75 IN, 60X12 MM, TISS, CRV UP</t>
  </si>
  <si>
    <t>60X12 MM</t>
  </si>
  <si>
    <t>CURVED UP, FLAT BLADE</t>
  </si>
  <si>
    <t>https://www.bd.com/en-us/products-and-solutions/products/product-page.MO9012#overview, https://accessgudid.nlm.nih.gov/devices/10885403059278</t>
  </si>
  <si>
    <t>MO9010</t>
  </si>
  <si>
    <t>BD_MO9010</t>
  </si>
  <si>
    <t>OBWEGESER TISSUE RETR 13X42MM TIP CVD UP</t>
  </si>
  <si>
    <t>PRODIGO1057949</t>
  </si>
  <si>
    <t>OBWEGESER-TYPE TISSUE RETRACTORS FLAT BLADE. OVERALL LENGTH 8-3/4IN (22.2CM). CURVED UP. 42MM X 13MM WIDE.</t>
  </si>
  <si>
    <t>RETRACTOR, SURGICAL, OBWEGESER, 8.75 IN, 42X13 MM, TISSUE, CURVED UP, FLAT BLADE, NON STERILE, LATEX</t>
  </si>
  <si>
    <t>RETRACTOR, SURG, OBWEGESER, 8.75 IN, 42X13 MM, TISS, CRV UP, FLAT BLADE, NS, LTX</t>
  </si>
  <si>
    <t>RETRACTOR, SURG, OBWEGESER, 8.75 IN, 42X13 MM, TISS, CRV UP</t>
  </si>
  <si>
    <t>42X13 MM</t>
  </si>
  <si>
    <t>https://www.bd.com/en-us/products-and-solutions/products/product-page.MO9010#overview, https://accessgudid.nlm.nih.gov/devices/10885403059261</t>
  </si>
  <si>
    <t>MO9006</t>
  </si>
  <si>
    <t>BD_MO9006</t>
  </si>
  <si>
    <t>OBWEGESER TISSUE RETR 14X70MM TIP CVD DN</t>
  </si>
  <si>
    <t>PRODIGO1057947</t>
  </si>
  <si>
    <t>OBWEGESER-TYPE TISSUE RETRACTORS FLAT BLADE. OVERALL LENGTH 8-3/4IN (22.2CM). CURVED DOWN. 70MM X 14MM WIDE.</t>
  </si>
  <si>
    <t>RETRACTOR, SURGICAL, OBWEGESER, 8.75 IN, 70X14 MM, TISSUE, CURVED DOWN, FLAT BLADE, NON STERILE, LATEX</t>
  </si>
  <si>
    <t>RETRACTOR, SURG, OBWEGESER, 8.75 IN, 70X14 MM, TISS, CRV DN, FLAT BLADE, NS, LTX</t>
  </si>
  <si>
    <t>RETRACTOR, SURG, OBWEGESER, 8.75 IN, 70X14 MM, TISS, CRV DN</t>
  </si>
  <si>
    <t>70X14 MM</t>
  </si>
  <si>
    <t>https://www.bd.com/en-us/products-and-solutions/products/product-page.MO9006#overview, https://accessgudid.nlm.nih.gov/devices/10885403059247</t>
  </si>
  <si>
    <t>MO9008</t>
  </si>
  <si>
    <t>BD_MO9008</t>
  </si>
  <si>
    <t>OBWEGESER TISSUE RETR 16X80MM TIP CVD DN</t>
  </si>
  <si>
    <t>PRODIGO1057948</t>
  </si>
  <si>
    <t>OBWEGESER-TYPE TISSUE RETRACTORS FLAT BLADE. OVERALL LENGTH 8-3/4IN (22.2CM). CURVED DOWN. 80MM X 16MM WIDE.</t>
  </si>
  <si>
    <t>RETRACTOR, SURGICAL, OBWEGESER, 8.75 IN, 80X16 MM, TISSUE, CURVED DOWN, FLAT BLADE, NON STERILE, LATEX</t>
  </si>
  <si>
    <t>RETRACTOR, SURG, OBWEGESER, 8.75 IN, 80X16 MM, TISS, CRV DN, FLAT BLADE, NS, LTX</t>
  </si>
  <si>
    <t>RETRACTOR, SURG, OBWEGESER, 8.75 IN, 80X16 MM, TISS, CRV DN</t>
  </si>
  <si>
    <t>80X16 MM</t>
  </si>
  <si>
    <t>https://www.bd.com/en-us/products-and-solutions/products/product-page.MO9008#overview, https://accessgudid.nlm.nih.gov/devices/10885403059254</t>
  </si>
  <si>
    <t>MO9000</t>
  </si>
  <si>
    <t>BD_MO9000</t>
  </si>
  <si>
    <t>OBWEGESER TISSUE RETR 7X25MM TIP CVD DWN</t>
  </si>
  <si>
    <t>PRODIGO1057944</t>
  </si>
  <si>
    <t>OBWEGESER-TYPE TISSUE RETRACTORS FLAT BLADE. OVERALL LENGTH 8-3/4IN (22.2CM). CURVED DOWN. 25MM X 7MM WIDE.</t>
  </si>
  <si>
    <t>RETRACTOR, SURGICAL, OBWEGESER, 8.75 IN, 25X7 MM, TISSUE, CURVED DOWN, FLAT BLADE, NON STERILE, LATEX</t>
  </si>
  <si>
    <t>RETRACTOR, SURG, OBWEGESER, 8.75 IN, 25X7 MM, TISS, CRV DN, FLAT BLADE, NS, LTX</t>
  </si>
  <si>
    <t>RETRACTOR, SURG, OBWEGESER, 8.75 IN, 25X7 MM, CRV DN, FLAT BLADE</t>
  </si>
  <si>
    <t>https://www.bd.com/en-us/products-and-solutions/products/product-page.MO9000#overview, https://accessgudid.nlm.nih.gov/devices/10885403059216</t>
  </si>
  <si>
    <t>MO9100</t>
  </si>
  <si>
    <t>BD_MO9100</t>
  </si>
  <si>
    <t>OBWEGESER-TYPE RETR CVD 11X70MM</t>
  </si>
  <si>
    <t>PRODIGO1057951</t>
  </si>
  <si>
    <t>OBWEGESER-TYPE RAMUS RETRACTOR CURVED. FLAT BLADE. OVERALL LENGTH 8-3/4IN (22.2CM). 70MM X 11MM WIDE.</t>
  </si>
  <si>
    <t>RETRACTOR, SURGICAL, OBWEGESER, 8.75 IN, 70X11 MM, RAMUS, CURVED, FLAT BLADE, SATIN FINISH, STAINLESS STEEL, NON STERILE, LATEX</t>
  </si>
  <si>
    <t>RETRACTOR, SURG, OBWEGESER, 8.75 IN, 70X11 MM, RAMUS, CRV, FLAT BLADE, SATIN FINISH, SS, NS, LTX</t>
  </si>
  <si>
    <t>RETRACTOR, SURG, OBWEGESER, 8.75 IN, 70X11 MM, RAMUS, FLAT BLADE</t>
  </si>
  <si>
    <t>70X11 MM</t>
  </si>
  <si>
    <t>CURVED, FLAT BLADE, SATIN FINISH</t>
  </si>
  <si>
    <t>https://www.bd.com/en-us/products-and-solutions/products/product-page.mo9100#overview, https://accessgudid.nlm.nih.gov/devices/10885403059292</t>
  </si>
  <si>
    <t>MO9770</t>
  </si>
  <si>
    <t>BD_MO9770</t>
  </si>
  <si>
    <t>OBWEGSR NASAL SEPTUM OSTEOTOME BLADE 6MM</t>
  </si>
  <si>
    <t>PRODIGO1057985</t>
  </si>
  <si>
    <t>OBWEGESER-TYPE NASAL OSTEOTOME OVERALL LENGTH 7-1/4IN (18.4CM). BLADE 6MM WIDE.</t>
  </si>
  <si>
    <t>OSTEOTOME, SURGICAL, OBWEGESER, 7.25 IN, 6 MM, NASAL, SINGLE ACTION, SEPTUM, NON STERILE, LATEX</t>
  </si>
  <si>
    <t>OSTEOTOME, SURG, OBWEGESER, 7.25 IN, 6 MM, NSL, SINGLE ACT, SEPT, NS, LTX</t>
  </si>
  <si>
    <t>OSTEOTOME, SURG, OBWEGESER, 7.25 IN, 6 MM, NSL, SINGLE ACT, SEPT, NS</t>
  </si>
  <si>
    <t>NASAL</t>
  </si>
  <si>
    <t>SINGLE ACTION, SEPTUM</t>
  </si>
  <si>
    <t>https://www.bd.com/en-us/products-and-solutions/products/product-page.MO9770#overview, https://accessgudid.nlm.nih.gov/devices/10885403068195</t>
  </si>
  <si>
    <t>MO9690</t>
  </si>
  <si>
    <t>BD_MO9690</t>
  </si>
  <si>
    <t>OBWGSR-FREER PERISTEAL ELEVATOR TIP 5MMW</t>
  </si>
  <si>
    <t>PRODIGO1057976</t>
  </si>
  <si>
    <t>OBWEGESER-FREER-TYPE PERIOSTEAL ELEVATOR DOUBLE-ENDED BLUNT/BLUNT TIP 5MM WIDE. OVERALL LENGTH 7IN(17.8CM).</t>
  </si>
  <si>
    <t>ELEVATOR, SURGICAL, OBWEGESER-FREER, 5 MM, 7 IN, PERIOSTEAL, DOUBLE-ENDED, BLUNT/BLUNT TIP, NON STERILE, LATEX</t>
  </si>
  <si>
    <t>ELEVATOR, SURG, OBWEGESER-FREER, 5 MM, 7 IN, PERIOST, DOUBLE-ENDED, BLUNT/BLUNT TIP, NS, LTX</t>
  </si>
  <si>
    <t>ELEVATOR, SURG, OBWEGESER-FREER, 5 MM, 7 IN, PERIOST, DOUBLE-ENDED</t>
  </si>
  <si>
    <t>OBWEGESER-FREER</t>
  </si>
  <si>
    <t>PERIOSTEAL, DOUBLE-ENDED, BLUNT/BLUNT TIP</t>
  </si>
  <si>
    <t>https://www.bd.com/en-us/products-and-solutions/products/product-page.mo9690#overview, https://accessgudid.nlm.nih.gov/devices/10885403067075</t>
  </si>
  <si>
    <t>AU6765</t>
  </si>
  <si>
    <t>BD_AU6765</t>
  </si>
  <si>
    <t>OLIVECRONA RONG FORCEPS JAW 4.5X18MM 8IN</t>
  </si>
  <si>
    <t>PRODIGO1056374</t>
  </si>
  <si>
    <t>OLIVECRONA RONGEUR FORCEPS STRONGLY CURVED JAWS 4.5MM X 18MM. OVERALL LENGTH 8IN (20.3CM).</t>
  </si>
  <si>
    <t>FORCEP, SURGICAL, OLIVECRONA, 8 IN, 4.5X18 MM, RONGEUR, STRONGLY CURVED JAW, NON STERILE, LATEX</t>
  </si>
  <si>
    <t>FORCEP, SURG, OLIVECRONA, 8 IN, 4.5X18 MM, RONGEUR, STRONGLY CRV JAW, NS, LTX</t>
  </si>
  <si>
    <t>FORCEP, SURG, OLIVECRONA, 8 IN, 4.5X18 MM, STRONGLY CRV JAW</t>
  </si>
  <si>
    <t>OLIVECRONA</t>
  </si>
  <si>
    <t>4.5X18 MM</t>
  </si>
  <si>
    <t>RONGEUR, STRONGLY CURVED JAW</t>
  </si>
  <si>
    <t>https://www.bd.com/en-us/products-and-solutions/products/product-page.AU6765#overview, https://accessgudid.nlm.nih.gov/devices/10885403009136</t>
  </si>
  <si>
    <t>CH2617</t>
  </si>
  <si>
    <t>BD_CH2617</t>
  </si>
  <si>
    <t>OLIVEKRONA DBL-END DISSECT HEAVY 7-1/4IN</t>
  </si>
  <si>
    <t>PRODIGO1056816</t>
  </si>
  <si>
    <t>OLIVEKRONA Double Ended Dissectors</t>
  </si>
  <si>
    <t>DISSECTOR, SURGICAL, OLIVEKRONA, 7.75 IN, HEAVY, DOUBLE ENDED, NON STERILE, LATEX</t>
  </si>
  <si>
    <t>DISSECTOR, SURG, OLIVEKRONA, 7.75 IN, HVY, DBL END, NS, LTX</t>
  </si>
  <si>
    <t>OLIVEKRONA</t>
  </si>
  <si>
    <t>HEAVY, DOUBLE ENDED</t>
  </si>
  <si>
    <t>http://www.lt-technologies.de/_ws/mediabase/_ts_1494230442000/Downloads/CardioCatalog_LIT12012_low-res.pdf, https://accessgudid.nlm.nih.gov/devices/10885403026416</t>
  </si>
  <si>
    <t>CH2618</t>
  </si>
  <si>
    <t>BD_CH2618</t>
  </si>
  <si>
    <t>OLIVEKRONA DBL-END DISSECT HEAVY 9-1/2IN</t>
  </si>
  <si>
    <t>PRODIGO1056817</t>
  </si>
  <si>
    <t>DISSECTOR, SURGICAL, OLIVEKRONA, 9.5 IN, HEAVY, DOUBLE ENDED, NON STERILE, LATEX</t>
  </si>
  <si>
    <t>DISSECTOR, SURG, OLIVEKRONA, 9.5 IN, HVY, DBL END, NS, LTX</t>
  </si>
  <si>
    <t>http://www.lt-technologies.de/_ws/mediabase/_ts_1494230442000/Downloads/CardioCatalog_LIT12012_low-res.pdf, https://accessgudid.nlm.nih.gov/devices/10885403026423</t>
  </si>
  <si>
    <t>CH2615</t>
  </si>
  <si>
    <t>BD_CH2615</t>
  </si>
  <si>
    <t>OLIVEKRONA DBL-END DISSECT LIGHT 7-1/4IN</t>
  </si>
  <si>
    <t>PRODIGO1056815</t>
  </si>
  <si>
    <t>DISSECTOR, SURGICAL, OLIVEKRONA, 7.25 IN, LIGHT, DOUBLE ENDED, NON STERILE, LATEX</t>
  </si>
  <si>
    <t>DISSECTOR, SURG, OLIVEKRONA, 7.25 IN, LIGHT, DBL END, NS, LTX</t>
  </si>
  <si>
    <t>LIGHT, DOUBLE ENDED</t>
  </si>
  <si>
    <t>http://www.lt-technologies.de/_ws/mediabase/_ts_1494230442000/Downloads/CardioCatalog_LIT12012_low-res.pdf, https://accessgudid.nlm.nih.gov/devices/10885403026393</t>
  </si>
  <si>
    <t>320170</t>
  </si>
  <si>
    <t>32-0170</t>
  </si>
  <si>
    <t>BD_320170</t>
  </si>
  <si>
    <t>OLSEN HEGAR D-JAW NDL HLDR 4000JAW 6-1/2</t>
  </si>
  <si>
    <t>PRODIGO1056092</t>
  </si>
  <si>
    <t>SNOWDEN-PENCER DIAMOND-JAW OLSEN-HEGAR NEEDLE HOLDERS TUNGSTEN CARBIDE. OVERALL LENGTH 6-1/2IN (16.5CM)</t>
  </si>
  <si>
    <t>HOLDER, NEEDLE, OLSEN-HEGAR, 6.5 IN, DIAMOND JAW, 4000 TEETH PER SQUARE INCH, TUNGSTEN CARBIDE, NON STERILE, SNOWDEN-PENCER, LATEX</t>
  </si>
  <si>
    <t>HOLDER, NDL, OLSN HEG, 6.5 IN, DIAMOND JAW, 4000 TEETH PER SQ INCH, TUNGSTEN CARBIDE, NS, SNOWDEN-PENCER, LTX</t>
  </si>
  <si>
    <t>HOLDER, NDL, OLSN HEG, 6.5 IN, DIAMOND JAW, SNOWDEN-PENCER</t>
  </si>
  <si>
    <t>OLSEN-HEGAR</t>
  </si>
  <si>
    <t>DIAMOND JAW, 4000 TEETH PER SQUARE INCH</t>
  </si>
  <si>
    <t>https://www.lt-technologies.de/_ws/mediabase/Downloads/Snowden_pencer%20catalog%20final%2008-10-12.pdf, https://accessgudid.nlm.nih.gov/devices/10885403143823</t>
  </si>
  <si>
    <t>MO10070</t>
  </si>
  <si>
    <t>BD_MO10070</t>
  </si>
  <si>
    <t>ORAL BONE FILE 5 &amp; 7MM ROUND DBL-END</t>
  </si>
  <si>
    <t>PRODIGO1057859</t>
  </si>
  <si>
    <t>ORAL BONE FILES DOUBLE-ENDED. ONE END 5MM ROUNDED AND ONE END 7MM ROUNDED. OVERALL LENGTH 7-1/4IN (18.4CM). CROSS-SERRATED.</t>
  </si>
  <si>
    <t>FILE, BONE, 7.25 IN, 5-7 MM, ORAL, DOUBLE-ENDED, CROSS-SERRATED, NON STERILE, LATEX</t>
  </si>
  <si>
    <t>FILE, BNE, 7.25 IN, 5-7 MM, ORAL, DOUBLE-ENDED, CROSS-SERRATED, NS, LTX</t>
  </si>
  <si>
    <t>FILE, BNE, 7.25 IN, 5-7 MM, ORAL, DOUBLE-ENDED, CROSS-SERRATED, NS</t>
  </si>
  <si>
    <t>FILE</t>
  </si>
  <si>
    <t>5-7 MM</t>
  </si>
  <si>
    <t>DOUBLE-ENDED, CROSS-SERRATED</t>
  </si>
  <si>
    <t>https://www.bd.com/en-us/products-and-solutions/products/product-page.MO10070#overview, https://accessgudid.nlm.nih.gov/devices/10885403068676</t>
  </si>
  <si>
    <t>GL200</t>
  </si>
  <si>
    <t>BD_GL200</t>
  </si>
  <si>
    <t>O'SULLIVAN-O'CONNOR VAG SPEC W/5 BLADES</t>
  </si>
  <si>
    <t>PRODIGO1057412</t>
  </si>
  <si>
    <t>O'Sullivan-O'Connor vaginal speculum 3-1/2in x 1-3/4in wide (9cm x 4.4cm). One each 3-1/2in x 1-1/4in wide (9cm x 3.2cm). One each 1-3/4in x 3/4in wide (4.4cm x 1.9cm). Permanent side blades: Two each 1-3/4in x 3/8in wide (4.4cm x 1cm).</t>
  </si>
  <si>
    <t>SPECULUM, VAGINAL, O'SULLIVAN-O'CONNOR, 1.75X3/8 IN, 5 BLADE, NON STERILE, LATEX</t>
  </si>
  <si>
    <t>SPECULUM, VAG, O'SULLIVAN-O'CONNOR, 1.75X3/8 IN, 5 BLADE, NS, LTX</t>
  </si>
  <si>
    <t>O'SULLIVAN-O'CONNOR</t>
  </si>
  <si>
    <t>1.75X3/8 IN</t>
  </si>
  <si>
    <t>5 BLADE</t>
  </si>
  <si>
    <t>https://www.bd.com/en-us/products-and-solutions/products/product-page.GL200#overview, https://accessgudid.nlm.nih.gov/devices/10885403042881</t>
  </si>
  <si>
    <t>GU4005026</t>
  </si>
  <si>
    <t>GU4005-026</t>
  </si>
  <si>
    <t>BD_GU4005026</t>
  </si>
  <si>
    <t>SURGICAL DILATORS</t>
  </si>
  <si>
    <t>OTIS BOUGIE A BOULE 26FR OLIVE TIP</t>
  </si>
  <si>
    <t>PRODIGO1057549</t>
  </si>
  <si>
    <t>42293601  Surgical bougies</t>
  </si>
  <si>
    <t>Otis bougies a boule Olive tip. Mirror finish. 26Fr.</t>
  </si>
  <si>
    <t>BOUGIE, SURGICAL, OTIS, 26 FR, A BOULE, OLIVE TIP, MIRROR FINISH, NON STERILE, LATEX</t>
  </si>
  <si>
    <t>BOUGIE, SURG, OTIS, 26 FR, A BOULE, OLV TIP, MIRROR FINISH, NS, LTX</t>
  </si>
  <si>
    <t>BOUGIE</t>
  </si>
  <si>
    <t>OTIS</t>
  </si>
  <si>
    <t>26 FR</t>
  </si>
  <si>
    <t>A BOULE, OLIVE TIP, MIRROR FINISH</t>
  </si>
  <si>
    <t>https://www.bd.com/en-us/products-and-solutions/products/product-page.GU4005-026#overview, https://accessgudid.nlm.nih.gov/devices/10885403049064</t>
  </si>
  <si>
    <t>GU4005038</t>
  </si>
  <si>
    <t>GU4005-038</t>
  </si>
  <si>
    <t>BD_GU4005038</t>
  </si>
  <si>
    <t>OTIS BOUGIE A BOULE 38FR OLIVE TIP</t>
  </si>
  <si>
    <t>PRODIGO1057555</t>
  </si>
  <si>
    <t>Otis bougies a boule Olive tip. Mirror finish. 38Fr.</t>
  </si>
  <si>
    <t>BOUGIE, SURGICAL, OTIS, 38 FR, A BOULE, OLIVE TIP, MIRROR FINISH, NON STERILE, LATEX</t>
  </si>
  <si>
    <t>BOUGIE, SURG, OTIS, 38 FR, A BOULE, OLV TIP, MIRROR FINISH, NS, LTX</t>
  </si>
  <si>
    <t>38 FR</t>
  </si>
  <si>
    <t>https://www.bd.com/en-us/offerings/capabilities/surgical-instruments/open-instrumentation/otis-bougies-a-boule/gu4005-038, https://accessgudid.nlm.nih.gov/devices/10885403049125</t>
  </si>
  <si>
    <t>GU4005040</t>
  </si>
  <si>
    <t>GU4005-040</t>
  </si>
  <si>
    <t>BD_GU4005040</t>
  </si>
  <si>
    <t>OTIS BOUGIE A BOULE 40FR OLIVE TIP</t>
  </si>
  <si>
    <t>PRODIGO1057556</t>
  </si>
  <si>
    <t>Otis bougies a boule Olive tip. Mirror finish. 40Fr.</t>
  </si>
  <si>
    <t>BOUGIE, SURGICAL, OTIS, 40 FR, A BOULE, OLIVE TIP, MIRROR FINISH, NON STERILE, LATEX</t>
  </si>
  <si>
    <t>BOUGIE, SURG, OTIS, 40 FR, A BOULE, OLV TIP, MIRROR FINISH, NS, LTX</t>
  </si>
  <si>
    <t>40 FR</t>
  </si>
  <si>
    <t>https://www.bd.com/en-us/offerings/capabilities/surgical-instruments/open-instrumentation/otis-bougies-a-boule/gu4005-040, https://accessgudid.nlm.nih.gov/devices/10885403049132</t>
  </si>
  <si>
    <t>GU4140</t>
  </si>
  <si>
    <t>BD_GU4140</t>
  </si>
  <si>
    <t>OTIS URETHROTOME STR W/3 TIPS/2 BLDE W/</t>
  </si>
  <si>
    <t>PRODIGO1057613</t>
  </si>
  <si>
    <t>42142719  Urethrotomes</t>
  </si>
  <si>
    <t>Otis urethrotome Straight with three guide tips and two knife blades in wood case. Threaded 1/56in for filiform (not included). Mirror and satin finish. Working length 8-7/8in (22.5cm). Overall length 11-3/4in (30cm).</t>
  </si>
  <si>
    <t>URETHROTOME, ENDOSCOPIC, OTIS, 11.75 IN, 1/56 IN, STRAIGHT, WITH THREE GUIDE TIP, TWO KNIFE BLADE, THREADED, MIRROR AND SATIN FINISH, NON STERILE, LATEX</t>
  </si>
  <si>
    <t>URETHROTOME, ENDOSCP, OTIS, 11.75 IN, 1/56 IN, STR, W/ 3 GUIDE TIP, TWO KNIFE BLADE, THRD, MIRROR &amp; SATIN FINISH, NS, LTX</t>
  </si>
  <si>
    <t>URETHROTOME, ENDOSCP, OTIS, 11.75 IN, 1/56 IN, STR, W/ 3 GUIDE TIP</t>
  </si>
  <si>
    <t>URETHROTOME</t>
  </si>
  <si>
    <t>STRAIGHT, WITH THREE GUIDE TIP, TWO KNIFE BLADE, THREADED, MIRROR AND SATIN FINISH</t>
  </si>
  <si>
    <t>https://www.bd.com/en-us/products-and-solutions/products/product-page.GU4140#overview, https://accessgudid.nlm.nih.gov/devices/10885403050046</t>
  </si>
  <si>
    <t>LA824445</t>
  </si>
  <si>
    <t>LA8244-45</t>
  </si>
  <si>
    <t>BD_LA824445</t>
  </si>
  <si>
    <t>OVAL BIOPSY FORCEP FENNESTR JAW 5MM 45CM</t>
  </si>
  <si>
    <t>PRODIGO1057717</t>
  </si>
  <si>
    <t>Punch 5 Mmx45 Cm Kerrison Oval Biopsy Single Action Fenestrated Jaw Insulated Shaft Non Rotation Insulated Handle Non Ratchet Satin Finish Stainless Steel Non Sterile Latex</t>
  </si>
  <si>
    <t>PUNCH, ENDOSCOPIC, KERRISON, 5 MMX45 CM, OVAL, BIOPSY, SINGLE ACTION, FENESTRATED JAW, INSULATED SHAFT, NON ROTATION, INSULATED HANDLE, NON RATCHET, SATIN FINISH, STAINLESS STEEL, NON STERILE, LATEX</t>
  </si>
  <si>
    <t>PUNCH, ENDOSCP, KERRISON, 5 MMX45 CM, OVL, BX, SINGLE ACT, FEN JAW, INSUL SHFT, N ROT, INSUL HNDL, N RATCH, SATIN FINISH, SS, NS, LTX</t>
  </si>
  <si>
    <t>PUNCH, ENDOSCP, KERRISON, 5 MMX45 CM, OVL, BX, SINGLE ACT, FEN JAW</t>
  </si>
  <si>
    <t>OVAL, BIOPSY, SINGLE ACTION, FENESTRATED JAW, INSULATED SHAFT, NON ROTATION, INSULATED HANDLE, NON RATCHET, SATIN FINISH</t>
  </si>
  <si>
    <t>https://www.bd.com/en-us/offerings/capabilities/surgical-instruments/laparoscopic-instruments/oval-biopsy-punch/la8244-45, https://accessgudid.nlm.nih.gov/devices/10885403053399</t>
  </si>
  <si>
    <t>LA8244</t>
  </si>
  <si>
    <t>BD_LA8244</t>
  </si>
  <si>
    <t>OVAL BIOPSY FORCEPS FENESTR JAW 5MM 35CM</t>
  </si>
  <si>
    <t>PRODIGO1057716</t>
  </si>
  <si>
    <t>Punch 5 Mmx35 Cm Kerrison Oval Biopsy Single Action Fenestrated Jaw Insulated Shaft Non Rotation Insulated Handle Non Ratchet Satin Finish Stainless Steel Non Sterile Latex</t>
  </si>
  <si>
    <t>PUNCH, ENDOSCOPIC, KERRISON, 5 MMX35 CM, OVAL, BIOPSY, SINGLE ACTION, FENESTRATED JAW, INSULATED SHAFT, NON ROTATION, INSULATED HANDLE, NON RATCHET, SATIN FINISH, STAINLESS STEEL, NON STERILE, LATEX</t>
  </si>
  <si>
    <t>PUNCH, ENDOSCP, KERRISON, 5 MMX35 CM, OVL, BX, SINGLE ACT, FEN JAW, INSUL SHFT, N ROT, INSUL HNDL, N RATCH, SATIN FINISH, SS, NS, LTX</t>
  </si>
  <si>
    <t>PUNCH, ENDOSCP, KERRISON, 5 MMX35 CM, OVL, BX, SINGLE ACT, FEN JAW</t>
  </si>
  <si>
    <t>https://www.bd.com/en-us/offerings/capabilities/surgical-instruments/laparoscopic-instruments/oval-biopsy-punch/la8244, https://accessgudid.nlm.nih.gov/devices/10885403053382</t>
  </si>
  <si>
    <t>CH130</t>
  </si>
  <si>
    <t>BD_CH130</t>
  </si>
  <si>
    <t>OVERHOLT PERIOSTEAL ELEVATOR FORCEPS #2</t>
  </si>
  <si>
    <t>PRODIGO1056665</t>
  </si>
  <si>
    <t>OVERHOLT PERIOSTEAL ELEVATOR DOUBLE-ENDED BLADES 6.4MM AND 13MM WIDE 10-5/8IN LATEX NON STERILE</t>
  </si>
  <si>
    <t>ELEVATOR, SURGICAL, OVERHOLT, 10-5/8 IN, 6.4X13 MM, PERIOSTEAL, DOUBLE ENDED, WITH BLADE, NON STERILE, LATEX</t>
  </si>
  <si>
    <t>ELEVATOR, SURG, OVERHOLT, 10-5/8 IN, 6.4X13 MM, PERIOST, DBL END, W/ BLADE, NS, LTX</t>
  </si>
  <si>
    <t>ELEVATOR, SURG, OVERHOLT, 10-5/8 IN, 6.4X13 MM, PERIOST, DBL END</t>
  </si>
  <si>
    <t>OVERHOLT</t>
  </si>
  <si>
    <t>6.4X13 MM</t>
  </si>
  <si>
    <t>DOUBLE ENDED, WITH BLADE</t>
  </si>
  <si>
    <t>https://www.bd.com/en-us/products-and-solutions/products/product-page.CH130#overview, https://accessgudid.nlm.nih.gov/devices/10885403022623</t>
  </si>
  <si>
    <t>CH120</t>
  </si>
  <si>
    <t>BD_CH120</t>
  </si>
  <si>
    <t>OVERHOLT PERIOSTEAL ELEVATOR W/6.4&amp;7.1MM</t>
  </si>
  <si>
    <t>PRODIGO1056628</t>
  </si>
  <si>
    <t>OVERHOLT PERIOSTEAL ELEVATOR DOUBLE-ENDED BLADES 6.4MM AND 7.1MM WIDE 11.5 IN LATEX NON STERILE</t>
  </si>
  <si>
    <t>ELEVATOR, SURGICAL, OVERHOLT, 11.5 IN, 6.4X7.1 MM, PERIOSTEAL, DOUBLE ENDED, NON STERILE, LATEX</t>
  </si>
  <si>
    <t>ELEVATOR, SURG, OVERHOLT, 11.5 IN, 6.4X7.1 MM, PERIOST, DBL END, NS, LTX</t>
  </si>
  <si>
    <t>ELEVATOR, SURG, OVERHOLT, 11.5 IN, 6.4X7.1 MM, PERIOST, DBL END, NS</t>
  </si>
  <si>
    <t>11.5 IN</t>
  </si>
  <si>
    <t>6.4X7.1 MM</t>
  </si>
  <si>
    <t>http://www.lt-technologies.de/_ws/mediabase/_ts_1494230442000/Downloads/CardioCatalog_LIT12012_low-res.pdf, https://accessgudid.nlm.nih.gov/devices/10885403022616</t>
  </si>
  <si>
    <t>GL18001</t>
  </si>
  <si>
    <t>GL1800-1</t>
  </si>
  <si>
    <t>BD_GL18001</t>
  </si>
  <si>
    <t>OVERSTREET POLYP FORCEP 9IN 6MMX27MM JAW</t>
  </si>
  <si>
    <t>PRODIGO1057400</t>
  </si>
  <si>
    <t>Overstreet endometrial polyp forceps Hollow fenestrated jaw. Overall length 9-1/4in (23.5cm).</t>
  </si>
  <si>
    <t>FORCEP, SURGICAL, OVERSTREET, 6X27 MM, 9.25 IN, ENDOMETRIAL POLYP, HOLLOW, FENESTRATED JAW, NON STERILE, LATEX</t>
  </si>
  <si>
    <t>FORCEP, SURG, OVERSTREET, 6X27 MM, 9.25 IN, ENDOMET POLYP, HLLW, FEN JAW, NS, LTX</t>
  </si>
  <si>
    <t>FORCEP, SURG, OVERSTREET, 6X27 MM, 9.25 IN, ENDOMET POLYP, HLLW</t>
  </si>
  <si>
    <t>OVERSTREET</t>
  </si>
  <si>
    <t>6X27 MM</t>
  </si>
  <si>
    <t>ENDOMETRIAL POLYP, HOLLOW, FENESTRATED JAW</t>
  </si>
  <si>
    <t>https://www.bd.com/en-us/products-and-solutions/products/product-page.gl1800-1#specifications, https://accessgudid.nlm.nih.gov/devices/10885403044939</t>
  </si>
  <si>
    <t>NL1960</t>
  </si>
  <si>
    <t>BD_NL1960</t>
  </si>
  <si>
    <t>PACIFICO SUCTION TUBES WORK LGTH 3-1/8</t>
  </si>
  <si>
    <t>PRODIGO1058133</t>
  </si>
  <si>
    <t>Pacifico-type suction tubes Tapered from 11Fr. to 8Fr. Working length 3-1/8in (7.9cm)</t>
  </si>
  <si>
    <t>TUBE, SUCTION, PACIFICO TYPE, 11-8 FRX3-1/8 IN, TAPERED, NON STERILE, LATEX</t>
  </si>
  <si>
    <t>TUBE, SUCTION, PACIFICO TYP, 11-8 FRX3-1/8 IN, TAPR, NS, LTX</t>
  </si>
  <si>
    <t>PACIFICO TYPE</t>
  </si>
  <si>
    <t>11-8 FRX3-1/8 IN</t>
  </si>
  <si>
    <t>TAPERED</t>
  </si>
  <si>
    <t>https://www.bd.com/en-us/products-and-solutions/products/product-print-page.nl1960, https://accessgudid.nlm.nih.gov/devices/10885403072536</t>
  </si>
  <si>
    <t>NL1961</t>
  </si>
  <si>
    <t>BD_NL1961</t>
  </si>
  <si>
    <t>PACIFICO SUCTION TUBES WORK LGTH 5-1/8</t>
  </si>
  <si>
    <t>PRODIGO1058134</t>
  </si>
  <si>
    <t>Pacifico-type suction tubes Tapered from 11Fr. to 8Fr. Working length 5-1/8in (13cm)</t>
  </si>
  <si>
    <t>TUBE, SUCTION, PACIFICO TYPE, 11-8 FRX5-1/8 IN, TAPERED, NON STERILE, LATEX</t>
  </si>
  <si>
    <t>TUBE, SUCTION, PACIFICO TYP, 11-8 FRX5-1/8 IN, TAPR, NS, LTX</t>
  </si>
  <si>
    <t>11-8 FRX5-1/8 IN</t>
  </si>
  <si>
    <t>https://www.bd.com/en-us/products-and-solutions/products/product-page.nl1961#overview, https://accessgudid.nlm.nih.gov/devices/10885403072543</t>
  </si>
  <si>
    <t>LA8235</t>
  </si>
  <si>
    <t>BD_LA8235</t>
  </si>
  <si>
    <t>PADDLE BABCOCK FORCEPS 5MM 37CM DBL-ACT</t>
  </si>
  <si>
    <t>PRODIGO1057710</t>
  </si>
  <si>
    <t>Snowden-pencer Grasper 5 Mmx37 Cm Babcock Straight Double Action Fine Serrated Jaw Flat Paddle Insulated Shaft Rotation Insulated Handle Ratchet Satin Finish Stainless Steel Non Sterile Latex</t>
  </si>
  <si>
    <t>GRASPER, ENDOSCOPIC, BABCOCK, 5 MMX37 CM, STRAIGHT, DOUBLE ACTION, FINE, SERRATED JAW, FLAT PADDLE, INSULATED SHAFT, ROTATION, INSULATED HANDLE, RATCHET, SATIN FINISH, STAINLESS STEEL, NON STERILE, SNOWDEN-PENCER, LATEX</t>
  </si>
  <si>
    <t>GRASPER, ENDOSCP, BABCOCK, 5 MMX37 CM, STR, DBL ACT, FN, SERRATED JAW, FLAT PADDLE, INSUL SHFT, ROT, INSUL HNDL, RATCH, SATIN FINISH, SS, NS, SNOWDEN-PENCER, LTX</t>
  </si>
  <si>
    <t>GRASPER, ENDOSCP, BABCOCK, 5 MMX37 CM, FLAT, SNOWDEN-PENCER</t>
  </si>
  <si>
    <t>STRAIGHT, DOUBLE ACTION, FINE, SERRATED JAW, FLAT PADDLE, INSULATED SHAFT, ROTATION, INSULATED HANDLE, RATCHET, SATIN FINISH</t>
  </si>
  <si>
    <t>https://www.bd.com/en-us/offerings/capabilities/surgical-instruments/laparoscopic-instruments/paddle-babcock-grasper/la8235, https://accessgudid.nlm.nih.gov/devices/10885403053245</t>
  </si>
  <si>
    <t>AU13775</t>
  </si>
  <si>
    <t>BD_AU13775</t>
  </si>
  <si>
    <t>PAPARELLA ANGLED RING CURETTE #12 BLUNT</t>
  </si>
  <si>
    <t>PRODIGO1056222</t>
  </si>
  <si>
    <t>PAPARELLA ANGLED RING CURETTE NO. 12. ANGLED 20 DEGREES. BLUNT 2MM O.D. RING. OVERALL LENGTH 6-1/2IN (16.5CM).</t>
  </si>
  <si>
    <t>CURETTE, SURGICAL, PAPARELLA, 20 DEGREE, 12, 2 MM, 6.5 IN, ANGLED RING, BLUNT, NON STERILE, LATEX</t>
  </si>
  <si>
    <t>CURETTE, SURG, PAPARELLA, 20 DEG, 12, 2 MM, 6.5 IN, ANGLED RNG, BLNT, NS, LTX</t>
  </si>
  <si>
    <t>CURETTE, SURG, PAPARELLA, 20 DEG, 12, 2 MM, 6.5 IN, ANGLED RNG, BLNT</t>
  </si>
  <si>
    <t>PAPARELLA</t>
  </si>
  <si>
    <t>20 DEGREE, 12, 2 MM</t>
  </si>
  <si>
    <t>ANGLED RING, BLUNT</t>
  </si>
  <si>
    <t>https://www.bd.com/en-us/products-and-solutions/products/product-page.au13775#overview, https://accessgudid.nlm.nih.gov/devices/10885403010712</t>
  </si>
  <si>
    <t>AU13700</t>
  </si>
  <si>
    <t>BD_AU13700</t>
  </si>
  <si>
    <t>PAPARELLA CANAL KNIFE #1 STR BLADE 2MM</t>
  </si>
  <si>
    <t>PRODIGO1056209</t>
  </si>
  <si>
    <t>PAPARELLA CANAL KNIVES MIRROR AND SATIN FINISH. OVERALL LENGTH 6-1/2IN (16.5CM). NO. 1. STRAIGHT BLADE LENGTH 2MM REPLACEABLE.</t>
  </si>
  <si>
    <t>KNIFE, SURGICAL, PAPARELLA, 1, 6.5 IN, 2 MM, CANAL, MIRROR, SATIN FINISH, STRAIGHT BLADE, REPLACEABLE, NON STERILE, LATEX</t>
  </si>
  <si>
    <t>KNIFE, SURG, PAPARELLA, 1, 6.5 IN, 2 MM, CNL, MIRROR, SATIN FINISH, STR BLADE, REPLACEABLE, NS, LTX</t>
  </si>
  <si>
    <t>KNIFE, SURG, PAPARELLA, 1, 6.5 IN, 2 MM, CNL, MIRROR, SATIN FINISH</t>
  </si>
  <si>
    <t>CANAL, MIRROR, SATIN FINISH, STRAIGHT BLADE, REPLACEABLE</t>
  </si>
  <si>
    <t>https://www.bd.com/en-us/products-and-solutions/products/product-page.AU13700#overview, https://accessgudid.nlm.nih.gov/devices/10885403010583</t>
  </si>
  <si>
    <t>AU13702</t>
  </si>
  <si>
    <t>BD_AU13702</t>
  </si>
  <si>
    <t>PAPARELLA CANAL KNIFE #2 ANGLE BLADE 2MM</t>
  </si>
  <si>
    <t>PRODIGO1056211</t>
  </si>
  <si>
    <t>PAPARELLA CANAL KNIVES MIRROR AND SATIN FINISH. OVERALL LENGTH 6-1/2IN (16.5CM). NO. 2. ANGLED BLADE LENGTH 2MM REPLACEABLE.</t>
  </si>
  <si>
    <t>KNIFE, SURGICAL, PAPARELLA, 2, 6.5 IN, 2 MM, CANAL, MIRROR, SATIN FINISH, ANGLED BLADE, REPLACEABLE, NON STERILE, LATEX</t>
  </si>
  <si>
    <t>KNIFE, SURG, PAPARELLA, 2, 6.5 IN, 2 MM, CNL, MIRROR, SATIN FINISH, ANGLED BLADE, REPLACEABLE, NS, LTX</t>
  </si>
  <si>
    <t>KNIFE, SURG, PAPARELLA, 2, 6.5 IN, 2 MM, CNL, MIRROR, SATIN FINISH</t>
  </si>
  <si>
    <t>CANAL, MIRROR, SATIN FINISH, ANGLED BLADE, REPLACEABLE</t>
  </si>
  <si>
    <t>https://www.bd.com/en-us/products-and-solutions/products/product-page.AU13702#overview, https://accessgudid.nlm.nih.gov/devices/10885403010590</t>
  </si>
  <si>
    <t>AU13710</t>
  </si>
  <si>
    <t>BD_AU13710</t>
  </si>
  <si>
    <t>PAPARELLA DRUM ELEV KNIFE #3 TIP 1.4MM</t>
  </si>
  <si>
    <t>PRODIGO1056213</t>
  </si>
  <si>
    <t>PAPARELLA DRUM ELEVATOR-KNIFE NO. 3. SHARP. TIP 1.4MM. OVERALL LENGTH 6-1/2IN (16.5CM).</t>
  </si>
  <si>
    <t>ELEVATOR, SURGICAL, PAPARELLA, 3, 1.4 MM, 6.5 IN, DRUM, KNIFE SHAPE, SHARP TIP, NON STERILE, LATEX</t>
  </si>
  <si>
    <t>ELEVATOR, SURG, PAPARELLA, 3, 1.4 MM, 6.5 IN, DR, KNIFE SHP, SHRP TIP, NS, LTX</t>
  </si>
  <si>
    <t>ELEVATOR, SURG, PAPARELLA, 3, 1.4 MM, 6.5 IN, DR, KNIFE SHP, SHRP</t>
  </si>
  <si>
    <t>3, 1.4 MM</t>
  </si>
  <si>
    <t>DRUM, KNIFE SHAPE, SHARP TIP</t>
  </si>
  <si>
    <t>https://www.bd.com/en-us/products-and-solutions/products/product-page.au13710#overview, https://accessgudid.nlm.nih.gov/devices/10885403010606</t>
  </si>
  <si>
    <t>AU13830</t>
  </si>
  <si>
    <t>BD_AU13830</t>
  </si>
  <si>
    <t>PAPARELLA DUCKBILL ELEVATOR #18 6-1/2IN</t>
  </si>
  <si>
    <t>PRODIGO1056228</t>
  </si>
  <si>
    <t>PAPARELLA DUCKBILL ELEVATOR NO. 18. BLADE 3MM WIDE. OVERALL LENGTH 6-1/2IN (16.5CM).</t>
  </si>
  <si>
    <t>ELEVATOR, SURGICAL, PAPARELLA DUCKBILL, 18, 6.5 IN, 3 MM, BLADE, NON STERILE, LATEX</t>
  </si>
  <si>
    <t>ELEVATOR, SURG, PAPARELLA DUCKBILL, 18, 6.5 IN, 3 MM, BLADE, NS, LTX</t>
  </si>
  <si>
    <t>PAPARELLA DUCKBILL</t>
  </si>
  <si>
    <t>https://www.bd.com/en-us/products-and-solutions/products/product-page.au13830#overview, https://accessgudid.nlm.nih.gov/devices/10885403010798</t>
  </si>
  <si>
    <t>AU13715</t>
  </si>
  <si>
    <t>BD_AU13715</t>
  </si>
  <si>
    <t>PAPARELLA INCUDOSTAPEDIAL KNIFE #4 BLADE</t>
  </si>
  <si>
    <t>PRODIGO1056214</t>
  </si>
  <si>
    <t>PAPARELLA INCUDOSTAPEDIAL KNIFE NO. 4. BLADE 0.5MM WIDE. OVERALL LENGTH 6-1/2IN (16.5CM).</t>
  </si>
  <si>
    <t>KNIFE, SURGICAL, PAPARELLA, 4, 6.5 IN, 0.5 MM, INCUDOSTAPEDIAL, BLADE, NON STERILE, LATEX</t>
  </si>
  <si>
    <t>KNIFE, SURG, PAPARELLA, 4, 6.5 IN, 0.5 MM, INCUDSTAP, BLADE, NS, LTX</t>
  </si>
  <si>
    <t>INCUDOSTAPEDIAL, BLADE</t>
  </si>
  <si>
    <t>https://www.bd.com/en-us/products-and-solutions/products/product-page.AU13715#overview, https://accessgudid.nlm.nih.gov/devices/10885403010613</t>
  </si>
  <si>
    <t>AU13752</t>
  </si>
  <si>
    <t>BD_AU13752</t>
  </si>
  <si>
    <t>PAPARELLA STR NEEDLE #6 HEAVY 6-1/2IN</t>
  </si>
  <si>
    <t>PRODIGO1056217</t>
  </si>
  <si>
    <t>PAPARELLA STRAIGHT NEEDLE NO. 6. HEAVY MALLEABLE 2-3/4IN (7CM) SHAFT. OVERALL LENGTH 6-1/2IN (16.5CM).</t>
  </si>
  <si>
    <t>NEEDLE, SURGICAL, PAPARELLA, 6, 6.5 IN, 2.75 IN, STRAIGHT, HEAVY, MALLEABLE SHAFT, NON STERILE, LATEX</t>
  </si>
  <si>
    <t>NEEDLE, SURG, PAPARELLA, 6, 6.5 IN, 2.75 IN, STR, HVY, MALL SHFT, NS, LTX</t>
  </si>
  <si>
    <t>NEEDLE, SURG, PAPARELLA, 6, 6.5 IN, 2.75 IN, STR, HVY, MALL SHFT, NS</t>
  </si>
  <si>
    <t>STRAIGHT, HEAVY, MALLEABLE SHAFT</t>
  </si>
  <si>
    <t>https://www.bd.com/en-us/products-and-solutions/products/product-page.AU13752#overview, https://accessgudid.nlm.nih.gov/devices/10885403010668</t>
  </si>
  <si>
    <t>AU13845</t>
  </si>
  <si>
    <t>BD_AU13845</t>
  </si>
  <si>
    <t>PAPARELLA WIRE CUT SCISSORS ANG SERR 4IN</t>
  </si>
  <si>
    <t>PRODIGO1056229</t>
  </si>
  <si>
    <t>PAPARELLA WIRE CUTTING SCISSORS ANGLED SERRATED BLADES. MIRROR FINISH. OVERALL LENGTH 4IN (10CM).</t>
  </si>
  <si>
    <t>SCISSOR, SURGICAL, PAPARELLA, 4 IN, WIRE CUTTING, ANGLED, SERRATED BLADE, MIRROR FINISH, NON STERILE, LATEX</t>
  </si>
  <si>
    <t>SCISSOR, SURG, PAPARELLA, 4 IN, WIRE CUT, ANGLED, SERRATED BLADE, MIRROR FINISH, NS, LTX</t>
  </si>
  <si>
    <t>SCISSOR, SURG, PAPARELLA, 4 IN, WIRE CUT, ANGLED, SERRATED BLADE</t>
  </si>
  <si>
    <t>WIRE CUTTING, ANGLED, SERRATED BLADE, MIRROR FINISH</t>
  </si>
  <si>
    <t>https://www.bd.com/en-us/products-and-solutions/products/product-page.AU13845#overview, https://accessgudid.nlm.nih.gov/devices/10885403010811</t>
  </si>
  <si>
    <t>CH7355003</t>
  </si>
  <si>
    <t>CH7355-003</t>
  </si>
  <si>
    <t>BD_CH7355003</t>
  </si>
  <si>
    <t>PARSONNET AORTA CLAMP JAW 38MM</t>
  </si>
  <si>
    <t>PRODIGO1057151</t>
  </si>
  <si>
    <t>PARSONNET AORTA CLAMP JAW LGTH AT BASE 1-1/2IN (3.8CM) OVERALL LENGTH 9-1/2IN (24.1CM)</t>
  </si>
  <si>
    <t>CLAMP, SURGICAL, PARSONNET, 24.1 CM, 3.8 CM, AORTA, JAW, NON STERILE, LATEX</t>
  </si>
  <si>
    <t>CLAMP, SURG, PARSONNET, 24.1 CM, 3.8 CM, AORT, JAW, NS, LTX</t>
  </si>
  <si>
    <t>PARSONNET</t>
  </si>
  <si>
    <t>https://accessgudid.nlm.nih.gov/devices/10885403033032</t>
  </si>
  <si>
    <t>CH7355004</t>
  </si>
  <si>
    <t>CH7355-004</t>
  </si>
  <si>
    <t>BD_CH7355004</t>
  </si>
  <si>
    <t>PARSONNET AORTA CLAMP JAW 44MM</t>
  </si>
  <si>
    <t>PRODIGO1057152</t>
  </si>
  <si>
    <t>PARSONNET AORTA CLAMP JAW LGTH AT BASE 1-3/4IN (4.4CM) OVERALL LENGTH 9-7/8IN (24.8CM)</t>
  </si>
  <si>
    <t>CLAMP, SURGICAL, PARSONNET, 24.8 CM, 4.4 CM, AORTA, JAW, NON STERILE, LATEX</t>
  </si>
  <si>
    <t>CLAMP, SURG, PARSONNET, 24.8 CM, 4.4 CM, AORT, JAW, NS, LTX</t>
  </si>
  <si>
    <t>https://accessgudid.nlm.nih.gov/devices/10885403033049</t>
  </si>
  <si>
    <t>CH5752</t>
  </si>
  <si>
    <t>BD_CH5752</t>
  </si>
  <si>
    <t>PARSONNET CARDIO RETR 3X3PRONG 1-1/2</t>
  </si>
  <si>
    <t>PRODIGO1056924</t>
  </si>
  <si>
    <t>PARSONNET CARDIOVASCULAR RETRACTORS SELF-RETAINING LIGHT SPRING STEEL RETRACTOR WITH 3 X 3 SHARP PRONGS OVERALL LENGTH 3.2CM RETRACTOR SURGICAL PARSONNET 3.2 CM CARDIOVASCULAR WITH 3X3 SHARP PRONG SELF-RETAINING LIGHT SPRING STEEL</t>
  </si>
  <si>
    <t>RETRACTOR, SURGICAL, PARSONNET, 1.5 IN, CARDIOVASCULAR, SELF-RETAINING, LIGHT SPRING, WITH 3X3 SHARP PRONG, STEEL, NON STERILE, LATEX</t>
  </si>
  <si>
    <t>RETRACTOR, SURG, PARSONNET, 1.5 IN, CV, SELF RET, LIGHT SPRING, W/ 3X3 SHRP PRNG, STL, NS, LTX</t>
  </si>
  <si>
    <t>RETRACTOR, SURG, PARSONNET, 1.5 IN, CV, SELF RET, STL, NS, LTX</t>
  </si>
  <si>
    <t>SELF-RETAINING, LIGHT SPRING, WITH 3X3 SHARP PRONG</t>
  </si>
  <si>
    <t>STEEL</t>
  </si>
  <si>
    <t>http://www.megamedworld.com/wp-content/uploads/2019/03/VM_KVC-min.pdf, https://accessgudid.nlm.nih.gov/devices/10885403029189</t>
  </si>
  <si>
    <t>CH5751</t>
  </si>
  <si>
    <t>BD_CH5751</t>
  </si>
  <si>
    <t>PARSONNET CARDIO RETR 3X3PRONG 1-1/4</t>
  </si>
  <si>
    <t>PRODIGO1056923</t>
  </si>
  <si>
    <t>PARSONNET CARDIOVASCULAR RETRACTORS SELF-RETAINING LIGHT SPRING STEEL RETRACTOR WITH 3 X 3 SHARP PRONGS OVERALL LENGTH 3.8CM RETRACTOR SURGICAL PARSONNET 3.8 CM CARDIOVASCULAR WITH 3X3 SHARP PRONG SELF-RETAINING LIGHT SPRING STEEL</t>
  </si>
  <si>
    <t>RETRACTOR, SURGICAL, PARSONNET, 1.25 IN, CARDIOVASCULAR, SELF-RETAINING, LIGHT SPRING, WITH 3X3 SHARP PRONG, STEEL, NON STERILE, LATEX</t>
  </si>
  <si>
    <t>RETRACTOR, SURG, PARSONNET, 1.25 IN, CV, SELF RET, LIGHT SPRING, W/ 3X3 SHRP PRNG, STL, NS, LTX</t>
  </si>
  <si>
    <t>RETRACTOR, SURG, PARSONNET, 1.25 IN, CV, SELF RET, STL, NS, LTX</t>
  </si>
  <si>
    <t>http://www.megamedworld.com/wp-content/uploads/2019/03/VM_KVC-min.pdf, https://accessgudid.nlm.nih.gov/devices/10885403029172</t>
  </si>
  <si>
    <t>CH2800</t>
  </si>
  <si>
    <t>BD_CH2800</t>
  </si>
  <si>
    <t>PATTERSON TROCAR LARGE SHEATH 11.4MM 8IN</t>
  </si>
  <si>
    <t>PRODIGO1056818</t>
  </si>
  <si>
    <t>42291635  Surgical trocars for general use</t>
  </si>
  <si>
    <t>PATTERSON Trocars</t>
  </si>
  <si>
    <t>TROCAR, SURGICAL, PATTERSON, LARGE, 11.4 MMX8 IN, SHEATH, MIRROR, SATIN FINISH, NON STERILE, LATEX</t>
  </si>
  <si>
    <t>TROCAR, SURG, PATTERSON, LG, 11.4 MMX8 IN, SHTH, MIRROR, SATIN FINISH, NS, LTX</t>
  </si>
  <si>
    <t>TROCAR, SURG, PATTERSON, LG, 11.4 MMX8 IN, SHTH, SATIN FINISH, LTX</t>
  </si>
  <si>
    <t>TROCAR</t>
  </si>
  <si>
    <t>PATTERSON</t>
  </si>
  <si>
    <t>11.4 MMX8 IN</t>
  </si>
  <si>
    <t>SHEATH, MIRROR, SATIN FINISH</t>
  </si>
  <si>
    <t>http://www.lt-technologies.de/_ws/mediabase/_ts_1494230442000/Downloads/CardioCatalog_LIT12012_low-res.pdf, https://accessgudid.nlm.nih.gov/devices/10885403026454</t>
  </si>
  <si>
    <t>CH2804</t>
  </si>
  <si>
    <t>BD_CH2804</t>
  </si>
  <si>
    <t>PATTERSON TROCAR MED SHEATH 8.4MM 7-1/2</t>
  </si>
  <si>
    <t>PRODIGO1056820</t>
  </si>
  <si>
    <t>TROCAR, SURGICAL, PATTERSON, MEDIUM, 8.4 MMX7.5 IN, SHEATH, MIRROR, SATIN FINISH, NON STERILE, LATEX</t>
  </si>
  <si>
    <t>TROCAR, SURG, PATTERSON, MED, 8.4 MMX7.5 IN, SHTH, MIRROR, SATIN FINISH, NS, LTX</t>
  </si>
  <si>
    <t>TROCAR, SURG, PATTERSON, MED, 8.4 MMX7.5 IN, SHTH, SATIN FINISH</t>
  </si>
  <si>
    <t>8.4 MMX7.5 IN</t>
  </si>
  <si>
    <t>http://www.lt-technologies.de/_ws/mediabase/_ts_1494230442000/Downloads/CardioCatalog_LIT12012_low-res.pdf, https://accessgudid.nlm.nih.gov/devices/10885403026478</t>
  </si>
  <si>
    <t>CH2802</t>
  </si>
  <si>
    <t>BD_CH2802</t>
  </si>
  <si>
    <t>PATTERSON TROCAR MED-LG SHEATH 10MM 8IN</t>
  </si>
  <si>
    <t>PRODIGO1056819</t>
  </si>
  <si>
    <t>TROCAR, SURGICAL, PATTERSON, MEDIUM, LARGE, 10 MMX8 IN, SHEATH, MIRROR, SATIN FINISH, NON STERILE, LATEX</t>
  </si>
  <si>
    <t>TROCAR, SURG, PATTERSON, MED, LG, 10 MMX8 IN, SHTH, MIRROR, SATIN FINISH, NS, LTX</t>
  </si>
  <si>
    <t>TROCAR, SURG, PATTERSON, MED, LG, 10 MMX8 IN, SHTH, SATIN FINISH</t>
  </si>
  <si>
    <t>MEDIUM, LARGE</t>
  </si>
  <si>
    <t>10 MMX8 IN</t>
  </si>
  <si>
    <t>http://www.lt-technologies.de/_ws/mediabase/_ts_1494230442000/Downloads/CardioCatalog_LIT12012_low-res.pdf, https://accessgudid.nlm.nih.gov/devices/10885403026461</t>
  </si>
  <si>
    <t>CH2806</t>
  </si>
  <si>
    <t>BD_CH2806</t>
  </si>
  <si>
    <t>PATTERSON TROCAR SM SHEATH 5.9MM 7-1/2</t>
  </si>
  <si>
    <t>PRODIGO1056821</t>
  </si>
  <si>
    <t>TROCAR, SURGICAL, PATTERSON, SMALL, 5.9 MMX7.5 IN, SHEATH, MIRROR, SATIN FINISH, NON STERILE, LATEX</t>
  </si>
  <si>
    <t>TROCAR, SURG, PATTERSON, SM, 5.9 MMX7.5 IN, SHTH, MIRROR, SATIN FINISH, NS, LTX</t>
  </si>
  <si>
    <t>TROCAR, SURG, PATTERSON, SM, 5.9 MMX7.5 IN, SHTH, SATIN FINISH, LTX</t>
  </si>
  <si>
    <t>5.9 MMX7.5 IN</t>
  </si>
  <si>
    <t>http://www.lt-technologies.de/_ws/mediabase/_ts_1494230442000/Downloads/CardioCatalog_LIT12012_low-res.pdf, https://accessgudid.nlm.nih.gov/devices/10885403026492</t>
  </si>
  <si>
    <t>GA32</t>
  </si>
  <si>
    <t>BD_GA32</t>
  </si>
  <si>
    <t>PEDERSON VAG SPEC LARGE 4-1/2X 1-1/16INW</t>
  </si>
  <si>
    <t>PRODIGO1057337</t>
  </si>
  <si>
    <t>Pederson Vaginal Specula Affinity Line. Large. 4-1/2in x 1-1/16in (11.4cm x 2.6cm) wide.</t>
  </si>
  <si>
    <t>SPECULA, SURGICAL, PEDERSON, LARGE, 4.5X1-1/16 IN, VAGINAL, AFFINITY LINE, NON STERILE, LATEX</t>
  </si>
  <si>
    <t>SPECULA, SURG, PEDERSON, LG, 4.5X1-1/16 IN, VAG, AFFIN LN, NS, LTX</t>
  </si>
  <si>
    <t>PEDERSON</t>
  </si>
  <si>
    <t>4.5X1-1/16 IN</t>
  </si>
  <si>
    <t>https://www.bd.com/en-us/products-and-solutions/products/product-page.GA32#overview, https://accessgudid.nlm.nih.gov/devices/10885403042003</t>
  </si>
  <si>
    <t>GL32</t>
  </si>
  <si>
    <t>BD_GL32</t>
  </si>
  <si>
    <t>PEDERSON VAGINAL SPEC LG 4-1/2X1-1/16IN</t>
  </si>
  <si>
    <t>PRODIGO1057435</t>
  </si>
  <si>
    <t>Peterson vaginal speculum Mirror finish. Large. 4-1/2in x 1-1/16in wide (11.4cm x 2.6cm).</t>
  </si>
  <si>
    <t>SPECULUM, VAGINAL, PETERSON, LARGE, 4.5X1-1/16 IN, MIRROR FINISH, NON STERILE, LATEX</t>
  </si>
  <si>
    <t>SPECULUM, VAG, PETERSON, LG, 4.5X1-1/16 IN, MIRROR FINISH, NS, LTX</t>
  </si>
  <si>
    <t>PETERSON</t>
  </si>
  <si>
    <t>MIRROR FINISH</t>
  </si>
  <si>
    <t>https://www.bd.com/en-us/products-and-solutions/products/product-page.GL32#overview, https://accessgudid.nlm.nih.gov/devices/10885403042829</t>
  </si>
  <si>
    <t>GA30</t>
  </si>
  <si>
    <t>BD_GA30</t>
  </si>
  <si>
    <t>PEDERSON VAGINAL SPECULA SM 3X1/2IN WIDE</t>
  </si>
  <si>
    <t>PRODIGO1057331</t>
  </si>
  <si>
    <t>Pederson Vaginal Specula Affinity Line. Small. 3in x 1/2in (7.6cm x 1.3cm) wide.</t>
  </si>
  <si>
    <t>SPECULA, SURGICAL, PEDERSON, SMALL, 3X0.5 IN, VAGINAL, AFFINITY LINE, NON STERILE, LATEX</t>
  </si>
  <si>
    <t>SPECULA, SURG, PEDERSON, SM, 3X0.5 IN, VAG, AFFIN LN, NS, LTX</t>
  </si>
  <si>
    <t>3X0.5 IN</t>
  </si>
  <si>
    <t>https://www.bd.com/en-us/products-and-solutions/products/product-page.GA30#overview, https://accessgudid.nlm.nih.gov/devices/10885403041983</t>
  </si>
  <si>
    <t>405149</t>
  </si>
  <si>
    <t>ABBOTT_405149</t>
  </si>
  <si>
    <t>PEEL AWAY KIT 10F 14cm .038GW B G2</t>
  </si>
  <si>
    <t>PRODIGO1060716</t>
  </si>
  <si>
    <t>42203403  Diagnostic or interventional vascular catheter introducers</t>
  </si>
  <si>
    <t>C1892</t>
  </si>
  <si>
    <t>INTRODUCER/SHEATH, GUIDING, INTRACARDIAC ELECTROPHYSIOLOGICAL, FIXED-CURVE, PEEL-AWAY</t>
  </si>
  <si>
    <t>INTRODUCER SHEATH 0.038 IN 10 FRX14 CM 18 GA DI-LOCK DILATOR 12 CC SYRINGE XTW NEEDLE PEEL-AWAY F 038 14 GA.</t>
  </si>
  <si>
    <t>INTRODUCER, SHEATH, 0.038 IN, 10 FRX14 CM, 18 GA, 12 CC, DI-LOCK DILATOR, SYRINGE, XTW NEEDLE, STERILE, PEEL-AWAY, LATEX</t>
  </si>
  <si>
    <t>INTRODUCER, SHTH, 0.038 IN, 10 FRX14 CM, 18 GA, 12 CC, DI-LOCK DIL, SYR, XTW NDL, STRL, PEELWY, LTX</t>
  </si>
  <si>
    <t>INTRODUCER, SHTH, 0.038 IN, 10 FRX14 CM, 18 GA, 12 CC, DI-LOCK DIL</t>
  </si>
  <si>
    <t>INTRODUCER</t>
  </si>
  <si>
    <t>SHEATH</t>
  </si>
  <si>
    <t>0.038 IN</t>
  </si>
  <si>
    <t>10 FRX14 CM</t>
  </si>
  <si>
    <t>18 GA</t>
  </si>
  <si>
    <t>12 CC</t>
  </si>
  <si>
    <t>DI-LOCK DILATOR, SYRINGE, XTW NEEDLE</t>
  </si>
  <si>
    <t>PEEL-AWAY</t>
  </si>
  <si>
    <t>http://www.cardion.cz/file/551/sjm-crmd-katalog-2012.pdf, https://accessgudid.nlm.nih.gov/devices/05414734204392</t>
  </si>
  <si>
    <t>sjm-crmd-katalog-2012.pdf</t>
  </si>
  <si>
    <t>NL1094</t>
  </si>
  <si>
    <t>BD_NL1094</t>
  </si>
  <si>
    <t>PENFIELD DISSECTOR #5 ADBL-END 11-1/2IN</t>
  </si>
  <si>
    <t>PRODIGO1058048</t>
  </si>
  <si>
    <t>PENFIELD DISSECTOR NO. 5 DOUBLE-ENDED SLIGHTLY CURVED DISSECTOR ENDS. OVERALL LENGTH 11-1/2IN 29.2CM</t>
  </si>
  <si>
    <t>DISSECTOR, SURGICAL, PENFIELD, NO 5, 11.5 IN, DOUBLE ENDED, SLIGHTLY CURVED DISSECTOR END, NON STERILE, LATEX</t>
  </si>
  <si>
    <t>DISSECTOR SURGICAL PENFIELD NO 5 11.5 IN DOUBLE ENDED SLIGHTLY CURVED DISSECTOR END NON STERILE LATEX</t>
  </si>
  <si>
    <t>DISSECTOR, SURG, PENFLD, NO 5, 11.5 IN, DBL END, SLIGHTLY CRV DISSECTOR END, NS, LTX</t>
  </si>
  <si>
    <t>DISSECTOR, SURG, PENFLD, NO 5, 11.5 IN, DBL END, CRV DISSECTOR END</t>
  </si>
  <si>
    <t>PENFIELD</t>
  </si>
  <si>
    <t>NO 5</t>
  </si>
  <si>
    <t>DOUBLE ENDED, SLIGHTLY CURVED DISSECTOR END</t>
  </si>
  <si>
    <t>https://www.bd.com/en-us/products-and-solutions/products/product-page.nl1094#specifications</t>
  </si>
  <si>
    <t>GL3181</t>
  </si>
  <si>
    <t>BD_GL3181</t>
  </si>
  <si>
    <t>PHANEUF HYSTERECTOMY FORCEPS 1X2 TTH ANG</t>
  </si>
  <si>
    <t>PRODIGO1057430</t>
  </si>
  <si>
    <t>Phaneuf uterine forceps Serrated. 1 x 2 teeth. Angled-on-flat. Overall length 8-1/2in (21.6cm).</t>
  </si>
  <si>
    <t>FORCEP, SURGICAL, PHANEUF, 8.25 IN, UTERINE, 1X2 TEETH, HYSTERECTOMY, ANGLED ON FLAT, SERRATED, NON STERILE, LATEX</t>
  </si>
  <si>
    <t>FORCEP, SURG, PHANEUF, 8.25 IN, UTER, 1X2 TEETH, HYS, ANGLED ON FLAT, SERRATED, NS, LTX</t>
  </si>
  <si>
    <t>FORCEP, SURG, PHANEUF, 8.25 IN, UTER, 1X2 TEETH, ANGLED ON FLAT</t>
  </si>
  <si>
    <t>PHANEUF</t>
  </si>
  <si>
    <t>1X2 TEETH, HYSTERECTOMY, ANGLED ON FLAT, SERRATED</t>
  </si>
  <si>
    <t>https://www.bd.com/en-us/products-and-solutions/products/product-page.GL3181#overview, https://accessgudid.nlm.nih.gov/devices/10885403045332</t>
  </si>
  <si>
    <t>GL3180</t>
  </si>
  <si>
    <t>BD_GL3180</t>
  </si>
  <si>
    <t>PHANEUF HYSTERECTOMY FORCEPS 1X2 TTH STR</t>
  </si>
  <si>
    <t>PRODIGO1057429</t>
  </si>
  <si>
    <t>Phaneuf uterine forceps Serrated. 1 x 2 teeth. Straight. Overall length 8-1/4in (21cm).</t>
  </si>
  <si>
    <t>FORCEP, SURGICAL, PHANEUF, 8.25 IN, UTERINE, 1X2 TEETH, HYSTERECTOMY, STRAIGHT, SERRATED, NON STERILE, LATEX</t>
  </si>
  <si>
    <t>FORCEP, SURG, PHANEUF, 8.25 IN, UTER, 1X2 TEETH, HYS, STR, SERRATED, NS, LTX</t>
  </si>
  <si>
    <t>FORCEP, SURG, PHANEUF, 8.25 IN, UTER, 1X2 TEETH, HYS, STR, SERRATED</t>
  </si>
  <si>
    <t>1X2 TEETH, HYSTERECTOMY, STRAIGHT, SERRATED</t>
  </si>
  <si>
    <t>https://www.bd.com/en-us/products-and-solutions/products/product-page.GL3180#overview, https://accessgudid.nlm.nih.gov/devices/10885403045325</t>
  </si>
  <si>
    <t>NL1423</t>
  </si>
  <si>
    <t>BD_NL1423</t>
  </si>
  <si>
    <t>PICK-UP FORCEPS JEWELER-TYPE W/ANG TIPS</t>
  </si>
  <si>
    <t>PRODIGO1058083</t>
  </si>
  <si>
    <t>PICK-UP FORCEPS DELICATE JEWELER-TYPE WITH ANGLED TIPS. OVERALL LENGTH 4-3/8IN 11.1CM</t>
  </si>
  <si>
    <t>FORCEP, SURGICAL, JEWELERS, 4-3/8 IN, PICK-UP, DELICATE, WITH ANGLED TIP, NON STERILE, LATEX</t>
  </si>
  <si>
    <t>FORCEP SURGICAL JEWELERS 4-3/8 IN PICK-UP DELICATE WITH ANGLED TIP NON STERILE LATEX</t>
  </si>
  <si>
    <t>FORCEP, SURG, JWL, 4-3/8 IN, PICK-UP, DEL, W/ ANGLED TIP, NS, LTX</t>
  </si>
  <si>
    <t>PICK-UP, DELICATE, WITH ANGLED TIP</t>
  </si>
  <si>
    <t>https://www.bd.com/en-us/products-and-solutions/products/product-page.nl1423#overview, https://accessgudid.nlm.nih.gov/devices/10885403071447</t>
  </si>
  <si>
    <t>CH13104</t>
  </si>
  <si>
    <t>BD_CH13104</t>
  </si>
  <si>
    <t>PIERSE-TYPE TISS FORCEP STR TIP 0.3MMDIA</t>
  </si>
  <si>
    <t>PRODIGO1056696</t>
  </si>
  <si>
    <t>Pierse type jewelers tissue forceps Straight Flat handle 9mm wide Tip with 0.3mm-diameter hole Overall length 5-1/4in</t>
  </si>
  <si>
    <t>FORCEP, SURGICAL, JEWELERS, 0.3 MM TIP, 5.25 INX9 MM, STRAIGHT, PIERSE TYPE, FLAT HANDLE</t>
  </si>
  <si>
    <t>FORCEP, SURG, JWL, 0.3 MM TIP, 5.25 INX9 MM, STR, PIERSE TYP, FLAT HNDL</t>
  </si>
  <si>
    <t>FORCEP, SURG, JWL, 0.3 MM TIP, 5.25 INX9 MM, STR, PIERSE TYP, FLAT</t>
  </si>
  <si>
    <t>STRAIGHT, PIERSE TYPE, FLAT HANDLE</t>
  </si>
  <si>
    <t>https://www.bd.com/en-us/products-and-solutions/products/product-page.CH13104#specifications</t>
  </si>
  <si>
    <t>CH290</t>
  </si>
  <si>
    <t>BD_CH290</t>
  </si>
  <si>
    <t>POTTS INFANT RIB SHEARS CVD SERR BLD 6IN</t>
  </si>
  <si>
    <t>PRODIGO1056822</t>
  </si>
  <si>
    <t>POTTS Extra Small Rib Shears</t>
  </si>
  <si>
    <t>SHEAR, SURGICAL, POTTS, XSMALL, INFANT, 6 IN, RIB, CURVED, SERRATED BLADE, NON STERILE, LATEX</t>
  </si>
  <si>
    <t>SHEAR, SURG, POTTS, XS, INF, 6 IN, RIB, CRV, SERRATED BLADE, NS, LTX</t>
  </si>
  <si>
    <t>POTTS</t>
  </si>
  <si>
    <t>CURVED, SERRATED BLADE</t>
  </si>
  <si>
    <t>http://www.lt-technologies.de/_ws/mediabase/_ts_1494230442000/Downloads/CardioCatalog_LIT12012_low-res.pdf, https://accessgudid.nlm.nih.gov/devices/10885403022678</t>
  </si>
  <si>
    <t>CH13038</t>
  </si>
  <si>
    <t>BD_CH13038</t>
  </si>
  <si>
    <t>POTTS SCISSORS 45DEG BLADES ROUND HANDLE</t>
  </si>
  <si>
    <t>PRODIGO1056674</t>
  </si>
  <si>
    <t>POTTS SCISSORS ANGLED 45 DEGREES ROUND HANDLE BLADE LENGTH 12MM OVERALL LENGTH 7IN NON STERILE</t>
  </si>
  <si>
    <t>SCISSOR, SURGICAL, POTTS, 45 DEGREE, 7 IN, 12 MM, WITH BLADE, ROUND HANDLE, NON STERILE</t>
  </si>
  <si>
    <t>SCISSOR, SURG, POTTS, 45 DEG, 7 IN, 12 MM, W/ BLADE, RND HNDL, NS</t>
  </si>
  <si>
    <t>WITH BLADE, ROUND HANDLE</t>
  </si>
  <si>
    <t>https://www.bd.com/en-us/products-and-solutions/products/product-page.ch13038, https://mms.mckesson.com/product/888690/V-Mueller-CH13038</t>
  </si>
  <si>
    <t>CH5174014</t>
  </si>
  <si>
    <t>CH5174-014</t>
  </si>
  <si>
    <t>BD_CH5174014</t>
  </si>
  <si>
    <t>POTTS SMITH DRESS FORCEPS DEL TIPS 14IN</t>
  </si>
  <si>
    <t>PRODIGO1056854</t>
  </si>
  <si>
    <t>Potts Smith dressing forceps Fine serrated tips Overall length 14in</t>
  </si>
  <si>
    <t>FORCEP, SURGICAL, POTTS-SMITH, 14 IN, DRESSING, FINE, DELICATE TIP, NON STERILE, LATEX</t>
  </si>
  <si>
    <t>FORCEP, SURG, POTT SMITH, 14 IN, DRSG, FN, DEL TIP, NS, LTX</t>
  </si>
  <si>
    <t>POTTS-SMITH</t>
  </si>
  <si>
    <t>DRESSING, FINE, DELICATE TIP</t>
  </si>
  <si>
    <t>https://www.bd.com/en-us/products-and-solutions/products/product-page.CH5174-014#specifications, https://accessgudid.nlm.nih.gov/devices/10885403027512</t>
  </si>
  <si>
    <t>CA5675</t>
  </si>
  <si>
    <t>BD_CA5675</t>
  </si>
  <si>
    <t>POTTS TENOTOMY SCISSORS CVD OVERLGTH 6IN</t>
  </si>
  <si>
    <t>PRODIGO1056482</t>
  </si>
  <si>
    <t>Potts Tenotomy Scissors Affinity Line. Overall length 6in (15.2cm)</t>
  </si>
  <si>
    <t>SCISSOR, SURGICAL, POTTS TENOTOMY, 6 IN, CURVED, AFFINITY LINE, NON STERILE, LATEX</t>
  </si>
  <si>
    <t>SCISSOR, SURG, POTTS TENOTOMY, 6 IN, CRV, AFFIN LN, NS, LTX</t>
  </si>
  <si>
    <t>POTTS TENOTOMY</t>
  </si>
  <si>
    <t>CURVED, AFFINITY LINE</t>
  </si>
  <si>
    <t>https://www.bd.com/en-us/products-and-solutions/products/product-page.CA5675#overview, https://accessgudid.nlm.nih.gov/devices/10885403018725</t>
  </si>
  <si>
    <t>CA5676</t>
  </si>
  <si>
    <t>BD_CA5676</t>
  </si>
  <si>
    <t>POTTS TENOTOMY SCISSORS CVD OVERLGTH 7IN</t>
  </si>
  <si>
    <t>PRODIGO1056483</t>
  </si>
  <si>
    <t>Potts Tenotomy Scissors Affinity Line. Overall length 7in (17.8cm)</t>
  </si>
  <si>
    <t>SCISSOR, SURGICAL, POTTS TENOTOMY, 7 IN, CURVED, AFFINITY LINE, NON STERILE, LATEX</t>
  </si>
  <si>
    <t>SCISSOR, SURG, POTTS TENOTOMY, 7 IN, CRV, AFFIN LN, NS, LTX</t>
  </si>
  <si>
    <t>https://www.bd.com/en-us/products-and-solutions/products/product-page.CA5676#overview, https://accessgudid.nlm.nih.gov/devices/10885403018732</t>
  </si>
  <si>
    <t>CH5681</t>
  </si>
  <si>
    <t>BD_CH5681</t>
  </si>
  <si>
    <t>POTTS-SMITH DISSECT SCISSORS CVD 5-1/2IN</t>
  </si>
  <si>
    <t>PRODIGO1056902</t>
  </si>
  <si>
    <t>POTTS SMITH SCISSOR SURGICAL 5.5 IN CURVED, MIRROR FINISH</t>
  </si>
  <si>
    <t>SCISSOR, SURGICAL, POTTS SMITH, 5.5 IN, CURVED, MIRROR FINISH, NON STERILE, LATEX</t>
  </si>
  <si>
    <t>SCISSOR, SURG, POTTS SMITH, 5.5 IN, CRV, MIRROR FINISH, NS, LTX</t>
  </si>
  <si>
    <t>POTTS SMITH</t>
  </si>
  <si>
    <t>CURVED, MIRROR FINISH</t>
  </si>
  <si>
    <t>http://www.megamedworld.com/wp-content/uploads/2019/03/VM_KVC-min.pdf, https://accessgudid.nlm.nih.gov/devices/10885403028830</t>
  </si>
  <si>
    <t>CH5173</t>
  </si>
  <si>
    <t>BD_CH5173</t>
  </si>
  <si>
    <t>POTTS-SMITH DRESS FORCEPS FINE SERR TIP</t>
  </si>
  <si>
    <t>PRODIGO1056852</t>
  </si>
  <si>
    <t>Potts Smith dressing forceps Fine serrated tips Overall length 10-1/4in</t>
  </si>
  <si>
    <t>FORCEP, SURGICAL, POTTS-SMITH, 10.25 IN, DRESSING, FINE, SERRATED TIP, NON STERILE, LATEX</t>
  </si>
  <si>
    <t>FORCEP, SURG, POTT SMITH, 10.25 IN, DRSG, FN, SERRATED TIP, NS, LTX</t>
  </si>
  <si>
    <t>10.25 IN</t>
  </si>
  <si>
    <t>DRESSING, FINE, SERRATED TIP</t>
  </si>
  <si>
    <t>https://www.bd.com/en-us/products-and-solutions/products/product-page.CH5173#overview, https://accessgudid.nlm.nih.gov/devices/10885403027468</t>
  </si>
  <si>
    <t>CA5182</t>
  </si>
  <si>
    <t>BD_CA5182</t>
  </si>
  <si>
    <t>POTTS-SMITH FORCEP FINE SERR TIP 1X2 TTH</t>
  </si>
  <si>
    <t>PRODIGO1056481</t>
  </si>
  <si>
    <t>Potts-Smith Tissue Forceps Affinity Line. 1 x 2 teeth. Fine. Overall length 7in (17.8cm)</t>
  </si>
  <si>
    <t>FORCEP, SURGICAL, POTTS-SMITH, 7 IN, TISSUE, 1X2 TEETH, FINE, SERRATED CURVED, AFFINITY LINE, NON STERILE, LATEX</t>
  </si>
  <si>
    <t>FORCEP, SURG, POTT SMITH, 7 IN, TISS, 1X2 TEETH, FN, SERRATED CRV, AFFIN LN, NS, LTX</t>
  </si>
  <si>
    <t>FORCEP, SURG, POTT SMITH, 7 IN, TISS, 1X2 TEETH, FN, SERRATED CRV</t>
  </si>
  <si>
    <t>1X2 TEETH, FINE, SERRATED CURVED, AFFINITY LINE</t>
  </si>
  <si>
    <t>https://www.bd.com/en-us/products-and-solutions/products/product-page.CA5182#overview, https://accessgudid.nlm.nih.gov/devices/10885403018701</t>
  </si>
  <si>
    <t>CH5705</t>
  </si>
  <si>
    <t>BD_CH5705</t>
  </si>
  <si>
    <t>POTTS-SMITH REV SCISSORS BLADE 130DEG W/</t>
  </si>
  <si>
    <t>PRODIGO1056912</t>
  </si>
  <si>
    <t>POTTS-SMITH REVERSE SCISSORS BLADES ANGLED 130 DEGREE LENGTH 1.3CM OVERALL LENGTH 17.8CM WITH STABILIZING BAR SCISSOR SURGICAL POTTS SMITH 130 DEGREE 17.8 CM 1.3 CM REVERSE BLADE ANGLED WITH STABILIZING BAR</t>
  </si>
  <si>
    <t>SCISSOR, SURGICAL, POTTS SMITH, 130 DEGREE, 7 IN, 0.5 IN, ANGLED BLADE, REVERSE CUT, WITH STABILIZING BAR, NON STERILE, LATEX</t>
  </si>
  <si>
    <t>SCISSOR, SURG, POTTS SMITH, 130 DEG, 7 IN, 0.5 IN, ANGLED BLADE, RVS CUT, W/ STABILIZING BAR, NS, LTX</t>
  </si>
  <si>
    <t>SCISSOR, SURG, POTTS SMITH, 130 DEG, 7 IN, 0.5 IN, NS, LTX</t>
  </si>
  <si>
    <t>ANGLED BLADE, REVERSE CUT, WITH STABILIZING BAR</t>
  </si>
  <si>
    <t>http://www.megamedworld.com/wp-content/uploads/2019/03/VM_KVC-min.pdf, https://accessgudid.nlm.nih.gov/devices/10885403029066</t>
  </si>
  <si>
    <t>CH5651001</t>
  </si>
  <si>
    <t>CH5651-001</t>
  </si>
  <si>
    <t>BD_CH5651001</t>
  </si>
  <si>
    <t>POTTS-SMITH SCISSORS 25DEG 5-1/2"</t>
  </si>
  <si>
    <t>PRODIGO1056878</t>
  </si>
  <si>
    <t>POTTS SMITH SCISSOR SURGICAL 25 DEGREE 5.5 IN 5/8 IN BLADE, ANGLED</t>
  </si>
  <si>
    <t>SCISSOR, SURGICAL, POTTS SMITH, 25 DEGREE, 5.5 IN, 5/8 IN, ANGLED BLADE, NON STERILE, LATEX</t>
  </si>
  <si>
    <t>SCISSOR, SURG, POTTS SMITH, 25 DEG, 5.5 IN, 5/8 IN, ANGLED BLADE, NS, LTX</t>
  </si>
  <si>
    <t>SCISSOR, SURG, POTTS SMITH, 25 DEG, 5.5 IN, 5/8 IN, ANGLED BLADE</t>
  </si>
  <si>
    <t>5/8 IN</t>
  </si>
  <si>
    <t>ANGLED BLADE</t>
  </si>
  <si>
    <t>http://www.megamedworld.com/wp-content/uploads/2019/03/VM_KVC-min.pdf, https://accessgudid.nlm.nih.gov/devices/10885403028212</t>
  </si>
  <si>
    <t>CH5665</t>
  </si>
  <si>
    <t>BD_CH5665</t>
  </si>
  <si>
    <t>POTTS-SMITH SCISSORS 25DEG 7-1/4IN</t>
  </si>
  <si>
    <t>PRODIGO1056887</t>
  </si>
  <si>
    <t>V MUELLER POTTS SMITH SCISSOR 25 DEGREE ANGLED 7.25 IN 0.87 IN STAINLESS STEEL REGULAR BLADE DOUBLE ACTION MIRROR FINISH RING HANDLE | SCISSOR SURGICAL POTTS SMITH 25 DEGREE 7.25 IN 0.87 IN ANGLED REGULAR BLADE DOUBLE ACTION MIRROR FINISH RING HANDLE STAINLESS STEEL</t>
  </si>
  <si>
    <t>SCISSOR, SURGICAL, POTTS SMITH, 25 DEGREE, 7.25 IN, 7/8 IN, REGULAR BLADE, MIRROR FINISH, NON STERILE, LATEX</t>
  </si>
  <si>
    <t>SCISSOR, SURG, POTTS SMITH, 25 DEG, 7.25 IN, 7/8 IN, REG BLADE, MIRROR FINISH, NS, LTX</t>
  </si>
  <si>
    <t>SCISSOR, SURG, POTTS SMITH, 25 DEG, 7.25 IN, 7/8 IN, REG BLADE, NS</t>
  </si>
  <si>
    <t>REGULAR BLADE, MIRROR FINISH</t>
  </si>
  <si>
    <t>http://www.megamedworld.com/wp-content/uploads/2019/03/VM_KVC-min.pdf, https://accessgudid.nlm.nih.gov/devices/10885403028434</t>
  </si>
  <si>
    <t>CH5652</t>
  </si>
  <si>
    <t>BD_CH5652</t>
  </si>
  <si>
    <t>POTTS-SMITH SCISSORS 3/4INBLADE 45DEG</t>
  </si>
  <si>
    <t>PRODIGO1056879</t>
  </si>
  <si>
    <t>POTTS SMITH SCISSORS MIRROR FINISH SHORT BLADES ANGLED 45 DEGREE LENGTH 19CM OVERALL LENGTH 14.6CM SCISSOR SURGICAL POTTS SMITH 45 DEGREE SHORT 14.6 CM 19 CM BLADE ANGLED MIRROR FINISH</t>
  </si>
  <si>
    <t>SCISSOR, SURGICAL, POTTS SMITH, 45 DEGREE, SHORT, 5.75 IN, 0.75 IN, ANGLED BLADE, MIRROR FINISH, NON STERILE, LATEX</t>
  </si>
  <si>
    <t>SCISSOR, SURG, POTTS SMITH, 45 DEG, SHT, 5.75 IN, 0.75 IN, ANGLED BLADE, MIRROR FINISH, NS, LTX</t>
  </si>
  <si>
    <t>SCISSOR, SURG, POTTS SMITH, 45 DEG, SHT, 5.75 IN, 0.75 IN, NS, LTX</t>
  </si>
  <si>
    <t>45 DEGREE, SHORT</t>
  </si>
  <si>
    <t>http://www.megamedworld.com/wp-content/uploads/2019/03/VM_KVC-min.pdf, https://accessgudid.nlm.nih.gov/devices/10885403028243</t>
  </si>
  <si>
    <t>CH5660</t>
  </si>
  <si>
    <t>BD_CH5660</t>
  </si>
  <si>
    <t>POTTS-SMITH SCISSORS 60DEG 7-1/4IN</t>
  </si>
  <si>
    <t>PRODIGO1056884</t>
  </si>
  <si>
    <t>POTTS SMITH SCISSORS REGULAR BLADES LENGTH 22MM MIRROR FINISH OVERALL LENGTH 18.4CM ANGLED 60 DEGREE SCISSOR SURGICAL POTTS SMITH 60 DEGREE 18.4 CM 22 MM REGULAR BLADE MIRROR FINISH</t>
  </si>
  <si>
    <t>SCISSOR, SURGICAL, POTTS SMITH, 60 DEGREE, 7.25 IN, 22 MM, REGULAR BLADE, MIRROR FINISH, NON STERILE, LATEX</t>
  </si>
  <si>
    <t>SCISSOR, SURG, POTTS SMITH, 60 DEG, 7.25 IN, 22 MM, REG BLADE, MIRROR FINISH, NS, LTX</t>
  </si>
  <si>
    <t>SCISSOR, SURG, POTTS SMITH, 60 DEG, 7.25 IN, 22 MM, REG BLADE, NS</t>
  </si>
  <si>
    <t>http://www.megamedworld.com/wp-content/uploads/2019/03/VM_KVC-min.pdf, https://accessgudid.nlm.nih.gov/devices/10885403028298</t>
  </si>
  <si>
    <t>CH5666003</t>
  </si>
  <si>
    <t>CH5666-003</t>
  </si>
  <si>
    <t>BD_CH5666003</t>
  </si>
  <si>
    <t>POTTS-SMITH SCISSORS DEL BLDE 90DEG 13MM</t>
  </si>
  <si>
    <t>PRODIGO1056889</t>
  </si>
  <si>
    <t>POTTS SMITH SCISSOR SURGICAL 90 DEGREE 6.75 IN 0.5 IN DELICATE BLADE, ANGLED</t>
  </si>
  <si>
    <t>SCISSOR, SURGICAL, POTTS SMITH, 90 DEGREE, 6.75 IN, 13 MM, DELICATE BLADE, ANGLED, NON STERILE, LATEX</t>
  </si>
  <si>
    <t>SCISSOR, SURG, POTTS SMITH, 90 DEG, 6.75 IN, 13 MM, DEL BLADE, ANGLED, NS, LTX</t>
  </si>
  <si>
    <t>SCISSOR, SURG, POTTS SMITH, 90 DEG, 6.75 IN, 13 MM, DEL BLADE, NS</t>
  </si>
  <si>
    <t>DELICATE BLADE, ANGLED</t>
  </si>
  <si>
    <t>http://www.megamedworld.com/wp-content/uploads/2019/03/VM_KVC-min.pdf, https://accessgudid.nlm.nih.gov/devices/10885403028489</t>
  </si>
  <si>
    <t>CH5184014</t>
  </si>
  <si>
    <t>CH5184-014</t>
  </si>
  <si>
    <t>BD_CH5184014</t>
  </si>
  <si>
    <t>POTTS-SMITH TISSUE FORCEP 1X2 TEETH 14IN</t>
  </si>
  <si>
    <t>PRODIGO1056862</t>
  </si>
  <si>
    <t>Potts Smith tissue forceps Fine serrated tips 1 x 2 teeth Overall length 14in</t>
  </si>
  <si>
    <t>FORCEP, SURGICAL, POTTS-SMITH, 14 IN, FINE, SERRATED TIP, 1 X 2 TEETH, TISSUE, NON STERILE, LATEX</t>
  </si>
  <si>
    <t>FORCEP, SURG, POTT SMITH, 14 IN, FN, SERRATED TIP, 1 X 2 TEETH, TISS, NS, LTX</t>
  </si>
  <si>
    <t>FORCEP, SURG, POTT SMITH, 14 IN, FN, SERRATED, 1 X 2 TEETH, TISS</t>
  </si>
  <si>
    <t>FINE, SERRATED TIP, 1 X 2 TEETH</t>
  </si>
  <si>
    <t>https://www.bd.com/en-us/products-and-solutions/products/product-page.CH5184-014#specifications, https://accessgudid.nlm.nih.gov/devices/10885403027680</t>
  </si>
  <si>
    <t>CH5183</t>
  </si>
  <si>
    <t>BD_CH5183</t>
  </si>
  <si>
    <t>POTTS-SMITH TISSUE FORCEP 1X2 TTH 10-1/4</t>
  </si>
  <si>
    <t>PRODIGO1056861</t>
  </si>
  <si>
    <t>Potts Smith tissue forceps Fine serrated tips 1 x 2 teeth Overall length 10-1/4in</t>
  </si>
  <si>
    <t>FORCEP, SURGICAL, POTTS-SMITH, 10.25 IN, FINE, SERRATED TIP, 1 X 2 TEETH, TISSUE, NON STERILE, LATEX</t>
  </si>
  <si>
    <t>FORCEP, SURG, POTT SMITH, 10.25 IN, FN, SERRATED TIP, 1 X 2 TEETH, TISS, NS, LTX</t>
  </si>
  <si>
    <t>FORCEP, SURG, POTT SMITH, 10.25 IN, FN, SERRATED TIP, 1 X 2, TISS</t>
  </si>
  <si>
    <t>https://www.bd.com/en-us/products-and-solutions/products/product-page.CH5183#specifications, https://accessgudid.nlm.nih.gov/devices/10885403027666</t>
  </si>
  <si>
    <t>CH5181</t>
  </si>
  <si>
    <t>BD_CH5181</t>
  </si>
  <si>
    <t>POTTS-SMITH TISSUE FORCEP 1X2TEETH 8-1/4</t>
  </si>
  <si>
    <t>PRODIGO1056860</t>
  </si>
  <si>
    <t>Potts Smith tissue forceps Fine serrated tips 1 x 2 teeth Overall length 8-1/4in</t>
  </si>
  <si>
    <t>FORCEP, SURGICAL, POTTS-SMITH, 8.25 IN, FINE, SERRATED TIP, 1 X 2 TEETH, TISSUE, NON STERILE, LATEX</t>
  </si>
  <si>
    <t>FORCEP, SURG, POTT SMITH, 8.25 IN, FN, SERRATED TIP, 1 X 2 TEETH, TISS, NS, LTX</t>
  </si>
  <si>
    <t>FORCEP, SURG, POTT SMITH, 8.25 IN, FN, SERRATED TIP, 1 X 2, TISS</t>
  </si>
  <si>
    <t>https://www.bd.com/en-us/products-and-solutions/products/product-page.CH5181#specifications, https://accessgudid.nlm.nih.gov/devices/10885403027642</t>
  </si>
  <si>
    <t>CH5671005</t>
  </si>
  <si>
    <t>CH5671-005</t>
  </si>
  <si>
    <t>BD_CH5671005</t>
  </si>
  <si>
    <t>POTTS-TYPE SCISSORS ANGLE 120DEG 6-3/4</t>
  </si>
  <si>
    <t>PRODIGO1056899</t>
  </si>
  <si>
    <t>POTTS TYPE SCISSOR SURGICAL 120 DEGREE 6.75 IN 10 MM TAPERED SHANKS. THIN, NARROW, MICRO BLUNT BLADE, ANGLED</t>
  </si>
  <si>
    <t>SCISSOR, SURGICAL, POTTS TYPE, 120 DEGREE, 6.75 IN, 10 MM, TAPERED SHANK, THIN, NARROW, MICRO BLUNT BLADE, ANGLED, NON STERILE, LATEX</t>
  </si>
  <si>
    <t>SCISSOR, SURG, POTTS TYP, 120 DEG, 6.75 IN, 10 MM, TAPR SHANK, THN, NAR, MIC BLNT BLADE, ANGLED, NS, LTX</t>
  </si>
  <si>
    <t>SCISSOR, SURG, POTTS TYP, 120 DEG, 6.75 IN, 10 MM, ANGLED, NS, LTX</t>
  </si>
  <si>
    <t>POTTS TYPE</t>
  </si>
  <si>
    <t>TAPERED SHANK, THIN, NARROW, MICRO BLUNT BLADE, ANGLED</t>
  </si>
  <si>
    <t>http://www.megamedworld.com/wp-content/uploads/2019/03/VM_KVC-min.pdf, https://accessgudid.nlm.nih.gov/devices/10885403028700</t>
  </si>
  <si>
    <t>CH5671002</t>
  </si>
  <si>
    <t>CH5671-002</t>
  </si>
  <si>
    <t>BD_CH5671002</t>
  </si>
  <si>
    <t>POTTS-TYPE SCISSORS ANGLE 45DEG LGTH 7IN</t>
  </si>
  <si>
    <t>PRODIGO1056898</t>
  </si>
  <si>
    <t>POTTS TYPE SCISSOR SURGICAL 45 DEGREE 7 IN 10 MM TAPERED SHANKS. THIN, NARROW, MICRO BLUNT BLADE, ANGLED</t>
  </si>
  <si>
    <t>SCISSOR, SURGICAL, POTTS TYPE, 45 DEGREE, 7 IN, 10 MM, TAPERED SHANK, THIN, NARROW, MICRO BLUNT BLADE, ANGLED, NON STERILE, LATEX</t>
  </si>
  <si>
    <t>SCISSOR, SURG, POTTS TYP, 45 DEG, 7 IN, 10 MM, TAPR SHANK, THN, NAR, MIC BLNT BLADE, ANGLED, NS, LTX</t>
  </si>
  <si>
    <t>SCISSOR, SURG, POTTS TYP, 45 DEG, 7 IN, 10 MM, ANGLED, NS, LTX</t>
  </si>
  <si>
    <t>http://www.megamedworld.com/wp-content/uploads/2019/03/VM_KVC-min.pdf, https://accessgudid.nlm.nih.gov/devices/10885403028670</t>
  </si>
  <si>
    <t>GL1451</t>
  </si>
  <si>
    <t>BD_GL1451</t>
  </si>
  <si>
    <t>PRATT UTERINE DILATOR SOLID DBL-END 8/ST</t>
  </si>
  <si>
    <t>PRODIGO1057381</t>
  </si>
  <si>
    <t>Pratt uterine dilators Solid double-ended. Mirror finish. Overall length 11-3/8in (28.9cm). Each dilator in two sizes French scale as follows: 13-15 17-19 21-23 25-27 29-31 33-35 37-39 41-43. Set of eight.</t>
  </si>
  <si>
    <t>DILATOR, SURGICAL, PRATT, 11-3/8 IN, UTERINE, SOLID, DOUBLE ENDED, MIRROR FINISH, SET OF EIGHT, NON STERILE, LATEX</t>
  </si>
  <si>
    <t>DILATOR, SURG, PRATT, 11-3/8 IN, UTER, SLD, DBL END, MIRROR FINISH, SET OF EIGHT, NS, LTX</t>
  </si>
  <si>
    <t>DILATOR, SURG, PRATT, 11-3/8 IN, UTER, SLD, DBL END, SET OF EIGHT</t>
  </si>
  <si>
    <t>PRATT</t>
  </si>
  <si>
    <t>11-3/8 IN</t>
  </si>
  <si>
    <t>SOLID, DOUBLE ENDED, MIRROR FINISH, SET OF EIGHT</t>
  </si>
  <si>
    <t>https://www.bd.com/en-us/products-and-solutions/products/product-page.GL1451#overview, https://accessgudid.nlm.nih.gov/devices/10885403044397</t>
  </si>
  <si>
    <t>GA8740</t>
  </si>
  <si>
    <t>BD_GA8740</t>
  </si>
  <si>
    <t>RANDALL KIDNEY STONE FORCEPS QTR CVD #1</t>
  </si>
  <si>
    <t>PRODIGO1057349</t>
  </si>
  <si>
    <t>Randall Kidney Stone Forceps Affinity Line. Quarter curved No. 1. Overall length 9in (23cm).</t>
  </si>
  <si>
    <t>FORCEP, SURGICAL, RANDALL, 1, 9 IN, KIDNEY STONE, AFFINITY LINE, QUARTER CURVED, NON STERILE, LATEX</t>
  </si>
  <si>
    <t>FORCEP, SURG, RANDALL, 1, 9 IN, KID STONE, AFFIN LN, QTR CRV, NS, LTX</t>
  </si>
  <si>
    <t>RANDALL</t>
  </si>
  <si>
    <t>KIDNEY STONE, AFFINITY LINE, QUARTER CURVED</t>
  </si>
  <si>
    <t>https://www.bd.com/en-us/products-and-solutions/products/product-print-page.GA8740?printmode=true, https://accessgudid.nlm.nih.gov/devices/10885403042720</t>
  </si>
  <si>
    <t>GU8742</t>
  </si>
  <si>
    <t>BD_GU8742</t>
  </si>
  <si>
    <t>RANDALL KIDNEYSTONE FORCEP 3-QTR CVD 8IN</t>
  </si>
  <si>
    <t>PRODIGO1057638</t>
  </si>
  <si>
    <t>Randall kidney stone forceps Three-quarter curved No. 3. Overall length 8in (20.3cm).</t>
  </si>
  <si>
    <t>FORCEP, SURGICAL, RANDALL, 3, 8 IN, KIDNEY STONE, THREE QUARTER CURVED, NON STERILE, LATEX</t>
  </si>
  <si>
    <t>FORCEP, SURG, RANDALL, 3, 8 IN, KID STONE, 3 QTR CRV, NS, LTX</t>
  </si>
  <si>
    <t>KIDNEY STONE, THREE QUARTER CURVED</t>
  </si>
  <si>
    <t>https://www.bd.com/en-us/products-and-solutions/products/product-page.GU8742#overview, https://accessgudid.nlm.nih.gov/devices/10885403050817</t>
  </si>
  <si>
    <t>GL1630006</t>
  </si>
  <si>
    <t>GL1630-006</t>
  </si>
  <si>
    <t>BD_GL1630006</t>
  </si>
  <si>
    <t>RECAMIER UTERINE CURETTE SZ 6 SHARP 11IN</t>
  </si>
  <si>
    <t>PRODIGO1057395</t>
  </si>
  <si>
    <t>Recamier uterine curettes Sharp. Overall length 11in (27.9cm). Size 6.</t>
  </si>
  <si>
    <t>CURETTE, SURGICAL, RECAMIER, 6, 11 IN, UTERINE, SHARP, NON STERILE, LATEX</t>
  </si>
  <si>
    <t>CURETTE, SURG, RECAMIER, 6, 11 IN, UTER, SHRP, NS, LTX</t>
  </si>
  <si>
    <t>RECAMIER</t>
  </si>
  <si>
    <t>SHARP</t>
  </si>
  <si>
    <t>https://www.bd.com/en-us/products-and-solutions/products/product-page.GL1630-006#overview, https://accessgudid.nlm.nih.gov/devices/10885403044809</t>
  </si>
  <si>
    <t>GL449</t>
  </si>
  <si>
    <t>BD_GL449</t>
  </si>
  <si>
    <t>REDUNDANT WALL RETR LGTH 5IN(12.6CM) 7IN</t>
  </si>
  <si>
    <t>PRODIGO1057500</t>
  </si>
  <si>
    <t>Redundant wall retractors For use outside vaginal speculum. Overall length 7in (18cm). Blade length 5in (12.6cm).</t>
  </si>
  <si>
    <t>RETRACTOR, SURGICAL, WALL, 7 IN, 5 IN, REDUNDANT, WITH RATCHET, FOR INNER VAGINAL SPECULUM</t>
  </si>
  <si>
    <t>RETRACTOR, SURG, WALL, 7 IN, 5 IN, REDUNDANT, W/ RATCH, FOR INNR VAG SPECLM</t>
  </si>
  <si>
    <t>RETRACTOR, SURG, WALL, 7 IN, 5 IN, REDUNDANT, W/ RATCH</t>
  </si>
  <si>
    <t>REDUNDANT, WITH RATCHET, FOR INNER VAGINAL SPECULUM</t>
  </si>
  <si>
    <t>https://www.bd.com/en-us/products-and-solutions/products/product-page.GL449#overview</t>
  </si>
  <si>
    <t>AS1961</t>
  </si>
  <si>
    <t>AS196-1</t>
  </si>
  <si>
    <t>BD_AS1961</t>
  </si>
  <si>
    <t>REPLACEMENT SOFT RUBBER JAWS ONLY</t>
  </si>
  <si>
    <t>PRODIGO1056118</t>
  </si>
  <si>
    <t>REPLACEMENT SOFT RUBBER JAWS 1 PAIR LATEX FREE</t>
  </si>
  <si>
    <t>FORCEP, SURGICAL, REPLACEMENT, SOFT RUBBER JAW, 1 PAIR, NON STERILE, LATEX-FREE</t>
  </si>
  <si>
    <t>FORCEP, SURG, REPL, SFT RUBBER JAW, 1 PR, NS, LF</t>
  </si>
  <si>
    <t>REPLACEMENT, SOFT RUBBER JAW, 1 PAIR</t>
  </si>
  <si>
    <t>https://accessgudid.nlm.nih.gov/devices/70885403186709</t>
  </si>
  <si>
    <t>CH5907</t>
  </si>
  <si>
    <t>BD_CH5907</t>
  </si>
  <si>
    <t>RESANO VASCULAR DISSECTING FORCEPS 9IN</t>
  </si>
  <si>
    <t>PRODIGO1056935</t>
  </si>
  <si>
    <t>RESANO TYPE FORCEP SURGICAL 9 IN VASCULAR DISSECTING</t>
  </si>
  <si>
    <t>FORCEP, SURGICAL, RESANO TYPE, 9 IN, VASCULAR, DISSECTING, NON STERILE, LATEX</t>
  </si>
  <si>
    <t>FORCEP, SURG, RESANO TYP, 9 IN, VASC, DISECT, NS, LTX</t>
  </si>
  <si>
    <t>RESANO TYPE</t>
  </si>
  <si>
    <t>http://www.megamedworld.com/wp-content/uploads/2019/03/VM_KVC-min.pdf, https://accessgudid.nlm.nih.gov/devices/10885403029424</t>
  </si>
  <si>
    <t>LAT0536CW</t>
  </si>
  <si>
    <t>LAT-0536-CW</t>
  </si>
  <si>
    <t>BD_LAT0536CW</t>
  </si>
  <si>
    <t>RETRACTION GRASPER S/A INSERT 5MM 36CM</t>
  </si>
  <si>
    <t>PRODIGO1057788</t>
  </si>
  <si>
    <t>Snowden-pencer Grasper 5 Mmx36 Cm Retraction Single Action Insert Non Sterile Latex</t>
  </si>
  <si>
    <t>GRASPER, ENDOSCOPIC, RETRACTION, 5 MMX36 CM, SINGLE ACTION, INSERT, NON STERILE, SNOWDEN-PENCER, LATEX</t>
  </si>
  <si>
    <t>GRASPER, ENDOSCP, RETRCT, 5 MMX36 CM, SINGLE ACT, INSRT, NS, SNOWDEN-PENCER, LTX</t>
  </si>
  <si>
    <t>GRASPER, ENDOSCP, RETRCT, 5 MMX36 CM, SINGLE ACT, SNOWDEN-PENCER</t>
  </si>
  <si>
    <t>SINGLE ACTION, INSERT</t>
  </si>
  <si>
    <t>https://www.bd.com/en-us/products-and-solutions/products/product-page.lat-0536-CW#overview, https://accessgudid.nlm.nih.gov/devices/10885403431333</t>
  </si>
  <si>
    <t>B0103</t>
  </si>
  <si>
    <t>B-0103</t>
  </si>
  <si>
    <t>BD_B0103</t>
  </si>
  <si>
    <t>RETRACTOR BECKMAN-ADSON 1X1IN PRONG BLNT</t>
  </si>
  <si>
    <t>PRODIGO1056383</t>
  </si>
  <si>
    <t>BECKMAN-ADSON RETRACTORS OVERALL LENGTH 12IN (30CM). 4 X 4 PRONGS. PRONGS 25MM X 25MM. BLUNT.</t>
  </si>
  <si>
    <t>RETRACTOR, SURGICAL, BECKMAN-ADSON, 12 IN, 25X25 MM, 4X4 PRONG, BLUNT, RING HANDLE, NON STERILE, LATEX</t>
  </si>
  <si>
    <t>RETRACTOR, SURG, BECKMAN-ADSON, 12 IN, 25X25 MM, 4X4 PRNG, BLNT, RNG HNDL, NS, LTX</t>
  </si>
  <si>
    <t>RETRACTOR, SURG, BECKMAN-ADSON, 12 IN, 25X25 MM, 4X4 PRNG, BLNT</t>
  </si>
  <si>
    <t>BECKMAN-ADSON</t>
  </si>
  <si>
    <t>25X25 MM</t>
  </si>
  <si>
    <t>4X4 PRONG, BLUNT, RING HANDLE</t>
  </si>
  <si>
    <t>https://www.bd.com/en-us/products-and-solutions/products/product-page.b-0103#overview, https://accessgudid.nlm.nih.gov/devices/10885403013683</t>
  </si>
  <si>
    <t>CH880050</t>
  </si>
  <si>
    <t>CH8800-50</t>
  </si>
  <si>
    <t>BD_CH880050</t>
  </si>
  <si>
    <t>RETRACTOR SET W/ARM ATTACH</t>
  </si>
  <si>
    <t>PRODIGO1057275</t>
  </si>
  <si>
    <t>42293106  Surgical retractor sets</t>
  </si>
  <si>
    <t>Valve Retractor Set</t>
  </si>
  <si>
    <t>RETRACTOR SET, VALVE, WITH ARM ATTACHMENT, UNIVERSAL HOLDING BAR, WITH CLAMP, NON STERILE, LATEX</t>
  </si>
  <si>
    <t>RETRACTOR SET, VLV, W/ ARM ATTCH, UNIV HOLDING BAR, W/ CLMP, NS, LTX</t>
  </si>
  <si>
    <t>RETRACTOR SET, VLV, W/ ARM ATTCH, UNIV HOLDING BAR, W/ CLMP, LTX</t>
  </si>
  <si>
    <t>RETRACTOR SET</t>
  </si>
  <si>
    <t>VALVE</t>
  </si>
  <si>
    <t>WITH ARM ATTACHMENT, UNIVERSAL HOLDING BAR, WITH CLAMP</t>
  </si>
  <si>
    <t>https://www.hces.com.sg/wp-content/uploads/2021/04/Cardiovascular-Pages-from-vmueller-snowdenpencer-armamentarium-catalogue-4.pdf, https://accessgudid.nlm.nih.gov/devices/10885403035784</t>
  </si>
  <si>
    <t>NL3785043</t>
  </si>
  <si>
    <t>NL3785-043</t>
  </si>
  <si>
    <t>BD_NL3785043</t>
  </si>
  <si>
    <t>RHOTON BAY NEEDLE HOLDER 6CM SHAFT CVD</t>
  </si>
  <si>
    <t>PRODIGO1058248</t>
  </si>
  <si>
    <t>Rhoton bayonet needle holders Curved 6cm shaft. Overall length 8-1/4in (21cm)</t>
  </si>
  <si>
    <t>HOLDER, NEEDLE, RHOTON, 8.25 IN, 6 CM, BAYONET, CURVED, NON STERILE, LATEX</t>
  </si>
  <si>
    <t>HOLDER, NDL, RHOTON, 8.25 IN, 6 CM, BAYNT, CRV, NS, LTX</t>
  </si>
  <si>
    <t>RHOTON</t>
  </si>
  <si>
    <t>BAYONET, CURVED</t>
  </si>
  <si>
    <t>https://www.bd.com/en-us/products-and-solutions/products/product-page.nl3785-043#overview, https://accessgudid.nlm.nih.gov/devices/10885403073946</t>
  </si>
  <si>
    <t>NL3785042</t>
  </si>
  <si>
    <t>NL3785-042</t>
  </si>
  <si>
    <t>BD_NL3785042</t>
  </si>
  <si>
    <t>RHOTON BAY NEEDLE HOLDER 6CM SHAFT STR</t>
  </si>
  <si>
    <t>PRODIGO1058247</t>
  </si>
  <si>
    <t>Rhoton bayonet needle holders Straight 6cm shaft. Overall length 8-1/4in (21cm)</t>
  </si>
  <si>
    <t>HOLDER, NEEDLE, RHOTON, 8.25 IN, 6 CM, BAYONET, STRAIGHT, NON STERILE, LATEX</t>
  </si>
  <si>
    <t>HOLDER, NDL, RHOTON, 8.25 IN, 6 CM, BAYNT, STR, NS, LTX</t>
  </si>
  <si>
    <t>BAYONET, STRAIGHT</t>
  </si>
  <si>
    <t>https://www.bd.com/en-us/products-and-solutions/products/product-page.NL3785-042#overview, https://accessgudid.nlm.nih.gov/devices/10885403073939</t>
  </si>
  <si>
    <t>NL3785095</t>
  </si>
  <si>
    <t>NL3785-095</t>
  </si>
  <si>
    <t>BD_NL3785095</t>
  </si>
  <si>
    <t>RHOTON BAYONET BIPOL FORCEP TIPS 1MM</t>
  </si>
  <si>
    <t>PRODIGO1058268</t>
  </si>
  <si>
    <t>Rhoton bayonet bipolar forceps Mirror and satin finish. Tips 1mm. Overall length 7-1/8in (18.1cm)</t>
  </si>
  <si>
    <t>FORCEP, SURGICAL, RHOTON, 7-1/8 IN, 1 MM, BAYONET, BIPOLAR, MIRROR, SATIN FINISH, NON STERILE, LATEX</t>
  </si>
  <si>
    <t>FORCEP, SURG, RHOTON, 7-1/8 IN, 1 MM, BAYNT, BPLR, MIRROR, SATIN FINISH, NS, LTX</t>
  </si>
  <si>
    <t>FORCEP, SURG, RHOTON, 7-1/8 IN, 1 MM, BAYNT, BPLR, MIRROR, SATIN</t>
  </si>
  <si>
    <t>BAYONET, BIPOLAR, MIRROR, SATIN FINISH</t>
  </si>
  <si>
    <t>https://www.bd.com/en-us/products-and-solutions/products/product-page.NL3785-095#overview, https://accessgudid.nlm.nih.gov/devices/10885403074264</t>
  </si>
  <si>
    <t>NL3785097</t>
  </si>
  <si>
    <t>NL3785-097</t>
  </si>
  <si>
    <t>BD_NL3785097</t>
  </si>
  <si>
    <t>RHOTON BAYONET BIPOLAR FORCEPS TIP 2MM</t>
  </si>
  <si>
    <t>PRODIGO1058269</t>
  </si>
  <si>
    <t>Rhoton bayonet bipolar forceps Mirror and satin finish. Tips 2mm. Overall length 7-1/8in (18.1cm)</t>
  </si>
  <si>
    <t>FORCEP, SURGICAL, RHOTON, 7-1/8 IN, 2 MM, BAYONET, BIPOLAR, MIRROR, SATIN FINISH, NON STERILE, LATEX</t>
  </si>
  <si>
    <t>FORCEP, SURG, RHOTON, 7-1/8 IN, 2 MM, BAYNT, BPLR, MIRROR, SATIN FINISH, NS, LTX</t>
  </si>
  <si>
    <t>FORCEP, SURG, RHOTON, 7-1/8 IN, 2 MM, BAYNT, BPLR, MIRROR, SATIN</t>
  </si>
  <si>
    <t>https://www.bd.com/en-us/products-and-solutions/products/product-page.NL3785-097#overview, https://accessgudid.nlm.nih.gov/devices/10885403074271</t>
  </si>
  <si>
    <t>NL3785041</t>
  </si>
  <si>
    <t>NL3785-041</t>
  </si>
  <si>
    <t>BD_NL3785041</t>
  </si>
  <si>
    <t>RHOTON BAYONET NDL HOLDER CVD SHAFT 8CM</t>
  </si>
  <si>
    <t>PRODIGO1058246</t>
  </si>
  <si>
    <t>Rhoton bayonet needle holders Curved 8cm shaft. Overall length 9-1/4in (23.5cm)</t>
  </si>
  <si>
    <t>HOLDER, NEEDLE, RHOTON, 9.25 IN, 8 CM, BAYONET, CURVED, NON STERILE, LATEX</t>
  </si>
  <si>
    <t>HOLDER, NDL, RHOTON, 9.25 IN, 8 CM, BAYNT, CRV, NS, LTX</t>
  </si>
  <si>
    <t>8 CM</t>
  </si>
  <si>
    <t>https://www.bd.com/en-us/products-and-solutions/products/product-page.NL3785-041#overview, https://accessgudid.nlm.nih.gov/devices/10885403073922</t>
  </si>
  <si>
    <t>NL3785034</t>
  </si>
  <si>
    <t>NL3785-034</t>
  </si>
  <si>
    <t>BD_NL3785034</t>
  </si>
  <si>
    <t>RHOTON BAYONET SCISSORS STR SHAFT 9.5CM</t>
  </si>
  <si>
    <t>PRODIGO1058240</t>
  </si>
  <si>
    <t>Rhoton bayonet scissors Mirror and satin finish. Straight 9.5cm shaft. Overall length 9-1/8in (23.2cm)</t>
  </si>
  <si>
    <t>SCISSOR, SURGICAL, RHOTON, 9-1/8 IN, 9.5 CM, STRAIGHT, MIRROR, SATIN FINISH, NON STERILE, LATEX</t>
  </si>
  <si>
    <t>SCISSOR, SURG, RHOTON, 9-1/8 IN, 9.5 CM, STR, MIRROR, SATIN FINISH, NS, LTX</t>
  </si>
  <si>
    <t>SCISSOR, SURG, RHOTON, 9-1/8 IN, 9.5 CM, STR, MIRROR, SATIN FINISH</t>
  </si>
  <si>
    <t>9-1/8 IN</t>
  </si>
  <si>
    <t>STRAIGHT, MIRROR, SATIN FINISH</t>
  </si>
  <si>
    <t>https://www.bd.com/en-us/products-and-solutions/products/product-page.NL3785-034#overview, https://accessgudid.nlm.nih.gov/devices/10885403073854</t>
  </si>
  <si>
    <t>NL1234</t>
  </si>
  <si>
    <t>BD_NL1234</t>
  </si>
  <si>
    <t>RHOTON BRAIN RETRACTOR SET COMPLETE</t>
  </si>
  <si>
    <t>PRODIGO1058054</t>
  </si>
  <si>
    <t>RHOTON-MERZ BRAIN RETRACTOR SET COMPLETE SET</t>
  </si>
  <si>
    <t>RETRACTOR SET, RHOTON-MERZ BRAIN, COMPLETE, NON STERILE, LATEX</t>
  </si>
  <si>
    <t>RETRACTOR SET RHOTON-MERZ BRAIN COMPLETE NON STERILE LATEX</t>
  </si>
  <si>
    <t>RETRACTOR SET, RHOTON-MERZ BRAIN, COMPLETE, NS, LTX</t>
  </si>
  <si>
    <t>RHOTON-MERZ BRAIN</t>
  </si>
  <si>
    <t>COMPLETE</t>
  </si>
  <si>
    <t>https://www.bd.com/en-us/products-and-solutions/products/product-print-page.nl1234, https://accessgudid.nlm.nih.gov/devices/10885403071072</t>
  </si>
  <si>
    <t>NL3785065</t>
  </si>
  <si>
    <t>NL3785-065</t>
  </si>
  <si>
    <t>BD_NL3785065</t>
  </si>
  <si>
    <t>RHOTON GRASPING FORCEPS SHAFT 9.5CM 9IN</t>
  </si>
  <si>
    <t>PRODIGO1058262</t>
  </si>
  <si>
    <t>Rhoton grasping forceps Serrated ring tip 2.6mm. Shaft 9.5cm. Overall length 9in (22.9cm)</t>
  </si>
  <si>
    <t>FORCEP, SURGICAL, RHOTON, 9 IN, 2.6 MM, 9.5 CM, GRASPING, SERRATED RING TIP, NON STERILE, LATEX</t>
  </si>
  <si>
    <t>FORCEP, SURG, RHOTON, 9 IN, 2.6 MM, 9.5 CM, GRASPING, SERRATED RNG TIP, NS, LTX</t>
  </si>
  <si>
    <t>FORCEP, SURG, RHOTON, 9 IN, 2.6 MM, 9.5 CM, GRASPING, SERRATED RNG</t>
  </si>
  <si>
    <t>2.6 MM, 9.5 CM</t>
  </si>
  <si>
    <t>GRASPING, SERRATED RING TIP</t>
  </si>
  <si>
    <t>https://www.bd.com/en-us/products-and-solutions/products/product-page.NL3785-065#overview, https://accessgudid.nlm.nih.gov/devices/10885403074196</t>
  </si>
  <si>
    <t>NL3785082</t>
  </si>
  <si>
    <t>NL3785-082</t>
  </si>
  <si>
    <t>BD_NL3785082</t>
  </si>
  <si>
    <t>RHOTON MICRO BIPOLR FORCEP 2MM PTS 7-1/8</t>
  </si>
  <si>
    <t>PRODIGO1058266</t>
  </si>
  <si>
    <t>Rhoton bipolar forceps Straight. Mirror and satin finish. Overall length 7-1/8in (18cm). Tips 2mm</t>
  </si>
  <si>
    <t>FORCEP, SURGICAL, RHOTON, 7-1/8 IN, 2 MM, BIPOLAR, STRAIGHT, MIRROR, SATIN FINISH, NON STERILE, LATEX</t>
  </si>
  <si>
    <t>FORCEP, SURG, RHOTON, 7-1/8 IN, 2 MM, BPLR, STR, MIRROR, SATIN FINISH, NS, LTX</t>
  </si>
  <si>
    <t>FORCEP, SURG, RHOTON, 7-1/8 IN, 2 MM, BPLR, STR, MIRROR, SATIN</t>
  </si>
  <si>
    <t>BIPOLAR, STRAIGHT, MIRROR, SATIN FINISH</t>
  </si>
  <si>
    <t>https://www.bd.com/en-us/products-and-solutions/products/product-page.NL3785-082#overview, https://accessgudid.nlm.nih.gov/devices/10885403074233</t>
  </si>
  <si>
    <t>NL3785080</t>
  </si>
  <si>
    <t>NL3785-080</t>
  </si>
  <si>
    <t>BD_NL3785080</t>
  </si>
  <si>
    <t>RHOTON MICRO COAG BIPOL FORCEPS STR .5MM</t>
  </si>
  <si>
    <t>PRODIGO1058264</t>
  </si>
  <si>
    <t>Rhoton micro coagulating bipolar forceps Straight. Mirror and satin finish. Overall length 7in (17.8cm). 0.5mm tip</t>
  </si>
  <si>
    <t>FORCEP, SURGICAL, RHOTON, MICRO, 7 IN, 0.5 MM, COAGULATING, BIPOLAR, STRAIGHT, MIRROR, SATIN FINISH, NON STERILE, LATEX</t>
  </si>
  <si>
    <t>FORCEP, SURG, RHOTON, MIC, 7 IN, 0.5 MM, COAG, BPLR, STR, MIRROR, SATIN FINISH, NS, LTX</t>
  </si>
  <si>
    <t>FORCEP, SURG, RHOTON, MIC, 7 IN, 0.5 MM, COAG, BPLR, STR, MIRROR</t>
  </si>
  <si>
    <t>COAGULATING, BIPOLAR, STRAIGHT, MIRROR, SATIN FINISH</t>
  </si>
  <si>
    <t>https://www.bd.com/en-us/products-and-solutions/products/product-page.NL3785-080#overview, https://accessgudid.nlm.nih.gov/devices/10885403074219</t>
  </si>
  <si>
    <t>NL3785014</t>
  </si>
  <si>
    <t>NL3785-014</t>
  </si>
  <si>
    <t>BD_NL3785014</t>
  </si>
  <si>
    <t>RHOTON MICRO CURETTE ANG 1X2MM CUP 7-1/2</t>
  </si>
  <si>
    <t>PRODIGO1058211</t>
  </si>
  <si>
    <t>Rhoton micro curettes Angled. Cup 2mm x 1mm wide. Overall length 7-1/2IN (19.cm)</t>
  </si>
  <si>
    <t>CURETTE, SURGICAL, RHOTON, MICRO, 7.5 IN, 2X1 MM, ANGLED, NON STERILE, LATEX</t>
  </si>
  <si>
    <t>CURETTE, SURG, RHOTON, MIC, 7.5 IN, 2X1 MM, ANGLED, NS, LTX</t>
  </si>
  <si>
    <t>2X1 MM</t>
  </si>
  <si>
    <t>https://www.bd.com/en-us/products-and-solutions/products/product-page.NL3785-014#overview, https://accessgudid.nlm.nih.gov/devices/10885403073694</t>
  </si>
  <si>
    <t>NL3785013</t>
  </si>
  <si>
    <t>NL3785-013</t>
  </si>
  <si>
    <t>BD_NL3785013</t>
  </si>
  <si>
    <t>RHOTON MICRO CURETTE STR 1X2MM CUP 7-1/2</t>
  </si>
  <si>
    <t>PRODIGO1058210</t>
  </si>
  <si>
    <t>Rhoton micro curettes Straight. Cup 2mm x 1mm wide. Overall length 7-1/2IN (19cm)</t>
  </si>
  <si>
    <t>CURETTE, SURGICAL, RHOTON, MICRO, 7.5 IN, 2X1 MM, STRAIGHT, NON STERILE, LATEX</t>
  </si>
  <si>
    <t>CURETTE, SURG, RHOTON, MIC, 7.5 IN, 2X1 MM, STR, NS, LTX</t>
  </si>
  <si>
    <t>https://www.bd.com/en-us/products-and-solutions/products/product-page.NL3785-013#overview, https://accessgudid.nlm.nih.gov/devices/10885403073687</t>
  </si>
  <si>
    <t>NL3785062</t>
  </si>
  <si>
    <t>NL3785-062</t>
  </si>
  <si>
    <t>BD_NL3785062</t>
  </si>
  <si>
    <t>RHOTON MICRO DISSECT FORCEPS BAYON .75MM</t>
  </si>
  <si>
    <t>PRODIGO1058261</t>
  </si>
  <si>
    <t>Rhoton micro dissecting forceps Bayonet. Finely serrated tips .75mm. Shaft length 11cm. Overall length 9-3/8in (23.8cm)</t>
  </si>
  <si>
    <t>FORCEP, SURGICAL, RHOTON, MICRO, 0.75 MM, BAYONET, DISSECTING, FINELY SERRATED TIP, NON STERILE, LATEX</t>
  </si>
  <si>
    <t>FORCEP, SURG, RHOTON, MIC, 0.75 MM, BAYNT, DISECT, FINELY SERRATED TIP, NS, LTX</t>
  </si>
  <si>
    <t>FORCEP, SURG, RHOTON, MIC, 0.75 MM, BAYNT, DISECT, FINELY SERRATED</t>
  </si>
  <si>
    <t>0.75 MM</t>
  </si>
  <si>
    <t>BAYONET, DISSECTING, FINELY SERRATED TIP</t>
  </si>
  <si>
    <t>https://www.bd.com/en-us/products-and-solutions/products/product-page.NL3785-062#overview, https://accessgudid.nlm.nih.gov/devices/10885403074172</t>
  </si>
  <si>
    <t>NL3785052</t>
  </si>
  <si>
    <t>NL3785-052</t>
  </si>
  <si>
    <t>BD_NL3785052</t>
  </si>
  <si>
    <t>RHOTON MICRO FORCEP STR X-FINE TIP 0.3MM</t>
  </si>
  <si>
    <t>PRODIGO1058254</t>
  </si>
  <si>
    <t>Rhoton micro forceps Straight. Overall length 7in (17.8cm). Extra-fine. 0.3mm tips</t>
  </si>
  <si>
    <t>FORCEP, SURGICAL, RHOTON, MICRO, 0.3 MM, STRAIGHT, EXTRA FINE, NON STERILE, LATEX</t>
  </si>
  <si>
    <t>FORCEP, SURG, RHOTON, MIC, 0.3 MM, STR, X FN, NS, LTX</t>
  </si>
  <si>
    <t>STRAIGHT, EXTRA FINE</t>
  </si>
  <si>
    <t>https://www.bd.com/en-us/products-and-solutions/products/product-page.NL3785-052#overview, https://accessgudid.nlm.nih.gov/devices/10885403074097</t>
  </si>
  <si>
    <t>NL3785085</t>
  </si>
  <si>
    <t>NL3785-085</t>
  </si>
  <si>
    <t>BD_NL3785085</t>
  </si>
  <si>
    <t>RHOTON MICRO FORCEPS BIPOLAR JEWELER CVD</t>
  </si>
  <si>
    <t>PRODIGO1058267</t>
  </si>
  <si>
    <t>Rhoton micro tip bipolar jewelers forceps Curved. Overall length 4-5/8in (11.7cm)</t>
  </si>
  <si>
    <t>FORCEP, SURGICAL, RHOTON, MICRO TIP, 4-5/8 IN, BIPOLAR, JEWELER, CURVED, NON STERILE, LATEX</t>
  </si>
  <si>
    <t>FORCEP, SURG, RHOTON, MIC TIP, 4-5/8 IN, BPLR, JWL, CRV, NS, LTX</t>
  </si>
  <si>
    <t>MICRO TIP</t>
  </si>
  <si>
    <t>BIPOLAR, JEWELER, CURVED</t>
  </si>
  <si>
    <t>https://www.bd.com/en-us/products-and-solutions/products/product-page.NL3785-085#overview, https://accessgudid.nlm.nih.gov/devices/10885403074257</t>
  </si>
  <si>
    <t>NL3785040</t>
  </si>
  <si>
    <t>NL3785-040</t>
  </si>
  <si>
    <t>BD_NL3785040</t>
  </si>
  <si>
    <t>RHOTON MICRO NEEDLE HOLDER STR BAY 9-1/4</t>
  </si>
  <si>
    <t>PRODIGO1058245</t>
  </si>
  <si>
    <t>Rhoton bayonet needle holders Straight 8cm shaft. Overall length 9-1/4in (23.5cm)</t>
  </si>
  <si>
    <t>HOLDER, NEEDLE, RHOTON, 9.25 IN, 8 CM, BAYONET, STRAIGHT, NON STERILE, LATEX</t>
  </si>
  <si>
    <t>HOLDER, NDL, RHOTON, 9.25 IN, 8 CM, BAYNT, STR, NS, LTX</t>
  </si>
  <si>
    <t>https://www.bd.com/en-us/products-and-solutions/products/product-page.NL3785-040#overview, https://accessgudid.nlm.nih.gov/devices/10885403073915</t>
  </si>
  <si>
    <t>NL3785048</t>
  </si>
  <si>
    <t>NL3785-048</t>
  </si>
  <si>
    <t>BD_NL3785048</t>
  </si>
  <si>
    <t>RHOTON MICRO SCISSOR BLD CVD RIGHT 60DEG</t>
  </si>
  <si>
    <t>PRODIGO1058252</t>
  </si>
  <si>
    <t>Rhoton micro scissors Blades angled 60</t>
  </si>
  <si>
    <t>SCISSOR, SURGICAL, RHOTON, MICRO, 60 DEGREE, RIGHT, ANGLED, CURVED, NON STERILE, LATEX</t>
  </si>
  <si>
    <t>SCISSOR, SURG, RHOTON, MIC, 60 DEG, RT, ANGLED, CRV, NS, LTX</t>
  </si>
  <si>
    <t>ANGLED, CURVED</t>
  </si>
  <si>
    <t>https://www.bd.com/en-us/products-and-solutions/products/product-page.NL3785-048#overview, https://accessgudid.nlm.nih.gov/devices/10885403073984</t>
  </si>
  <si>
    <t>NL3785029</t>
  </si>
  <si>
    <t>NL3785-029</t>
  </si>
  <si>
    <t>BD_NL3785029</t>
  </si>
  <si>
    <t>RHOTON MICRO SCISSORS ANG UP 45DEG 5.5MM</t>
  </si>
  <si>
    <t>PRODIGO1058218</t>
  </si>
  <si>
    <t>Rhoton micro surgical scissors Cutting blades 5.5mm long. Blades angled up 45</t>
  </si>
  <si>
    <t>SCISSOR, SURGICAL, RHOTON, MICRO, 45 DEGREE, 5.5 MM, BLADE ANGLED UP , NON STERILE, LATEX</t>
  </si>
  <si>
    <t>SCISSOR, SURG, RHOTON, MIC, 45 DEG, 5.5 MM, BLADE ANGLED UP , NS, LTX</t>
  </si>
  <si>
    <t xml:space="preserve">SCISSOR, SURG, RHOTON, MIC, 45 DEG, 5.5 MM, BLADE ANGLED UP </t>
  </si>
  <si>
    <t>5.5 MM</t>
  </si>
  <si>
    <t xml:space="preserve">BLADE ANGLED UP </t>
  </si>
  <si>
    <t>https://www.bd.com/en-us/products-and-solutions/products/product-page.NL3785-029#overview, https://accessgudid.nlm.nih.gov/devices/10885403073809</t>
  </si>
  <si>
    <t>NL3785049</t>
  </si>
  <si>
    <t>NL3785-049</t>
  </si>
  <si>
    <t>BD_NL3785049</t>
  </si>
  <si>
    <t>RHOTON MICRO SCISSORS BLD CVD LEFT 60DEG</t>
  </si>
  <si>
    <t>PRODIGO1058253</t>
  </si>
  <si>
    <t>SCISSOR, SURGICAL, RHOTON, MICRO, 60 DEGREE, LEFT, ANGLED, CURVED, NON STERILE, LATEX</t>
  </si>
  <si>
    <t>SCISSOR, SURG, RHOTON, MIC, 60 DEG, LT, ANGLED, CRV, NS, LTX</t>
  </si>
  <si>
    <t>https://www.bd.com/en-us/products-and-solutions/products/product-page.nl3785-049#overview, https://accessgudid.nlm.nih.gov/devices/10885403073991</t>
  </si>
  <si>
    <t>NL3785030</t>
  </si>
  <si>
    <t>NL3785-030</t>
  </si>
  <si>
    <t>BD_NL3785030</t>
  </si>
  <si>
    <t>RHOTON MICRO SCISSORS STR OVER LGTH 7IN</t>
  </si>
  <si>
    <t>PRODIGO1058219</t>
  </si>
  <si>
    <t>Rhoton micro scissors Mirror and satin finish. Overall length 7in (17.8cm). Straight</t>
  </si>
  <si>
    <t>SCISSOR, SURGICAL, RHOTON, MICRO, 7 IN, STRAIGHT, MIRROR, SATIN FINISH, NON STERILE, LATEX</t>
  </si>
  <si>
    <t>SCISSOR, SURG, RHOTON, MIC, 7 IN, STR, MIRROR, SATIN FINISH, NS, LTX</t>
  </si>
  <si>
    <t>https://www.bd.com/en-us/products-and-solutions/products/product-page.nl3785-030#overview, https://accessgudid.nlm.nih.gov/devices/10885403073816</t>
  </si>
  <si>
    <t>NL3785047</t>
  </si>
  <si>
    <t>NL3785-047</t>
  </si>
  <si>
    <t>BD_NL3785047</t>
  </si>
  <si>
    <t>RHOTON MICRO SICISSORS BLADE 60DEG 6-7/8</t>
  </si>
  <si>
    <t>PRODIGO1058251</t>
  </si>
  <si>
    <t>SCISSOR, SURGICAL, RHOTON, MICRO, 60 DEGREE, 6-7/8 IN, ANGLED, NON STERILE, LATEX</t>
  </si>
  <si>
    <t>SCISSOR, SURG, RHOTON, MIC, 60 DEG, 6-7/8 IN, ANGLED, NS, LTX</t>
  </si>
  <si>
    <t>https://www.bd.com/en-us/products-and-solutions/products/product-page.NL3785-047#overview, https://accessgudid.nlm.nih.gov/devices/10885403073977</t>
  </si>
  <si>
    <t>NL3785001</t>
  </si>
  <si>
    <t>NL3785-001</t>
  </si>
  <si>
    <t>BD_NL3785001</t>
  </si>
  <si>
    <t>RHOTON ROUND DISSECTOR DIA 1MM 7-1/2IN</t>
  </si>
  <si>
    <t>PRODIGO1058201</t>
  </si>
  <si>
    <t>Rhoton round dissectors Overall length 7-1/2in (19.1cm). Diameter 1mm</t>
  </si>
  <si>
    <t>DISSECTOR, SURGICAL, RHOTON, 1 MMX7.5 IN, ROUND, NON STERILE, LATEX</t>
  </si>
  <si>
    <t>DISSECTOR, SURG, RHOTON, 1 MMX7.5 IN, RND, NS, LTX</t>
  </si>
  <si>
    <t>1 MMX7.5 IN</t>
  </si>
  <si>
    <t>ROUND</t>
  </si>
  <si>
    <t>https://www.bd.com/en-us/products-and-solutions/products/product-page.NL3785-001#overview, https://accessgudid.nlm.nih.gov/devices/10885403073571</t>
  </si>
  <si>
    <t>NL3785002</t>
  </si>
  <si>
    <t>NL3785-002</t>
  </si>
  <si>
    <t>BD_NL3785002</t>
  </si>
  <si>
    <t>RHOTON ROUND DISSECTOR DIA 2MM 7-1/2IN</t>
  </si>
  <si>
    <t>PRODIGO1058202</t>
  </si>
  <si>
    <t>Rhoton round dissectors Overall length 7-1/2in (19.1cm). Diameter 2mm</t>
  </si>
  <si>
    <t>DISSECTOR, SURGICAL, RHOTON, 2 MMX7.5 IN, ROUND, NON STERILE, LATEX</t>
  </si>
  <si>
    <t>DISSECTOR, SURG, RHOTON, 2 MMX7.5 IN, RND, NS, LTX</t>
  </si>
  <si>
    <t>2 MMX7.5 IN</t>
  </si>
  <si>
    <t>https://www.bd.com/en-us/products-and-solutions/products/product-page.NL3785-002#overview, https://accessgudid.nlm.nih.gov/devices/10885403073588</t>
  </si>
  <si>
    <t>NL3785003</t>
  </si>
  <si>
    <t>NL3785-003</t>
  </si>
  <si>
    <t>BD_NL3785003</t>
  </si>
  <si>
    <t>RHOTON ROUND DISSECTOR DIA 3MM 7-1/2IN</t>
  </si>
  <si>
    <t>PRODIGO1058203</t>
  </si>
  <si>
    <t>Rhoton round dissectors Overall length 7-1/2in (19.1cm). Diameter 3mm</t>
  </si>
  <si>
    <t>DISSECTOR, SURGICAL, RHOTON, 3 MMX7.5 IN, ROUND, NON STERILE, LATEX</t>
  </si>
  <si>
    <t>DISSECTOR, SURG, RHOTON, 3 MMX7.5 IN, RND, NS, LTX</t>
  </si>
  <si>
    <t>3 MMX7.5 IN</t>
  </si>
  <si>
    <t>https://www.bd.com/en-us/products-and-solutions/products/product-page.NL3785-003#overview, https://accessgudid.nlm.nih.gov/devices/10885403073595</t>
  </si>
  <si>
    <t>NL3785007</t>
  </si>
  <si>
    <t>NL3785-007</t>
  </si>
  <si>
    <t>BD_NL3785007</t>
  </si>
  <si>
    <t>RHOTON SPATULA DISSECTOR #7 MED 7-1/2IN</t>
  </si>
  <si>
    <t>PRODIGO1058207</t>
  </si>
  <si>
    <t>Rhoton spatula dissectors Overall length 7-1/2in (19.1cm). No. 7. Medium</t>
  </si>
  <si>
    <t>DISSECTOR, SURGICAL, RHOTON, 7.5 IN, NO 7 MEDIUM, SPATULA, NON STERILE, LATEX</t>
  </si>
  <si>
    <t>DISSECTOR, SURG, RHOTON, 7.5 IN, NO 7 MED, SPATULA, NS, LTX</t>
  </si>
  <si>
    <t>NO 7 MEDIUM, SPATULA</t>
  </si>
  <si>
    <t>https://www.bd.com/en-us/products-and-solutions/products/product-page.NL3785-007#overview, https://accessgudid.nlm.nih.gov/devices/10885403073632</t>
  </si>
  <si>
    <t>NL3785012</t>
  </si>
  <si>
    <t>NL3785-012</t>
  </si>
  <si>
    <t>BD_NL3785012</t>
  </si>
  <si>
    <t>RHOTON STR POINT NEEDLE SEMI-SHARP 7-1/2</t>
  </si>
  <si>
    <t>PRODIGO1058209</t>
  </si>
  <si>
    <t>Rhoton straight point needle No. 12. Semi-sharp. Overall length 7-1/2in (19.1cm)</t>
  </si>
  <si>
    <t>HOLDER, NEEDLE, RHOTON, 7.5 IN, NO 12, SEMI SHARP, STRAIGHT POINT, NON STERILE, LATEX</t>
  </si>
  <si>
    <t>HOLDER, NDL, RHOTON, 7.5 IN, NO 12, SEMI SHRP, STR PT, NS, LTX</t>
  </si>
  <si>
    <t>NO 12, SEMI SHARP, STRAIGHT POINT</t>
  </si>
  <si>
    <t>https://www.bd.com/en-us/products-and-solutions/products/product-page.NL3785-012#overview, https://accessgudid.nlm.nih.gov/devices/10885403073670</t>
  </si>
  <si>
    <t>NL3785066</t>
  </si>
  <si>
    <t>NL3785-066</t>
  </si>
  <si>
    <t>BD_NL3785066</t>
  </si>
  <si>
    <t>RHOTON TUMOR FORCEPS 2.6MM RING LNG</t>
  </si>
  <si>
    <t>PRODIGO1058263</t>
  </si>
  <si>
    <t>Rhoton grasping forceps Serrated ring tip 2.6mm. Shaft 8cm. Overall length 8in (20cm)</t>
  </si>
  <si>
    <t>FORCEP, SURGICAL, RHOTON, LONG, 2.6 MM, 8 CM, GRASPING, SERRATED RING TIP, NON STERILE, LATEX</t>
  </si>
  <si>
    <t>FORCEP, SURG, RHOTON, LNG, 2.6 MM, 8 CM, GRASPING, SERRATED RNG TIP, NS, LTX</t>
  </si>
  <si>
    <t>FORCEP, SURG, RHOTON, LNG, 2.6 MM, 8 CM, GRASPING, SERRATED RNG TIP</t>
  </si>
  <si>
    <t>2.6 MM, 8 CM</t>
  </si>
  <si>
    <t>https://www.bd.com/en-us/products-and-solutions/products/product-page.NL3785-066#overview, https://accessgudid.nlm.nih.gov/devices/10885403074202</t>
  </si>
  <si>
    <t>NL3785056</t>
  </si>
  <si>
    <t>NL3785-056</t>
  </si>
  <si>
    <t>BD_NL3785056</t>
  </si>
  <si>
    <t>RHOTON-ADSON DRESSING FORCEP 7-1/8(18CM)</t>
  </si>
  <si>
    <t>PRODIGO1058256</t>
  </si>
  <si>
    <t>Rhoton-Adson dressing forceps Serrated. Overall length 7-1/8in (18.1cm)</t>
  </si>
  <si>
    <t>FORCEP, SURGICAL, RHOTON ADSON, 7-1/8 IN, DRESSING, SERRATED, NON STERILE, LATEX</t>
  </si>
  <si>
    <t>FORCEP, SURG, RHOTON ADSN, 7-1/8 IN, DRSG, SERRATED, NS, LTX</t>
  </si>
  <si>
    <t>RHOTON ADSON</t>
  </si>
  <si>
    <t>DRESSING, SERRATED</t>
  </si>
  <si>
    <t>https://www.bd.com/en-us/products-and-solutions/products/product-page.NL3785-056#overview, https://accessgudid.nlm.nih.gov/devices/10885403074110</t>
  </si>
  <si>
    <t>NL3785060</t>
  </si>
  <si>
    <t>NL3785-060</t>
  </si>
  <si>
    <t>BD_NL3785060</t>
  </si>
  <si>
    <t>RHOTON-CUSHING DRESSING FORCEPS SERR JAW</t>
  </si>
  <si>
    <t>PRODIGO1058259</t>
  </si>
  <si>
    <t>Rhoton-Cushing dressing forceps Serrated jaws 8cm shaft. Overall length 7-7/8in (20cm)</t>
  </si>
  <si>
    <t>FORCEP, SURGICAL, RHOTON CUSHING, 7-7/8 IN, 8 CM, DRESSING, SERRATED JAW, NON STERILE, LATEX</t>
  </si>
  <si>
    <t>FORCEP, SURG, RHOTON CUSHING, 7-7/8 IN, 8 CM, DRSG, SERRATED JAW, NS, LTX</t>
  </si>
  <si>
    <t>FORCEP, SURG, RHOTON CUSHING, 7-7/8 IN, 8 CM, DRSG, SERRATED JAW</t>
  </si>
  <si>
    <t>RHOTON CUSHING</t>
  </si>
  <si>
    <t>DRESSING, SERRATED JAW</t>
  </si>
  <si>
    <t>https://www.bd.com/en-us/products-and-solutions/products/product-page.NL3785-060#overview, https://accessgudid.nlm.nih.gov/devices/10885403074158</t>
  </si>
  <si>
    <t>NL3785061</t>
  </si>
  <si>
    <t>NL3785-061</t>
  </si>
  <si>
    <t>BD_NL3785061</t>
  </si>
  <si>
    <t>RHOTON-CUSHING TISSUE FORCEPS TIP 5MM</t>
  </si>
  <si>
    <t>PRODIGO1058260</t>
  </si>
  <si>
    <t>Rhoton-Cushing tissue forceps 1 x 2 teeth. Tips 5mm. Shaft 8cm. Overall length 7-7/8in (20cm)</t>
  </si>
  <si>
    <t>FORCEP, SURGICAL, RHOTON CUSHING, 7-7/8 IN, 5 MM, 8 CM, 1X2 TEETH, TISSUE, NON STERILE, LATEX</t>
  </si>
  <si>
    <t>FORCEP, SURG, RHOTON CUSHING, 7-7/8 IN, 5 MM, 8 CM, 1X2 TEETH, TISS, NS, LTX</t>
  </si>
  <si>
    <t>FORCEP, SURG, RHOTON CUSHING, 7-7/8 IN, 5 MM, 8 CM, 1X2 TEETH, TISS</t>
  </si>
  <si>
    <t>1X2 TEETH, TISSUE</t>
  </si>
  <si>
    <t>https://www.bd.com/en-us/products-and-solutions/products/product-page.NL3785-061#overview, https://accessgudid.nlm.nih.gov/devices/10885403074165</t>
  </si>
  <si>
    <t>NL1235</t>
  </si>
  <si>
    <t>BD_NL1235</t>
  </si>
  <si>
    <t>RHOTON-MERZ BALL/SOCKET W/CLAMP F/13MM</t>
  </si>
  <si>
    <t>PRODIGO1058055</t>
  </si>
  <si>
    <t>RHOTON-MERZ BRAIN RETRACTOR SET</t>
  </si>
  <si>
    <t>RETRACTOR SET, RHOTON-MERZ BRAIN, 0.5 IN, BALL AND SOCKET UNIT WITH OPENING, OUND TUBING. CLAMPING DEVICE, NON STERILE, LATEX</t>
  </si>
  <si>
    <t>RETRACTOR SET RHOTON-MERZ BRAIN 0.5 IN BALL AND SOCKET UNIT WITH OPENING OUND TUBING. CLAMPING DEVICE NON STERILE LATEX</t>
  </si>
  <si>
    <t>RETRACTOR SET, RHOTON-MERZ BRAIN, 0.5 IN, BALL &amp; SOCKET UNIT W/ OPENING, OUND TUBING. CLMP DEV, NS, LTX</t>
  </si>
  <si>
    <t>RETRACTOR SET, RHOTON-MERZ BRAIN, 0.5 IN, BALL &amp; SOCKET UNIT, NS</t>
  </si>
  <si>
    <t>BALL AND SOCKET UNIT WITH OPENING, OUND TUBING. CLAMPING DEVICE</t>
  </si>
  <si>
    <t>https://www.bd.com/en-us/products-and-solutions/products/product-page.NL1235#specifications, https://accessgudid.nlm.nih.gov/devices/10885403063008</t>
  </si>
  <si>
    <t>NL1240</t>
  </si>
  <si>
    <t>BD_NL1240</t>
  </si>
  <si>
    <t>RHOTON-MERZ CLAMP DEVICE W/TBG 1/2IN DIA</t>
  </si>
  <si>
    <t>PRODIGO1058060</t>
  </si>
  <si>
    <t>RETRACTOR SET, RHOTON-MERZ BRAIN, 8 IN, 0.5 IN, CLAMPING DEVICE, ROUND TUBING, NON STERILE, LATEX</t>
  </si>
  <si>
    <t>RETRACTOR SET RHOTON-MERZ BRAIN 8 IN 0.5 IN CLAMPING DEVICE ROUND TUBING NON STERILE LATEX</t>
  </si>
  <si>
    <t>RETRACTOR SET, RHOTON-MERZ BRAIN, 8 IN, 0.5 IN, CLMP DEV, RND TBNG, NS, LTX</t>
  </si>
  <si>
    <t>RETRACTOR SET, RHOTON-MERZ BRAIN, 8 IN, 0.5 IN, RND TBNG, NS, LTX</t>
  </si>
  <si>
    <t>CLAMPING DEVICE, ROUND TUBING</t>
  </si>
  <si>
    <t>https://www.bd.com/en-us/products-and-solutions/products/product-page.nl1240#overview, https://accessgudid.nlm.nih.gov/devices/10885403063053</t>
  </si>
  <si>
    <t>NL1241</t>
  </si>
  <si>
    <t>BD_NL1241</t>
  </si>
  <si>
    <t>PRODIGO1058061</t>
  </si>
  <si>
    <t>RETRACTOR SET, RHOTON-MERZ BRAIN, 12 IN, 0.5 IN, CLAMPING DEVICE, ROUND TUBING, NON STERILE, LATEX</t>
  </si>
  <si>
    <t>RETRACTOR SET RHOTON-MERZ BRAIN 12 IN 0.5 IN CLAMPING DEVICE ROUND TUBING NON STERILE LATEX</t>
  </si>
  <si>
    <t>RETRACTOR SET, RHOTON-MERZ BRAIN, 12 IN, 0.5 IN, CLMP DEV, RND TBNG, NS, LTX</t>
  </si>
  <si>
    <t>RETRACTOR SET, RHOTON-MERZ BRAIN, 12 IN, 0.5 IN,RND TBNG, NS, LTX</t>
  </si>
  <si>
    <t>https://www.bd.com/en-us/products-and-solutions/products/product-print-page.nl1241, https://accessgudid.nlm.nih.gov/devices/10885403063060</t>
  </si>
  <si>
    <t>NL1242</t>
  </si>
  <si>
    <t>BD_NL1242</t>
  </si>
  <si>
    <t>RHOTON-MERZ CLAMPING DEVICE BALL &amp;SOCKET</t>
  </si>
  <si>
    <t>PRODIGO1058062</t>
  </si>
  <si>
    <t>RETRACTOR SET, RHOTON-MERZ BRAIN, 12 IN, 0.5 IN, CLAMPING DEVICE, ROUND TUBING, BALL AND SOCKET, NON STERILE, LATEX</t>
  </si>
  <si>
    <t>RETRACTOR SET RHOTON-MERZ BRAIN 12 IN 0.5 IN CLAMPING DEVICE ROUND TUBING BALL AND SOCKET NON STERILE LATEX</t>
  </si>
  <si>
    <t>RETRACTOR SET, RHOTON-MERZ BRAIN, 12 IN, 0.5 IN, CLMP DEV, RND TBNG, BALL &amp; SOCKET, NS, LTX</t>
  </si>
  <si>
    <t>RETRACTOR SET, RHOTON-MERZ BRAIN, 12 IN, 0.5 IN, RND TBNG, NS</t>
  </si>
  <si>
    <t>CLAMPING DEVICE, ROUND TUBING, BALL AND SOCKET</t>
  </si>
  <si>
    <t>https://www.bd.com/en-us/products-and-solutions/products/product-page.NL1242, https://accessgudid.nlm.nih.gov/devices/10885403063077</t>
  </si>
  <si>
    <t>NL1239</t>
  </si>
  <si>
    <t>BD_NL1239</t>
  </si>
  <si>
    <t>RHOTON-MERZ CLAMPING UNIT W/T-SCREW TBG</t>
  </si>
  <si>
    <t>PRODIGO1058059</t>
  </si>
  <si>
    <t>RETRACTOR SET, RHOTON-MERZ BRAIN, 0.5 IN, CLAMPING UNIT WITH T-SCREW FITTED, ROUND TUBING, NON STERILE, LATEX</t>
  </si>
  <si>
    <t>RETRACTOR SET RHOTON-MERZ BRAIN 0.5 IN CLAMPING UNIT WITH T-SCREW FITTED ROUND TUBING NON STERILE LATEX</t>
  </si>
  <si>
    <t>RETRACTOR SET, RHOTON-MERZ BRAIN, 0.5 IN, CLMP UNIT W/ T-SCREW FIT, RND TBNG, NS, LTX</t>
  </si>
  <si>
    <t>RETRACTOR SET, RHOTON-MERZ BRAIN, 0.5 IN, CLMP UNIT RND TBNG, NS</t>
  </si>
  <si>
    <t>CLAMPING UNIT WITH T-SCREW FITTED, ROUND TUBING</t>
  </si>
  <si>
    <t>https://www.bd.com/en-us/products-and-solutions/products/product-page.NL1239#overview, https://accessgudid.nlm.nih.gov/devices/10885403063046</t>
  </si>
  <si>
    <t>NL1237</t>
  </si>
  <si>
    <t>BD_NL1237</t>
  </si>
  <si>
    <t>RHOTON-MERZ FLEXIBLE ARM 30CM LONG TAPER</t>
  </si>
  <si>
    <t>PRODIGO1058057</t>
  </si>
  <si>
    <t>RETRACTOR SET, RHOTON-MERZ BRAIN, 30 CM, 0.5 IN, FLEXIBLE ARM FOR SELF-RETAINING RETRACTION TAPERED, ROUND TUBING, NON STERILE, LATEX</t>
  </si>
  <si>
    <t>RETRACTOR SET RHOTON-MERZ BRAIN 30 CM 0.5 IN FLEXIBLE ARM FOR SELF-RETAINING RETRACTION TAPERED ROUND TUBING NON STERILE LATEX</t>
  </si>
  <si>
    <t>RETRACTOR SET, RHOTON-MERZ BRAIN, 30 CM, 0.5 IN, FLX ARM FOR SELF RET RETRCT TAPR, RND TBNG, NS, LTX</t>
  </si>
  <si>
    <t>RETRACTOR SET, RHOTON-MERZ BRAIN, 30 CM, 0.5 IN, FLX ARM</t>
  </si>
  <si>
    <t>FLEXIBLE ARM FOR SELF-RETAINING RETRACTION TAPERED, ROUND TUBING</t>
  </si>
  <si>
    <t>https://www.bd.com/en-us/products-and-solutions/products/product-page.NL1237#overview, https://accessgudid.nlm.nih.gov/devices/10885403063022</t>
  </si>
  <si>
    <t>NL1238</t>
  </si>
  <si>
    <t>BD_NL1238</t>
  </si>
  <si>
    <t>RHOTON-MERZ FLEXIBLE ARM 48CM LONG TAPER</t>
  </si>
  <si>
    <t>PRODIGO1058058</t>
  </si>
  <si>
    <t>RETRACTOR SET, RHOTON-MERZ BRAIN, 48 CM, 0.5 IN, FLEXIBLE ARM FOR SELF-RETAINING RETRACTION, TAPERED, WITH CLAMPING DEVICE, ROUND TUBING, NON STERILE, LATEX</t>
  </si>
  <si>
    <t>RETRACTOR SET RHOTON-MERZ BRAIN 48 CM 0.5 IN FLEXIBLE ARM FOR SELF-RETAINING RETRACTION TAPERED WITH CLAMPING DEVICE ROUND TUBING NON STERILE LATEX</t>
  </si>
  <si>
    <t>RETRACTOR SET, RHOTON-MERZ BRAIN, 48 CM, 0.5 IN, FLX ARM FOR SELF RET RETRCT, TAPR, W/ CLMP DEV, RND TBNG, NS, LTX</t>
  </si>
  <si>
    <t>RETRACTOR SET, RHOTON-MERZ BRAIN, 48 CM, 0.5 IN, FLX ARM</t>
  </si>
  <si>
    <t>48 CM</t>
  </si>
  <si>
    <t>FLEXIBLE ARM FOR SELF-RETAINING RETRACTION, TAPERED, WITH CLAMPING DEVICE, ROUND TUBING</t>
  </si>
  <si>
    <t>https://www.bd.com/en-us/products-and-solutions/products/product-page.NL1238#overview, https://accessgudid.nlm.nih.gov/devices/10885403063039</t>
  </si>
  <si>
    <t>NL1236</t>
  </si>
  <si>
    <t>BD_NL1236</t>
  </si>
  <si>
    <t>RHOTON-MERZ HOLD BAR CVD 1/2IN(13MM) DIA</t>
  </si>
  <si>
    <t>PRODIGO1058056</t>
  </si>
  <si>
    <t>RETRACTOR SET, RHOTON-MERZ BRAIN, 21 IN, 0.5 IN, 2MM, HOLDING BAR, RIGID, CURVED, ROUND TUBING, LONG SOLID PLUG ON EACH END, NON STERILE, LATEX</t>
  </si>
  <si>
    <t>RETRACTOR SET RHOTON-MERZ BRAIN 21 IN 0.5 IN 2MM HOLDING BAR RIGID CURVED ROUND TUBING LONG SOLID PLUG ON EACH END NON STERILE LATEX</t>
  </si>
  <si>
    <t>RETRACTOR SET, RHOTON-MERZ BRAIN, 21 IN, 0.5 IN, 2MM, HOLDING BAR, RIGID, CRV, RND TBNG, LNG SLD PLUG ON EA END, NS, LTX</t>
  </si>
  <si>
    <t>RETRACTOR SET, RHOTON-MERZ BRAIN, 21 IN, 0.5 IN, 2MM, NS, LTX</t>
  </si>
  <si>
    <t>21 IN</t>
  </si>
  <si>
    <t>0.5 IN, 2MM</t>
  </si>
  <si>
    <t>HOLDING BAR, RIGID, CURVED, ROUND TUBING, LONG SOLID PLUG ON EACH END</t>
  </si>
  <si>
    <t>https://www.bd.com/en-us/products-and-solutions/products/product-page.NL1236#overview, https://accessgudid.nlm.nih.gov/devices/10885403063015</t>
  </si>
  <si>
    <t>CH861008</t>
  </si>
  <si>
    <t>CH8610-08</t>
  </si>
  <si>
    <t>BD_CH861008</t>
  </si>
  <si>
    <t>RIB RETR PED ALUM ARM LGTH 2-1/2(6.4CM)</t>
  </si>
  <si>
    <t>PRODIGO1057260</t>
  </si>
  <si>
    <t>Small Rib Retractors Blades 20mm x 19mm wide. Arm length 2-1/2in Spread 2-7/8in</t>
  </si>
  <si>
    <t>RETRACTOR, SURGICAL, RIB, SMALL, PEDIATRIC, 20X19 MM BLADE, 2.5 IN ARM, 2-7/8 IN SPREADER, ALUMINUM ARM, BLADE, NON STERILE, LATEX</t>
  </si>
  <si>
    <t>RETRACTOR, SURG, RIB, SM, PEDIATRIC, 20X19 MM BLADE, 2.5 IN ARM, 2-7/8 IN SPRD, ALUM ARM, BLADE, NS, LTX</t>
  </si>
  <si>
    <t>RETRACTOR, SURG, RIB, SM, PEDIATRIC, 20X19 MM, 2.5 IN, 2-7/8 IN, NS</t>
  </si>
  <si>
    <t>20X19 MM BLADE, 2.5 IN ARM, 2-7/8 IN SPREADER</t>
  </si>
  <si>
    <t>ALUMINUM ARM, BLADE</t>
  </si>
  <si>
    <t>https://www.hces.com.sg/wp-content/uploads/2021/04/Cardiovascular-Pages-from-vmueller-snowdenpencer-armamentarium-catalogue-4.pdf, https://accessgudid.nlm.nih.gov/devices/10885403035395</t>
  </si>
  <si>
    <t>CH861007</t>
  </si>
  <si>
    <t>CH8610-07</t>
  </si>
  <si>
    <t>BD_CH861007</t>
  </si>
  <si>
    <t>RIB RETR PED ALUM ARM LGTH 2-1/4(5.7CM)</t>
  </si>
  <si>
    <t>PRODIGO1057259</t>
  </si>
  <si>
    <t>Small Rib Retractors Blades 13mm x 14mm wide. Arm length 2-1/4in Spread 2-3/8in</t>
  </si>
  <si>
    <t>RETRACTOR, SURGICAL, RIB, SMALL, PEDIATRIC, 13X14 MM BLADE, 2.25 IN ARM, 2-3/8 IN SPREADER, ALUMINUM ARM, BLADE, NON STERILE, LATEX</t>
  </si>
  <si>
    <t>RETRACTOR, SURG, RIB, SM, PEDIATRIC, 13X14 MM BLADE, 2.25 IN ARM, 2-3/8 IN SPRD, ALUM ARM, BLADE, NS, LTX</t>
  </si>
  <si>
    <t>RETRACTOR, SURG, RIB, SM, PEDIATRIC, 13X14 MM, 2.25 IN, 2-3/8 IN, NS</t>
  </si>
  <si>
    <t>13X14 MM BLADE, 2.25 IN ARM, 2-3/8 IN SPREADER</t>
  </si>
  <si>
    <t>https://www.hces.com.sg/wp-content/uploads/2021/04/Cardiovascular-Pages-from-vmueller-snowdenpencer-armamentarium-catalogue-4.pdf, https://accessgudid.nlm.nih.gov/devices/10885403035371</t>
  </si>
  <si>
    <t>CH861010</t>
  </si>
  <si>
    <t>CH8610-10</t>
  </si>
  <si>
    <t>BD_CH861010</t>
  </si>
  <si>
    <t>RIB RETR PED ALUM ARM LGTH 3-1/8(7.9CM)</t>
  </si>
  <si>
    <t>PRODIGO1057261</t>
  </si>
  <si>
    <t>Small Rib Retractors Blades 25mm x 27mm wide. Arm length 3-1/8in Spread 3-3/4in</t>
  </si>
  <si>
    <t>RETRACTOR, SURGICAL, RIB, SMALL, PEDIATRIC, 25X27 MM BLADE, 3-1/8 IN ARM, 3.75 IN SPREADER, ALUMINUM ARM, BLADE, NON STERILE, LATEX</t>
  </si>
  <si>
    <t>RETRACTOR, SURG, RIB, SM, PEDIATRIC, 25X27 MM BLADE, 3-1/8 IN ARM, 3.75 IN SPRD, ALUM ARM, BLADE, NS, LTX</t>
  </si>
  <si>
    <t>RETRACTOR, SURG, RIB, SM, PEDIATRIC, 25X27 MM, 3-1/8 IN, 3.75 IN, NS</t>
  </si>
  <si>
    <t>25X27 MM BLADE, 3-1/8 IN ARM, 3.75 IN SPREADER</t>
  </si>
  <si>
    <t>https://www.hces.com.sg/wp-content/uploads/2021/04/Cardiovascular-Pages-from-vmueller-snowdenpencer-armamentarium-catalogue-4.pdf, https://accessgudid.nlm.nih.gov/devices/10885403035401</t>
  </si>
  <si>
    <t>CH861016</t>
  </si>
  <si>
    <t>CH8610-16</t>
  </si>
  <si>
    <t>BD_CH861016</t>
  </si>
  <si>
    <t>RIB RETR PED ALUM ARM LGTH 4-3/4(12.1CM)</t>
  </si>
  <si>
    <t>PRODIGO1057262</t>
  </si>
  <si>
    <t>Small Rib Retractors Blades 38mm x 40mm wide. Arm length 4-3/4in Spread 5-1/4in</t>
  </si>
  <si>
    <t>RETRACTOR, SURGICAL, RIB, SMALL, PEDIATRIC, 38X40 MM BLADE, 4.75 IN ARM, 5.25 IN SPREADER, ALUMINUM ARM, BLADE, NON STERILE, LATEX</t>
  </si>
  <si>
    <t>RETRACTOR, SURG, RIB, SM, PEDIATRIC, 38X40 MM BLADE, 4.75 IN ARM, 5.25 IN SPRD, ALUM ARM, BLADE, NS, LTX</t>
  </si>
  <si>
    <t>RETRACTOR, SURG, RIB, SM, PEDIATRIC, 38X40 MM, 4.75 IN, 5.25 IN, NS</t>
  </si>
  <si>
    <t>38X40 MM BLADE, 4.75 IN ARM, 5.25 IN SPREADER</t>
  </si>
  <si>
    <t>https://www.hces.com.sg/wp-content/uploads/2021/04/Cardiovascular-Pages-from-vmueller-snowdenpencer-armamentarium-catalogue-4.pdf, https://accessgudid.nlm.nih.gov/devices/10885403035449</t>
  </si>
  <si>
    <t>AU1135503</t>
  </si>
  <si>
    <t>AU11355-03</t>
  </si>
  <si>
    <t>BD_AU1135503</t>
  </si>
  <si>
    <t>RIEDMAN MICRO RONG 90DEG 2X6MM BITE</t>
  </si>
  <si>
    <t>PRODIGO1056132</t>
  </si>
  <si>
    <t>FRIEDMAN MICRO RONGEUR ANGLED 90° 2 X 6MM BITE. OVERALL LENGTH 5-5/8IN(14.3CM).</t>
  </si>
  <si>
    <t>RONGEUR, SURGICAL, FRIEDMAN, MICRO, 90 DEGREE, 5-5/8 IN, 2X6 MM, SATIN FINISH, SPRING HANDLE, STAINLESS STEEL, NON STERILE, LATEX</t>
  </si>
  <si>
    <t>RONGEUR, SURG, FRIEDMAN, MIC, 90 DEG, 5-5/8 IN, 2X6 MM, SATIN FINISH, SPRING HNDL, SS, NS, LTX</t>
  </si>
  <si>
    <t>RONGEUR, SURG, FRIEDMAN, MIC, 90 DEG, 5-5/8 IN, 2X6 MM</t>
  </si>
  <si>
    <t>FRIEDMAN</t>
  </si>
  <si>
    <t>2X6 MM</t>
  </si>
  <si>
    <t>SATIN FINISH, SPRING HANDLE</t>
  </si>
  <si>
    <t>https://www.bd.com/en-us/products-and-solutions/products/product-page.AU11355-03#overview, https://accessgudid.nlm.nih.gov/devices/10885403009501</t>
  </si>
  <si>
    <t>NL1279002</t>
  </si>
  <si>
    <t>NL1279-002</t>
  </si>
  <si>
    <t>BD_NL1279002</t>
  </si>
  <si>
    <t>RIGID HOLDING ROD ARM</t>
  </si>
  <si>
    <t>PRODIGO1058068</t>
  </si>
  <si>
    <t>RIGID HOLDING ROD ATTACHES TO SLIDING RAIL SIZES UP TO 28MM OF OPERATING TABLES</t>
  </si>
  <si>
    <t>ROD, HOLDING, RIGID, 28 MM, ATTACHES TO SLIDING RAIL OF OPERATING TABLES, NON STERILE, LATEX</t>
  </si>
  <si>
    <t>ROD HOLDING RIGID 28 MM ATTACHES TO SLIDING RAIL OF OPERATING TABLES NON STERILE LATEX</t>
  </si>
  <si>
    <t>ROD, HOLDING, RIGID, 28 MM, ATTACHES TO SLIDING RAIL OF OPERATING TABLES, NS, LTX</t>
  </si>
  <si>
    <t>ROD, HOLDING, RIGID, 28 MM, ATTACHES TO SLIDING RAIL, NS, LTX</t>
  </si>
  <si>
    <t>HOLDING</t>
  </si>
  <si>
    <t>RIGID</t>
  </si>
  <si>
    <t>ATTACHES TO SLIDING RAIL OF OPERATING TABLES</t>
  </si>
  <si>
    <t>https://www.bd.com/en-us/products-and-solutions/products/product-page.NL1279-002, https://accessgudid.nlm.nih.gov/devices/10885403071171</t>
  </si>
  <si>
    <t>CH8154</t>
  </si>
  <si>
    <t>BD_CH8154</t>
  </si>
  <si>
    <t>ROCHESTER ATRIAL SEPTUM RETR BLADE 10MM</t>
  </si>
  <si>
    <t>PRODIGO1057219</t>
  </si>
  <si>
    <t>ROCHESTER Atrial Septum Retractors Blade 10mm 5-7/8in</t>
  </si>
  <si>
    <t>RETRACTOR, SURGICAL, ROCHESTER, 5-7/8 IN, 10 MM, ATRIAL SEPTUM, WITH BLADE, NON STERILE, LATEX</t>
  </si>
  <si>
    <t>RETRACTOR, SURG, ROCHESTER, 5-7/8 IN, 10 MM, ATR SEPT, W/ BLADE, NS, LTX</t>
  </si>
  <si>
    <t>RETRACTOR, SURG, ROCHESTER, 5-7/8 IN, 10 MM, ATR SEPT, W/ BLADE, NS</t>
  </si>
  <si>
    <t>ROCHESTER</t>
  </si>
  <si>
    <t>ATRIAL SEPTUM</t>
  </si>
  <si>
    <t>https://www.hces.com.sg/wp-content/uploads/2021/04/Cardiovascular-Pages-from-vmueller-snowdenpencer-armamentarium-catalogue-4.pdf, https://accessgudid.nlm.nih.gov/devices/10885403034589</t>
  </si>
  <si>
    <t>CH8155</t>
  </si>
  <si>
    <t>BD_CH8155</t>
  </si>
  <si>
    <t>ROCHESTER ATRIAL SEPTUM RETR BLADE 12MM</t>
  </si>
  <si>
    <t>PRODIGO1057220</t>
  </si>
  <si>
    <t>ROCHESTER Atrial Septum Retractors Blade 12mm 5-3/4in</t>
  </si>
  <si>
    <t>RETRACTOR, SURGICAL, ROCHESTER, 5.75 IN, 12 MM, ATRIAL SEPTUM, WITH BLADE, NON STERILE, LATEX</t>
  </si>
  <si>
    <t>RETRACTOR, SURG, ROCHESTER, 5.75 IN, 12 MM, ATR SEPT, W/ BLADE, NS, LTX</t>
  </si>
  <si>
    <t>RETRACTOR, SURG, ROCHESTER, 5.75 IN, 12 MM, ATR SEPT, W/ BLADE, NS</t>
  </si>
  <si>
    <t>https://www.hces.com.sg/wp-content/uploads/2021/04/Cardiovascular-Pages-from-vmueller-snowdenpencer-armamentarium-catalogue-4.pdf, https://accessgudid.nlm.nih.gov/devices/10885403034602</t>
  </si>
  <si>
    <t>CH8156</t>
  </si>
  <si>
    <t>BD_CH8156</t>
  </si>
  <si>
    <t>ROCHESTER ATRIAL SEPTUM RETR BLADE 15MM</t>
  </si>
  <si>
    <t>PRODIGO1057222</t>
  </si>
  <si>
    <t>ROCHESTER Atrial Septum Retractors Blade 15mm 6in</t>
  </si>
  <si>
    <t>RETRACTOR, SURGICAL, ROCHESTER, 6 IN, 15 MM, ATRIAL SEPTUM, WITH BLADE, NON STERILE, LATEX</t>
  </si>
  <si>
    <t>RETRACTOR, SURG, ROCHESTER, 6 IN, 15 MM, ATR SEPT, W/ BLADE, NS, LTX</t>
  </si>
  <si>
    <t>https://www.hces.com.sg/wp-content/uploads/2021/04/Cardiovascular-Pages-from-vmueller-snowdenpencer-armamentarium-catalogue-4.pdf, https://accessgudid.nlm.nih.gov/devices/10885403034633</t>
  </si>
  <si>
    <t>CH8152</t>
  </si>
  <si>
    <t>BD_CH8152</t>
  </si>
  <si>
    <t>SURGICAL RETRACTORS</t>
  </si>
  <si>
    <t>ROCHESTER ATRIAL SEPTUM RETR BLADE 5MM</t>
  </si>
  <si>
    <t>PRODIGO1057217</t>
  </si>
  <si>
    <t>ROCHESTER Atrial Septum Retractors Blade 5mm 5-1/2in</t>
  </si>
  <si>
    <t>RETRACTOR, SURGICAL, ROCHESTER, 5.5 IN, 5 MM, ATRIAL SEPTUM, WITH BLADE, NON STERILE, LATEX</t>
  </si>
  <si>
    <t>RETRACTOR, SURG, ROCHESTER, 5.5 IN, 5 MM, ATR SEPT, W/ BLADE, NS, LTX</t>
  </si>
  <si>
    <t>RETRACTOR, SURG, ROCHESTER, 5.5 IN, 5 MM, ATR SEPT, W/ BLADE, LTX</t>
  </si>
  <si>
    <t>https://www.hces.com.sg/wp-content/uploads/2021/04/Cardiovascular-Pages-from-vmueller-snowdenpencer-armamentarium-catalogue-4.pdf, https://accessgudid.nlm.nih.gov/devices/10885403034565</t>
  </si>
  <si>
    <t>CH8153</t>
  </si>
  <si>
    <t>BD_CH8153</t>
  </si>
  <si>
    <t>ROCHESTER ATRIAL SEPTUM RETR BLADE 7.5MM</t>
  </si>
  <si>
    <t>PRODIGO1057218</t>
  </si>
  <si>
    <t>ROCHESTER Atrial Septum Retractors Blade 7.5mm 5-1/2in</t>
  </si>
  <si>
    <t>RETRACTOR, SURGICAL, ROCHESTER, 5.5 IN, 7.5 MM, ATRIAL SEPTUM, WITH BLADE, NON STERILE, LATEX</t>
  </si>
  <si>
    <t>RETRACTOR, SURG, ROCHESTER, 5.5 IN, 7.5 MM, ATR SEPT, W/ BLADE, NS, LTX</t>
  </si>
  <si>
    <t>RETRACTOR, SURG, ROCHESTER, 5.5 IN, 7.5 MM, ATR SEPT, W/ BLADE, NS</t>
  </si>
  <si>
    <t>7.5 MM</t>
  </si>
  <si>
    <t>https://www.hces.com.sg/wp-content/uploads/2021/04/Cardiovascular-Pages-from-vmueller-snowdenpencer-armamentarium-catalogue-4.pdf, https://accessgudid.nlm.nih.gov/devices/10885403034572</t>
  </si>
  <si>
    <t>CH8158</t>
  </si>
  <si>
    <t>BD_CH8158</t>
  </si>
  <si>
    <t>ROCHESTER RAKE RETR 3 SHARP PRONGS 8MM</t>
  </si>
  <si>
    <t>PRODIGO1057223</t>
  </si>
  <si>
    <t>ROCHESTER Rake Retractor 6-3/4in</t>
  </si>
  <si>
    <t>RETRACTOR, SURGICAL, ROCHESTER, 6.75 IN, 8 MM, RAKE, 3 SHARP PRONG, NON STERILE, LATEX</t>
  </si>
  <si>
    <t>RETRACTOR, SURG, ROCHESTER, 6.75 IN, 8 MM, RAKE, 3 SHRP PRNG, NS, LTX</t>
  </si>
  <si>
    <t>RETRACTOR, SURG, ROCHESTER, 6.75 IN, 8 MM, RAKE, 3 SHRP PRNG, LTX</t>
  </si>
  <si>
    <t>RAKE, 3 SHARP PRONG</t>
  </si>
  <si>
    <t>https://www.hces.com.sg/wp-content/uploads/2021/04/Cardiovascular-Pages-from-vmueller-snowdenpencer-armamentarium-catalogue-4.pdf, https://accessgudid.nlm.nih.gov/devices/10885403034657</t>
  </si>
  <si>
    <t>GL3231</t>
  </si>
  <si>
    <t>BD_GL3231</t>
  </si>
  <si>
    <t>ROCHESTER-CARMALT HYST FORCEPS CVD 10IN</t>
  </si>
  <si>
    <t>PRODIGO1057442</t>
  </si>
  <si>
    <t>Rochester-Carmalt uterine forceps Longitudinal serrations. Curved. Overall length 10in (25.4cm).</t>
  </si>
  <si>
    <t>FORCEP, SURGICAL, ROCHESTER-CARMALT, 10 IN, UTERINE, HYSTERECTOMY, CURVED, LONGITUDINAL SERRATION, NON STERILE, LATEX</t>
  </si>
  <si>
    <t>FORCEP, SURG, ROCHESTER-CARMALT, 10 IN, UTER, HYS, CRV, LONGITUDINAL SERRATION, NS, LTX</t>
  </si>
  <si>
    <t>FORCEP, SURG, ROCHESTER-CARMALT, 10 IN, UTER, HYS, CRV, NS, LTX</t>
  </si>
  <si>
    <t>ROCHESTER-CARMALT</t>
  </si>
  <si>
    <t>HYSTERECTOMY, CURVED, LONGITUDINAL SERRATION</t>
  </si>
  <si>
    <t>https://www.bd.com/en-us/products-and-solutions/products/product-page.GL3231#overview, https://accessgudid.nlm.nih.gov/devices/10885403045431</t>
  </si>
  <si>
    <t>GL3230</t>
  </si>
  <si>
    <t>BD_GL3230</t>
  </si>
  <si>
    <t>ROCHESTER-CARMALT HYST FORCEPS CVD 9IN</t>
  </si>
  <si>
    <t>PRODIGO1057441</t>
  </si>
  <si>
    <t>Rochester-Carmalt uterine forceps Longitudinal serrations. Curved. Overall length 9in (22.9cm).</t>
  </si>
  <si>
    <t>FORCEP, SURGICAL, ROCHESTER-CARMALT, 9 IN, UTERINE, HYSTERECTOMY, CURVED, LONGITUDINAL SERRATION, NON STERILE, LATEX</t>
  </si>
  <si>
    <t>FORCEP, SURG, ROCHESTER-CARMALT, 9 IN, UTER, HYS, CRV, LONGITUDINAL SERRATION, NS, LTX</t>
  </si>
  <si>
    <t>FORCEP, SURG, ROCHESTER-CARMALT, 9 IN, UTER, HYS, CRV, NS, LTX</t>
  </si>
  <si>
    <t>https://www.bd.com/en-us/products-and-solutions/products/product-page.GL3230#overview, https://accessgudid.nlm.nih.gov/devices/10885403045424</t>
  </si>
  <si>
    <t>GL3221</t>
  </si>
  <si>
    <t>BD_GL3221</t>
  </si>
  <si>
    <t>ROCHESTER-CARMALT HYSTERECTOMY FORCP STR</t>
  </si>
  <si>
    <t>PRODIGO1057440</t>
  </si>
  <si>
    <t>Rochester-Carmalt uterine forceps Longitudinal serrations. Straight. Overall length 10-1/8in (25.8cm).</t>
  </si>
  <si>
    <t>FORCEP, SURGICAL, ROCHESTER CARMALT, 10-1/8 IN, UTERINE, HYSTERECTOMY, STRAIGHT, LONGITUDINAL SERRATION, NON STERILE, LATEX</t>
  </si>
  <si>
    <t>FORCEP, SURG, ROCHESTER CARMALT, 10-1/8 IN, UTER, HYS, STR, LONGITUDINAL SERRATION, NS, LTX</t>
  </si>
  <si>
    <t>FORCEP, SURG, ROCHESTER CARMALT, 10-1/8 IN, UTER, HYS, STR, NS, LTX</t>
  </si>
  <si>
    <t>ROCHESTER CARMALT</t>
  </si>
  <si>
    <t>10-1/8 IN</t>
  </si>
  <si>
    <t>HYSTERECTOMY, STRAIGHT, LONGITUDINAL SERRATION</t>
  </si>
  <si>
    <t>https://www.bd.com/en-us/products-and-solutions/products/product-page.GL3221#overview, https://accessgudid.nlm.nih.gov/devices/10885403045417</t>
  </si>
  <si>
    <t>GA3210</t>
  </si>
  <si>
    <t>BD_GA3210</t>
  </si>
  <si>
    <t>ROCHESTER-PEAN HYSTERECTOMY FORCEPS CVD</t>
  </si>
  <si>
    <t>PRODIGO1057340</t>
  </si>
  <si>
    <t>Rochester-Pean Hysterectomy Forceps Affinity Line. Curved. Overall length 8-7/8in (22.5cm).</t>
  </si>
  <si>
    <t>FORCEP, SURGICAL, ROCHESTER-PEAN, 8-7/8 IN, HYSTERECTOMY, AFFINITY LINE, CURVED, NON STERILE, LATEX</t>
  </si>
  <si>
    <t>FORCEP, SURG, ROCHESTER-PEAN, 8-7/8 IN, HYS, AFFIN LN, CRV, NS, LTX</t>
  </si>
  <si>
    <t>ROCHESTER-PEAN</t>
  </si>
  <si>
    <t>8-7/8 IN</t>
  </si>
  <si>
    <t>https://www.bd.com/en-us/products-and-solutions/products/product-page.GA3210#overview, https://accessgudid.nlm.nih.gov/devices/10885403042577</t>
  </si>
  <si>
    <t>GA3211</t>
  </si>
  <si>
    <t>BD_GA3211</t>
  </si>
  <si>
    <t>PRODIGO1057341</t>
  </si>
  <si>
    <t>Rochester-Pean Hysterectomy Forceps Affinity Line. Curved. Overall length 10in (25.4cm).</t>
  </si>
  <si>
    <t>FORCEP, SURGICAL, ROCHESTER-PEAN, 10 IN, HYSTERECTOMY, AFFINITY LINE, CURVED, NON STERILE, LATEX</t>
  </si>
  <si>
    <t>FORCEP, SURG, ROCHESTER-PEAN, 10 IN, HYS, AFFIN LN, CRV, NS, LTX</t>
  </si>
  <si>
    <t>https://www.bd.com/en-us/products-and-solutions/products/product-page.GA3211#overview, https://accessgudid.nlm.nih.gov/devices/10885403042584</t>
  </si>
  <si>
    <t>GA3200</t>
  </si>
  <si>
    <t>BD_GA3200</t>
  </si>
  <si>
    <t>ROCHESTER-PEAN HYSTERECTOMY FORCEPS STR</t>
  </si>
  <si>
    <t>PRODIGO1057338</t>
  </si>
  <si>
    <t>Rochester-Pean Hysterectomy Forceps Affinity Line. Straight. Overall length 9-1/4in (23.4cm).</t>
  </si>
  <si>
    <t>FORCEP, SURGICAL, ROCHESTER-PEAN, 9.25 IN, HYSTERECTOMY, AFFINITY LINE, STRAIGHT, NON STERILE, LATEX</t>
  </si>
  <si>
    <t>FORCEP, SURG, ROCHESTER-PEAN, 9.25 IN, HYS, AFFIN LN, STR, NS, LTX</t>
  </si>
  <si>
    <t>https://www.bd.com/en-us/products-and-solutions/products/product-page.ga3200#specifications, https://accessgudid.nlm.nih.gov/devices/10885403042553</t>
  </si>
  <si>
    <t>GA3201</t>
  </si>
  <si>
    <t>BD_GA3201</t>
  </si>
  <si>
    <t>PRODIGO1057339</t>
  </si>
  <si>
    <t>Rochester-Pean Hysterectomy Forceps Affinity Line. Straight. Overall length 10in (25.4cm).</t>
  </si>
  <si>
    <t>FORCEP, SURGICAL, ROCHESTER-PEAN, 10 IN, HYSTERECTOMY, AFFINITY LINE, STRAIGHT, NON STERILE, LATEX</t>
  </si>
  <si>
    <t>FORCEP, SURG, ROCHESTER-PEAN, 10 IN, HYS, AFFIN LN, STR, NS, LTX</t>
  </si>
  <si>
    <t>https://www.bd.com/en-us/products-and-solutions/products/product-page.GA3201#specifications, https://accessgudid.nlm.nih.gov/devices/10885403042560</t>
  </si>
  <si>
    <t>AU11395</t>
  </si>
  <si>
    <t>BD_AU11395</t>
  </si>
  <si>
    <t>ROSEN FENESTROMETER GRADUATED TO 4MM</t>
  </si>
  <si>
    <t>PRODIGO1056136</t>
  </si>
  <si>
    <t>42182407  Ear fenestrometers</t>
  </si>
  <si>
    <t>ROSEN FENESTROMETER GRADUATED IN MILLIMETERS TO 4MM MAXIMUM. MIRROR AND SATIN FINISH. OVERALL LENGTH 6-3/8IN (16.2CM).</t>
  </si>
  <si>
    <t>FENESTROMETER, SURGICAL, ROSEN, 6-3/8 IN, GRADUATED IN MILLIMETRE, TO 4 MM MAXIMUM, MIRROR AND SATIN FINISH, NON STERILE, LATEX</t>
  </si>
  <si>
    <t>FENESTROMETER, SURG, ROSEN, 6-3/8 IN, GRAD IN MILLIMETRE, TO 4 MM MAX, MIRROR &amp; SATIN FINISH, NS, LTX</t>
  </si>
  <si>
    <t>FENESTROMETER, SURG, ROSEN, 6-3/8 IN, GRAD IN MILLIMETRE</t>
  </si>
  <si>
    <t>FENESTROMETER</t>
  </si>
  <si>
    <t>ROSEN</t>
  </si>
  <si>
    <t>6-3/8 IN</t>
  </si>
  <si>
    <t>GRADUATED IN MILLIMETRE, TO 4 MM MAXIMUM, MIRROR AND SATIN FINISH</t>
  </si>
  <si>
    <t>https://www.bd.com/en-us/products-and-solutions/products/product-page.AU11395#overview, https://accessgudid.nlm.nih.gov/devices/10885403009587</t>
  </si>
  <si>
    <t>CH8105002</t>
  </si>
  <si>
    <t>CH8105-002</t>
  </si>
  <si>
    <t>BD_CH8105002</t>
  </si>
  <si>
    <t>ROSS AORTIC VALVE RETR BLADE 1.3X2.3CM</t>
  </si>
  <si>
    <t>PRODIGO1057196</t>
  </si>
  <si>
    <t>ROSS Aortic Valve Retractors 10IN No. 2 blade, 1.3cm x 2.3cm wide</t>
  </si>
  <si>
    <t>RETRACTOR, SURGICAL, ROSS, 2, 10 IN, 1.3X2.3 CM, AORTIC VALVE, WITH BLADE, NON STERILE, LATEX</t>
  </si>
  <si>
    <t>RETRACTOR, SURG, ROSS, 2, 10 IN, 1.3X2.3 CM, AORT VLV, W/ BLADE, NS, LTX</t>
  </si>
  <si>
    <t>RETRACTOR, SURG, ROSS, 2, 10 IN, 1.3X2.3 CM, AORT VLV, W/ BLADE, NS</t>
  </si>
  <si>
    <t>ROSS</t>
  </si>
  <si>
    <t>1.3X2.3 CM</t>
  </si>
  <si>
    <t>AORTIC VALVE</t>
  </si>
  <si>
    <t>https://www.hces.com.sg/wp-content/uploads/2021/04/Cardiovascular-Pages-from-vmueller-snowdenpencer-armamentarium-catalogue-4.pdf, https://accessgudid.nlm.nih.gov/devices/10885403034268</t>
  </si>
  <si>
    <t>CH8105004</t>
  </si>
  <si>
    <t>CH8105-004</t>
  </si>
  <si>
    <t>BD_CH8105004</t>
  </si>
  <si>
    <t>ROSS AORTIC VALVE RETR BLADE 1.3X2.9CM</t>
  </si>
  <si>
    <t>PRODIGO1057198</t>
  </si>
  <si>
    <t>ROSS Aortic Valve Retractors 10IN No. 4 blade, 1.3cm x 2.9cm wide</t>
  </si>
  <si>
    <t>RETRACTOR, SURGICAL, ROSS, 4, 10 IN, 1.3X2.9 CM, AORTIC VALVE, WITH BLADE, NON STERILE, LATEX</t>
  </si>
  <si>
    <t>RETRACTOR, SURG, ROSS, 4, 10 IN, 1.3X2.9 CM, AORT VLV, W/ BLADE, NS, LTX</t>
  </si>
  <si>
    <t>RETRACTOR, SURG, ROSS, 4, 10 IN, 1.3X2.9 CM, AORT VLV, W/ BLADE, NS</t>
  </si>
  <si>
    <t>1.3X2.9 CM</t>
  </si>
  <si>
    <t>https://www.hces.com.sg/wp-content/uploads/2021/04/Cardiovascular-Pages-from-vmueller-snowdenpencer-armamentarium-catalogue-4.pdf, https://accessgudid.nlm.nih.gov/devices/10885403034282</t>
  </si>
  <si>
    <t>CH8105001</t>
  </si>
  <si>
    <t>CH8105-001</t>
  </si>
  <si>
    <t>BD_CH8105001</t>
  </si>
  <si>
    <t>ROSS AORTIC VALVE RETR BLADE 1.5X1.6CM</t>
  </si>
  <si>
    <t>PRODIGO1057195</t>
  </si>
  <si>
    <t>ROSS Aortic Valve Retractors 10IN No. 1 blade, 1.5cm x 1.6cm wide</t>
  </si>
  <si>
    <t>RETRACTOR, SURGICAL, ROSS, 1, 10 IN, 1.5X1.6 CM, AORTIC VALVE, WITH BLADE, NON STERILE, LATEX</t>
  </si>
  <si>
    <t>RETRACTOR, SURG, ROSS, 1, 10 IN, 1.5X1.6 CM, AORT VLV, W/ BLADE, NS, LTX</t>
  </si>
  <si>
    <t>RETRACTOR, SURG, ROSS, 1, 10 IN, 1.5X1.6 CM, AORT VLV, W/ BLADE, NS</t>
  </si>
  <si>
    <t>1.5X1.6 CM</t>
  </si>
  <si>
    <t>https://www.hces.com.sg/wp-content/uploads/2021/04/Cardiovascular-Pages-from-vmueller-snowdenpencer-armamentarium-catalogue-4.pdf, https://accessgudid.nlm.nih.gov/devices/10885403034251</t>
  </si>
  <si>
    <t>CH8105003</t>
  </si>
  <si>
    <t>CH8105-003</t>
  </si>
  <si>
    <t>BD_CH8105003</t>
  </si>
  <si>
    <t>ROSS AORTIC VALVE RETR BLADE 1.8X2.5CM</t>
  </si>
  <si>
    <t>PRODIGO1057197</t>
  </si>
  <si>
    <t>ROSS Aortic Valve Retractors 10IN No. 3 blade, 1.8mm x 2.5mm wide</t>
  </si>
  <si>
    <t>RETRACTOR, SURGICAL, ROSS, 3, 10 IN, 1.8X2.5 CM, AORTIC VALVE, WITH BLADE, NON STERILE, LATEX</t>
  </si>
  <si>
    <t>RETRACTOR, SURG, ROSS, 3, 10 IN, 1.8X2.5 CM, AORT VLV, W/ BLADE, NS, LTX</t>
  </si>
  <si>
    <t>RETRACTOR, SURG, ROSS, 3, 10 IN, 1.8X2.5 CM, AORT VLV, W/ BLADE, NS</t>
  </si>
  <si>
    <t>1.8X2.5 CM</t>
  </si>
  <si>
    <t>https://www.hces.com.sg/wp-content/uploads/2021/04/Cardiovascular-Pages-from-vmueller-snowdenpencer-armamentarium-catalogue-4.pdf, https://accessgudid.nlm.nih.gov/devices/10885403034275</t>
  </si>
  <si>
    <t>CH8105005</t>
  </si>
  <si>
    <t>CH8105-005</t>
  </si>
  <si>
    <t>BD_CH8105005</t>
  </si>
  <si>
    <t>ROSS AORTIC VALVE RETR BLADE 2.9X2.9CM</t>
  </si>
  <si>
    <t>PRODIGO1057199</t>
  </si>
  <si>
    <t>ROSS Aortic Valve Retractors 10IN No. 5 blade, 2.9cm x 2.9cm wide</t>
  </si>
  <si>
    <t>RETRACTOR, SURGICAL, ROSS, 5, 10 IN, 2.9X2.9 CM, AORTIC VALVE, WITH BLADE, NON STERILE, LATEX</t>
  </si>
  <si>
    <t>RETRACTOR, SURG, ROSS, 5, 10 IN, 2.9X2.9 CM, AORT VLV, W/ BLADE, NS, LTX</t>
  </si>
  <si>
    <t>RETRACTOR, SURG, ROSS, 5, 10 IN, 2.9X2.9 CM, AORT VLV, W/ BLADE, NS</t>
  </si>
  <si>
    <t>2.9X2.9 CM</t>
  </si>
  <si>
    <t>https://www.hces.com.sg/wp-content/uploads/2021/04/Cardiovascular-Pages-from-vmueller-snowdenpencer-armamentarium-catalogue-4.pdf, https://accessgudid.nlm.nih.gov/devices/10885403034299</t>
  </si>
  <si>
    <t>CH8105006</t>
  </si>
  <si>
    <t>CH8105-006</t>
  </si>
  <si>
    <t>BD_CH8105006</t>
  </si>
  <si>
    <t>ROSS AORTIC VALVE RETR BLADE 3.5X2.1CM</t>
  </si>
  <si>
    <t>PRODIGO1057200</t>
  </si>
  <si>
    <t>ROSS Aortic Valve Retractors 10IN No. 6 blade, 3.5cm x 2.1cm wide</t>
  </si>
  <si>
    <t>RETRACTOR, SURGICAL, ROSS, 6, 10 IN, 3.5X2.1 CM, AORTIC VALVE, WITH BLADE, NON STERILE, LATEX</t>
  </si>
  <si>
    <t>RETRACTOR, SURG, ROSS, 6, 10 IN, 3.5X2.1 CM, AORT VLV, W/ BLADE, NS, LTX</t>
  </si>
  <si>
    <t>RETRACTOR, SURG, ROSS, 6, 10 IN, 3.5X2.1 CM, AORT VLV, W/ BLADE, NS</t>
  </si>
  <si>
    <t>3.5X2.1 CM</t>
  </si>
  <si>
    <t>https://www.hces.com.sg/wp-content/uploads/2021/04/Cardiovascular-Pages-from-vmueller-snowdenpencer-armamentarium-catalogue-4.pdf, https://accessgudid.nlm.nih.gov/devices/10885403034305</t>
  </si>
  <si>
    <t>LA1756RF</t>
  </si>
  <si>
    <t>BD_LA1756RF</t>
  </si>
  <si>
    <t>ROTATABLE GAZAYERLI KNOT PUSHER 5MM 34CM</t>
  </si>
  <si>
    <t>PRODIGO1057660</t>
  </si>
  <si>
    <t>42294921  Endoscopic knot pushers or delivery systems</t>
  </si>
  <si>
    <t>Closed end knot pusher</t>
  </si>
  <si>
    <t>PUSHER, KNOT, GAZAYERLI, 5 MMX34 CM, CLOSED END, ROTATABLE, NON STERILE, LATEX</t>
  </si>
  <si>
    <t>PUSHER, KNOT, GAZAYERLI, 5 MMX34 CM, CLOSED END, ROTATABLE, NS, LTX</t>
  </si>
  <si>
    <t>PUSHER</t>
  </si>
  <si>
    <t>KNOT</t>
  </si>
  <si>
    <t>GAZAYERLI</t>
  </si>
  <si>
    <t>5 MMX34 CM</t>
  </si>
  <si>
    <t>CLOSED END, ROTATABLE</t>
  </si>
  <si>
    <t>https://www.bd.com/en-us/products-and-solutions/products/product-page.la1756rf, https://accessgudid.nlm.nih.gov/devices/10885403052194</t>
  </si>
  <si>
    <t>GU4030001</t>
  </si>
  <si>
    <t>GU4030-001</t>
  </si>
  <si>
    <t>BD_GU4030001</t>
  </si>
  <si>
    <t>ROTH GRIP TIP SUTURE GUIDE 24FR NONSTRL</t>
  </si>
  <si>
    <t>PRODIGO1057566</t>
  </si>
  <si>
    <t>42293401  Surgical guides</t>
  </si>
  <si>
    <t>Roth Grip Tip Suture Guide Non-sterile. 24FR.</t>
  </si>
  <si>
    <t>GUIDE, SURGICAL, ROTH, 24 FR, GRIP TIP, SUTURE, NON STERILE</t>
  </si>
  <si>
    <t>GUIDE, SURG, ROTH, 24 FR, GRP TIP, SUTURE, NS</t>
  </si>
  <si>
    <t>GUIDE</t>
  </si>
  <si>
    <t>ROTH</t>
  </si>
  <si>
    <t>24 FR</t>
  </si>
  <si>
    <t>GRIP TIP, SUTURE</t>
  </si>
  <si>
    <t>https://www.bd.com/en-us/products-and-solutions/products/product-page.GU4030-001#overview</t>
  </si>
  <si>
    <t>AU5745</t>
  </si>
  <si>
    <t>BD_AU5745</t>
  </si>
  <si>
    <t>ROYCE TYMPANUM PERF ANG VERT SPEAR BLADE</t>
  </si>
  <si>
    <t>PRODIGO1056356</t>
  </si>
  <si>
    <t>42291703  Surgical perforators</t>
  </si>
  <si>
    <t>ROYCE TYMPANUM PERFORATORS BLADE FITS IN HANDLE WHEN NOT IN USE. ANGLED. OVERALL LENGTH 6IN (15.2CM). VERTICAL SPEAR BLADE 6MM X 2MM WIDE.</t>
  </si>
  <si>
    <t>PERFORATOR, SURGICAL, ROYCE, 6 IN, 6X2 MM, TYMPANUM, ANGLED, VERTICAL SPEAR BLADE, NON STERILE, LATEX</t>
  </si>
  <si>
    <t>PERFORATOR, SURG, ROYCE, 6 IN, 6X2 MM, TYMPANUM, ANGLED, VERTICAL SPEAR BLADE, NS, LTX</t>
  </si>
  <si>
    <t>PERFORATOR, SURG, ROYCE, 6 IN, 6X2 MM, TYMPANUM, ANGLED</t>
  </si>
  <si>
    <t>PERFORATOR</t>
  </si>
  <si>
    <t>ROYCE</t>
  </si>
  <si>
    <t>6X2 MM</t>
  </si>
  <si>
    <t>TYMPANUM, ANGLED, VERTICAL SPEAR BLADE</t>
  </si>
  <si>
    <t>https://www.bd.com/en-us/products-and-solutions/products/product-page.au5745#overview, https://accessgudid.nlm.nih.gov/devices/10885403008689</t>
  </si>
  <si>
    <t>CH1717</t>
  </si>
  <si>
    <t>BD_CH1717</t>
  </si>
  <si>
    <t>RUMEL THORACIC ARTERY FORCEP FULL CVDJAW</t>
  </si>
  <si>
    <t>PRODIGO1056733</t>
  </si>
  <si>
    <t>Rumel thoracic artery forceps Overall length 9-1/4in 24cm Fully curved jaws</t>
  </si>
  <si>
    <t>FORCEP, SURGICAL, RUMEL, 9.25 IN, THORACIC ARTERY, FULLY CURVED JAW, NON STERILE, LATEX</t>
  </si>
  <si>
    <t>FORCEP, SURG, RUMEL, 9.25 IN, THOR ART, FULL CRV JAW, NS, LTX</t>
  </si>
  <si>
    <t>RUMEL</t>
  </si>
  <si>
    <t>THORACIC ARTERY</t>
  </si>
  <si>
    <t>FULLY CURVED JAW</t>
  </si>
  <si>
    <t>https://www.bd.com/en-us/products-and-solutions/products/product-page.CH1717#overview, https://accessgudid.nlm.nih.gov/devices/10885403024221</t>
  </si>
  <si>
    <t>CH1715</t>
  </si>
  <si>
    <t>BD_CH1715</t>
  </si>
  <si>
    <t>RUMEL THORACIC ARTERY FORCEP SLT CVD JAW</t>
  </si>
  <si>
    <t>PRODIGO1056731</t>
  </si>
  <si>
    <t>Rumel thoracic artery forceps Overall length 9-1/4in 24cm Slightly curved jaws</t>
  </si>
  <si>
    <t>FORCEP, SURGICAL, RUMEL, 9.5 IN, THORACIC ARTERY, SLIGHTLY CURVED JAW, NON STERILE, LATEX</t>
  </si>
  <si>
    <t>FORCEP, SURG, RUMEL, 9.5 IN, THOR ART, SLIGHTLY CRV JAW, NS, LTX</t>
  </si>
  <si>
    <t>https://www.bd.com/en-us/products-and-solutions/products/product-page.CH1715#overview, https://accessgudid.nlm.nih.gov/devices/10885403024191</t>
  </si>
  <si>
    <t>CH471</t>
  </si>
  <si>
    <t>BD_CH471</t>
  </si>
  <si>
    <t>RUSKIN BONE SPLIT FORCEPS DBL-ACT ANGLE</t>
  </si>
  <si>
    <t>PRODIGO1056840</t>
  </si>
  <si>
    <t>Ruskin bone splitting forceps Double action Overall length 7-3/8in 18.7cm Angled blades</t>
  </si>
  <si>
    <t>FORCEP, SURGICAL, RUSKIN, 7-3/8 IN, BONE SPLITTING, ANGLED BLADE, DOUBLE ACTION, NON STERILE, LATEX</t>
  </si>
  <si>
    <t>FORCEP, SURG, RUSKIN, 7-3/8 IN, BNE SPL, ANGLED BLADE, DBL ACT, NS, LTX</t>
  </si>
  <si>
    <t>FORCEP, SURG, RUSKIN, 7-3/8 IN, BNE SPL, ANGLED BLADE, DBL ACT, NS</t>
  </si>
  <si>
    <t>RUSKIN</t>
  </si>
  <si>
    <t>BONE SPLITTING, ANGLED BLADE, DOUBLE ACTION</t>
  </si>
  <si>
    <t>https://www.bd.com/en-us/products-and-solutions/products/product-page.CH471#specifications, https://accessgudid.nlm.nih.gov/devices/10885403022807</t>
  </si>
  <si>
    <t>AA6780</t>
  </si>
  <si>
    <t>BD_AA6780</t>
  </si>
  <si>
    <t>RUSKIN RONGEUR FORCEP DBL-ACT SLT CVD JW</t>
  </si>
  <si>
    <t>PRODIGO1056109</t>
  </si>
  <si>
    <t>RUSKIN RONGEUR FORCEP AFFINITY LINE. DOUBLE-ACTION SLIGHTLY CURVED JAW. OVERALL LENGTH 7-1/4IN (18.5CM).</t>
  </si>
  <si>
    <t>FORCEP, SURGICAL, RUSKIN, 7.25 IN, RONGEUR, DOUBLE ACTION, SLIGHTLY CURVED JAW, NON STERILE, LATEX</t>
  </si>
  <si>
    <t>FORCEP, SURG, RUSKIN, 7.25 IN, RONGEUR, DBL ACT, SLIGHTLY CRV JAW, NS, LTX</t>
  </si>
  <si>
    <t>FORCEP, SURG, RUSKIN, 7.25 IN, RONGEUR, DBL ACT, SLIGHTLY CRV JAW</t>
  </si>
  <si>
    <t>RONGEUR, DOUBLE ACTION, SLIGHTLY CURVED JAW</t>
  </si>
  <si>
    <t>https://www.bd.com/en-us/products-and-solutions/products/product-page.AA6780#overview, https://accessgudid.nlm.nih.gov/devices/10885403007231</t>
  </si>
  <si>
    <t>GL3250</t>
  </si>
  <si>
    <t>BD_GL3250</t>
  </si>
  <si>
    <t>RUSSELL UTERINE FCPS 1X2 TEETH CVD 8IN</t>
  </si>
  <si>
    <t>PRODIGO1057445</t>
  </si>
  <si>
    <t>Russell uterine forceps Longitudinal serrations 1 x 2 teeth. Curved. Overall length 8in (20.3cm).</t>
  </si>
  <si>
    <t>FORCEP, SURGICAL, RUSSELL, 8 IN, UTERINE, 1X2 TEETH, CURVED, LONGITUDINAL SERRATION, NON STERILE, LATEX</t>
  </si>
  <si>
    <t>FORCEP, SURG, RUSSELL, 8 IN, UTER, 1X2 TEETH, CRV, LONGITUDINAL SERRATION, NS, LTX</t>
  </si>
  <si>
    <t>FORCEP, SURG, RUSSELL, 8 IN, UTER, 1X2 TEETH, CRV, NS, LTX</t>
  </si>
  <si>
    <t>RUSSELL</t>
  </si>
  <si>
    <t>1X2 TEETH, CURVED, LONGITUDINAL SERRATION</t>
  </si>
  <si>
    <t>https://www.bd.com/en-us/products-and-solutions/products/product-page.GL3250#overview, https://accessgudid.nlm.nih.gov/devices/10885403045462</t>
  </si>
  <si>
    <t>GL3240</t>
  </si>
  <si>
    <t>BD_GL3240</t>
  </si>
  <si>
    <t>RUSSELL UTERINE FCPS 1X2 TEETH STR 8IN</t>
  </si>
  <si>
    <t>PRODIGO1057443</t>
  </si>
  <si>
    <t>Russell uterine forceps Longitudinal serrations 1 x 2 teeth. Straight. Overall length 8in (20.3cm).</t>
  </si>
  <si>
    <t>FORCEP, SURGICAL, RUSSELL, 8 IN, UTERINE, 1X2 TEETH, STRAIGHT, LONGITUDINAL SERRATION, NON STERILE, LATEX</t>
  </si>
  <si>
    <t>FORCEP, SURG, RUSSELL, 8 IN, UTER, 1X2 TEETH, STR, LONGITUDINAL SERRATION, NS, LTX</t>
  </si>
  <si>
    <t>FORCEP, SURG, RUSSELL, 8 IN, UTER, 1X2 TEETH, STR, NS, LTX</t>
  </si>
  <si>
    <t>1X2 TEETH, STRAIGHT, LONGITUDINAL SERRATION</t>
  </si>
  <si>
    <t>https://www.bd.com/en-us/products-and-solutions/products/product-page.GL3240#overview, https://accessgudid.nlm.nih.gov/devices/10885403045448</t>
  </si>
  <si>
    <t>GL3241</t>
  </si>
  <si>
    <t>BD_GL3241</t>
  </si>
  <si>
    <t>RUSSELL UTERINE FCPS 1X2 TEETH STR 9-3/4</t>
  </si>
  <si>
    <t>PRODIGO1057444</t>
  </si>
  <si>
    <t>Russell uterine forceps Longitudinal serrations 1 x 2 teeth. Straight. Overall length 9-3/4in (24.7cm).</t>
  </si>
  <si>
    <t>FORCEP, SURGICAL, RUSSELL, 9.75 IN, UTERINE, 1X2 TEETH, STRAIGHT, LONGITUDINAL SERRATION, NON STERILE, LATEX</t>
  </si>
  <si>
    <t>FORCEP, SURG, RUSSELL, 9.75 IN, UTER, 1X2 TEETH, STR, LONGITUDINAL SERRATION, NS, LTX</t>
  </si>
  <si>
    <t>FORCEP, SURG, RUSSELL, 9.75 IN, UTER, 1X2 TEETH, STR, NS, LTX</t>
  </si>
  <si>
    <t>https://www.bd.com/en-us/products-and-solutions/products/product-page.GL3241#overview, https://accessgudid.nlm.nih.gov/devices/10885403045455</t>
  </si>
  <si>
    <t>NL2750</t>
  </si>
  <si>
    <t>BD_NL2750</t>
  </si>
  <si>
    <t>SACHS NERVE SEPARATOR SPATULA 7-3/4IN</t>
  </si>
  <si>
    <t>PRODIGO1058151</t>
  </si>
  <si>
    <t>Sachs nerve separator spatula One-piece construction. Overall length 7-3/4in (19.7cm)</t>
  </si>
  <si>
    <t>SPATULA, SURGICAL, SACHS, 7.75 IN, NERVE SEPARATOR, ONE PIECE CONSTRUCTION, NON STERILE, LATEX</t>
  </si>
  <si>
    <t>SPATULA, SURG, SACHS, 7.75 IN, NERVE SEP, 1 PC CONSTRUCTION, NS, LTX</t>
  </si>
  <si>
    <t>SPATULA, SURG, SACHS, 7.75 IN, NERVE SEP, 1 PC CONSTRUCTION</t>
  </si>
  <si>
    <t>SACHS</t>
  </si>
  <si>
    <t>NERVE SEPARATOR, ONE PIECE CONSTRUCTION</t>
  </si>
  <si>
    <t>https://www.bd.com/en-us/products-and-solutions/products/product-page.nl2750#overview, https://accessgudid.nlm.nih.gov/devices/10885403072833</t>
  </si>
  <si>
    <t>GU8156</t>
  </si>
  <si>
    <t>BD_GU8156</t>
  </si>
  <si>
    <t>SANDERS VASECTOMY FORCEPS 6-1/8IN</t>
  </si>
  <si>
    <t>PRODIGO1057617</t>
  </si>
  <si>
    <t>Sanders vasectomy forceps Overall length 6-1/8in (15.6cm).</t>
  </si>
  <si>
    <t>FORCEP, SURGICAL, SANDERS, 6-1/8 IN, VASECTOMY, NON STERILE, LATEX</t>
  </si>
  <si>
    <t>FORCEP, SURG, SANDERS, 6-1/8 IN, VASECTOMY, NS, LTX</t>
  </si>
  <si>
    <t>SANDERS</t>
  </si>
  <si>
    <t>https://www.bd.com/en-us/products-and-solutions/products/product-page.GU8156#overview, https://accessgudid.nlm.nih.gov/devices/10885403050190</t>
  </si>
  <si>
    <t>CH1680</t>
  </si>
  <si>
    <t>BD_CH1680</t>
  </si>
  <si>
    <t>SAROT ARTERY FORCEP CVD JAW 3IN(7.6CM)</t>
  </si>
  <si>
    <t>PRODIGO1056726</t>
  </si>
  <si>
    <t>Sarot intrathoracic artery forceps Serrated Straight jaws length 3in 7.6cm Overall length 9-1/2in</t>
  </si>
  <si>
    <t>FORCEP, SURGICAL, SAROT, 9.5 IN, 3 IN JAW, INTRATHORACIC ARTERY, STRAIGHT, SERRATED, NON STERILE, LATEX</t>
  </si>
  <si>
    <t>FORCEP, SURG, SAROT, 9.5 IN, 3 IN JAW, INTRATHORACIC ART, STR, SERRATED, NS, LTX</t>
  </si>
  <si>
    <t>FORCEP, SURG, SAROT, 9.5 IN, 3 IN JAW, ART, STR, SERRATED, NS, LTX</t>
  </si>
  <si>
    <t>SAROT</t>
  </si>
  <si>
    <t>3 IN JAW</t>
  </si>
  <si>
    <t>INTRATHORACIC ARTERY</t>
  </si>
  <si>
    <t>STRAIGHT, SERRATED</t>
  </si>
  <si>
    <t>https://www.bd.com/en-us/products-and-solutions/products/product-page.CH1680#specifications, https://accessgudid.nlm.nih.gov/devices/10885403024115</t>
  </si>
  <si>
    <t>CH1682</t>
  </si>
  <si>
    <t>BD_CH1682</t>
  </si>
  <si>
    <t>PRODIGO1056727</t>
  </si>
  <si>
    <t>Sarot intrathoracic artery forcep Serrated Curved jaws length 3in 7.6cm Overall length 9-1/2in</t>
  </si>
  <si>
    <t>FORCEP, SURGICAL, SAROT, 9.5 IN, 3 IN JAW, INTRATHORACIC ARTERY, CURVED, SERRATED, NON STERILE, LATEX</t>
  </si>
  <si>
    <t>FORCEP, SURG, SAROT, 9.5 IN, 3 IN JAW, INTRATHORACIC ART, CRV, SERRATED, NS, LTX</t>
  </si>
  <si>
    <t>FORCEP, SURG, SAROT, 9.5 IN, 3 IN JAW, ART, CRV, SERRATED, NS, LTX</t>
  </si>
  <si>
    <t>CURVED, SERRATED</t>
  </si>
  <si>
    <t>https://www.bd.com/en-us/products-and-solutions/products/product-page.CH1682#overview, https://accessgudid.nlm.nih.gov/devices/10885403024122</t>
  </si>
  <si>
    <t>CA1682</t>
  </si>
  <si>
    <t>BD_CA1682</t>
  </si>
  <si>
    <t>SAROT INTRATHORAC ARTERY FORCEP SERR CVD</t>
  </si>
  <si>
    <t>PRODIGO1056447</t>
  </si>
  <si>
    <t>Sarot Intrathoracic Artery Forceps Affinity Line. Overall length 9-1/2in (24.1cm)</t>
  </si>
  <si>
    <t>FORCEP, SURGICAL, SAROT, 9.5 IN, INTRATHORACIC, ARTERY, SERRATED CURVED, AFFINITY LINE, NON STERILE, LATEX</t>
  </si>
  <si>
    <t>FORCEP, SURG, SAROT, 9.5 IN, INTRATHORACIC, ART, SERRATED CRV, AFFIN LN, NS, LTX</t>
  </si>
  <si>
    <t>FORCEP, SURG, SAROT, 9.5 IN, INTRATHORACIC, ART, SERRATED CRV</t>
  </si>
  <si>
    <t>INTRATHORACIC, ARTERY</t>
  </si>
  <si>
    <t>SERRATED CURVED, AFFINITY LINE</t>
  </si>
  <si>
    <t>https://www.bd.com/en-us/products-and-solutions/products/product-page.CA1682#overview, https://accessgudid.nlm.nih.gov/devices/10885403018084</t>
  </si>
  <si>
    <t>CH2410</t>
  </si>
  <si>
    <t>BD_CH2410</t>
  </si>
  <si>
    <t>SAROT NEEDLE HOLDER INDENT SHANK STR JAW</t>
  </si>
  <si>
    <t>PRODIGO1056782</t>
  </si>
  <si>
    <t>Sarot needle holders</t>
  </si>
  <si>
    <t>HOLDER, NEEDLE, SAROT, 10.25 IN, STRAIGHT JAW, INDENTED SHANK, NON STERILE, LATEX</t>
  </si>
  <si>
    <t>HOLDER, NDL, SAROT, 10.25 IN, STR JAW, INDENTED SHANK, NS, LTX</t>
  </si>
  <si>
    <t>STRAIGHT JAW, INDENTED SHANK</t>
  </si>
  <si>
    <t>https://www.bd.com/en-us/products-and-solutions/products/product-page.CH2410#specifications, https://accessgudid.nlm.nih.gov/devices/10885403025242</t>
  </si>
  <si>
    <t>CH5090</t>
  </si>
  <si>
    <t>BD_CH5090</t>
  </si>
  <si>
    <t>SATINSKY VENA CAVA CLAMP JAWS 4.4X1.3CMD</t>
  </si>
  <si>
    <t>PRODIGO1056841</t>
  </si>
  <si>
    <t>Satinsky Vena cava clamps</t>
  </si>
  <si>
    <t>CLAMP, SURGICAL, SATINSKY, 10 IN, 4.4X1.3 CM, VENA CAVA, CROSS SERRATED JAW, NON STERILE, LATEX</t>
  </si>
  <si>
    <t>CLAMP, SURG, SATINSKY, 10 IN, 4.4X1.3 CM, VENA CAVA, CROSS SERRATED JAW, NS, LTX</t>
  </si>
  <si>
    <t>CLAMP, SURG, SATINSKY, 10 IN, 4.4X1.3 CM, VENA CAVA, SERRATED, NS</t>
  </si>
  <si>
    <t>SATINSKY</t>
  </si>
  <si>
    <t>4.4X1.3 CM</t>
  </si>
  <si>
    <t>VENA CAVA</t>
  </si>
  <si>
    <t>CROSS SERRATED JAW</t>
  </si>
  <si>
    <t>https://www.bd.com/en-us/products-and-solutions/products/product-page.CH5090#overview, https://accessgudid.nlm.nih.gov/devices/10885403027093</t>
  </si>
  <si>
    <t>CH810</t>
  </si>
  <si>
    <t>BD_CH810</t>
  </si>
  <si>
    <t>SAUERBRUCH RETR BLADE 4.4X1.6CM 9-1/2IN</t>
  </si>
  <si>
    <t>PRODIGO1057194</t>
  </si>
  <si>
    <t>SAUERBRUCH Retractors 1-3/4in x 5/8in</t>
  </si>
  <si>
    <t>RETRACTOR, SURGICAL, SAUERBRUCH, 9.5 IN, 4.4X1.6 CM, SLIGHTLY CURVED FLAT BLADE, NON STERILE, LATEX</t>
  </si>
  <si>
    <t>RETRACTOR, SURG, SAUERBRUCH, 9.5 IN, 4.4X1.6 CM, SLIGHTLY CRV FLAT BLADE, NS, LTX</t>
  </si>
  <si>
    <t>RETRACTOR, SURG, SAUERBRUCH, 9.5 IN, 4.4X1.6 CM, CRV FLAT BLADE</t>
  </si>
  <si>
    <t>SAUERBRUCH</t>
  </si>
  <si>
    <t>4.4X1.6 CM</t>
  </si>
  <si>
    <t>SLIGHTLY CURVED FLAT BLADE</t>
  </si>
  <si>
    <t>https://www.hces.com.sg/wp-content/uploads/2021/04/Cardiovascular-Pages-from-vmueller-snowdenpencer-armamentarium-catalogue-4.pdf, https://accessgudid.nlm.nih.gov/devices/10885403022913</t>
  </si>
  <si>
    <t>CH805</t>
  </si>
  <si>
    <t>BD_CH805</t>
  </si>
  <si>
    <t>SAUERBRUCH RETR BLADE 5.7X2.2CM 9-1/2IN</t>
  </si>
  <si>
    <t>PRODIGO1057186</t>
  </si>
  <si>
    <t>Sauerbruch retractors</t>
  </si>
  <si>
    <t>RETRACTOR, SURGICAL, SAUERBRUCH, WIDE, 9.5 IN, 5.7X2.2 CM, FLAT BLADE, SLIGHTLY CURVED ON END, NON STERILE, LATEX</t>
  </si>
  <si>
    <t>RETRACTOR, SURG, SAUERBRUCH, WIDE, 9.5 IN, 5.7X2.2 CM, FLAT BLADE, SLIGHTLY CRV ON END, NS, LTX</t>
  </si>
  <si>
    <t>RETRACTOR, SURG, SAUERBRUCH, WIDE, 9.5 IN, 5.7X2.2 CM, FLAT BLADE</t>
  </si>
  <si>
    <t>5.7X2.2 CM</t>
  </si>
  <si>
    <t>FLAT BLADE, SLIGHTLY CURVED ON END</t>
  </si>
  <si>
    <t>https://www.bd.com/en-us/products-and-solutions/products/product-page.ch805#overview, https://accessgudid.nlm.nih.gov/devices/10885403022906</t>
  </si>
  <si>
    <t>CH564</t>
  </si>
  <si>
    <t>BD_CH564</t>
  </si>
  <si>
    <t>SAUERBRUCH RIB RONG FORCEP STR 20MM 12IN</t>
  </si>
  <si>
    <t>PRODIGO1056877</t>
  </si>
  <si>
    <t>SAUERBRUCH FORCEP SURGICAL 12 IN 20 MM STRAIGHT JAW, RIB RONGEUR</t>
  </si>
  <si>
    <t>FORCEP, SURGICAL, SAUERBRUCH, 12 IN, 20 MM, STRAIGHT JAW, RIB RONGEUR, NON STERILE, LATEX</t>
  </si>
  <si>
    <t>FORCEP, SURG, SAUERBRUCH, 12 IN, 20 MM, STR JAW, RIB RONGEUR, NS, LTX</t>
  </si>
  <si>
    <t>FORCEP, SURG, SAUERBRUCH, 12 IN, 20 MM, STR JAW, RIB RONGEUR, LTX</t>
  </si>
  <si>
    <t>STRAIGHT JAW, RIB RONGEUR</t>
  </si>
  <si>
    <t>https://www.hces.com.sg/wp-content/uploads/2021/04/Cardiovascular-Pages-from-vmueller-snowdenpencer-armamentarium-catalogue-4.pdf, https://accessgudid.nlm.nih.gov/devices/10885403022821</t>
  </si>
  <si>
    <t>CH584</t>
  </si>
  <si>
    <t>BD_CH584</t>
  </si>
  <si>
    <t>SAUERBRUCH RIB RONG FORCEPS CVD JAW 20MM</t>
  </si>
  <si>
    <t>PRODIGO1056925</t>
  </si>
  <si>
    <t>SAUERBRUCH RIB RONGEUR FORCEPS DOUBLE-ACTION. SQUARE JAWS OVERALL LENGTH 30.5CM CURVED JAWS 20MM WIDE FORCEP SURGICAL SAUERBRUCH 20 MMX30.5 CM RIB RONGEUR DOUBLE ACTION SQUARE CURVED JAW</t>
  </si>
  <si>
    <t>FORCEP, SURGICAL, SAUERBRUCH, 20 MMX30.5 CM, RIB, RONGEUR, DOUBLE ACTION, SQUARE, CURVED JAW, NON STERILE, LATEX</t>
  </si>
  <si>
    <t>FORCEP, SURG, SAUERBRUCH, 20 MMX30.5 CM, RIB, RONGEUR, DBL ACT, SQ, CRV JAW, NS, LTX</t>
  </si>
  <si>
    <t>FORCEP, SURG, SAUERBRUCH, 20 MMX30.5 CM, SQ, CRV JAW, NS, LTX</t>
  </si>
  <si>
    <t>20 MMX30.5 CM</t>
  </si>
  <si>
    <t>RONGEUR, DOUBLE ACTION, SQUARE, CURVED JAW</t>
  </si>
  <si>
    <t>http://www.megamedworld.com/wp-content/uploads/2019/03/VM_KVC-min.pdf, https://accessgudid.nlm.nih.gov/devices/10885403022838</t>
  </si>
  <si>
    <t>CH440</t>
  </si>
  <si>
    <t>BD_CH440</t>
  </si>
  <si>
    <t>SAUERBRUCH RIB SHEARS OVER LGTH 10IN</t>
  </si>
  <si>
    <t>PRODIGO1056838</t>
  </si>
  <si>
    <t>SAUERBRUCH Rib Shears</t>
  </si>
  <si>
    <t>SHEAR, SURGICAL, SAUERBRUCH, 10 IN, RIB, NON STERILE, LATEX</t>
  </si>
  <si>
    <t>SHEAR, SURG, SAUERBRUCH, 10 IN, RIB, NS, LTX</t>
  </si>
  <si>
    <t>http://www.lt-technologies.de/_ws/mediabase/_ts_1494230442000/Downloads/CardioCatalog_LIT12012_low-res.pdf, https://accessgudid.nlm.nih.gov/devices/10885403022777</t>
  </si>
  <si>
    <t>AU13774</t>
  </si>
  <si>
    <t>BD_AU13774</t>
  </si>
  <si>
    <t>SAUNDERS-PAPARELLA STAPES HOOK #10 .75MM</t>
  </si>
  <si>
    <t>PRODIGO1056221</t>
  </si>
  <si>
    <t>SAUNDERS-PAPARELLA STAPES HOOKS MALLEABLE 2-3/4IN (7CM) SHAFT. HOOK ANGLED 90 DEGREES. OVERALL LENGTH 6-1/2IN (16.5CM). NO. 10. HOOK 0.75MM.</t>
  </si>
  <si>
    <t>HOOK, SURGICAL, SAUNDERS-PAPARELLA, 90 DEGREE, 10, 6.5 IN, 0.75 MM, 2.75 IN, STAPES, MALLEABLE SHAFT, ANGLED, NON STERILE, LATEX</t>
  </si>
  <si>
    <t>HOOK, SURG, SAUNDERS-PAPARELLA, 90 DEG, 10, 6.5 IN, 0.75 MM, 2.75 IN, STAP, MALL SHFT, ANGLED, NS, LTX</t>
  </si>
  <si>
    <t>HOOK, SURG, SAUNDERS-PAPARELLA, 90 DEG, 10, 6.5 IN, 0.75 MM, 2.75IN</t>
  </si>
  <si>
    <t>SAUNDERS-PAPARELLA</t>
  </si>
  <si>
    <t>90 DEGREE, 10</t>
  </si>
  <si>
    <t>0.75 MM, 2.75 IN</t>
  </si>
  <si>
    <t>STAPES, MALLEABLE SHAFT, ANGLED</t>
  </si>
  <si>
    <t>https://www.bd.com/en-us/products-and-solutions/products/product-page.AU13774#overview, https://accessgudid.nlm.nih.gov/devices/10885403010705</t>
  </si>
  <si>
    <t>AU13770</t>
  </si>
  <si>
    <t>BD_AU13770</t>
  </si>
  <si>
    <t>SAUNDERS-PAPARELLA STAPES HOOK #8 .6MM</t>
  </si>
  <si>
    <t>PRODIGO1056219</t>
  </si>
  <si>
    <t>SAUNDERS-PAPARELLA STAPES HOOKS MALLEABLE 2-3/4IN (7CM) SHAFT. HOOK ANGLED 90 DEGREES. OVERALL LENGTH 6-1/2IN (16.5CM). NO. 8. HOOK 0.3MM.</t>
  </si>
  <si>
    <t>HOOK, SURGICAL, SAUNDERS-PAPARELLA, 90 DEGREE, 8, 6.5 IN, 0.3 MM, 2.75 IN, STAPES, MALLEABLE SHAFT, ANGLED, NON STERILE, LATEX</t>
  </si>
  <si>
    <t>HOOK, SURG, SAUNDERS-PAPARELLA, 90 DEG, 8, 6.5 IN, 0.3 MM, 2.75 IN, STAP, MALL SHFT, ANGLED, NS, LTX</t>
  </si>
  <si>
    <t>HOOK, SURG, SAUNDERS-PAPARELLA, 90 DEG, 8, 6.5 IN, 0.3 MM, 2.75 IN</t>
  </si>
  <si>
    <t>90 DEGREE, 8</t>
  </si>
  <si>
    <t>0.3 MM, 2.75 IN</t>
  </si>
  <si>
    <t>https://www.bd.com/en-us/products-and-solutions/products/product-page.AU13770#overview, https://accessgudid.nlm.nih.gov/devices/10885403010682</t>
  </si>
  <si>
    <t>AU13772</t>
  </si>
  <si>
    <t>BD_AU13772</t>
  </si>
  <si>
    <t>SAUNDERS-PAPARELLA STAPES HOOK #9 .5MM</t>
  </si>
  <si>
    <t>PRODIGO1056220</t>
  </si>
  <si>
    <t>SAUNDERS-PAPARELLA STAPES HOOKS MALLEABLE 2-3/4IN (7CM) SHAFT. HOOK ANGLED 90 DEGREES. OVERALL LENGTH 6-1/2IN (16.5CM). NO. 9. HOOK 0.5MM.</t>
  </si>
  <si>
    <t>HOOK, SURGICAL, SAUNDERS-PAPARELLA, 90 DEGREE, 9, 6.5 IN, 0.5 MM, 2.75 IN, STAPES, MALLEABLE SHAFT, ANGLED, NON STERILE, LATEX</t>
  </si>
  <si>
    <t>HOOK, SURG, SAUNDERS-PAPARELLA, 90 DEG, 9, 6.5 IN, 0.5 MM, 2.75 IN, STAP, MALL SHFT, ANGLED, NS, LTX</t>
  </si>
  <si>
    <t>HOOK, SURG, SAUNDERS-PAPARELLA, 90 DEG, 9, 6.5 IN, 0.5 MM, 2.75 IN</t>
  </si>
  <si>
    <t>90 DEGREE, 9</t>
  </si>
  <si>
    <t>0.5 MM, 2.75 IN</t>
  </si>
  <si>
    <t>https://www.bd.com/en-us/products-and-solutions/products/product-page.AU13772#overview, https://accessgudid.nlm.nih.gov/devices/10885403010699</t>
  </si>
  <si>
    <t>AU13750</t>
  </si>
  <si>
    <t>BD_AU13750</t>
  </si>
  <si>
    <t>SAUNDERS-PAPARELLA STR NEEDLE #5</t>
  </si>
  <si>
    <t>PRODIGO1056216</t>
  </si>
  <si>
    <t>SAUNDERS-PAPARELLA STRAIGHT NEEDLE NO. 5. FINE MALLEABLE 2-3/4IN (7CM) SHAFT. OVERALL LENGTH 6-1/2IN (16.5CM).</t>
  </si>
  <si>
    <t>NEEDLE, SURGICAL, SAUNDERS-PAPARELLA, 5, 6.5 IN, 2.75 IN, STRAIGHT, FINE, MALLEABLE SHAFT, NON STERILE, LATEX</t>
  </si>
  <si>
    <t>NEEDLE, SURG, SAUNDERS-PAPARELLA, 5, 6.5 IN, 2.75 IN, STR, FN, MALL SHFT, NS, LTX</t>
  </si>
  <si>
    <t>NEEDLE, SURG, SAUNDERS-PAPARELLA, 5, 6.5 IN, 2.75 IN, STR, FN</t>
  </si>
  <si>
    <t>STRAIGHT, FINE, MALLEABLE SHAFT</t>
  </si>
  <si>
    <t>https://www.bd.com/en-us/products-and-solutions/products/product-page.AU13750#overview, https://accessgudid.nlm.nih.gov/devices/10885403010651</t>
  </si>
  <si>
    <t>MA1710</t>
  </si>
  <si>
    <t>BD_MA1710</t>
  </si>
  <si>
    <t>SAWTELL TONSIL ARTERY FORCEP FULL CVD JW</t>
  </si>
  <si>
    <t>PRODIGO1057850</t>
  </si>
  <si>
    <t>SAWTELL TONSIL ARTERY FORCEP FULLY CURVED JAWS. OVERALL LENGTH 7-1/2IN (19CM).</t>
  </si>
  <si>
    <t>FORCEP, SURGICAL, SAWTELL, 7.5 IN, TONSIL, ARTERY, FULLY CURVED JAWS, NON STERILE, LATEX</t>
  </si>
  <si>
    <t>FORCEP, SURG, SAWTELL, 7.5 IN, TONSIL, ART, FULL CRV JAWS, NS, LTX</t>
  </si>
  <si>
    <t>SAWTELL</t>
  </si>
  <si>
    <t>FULLY CURVED JAWS</t>
  </si>
  <si>
    <t>https://accessgudid.nlm.nih.gov/devices/10885403056482</t>
  </si>
  <si>
    <t>MO2170</t>
  </si>
  <si>
    <t>BD_MO2170</t>
  </si>
  <si>
    <t>SCHMEDEN TONSIL PUNCH 12.7X9.7MMW TRIANG</t>
  </si>
  <si>
    <t>PRODIGO1057925</t>
  </si>
  <si>
    <t>42291713  Surgical punches or punch holders</t>
  </si>
  <si>
    <t>SCHMEDEN TONSIL PUNCH TRIANGULAR JAWS 12.7 X 9.7MM WIDE WORKING LENGTH 5-1/2IN(14CM)</t>
  </si>
  <si>
    <t>PUNCH, SURGICAL, SCHMEDEN, 5.5 IN, 12.7X9.7 MM, TONSIL, TRIANGULAR JAW, WIDE, NON STERILE, LATEX</t>
  </si>
  <si>
    <t>PUNCH, SURG, SCHMEDEN, 5.5 IN, 12.7X9.7 MM, TONSIL, TRIANG JAW, WIDE, NS, LTX</t>
  </si>
  <si>
    <t>PUNCH, SURG, SCHMEDEN, 5.5 IN, 12.7X9.7 MM, TONSIL, TRIANG JAW</t>
  </si>
  <si>
    <t>SCHMEDEN</t>
  </si>
  <si>
    <t>12.7X9.7 MM</t>
  </si>
  <si>
    <t>TRIANGULAR JAW, WIDE</t>
  </si>
  <si>
    <t>https://accessgudid.nlm.nih.gov/devices/10885403059186</t>
  </si>
  <si>
    <t>GL3480</t>
  </si>
  <si>
    <t>BD_GL3480</t>
  </si>
  <si>
    <t>SCHROEDER EPISIOTOMY SCISSORS STR B/B</t>
  </si>
  <si>
    <t>PRODIGO1057467</t>
  </si>
  <si>
    <t>Schroeder episiotomy scissors Heavy. Straight. Sharp/blunt. Mirror finish. Overall length 8-1/4in (21cm).</t>
  </si>
  <si>
    <t>SCISSOR, SURGICAL, SCHROEDER, 8.25 IN, EPISIOTOMY, HEAVY, STRAIGHT, SHARP/BLUNT, MIRROR FINISH, NON STERILE, LATEX</t>
  </si>
  <si>
    <t>SCISSOR, SURG, SCHROEDER, 8.25 IN, EPIS, HVY, STR, SHARP/BLUNT, MIRROR FINISH, NS, LTX</t>
  </si>
  <si>
    <t>SCISSOR, SURG, SCHROEDER, 8.25 IN, EPIS, HVY, STR, SHARP/BLUNT</t>
  </si>
  <si>
    <t>SCHROEDER</t>
  </si>
  <si>
    <t>EPISIOTOMY, HEAVY, STRAIGHT, SHARP/BLUNT, MIRROR FINISH</t>
  </si>
  <si>
    <t>https://www.bd.com/en-us/products-and-solutions/products/product-page.GL3480#overview, https://accessgudid.nlm.nih.gov/devices/10885403045776</t>
  </si>
  <si>
    <t>GL1910</t>
  </si>
  <si>
    <t>BD_GL1910</t>
  </si>
  <si>
    <t>SCHUBERT UTER BIOPSY PUNCH FORCEPS STR</t>
  </si>
  <si>
    <t>PRODIGO1057403</t>
  </si>
  <si>
    <t>Schubert uterine biopsy punches forceps Overall length 8-1/2in (21.6cm). Straight.</t>
  </si>
  <si>
    <t>FORCEP, ENDOSCOPIC, SCHUBERT, 8.5 IN, UTERINE, BIOPSY, PUNCH, STRAIGHT, DOUBLE ACTION, SATIN FINISH, RING HANDLE, STAINLESS STEEL, NON STERILE, LATEX</t>
  </si>
  <si>
    <t>FORCEP, ENDOSCP, SCHUBERT, 8.5 IN, UTER, BX, PNCH, STR, DBL ACT, SATIN FINISH, RNG HNDL, SS, NS, LTX</t>
  </si>
  <si>
    <t>FORCEP, ENDOSCP, SCHUBERT, 8.5 IN, UTER, BX, PNCH, STR, DBL ACT</t>
  </si>
  <si>
    <t>SCHUBERT</t>
  </si>
  <si>
    <t>BIOPSY, PUNCH, STRAIGHT, DOUBLE ACTION, SATIN FINISH, RING HANDLE</t>
  </si>
  <si>
    <t>https://www.bd.com/en-us/products-and-solutions/products/product-page.gl1910#overview, https://accessgudid.nlm.nih.gov/devices/10885403044977</t>
  </si>
  <si>
    <t>GL1920</t>
  </si>
  <si>
    <t>BD_GL1920</t>
  </si>
  <si>
    <t>SCHUBERT UTERINE BPY PCH FCPS CVD SIDE</t>
  </si>
  <si>
    <t>PRODIGO1057404</t>
  </si>
  <si>
    <t>Schubert uterine biopsy punches forceps Overall length 8-3/8in (21.3cm). Curved-on-side.</t>
  </si>
  <si>
    <t>FORCEP, ENDOSCOPIC, SCHUBERT, 8-3/8 IN, UTERINE, BIOPSY, PUNCH, CURVED ON SIDE, DOUBLE ACTION, SATIN FINISH, RING HANDLE, STAINLESS STEEL, NON STERILE, LATEX</t>
  </si>
  <si>
    <t>FORCEP, ENDOSCP, SCHUBERT, 8-3/8 IN, UTER, BX, PNCH, CRV ON SIDE, DBL ACT, SATIN FINISH, RNG HNDL, SS, NS, LTX</t>
  </si>
  <si>
    <t>FORCEP, ENDOSCP, SCHUBERT, 8-3/8 IN, UTER, BX, PNCH, CRV ON SIDE</t>
  </si>
  <si>
    <t>8-3/8 IN</t>
  </si>
  <si>
    <t>BIOPSY, PUNCH, CURVED ON SIDE, DOUBLE ACTION, SATIN FINISH, RING HANDLE</t>
  </si>
  <si>
    <t>https://www.bd.com/en-us/products-and-solutions/products/product-page.GL1920#overview, https://accessgudid.nlm.nih.gov/devices/10885403044984</t>
  </si>
  <si>
    <t>AU19025</t>
  </si>
  <si>
    <t>BD_AU19025</t>
  </si>
  <si>
    <t>SCHUKNECHT EXCAV WHIRLYBIRD SM TIP RIGHT</t>
  </si>
  <si>
    <t>PRODIGO1056289</t>
  </si>
  <si>
    <t>SCHUKNECHT EXCAVATORS INWHIRLYBIRD-STYLEIN. SMALL TIP. MIRROR AND SATIN FINISH. OVERALL LENGTH 6-1/4IN (15.9CM). ANGLED RIGHT.</t>
  </si>
  <si>
    <t>EXCAVATOR, SURGICAL, SCHUKNECHT, 6.25 IN, WHIRLYBIRD-STYLE, SMALL TIP, MIRROR, SATIN FINISH, RIGHT ANGLED, NON STERILE, LATEX</t>
  </si>
  <si>
    <t>EXCAVATOR, SURG, SCHKNT, 6.25 IN, WHIRLYBIRD-STYLE, SM TIP, MIRROR, SATIN FINISH, RT ANGLED, NS, LTX</t>
  </si>
  <si>
    <t>EXCAVATOR, SURG, SCHKNT, 6.25 IN, WHIRLYBIRD-STYLE, RT ANGLED</t>
  </si>
  <si>
    <t>SCHUKNECHT</t>
  </si>
  <si>
    <t>WHIRLYBIRD-STYLE, SMALL TIP, MIRROR, SATIN FINISH, RIGHT ANGLED</t>
  </si>
  <si>
    <t>https://www.bd.com/en-us/products-and-solutions/products/product-page.AU19025#overview, https://accessgudid.nlm.nih.gov/devices/10885403012440</t>
  </si>
  <si>
    <t>AU19000</t>
  </si>
  <si>
    <t>BD_AU19000</t>
  </si>
  <si>
    <t>SCHUKNECHT FOOT PLATE HOOK ANT .4MM FRWD</t>
  </si>
  <si>
    <t>PRODIGO1056286</t>
  </si>
  <si>
    <t>SCHUKNECHT FOOT PLATE HOOKS MIRROR AND SATIN FINISH. OVERALL LENGTH 6-1/4IN (15.9CM). LENGTH 0.4MM. BENT FORWARD.</t>
  </si>
  <si>
    <t>HOOK, SURGICAL, SCHUKNECHT, 6.25 IN, 0.4 MM, FOOT PLATE, MIRROR, SATIN FINISH, BENT FORWARD, NON STERILE, LATEX</t>
  </si>
  <si>
    <t>HOOK, SURG, SCHKNT, 6.25 IN, 0.4 MM, FT PLATE, MIRROR, SATIN FINISH, BENT FORWARD, NS, LTX</t>
  </si>
  <si>
    <t>HOOK, SURG, SCHKNT, 6.25 IN, 0.4 MM, FT PLATE, MIRROR, SATIN FINISH</t>
  </si>
  <si>
    <t>0.4 MM</t>
  </si>
  <si>
    <t>FOOT PLATE, MIRROR, SATIN FINISH, BENT FORWARD</t>
  </si>
  <si>
    <t>https://www.bd.com/en-us/products-and-solutions/products/product-page.AU19000#overview, https://accessgudid.nlm.nih.gov/devices/10885403012396</t>
  </si>
  <si>
    <t>AU19005</t>
  </si>
  <si>
    <t>BD_AU19005</t>
  </si>
  <si>
    <t>SCHUKNECHT FOOT PLATE HOOK ANT .7MM FRWD</t>
  </si>
  <si>
    <t>PRODIGO1056287</t>
  </si>
  <si>
    <t>SCHUKNECHT FOOT PLATE HOOKS MIRROR AND SATIN FINISH. OVERALL LENGTH 6-1/4IN (15.9CM). LENGTH 0.7MM. BENT FORWARD.</t>
  </si>
  <si>
    <t>HOOK, SURGICAL, SCHUKNECHT, 6.25 IN, 0.7 MM, FOOT PLATE, MIRROR, SATIN FINISH, BENT FORWARD, NON STERILE, LATEX</t>
  </si>
  <si>
    <t>HOOK, SURG, SCHKNT, 6.25 IN, 0.7 MM, FT PLATE, MIRROR, SATIN FINISH, BENT FORWARD, NS, LTX</t>
  </si>
  <si>
    <t>HOOK, SURG, SCHKNT, 6.25 IN, 0.7 MM, FT PLATE, MIRROR, SATIN FINISH</t>
  </si>
  <si>
    <t>0.7 MM</t>
  </si>
  <si>
    <t>https://www.bd.com/en-us/products-and-solutions/products/product-page.AU19005#overview, https://accessgudid.nlm.nih.gov/devices/10885403012402</t>
  </si>
  <si>
    <t>AU19015</t>
  </si>
  <si>
    <t>BD_AU19015</t>
  </si>
  <si>
    <t>SCHUKNECHT FOOT PLATE HOOK POST .7MM DWN</t>
  </si>
  <si>
    <t>PRODIGO1056288</t>
  </si>
  <si>
    <t>SCHUKNECHT FOOT PLATE HOOKS MIRROR AND SATIN FINISH. OVERALL LENGTH 6-1/4IN (15.9CM). LENGTH 0.7MM. BENT DOWNWARD.</t>
  </si>
  <si>
    <t>HOOK, SURGICAL, SCHUKNECHT, 6.25 IN, 0.7 MM, FOOT PLATE, MIRROR, SATIN FINISH, BENT DOWNWARD, NON STERILE, LATEX</t>
  </si>
  <si>
    <t>HOOK, SURG, SCHKNT, 6.25 IN, 0.7 MM, FT PLATE, MIRROR, SATIN FINISH, BENT DOWNWARD, NS, LTX</t>
  </si>
  <si>
    <t>HOOK, SURG, SCHKNT, 6.25 IN, 0.7 MM, MIRROR, BENT DOWNWARD</t>
  </si>
  <si>
    <t>FOOT PLATE, MIRROR, SATIN FINISH, BENT DOWNWARD</t>
  </si>
  <si>
    <t>https://www.bd.com/en-us/products-and-solutions/products/product-page.AU19015#overview, https://accessgudid.nlm.nih.gov/devices/10885403012426</t>
  </si>
  <si>
    <t>AU18100</t>
  </si>
  <si>
    <t>BD_AU18100</t>
  </si>
  <si>
    <t>SCHUKNECHT ROLLER KNIFE 3MM HORIZ ROUND</t>
  </si>
  <si>
    <t>PRODIGO1056283</t>
  </si>
  <si>
    <t>SCHUKNECHT ROLLER KNIVES OVERALL LENGTH 6-1/2IN (16.5CM). 3MM HORIZONTAL ROUND BLADE.</t>
  </si>
  <si>
    <t>KNIFE, SURGICAL, SCHUKNECHT, 6.5 IN, 3 MM, ROLLER, HORIZONTAL ROUND BLADE, NON STERILE, LATEX</t>
  </si>
  <si>
    <t>KNIFE, SURG, SCHKNT, 6.5 IN, 3 MM, ROLLER, HORIZONTAL RND BLADE, NS, LTX</t>
  </si>
  <si>
    <t>KNIFE, SURG, SCHKNT, 6.5 IN, 3 MM, ROLLER, HORIZONTAL RND BLADE, NS</t>
  </si>
  <si>
    <t>ROLLER, HORIZONTAL ROUND BLADE</t>
  </si>
  <si>
    <t>https://www.bd.com/en-us/products-and-solutions/products/product-page.AU18100#overview, https://accessgudid.nlm.nih.gov/devices/10885403012334</t>
  </si>
  <si>
    <t>AU18110</t>
  </si>
  <si>
    <t>BD_AU18110</t>
  </si>
  <si>
    <t>SCHUKNECHT ROLLER KNIFE 3MM VERT RND BLD</t>
  </si>
  <si>
    <t>PRODIGO1056284</t>
  </si>
  <si>
    <t>SCHUKNECHT ROLLER KNIVES OVERALL LENGTH 6-1/2IN (16.5CM). 3MM VERTICAL ROUND BLADE.</t>
  </si>
  <si>
    <t>KNIFE, SURGICAL, SCHUKNECHT, 6.5 IN, 3 MM, ROLLER, VERTICAL ROUND BLADE, NON STERILE, LATEX</t>
  </si>
  <si>
    <t>KNIFE, SURG, SCHKNT, 6.5 IN, 3 MM, ROLLER, VERTICAL RND BLADE, NS, LTX</t>
  </si>
  <si>
    <t>KNIFE, SURG, SCHKNT, 6.5 IN, 3 MM, ROLLER, VERTICAL RND BLADE, NS</t>
  </si>
  <si>
    <t>ROLLER, VERTICAL ROUND BLADE</t>
  </si>
  <si>
    <t>https://www.bd.com/en-us/products-and-solutions/products/product-page.AU18110#overview, https://accessgudid.nlm.nih.gov/devices/10885403012341</t>
  </si>
  <si>
    <t>AU19030</t>
  </si>
  <si>
    <t>BD_AU19030</t>
  </si>
  <si>
    <t>SCHUKNECHT STAPES HOOK 1MM 90DEG 6-1/4IN</t>
  </si>
  <si>
    <t>PRODIGO1056290</t>
  </si>
  <si>
    <t>SCHUKNECHT STAPES HOOKS ANGLED 90 DEGREES. MIRROR AND SATIN FINISH. OVERALL LENGTH 6-1/4IN (15.9CM). 1MM HOOK.</t>
  </si>
  <si>
    <t>HOOK, SURGICAL, SCHUKNECHT, 90 DEGREE, 6.25 IN, 1 MM, STAPES, ANGLED, MIRROR, SATIN FINISH, NON STERILE, LATEX</t>
  </si>
  <si>
    <t>HOOK, SURG, SCHKNT, 90 DEG, 6.25 IN, 1 MM, STAP, ANGLED, MIRROR, SATIN FINISH, NS, LTX</t>
  </si>
  <si>
    <t>HOOK, SURG, SCHKNT, 90 DEG, 6.25 IN, 1 MM, ANGLED, SATIN FINISH</t>
  </si>
  <si>
    <t>STAPES, ANGLED, MIRROR, SATIN FINISH</t>
  </si>
  <si>
    <t>https://www.bd.com/en-us/products-and-solutions/products/product-page.AU19030#overview, https://accessgudid.nlm.nih.gov/devices/10885403012457</t>
  </si>
  <si>
    <t>AU19032</t>
  </si>
  <si>
    <t>BD_AU19032</t>
  </si>
  <si>
    <t>SCHUKNECHT STAPES HOOK 2MM 90DEG 6-1/4IN</t>
  </si>
  <si>
    <t>PRODIGO1056291</t>
  </si>
  <si>
    <t>SCHUKNECHT STAPES HOOKS ANGLED 90 DEGREES. MIRROR AND SATIN FINISH. OVERALL LENGTH 6-1/4IN (15.9CM). 2MM HOOK.</t>
  </si>
  <si>
    <t>HOOK, SURGICAL, SCHUKNECHT, 90 DEGREE, 6.25 IN, 2 MM, STAPES, ANGLED, MIRROR, SATIN FINISH, NON STERILE, LATEX</t>
  </si>
  <si>
    <t>HOOK, SURG, SCHKNT, 90 DEG, 6.25 IN, 2 MM, STAP, ANGLED, MIRROR, SATIN FINISH, NS, LTX</t>
  </si>
  <si>
    <t>HOOK, SURG, SCHKNT, 90 DEG, 6.25 IN, 2 MM, ANGLED, SATIN FINISH</t>
  </si>
  <si>
    <t>https://www.bd.com/en-us/products-and-solutions/products/product-page.AU19032#overview, https://accessgudid.nlm.nih.gov/devices/10885403012464</t>
  </si>
  <si>
    <t>AU19090</t>
  </si>
  <si>
    <t>BD_AU19090</t>
  </si>
  <si>
    <t>SCHUKNECHT WIRE CRIMPER NARROW JAWS 3MM</t>
  </si>
  <si>
    <t>PRODIGO1056292</t>
  </si>
  <si>
    <t>42292302  Surgical crimpers</t>
  </si>
  <si>
    <t>SCHUKNECHT WIRE CRIMPER NARROW JAWS LENGTH 3MM. WORKING LENGTH 3-1/8IN (7.9CM).</t>
  </si>
  <si>
    <t>CRIMPER, SURGICAL, SCHUKNECHT, 3-1/8 IN, 3 MM, WIRE, NARROW JAWS, NON STERILE, LATEX</t>
  </si>
  <si>
    <t>CRIMPER, SURG, SCHKNT, 3-1/8 IN, 3 MM, WIRE, NAR JAWS, NS, LTX</t>
  </si>
  <si>
    <t>CRIMPER</t>
  </si>
  <si>
    <t>WIRE, NARROW JAWS</t>
  </si>
  <si>
    <t>https://www.bd.com/en-us/products-and-solutions/products/product-page.AU19090#overview, https://accessgudid.nlm.nih.gov/devices/10885403012518</t>
  </si>
  <si>
    <t>CH165</t>
  </si>
  <si>
    <t>BD_CH165</t>
  </si>
  <si>
    <t>SEDILLOT PERIOSTEAL ELEV ROUND BLDE 19MM</t>
  </si>
  <si>
    <t>PRODIGO1056723</t>
  </si>
  <si>
    <t>SEDILLOT Periosteal ElevatoR</t>
  </si>
  <si>
    <t>ELEVATOR, SURGICAL, SEDILLOT, 7.5 IN, 19 MM, PERIOSTEAL, BROAD ROUNDED BLADE, NON STERILE, LATEX</t>
  </si>
  <si>
    <t>ELEVATOR, SURG, SEDILLOT, 7.5 IN, 19 MM, PERIOST, BROAD ROUNDED BLADE, NS, LTX</t>
  </si>
  <si>
    <t>ELEVATOR, SURG, SEDILLOT, 7.5 IN, 19 MM, PERIOST, ROUNDED BLADE</t>
  </si>
  <si>
    <t>SEDILLOT</t>
  </si>
  <si>
    <t>BROAD ROUNDED BLADE</t>
  </si>
  <si>
    <t>http://www.lt-technologies.de/_ws/mediabase/_ts_1494230442000/Downloads/CardioCatalog_LIT12012_low-res.pdf, https://accessgudid.nlm.nih.gov/devices/10885403022661</t>
  </si>
  <si>
    <t>MO11125</t>
  </si>
  <si>
    <t>BD_MO11125</t>
  </si>
  <si>
    <t>SELDIN PERIOSTEAL ELEV #23 OCTAG HANDLE</t>
  </si>
  <si>
    <t>PRODIGO1057878</t>
  </si>
  <si>
    <t>SELDIN-TYPE PERIOSTEAL ELEVATORS NO. 23. OVERALL LENGTH 7-3/4IN (19.7CM). OCTAGONAL HANDLE.</t>
  </si>
  <si>
    <t>ELEVATOR, SURGICAL, SELDIN, 23, 7.75 IN, PERIOSTEAL, OCTAGONAL HANDLE, NON STERILE, LATEX</t>
  </si>
  <si>
    <t>ELEVATOR, SURG, SELDIN, 23, 7.75 IN, PERIOST, OCTAGONAL HNDL, NS, LTX</t>
  </si>
  <si>
    <t>ELEVATOR, SURG, SELDIN, 23, 7.75 IN, PERIOST, OCTAGONAL HNDL, NS</t>
  </si>
  <si>
    <t>SELDIN</t>
  </si>
  <si>
    <t>PERIOSTEAL, OCTAGONAL HANDLE</t>
  </si>
  <si>
    <t>https://www.bd.com/en-us/products-and-solutions/products/product-page.MO11125#overview, https://accessgudid.nlm.nih.gov/devices/10885403068935</t>
  </si>
  <si>
    <t>CH6151</t>
  </si>
  <si>
    <t>BD_CH6151</t>
  </si>
  <si>
    <t>SELMAN BLOOD VESSEL FORCEP ANG JAW 1.7CM</t>
  </si>
  <si>
    <t>PRODIGO1057002</t>
  </si>
  <si>
    <t>SELMAN PERIPHERAL BLOOD VESSEL FORCEPS ANGLED COOLEY JAW JAW LENGTH 1.3CM OVERALL LENGTH 12.7CM FORCEP SURGICAL SELMAN 12.7 CM 1.3 CM PERIPHERAL BLOOD VESSEL ANGLED COOLEY JAW</t>
  </si>
  <si>
    <t>FORCEP, SURGICAL, SELMAN, 12.7 CM, 1.3 CM, PERIPHERAL BLOOD VESSEL, ANGLED COOLEY JAW, NON STERILE, LATEX</t>
  </si>
  <si>
    <t>FORCEP, SURG, SELMAN, 12.7 CM, 1.3 CM, PERIPH BLD VES, ANGLED COOLEY JAW, NS, LTX</t>
  </si>
  <si>
    <t>FORCEP, SURG, SELMAN, 12.7 CM, 1.3 CM, ANGLED COOLEY JAW, NS, LTX</t>
  </si>
  <si>
    <t>SELMAN</t>
  </si>
  <si>
    <t>1.3 CM</t>
  </si>
  <si>
    <t>PERIPHERAL BLOOD VESSEL</t>
  </si>
  <si>
    <t>ANGLED COOLEY JAW</t>
  </si>
  <si>
    <t>http://www.megamedworld.com/wp-content/uploads/2019/03/VM_KVC-min.pdf, https://accessgudid.nlm.nih.gov/devices/10885403030598</t>
  </si>
  <si>
    <t>CH6153</t>
  </si>
  <si>
    <t>BD_CH6153</t>
  </si>
  <si>
    <t>SELMAN BLOOD VESSEL FORCEP ANG JAW 2.8CM</t>
  </si>
  <si>
    <t>PRODIGO1057004</t>
  </si>
  <si>
    <t>SELMAN PERIPHERAL BLOOD VESSEL FORCEPS ANGLED COOLEY JAW JAW LENGTH 2.1CM OVERALL LENGTH 14CM FORCEP SURGICAL SELMAN 14 CM 2.1 CM PERIPHERAL BLOOD VESSEL ANGLED COOLEY JAW</t>
  </si>
  <si>
    <t>FORCEP, SURGICAL, SELMAN, 14 CM, 2.1 CM, PERIPHERAL BLOOD VESSEL, ANGLED COOLEY JAW, NON STERILE, LATEX</t>
  </si>
  <si>
    <t>FORCEP, SURG, SELMAN, 14 CM, 2.1 CM, PERIPH BLD VES, ANGLED COOLEY JAW, NS, LTX</t>
  </si>
  <si>
    <t>FORCEP, SURG, SELMAN, 14 CM, 2.1 CM, ANGLED COOLEY JAW, NS, LTX</t>
  </si>
  <si>
    <t>2.1 CM</t>
  </si>
  <si>
    <t>2.8 CM</t>
  </si>
  <si>
    <t>http://www.megamedworld.com/wp-content/uploads/2019/03/VM_KVC-min.pdf, https://accessgudid.nlm.nih.gov/devices/10885403030611</t>
  </si>
  <si>
    <t>CH6150</t>
  </si>
  <si>
    <t>BD_CH6150</t>
  </si>
  <si>
    <t>SELMAN BLOOD VESSEL FORCEP STR JAW 2.2CM</t>
  </si>
  <si>
    <t>PRODIGO1057001</t>
  </si>
  <si>
    <t>SELMAN FORCEP SURGICAL 5 IN 1.3 CM STRAIGHT COOLEY JAW</t>
  </si>
  <si>
    <t>FORCEP, SURGICAL, SELMAN, 5 IN, 1.3 CM, STRAIGHT COOLEY JAW, NON STERILE, LATEX</t>
  </si>
  <si>
    <t>FORCEP, SURG, SELMAN, 5 IN, 1.3 CM, STR COOLEY JAW, NS, LTX</t>
  </si>
  <si>
    <t>STRAIGHT COOLEY JAW</t>
  </si>
  <si>
    <t>2.2 CM</t>
  </si>
  <si>
    <t>http://www.megamedworld.com/wp-content/uploads/2019/03/VM_KVC-min.pdf, https://accessgudid.nlm.nih.gov/devices/10885403030581</t>
  </si>
  <si>
    <t>CH6152</t>
  </si>
  <si>
    <t>BD_CH6152</t>
  </si>
  <si>
    <t>SELMAN BLOOD VESSEL FORCEP STR JAW 3.6CM</t>
  </si>
  <si>
    <t>PRODIGO1057003</t>
  </si>
  <si>
    <t>SELMAN PERIPHERAL BLOOD VESSEL FORCEPS STRAIGHT COOLEY JAW JAW LENGTH 2.5CM OVERALL LENGTH 14CM FORCEP SURGICAL SELMAN 14 CM 2.5 CM PERIPHERAL BLOOD VESSEL STRAIGHT COOLEY JAW</t>
  </si>
  <si>
    <t>FORCEP, SURGICAL, SELMAN, 14 CM, 2.5 CM, PERIPHERAL BLOOD VESSEL, STRAIGHT COOLEY JAW, NON STERILE, LATEX</t>
  </si>
  <si>
    <t>FORCEP, SURG, SELMAN, 14 CM, 2.5 CM, PERIPH BLD VES, STR COOLEY JAW, NS, LTX</t>
  </si>
  <si>
    <t>FORCEP, SURG, SELMAN, 14 CM, 2.5 CM, STR COOLEY JAW, NS, LTX</t>
  </si>
  <si>
    <t>http://www.megamedworld.com/wp-content/uploads/2019/03/VM_KVC-min.pdf, https://accessgudid.nlm.nih.gov/devices/10885403030604</t>
  </si>
  <si>
    <t>CH6170</t>
  </si>
  <si>
    <t>BD_CH6170</t>
  </si>
  <si>
    <t>SELMAN FULL CVD FRCPS 15X8.5MM JAW4-3/4"</t>
  </si>
  <si>
    <t>PRODIGO1057005</t>
  </si>
  <si>
    <t>SELMAN PERIPHERAL BLOOD VESSEL FORCEPS FULLY CURVED COOLEY JAWS JAWS 15MM X 8.5MM DEEP OVERALL LENGTH 12.7CM FORCEP SURGICAL SELMAN 12.7 CM 15X8.5 MM PERIPHERAL BLOOD VESSEL FULLY CURVED COOLEY JAW DEEP</t>
  </si>
  <si>
    <t>FORCEP, SURGICAL, SELMAN, 4.45 IN, 15X8.5 MM, PERIPHERAL BLOOD VESSEL, FULLY CURVED COOLEY JAW, NON STERILE, LATEX</t>
  </si>
  <si>
    <t>FORCEP, SURG, SELMAN, 4.45 IN, 15X8.5 MM, PERIPH BLD VES, FULL CRV COOLEY JAW, NS, LTX</t>
  </si>
  <si>
    <t>FORCEP, SURG, SELMAN, 4.45 IN, 15X8.5 MM, FULL CRV COOLEY JAW, NS</t>
  </si>
  <si>
    <t>15X8.5 MM</t>
  </si>
  <si>
    <t>FULLY CURVED COOLEY JAW</t>
  </si>
  <si>
    <t>http://www.megamedworld.com/wp-content/uploads/2019/03/VM_KVC-min.pdf, https://accessgudid.nlm.nih.gov/devices/10885403030628</t>
  </si>
  <si>
    <t>CH6020</t>
  </si>
  <si>
    <t>BD_CH6020</t>
  </si>
  <si>
    <t>SELMAN TISSUE FINE SERR RND TIPS FORCEPS</t>
  </si>
  <si>
    <t>PRODIGO1056955</t>
  </si>
  <si>
    <t>SELMAN TISSUE FORCEPS FINE SERRATED ROUND TIPS OVERALL LENGTH 15.2CM FORCEP SURGICAL SELMAN 15.2 CM TISSUE FINE SERRATED ROUND TIP</t>
  </si>
  <si>
    <t>FORCEP, SURGICAL, SELMAN, 15.2 CM, TISSUE, FINE, SERRATED, ROUND TIP, NON STERILE, LATEX</t>
  </si>
  <si>
    <t>FORCEP, SURG, SELMAN, 15.2 CM, TISS, FN, SERRATED, RND TIP, NS, LTX</t>
  </si>
  <si>
    <t>15.2 CM</t>
  </si>
  <si>
    <t>FINE, SERRATED, ROUND TIP</t>
  </si>
  <si>
    <t>http://www.megamedworld.com/wp-content/uploads/2019/03/VM_KVC-min.pdf, https://accessgudid.nlm.nih.gov/devices/10885403029707</t>
  </si>
  <si>
    <t>CH6021</t>
  </si>
  <si>
    <t>BD_CH6021</t>
  </si>
  <si>
    <t>PRODIGO1056956</t>
  </si>
  <si>
    <t>SELMAN TISSUE FORCEPS FINE SERRATED ROUND TIPS OVERALL LENGTH 20.3CM FORCEP SURGICAL SELMAN 20.3 CM TISSUE FINE SERRATED ROUND TIP</t>
  </si>
  <si>
    <t>FORCEP, SURGICAL, SELMAN, 20.3 CM, TISSUE, FINE, SERRATED, ROUND TIP, NON STERILE, LATEX</t>
  </si>
  <si>
    <t>FORCEP, SURG, SELMAN, 20.3 CM, TISS, FN, SERRATED, RND TIP, NS, LTX</t>
  </si>
  <si>
    <t>http://www.megamedworld.com/wp-content/uploads/2019/03/VM_KVC-min.pdf, https://accessgudid.nlm.nih.gov/devices/10885403029714</t>
  </si>
  <si>
    <t>CH6022</t>
  </si>
  <si>
    <t>BD_CH6022</t>
  </si>
  <si>
    <t>SELMAN TISSUE FORCEPS FINE SERR RND TIPS</t>
  </si>
  <si>
    <t>PRODIGO1056957</t>
  </si>
  <si>
    <t>SELMAN TISSUE FORCEPS FINE SERRATED ROUND TIPS OVERALL LENGTH 24.8CM FORCEP SURGICAL SELMAN 24.8 CM TISSUE FINE SERRATED ROUND TIP</t>
  </si>
  <si>
    <t>FORCEP, SURGICAL, SELMAN, 24.8 CM, TISSUE, FINE, SERRATED, ROUND TIP, NON STERILE, LATEX</t>
  </si>
  <si>
    <t>FORCEP, SURG, SELMAN, 24.8 CM, TISS, FN, SERRATED, RND TIP, NS, LTX</t>
  </si>
  <si>
    <t>http://www.megamedworld.com/wp-content/uploads/2019/03/VM_KVC-min.pdf, https://accessgudid.nlm.nih.gov/devices/10885403029721</t>
  </si>
  <si>
    <t>CH1800</t>
  </si>
  <si>
    <t>BD_CH1800</t>
  </si>
  <si>
    <t>SEMB DISSECTING FORCEP SLT CVD JAW 9-1/2</t>
  </si>
  <si>
    <t>PRODIGO1056747</t>
  </si>
  <si>
    <t>Semb dissecting forceps/ligature carriers Perforated tips for use as ligature carrier Overall length 9-1/2in 24.1cm Slightly curved jaws</t>
  </si>
  <si>
    <t>FORCEP, SURGICAL, SEMB, 9.5 IN, DISSECTING, SLIGHTLY CURVED, PERFORATED TIP, FOR USE AS LIGATURE CARRIER, NON STERILE, LATEX</t>
  </si>
  <si>
    <t>FORCEP, SURG, SEMB, 9.5 IN, DISECT, SLIGHTLY CRV, PERF TIP, FOR USE AS LIG CARR, NS, LTX</t>
  </si>
  <si>
    <t>FORCEP, SURG, SEMB, 9.5 IN, DISECT, SLIGHTLY CRV, PERF TIP, NS, LTX</t>
  </si>
  <si>
    <t>SEMB</t>
  </si>
  <si>
    <t>DISSECTING, SLIGHTLY CURVED, PERFORATED TIP, FOR USE AS LIGATURE CARRIER</t>
  </si>
  <si>
    <t>https://www.bd.com/en-us/products-and-solutions/products/product-page.CH1800#specifications, https://accessgudid.nlm.nih.gov/devices/10885403024498</t>
  </si>
  <si>
    <t>CH6080</t>
  </si>
  <si>
    <t>BD_CH6080</t>
  </si>
  <si>
    <t>SENNING BULLDOG JAW LGTH 1.4CM 1-3/4</t>
  </si>
  <si>
    <t>PRODIGO1056979</t>
  </si>
  <si>
    <t>SENNING BULLDOG CLAMP SURGICAL 1.75 IN 1.4 CM ADJUSTABLE TENSION CROSS ACTION</t>
  </si>
  <si>
    <t>CLAMP, SURGICAL, SENNING BULLDOG, 1.75 IN, 1.4 CM, ADJUSTABLE TENSION CROSS ACTION</t>
  </si>
  <si>
    <t>CLAMP, SURG, SENNING BULLDOG, 1.75 IN, 1.4 CM, ADJ TENS CROSS ACT</t>
  </si>
  <si>
    <t>SENNING BULLDOG</t>
  </si>
  <si>
    <t>1.75 IN</t>
  </si>
  <si>
    <t>1.4 CM</t>
  </si>
  <si>
    <t>ADJUSTABLE TENSION CROSS ACTION</t>
  </si>
  <si>
    <t>https://www.bd.com/en-us/products-and-solutions/products/product-page.CH6080</t>
  </si>
  <si>
    <t>LAT0536SG</t>
  </si>
  <si>
    <t>LAT-0536-SG</t>
  </si>
  <si>
    <t>BD_LAT0536SG</t>
  </si>
  <si>
    <t>SERRATED CUP GRASPER D/A INSERT 5MM 36CM</t>
  </si>
  <si>
    <t>PRODIGO1057805</t>
  </si>
  <si>
    <t>GRASPER, ENDOSCOPIC, CUP, 5 MMX36 CM, SERRATED, DOUBLE ACTION INSERT, NON STERILE, LATEX</t>
  </si>
  <si>
    <t>GRASPER ENDOSCOPIC CUP 5 MMX36 CM SERRATED DOUBLE ACTION INSERT NON STERILE LATEX</t>
  </si>
  <si>
    <t>GRASPER, ENDOSCP, CUP, 5 MMX36 CM, SERRATED, DBL ACT INSRT, NS, LTX</t>
  </si>
  <si>
    <t>SERRATED, DOUBLE ACTION INSERT</t>
  </si>
  <si>
    <t>https://www.bd.com/en-us/products-and-solutions/products/product-page.lat-0536-sg#overview, https://accessgudid.nlm.nih.gov/devices/10885403431708</t>
  </si>
  <si>
    <t>LAT1036</t>
  </si>
  <si>
    <t>LAT-1036</t>
  </si>
  <si>
    <t>BD_LAT1036</t>
  </si>
  <si>
    <t>SHAFT 10MM 36CM</t>
  </si>
  <si>
    <t>PRODIGO1057833</t>
  </si>
  <si>
    <t>42294981  Endoscopic monopolar or bipolar hand instrument accessories</t>
  </si>
  <si>
    <t>SHAFT, ENDOSCOPIC, 10 MMX36 CM, NON STERILE, LATEX</t>
  </si>
  <si>
    <t>SHAFT ENDOSCOPIC 10 MMX36 CM NON STERILE LATEX</t>
  </si>
  <si>
    <t>SHAFT, ENDOSCP, 10 MMX36 CM, NS, LTX</t>
  </si>
  <si>
    <t>SHAFT</t>
  </si>
  <si>
    <t>https://www.bd.com/en-us/products-and-solutions/products/product-page.lat-1036#overview, https://accessgudid.nlm.nih.gov/devices/10885403431074</t>
  </si>
  <si>
    <t>LAT0536</t>
  </si>
  <si>
    <t>LAT-0536</t>
  </si>
  <si>
    <t>BD_LAT0536</t>
  </si>
  <si>
    <t>SHAFT 5MM 36CM</t>
  </si>
  <si>
    <t>PRODIGO1057775</t>
  </si>
  <si>
    <t>42296817  Surgical instrument accessories</t>
  </si>
  <si>
    <t>Snowden-pencer Shaft 5 Mmx36 Cm Insulated Handle Shaft Non Sterile Latex</t>
  </si>
  <si>
    <t>SHAFT, INSTRUMENT, 5 MMX36 CM, INSULATED HANDLE, NON STERILE, SNOWDEN-PENCER, LATEX</t>
  </si>
  <si>
    <t>SHAFT, INSTRUMENT, 5 MMX36 CM, INSUL HNDL, NS, SNOWDEN-PENCER, LTX</t>
  </si>
  <si>
    <t>INSULATED HANDLE SHAFT</t>
  </si>
  <si>
    <t>https://www.bd.com/en-us/products-and-solutions/products/product-page.lat-0536#overview, https://accessgudid.nlm.nih.gov/devices/10885403431050</t>
  </si>
  <si>
    <t>Classified to nearest level</t>
  </si>
  <si>
    <t>LAT0545</t>
  </si>
  <si>
    <t>LAT-0545</t>
  </si>
  <si>
    <t>BD_LAT0545</t>
  </si>
  <si>
    <t>SHAFT 5MM 45CM</t>
  </si>
  <si>
    <t>PRODIGO1057811</t>
  </si>
  <si>
    <t>TAKE-APART SHAFT 5-MM DIAMETER 45-CM LENGTH</t>
  </si>
  <si>
    <t>SHAFT, ENDOSCOPIC, TAKE APART, 5 MMX45 CM, NON STERILE, LATEX</t>
  </si>
  <si>
    <t>SHAFT ENDOSCOPIC TAKE APART 5 MMX45 CM NON STERILE LATEX</t>
  </si>
  <si>
    <t>SHAFT, ENDOSCP, TAKE APART, 5 MMX45 CM, NS, LTX</t>
  </si>
  <si>
    <t>TAKE APART</t>
  </si>
  <si>
    <t>https://www.lt-technologies.de/_ws/mediabase/Downloads/V%20Mueller%20Take%20Apart%20Lap%20Instruments%20Brochure.pdf, https://accessgudid.nlm.nih.gov/devices/10885403431067</t>
  </si>
  <si>
    <t>AU12352</t>
  </si>
  <si>
    <t>BD_AU12352</t>
  </si>
  <si>
    <t>SHAMBAUGH HOOK OR SPUD ANG 90DEG</t>
  </si>
  <si>
    <t>PRODIGO1056155</t>
  </si>
  <si>
    <t>SHAMBAUGH HOOK NARROW FLAT INNER SURFACE. ANGLED 90 DEGREES. OVERALL LENGTH 6-1/4IN (15.9CM).</t>
  </si>
  <si>
    <t>HOOK, SURGICAL, SHAMBAUGH, 90 DEGREE, 6.25 IN, NARROW FLAT INNER SURFACE, NON STERILE, LATEX</t>
  </si>
  <si>
    <t>HOOK, SURG, SHAMBAUGH, 90 DEG, 6.25 IN, NAR FLAT INNR SURF, NS, LTX</t>
  </si>
  <si>
    <t>SHAMBAUGH</t>
  </si>
  <si>
    <t>NARROW FLAT INNER SURFACE</t>
  </si>
  <si>
    <t>OR SPUD</t>
  </si>
  <si>
    <t>https://www.bd.com/en-us/products-and-solutions/products/product-page.AU12352#overview, https://accessgudid.nlm.nih.gov/devices/10885403009891</t>
  </si>
  <si>
    <t>AU12300</t>
  </si>
  <si>
    <t>BD_AU12300</t>
  </si>
  <si>
    <t>SHAMBAUGH MICROSCOPIC HOOK ANGLE 90DEG</t>
  </si>
  <si>
    <t>PRODIGO1056150</t>
  </si>
  <si>
    <t>SHAMBAUGH MICROSCOPIC HOOK INE TIP ANGLED 90 DEGREES. MIRROR AND SATIN FINISH. OVERALL LENGTH 6-1/8IN (15.6CM).</t>
  </si>
  <si>
    <t>HOOK, SURGICAL, SHAMBAUGH, 90 DEGREE, 6-1/8 IN, INE TIP, MIRROR AND SATIN FINISH, NON STERILE, LATEX</t>
  </si>
  <si>
    <t>HOOK, SURG, SHAMBAUGH, 90 DEG, 6-1/8 IN, INE TIP, MIRROR &amp; SATIN FINISH, NS, LTX</t>
  </si>
  <si>
    <t>HOOK, SURG, SHAMBAUGH, 90 DEG, 6-1/8 IN, INE TIP</t>
  </si>
  <si>
    <t>INE TIP, MIRROR AND SATIN FINISH</t>
  </si>
  <si>
    <t>https://www.bd.com/en-us/products-and-solutions/products/product-page.AU12300#overview, https://accessgudid.nlm.nih.gov/devices/10885403009839</t>
  </si>
  <si>
    <t>AU12260</t>
  </si>
  <si>
    <t>BD_AU12260</t>
  </si>
  <si>
    <t>SHAMBAUGH PALPATING NEEDLE STR SUPERFINE</t>
  </si>
  <si>
    <t>PRODIGO1056143</t>
  </si>
  <si>
    <t>SHAMBAUGH PALPATING NEEDLES OVERALL LENGTH 6-1/4IN (15.9CM). STRAIGHT. SUPER-FINE.</t>
  </si>
  <si>
    <t>NEEDLE, BIOPSY, SHAMBAUGH, 6.25 IN, STRAIGHT, SUPER-FINE, PALPATING, NON STERILE, LATEX</t>
  </si>
  <si>
    <t>NEEDLE, BX, SHAMBAUGH, 6.25 IN, STR, SUPER-FINE, PALPATING, NS, LTX</t>
  </si>
  <si>
    <t>STRAIGHT, SUPER-FINE, PALPATING</t>
  </si>
  <si>
    <t>https://www.bd.com/en-us/products-and-solutions/products/product-page.AU12260#overview, https://accessgudid.nlm.nih.gov/devices/10885403009761</t>
  </si>
  <si>
    <t>AU20410</t>
  </si>
  <si>
    <t>BD_AU20410</t>
  </si>
  <si>
    <t>SHEA CURETTE CUP 1.6X2MM ANG SHAFT 5-1/2</t>
  </si>
  <si>
    <t>PRODIGO1056295</t>
  </si>
  <si>
    <t>SHEA CURETTE  CUP 1.6MM X 2MM. ANGLED SHAFT FLAT HANDLE. OVERALL LENGTH 5-1/2IN (14CM).</t>
  </si>
  <si>
    <t>CURETTE, SURGICAL, SHEA, 5.5 IN, 1.6X2 MM, ANGLED SHAFT, FLAT HANDLE, CUP, NON STERILE, LATEX</t>
  </si>
  <si>
    <t>CURETTE, SURG, SHEA, 5.5 IN, 1.6X2 MM, ANGLED SHFT, FLAT HNDL, CUP, NS, LTX</t>
  </si>
  <si>
    <t>CURETTE, SURG, SHEA, 5.5 IN, 1.6X2 MM, ANGLED SHFT, FLAT HNDL, CUP</t>
  </si>
  <si>
    <t>SHEA</t>
  </si>
  <si>
    <t>1.6X2 MM</t>
  </si>
  <si>
    <t>ANGLED SHAFT, FLAT HANDLE, CUP</t>
  </si>
  <si>
    <t>https://www.bd.com/en-us/products-and-solutions/products/product-page.AU20410#overview, https://accessgudid.nlm.nih.gov/devices/10885403012570</t>
  </si>
  <si>
    <t>AU20435</t>
  </si>
  <si>
    <t>BD_AU20435</t>
  </si>
  <si>
    <t>SHEA FISTULA HOOK 90DEG 0.8MM 6-1/4IN</t>
  </si>
  <si>
    <t>PRODIGO1056298</t>
  </si>
  <si>
    <t>SHEA FISTULA HOOK HOOK ANGLED 90 DEGREES LENGTH 0.8MM. OVERALL LENGTH 6-1/4IN (15.9CM).</t>
  </si>
  <si>
    <t>HOOK, SURGICAL, SHEA, 90 DEGREE, 6.25 IN, 0.8 MM, ANGLED, FISTULA, NON STERILE, LATEX</t>
  </si>
  <si>
    <t>HOOK, SURG, SHEA, 90 DEG, 6.25 IN, 0.8 MM, ANGLED, FIST, NS, LTX</t>
  </si>
  <si>
    <t>0.8 MM</t>
  </si>
  <si>
    <t>ANGLED, FISTULA</t>
  </si>
  <si>
    <t>https://www.bd.com/en-us/products-and-solutions/products/product-page.AU20435#overview, https://accessgudid.nlm.nih.gov/devices/10885403012594</t>
  </si>
  <si>
    <t>AU20400</t>
  </si>
  <si>
    <t>BD_AU20400</t>
  </si>
  <si>
    <t>SHEA INCISION KNIFE OVAL BLADE 1.5MMWIDE</t>
  </si>
  <si>
    <t>PRODIGO1056294</t>
  </si>
  <si>
    <t>SHEA INCISION KNIFE OVAL BLADE 1.5MM WIDE. ANGLED SHAFT. OVERALL LENGTH 6-1/4IN (15.9CM).</t>
  </si>
  <si>
    <t>KNIFE, SURGICAL, SHEA, 6.25 IN, 1.5 MM, OVAL BLADE, ANGLED SHAFT, INCISION, NON STERILE, LATEX</t>
  </si>
  <si>
    <t>KNIFE, SURG, SHEA, 6.25 IN, 1.5 MM, OVL BLADE, ANGLED SHFT, INCISION, NS, LTX</t>
  </si>
  <si>
    <t>KNIFE, SURG, SHEA, 6.25 IN, 1.5 MM, OVL BLADE, ANGLED SHFT</t>
  </si>
  <si>
    <t>OVAL BLADE, ANGLED SHAFT, INCISION</t>
  </si>
  <si>
    <t>https://www.bd.com/en-us/products-and-solutions/products/product-page.AU20400#overview, https://accessgudid.nlm.nih.gov/devices/10885403012563</t>
  </si>
  <si>
    <t>AU20477</t>
  </si>
  <si>
    <t>BD_AU20477</t>
  </si>
  <si>
    <t>SHEA LONG BACK-HAND ELEV 2MM 45DEG 6-1/4</t>
  </si>
  <si>
    <t>PRODIGO1056300</t>
  </si>
  <si>
    <t>SHEA LONG BACK-HANDED ELEVATOR BLADE 2MM WIDE ANGLED 45 DEGREES. OVERALL LENGTH 6-1/4IN (15.9CM).</t>
  </si>
  <si>
    <t>ELEVATOR, SURGICAL, SHEA, 45 DEGREE, 6.25 IN, 2 MM, LONG BACK-HANDED, BLADE, ANGLED, NON STERILE, LATEX</t>
  </si>
  <si>
    <t>ELEVATOR, SURG, SHEA, 45 DEG, 6.25 IN, 2 MM, LNG BACK-HANDED, BLADE, ANGLED, NS, LTX</t>
  </si>
  <si>
    <t>ELEVATOR, SURG, SHEA, 45 DEG, 6.25 IN, 2 MM, LNG BACK-HANDED, BLADE</t>
  </si>
  <si>
    <t>LONG BACK-HANDED, BLADE, ANGLED</t>
  </si>
  <si>
    <t>https://www.bd.com/en-us/products-and-solutions/products/product-page.au20477#overview, https://accessgudid.nlm.nih.gov/devices/10885403012617</t>
  </si>
  <si>
    <t>AU204901</t>
  </si>
  <si>
    <t>AU20490-1</t>
  </si>
  <si>
    <t>BD_AU204901</t>
  </si>
  <si>
    <t>SHEA SPECULUM HOLDER</t>
  </si>
  <si>
    <t>PRODIGO1056301</t>
  </si>
  <si>
    <t>42182010  Medical exam specula holders or stands</t>
  </si>
  <si>
    <t>HOLDER, SPECULUM, SHEA, NON STERILE, LATEX</t>
  </si>
  <si>
    <t>HOLDER, SPECLM, SHEA, NS, LTX</t>
  </si>
  <si>
    <t>https://www.bd.com/en-us/products-and-solutions/products/product-page.au20490-1#overview, https://accessgudid.nlm.nih.gov/devices/10885403059612</t>
  </si>
  <si>
    <t>AU20460</t>
  </si>
  <si>
    <t>BD_AU20460</t>
  </si>
  <si>
    <t>SHEA STAPES HOOK 90DEG 0.7MM 6-1/4IN</t>
  </si>
  <si>
    <t>PRODIGO1056299</t>
  </si>
  <si>
    <t>SHEA STAPES HOOK HOOK ANGLED 90 DEGREES LENGTH 0.7MM. OVERALL LENGTH 6-1/4IN (15.9CM).</t>
  </si>
  <si>
    <t>HOOK, SURGICAL, SHEA, 90 DEGREE, 6.25 IN, 0.7 MM, ANGLED, STAPES, NON STERILE, LATEX</t>
  </si>
  <si>
    <t>HOOK, SURG, SHEA, 90 DEG, 6.25 IN, 0.7 MM, ANGLED, STAP, NS, LTX</t>
  </si>
  <si>
    <t>ANGLED, STAPES</t>
  </si>
  <si>
    <t>https://www.bd.com/en-us/products-and-solutions/products/product-page.AU20460#overview, https://accessgudid.nlm.nih.gov/devices/10885403012600</t>
  </si>
  <si>
    <t>CH431</t>
  </si>
  <si>
    <t>BD_CH431</t>
  </si>
  <si>
    <t>SHOEMAKER RIB SHEARS ADULT OVER LGTH 9IN</t>
  </si>
  <si>
    <t>PRODIGO1056837</t>
  </si>
  <si>
    <t>SHOEMAKER Rib Shears</t>
  </si>
  <si>
    <t>SHEAR, SURGICAL, SHOEMAKER, ADULT, 9 IN, RIB, NON STERILE, LATEX</t>
  </si>
  <si>
    <t>SHEAR, SURG, SHOEMAKER, AD, 9 IN, RIB, NS, LTX</t>
  </si>
  <si>
    <t>SHOEMAKER</t>
  </si>
  <si>
    <t>http://www.lt-technologies.de/_ws/mediabase/_ts_1494230442000/Downloads/CardioCatalog_LIT12012_low-res.pdf, https://accessgudid.nlm.nih.gov/devices/10885403022760</t>
  </si>
  <si>
    <t>NL3785081</t>
  </si>
  <si>
    <t>NL3785-081</t>
  </si>
  <si>
    <t>BD_NL3785081</t>
  </si>
  <si>
    <t>SHOTON MICRO BIPOLAR 1.0MM PTS STR 7IN</t>
  </si>
  <si>
    <t>PRODIGO1058265</t>
  </si>
  <si>
    <t>Rhoton micro coagulating bipolar forceps Straight. Mirror and satin finish. Overall length 7in (17.8cm). 1mm tip</t>
  </si>
  <si>
    <t>FORCEP, SURGICAL, RHOTON, MICRO, 7 IN, 1 MM, COAGULATING, BIPOLAR, STRAIGHT, MIRROR, SATIN FINISH, NON STERILE, LATEX</t>
  </si>
  <si>
    <t>FORCEP, SURG, RHOTON, MIC, 7 IN, 1 MM, COAG, BPLR, STR, MIRROR, SATIN FINISH, NS, LTX</t>
  </si>
  <si>
    <t>FORCEP, SURG, RHOTON, MIC, 7 IN, 1 MM, COAG, BPLR, STR, MIRROR</t>
  </si>
  <si>
    <t>https://www.bd.com/en-us/products-and-solutions/products/product-page.NL3785-081#overview, https://accessgudid.nlm.nih.gov/devices/10885403074226</t>
  </si>
  <si>
    <t>GU8170</t>
  </si>
  <si>
    <t>BD_GU8170</t>
  </si>
  <si>
    <t>SILBER MICRO NDL HLDR CVD RND JAW 5-1/2</t>
  </si>
  <si>
    <t>PRODIGO1057619</t>
  </si>
  <si>
    <t>Silber micro needle holder Round-handled for manipulation. Curved delicate jaws. Without lock but with stop. Overall length 5-1/2in (14cm).</t>
  </si>
  <si>
    <t>HOLDER, NEEDLE, SILBER, MICRO, 5.5 IN, ROUND, FOR MANIPULATION, CURVED, DELICATE JAW, WITHOUT LOCK, WITH STOP, NON STERILE, LATEX</t>
  </si>
  <si>
    <t>HOLDER, NDL, SILBER, MIC, 5.5 IN, RND, FOR MANIPULATION, CRV, DEL JAW, W/O LCK, W/ STP, NS, LTX</t>
  </si>
  <si>
    <t>HOLDER, NDL, SILBER, MIC, 5.5 IN, RND, FOR MANIPULATION, DEL JAW</t>
  </si>
  <si>
    <t>SILBER</t>
  </si>
  <si>
    <t>ROUND, FOR MANIPULATION, CURVED, DELICATE JAW, WITHOUT LOCK, WITH STOP</t>
  </si>
  <si>
    <t>https://www.bd.com/en-us/products-and-solutions/products/product-page.GU8170#overview, https://accessgudid.nlm.nih.gov/devices/10885403050244</t>
  </si>
  <si>
    <t>NL1375003</t>
  </si>
  <si>
    <t>NL1375-003</t>
  </si>
  <si>
    <t>BD_NL1375003</t>
  </si>
  <si>
    <t>SILICONE COAT BRAIN RETR LG TAPR 11-20MM</t>
  </si>
  <si>
    <t>PRODIGO1058078</t>
  </si>
  <si>
    <t>SILICONE-COATED BRAIN RETRACTORS LARGE 11-20 MM</t>
  </si>
  <si>
    <t>RETRACTOR, SURGICAL, BRAIN, LARGE, 6-7/8 IN, 11-20 MM, MALLEABLE, ROUND EDGE, TAPERS, SILICONE COATED, NON STERILE, LATEX</t>
  </si>
  <si>
    <t>RETRACTOR SURGICAL BRAIN LARGE 6-7/8 IN 11-20 MM MALLEABLE ROUND EDGE TAPERS SILICONE COATED NON STERILE LATEX</t>
  </si>
  <si>
    <t>RETRACTOR, SURG, BRAIN, LG, 6-7/8 IN, 11-20 MM, MALL, RND EDGE, TAPERS, SIL COAT, NS, LTX</t>
  </si>
  <si>
    <t>RETRACTOR, SURG, BRAIN, LG, 6-7/8 IN, 11-20 MM, MALL, RND EDGE, NS</t>
  </si>
  <si>
    <t>BRAIN</t>
  </si>
  <si>
    <t>11-20 MM</t>
  </si>
  <si>
    <t>MALLEABLE, ROUND EDGE, TAPERS</t>
  </si>
  <si>
    <t>SILICONE COATED</t>
  </si>
  <si>
    <t>https://www.bd.com/en-us/products-and-solutions/products/product-page.nl1375-003#overview, https://accessgudid.nlm.nih.gov/devices/10885403071324</t>
  </si>
  <si>
    <t>NL1375002</t>
  </si>
  <si>
    <t>NL1375-002</t>
  </si>
  <si>
    <t>BD_NL1375002</t>
  </si>
  <si>
    <t>SILICONE COAT BRAIN RETR MED TAPR 9-15MM</t>
  </si>
  <si>
    <t>PRODIGO1058077</t>
  </si>
  <si>
    <t>SILICONE-COATED BRAIN RETRACTORS MEDIUM 9-15 MM</t>
  </si>
  <si>
    <t>RETRACTOR, SURGICAL, BRAIN, MEDIUM, 6-7/8 IN, 9-15 MM, MALLEABLE, ROUND EDGE, TAPERS, SILICONE COATED, NON STERILE, LATEX</t>
  </si>
  <si>
    <t>RETRACTOR SURGICAL BRAIN MEDIUM 6-7/8 IN 9-15 MM MALLEABLE ROUND EDGE TAPERS SILICONE COATED NON STERILE LATEX</t>
  </si>
  <si>
    <t>RETRACTOR, SURG, BRAIN, MED, 6-7/8 IN, 9-15 MM, MALL, RND EDGE, TAPERS, SIL COAT, NS, LTX</t>
  </si>
  <si>
    <t>RETRACTOR, SURG, BRAIN, MED, 6-7/8 IN, 9-15 MM, MALL, RND EDGE, NS</t>
  </si>
  <si>
    <t>9-15 MM</t>
  </si>
  <si>
    <t>https://www.bd.com/en-us/products-and-solutions/products/product-page.NL1375-002#overview, https://accessgudid.nlm.nih.gov/devices/10885403071317</t>
  </si>
  <si>
    <t>NL1375001</t>
  </si>
  <si>
    <t>NL1375-001</t>
  </si>
  <si>
    <t>BD_NL1375001</t>
  </si>
  <si>
    <t>SILICONE COAT BRAIN RETR SM TAPER 6-10MM</t>
  </si>
  <si>
    <t>PRODIGO1058076</t>
  </si>
  <si>
    <t>SILICONE-COATED BRAIN RETRACTORS SMALL 6-10 MM</t>
  </si>
  <si>
    <t>RETRACTOR, SURGICAL, BRAIN, SMALL, 6-7/8 IN, 6-10 MM, MALLEABLE, ROUND EDGE, TAPERS, SILICONE COATED, NON STERILE, LATEX</t>
  </si>
  <si>
    <t>RETRACTOR SURGICAL BRAIN SMALL 6-7/8 IN 6-10 MM MALLEABLE ROUND EDGE TAPERS SILICONE COATED NON STERILE LATEX</t>
  </si>
  <si>
    <t>RETRACTOR, SURG, BRAIN, SM, 6-7/8 IN, 6-10 MM, MALL, RND EDGE, TAPERS, SIL COAT, NS, LTX</t>
  </si>
  <si>
    <t>RETRACTOR, SURG, BRAIN, SM, 6-7/8 IN, 6-10 MM, MALL, RND EDGE, NS</t>
  </si>
  <si>
    <t>6-10 MM</t>
  </si>
  <si>
    <t>https://www.bd.com/en-us/products-and-solutions/products/product-page.nl1375-001#overview, https://accessgudid.nlm.nih.gov/devices/10885403071300</t>
  </si>
  <si>
    <t>NL1375004</t>
  </si>
  <si>
    <t>NL1375-004</t>
  </si>
  <si>
    <t>BD_NL1375004</t>
  </si>
  <si>
    <t>SILICONE COAT BRAIN RETR XL TAPR 14-25MM</t>
  </si>
  <si>
    <t>PRODIGO1058079</t>
  </si>
  <si>
    <t>SILICONE-COATED BRAIN RETRACTORS EXTRA LARGE 14-25 MM</t>
  </si>
  <si>
    <t>RETRACTOR, SURGICAL, BRAIN, EXTRA LARGE, 6-7/8 IN, 14-25 MM, MALLEABLE, ROUND EDGE, TAPERS, SILICONE COATED, NON STERILE, LATEX</t>
  </si>
  <si>
    <t>RETRACTOR SURGICAL BRAIN EXTRA LARGE 6-7/8 IN 14-25 MM MALLEABLE ROUND EDGE TAPERS SILICONE COATED NON STERILE LATEX</t>
  </si>
  <si>
    <t>RETRACTOR, SURG, BRAIN, X LG, 6-7/8 IN, 14-25 MM, MALL, RND EDGE, TAPERS, SIL COAT, NS, LTX</t>
  </si>
  <si>
    <t>RETRACTOR, SURG, BRAIN, X LG, 6-7/8 IN, 14-25 MM, MALL, RND EDGE, NS</t>
  </si>
  <si>
    <t>EXTRA LARGE</t>
  </si>
  <si>
    <t>14-25 MM</t>
  </si>
  <si>
    <t>https://www.bd.com/en-us/products-and-solutions/products/product-print-page.nl1375-004, https://accessgudid.nlm.nih.gov/devices/10885403071331</t>
  </si>
  <si>
    <t>GA1330</t>
  </si>
  <si>
    <t>BD_GA1330</t>
  </si>
  <si>
    <t>SIMPSON UTERINE SOUND OVER LGTH 13-1/4IN</t>
  </si>
  <si>
    <t>PRODIGO1057311</t>
  </si>
  <si>
    <t>Simpson Uterine Sound Affinity Line. Overall length 13-1/4in (33.7cm).</t>
  </si>
  <si>
    <t>SOUND, SURGICAL, SIMPSON, 13.25 IN, UTERINE, AFFINITY LINE, NON STERILE, LATEX</t>
  </si>
  <si>
    <t>SOUND, SURG, SIMPSON, 13.25 IN, UTER, AFFIN LN, NS, LTX</t>
  </si>
  <si>
    <t>SIMPSON</t>
  </si>
  <si>
    <t>13.25 IN</t>
  </si>
  <si>
    <t>https://www.bd.com/en-us/products-and-solutions/products/product-page.GA1330#specifications, https://accessgudid.nlm.nih.gov/devices/10885403042256</t>
  </si>
  <si>
    <t>GA160000</t>
  </si>
  <si>
    <t>GA1600-00</t>
  </si>
  <si>
    <t>BD_GA160000</t>
  </si>
  <si>
    <t>SIMS UTERINE CURETTE SHARP SZ 00 11IN</t>
  </si>
  <si>
    <t>PRODIGO1057319</t>
  </si>
  <si>
    <t>Sims Uterine Curette Affinity Line. Size 00. Sharp. Overall length 11in (27.9cm).</t>
  </si>
  <si>
    <t>CURETTE, SURGICAL, SIMS, 00, 11 IN, UTERINE, AFFINITY LINE, SHARP, NON STERILE, LATEX</t>
  </si>
  <si>
    <t>CURETTE, SURG, SIMS, 00, 11 IN, UTER, AFFIN LN, SHRP, NS, LTX</t>
  </si>
  <si>
    <t>SIMS</t>
  </si>
  <si>
    <t>00</t>
  </si>
  <si>
    <t>AFFINITY LINE, SHARP</t>
  </si>
  <si>
    <t>https://www.bd.com/en-us/products-and-solutions/products/product-page.GA1600-00#overview, https://accessgudid.nlm.nih.gov/devices/10885403042416</t>
  </si>
  <si>
    <t>GL3405</t>
  </si>
  <si>
    <t>BD_GL3405</t>
  </si>
  <si>
    <t>SIMS UTERINE SCISSORS CVD SHP/BLNT 8IN</t>
  </si>
  <si>
    <t>PRODIGO1057461</t>
  </si>
  <si>
    <t>Sims uterine scissors Curved. Mirror finish. Overall length 8in (20.3cm). Sharp/blunt.</t>
  </si>
  <si>
    <t>SCISSOR, SURGICAL, SIMS, 8 IN, UTERINE, DOUBLE ACTION, CURVED, BLUNT/BLUNT, RING HANDLE, MIRROR FINISH, STAINLESS STEEL, NON STERILE, LATEX</t>
  </si>
  <si>
    <t>SCISSOR, SURG, SIMS, 8 IN, UTER, DBL ACT, CRV, BLUNT/BLUNT, RNG HNDL, MIRROR FINISH, SS, NS, LTX</t>
  </si>
  <si>
    <t>SCISSOR, SURG, SIMS, 8 IN, UTER, DBL ACT, CRV, BLUNT/BLUNT, RNG HNDL</t>
  </si>
  <si>
    <t>DOUBLE ACTION, CURVED, BLUNT/BLUNT, RING HANDLE, MIRROR FINISH</t>
  </si>
  <si>
    <t>https://www.bd.com/en-us/products-and-solutions/products/product-page.GL3405#overview, https://accessgudid.nlm.nih.gov/devices/10885403045639</t>
  </si>
  <si>
    <t>GL3401</t>
  </si>
  <si>
    <t>BD_GL3401</t>
  </si>
  <si>
    <t>SIMS UTERINE SCISSORS STR BLNT/BLNT 8IN</t>
  </si>
  <si>
    <t>PRODIGO1057459</t>
  </si>
  <si>
    <t>Sims uterine scissors Straight. Mirror finish. Overall length 8in (20.3cm). Blunt/blunt.</t>
  </si>
  <si>
    <t>SCISSOR, SURGICAL, SIMS, 8 IN, UTERINE, DOUBLE ACTION, STRAIGHT, BLUNT/BLUNT, RING HANDLE, MIRROR FINISH, STAINLESS STEEL, NON STERILE, LATEX</t>
  </si>
  <si>
    <t>SCISSOR, SURG, SIMS, 8 IN, UTER, DBL ACT, STR, BLUNT/BLUNT, RNG HNDL, MIRROR FINISH, SS, NS, LTX</t>
  </si>
  <si>
    <t>SCISSOR, SURG, SIMS, 8 IN, UTER, DBL ACT, STR, BLUNT/BLUNT, RNG HNDL</t>
  </si>
  <si>
    <t>DOUBLE ACTION, STRAIGHT, BLUNT/BLUNT, RING HANDLE, MIRROR FINISH</t>
  </si>
  <si>
    <t>https://www.bd.com/en-us/offerings/capabilities/surgical-instruments/open-instrumentation/sims-uterine-scissors/gl3401, https://accessgudid.nlm.nih.gov/devices/10885403045615</t>
  </si>
  <si>
    <t>GL311</t>
  </si>
  <si>
    <t>BD_GL311</t>
  </si>
  <si>
    <t>SIMS VAG RETR BLADE 3X1-1/4(7.6X3.2CM)</t>
  </si>
  <si>
    <t>PRODIGO1057420</t>
  </si>
  <si>
    <t>Sims vaginal retractors Blade 3in x 1-1/4in wide (7.6cm x 3.2cm).</t>
  </si>
  <si>
    <t>RETRACTOR, SURGICAL, SIMS, 3X1.25 IN, VAGINAL, BLADE, NON STERILE, LATEX</t>
  </si>
  <si>
    <t>RETRACTOR, SURG, SIMS, 3X1.25 IN, VAG, BLADE, NS, LTX</t>
  </si>
  <si>
    <t>3X1.25 IN</t>
  </si>
  <si>
    <t>https://www.bd.com/en-us/products-and-solutions/products/product-page.GL311#overview, https://accessgudid.nlm.nih.gov/devices/10885403043000</t>
  </si>
  <si>
    <t>CH11001</t>
  </si>
  <si>
    <t>BD_CH11001</t>
  </si>
  <si>
    <t>SINGLE CLAMP ARTERY F/0.4-1.0MM VESSELS</t>
  </si>
  <si>
    <t>PRODIGO1056613</t>
  </si>
  <si>
    <t>SINGLE CLAMPS WITHOUT FRAME ARTERY 0.4MM-1MM BLACK LATEX NON STERILE</t>
  </si>
  <si>
    <t>CLAMP, SURGICAL, SINGLE, 0.4-1 MM, ARTERY, WITHOUT FRAME, FOR VESSEL, BLACK, NON STERILE, LATEX</t>
  </si>
  <si>
    <t>CLAMP, SURG, SINGLE, 0.4-1 MM, ART, W/O FRAME, FOR VES, BLK, NS, LTX</t>
  </si>
  <si>
    <t>WITHOUT FRAME, FOR VESSEL</t>
  </si>
  <si>
    <t>http://www.lt-technologies.de/_ws/mediabase/_ts_1494230442000/Downloads/CardioCatalog_LIT12012_low-res.pdf, https://accessgudid.nlm.nih.gov/devices/70885403123520</t>
  </si>
  <si>
    <t>CH11004</t>
  </si>
  <si>
    <t>BD_CH11004</t>
  </si>
  <si>
    <t>SINGLE CLAMP ARTERY F/0.6-1.5MM VESSELS</t>
  </si>
  <si>
    <t>PRODIGO1056616</t>
  </si>
  <si>
    <t>SINGLE CLAMPS WITHOUT FRAME ARTERY 0.6MM-1.5MM BLACK LATEX NON STERILE</t>
  </si>
  <si>
    <t>CLAMP, SURGICAL, SINGLE, 0.6-1.5 MM, ARTERY, WITHOUT FRAME, FOR VESSEL, BLACK, NON STERILE, LATEX</t>
  </si>
  <si>
    <t>CLAMP, SURGICAL, SINGLE, 0.6-1.5 MM, ARTERY, WITHOUT FRAME, FOR VESSEL, BLACK, NON STERILE, LATEX, CH11004</t>
  </si>
  <si>
    <t>CLAMP, SURG, SINGLE, 0.6-1.5 MM, ART, W/O FRAME, FOR VES, BLK, NS, LTX</t>
  </si>
  <si>
    <t>CLAMP, SURG, SINGLE, 0.6-1.5 MM, ART, W/O FRAME, FOR VES, CH11004</t>
  </si>
  <si>
    <t>http://www.lt-technologies.de/_ws/mediabase/_ts_1494230442000/Downloads/CardioCatalog_LIT12012_low-res.pdf, https://accessgudid.nlm.nih.gov/devices/70885403123551</t>
  </si>
  <si>
    <t>Description Duplicate, Ref# Added</t>
  </si>
  <si>
    <t>CH11005</t>
  </si>
  <si>
    <t>BD_CH11005</t>
  </si>
  <si>
    <t>PRODIGO1056617</t>
  </si>
  <si>
    <t>CLAMP, SURG, SINGLE, 0.6-1.5 MM, ART, W/O FRAME, FOR VES, BLK, NS</t>
  </si>
  <si>
    <t>http://www.lt-technologies.de/_ws/mediabase/_ts_1494230442000/Downloads/CardioCatalog_LIT12012_low-res.pdf, https://accessgudid.nlm.nih.gov/devices/70885403123568</t>
  </si>
  <si>
    <t>CH11008</t>
  </si>
  <si>
    <t>BD_CH11008</t>
  </si>
  <si>
    <t>SINGLE CLAMP ARTERY F/1.0-2.25MM VESSELS</t>
  </si>
  <si>
    <t>PRODIGO1056620</t>
  </si>
  <si>
    <t>SINGLE CLAMPS WITHOUT FRAME ARTERY 1MM-2.25MM BLACK LATEX NON STERILE</t>
  </si>
  <si>
    <t>CLAMP, SURGICAL, SINGLE, 1-2.25 MM, ARTERY, WITHOUT FRAME, FOR VESSEL, BLACK, NON STERILE, LATEX</t>
  </si>
  <si>
    <t>CLAMP, SURGICAL, SINGLE, 1-2.25 MM, ARTERY, WITHOUT FRAME, FOR VESSEL, BLACK, NON STERILE, LATEX, CH11008</t>
  </si>
  <si>
    <t>CLAMP, SURG, SINGLE, 1-2.25 MM, ART, W/O FRAME, FOR VES, BLK, NS, LTX</t>
  </si>
  <si>
    <t>CLAMP, SURG, SINGLE, 1-2.25 MM, ART, W/O FRAME, FOR VES, CH11008</t>
  </si>
  <si>
    <t>http://www.lt-technologies.de/_ws/mediabase/_ts_1494230442000/Downloads/CardioCatalog_LIT12012_low-res.pdf, https://accessgudid.nlm.nih.gov/devices/70885403123599</t>
  </si>
  <si>
    <t>CH11009</t>
  </si>
  <si>
    <t>BD_CH11009</t>
  </si>
  <si>
    <t>PRODIGO1056621</t>
  </si>
  <si>
    <t>http://www.lt-technologies.de/_ws/mediabase/_ts_1494230442000/Downloads/CardioCatalog_LIT12012_low-res.pdf, https://accessgudid.nlm.nih.gov/devices/70885403123605</t>
  </si>
  <si>
    <t>CH11003</t>
  </si>
  <si>
    <t>BD_CH11003</t>
  </si>
  <si>
    <t>SINGLE CLAMP VEIN F/0.4-1.0MM VESSELS</t>
  </si>
  <si>
    <t>PRODIGO1056615</t>
  </si>
  <si>
    <t>SINGLE CLAMPS WITHOUT FRAME VEIN 0.4MM-1MM BLACK LATEX NON STERILE</t>
  </si>
  <si>
    <t>CLAMP, SURGICAL, SINGLE, 0.4-1 MM, VEIN, WITHOUT FRAME, FOR VESSEL, BLACK, NON STERILE, LATEX</t>
  </si>
  <si>
    <t>CLAMP, SURG, SINGLE, 0.4-1 MM, VEIN, W/O FRAME, FOR VES, BLK, NS, LTX</t>
  </si>
  <si>
    <t>http://www.lt-technologies.de/_ws/mediabase/_ts_1494230442000/Downloads/CardioCatalog_LIT12012_low-res.pdf, https://accessgudid.nlm.nih.gov/devices/70885403123544</t>
  </si>
  <si>
    <t>CH11007</t>
  </si>
  <si>
    <t>BD_CH11007</t>
  </si>
  <si>
    <t>SINGLE CLAMP VEIN F/0.6-1.5MM VESSELSCH1</t>
  </si>
  <si>
    <t>PRODIGO1056619</t>
  </si>
  <si>
    <t>SINGLE CLAMPS WITHOUT FRAME VEIN 0.6MM-1.5MM BLACK LATEX NON STERILE</t>
  </si>
  <si>
    <t>CLAMP, SURGICAL, SINGLE, 0.6-1.5 MM, VEIN, WITHOUT FRAME, FOR VESSEL, BLACK, NON STERILE, LATEX</t>
  </si>
  <si>
    <t>CLAMP, SURG, SINGLE, 0.6-1.5 MM, VEIN, W/O FRAME, FOR VES, BLK, NS, LTX</t>
  </si>
  <si>
    <t>CLAMP, SURG, SINGLE, 0.6-1.5 MM, VEIN, W/O FRAME, FOR VES, BLK, NS</t>
  </si>
  <si>
    <t>http://www.lt-technologies.de/_ws/mediabase/_ts_1494230442000/Downloads/CardioCatalog_LIT12012_low-res.pdf, https://accessgudid.nlm.nih.gov/devices/70885403126002</t>
  </si>
  <si>
    <t>CH11011</t>
  </si>
  <si>
    <t>BD_CH11011</t>
  </si>
  <si>
    <t>SINGLE CLAMP VEIN F/1.0-2.25MM VESSELS</t>
  </si>
  <si>
    <t>PRODIGO1056624</t>
  </si>
  <si>
    <t>SINGLE CLAMPS WITHOUT FRAME VEIN 1MM-2.25MM BLACK LATEX NON STERILE</t>
  </si>
  <si>
    <t>CLAMP, SURGICAL, SINGLE, 1-2.25 MM, VEIN, WITHOUT FRAME, FOR VESSEL, BLACK, NON STERILE, LATEX</t>
  </si>
  <si>
    <t>CLAMP, SURG, SINGLE, 1-2.25 MM, VEIN, W/O FRAME, FOR VES, BLK, NS, LTX</t>
  </si>
  <si>
    <t>CLAMP, SURG, SINGLE, 1-2.25 MM, VEIN, W/O FRAME, FOR VES, BLK, NS</t>
  </si>
  <si>
    <t>http://www.lt-technologies.de/_ws/mediabase/_ts_1494230442000/Downloads/CardioCatalog_LIT12012_low-res.pdf, https://accessgudid.nlm.nih.gov/devices/70885403123629</t>
  </si>
  <si>
    <t>CH11002</t>
  </si>
  <si>
    <t>BD_CH11002</t>
  </si>
  <si>
    <t>SINGLE CLAMP VEIN W/O FRAME PAIR</t>
  </si>
  <si>
    <t>PRODIGO1056614</t>
  </si>
  <si>
    <t>CLAMP, SURGICAL, SINGLE, 0.4-1 MM, VEIN, WITHOUT FRAME, FOR VESSEL, BLACK, NON STERILE, LATEX, CH11002</t>
  </si>
  <si>
    <t>CLAMP, SURG, SINGLE, 0.4-1 MM, VEIN, W/O FRAME, FOR VES, CH11002</t>
  </si>
  <si>
    <t>http://www.lt-technologies.de/_ws/mediabase/_ts_1494230442000/Downloads/CardioCatalog_LIT12012_low-res.pdf, https://accessgudid.nlm.nih.gov/devices/70885403123537</t>
  </si>
  <si>
    <t>CH11006</t>
  </si>
  <si>
    <t>BD_CH11006</t>
  </si>
  <si>
    <t>PRODIGO1056618</t>
  </si>
  <si>
    <t>CLAMP, SURGICAL, SINGLE, 0.6-1.5 MM, VEIN, WITHOUT FRAME, FOR VESSEL, BLACK, NON STERILE, LATEX, CH11006</t>
  </si>
  <si>
    <t>CLAMP, SURG, SINGLE, 0.6-1.5 MM, VEIN, W/O FRAME, FOR VES, CH11006</t>
  </si>
  <si>
    <t>http://www.lt-technologies.de/_ws/mediabase/_ts_1494230442000/Downloads/CardioCatalog_LIT12012_low-res.pdf, https://accessgudid.nlm.nih.gov/devices/70885403123575</t>
  </si>
  <si>
    <t>CH11010</t>
  </si>
  <si>
    <t>BD_CH11010</t>
  </si>
  <si>
    <t>PRODIGO1056623</t>
  </si>
  <si>
    <t>CLAMP, SURGICAL, SINGLE, 1-2.25 MM, VEIN, WITHOUT FRAME, FOR VESSEL, BLACK, NON STERILE, LATEX, CH11010</t>
  </si>
  <si>
    <t>CLAMP, SURG, SINGLE, 1-2.25 MM, VEIN, W/O FRAME, FOR VES, CH11010</t>
  </si>
  <si>
    <t>WITHOUT FRAME</t>
  </si>
  <si>
    <t>http://www.lt-technologies.de/_ws/mediabase/_ts_1494230442000/Downloads/CardioCatalog_LIT12012_low-res.pdf, https://accessgudid.nlm.nih.gov/devices/70885403123612</t>
  </si>
  <si>
    <t>LA0533NHCL</t>
  </si>
  <si>
    <t>LA-0533-NHCL</t>
  </si>
  <si>
    <t>BD_LA0533NHCL</t>
  </si>
  <si>
    <t>SINGLE PIECE CURVED LEFT NEEDLE HOLDER</t>
  </si>
  <si>
    <t>PRODIGO1057658</t>
  </si>
  <si>
    <t>Needle holder, curved left, single-action</t>
  </si>
  <si>
    <t>HOLDER, NEEDLE, CURVED LEFT, 5 MM, SINGLE ACTION, SINGLE PIECE, COMPLETE INSTRUMENT, NON STERILE, LATEX</t>
  </si>
  <si>
    <t>HOLDER, NDL, CRV LT, 5 MM, SINGLE ACT, SINGLE PC, COMPLETE INSTRUMENT, NS, LTX</t>
  </si>
  <si>
    <t>HOLDER, NDL, CRV LT, 5 MM, SINGLE ACT, SINGLE PC, COMPLETE, NS, LTX</t>
  </si>
  <si>
    <t>SINGLE ACTION, SINGLE PIECE, COMPLETE INSTRUMENT</t>
  </si>
  <si>
    <t>https://www.bd.com/en-us/products-and-solutions/products/product-page.la-0533-nhcl, https://accessgudid.nlm.nih.gov/devices/10885403430985</t>
  </si>
  <si>
    <t>LA0533NHCR</t>
  </si>
  <si>
    <t>LA-0533-NHCR</t>
  </si>
  <si>
    <t>BD_LA0533NHCR</t>
  </si>
  <si>
    <t>SINGLE PIECE CURVED RIGHT NEEDLE HOLDER</t>
  </si>
  <si>
    <t>PRODIGO1057659</t>
  </si>
  <si>
    <t>Needle holder, curved right, single-action</t>
  </si>
  <si>
    <t>HOLDER, NEEDLE, CURVED RIGHT, 5 MM, SINGLE ACTION, SINGLE PIECE, COMPLETE INSTRUMENT, NON STERILE, LATEX</t>
  </si>
  <si>
    <t>HOLDER, NDL, CRV RT, 5 MM, SINGLE ACT, SINGLE PC, COMPLETE INSTRUMENT, NS, LTX</t>
  </si>
  <si>
    <t>HOLDER, NDL, CRV RT, 5 MM, SINGLE ACT, SINGLE PC, COMPLETE, NS, LTX</t>
  </si>
  <si>
    <t>https://www.bd.com/en-us/products-and-solutions/products/product-page.la-0533-nhcr, https://accessgudid.nlm.nih.gov/devices/10885403430992</t>
  </si>
  <si>
    <t>LA0533NH</t>
  </si>
  <si>
    <t>LA-0533-NH</t>
  </si>
  <si>
    <t>BD_LA0533NH</t>
  </si>
  <si>
    <t>SINGLE PIECE STRAIGHT NEEDLE HOLDER</t>
  </si>
  <si>
    <t>PRODIGO1057657</t>
  </si>
  <si>
    <t xml:space="preserve">Needle holder, straight, single-action </t>
  </si>
  <si>
    <t>HOLDER, NEEDLE, STRAIGHT, 5 MM, SINGLE ACTION, SINGLE PIECE, COMPLETE INSTRUMENT, NON STERILE, LATEX</t>
  </si>
  <si>
    <t>HOLDER, NDL, STR, 5 MM, SINGLE ACT, SINGLE PC, COMPLETE INSTRUMENT, NS, LTX</t>
  </si>
  <si>
    <t>HOLDER, NDL, STR, 5 MM, SINGLE ACT, SINGLE PC, COMPLETE, NS, LTX</t>
  </si>
  <si>
    <t>https://www.bd.com/en-us/products-and-solutions/products/product-page.la-0533-nh, https://accessgudid.nlm.nih.gov/devices/10885403430978</t>
  </si>
  <si>
    <t>GL900</t>
  </si>
  <si>
    <t>BD_GL900</t>
  </si>
  <si>
    <t>SKENE UTERINE TENACULUM FORCEPS CVD</t>
  </si>
  <si>
    <t>PRODIGO1057545</t>
  </si>
  <si>
    <t>Skene uterine tenaculum forceps Curved on side. Overall length 9-5/8in (24.4cm).</t>
  </si>
  <si>
    <t>FORCEP, SURGICAL, SKENE, 9-5/8 IN, UTERINE, UTERINE, CURVED ON SIDE, NON STERILE, LATEX</t>
  </si>
  <si>
    <t>FORCEP, SURG, SKENE, 9-5/8 IN, UTER, UTER, CRV ON SIDE, NS, LTX</t>
  </si>
  <si>
    <t>SKENE</t>
  </si>
  <si>
    <t>UTERINE, CURVED ON SIDE</t>
  </si>
  <si>
    <t>https://www.bd.com/en-us/products-and-solutions/products/product-page.GL900#overview, https://accessgudid.nlm.nih.gov/devices/10885403043727</t>
  </si>
  <si>
    <t>MO115</t>
  </si>
  <si>
    <t>BD_MO115</t>
  </si>
  <si>
    <t>SLDER-JANSN MTH GAG CRVD W/LCK BLD 10MM</t>
  </si>
  <si>
    <t>PRODIGO1057882</t>
  </si>
  <si>
    <t>SLUDER-JANSEN MOUTH GAG CURVED ARMS TO FIT FACE. RATCHET LOCK. BLADE 10MM WIDE. OVERALL LENGTH 4IN (10.2CM).</t>
  </si>
  <si>
    <t>GAG, MOUTH, SLUDER-JANSEN, 4 IN, 10 MM, CURVED ARM TO FIT FACE, RATCHET LOCK, NON STERILE, LATEX</t>
  </si>
  <si>
    <t>GAG, MOUTH, SLUDER-JANSEN, 4 IN, 10 MM, CRV ARM TO FIT FACE, RATCH LCK, NS, LTX</t>
  </si>
  <si>
    <t>GAG, MOUTH, SLUDER-JANSEN, 4 IN, 10 MM, CRV ARM TO FIT FACE</t>
  </si>
  <si>
    <t>SLUDER-JANSEN</t>
  </si>
  <si>
    <t>CURVED ARM TO FIT FACE, RATCHET LOCK</t>
  </si>
  <si>
    <t>https://www.bd.com/en-us/products-and-solutions/products/product-page.MO115#overview, https://accessgudid.nlm.nih.gov/devices/10885403200946</t>
  </si>
  <si>
    <t>LA6461</t>
  </si>
  <si>
    <t>BD_LA6461</t>
  </si>
  <si>
    <t>SLIDE-LOCK ATRAUMATIC GRASPER SNGL-ACT</t>
  </si>
  <si>
    <t>PRODIGO1057661</t>
  </si>
  <si>
    <t>Atraumatic grasper</t>
  </si>
  <si>
    <t>GRASPER, ENDOSCOPIC, ATRAUMATIC, 5 MMX36 CM, SINGLE ACTION, SLIDELOCK HANDLE, INSULATED SHAFT, NO ROTATION, RATCHETED, NON STERILE, LATEX</t>
  </si>
  <si>
    <t>GRASPER, ENDOSCP, ATRAUM, 5 MMX36 CM, SINGLE ACT, SLIDELOCK HNDL, INSUL SHFT, NO ROT, RATCHETED, NS, LTX</t>
  </si>
  <si>
    <t>GRASPER, ENDOSCP, ATRAUM, 5 MMX36 CM, SINGLE ACT, RATCHETED, LTX</t>
  </si>
  <si>
    <t>SINGLE ACTION, SLIDELOCK HANDLE, INSULATED SHAFT, NO ROTATION, RATCHETED</t>
  </si>
  <si>
    <t>https://www.bd.com/en-us/products-and-solutions/products/product-page.la6461, https://accessgudid.nlm.nih.gov/devices/10885403052354</t>
  </si>
  <si>
    <t>LA6476</t>
  </si>
  <si>
    <t>BD_LA6476</t>
  </si>
  <si>
    <t>SLIDE-LOCK RETRACTION GRASPER DBL-ACT</t>
  </si>
  <si>
    <t>PRODIGO1057663</t>
  </si>
  <si>
    <t>Retraction grasper</t>
  </si>
  <si>
    <t>GRASPER, ENDOSCOPIC, RETRACTION, 5 MMX36 CM, DOUBLE ACTION, SLIDELOCK HANDLE, INSULATED SHAFT, ROTATION, RATCHETED, NON STERILE, LATEX</t>
  </si>
  <si>
    <t>GRASPER, ENDOSCP, RETRCT, 5 MMX36 CM, DBL ACT, SLIDELOCK HNDL, INSUL SHFT, ROT, RATCHETED, NS, LTX</t>
  </si>
  <si>
    <t>GRASPER, ENDOSCP, RETRCT, 5 MMX36 CM, DBL ACT, ROT, RATCHETED, LTX</t>
  </si>
  <si>
    <t>DOUBLE ACTION, SLIDELOCK HANDLE, INSULATED SHAFT, ROTATION, RATCHETED</t>
  </si>
  <si>
    <t>https://www.bd.com/en-us/products-and-solutions/products/product-page.la6476, https://accessgudid.nlm.nih.gov/devices/10885403052415</t>
  </si>
  <si>
    <t>LA6471</t>
  </si>
  <si>
    <t>BD_LA6471</t>
  </si>
  <si>
    <t>SLIDE-LOCK RETRACTION GRASPER SNGL-ACT</t>
  </si>
  <si>
    <t>PRODIGO1057662</t>
  </si>
  <si>
    <t>GRASPER, ENDOSCOPIC, RETRACTION, 5 MMX36 CM, SINGLE ACTION, SLIDELOCK HANDLE, INSULATED SHAFT, NO ROTATION, RATCHETED, NON STERILE, LATEX</t>
  </si>
  <si>
    <t>GRASPER, ENDOSCP, RETRCT, 5 MMX36 CM, SINGLE ACT, SLIDELOCK HNDL, INSUL SHFT, NO ROT, RATCHETED, NS, LTX</t>
  </si>
  <si>
    <t>GRASPER, ENDOSCP, RETRCT, 5 MMX36 CM, SINGLE ACT, RATCHETED, LTX</t>
  </si>
  <si>
    <t>https://www.bd.com/en-us/products-and-solutions/products/product-page.la6471, https://accessgudid.nlm.nih.gov/devices/10885403052392</t>
  </si>
  <si>
    <t>LA8271</t>
  </si>
  <si>
    <t>BD_LA8271</t>
  </si>
  <si>
    <t>SLIM MARYLAND DISSECTING FORCEPS</t>
  </si>
  <si>
    <t>PRODIGO1057728</t>
  </si>
  <si>
    <t>Dissector 10 Mmx35 Cm Long Maryland Double Action Slim Fully Curved Serrated Jaw Rotation Non Ratchet Stainless Steel Non Sterile Latex</t>
  </si>
  <si>
    <t>DISSECTOR, ENDOSCOPIC, MARYLAND, LONG, 10 MMX35 CM, DOUBLE ACTION, SLIM, FULLY CURVED, SERRATED JAW, ROTATION, NON RATCHET, STAINLESS STEEL, NON STERILE, LATEX</t>
  </si>
  <si>
    <t>DISSECTOR, ENDOSCP, MARYLAND, LNG, 10 MMX35 CM, DBL ACT, SLIM, FULL CRV, SERRATED JAW, ROT, N RATCH, SS, NS, LTX</t>
  </si>
  <si>
    <t>DISSECTOR, ENDOSCP, MARYLAND, LNG, 10 MMX35 CM, DBL ACT, FULL CRV</t>
  </si>
  <si>
    <t>DOUBLE ACTION, SLIM, FULLY CURVED, SERRATED JAW, ROTATION, NON RATCHET</t>
  </si>
  <si>
    <t>https://www.bd.com/en-us/products-and-solutions/products/product-page.LA8271#overview, https://accessgudid.nlm.nih.gov/devices/10885403053535</t>
  </si>
  <si>
    <t>MO110</t>
  </si>
  <si>
    <t>BD_MO110</t>
  </si>
  <si>
    <t>SLUDER-JANSEN MOUTH GAG OVERLGTH 5-1/2IN</t>
  </si>
  <si>
    <t>PRODIGO1057862</t>
  </si>
  <si>
    <t>SLUDER-JANSEN MOUTH GAG CURVED ARMS TO FIT FACE. RATCHET LOCK. BLADE 10MM WIDE. OVERALL LENGTH 5-12IN (14CM).</t>
  </si>
  <si>
    <t>GAG, MOUTH, SLUDER-JANSEN, 5-12IN, 10 MM, CURVED ARM TO FIT FACE, RATCHET LOCK, NON STERILE, LATEX</t>
  </si>
  <si>
    <t>GAG, MOUTH, SLUDER-JANSEN, 5-12IN, 10 MM, CRV ARM TO FIT FACE, RATCH LCK, NS, LTX</t>
  </si>
  <si>
    <t>GAG, MOUTH, SLUDER-JANSEN, 5-12IN, 10 MM, CRV ARM TO FIT FACE</t>
  </si>
  <si>
    <t>5-12IN</t>
  </si>
  <si>
    <t>https://www.bd.com/en-us/products-and-solutions/products/product-page.mo110#overview, https://accessgudid.nlm.nih.gov/devices/10885403057991</t>
  </si>
  <si>
    <t>MO9650</t>
  </si>
  <si>
    <t>BD_MO9650</t>
  </si>
  <si>
    <t>SMITH SAGITTAL SPLIT SEPARATR 9X10MM CVD</t>
  </si>
  <si>
    <t>PRODIGO1057973</t>
  </si>
  <si>
    <t>SMITH SAGITTAL-TYPE SPLIT SEPARATORS 9MM X 10MM WIDE. OVERALL LENGTH 7IN (17.8CM). CURVED RIGHT.</t>
  </si>
  <si>
    <t>SEPARATOR, SURGICAL, SMITH, 7 IN, 9X10 MM, SAGITTAL SPLIT, CURVED RIGHT, NON STERILE, LATEX</t>
  </si>
  <si>
    <t>SEPARATOR, SURG, SMITH, 7 IN, 9X10 MM, SAG SPLIT, CRV RT, NS, LTX</t>
  </si>
  <si>
    <t>SMITH</t>
  </si>
  <si>
    <t>9X10 MM</t>
  </si>
  <si>
    <t>SAGITTAL SPLIT, CURVED RIGHT</t>
  </si>
  <si>
    <t>https://www.bd.com/en-us/products-and-solutions/products/product-page.MO9650#overview, https://accessgudid.nlm.nih.gov/devices/10885403067006</t>
  </si>
  <si>
    <t>MO9655</t>
  </si>
  <si>
    <t>BD_MO9655</t>
  </si>
  <si>
    <t>PRODIGO1057974</t>
  </si>
  <si>
    <t>SMITH SAGITTAL-TYPE SPLIT SEPARATORS 9MM X 10MM WIDE. OVERALL LENGTH 7IN (17.8CM). CURVED LEFT.</t>
  </si>
  <si>
    <t>SEPARATOR, SURGICAL, SMITH, 7 IN, 9X10 MM, SAGITTAL SPLIT, CURVED LEFT, NON STERILE, LATEX</t>
  </si>
  <si>
    <t>SEPARATOR, SURG, SMITH, 7 IN, 9X10 MM, SAG SPLIT, CRV LT, NS, LTX</t>
  </si>
  <si>
    <t>SAGITTAL SPLIT, CURVED LEFT</t>
  </si>
  <si>
    <t>https://www.bd.com/en-us/products-and-solutions/products/product-page.MO9655#overview, https://accessgudid.nlm.nih.gov/devices/10885403067013</t>
  </si>
  <si>
    <t>LA8230</t>
  </si>
  <si>
    <t>BD_LA8230</t>
  </si>
  <si>
    <t>SNAKE TOOTH GRASP FORCP DBL-ACT 5MM 35CM</t>
  </si>
  <si>
    <t>PRODIGO1057705</t>
  </si>
  <si>
    <t>Grasper 5 Mmx35 Cm Snake Tooth Double Action Insulated Shaft Non Rotation Ratchet Satin Finish Stainless Steel Non Sterile Latex</t>
  </si>
  <si>
    <t>GRASPER, ENDOSCOPIC, SNAKE TOOTH, 5 MMX35 CM, DOUBLE ACTION, INSULATED SHAFT, NON ROTATION, RATCHET, SATIN FINISH, STAINLESS STEEL, NON STERILE, LATEX</t>
  </si>
  <si>
    <t>GRASPER, ENDOSCP, SNAKE TOOTH, 5 MMX35 CM, DBL ACT, INSUL SHFT, N ROT, RATCH, SATIN FINISH, SS, NS, LTX</t>
  </si>
  <si>
    <t>GRASPER, ENDOSCP, SNAKE TOOTH, 5 MMX35 CM, DBL ACT, N ROT</t>
  </si>
  <si>
    <t>SNAKE TOOTH</t>
  </si>
  <si>
    <t>DOUBLE ACTION, INSULATED SHAFT, NON ROTATION, RATCHET, SATIN FINISH</t>
  </si>
  <si>
    <t>FORCP</t>
  </si>
  <si>
    <t>https://www.bd.com/en-us/offerings/capabilities/surgical-instruments/laparoscopic-instruments/snake-tooth-grasper/la8230, https://accessgudid.nlm.nih.gov/devices/10885403053160</t>
  </si>
  <si>
    <t>LA8231</t>
  </si>
  <si>
    <t>BD_LA8231</t>
  </si>
  <si>
    <t>PRODIGO1057706</t>
  </si>
  <si>
    <t>Grasper 5 Mmx35 Cm Snake Tooth Double Action Insulated Shaft Rotation Ratchet Satin Finish Stainless Steel Non Sterile Latex</t>
  </si>
  <si>
    <t>GRASPER, ENDOSCOPIC, SNAKE TOOTH, 5 MMX35 CM, DOUBLE ACTION, INSULATED SHAFT, ROTATION, RATCHET, SATIN FINISH, STAINLESS STEEL, NON STERILE, LATEX</t>
  </si>
  <si>
    <t>GRASPER, ENDOSCP, SNAKE TOOTH, 5 MMX35 CM, DBL ACT, INSUL SHFT, ROT, RATCH, SATIN FINISH, SS, NS, LTX</t>
  </si>
  <si>
    <t>GRASPER, ENDOSCP, SNAKE TOOTH, 5 MMX35 CM, DBL ACT, ROT</t>
  </si>
  <si>
    <t>https://www.bd.com/en-us/offerings/capabilities/surgical-instruments/laparoscopic-instruments/snake-tooth-grasper/la8231, https://accessgudid.nlm.nih.gov/devices/10885403053177</t>
  </si>
  <si>
    <t>GL3010</t>
  </si>
  <si>
    <t>BD_GL3010</t>
  </si>
  <si>
    <t>SOMERS UTERINE ELEVATING FORCEPS 8-3/4IN</t>
  </si>
  <si>
    <t>PRODIGO1057417</t>
  </si>
  <si>
    <t>Somers uterine elevating forceps Curved serrated fenestrated jaws. Mirror finish. Overall length 8-3/4in (22.2cm).</t>
  </si>
  <si>
    <t>FORCEP, SURGICAL, SOMERS, 8.75 IN, UTERINE, ELEVATING, CURVED, SERRATED, FENESTRATED JAW, MIRROR FINISH, NON STERILE, LATEX</t>
  </si>
  <si>
    <t>FORCEP, SURG, SOMERS, 8.75 IN, UTER, ELEVATING, CRV, SERRATED, FEN JAW, MIRROR FINISH, NS, LTX</t>
  </si>
  <si>
    <t>FORCEP, SURG, SOMERS, 8.75 IN, UTER, ELEVATING, SERRATED, FEN JAW</t>
  </si>
  <si>
    <t>SOMERS</t>
  </si>
  <si>
    <t>ELEVATING, CURVED, SERRATED, FENESTRATED JAW, MIRROR FINISH</t>
  </si>
  <si>
    <t>https://www.bd.com/en-us/products-and-solutions/products/product-page.GL3010#overview, https://accessgudid.nlm.nih.gov/devices/10885403045141</t>
  </si>
  <si>
    <t>LA8509</t>
  </si>
  <si>
    <t>BD_LA8509</t>
  </si>
  <si>
    <t>SPATULA ELECTRODE 33CM</t>
  </si>
  <si>
    <t>PRODIGO1057753</t>
  </si>
  <si>
    <t>Electrode 5 Mmx33 Cm Spatula Suction No Valve Non Sterile Latex</t>
  </si>
  <si>
    <t>ELECTRODE, ELECTROSURGICAL, SPATULA, 5 MMX33 CM, SUCTION, NO VALVE, NON STERILE, LATEX</t>
  </si>
  <si>
    <t>ELECTRODE, ELECSURG, SPATULA, 5 MMX33 CM, SUCTION, NO VLV, NS, LTX</t>
  </si>
  <si>
    <t>SUCTION, NO VALVE</t>
  </si>
  <si>
    <t>https://www.bd.com/en-us/offerings/capabilities/surgical-instruments/laparoscopic-instruments/spatula-electrode/la8509, https://accessgudid.nlm.nih.gov/devices/10885403053979</t>
  </si>
  <si>
    <t>LA850945</t>
  </si>
  <si>
    <t>LA8509-45</t>
  </si>
  <si>
    <t>BD_LA850945</t>
  </si>
  <si>
    <t>SPATULA ELECTRODE 45CM</t>
  </si>
  <si>
    <t>PRODIGO1057754</t>
  </si>
  <si>
    <t>Electrode 5 Mmx45 Cm Spatula Suction No Valve Non Sterile Latex</t>
  </si>
  <si>
    <t>ELECTRODE, ELECTROSURGICAL, SPATULA, 5 MMX45 CM, SUCTION, NO VALVE, NON STERILE, LATEX</t>
  </si>
  <si>
    <t>ELECTRODE, ELECSURG, SPATULA, 5 MMX45 CM, SUCTION, NO VLV, NS, LTX</t>
  </si>
  <si>
    <t>https://www.bd.com/en-us/offerings/capabilities/surgical-instruments/laparoscopic-instruments/spatula-electrode/la8509-45, https://accessgudid.nlm.nih.gov/devices/10885403053986</t>
  </si>
  <si>
    <t>LA8525</t>
  </si>
  <si>
    <t>BD_LA8525</t>
  </si>
  <si>
    <t>SPATULA SUCT ELECTRODE W/VALVE 5MM 33CM</t>
  </si>
  <si>
    <t>PRODIGO1057765</t>
  </si>
  <si>
    <t>Electrode 5 Mmx33 Cm Spatula Suction Valve Non Sterile Latex</t>
  </si>
  <si>
    <t>ELECTRODE, ELECTROSURGICAL, SPATULA, 5 MMX33 CM, SUCTION, VALVE, NON STERILE, LATEX</t>
  </si>
  <si>
    <t>ELECTRODE, ELECSURG, SPATULA, 5 MMX33 CM, SUCTION, VLV, NS, LTX</t>
  </si>
  <si>
    <t>SUCTION, VALVE</t>
  </si>
  <si>
    <t>https://www.bd.com/en-us/products-and-solutions/products/product-page.LA8525#overview, https://accessgudid.nlm.nih.gov/devices/10885403054297</t>
  </si>
  <si>
    <t>LA8517</t>
  </si>
  <si>
    <t>BD_LA8517</t>
  </si>
  <si>
    <t>SPATULA SUCTION ELECTORDE 33CM</t>
  </si>
  <si>
    <t>PRODIGO1057760</t>
  </si>
  <si>
    <t>ELECTRODE, ELECTROSURGICAL, SPATULA, 5 MMX33 CM, SUCTION, NO VALVE, NON STERILE, LATEX, LA8517</t>
  </si>
  <si>
    <t>ELECTRODE, ELECSURG, SPATULA, 5 MMX33 CM, SUCTION, NO VLV, LA8517</t>
  </si>
  <si>
    <t>https://www.bd.com/en-us/products-and-solutions/products/product-page.LA8517#overview, https://accessgudid.nlm.nih.gov/devices/10885403054136</t>
  </si>
  <si>
    <t>LAT1036SC</t>
  </si>
  <si>
    <t>LAT-1036-SC</t>
  </si>
  <si>
    <t>BD_LAT1036SC</t>
  </si>
  <si>
    <t>SPOON CUP S/A INSERT 10MM 36CM</t>
  </si>
  <si>
    <t>PRODIGO1057836</t>
  </si>
  <si>
    <t>GRASPER, ENDOSCOPIC, SPOON CUP, 10X36 MM, SINGLE ACTION INSERT, LAPAROSCOPIC, NON STERILE, LATEX</t>
  </si>
  <si>
    <t>GRASPER ENDOSCOPIC SPOON CUP 10X36 MM SINGLE ACTION INSERT LAPAROSCOPIC NON STERILE LATEX</t>
  </si>
  <si>
    <t>GRASPER, ENDOSCP, SPN CUP, 10 MMX36 CM, SINGLE ACT INSRT, LAP, NS, LTX</t>
  </si>
  <si>
    <t>SPOON CUP</t>
  </si>
  <si>
    <t>SINGLE ACTION INSERT, LAPAROSCOPIC</t>
  </si>
  <si>
    <t>https://www.bd.com/en-us/products-and-solutions/products/product-page.lat-1036-sc#specifications, https://accessgudid.nlm.nih.gov/devices/10885403431043</t>
  </si>
  <si>
    <t>AU6606</t>
  </si>
  <si>
    <t>BD_AU6606</t>
  </si>
  <si>
    <t>SPRATT   CURETTE OVALCUP SZ4 8.4MM</t>
  </si>
  <si>
    <t>PRODIGO1056369</t>
  </si>
  <si>
    <t>SPRATT MASTOID CURETTES SIZE 4. CUP 11.4 X 8.4MM WIDE. OVERALL LENGTH 6-1/2IN (16.7CM).</t>
  </si>
  <si>
    <t>CURETTE, SURGICAL, SPRATT MASTOID, 4, 6.5 IN, 11.4X8.4 MM, OVAL CUP, NON STERILE, LATEX</t>
  </si>
  <si>
    <t>CURETTE, SURG, SPRATT MASTOID, 4, 6.5 IN, 11.4X8.4 MM, OVL CUP, NS, LTX</t>
  </si>
  <si>
    <t>CURETTE, SURG, SPRATT MASTOID, 4, 6.5 IN, 11.4X8.4 MM, OVL CUP, NS</t>
  </si>
  <si>
    <t>SPRATT MASTOID</t>
  </si>
  <si>
    <t>11.4X8.4 MM</t>
  </si>
  <si>
    <t>OVAL CUP</t>
  </si>
  <si>
    <t>https://www.bd.com/en-us/products-and-solutions/products/product-page.AU6606#overview, https://accessgudid.nlm.nih.gov/devices/10885403009044</t>
  </si>
  <si>
    <t>AU6607</t>
  </si>
  <si>
    <t>BD_AU6607</t>
  </si>
  <si>
    <t>SPRATT   CURETTE OVALCUP SZ5 8.9MM</t>
  </si>
  <si>
    <t>PRODIGO1056370</t>
  </si>
  <si>
    <t>SPRATT MASTOID CURETTES SIZE 5. CUP 12.7 X 8.9MM WIDE. OVERALL LENGTH 6-1/2IN (16.7CM).</t>
  </si>
  <si>
    <t>CURETTE, SURGICAL, SPRATT MASTOID, 5, 6.5 IN, 12.7X8.9 MM, OVAL CUP, NON STERILE, LATEX</t>
  </si>
  <si>
    <t>CURETTE, SURG, SPRATT MASTOID, 5, 6.5 IN, 12.7X8.9 MM, OVL CUP, NS, LTX</t>
  </si>
  <si>
    <t>CURETTE, SURG, SPRATT MASTOID, 5, 6.5 IN, 12.7X8.9 MM, OVL CUP, NS</t>
  </si>
  <si>
    <t>12.7X8.9 MM</t>
  </si>
  <si>
    <t>https://www.bd.com/en-us/products-and-solutions/products/product-page.AU6607#overview, https://accessgudid.nlm.nih.gov/devices/10885403009051</t>
  </si>
  <si>
    <t>AA6600</t>
  </si>
  <si>
    <t>BD_AA6600</t>
  </si>
  <si>
    <t>SPRATT MASTOID CURET OVAL 3.2MMCUP SZ000</t>
  </si>
  <si>
    <t>PRODIGO1056103</t>
  </si>
  <si>
    <t>SPRATT MASTOID CURETTE AFFINITY LINE. SIZE 000. CUP 3.2MM. OVERALL LENGTH 6-1/2IN (16.5CM).</t>
  </si>
  <si>
    <t>CURETTE, SURGICAL, SPRATT MASTOID, 000, 6.5 IN, 3.2 MM, OVAL, NON STERILE, LATEX</t>
  </si>
  <si>
    <t>CURETTE, SURG, SPRATT MASTOID, 000, 6.5 IN, 3.2 MM, OVL, NS, LTX</t>
  </si>
  <si>
    <t>000</t>
  </si>
  <si>
    <t>3.2 MM</t>
  </si>
  <si>
    <t>OVAL</t>
  </si>
  <si>
    <t>https://www.bd.com/en-us/products-and-solutions/products/product-page.AA6600#overview, https://accessgudid.nlm.nih.gov/devices/10885403007170</t>
  </si>
  <si>
    <t>AA6601</t>
  </si>
  <si>
    <t>BD_AA6601</t>
  </si>
  <si>
    <t>SPRATT MASTOID CURETT OVAL 3.4MMCUP SZ00</t>
  </si>
  <si>
    <t>PRODIGO1056104</t>
  </si>
  <si>
    <t>SPRATT MASTOID CURETTE AFFINITY LINE. SIZE 00. CUP 3.4MM. OVERALL LENGTH 6-1/2IN (16.5CM).</t>
  </si>
  <si>
    <t>CURETTE, SURGICAL, SPRATT MASTOID, 00, 6.5 IN, 3.4 MM, OVAL, NON STERILE, LATEX</t>
  </si>
  <si>
    <t>CURETTE, SURG, SPRATT MASTOID, 00, 6.5 IN, 3.4 MM, OVL, NS, LTX</t>
  </si>
  <si>
    <t>3.4 MM</t>
  </si>
  <si>
    <t>https://www.bd.com/en-us/products-and-solutions/products/product-page.AA6601#overview, https://accessgudid.nlm.nih.gov/devices/10885403163890</t>
  </si>
  <si>
    <t>AA6602</t>
  </si>
  <si>
    <t>BD_AA6602</t>
  </si>
  <si>
    <t>SPRATT MASTOID CURETTE OVAL 3.7MMCUP SZ0</t>
  </si>
  <si>
    <t>PRODIGO1056105</t>
  </si>
  <si>
    <t>SPRATT MASTOID CURETTE AFFINITY LINE. SIZE 0. CUP 3.7MM. OVERALL LENGTH 6-1/2IN (16.5CM).</t>
  </si>
  <si>
    <t>CURETTE, SURGICAL, SPRATT MASTOID, 0, 6.5 IN, 3.7 MM, OVAL, NON STERILE, LATEX</t>
  </si>
  <si>
    <t>CURETTE, SURG, SPRATT MASTOID, 0, 6.5 IN, 3.7 MM, OVL, NS, LTX</t>
  </si>
  <si>
    <t>0</t>
  </si>
  <si>
    <t>https://www.bd.com/en-us/products-and-solutions/products/product-page.AA6602#overview, https://accessgudid.nlm.nih.gov/devices/10885403007194</t>
  </si>
  <si>
    <t>AA6603</t>
  </si>
  <si>
    <t>BD_AA6603</t>
  </si>
  <si>
    <t>SPRATT MASTOID CURETTE OVAL 4.7MMCUP SZ1</t>
  </si>
  <si>
    <t>PRODIGO1056106</t>
  </si>
  <si>
    <t>SPRATT MASTOID CURETTE AFFINITY LINE. SIZE 1. CUP 4.7MM. OVERALL LENGTH 6-1/2IN (16.5CM).</t>
  </si>
  <si>
    <t>CURETTE, SURGICAL, SPRATT MASTOID, 1, 6.5 IN, 4.7 MM, OVAL, NON STERILE, LATEX</t>
  </si>
  <si>
    <t>CURETTE, SURG, SPRATT MASTOID, 1, 6.5 IN, 4.7 MM, OVL, NS, LTX</t>
  </si>
  <si>
    <t>https://www.bd.com/en-us/products-and-solutions/products/product-page.AA6603#overview, https://accessgudid.nlm.nih.gov/devices/10885403007200</t>
  </si>
  <si>
    <t>AA6604</t>
  </si>
  <si>
    <t>BD_AA6604</t>
  </si>
  <si>
    <t>SPRATT MASTOID CURETTE OVAL 5.7MMCUP SZ2</t>
  </si>
  <si>
    <t>PRODIGO1056107</t>
  </si>
  <si>
    <t>SPRATT MASTOID CURETTE AFFINITY LINE. SIZE 2. CUP 5.7MM. OVERALL LENGTH 6-1/2IN (16.5CM).</t>
  </si>
  <si>
    <t>CURETTE, SURGICAL, SPRATT MASTOID, 2, 6.5 IN, 5.7 MM, OVAL, NON STERILE, LATEX</t>
  </si>
  <si>
    <t>CURETTE, SURG, SPRATT MASTOID, 2, 6.5 IN, 5.7 MM, OVL, NS, LTX</t>
  </si>
  <si>
    <t>https://www.bd.com/en-us/products-and-solutions/products/product-page.AA6604#overview, https://accessgudid.nlm.nih.gov/devices/10885403007217</t>
  </si>
  <si>
    <t>AA6605</t>
  </si>
  <si>
    <t>BD_AA6605</t>
  </si>
  <si>
    <t>SPRATT MASTOID CURETTE OVAL 7MM CUP SZ 3</t>
  </si>
  <si>
    <t>PRODIGO1056108</t>
  </si>
  <si>
    <t>SPRATT MASTOID CURETTE AFFINITY LINE. SIZE 3. CUP 7MM. OVERALL LENGTH 6-1/2IN (16.5CM).</t>
  </si>
  <si>
    <t>CURETTE, SURGICAL, SPRATT MASTOID, 3, 6.5 IN, 7 MM, OVAL, NON STERILE, LATEX</t>
  </si>
  <si>
    <t>CURETTE, SURG, SPRATT MASTOID, 3, 6.5 IN, 7 MM, OVL, NS, LTX</t>
  </si>
  <si>
    <t>https://www.bd.com/en-us/products-and-solutions/products/product-page.AA6605#overview, https://accessgudid.nlm.nih.gov/devices/10885403007224</t>
  </si>
  <si>
    <t>LA8252</t>
  </si>
  <si>
    <t>BD_LA8252</t>
  </si>
  <si>
    <t>STANDARD BIPOLAR FORCEPS 5MM 35CM</t>
  </si>
  <si>
    <t>PRODIGO1057723</t>
  </si>
  <si>
    <t>Forcep 5 Mmx35 Cm Standard Kleppinger 3 Mm Double Action Bipolar Flat Insulated Shaft Non Rotation Insulated Handle Non Ratchet Satin Finish Stainless Steel Non Sterile Latex</t>
  </si>
  <si>
    <t>FORCEP, ENDOSCOPIC, KLEPPINGER, STANDARD, 5 MMX35 CM, 3 MM, DOUBLE ACTION, BIPOLAR, FLAT, INSULATED SHAFT, NON ROTATION, INSULATED HANDLE, NON RATCHET, SATIN FINISH, STAINLESS STEEL, NON STERILE, LATEX</t>
  </si>
  <si>
    <t>FORCEP, ENDOSCP, KLEPPINGER, STD, 5 MMX35 CM, 3 MM, DBL ACT, BPLR, FLAT, INSUL SHFT, N ROT, INSUL HNDL, N RATCH, SATIN FINISH, SS, NS, LTX</t>
  </si>
  <si>
    <t>FORCEP, ENDOSCP, KLEPPINGER, STD, 5 MMX35 CM, 3 MM, DBL ACT, BPLR</t>
  </si>
  <si>
    <t>DOUBLE ACTION, BIPOLAR, FLAT, INSULATED SHAFT, NON ROTATION, INSULATED HANDLE, NON RATCHET, SATIN FINISH</t>
  </si>
  <si>
    <t>https://www.bd.com/en-us/offerings/capabilities/surgical-instruments/laparoscopic-instruments/standard-bipolar-forceps/la8252, https://accessgudid.nlm.nih.gov/devices/10885403053481</t>
  </si>
  <si>
    <t>LA825245</t>
  </si>
  <si>
    <t>LA8252-45</t>
  </si>
  <si>
    <t>BD_LA825245</t>
  </si>
  <si>
    <t>STANDARD BIPOLAR FORCEPS 5MM 45CM</t>
  </si>
  <si>
    <t>PRODIGO1057724</t>
  </si>
  <si>
    <t>Forcep 5 Mmx45 Cm Standard Kleppinger 3 Mm Double Action Bipolar Flat Insulated Shaft Non Rotation Insulated Handle Non Ratchet Satin Finish Stainless Steel Non Sterile Latex</t>
  </si>
  <si>
    <t>FORCEP, ENDOSCOPIC, KLEPPINGER, STANDARD, 5 MMX45 CM, 3 MM, DOUBLE ACTION, BIPOLAR, FLAT, INSULATED SHAFT, NON ROTATION, INSULATED HANDLE, NON RATCHET, SATIN FINISH, STAINLESS STEEL, NON STERILE, LATEX</t>
  </si>
  <si>
    <t>FORCEP, ENDOSCP, KLEPPINGER, STD, 5 MMX45 CM, 3 MM, DBL ACT, BPLR, FLAT, INSUL SHFT, N ROT, INSUL HNDL, N RATCH, SATIN FINISH, SS, NS, LTX</t>
  </si>
  <si>
    <t>FORCEP, ENDOSCP, KLEPPINGER, STD, 5 MMX45 CM, 3 MM, DBL ACT, BPLR</t>
  </si>
  <si>
    <t>https://www.bd.com/en-us/offerings/capabilities/surgical-instruments/laparoscopic-instruments/standard-bipolar-forceps/la8252-45, https://accessgudid.nlm.nih.gov/devices/10885403053498</t>
  </si>
  <si>
    <t>CH870022</t>
  </si>
  <si>
    <t>CH8700-22</t>
  </si>
  <si>
    <t>BD_CH870022</t>
  </si>
  <si>
    <t>STERNAL SPREADER 22MM ARM 7IN W/DBL BLDE</t>
  </si>
  <si>
    <t>PRODIGO1057266</t>
  </si>
  <si>
    <t>Sternal Spreaders With Double  Blade, Blades 22mm deep</t>
  </si>
  <si>
    <t>SPREADER, SURGICAL, STERNUM, 7.75 IN, 22 MM BLADE, 7 IN ARM, WITH DOUBLE SERRATED BLADE, NON STERILE, LATEX</t>
  </si>
  <si>
    <t>SPREADER, SURG, STRNM, 7.75 IN, 22 MM BLADE, 7 IN ARM, W/ DBL SERRATED BLADE, NS, LTX</t>
  </si>
  <si>
    <t>SPREADER, SURG, STRNM, 7.75 IN, 22 MM BLADE, 7 IN ARM, DBL BLADE</t>
  </si>
  <si>
    <t>STERNUM</t>
  </si>
  <si>
    <t>22 MM BLADE, 7 IN ARM</t>
  </si>
  <si>
    <t>WITH DOUBLE SERRATED BLADE</t>
  </si>
  <si>
    <t>https://www.hces.com.sg/wp-content/uploads/2021/04/Cardiovascular-Pages-from-vmueller-snowdenpencer-armamentarium-catalogue-4.pdf, https://accessgudid.nlm.nih.gov/devices/10885403035630</t>
  </si>
  <si>
    <t>CH870028</t>
  </si>
  <si>
    <t>CH8700-28</t>
  </si>
  <si>
    <t>BD_CH870028</t>
  </si>
  <si>
    <t>STERNAL SPREADER 28MM ARM 7IN W/DBL BLDE</t>
  </si>
  <si>
    <t>PRODIGO1057267</t>
  </si>
  <si>
    <t>Sternal Spreaders With Double  Blade, Blades 28mm deep</t>
  </si>
  <si>
    <t>SPREADER, SURGICAL, STERNUM, 7.75 IN, 28 MM BLADE, 7 IN ARM, WITH DOUBLE SERRATED BLADE, NON STERILE, LATEX</t>
  </si>
  <si>
    <t>SPREADER, SURG, STRNM, 7.75 IN, 28 MM BLADE, 7 IN ARM, W/ DBL SERRATED BLADE, NS, LTX</t>
  </si>
  <si>
    <t>SPREADER, SURG, STRNM, 7.75 IN, 28 MM BLADE, 7 IN ARM, DBL BLADE</t>
  </si>
  <si>
    <t>28 MM BLADE, 7 IN ARM</t>
  </si>
  <si>
    <t>https://www.hces.com.sg/wp-content/uploads/2021/04/Cardiovascular-Pages-from-vmueller-snowdenpencer-armamentarium-catalogue-4.pdf, https://accessgudid.nlm.nih.gov/devices/10885403035647</t>
  </si>
  <si>
    <t>CH8700441</t>
  </si>
  <si>
    <t>CH8700-441</t>
  </si>
  <si>
    <t>BD_CH8700441</t>
  </si>
  <si>
    <t>STERNAL SPREADER 44MM ARM 7IN W/DBL BLDE</t>
  </si>
  <si>
    <t>PRODIGO1057268</t>
  </si>
  <si>
    <t>Sternal Spreaders With Double  Blade, Blades 44mm deep</t>
  </si>
  <si>
    <t>SPREADER, SURGICAL, STERNUM, 7.75 IN, 44 MM BLADE, 7 IN ARM, WITH DOUBLE SERRATED BLADE, NON STERILE, LATEX</t>
  </si>
  <si>
    <t>SPREADER, SURG, STRNM, 7.75 IN, 44 MM BLADE, 7 IN ARM, W/ DBL SERRATED BLADE, NS, LTX</t>
  </si>
  <si>
    <t>SPREADER, SURG, STRNM, 7.75 IN, 44 MM BLADE, 7 IN ARM, DBL BLADE</t>
  </si>
  <si>
    <t>44 MM BLADE, 7 IN ARM</t>
  </si>
  <si>
    <t>https://www.hces.com.sg/wp-content/uploads/2021/04/Cardiovascular-Pages-from-vmueller-snowdenpencer-armamentarium-catalogue-4.pdf, https://accessgudid.nlm.nih.gov/devices/10885403035661</t>
  </si>
  <si>
    <t>CH875028</t>
  </si>
  <si>
    <t>CH8750-28</t>
  </si>
  <si>
    <t>BD_CH875028</t>
  </si>
  <si>
    <t>STERNAL SPREADER ARM 8-1/4IN W/DBL BLADE</t>
  </si>
  <si>
    <t>PRODIGO1057269</t>
  </si>
  <si>
    <t>Extra-Long Arm Sternal Spreaders With Double Blades Blades 28mm deep</t>
  </si>
  <si>
    <t>SPREADER, SURGICAL, STERNUM, LARGE, 8 IN, 28 MM BLADE, 8.25 IN ARM, WITH DOUBLE SERRATED BLADE, EXTRA LONG ARM, NON STERILE, LATEX</t>
  </si>
  <si>
    <t>SPREADER, SURG, STRNM, LG, 8 IN, 28 MM BLADE, 8.25 IN ARM, W/ DBL SERRATED BLADE, X LNG ARM, NS, LTX</t>
  </si>
  <si>
    <t>SPREADER, SURG, STRNM, LG, 8 IN, 28 MM BLADE, 8.25 IN ARM, ARM, NS</t>
  </si>
  <si>
    <t>28 MM BLADE, 8.25 IN ARM</t>
  </si>
  <si>
    <t>WITH DOUBLE SERRATED BLADE, EXTRA LONG ARM</t>
  </si>
  <si>
    <t>https://www.hces.com.sg/wp-content/uploads/2021/04/Cardiovascular-Pages-from-vmueller-snowdenpencer-armamentarium-catalogue-4.pdf, https://accessgudid.nlm.nih.gov/devices/10885403035685</t>
  </si>
  <si>
    <t>CH860007</t>
  </si>
  <si>
    <t>CH8600-07</t>
  </si>
  <si>
    <t>BD_CH860007</t>
  </si>
  <si>
    <t>STERNUM SPREADER W/DBL BLADE ARM 2-1/4IN</t>
  </si>
  <si>
    <t>PRODIGO1057252</t>
  </si>
  <si>
    <t>Sternal Spreaders with Double Blades Arm length 2-1/4in Spread 2in</t>
  </si>
  <si>
    <t>SPREADER, SURGICAL, STERNUM, 2 IN, 2.25 IN ARM, WITH DOUBLE BLADE, NON STERILE, LATEX</t>
  </si>
  <si>
    <t>SPREADER, SURG, STRNM, 2 IN, 2.25 IN ARM, W/ DBL BLADE, NS, LTX</t>
  </si>
  <si>
    <t>2.25 IN ARM</t>
  </si>
  <si>
    <t>WITH DOUBLE BLADE</t>
  </si>
  <si>
    <t>https://www.hces.com.sg/wp-content/uploads/2021/04/Cardiovascular-Pages-from-vmueller-snowdenpencer-armamentarium-catalogue-4.pdf, https://accessgudid.nlm.nih.gov/devices/10885403035289</t>
  </si>
  <si>
    <t>CH860010</t>
  </si>
  <si>
    <t>CH8600-10</t>
  </si>
  <si>
    <t>BD_CH860010</t>
  </si>
  <si>
    <t>STERNUM SPREADER W/DBL BLADE ARM 2-3/4IN</t>
  </si>
  <si>
    <t>PRODIGO1057253</t>
  </si>
  <si>
    <t>Sternal Spreaders with Double Blades Arm length 2-3/4in Spread 2-3/4in</t>
  </si>
  <si>
    <t>SPREADER, SURGICAL, STERNUM, 2.75 IN, 2.75 IN ARM, WITH DOUBLE BLADE, NON STERILE, LATEX</t>
  </si>
  <si>
    <t>SPREADER, SURG, STRNM, 2.75 IN, 2.75 IN ARM, W/ DBL BLADE, NS, LTX</t>
  </si>
  <si>
    <t>2.75 IN ARM</t>
  </si>
  <si>
    <t>https://www.hces.com.sg/wp-content/uploads/2021/04/Cardiovascular-Pages-from-vmueller-snowdenpencer-armamentarium-catalogue-4.pdf, https://accessgudid.nlm.nih.gov/devices/10885403035296</t>
  </si>
  <si>
    <t>CH860013</t>
  </si>
  <si>
    <t>CH8600-13</t>
  </si>
  <si>
    <t>BD_CH860013</t>
  </si>
  <si>
    <t>STERNUM SPREADER W/DBL BLADE ARM 3-1/4IN</t>
  </si>
  <si>
    <t>PRODIGO1057254</t>
  </si>
  <si>
    <t>Sternal Spreaders with Double Blades Arm length 3-1/4in Spread 3-3/4in</t>
  </si>
  <si>
    <t>SPREADER, SURGICAL, STERNUM, 2.75 IN, 3.25 IN ARM, WITH DOUBLE BLADE, NON STERILE, LATEX</t>
  </si>
  <si>
    <t>SPREADER, SURG, STRNM, 2.75 IN, 3.25 IN ARM, W/ DBL BLADE, NS, LTX</t>
  </si>
  <si>
    <t>3.25 IN ARM</t>
  </si>
  <si>
    <t>https://www.hces.com.sg/wp-content/uploads/2021/04/Cardiovascular-Pages-from-vmueller-snowdenpencer-armamentarium-catalogue-4.pdf, https://accessgudid.nlm.nih.gov/devices/10885403035302</t>
  </si>
  <si>
    <t>CH860015</t>
  </si>
  <si>
    <t>CH8600-15</t>
  </si>
  <si>
    <t>BD_CH860015</t>
  </si>
  <si>
    <t>STERNUM SPREADER W/DBL BLADE ARM 3-5/8IN</t>
  </si>
  <si>
    <t>PRODIGO1057255</t>
  </si>
  <si>
    <t>Sternal Spreaders with Double Blades Arm length 3-5/8in Spread 4-1/4in</t>
  </si>
  <si>
    <t>SPREADER, SURGICAL, STERNUM, 4.25 IN, 3-5/8 IN ARM, WITH DOUBLE BLADE, NON STERILE, LATEX</t>
  </si>
  <si>
    <t>SPREADER, SURG, STRNM, 4.25 IN, 3-5/8 IN ARM, W/ DBL BLADE, NS, LTX</t>
  </si>
  <si>
    <t>3-5/8 IN ARM</t>
  </si>
  <si>
    <t>https://www.hces.com.sg/wp-content/uploads/2021/04/Cardiovascular-Pages-from-vmueller-snowdenpencer-armamentarium-catalogue-4.pdf, https://accessgudid.nlm.nih.gov/devices/10885403035319</t>
  </si>
  <si>
    <t>CH860018</t>
  </si>
  <si>
    <t>CH8600-18</t>
  </si>
  <si>
    <t>BD_CH860018</t>
  </si>
  <si>
    <t>STERNUM SPREADER W/DBL BLADE ARM 4-1/4IN</t>
  </si>
  <si>
    <t>PRODIGO1057256</t>
  </si>
  <si>
    <t>Sternal Spreaders with Double Blades Arm length 4-1/4in Spread 5-1/8in</t>
  </si>
  <si>
    <t>SPREADER, SURGICAL, STERNUM, 5-1/8 IN, 4.25 IN ARM, WITH DOUBLE BLADE, NON STERILE, LATEX</t>
  </si>
  <si>
    <t>SPREADER, SURG, STRNM, 5-1/8 IN, 4.25 IN ARM, W/ DBL BLADE, NS, LTX</t>
  </si>
  <si>
    <t>4.25 IN ARM</t>
  </si>
  <si>
    <t>https://www.hces.com.sg/wp-content/uploads/2021/04/Cardiovascular-Pages-from-vmueller-snowdenpencer-armamentarium-catalogue-4.pdf, https://accessgudid.nlm.nih.gov/devices/10885403035326</t>
  </si>
  <si>
    <t>CH860022</t>
  </si>
  <si>
    <t>CH8600-22</t>
  </si>
  <si>
    <t>BD_CH860022</t>
  </si>
  <si>
    <t>STERNUM SPREADER W/DBL BLADE ARM 5-3/4IN</t>
  </si>
  <si>
    <t>PRODIGO1057258</t>
  </si>
  <si>
    <t>Sternal Spreaders with Double Blades Arm length 5-3/4in Spread 6-1/2in</t>
  </si>
  <si>
    <t>SPREADER, SURGICAL, STERNUM, 6.5 IN, 5.75 IN ARM, WITH DOUBLE BLADE, NON STERILE, LATEX</t>
  </si>
  <si>
    <t>SPREADER, SURG, STRNM, 6.5 IN, 5.75 IN ARM, W/ DBL BLADE, NS, LTX</t>
  </si>
  <si>
    <t>5.75 IN ARM</t>
  </si>
  <si>
    <t>https://www.hces.com.sg/wp-content/uploads/2021/04/Cardiovascular-Pages-from-vmueller-snowdenpencer-armamentarium-catalogue-4.pdf, https://accessgudid.nlm.nih.gov/devices/10885403035340</t>
  </si>
  <si>
    <t>CH860020</t>
  </si>
  <si>
    <t>CH8600-20</t>
  </si>
  <si>
    <t>BD_CH860020</t>
  </si>
  <si>
    <t>STERNUM SPREADER W/DBL BLADE ARM 5IN</t>
  </si>
  <si>
    <t>PRODIGO1057257</t>
  </si>
  <si>
    <t>Sternal Spreaders with Double Blades Arm length 5in Spread 6-1/4in</t>
  </si>
  <si>
    <t>SPREADER, SURGICAL, STERNUM, 6.25 IN, 5 IN ARM, WITH DOUBLE BLADE, NON STERILE, LATEX</t>
  </si>
  <si>
    <t>SPREADER, SURG, STRNM, 6.25 IN, 5 IN ARM, W/ DBL BLADE, NS, LTX</t>
  </si>
  <si>
    <t>5 IN ARM</t>
  </si>
  <si>
    <t>https://www.hces.com.sg/wp-content/uploads/2021/04/Cardiovascular-Pages-from-vmueller-snowdenpencer-armamentarium-catalogue-4.pdf, https://accessgudid.nlm.nih.gov/devices/10885403035333</t>
  </si>
  <si>
    <t>NL3722</t>
  </si>
  <si>
    <t>BD_NL3722</t>
  </si>
  <si>
    <t>STEVENSON ALLIG SCISSORS 1.5MM GRD-ON-BL</t>
  </si>
  <si>
    <t>PRODIGO1058179</t>
  </si>
  <si>
    <t>Stevenson alligator scissors Delicate. Working length 5-3/8in (13.7cm). With 1.5mm guard on blunt dissector</t>
  </si>
  <si>
    <t>SCISSOR, SURGICAL, STEVENSON, 5-3/8 IN, 1.5 MM, ALLIGATOR, DELICATE, GUARD ON BLUNT DISSECTOR, NON STERILE, LATEX</t>
  </si>
  <si>
    <t>SCISSOR, SURG, STEVENSON, 5-3/8 IN, 1.5 MM, ALLIGATOR, DEL, GRD ON BLNT DISSECTOR, NS, LTX</t>
  </si>
  <si>
    <t>SCISSOR, SURG, STEVENSON, 5-3/8 IN, 1.5 MM, ALLIGATOR, DEL, GRD</t>
  </si>
  <si>
    <t>STEVENSON</t>
  </si>
  <si>
    <t>ALLIGATOR, DELICATE, GUARD ON BLUNT DISSECTOR</t>
  </si>
  <si>
    <t>https://www.bd.com/en-us/products-and-solutions/products/product-page.nl3722#overview, https://accessgudid.nlm.nih.gov/devices/10885403073335</t>
  </si>
  <si>
    <t>NL3720</t>
  </si>
  <si>
    <t>BD_NL3720</t>
  </si>
  <si>
    <t>STEVENSON ALLIG SCISSORS DEL S/S 5-3/8IN</t>
  </si>
  <si>
    <t>PRODIGO1058178</t>
  </si>
  <si>
    <t>Stevenson alligator scissors Delicate. Working length 5-3/8in (13.7cm). Sharp/sharp</t>
  </si>
  <si>
    <t>SCISSOR, SURGICAL, STEVENSON, 5-3/8 IN, ALLIGATOR, DELICATE, NON STERILE, LATEX</t>
  </si>
  <si>
    <t>SCISSOR, SURG, STEVENSON, 5-3/8 IN, ALLIGATOR, DEL, NS, LTX</t>
  </si>
  <si>
    <t>ALLIGATOR, DELICATE</t>
  </si>
  <si>
    <t>https://www.bd.com/en-us/products-and-solutions/products/product-page.NL3720#overview, https://accessgudid.nlm.nih.gov/devices/10885403073328</t>
  </si>
  <si>
    <t>NL3704</t>
  </si>
  <si>
    <t>BD_NL3704</t>
  </si>
  <si>
    <t>STEVENSON CUP JAW FORCEP 80DEG ANG-RIGHT</t>
  </si>
  <si>
    <t>PRODIGO1058176</t>
  </si>
  <si>
    <t>Stevenson cupped jaw forceps Alligator type shank. Working length 5-1/8in (13cm). Jaws angled to 80</t>
  </si>
  <si>
    <t>FORCEP, SURGICAL, STEVENSON, 80 DEGREE, 5-1/8 IN, RIGHT, ALLIGATOR TYPE SHANK, CUPPED JAW, ANGLED, NON STERILE, LATEX</t>
  </si>
  <si>
    <t>FORCEP, SURG, STEVENSON, 80 DEG, 5-1/8 IN, RT, ALLIGATOR TYP SHANK, CUP JAW, ANGLED, NS, LTX</t>
  </si>
  <si>
    <t>FORCEP, SURG, STEVENSON, 80 DEG, 5-1/8 IN, RT, ALLIGATOR TYP SHANK</t>
  </si>
  <si>
    <t>80 DEGREE</t>
  </si>
  <si>
    <t>ALLIGATOR TYPE SHANK, CUPPED JAW, ANGLED</t>
  </si>
  <si>
    <t>https://www.bd.com/en-us/products-and-solutions/products/product-page.NL3704#overview, https://accessgudid.nlm.nih.gov/devices/10885403073304</t>
  </si>
  <si>
    <t>NL3708</t>
  </si>
  <si>
    <t>BD_NL3708</t>
  </si>
  <si>
    <t>STEVENSON CUP JAW FORCEPS 45DEG ANG-LEFT</t>
  </si>
  <si>
    <t>PRODIGO1058177</t>
  </si>
  <si>
    <t>Stevenson cupped jaw forceps Alligator type shank. Working length 5-1/8in (13cm). Jaws angled to 45</t>
  </si>
  <si>
    <t>FORCEP, SURGICAL, STEVENSON, 45 DEGREE, 5-1/8 IN, LEFT, ALLIGATOR TYPE SHANK, CUPPED JAW, ANGLED, NON STERILE, LATEX</t>
  </si>
  <si>
    <t>FORCEP, SURG, STEVENSON, 45 DEG, 5-1/8 IN, LT, ALLIGATOR TYP SHANK, CUP JAW, ANGLED, NS, LTX</t>
  </si>
  <si>
    <t>FORCEP, SURG, STEVENSON, 45 DEG, 5-1/8 IN, LT, ALLIGATOR TYP SHANK</t>
  </si>
  <si>
    <t>https://www.bd.com/en-us/products-and-solutions/products/product-page.NL3708#overview, https://accessgudid.nlm.nih.gov/devices/10885403073311</t>
  </si>
  <si>
    <t>NL3700</t>
  </si>
  <si>
    <t>BD_NL3700</t>
  </si>
  <si>
    <t>STEVENSON GRASP FORCEPS STR 6MMJAW 5-1/8</t>
  </si>
  <si>
    <t>PRODIGO1058175</t>
  </si>
  <si>
    <t>Stevenson grasping forceps Straight. 6mm jaws. Alligator type shank. Working length 5-1/8in (13cm)</t>
  </si>
  <si>
    <t>FORCEP, SURGICAL, STEVENSON, 5-1/8 IN, 6 MM, GRASPING, STRAIGHT, ALLIGATOR TYPE SHANK, NON STERILE, LATEX</t>
  </si>
  <si>
    <t>FORCEP, SURG, STEVENSON, 5-1/8 IN, 6 MM, GRASPING, STR, ALLIGATOR TYP SHANK, NS, LTX</t>
  </si>
  <si>
    <t>FORCEP, SURG, STEVENSON, 5-1/8 IN, 6 MM, GRASPING, STR, ALLIGATOR</t>
  </si>
  <si>
    <t>GRASPING, STRAIGHT, ALLIGATOR TYPE SHANK</t>
  </si>
  <si>
    <t>https://www.bd.com/en-us/products-and-solutions/products/product-page.NL3700#overview, https://accessgudid.nlm.nih.gov/devices/10885403073298</t>
  </si>
  <si>
    <t>CH2398</t>
  </si>
  <si>
    <t>BD_CH2398</t>
  </si>
  <si>
    <t>STILLE-FRENCH NEEDLE HOLDER LGTH 6-1/2IN</t>
  </si>
  <si>
    <t>PRODIGO1056775</t>
  </si>
  <si>
    <t>Stille French cardiovascular needle holder Delicate Overall length 6-1/2in</t>
  </si>
  <si>
    <t>HOLDER, NEEDLE, STILLE-FRENCH, 6.5 IN, CARDIOVASCULAR, DELICATE, NON STERILE, LATEX</t>
  </si>
  <si>
    <t>HOLDER, NDL, STILLE-FRENCH, 6.5 IN, CV, DEL, NS, LTX</t>
  </si>
  <si>
    <t>STILLE-FRENCH</t>
  </si>
  <si>
    <t>DELICATE</t>
  </si>
  <si>
    <t>https://www.bd.com/en-us/products-and-solutions/products/product-page.CH2398#overview, https://accessgudid.nlm.nih.gov/devices/10885403025167</t>
  </si>
  <si>
    <t>LAT0536SM</t>
  </si>
  <si>
    <t>LAT-0536-SM</t>
  </si>
  <si>
    <t>BD_LAT0536SM</t>
  </si>
  <si>
    <t>STRAIGHT METZ SCSSRS D/A INSERT 5MM 36CM</t>
  </si>
  <si>
    <t>PRODIGO1057806</t>
  </si>
  <si>
    <t>SCISSOR, ENDOSCOPIC, METZ, 5 MMX36 CM, CURVED, DOUBLE ACTION INSERT, ELECTROSURGICAL, INSULATED HANDLE, INSULATED SHAFT, LAPAROSCOPIC, NON STERILE, LATEX</t>
  </si>
  <si>
    <t>SCISSOR ENDOSCOPIC METZ 5 MMX36 CM CURVED DOUBLE ACTION INSERT ELECTROSURGICAL INSULATED HANDLE INSULATED SHAFT LAPAROSCOPIC NON STERILE LATEX</t>
  </si>
  <si>
    <t>SCISSOR, ENDOSCP, METZ, 5 MMX36 CM, CRV, DBL ACT INSRT, ELECSURG, INSUL HNDL, INSUL SHFT, LAP, NS, LTX</t>
  </si>
  <si>
    <t>SCISSOR, ENDOSCP, METZ, 5 MMX36 CM, CRV, DBL ACT INSRT, ELECSURG</t>
  </si>
  <si>
    <t>CURVED, DOUBLE ACTION INSERT, ELECTROSURGICAL, INSULATED HANDLE, INSULATED SHAFT, LAPAROSCOPIC</t>
  </si>
  <si>
    <t>https://www.bd.com/en-us/products-and-solutions/products/product-page.lat-0536-cm, https://accessgudid.nlm.nih.gov/devices/10885403431081</t>
  </si>
  <si>
    <t>LAT0536NH</t>
  </si>
  <si>
    <t>LAT-0536-NH</t>
  </si>
  <si>
    <t>BD_LAT0536NH</t>
  </si>
  <si>
    <t>STRAIGHT NEEDLE HLDR S/A INSERT 5MM 36CM</t>
  </si>
  <si>
    <t>PRODIGO1057801</t>
  </si>
  <si>
    <t>STRAIGHT NEEDLE HOLDER S/A INSERT 5MM 36CM</t>
  </si>
  <si>
    <t>HOLDER, NEEDLE, STRAIGHT, 5 MMX36 CM, SINGLE ACTION INSERT, NON STERILE, LATEX</t>
  </si>
  <si>
    <t>HOLDER NEEDLE STRAIGHT 5 MMX36 CM SINGLE ACTION INSERT NON STERILE LATEX</t>
  </si>
  <si>
    <t>HOLDER, NDL, STR, 5 MMX36 CM, SINGLE ACT INSRT, NS, LTX</t>
  </si>
  <si>
    <t>SINGLE ACTION INSERT</t>
  </si>
  <si>
    <t>https://www.bd.com/en-us/products-and-solutions/products/product-page.lat-0536-nh#specifications, https://accessgudid.nlm.nih.gov/devices/10885403430411</t>
  </si>
  <si>
    <t>LAT0545NH</t>
  </si>
  <si>
    <t>LAT-0545-NH</t>
  </si>
  <si>
    <t>BD_LAT0545NH</t>
  </si>
  <si>
    <t>STRAIGHT NEEDLE HLDR S/A INSERT 5MM 45CM</t>
  </si>
  <si>
    <t>PRODIGO1057828</t>
  </si>
  <si>
    <t>HOLDER, NEEDLE, STRAIGHT, 5 MMX45 CM, SINGLE ACTION INSERT, NON STERILE, LATEX</t>
  </si>
  <si>
    <t>HOLDER NEEDLE STRAIGHT 5 MMX45 CM SINGLE ACTION INSERT NON STERILE LATEX</t>
  </si>
  <si>
    <t>HOLDER, NDL, STR, 5 MMX45 CM, SINGLE ACT INSRT, NS, LTX</t>
  </si>
  <si>
    <t>https://www.bd.com/en-us/products-and-solutions/products/product-page.lat-0545-nh#specifications, https://accessgudid.nlm.nih.gov/devices/10885403430923</t>
  </si>
  <si>
    <t>LA8218</t>
  </si>
  <si>
    <t>BD_LA8218</t>
  </si>
  <si>
    <t>STRONG GRASPING FORCEP 5MM 35CM SPIN-CHK</t>
  </si>
  <si>
    <t>PRODIGO1057693</t>
  </si>
  <si>
    <t>Grasper 5 Mmx35 Cm Strong Oval Double Action Serrated Fenestrated Jaw Insulated Shaft Rotation Insulated Handle Ratchet Satin Finish Spin Check Stainless Steel Non Sterile Latex</t>
  </si>
  <si>
    <t>GRASPER, ENDOSCOPIC, STRONG, 5 MMX35 CM, OVAL, DOUBLE ACTION, SERRATED, FENESTRATED JAW, INSULATED SHAFT, ROTATION, INSULATED HANDLE, RATCHET, SATIN FINISH, SPIN CHECK, STAINLESS STEEL, NON STERILE, LATEX</t>
  </si>
  <si>
    <t>GRASPER, ENDOSCP, STR, 5 MMX35 CM, OVL, DBL ACT, SERRATED, FEN JAW, INSUL SHFT, ROT, INSUL HNDL, RATCH, SATIN FINISH, SPIN CHECK, SS, NS, LTX</t>
  </si>
  <si>
    <t>GRASPER, ENDOSCP, STR, 5 MMX35 CM, OVL, DBL ACT, SERRATED, CHECK</t>
  </si>
  <si>
    <t>STRONG</t>
  </si>
  <si>
    <t>OVAL, DOUBLE ACTION, SERRATED, FENESTRATED JAW, INSULATED SHAFT, ROTATION, INSULATED HANDLE, RATCHET, SATIN FINISH, SPIN CHECK</t>
  </si>
  <si>
    <t>GRASPING FORCEP</t>
  </si>
  <si>
    <t>https://www.bd.com/en-us/offerings/capabilities/surgical-instruments/laparoscopic-instruments/strong-grasper/la8218, https://accessgudid.nlm.nih.gov/devices/10885403052972</t>
  </si>
  <si>
    <t>AU6220</t>
  </si>
  <si>
    <t>BD_AU6220</t>
  </si>
  <si>
    <t>STRUEMPEL EAR PUNCH FORCEPS JAW 7MM 3IN</t>
  </si>
  <si>
    <t>PRODIGO1056365</t>
  </si>
  <si>
    <t>STRUEMPEL EAR PUNCHES FORCEPS FENESTRATED OVAL CUP JAWS 7MM. WORKING LENGTH 3IN (7.6CM).</t>
  </si>
  <si>
    <t>FORCEP, SURGICAL, STRUEMPEL, 3 IN, 7 MM, EAR, PUNCH, FENESTRATED, OVAL CUP JAW, NON STERILE, LATEX</t>
  </si>
  <si>
    <t>FORCEP, SURG, STRUEMPEL, 3 IN, 7 MM, EAR, PNCH, FEN, OVL CUP JAW, NS, LTX</t>
  </si>
  <si>
    <t>FORCEP, SURG, STRUEMPEL, 3 IN, 7 MM, EAR, PNCH, FEN, OVL CUP JAW, NS</t>
  </si>
  <si>
    <t>STRUEMPEL</t>
  </si>
  <si>
    <t>PUNCH, FENESTRATED, OVAL CUP JAW</t>
  </si>
  <si>
    <t>https://www.bd.com/en-us/products-and-solutions/products/product-page.AU6220#overview, https://accessgudid.nlm.nih.gov/devices/10885403008894</t>
  </si>
  <si>
    <t>AU12290</t>
  </si>
  <si>
    <t>BD_AU12290</t>
  </si>
  <si>
    <t>SUCT CANNULA 17GA WRK LGTH 2-1/2(6.3CM)</t>
  </si>
  <si>
    <t>PRODIGO1056146</t>
  </si>
  <si>
    <t>SUCTION CANNULAS MIRROR FINISH. WORKING LENGTH 2-1/2IN (6.3CM). OVERALL LENGTH 3-1/4IN (8.2CM). 17GA.</t>
  </si>
  <si>
    <t>CANNULA, SUCTION, 17 GAX3.5 IN, MIRROR FINISH, NON STERILE, LATEX</t>
  </si>
  <si>
    <t>CANNULA, SUCTION, 17 GAX3.5 IN, MIRROR FINISH, NS, LTX</t>
  </si>
  <si>
    <t>17 GAX3.5 IN</t>
  </si>
  <si>
    <t>https://www.bd.com/en-us/products-and-solutions/products/product-page.AU12290#overview, https://accessgudid.nlm.nih.gov/devices/10885403009792</t>
  </si>
  <si>
    <t>AU12292</t>
  </si>
  <si>
    <t>BD_AU12292</t>
  </si>
  <si>
    <t>SUCT CANNULA 20GA WRK LGTH 2-1/2(6.3CM)</t>
  </si>
  <si>
    <t>PRODIGO1056147</t>
  </si>
  <si>
    <t>SUCTION CANNULAS MIRROR FINISH. WORKING LENGTH 2-1/2IN (6.3CM). OVERALL LENGTH 3-1/4IN (8.2CM). 20GA.</t>
  </si>
  <si>
    <t>CANNULA, SUCTION, 20 GAX3.5 IN, MIRROR FINISH, NON STERILE, LATEX</t>
  </si>
  <si>
    <t>CANNULA, SUCTION, 20 GAX3.5 IN, MIRROR FINISH, NS, LTX</t>
  </si>
  <si>
    <t>20 GAX3.5 IN</t>
  </si>
  <si>
    <t>https://www.bd.com/en-us/products-and-solutions/products/product-page.AU12292#overview, https://accessgudid.nlm.nih.gov/devices/10885403009808</t>
  </si>
  <si>
    <t>AU12294</t>
  </si>
  <si>
    <t>BD_AU12294</t>
  </si>
  <si>
    <t>SUCT CANNULA 22GA WRK LGTH 2-1/2(6.3CM)</t>
  </si>
  <si>
    <t>PRODIGO1056148</t>
  </si>
  <si>
    <t>SUCTION CANNULAS MIRROR FINISH. WORKING LENGTH 2-1/2IN (6.3CM). OVERALL LENGTH 3-1/4IN (8.2CM). 22GA.</t>
  </si>
  <si>
    <t>CANNULA, SUCTION, 22 GAX3.5 IN, MIRROR FINISH, NON STERILE, LATEX</t>
  </si>
  <si>
    <t>CANNULA, SUCTION, 22 GAX3.5 IN, MIRROR FINISH, NS, LTX</t>
  </si>
  <si>
    <t>22 GAX3.5 IN</t>
  </si>
  <si>
    <t>https://www.bd.com/en-us/products-and-solutions/products/product-page.AU12294#overview, https://accessgudid.nlm.nih.gov/devices/10885403009815</t>
  </si>
  <si>
    <t>AU12296</t>
  </si>
  <si>
    <t>BD_AU12296</t>
  </si>
  <si>
    <t>SUCT CANNULA 24GA WRK LGTH 2-1/2(6.3CM)</t>
  </si>
  <si>
    <t>PRODIGO1056149</t>
  </si>
  <si>
    <t>SUCTION CANNULAS MIRROR FINISH. WORKING LENGTH 2-1/2IN (6.3CM). OVERALL LENGTH 3-1/4IN (8.2CM). 24GA.</t>
  </si>
  <si>
    <t>CANNULA, SUCTION, 24 GAX3.5 IN, MIRROR FINISH, NON STERILE, LATEX</t>
  </si>
  <si>
    <t>CANNULA, SUCTION, 24 GAX3.5 IN, MIRROR FINISH, NS, LTX</t>
  </si>
  <si>
    <t>24 GAX3.5 IN</t>
  </si>
  <si>
    <t>https://www.bd.com/en-us/products-and-solutions/products/product-page.AU12296#overview, https://accessgudid.nlm.nih.gov/devices/10885403009822</t>
  </si>
  <si>
    <t>CH3300</t>
  </si>
  <si>
    <t>BD_CH3300</t>
  </si>
  <si>
    <t>SUCTION TUBE #1 FLUTED FIXED TIP</t>
  </si>
  <si>
    <t>PRODIGO1056824</t>
  </si>
  <si>
    <t>Small Suction Tubes</t>
  </si>
  <si>
    <t>TUBE, SUCTION, SMALL, NO. 1, 7.5 IN, FLUTED, FIXED TIP, NON STERILE, LATEX</t>
  </si>
  <si>
    <t>TUBE, SUCTION, SM, NO. 1, 7.5 IN, FLUT, FIX TIP, NS, LTX</t>
  </si>
  <si>
    <t>SMALL, NO. 1</t>
  </si>
  <si>
    <t>FLUTED, FIXED TIP</t>
  </si>
  <si>
    <t>http://www.lt-technologies.de/_ws/mediabase/_ts_1494230442000/Downloads/CardioCatalog_LIT12012_low-res.pdf, https://accessgudid.nlm.nih.gov/devices/10885403026560</t>
  </si>
  <si>
    <t>CH3302</t>
  </si>
  <si>
    <t>BD_CH3302</t>
  </si>
  <si>
    <t>SUCTION TUBE #2 PERF REMOVABLE TIP</t>
  </si>
  <si>
    <t>PRODIGO1056825</t>
  </si>
  <si>
    <t>TUBE, SUCTION, SMALL, NO. 2, 7.5 IN, PERFORATED, REMOVABLE TIP, NON STERILE, LATEX</t>
  </si>
  <si>
    <t>TUBE, SUCTION, SM, NO. 2, 7.5 IN, PERF, REMOVABLE TIP, NS, LTX</t>
  </si>
  <si>
    <t>SMALL, NO. 2</t>
  </si>
  <si>
    <t>PERFORATED, REMOVABLE TIP</t>
  </si>
  <si>
    <t>http://www.lt-technologies.de/_ws/mediabase/_ts_1494230442000/Downloads/CardioCatalog_LIT12012_low-res.pdf, https://accessgudid.nlm.nih.gov/devices/10885403026584</t>
  </si>
  <si>
    <t>CH5666S</t>
  </si>
  <si>
    <t>CH5666-S</t>
  </si>
  <si>
    <t>BD_CH5666S</t>
  </si>
  <si>
    <t>SUPER CUT DIETHRICH SCISSORS SH/SH 45DEG</t>
  </si>
  <si>
    <t>PRODIGO1056890</t>
  </si>
  <si>
    <t>DIETHRICH SCISSOR SURGICAL 45 DEGREE 7 IN ONE SERRATED BLADE, ANGLED, SUPER CUT, MIRROR FINISH, SHARP/SHARP</t>
  </si>
  <si>
    <t>SCISSOR, SURGICAL, DIETHRICH, 45 DEGREE, 7 IN, ONE SERRATED BLADE, ANGLED, SUPER CUT, MIRROR FINISH, SHARP/SHARP, NON STERILE, LATEX</t>
  </si>
  <si>
    <t>SCISSOR, SURG, DIETHRICH, 45 DEG, 7 IN, 1 SERRATED BLADE, ANGLED, SUPER CUT, MIRROR FINISH, SHARP/SHARP, NS, LTX</t>
  </si>
  <si>
    <t>SCISSOR, SURG, DIETHRICH, 45 DEG, 7 IN, ANGLED, SUPER CUT, NS, LTX</t>
  </si>
  <si>
    <t>ONE SERRATED BLADE, ANGLED, SUPER CUT, MIRROR FINISH, SHARP/SHARP</t>
  </si>
  <si>
    <t>http://www.megamedworld.com/wp-content/uploads/2019/03/VM_KVC-min.pdf, https://accessgudid.nlm.nih.gov/devices/10885403028526</t>
  </si>
  <si>
    <t>CH5698S</t>
  </si>
  <si>
    <t>CH5698-S</t>
  </si>
  <si>
    <t>BD_CH5698S</t>
  </si>
  <si>
    <t>SUPER CUT ENDARTERECTOMY SCISSOR CVD B/B</t>
  </si>
  <si>
    <t>PRODIGO1056910</t>
  </si>
  <si>
    <t>ENDARTERECTOMY SCISSOR SURGICAL 7 IN ONE SERRATED BLADE, CURVED, BLUNT/BLUNT, MIRROR FINISH, SUPER CUT</t>
  </si>
  <si>
    <t>SCISSOR, SURGICAL, ENDARTERECTOMY, 7 IN, ONE SERRATED BLADE, CURVED, BLUNT/BLUNT, MIRROR FINISH, SUPER CUT, NON STERILE, LATEX</t>
  </si>
  <si>
    <t>SCISSOR, SURG, ENDART, 7 IN, 1 SERRATED BLADE, CRV, BLUNT/BLUNT, MIRROR FINISH, SUPER CUT, NS, LTX</t>
  </si>
  <si>
    <t>SCISSOR, SURG, ENDART, 7 IN, 1 SERRATED BLADE, SUPER CUT, NS, LTX</t>
  </si>
  <si>
    <t>ENDARTERECTOMY</t>
  </si>
  <si>
    <t>ONE SERRATED BLADE, CURVED, BLUNT/BLUNT, MIRROR FINISH, SUPER CUT</t>
  </si>
  <si>
    <t>http://www.megamedworld.com/wp-content/uploads/2019/03/VM_KVC-min.pdf, https://accessgudid.nlm.nih.gov/devices/10885403028960</t>
  </si>
  <si>
    <t>CH2035S</t>
  </si>
  <si>
    <t>CH2035-S</t>
  </si>
  <si>
    <t>BD_CH2035S</t>
  </si>
  <si>
    <t>SUPER CUT JAMISON SCISSORS CVD 5-1/2IN</t>
  </si>
  <si>
    <t>PRODIGO1056764</t>
  </si>
  <si>
    <t>Super Cut JAMISON Scissors</t>
  </si>
  <si>
    <t>SCISSOR, SURGICAL, JAMISON, 5.5 IN, SUPER CUT, CURVED, MIRROR FINISH, NON STERILE, LATEX</t>
  </si>
  <si>
    <t>SCISSOR, SURG, JAMISON, 5.5 IN, SUPER CUT, CRV, MIRROR FINISH, NS, LTX</t>
  </si>
  <si>
    <t>SCISSOR, SURG, JAMISON, 5.5 IN, SUPER CUT, CRV, MIRROR FINISH, LTX</t>
  </si>
  <si>
    <t>JAMISON</t>
  </si>
  <si>
    <t>SUPER CUT, CURVED, MIRROR FINISH</t>
  </si>
  <si>
    <t>http://www.lt-technologies.de/_ws/mediabase/_ts_1494230442000/Downloads/CardioCatalog_LIT12012_low-res.pdf, https://accessgudid.nlm.nih.gov/devices/10885403024757</t>
  </si>
  <si>
    <t>CH2096S</t>
  </si>
  <si>
    <t>CH2096-S</t>
  </si>
  <si>
    <t>BD_CH2096S</t>
  </si>
  <si>
    <t>SUPER CUT MAYO DISSECT CVD SCISSOR 9IN</t>
  </si>
  <si>
    <t>PRODIGO1056770</t>
  </si>
  <si>
    <t>Super Cut MAYO Dissecting Scissors</t>
  </si>
  <si>
    <t>SCISSOR, SURGICAL, MAYO, 9 IN, SUPER CUT, DISSECTING, CURVED, MIRROR FINISH, NON STERILE, LATEX</t>
  </si>
  <si>
    <t>SCISSOR, SURG, MAYO, 9 IN, SUPER CUT, DISECT, CRV, MIRROR FINISH, NS, LTX</t>
  </si>
  <si>
    <t>SCISSOR, SURG, MAYO, 9 IN, SUPER CUT, DISECT, CRV, MIRROR FINISH, NS</t>
  </si>
  <si>
    <t>MAYO</t>
  </si>
  <si>
    <t>SUPER CUT, DISSECTING, CURVED, MIRROR FINISH</t>
  </si>
  <si>
    <t>http://www.lt-technologies.de/_ws/mediabase/_ts_1494230442000/Downloads/CardioCatalog_LIT12012_low-res.pdf, https://accessgudid.nlm.nih.gov/devices/10885403024962</t>
  </si>
  <si>
    <t>CH2086S</t>
  </si>
  <si>
    <t>CH2086-S</t>
  </si>
  <si>
    <t>BD_CH2086S</t>
  </si>
  <si>
    <t>SUPER CUT MAYO DISSECT SCISSORS STR 9IN</t>
  </si>
  <si>
    <t>PRODIGO1056769</t>
  </si>
  <si>
    <t>SCISSOR, SURGICAL, MAYO, 9 IN, SUPER CUT, DISSECTING, STRAIGHT, MIRROR FINISH, NON STERILE, LATEX</t>
  </si>
  <si>
    <t>SCISSOR, SURG, MAYO, 9 IN, SUPER CUT, DISECT, STR, MIRROR FINISH, NS, LTX</t>
  </si>
  <si>
    <t>SCISSOR, SURG, MAYO, 9 IN, SUPER CUT, DISECT, STR, MIRROR FINISH, NS</t>
  </si>
  <si>
    <t>SUPER CUT, DISSECTING, STRAIGHT, MIRROR FINISH</t>
  </si>
  <si>
    <t>http://www.lt-technologies.de/_ws/mediabase/_ts_1494230442000/Downloads/CardioCatalog_LIT12012_low-res.pdf, https://accessgudid.nlm.nih.gov/devices/10885403024856</t>
  </si>
  <si>
    <t>MO1604S</t>
  </si>
  <si>
    <t>MO1604-S</t>
  </si>
  <si>
    <t>BD_MO1604S</t>
  </si>
  <si>
    <t>SUPER CUT METZ DISSECT CVD DEL SCISSORS</t>
  </si>
  <si>
    <t>PRODIGO1057902</t>
  </si>
  <si>
    <t>SUPER CUT METZENBAUM DISSECTING SCISSORS CURVED. MIRROR FINISH. OVERALL LENGTH 7IN (17.8CM).</t>
  </si>
  <si>
    <t>SCISSOR, SURGICAL, METZENBAUM, 7 IN, SUPER CUT, CURVED, MIRROR FINISH, NON STERILE, LATEX</t>
  </si>
  <si>
    <t>SCISSOR, SURG, METZ, 7 IN, SUPER CUT, CRV, MIRROR FINISH, NS, LTX</t>
  </si>
  <si>
    <t>https://www.bd.com/en-us/products-and-solutions/products/product-print-page.mo1604-s, https://accessgudid.nlm.nih.gov/devices/10885403058912</t>
  </si>
  <si>
    <t>CH5660S</t>
  </si>
  <si>
    <t>CH5660-S</t>
  </si>
  <si>
    <t>BD_CH5660S</t>
  </si>
  <si>
    <t>SUPER CUT POTTS-SMITH SCISSORS 60DEG 7IN</t>
  </si>
  <si>
    <t>PRODIGO1056885</t>
  </si>
  <si>
    <t>POTTS SMITH SCISSOR SURGICAL 60 DEGREE 7 IN ANGLED, SUPER CUT, MIRROR FINISH</t>
  </si>
  <si>
    <t>SCISSOR, SURGICAL, POTTS SMITH, 60 DEGREE, 7 IN, ANGLED, SUPER CUT, MIRROR FINISH, NON STERILE, LATEX</t>
  </si>
  <si>
    <t>SCISSOR, SURG, POTTS SMITH, 60 DEG, 7 IN, ANGLED, SUPER CUT, MIRROR FINISH, NS, LTX</t>
  </si>
  <si>
    <t>SCISSOR, SURG, POTTS SMITH, 60 DEG, 7 IN, ANGLED, SUPER CUT, NS, LTX</t>
  </si>
  <si>
    <t>ANGLED, SUPER CUT, MIRROR FINISH</t>
  </si>
  <si>
    <t>http://www.megamedworld.com/wp-content/uploads/2019/03/VM_KVC-min.pdf, https://accessgudid.nlm.nih.gov/devices/10885403028304</t>
  </si>
  <si>
    <t>LA8103</t>
  </si>
  <si>
    <t>BD_LA8103</t>
  </si>
  <si>
    <t>SUPERCUT SCISSORS 5MM 35CM STR</t>
  </si>
  <si>
    <t>PRODIGO1057667</t>
  </si>
  <si>
    <t>Scissor 5 Mmx35 Cm Straight Single Action Supercut Blade Non Insulated Non Rotation Non Ratchet Satin Finish Stainless Steel Non Sterile Latex</t>
  </si>
  <si>
    <t>SCISSOR, ENDOSCOPIC, STRAIGHT, 5 MMX35 CM, SINGLE ACTION, SUPERCUT BLADE, NON INSULATED, NON ROTATION, NON RATCHET, SATIN FINISH, STAINLESS STEEL, NON STERILE, LATEX</t>
  </si>
  <si>
    <t>SCISSOR, ENDOSCP, STR, 5 MMX35 CM, SINGLE ACT, SUPERCUT BLADE, N INSUL, N ROT, N RATCH, SATIN FINISH, SS, NS, LTX</t>
  </si>
  <si>
    <t>SCISSOR, ENDOSCP, STR, 5 MMX35 CM, SINGLE ACT, SUPERCUT BLADE</t>
  </si>
  <si>
    <t>SINGLE ACTION, SUPERCUT BLADE, NON INSULATED, NON ROTATION, NON RATCHET, SATIN FINISH</t>
  </si>
  <si>
    <t>https://www.bd.com/en-us/offerings/capabilities/surgical-instruments/laparoscopic-instruments/super-cut-scissors/la8103, https://accessgudid.nlm.nih.gov/devices/10885403052538</t>
  </si>
  <si>
    <t>LA810345</t>
  </si>
  <si>
    <t>LA8103-45</t>
  </si>
  <si>
    <t>BD_LA810345</t>
  </si>
  <si>
    <t>SUPERCUT SCISSORS 5MM 45CM STR</t>
  </si>
  <si>
    <t>PRODIGO1057668</t>
  </si>
  <si>
    <t>Scissor 5 Mmx45 Cm Straight Single Action Supercut Blade Non Insulated Non Rotation Non Ratchet Satin Finish Stainless Steel Non Sterile Latex</t>
  </si>
  <si>
    <t>SCISSOR, ENDOSCOPIC, STRAIGHT, 5 MMX45 CM, SINGLE ACTION, SUPERCUT BLADE, NON INSULATED, NON ROTATION, NON RATCHET, SATIN FINISH, STAINLESS STEEL, NON STERILE, LATEX</t>
  </si>
  <si>
    <t>SCISSOR, ENDOSCP, STR, 5 MMX45 CM, SINGLE ACT, SUPERCUT BLADE, N INSUL, N ROT, N RATCH, SATIN FINISH, SS, NS, LTX</t>
  </si>
  <si>
    <t>SCISSOR, ENDOSCP, STR, 5 MMX45 CM, SINGLE ACT, SUPERCUT BLADE</t>
  </si>
  <si>
    <t>https://www.bd.com/en-us/products-and-solutions/products/product-page.LA8103-45#overview, https://accessgudid.nlm.nih.gov/devices/10885403052545</t>
  </si>
  <si>
    <t>LA8105</t>
  </si>
  <si>
    <t>BD_LA8105</t>
  </si>
  <si>
    <t>SUPERCUT SCISSORS CVD DBL-ACT 5MM 35CM</t>
  </si>
  <si>
    <t>PRODIGO1057669</t>
  </si>
  <si>
    <t>Scissor 5 Mmx35 Cm Curved Double Action Supercut Blade Insulated Handle Rotation Non Ratchet Satin Finish Spin Free Stainless Steel Non Sterile Latex</t>
  </si>
  <si>
    <t>SCISSOR, ENDOSCOPIC, CURVED, 5 MMX35 CM, DOUBLE ACTION, SUPERCUT BLADE, INSULATED HANDLE, ROTATION, NON RATCHET, SATIN FINISH, SPIN FREE, STAINLESS STEEL, NON STERILE, LATEX</t>
  </si>
  <si>
    <t>SCISSOR, ENDOSCP, CRV, 5 MMX35 CM, DBL ACT, SUPERCUT BLADE, INSUL HNDL, ROT, N RATCH, SATIN FINISH, SPIN FREE, SS, NS, LTX</t>
  </si>
  <si>
    <t>SCISSOR, ENDOSCP, CRV, 5 MMX35 CM, DBL ACT, SUPERCUT BLADE, FREE</t>
  </si>
  <si>
    <t>DOUBLE ACTION, SUPERCUT BLADE, INSULATED HANDLE, ROTATION, NON RATCHET, SATIN FINISH, SPIN FREE</t>
  </si>
  <si>
    <t>https://www.bd.com/en-us/offerings/capabilities/surgical-instruments/laparoscopic-instruments/super-cut-scissors/la8105, https://accessgudid.nlm.nih.gov/devices/10885403052576</t>
  </si>
  <si>
    <t>LA810545</t>
  </si>
  <si>
    <t>LA8105-45</t>
  </si>
  <si>
    <t>BD_LA810545</t>
  </si>
  <si>
    <t>SUPERCUT SCISSORS CVD SPIN-FREE 5MM 45CM</t>
  </si>
  <si>
    <t>PRODIGO1057670</t>
  </si>
  <si>
    <t>Scissor 5 Mmx45 Cm Curved Double Action Supercut Blade Insulated Handle Rotation Non Ratchet Satin Finish Spin Free Stainless Steel Non Sterile Latex</t>
  </si>
  <si>
    <t>SCISSOR, ENDOSCOPIC, CURVED, 5 MMX45 CM, DOUBLE ACTION, SUPERCUT BLADE, INSULATED HANDLE, ROTATION, NON RATCHET, SATIN FINISH, SPIN FREE, STAINLESS STEEL, NON STERILE, LATEX</t>
  </si>
  <si>
    <t>SCISSOR, ENDOSCP, CRV, 5 MMX45 CM, DBL ACT, SUPERCUT BLADE, INSUL HNDL, ROT, N RATCH, SATIN FINISH, SPIN FREE, SS, NS, LTX</t>
  </si>
  <si>
    <t>SCISSOR, ENDOSCP, CRV, 5 MMX45 CM, DBL ACT, SUPERCUT BLADE, FREE</t>
  </si>
  <si>
    <t>https://www.bd.com/en-us/offerings/capabilities/surgical-instruments/laparoscopic-instruments/super-cut-scissors/la8105-45, https://accessgudid.nlm.nih.gov/devices/10885403052583</t>
  </si>
  <si>
    <t>CH2060</t>
  </si>
  <si>
    <t>BD_CH2060</t>
  </si>
  <si>
    <t>SWEET ESOPHAGEAL SCISSORS ANG-ON-FLAT</t>
  </si>
  <si>
    <t>PRODIGO1056766</t>
  </si>
  <si>
    <t>SWEET Esophageal Scissors</t>
  </si>
  <si>
    <t>SCISSOR, SURGICAL, SWEET, 8.5 IN, ESOPHAGEAL, BLADE ANGLED ON FLAT BLUNT TIP, NON STERILE, LATEX</t>
  </si>
  <si>
    <t>SCISSOR, SURG, SWEET, 8.5 IN, ESOPH, BLADE ANGLED ON FLAT BLNT TIP, NS, LTX</t>
  </si>
  <si>
    <t>SCISSOR, SURG, SWEET, 8.5 IN, ESOPH, BLADE ANGLED ON FLAT BLNT</t>
  </si>
  <si>
    <t>SWEET</t>
  </si>
  <si>
    <t>ESOPHAGEAL</t>
  </si>
  <si>
    <t>BLADE ANGLED ON FLAT BLUNT TIP</t>
  </si>
  <si>
    <t>http://www.lt-technologies.de/_ws/mediabase/_ts_1494230442000/Downloads/CardioCatalog_LIT12012_low-res.pdf, https://accessgudid.nlm.nih.gov/devices/10885403083495</t>
  </si>
  <si>
    <t>AU6786002</t>
  </si>
  <si>
    <t>AU6786-002</t>
  </si>
  <si>
    <t>BD_AU6786002</t>
  </si>
  <si>
    <t>SYNOVECTOMY RONG X-DEL STRONG CVD</t>
  </si>
  <si>
    <t>PRODIGO1056380</t>
  </si>
  <si>
    <t>FRIEDMANN TAPER JAW RONGEUR FORCEPS EXTRA DELICATE CURVED 2.4 X 6.5MM BITE OVERALL LENGTH 6-3/4IN(17.2 CM).</t>
  </si>
  <si>
    <t>FORCEP, SURGICAL, FRIEDMANN, 6.75 IN, 2.4X6.5 MM, TAPER JAW, RONGEUR, EXTRA DELICATE, CURVED, SATIN FINISH, SPRING HANDLE, SILVER, NON STERILE, LATEX</t>
  </si>
  <si>
    <t>FORCEP, SURG, FRIEDMANN, 6.75 IN, 2.4X6.5 MM, TAPR JAW, RONGEUR, X DEL, CRV, SATIN FINISH, SPRING HNDL, SLV, NS, LTX</t>
  </si>
  <si>
    <t>FORCEP, SURG, FRIEDMANN, 6.75 IN, 2.4X6.5 MM, TAPR JAW, X DEL, CRV</t>
  </si>
  <si>
    <t>FRIEDMANN</t>
  </si>
  <si>
    <t>2.4X6.5 MM</t>
  </si>
  <si>
    <t>TAPER JAW, RONGEUR, EXTRA DELICATE, CURVED, SATIN FINISH, SPRING HANDLE</t>
  </si>
  <si>
    <t>https://www.bd.com/en-us/products-and-solutions/products/product-page.AU6786-002#overview, https://accessgudid.nlm.nih.gov/devices/10885403009242</t>
  </si>
  <si>
    <t>CA2456</t>
  </si>
  <si>
    <t>BD_CA2456</t>
  </si>
  <si>
    <t>T/C CASTROVIEJO NEEDLE HOLDER STR JAW</t>
  </si>
  <si>
    <t>PRODIGO1056472</t>
  </si>
  <si>
    <t>Castroviejo Needle Holder Affinity Line. Overall length 7-1/4in (18.4cm)</t>
  </si>
  <si>
    <t>HOLDER, NEEDLE, CASTROVIEJO, 7.25 IN, STRAIGHT JAW, AFFINITY LINE, TUNGSTEN CARBIDE, NON STERILE, LATEX</t>
  </si>
  <si>
    <t>HOLDER, NDL, CASTRO, 7.25 IN, STR JAW, AFFIN LN, TUNGSTEN CARBIDE, NS, LTX</t>
  </si>
  <si>
    <t>HOLDER, NDL, CASTRO, 7.25 IN, STR JAW, AFFIN LN, TUNGSTEN CARBIDE</t>
  </si>
  <si>
    <t>STRAIGHT JAW, AFFINITY LINE</t>
  </si>
  <si>
    <t>https://www.bd.com/en-us/products-and-solutions/products/product-page.CA2456#overview, https://accessgudid.nlm.nih.gov/devices/10885403018541</t>
  </si>
  <si>
    <t>CA2492</t>
  </si>
  <si>
    <t>BD_CA2492</t>
  </si>
  <si>
    <t>T/C COOLEY N/H NARR-JAW 7''</t>
  </si>
  <si>
    <t>PRODIGO1056475</t>
  </si>
  <si>
    <t>Cooley Needle Holder Affinity Line. Overall length 7in (17.8cm)</t>
  </si>
  <si>
    <t>HOLDER, NEEDLE, COOLEY, 7 IN, NARROW JAW, AFFINITY LINE, TUNGSTEN CARBIDE, NON STERILE, LATEX</t>
  </si>
  <si>
    <t>HOLDER, NDL, COOLEY, 7 IN, NAR JAW, AFFIN LN, TUNGSTEN CARBIDE, NS, LTX</t>
  </si>
  <si>
    <t>HOLDER, NDL, COOLEY, 7 IN, NAR JAW, AFFIN LN, TUNGSTEN CARBIDE, NS</t>
  </si>
  <si>
    <t>NARROW JAW, AFFINITY LINE</t>
  </si>
  <si>
    <t>N/H</t>
  </si>
  <si>
    <t>https://www.bd.com/en-us/products-and-solutions/products/product-page.CA2492#overview, https://accessgudid.nlm.nih.gov/devices/10885403018602</t>
  </si>
  <si>
    <t>CA2419</t>
  </si>
  <si>
    <t>BD_CA2419</t>
  </si>
  <si>
    <t>T/C CRILE-WOOD NDL HOLDER STR SMTH JAWS</t>
  </si>
  <si>
    <t>PRODIGO1056467</t>
  </si>
  <si>
    <t>Crile-Wood Needle Holder Affintiy Line. Straight. Smooth jaws. Overall length 6in (15.2cm)</t>
  </si>
  <si>
    <t>HOLDER, NEEDLE, CRILE-WOOD, 6 IN, STRAIGHT, SMOOTH JAW, AFFINITY LINE, TUNGSTEN CARBIDE, NON STERILE, LATEX</t>
  </si>
  <si>
    <t>HOLDER, NDL, CRL WD, 6 IN, STR, SMOOTH JAW, AFFIN LN, TUNGSTEN CARBIDE, NS, LTX</t>
  </si>
  <si>
    <t>HOLDER, NDL, CRL WD, 6 IN, STR, SMOOTH JAW, TUNGSTEN CARBIDE</t>
  </si>
  <si>
    <t>CRILE-WOOD</t>
  </si>
  <si>
    <t>STRAIGHT, SMOOTH JAW, AFFINITY LINE</t>
  </si>
  <si>
    <t>https://www.bd.com/en-us/products-and-solutions/products/product-page.CA2419#overview, https://accessgudid.nlm.nih.gov/devices/10885403018404</t>
  </si>
  <si>
    <t>CA2424</t>
  </si>
  <si>
    <t>BD_CA2424</t>
  </si>
  <si>
    <t>T/C CRILE-WOOD NDL HOLDR STR SERR INSERT</t>
  </si>
  <si>
    <t>PRODIGO1056468</t>
  </si>
  <si>
    <t>Crile-Wood Needle Holder Affinity Line. Straight. Serrated inserts. 3,600 teeth per square inch. Overall length 8in (20.3cm)</t>
  </si>
  <si>
    <t>HOLDER, NEEDLE, CRILE-WOOD, 8 IN, STRAIGHT, SERRATED INSERT, 3600 TEETH, AFFINITY LINE, TUNGSTEN CARBIDE, NON STERILE, LATEX</t>
  </si>
  <si>
    <t>HOLDER, NDL, CRL WD, 8 IN, STR, SERRATED INSRT, 3600 TEETH, AFFIN LN, TUNGSTEN CARBIDE, NS, LTX</t>
  </si>
  <si>
    <t>HOLDER, NDL, CRL WD, 8 IN, STR, SERRATED INSRT, 3600 TEETH</t>
  </si>
  <si>
    <t>STRAIGHT, SERRATED INSERT, 3600 TEETH, AFFINITY LINE</t>
  </si>
  <si>
    <t>https://www.bd.com/en-us/products-and-solutions/products/product-page.CA2424#overview, https://accessgudid.nlm.nih.gov/devices/10885403018442</t>
  </si>
  <si>
    <t>CA2425</t>
  </si>
  <si>
    <t>BD_CA2425</t>
  </si>
  <si>
    <t>PRODIGO1056469</t>
  </si>
  <si>
    <t>Crile-Wood Needle Holder Affinity Line. Straight. Serrated inserts. 3,600 teeth per square inch. Overall length 9in (22.9cm)</t>
  </si>
  <si>
    <t>HOLDER, NEEDLE, CRILE-WOOD, 9 IN, STRAIGHT, SERRATED INSERT, 3600 TEETH, AFFINITY LINE, TUNGSTEN CARBIDE, NON STERILE, LATEX</t>
  </si>
  <si>
    <t>HOLDER, NDL, CRL WD, 9 IN, STR, SERRATED INSRT, 3600 TEETH, AFFIN LN, TUNGSTEN CARBIDE, NS, LTX</t>
  </si>
  <si>
    <t>HOLDER, NDL, CRL WD, 9 IN, STR, SERRATED INSRT, 3600 TEETH</t>
  </si>
  <si>
    <t>https://www.bd.com/en-us/products-and-solutions/products/product-page.CA2425#overview, https://accessgudid.nlm.nih.gov/devices/10885403018459</t>
  </si>
  <si>
    <t>NA1460</t>
  </si>
  <si>
    <t>BD_NA1460</t>
  </si>
  <si>
    <t>T/C CUSHING TISSUE FORCEPS STR 7IN</t>
  </si>
  <si>
    <t>PRODIGO1058007</t>
  </si>
  <si>
    <t>CUSHING TISSUE FORCEPS AFFINITY LINE. TUNGSTEN CARBIDE INSERTS. OVERALL LENGTH 7IN 17.8CM.</t>
  </si>
  <si>
    <t>FORCEP, SURGICAL, CUSHING, 7 IN, TISSUE, AFFINITY LINE, INSERT, TUNGSTEN CARBIDE, NON STERILE, LATEX</t>
  </si>
  <si>
    <t>FORCEP SURGICAL CUSHING 7 IN TISSUE AFFINITY LINE INSERT TUNGSTEN CARBIDE NON STERILE LATEX</t>
  </si>
  <si>
    <t>FORCEP, SURG, CUSHING, 7 IN, TISS, AFFIN LN, INSRT, TUNGSTEN CARBIDE, NS, LTX</t>
  </si>
  <si>
    <t>FORCEP, SURG, CUSHING, 7 IN, TISS, AFFIN LN, TUNGSTEN CARBIDE</t>
  </si>
  <si>
    <t>TISSUE, AFFINITY LINE, INSERT</t>
  </si>
  <si>
    <t>https://www.bd.com/en-us/products-and-solutions/products/product-page.NA1460#overview, https://accessgudid.nlm.nih.gov/devices/10885403069635</t>
  </si>
  <si>
    <t>CA2481</t>
  </si>
  <si>
    <t>BD_CA2481</t>
  </si>
  <si>
    <t>T/C DEBAKEY CARDIO NDL HLDR STR SERR JAW</t>
  </si>
  <si>
    <t>PRODIGO1056473</t>
  </si>
  <si>
    <t>DeBAKEY Cardio Needle Holder Affinity Line. Overall length 7-1/8in (18.1cm)</t>
  </si>
  <si>
    <t>HOLDER, NEEDLE, DEBAKEY, 7-1/8 IN, CARDIOVASCULAR, STRAIGHT, SERRATED JAW, AFFINITY LINE, TUNGSTEN CARBIDE, NON STERILE, LATEX</t>
  </si>
  <si>
    <t>HOLDER, NDL, DEBAKEY, 7-1/8 IN, CV, STR, SERRATED JAW, AFFIN LN, TUNGSTEN CARBIDE, NS, LTX</t>
  </si>
  <si>
    <t>HOLDER, NDL, DEBAKEY, 7-1/8 IN, CV, STR, SERRATED JAW, AFFIN LN</t>
  </si>
  <si>
    <t>STRAIGHT, SERRATED JAW, AFFINITY LINE</t>
  </si>
  <si>
    <t>https://www.bd.com/en-us/products-and-solutions/products/product-page.CA2481#overview, https://accessgudid.nlm.nih.gov/devices/10885403018565</t>
  </si>
  <si>
    <t>CA2482</t>
  </si>
  <si>
    <t>BD_CA2482</t>
  </si>
  <si>
    <t>T/C DEBAKEY CARDIO NEEDLE HOLDER STR JAW</t>
  </si>
  <si>
    <t>PRODIGO1056474</t>
  </si>
  <si>
    <t>DeBAKEY Cardio Needle Holder Affinity Line. Overall length 9in (22.9cm)</t>
  </si>
  <si>
    <t>HOLDER, NEEDLE, DEBAKEY, 9 IN, CARDIOVASCULAR, STRAIGHT JAW, AFFINITY LINE, TUNGSTEN CARBIDE, NON STERILE, LATEX</t>
  </si>
  <si>
    <t>HOLDER, NDL, DEBAKEY, 9 IN, CV, STR JAW, AFFIN LN, TUNGSTEN CARBIDE, NS, LTX</t>
  </si>
  <si>
    <t>HOLDER, NDL, DEBAKEY, 9 IN, CV, STR JAW, AFFIN LN, TUNGSTEN CARBIDE</t>
  </si>
  <si>
    <t>https://www.bd.com/en-us/products-and-solutions/products/product-page.CA2482#overview, https://accessgudid.nlm.nih.gov/devices/10885403018572</t>
  </si>
  <si>
    <t>CA2442</t>
  </si>
  <si>
    <t>BD_CA2442</t>
  </si>
  <si>
    <t>T/C MASSON NEEDLE HOLDER OVERLGTH 10-3/8</t>
  </si>
  <si>
    <t>PRODIGO1056471</t>
  </si>
  <si>
    <t>Masson Needle Holder Affinity Line. Overall length 10-3/8in (26.3cm)</t>
  </si>
  <si>
    <t>HOLDER, NEEDLE, MASSON, 10-3/8 IN, AFFINITY LINE, TUNGSTEN CARBIDE, NON STERILE, LATEX</t>
  </si>
  <si>
    <t>HOLDER, NDL, MASSON, 10-3/8 IN, AFFIN LN, TUNGSTEN CARBIDE, NS, LTX</t>
  </si>
  <si>
    <t>10-3/8 IN</t>
  </si>
  <si>
    <t>https://www.bd.com/en-us/products-and-solutions/products/product-page.CA2442#overview, https://accessgudid.nlm.nih.gov/devices/10885403018503</t>
  </si>
  <si>
    <t>CA2096</t>
  </si>
  <si>
    <t>BD_CA2096</t>
  </si>
  <si>
    <t>T/C MAYO DISSECT SCISS BEVEL BLD CVD 9IN</t>
  </si>
  <si>
    <t>PRODIGO1056464</t>
  </si>
  <si>
    <t>Mayo Dissecting Scissors Affinity Line. Tungsten Carbide. Curved. Overall length 9in (22.9cm)</t>
  </si>
  <si>
    <t>SCISSOR, SURGICAL, MAYO, 9 IN, CURVED, BEVEL BLADE, DISSECTING, AFFINITY LINE, TUNGSTEN CARBIDE, NON STERILE, LATEX</t>
  </si>
  <si>
    <t>SCISSOR, SURG, MAYO, 9 IN, CRV, BVL BLADE, DISECT, AFFIN LN, TUNGSTEN CARBIDE, NS, LTX</t>
  </si>
  <si>
    <t>SCISSOR, SURG, MAYO, 9 IN, CRV, BVL BLADE, DISECT, AFFIN LN</t>
  </si>
  <si>
    <t>CURVED, BEVEL BLADE, DISSECTING, AFFINITY LINE</t>
  </si>
  <si>
    <t>https://www.bd.com/en-us/products-and-solutions/products/product-page.CA2096#overview, https://accessgudid.nlm.nih.gov/devices/10885403018367</t>
  </si>
  <si>
    <t>CA2086</t>
  </si>
  <si>
    <t>BD_CA2086</t>
  </si>
  <si>
    <t>T/C MAYO DISSECT SCISS BEVEL BLD STR 9IN</t>
  </si>
  <si>
    <t>PRODIGO1056462</t>
  </si>
  <si>
    <t>Mayo Dissecting Scissors Affinity Line. Tungsten Carbide. Straight. Overall length 9in (22.9cm)</t>
  </si>
  <si>
    <t>SCISSOR, SURGICAL, MAYO, 9 IN, STRAIGHT, BEVEL BLADE, DISSECTING, AFFINITY LINE, TUNGSTEN CARBIDE, NON STERILE, LATEX</t>
  </si>
  <si>
    <t>SCISSOR, SURG, MAYO, 9 IN, STR, BVL BLADE, DISECT, AFFIN LN, TUNGSTEN CARBIDE, NS, LTX</t>
  </si>
  <si>
    <t>SCISSOR, SURG, MAYO, 9 IN, STR, BVL BLADE, DISECT, AFFIN LN</t>
  </si>
  <si>
    <t>STRAIGHT, BEVEL BLADE, DISSECTING, AFFINITY LINE</t>
  </si>
  <si>
    <t>https://www.bd.com/en-us/products-and-solutions/products/product-page.CA2086#overview, https://accessgudid.nlm.nih.gov/devices/10885403018336</t>
  </si>
  <si>
    <t>MA1601001</t>
  </si>
  <si>
    <t>MA1601-001</t>
  </si>
  <si>
    <t>BD_MA1601001</t>
  </si>
  <si>
    <t>T/C METZ DISSECT SCISSOR B/B DEL CVD 7IN</t>
  </si>
  <si>
    <t>PRODIGO1057847</t>
  </si>
  <si>
    <t>METZENBAUM SCISSORS AFFINITY LINE. DELICATE. CURVED. BLUNT/BLUNT. OVERALL LENGTH 7IN (17.8CM).</t>
  </si>
  <si>
    <t>SCISSOR, SURGICAL, METZENBAUM, 7 IN, DISSECTING, DELICATE, CURVED, BLUNT/BLUNT, NON STERILE, LATEX</t>
  </si>
  <si>
    <t>SCISSOR, SURG, METZ, 7 IN, DISECT, DEL, CRV, BLUNT/BLUNT, NS, LTX</t>
  </si>
  <si>
    <t>DISSECTING, DELICATE, CURVED, BLUNT/BLUNT</t>
  </si>
  <si>
    <t>https://www.bd.com/en-us/products-and-solutions/products/product-page.MA1601-001#overview, https://accessgudid.nlm.nih.gov/devices/10885403056420</t>
  </si>
  <si>
    <t>MA1602</t>
  </si>
  <si>
    <t>BD_MA1602</t>
  </si>
  <si>
    <t>T/C METZ DISSECT SCISSOR BL/BL STR 7IN</t>
  </si>
  <si>
    <t>PRODIGO1057848</t>
  </si>
  <si>
    <t>METZENBAUM SCISSORS AFFINITY LINE. STRAIGHT. BLUNT/BLUNT. OVERALL LENGTH 7IN (17.8CM).</t>
  </si>
  <si>
    <t>SCISSOR, SURGICAL, METZENBAUM, 7 IN, DISSECTING, STRAIGHT, BLUNT/BLUNT, NON STERILE, LATEX</t>
  </si>
  <si>
    <t>SCISSOR, SURG, METZ, 7 IN, DISECT, STR, BLUNT/BLUNT, NS, LTX</t>
  </si>
  <si>
    <t>DISSECTING, STRAIGHT, BLUNT/BLUNT</t>
  </si>
  <si>
    <t>https://www.bd.com/en-us/products-and-solutions/products/product-page.MA1602#overview, https://accessgudid.nlm.nih.gov/devices/10885403056444</t>
  </si>
  <si>
    <t>LA830745</t>
  </si>
  <si>
    <t>LA8307-45</t>
  </si>
  <si>
    <t>BD_LA830745</t>
  </si>
  <si>
    <t>T/C NDL HLDR ERGO-LN FLUSH CVD 5MM 45CM</t>
  </si>
  <si>
    <t>PRODIGO1057740</t>
  </si>
  <si>
    <t>Holder 5 Mmx45 Cm Curved Left Single Action V Line Non Insulated Non Rotation Ratchet Flushable Tungsten Carbide Non Sterile Latex</t>
  </si>
  <si>
    <t>HOLDER, NEEDLE, CURVED LEFT, 5 MMX45 CM, SINGLE ACTION, V LINE, NON INSULATED, NON ROTATION, RATCHET, FLUSHABLE, TUNGSTEN CARBIDE, NON STERILE, LATEX</t>
  </si>
  <si>
    <t>HOLDER, NDL, CRV LT, 5 MMX45 CM, SINGLE ACT, V LN, N INSUL, N ROT, RATCH, FLUSHABLE, TUNGSTEN CARBIDE, NS, LTX</t>
  </si>
  <si>
    <t>HOLDER, NDL, CRV LT, 5 MMX45 CM, SINGLE ACT, V LN, N INSUL, N ROT</t>
  </si>
  <si>
    <t>SINGLE ACTION, V LINE, NON INSULATED, NON ROTATION, RATCHET, FLUSHABLE</t>
  </si>
  <si>
    <t>ERGO-</t>
  </si>
  <si>
    <t>https://www.bd.com/en-us/products-and-solutions/products/product-page.LA8307-45#overview, https://accessgudid.nlm.nih.gov/devices/10885403053757</t>
  </si>
  <si>
    <t>LA8306</t>
  </si>
  <si>
    <t>BD_LA8306</t>
  </si>
  <si>
    <t>T/C NDL HOLDER STR FLUSH V LINE 5MM 35CM</t>
  </si>
  <si>
    <t>PRODIGO1057739</t>
  </si>
  <si>
    <t>Holder 5 Mmx35 Cm Straight Single Action V Line Non Insulated Non Rotation Ratchet Flushable Tungsten Carbide Non Sterile Latex</t>
  </si>
  <si>
    <t>HOLDER, NEEDLE, STRAIGHT, 5 MMX35 CM, SINGLE ACTION, V LINE, NON INSULATED, NON ROTATION, RATCHET, FLUSHABLE, TUNGSTEN CARBIDE, NON STERILE, LATEX</t>
  </si>
  <si>
    <t>HOLDER, NDL, STR, 5 MMX35 CM, SINGLE ACT, V LN, N INSUL, N ROT, RATCH, FLUSHABLE, TUNGSTEN CARBIDE, NS, LTX</t>
  </si>
  <si>
    <t>HOLDER, NDL, STR, 5 MMX35 CM, SINGLE ACT, V LN, N INSUL, N ROT</t>
  </si>
  <si>
    <t>https://www.bd.com/en-us/products-and-solutions/products/product-page.LA8306#overview, https://accessgudid.nlm.nih.gov/devices/10885403053733</t>
  </si>
  <si>
    <t>LA8304</t>
  </si>
  <si>
    <t>BD_LA8304</t>
  </si>
  <si>
    <t>T/C NEEDLE HOLDER 5MM 35CM STR</t>
  </si>
  <si>
    <t>PRODIGO1057737</t>
  </si>
  <si>
    <t>Holder 5 Mmx35 Cm Straight Single Action Inline Non Insulated Non Rotation Ratchet Handle Tungsten Carbide Non Sterile Latex</t>
  </si>
  <si>
    <t>HOLDER, NEEDLE, STRAIGHT, 5 MMX35 CM, SINGLE ACTION, INLINE, NON INSULATED, NON ROTATION, RATCHET HANDLE, TUNGSTEN CARBIDE, NON STERILE, LATEX</t>
  </si>
  <si>
    <t>HOLDER, NDL, STR, 5 MMX35 CM, SINGLE ACT, INLINE, N INSUL, N ROT, RATCH HNDL, TUNGSTEN CARBIDE, NS, LTX</t>
  </si>
  <si>
    <t>HOLDER, NDL, STR, 5 MMX35 CM, SINGLE ACT, INLINE, N INSUL, N ROT</t>
  </si>
  <si>
    <t>SINGLE ACTION, INLINE, NON INSULATED, NON ROTATION, RATCHET HANDLE</t>
  </si>
  <si>
    <t>https://www.bd.com/en-us/products-and-solutions/products/product-page.LA8304, https://accessgudid.nlm.nih.gov/devices/10885403053719</t>
  </si>
  <si>
    <t>LA8302</t>
  </si>
  <si>
    <t>BD_LA8302</t>
  </si>
  <si>
    <t>T/C NEEDLE HOLDER CVD LEFT 5MM 35CM</t>
  </si>
  <si>
    <t>PRODIGO1057736</t>
  </si>
  <si>
    <t>Holder 5 Mmx35 Cm Curved Left Single Action Inline Non Insulated Non Rotation Ratchet Handle Tungsten Carbide Non Sterile Latex</t>
  </si>
  <si>
    <t>HOLDER, NEEDLE, CURVED LEFT, 5 MMX35 CM, SINGLE ACTION, INLINE, NON INSULATED, NON ROTATION, RATCHET HANDLE, TUNGSTEN CARBIDE, NON STERILE, LATEX</t>
  </si>
  <si>
    <t>HOLDER, NDL, CRV LT, 5 MMX35 CM, SINGLE ACT, INLINE, N INSUL, N ROT, RATCH HNDL, TUNGSTEN CARBIDE, NS, LTX</t>
  </si>
  <si>
    <t>HOLDER, NDL, CRV LT, 5 MMX35 CM, SINGLE ACT, INLINE, N INSUL, N ROT</t>
  </si>
  <si>
    <t>https://www.bd.com/en-us/products-and-solutions/products/product-page.LA8302#overview, https://accessgudid.nlm.nih.gov/devices/10885403053689</t>
  </si>
  <si>
    <t>LA8305</t>
  </si>
  <si>
    <t>BD_LA8305</t>
  </si>
  <si>
    <t>T/C NEEDLE HOLDER FLUSHABLE 5MM 35CM</t>
  </si>
  <si>
    <t>PRODIGO1057738</t>
  </si>
  <si>
    <t>Holder 5 Mmx35 Cm Straight Single Action Non Insulated Non Rotation Ratchet Spring Return Handle Flushable Tungsten Carbide Non Sterile Latex</t>
  </si>
  <si>
    <t>HOLDER, NEEDLE, STRAIGHT, 5 MMX35 CM, SINGLE ACTION, NON INSULATED, NON ROTATION, RATCHET, SPRING RETURN HANDLE, FLUSHABLE, TUNGSTEN CARBIDE, NON STERILE, LATEX</t>
  </si>
  <si>
    <t>HOLDER, NDL, STR, 5 MMX35 CM, SINGLE ACT, N INSUL, N ROT, RATCH, SPRING RET HNDL, FLUSHABLE, TUNGSTEN CARBIDE, NS, LTX</t>
  </si>
  <si>
    <t>HOLDER, NDL, STR, 5 MMX35 CM, SINGLE ACT, N INSUL, N ROT, SPRING</t>
  </si>
  <si>
    <t>SINGLE ACTION, NON INSULATED, NON ROTATION, RATCHET, SPRING RETURN HANDLE, FLUSHABLE</t>
  </si>
  <si>
    <t>https://www.bd.com/en-us/products-and-solutions/products/product-page.LA8305#overview, https://accessgudid.nlm.nih.gov/devices/10885403053726</t>
  </si>
  <si>
    <t>CA2417</t>
  </si>
  <si>
    <t>BD_CA2417</t>
  </si>
  <si>
    <t>T/C ROCHESTER NEEDLE HOLDER STR 7-1/8IN</t>
  </si>
  <si>
    <t>PRODIGO1056466</t>
  </si>
  <si>
    <t>Rochester Needle Holder Affinity Line. Overall length 7-1/8in (18.1cm)</t>
  </si>
  <si>
    <t>HOLDER, NEEDLE, ROCHESTER, 7-1/8 IN, STRAIGHT, AFFINITY LINE, TUNGSTEN CARBIDE, NON STERILE, LATEX</t>
  </si>
  <si>
    <t>HOLDER, NDL, ROCHESTER, 7-1/8 IN, STR, AFFIN LN, TUNGSTEN CARBIDE, NS, LTX</t>
  </si>
  <si>
    <t>HOLDER, NDL, ROCHESTER, 7-1/8 IN, STR, AFFIN LN, TUNGSTEN CARBIDE</t>
  </si>
  <si>
    <t>STRAIGHT, AFFINITY LINE</t>
  </si>
  <si>
    <t>https://www.bd.com/en-us/products-and-solutions/products/product-page.CA2417#overview, https://accessgudid.nlm.nih.gov/devices/10885403018398</t>
  </si>
  <si>
    <t>CA2508</t>
  </si>
  <si>
    <t>BD_CA2508</t>
  </si>
  <si>
    <t>T/C RYDER NEEDLE HOLDER NARROW JAWS 7IN</t>
  </si>
  <si>
    <t>PRODIGO1056478</t>
  </si>
  <si>
    <t>Ryder Needle Holder Affinity Line. Overall length 7in (17.8cm)</t>
  </si>
  <si>
    <t>HOLDER, NEEDLE, RYDER, 7 IN, NARROW JAW, AFFINITY LINE, TUNGSTEN CARBIDE, NON STERILE, LATEX</t>
  </si>
  <si>
    <t>HOLDER, NDL, RYDER, 7 IN, NAR JAW, AFFIN LN, TUNGSTEN CARBIDE, NS, LTX</t>
  </si>
  <si>
    <t>HOLDER, NDL, RYDER, 7 IN, NAR JAW, AFFIN LN, TUNGSTEN CARBIDE, NS</t>
  </si>
  <si>
    <t>RYDER</t>
  </si>
  <si>
    <t>https://www.bd.com/en-us/products-and-solutions/products/product-page.CA2508#overview, https://accessgudid.nlm.nih.gov/devices/10885403018657</t>
  </si>
  <si>
    <t>CA2509</t>
  </si>
  <si>
    <t>BD_CA2509</t>
  </si>
  <si>
    <t>T/C RYDER NEEDLE HOLDER NARROW JAWS 8IN</t>
  </si>
  <si>
    <t>PRODIGO1056479</t>
  </si>
  <si>
    <t>Ryder Needle Holder Affinity Line. Overall length 8in (20.3cm)</t>
  </si>
  <si>
    <t>HOLDER, NEEDLE, RYDER, 8 IN, NARROW JAW, AFFINITY LINE, TUNGSTEN CARBIDE, NON STERILE, LATEX</t>
  </si>
  <si>
    <t>HOLDER, NDL, RYDER, 8 IN, NAR JAW, AFFIN LN, TUNGSTEN CARBIDE, NS, LTX</t>
  </si>
  <si>
    <t>HOLDER, NDL, RYDER, 8 IN, NAR JAW, AFFIN LN, TUNGSTEN CARBIDE, NS</t>
  </si>
  <si>
    <t>https://www.bd.com/en-us/products-and-solutions/products/product-page.CA2509#productnotifications, https://accessgudid.nlm.nih.gov/devices/10885403018664</t>
  </si>
  <si>
    <t>CA2510</t>
  </si>
  <si>
    <t>BD_CA2510</t>
  </si>
  <si>
    <t>T/C RYDER NEEDLE HOLDER NARROW JAWS 9IN</t>
  </si>
  <si>
    <t>PRODIGO1056480</t>
  </si>
  <si>
    <t>Ryder Needle Holder Affinity Line. Overall length 9in (22.9cm)</t>
  </si>
  <si>
    <t>HOLDER, NEEDLE, RYDER, 9 IN, NARROW JAW, AFFINITY LINE, TUNGSTEN CARBIDE, NON STERILE, LATEX</t>
  </si>
  <si>
    <t>HOLDER, NDL, RYDER, 9 IN, NAR JAW, AFFIN LN, TUNGSTEN CARBIDE, NS, LTX</t>
  </si>
  <si>
    <t>HOLDER, NDL, RYDER, 9 IN, NAR JAW, AFFIN LN, TUNGSTEN CARBIDE, NS</t>
  </si>
  <si>
    <t>https://www.bd.com/en-us/products-and-solutions/products/product-page.CA2510#overview, https://accessgudid.nlm.nih.gov/devices/10885403018671</t>
  </si>
  <si>
    <t>CA2416</t>
  </si>
  <si>
    <t>BD_CA2416</t>
  </si>
  <si>
    <t>T/C SAROT NEEDLE HOLDERS OVER LGTH 7-1/8</t>
  </si>
  <si>
    <t>PRODIGO1056465</t>
  </si>
  <si>
    <t>Sarot Needle Holder Affinity Line. Overall length 7-1/8in (18.1cm)</t>
  </si>
  <si>
    <t>HOLDER, NEEDLE, SAROT, 7-1/8 IN, AFFINITY LINE, TUNGSTEN CARBIDE, NON STERILE, LATEX</t>
  </si>
  <si>
    <t>HOLDER, NDL, SAROT, 7-1/8 IN, AFFIN LN, TUNGSTEN CARBIDE, NS, LTX</t>
  </si>
  <si>
    <t>https://www.bd.com/en-us/products-and-solutions/products/product-page.CA2416#overview, https://accessgudid.nlm.nih.gov/devices/10885403018381</t>
  </si>
  <si>
    <t>AU13650</t>
  </si>
  <si>
    <t>BD_AU13650</t>
  </si>
  <si>
    <t>TABB DBL-END FLAP KNIFE 1.5X2MM 45&amp;20DEG</t>
  </si>
  <si>
    <t>PRODIGO1056208</t>
  </si>
  <si>
    <t>TABB DOUBLE-ENDED FLAP KNIFE BLADES 2MM X 1.5MM WIDE ANGLED 20 DEGREES AND 45 DEGREES. OVERALL LENGTH 6-1/4IN (15.8CM).</t>
  </si>
  <si>
    <t>KNIFE, SURGICAL, TABB, 20/45 DEGREE, 6.25 IN, 2X1.5 MM, DOUBLE-ENDED FLAP, NON STERILE, LATEX</t>
  </si>
  <si>
    <t>KNIFE, SURG, TABB, 20/45 DEG, 6.25 IN, 2X1.5 MM, DOUBLE-ENDED FLAP, NS, LTX</t>
  </si>
  <si>
    <t>KNIFE, SURG, TABB, 20/45 DEG, 6.25 IN, 2X1.5 MM, DOUBLE-ENDED FLAP</t>
  </si>
  <si>
    <t>TABB</t>
  </si>
  <si>
    <t>2X1.5 MM</t>
  </si>
  <si>
    <t>DOUBLE-ENDED FLAP</t>
  </si>
  <si>
    <t>https://www.bd.com/en-us/products-and-solutions/products/product-page.au13650#overview, https://accessgudid.nlm.nih.gov/devices/10885403010576</t>
  </si>
  <si>
    <t>AU13600</t>
  </si>
  <si>
    <t>BD_AU13600</t>
  </si>
  <si>
    <t>TABB ELEVATOR TIP ANGLE 45DEG BLADE 1MM</t>
  </si>
  <si>
    <t>PRODIGO1056204</t>
  </si>
  <si>
    <t>TABB ELEVATOR TIP ANGLED 45 DEGREES BLADE LENGTH 1MM. OVERALL LENGTH 6-1/4IN (15.9CM).</t>
  </si>
  <si>
    <t>ELEVATOR, SURGICAL, TABB, 45 DEGREE, 6.25 IN, 1 MM, TIP ANGLED, BLADE, NON STERILE, LATEX</t>
  </si>
  <si>
    <t>ELEVATOR, SURG, TABB, 45 DEG, 6.25 IN, 1 MM, TIP ANGLED, BLADE, NS, LTX</t>
  </si>
  <si>
    <t>ELEVATOR, SURG, TABB, 45 DEG, 6.25 IN, 1 MM, TIP ANGLED, BLADE, NS</t>
  </si>
  <si>
    <t>TIP ANGLED, BLADE</t>
  </si>
  <si>
    <t>https://www.bd.com/en-us/products-and-solutions/products/product-page.AU13600#overview, https://accessgudid.nlm.nih.gov/devices/10885403010521</t>
  </si>
  <si>
    <t>AU13624</t>
  </si>
  <si>
    <t>BD_AU13624</t>
  </si>
  <si>
    <t>TABB MYRINGOPLASTY KNIFE 1.1MM 25&amp;45DEG</t>
  </si>
  <si>
    <t>PRODIGO1056206</t>
  </si>
  <si>
    <t>TABB MYRINGOPLASTY KNIVES DOUBLE-ENDED. OVERALL LENGTH 6-1/4IN (15.8CM). 1.1MM WIDE BLADES ANGLED 25 DEGREES AND 45 DEGREES.</t>
  </si>
  <si>
    <t>KNIFE, SURGICAL, TABB, 25/45 DEGREE, 6.25 IN, 1.1 MM, MYRINGOPLASTY, DOUBLE-ENDED, WIDE BLADE ANGLED, NON STERILE, LATEX</t>
  </si>
  <si>
    <t>KNIFE, SURG, TABB, 25/45 DEG, 6.25 IN, 1.1 MM, MYRPLSTY, DOUBLE-ENDED, WIDE BLADE ANGLED, NS, LTX</t>
  </si>
  <si>
    <t>KNIFE, SURG, TABB, 25/45 DEG, 6.25 IN, 1.1 MM, DOUBLE-ENDED</t>
  </si>
  <si>
    <t>25/45 DEGREE</t>
  </si>
  <si>
    <t>1.1 MM</t>
  </si>
  <si>
    <t>MYRINGOPLASTY, DOUBLE-ENDED, WIDE BLADE ANGLED</t>
  </si>
  <si>
    <t>https://www.bd.com/en-us/products-and-solutions/products/product-page.au13624#overview, https://accessgudid.nlm.nih.gov/devices/10885403010552</t>
  </si>
  <si>
    <t>AU13620</t>
  </si>
  <si>
    <t>BD_AU13620</t>
  </si>
  <si>
    <t>TABB MYRINGOPLASTY KNIFE 90DEG</t>
  </si>
  <si>
    <t>PRODIGO1056205</t>
  </si>
  <si>
    <t>TABB MYRINGOPLASTY KNIVES DOUBLE-ENDED. OVERALL LENGTH 6-1/4IN (15.8CM). 1MM WIDE BLADE ANGLED 90 DEGREES AND 2MM WIDE BLADE ANGLED 120 DEGREES.</t>
  </si>
  <si>
    <t>KNIFE, SURGICAL, TABB, 90/120 DEGREE, 6.25 IN, 1 MM, 2 MM, MYRINGOPLASTY, DOUBLE-ENDED, WIDE BLADE ANGLED, NON STERILE, LATEX</t>
  </si>
  <si>
    <t>KNIFE, SURG, TABB, 90/120 DEG, 6.25 IN, 1 MM, 2 MM, MYRPLSTY, DOUBLE-ENDED, WIDE BLADE ANGLED, NS, LTX</t>
  </si>
  <si>
    <t>KNIFE, SURG, TABB, 90/120 DEG, 6.25 IN, 1 MM, 2 MM, DOUBLE-ENDED</t>
  </si>
  <si>
    <t>90/120 DEGREE</t>
  </si>
  <si>
    <t>1 MM, 2 MM</t>
  </si>
  <si>
    <t>https://www.bd.com/en-us/products-and-solutions/products/product-page.AU13620#overview, https://accessgudid.nlm.nih.gov/devices/10885403010538</t>
  </si>
  <si>
    <t>AU13640</t>
  </si>
  <si>
    <t>BD_AU13640</t>
  </si>
  <si>
    <t>TABB PICK KNIFE TPRD SHNK .4MM BLD 1.5MM</t>
  </si>
  <si>
    <t>PRODIGO1056207</t>
  </si>
  <si>
    <t>TABB PICK KNIFE BLADE LENGTH 1.5MM SHANK 0.4MM GRADUALLY TAPERING TO 1MM AND 1.5MM BEFORE THE HANDLE. OVERALL LENGTH 6IN (15.2CM).</t>
  </si>
  <si>
    <t>KNIFE, SURGICAL, TABB PICK, 6 IN, 1.5 MM, 0.4 MM, TAPERED SHANK, NON STERILE, LATEX</t>
  </si>
  <si>
    <t>KNIFE, SURG, TABB PICK, 6 IN, 1.5 MM, 0.4 MM, TAPR SHANK, NS, LTX</t>
  </si>
  <si>
    <t>TABB PICK</t>
  </si>
  <si>
    <t>1.5 MM, 0.4 MM</t>
  </si>
  <si>
    <t>TAPERED SHANK</t>
  </si>
  <si>
    <t>https://www.bd.com/en-us/products-and-solutions/products/product-page.AU13640#overview, https://accessgudid.nlm.nih.gov/devices/10885403010569</t>
  </si>
  <si>
    <t>ATCSED</t>
  </si>
  <si>
    <t>A-TCSE-D</t>
  </si>
  <si>
    <t>ABBOTT_ATCSED</t>
  </si>
  <si>
    <t>TactiCath Contact Force Ablation Catheter Sensor Enabled Uni-D D Curve</t>
  </si>
  <si>
    <t>PRODIGO1060852</t>
  </si>
  <si>
    <t>42203416  Cardiac ablation catheters</t>
  </si>
  <si>
    <t>TactiCath Contact Force Ablation Catheter Sensor Enabled Uni-D Open Irrigated D 8FR 2-2-2MM 3.5MM 115CM</t>
  </si>
  <si>
    <t>CATHETER, ABLATION, D CURVE, 2-2-2 MM, 3.5 MM TIP, 8 FRX115 CM, CONTACT FORCE, UNI DIRECTIONAL, OPEN IRRIGATED, STERILE, TACTICATH, SENSOR ENABLED, LATEX-FREE</t>
  </si>
  <si>
    <t>CATHETER, ABLATN, D CRV, 2-2-2 MM, 3.5 MM TIP, 8 FRX115 CM, CONTACT FORC, UNI DIR, OPN IRRIG, STRL, TACTICATH, SENSOR ENABLED, LF</t>
  </si>
  <si>
    <t>CATHETER, ABLATN, D CRV, 2-2-2 MM, 3.5 MM, 8 FRX115 CM, TACTICATH</t>
  </si>
  <si>
    <t>2-2-2 MM, 3.5 MM TIP</t>
  </si>
  <si>
    <t>8 FRX115 CM</t>
  </si>
  <si>
    <t>CONTACT FORCE, UNI DIRECTIONAL, OPEN IRRIGATED</t>
  </si>
  <si>
    <t>TACTICATH, SENSOR ENABLED</t>
  </si>
  <si>
    <t>https://www.cardiovascular.abbott/content/dam/bss/divisionalsites/cv/pdf/guides/2019_us_electrophysiology_prod.pdf, https://accessgudid.nlm.nih.gov/devices/05415067027689</t>
  </si>
  <si>
    <t>ATCSEJ</t>
  </si>
  <si>
    <t>A-TCSE-J</t>
  </si>
  <si>
    <t>ABBOTT_ATCSEJ</t>
  </si>
  <si>
    <t>TactiCath Contact Force Ablation Catheter Sensor Enabled Uni-D J Curve</t>
  </si>
  <si>
    <t>PRODIGO1060855</t>
  </si>
  <si>
    <t>TactiCath Contact Force Ablation Catheter Sensor Enabled Uni-D Open Irrigated J 8FR 2-2-2MM 3.5MM 115CM</t>
  </si>
  <si>
    <t>CATHETER, ABLATION, J CURVE, 2-2-2 MM, 3.5 MM TIP, 8 FRX115 CM, CONTACT FORCE, UNI DIRECTIONAL, OPEN IRRIGATED, STERILE, TACTICATH, SENSOR ENABLED, LATEX-FREE</t>
  </si>
  <si>
    <t>CATHETER, ABLATN, J CRV, 2-2-2 MM, 3.5 MM TIP, 8 FRX115 CM, CONTACT FORC, UNI DIR, OPN IRRIG, STRL, TACTICATH, SENSOR ENABLED, LF</t>
  </si>
  <si>
    <t>CATHETER, ABLATN, J CRV, 2-2-2 MM, 3.5 MM, 8 FRX115 CM, TACTICATH</t>
  </si>
  <si>
    <t>J CURVE</t>
  </si>
  <si>
    <t>https://www.cardiovascular.abbott/content/dam/bss/divisionalsites/cv/pdf/guides/2019_us_electrophysiology_prod.pdf, https://accessgudid.nlm.nih.gov/devices/05415067027702</t>
  </si>
  <si>
    <t>LA8210</t>
  </si>
  <si>
    <t>BD_LA8210</t>
  </si>
  <si>
    <t>TAPER DISSECT FORCEP DBL-ACT 5MM 35CM</t>
  </si>
  <si>
    <t>PRODIGO1057685</t>
  </si>
  <si>
    <t>Dissector 5 Mmx35 Cm Tapered Double Action Serrated Delicate Jaw Fine Point Insulated Shaft Non Rotation Insulated Handle Non Ratchet Satin Finish Stainless Steel Non Sterile Latex</t>
  </si>
  <si>
    <t>DISSECTOR, ENDOSCOPIC, TAPERED, 5 MMX35 CM, DOUBLE ACTION, SERRATED DELICATE JAW, FINE POINT, INSULATED SHAFT, NON ROTATION, INSULATED HANDLE, NON RATCHET, SATIN FINISH, STAINLESS STEEL, NON STERILE, LATEX</t>
  </si>
  <si>
    <t>DISSECTOR, ENDOSCP, TAPR, 5 MMX35 CM, DBL ACT, SERRATED DEL JAW, FN PT, INSUL SHFT, N ROT, INSUL HNDL, N RATCH, SATIN FINISH, SS, NS, LTX</t>
  </si>
  <si>
    <t>DISSECTOR, ENDOSCP, TAPR, 5 MMX35 CM, DBL ACT, SERRATED DEL JAW</t>
  </si>
  <si>
    <t>DOUBLE ACTION, SERRATED DELICATE JAW, FINE POINT, INSULATED SHAFT, NON ROTATION, INSULATED HANDLE, NON RATCHET, SATIN FINISH</t>
  </si>
  <si>
    <t>https://www.bd.com/en-us/offerings/capabilities/surgical-instruments/laparoscopic-instruments/tapered-dissector/la8210, https://accessgudid.nlm.nih.gov/devices/10885403052804</t>
  </si>
  <si>
    <t>LA8211</t>
  </si>
  <si>
    <t>BD_LA8211</t>
  </si>
  <si>
    <t>TAPER DISSECT FORCEPS MONO 5MM 35CM</t>
  </si>
  <si>
    <t>PRODIGO1057686</t>
  </si>
  <si>
    <t>Dissector 5 Mmx35 Cm Tapered Double Action Delicate Serrated Jaw Fine Point Insulated Shaft Rotation Insulated Handle Non Ratchet Satin Finish Monopolar Stainless Steel Non Sterile Latex</t>
  </si>
  <si>
    <t>DISSECTOR, ENDOSCOPIC, TAPERED, 5 MMX35 CM, DOUBLE ACTION, DELICATE, SERRATED JAW, FINE POINT, INSULATED SHAFT, ROTATION, INSULATED HANDLE, NON RATCHET, SATIN FINISH, MONOPOLAR, STAINLESS STEEL, NON STERILE, LATEX</t>
  </si>
  <si>
    <t>DISSECTOR, ENDOSCP, TAPR, 5 MMX35 CM, DBL ACT, DEL, SERRATED JAW, FN PT, INSUL SHFT, ROT, INSUL HNDL, N RATCH, SATIN FINISH, MONOPOLAR, SS, NS, LTX</t>
  </si>
  <si>
    <t>DISSECTOR, ENDOSCP, TAPR, 5 MMX35 CM, DBL ACT, DEL, SERRATED JAW</t>
  </si>
  <si>
    <t>DOUBLE ACTION, DELICATE, SERRATED JAW, FINE POINT, INSULATED SHAFT, ROTATION, INSULATED HANDLE, NON RATCHET, SATIN FINISH, MONOPOLAR</t>
  </si>
  <si>
    <t>https://www.bd.com/en-us/offerings/capabilities/surgical-instruments/laparoscopic-instruments/tapered-dissector/la8211, https://accessgudid.nlm.nih.gov/devices/10885403052811</t>
  </si>
  <si>
    <t>LA8270</t>
  </si>
  <si>
    <t>BD_LA8270</t>
  </si>
  <si>
    <t>TAPER MARYLAND DISSECT FORCEPS 10MM 35CM</t>
  </si>
  <si>
    <t>PRODIGO1057727</t>
  </si>
  <si>
    <t>Dissector 10 Mmx35 Cm Maryland Curved Double Action Serrated Jaw Tapered Insulated Shaft Non Rotation Insulated Handle Non Ratchet Satin Finish Stainless Steel Non Sterile Latex</t>
  </si>
  <si>
    <t>DISSECTOR, ENDOSCOPIC, MARYLAND, 10 MMX35 CM, CURVED, DOUBLE ACTION, SERRATED JAW, TAPERED, INSULATED SHAFT, NON ROTATION, INSULATED HANDLE, NON RATCHET, SATIN FINISH, STAINLESS STEEL, NON STERILE, LATEX</t>
  </si>
  <si>
    <t>DISSECTOR, ENDOSCP, MARYLAND, 10 MMX35 CM, CRV, DBL ACT, SERRATED JAW, TAPR, INSUL SHFT, N ROT, INSUL HNDL, N RATCH, SATIN FINISH, SS, NS, LTX</t>
  </si>
  <si>
    <t>DISSECTOR, ENDOSCP, MARYLAND, 10 MMX35 CM, CRV, DBL ACT, SERRATED</t>
  </si>
  <si>
    <t>CURVED, DOUBLE ACTION, SERRATED JAW, TAPERED, INSULATED SHAFT, NON ROTATION, INSULATED HANDLE, NON RATCHET, SATIN FINISH</t>
  </si>
  <si>
    <t>https://www.bd.com/en-us/offerings/capabilities/surgical-instruments/laparoscopic-instruments/maryland-dissector/la8270, https://accessgudid.nlm.nih.gov/devices/10885403053528</t>
  </si>
  <si>
    <t>LA8212</t>
  </si>
  <si>
    <t>BD_LA8212</t>
  </si>
  <si>
    <t>TAPER MARYLAND DISSECT FORCEPS 5MM 35CM</t>
  </si>
  <si>
    <t>PRODIGO1057687</t>
  </si>
  <si>
    <t>Dissector 5 Mmx35 Cm Maryland Curved Double Action Fine Tapered Serrated Jaw Insulated Shaft Rotation Insulated Handle Non Ratchet Satin Finish Stainless Steel Non Sterile Latex</t>
  </si>
  <si>
    <t>DISSECTOR, ENDOSCOPIC, MARYLAND, 5 MMX35 CM, CURVED, DOUBLE ACTION, FINE TAPERED, SERRATED JAW, INSULATED SHAFT, ROTATION, INSULATED HANDLE, NON RATCHET, SATIN FINISH, STAINLESS STEEL, NON STERILE, LATEX</t>
  </si>
  <si>
    <t>DISSECTOR, ENDOSCP, MARYLAND, 5 MMX35 CM, CRV, DBL ACT, FN TAPR, SERRATED JAW, INSUL SHFT, ROT, INSUL HNDL, N RATCH, SATIN FINISH, SS, NS, LTX</t>
  </si>
  <si>
    <t>DISSECTOR, ENDOSCP, MARYLAND, 5 MMX35 CM, CRV, DBL ACT, FN TAPR</t>
  </si>
  <si>
    <t>CURVED, DOUBLE ACTION, FINE TAPERED, SERRATED JAW, INSULATED SHAFT, ROTATION, INSULATED HANDLE, NON RATCHET, SATIN FINISH</t>
  </si>
  <si>
    <t>https://www.bd.com/en-us/offerings/capabilities/surgical-instruments/laparoscopic-instruments/tapered-maryland-dissector/la8212, https://accessgudid.nlm.nih.gov/devices/10885403052835</t>
  </si>
  <si>
    <t>LA8213</t>
  </si>
  <si>
    <t>BD_LA8213</t>
  </si>
  <si>
    <t>TAPER MD DISSECT FORCEP DBL-ACT 5MM 35CM</t>
  </si>
  <si>
    <t>PRODIGO1057688</t>
  </si>
  <si>
    <t>Dissector 5 Mmx35 Cm Maryland Curved Double Action Serrated Jaw Insulated Shaft Non Rotation Insulated Handle Non Ratchet Satin Finish Monopolar Stainless Steel Non Sterile Latex</t>
  </si>
  <si>
    <t>DISSECTOR, ENDOSCOPIC, MARYLAND, 5 MMX35 CM, CURVED, DOUBLE ACTION, SERRATED JAW, INSULATED SHAFT, NON ROTATION, INSULATED HANDLE, NON RATCHET, SATIN FINISH, MONOPOLAR, STAINLESS STEEL, NON STERILE, LATEX</t>
  </si>
  <si>
    <t>DISSECTOR, ENDOSCP, MARYLAND, 5 MMX35 CM, CRV, DBL ACT, SERRATED JAW, INSUL SHFT, N ROT, INSUL HNDL, N RATCH, SATIN FINISH, MONOPOLAR, SS, NS, LTX</t>
  </si>
  <si>
    <t>DISSECTOR, ENDOSCP, MARYLAND, 5 MMX35 CM, CRV, DBL ACT, SERRATED</t>
  </si>
  <si>
    <t>https://www.bd.com/en-us/offerings/capabilities/surgical-instruments/laparoscopic-instruments/maryland-dissector/la8213, https://accessgudid.nlm.nih.gov/devices/10885403052842</t>
  </si>
  <si>
    <t>LA821445</t>
  </si>
  <si>
    <t>LA8214-45</t>
  </si>
  <si>
    <t>BD_LA821445</t>
  </si>
  <si>
    <t>TAPERED MD DISCT FORCEPS MONO 5MM 45CM</t>
  </si>
  <si>
    <t>PRODIGO1057690</t>
  </si>
  <si>
    <t>Dissector 5 Mmx45 Cm Maryland Curved Double Action Serrated Jaw Insulated Shaft Rotation Insulated Handle Non Ratchet Satin Finish Monopolar Stainless Steel Non Sterile Latex</t>
  </si>
  <si>
    <t>DISSECTOR, ENDOSCOPIC, MARYLAND, 5 MMX45 CM, CURVED, DOUBLE ACTION, SERRATED JAW, INSULATED SHAFT, ROTATION, INSULATED HANDLE, NON RATCHET, SATIN FINISH, MONOPOLAR, STAINLESS STEEL, NON STERILE, LATEX</t>
  </si>
  <si>
    <t>DISSECTOR, ENDOSCP, MARYLAND, 5 MMX45 CM, CRV, DBL ACT, SERRATED JAW, INSUL SHFT, ROT, INSUL HNDL, N RATCH, SATIN FINISH, MONOPOLAR, SS, NS, LTX</t>
  </si>
  <si>
    <t>DISSECTOR, ENDOSCP, MARYLAND, 5 MMX45 CM, CRV, DBL ACT, ROT</t>
  </si>
  <si>
    <t>CURVED, DOUBLE ACTION, SERRATED JAW, INSULATED SHAFT, ROTATION, INSULATED HANDLE, NON RATCHET, SATIN FINISH, MONOPOLAR</t>
  </si>
  <si>
    <t>https://www.bd.com/en-us/offerings/capabilities/surgical-instruments/laparoscopic-instruments/maryland-dissector/la8214-45, https://accessgudid.nlm.nih.gov/devices/10885403052873</t>
  </si>
  <si>
    <t>NL3010</t>
  </si>
  <si>
    <t>BD_NL3010</t>
  </si>
  <si>
    <t>TAYLOR BRAIN SCISSOR CVD SHANK ANG BLDE</t>
  </si>
  <si>
    <t>PRODIGO1058156</t>
  </si>
  <si>
    <t>Taylor brain scissors Angled-on-side slightly curved shanks one probe-tipped blade. Mirror finish. Overall length 6in (15.2cm)</t>
  </si>
  <si>
    <t>SCISSOR, SURGICAL, TAYLOR BRAIN, 6 IN, ANGLED ON SIDE, SLIGHTLY CURVED SHANKS, ONE PROBE-TIPPED BLADE, MIRROR FINISH, NON STERILE, LATEX</t>
  </si>
  <si>
    <t>SCISSOR, SURG, TAY BRAIN, 6 IN, ANGLED ON SIDE, SLIGHTLY CRV SHANKS, 1 PROBE-TIPPED BLADE, MIRROR FINISH, NS, LTX</t>
  </si>
  <si>
    <t>SCISSOR, SURG, TAY BRAIN, 6 IN, ANGLED ON SIDE, SLIGHTLY SHANKS</t>
  </si>
  <si>
    <t>TAYLOR BRAIN</t>
  </si>
  <si>
    <t>ANGLED ON SIDE, SLIGHTLY CURVED SHANKS, ONE PROBE-TIPPED BLADE, MIRROR FINISH</t>
  </si>
  <si>
    <t>https://www.bd.com/en-us/products-and-solutions/products/product-page.nl3010#overview, https://accessgudid.nlm.nih.gov/devices/10885403072949</t>
  </si>
  <si>
    <t>LAT1036TN</t>
  </si>
  <si>
    <t>LAT-1036-TN</t>
  </si>
  <si>
    <t>BD_LAT1036TN</t>
  </si>
  <si>
    <t>TENACULUM D/A INSERT 10MM 36CM</t>
  </si>
  <si>
    <t>PRODIGO1057837</t>
  </si>
  <si>
    <t>TENACULUM GRASPER D/A INSERT 10MM 36CM</t>
  </si>
  <si>
    <t>GRASPER, ENDOSCOPIC, TENACULUM, 10 MMX36 CM, DOUBLE ACTION INSERT, NON STERILE, LATEX</t>
  </si>
  <si>
    <t>GRASPER ENDOSCOPIC TENACULUM 10 MMX36 CM DOUBLE ACTION INSERT NON STERILE LATEX</t>
  </si>
  <si>
    <t>GRASPER, ENDOSCP, TENAC, 10 MMX36 CM, DBL ACT INSRT, NS, LTX</t>
  </si>
  <si>
    <t>TENACULUM</t>
  </si>
  <si>
    <t>https://www.bd.com/en-us/products-and-solutions/products/product-page.lat-1036-tn, https://accessgudid.nlm.nih.gov/devices/10885403430343</t>
  </si>
  <si>
    <t>LAT0536TN</t>
  </si>
  <si>
    <t>LAT-0536-TN</t>
  </si>
  <si>
    <t>BD_LAT0536TN</t>
  </si>
  <si>
    <t>TENACULUM D/A INSERT 5MM 36CM</t>
  </si>
  <si>
    <t>PRODIGO1057807</t>
  </si>
  <si>
    <t>TENACULUM GRASPER D/A INSERT 5MM 36CM</t>
  </si>
  <si>
    <t>GRASPER, ENDOSCOPIC, TENACULUM, 5 MMX36 CM, DOUBLE ACTION INSERT, NON STERILE, LATEX</t>
  </si>
  <si>
    <t>GRASPER ENDOSCOPIC TENACULUM 5 MMX36 CM DOUBLE ACTION INSERT NON STERILE LATEX</t>
  </si>
  <si>
    <t>GRASPER, ENDOSCP, TENAC, 5 MMX36 CM, DBL ACT INSRT, NS, LTX</t>
  </si>
  <si>
    <t>https://www.bd.com/en-us/products-and-solutions/products/product-page.lat-0536-tn#overview, https://accessgudid.nlm.nih.gov/devices/10885403431487</t>
  </si>
  <si>
    <t>LA8237</t>
  </si>
  <si>
    <t>BD_LA8237</t>
  </si>
  <si>
    <t>TENACULUM FORCEPS DBL-ACT RATCH 5MM 35CM</t>
  </si>
  <si>
    <t>PRODIGO1057711</t>
  </si>
  <si>
    <t>Snowden-pencer Grasper 5 Mmx35 Cm Long Tenaculum Double Action Single Tooth Jaw Slim Insulated Shaft Non Rotation Ratchet Satin Finish Stainless Steel Non Sterile Latex</t>
  </si>
  <si>
    <t>GRASPER, ENDOSCOPIC, TENACULUM, LONG, 5 MMX35 CM, DOUBLE ACTION, SINGLE TOOTH JAW, SLIM, INSULATED SHAFT, NON ROTATION, RATCHET, SATIN FINISH, STAINLESS STEEL, NON STERILE, SNOWDEN-PENCER, LATEX</t>
  </si>
  <si>
    <t>GRASPER, ENDOSCP, TENAC, LNG, 5 MMX35 CM, DBL ACT, SINGLE TOOTH JAW, SLIM, INSUL SHFT, N ROT, RATCH, SATIN FINISH, SS, NS, SNOWDEN-PENCER, LTX</t>
  </si>
  <si>
    <t>GRASPER, ENDOSCP, TENAC, LNG, 5 MMX35 CM, TOOTH , SNOWDEN-PENCER</t>
  </si>
  <si>
    <t>DOUBLE ACTION, SINGLE TOOTH JAW, SLIM, INSULATED SHAFT, NON ROTATION, RATCHET, SATIN FINISH</t>
  </si>
  <si>
    <t>https://www.bd.com/en-us/offerings/capabilities/surgical-instruments/laparoscopic-instruments/tenaculum-grasper/la8237, https://accessgudid.nlm.nih.gov/devices/10885403053269</t>
  </si>
  <si>
    <t>MO9780</t>
  </si>
  <si>
    <t>BD_MO9780</t>
  </si>
  <si>
    <t>TESSIER OSTEOTOME STR 2MM FLAT HANDLE</t>
  </si>
  <si>
    <t>PRODIGO1057986</t>
  </si>
  <si>
    <t>TESSIER-TYPE OSTEOTOMES FLAT HANDLE. OVERALL LENGTH 6-1/4IN (15.9CM). STRAIGHT. BLADE 2MM WIDE.</t>
  </si>
  <si>
    <t>OSTEOTOME, SURGICAL, TESSIER, 6.25 IN, 2 MM, FLAT HANDLE, STRAIGHT, NON STERILE, LATEX</t>
  </si>
  <si>
    <t>OSTEOTOME, SURG, TESSIER, 6.25 IN, 2 MM, FLAT HNDL, STR, NS, LTX</t>
  </si>
  <si>
    <t>TESSIER</t>
  </si>
  <si>
    <t>FLAT HANDLE, STRAIGHT</t>
  </si>
  <si>
    <t>https://www.bd.com/en-us/products-and-solutions/products/product-page.MO9780#overview, https://accessgudid.nlm.nih.gov/devices/10885403068249</t>
  </si>
  <si>
    <t>MO9694</t>
  </si>
  <si>
    <t>BD_MO9694</t>
  </si>
  <si>
    <t>TESSIER PERIOSTEAL ELEVATOR FULLCVD 6MMW</t>
  </si>
  <si>
    <t>PRODIGO1057977</t>
  </si>
  <si>
    <t>TESSIER-TYPE PERIOSTEAL ELEVATORS BLADE 6MM WIDE. OVERALL LENGTH 7IN (17.8CM). FULLY CURVED.</t>
  </si>
  <si>
    <t>ELEVATOR, SURGICAL, TESSIER, 7 IN, 6 MM, PERIOSTEAL, FULLY CURVED, NON STERILE, LATEX</t>
  </si>
  <si>
    <t>ELEVATOR, SURG, TESSIER, 7 IN, 6 MM, PERIOST, FULL CRV, NS, LTX</t>
  </si>
  <si>
    <t>PERIOSTEAL, FULLY CURVED</t>
  </si>
  <si>
    <t>https://www.bd.com/en-us/products-and-solutions/products/product-page.MO9694#overview, https://accessgudid.nlm.nih.gov/devices/10885403067099</t>
  </si>
  <si>
    <t>MO9350</t>
  </si>
  <si>
    <t>BD_MO9350</t>
  </si>
  <si>
    <t>TESSIER RETR 10 &amp; 12MM WIDE DBL-END MALL</t>
  </si>
  <si>
    <t>PRODIGO1057963</t>
  </si>
  <si>
    <t>TESSIER-TYPE MALLEABLE RETRACTORS DOUBLE-ENDED. BLACK OXIDIZED FINISH. OVERALL LENGTH 8-3/4IN (22.2CM). BLADES 10MM AND 12MM WIDE.</t>
  </si>
  <si>
    <t>RETRACTOR, SURGICAL, TESSIER, 8.75 IN, 10X12 MM, MALLEABLE, DOUBLE ENDED, BLACK OXIDIZED FINISH, NON STERILE, LATEX</t>
  </si>
  <si>
    <t>RETRACTOR, SURG, TESSIER, 8.75 IN, 10X12 MM, MALL, DBL END, BLK OXIDIZED FINISH, NS, LTX</t>
  </si>
  <si>
    <t>RETRACTOR, SURG, TESSIER, 8.75 IN, 10X12 MM, MALL, DBL END</t>
  </si>
  <si>
    <t>10X12 MM</t>
  </si>
  <si>
    <t>MALLEABLE, DOUBLE ENDED, BLACK OXIDIZED FINISH</t>
  </si>
  <si>
    <t>https://www.bd.com/en-us/products-and-solutions/products/product-page.mo9350#overview, https://accessgudid.nlm.nih.gov/devices/10885403058530</t>
  </si>
  <si>
    <t>MO9355</t>
  </si>
  <si>
    <t>BD_MO9355</t>
  </si>
  <si>
    <t>TESSIER RETR 15 &amp; 17MM WIDE DBL-END MALL</t>
  </si>
  <si>
    <t>PRODIGO1057964</t>
  </si>
  <si>
    <t>TESSIER-TYPE MALLEABLE RETRACTORS DOUBLE-ENDED. BLACK OXIDIZED FINISH. OVERALL LENGTH 8-3/4IN (22.2CM). BLADES 15MM AND 17MM WIDE.</t>
  </si>
  <si>
    <t>RETRACTOR, SURGICAL, TESSIER, 8.75 IN, 15X17 MM, MALLEABLE, DOUBLE ENDED, BLACK OXIDIZED FINISH, NON STERILE, LATEX</t>
  </si>
  <si>
    <t>RETRACTOR, SURG, TESSIER, 8.75 IN, 15X17 MM, MALL, DBL END, BLK OXIDIZED FINISH, NS, LTX</t>
  </si>
  <si>
    <t>RETRACTOR, SURG, TESSIER, 8.75 IN, 15X17 MM, MALL, DBL END</t>
  </si>
  <si>
    <t>15X17 MM</t>
  </si>
  <si>
    <t>https://www.bd.com/en-us/products-and-solutions/products/product-page.MO9355#overview, https://accessgudid.nlm.nih.gov/devices/10885403188251</t>
  </si>
  <si>
    <t>GL1610001</t>
  </si>
  <si>
    <t>GL1610-001</t>
  </si>
  <si>
    <t>BD_GL1610001</t>
  </si>
  <si>
    <t>THOMAS UTERINE CURETTE BLUNT SZ 1 11IN</t>
  </si>
  <si>
    <t>PRODIGO1057388</t>
  </si>
  <si>
    <t>Thomas uterine curettes Blunt. Malleable. Overall length 11in (27.9cm). Size 1.</t>
  </si>
  <si>
    <t>CURETTE, SURGICAL, THOMAS, 1, 11 IN, UTERINE, BLUNT, MALLEABLE, NON STERILE, LATEX</t>
  </si>
  <si>
    <t>CURETTE, SURG, THMS, 1, 11 IN, UTER, BLNT, MALL, NS, LTX</t>
  </si>
  <si>
    <t>THOMAS</t>
  </si>
  <si>
    <t>BLUNT, MALLEABLE</t>
  </si>
  <si>
    <t>https://www.bd.com/en-us/products-and-solutions/products/product-page.GL1610-001#specifications, https://accessgudid.nlm.nih.gov/devices/10885403044670</t>
  </si>
  <si>
    <t>GL1610002</t>
  </si>
  <si>
    <t>GL1610-002</t>
  </si>
  <si>
    <t>BD_GL1610002</t>
  </si>
  <si>
    <t>THOMAS UTERINE CURETTE BLUNT SZ 2 11IN</t>
  </si>
  <si>
    <t>PRODIGO1057389</t>
  </si>
  <si>
    <t>Thomas uterine curettes Blunt. Malleable. Overall length 11in (27.9cm). Size 2.</t>
  </si>
  <si>
    <t>CURETTE, SURGICAL, THOMAS, 2, 11 IN, UTERINE, BLUNT, MALLEABLE, NON STERILE, LATEX</t>
  </si>
  <si>
    <t>CURETTE, SURG, THMS, 2, 11 IN, UTER, BLNT, MALL, NS, LTX</t>
  </si>
  <si>
    <t>https://www.bd.com/en-us/products-and-solutions/products/product-page.GL1610-002#overview, https://accessgudid.nlm.nih.gov/devices/10885403044687</t>
  </si>
  <si>
    <t>CH7910</t>
  </si>
  <si>
    <t>BD_CH7910</t>
  </si>
  <si>
    <t>THOMPSON  CLOSURE CLAMP LONG JAW</t>
  </si>
  <si>
    <t>PRODIGO1057168</t>
  </si>
  <si>
    <t>THOMPSON Closure Clamp Handles slightly curved.
Long jaw 1mm thick.</t>
  </si>
  <si>
    <t>CLAMP, SURGICAL, THOMPSON, 6-1/8 IN, 1 MM, HANDLE SLIGHTLY CURVED, LONG JAW, CLOSURE, NON STERILE, LATEX</t>
  </si>
  <si>
    <t>CLAMP, SURG, THOMP, 6-1/8 IN, 1 MM, HNDL SLIGHTLY CRV, LNG JAW, CLOSURE, NS, LTX</t>
  </si>
  <si>
    <t>CLAMP, SURG, THOMP, 6-1/8 IN, 1 MM, HNDL SLIGHTLY CRV, LNG JAW</t>
  </si>
  <si>
    <t>THOMPSON</t>
  </si>
  <si>
    <t>HANDLE SLIGHTLY CURVED, LONG JAW, CLOSURE</t>
  </si>
  <si>
    <t>http://www.lt-technologies.de/_ws/mediabase/_ts_1494230442000/Downloads/CardioCatalog_LIT12012_low-res.pdf, https://accessgudid.nlm.nih.gov/devices/10885403033414</t>
  </si>
  <si>
    <t>CH0812</t>
  </si>
  <si>
    <t>BD_CH0812</t>
  </si>
  <si>
    <t>THOMPSON VALVE SCISSORS CVD BLADE 8-7/8</t>
  </si>
  <si>
    <t>PRODIGO1056601</t>
  </si>
  <si>
    <t>THOMPSON VALVE SCISSORS FULLY CURVED ONE SERRATED BLADE 8.5 IN LATEX NON STERILE</t>
  </si>
  <si>
    <t>SCISSOR, SURGICAL, THOMPSON, 8.5 IN, VALVE, FULLY CURVED, ONE SERRATED BLADE, NON STERILE, LATEX</t>
  </si>
  <si>
    <t>SCISSOR, SURG, THOMP, 8.5 IN, VLV, FULL CRV, 1 SERRATED BLADE, NS, LTX</t>
  </si>
  <si>
    <t>SCISSOR, SURG, THOMP, 8.5 IN, VLV, FULL CRV, 1 SERRATED BLADE, NS</t>
  </si>
  <si>
    <t>VALVE, FULLY CURVED, ONE SERRATED BLADE</t>
  </si>
  <si>
    <t>http://www.lt-technologies.de/_ws/mediabase/_ts_1494230442000/Downloads/CardioCatalog_LIT12012_low-res.pdf, https://accessgudid.nlm.nih.gov/devices/10885403020230</t>
  </si>
  <si>
    <t>LA8410</t>
  </si>
  <si>
    <t>BD_LA8410</t>
  </si>
  <si>
    <t>THREE FINGER FAN RETR 42MM RIGID 5MM42CM</t>
  </si>
  <si>
    <t>PRODIGO1057741</t>
  </si>
  <si>
    <t>Retractor 5 Mmx34 Cm Fan 42 Mm Rigid Three Finger Satin Finish Spread Stainless Steel Non Sterile Latex</t>
  </si>
  <si>
    <t>RETRACTOR, ENDOSCOPIC, FAN, 5 MMX34 CM, 42 MM, RIGID, THREE FINGER, SATIN FINISH, SPREAD, STAINLESS STEEL, NON STERILE, LATEX</t>
  </si>
  <si>
    <t>RETRACTOR, ENDOSCP, FAN, 5 MMX34 CM, 42 MM, RIGID, 3 FNGR, SATIN FINISH, SPRD, SS, NS, LTX</t>
  </si>
  <si>
    <t>RETRACTOR, ENDOSCP, FAN, 5 MMX34 CM, 42 MM, RIGID, 3 FNGR</t>
  </si>
  <si>
    <t>42 MM</t>
  </si>
  <si>
    <t>RIGID, THREE FINGER, SATIN FINISH, SPREAD</t>
  </si>
  <si>
    <t>https://www.bd.com/en-us/offerings/capabilities/surgical-instruments/laparoscopic-instruments/rigid-fan-retractor/la8410, https://accessgudid.nlm.nih.gov/devices/10885403053764</t>
  </si>
  <si>
    <t>GL1946</t>
  </si>
  <si>
    <t>BD_GL1946</t>
  </si>
  <si>
    <t>TISCHLER CERV BIOPSY PUNCH FORCEPS 2X4MM</t>
  </si>
  <si>
    <t>PRODIGO1057410</t>
  </si>
  <si>
    <t>Tischler cervical biopsy punches forceps Rotatable shaft. Working length 9in (22.9cm). Overall length 12in (30.5cm). 2mm x 4mm bite.</t>
  </si>
  <si>
    <t>FORCEP, ENDOSCOPIC, TISCHLER, 12 IN, 2X4 MM, CERVICAL, BIOPSY, PUNCH, BITE, ROTATABLE SHAFT, NON STERILE, LATEX</t>
  </si>
  <si>
    <t>FORCEP, ENDOSCP, TISCH, 12 IN, 2X4 MM, CERV, BX, PNCH, BITE, ROTATABLE SHFT, NS, LTX</t>
  </si>
  <si>
    <t>FORCEP, ENDOSCP, TISCH, 12 IN, 2X4 MM, BX, PNCH, ROTATABLE SHFT</t>
  </si>
  <si>
    <t>TISCHLER</t>
  </si>
  <si>
    <t>2X4 MM</t>
  </si>
  <si>
    <t>CERVICAL</t>
  </si>
  <si>
    <t>BIOPSY, PUNCH, BITE, ROTATABLE SHAFT</t>
  </si>
  <si>
    <t>https://www.bd.com/en-us/products-and-solutions/products/product-page.gl1946#overview, https://accessgudid.nlm.nih.gov/devices/10885403045066</t>
  </si>
  <si>
    <t>GL1945</t>
  </si>
  <si>
    <t>BD_GL1945</t>
  </si>
  <si>
    <t>TISCHLER CERV BIOPSY PUNCH FORCEPS 3X7MM</t>
  </si>
  <si>
    <t>PRODIGO1057409</t>
  </si>
  <si>
    <t>Tischler cervical biopsy punches forceps Rotatable shaft. Working length 9in (22.9cm). Overall length 12in (30.5cm). 3mm x 7mm bite.</t>
  </si>
  <si>
    <t>FORCEP, ENDOSCOPIC, TISCHLER, 12 IN, 3X7 MM, CERVICAL, BIOPSY, PUNCH, BITE, ROTATABLE SHAFT, NON STERILE, LATEX</t>
  </si>
  <si>
    <t>FORCEP, ENDOSCP, TISCH, 12 IN, 3X7 MM, CERV, BX, PNCH, BITE, ROTATABLE SHFT, NS, LTX</t>
  </si>
  <si>
    <t>FORCEP, ENDOSCP, TISCH, 12 IN, 3X7 MM, BX, PNCH, ROTATABLE SHFT</t>
  </si>
  <si>
    <t>3X7 MM</t>
  </si>
  <si>
    <t>https://www.bd.com/en-us/products-and-solutions/products/product-page.GL1945#overview, https://accessgudid.nlm.nih.gov/devices/10885403045059</t>
  </si>
  <si>
    <t>GL1943</t>
  </si>
  <si>
    <t>BD_GL1943</t>
  </si>
  <si>
    <t>TISCHLER CERVICAL BIOPSY PUNCH FORCEPS</t>
  </si>
  <si>
    <t>PRODIGO1057408</t>
  </si>
  <si>
    <t>Tischler cervical biopsy punches forceps Alligator-type. Oblong specimen size (5mm x 2.5mm x 1.5mm maximum thickness). Working length 8-3/4in (22.2cm).</t>
  </si>
  <si>
    <t>FORCEP, ENDOSCOPIC, TISCHLER, 8.75 IN, CERVICAL, BIOPSY, PUNCH, ALLIGATOR, OBLONG SPECIMEN, NON STERILE, LATEX</t>
  </si>
  <si>
    <t>FORCEP, ENDOSCP, TISCH, 8.75 IN, CERV, BX, PNCH, ALLIGATOR, OBLONG SPEC, NS, LTX</t>
  </si>
  <si>
    <t>FORCEP, ENDOSCP, TISCH, 8.75 IN, BX, PNCH, ALLIGATOR, OBLONG SPEC</t>
  </si>
  <si>
    <t>BIOPSY, PUNCH, ALLIGATOR, OBLONG SPECIMEN</t>
  </si>
  <si>
    <t>https://www.bd.com/en-us/products-and-solutions/products/product-page.GL1943#overview, https://accessgudid.nlm.nih.gov/devices/10885403045042</t>
  </si>
  <si>
    <t>CH1290</t>
  </si>
  <si>
    <t>BD_CH1290</t>
  </si>
  <si>
    <t>TITAN ANKENEY STERNAL RETR 1-1/4X1-3/8IN</t>
  </si>
  <si>
    <t>PRODIGO1056662</t>
  </si>
  <si>
    <t>TITANIUM ANKENEY STERNAL RETRACTOR INCLUDES SIX DETACHABLE SWIVEL BLADE ONE PAIR OF SPRINGS ON EACH ARM BLADE 1/4IN X 1-3/8IN ARM LENGTH 11-1/2IN SPRING LENGTH 3-1/4IN SPREAD 7IN LATEX NON STERILE</t>
  </si>
  <si>
    <t>RETRACTOR, SURGICAL, ANKENEY, 0.25X1-3/8 IN, 11.5 IN, 3.25 IN, 7 IN , STERNAL, WITH SIX DETACHABLE SWIVEL BLADE, ONE PAIR OF SPRINGS ON EACH ARM, TITANIUM, NON STERILE, LATEX</t>
  </si>
  <si>
    <t>RETRACTOR, SURG, ANKENEY, 0.25X1-3/8 IN, 11.5 IN, 3.25 IN, 7 IN , STRNL, W/ SIX DETACHABLE SWVL BLADE, 1 PR OF SPRINGS ON EA ARM, TI, NS, LTX</t>
  </si>
  <si>
    <t>RETRACTOR, SURG, ANKENEY, 0.25X1-3/8 IN, 11.5 IN, 3.25 IN, 7 IN</t>
  </si>
  <si>
    <t>ANKENEY</t>
  </si>
  <si>
    <t xml:space="preserve">0.25X1-3/8 IN, 11.5 IN, 3.25 IN, 7 IN </t>
  </si>
  <si>
    <t>WITH SIX DETACHABLE SWIVEL BLADE, ONE PAIR OF SPRINGS ON EACH ARM</t>
  </si>
  <si>
    <t>https://www.bd.com/en-us/products-and-solutions/products/product-page.CH1290#specifications, https://accessgudid.nlm.nih.gov/devices/10885403023705</t>
  </si>
  <si>
    <t>NL1552</t>
  </si>
  <si>
    <t>BD_NL1552</t>
  </si>
  <si>
    <t>TITAN BIPOL BAY FINE TIP .5MM STR FORCEP</t>
  </si>
  <si>
    <t>PRODIGO1058099</t>
  </si>
  <si>
    <t>TITANIUM BIPOLAR FORCEPS BAYONET. OVERALL LENGTH 8-3/4IN 22.5CM. STRAIGHT. FINE TIPS 0.5MM WIDE</t>
  </si>
  <si>
    <t>FORCEP, SURGICAL, BAYONET, 8.75 IN, 0.5 MM, BIPOLAR, STRAIGHT, FINE TIP, TITANIUM, NON STERILE, LATEX</t>
  </si>
  <si>
    <t>FORCEP SURGICAL BAYONET 8.75 IN 0.5 MM BIPOLAR STRAIGHT FINE TIP TITANIUM NON STERILE LATEX</t>
  </si>
  <si>
    <t>FORCEP, SURG, BAYNT, 8.75 IN, 0.5 MM, BPLR, STR, FN TIP, TI, NS, LTX</t>
  </si>
  <si>
    <t>BIPOLAR, STRAIGHT, FINE TIP</t>
  </si>
  <si>
    <t>https://www.bd.com/en-us/products-and-solutions/products/product-page.NL1552#specifications, https://accessgudid.nlm.nih.gov/devices/10885403071751</t>
  </si>
  <si>
    <t>NL1553</t>
  </si>
  <si>
    <t>BD_NL1553</t>
  </si>
  <si>
    <t>TITAN BIPOLAR BAY FORCEP MED TIP 1MM STR</t>
  </si>
  <si>
    <t>PRODIGO1058100</t>
  </si>
  <si>
    <t>TITANIUM BIPOLAR FORCEPS BAYONET. OVERALL LENGTH 8-3/4IN 22.5CM. STRAIGHT. MEDIUM TIPS 1MM WIDE</t>
  </si>
  <si>
    <t>FORCEP, SURGICAL, BAYONET, 8.75 IN, 1 MM, BIPOLAR, STRAIGHT, MEDIUM TIP, TITANIUM, NON STERILE, LATEX</t>
  </si>
  <si>
    <t>FORCEP SURGICAL BAYONET 8.75 IN 1 MM BIPOLAR STRAIGHT MEDIUM TIP TITANIUM NON STERILE LATEX</t>
  </si>
  <si>
    <t>FORCEP, SURG, BAYNT, 8.75 IN, 1 MM, BPLR, STR, MED TIP, TI, NS, LTX</t>
  </si>
  <si>
    <t>BIPOLAR, STRAIGHT, MEDIUM TIP</t>
  </si>
  <si>
    <t>https://www.bd.com/en-us/products-and-solutions/products/product-page.NL1553#overview, https://accessgudid.nlm.nih.gov/devices/10885403071768</t>
  </si>
  <si>
    <t>CH03174S</t>
  </si>
  <si>
    <t>CH03174-S</t>
  </si>
  <si>
    <t>BD_CH03174S</t>
  </si>
  <si>
    <t>TITAN DEL TOUCH JACOBSON NEEDLE HLDR CVD</t>
  </si>
  <si>
    <t>PRODIGO1056493</t>
  </si>
  <si>
    <t>Titanium Delicate Touch JACOBSON Needle Holders Finely tapered jaws. Round handle With lock Curved Overall length 7-1/4in (18.4cm)</t>
  </si>
  <si>
    <t>HOLDER, NEEDLE, JACOBSON, 7.25 IN, CURVED, FINELY TAPERED JAW, ROUND HANDLE, WITH LOCK, TITANIUM, NON STERILE, DELICATE TOUCH, LATEX</t>
  </si>
  <si>
    <t>HOLDER, NDL, JACOBSON, 7.25 IN, CRV, FINELY TAPR JAW, RND HNDL, W/ LCK, TI, NS, DEL TCH, LTX</t>
  </si>
  <si>
    <t>HOLDER, NDL, JACOBSON, 7.25 IN, CRV, FINELY TAPR, RND HNDL, W/ LCK</t>
  </si>
  <si>
    <t>CURVED, FINELY TAPERED JAW, ROUND HANDLE, WITH LOCK</t>
  </si>
  <si>
    <t>http://www.megamedworld.com/wp-content/uploads/2019/03/VM_KVC-min.pdf, https://accessgudid.nlm.nih.gov/devices/10885403020339</t>
  </si>
  <si>
    <t>CH03180S</t>
  </si>
  <si>
    <t>CH03180-S</t>
  </si>
  <si>
    <t>BD_CH03180S</t>
  </si>
  <si>
    <t>TITAN DEL TOUCH JACOBSON NEEDLE HLDR STR</t>
  </si>
  <si>
    <t>PRODIGO1056496</t>
  </si>
  <si>
    <t>Titanium Delicate Touch JACOBSON Needle Holders Finely tapered jaws. Round handle With lock. Straight. Overall length 8-1/4in (21cm)</t>
  </si>
  <si>
    <t>HOLDER, NEEDLE, JACOBSON, 8.25 IN, STRAIGHT, FINELY TAPERED JAW, ROUND HANDLE, WITH LOCK, TITANIUM, NON STERILE, DELICATE TOUCH, LATEX</t>
  </si>
  <si>
    <t>HOLDER, NDL, JACOBSON, 8.25 IN, STR, FINELY TAPR JAW, RND HNDL, W/ LCK, TI, NS, DEL TCH, LTX</t>
  </si>
  <si>
    <t>HOLDER, NDL, JACOBSON, 8.25 IN, STR, FINELY TAPR JAW, RND HNDL, TI</t>
  </si>
  <si>
    <t>STRAIGHT, FINELY TAPERED JAW, ROUND HANDLE, WITH LOCK</t>
  </si>
  <si>
    <t>http://www.megamedworld.com/wp-content/uploads/2019/03/VM_KVC-min.pdf, https://accessgudid.nlm.nih.gov/devices/10885403020384</t>
  </si>
  <si>
    <t>CH0320012S</t>
  </si>
  <si>
    <t>BD_CH0320012S</t>
  </si>
  <si>
    <t>PRODIGO1056499</t>
  </si>
  <si>
    <t>DELICATE TOUCH NEEDLE HOLDER 12 IN MICRO TITANIUM CARDIOVASCULAR JACOBSON FLAT STRAIGHT HANDLE ROUND STYLE FINELY TAPERED JAW WITH LOCK</t>
  </si>
  <si>
    <t>HOLDER, NEEDLE, JACOBSON, MICRO, 12 IN, CARDIOVASCULAR, STRAIGHT, ROUND HANDLE, FINELY TAPERED JAW, WITH LOCK, TITANIUM, NON STERILE, DELICATE TOUCH, LATEX</t>
  </si>
  <si>
    <t>HOLDER, NDL, JACOBSON, MIC, 12 IN, CV, STR, RND HNDL, FINELY TAPR JAW, W/ LCK, TI, NS, DEL TCH, LTX</t>
  </si>
  <si>
    <t>HOLDER, NDL, JACOBSON, MIC, 12 IN, CV, STR, RND HNDL, FINELY TAPR</t>
  </si>
  <si>
    <t>STRAIGHT, ROUND HANDLE, FINELY TAPERED JAW, WITH LOCK</t>
  </si>
  <si>
    <t>https://www.bd.com/en-us/offerings/capabilities/surgical-instruments/open-instrumentation/titanium-delicate-touch-jacobson-micro-needle-holders/ch0320012s, https://accessgudid.nlm.nih.gov/devices/10885403022357</t>
  </si>
  <si>
    <t>CH03200S</t>
  </si>
  <si>
    <t>BD_CH03200S</t>
  </si>
  <si>
    <t>PRODIGO1056500</t>
  </si>
  <si>
    <t>Titanium Delicate Touch JACOBSON Micro Needle Holders Finely tapered jaws. Round handle Straight jaws. With lock. Overall length 10in (25.4cm)</t>
  </si>
  <si>
    <t>HOLDER, NEEDLE, JACOBSON, MICRO, 10 IN, STRAIGHT JAW, FINELY TAPERED JAW, ROUND HANDLE, WITH LOCK, TITANIUM, NON STERILE, DELICATE TOUCH, LATEX</t>
  </si>
  <si>
    <t>HOLDER, NDL, JACOBSON, MIC, 10 IN, STR JAW, FINELY TAPR JAW, RND HNDL, W/ LCK, TI, NS, DEL TCH, LTX</t>
  </si>
  <si>
    <t>HOLDER, NDL, JACOBSON, MIC, 10 IN, STR JAW, FINELY TAPR, RND HNDL</t>
  </si>
  <si>
    <t>STRAIGHT JAW, FINELY TAPERED JAW, ROUND HANDLE, WITH LOCK</t>
  </si>
  <si>
    <t>http://www.megamedworld.com/wp-content/uploads/2019/03/VM_KVC-min.pdf, https://accessgudid.nlm.nih.gov/devices/10885403020452</t>
  </si>
  <si>
    <t>CH03176</t>
  </si>
  <si>
    <t>BD_CH03176</t>
  </si>
  <si>
    <t>TITAN DEL TOUCH JCBSN MCRO NDL HLDR CVD</t>
  </si>
  <si>
    <t>PRODIGO1056494</t>
  </si>
  <si>
    <t>DELICATE TOUCH NEEDLE HOLDER 7-1/4 IN MICRO TITANIUM CARDIOVASCULAR JACOBSON CURVED HANDLE ROUND STYLE FINELY TAPERED JAW RATCHETED WITH LOCK</t>
  </si>
  <si>
    <t>HOLDER, NEEDLE, JACOBSON, MICRO, 7.25 IN, CARDIOVASCULAR, CURVED, ROUND HANDLE, FINELY TAPERED JAW, RATCHETED, WITH LOCK, TITANIUM, NON STERILE, DELICATE TOUCH, LATEX</t>
  </si>
  <si>
    <t>HOLDER, NDL, JACOBSON, MIC, 7.25 IN, CV, CRV, RND HNDL, FINELY TAPR JAW, RATCHETED, W/ LCK, TI, NS, DEL TCH, LTX</t>
  </si>
  <si>
    <t>HOLDER, NDL, JACOBSON, MIC, 7.25 IN, CV, CRV, RND HNDL, FINELY TAPR</t>
  </si>
  <si>
    <t>CURVED, ROUND HANDLE, FINELY TAPERED JAW, RATCHETED, WITH LOCK</t>
  </si>
  <si>
    <t>https://www.bd.com/en-us/offerings/capabilities/surgical-instruments/open-instrumentation/titanium-delicate-touch-jacobson-micro-needle-holders/ch03176, https://accessgudid.nlm.nih.gov/devices/10885403020346</t>
  </si>
  <si>
    <t>CH03184</t>
  </si>
  <si>
    <t>BD_CH03184</t>
  </si>
  <si>
    <t>PRODIGO1056498</t>
  </si>
  <si>
    <t>DELICATE TOUCH NEEDLE HOLDER 8 IN MICRO TITANIUM CARDIOVASCULAR JACOBSON FLAT SATIN FINISH CURVED HANDLE ROUND STYLE FINELY TAPERED JAW WITH LOCK</t>
  </si>
  <si>
    <t>HOLDER, NEEDLE, JACOBSON, MICRO, 8 IN, CARDIOVASCULAR, CURVED, ROUND HANDLE, FINELY TAPERED JAW, WITH LOCK, FLAT SATIN FINISH, TITANIUM, NON STERILE, DELICATE TOUCH, LATEX</t>
  </si>
  <si>
    <t>HOLDER, NDL, JACOBSON, MIC, 8 IN, CV, CRV, RND HNDL, FINELY TAPR JAW, W/ LCK, FLAT SATIN FINISH, TI, NS, DEL TCH, LTX</t>
  </si>
  <si>
    <t>HOLDER, NDL, JACOBSON, MIC, 8 IN, CV, CRV, RND HNDL, FINELY TAPR JAW</t>
  </si>
  <si>
    <t>CURVED, ROUND HANDLE, FINELY TAPERED JAW, WITH LOCK, FLAT SATIN FINISH</t>
  </si>
  <si>
    <t>https://www.bd.com/en-us/offerings/capabilities/surgical-instruments/open-instrumentation/titanium-delicate-touch-jacobson-micro-needle-holders/ch03184, https://accessgudid.nlm.nih.gov/devices/10885403020414</t>
  </si>
  <si>
    <t>CH03170</t>
  </si>
  <si>
    <t>BD_CH03170</t>
  </si>
  <si>
    <t>TITAN DEL TOUCH JCBSN MCRO NDL HLDR STR</t>
  </si>
  <si>
    <t>PRODIGO1056492</t>
  </si>
  <si>
    <t>DELICATE TOUCH NEEDLE HOLDER 7-1/4 IN MICRO TITANIUM CARDIOVASCULAR JACOBSON FLAT FINISH STRAIGHT HANDLE ROUND STYLE FINELY TAPERED JAW RATCHETED WITH LOCK</t>
  </si>
  <si>
    <t>HOLDER, NEEDLE, JACOBSON, MICRO, 7.25 IN, CARDIOVASCULAR, STRAIGHT, ROUND HANDLE, FINELY TAPERED JAW, RATCHETED, WITH LOCK, FLAT FINISH, TITANIUM, NON STERILE, DELICATE TOUCH, LATEX</t>
  </si>
  <si>
    <t>HOLDER, NDL, JACOBSON, MIC, 7.25 IN, CV, STR, RND HNDL, FINELY TAPR JAW, RATCHETED, W/ LCK, FLAT FINISH, TI, NS, DEL TCH, LTX</t>
  </si>
  <si>
    <t>HOLDER, NDL, JACOBSON, MIC, 7.25 IN, CV, STR, RND HNDL, FINELY TAPR</t>
  </si>
  <si>
    <t>STRAIGHT, ROUND HANDLE, FINELY TAPERED JAW, RATCHETED, WITH LOCK, FLAT FINISH</t>
  </si>
  <si>
    <t>http://www.megamedworld.com/wp-content/uploads/2019/03/VM_KVC-min.pdf, https://accessgudid.nlm.nih.gov/devices/10885403020285</t>
  </si>
  <si>
    <t>CH03180</t>
  </si>
  <si>
    <t>BD_CH03180</t>
  </si>
  <si>
    <t>PRODIGO1056495</t>
  </si>
  <si>
    <t>Titanium Delicate Touch JACOBSON Micro Needle Holders Round handle. Straight. With lock. Overall length 8in (20.3cm)</t>
  </si>
  <si>
    <t>HOLDER, NEEDLE, JACOBSON, MICRO, 8 IN, STRAIGHT, ROUND HANDLE, WITH LOCK, TITANIUM, NON STERILE, DELICATE TOUCH, LATEX</t>
  </si>
  <si>
    <t>HOLDER, NDL, JACOBSON, MIC, 8 IN, STR, RND HNDL, W/ LCK, TI, NS, DEL TCH, LTX</t>
  </si>
  <si>
    <t>HOLDER, NDL, JACOBSON, MIC, 8 IN, STR, RND HNDL, W/ LCK, TI, DEL TCH</t>
  </si>
  <si>
    <t>STRAIGHT, ROUND HANDLE, WITH LOCK</t>
  </si>
  <si>
    <t>http://www.megamedworld.com/wp-content/uploads/2019/03/VM_KVC-min.pdf, https://accessgudid.nlm.nih.gov/devices/10885403020377</t>
  </si>
  <si>
    <t>CH03182</t>
  </si>
  <si>
    <t>BD_CH03182</t>
  </si>
  <si>
    <t>PRODIGO1056497</t>
  </si>
  <si>
    <t>Titanium Delicate Touch JACOBSON Micro Needle Holders Round handle. Straight. Without lock. Overall length 8in (20.3cm)</t>
  </si>
  <si>
    <t>HOLDER, NEEDLE, JACOBSON, MICRO, 8 IN, STRAIGHT, ROUND HANDLE, WITHOUT LOCK, TITANIUM, NON STERILE, DELICATE TOUCH, LATEX</t>
  </si>
  <si>
    <t>HOLDER, NDL, JACOBSON, MIC, 8 IN, STR, RND HNDL, W/O LCK, TI, NS, DEL TCH, LTX</t>
  </si>
  <si>
    <t>HOLDER, NDL, JACOBSON, MIC, 8 IN, STR, RND HNDL, W/O LCK, TI, DEL TCH</t>
  </si>
  <si>
    <t>STRAIGHT, ROUND HANDLE, WITHOUT LOCK</t>
  </si>
  <si>
    <t>http://www.megamedworld.com/wp-content/uploads/2019/03/VM_KVC-min.pdf, https://accessgudid.nlm.nih.gov/devices/10885403020391</t>
  </si>
  <si>
    <t>CH0393</t>
  </si>
  <si>
    <t>BD_CH0393</t>
  </si>
  <si>
    <t>TITAN DEL TOUCH MICRO NDL HLDR STR</t>
  </si>
  <si>
    <t>PRODIGO1056516</t>
  </si>
  <si>
    <t>Titanium Delicate Touch Micro Needle Holders Straight. Round handle. Overall length 6in (15.2cm). Wthout lock</t>
  </si>
  <si>
    <t>HOLDER, NEEDLE, STRAIGHT, MICRO, 6 IN, ROUND HANDLE, TITANIUM, NON STERILE, DELICATE TOUCH, LATEX</t>
  </si>
  <si>
    <t>HOLDER, NDL, STR, MIC, 6 IN, RND HNDL, TI, NS, DEL TCH, LTX</t>
  </si>
  <si>
    <t>ROUND HANDLE</t>
  </si>
  <si>
    <t>http://www.megamedworld.com/wp-content/uploads/2019/03/VM_KVC-min.pdf, https://accessgudid.nlm.nih.gov/devices/10885403019753</t>
  </si>
  <si>
    <t>CH0393A</t>
  </si>
  <si>
    <t>BD_CH0393A</t>
  </si>
  <si>
    <t>PRODIGO1056517</t>
  </si>
  <si>
    <t>DELICATE TOUCH NEEDLE HOLDER 5-7/8 IN MICRO TITANIUM CARDIOVASCULAR FLAT STRAIGHT TEETH SPRING HANDLE ROUND STYLE WITH LOCK</t>
  </si>
  <si>
    <t>HOLDER, NEEDLE, STRAIGHT, MICRO, 5-7/8 IN, CARDIOVASCULAR, FLAT TEETH, SPRING ROUND HANDLE, WITH LOCK, TITANIUM, NON STERILE, DELICATE TOUCH, LATEX</t>
  </si>
  <si>
    <t>HOLDER, NDL, STR, MIC, 5-7/8 IN, CV, FLAT TEETH, SPRING RND HNDL, W/ LCK, TI, NS, DEL TCH, LTX</t>
  </si>
  <si>
    <t>HOLDER, NDL, STR, MIC, 5-7/8 IN, CV, FLAT TEETH, SPRING RND HNDL</t>
  </si>
  <si>
    <t>FLAT TEETH, SPRING ROUND HANDLE, WITH LOCK</t>
  </si>
  <si>
    <t>https://www.bd.com/en-us/offerings/capabilities/surgical-instruments/open-instrumentation/titanium-delicate-touch-micro-needle-holders/ch0393a, https://accessgudid.nlm.nih.gov/devices/10885403019760</t>
  </si>
  <si>
    <t>CH12901</t>
  </si>
  <si>
    <t>CH1290-1</t>
  </si>
  <si>
    <t>BD_CH12901</t>
  </si>
  <si>
    <t>TITANIUM ANKENEY STERNAL RETR 2X1-3/8INW</t>
  </si>
  <si>
    <t>PRODIGO1056663</t>
  </si>
  <si>
    <t>TITANIUM ANKENEY STERNAL RETRACTOR INCLUDES SIX DETACHABLE SWIVEL BLADE ONE PAIR OF SPRINGS ON EACH ARM BLADE 2IN X 1-3/8IN WIDE LATEX NON STERILE</t>
  </si>
  <si>
    <t>RETRACTOR, SURGICAL, ANKENEY, 2X1-3/8 IN, STERNAL, WITH SIX DETACHABLE SWIVEL BLADE, ONE PAIR OF SPRINGS ON EACH ARM, TITANIUM, NON STERILE, LATEX</t>
  </si>
  <si>
    <t>RETRACTOR, SURG, ANKENEY, 2X1-3/8 IN, STRNL, W/ SIX DETACHABLE SWVL BLADE, 1 PR OF SPRINGS ON EA ARM, TI, NS, LTX</t>
  </si>
  <si>
    <t>RETRACTOR, SURG, ANKENEY, 2X1-3/8 IN, STRNL, W/ SIX SWVL BLADE</t>
  </si>
  <si>
    <t>2X1-3/8 IN</t>
  </si>
  <si>
    <t>https://www.bd.com/en-us/products-and-solutions/products/product-page.CH1290-1#overview, https://accessgudid.nlm.nih.gov/devices/10885403023712</t>
  </si>
  <si>
    <t>CH03438</t>
  </si>
  <si>
    <t>BD_CH03438</t>
  </si>
  <si>
    <t>TITANIUM DEL TOUCH CVD NEEDLE HOLDER STR</t>
  </si>
  <si>
    <t>PRODIGO1056510</t>
  </si>
  <si>
    <t>DELICATE TOUCH NEEDLE HOLDER 8 IN TITANIUM CARDIOVASCULAR DEBAKEY STRAIGHT STANDARD RING HANDLE RYDER-TYPE DUST JAW FOR 5-0 SMALL SUTURE</t>
  </si>
  <si>
    <t>HOLDER, NEEDLE, DEBAKEY, 8 IN, CARDIOVASCULAR, STRAIGHT STANDARD RING HANDLE, RYDER-TYPE DUST JAW, FOR 5-0 SMALL SUTURE, TITANIUM, NON STERILE, DELICATE TOUCH, LATEX</t>
  </si>
  <si>
    <t>HOLDER, NDL, DEBAKEY, 8 IN, CV, STR STD RNG HNDL, RYDER-TYPE DUST JAW, FOR 5-0 SM SUTURE, TI, NS, DEL TCH, LTX</t>
  </si>
  <si>
    <t>HOLDER, NDL, DEBAKEY, 8 IN, CV, STR STD RNG HNDL, RYDER-TYPE DUST</t>
  </si>
  <si>
    <t>STRAIGHT STANDARD RING HANDLE, RYDER-TYPE DUST JAW, FOR 5-0 SMALL SUTURE</t>
  </si>
  <si>
    <t>CVD</t>
  </si>
  <si>
    <t>https://www.bd.com/en-us/offerings/capabilities/surgical-instruments/open-instrumentation/titanium-delicate-touch-cardiovascular-needle-holders/ch03438, https://accessgudid.nlm.nih.gov/devices/10885403020780</t>
  </si>
  <si>
    <t>CH03432</t>
  </si>
  <si>
    <t>BD_CH03432</t>
  </si>
  <si>
    <t>TITANIUM DEL TOUCH RYDER NDL HOLDER STR</t>
  </si>
  <si>
    <t>PRODIGO1056509</t>
  </si>
  <si>
    <t>TITANIUM DELICATE TOUCH RYDER NEEDLE HOLDERS WITH 5-0 SUTURE AND SMALLER STRAIGHT OVERALL LENGTH 17.1CM HOLDER NEEDLE RYDER SMALL 17.1 CM WITH 5-0 SUTURE STRAIGHT TITANIUM DELICATE TOUCH</t>
  </si>
  <si>
    <t>HOLDER, NEEDLE, RYDER, 6.75 IN, STRAIGHT, FOR 3-0 SMALL SUTURE, TITANIUM, NON STERILE, DELICATE TOUCH, LATEX</t>
  </si>
  <si>
    <t>HOLDER, NDL, RYDER, 6.75 IN, STR, FOR 3-0 SM SUTURE, TI, NS, DEL TCH, LTX</t>
  </si>
  <si>
    <t>HOLDER, NDL, RYDER, 6.75 IN, STR, FOR 3-0 SM SUTURE, TI, NS, DEL TCH</t>
  </si>
  <si>
    <t>STRAIGHT, FOR 3-0 SMALL SUTURE</t>
  </si>
  <si>
    <t>http://www.megamedworld.com/wp-content/uploads/2019/03/VM_KVC-min.pdf, https://accessgudid.nlm.nih.gov/devices/10885403020759</t>
  </si>
  <si>
    <t>CH5684</t>
  </si>
  <si>
    <t>BD_CH5684</t>
  </si>
  <si>
    <t>TOENNIS DISSECT SCISSORS DEL CVD 7-1/8IN</t>
  </si>
  <si>
    <t>PRODIGO1056904</t>
  </si>
  <si>
    <t>TOENNIS DISSECTING SCISSORS DELICATE MIRROR FINISH CURVED OVERALL LENGTH 18.1CM SCISSOR SURGICAL TOENNIS 18.1 CM DISSECTING DELICATE MIRROR FINISH CURVED</t>
  </si>
  <si>
    <t>SCISSOR, SURGICAL, TOENNIS, 7-1/8 IN, DISSECTING, DELICATE, MIRROR FINISH, CURVED, NON STERILE, LATEX</t>
  </si>
  <si>
    <t>SCISSOR, SURG, TOENNIS, 7-1/8 IN, DISECT, DEL, MIRROR FINISH, CRV, NS, LTX</t>
  </si>
  <si>
    <t>SCISSOR, SURG, TOENNIS, 7-1/8 IN, DISECT, DEL, CRV, NS, LTX</t>
  </si>
  <si>
    <t>TOENNIS</t>
  </si>
  <si>
    <t>DISSECTING, DELICATE, MIRROR FINISH, CURVED</t>
  </si>
  <si>
    <t>http://www.megamedworld.com/wp-content/uploads/2019/03/VM_KVC-min.pdf, https://accessgudid.nlm.nih.gov/devices/10885403028854</t>
  </si>
  <si>
    <t>CH5682</t>
  </si>
  <si>
    <t>BD_CH5682</t>
  </si>
  <si>
    <t>TOENNIS DISSECT SCISSORS DEL STR 7-1/4IN</t>
  </si>
  <si>
    <t>PRODIGO1056903</t>
  </si>
  <si>
    <t>TOENNIS SCISSOR SURGICAL 7.25 IN DISSECTING, DELICATE, MIRROR FINISH, CURVED</t>
  </si>
  <si>
    <t>SCISSOR, SURGICAL, TOENNIS, 7.25 IN, DISSECTING, DELICATE, MIRROR FINISH, CURVED, NON STERILE, LATEX</t>
  </si>
  <si>
    <t>SCISSOR, SURG, TOENNIS, 7.25 IN, DISECT, DEL, MIRROR FINISH, CRV, NS, LTX</t>
  </si>
  <si>
    <t>SCISSOR, SURG, TOENNIS, 7.25 IN, DISECT, DEL, CRV, NS, LTX</t>
  </si>
  <si>
    <t>http://www.megamedworld.com/wp-content/uploads/2019/03/VM_KVC-min.pdf, https://accessgudid.nlm.nih.gov/devices/10885403028847</t>
  </si>
  <si>
    <t>LA8242</t>
  </si>
  <si>
    <t>BD_LA8242</t>
  </si>
  <si>
    <t>TOOTHED BIOPSY FORCEP SPRING LD 5MM 35CM</t>
  </si>
  <si>
    <t>PRODIGO1057714</t>
  </si>
  <si>
    <t>Punch 5 Mmx35 Cm Kerrison 1x1 Teeth Biopsy Single Action Tooth Jaw Non Insulated Non Rotation Spring Return Handle Non Ratchet Satin Finish Stainless Steel Non Sterile Latex</t>
  </si>
  <si>
    <t>PUNCH, ENDOSCOPIC, KERRISON, 5 MMX35 CM, 1X1 TEETH, BIOPSY, SINGLE ACTION, TOOTH JAW, NON INSULATED, NON ROTATION, SPRING RETURN HANDLE, NON RATCHET, SATIN FINISH, STAINLESS STEEL, NON STERILE, LATEX</t>
  </si>
  <si>
    <t>PUNCH, ENDOSCP, KERRISON, 5 MMX35 CM, 1X1 TEETH, BX, SINGLE ACT, TOOTH JAW, N INSUL, N ROT, SPRING RET HNDL, N RATCH, SATIN FINISH, SS, NS, LTX</t>
  </si>
  <si>
    <t>PUNCH, ENDOSCP, KERRISON, 5 MMX35 CM, 1X1 TEETH, BX, SINGLE ACT</t>
  </si>
  <si>
    <t>1X1 TEETH, BIOPSY, SINGLE ACTION, TOOTH JAW, NON INSULATED, NON ROTATION, SPRING RETURN HANDLE, NON RATCHET, SATIN FINISH</t>
  </si>
  <si>
    <t>https://www.bd.com/en-us/offerings/capabilities/surgical-instruments/laparoscopic-instruments/toothed-biopsy-punch/la8242, https://accessgudid.nlm.nih.gov/devices/10885403053351</t>
  </si>
  <si>
    <t>LA824245</t>
  </si>
  <si>
    <t>LA8242-45</t>
  </si>
  <si>
    <t>BD_LA824245</t>
  </si>
  <si>
    <t>TOOTHED BIOPSY FORCEP SPRING LD 5MM 45CM</t>
  </si>
  <si>
    <t>PRODIGO1057715</t>
  </si>
  <si>
    <t>Punch 5 Mmx45 Cm Kerrison 1x1 Teeth Biopsy Single Action Tooth Jaw Non Insulated Non Rotation Spring Return Handle Non Ratchet Satin Finish Stainless Steel Non Sterile Latex</t>
  </si>
  <si>
    <t>PUNCH, ENDOSCOPIC, KERRISON, 5 MMX45 CM, 1X1 TEETH, BIOPSY, SINGLE ACTION, TOOTH JAW, NON INSULATED, NON ROTATION, SPRING RETURN HANDLE, NON RATCHET, SATIN FINISH, STAINLESS STEEL, NON STERILE, LATEX</t>
  </si>
  <si>
    <t>PUNCH, ENDOSCP, KERRISON, 5 MMX45 CM, 1X1 TEETH, BX, SINGLE ACT, TOOTH JAW, N INSUL, N ROT, SPRING RET HNDL, N RATCH, SATIN FINISH, SS, NS, LTX</t>
  </si>
  <si>
    <t>PUNCH, ENDOSCP, KERRISON, 5 MMX45 CM, 1X1 TEETH, BX, SINGLE ACT</t>
  </si>
  <si>
    <t>https://www.bd.com/en-us/offerings/capabilities/surgical-instruments/laparoscopic-instruments/toothed-biopsy-punch/la8242-45, https://accessgudid.nlm.nih.gov/devices/10885403053368</t>
  </si>
  <si>
    <t>LA8245</t>
  </si>
  <si>
    <t>LA82-45</t>
  </si>
  <si>
    <t>BD_LA8245</t>
  </si>
  <si>
    <t>TOOTHED BIOPSY PUNCH FORCEPS 5MM 35CM</t>
  </si>
  <si>
    <t>PRODIGO1057718</t>
  </si>
  <si>
    <t>Punch 5 Mmx35 Cm Kerrison Biopsy Single Action Upper Jaw Single Tooth Insulated Shaft Non Rotation Insulated Handle Non Ratchet Satin Finish Stainless Steel Non Sterile Latex</t>
  </si>
  <si>
    <t>PUNCH, ENDOSCOPIC, KERRISON, 5 MMX35 CM, BIOPSY, SINGLE ACTION, UPPER JAW, SINGLE TOOTH, INSULATED SHAFT, NON ROTATION, INSULATED HANDLE, NON RATCHET, SATIN FINISH, STAINLESS STEEL, NON STERILE, LATEX</t>
  </si>
  <si>
    <t>PUNCH, ENDOSCP, KERRISON, 5 MMX35 CM, BX, SINGLE ACT, UPPER JAW, SINGLE TOOTH, INSUL SHFT, N ROT, INSUL HNDL, N RATCH, SATIN FINISH, SS, NS, LTX</t>
  </si>
  <si>
    <t>PUNCH, ENDOSCP, KERRISON, 5 MMX35 CM, BX, SINGLE ACT, UPPER JAW</t>
  </si>
  <si>
    <t>BIOPSY, SINGLE ACTION, UPPER JAW, SINGLE TOOTH, INSULATED SHAFT, NON ROTATION, INSULATED HANDLE, NON RATCHET, SATIN FINISH</t>
  </si>
  <si>
    <t>https://www.bd.com/en-us/offerings/capabilities/surgical-instruments/laparoscopic-instruments/toothed-biopsy-punch/la8245, https://accessgudid.nlm.nih.gov/devices/10885403053405</t>
  </si>
  <si>
    <t>CH0640</t>
  </si>
  <si>
    <t>BD_CH0640</t>
  </si>
  <si>
    <t>TOUCHMICRO NEEDLE HOLDER DEL STR JAW</t>
  </si>
  <si>
    <t>PRODIGO1056568</t>
  </si>
  <si>
    <t>DELICATE TOUCH MICRO RING-HANDLED NEEDLE HOLDERS STRAIGHT JAWS 10IN SS TUNGSTEN CARBIDE LATEX NON STERILE</t>
  </si>
  <si>
    <t>HOLDER, NEEDLE, RING HANDLED, MICRO, 10 IN, STRAIGHT JAW, WITH INSERT, STAINLESS STEEL, TUNGSTEN CARBIDE, NON STERILE, DELICATE TOUCH, LATEX</t>
  </si>
  <si>
    <t>HOLDER, NDL, RNG HNDL, MIC, 10 IN, STR JAW, W/ INSRT, SS, TUNGSTEN CARBIDE, NS, DEL TCH, LTX</t>
  </si>
  <si>
    <t>HOLDER, NDL, RNG HNDL, MIC, 10 IN, SS, TUNGSTEN CARBIDE, DEL TCH</t>
  </si>
  <si>
    <t>STRAIGHT JAW, WITH INSERT</t>
  </si>
  <si>
    <t>http://www.lt-technologies.de/_ws/mediabase/_ts_1494230442000/Downloads/CardioCatalog_LIT12012_low-res.pdf, https://accessgudid.nlm.nih.gov/devices/10885403019999</t>
  </si>
  <si>
    <t>BE421</t>
  </si>
  <si>
    <t>BD_BE421</t>
  </si>
  <si>
    <t>TRACHEAL RETR 2 BLUNT PRONGS 6-1/2IN</t>
  </si>
  <si>
    <t>PRODIGO1056431</t>
  </si>
  <si>
    <t>TRACHEAL RETRACTORS OVERALL LENGTH 6-1/2IN (16.5CM). 2 BLUNT PRONGS.</t>
  </si>
  <si>
    <t>RETRACTOR, SURGICAL, 6.5 IN, 2 BLUNT PRONG, NON STERILE, LATEX</t>
  </si>
  <si>
    <t>RETRACTOR, SURG, 6.5 IN, 2 BLNT PRNG, NS, LTX</t>
  </si>
  <si>
    <t>2 BLUNT PRONG</t>
  </si>
  <si>
    <t>https://www.bd.com/en-us/products-and-solutions/products/product-page.BE421#overview, https://accessgudid.nlm.nih.gov/devices/10885403014666</t>
  </si>
  <si>
    <t>BE420</t>
  </si>
  <si>
    <t>BD_BE420</t>
  </si>
  <si>
    <t>TRACHEAL RETR 2 SHARP PRONGS 6-1/2IN</t>
  </si>
  <si>
    <t>PRODIGO1056430</t>
  </si>
  <si>
    <t>TRACHEAL RETRACTORS OVERALL LENGTH 6-1/2IN (16.5CM). 2 SHARP PRONGS.</t>
  </si>
  <si>
    <t>RETRACTOR, SURGICAL, 6.5 IN, TRACHEAL, 2 SHARP PRONG, NON STERILE, LATEX</t>
  </si>
  <si>
    <t>RETRACTOR, SURG, 6.5 IN, TRACH, 2 SHRP PRNG, NS, LTX</t>
  </si>
  <si>
    <t>2 SHARP PRONG</t>
  </si>
  <si>
    <t>https://www.bd.com/en-us/products-and-solutions/products/product-page.BE420#overview, https://accessgudid.nlm.nih.gov/devices/10885403014659</t>
  </si>
  <si>
    <t>BE423</t>
  </si>
  <si>
    <t>BD_BE423</t>
  </si>
  <si>
    <t>TRACHEAL RETR 3 BLUNT PRONGS 6-1/2IN</t>
  </si>
  <si>
    <t>PRODIGO1056433</t>
  </si>
  <si>
    <t>TRACHEAL RETRACTORS OVERALL LENGTH 6-1/2IN (16.5CM). 3 BLUNT PRONGS.</t>
  </si>
  <si>
    <t>RETRACTOR, SURGICAL, 6.5 IN, 3 BLUNT PRONG, NON STERILE, LATEX</t>
  </si>
  <si>
    <t>RETRACTOR, SURG, 6.5 IN, 3 BLNT PRNG, NS, LTX</t>
  </si>
  <si>
    <t>3 BLUNT PRONG</t>
  </si>
  <si>
    <t>https://www.bd.com/en-us/products-and-solutions/products/product-page.BE423#overview, https://accessgudid.nlm.nih.gov/devices/10885403014680</t>
  </si>
  <si>
    <t>BE1810</t>
  </si>
  <si>
    <t>BD_BE1810</t>
  </si>
  <si>
    <t>TUBE JESBERG ASPIRATING CVD 2MMDIA 9-1/4</t>
  </si>
  <si>
    <t>PRODIGO1056386</t>
  </si>
  <si>
    <t>JESBERG ASPRIATING TUBE CURVED. DIAMETER 2MM. MIRROR FINISH. OVERALL LENGTH 9-1/4IN (23.5CM).</t>
  </si>
  <si>
    <t>TUBE, ASPIRATION, JESBERG, 2 MMX9.25 IN, CURVED, MIRROR FINISH, NON STERILE, LATEX</t>
  </si>
  <si>
    <t>TUBE, ASPIR, JESBERG, 2 MMX9.25 IN, CRV, MIRROR FINISH, NS, LTX</t>
  </si>
  <si>
    <t>JESBERG</t>
  </si>
  <si>
    <t>2 MMX9.25 IN</t>
  </si>
  <si>
    <t>https://www.bd.com/en-us/products-and-solutions/products/product-page.be1810#overview, https://accessgudid.nlm.nih.gov/devices/10885403014888</t>
  </si>
  <si>
    <t>NL1940</t>
  </si>
  <si>
    <t>BD_NL1940</t>
  </si>
  <si>
    <t>TUBE SUCT ADSON STR 11FR WORK LGTH 6-1/8</t>
  </si>
  <si>
    <t>PRODIGO1058116</t>
  </si>
  <si>
    <t>Adson Straight Suction Tube. 11Fr. With finger valve and obturator. Working length 6-1/8IN (15.6cm)</t>
  </si>
  <si>
    <t>TUBE, SUCTION, ADSON, 11 FRX6-1/8 IN, STRAIGHT, WITH FINGER VALVE, OBTURATOR, NON STERILE, LATEX</t>
  </si>
  <si>
    <t>TUBE, SUCTION, ADSN, 11 FRX6-1/8 IN, STR, W/ FNGR VLV, OBTURATOR, NS, LTX</t>
  </si>
  <si>
    <t>TUBE, SUCTION, ADSN, 11 FRX6-1/8 IN, STR, W/ FNGR VLV, OBTURATOR</t>
  </si>
  <si>
    <t>11 FRX6-1/8 IN</t>
  </si>
  <si>
    <t>STRAIGHT, WITH FINGER VALVE, OBTURATOR</t>
  </si>
  <si>
    <t>https://www.bd.com/en-us/products-and-solutions/products/product-page.nl1940#overview, https://accessgudid.nlm.nih.gov/devices/10885403072338</t>
  </si>
  <si>
    <t>AU15035005</t>
  </si>
  <si>
    <t>BD_AU15035005</t>
  </si>
  <si>
    <t>TUBE SUCT BROCHMAN 5FR WK LGTH 4(10.2CM)</t>
  </si>
  <si>
    <t>PRODIGO1056248</t>
  </si>
  <si>
    <t>BROCHMAN SUCTION TUBE. 5 FR. WORKING LENGTH 4IN (10.2CM). 5 FR. WORKING LENGTH 4IN (10.2CM).</t>
  </si>
  <si>
    <t>TUBE, SUCTION, BROCHMAN, 5 FRX4 IN, NON STERILE, LATEX</t>
  </si>
  <si>
    <t>TUBE, SUCTION, BROCHMAN, 5 FRX4 IN, NS, LTX</t>
  </si>
  <si>
    <t>BROCHMAN</t>
  </si>
  <si>
    <t>5 FRX4 IN</t>
  </si>
  <si>
    <t>https://www.bd.com/en-us/products-and-solutions/products/product-page.au15035005#overview, https://accessgudid.nlm.nih.gov/devices/10885403013218</t>
  </si>
  <si>
    <t>AU15035007</t>
  </si>
  <si>
    <t>BD_AU15035007</t>
  </si>
  <si>
    <t>TUBE SUCT BROCHMAN 7FR WK LGTH 4(10.2CM)</t>
  </si>
  <si>
    <t>PRODIGO1056249</t>
  </si>
  <si>
    <t>BROCHMAN SUCTION TUBE. 7 FR. WORKING LENGTH 4IN (10.2CM). 7 FR. WORKING LENGTH 4IN (10.2CM).</t>
  </si>
  <si>
    <t>TUBE, SUCTION, BROCHMAN, 7 FRX4 IN, NON STERILE, LATEX</t>
  </si>
  <si>
    <t>TUBE, SUCTION, BROCHMAN, 7 FRX4 IN, NS, LTX</t>
  </si>
  <si>
    <t>7 FRX4 IN</t>
  </si>
  <si>
    <t>https://www.bd.com/en-us/products-and-solutions/products/product-page.au15035007#overview, https://accessgudid.nlm.nih.gov/devices/10885403013225</t>
  </si>
  <si>
    <t>CH8057</t>
  </si>
  <si>
    <t>BD_CH8057</t>
  </si>
  <si>
    <t>TUBE SUCT COOLEY VASC RND PERF END 12IN</t>
  </si>
  <si>
    <t>PRODIGO1057188</t>
  </si>
  <si>
    <t>Cooley vascular suction tube</t>
  </si>
  <si>
    <t>TUBE, SUCTION, COOLEY, 7.5 MMX12 IN, VASCULAR, ROUND, PERFORATED END, DOUBLE ACTION, NON STERILE, LATEX</t>
  </si>
  <si>
    <t>TUBE, SUCTION, COOLEY, 7.5 MMX12 IN, VASC, RND, PERF END, DBL ACT, NS, LTX</t>
  </si>
  <si>
    <t>TUBE, SUCTION, COOLEY, 7.5 MMX12 IN, VASC, RND, PERF END, DBL ACT</t>
  </si>
  <si>
    <t>7.5 MMX12 IN</t>
  </si>
  <si>
    <t>https://www.bd.com/en-us/products-and-solutions/products/product-page.CH8057#overview, https://accessgudid.nlm.nih.gov/devices/10885403034053</t>
  </si>
  <si>
    <t>NL1920</t>
  </si>
  <si>
    <t>BD_NL1920</t>
  </si>
  <si>
    <t>TUBE SUCT FRAZIER STR 10FR WORK LGTH 5IN</t>
  </si>
  <si>
    <t>PRODIGO1058112</t>
  </si>
  <si>
    <t>Frazier suction tubes Straight. With finger valve and obturator. 10Fr. Working length 5in (12.7cm)</t>
  </si>
  <si>
    <t>TUBE, SUCTION, FRAZIER, 10 FRX5 IN, STRAIGHT, WITH FINGER VALVE, OBTURATOR, NON STERILE, LATEX</t>
  </si>
  <si>
    <t>TUBE, SUCTION, FRAZIER, 10 FRX5 IN, STR, W/ FNGR VLV, OBTURATOR, NS, LTX</t>
  </si>
  <si>
    <t>TUBE, SUCTION, FRAZIER, 10 FRX5 IN, STR, W/ FNGR VLV, OBTURATOR</t>
  </si>
  <si>
    <t>10 FRX5 IN</t>
  </si>
  <si>
    <t>https://www.bd.com/en-us/products-and-solutions/products/product-print-page.nl1920, https://accessgudid.nlm.nih.gov/devices/10885403072291</t>
  </si>
  <si>
    <t>NL1957005</t>
  </si>
  <si>
    <t>NL1957-005</t>
  </si>
  <si>
    <t>BD_NL1957005</t>
  </si>
  <si>
    <t>TUBE SUCT FUKUSHIMA TEARDROP LNG 5FR 8IN</t>
  </si>
  <si>
    <t>PRODIGO1058124</t>
  </si>
  <si>
    <t>Fukushima-style tapered teardrop suction tubes Long: overall length 8in (21.5cm)5Fr</t>
  </si>
  <si>
    <t>TUBE, SUCTION, FUKUSHIMA STYLE, LONG, 5 FRX8 IN, TAPERED TEARDROP, NON STERILE, LATEX</t>
  </si>
  <si>
    <t>TUBE, SUCTION, FUKUSHIMA STYL, LNG, 5 FRX8 IN, TAPR TEARDROP, NS, LTX</t>
  </si>
  <si>
    <t>TUBE, SUCTION, FUKUSHIMA STYL, LNG, 5 FRX8 IN, TAPR TEARDROP</t>
  </si>
  <si>
    <t>5 FRX8 IN</t>
  </si>
  <si>
    <t>https://www.bd.com/en-us/products-and-solutions/products/product-page.nl1957-005#overview, https://accessgudid.nlm.nih.gov/devices/10885403072482</t>
  </si>
  <si>
    <t>NL1957007</t>
  </si>
  <si>
    <t>NL1957-007</t>
  </si>
  <si>
    <t>BD_NL1957007</t>
  </si>
  <si>
    <t>TUBE SUCT FUKUSHIMA TEARDROP LNG 7FR 8IN</t>
  </si>
  <si>
    <t>PRODIGO1058125</t>
  </si>
  <si>
    <t>Fukushima-style tapered teardrop suction tubes Long: overall length 8in (21.5cm) 7Fr</t>
  </si>
  <si>
    <t>TUBE, SUCTION, FUKUSHIMA STYLE, LONG, 7 FRX8 IN, TAPERED TEARDROP, NON STERILE, LATEX</t>
  </si>
  <si>
    <t>TUBE, SUCTION, FUKUSHIMA STYL, LNG, 7 FRX8 IN, TAPR TEARDROP, NS, LTX</t>
  </si>
  <si>
    <t>TUBE, SUCTION, FUKUSHIMA STYL, LNG, 7 FRX8 IN, TAPR TEARDROP</t>
  </si>
  <si>
    <t>7 FRX8 IN</t>
  </si>
  <si>
    <t>https://www.bd.com/en-us/products-and-solutions/products/product-page.nl1957-007#overview, https://accessgudid.nlm.nih.gov/devices/10885403072505</t>
  </si>
  <si>
    <t>NL1957009</t>
  </si>
  <si>
    <t>NL1957-009</t>
  </si>
  <si>
    <t>BD_NL1957009</t>
  </si>
  <si>
    <t>TUBE SUCT FUKUSHIMA TEARDROP LNG 9FR 8IN</t>
  </si>
  <si>
    <t>PRODIGO1058126</t>
  </si>
  <si>
    <t>Fukushima-style tapered teardrop suction tubes Long: overall length 8in (21.5cm) 9Fr</t>
  </si>
  <si>
    <t>TUBE, SUCTION, FUKUSHIMA STYLE, LONG, 9 FRX8 IN, TAPERED TEARDROP, NON STERILE, LATEX</t>
  </si>
  <si>
    <t>TUBE, SUCTION, FUKUSHIMA STYL, LNG, 9 FRX8 IN, TAPR TEARDROP, NS, LTX</t>
  </si>
  <si>
    <t>TUBE, SUCTION, FUKUSHIMA STYL, LNG, 9 FRX8 IN, TAPR TEARDROP</t>
  </si>
  <si>
    <t>9 FRX8 IN</t>
  </si>
  <si>
    <t>https://www.bd.com/en-us/products-and-solutions/products/product-page.nl1957-009#overview, https://accessgudid.nlm.nih.gov/devices/10885403072529</t>
  </si>
  <si>
    <t>NL1956005</t>
  </si>
  <si>
    <t>NL1956-005</t>
  </si>
  <si>
    <t>BD_NL1956005</t>
  </si>
  <si>
    <t>TUBE SUCT FUKUSHIMA TEARDROP MED 5FR 7IN</t>
  </si>
  <si>
    <t>PRODIGO1058120</t>
  </si>
  <si>
    <t>Fukushima-style tapered teardrop suction tubes  Medium: overall length 7in (17.8cm)5Fr</t>
  </si>
  <si>
    <t>TUBE, SUCTION, FUKUSHIMA STYLE, MEDIUM, 5 FRX7 IN, TAPERED TEARDROP, NON STERILE, LATEX</t>
  </si>
  <si>
    <t>TUBE, SUCTION, FUKUSHIMA STYL, MED, 5 FRX7 IN, TAPR TEARDROP, NS, LTX</t>
  </si>
  <si>
    <t>TUBE, SUCTION, FUKUSHIMA STYL, MED, 5 FRX7 IN, TAPR TEARDROP</t>
  </si>
  <si>
    <t>5 FRX7 IN</t>
  </si>
  <si>
    <t>https://www.bd.com/en-us/products-and-solutions/products/product-page.nl1956-005#overview, https://accessgudid.nlm.nih.gov/devices/10885403072420</t>
  </si>
  <si>
    <t>NL1956007</t>
  </si>
  <si>
    <t>NL1956-007</t>
  </si>
  <si>
    <t>BD_NL1956007</t>
  </si>
  <si>
    <t>TUBE SUCT FUKUSHIMA TEARDROP MED 7FR 7IN</t>
  </si>
  <si>
    <t>PRODIGO1058121</t>
  </si>
  <si>
    <t>Fukushima-style tapered teardrop suction tubes Medium: overall length 7in (17.8cm)7Fr</t>
  </si>
  <si>
    <t>TUBE, SUCTION, FUKUSHIMA STYLE, MEDIUM, 7 FRX7 IN, TAPERED TEARDROP, NON STERILE, LATEX</t>
  </si>
  <si>
    <t>TUBE, SUCTION, FUKUSHIMA STYL, MED, 7 FRX7 IN, TAPR TEARDROP, NS, LTX</t>
  </si>
  <si>
    <t>TUBE, SUCTION, FUKUSHIMA STYL, MED, 7 FRX7 IN, TAPR TEARDROP</t>
  </si>
  <si>
    <t>7 FRX7 IN</t>
  </si>
  <si>
    <t>https://www.bd.com/en-us/products-and-solutions/products/product-page.nl1956-007#overview, https://accessgudid.nlm.nih.gov/devices/10885403072444</t>
  </si>
  <si>
    <t>NL1956009</t>
  </si>
  <si>
    <t>NL1956-009</t>
  </si>
  <si>
    <t>BD_NL1956009</t>
  </si>
  <si>
    <t>TUBE SUCT FUKUSHIMA TEARDROP MED 9FR 7IN</t>
  </si>
  <si>
    <t>PRODIGO1058122</t>
  </si>
  <si>
    <t>Fukushima-style tapered teardrop suction tubes Medium: overall length 7in (17.8cm) 9Fr</t>
  </si>
  <si>
    <t>TUBE, SUCTION, FUKUSHIMA STYLE, MEDIUM, 9 FRX9 IN, TAPERED TEARDROP, NON STERILE, LATEX</t>
  </si>
  <si>
    <t>TUBE, SUCTION, FUKUSHIMA STYL, MED, 9 FRX9 IN, TAPR TEARDROP, NS, LTX</t>
  </si>
  <si>
    <t>TUBE, SUCTION, FUKUSHIMA STYL, MED, 9 FRX9 IN, TAPR TEARDROP</t>
  </si>
  <si>
    <t>9 FRX9 IN</t>
  </si>
  <si>
    <t>https://www.bd.com/en-us/products-and-solutions/products/product-page.nl1956-009#overview, https://accessgudid.nlm.nih.gov/devices/10885403072468</t>
  </si>
  <si>
    <t>NL1955005</t>
  </si>
  <si>
    <t>NL1955-005</t>
  </si>
  <si>
    <t>BD_NL1955005</t>
  </si>
  <si>
    <t>TUBE SUCT FUKUSHIMA TEARDROP SHORT 5FR</t>
  </si>
  <si>
    <t>PRODIGO1058117</t>
  </si>
  <si>
    <t>Fukushima-style tapered teardrop suction tubes SHORT 5 FR</t>
  </si>
  <si>
    <t>TUBE, SUCTION, FUKUSHIMA STYLE, SHORT, 5 FRX6.25 IN, TAPERED TEARDROP, NON STERILE, LATEX</t>
  </si>
  <si>
    <t>TUBE, SUCTION, FUKUSHIMA STYL, SHT, 5 FRX6.25 IN, TAPR TEARDROP, NS, LTX</t>
  </si>
  <si>
    <t>TUBE, SUCTION, FUKUSHIMA STYL, SHT, 5 FRX6.25 IN, TAPR TEARDROP</t>
  </si>
  <si>
    <t>5 FRX6.25 IN</t>
  </si>
  <si>
    <t>https://www.bd.com/en-us/products-and-solutions/products/product-page.nl1955-005#overview, https://accessgudid.nlm.nih.gov/devices/10885403072369</t>
  </si>
  <si>
    <t>NL1955007</t>
  </si>
  <si>
    <t>NL1955-007</t>
  </si>
  <si>
    <t>BD_NL1955007</t>
  </si>
  <si>
    <t>TUBE SUCT FUKUSHIMA TEARDROP SHORT 7FR</t>
  </si>
  <si>
    <t>PRODIGO1058118</t>
  </si>
  <si>
    <t>Fukushima-style tapered teardrop suction tubeS Short. 7Fr</t>
  </si>
  <si>
    <t>TUBE, SUCTION, FUKUSHIMA STYLE, SHORT, 7 FRX6.25 IN, TAPERED TEARDROP, NON STERILE, LATEX</t>
  </si>
  <si>
    <t>TUBE, SUCTION, FUKUSHIMA STYL, SHT, 7 FRX6.25 IN, TAPR TEARDROP, NS, LTX</t>
  </si>
  <si>
    <t>TUBE, SUCTION, FUKUSHIMA STYL, SHT, 7 FRX6.25 IN, TAPR TEARDROP</t>
  </si>
  <si>
    <t>7 FRX6.25 IN</t>
  </si>
  <si>
    <t>https://www.bd.com/en-us/products-and-solutions/products/product-page.nl1955-007#overview, https://accessgudid.nlm.nih.gov/devices/10885403072383</t>
  </si>
  <si>
    <t>NL1955009</t>
  </si>
  <si>
    <t>NL1955-009</t>
  </si>
  <si>
    <t>BD_NL1955009</t>
  </si>
  <si>
    <t>TUBE SUCT FUKUSHIMA TEARDROP SHORT 9FR</t>
  </si>
  <si>
    <t>PRODIGO1058119</t>
  </si>
  <si>
    <t>Fukushima-style tapered teardrop suction tubes Short: overall length 6-1/4in (16.5cm) 9Fr</t>
  </si>
  <si>
    <t>TUBE, SUCTION, FUKUSHIMA STYLE, SHORT, 9 FRX6.25 IN, TAPERED TEARDROP, NON STERILE, LATEX</t>
  </si>
  <si>
    <t>TUBE, SUCTION, FUKUSHIMA STYL, SHT, 9 FRX6.25 IN, TAPR TEARDROP, NS, LTX</t>
  </si>
  <si>
    <t>TUBE, SUCTION, FUKUSHIMA STYL, SHT, 9 FRX6.25 IN, TAPR TEARDROP</t>
  </si>
  <si>
    <t>9 FRX6.25 IN</t>
  </si>
  <si>
    <t>https://www.bd.com/en-us/products-and-solutions/products/product-page.nl1955-009#overview, https://accessgudid.nlm.nih.gov/devices/10885403072406</t>
  </si>
  <si>
    <t>NL1930</t>
  </si>
  <si>
    <t>BD_NL1930</t>
  </si>
  <si>
    <t>TUBE SUCTION ADSON CVD 11FR WK LGTH 6IN</t>
  </si>
  <si>
    <t>PRODIGO1058115</t>
  </si>
  <si>
    <t>Adson Suction Tube. 11Fr. Curved with finger valve and obturator. Working length 6IN (15.2cm)</t>
  </si>
  <si>
    <t>TUBE, SUCTION, ADSON, 11 FRX6 IN, CURVED, WITH FINGER VALVE, OBTURATOR, NON STERILE, LATEX</t>
  </si>
  <si>
    <t>TUBE, SUCTION, ADSN, 11 FRX6 IN, CRV, W/ FNGR VLV, OBTURATOR, NS, LTX</t>
  </si>
  <si>
    <t>TUBE, SUCTION, ADSN, 11 FRX6 IN, CRV, W/ FNGR VLV, OBTURATOR</t>
  </si>
  <si>
    <t>11 FRX6 IN</t>
  </si>
  <si>
    <t>CURVED, WITH FINGER VALVE, OBTURATOR</t>
  </si>
  <si>
    <t>https://www.bd.com/en-us/products-and-solutions/products/product-page.nl1930#overview, https://accessgudid.nlm.nih.gov/devices/10885403072321</t>
  </si>
  <si>
    <t>NL1928</t>
  </si>
  <si>
    <t>BD_NL1928</t>
  </si>
  <si>
    <t>TUBE SUCTION ADSON CVD 7FR WK LGTH 6IN</t>
  </si>
  <si>
    <t>PRODIGO1058113</t>
  </si>
  <si>
    <t>Adson Suction Tube. 7Fr. Curved with finger valve and obturator. Working length 6IN (15.2cm)</t>
  </si>
  <si>
    <t>TUBE, SUCTION, ADSON, 7 FRX6 IN, CURVED, WITH FINGER VALVE, OBTURATOR, NON STERILE, LATEX</t>
  </si>
  <si>
    <t>TUBE, SUCTION, ADSN, 7 FRX6 IN, CRV, W/ FNGR VLV, OBTURATOR, NS, LTX</t>
  </si>
  <si>
    <t>7 FRX6 IN</t>
  </si>
  <si>
    <t>https://www.bd.com/en-us/products-and-solutions/products/product-page.nl1928#overview, https://accessgudid.nlm.nih.gov/devices/10885403072307</t>
  </si>
  <si>
    <t>NL1929</t>
  </si>
  <si>
    <t>BD_NL1929</t>
  </si>
  <si>
    <t>TUBE SUCTION ADSON CVD 9FR WK LGTH 6IN</t>
  </si>
  <si>
    <t>PRODIGO1058114</t>
  </si>
  <si>
    <t>Adson Suction Tube. 9Fr. Curved with finger valve and obturator. Working length 6IN (15.2cm)</t>
  </si>
  <si>
    <t>TUBE, SUCTION, ADSON, 9 FRX6 IN, CURVED, WITH FINGER VALVE, OBTURATOR, NON STERILE, LATEX</t>
  </si>
  <si>
    <t>TUBE, SUCTION, ADSN, 9 FRX6 IN, CRV, W/ FNGR VLV, OBTURATOR, NS, LTX</t>
  </si>
  <si>
    <t>9 FRX6 IN</t>
  </si>
  <si>
    <t>https://www.bd.com/en-us/products-and-solutions/products/product-page.nl1929#overview, https://accessgudid.nlm.nih.gov/devices/10885403072314</t>
  </si>
  <si>
    <t>AU6660</t>
  </si>
  <si>
    <t>BD_AU6660</t>
  </si>
  <si>
    <t>TUBE SUCTION ANTHONY MASTOID STR 2MM ID</t>
  </si>
  <si>
    <t>PRODIGO1056371</t>
  </si>
  <si>
    <t>ANTHONY MASTOID SUCTION TUBES STRAIGHT WITH TUBING CONNECTION. OVERALL LENGTH 6-1/8IN (15.6CM). 2MM I.D.</t>
  </si>
  <si>
    <t>TUBE, SUCTION, MASTOID SUCTION, 2 MMX6-1/8IN, STRAIGHT, WITH TUBING CONNECTION, SATIN FINISH, STAINLESS STEEL, NON STERILE, LATEX</t>
  </si>
  <si>
    <t>TUBE, SUCTION, MASTOID SUCTION, 2 MMX6-1/8IN, STR, W/ TBNG CONN, SATIN FINISH, SS, NS, LTX</t>
  </si>
  <si>
    <t>TUBE, SUCTION, MASTOID SUCTION, 2 MMX6-1/8IN, STR, W/ TBNG CONN</t>
  </si>
  <si>
    <t>MASTOID SUCTION</t>
  </si>
  <si>
    <t>2 MMX6-1/8IN</t>
  </si>
  <si>
    <t>STRAIGHT, WITH TUBING CONNECTION, SATIN FINISH</t>
  </si>
  <si>
    <t>https://www.bd.com/en-us/products-and-solutions/products/product-page.au6660#overview, https://accessgudid.nlm.nih.gov/devices/10885403009075</t>
  </si>
  <si>
    <t>AU6661</t>
  </si>
  <si>
    <t>BD_AU6661</t>
  </si>
  <si>
    <t>TUBE SUCTION ANTHONY MASTOID STR 3MM ID</t>
  </si>
  <si>
    <t>PRODIGO1056372</t>
  </si>
  <si>
    <t>ANTHONY MASTOID SUCTION TUBES STRAIGHT WITH TUBING CONNECTION. OVERALL LENGTH 6-1/8IN (15.6CM). 3MM I.D.</t>
  </si>
  <si>
    <t>TUBE, SUCTION, MASTOID SUCTION, 3 MMX6-1/8IN, STRAIGHT, WITH TUBING CONNECTION, SATIN FINISH, STAINLESS STEEL, NON STERILE, LATEX</t>
  </si>
  <si>
    <t>TUBE, SUCTION, MASTOID SUCTION, 3 MMX6-1/8IN, STR, W/ TBNG CONN, SATIN FINISH, SS, NS, LTX</t>
  </si>
  <si>
    <t>TUBE, SUCTION, MASTOID SUCTION, 3 MMX6-1/8IN, STR, SATIN FINISH</t>
  </si>
  <si>
    <t>3 MMX6-1/8IN</t>
  </si>
  <si>
    <t>https://www.bd.com/en-us/products-and-solutions/products/product-page.au6661#overview, https://accessgudid.nlm.nih.gov/devices/10885403009082</t>
  </si>
  <si>
    <t>CH8055</t>
  </si>
  <si>
    <t>BD_CH8055</t>
  </si>
  <si>
    <t>TUBE SUCTION COOLEY GRAFT OPEN END 14IN</t>
  </si>
  <si>
    <t>PRODIGO1057187</t>
  </si>
  <si>
    <t>Cooley graft suction tube</t>
  </si>
  <si>
    <t>TUBE, SUCTION, COOLEY, 8 MMX14 IN, GRAFT, OPEN END, DOUBLE ACTION, NON STERILE, LATEX</t>
  </si>
  <si>
    <t>TUBE, SUCTION, COOLEY, 8 MMX14 IN, GRFT, OPN END, DBL ACT, NS, LTX</t>
  </si>
  <si>
    <t>8 MMX14 IN</t>
  </si>
  <si>
    <t>GRAFT, OPEN END, DOUBLE ACTION</t>
  </si>
  <si>
    <t>https://www.bd.com/en-us/products-and-solutions/products/product-page.ch8055#overview, https://accessgudid.nlm.nih.gov/devices/10885403034046</t>
  </si>
  <si>
    <t>AU13870</t>
  </si>
  <si>
    <t>BD_AU13870</t>
  </si>
  <si>
    <t>TUBE SUCTION FRAZIER-PAPARELLA 10FR #3</t>
  </si>
  <si>
    <t>PRODIGO1056233</t>
  </si>
  <si>
    <t>FRAZIER-PAPARELLA MASTOID SUCTION TUBE. 10FR. NO. 3. WITH FINGER VALVE. WORKING LENGTH 2-1/4IN (5.7CM). WITH FINGER VALVE. WORKING LENGTH 2-1/4IN (5.7CM). 10FR. NO. 3.</t>
  </si>
  <si>
    <t>TUBE, SUCTION, FRAZIER-PAPARELLA MASTOID, 3, 10 FRX2.25 IN, WITH FINGER VALVE, NON STERILE, LATEX</t>
  </si>
  <si>
    <t>TUBE, SUCTION, FRAZIER-PAPARELLA MASTOID, 3, 10 FRX2.25 IN, W/ FNGR VLV, NS, LTX</t>
  </si>
  <si>
    <t>TUBE, SUCTION, FRAZIER-PAPARELLA MASTOID, 3, 10 FRX2.25 IN</t>
  </si>
  <si>
    <t>FRAZIER-PAPARELLA MASTOID</t>
  </si>
  <si>
    <t>10 FRX2.25 IN</t>
  </si>
  <si>
    <t>WITH FINGER VALVE</t>
  </si>
  <si>
    <t>https://www.bd.com/en-us/products-and-solutions/products/product-page.au13870#overview, https://accessgudid.nlm.nih.gov/devices/10885403010859</t>
  </si>
  <si>
    <t>AU13868</t>
  </si>
  <si>
    <t>BD_AU13868</t>
  </si>
  <si>
    <t>TUBE SUCTION FRAZIER-PAPARELLA 7FR #1</t>
  </si>
  <si>
    <t>PRODIGO1056232</t>
  </si>
  <si>
    <t xml:space="preserve"> FRAZIER-PAPARELLA MASTOID SUCTION TUBE. 7FR. NO. 1. WITH FINGER VALVE. WORKING LENGTH 2-1/4IN (5.7CM). WITH FINGER VALVE. WORKING LENGTH 2-1/4IN (5.7CM). 7FR. NO. 1.</t>
  </si>
  <si>
    <t>TUBE, SUCTION, FRAZIER-PAPARELLA MASTOID, 1, 7 FRX2.25 IN, WITH FINGER VALVE, NON STERILE, LATEX</t>
  </si>
  <si>
    <t>TUBE, SUCTION, FRAZIER-PAPARELLA MASTOID, 1, 7 FRX2.25 IN, W/ FNGR VLV, NS, LTX</t>
  </si>
  <si>
    <t>TUBE, SUCTION, FRAZIER-PAPARELLA MASTOID, 1, 7 FRX2.25 IN</t>
  </si>
  <si>
    <t>7 FRX2.25 IN</t>
  </si>
  <si>
    <t>https://www.bd.com/en-us/products-and-solutions/products/product-page.au13868#overview, https://accessgudid.nlm.nih.gov/devices/10885403010842</t>
  </si>
  <si>
    <t>AU13370018</t>
  </si>
  <si>
    <t>BD_AU13370018</t>
  </si>
  <si>
    <t>TUBE SUCTION GUILFORD-WRIGHT 18GA</t>
  </si>
  <si>
    <t>PRODIGO1056196</t>
  </si>
  <si>
    <t>GUILFORD-WRIGHT SUCTION TUBES LUER HUB IS CHROME PLATED. OVERALL LENGTH 3-1/8IN (8CM). 18GA.</t>
  </si>
  <si>
    <t>TUBE, SUCTION, GUILFORD-WRIGHT, 18 GAX3-1/8 IN, LUER HUB, SATIN FINISH, CHROME PLATED, NON STERILE, LATEX</t>
  </si>
  <si>
    <t>TUBE, SUCTION, GUILFORD-WRIGHT, 18 GAX3-1/8 IN, LUER HUB, SATIN FINISH, CHROM PLT, NS, LTX</t>
  </si>
  <si>
    <t>TUBE, SUCTION, GUILFORD-WRIGHT, 18 GAX3-1/8 IN, LUER HUB</t>
  </si>
  <si>
    <t>18 GAX3-1/8 IN</t>
  </si>
  <si>
    <t>LUER HUB, SATIN FINISH</t>
  </si>
  <si>
    <t>https://www.bd.com/en-us/products-and-solutions/products/product-page.au13370018#overview, https://accessgudid.nlm.nih.gov/devices/10885403013089</t>
  </si>
  <si>
    <t>AU13370020</t>
  </si>
  <si>
    <t>BD_AU13370020</t>
  </si>
  <si>
    <t>TUBE SUCTION GUILFORD-WRIGHT 20GA</t>
  </si>
  <si>
    <t>PRODIGO1056197</t>
  </si>
  <si>
    <t>GUILFORD-WRIGHT SUCTION TUBES LUER HUB IS CHROME PLATED. OVERALL LENGTH 3-1/8IN (8CM). 20GA.</t>
  </si>
  <si>
    <t>TUBE, SUCTION, GUILFORD-WRIGHT, 20 GAX3-1/8 IN, LUER HUB, SATIN FINISH, CHROME PLATED, NON STERILE, LATEX</t>
  </si>
  <si>
    <t>TUBE, SUCTION, GUILFORD-WRIGHT, 20 GAX3-1/8 IN, LUER HUB, SATIN FINISH, CHROM PLT, NS, LTX</t>
  </si>
  <si>
    <t>TUBE, SUCTION, GUILFORD-WRIGHT, 20 GAX3-1/8 IN, LUER HUB</t>
  </si>
  <si>
    <t>20 GAX3-1/8 IN</t>
  </si>
  <si>
    <t>https://www.bd.com/en-us/products-and-solutions/products/product-page.au13370020#overview, https://accessgudid.nlm.nih.gov/devices/10885403013096</t>
  </si>
  <si>
    <t>AU13370022</t>
  </si>
  <si>
    <t>BD_AU13370022</t>
  </si>
  <si>
    <t>TUBE SUCTION GUILFORD-WRIGHT 22GA</t>
  </si>
  <si>
    <t>PRODIGO1056198</t>
  </si>
  <si>
    <t>GUILFORD-WRIGHT SUCTION TUBES LUER HUB IS CHROME PLATED. OVERALL LENGTH 3-1/8IN (8CM). 22GA.</t>
  </si>
  <si>
    <t>TUBE, SUCTION, GUILFORD-WRIGHT, 22 GAX3-1/8 IN, LUER HUB, SATIN FINISH, CHROME PLATED, NON STERILE, LATEX</t>
  </si>
  <si>
    <t>TUBE, SUCTION, GUILFORD-WRIGHT, 22 GAX3-1/8 IN, LUER HUB, SATIN FINISH, CHROM PLT, NS, LTX</t>
  </si>
  <si>
    <t>TUBE, SUCTION, GUILFORD-WRIGHT, 22 GAX3-1/8 IN, LUER HUB</t>
  </si>
  <si>
    <t>22 GAX3-1/8 IN</t>
  </si>
  <si>
    <t>https://www.bd.com/en-us/products-and-solutions/products/product-page.au13370022#overview, https://accessgudid.nlm.nih.gov/devices/10885403013102</t>
  </si>
  <si>
    <t>AU13370024</t>
  </si>
  <si>
    <t>BD_AU13370024</t>
  </si>
  <si>
    <t>TUBE SUCTION GUILFORD-WRIGHT 24GA</t>
  </si>
  <si>
    <t>PRODIGO1056199</t>
  </si>
  <si>
    <t>GUILFORD-WRIGHT SUCTION TUBES LUER HUB IS CHROME PLATED. OVERALL LENGTH 3-1/8IN (8CM). 24GA.</t>
  </si>
  <si>
    <t>TUBE, SUCTION, GUILFORD-WRIGHT, 24 GAX3-1/8 IN, LUER HUB, CHROME PLATED, NON STERILE, LATEX</t>
  </si>
  <si>
    <t>TUBE, SUCTION, GUILFORD-WRIGHT, 24 GAX3-1/8 IN, LUER HUB, CHROM PLT, NS, LTX</t>
  </si>
  <si>
    <t>TUBE, SUCTION, GUILFORD-WRIGHT, 24 GAX3-1/8 IN, LUER HUB</t>
  </si>
  <si>
    <t>24 GAX3-1/8 IN</t>
  </si>
  <si>
    <t>LUER HUB</t>
  </si>
  <si>
    <t>https://www.bd.com/en-us/products-and-solutions/products/product-page.au13370024#overview, https://accessgudid.nlm.nih.gov/devices/10885403013119</t>
  </si>
  <si>
    <t>AU15235</t>
  </si>
  <si>
    <t>BD_AU15235</t>
  </si>
  <si>
    <t>TUBE SUCTION HOUSE 18GA W/OBTURATOR</t>
  </si>
  <si>
    <t>PRODIGO1056258</t>
  </si>
  <si>
    <t>HOUSE SUCTION TUBE. 18GA. WITH OBTURATOR. MIRROR AND MATTE FINISH. OVERALL LENGTH 4-1/8IN (10.5CM). WITH OBTURATOR. MIRROR AND MATTE FINISH. OVERALL LENGTH 4-1/8IN (10.5CM). 18GA.</t>
  </si>
  <si>
    <t>TUBE, SUCTION, HOUSE, 18 GAX4-1/8 IN, WITH OBTURATOR, MIRROR AND MATTE FINISH, NON STERILE, LATEX</t>
  </si>
  <si>
    <t>TUBE, SUCTION, HOUSE, 18 GAX4-1/8 IN, W/ OBTURATOR, MIRROR &amp; MATTE FINISH, NS, LTX</t>
  </si>
  <si>
    <t>TUBE, SUCTION, HOUSE, 18 GAX4-1/8 IN, W/ OBTURATOR</t>
  </si>
  <si>
    <t>18 GAX4-1/8 IN</t>
  </si>
  <si>
    <t>WITH OBTURATOR, MIRROR AND MATTE FINISH</t>
  </si>
  <si>
    <t>https://www.bd.com/en-us/products-and-solutions/products/product-page.au15235#overview, https://accessgudid.nlm.nih.gov/devices/10885403011658</t>
  </si>
  <si>
    <t>BE3043</t>
  </si>
  <si>
    <t>BD_BE3043</t>
  </si>
  <si>
    <t>TUBE SUCTION JAKO LARYN 7FR OPEN END</t>
  </si>
  <si>
    <t>PRODIGO1056426</t>
  </si>
  <si>
    <t>JAKO LARYNGEAL SUCTION TUBE 7FR. OPEN-ENDED. WORKING LENGTH 8-5/8IN (22CM).</t>
  </si>
  <si>
    <t>TUBE, SUCTION, JAKO, 7 FRX8-5/8 IN, LARYNGEAL, OPEN-ENDED, NON STERILE, LATEX</t>
  </si>
  <si>
    <t>TUBE, SUCTION, JAKO, 7 FRX8-5/8 IN, LARYNGEAL, OPN END, NS, LTX</t>
  </si>
  <si>
    <t>7 FRX8-5/8 IN</t>
  </si>
  <si>
    <t>OPEN-ENDED</t>
  </si>
  <si>
    <t>https://www.bd.com/en-us/products-and-solutions/products/product-page.be3043#overview, https://accessgudid.nlm.nih.gov/devices/10885403015908</t>
  </si>
  <si>
    <t>CH8074</t>
  </si>
  <si>
    <t>BD_CH8074</t>
  </si>
  <si>
    <t>TUBE SUMP BAYLOR 90DEG 2-1/4X2-1/4IN</t>
  </si>
  <si>
    <t>PRODIGO1057192</t>
  </si>
  <si>
    <t>Baylor sump tubes</t>
  </si>
  <si>
    <t>TUBE, SUCTION, BAYLOR, MEDIUM, 90 DEGREE, 5 MM TIP, 2.25X2.25 IN, SUMP, SATIN FINISH, STAINLESS STEEL, NON STERILE, LATEX</t>
  </si>
  <si>
    <t>TUBE, SUCTION, BAYLOR, MED, 90 DEG, 5 MM TIP, 2.25X2.25 IN, SUMP, SATIN FINISH, SS, NS, LTX</t>
  </si>
  <si>
    <t>TUBE, SUCTION, BAYLOR, MED, 90 DEG, 5 MM TIP, 2.25X2.25 IN, SUMP, SS</t>
  </si>
  <si>
    <t>BAYLOR</t>
  </si>
  <si>
    <t>MEDIUM, 90 DEGREE, 5 MM TIP</t>
  </si>
  <si>
    <t>2.25X2.25 IN</t>
  </si>
  <si>
    <t>SUMP, SATIN FINISH</t>
  </si>
  <si>
    <t>https://www.bd.com/en-us/products-and-solutions/products/product-page.ch8074, https://accessgudid.nlm.nih.gov/devices/10885403034138</t>
  </si>
  <si>
    <t>CH8073</t>
  </si>
  <si>
    <t>BD_CH8073</t>
  </si>
  <si>
    <t>TUBE SUMP BAYLOR INTRACARD 5MMTIP 3-1/2</t>
  </si>
  <si>
    <t>PRODIGO1057191</t>
  </si>
  <si>
    <t>TUBE, SUCTION, BAYLOR, 45 DEGREE, 5 MM TIP, 3.5 IN, SUMP, ANGLED, SATIN FINISH, STAINLESS STEEL, NON STERILE, LATEX</t>
  </si>
  <si>
    <t>TUBE, SUCTION, BAYLOR, 45 DEG, 5 MM TIP, 3.5 IN, SUMP, ANGLED, SATIN FINISH, SS, NS, LTX</t>
  </si>
  <si>
    <t>TUBE, SUCTION, BAYLOR, 45 DEG, 5 MM TIP, 3.5 IN, SUMP, ANGLED, SATIN</t>
  </si>
  <si>
    <t>45 DEGREE, 5 MM TIP</t>
  </si>
  <si>
    <t>SUMP, ANGLED, SATIN FINISH</t>
  </si>
  <si>
    <t>https://www.bd.com/en-us/products-and-solutions/products/product-print-page.ch8073, https://accessgudid.nlm.nih.gov/devices/10885403034121</t>
  </si>
  <si>
    <t>BE91001</t>
  </si>
  <si>
    <t>BE91-001</t>
  </si>
  <si>
    <t>BD_BE91001</t>
  </si>
  <si>
    <t>TUBE TRACH JACKSON SZ 1 5.5MM DIA 2IN LG</t>
  </si>
  <si>
    <t>PRODIGO1056437</t>
  </si>
  <si>
    <t>42271904  Tracheostomy tubes</t>
  </si>
  <si>
    <t>A7521</t>
  </si>
  <si>
    <t>TRACHEOSTOMY/LARYNGECTOMY TUBE, CUFFED, POLYVINYLCHLORIDE (PVC), SILICONE OR EQUAL, EACH</t>
  </si>
  <si>
    <t>JACKSON TRACHEA TUBES REGULAR LENGTH. ORIGINAL MODEL. THREE-PIECE SET. DUAL-CATCH NYLON WING LOCK. MIRROR FINISH. SIZE 1. DIAMETER 5.5MM. OUTSIDE CURVE LENGTH 2IN (5.1CM).</t>
  </si>
  <si>
    <t>TUBE, TRACHEOSTOMY, JACKSON, 1, 5.5 MMX2 IN, REGULAR LENGTH, THREE PIECE SET, DUAL CATCH NYLON WING LOCK, MIRROR FINISH, SINGLE ACTION, NON STERILE, LATEX</t>
  </si>
  <si>
    <t>TUBE, TRACH, JACKSON, 1, 5.5 MMX2 IN, REG LEN, 3 PC SET, 2 CTCH NYL WNG LCK, MIRROR FINISH, SINGLE ACT, NS, LTX</t>
  </si>
  <si>
    <t>TUBE, TRACH, JACKSON, 1, 5.5 MMX2 IN, REG LEN, MIRROR FINISH</t>
  </si>
  <si>
    <t>TRACHEOSTOMY</t>
  </si>
  <si>
    <t>5.5 MMX2 IN</t>
  </si>
  <si>
    <t>REGULAR LENGTH, THREE PIECE SET, DUAL CATCH NYLON WING LOCK, MIRROR FINISH, SINGLE ACTION</t>
  </si>
  <si>
    <t>https://www.bd.com/en-us/products-and-solutions/products/product-page.be91-001#specifications</t>
  </si>
  <si>
    <t>BE91004</t>
  </si>
  <si>
    <t>BE91-004</t>
  </si>
  <si>
    <t>BD_BE91004</t>
  </si>
  <si>
    <t>TUBE TRACH JACKSON SZ 4 8MM DIA 2-3/4IN</t>
  </si>
  <si>
    <t>PRODIGO1056438</t>
  </si>
  <si>
    <t>JACKSON TRACHEA TUBES REGULAR LENGTH. ORIGINAL MODEL. THREE-PIECE SET. DUAL-CATCH NYLON WING LOCK. MIRROR FINISH. SIZE 4. DIAMETER 8MM. OUTSIDE CURVE LENGTH 2-3/4IN (7CM).</t>
  </si>
  <si>
    <t>TUBE, TRACHEOSTOMY, JACKSON, 4, 8 MMX2.75 IN, REGULAR LENGTH, THREE PIECE SET, DUAL CATCH NYLON WING LOCK, MIRROR FINISH, DOUBLE ACTION, NON STERILE, LATEX</t>
  </si>
  <si>
    <t>TUBE, TRACH, JACKSON, 4, 8 MMX2.75 IN, REG LEN, 3 PC SET, 2 CTCH NYL WNG LCK, MIRROR FINISH, DBL ACT, NS, LTX</t>
  </si>
  <si>
    <t>TUBE, TRACH, JACKSON, 4, 8 MMX2.75 IN, REG LEN, 3 PC SET, DBL ACT</t>
  </si>
  <si>
    <t>8 MMX2.75 IN</t>
  </si>
  <si>
    <t>REGULAR LENGTH, THREE PIECE SET, DUAL CATCH NYLON WING LOCK, MIRROR FINISH, DOUBLE ACTION</t>
  </si>
  <si>
    <t>https://www.bd.com/en-us/products-and-solutions/products/product-print-page.be91-004</t>
  </si>
  <si>
    <t>BE91005</t>
  </si>
  <si>
    <t>BE91-005</t>
  </si>
  <si>
    <t>BD_BE91005</t>
  </si>
  <si>
    <t>TUBE TRACH JACKSON SZ 5 9MM DIA 3-1/8IN</t>
  </si>
  <si>
    <t>PRODIGO1056439</t>
  </si>
  <si>
    <t>JACKSON TRACHEA TUBES REGULAR LENGTH. ORIGINAL MODEL. THREE-PIECE SET. DUAL-CATCH NYLON WING LOCK. MIRROR FINISH. SIZE 5. DIAMETER 9MM. OUTSIDE CURVE LENGTH 3-1/8IN (8CM).</t>
  </si>
  <si>
    <t>TUBE, TRACHEOSTOMY, JACKSON, 5, 9 MMX3-1/8 IN, REGULAR LENGTH, THREE PIECE SET, DUAL CATCH NYLON WING LOCK, MIRROR FINISH, DOUBLE ACTION, NON STERILE, LATEX</t>
  </si>
  <si>
    <t>TUBE, TRACH, JACKSON, 5, 9 MMX3-1/8 IN, REG LEN, 3 PC SET, 2 CTCH NYL WNG LCK, MIRROR FINISH, DBL ACT, NS, LTX</t>
  </si>
  <si>
    <t>TUBE, TRACH, JACKSON, 5, 9 MMX3-1/8 IN, REG LEN, 3 PC SET, DBL ACT</t>
  </si>
  <si>
    <t>9 MMX3-1/8 IN</t>
  </si>
  <si>
    <t>https://www.bd.com/en-us/products-and-solutions/products/product-page.be91-005#specifications</t>
  </si>
  <si>
    <t>BE91006</t>
  </si>
  <si>
    <t>BE91-006</t>
  </si>
  <si>
    <t>BD_BE91006</t>
  </si>
  <si>
    <t>TUBE TRACH JACKSON SZ 6 10MM DIA 3-1/4IN</t>
  </si>
  <si>
    <t>PRODIGO1056440</t>
  </si>
  <si>
    <t>JACKSON TRACHEA TUBES REGULAR LENGTH. ORIGINAL MODEL. THREE-PIECE SET. DUAL-CATCH NYLON WING LOCK. MIRROR FINISH. SIZE 6. DIAMETER 10MM. OUTSIDE CURVE LENGTH 3-1/4IN (8.3CM).</t>
  </si>
  <si>
    <t>TUBE, TRACHEOSTOMY, JACKSON, 6, 10 MMX3.25 IN, REGULAR LENGTH, THREE PIECE SET, DUAL CATCH NYLON WING LOCK, MIRROR FINISH, DOUBLE ACTION, NON STERILE, LATEX</t>
  </si>
  <si>
    <t>TUBE, TRACH, JACKSON, 6, 10 MMX3.25 IN, REG LEN, 3 PC SET, 2 CTCH NYL WNG LCK, MIRROR FINISH, DBL ACT, NS, LTX</t>
  </si>
  <si>
    <t>TUBE, TRACH, JACKSON, 6, 10 MMX3.25 IN, REG LEN, 3 PC SET, DBL ACT</t>
  </si>
  <si>
    <t>10 MMX3.25 IN</t>
  </si>
  <si>
    <t>https://www.bd.com/en-us/products-and-solutions/products/product-page.be91-006#specifications</t>
  </si>
  <si>
    <t>BE91007</t>
  </si>
  <si>
    <t>BE91-007</t>
  </si>
  <si>
    <t>BD_BE91007</t>
  </si>
  <si>
    <t>TUBE TRACH JACKSON SZ 7 11MM DIA 3-1/4IN</t>
  </si>
  <si>
    <t>PRODIGO1056441</t>
  </si>
  <si>
    <t>JACKSON TRACHEA TUBES REGULAR LENGTH. ORIGINAL MODEL. THREE-PIECE SET. DUAL-CATCH NYLON WING LOCK. MIRROR FINISH. SIZE 7. DIAMETER 11MM. OUTSIDE CURVE LENGTH 3-1/4IN (8.3CM).</t>
  </si>
  <si>
    <t>TUBE, TRACHEOSTOMY, JACKSON, 7, 11 MMX3.25 IN, REGULAR LENGTH, THREE PIECE SET, DUAL CATCH NYLON WING LOCK, MIRROR FINISH, DOUBLE ACTION, NON STERILE, LATEX</t>
  </si>
  <si>
    <t>TUBE, TRACH, JACKSON, 7, 11 MMX3.25 IN, REG LEN, 3 PC SET, 2 CTCH NYL WNG LCK, MIRROR FINISH, DBL ACT, NS, LTX</t>
  </si>
  <si>
    <t>TUBE, TRACH, JACKSON, 7, 11 MMX3.25 IN, REG LEN, 3 PC SET, DBL ACT</t>
  </si>
  <si>
    <t>11 MMX3.25 IN</t>
  </si>
  <si>
    <t>https://www.bd.com/en-us/products-and-solutions/products/product-print-page.be91-007</t>
  </si>
  <si>
    <t>BE91008</t>
  </si>
  <si>
    <t>BE91-008</t>
  </si>
  <si>
    <t>BD_BE91008</t>
  </si>
  <si>
    <t>TUBE TRACH JACKSON SZ 8 12MM DIA 3-1/4IN</t>
  </si>
  <si>
    <t>PRODIGO1056442</t>
  </si>
  <si>
    <t>JACKSON TRACHEA TUBES REGULAR LENGTH. ORIGINAL MODEL. THREE-PIECE SET. DUAL-CATCH NYLON WING LOCK. MIRROR FINISH. SIZE 8. DIAMETER 12MM. OUTSIDE CURVE LENGTH 3-1/4IN (8.3CM).</t>
  </si>
  <si>
    <t>TUBE, TRACHEOSTOMY, JACKSON, 8, 12 MMX3.25 IN, REGULAR LENGTH, THREE PIECE SET, DUAL CATCH NYLON WING LOCK, MIRROR FINISH, DOUBLE ACTION, NON STERILE, LATEX</t>
  </si>
  <si>
    <t>TUBE, TRACH, JACKSON, 8, 12 MMX3.25 IN, REG LEN, 3 PC SET, 2 CTCH NYL WNG LCK, MIRROR FINISH, DBL ACT, NS, LTX</t>
  </si>
  <si>
    <t>TUBE, TRACH, JACKSON, 8, 12 MMX3.25 IN, REG LEN, 3 PC SET, DBL ACT</t>
  </si>
  <si>
    <t>12 MMX3.25 IN</t>
  </si>
  <si>
    <t>https://www.bd.com/en-us/products-and-solutions/products/product-page.be91-008#specifications</t>
  </si>
  <si>
    <t>CH450</t>
  </si>
  <si>
    <t>BD_CH450</t>
  </si>
  <si>
    <t>TUDOR-EDWARDS COSTOTOME OVERLGTH 9-1/4IN</t>
  </si>
  <si>
    <t>PRODIGO1056839</t>
  </si>
  <si>
    <t>TUDOR EDWARDS Costotome</t>
  </si>
  <si>
    <t>COSTOTOME, SURGICAL, TUDOR-EDWARDS, 9.25 IN, NON STERILE, LATEX</t>
  </si>
  <si>
    <t>COSTOTOME, SURG, TUDOR-EDWARDS, 9.25 IN, NS, LTX</t>
  </si>
  <si>
    <t>COSTOTOME</t>
  </si>
  <si>
    <t>TUDOR-EDWARDS</t>
  </si>
  <si>
    <t>http://www.lt-technologies.de/_ws/mediabase/_ts_1494230442000/Downloads/CardioCatalog_LIT12012_low-res.pdf, https://accessgudid.nlm.nih.gov/devices/10885403022784</t>
  </si>
  <si>
    <t>CH1101</t>
  </si>
  <si>
    <t>BD_CH1101</t>
  </si>
  <si>
    <t>TUFFIER RIB RETR SERR BLADE 2X1-3/4IN</t>
  </si>
  <si>
    <t>PRODIGO1056622</t>
  </si>
  <si>
    <t>TUFFIER RIB RETRACTOR SERRATED BLADES 2IN X 1-3/4IN WIDE BLADES 2IN DEEP LATEX NON STERILE</t>
  </si>
  <si>
    <t>RETRACTOR, SURGICAL, TUFFIER, 2 IN, 2X1.75 IN, RIB, SERRATED BLADE, NON STERILE, LATEX</t>
  </si>
  <si>
    <t>RETRACTOR, SURG, TUFFIER, 2 IN, 2X1.75 IN, RIB, SERRATED BLADE, NS, LTX</t>
  </si>
  <si>
    <t>RETRACTOR, SURG, TUFFIER, 2 IN, 2X1.75 IN, RIB, SERRATED BLADE, NS</t>
  </si>
  <si>
    <t>TUFFIER</t>
  </si>
  <si>
    <t>2X1.75 IN</t>
  </si>
  <si>
    <t>SERRATED BLADE</t>
  </si>
  <si>
    <t>https://www.bd.com/en-us/products-and-solutions/products/product-page.CH1101, https://accessgudid.nlm.nih.gov/devices/10885403023170</t>
  </si>
  <si>
    <t>AS256</t>
  </si>
  <si>
    <t>BD_AS256</t>
  </si>
  <si>
    <t>TUNING FORK 2256HZ CLASS C</t>
  </si>
  <si>
    <t>PRODIGO1056119</t>
  </si>
  <si>
    <t>42182412  Medical tuning forks</t>
  </si>
  <si>
    <t>FORK, TUNING, 2256 HZ, CLASS C</t>
  </si>
  <si>
    <t>FORK, TUNE, 2256 HZ, CLASS C</t>
  </si>
  <si>
    <t>TUNING</t>
  </si>
  <si>
    <t>2256 HZ, CLASS C</t>
  </si>
  <si>
    <t>https://www.bd.com/en-us/products-and-solutions/products/product-page.AS256#overview</t>
  </si>
  <si>
    <t>AS1024</t>
  </si>
  <si>
    <t>BD_AS1024</t>
  </si>
  <si>
    <t>TUNING FORK C1024HZ CLASS C</t>
  </si>
  <si>
    <t>PRODIGO1056111</t>
  </si>
  <si>
    <t>FORK, TUNING, C1024 HZ, CLASS C</t>
  </si>
  <si>
    <t>FORK, TUNE, C1024 HZ, CLASS C</t>
  </si>
  <si>
    <t>C1024 HZ, CLASS C</t>
  </si>
  <si>
    <t>https://www.bd.com/en-us/products-and-solutions/products/product-page.AS1024#overview</t>
  </si>
  <si>
    <t>AS128</t>
  </si>
  <si>
    <t>BD_AS128</t>
  </si>
  <si>
    <t>TUNING FORK C128HZ CLASS C</t>
  </si>
  <si>
    <t>PRODIGO1056113</t>
  </si>
  <si>
    <t>FORK, TUNING, C128 HZ, CLASS C</t>
  </si>
  <si>
    <t>FORK, TUNE, C128 HZ, CLASS C</t>
  </si>
  <si>
    <t>C128 HZ, CLASS C</t>
  </si>
  <si>
    <t>https://www.bd.com/en-us/products-and-solutions/products/product-page.AS128#overview</t>
  </si>
  <si>
    <t>AS512</t>
  </si>
  <si>
    <t>BD_AS512</t>
  </si>
  <si>
    <t>TUNING FORK C512HZ CLASS C</t>
  </si>
  <si>
    <t>PRODIGO1056120</t>
  </si>
  <si>
    <t>FORK, TUNING, C512 HZ, CLASS C</t>
  </si>
  <si>
    <t>FORK, TUNE, C512 HZ, CLASS C</t>
  </si>
  <si>
    <t>C512 HZ, CLASS C</t>
  </si>
  <si>
    <t>https://www.bd.com/en-us/products-and-solutions/products/product-page.AS512#overview</t>
  </si>
  <si>
    <t>MO14711</t>
  </si>
  <si>
    <t>MO1471-1</t>
  </si>
  <si>
    <t>BD_MO14711</t>
  </si>
  <si>
    <t>TYDINGS TONSIL SEIZING FORCEPS 2-PRONG</t>
  </si>
  <si>
    <t>PRODIGO1057894</t>
  </si>
  <si>
    <t>TYDINGS TONSIL SEIZING FORCEPS TWO-PRONG JAWS. WITH CATCH. OVERALL LENGTH 7-7/10IN (19.5CM).</t>
  </si>
  <si>
    <t>FORCEP, SURGICAL, TYDINGS, 7-7/10 IN, TONSIL, SEIZING, TWO-PRONG JAW, NON STERILE, LATEX</t>
  </si>
  <si>
    <t>FORCEP, SURG, TYDINGS, 7-7/10 IN, TONSIL, SEIZING, TWO-PRONG JAW, NS, LTX</t>
  </si>
  <si>
    <t>FORCEP, SURG, TYDINGS, 7-7/10 IN, TONSIL, SEIZING, TWO-PRONG JAW</t>
  </si>
  <si>
    <t>TYDINGS</t>
  </si>
  <si>
    <t>7-7/10 IN</t>
  </si>
  <si>
    <t>SEIZING, TWO-PRONG JAW</t>
  </si>
  <si>
    <t>https://www.bd.com/en-us/products-and-solutions/products/product-page.mo1471-1#overview, https://accessgudid.nlm.nih.gov/devices/10885403058783</t>
  </si>
  <si>
    <t>MO1990</t>
  </si>
  <si>
    <t>BD_MO1990</t>
  </si>
  <si>
    <t>TYDINGS TONSIL SNARE 6-5/8IN W/12 WIRES</t>
  </si>
  <si>
    <t>PRODIGO1057921</t>
  </si>
  <si>
    <t>TYDINGS TONSIL SNARE ONE-PIECE MODEL WITH SMOOTH WORKING TUBULAR CANNULA. INCLUDES 12 WIRES. WORKING LENGTH 6-5/8IN (16.9CM).</t>
  </si>
  <si>
    <t>SNARE, TONSIL, TYDING, 6-5/8 IN, ONE-PIECE MODEL, WITH SMOOTH WORKING TUBULAR CANNULA, 12 WIRE, NON STERILE, LATEX</t>
  </si>
  <si>
    <t>SNARE, TONSIL, TYDING, 6-5/8 IN, 1 PC MODEL, W/ SMOOTH WORKING TBLR CANN, 12 WIRE, NS, LTX</t>
  </si>
  <si>
    <t>SNARE, TONSIL, TYDING, 6-5/8 IN, 1 PC MODEL, 12 WIRE</t>
  </si>
  <si>
    <t>TYDING</t>
  </si>
  <si>
    <t>ONE-PIECE MODEL, WITH SMOOTH WORKING TUBULAR CANNULA, 12 WIRE</t>
  </si>
  <si>
    <t>https://www.bd.com/en-us/products-and-solutions/products/product-page.mo1990#overview, https://accessgudid.nlm.nih.gov/devices/10885403059117</t>
  </si>
  <si>
    <t>CA1772</t>
  </si>
  <si>
    <t>BD_CA1772</t>
  </si>
  <si>
    <t>UNIV OF MICHIGAN MIXTER FORCEP 9-1/4IN</t>
  </si>
  <si>
    <t>PRODIGO1056457</t>
  </si>
  <si>
    <t>University Of Michigan Mixter Forceps Affinity Line. Overall length 9-1/4in (23.5cm)</t>
  </si>
  <si>
    <t>FORCEP, SURGICAL, UNIVERSITY OF MICHIGAN, 9.25 IN, MIXTER, AFFINITY LINE, NON STERILE, LATEX</t>
  </si>
  <si>
    <t>FORCEP, SURG, UNIVERSITY OF MICHIGAN, 9.25 IN, MIXTER, AFFIN LN, NS, LTX</t>
  </si>
  <si>
    <t>FORCEP, SURG, UNIVERSITY OF MICHIGAN, 9.25 IN, MIXTER, AFFIN LN</t>
  </si>
  <si>
    <t>UNIVERSITY OF MICHIGAN</t>
  </si>
  <si>
    <t>MIXTER, AFFINITY LINE</t>
  </si>
  <si>
    <t>https://www.bd.com/en-us/products-and-solutions/products/product-page.CA1772#overview, https://accessgudid.nlm.nih.gov/devices/10885403018206</t>
  </si>
  <si>
    <t>LAT0545UG</t>
  </si>
  <si>
    <t>LAT-0545-UG</t>
  </si>
  <si>
    <t>BD_LAT0545UG</t>
  </si>
  <si>
    <t>UNIVERSAL GRASPER D/A INSERT 5MM 45CM</t>
  </si>
  <si>
    <t>PRODIGO1057830</t>
  </si>
  <si>
    <t>GRASPER, ENDOSCOPIC, UNIVERSAL, 5 MMX45 CM, DOUBLE ACTION INSERT, NON STERILE, LATEX</t>
  </si>
  <si>
    <t>GRASPER ENDOSCOPIC UNIVERSAL 5 MMX45 CM DOUBLE ACTION INSERT NON STERILE LATEX</t>
  </si>
  <si>
    <t>GRASPER, ENDOSCP, UNIV, 5 MMX45 CM, DBL ACT INSRT, NS, LTX</t>
  </si>
  <si>
    <t>UNIVERSAL</t>
  </si>
  <si>
    <t>https://www.bd.com/en-us/products-and-solutions/products/product-page.lat-0545-ug#specifications, https://accessgudid.nlm.nih.gov/devices/10885403431852</t>
  </si>
  <si>
    <t>LA8506</t>
  </si>
  <si>
    <t>BD_LA8506</t>
  </si>
  <si>
    <t>V HOOK ELECTRODE ANGLED 33CM</t>
  </si>
  <si>
    <t>PRODIGO1057750</t>
  </si>
  <si>
    <t>Electrode 5 Mmx33 Cm V Hook Angled Suction No Valve Insulated Handle Shaft Satin Finish Stainless Steel Non Sterile Latex</t>
  </si>
  <si>
    <t>ELECTRODE, ELECTROSURGICAL, V HOOK, 5 MMX33 CM, ANGLED, SUCTION, NO VALVE, INSULATED HANDLE SHAFT, SATIN FINISH, STAINLESS STEEL, NON STERILE, LATEX</t>
  </si>
  <si>
    <t>ELECTRODE, ELECSURG, V HK, 5 MMX33 CM, ANGLED, SUCTION, NO VLV, INSUL HNDL SHFT, SATIN FINISH, SS, NS, LTX</t>
  </si>
  <si>
    <t>ELECTRODE, ELECSURG, V HK, 5 MMX33 CM, ANGLED, SUCTION, NO VLV</t>
  </si>
  <si>
    <t>V HOOK</t>
  </si>
  <si>
    <t>ANGLED, SUCTION, NO VALVE, INSULATED HANDLE SHAFT, SATIN FINISH</t>
  </si>
  <si>
    <t>https://www.bd.com/en-us/products-and-solutions/products/product-page.la8506#overview, https://accessgudid.nlm.nih.gov/devices/10885403053917</t>
  </si>
  <si>
    <t>CH6422</t>
  </si>
  <si>
    <t>BD_CH6422</t>
  </si>
  <si>
    <t>V MUELLER AURICULAR APPENDAGE CLAMP</t>
  </si>
  <si>
    <t>PRODIGO1057045</t>
  </si>
  <si>
    <t>AURICULAR APPENDAGE CLAMP SURGICAL 10 IN 1.3X2.4X4.9 CM JAW</t>
  </si>
  <si>
    <t>CLAMP, SURGICAL, AURICULAR APPENDAGE, 10 IN, 1.3X2.4X4.9 CM, JAW, NON STERILE, LATEX</t>
  </si>
  <si>
    <t>CLAMP, SURG, AUR APPENDAGE, 10 IN, 1.3X2.4X4.9 CM, JAW, NS, LTX</t>
  </si>
  <si>
    <t>AURICULAR APPENDAGE</t>
  </si>
  <si>
    <t>1.3X2.4X4.9 CM</t>
  </si>
  <si>
    <t>V MUELLER</t>
  </si>
  <si>
    <t>http://www.megamedworld.com/wp-content/uploads/2019/03/VM_KVC-min.pdf, https://accessgudid.nlm.nih.gov/devices/10885403031526</t>
  </si>
  <si>
    <t>CH6050</t>
  </si>
  <si>
    <t>BD_CH6050</t>
  </si>
  <si>
    <t>V MUELLER BULLDOG CLAMP STR JAW 3CM</t>
  </si>
  <si>
    <t>PRODIGO1056969</t>
  </si>
  <si>
    <t>BULLDOG CLAMP SURGICAL 2.5 IN 3 CM STRAIGHT JAW</t>
  </si>
  <si>
    <t>CLAMP, SURGICAL, BULLDOG, 2.5 IN, 3 CM, STRAIGHT JAW, NON STERILE, LATEX</t>
  </si>
  <si>
    <t>CLAMP, SURG, BULLDOG, 2.5 IN, 3 CM, STR JAW, NS, LTX</t>
  </si>
  <si>
    <t>http://www.megamedworld.com/wp-content/uploads/2019/03/VM_KVC-min.pdf, https://accessgudid.nlm.nih.gov/devices/10885403029899</t>
  </si>
  <si>
    <t>GL1930</t>
  </si>
  <si>
    <t>BD_GL1930</t>
  </si>
  <si>
    <t>VAN DOREN UTERINE BIOPSY PUNCH ANG FORCP</t>
  </si>
  <si>
    <t>PRODIGO1057406</t>
  </si>
  <si>
    <t>Van Doren uterine biopsy punches forceps Angled. Overall length 10in (25.4cm).</t>
  </si>
  <si>
    <t>FORCEP, ENDOSCOPIC, VAN DOREN, 10 IN, UTERINE, BIOPSY, PUNCH, ANGLED, NON STERILE, LATEX</t>
  </si>
  <si>
    <t>FORCEP, ENDOSCP, VAN DOREN, 10 IN, UTER, BX, PNCH, ANGLED, NS, LTX</t>
  </si>
  <si>
    <t>VAN DOREN</t>
  </si>
  <si>
    <t>BIOPSY, PUNCH, ANGLED</t>
  </si>
  <si>
    <t>https://www.bd.com/en-us/products-and-solutions/products/product-page.gl1930#overview, https://accessgudid.nlm.nih.gov/devices/10885403045011</t>
  </si>
  <si>
    <t>CH8676</t>
  </si>
  <si>
    <t>BD_CH8676</t>
  </si>
  <si>
    <t>VASCULAR HOOK RIGHT ANGLE 90DEG</t>
  </si>
  <si>
    <t>PRODIGO1057264</t>
  </si>
  <si>
    <t>Vascular Hook Angled 90°</t>
  </si>
  <si>
    <t>HOOK, SURGICAL, RIGHT ANGLED, 90 DEGREE, 9.5 IN, VASCULAR, NON STERILE, LATEX</t>
  </si>
  <si>
    <t>HOOK, SURG, RT ANGLED, 90 DEG, 9.5 IN, VASC, NS, LTX</t>
  </si>
  <si>
    <t>RIGHT ANGLED</t>
  </si>
  <si>
    <t>https://www.hces.com.sg/wp-content/uploads/2021/04/Cardiovascular-Pages-from-vmueller-snowdenpencer-armamentarium-catalogue-4.pdf, https://accessgudid.nlm.nih.gov/devices/10885403035531</t>
  </si>
  <si>
    <t>CH13182</t>
  </si>
  <si>
    <t>BD_CH13182</t>
  </si>
  <si>
    <t>VICKERS MICRO RING FORCEP W/VICKERS RING</t>
  </si>
  <si>
    <t>PRODIGO1056708</t>
  </si>
  <si>
    <t>Vickers micro ring forceps Straight Tip diameter 1mm Round handle Tungsten carbide inserts Overall length 8-1/4in</t>
  </si>
  <si>
    <t>FORCEP, SURGICAL, VICKERS, 1 MM TIP, 8.25 IN, MICRO RING, STRAIGHT, ROUND HANDLE, TUNGSTEN CARBIDE INSERT</t>
  </si>
  <si>
    <t>FORCEP, SURG, VICKERS, 1 MM TIP, 8.25 IN, MIC RNG, STR, RND HNDL, TUNGSTEN CARBIDE INSRT</t>
  </si>
  <si>
    <t>FORCEP, SURG, VICKERS, 1 MM TIP, 8.25 IN, MIC RNG, STR, RND HNDL</t>
  </si>
  <si>
    <t>VICKERS</t>
  </si>
  <si>
    <t>1 MM TIP</t>
  </si>
  <si>
    <t>MICRO RING, STRAIGHT, ROUND HANDLE, TUNGSTEN CARBIDE INSERT</t>
  </si>
  <si>
    <t>https://www.bd.com/en-us/products-and-solutions/products/product-page.CH13182#overview</t>
  </si>
  <si>
    <t>CH2611</t>
  </si>
  <si>
    <t>BD_CH2611</t>
  </si>
  <si>
    <t>VILLAVICENCIA VEIN HOOK 2MM 5-3/4IN</t>
  </si>
  <si>
    <t>PRODIGO1056813</t>
  </si>
  <si>
    <t>Villavicencia Vein Hooks</t>
  </si>
  <si>
    <t>HOOK, SURGICAL, VILLAVICENCIA VEIN, 2 MM TIP, 5.75 IN, NON STERILE, LATEX</t>
  </si>
  <si>
    <t>HOOK, SURG, VILLAVICENCIA VEIN, 2 MM TIP, 5.75 IN, NS, LTX</t>
  </si>
  <si>
    <t>VILLAVICENCIA VEIN</t>
  </si>
  <si>
    <t>2 MM TIP</t>
  </si>
  <si>
    <t>http://www.lt-technologies.de/_ws/mediabase/_ts_1494230442000/Downloads/CardioCatalog_LIT12012_low-res.pdf, https://accessgudid.nlm.nih.gov/devices/10885403026362</t>
  </si>
  <si>
    <t>CH2612</t>
  </si>
  <si>
    <t>BD_CH2612</t>
  </si>
  <si>
    <t>VILLAVICENCIA VEIN HOOK 3MM 5-3/4IN</t>
  </si>
  <si>
    <t>PRODIGO1056814</t>
  </si>
  <si>
    <t>HOOK, SURGICAL, VILLAVICENCIA VEIN, 3 MM TIP, 5.75 IN, NON STERILE, LATEX</t>
  </si>
  <si>
    <t>HOOK, SURG, VILLAVICENCIA VEIN, 3 MM TIP, 5.75 IN, NS, LTX</t>
  </si>
  <si>
    <t>3 MM TIP</t>
  </si>
  <si>
    <t>http://www.lt-technologies.de/_ws/mediabase/_ts_1494230442000/Downloads/CardioCatalog_LIT12012_low-res.pdf, https://accessgudid.nlm.nih.gov/devices/10885403026379</t>
  </si>
  <si>
    <t>HS32021</t>
  </si>
  <si>
    <t>HS3202-1</t>
  </si>
  <si>
    <t>BD_HS32021</t>
  </si>
  <si>
    <t>VISCERA RETAINER SMALL 10/BXST</t>
  </si>
  <si>
    <t>PRODIGO1057654</t>
  </si>
  <si>
    <t>42295446  Internal organ or viscera retainers</t>
  </si>
  <si>
    <t>Viscera retainers Small. Sterile. Ten per box.</t>
  </si>
  <si>
    <t>RETAINER, VISCERA, SMALL, STERILE</t>
  </si>
  <si>
    <t>RETAINER, VISCERA, SM, STRL</t>
  </si>
  <si>
    <t>RETAINER</t>
  </si>
  <si>
    <t>VISCERA</t>
  </si>
  <si>
    <t>10/BXST</t>
  </si>
  <si>
    <t>https://www.bd.com/en-us/products-and-solutions/products/product-page.hs3202-1#overview</t>
  </si>
  <si>
    <t>CH2492</t>
  </si>
  <si>
    <t>BD_CH2492</t>
  </si>
  <si>
    <t>VITAL COOLEY INTRACARD NDL HLDR STR JAW</t>
  </si>
  <si>
    <t>PRODIGO1056804</t>
  </si>
  <si>
    <t>Vital COOLEY Intracardiac Needle Holders</t>
  </si>
  <si>
    <t>HOLDER, NEEDLE, COOLEY, 7 IN, INTRACARDIAC, STRAIGHT JAW, NARROW JAW, TUNGSTEN CARBIDE INSERT, NON STERILE, VITAL, LATEX</t>
  </si>
  <si>
    <t>HOLDER, NDL, COOLEY, 7 IN, INTCARD, STR JAW, NAR JAW, TUNGSTEN CARBIDE INSRT, NS, VITAL, LTX</t>
  </si>
  <si>
    <t>HOLDER, NDL, COOLEY, 7 IN, INTCARD, STR JAW, NAR JAW, NS, VITAL</t>
  </si>
  <si>
    <t>STRAIGHT JAW, NARROW JAW, TUNGSTEN CARBIDE INSERT</t>
  </si>
  <si>
    <t>VITAL</t>
  </si>
  <si>
    <t>http://www.lt-technologies.de/_ws/mediabase/_ts_1494230442000/Downloads/CardioCatalog_LIT12012_low-res.pdf, https://accessgudid.nlm.nih.gov/devices/10885403026157</t>
  </si>
  <si>
    <t>CH2407001</t>
  </si>
  <si>
    <t>CH2407-001</t>
  </si>
  <si>
    <t>BD_CH2407001</t>
  </si>
  <si>
    <t>VITAL COOLEY MICROVASC NDL HLDR SERR</t>
  </si>
  <si>
    <t>PRODIGO1056779</t>
  </si>
  <si>
    <t>Vital Cooley microvascular needle holders</t>
  </si>
  <si>
    <t>HOLDER, NEEDLE, COOLEY, 6.75 IN, MICROVASCULAR, VERY DELICATE, STRAIGHT JAW, INDENTED SHANK, SERRATED TUNGSTEN CARBIDE INSERT, NON STERILE, VITAL, LATEX</t>
  </si>
  <si>
    <t>HOLDER, NDL, COOLEY, 6.75 IN, MICROVASCULAR, VERY DEL, STR JAW, INDENTED SHANK, SERRATED TUNGSTEN CARBIDE INSRT, NS, VITAL, LTX</t>
  </si>
  <si>
    <t>HOLDER, NDL, COOLEY, 6.75 IN, MICROVASCULAR, SERRATED INSRT, VITAL</t>
  </si>
  <si>
    <t>VERY DELICATE, STRAIGHT JAW, INDENTED SHANK, SERRATED TUNGSTEN CARBIDE INSERT</t>
  </si>
  <si>
    <t>https://www.bd.com/en-us/products-and-solutions/products/product-page.CH2407-001#overview, https://accessgudid.nlm.nih.gov/devices/10885403025211</t>
  </si>
  <si>
    <t>CH2406001</t>
  </si>
  <si>
    <t>CH2406-001</t>
  </si>
  <si>
    <t>BD_CH2406001</t>
  </si>
  <si>
    <t>VITAL COOLEY MICROVASC NDL HLDR SERR 6IN</t>
  </si>
  <si>
    <t>PRODIGO1056777</t>
  </si>
  <si>
    <t>HOLDER, NEEDLE, COOLEY, 6 IN, MICROVASCULAR, VERY DELICATE, STRAIGHT JAW, INDENTED SHANK, SERRATED TUNGSTEN CARBIDE INSERT, NON STERILE, VITAL, LATEX</t>
  </si>
  <si>
    <t>HOLDER, NDL, COOLEY, 6 IN, MICROVASCULAR, VERY DEL, STR JAW, INDENTED SHANK, SERRATED TUNGSTEN CARBIDE INSRT, NS, VITAL, LTX</t>
  </si>
  <si>
    <t>HOLDER, NDL, COOLEY, 6 IN, MICROVASCULAR, SERRATED INSRT, NS, VITAL</t>
  </si>
  <si>
    <t>https://www.bd.com/en-us/products-and-solutions/products/product-page.CH2406-001#overview, https://accessgudid.nlm.nih.gov/devices/10885403025198</t>
  </si>
  <si>
    <t>CH2408</t>
  </si>
  <si>
    <t>BD_CH2408</t>
  </si>
  <si>
    <t>VITAL COOLEY MICROVASC NDL HLDR SERR 8IN</t>
  </si>
  <si>
    <t>PRODIGO1056780</t>
  </si>
  <si>
    <t>HOLDER, NEEDLE, COOLEY, 8 IN, MICROVASCULAR, VERY DELICATE, STRAIGHT JAW, INDENTED SHANK, SMOOTH TUNGSTEN CARBIDE INSERT, NON STERILE, VITAL, LATEX</t>
  </si>
  <si>
    <t>HOLDER, NDL, COOLEY, 8 IN, MICROVASCULAR, VERY DEL, STR JAW, INDENTED SHANK, SMOOTH TUNGSTEN CARBIDE INSRT, NS, VITAL, LTX</t>
  </si>
  <si>
    <t>HOLDER, NDL, COOLEY, 8 IN, MICROVASCULAR, VERY DEL, STR JAW, VITAL</t>
  </si>
  <si>
    <t>VERY DELICATE, STRAIGHT JAW, INDENTED SHANK, SMOOTH TUNGSTEN CARBIDE INSERT</t>
  </si>
  <si>
    <t>SERRATED</t>
  </si>
  <si>
    <t>https://www.bd.com/en-us/products-and-solutions/products/product-page.CH2408#overview, https://accessgudid.nlm.nih.gov/devices/10885403025228</t>
  </si>
  <si>
    <t>CH2408001</t>
  </si>
  <si>
    <t>CH2408-001</t>
  </si>
  <si>
    <t>BD_CH2408001</t>
  </si>
  <si>
    <t>PRODIGO1056781</t>
  </si>
  <si>
    <t>HOLDER, NEEDLE, COOLEY, 8 IN, MICROVASCULAR, VERY DELICATE, STRAIGHT JAW, INDENTED SHANK, SERRATED TUNGSTEN CARBIDE INSERT, NON STERILE, VITAL, LATEX</t>
  </si>
  <si>
    <t>HOLDER, NDL, COOLEY, 8 IN, MICROVASCULAR, VERY DEL, STR JAW, INDENTED SHANK, SERRATED TUNGSTEN CARBIDE INSRT, NS, VITAL, LTX</t>
  </si>
  <si>
    <t>HOLDER, NDL, COOLEY, 8 IN, MICROVASCULAR, VERY DEL, STR, NS, VITAL</t>
  </si>
  <si>
    <t>https://www.bd.com/en-us/products-and-solutions/products/product-page.CH2408-001#specifications, https://accessgudid.nlm.nih.gov/devices/10885403025235</t>
  </si>
  <si>
    <t>CH2407</t>
  </si>
  <si>
    <t>BD_CH2407</t>
  </si>
  <si>
    <t>VITAL COOLEY MICROVASC NDL HLDR SMTH</t>
  </si>
  <si>
    <t>PRODIGO1056778</t>
  </si>
  <si>
    <t>HOLDER, NEEDLE, COOLEY, 6.75 IN, MICROVASCULAR, VERY DELICATE, STRAIGHT JAW, INDENTED SHANK, SMOOTH TUNGSTEN CARBIDE INSERT, NON STERILE, VITAL, LATEX</t>
  </si>
  <si>
    <t>HOLDER, NDL, COOLEY, 6.75 IN, MICROVASCULAR, VERY DEL, STR JAW, INDENTED SHANK, SMOOTH TUNGSTEN CARBIDE INSRT, NS, VITAL, LTX</t>
  </si>
  <si>
    <t>HOLDER, NDL, COOLEY, 6.75 IN, MICROVASCULAR, SMOOTH INSRT, VITAL</t>
  </si>
  <si>
    <t>https://www.bd.com/en-us/products-and-solutions/products/product-page.CH2407#overview, https://accessgudid.nlm.nih.gov/devices/10885403025204</t>
  </si>
  <si>
    <t>CH2406</t>
  </si>
  <si>
    <t>BD_CH2406</t>
  </si>
  <si>
    <t>VITAL COOLEY MICROVASC NDL HLDR SMTH 6IN</t>
  </si>
  <si>
    <t>PRODIGO1056776</t>
  </si>
  <si>
    <t>HOLDER, NEEDLE, COOLEY, 6 IN, MICROVASCULAR, VERY DELICATE, STRAIGHT JAW, INDENTED SHANK, SMOOTH TUNGSTEN CARBIDE INSERT, NON STERILE, VITAL, LATEX</t>
  </si>
  <si>
    <t>HOLDER, NDL, COOLEY, 6 IN, MICROVASCULAR, VERY DEL, STR JAW, INDENTED SHANK, SMOOTH TUNGSTEN CARBIDE INSRT, NS, VITAL, LTX</t>
  </si>
  <si>
    <t>HOLDER, NDL, COOLEY, 6 IN, MICROVASCULAR, SMOOTH INSRT, NS, VITAL</t>
  </si>
  <si>
    <t>https://www.bd.com/en-us/products-and-solutions/products/product-page.CH2406#overview, https://accessgudid.nlm.nih.gov/devices/10885403025181</t>
  </si>
  <si>
    <t>CH2423</t>
  </si>
  <si>
    <t>BD_CH2423</t>
  </si>
  <si>
    <t>VITAL CRILE-WOOD NDL HLDR CVD JAW 7-1/8</t>
  </si>
  <si>
    <t>PRODIGO1056786</t>
  </si>
  <si>
    <t>VITAL Needle Holder Crile Wood curved</t>
  </si>
  <si>
    <t>HOLDER, NEEDLE, CRILE-WOOD, 7-1/8 IN, CURVED, NON STERILE, VITAL, LATEX</t>
  </si>
  <si>
    <t>HOLDER, NDL, CRL WD, 7-1/8 IN, CRV, NS, VITAL, LTX</t>
  </si>
  <si>
    <t>http://www.lt-technologies.de/_ws/mediabase/_ts_1494230442000/Downloads/CardioCatalog_LIT12012_low-res.pdf, https://accessgudid.nlm.nih.gov/devices/10885403025334</t>
  </si>
  <si>
    <t>CH2426</t>
  </si>
  <si>
    <t>BD_CH2426</t>
  </si>
  <si>
    <t>VITAL CRILE-WOOD NDL HLDR CVD JAW 9-1/4</t>
  </si>
  <si>
    <t>PRODIGO1056787</t>
  </si>
  <si>
    <t>HOLDER, NEEDLE, CRILE-WOOD, 9.25 IN, CURVED, NON STERILE, VITAL, LATEX</t>
  </si>
  <si>
    <t>HOLDER, NDL, CRL WD, 9.25 IN, CRV, NS, VITAL, LTX</t>
  </si>
  <si>
    <t>http://www.lt-technologies.de/_ws/mediabase/_ts_1494230442000/Downloads/CardioCatalog_LIT12012_low-res.pdf, https://accessgudid.nlm.nih.gov/devices/10885403025365</t>
  </si>
  <si>
    <t>CH2426001</t>
  </si>
  <si>
    <t>CH2426-001</t>
  </si>
  <si>
    <t>BD_CH2426001</t>
  </si>
  <si>
    <t>VITAL CRILE-WOOD NDL HLDR CVD LEFT 9-1/4</t>
  </si>
  <si>
    <t>PRODIGO1056788</t>
  </si>
  <si>
    <t>VITAL Needle Holder Crile Wood left handed</t>
  </si>
  <si>
    <t>HOLDER, NEEDLE, CRILE-WOOD, 9.25 IN, CURVED LEFT, NON STERILE, VITAL, LATEX</t>
  </si>
  <si>
    <t>HOLDER, NDL, CRL WD, 9.25 IN, CRV LT, NS, VITAL, LTX</t>
  </si>
  <si>
    <t>http://www.lt-technologies.de/_ws/mediabase/_ts_1494230442000/Downloads/CardioCatalog_LIT12012_low-res.pdf, https://accessgudid.nlm.nih.gov/devices/10885403025372</t>
  </si>
  <si>
    <t>CH2429</t>
  </si>
  <si>
    <t>BD_CH2429</t>
  </si>
  <si>
    <t>VITAL CRILE-WOOD NDL HOLDER STR TUNGCARB</t>
  </si>
  <si>
    <t>PRODIGO1056789</t>
  </si>
  <si>
    <t>VITAL Needle Holder Crile WoOD</t>
  </si>
  <si>
    <t>HOLDER, NEEDLE, CRILE-WOOD, 14 IN, STRAIGHT, TUNGSTEN CARBIDE INSERT, NON STERILE, VITAL, LATEX</t>
  </si>
  <si>
    <t>HOLDER, NDL, CRL WD, 14 IN, STR, TUNGSTEN CARBIDE INSRT, NS, VITAL, LTX</t>
  </si>
  <si>
    <t>HOLDER, NDL, CRL WD, 14 IN, STR, TUNGSTEN CARBIDE INSRT, NS, VITAL</t>
  </si>
  <si>
    <t>STRAIGHT, TUNGSTEN CARBIDE INSERT</t>
  </si>
  <si>
    <t>http://www.lt-technologies.de/_ws/mediabase/_ts_1494230442000/Downloads/CardioCatalog_LIT12012_low-res.pdf, https://accessgudid.nlm.nih.gov/devices/10885403025402</t>
  </si>
  <si>
    <t>NL1462</t>
  </si>
  <si>
    <t>BD_NL1462</t>
  </si>
  <si>
    <t>VITAL CUSHING TISSUE FORCEPS T/C INSERTS</t>
  </si>
  <si>
    <t>PRODIGO1058093</t>
  </si>
  <si>
    <t>VITAL CUSHING TISSUE FORCEPS ANGLED TIPS. TUNGSTEN CARBIDE INSERTS. 3 600 TEETH PER SQUARE INCH. OVERALL LENGTH 6-3/4IN 17CM</t>
  </si>
  <si>
    <t>FORCEP, SURGICAL, CUSHING, 6.75 IN, ANGLED TIP, WITH INSERT, 3600 TEETH PER SQUARE INCH, TUNGSTEN CARBIDE, NON STERILE, LATEX</t>
  </si>
  <si>
    <t>FORCEP SURGICAL CUSHING 6.75 IN ANGLED TIP WITH INSERT 3600 TEETH PER SQUARE INCH TUNGSTEN CARBIDE NON STERILE LATEX</t>
  </si>
  <si>
    <t>FORCEP, SURG, CUSHING, 6.75 IN, ANGLED TIP, W/ INSRT, 3600 TEETH PER SQ INCH, TUNGSTEN CARBIDE, NS, LTX</t>
  </si>
  <si>
    <t>FORCEP, SURG, CUSHING, 6.75 IN, ANGLED TIP, W/ INSRT, 3600 TEETH</t>
  </si>
  <si>
    <t>ANGLED TIP, WITH INSERT, 3600 TEETH PER SQUARE INCH</t>
  </si>
  <si>
    <t>https://www.bd.com/en-us/products-and-solutions/products/product-page.NL1462#overview, https://accessgudid.nlm.nih.gov/devices/10885403071584</t>
  </si>
  <si>
    <t>CH5935</t>
  </si>
  <si>
    <t>BD_CH5935</t>
  </si>
  <si>
    <t>VITAL DEBAKEY NDL PULL TISS FORCEP 1.5MM</t>
  </si>
  <si>
    <t>PRODIGO1056947</t>
  </si>
  <si>
    <t>VITAL DEBAKEY NEEDLE PULLING TISSUE FORCEPS FLAT HANDLE DEBAKEY JAWS WITH TUNGSTEN CARBIDE INSERTS TIPS 1.5MM WIDE OVERALL LENGTH 19.7CM FORCEP SURGICAL DEBAKEY 1.5 MM 19.7 CM TISSUE NEEDLE PULLING FLAT HANDLE JAWS WITH INSERT TIP WIDE TUNGSTEN CARBIDE VITAL</t>
  </si>
  <si>
    <t>FORCEP, SURGICAL, DEBAKEY, 19.7 CM, 1.5 MM, TISSUE, NEEDLE PULLING, FLAT HANDLE, JAWS WITH INSERT, TIP, WIDE, TUNGSTEN CARBIDE, NON STERILE, VITAL, LATEX</t>
  </si>
  <si>
    <t>FORCEP, SURG, DEBAKEY, 19.7 CM, 1.5 MM, TISS, NDL PULLING, FLAT HNDL, JAWS W/ INSRT, TIP, WIDE, TUNGSTEN CARBIDE, NS, VITAL, LTX</t>
  </si>
  <si>
    <t>FORCEP, SURG, DEBAKEY, 19.7 CM, 1.5 MM, TISS, NS, VITAL, LTX</t>
  </si>
  <si>
    <t>NEEDLE PULLING, FLAT HANDLE, JAWS WITH INSERT, TIP, WIDE</t>
  </si>
  <si>
    <t>http://www.megamedworld.com/wp-content/uploads/2019/03/VM_KVC-min.pdf, https://accessgudid.nlm.nih.gov/devices/10885403029615</t>
  </si>
  <si>
    <t>CH5932</t>
  </si>
  <si>
    <t>BD_CH5932</t>
  </si>
  <si>
    <t>VITAL DEBAKEY NDL PULL TISS FORCEPS 2MM</t>
  </si>
  <si>
    <t>PRODIGO1056946</t>
  </si>
  <si>
    <t>VITAL DEBAKEY NEEDLE PULLING TISSUE FORCEPS FLAT HANDLE DEBAKEY JAWS WITH TUNGSTEN CARBIDE INSERTS TIPS 2MM WIDE OVERALL LENGTH 24.1CM FORCEP SURGICAL DEBAKEY 2 MM 24.1 CM TISSUE NEEDLE PULLING FLAT HANDLE JAWS WITH INSERT TIP WIDE TUNGSTEN CARBIDE VITAL</t>
  </si>
  <si>
    <t>FORCEP, SURGICAL, DEBAKEY, 24.1 CM, 2 MM, TISSUE, NEEDLE PULLING, FLAT HANDLE, JAWS WITH INSERT, TIP, WIDE, TUNGSTEN CARBIDE, NON STERILE, VITAL, LATEX</t>
  </si>
  <si>
    <t>FORCEP, SURG, DEBAKEY, 24.1 CM, 2 MM, TISS, NDL PULLING, FLAT HNDL, JAWS W/ INSRT, TIP, WIDE, TUNGSTEN CARBIDE, NS, VITAL, LTX</t>
  </si>
  <si>
    <t>FORCEP, SURG, DEBAKEY, 24.1 CM, 2 MM, TISS, NS, VITAL, LTX</t>
  </si>
  <si>
    <t>http://www.megamedworld.com/wp-content/uploads/2019/03/VM_KVC-min.pdf, https://accessgudid.nlm.nih.gov/devices/10885403029592</t>
  </si>
  <si>
    <t>CH5200</t>
  </si>
  <si>
    <t>BD_CH5200</t>
  </si>
  <si>
    <t>VITAL DEBAKEY TISSUE FORCEP JAWS 2MMWIDE</t>
  </si>
  <si>
    <t>PRODIGO1056865</t>
  </si>
  <si>
    <t xml:space="preserve">Vital DeBakey tissue forceps Tips 2mm wide Overall length 12in 30.5cm </t>
  </si>
  <si>
    <t>FORCEP, SURGICAL, DEBAKEY, 12 IN, 2 MM, TISSUE, NON STERILE, VITAL, LATEX</t>
  </si>
  <si>
    <t>FORCEP, SURG, DEBAKEY, 12 IN, 2 MM, TISS, NS, VITAL, LTX</t>
  </si>
  <si>
    <t>https://www.bd.com/en-us/products-and-solutions/products/product-page.CH5200#overview, https://accessgudid.nlm.nih.gov/devices/10885403027727</t>
  </si>
  <si>
    <t>CH2471</t>
  </si>
  <si>
    <t>BD_CH2471</t>
  </si>
  <si>
    <t>VITAL FINOCHIETTO NDL HLDR ANGJAW 10-1/2</t>
  </si>
  <si>
    <t>PRODIGO1056803</t>
  </si>
  <si>
    <t>Vital FINOCHIETTO Needle Holders</t>
  </si>
  <si>
    <t>HOLDER, NEEDLE, FINOCHIETTO, 10.5 IN, ANGLED JAW, TUNGSTEN CARBIDE INSERT, NON STERILE, VITAL, LATEX</t>
  </si>
  <si>
    <t>HOLDER, NDL, FINOCHIETTO, 10.5 IN, ANGLED JAW, TUNGSTEN CARBIDE INSRT, NS, VITAL, LTX</t>
  </si>
  <si>
    <t>HOLDER, NDL, FINOCHIETTO, 10.5 IN, ANGLED, CARBIDE INSRT, NS, VITAL</t>
  </si>
  <si>
    <t>ANGLED JAW, TUNGSTEN CARBIDE INSERT</t>
  </si>
  <si>
    <t>http://www.lt-technologies.de/_ws/mediabase/_ts_1494230442000/Downloads/CardioCatalog_LIT12012_low-res.pdf, https://accessgudid.nlm.nih.gov/devices/10885403026102</t>
  </si>
  <si>
    <t>CH2461</t>
  </si>
  <si>
    <t>BD_CH2461</t>
  </si>
  <si>
    <t>VITAL FINOCHIETTO NDL HOLDER ANG JAW 8IN</t>
  </si>
  <si>
    <t>PRODIGO1056802</t>
  </si>
  <si>
    <t>HOLDER, NEEDLE, FINOCHIETTO, 8 IN, ANGLED JAW, TUNGSTEN CARBIDE INSERT, NON STERILE, VITAL, LATEX</t>
  </si>
  <si>
    <t>HOLDER, NDL, FINOCHIETTO, 8 IN, ANGLED JAW, TUNGSTEN CARBIDE INSRT, NS, VITAL, LTX</t>
  </si>
  <si>
    <t>HOLDER, NDL, FINOCHIETTO, 8 IN, ANGLED JAW, CARBIDE INSRT, VITAL</t>
  </si>
  <si>
    <t>http://www.lt-technologies.de/_ws/mediabase/_ts_1494230442000/Downloads/CardioCatalog_LIT12012_low-res.pdf, https://accessgudid.nlm.nih.gov/devices/10885403026096</t>
  </si>
  <si>
    <t>NL1453</t>
  </si>
  <si>
    <t>BD_NL1453</t>
  </si>
  <si>
    <t>VITAL GERALD FORCEPS DEL 1MM X-FN TAPER</t>
  </si>
  <si>
    <t>PRODIGO1058088</t>
  </si>
  <si>
    <t>VITAL GERALD FORCEPS DELICATE EXTRA-FINE TIPS TAPERED TO 1MM WIDE. OVERALL LENGTH 7IN 17.8CM.</t>
  </si>
  <si>
    <t>FORCEP, SURGICAL, GERALD, 1 MM, 7 IN, DELICATE, EXTRA-FINE TIPS TAPERED, NON STERILE, LATEX</t>
  </si>
  <si>
    <t>FORCEP SURGICAL GERALD 1 MM 7 IN DELICATE EXTRA-FINE TIPS TAPERED NON STERILE LATEX</t>
  </si>
  <si>
    <t>FORCEP, SURG, GERALD, 1 MM, 7 IN, DEL, EXTRA-FINE TIP TAPR, NS, LTX</t>
  </si>
  <si>
    <t>DELICATE, EXTRA-FINE TIPS TAPERED</t>
  </si>
  <si>
    <t>https://www.bd.com/en-us/products-and-solutions/products/product-page.nl1453#overview, https://accessgudid.nlm.nih.gov/devices/10885403071522</t>
  </si>
  <si>
    <t>NL1454</t>
  </si>
  <si>
    <t>BD_NL1454</t>
  </si>
  <si>
    <t>PRODIGO1058089</t>
  </si>
  <si>
    <t>VITAL GERALD FORCEPS DELICATE EXTRA-FINE TIPS TAPERED TO 1MM WIDE. OVERALL LENGTH 9IN22.9CM.</t>
  </si>
  <si>
    <t>FORCEP, SURGICAL, GERALD, 1 MM, 9 IN, DELICATE, EXTRA-FINE TIPS TAPERED, NON STERILE, LATEX</t>
  </si>
  <si>
    <t>FORCEP SURGICAL GERALD 1 MM 9 IN DELICATE EXTRA-FINE TIPS TAPERED NON STERILE LATEX</t>
  </si>
  <si>
    <t>FORCEP, SURG, GERALD, 1 MM, 9 IN, DEL, EXTRA-FINE TIP TAPR, NS, LTX</t>
  </si>
  <si>
    <t>https://www.bd.com/en-us/products-and-solutions/products/product-page.nl1454#overview, https://accessgudid.nlm.nih.gov/devices/10885403071539</t>
  </si>
  <si>
    <t>CH8591</t>
  </si>
  <si>
    <t>BD_CH8591</t>
  </si>
  <si>
    <t>VITAL JACOBSON NEEDLE HLDR SMTH RND LOCK</t>
  </si>
  <si>
    <t>PRODIGO1057248</t>
  </si>
  <si>
    <t>Vital® JACOBSON Needle Holder 8-3/4</t>
  </si>
  <si>
    <t>HOLDER, NEEDLE, JACOBSON, 8.75 IN, STRAIGHT JAW, ROUND LOCK, SMOOTH, TUNGSTEN CARBIDE INSERT, NON STERILE, VITAL, LATEX</t>
  </si>
  <si>
    <t>HOLDER, NDL, JACOBSON, 8.75 IN, STR JAW, RND LCK, SMOOTH, TUNGSTEN CARBIDE INSRT, NS, VITAL, LTX</t>
  </si>
  <si>
    <t>HOLDER, NDL, JACOBSON, 8.75 IN, STR JAW, RND LCK, SMOOTH, NS, VITAL</t>
  </si>
  <si>
    <t>STRAIGHT JAW, ROUND LOCK, SMOOTH, TUNGSTEN CARBIDE INSERT</t>
  </si>
  <si>
    <t>https://www.hces.com.sg/wp-content/uploads/2021/04/Cardiovascular-Pages-from-vmueller-snowdenpencer-armamentarium-catalogue-4.pdf, https://accessgudid.nlm.nih.gov/devices/10885403035241</t>
  </si>
  <si>
    <t>CH06340</t>
  </si>
  <si>
    <t>BD_CH06340</t>
  </si>
  <si>
    <t>VITAL JCBSN HVY STYLE NDL HOLDR RND HNDL</t>
  </si>
  <si>
    <t>PRODIGO1056567</t>
  </si>
  <si>
    <t>VITAL JACOBSON HEAVY-STYLE NEEDLE HOLDERS ROUND HANDLE FOR LARGE NEEDLES TUNGSTEN CARBIDE INSERTS 3,600 TEETH PER SQUARE INCH WITH LOCK 10 IN LATEX NON STERILE</t>
  </si>
  <si>
    <t>HOLDER, NEEDLE, JACOBSON, 10 IN, HEAVY STYLE, WITH LOCK, ROUND HANDLE, 3600 TEETH, WITH INSERT, FOR LARGE NEEDLE, TUNGSTEN CARBIDE, NON STERILE, VITAL, LATEX</t>
  </si>
  <si>
    <t>HOLDER, NDL, JACOBSON, 10 IN, HVY STYL, W/ LCK, RND HNDL, 3600 TEETH, W/ INSRT, FOR LG NDL, TUNGSTEN CARBIDE, NS, VITAL, LTX</t>
  </si>
  <si>
    <t>HOLDER, NDL, JACOBSON, 10 IN, HVY, W/ LCK, TUNGSTEN CARBIDE, VITAL</t>
  </si>
  <si>
    <t>HEAVY STYLE, WITH LOCK, ROUND HANDLE, 3600 TEETH, WITH INSERT, FOR LARGE NEEDLE</t>
  </si>
  <si>
    <t>http://www.lt-technologies.de/_ws/mediabase/_ts_1494230442000/Downloads/CardioCatalog_LIT12012_low-res.pdf, https://accessgudid.nlm.nih.gov/devices/10885403022104</t>
  </si>
  <si>
    <t>CH2421</t>
  </si>
  <si>
    <t>BD_CH2421</t>
  </si>
  <si>
    <t>VITAL JULIAN NEEDLE HOLDER CVD JAW 8IN</t>
  </si>
  <si>
    <t>PRODIGO1056785</t>
  </si>
  <si>
    <t>VITAL Needle Holder Julian delicate curved</t>
  </si>
  <si>
    <t>HOLDER, NEEDLE, JULIAN, 8 IN, CURVED, DELICATE, NON STERILE, VITAL, LATEX</t>
  </si>
  <si>
    <t>HOLDER, NDL, JULIAN, 8 IN, CRV, DEL, NS, VITAL, LTX</t>
  </si>
  <si>
    <t>JULIAN</t>
  </si>
  <si>
    <t>http://www.lt-technologies.de/_ws/mediabase/_ts_1494230442000/Downloads/CardioCatalog_LIT12012_low-res.pdf, https://accessgudid.nlm.nih.gov/devices/10885403025310</t>
  </si>
  <si>
    <t>CH2420</t>
  </si>
  <si>
    <t>BD_CH2420</t>
  </si>
  <si>
    <t>VITAL JULIAN NEEDLE HOLDER STR JAW 8IN</t>
  </si>
  <si>
    <t>PRODIGO1056784</t>
  </si>
  <si>
    <t>VITAL Needle Holder Julian delicate straigh</t>
  </si>
  <si>
    <t>HOLDER, NEEDLE, JULIAN, 8 IN, STRAIGHT, DELICATE, NON STERILE, VITAL, LATEX</t>
  </si>
  <si>
    <t>HOLDER, NDL, JULIAN, 8 IN, STR, DEL, NS, VITAL, LTX</t>
  </si>
  <si>
    <t>STRAIGHT, DELICATE</t>
  </si>
  <si>
    <t>http://www.lt-technologies.de/_ws/mediabase/_ts_1494230442000/Downloads/CardioCatalog_LIT12012_low-res.pdf, https://accessgudid.nlm.nih.gov/devices/10885403025303</t>
  </si>
  <si>
    <t>CH2086</t>
  </si>
  <si>
    <t>BD_CH2086</t>
  </si>
  <si>
    <t>VITAL MAYO DISSECTING SCISSORS STR 9IN</t>
  </si>
  <si>
    <t>PRODIGO1056768</t>
  </si>
  <si>
    <t>Vital MAYO Dissecting Scissors</t>
  </si>
  <si>
    <t>SCISSOR, SURGICAL, MAYO, 9 IN, DISSECTING, STRAIGHT, BEVELED BLADE, CUTTING EDGE, STELLITE, NON STERILE, VITAL, LATEX</t>
  </si>
  <si>
    <t>SCISSOR, SURG, MAYO, 9 IN, DISECT, STR, BVL BLADE, CUT EDGE, STELLITE, NS, VITAL, LTX</t>
  </si>
  <si>
    <t>SCISSOR, SURG, MAYO, 9 IN, DISECT, STR, BVL BLADE, CUT EDGE, VITAL</t>
  </si>
  <si>
    <t>DISSECTING, STRAIGHT, BEVELED BLADE, CUTTING EDGE</t>
  </si>
  <si>
    <t>STELLITE</t>
  </si>
  <si>
    <t>http://www.lt-technologies.de/_ws/mediabase/_ts_1494230442000/Downloads/CardioCatalog_LIT12012_low-res.pdf, https://accessgudid.nlm.nih.gov/devices/10885403024849</t>
  </si>
  <si>
    <t>CH2438</t>
  </si>
  <si>
    <t>BD_CH2438</t>
  </si>
  <si>
    <t>VITAL MAYO HEGAR NDL HOLDER STR TUNGCARB</t>
  </si>
  <si>
    <t>PRODIGO1056792</t>
  </si>
  <si>
    <t>VITAL Needle Holders Mayo Hegar</t>
  </si>
  <si>
    <t>HOLDER, NEEDLE, MAYO-HEGAR, 18 IN, STRAIGHT JAW, TUNGSTEN CARBIDE INSERT, NON STERILE, VITAL, LATEX</t>
  </si>
  <si>
    <t>HOLDER, NDL, MAYO HEG, 18 IN, STR JAW, TUNGSTEN CARBIDE INSRT, NS, VITAL, LTX</t>
  </si>
  <si>
    <t>HOLDER, NDL, MAYO HEG, 18 IN, STR JAW, CARBIDE INSRT, NS, VITAL, LTX</t>
  </si>
  <si>
    <t>MAYO-HEGAR</t>
  </si>
  <si>
    <t>STRAIGHT JAW, TUNGSTEN CARBIDE INSERT</t>
  </si>
  <si>
    <t>http://www.lt-technologies.de/_ws/mediabase/_ts_1494230442000/Downloads/CardioCatalog_LIT12012_low-res.pdf, https://accessgudid.nlm.nih.gov/devices/10885403025440</t>
  </si>
  <si>
    <t>CH2098</t>
  </si>
  <si>
    <t>BD_CH2098</t>
  </si>
  <si>
    <t>VITAL MAYO SCIS CVD T/C CUT EDGE</t>
  </si>
  <si>
    <t>PRODIGO1056771</t>
  </si>
  <si>
    <t>SCISSOR, SURGICAL, MAYO, 14 IN, DISSECTING, CURVED, BEVELED BLADE, TUNGSTEN CARBIDE CUTTING EDGE, STELLITE, NON STERILE, VITAL, LATEX</t>
  </si>
  <si>
    <t>SCISSOR, SURG, MAYO, 14 IN, DISECT, CRV, BVL BLADE, TUNGSTEN CARBIDE CUT EDGE, STELLITE, NS, VITAL, LTX</t>
  </si>
  <si>
    <t>SCISSOR, SURG, MAYO, 14 IN, DISECT, CRV, BVL BLADE, CUT EDGE, VITAL</t>
  </si>
  <si>
    <t>DISSECTING, CURVED, BEVELED BLADE, TUNGSTEN CARBIDE CUTTING EDGE</t>
  </si>
  <si>
    <t>http://www.lt-technologies.de/_ws/mediabase/_ts_1494230442000/Downloads/CardioCatalog_LIT12012_low-res.pdf, https://accessgudid.nlm.nih.gov/devices/10885403024979</t>
  </si>
  <si>
    <t>CH2009</t>
  </si>
  <si>
    <t>BD_CH2009</t>
  </si>
  <si>
    <t>VITAL METZ CVD T/CARB CUT EDGE SCIS</t>
  </si>
  <si>
    <t>PRODIGO1056755</t>
  </si>
  <si>
    <t>Vital METZENBAUM Dissecting Scissors</t>
  </si>
  <si>
    <t>SCISSOR, SURGICAL, METZENBAUM, 14.5 IN, DISSECTING, CURVED, BLUNT/BLUNT, CUTTING EDGE, TUNGSTEN CARBIDE, STELLITE, NON STERILE, VITAL, LATEX</t>
  </si>
  <si>
    <t>SCISSOR, SURG, METZ, 14.5 IN, DISECT, CRV, BLNT/BLNT, CUT EDGE, TUNGSTEN CARBIDE, STELLITE, NS, VITAL, LTX</t>
  </si>
  <si>
    <t>SCISSOR, SURG, METZ, 14.5 IN, DISECT, CRV, BLNT/BLNT, EDGE, VITAL</t>
  </si>
  <si>
    <t>DISSECTING, CURVED, BLUNT/BLUNT, CUTTING EDGE</t>
  </si>
  <si>
    <t>TUNGSTEN CARBIDE, STELLITE</t>
  </si>
  <si>
    <t>http://www.lt-technologies.de/_ws/mediabase/_ts_1494230442000/Downloads/CardioCatalog_LIT12012_low-res.pdf, https://accessgudid.nlm.nih.gov/devices/10885403024627</t>
  </si>
  <si>
    <t>MO1602002</t>
  </si>
  <si>
    <t>MO1602-002</t>
  </si>
  <si>
    <t>BD_MO1602002</t>
  </si>
  <si>
    <t>VITAL METZ DISCT SCISSORS STR DEL SHARP</t>
  </si>
  <si>
    <t>PRODIGO1057901</t>
  </si>
  <si>
    <t>VITAL METZENBAUM DISSECTING SCISSORS DELICATE. SHARP/SHARP. TUNGSTEN CARBIDE CUTTING EDGES. STRAIGHT. OVERALL LENGTH 7IN (17.8CM).</t>
  </si>
  <si>
    <t>SCISSOR, SURGICAL, METZENBAUM, 7 IN, DISSECTING, DELICATE, SHARP/SHARP, TUNGSTEN CARBIDE CUTTING EDGE, STRAIGHT, NON STERILE, LATEX</t>
  </si>
  <si>
    <t>SCISSOR, SURG, METZ, 7 IN, DISECT, DEL, SHARP/SHARP, TUNGSTEN CARBIDE CUT EDGE, STR, NS, LTX</t>
  </si>
  <si>
    <t>SCISSOR, SURG, METZ, 7 IN, DISECT, DEL, SHARP/SHARP, STR</t>
  </si>
  <si>
    <t>DISSECTING, DELICATE, SHARP/SHARP, TUNGSTEN CARBIDE CUTTING EDGE, STRAIGHT</t>
  </si>
  <si>
    <t>https://www.bd.com/en-us/products-and-solutions/products/product-page.MO1602-002#overview, https://accessgudid.nlm.nih.gov/devices/10885403058899</t>
  </si>
  <si>
    <t>MO1601002</t>
  </si>
  <si>
    <t>MO1601-002</t>
  </si>
  <si>
    <t>BD_MO1601002</t>
  </si>
  <si>
    <t>VITAL METZ DISSECT SCISSOR CVD DEL SHRP</t>
  </si>
  <si>
    <t>PRODIGO1057899</t>
  </si>
  <si>
    <t>VITAL METZENBAUM DISSECTING SCISSORS DELICATE. SHARP/SHARP. TUNGSTEN CARBIDE CUTTING EDGES. CURVED. OVERALL LENGTH 7IN (17.8CM).</t>
  </si>
  <si>
    <t>SCISSOR, SURGICAL, METZENBAUM, 7 IN, DISSECTING, DELICATE, SHARP/SHARP, TUNGSTEN CARBIDE CUTTING EDGE, CURVED, NON STERILE, LATEX</t>
  </si>
  <si>
    <t>SCISSOR, SURG, METZ, 7 IN, DISECT, DEL, SHARP/SHARP, TUNGSTEN CARBIDE CUT EDGE, CRV, NS, LTX</t>
  </si>
  <si>
    <t>SCISSOR, SURG, METZ, 7 IN, DISECT, DEL, SHARP/SHARP</t>
  </si>
  <si>
    <t>DISSECTING, DELICATE, SHARP/SHARP, TUNGSTEN CARBIDE CUTTING EDGE, CURVED</t>
  </si>
  <si>
    <t>https://www.bd.com/en-us/products-and-solutions/products/product-page.MO1601-002#overview, https://accessgudid.nlm.nih.gov/devices/10885403058868</t>
  </si>
  <si>
    <t>MO1602001</t>
  </si>
  <si>
    <t>MO1602-001</t>
  </si>
  <si>
    <t>BD_MO1602001</t>
  </si>
  <si>
    <t>VITAL METZ DISSECT SCISSOR STR DEL BLNT</t>
  </si>
  <si>
    <t>PRODIGO1057900</t>
  </si>
  <si>
    <t>VITAL METZENBAUM DISSECTING SCISSORS DELICATE. BLUNT/BLUNT. TUNGSTEN CARBIDE CUTTING EDGES. STRAIGHT. OVERALL LENGTH 7IN (17.8CM).</t>
  </si>
  <si>
    <t>SCISSOR, SURGICAL, METZENBAUM, 7 IN, DISSECTING, DELICATE, BLUNT/BLUNT, TUNGSTEN CARBIDE CUTTING EDGE, STRAIGHT, NON STERILE, LATEX</t>
  </si>
  <si>
    <t>SCISSOR, SURG, METZ, 7 IN, DISECT, DEL, BLUNT/BLUNT, TUNGSTEN CARBIDE CUT EDGE, STR, NS, LTX</t>
  </si>
  <si>
    <t>SCISSOR, SURG, METZ, 7 IN, DISECT, DEL, BLUNT/BLUNT, STR</t>
  </si>
  <si>
    <t>DISSECTING, DELICATE, BLUNT/BLUNT, TUNGSTEN CARBIDE CUTTING EDGE, STRAIGHT</t>
  </si>
  <si>
    <t>https://www.bd.com/en-us/products-and-solutions/products/product-page.MO1602-001#overview, https://accessgudid.nlm.nih.gov/devices/10885403058882</t>
  </si>
  <si>
    <t>CH2006002</t>
  </si>
  <si>
    <t>CH2006-002</t>
  </si>
  <si>
    <t>BD_CH2006002</t>
  </si>
  <si>
    <t>VITAL METZ SCISSOR DEL CVD SH/SH 9-1/4IN</t>
  </si>
  <si>
    <t>PRODIGO1056751</t>
  </si>
  <si>
    <t>SCISSOR, SURGICAL, METZENBAUM, 9.25 IN, DISSECTING, CURVED, DELICATE, SHARP/SHARP, CUTTING EDGE, STELLITE, NON STERILE, VITAL, LATEX</t>
  </si>
  <si>
    <t>SCISSOR, SURG, METZ, 9.25 IN, DISECT, CRV, DEL, SHARP/SHARP, CUT EDGE, STELLITE, NS, VITAL, LTX</t>
  </si>
  <si>
    <t>SCISSOR, SURG, METZ, 9.25 IN, DISECT, CRV, DEL, SHRP/SHRP, NS, VITAL</t>
  </si>
  <si>
    <t>DISSECTING, CURVED, DELICATE, SHARP/SHARP, CUTTING EDGE</t>
  </si>
  <si>
    <t>http://www.lt-technologies.de/_ws/mediabase/_ts_1494230442000/Downloads/CardioCatalog_LIT12012_low-res.pdf, https://accessgudid.nlm.nih.gov/devices/10885403024573</t>
  </si>
  <si>
    <t>CH2007002</t>
  </si>
  <si>
    <t>CH2007-002</t>
  </si>
  <si>
    <t>BD_CH2007002</t>
  </si>
  <si>
    <t>VITAL METZ SCISSOR DEL STR SH/SH 9-1/4IN</t>
  </si>
  <si>
    <t>PRODIGO1056753</t>
  </si>
  <si>
    <t>SCISSOR, SURGICAL, METZENBAUM, 9.25 IN, DISSECTING, STRAIGHT, DELICATE, SHARP/SHARP, CUTTING EDGE, STELLITE, NON STERILE, VITAL, LATEX</t>
  </si>
  <si>
    <t>SCISSOR, SURG, METZ, 9.25 IN, DISECT, STR, DEL, SHARP/SHARP, CUT EDGE, STELLITE, NS, VITAL, LTX</t>
  </si>
  <si>
    <t>SCISSOR, SURG, METZ, 9.25 IN, DISECT, STR, DEL, SHRP/SHRP, NS, VITAL</t>
  </si>
  <si>
    <t>DISSECTING, STRAIGHT, DELICATE, SHARP/SHARP, CUTTING EDGE</t>
  </si>
  <si>
    <t>http://www.lt-technologies.de/_ws/mediabase/_ts_1494230442000/Downloads/CardioCatalog_LIT12012_low-res.pdf, https://accessgudid.nlm.nih.gov/devices/10885403024603</t>
  </si>
  <si>
    <t>CH2008</t>
  </si>
  <si>
    <t>BD_CH2008</t>
  </si>
  <si>
    <t>VITAL METZ SCISSORS CVD BL/BL 12IN</t>
  </si>
  <si>
    <t>PRODIGO1056754</t>
  </si>
  <si>
    <t>SCISSOR, SURGICAL, METZENBAUM, 12 IN, DISSECTING, CURVED, BLUNT/BLUNT, CUTTING EDGE, TUNGSTEN CARBIDE, STELLITE, NON STERILE, VITAL, LATEX</t>
  </si>
  <si>
    <t>SCISSOR, SURG, METZ, 12 IN, DISECT, CRV, BLNT/BLNT, CUT EDGE, TUNGSTEN CARBIDE, STELLITE, NS, VITAL, LTX</t>
  </si>
  <si>
    <t>SCISSOR, SURG, METZ, 12 IN, DISECT, CRV, BLNT/BLNT, CUT EDGE, VITAL</t>
  </si>
  <si>
    <t>http://www.lt-technologies.de/_ws/mediabase/_ts_1494230442000/Downloads/CardioCatalog_LIT12012_low-res.pdf, https://accessgudid.nlm.nih.gov/devices/10885403024610</t>
  </si>
  <si>
    <t>CH2006001</t>
  </si>
  <si>
    <t>CH2006-001</t>
  </si>
  <si>
    <t>BD_CH2006001</t>
  </si>
  <si>
    <t>VITAL METZ SCISSORS DEL CVD BL/BL 9IN</t>
  </si>
  <si>
    <t>PRODIGO1056750</t>
  </si>
  <si>
    <t>SCISSOR, SURGICAL, METZENBAUM, 9 IN, DISSECTING, CURVED, DELICATE, BLUNT/BLUNT, CUTTING EDGE, STELLITE, NON STERILE, VITAL, LATEX</t>
  </si>
  <si>
    <t>SCISSOR, SURG, METZ, 9 IN, DISECT, CRV, DEL, BLNT/BLNT, CUT EDGE, STELLITE, NS, VITAL, LTX</t>
  </si>
  <si>
    <t>SCISSOR, SURG, METZ, 9 IN, DISECT, CRV, DEL, BLNT/BLNT, NS, VITAL, LTX</t>
  </si>
  <si>
    <t>DISSECTING, CURVED, DELICATE, BLUNT/BLUNT, CUTTING EDGE</t>
  </si>
  <si>
    <t>http://www.lt-technologies.de/_ws/mediabase/_ts_1494230442000/Downloads/CardioCatalog_LIT12012_low-res.pdf, https://accessgudid.nlm.nih.gov/devices/10885403024566</t>
  </si>
  <si>
    <t>CH2007001</t>
  </si>
  <si>
    <t>CH2007-001</t>
  </si>
  <si>
    <t>BD_CH2007001</t>
  </si>
  <si>
    <t>VITAL METZ SCISSORS DEL STR BL/BL 9-1/4</t>
  </si>
  <si>
    <t>PRODIGO1056752</t>
  </si>
  <si>
    <t>SCISSOR, SURGICAL, METZENBAUM, 9.25 IN, DISSECTING, STRAIGHT, DELICATE, BLUNT/BLUNT, CUTTING EDGE, STELLITE, NON STERILE, VITAL, LATEX</t>
  </si>
  <si>
    <t>SCISSOR, SURG, METZ, 9.25 IN, DISECT, STR, DEL, BLNT/BLNT, CUT EDGE, STELLITE, NS, VITAL, LTX</t>
  </si>
  <si>
    <t>SCISSOR, SURG, METZ, 9.25 IN, DISECT, STR, DEL, BLNT/BLNT, NS, VITAL</t>
  </si>
  <si>
    <t>DISSECTING, STRAIGHT, DELICATE, BLUNT/BLUNT, CUTTING EDGE</t>
  </si>
  <si>
    <t>http://www.lt-technologies.de/_ws/mediabase/_ts_1494230442000/Downloads/CardioCatalog_LIT12012_low-res.pdf, https://accessgudid.nlm.nih.gov/devices/10885403024597</t>
  </si>
  <si>
    <t>NL1457</t>
  </si>
  <si>
    <t>BD_NL1457</t>
  </si>
  <si>
    <t>VITAL MICRO GERALD FORCEPS OVER LGTH 7IN</t>
  </si>
  <si>
    <t>PRODIGO1058091</t>
  </si>
  <si>
    <t>VITAL MICRO GERALD FORCEPS FINE TIPS TAPERED TO 1MM WIDE. OVERALL LENGTH 7IN 17.8CM</t>
  </si>
  <si>
    <t>FORCEP, SURGICAL, GERALD, MICRO, 1 MM, 7 IN, FINE TIP TAPERED, NON STERILE, LATEX</t>
  </si>
  <si>
    <t>FORCEP SURGICAL GERALD MICRO 1 MM 7 IN FINE TIP TAPERED NON STERILE LATEX</t>
  </si>
  <si>
    <t>FORCEP, SURG, GERALD, MIC, 1 MM, 7 IN, FN TIP TAPR, NS, LTX</t>
  </si>
  <si>
    <t>FINE TIP TAPERED</t>
  </si>
  <si>
    <t>https://www.bd.com/en-us/products-and-solutions/products/product-page.nl1457#overview, https://accessgudid.nlm.nih.gov/devices/10885403071553</t>
  </si>
  <si>
    <t>CH2448</t>
  </si>
  <si>
    <t>BD_CH2448</t>
  </si>
  <si>
    <t>VITAL MICROSURG NDL HLDR CVD JAW 5-5/8IN</t>
  </si>
  <si>
    <t>PRODIGO1056798</t>
  </si>
  <si>
    <t>Vital Microsurgery Needle Holders</t>
  </si>
  <si>
    <t>HOLDER, NEEDLE, 5-5/8 IN, CURVED JAW, FLAT LOCK, SPRING HANDLE, SMOOTH INSERT, MICROSURGERY, TUNGSTEN CARBIDE INSERT, NON STERILE, VITAL, LATEX</t>
  </si>
  <si>
    <t>HOLDER, NDL, 5-5/8 IN, CRV JAW, FLAT LCK, SPRING HNDL, SMOOTH INSRT, MICROSURGERY, TUNGSTEN CARBIDE INSRT, NS, VITAL, LTX</t>
  </si>
  <si>
    <t>HOLDER, NDL, 5-5/8 IN, CRV JAW, FLAT LCK, SPRING HNDL, NS, VITAL</t>
  </si>
  <si>
    <t>CURVED JAW, FLAT LOCK, SPRING HANDLE, SMOOTH INSERT, MICROSURGERY, TUNGSTEN CARBIDE INSERT</t>
  </si>
  <si>
    <t>http://www.lt-technologies.de/_ws/mediabase/_ts_1494230442000/Downloads/CardioCatalog_LIT12012_low-res.pdf, https://accessgudid.nlm.nih.gov/devices/10885403025518</t>
  </si>
  <si>
    <t>CH2452</t>
  </si>
  <si>
    <t>BD_CH2452</t>
  </si>
  <si>
    <t>VITAL MICROSURG NDL HLDR STR JAW 5-3/4IN</t>
  </si>
  <si>
    <t>PRODIGO1056799</t>
  </si>
  <si>
    <t>HOLDER, NEEDLE, 5.75 IN, STRAIGHT JAW, FLAT LOCK, SPRING HANDLE, SMOOTH INSERT, MICROSURGERY, TUNGSTEN CARBIDE INSERT, NON STERILE, VITAL, LATEX</t>
  </si>
  <si>
    <t>HOLDER, NDL, 5.75 IN, STR JAW, FLAT LCK, SPRING HNDL, SMOOTH INSRT, MICROSURGERY, TUNGSTEN CARBIDE INSRT, NS, VITAL, LTX</t>
  </si>
  <si>
    <t>HOLDER, NDL, 5.75 IN, STR JAW, FLAT LCK, SPRING HNDL, NS, VITAL</t>
  </si>
  <si>
    <t>STRAIGHT JAW, FLAT LOCK, SPRING HANDLE, SMOOTH INSERT, MICROSURGERY, TUNGSTEN CARBIDE INSERT</t>
  </si>
  <si>
    <t>http://www.lt-technologies.de/_ws/mediabase/_ts_1494230442000/Downloads/CardioCatalog_LIT12012_low-res.pdf, https://accessgudid.nlm.nih.gov/devices/10885403025525</t>
  </si>
  <si>
    <t>CH2454</t>
  </si>
  <si>
    <t>BD_CH2454</t>
  </si>
  <si>
    <t>PRODIGO1056800</t>
  </si>
  <si>
    <t>HOLDER, NEEDLE, 5.75 IN, STRAIGHT JAW, WITHOUT LOCK, SPRING HANDLE, SMOOTH INSERT, MICROSURGERY, TUNGSTEN CARBIDE INSERT, NON STERILE, VITAL, LATEX</t>
  </si>
  <si>
    <t>HOLDER, NDL, 5.75 IN, STR JAW, W/O LCK, SPRING HNDL, SMOOTH INSRT, MICROSURGERY, TUNGSTEN CARBIDE INSRT, NS, VITAL, LTX</t>
  </si>
  <si>
    <t>HOLDER, NDL, 5.75 IN, STR JAW, W/O LCK, SPRING HNDL, NS, VITAL</t>
  </si>
  <si>
    <t>STRAIGHT JAW, WITHOUT LOCK, SPRING HANDLE, SMOOTH INSERT, MICROSURGERY, TUNGSTEN CARBIDE INSERT</t>
  </si>
  <si>
    <t>http://www.lt-technologies.de/_ws/mediabase/_ts_1494230442000/Downloads/CardioCatalog_LIT12012_low-res.pdf, https://accessgudid.nlm.nih.gov/devices/10885403026058</t>
  </si>
  <si>
    <t>CH2446</t>
  </si>
  <si>
    <t>BD_CH2446</t>
  </si>
  <si>
    <t>VITAL MICROVASCULAR NEEDLE HOLDER 10-1/4</t>
  </si>
  <si>
    <t>PRODIGO1056797</t>
  </si>
  <si>
    <t>Vital Microvascular Needle Holders</t>
  </si>
  <si>
    <t>HOLDER, NEEDLE, 10.25 IN, MICROVASCULAR, STRAIGHT JAW, SERRATED, TUNGSTEN CARBIDE INSERT, NON STERILE, VITAL, LATEX</t>
  </si>
  <si>
    <t>HOLDER, NDL, 10.25 IN, MICROVASCULAR, STR JAW, SERRATED, TUNGSTEN CARBIDE INSRT, NS, VITAL, LTX</t>
  </si>
  <si>
    <t>HOLDER, NDL, 10.25 IN, MICROVASCULAR, STR JAW, SERRATED, NS, VITAL</t>
  </si>
  <si>
    <t>STRAIGHT JAW, SERRATED, TUNGSTEN CARBIDE INSERT</t>
  </si>
  <si>
    <t>http://www.lt-technologies.de/_ws/mediabase/_ts_1494230442000/Downloads/CardioCatalog_LIT12012_low-res.pdf, https://accessgudid.nlm.nih.gov/devices/10885403025501</t>
  </si>
  <si>
    <t>CH2443</t>
  </si>
  <si>
    <t>BD_CH2443</t>
  </si>
  <si>
    <t>VITAL MICROVASCULAR NEEDLE HOLDER 7-1/8</t>
  </si>
  <si>
    <t>PRODIGO1056794</t>
  </si>
  <si>
    <t>HOLDER, NEEDLE, 7-1/8 IN, MICROVASCULAR, STRAIGHT JAW, SERRATED, TUNGSTEN CARBIDE INSERT, NON STERILE, VITAL, LATEX</t>
  </si>
  <si>
    <t>HOLDER, NDL, 7-1/8 IN, MICROVASCULAR, STR JAW, SERRATED, TUNGSTEN CARBIDE INSRT, NS, VITAL, LTX</t>
  </si>
  <si>
    <t>HOLDER, NDL, 7-1/8 IN, MICROVASCULAR, STR JAW, SERRATED, NS, VITAL</t>
  </si>
  <si>
    <t>http://www.lt-technologies.de/_ws/mediabase/_ts_1494230442000/Downloads/CardioCatalog_LIT12012_low-res.pdf, https://accessgudid.nlm.nih.gov/devices/10885403025471</t>
  </si>
  <si>
    <t>CH2444</t>
  </si>
  <si>
    <t>BD_CH2444</t>
  </si>
  <si>
    <t>VITAL MICROVASCULAR NEEDLE HOLDER 8IN</t>
  </si>
  <si>
    <t>PRODIGO1056795</t>
  </si>
  <si>
    <t>HOLDER, NEEDLE, 8 IN, MICROVASCULAR, STRAIGHT JAW, SERRATED, TUNGSTEN CARBIDE INSERT, NON STERILE, VITAL, LATEX</t>
  </si>
  <si>
    <t>HOLDER, NDL, 8 IN, MICROVASCULAR, STR JAW, SERRATED, TUNGSTEN CARBIDE INSRT, NS, VITAL, LTX</t>
  </si>
  <si>
    <t>HOLDER, NDL, 8 IN, MICROVASCULAR, STR JAW, SERRATED, NS, VITAL</t>
  </si>
  <si>
    <t>http://www.lt-technologies.de/_ws/mediabase/_ts_1494230442000/Downloads/CardioCatalog_LIT12012_low-res.pdf, https://accessgudid.nlm.nih.gov/devices/10885403025488</t>
  </si>
  <si>
    <t>CH2445</t>
  </si>
  <si>
    <t>BD_CH2445</t>
  </si>
  <si>
    <t>VITAL MICROVASCULAR NEEDLE HOLDER 9IN</t>
  </si>
  <si>
    <t>PRODIGO1056796</t>
  </si>
  <si>
    <t>HOLDER, NEEDLE, 9 IN, MICROVASCULAR, STRAIGHT JAW, SERRATED, TUNGSTEN CARBIDE INSERT, NON STERILE, VITAL, LATEX</t>
  </si>
  <si>
    <t>HOLDER, NDL, 9 IN, MICROVASCULAR, STR JAW, SERRATED, TUNGSTEN CARBIDE INSRT, NS, VITAL, LTX</t>
  </si>
  <si>
    <t>HOLDER, NDL, 9 IN, MICROVASCULAR, STR JAW, SERRATED, NS, VITAL</t>
  </si>
  <si>
    <t>http://www.lt-technologies.de/_ws/mediabase/_ts_1494230442000/Downloads/CardioCatalog_LIT12012_low-res.pdf, https://accessgudid.nlm.nih.gov/devices/10885403025495</t>
  </si>
  <si>
    <t>CH8766</t>
  </si>
  <si>
    <t>BD_CH8766</t>
  </si>
  <si>
    <t>VITAL MILLS VASCULR NDL HLDR CVD JAW 8IN</t>
  </si>
  <si>
    <t>PRODIGO1057271</t>
  </si>
  <si>
    <t>Vital® MILLS Vascular Needle Holders CURVED</t>
  </si>
  <si>
    <t>HOLDER, NEEDLE, MILLS, 8 IN, VASCULAR, CURVED, ROUND BARRAQUER HANDLE, SPRING HANDLE, FLAT LOCK, SMOOTH TUNGSTEN CARBIDE INSERT, NON STERILE, VITAL, LATEX</t>
  </si>
  <si>
    <t>HOLDER, NDL, MILL, 8 IN, VASC, CRV, RND BARRQR HNDL, SPRING HNDL, FLAT LCK, SMOOTH TUNGSTEN CARBIDE INSRT, NS, VITAL, LTX</t>
  </si>
  <si>
    <t>HOLDER, NDL, MILL, 8 IN, VASC, CRV, RND BARRQR HNDL, FLAT LCK, VITAL</t>
  </si>
  <si>
    <t>CURVED, ROUND BARRAQUER HANDLE, SPRING HANDLE, FLAT LOCK, SMOOTH TUNGSTEN CARBIDE INSERT</t>
  </si>
  <si>
    <t>https://www.hces.com.sg/wp-content/uploads/2021/04/Cardiovascular-Pages-from-vmueller-snowdenpencer-armamentarium-catalogue-4.pdf, https://accessgudid.nlm.nih.gov/devices/10885403035739</t>
  </si>
  <si>
    <t>CH2020001</t>
  </si>
  <si>
    <t>CH2020-001</t>
  </si>
  <si>
    <t>BD_CH2020001</t>
  </si>
  <si>
    <t>VITAL NELSON DISSECT SCISSOR CVD DEL B/B</t>
  </si>
  <si>
    <t>PRODIGO1056757</t>
  </si>
  <si>
    <t>Vital NELSON Dissecting Scissors</t>
  </si>
  <si>
    <t>SCISSOR, SURGICAL, NELSON, 11 IN, DISSECTING, CURVED, DELICATE, BLUNT/BLUNT, CUTTING EDGE, STELLITE, NON STERILE, VITAL, LATEX</t>
  </si>
  <si>
    <t>SCISSOR, SURG, NELSON, 11 IN, DISECT, CRV, DEL, BLNT/BLNT, CUT EDGE, STELLITE, NS, VITAL, LTX</t>
  </si>
  <si>
    <t>SCISSOR, SURG, NELSON, 11 IN, DISECT, CRV, DEL, BLNT/BLNT, NS, VITAL</t>
  </si>
  <si>
    <t>http://www.lt-technologies.de/_ws/mediabase/_ts_1494230442000/Downloads/CardioCatalog_LIT12012_low-res.pdf, https://accessgudid.nlm.nih.gov/devices/10885403024665</t>
  </si>
  <si>
    <t>CH2020</t>
  </si>
  <si>
    <t>BD_CH2020</t>
  </si>
  <si>
    <t>VITAL NELSON DISSECT SCISSOR CVD REG B/B</t>
  </si>
  <si>
    <t>PRODIGO1056756</t>
  </si>
  <si>
    <t>SCISSOR, SURGICAL, NELSON, 11 IN, DISSECTING, CURVED, REGULAR, BLUNT/BLUNT, CUTTING EDGE, STELLITE, NON STERILE, VITAL, LATEX</t>
  </si>
  <si>
    <t>SCISSOR, SURG, NELSON, 11 IN, DISECT, CRV, REG, BLNT/BLNT, CUT EDGE, STELLITE, NS, VITAL, LTX</t>
  </si>
  <si>
    <t>SCISSOR, SURG, NELSON, 11 IN, DISECT, CRV, REG, BLNT/BLNT, NS, VITAL</t>
  </si>
  <si>
    <t>DISSECTING, CURVED, REGULAR, BLUNT/BLUNT, CUTTING EDGE</t>
  </si>
  <si>
    <t>http://www.lt-technologies.de/_ws/mediabase/_ts_1494230442000/Downloads/CardioCatalog_LIT12012_low-res.pdf, https://accessgudid.nlm.nih.gov/devices/10885403024658</t>
  </si>
  <si>
    <t>CH5179</t>
  </si>
  <si>
    <t>BD_CH5179</t>
  </si>
  <si>
    <t>VITAL POTTS-SMITH FORCEPS DEL TUNGS-CARB</t>
  </si>
  <si>
    <t>PRODIGO1056859</t>
  </si>
  <si>
    <t>Vital Potts Smith forceps Delicate Tungsten carbide inserts 3,600 teeth per square inch Overall length 10-1/4in</t>
  </si>
  <si>
    <t>FORCEP, SURGICAL, POTTS-SMITH, 10.25 IN, CROSS SERRATED, DELICATE, SPRING HANDLE, TUNGSTEN CARBIDE INSERT, SATIN, MATTE FINISH, TISSUE, NON STERILE, VITAL, LATEX</t>
  </si>
  <si>
    <t>FORCEP, SURG, POTT SMITH, 10.25 IN, CROSS SERRATED, DEL, SPRING HNDL, TUNGSTEN CARBIDE INSRT, SATIN, MATTE FINISH, TISS, NS, VITAL, LTX</t>
  </si>
  <si>
    <t>FORCEP, SURG, POTT SMITH, 10.25 IN, CROSS SERRATED, TISS, NS, VITAL</t>
  </si>
  <si>
    <t>CROSS SERRATED, DELICATE, SPRING HANDLE, TUNGSTEN CARBIDE INSERT, SATIN, MATTE FINISH</t>
  </si>
  <si>
    <t>https://www.bd.com/en-us/products-and-solutions/products/product-page.CH5179#specifications, https://accessgudid.nlm.nih.gov/devices/10885403027628</t>
  </si>
  <si>
    <t>CH5175</t>
  </si>
  <si>
    <t>BD_CH5175</t>
  </si>
  <si>
    <t>VITAL POTTS-SMITH TISS FORCEP X-SERR JAW</t>
  </si>
  <si>
    <t>PRODIGO1056855</t>
  </si>
  <si>
    <t>Vital Potts Smith forceps Delicate Tungsten carbide inserts 3,600 teeth per square inch Overall length 9in</t>
  </si>
  <si>
    <t>FORCEP, SURGICAL, POTTS-SMITH, 9 IN, CROSS SERRATED, DELICATE, SPRING HANDLE, TUNGSTEN CARBIDE INSERT, SATIN, MATTE FINISH, TISSUE, GOLD COATED, STAINLESS STEEL, STELLITE, NON STERILE, VITAL, LATEX</t>
  </si>
  <si>
    <t>FORCEP, SURG, POTT SMITH, 9 IN, CROSS SERRATED, DEL, SPRING HNDL, TUNGSTEN CARBIDE INSRT, SATIN, MATTE FINISH, TISS, GLD COAT, SS, STELLITE, NS, VITAL, LTX</t>
  </si>
  <si>
    <t>FORCEP, SURG, POTT SMITH, 9 IN, CROSS SERRATED, DEL, TISS, SS, VITAL</t>
  </si>
  <si>
    <t>https://www.bd.com/en-us/products-and-solutions/products/product-page.CH5175#specifications, https://accessgudid.nlm.nih.gov/devices/10885403027536</t>
  </si>
  <si>
    <t>CH5176</t>
  </si>
  <si>
    <t>BD_CH5176</t>
  </si>
  <si>
    <t>PRODIGO1056856</t>
  </si>
  <si>
    <t>Vital Potts Smith forceps Delicate Tungsten carbide inserts 3,600 teeth per square inch Overall length 7in</t>
  </si>
  <si>
    <t>FORCEP, SURGICAL, POTTS-SMITH, 7 IN, CROSS SERRATED, DELICATE, SPRING HANDLE, TUNGSTEN CARBIDE INSERT, SATIN, MATTE FINISH, TISSUE, GOLD COATED, STAINLESS STEEL, STELLITE, NON STERILE, VITAL, LATEX</t>
  </si>
  <si>
    <t>FORCEP, SURG, POTT SMITH, 7 IN, CROSS SERRATED, DEL, SPRING HNDL, TUNGSTEN CARBIDE INSRT, SATIN, MATTE FINISH, TISS, GLD COAT, SS, STELLITE, NS, VITAL, LTX</t>
  </si>
  <si>
    <t>FORCEP, SURG, POTT SMITH, 7 IN, CROSS SERRATED, DEL, TISS, SS, VITAL</t>
  </si>
  <si>
    <t>https://www.bd.com/en-us/products-and-solutions/products/product-page.CH5176#specifications, https://accessgudid.nlm.nih.gov/devices/10885403027550</t>
  </si>
  <si>
    <t>CH5177</t>
  </si>
  <si>
    <t>BD_CH5177</t>
  </si>
  <si>
    <t>PRODIGO1056857</t>
  </si>
  <si>
    <t>Vital Potts Smith forceps Delicate Tungsten carbide inserts 3,600 teeth per square inch Overall length 8in</t>
  </si>
  <si>
    <t>FORCEP, SURGICAL, POTTS-SMITH, 8 IN, CROSS SERRATED, DELICATE, SPRING HANDLE, TUNGSTEN CARBIDE INSERT, SATIN, MATTE FINISH, TISSUE, GOLD COATED, STAINLESS STEEL, STELLITE, NON STERILE, VITAL, LATEX</t>
  </si>
  <si>
    <t>FORCEP, SURG, POTT SMITH, 8 IN, CROSS SERRATED, DEL, SPRING HNDL, TUNGSTEN CARBIDE INSRT, SATIN, MATTE FINISH, TISS, GLD COAT, SS, STELLITE, NS, VITAL, LTX</t>
  </si>
  <si>
    <t>FORCEP, SURG, POTT SMITH, 8 IN, CROSS SERRATED, DEL, TISS, SS, VITAL</t>
  </si>
  <si>
    <t>https://www.bd.com/en-us/products-and-solutions/products/product-page.CH5177#specifications, https://accessgudid.nlm.nih.gov/devices/10885403027604</t>
  </si>
  <si>
    <t>CH5178</t>
  </si>
  <si>
    <t>BD_CH5178</t>
  </si>
  <si>
    <t>PRODIGO1056858</t>
  </si>
  <si>
    <t>Vital Potts Smith forceps Delicate Tungsten carbide inserts 3,600 teeth per square inch Overall length 9-1/2in</t>
  </si>
  <si>
    <t>FORCEP, SURGICAL, POTTS-SMITH, 9.5 IN, CROSS SERRATED, DELICATE, SPRING HANDLE, TUNGSTEN CARBIDE INSERT, SATIN, MATTE FINISH, TISSUE, GOLD COATED, STAINLESS STEEL, STELLITE, NON STERILE, VITAL, LATEX</t>
  </si>
  <si>
    <t>FORCEP, SURG, POTT SMITH, 9.5 IN, CROSS SERRATED, DEL, SPRING HNDL, TUNGSTEN CARBIDE INSRT, SATIN, MATTE FINISH, TISS, GLD COAT, SS, STELLITE, NS, VITAL, LTX</t>
  </si>
  <si>
    <t>FORCEP, SURG, POTT SMITH, 9.5 IN, CROSS SERRATED, DEL, TISS, VITAL</t>
  </si>
  <si>
    <t>https://www.bd.com/en-us/products-and-solutions/products/product-page.CH5178#specifications, https://accessgudid.nlm.nih.gov/devices/10885403027611</t>
  </si>
  <si>
    <t>CH2535</t>
  </si>
  <si>
    <t>BD_CH2535</t>
  </si>
  <si>
    <t>VITAL RUBIO WIRE TWISTER 3600 TEETH/SQIN</t>
  </si>
  <si>
    <t>PRODIGO1056809</t>
  </si>
  <si>
    <t>42292306  Surgical wire holding forceps or twisters</t>
  </si>
  <si>
    <t>Vital RUBIO Wire Twister</t>
  </si>
  <si>
    <t>TWISTER, WIRE, RUBIO, 5.25 IN, 3600 TEETH/SI, TUNGSTEN CARBIDE INSERT, NON STERILE, VITAL, LATEX</t>
  </si>
  <si>
    <t>TWISTER, WIRE, RUBIO, 5.25 IN, 3600 TEETH/SI, TUNGSTEN CARBIDE INSRT, NS, VITAL, LTX</t>
  </si>
  <si>
    <t>TWISTER, WIRE, RUBIO, 5.25 IN, 3600 TEETH/SI, CARBIDE INSRT, VITAL</t>
  </si>
  <si>
    <t>TWISTER</t>
  </si>
  <si>
    <t>RUBIO</t>
  </si>
  <si>
    <t>3600 TEETH/SI, TUNGSTEN CARBIDE INSERT</t>
  </si>
  <si>
    <t>http://www.lt-technologies.de/_ws/mediabase/_ts_1494230442000/Downloads/CardioCatalog_LIT12012_low-res.pdf, https://accessgudid.nlm.nih.gov/devices/10885403026324</t>
  </si>
  <si>
    <t>CH2509</t>
  </si>
  <si>
    <t>BD_CH2509</t>
  </si>
  <si>
    <t>VITAL RYDER NDL HLDR SERR INSERTS 8IN</t>
  </si>
  <si>
    <t>PRODIGO1056808</t>
  </si>
  <si>
    <t>Vital RYDER Needle Holders</t>
  </si>
  <si>
    <t>HOLDER, NEEDLE, RYDER, 8 IN, NARROW JAW, SERRATED TUNGSTEN CARBIDE INSERT, SATIN FINISH, GOLD PLATED, NON STERILE, VITAL, LATEX</t>
  </si>
  <si>
    <t>HOLDER, NDL, RYDER, 8 IN, NAR JAW, SERRATED TUNGSTEN CARBIDE INSRT, SATIN FINISH, GLD PLT, NS, VITAL, LTX</t>
  </si>
  <si>
    <t>HOLDER, NDL, RYDER, 8 IN, NAR JAW, SERRATED INSRT, GLD PLT, VITAL</t>
  </si>
  <si>
    <t>NARROW JAW, SERRATED TUNGSTEN CARBIDE INSERT, SATIN FINISH</t>
  </si>
  <si>
    <t>GOLD PLATED</t>
  </si>
  <si>
    <t>http://www.lt-technologies.de/_ws/mediabase/_ts_1494230442000/Downloads/CardioCatalog_LIT12012_low-res.pdf, https://accessgudid.nlm.nih.gov/devices/10885403026270</t>
  </si>
  <si>
    <t>CH2502</t>
  </si>
  <si>
    <t>BD_CH2502</t>
  </si>
  <si>
    <t>VITAL RYDER NDL HLDR SMOOTH INSERTS 7IN</t>
  </si>
  <si>
    <t>PRODIGO1056805</t>
  </si>
  <si>
    <t>HOLDER, NEEDLE, RYDER, 7 IN, NARROW JAW, SMOOTH TUNGSTEN CARBIDE INSERT, SATIN FINISH, GOLD PLATED, NON STERILE, VITAL, LATEX</t>
  </si>
  <si>
    <t>HOLDER, NDL, RYDER, 7 IN, NAR JAW, SMOOTH TUNGSTEN CARBIDE INSRT, SATIN FINISH, GLD PLT, NS, VITAL, LTX</t>
  </si>
  <si>
    <t>HOLDER, NDL, RYDER, 7 IN, NAR JAW, SATIN FINISH, GLD PLT, NS, VITAL</t>
  </si>
  <si>
    <t>NARROW JAW, SMOOTH TUNGSTEN CARBIDE INSERT, SATIN FINISH</t>
  </si>
  <si>
    <t>http://www.lt-technologies.de/_ws/mediabase/_ts_1494230442000/Downloads/CardioCatalog_LIT12012_low-res.pdf, https://accessgudid.nlm.nih.gov/devices/10885403026218</t>
  </si>
  <si>
    <t>CH2503</t>
  </si>
  <si>
    <t>BD_CH2503</t>
  </si>
  <si>
    <t>VITAL RYDER NDL HLDR SMOOTH INSERTS 8IN</t>
  </si>
  <si>
    <t>PRODIGO1056806</t>
  </si>
  <si>
    <t>HOLDER, NEEDLE, RYDER, 8 IN, NARROW JAW, SMOOTH TUNGSTEN CARBIDE INSERT, SATIN FINISH, GOLD PLATED, NON STERILE, VITAL, LATEX</t>
  </si>
  <si>
    <t>HOLDER, NDL, RYDER, 8 IN, NAR JAW, SMOOTH TUNGSTEN CARBIDE INSRT, SATIN FINISH, GLD PLT, NS, VITAL, LTX</t>
  </si>
  <si>
    <t>HOLDER, NDL, RYDER, 8 IN, NAR JAW, SMOOTH INSRT, GLD PLT, NS, VITAL</t>
  </si>
  <si>
    <t>http://www.lt-technologies.de/_ws/mediabase/_ts_1494230442000/Downloads/CardioCatalog_LIT12012_low-res.pdf, https://accessgudid.nlm.nih.gov/devices/10885403026225</t>
  </si>
  <si>
    <t>CH2504</t>
  </si>
  <si>
    <t>BD_CH2504</t>
  </si>
  <si>
    <t>VITAL RYDER NDL HLDR SMOOTH INSERTS 9IN</t>
  </si>
  <si>
    <t>PRODIGO1056807</t>
  </si>
  <si>
    <t>HOLDER, NEEDLE, RYDER, 9 IN, NARROW JAW, SMOOTH TUNGSTEN CARBIDE INSERT, SATIN FINISH, GOLD PLATED, NON STERILE, VITAL, LATEX</t>
  </si>
  <si>
    <t>HOLDER, NDL, RYDER, 9 IN, NAR JAW, SMOOTH TUNGSTEN CARBIDE INSRT, SATIN FINISH, GLD PLT, NS, VITAL, LTX</t>
  </si>
  <si>
    <t>HOLDER, NDL, RYDER, 9 IN, NAR JAW, SATIN FINISH, GLD PLT, NS, VITAL</t>
  </si>
  <si>
    <t>http://www.lt-technologies.de/_ws/mediabase/_ts_1494230442000/Downloads/CardioCatalog_LIT12012_low-res.pdf, https://accessgudid.nlm.nih.gov/devices/10885403026232</t>
  </si>
  <si>
    <t>CH2411</t>
  </si>
  <si>
    <t>BD_CH2411</t>
  </si>
  <si>
    <t>VITAL SAROT NEEDLE HOLDER STR 10-3/8IN</t>
  </si>
  <si>
    <t>PRODIGO1056783</t>
  </si>
  <si>
    <t>VITAL Needle Holder</t>
  </si>
  <si>
    <t>HOLDER, NEEDLE, SAROT, 10-3/8 IN, STRAIGHT JAW, INDENTED SHANK, NON STERILE, VITAL, LATEX</t>
  </si>
  <si>
    <t>HOLDER, NDL, SAROT, 10-3/8 IN, STR JAW, INDENTED SHANK, NS, VITAL, LTX</t>
  </si>
  <si>
    <t>HOLDER, NDL, SAROT, 10-3/8 IN, STR JAW, INDENTED SHANK, VITAL, LTX</t>
  </si>
  <si>
    <t>http://www.lt-technologies.de/_ws/mediabase/_ts_1494230442000/Downloads/CardioCatalog_LIT12012_low-res.pdf, https://accessgudid.nlm.nih.gov/devices/10885403025259</t>
  </si>
  <si>
    <t>GL3450001</t>
  </si>
  <si>
    <t>GL3450-001</t>
  </si>
  <si>
    <t>BD_GL3450001</t>
  </si>
  <si>
    <t>VITAL SCISS CVD BLADES</t>
  </si>
  <si>
    <t>PRODIGO1057464</t>
  </si>
  <si>
    <t>Vital uterine scissors Strongly curved blades. Overall length 9in (23cm).</t>
  </si>
  <si>
    <t>SCISSOR, SURGICAL, 9 IN, CUTTING BLADE, STRONGLY CURVED BLADE, DOUBLE ACTION, GOLD PLATED, SATIN FINISH, RING HANDLE, GOLD COATED, STAINLESS STEEL, STELLITE, NON STERILE, LATEX</t>
  </si>
  <si>
    <t>SCISSOR, SURG, 9 IN, CUT BLADE, STRONGLY CRV BLADE, DBL ACT, GLD PLT, SATIN FINISH, RNG HNDL, GLD COAT, SS, STELLITE, NS, LTX</t>
  </si>
  <si>
    <t>SCISSOR, SURG, 9 IN, CUT BLADE, STRONGLY CRV BLADE, DBL ACT</t>
  </si>
  <si>
    <t>CUTTING BLADE, STRONGLY CURVED BLADE, DOUBLE ACTION, GOLD PLATED, SATIN FINISH, RING HANDLE</t>
  </si>
  <si>
    <t>https://www.bd.com/en-us/products-and-solutions/products/product-page.GL3450-001#overview, https://accessgudid.nlm.nih.gov/devices/10885403045691</t>
  </si>
  <si>
    <t>GL3450</t>
  </si>
  <si>
    <t>BD_GL3450</t>
  </si>
  <si>
    <t>VITAL SCISS SLIGHTLY CVD BLADES</t>
  </si>
  <si>
    <t>PRODIGO1057463</t>
  </si>
  <si>
    <t>Vital uterine scissors Slightly curved blades. Overall length 9in (23cm).</t>
  </si>
  <si>
    <t>SCISSOR, SURGICAL, 9 IN, CUTTING EDGE, SLIGHTLY CURVED BLADE, DOUBLE ACTION, GOLD PLATED, SATIN FINISH, RING HANDLE, GOLD COATED, STAINLESS STEEL, STELLITE, NON STERILE, LATEX</t>
  </si>
  <si>
    <t>SCISSOR, SURG, 9 IN, CUT EDGE, SLIGHTLY CRV BLADE, DBL ACT, GLD PLT, SATIN FINISH, RNG HNDL, GLD COAT, SS, STELLITE, NS, LTX</t>
  </si>
  <si>
    <t>SCISSOR, SURG, 9 IN, CUT EDGE, SLIGHTLY CRV BLADE, DBL ACT</t>
  </si>
  <si>
    <t>CUTTING EDGE, SLIGHTLY CURVED BLADE, DOUBLE ACTION, GOLD PLATED, SATIN FINISH, RING HANDLE</t>
  </si>
  <si>
    <t>https://www.bd.com/en-us/products-and-solutions/products/product-page.GL3450#overview, https://accessgudid.nlm.nih.gov/devices/10885403045684</t>
  </si>
  <si>
    <t>GL3454</t>
  </si>
  <si>
    <t>BD_GL3454</t>
  </si>
  <si>
    <t>PRODIGO1057465</t>
  </si>
  <si>
    <t>Vital uterine scissors Slightly curved blades. Overall length 12-5/8 in(32cm).</t>
  </si>
  <si>
    <t>SCISSOR, SURGICAL, 12-5/8 IN, CUTTING EDGE, SLIGHTLY CURVED BLADE, DOUBLE ACTION, GOLD PLATED, SATIN FINISH, RING HANDLE, GOLD COATED, STAINLESS STEEL, STELLITE, NON STERILE, LATEX</t>
  </si>
  <si>
    <t>SCISSOR, SURG, 12-5/8 IN, CUT EDGE, SLIGHTLY CRV BLADE, DBL ACT, GLD PLT, SATIN FINISH, RNG HNDL, GLD COAT, SS, STELLITE, NS, LTX</t>
  </si>
  <si>
    <t>SCISSOR, SURG, 12-5/8 IN, CUT EDGE, SLIGHTLY CRV BLADE, DBL ACT</t>
  </si>
  <si>
    <t>12-5/8 IN</t>
  </si>
  <si>
    <t>https://www.bd.com/en-us/products-and-solutions/products/product-page.GL3454#overview, https://accessgudid.nlm.nih.gov/devices/10885403045745</t>
  </si>
  <si>
    <t>GL3456</t>
  </si>
  <si>
    <t>BD_GL3456</t>
  </si>
  <si>
    <t>PRODIGO1057466</t>
  </si>
  <si>
    <t>Vital uterine scissors Slightly curved blades. Overall length 14-1/8 in(36cm).</t>
  </si>
  <si>
    <t>SCISSOR, SURGICAL, 14-1/8 IN, CUTTING EDGE, SLIGHTLY CURVED BLADE, GOLD PLATED, SATIN FINISH, RING HANDLE, GOLD COATED, STAINLESS STEEL, STELLITE, NON STERILE, LATEX</t>
  </si>
  <si>
    <t>SCISSOR, SURG, 14-1/8 IN, CUT EDGE, SLIGHTLY CRV BLADE, GLD PLT, SATIN FINISH, RNG HNDL, GLD COAT, SS, STELLITE, NS, LTX</t>
  </si>
  <si>
    <t>SCISSOR, SURG, 14-1/8 IN, CUT EDGE, SLIGHTLY CRV BLADE, GLD PLT</t>
  </si>
  <si>
    <t>14-1/8 IN</t>
  </si>
  <si>
    <t>CUTTING EDGE, SLIGHTLY CURVED BLADE, GOLD PLATED, SATIN FINISH, RING HANDLE</t>
  </si>
  <si>
    <t>https://www.bd.com/en-us/products-and-solutions/products/product-page.GL3456#overview, https://accessgudid.nlm.nih.gov/devices/10885403045769</t>
  </si>
  <si>
    <t>CH8800</t>
  </si>
  <si>
    <t>BD_CH8800</t>
  </si>
  <si>
    <t>VITAL SPENCER CORONARY NEEDLE HOLDER 7IN</t>
  </si>
  <si>
    <t>PRODIGO1057274</t>
  </si>
  <si>
    <t>Vital® SPENCER Cardiovascular Needle Holder 7IN</t>
  </si>
  <si>
    <t>HOLDER, NEEDLE, SPENCER, 7 IN, CARDIOVASCULAR, CORONARY, SPRING HANDLE, FLAT LOCK, SMOOTH TUNGSTEN CARBIDE INSERT, NON STERILE, VITAL, LATEX</t>
  </si>
  <si>
    <t>HOLDER, NDL, SPENCER, 7 IN, CV, CORONARY, SPRING HNDL, FLAT LCK, SMOOTH TUNGSTEN CARBIDE INSRT, NS, VITAL, LTX</t>
  </si>
  <si>
    <t>HOLDER, NDL, SPENCER, 7 IN, CV, CORONARY, FLAT LCK, SMOOTH NS, VITAL</t>
  </si>
  <si>
    <t>SPENCER</t>
  </si>
  <si>
    <t>CARDIOVASCULAR, CORONARY</t>
  </si>
  <si>
    <t>SPRING HANDLE, FLAT LOCK, SMOOTH TUNGSTEN CARBIDE INSERT</t>
  </si>
  <si>
    <t>https://www.hces.com.sg/wp-content/uploads/2021/04/Cardiovascular-Pages-from-vmueller-snowdenpencer-armamentarium-catalogue-4.pdf, https://accessgudid.nlm.nih.gov/devices/10885403035777</t>
  </si>
  <si>
    <t>CH2433</t>
  </si>
  <si>
    <t>BD_CH2433</t>
  </si>
  <si>
    <t>VITAL WANGENSTEEN NEEDLE HOLDER 10-3/4IN</t>
  </si>
  <si>
    <t>PRODIGO1056791</t>
  </si>
  <si>
    <t>Vital WANGENSTEEN Needle Holder</t>
  </si>
  <si>
    <t>HOLDER, NEEDLE, WANGENSTEEN, 10.75 IN, STRAIGHT JAW, TUNGSTEN CARBIDE INSERT, NON STERILE, VITAL, LATEX</t>
  </si>
  <si>
    <t>HOLDER, NDL, WANGENSTEEN, 10.75 IN, STR JAW, TUNGSTEN CARBIDE INSRT, NS, VITAL, LTX</t>
  </si>
  <si>
    <t>HOLDER, NDL, WANGENSTEEN, 10.75 IN, STR JAW, CARBIDE INSRT, VITAL</t>
  </si>
  <si>
    <t>WANGENSTEEN</t>
  </si>
  <si>
    <t>http://www.lt-technologies.de/_ws/mediabase/_ts_1494230442000/Downloads/CardioCatalog_LIT12012_low-res.pdf, https://accessgudid.nlm.nih.gov/devices/10885403025426</t>
  </si>
  <si>
    <t>GU8820</t>
  </si>
  <si>
    <t>BD_GU8820</t>
  </si>
  <si>
    <t>WALTHER KIDNEY PEDICLE CLAMP DBL ANGLE</t>
  </si>
  <si>
    <t>PRODIGO1057651</t>
  </si>
  <si>
    <t>Walther kidney pedicle clamp Serrated jaws longitudinal ridge and groove. Overall length 9-3/4in (24.8cm).</t>
  </si>
  <si>
    <t>CLAMP, SURGICAL, WALTHER, 9.75 IN, KIDNEY, PEDICLE, SERRATED, DOUBLE ANGLED JAW, LONGITUDINAL RIDGE AND GROOVE, NON STERILE, LATEX</t>
  </si>
  <si>
    <t>CLAMP, SURG, WALTHER, 9.75 IN, KID, PEDCL, SERRATED, DBL ANGLED JAW, LONGITUDINAL RIDGE &amp; GRV, NS, LTX</t>
  </si>
  <si>
    <t>CLAMP, SURG, WALTHER, 9.75 IN, KID, PEDCL, SERRATED, DBL ANGLED JAW</t>
  </si>
  <si>
    <t>WALTHER</t>
  </si>
  <si>
    <t>SERRATED, DOUBLE ANGLED JAW, LONGITUDINAL RIDGE AND GROOVE</t>
  </si>
  <si>
    <t>https://www.bd.com/en-us/products-and-solutions/products/product-page.GU8820#overview, https://accessgudid.nlm.nih.gov/devices/10885403050947</t>
  </si>
  <si>
    <t>GU4030014</t>
  </si>
  <si>
    <t>GU4030-014</t>
  </si>
  <si>
    <t>BD_GU4030014</t>
  </si>
  <si>
    <t>WALTHER URETHRAL SOUNDS TAPER 14FR 9-1/2</t>
  </si>
  <si>
    <t>PRODIGO1057567</t>
  </si>
  <si>
    <t>Walther Urethral Sounds 14 Fr. Tapered smaller towards handle. Mirror finish. Overal length 9-1/2in (24cm).</t>
  </si>
  <si>
    <t>SOUND, SURGICAL, WALTHER, 14 FRX9.5 IN, TAPERED SMALLER TOWARDS HANDLE, MIRROR FINISH</t>
  </si>
  <si>
    <t>SOUND, SURG, WALTHER, 14 FRX9.5 IN, TAPR SMALLER TOWARDS HNDL, MIRROR FINISH</t>
  </si>
  <si>
    <t>SOUND, SURG, WALTHER, 14 FRX9.5 IN, TAPR SMALLER TOWARDS HNDL</t>
  </si>
  <si>
    <t>TAPERED SMALLER TOWARDS HANDLE, MIRROR FINISH</t>
  </si>
  <si>
    <t>https://www.bd.com/en-us/products-and-solutions/products/product-page.GU4030-014#overview</t>
  </si>
  <si>
    <t>GU4030016</t>
  </si>
  <si>
    <t>GU4030-016</t>
  </si>
  <si>
    <t>BD_GU4030016</t>
  </si>
  <si>
    <t>WALTHER URETHRAL SOUNDS TAPER 16FR 9-1/2</t>
  </si>
  <si>
    <t>PRODIGO1057568</t>
  </si>
  <si>
    <t>Walther Urethral Sounds 16 Fr. Tapered smaller towards handle. Mirror finish. Overal length 9-1/2in (24cm).</t>
  </si>
  <si>
    <t>SOUND, SURGICAL, WALTHER, 16 FRX9.5 IN, TAPERED SMALLER TOWARDS HANDLE, MIRROR FINISH</t>
  </si>
  <si>
    <t>SOUND, SURG, WALTHER, 16 FRX9.5 IN, TAPR SMALLER TOWARDS HNDL, MIRROR FINISH</t>
  </si>
  <si>
    <t>SOUND, SURG, WALTHER, 16 FRX9.5 IN, TAPR SMALLER TOWARDS HNDL</t>
  </si>
  <si>
    <t>https://www.bd.com/en-us/products-and-solutions/products/product-page.GU4030-016#overview</t>
  </si>
  <si>
    <t>GU4030018</t>
  </si>
  <si>
    <t>GU4030-018</t>
  </si>
  <si>
    <t>BD_GU4030018</t>
  </si>
  <si>
    <t>WALTHER URETHRAL SOUNDS TAPER 18FR 9-1/2</t>
  </si>
  <si>
    <t>PRODIGO1057569</t>
  </si>
  <si>
    <t>Walther Urethral Sounds 18 Fr. Tapered smaller towards handle. Mirror finish. Overal length 9-1/2in (24cm).</t>
  </si>
  <si>
    <t>SOUND, SURGICAL, WALTHER, 18 FRX9.5 IN, TAPERED SMALLER TOWARDS HANDLE, MIRROR FINISH</t>
  </si>
  <si>
    <t>SOUND, SURG, WALTHER, 18 FRX9.5 IN, TAPR SMALLER TOWARDS HNDL, MIRROR FINISH</t>
  </si>
  <si>
    <t>SOUND, SURG, WALTHER, 18 FRX9.5 IN, TAPR SMALLER TOWARDS HNDL</t>
  </si>
  <si>
    <t>https://www.bd.com/en-us/products-and-solutions/products/product-page.GU4030-018#overview</t>
  </si>
  <si>
    <t>GU4030020</t>
  </si>
  <si>
    <t>GU4030-020</t>
  </si>
  <si>
    <t>BD_GU4030020</t>
  </si>
  <si>
    <t>WALTHER URETHRAL SOUNDS TAPER 20FR 9-1/2</t>
  </si>
  <si>
    <t>PRODIGO1057570</t>
  </si>
  <si>
    <t>Walther Urethral Sounds 20 Fr. Tapered smaller towards handle. Mirror finish. Overal length 9-1/2in (24cm).</t>
  </si>
  <si>
    <t>SOUND, SURGICAL, WALTHER, 20 FRX9.5 IN, TAPERED SMALLER TOWARDS HANDLE, MIRROR FINISH</t>
  </si>
  <si>
    <t>SOUND, SURG, WALTHER, 20 FRX9.5 IN, TAPR SMALLER TOWARDS HNDL, MIRROR FINISH</t>
  </si>
  <si>
    <t>SOUND, SURG, WALTHER, 20 FRX9.5 IN, TAPR SMALLER TOWARDS HNDL</t>
  </si>
  <si>
    <t>https://www.bd.com/en-us/products-and-solutions/products/product-page.GU4030-020#overview</t>
  </si>
  <si>
    <t>GU4030022</t>
  </si>
  <si>
    <t>GU4030-022</t>
  </si>
  <si>
    <t>BD_GU4030022</t>
  </si>
  <si>
    <t>WALTHER URETHRAL SOUNDS TAPER 22FR 9-1/2</t>
  </si>
  <si>
    <t>PRODIGO1057571</t>
  </si>
  <si>
    <t>Walther Urethral Sounds 22 Fr. Tapered smaller towards handle. Mirror finish. Overal length 9-1/2in (24cm).</t>
  </si>
  <si>
    <t>SOUND, SURGICAL, WALTHER, 22 FRX9.5 IN, TAPERED SMALLER TOWARDS HANDLE, MIRROR FINISH</t>
  </si>
  <si>
    <t>SOUND, SURG, WALTHER, 22 FRX9.5 IN, TAPR SMALLER TOWARDS HNDL, MIRROR FINISH</t>
  </si>
  <si>
    <t>SOUND, SURG, WALTHER, 22 FRX9.5 IN, TAPR SMALLER TOWARDS HNDL</t>
  </si>
  <si>
    <t>https://www.bd.com/en-us/products-and-solutions/products/product-page.GU4030-022#overview</t>
  </si>
  <si>
    <t>GU4030024</t>
  </si>
  <si>
    <t>GU4030-024</t>
  </si>
  <si>
    <t>BD_GU4030024</t>
  </si>
  <si>
    <t>WALTHER URETHRAL SOUNDS TAPER 24FR 9-1/2</t>
  </si>
  <si>
    <t>PRODIGO1057572</t>
  </si>
  <si>
    <t>Walther Urethral Sounds 24 Fr. Tapered smaller towards handle. Mirror finish. Overal length 9-1/2in (24cm).</t>
  </si>
  <si>
    <t>SOUND, SURGICAL, WALTHER, 24 FRX9.5 IN, TAPERED SMALLER TOWARDS HANDLE, MIRROR FINISH</t>
  </si>
  <si>
    <t>SOUND, SURG, WALTHER, 24 FRX9.5 IN, TAPR SMALLER TOWARDS HNDL, MIRROR FINISH</t>
  </si>
  <si>
    <t>SOUND, SURG, WALTHER, 24 FRX9.5 IN, TAPR SMALLER TOWARDS HNDL</t>
  </si>
  <si>
    <t>https://www.bd.com/en-us/products-and-solutions/products/product-page.GU4030-024#overview</t>
  </si>
  <si>
    <t>GU4030026</t>
  </si>
  <si>
    <t>GU4030-026</t>
  </si>
  <si>
    <t>BD_GU4030026</t>
  </si>
  <si>
    <t>WALTHER URETHRAL SOUNDS TAPER 26FR 9-1/2</t>
  </si>
  <si>
    <t>PRODIGO1057573</t>
  </si>
  <si>
    <t>Walther Urethral Sounds 26 Fr. Tapered smaller towards handle. Mirror finish. Overal length 9-1/2in (24cm).</t>
  </si>
  <si>
    <t>SOUND, SURGICAL, WALTHER, 26 FRX9.5 IN, TAPERED SMALLER TOWARDS HANDLE, MIRROR FINISH</t>
  </si>
  <si>
    <t>SOUND, SURG, WALTHER, 26 FRX9.5 IN, TAPR SMALLER TOWARDS HNDL, MIRROR FINISH</t>
  </si>
  <si>
    <t>SOUND, SURG, WALTHER, 26 FRX9.5 IN, TAPR SMALLER TOWARDS HNDL</t>
  </si>
  <si>
    <t>https://www.bd.com/en-us/products-and-solutions/products/product-page.GU4030-026#overview</t>
  </si>
  <si>
    <t>GU4030028</t>
  </si>
  <si>
    <t>GU4030-028</t>
  </si>
  <si>
    <t>BD_GU4030028</t>
  </si>
  <si>
    <t>WALTHER URETHRAL SOUNDS TAPER 28FR 9-1/2</t>
  </si>
  <si>
    <t>PRODIGO1057574</t>
  </si>
  <si>
    <t>Walther Urethral Sounds 28 Fr. Tapered smaller towards handle. Mirror finish. Overal length 9-1/2in (24cm).</t>
  </si>
  <si>
    <t>SOUND, SURGICAL, WALTHER, 28 FRX9.5 IN, TAPERED SMALLER TOWARDS HANDLE, MIRROR FINISH</t>
  </si>
  <si>
    <t>SOUND, SURG, WALTHER, 28 FRX9.5 IN, TAPR SMALLER TOWARDS HNDL, MIRROR FINISH</t>
  </si>
  <si>
    <t>SOUND, SURG, WALTHER, 28 FRX9.5 IN, TAPR SMALLER TOWARDS HNDL</t>
  </si>
  <si>
    <t>https://www.bd.com/en-us/products-and-solutions/products/product-page.GU4030-028#overview</t>
  </si>
  <si>
    <t>GU4030030</t>
  </si>
  <si>
    <t>GU4030-030</t>
  </si>
  <si>
    <t>BD_GU4030030</t>
  </si>
  <si>
    <t>WALTHER URETHRAL SOUNDS TAPER 30FR 9-1/2</t>
  </si>
  <si>
    <t>PRODIGO1057575</t>
  </si>
  <si>
    <t>Walther Urethral Sounds 30 Fr. Tapered smaller towards handle. Mirror finish. Overal length 9-1/2in (24cm).</t>
  </si>
  <si>
    <t>SOUND, SURGICAL, WALTHER, 30 FRX9.5 IN, TAPERED SMALLER TOWARDS HANDLE, MIRROR FINISH</t>
  </si>
  <si>
    <t>SOUND, SURG, WALTHER, 30 FRX9.5 IN, TAPR SMALLER TOWARDS HNDL, MIRROR FINISH</t>
  </si>
  <si>
    <t>SOUND, SURG, WALTHER, 30 FRX9.5 IN, TAPR SMALLER TOWARDS HNDL</t>
  </si>
  <si>
    <t>https://www.bd.com/en-us/products-and-solutions/products/product-page.GU4030-030#overview</t>
  </si>
  <si>
    <t>CH2432</t>
  </si>
  <si>
    <t>BD_CH2432</t>
  </si>
  <si>
    <t>WANGENSTEEN NEEDLE HOLDER STR JAW 10-3/4</t>
  </si>
  <si>
    <t>PRODIGO1056790</t>
  </si>
  <si>
    <t>WANGENSTEEN Needle Holder</t>
  </si>
  <si>
    <t>HOLDER, NEEDLE, WANGENSTEEN, 10.75 IN, STRAIGHT JAW, NON STERILE, VITAL, LATEX</t>
  </si>
  <si>
    <t>HOLDER, NDL, WANGENSTEEN, 10.75 IN, STR JAW, NS, VITAL, LTX</t>
  </si>
  <si>
    <t>http://www.lt-technologies.de/_ws/mediabase/_ts_1494230442000/Downloads/CardioCatalog_LIT12012_low-res.pdf, https://accessgudid.nlm.nih.gov/devices/10885403025419</t>
  </si>
  <si>
    <t>LAT0536WDA</t>
  </si>
  <si>
    <t>LAT-0536-WDA</t>
  </si>
  <si>
    <t>BD_LAT0536WDA</t>
  </si>
  <si>
    <t>WAVY D/A INSERT 5MM 36CM</t>
  </si>
  <si>
    <t>PRODIGO1057809</t>
  </si>
  <si>
    <t>WAVY GRASPER WAVY D/A INSERT 5MM 36CM</t>
  </si>
  <si>
    <t>GRASPER, ENDOSCOPIC, WAVY, 5 MMX36 CM, DOUBLE ACTION INSERT, NON STERILE, LATEX</t>
  </si>
  <si>
    <t>GRASPER ENDOSCOPIC WAVY 5 MMX36 CM DOUBLE ACTION INSERT NON STERILE LATEX</t>
  </si>
  <si>
    <t>GRASPER, ENDOSCP, WAVY, 5 MMX36 CM, DBL ACT INSRT, NS, LTX</t>
  </si>
  <si>
    <t>WAVY</t>
  </si>
  <si>
    <t>https://www.bd.com/en-us/products-and-solutions/products/product-page.lat-0536-wda#specifications, https://accessgudid.nlm.nih.gov/devices/10885403431319</t>
  </si>
  <si>
    <t>LAT0545WDA</t>
  </si>
  <si>
    <t>LAT-0545-WDA</t>
  </si>
  <si>
    <t>BD_LAT0545WDA</t>
  </si>
  <si>
    <t>WAVY D/A INSERT 5MM 45CM</t>
  </si>
  <si>
    <t>PRODIGO1057831</t>
  </si>
  <si>
    <t>WAVY GRASPER WAVY D/A INSERT 5MM 45CM</t>
  </si>
  <si>
    <t>GRASPER, ENDOSCOPIC, WAVY, 5 MMX45 CM, DOUBLE ACTION INSERT, NON STERILE, LATEX</t>
  </si>
  <si>
    <t>GRASPER ENDOSCOPIC WAVY 5 MMX45 CM DOUBLE ACTION INSERT NON STERILE LATEX</t>
  </si>
  <si>
    <t>GRASPER, ENDOSCP, WAVY, 5 MMX45 CM, DBL ACT INSRT, NS, LTX</t>
  </si>
  <si>
    <t>https://www.bd.com/en-us/products-and-solutions/products/product-page.lat-0545-wda#specifications, https://accessgudid.nlm.nih.gov/devices/10885403431326</t>
  </si>
  <si>
    <t>LAT0536WSA</t>
  </si>
  <si>
    <t>LAT-0536-WSA</t>
  </si>
  <si>
    <t>BD_LAT0536WSA</t>
  </si>
  <si>
    <t>WAVY S/A INSERT 5MM 36CM</t>
  </si>
  <si>
    <t>PRODIGO1057810</t>
  </si>
  <si>
    <t>WAVY GRASPER WAVY S/A INSERT 5MM 36CM</t>
  </si>
  <si>
    <t>GRASPER, ENDOSCOPIC, WAVY, 5 MMX36 CM, SINGLE ACTION INSERT, NON STERILE, LATEX</t>
  </si>
  <si>
    <t>GRASPER ENDOSCOPIC WAVY 5 MMX36 CM SINGLE ACTION INSERT NON STERILE LATEX</t>
  </si>
  <si>
    <t>GRASPER, ENDOSCP, WAVY, 5 MMX36 CM, SINGLE ACT INSRT, NS, LTX</t>
  </si>
  <si>
    <t>https://www.bd.com/en-us/products-and-solutions/products/product-page.lat-0536-wsa#overview, https://accessgudid.nlm.nih.gov/devices/10885403431296</t>
  </si>
  <si>
    <t>LAT0545WSA</t>
  </si>
  <si>
    <t>LAT-0545-WSA</t>
  </si>
  <si>
    <t>BD_LAT0545WSA</t>
  </si>
  <si>
    <t>WAVY S/A INSERT 5MM 45CM</t>
  </si>
  <si>
    <t>PRODIGO1057832</t>
  </si>
  <si>
    <t>WAVY GRASPER WAVY S/A INSERT 5MM 45CM</t>
  </si>
  <si>
    <t>GRASPER, ENDOSCOPIC, WAVY, 5 MMX45 CM, SINGLE ACTION INSERT, NON STERILE, LATEX</t>
  </si>
  <si>
    <t>GRASPER ENDOSCOPIC WAVY 5 MMX45 CM SINGLE ACTION INSERT NON STERILE LATEX</t>
  </si>
  <si>
    <t>GRASPER, ENDOSCP, WAVY, 5 MMX45 CM, SINGLE ACT INSRT, NS, LTX</t>
  </si>
  <si>
    <t>https://www.bd.com/en-us/products-and-solutions/products/product-page.lat-0545-wsa#overview, https://accessgudid.nlm.nih.gov/devices/10885403431302</t>
  </si>
  <si>
    <t>NL3095</t>
  </si>
  <si>
    <t>BD_NL3095</t>
  </si>
  <si>
    <t>WEARY TYPE NERVE HOOK TIP DIA .9MM 7-3/4</t>
  </si>
  <si>
    <t>PRODIGO1058163</t>
  </si>
  <si>
    <t>42321607  Spinal hooks</t>
  </si>
  <si>
    <t>Weary-type nerve hook Tip diameter 0.9mm depth 3mm. Black finish. Overall length 7-3/4in (19.7cm)</t>
  </si>
  <si>
    <t>HOOK, SPINAL, WEARY TYPE, 7.75 IN, 0.9X3 MM, BLACK FINISH, NON STERILE, LATEX</t>
  </si>
  <si>
    <t>HOOK, SPNL, WEARY TYP, 7.75 IN, 0.9X3 MM, BLK FINISH, NS, LTX</t>
  </si>
  <si>
    <t>WEARY TYPE</t>
  </si>
  <si>
    <t>0.9X3 MM</t>
  </si>
  <si>
    <t>BLACK FINISH</t>
  </si>
  <si>
    <t>https://www.bd.com/en-us/products-and-solutions/products/product-page.nl3095#overview, https://accessgudid.nlm.nih.gov/devices/10885403073083</t>
  </si>
  <si>
    <t>MO30</t>
  </si>
  <si>
    <t>BD_MO30</t>
  </si>
  <si>
    <t>WEDER TONGUE DEPRESSOR LG 1-3/8 WIDE</t>
  </si>
  <si>
    <t>PRODIGO1057934</t>
  </si>
  <si>
    <t>WEDER TONGUE DEPRESSORS LARGE. BLADE 1-3/8IN (3.5CM) WIDE.</t>
  </si>
  <si>
    <t>DEPRESSOR, TONGUE, WEDER, LARGE, 1-3/8 IN, NON STERILE, LATEX</t>
  </si>
  <si>
    <t>DEPRESSOR, TNGE, WEDER, LG, 1-3/8 IN, NS, LTX</t>
  </si>
  <si>
    <t>WEDER</t>
  </si>
  <si>
    <t>1-3/8 IN</t>
  </si>
  <si>
    <t>https://www.bd.com/en-us/products-and-solutions/products/product-page.mo30#overview, https://accessgudid.nlm.nih.gov/devices/10885403057847</t>
  </si>
  <si>
    <t>MA30</t>
  </si>
  <si>
    <t>BD_MA30</t>
  </si>
  <si>
    <t>WEDER TONGUE DEPRESSOR LG BLADE 1-1/2 WD</t>
  </si>
  <si>
    <t>PRODIGO1057852</t>
  </si>
  <si>
    <t>WEDER TONGUE DEPRESSOR AFFINITY LINE. LARGE. BLADE 1-1/2IN (3.8CM) WIDE.</t>
  </si>
  <si>
    <t>DEPRESSOR, TONGUE, WIEDER, LARGE, 1.5 IN, BLADE, NON STERILE, LATEX</t>
  </si>
  <si>
    <t>DEPRESSOR, TNGE, WIEDER, LG, 1.5 IN, BLADE, NS, LTX</t>
  </si>
  <si>
    <t>WIEDER</t>
  </si>
  <si>
    <t>https://www.bd.com/en-us/products-and-solutions/products/product-page.MA30#overview, https://accessgudid.nlm.nih.gov/devices/10885403056321</t>
  </si>
  <si>
    <t>CH1262</t>
  </si>
  <si>
    <t>BD_CH1262</t>
  </si>
  <si>
    <t>WEINBERG RIB SPREADER PED BLADE 12X19MM</t>
  </si>
  <si>
    <t>PRODIGO1056656</t>
  </si>
  <si>
    <t>WEINBERG RIB SPREADER PEDIATRIC ALUMINUM ARMS AND BLADES BLADES 12MM X 19MM WIDE ARM LENGTH 3-1/2IN SPREAD 2-7/8IN LATEX NON STERILE</t>
  </si>
  <si>
    <t>SPREADER, SURGICAL, WEINBERG, PEDIATRIC, 12X19 MM, 3.5 IN, 2-7/8 IN, RIB, WITH BLADE, ARM, SPREAD, ALUMINIUM, NON STERILE, LATEX</t>
  </si>
  <si>
    <t>SPREADER, SURG, WNBRG, PEDIATRIC, 12X19 MM, 3.5 IN, 2-7/8 IN, RIB, W/ BLADE, ARM, SPRD, ALUMINIUM, NS, LTX</t>
  </si>
  <si>
    <t>SPREADER, SURG, WNBRG, PEDIATRIC, 12X19 MM, 3.5 IN, 2-7/8 IN, RIB</t>
  </si>
  <si>
    <t>WEINBERG</t>
  </si>
  <si>
    <t>12X19 MM, 3.5 IN, 2-7/8 IN</t>
  </si>
  <si>
    <t>WITH BLADE, ARM, SPREAD</t>
  </si>
  <si>
    <t>https://www.bd.com/en-us/products-and-solutions/products/product-page.CH1262#specifications, https://accessgudid.nlm.nih.gov/devices/10885403023576</t>
  </si>
  <si>
    <t>AU6190</t>
  </si>
  <si>
    <t>BD_AU6190</t>
  </si>
  <si>
    <t>WEINGARTNER EAR FORCEP HAWKBILL GRASPJAW</t>
  </si>
  <si>
    <t>PRODIGO1056362</t>
  </si>
  <si>
    <t>WEINGARTNER EAR FORCEPS HAWKBILL GRASPING JAWS. SERRATED AT DISTAL END OF JAW. WORKING LENGTH 3-1/8IN (8CM).</t>
  </si>
  <si>
    <t>FORCEP, SURGICAL, WEINGARTNER, 3-1/8 IN, EAR, HAWKBILL GRASPING JAWS, SERRATED AT DISTAL END OF JAW, NON STERILE, LATEX</t>
  </si>
  <si>
    <t>FORCEP, SURG, WEINGARTNER, 3-1/8 IN, EAR, HAWKBILL GRASPING JAWS, SERRATED AT DSTL END OF JAW, NS, LTX</t>
  </si>
  <si>
    <t>FORCEP, SURG, WEINGARTNER, 3-1/8 IN, SERRATED AT DSTL END OF JAW</t>
  </si>
  <si>
    <t>WEINGARTNER</t>
  </si>
  <si>
    <t>HAWKBILL GRASPING JAWS, SERRATED AT DISTAL END OF JAW</t>
  </si>
  <si>
    <t>https://www.bd.com/en-us/products-and-solutions/products/product-page.AU6190#specifications, https://accessgudid.nlm.nih.gov/devices/10885403008832</t>
  </si>
  <si>
    <t>CH6077002</t>
  </si>
  <si>
    <t>CH6077-002</t>
  </si>
  <si>
    <t>BD_CH6077002</t>
  </si>
  <si>
    <t>WELDON MINI BULLDOG CVD JAW 3/4"(1.9CM)</t>
  </si>
  <si>
    <t>PRODIGO1056978</t>
  </si>
  <si>
    <t>WELDON MINIATURE CLAMP SURGICAL 1-3/8 IN 0.5 IN CURVED JAW</t>
  </si>
  <si>
    <t>CLAMP, SURGICAL, WELDON MINIATURE, 1-3/8 IN, 0.45 IN, CURVED JAW, NON STERILE, LATEX</t>
  </si>
  <si>
    <t>CLAMP, SURG, WELDON MINIATURE, 1-3/8 IN, 0.45 IN, CRV JAW, NS, LTX</t>
  </si>
  <si>
    <t>WELDON MINIATURE</t>
  </si>
  <si>
    <t>0.45 IN</t>
  </si>
  <si>
    <t>http://www.megamedworld.com/wp-content/uploads/2019/03/VM_KVC-min.pdf, https://accessgudid.nlm.nih.gov/devices/10885403030079</t>
  </si>
  <si>
    <t>LA8274</t>
  </si>
  <si>
    <t>BD_LA8274</t>
  </si>
  <si>
    <t>WIDE BABCOCK PADDLE FORCEPS 10MM 37CM</t>
  </si>
  <si>
    <t>PRODIGO1057730</t>
  </si>
  <si>
    <t>Grasper 10 Mmx37 Cm Babcock Double Action Fine Straight Serrated Flat Wide Paddle Jaw Non Insulated Rotation Ratchet Satin Finish Stainless Steel Non Sterile Latex</t>
  </si>
  <si>
    <t>GRASPER, ENDOSCOPIC, BABCOCK, 10 MMX37 CM, DOUBLE ACTION, FINE, STRAIGHT, SERRATED, FLAT, WIDE PADDLE JAW, NON INSULATED, ROTATION, RATCHET, SATIN FINISH, STAINLESS STEEL, NON STERILE, LATEX</t>
  </si>
  <si>
    <t>GRASPER, ENDOSCP, BABCOCK, 10 MMX37 CM, DBL ACT, FN, STR, SERRATED, FLAT, WIDE PADDLE JAW, N INSUL, ROT, RATCH, SATIN FINISH, SS, NS, LTX</t>
  </si>
  <si>
    <t>GRASPER, ENDOSCP, BABCOCK, 10 MMX37 CM, DBL ACT, FN, STR, FLAT</t>
  </si>
  <si>
    <t>DOUBLE ACTION, FINE, STRAIGHT, SERRATED, FLAT, WIDE PADDLE JAW, NON INSULATED, ROTATION, RATCHET, SATIN FINISH</t>
  </si>
  <si>
    <t>https://www.bd.com/en-us/offerings/capabilities/surgical-instruments/laparoscopic-instruments/wide-paddle-babcock-grasper/la8274, https://accessgudid.nlm.nih.gov/devices/10885403053566</t>
  </si>
  <si>
    <t>AU12510</t>
  </si>
  <si>
    <t>BD_AU12510</t>
  </si>
  <si>
    <t>WIET 45DEG PICK 1MM TIP OVERLGTH 6-1/2IN</t>
  </si>
  <si>
    <t>PRODIGO1056168</t>
  </si>
  <si>
    <t>WIET 45º PICK TIP 1MM WIDE OVERALL LENGTH 6-1/2IN (16.5CM)</t>
  </si>
  <si>
    <t>PICK, SURGICAL, WIET, 45 DEGREE, 1 MM, 6.5 IN, NON STERILE, LATEX</t>
  </si>
  <si>
    <t>PICK, SURG, WIET, 45 DEG, 1 MM, 6.5 IN, NS, LTX</t>
  </si>
  <si>
    <t>WIET</t>
  </si>
  <si>
    <t>http://www.surgimed.co.kr/download/5_ENT&amp;Oral.pdf, https://accessgudid.nlm.nih.gov/devices/10885403010101</t>
  </si>
  <si>
    <t>AU12231</t>
  </si>
  <si>
    <t>BD_AU12231</t>
  </si>
  <si>
    <t>WIET BAYON OTOLOGIC SCISSORS 45DEG LEFT</t>
  </si>
  <si>
    <t>PRODIGO1056141</t>
  </si>
  <si>
    <t>WIET OTOLOGIC SCISSORS BAYONET-SHAPED. CASTROVIEJO-STYLE. BLADES ANGLED LEFT 45 DEGREES. OVERALL LENGTH 6-1/4IN (15.9CM).</t>
  </si>
  <si>
    <t>SCISSOR, OTOLOGIC, WIET, 45 DEGREE, 6.25 IN, BAYONET SHAPED, CASTROVIEJO STYLE, BLADE LEFT ANGLED, NON STERILE, LATEX</t>
  </si>
  <si>
    <t>SCISSOR, OTO, WIET, 45 DEG, 6.25 IN, BAYNT SHP, CASTRO STYL, BLADE LT ANGLED, NS, LTX</t>
  </si>
  <si>
    <t>SCISSOR, OTO, WIET, 45 DEG, 6.25 IN, BAYNT SHP, CASTRO STYL</t>
  </si>
  <si>
    <t>OTOLOGIC</t>
  </si>
  <si>
    <t>BAYONET SHAPED, CASTROVIEJO STYLE, BLADE LEFT ANGLED</t>
  </si>
  <si>
    <t>https://www.bd.com/en-us/products-and-solutions/products/product-page.AU12231#overview, https://accessgudid.nlm.nih.gov/devices/10885403009747</t>
  </si>
  <si>
    <t>AU12227</t>
  </si>
  <si>
    <t>BD_AU12227</t>
  </si>
  <si>
    <t>WIET BAYON OTOLOGIC SCISSORS STR CASTRO</t>
  </si>
  <si>
    <t>PRODIGO1056140</t>
  </si>
  <si>
    <t>WIET OTOLOGIC SCISSORS BAYONET-SHAPED. CASTROVIEJO-STYLE. STRAIGHT BLADES. OVERALL LENGTH 6-1/2IN (16.5CM).</t>
  </si>
  <si>
    <t>SCISSOR, OTOLOGIC, WIET, 6.5 IN, BAYONET SHAPED, CASTROVIEJO STYLE, STRAIGHT BLADE, NON STERILE, LATEX</t>
  </si>
  <si>
    <t>SCISSOR, OTO, WIET, 6.5 IN, BAYNT SHP, CASTRO STYL, STR BLADE, NS, LTX</t>
  </si>
  <si>
    <t>SCISSOR, OTO, WIET, 6.5 IN, BAYNT SHP, CASTRO STYL, STR BLADE, NS</t>
  </si>
  <si>
    <t>BAYONET SHAPED, CASTROVIEJO STYLE, STRAIGHT BLADE</t>
  </si>
  <si>
    <t>https://www.bd.com/en-us/products-and-solutions/products/product-page.AU12227#overview, https://accessgudid.nlm.nih.gov/devices/10885403009730</t>
  </si>
  <si>
    <t>AU12503</t>
  </si>
  <si>
    <t>BD_AU12503</t>
  </si>
  <si>
    <t>WIET DERLACKI MOBILIZER ANGLED TIP SERR</t>
  </si>
  <si>
    <t>PRODIGO1056163</t>
  </si>
  <si>
    <t>WIET DERLACKI MODIFIED MOBILIZER ANGLED CONE-SHAPED SERRATED 1MM TIP. OVERALL LENGTH 6-1/2IN (16.5CM).</t>
  </si>
  <si>
    <t>MOBILIZER, SURGICAL, WIET DERLACKI, 1 MM, 6.25 IN, MODIFIED, ANGLED TIP, CONE-SHAPED, SERRATED, MOBILIZER, NON STERILE, LATEX</t>
  </si>
  <si>
    <t>MOBILIZER, SURG, WIET DERLACKI, 1 MM, 6.25 IN, MOD, ANGLED TIP, CONE-SHAPED, SERRATED, MOBILIZER, NS, LTX</t>
  </si>
  <si>
    <t>MOBILIZER, SURG, WIET DERLACKI, 1 MM, 6.25 IN, MOD, ANGLED TIP</t>
  </si>
  <si>
    <t>MOBILIZER</t>
  </si>
  <si>
    <t>WIET DERLACKI</t>
  </si>
  <si>
    <t>MODIFIED, ANGLED TIP, CONE-SHAPED, SERRATED, MOBILIZER</t>
  </si>
  <si>
    <t>https://www.bd.com/en-us/products-and-solutions/products/product-page.AU12503#overview, https://accessgudid.nlm.nih.gov/devices/10885403010026</t>
  </si>
  <si>
    <t>NL1186</t>
  </si>
  <si>
    <t>BD_NL1186</t>
  </si>
  <si>
    <t>WIET FLEXIBLE ARM OVERLGTH 9-3/4IN</t>
  </si>
  <si>
    <t>PRODIGO1058053</t>
  </si>
  <si>
    <t>ARM, DRESSING, WIET, 9.75 IN, NON STERILE, LATEX</t>
  </si>
  <si>
    <t>ARM DRESSING WIET 9.75 IN NON STERILE LATEX</t>
  </si>
  <si>
    <t>ARM, DRSG, WIET, 9.75 IN, NS, LTX</t>
  </si>
  <si>
    <t>ARM</t>
  </si>
  <si>
    <t>DRESSING</t>
  </si>
  <si>
    <t>https://www.bd.com/en-us/products-and-solutions/products/product-page.NL1186#overview, https://accessgudid.nlm.nih.gov/devices</t>
  </si>
  <si>
    <t>AU12512375</t>
  </si>
  <si>
    <t>BD_AU12512375</t>
  </si>
  <si>
    <t>WIET MEASURING DEVICE 3.75MM 6-1/2IN</t>
  </si>
  <si>
    <t>PRODIGO1056169</t>
  </si>
  <si>
    <t>WIET MEASURING DEVICES OVERALL LENGTH 6-1/2IN (16.5CM) 3.75MM</t>
  </si>
  <si>
    <t>DEVICE, MEASURING, WIET, 3.75X6.5 IN, NON STERILE, LATEX</t>
  </si>
  <si>
    <t>DEVICE, MEAS, WIET, 3.75X6.5 IN, NS, LTX</t>
  </si>
  <si>
    <t>3.75X6.5 IN</t>
  </si>
  <si>
    <t>http://www.surgimed.co.kr/download/5_ENT&amp;Oral.pdf, https://accessgudid.nlm.nih.gov/devices/10885403012990</t>
  </si>
  <si>
    <t>AU12512425</t>
  </si>
  <si>
    <t>BD_AU12512425</t>
  </si>
  <si>
    <t>WIET MEASURING DEVICE 4.25MM 6-1/2IN</t>
  </si>
  <si>
    <t>PRODIGO1056170</t>
  </si>
  <si>
    <t>WIET MEASURING DEVICES OVERALL LENGTH 6-1/2IN (16.5CM) 4.25MM</t>
  </si>
  <si>
    <t>DEVICE, MEASURING, WIET, 4.25X6.5 IN, NON STERILE, LATEX</t>
  </si>
  <si>
    <t>DEVICE, MEAS, WIET, 4.25X6.5 IN, NS, LTX</t>
  </si>
  <si>
    <t>4.25X6.5 IN</t>
  </si>
  <si>
    <t>http://www.surgimed.co.kr/download/5_ENT&amp;Oral.pdf, https://accessgudid.nlm.nih.gov/devices/10885403013010</t>
  </si>
  <si>
    <t>AU12504</t>
  </si>
  <si>
    <t>BD_AU12504</t>
  </si>
  <si>
    <t>WIET RIGHT ANGLE KNIFE 2MM BLADE</t>
  </si>
  <si>
    <t>PRODIGO1056164</t>
  </si>
  <si>
    <t>WIET RIGHT ANGLE KNIFE BLADE 2MM ANGLED 90 DEGREES. OVERALL LENGTH 6-1/2IN (16.5CM).</t>
  </si>
  <si>
    <t>KNIFE, SURGICAL, WIET, 90 DEGREE, 6.25 IN, 2 MM, RIGHT ANGLE, BLADE, ANGLED, NON STERILE, LATEX</t>
  </si>
  <si>
    <t>KNIFE, SURG, WIET, 90 DEG, 6.25 IN, 2 MM, RT ANGLE, BLADE, ANGLED, NS, LTX</t>
  </si>
  <si>
    <t>KNIFE, SURG, WIET, 90 DEG, 6.25 IN, 2 MM, RT ANGLE, BLADE, ANGLED, NS</t>
  </si>
  <si>
    <t>RIGHT ANGLE, BLADE, ANGLED</t>
  </si>
  <si>
    <t>https://www.bd.com/en-us/products-and-solutions/products/product-page.AU12504#overview, https://accessgudid.nlm.nih.gov/devices/10885403010033</t>
  </si>
  <si>
    <t>AU12520018</t>
  </si>
  <si>
    <t>BD_AU12520018</t>
  </si>
  <si>
    <t>WIET SUCTION TUBE 18GA</t>
  </si>
  <si>
    <t>PRODIGO1056171</t>
  </si>
  <si>
    <t>WIET SUCTION TUBE. TIP 1-1/8IN (2.9CM). 18GA.</t>
  </si>
  <si>
    <t>TUBE, SUCTION, WIET, 1-1/8 IN, 18 GA, NON STERILE, LATEX</t>
  </si>
  <si>
    <t>TUBE, SUCTION, WIET, 1-1/8 IN, 18 GA, NS, LTX</t>
  </si>
  <si>
    <t>https://www.bd.com/en-us/products-and-solutions/products/product-page.au12520018#overview, https://accessgudid.nlm.nih.gov/devices/10885403013034</t>
  </si>
  <si>
    <t>AU12520026</t>
  </si>
  <si>
    <t>BD_AU12520026</t>
  </si>
  <si>
    <t>WIET SUCTION TUBE 26GA</t>
  </si>
  <si>
    <t>PRODIGO1056172</t>
  </si>
  <si>
    <t>WIET SUCTION TUBE. TIP 1-1/8IN (2.9CM). 26GA.</t>
  </si>
  <si>
    <t>TUBE, SUCTION, WIET, 1-1/8 IN, 26 GA, NON STERILE, LATEX</t>
  </si>
  <si>
    <t>TUBE, SUCTION, WIET, 1-1/8 IN, 26 GA, NS, LTX</t>
  </si>
  <si>
    <t>26 GA</t>
  </si>
  <si>
    <t>https://www.bd.com/en-us/products-and-solutions/products/product-page.au12520026#overview, https://accessgudid.nlm.nih.gov/devices/10885403013072</t>
  </si>
  <si>
    <t>AU12509</t>
  </si>
  <si>
    <t>BD_AU12509</t>
  </si>
  <si>
    <t>WIET WEAPON ELEVATOR KNIFE ANG 6-1/2IN</t>
  </si>
  <si>
    <t>PRODIGO1056167</t>
  </si>
  <si>
    <t>WIET ROUND WEAPON ELEVATOR KNIFE ROUND. 2MM BLADE ANGLED 45 DEGREES. OVERALL LENGTH 6-1/2IN (16.5CM).</t>
  </si>
  <si>
    <t>KNIFE, SURGICAL, WIET, 45 DEGREE, 6.5 IN, 2 MM, ANGLED BLADE, ROUND, ELEVATOR WEAPON, NON STERILE, LATEX</t>
  </si>
  <si>
    <t>KNIFE, SURG, WIET, 45 DEG, 6.5 IN, 2 MM, ANGLED BLADE, RND, ELEV WEAPON, NS, LTX</t>
  </si>
  <si>
    <t>KNIFE, SURG, WIET, 45 DEG, 6.5 IN, 2 MM, ANGLED BLADE, ELEV WEAPON</t>
  </si>
  <si>
    <t>ANGLED BLADE, ROUND, ELEVATOR WEAPON</t>
  </si>
  <si>
    <t>https://www.bd.com/en-us/products-and-solutions/products/product-page.AU12509#overview, https://accessgudid.nlm.nih.gov/devices/10885403010095</t>
  </si>
  <si>
    <t>CH1250</t>
  </si>
  <si>
    <t>BD_CH1250</t>
  </si>
  <si>
    <t>WILSON RIB SPREADER PED BLADE 26X30MM</t>
  </si>
  <si>
    <t>PRODIGO1056652</t>
  </si>
  <si>
    <t>WILSON RIB SPREADER PEDIATRIC ALUMINUM ARMS AND BLADES BLADES 26MM X 30MM WIDE ARM LENGTH 4IN SPREAD 3-7/8IN LATEX NON STERILE</t>
  </si>
  <si>
    <t>SPREADER, SURGICAL, WILSON, PEDIATRIC, 26X30 MM, 4 IN, 3-7/8 IN, RIB, WITH BLADE, ARM, SPREAD, ALUMINIUM, NON STERILE, LATEX</t>
  </si>
  <si>
    <t>SPREADER, SURG, WILSON, PEDIATRIC, 26X30 MM, 4 IN, 3-7/8 IN, RIB, W/ BLADE, ARM, SPRD, ALUMINIUM, NS, LTX</t>
  </si>
  <si>
    <t>SPREADER, SURG, WILSON, PEDIATRIC, 26X30 MM, 4 IN, 3-7/8 IN, RIB</t>
  </si>
  <si>
    <t>WILSON</t>
  </si>
  <si>
    <t>26X30 MM, 4 IN, 3-7/8 IN</t>
  </si>
  <si>
    <t>https://www.bd.com/en-us/products-and-solutions/products/product-page.CH1250#specifications, https://accessgudid.nlm.nih.gov/devices/10885403023460</t>
  </si>
  <si>
    <t>GU3401</t>
  </si>
  <si>
    <t>BD_GU3401</t>
  </si>
  <si>
    <t>WIRE MANDRIN GUYON-BENIQUE CVD 8FR</t>
  </si>
  <si>
    <t>PRODIGO1057547</t>
  </si>
  <si>
    <t>42295473  Urological surgical catheter accessories</t>
  </si>
  <si>
    <t>Wire mandrins Mirror finish. Guyon-Benique curve. 8Fr. Overall length 16-3/4in (42.6cm).</t>
  </si>
  <si>
    <t>MANDRIN, WIRE, 8 FRX16.75 IN, MIRROR FINISH, GUYON-BENIQUE CURVE, NON STERILE, LATEX</t>
  </si>
  <si>
    <t>MANDRIN, WIRE, 8 FRX16.75 IN, MIRROR FINISH, GUYON-BENIQUE CRV, NS, LTX</t>
  </si>
  <si>
    <t>MANDRIN, WIRE, 8 FRX16.75 IN, MIRROR FINISH, GUYON-BENIQUE CRV</t>
  </si>
  <si>
    <t>MANDRIN</t>
  </si>
  <si>
    <t>8 FRX16.75 IN</t>
  </si>
  <si>
    <t>MIRROR FINISH, GUYON-BENIQUE CURVE</t>
  </si>
  <si>
    <t>https://www.bd.com/en-us/products-and-solutions/products/product-page.GU3401#overview, https://accessgudid.nlm.nih.gov/devices/10885403048951</t>
  </si>
  <si>
    <t>NL2820</t>
  </si>
  <si>
    <t>BD_NL2820</t>
  </si>
  <si>
    <t>WOODSON DURAL SEPARATOR/PACKER 6-3/4IN</t>
  </si>
  <si>
    <t>PRODIGO1058154</t>
  </si>
  <si>
    <t>Woodson dural separator and packer Double-ended. Blade 10mm x 3mm wide. Overall length 6-7/8IN(17.4cm)</t>
  </si>
  <si>
    <t>SEPARATOR, SURGICAL, WOODSON, 6-7/8 IN, 10X3 MM, DURAL, DOUBLE ENDED, PACKER, NON STERILE, LATEX</t>
  </si>
  <si>
    <t>SEPARATOR, SURG, WOODSON, 6-7/8 IN, 10X3 MM, DURA, DBL END, PACKER, NS, LTX</t>
  </si>
  <si>
    <t>SEPARATOR, SURG, WOODSON, 6-7/8 IN, 10X3 MM, DURA, DBL END, PACKER</t>
  </si>
  <si>
    <t>WOODSON</t>
  </si>
  <si>
    <t>DURAL, DOUBLE ENDED, PACKER</t>
  </si>
  <si>
    <t>6-3/4IN</t>
  </si>
  <si>
    <t>https://www.bd.com/en-us/products-and-solutions/products/product-page.nl2820#overview, https://accessgudid.nlm.nih.gov/devices/10885403072888</t>
  </si>
  <si>
    <t>CH1719</t>
  </si>
  <si>
    <t>BD_CH1719</t>
  </si>
  <si>
    <t>WOODWARD THORACIC FORCEP 32MM CVD JAW</t>
  </si>
  <si>
    <t>PRODIGO1056735</t>
  </si>
  <si>
    <t>Woodward thoracic artery forceps Slightly curved jaws length 32mm Overall length 8-3/4in</t>
  </si>
  <si>
    <t>FORCEP, SURGICAL, WOODWARD, 8.75 IN, 32 MM, THORACIC ARTERY, SLIGHTLY CURVED JAW, NON STERILE, LATEX</t>
  </si>
  <si>
    <t>FORCEP, SURG, WOODWARD, 8.75 IN, 32 MM, THOR ART, SLIGHTLY CRV JAW, NS, LTX</t>
  </si>
  <si>
    <t>FORCEP, SURG, WOODWARD, 8.75 IN, 32 MM, THOR ART, CRV JAW, NS, LTX</t>
  </si>
  <si>
    <t>WOODWARD</t>
  </si>
  <si>
    <t>32 MM</t>
  </si>
  <si>
    <t>https://www.bd.com/en-us/products-and-solutions/products/product-page.CH1719#specifications, https://accessgudid.nlm.nih.gov/devices/10885403015748</t>
  </si>
  <si>
    <t>AA14120</t>
  </si>
  <si>
    <t>BD_AA14120</t>
  </si>
  <si>
    <t>WULLSTEIN EAR FORCEPS SERR JAWS</t>
  </si>
  <si>
    <t>PRODIGO1056100</t>
  </si>
  <si>
    <t>WULLSTEIN EAR FORCEPS AFFINITY LINE. SERRATED JAWS. WORKING LENGTH 3-1/8IN (7.9CM).</t>
  </si>
  <si>
    <t>FORCEP, SURGICAL, WULLSTEIN, 3-1/8 IN, EAR, SERRATED JAW, NON STERILE, LATEX</t>
  </si>
  <si>
    <t>FORCEP, SURG, WULLSTEIN, 3-1/8 IN, EAR, SERRATED JAW, NS, LTX</t>
  </si>
  <si>
    <t>WULLSTEIN</t>
  </si>
  <si>
    <t>SERRATED JAW</t>
  </si>
  <si>
    <t>https://www.bd.com/en-us/products-and-solutions/products/product-page.AA14120#overview, https://accessgudid.nlm.nih.gov/devices/10885403007422</t>
  </si>
  <si>
    <t>AU14152</t>
  </si>
  <si>
    <t>BD_AU14152</t>
  </si>
  <si>
    <t>WULLSTEIN EAR SCISSOR CVD LEFT BLADE 5MM</t>
  </si>
  <si>
    <t>PRODIGO1056241</t>
  </si>
  <si>
    <t>WULLSTEIN EAR SCISSORS FINE BLADES LENGTH 5MM. WORKING LENGTH 4-1/2IN (11.4CM). CURVED LEFT.</t>
  </si>
  <si>
    <t>SCISSOR, SURGICAL, WULLSTEIN, 4.5 IN, 5 MM, EAR, FINE BLADE, CURVED LEFT, NON STERILE, LATEX</t>
  </si>
  <si>
    <t>SCISSOR, SURG, WULLSTEIN, 4.5 IN, 5 MM, EAR, FN BLADE, CRV LT, NS, LTX</t>
  </si>
  <si>
    <t>SCISSOR, SURG, WULLSTEIN, 4.5 IN, 5 MM, EAR, FN BLADE, CRV LT, NS</t>
  </si>
  <si>
    <t>FINE BLADE, CURVED LEFT</t>
  </si>
  <si>
    <t>https://www.bd.com/en-us/products-and-solutions/products/product-page.AU14152#overview, https://accessgudid.nlm.nih.gov/devices/10885403010989</t>
  </si>
  <si>
    <t>AU14130</t>
  </si>
  <si>
    <t>BD_AU14130</t>
  </si>
  <si>
    <t>WULLSTEIN EAR SCISSORS BLADES 5MM</t>
  </si>
  <si>
    <t>PRODIGO1056239</t>
  </si>
  <si>
    <t>WULLSTEIN EAR SCISSORS FINE BLADES LENGTH 5MM. WORKING LENGTH 4-1/2IN (11.4CM). STRAIGHT.</t>
  </si>
  <si>
    <t>SCISSOR, SURGICAL, WULLSTEIN, 4.5 IN, 5 MM, EAR, FINE BLADE, STRAIGHT, NON STERILE, LATEX</t>
  </si>
  <si>
    <t>SCISSOR, SURG, WULLSTEIN, 4.5 IN, 5 MM, EAR, FN BLADE, STR, NS, LTX</t>
  </si>
  <si>
    <t>FINE BLADE, STRAIGHT</t>
  </si>
  <si>
    <t>https://www.bd.com/en-us/products-and-solutions/products/product-page.AU14130#overview, https://accessgudid.nlm.nih.gov/devices/10885403010965</t>
  </si>
  <si>
    <t>AU14150</t>
  </si>
  <si>
    <t>BD_AU14150</t>
  </si>
  <si>
    <t>WULLSTEIN EAR SCISSORS CVD RT BLADE 5MM</t>
  </si>
  <si>
    <t>PRODIGO1056240</t>
  </si>
  <si>
    <t>WULLSTEIN EAR SCISSORS FINE BLADES LENGTH 5MM. WORKING LENGTH 4-1/2IN (11.4CM). CURVED RIGHT.</t>
  </si>
  <si>
    <t>SCISSOR, SURGICAL, WULLSTEIN, 4.5 IN, 5 MM, EAR, FINE BLADE, CURVED RIGHT, NON STERILE, LATEX</t>
  </si>
  <si>
    <t>SCISSOR, SURG, WULLSTEIN, 4.5 IN, 5 MM, EAR, FN BLADE, CRV RT, NS, LTX</t>
  </si>
  <si>
    <t>SCISSOR, SURG, WULLSTEIN, 4.5 IN, 5 MM, EAR, FN BLADE, CRV RT, NS</t>
  </si>
  <si>
    <t>FINE BLADE, CURVED RIGHT</t>
  </si>
  <si>
    <t>https://www.bd.com/en-us/products-and-solutions/products/product-page.AU14150#overview, https://accessgudid.nlm.nih.gov/devices/10885403010972</t>
  </si>
  <si>
    <t>AU14190</t>
  </si>
  <si>
    <t>BD_AU14190</t>
  </si>
  <si>
    <t>WULLSTEIN RETRACTOR 3X3 SHARP PRONGS</t>
  </si>
  <si>
    <t>PRODIGO1056243</t>
  </si>
  <si>
    <t>WULLSTEIN RETRACTORS 3 X 3 SHARP PRONGS. ANGLED SHANKS. ARM LENGTH 2-1/2IN (6.4CM). OVERALL LENGTH 4-1/8IN (10.5CM).</t>
  </si>
  <si>
    <t>RETRACTOR, SURGICAL, WULLSTEIN, 4-1/8 IN, 2.5 IN, 3X3 SHARP PRONG, ANGLED SHANK, NON STERILE, LATEX</t>
  </si>
  <si>
    <t>RETRACTOR, SURG, WULLSTEIN, 4-1/8 IN, 2.5 IN, 3X3 SHRP PRNG, ANGLED SHANK, NS, LTX</t>
  </si>
  <si>
    <t>RETRACTOR, SURG, WULLSTEIN, 4-1/8 IN, 2.5 IN, 3X3 SHRP PRNG</t>
  </si>
  <si>
    <t>3X3 SHARP PRONG, ANGLED SHANK</t>
  </si>
  <si>
    <t>https://www.bd.com/en-us/products-and-solutions/products/product-page.AU14190#overview, https://accessgudid.nlm.nih.gov/devices/10885403011016</t>
  </si>
  <si>
    <t>AU12870</t>
  </si>
  <si>
    <t>BD_AU12870</t>
  </si>
  <si>
    <t>WULLSTEIN TYMPANOPLASTY FORCEPS 35DEG UP</t>
  </si>
  <si>
    <t>PRODIGO1056175</t>
  </si>
  <si>
    <t>WULLSTEIN TYPE TYMPANOPLASTY FORCEPS FINE OVAL CUP-SHAPED JAWS. WORKING LENGTH 2-3/4IN (7CM). ANGLED UPWARD 35 DEGREES.</t>
  </si>
  <si>
    <t>FORCEP, SURGICAL, TYMPANOPLASTY, 35 DEGREE, 2.75 IN, WULLSTEIN, ANGLED UP, FINE, OVAL CUP SHAPED JAW, NON STERILE, LATEX</t>
  </si>
  <si>
    <t>FORCEP, SURG, TYMPLSTY, 35 DEG, 2.75 IN, WULLSTEIN, ANGLED UP, FN, OVL CUP SHP JAW, NS, LTX</t>
  </si>
  <si>
    <t>FORCEP, SURG, TYMPLSTY, 35 DEG, 2.75 IN, WULLSTEIN, ANGLED UP, FN</t>
  </si>
  <si>
    <t>TYMPANOPLASTY</t>
  </si>
  <si>
    <t>35 DEGREE</t>
  </si>
  <si>
    <t>WULLSTEIN, ANGLED UP, FINE, OVAL CUP SHAPED JAW</t>
  </si>
  <si>
    <t>https://www.bd.com/en-us/products-and-solutions/products/product-page.au12870#overview, https://accessgudid.nlm.nih.gov/devices/10885403010163</t>
  </si>
  <si>
    <t>AU12880</t>
  </si>
  <si>
    <t>BD_AU12880</t>
  </si>
  <si>
    <t>WULLSTEIN TYMPANOPLASTY FORCEPS 90DEG UP</t>
  </si>
  <si>
    <t>PRODIGO1056176</t>
  </si>
  <si>
    <t>WULLSTEIN TYPE TYMPANOPLASTY FORCEPS FINE OVAL CUP-SHAPED JAWS. WORKING LENGTH 2-3/4IN (7CM). ANGLED UPWARD 90 DEGREES.</t>
  </si>
  <si>
    <t>FORCEP, SURGICAL, TYMPANOPLASTY, 90 DEGREE, 2.75 IN, WULLSTEIN, ANGLED UP, FINE, OVAL CUP SHAPED JAW, NON STERILE, LATEX</t>
  </si>
  <si>
    <t>FORCEP, SURG, TYMPLSTY, 90 DEG, 2.75 IN, WULLSTEIN, ANGLED UP, FN, OVL CUP SHP JAW, NS, LTX</t>
  </si>
  <si>
    <t>FORCEP, SURG, TYMPLSTY, 90 DEG, 2.75 IN, WULLSTEIN, ANGLED UP, FN</t>
  </si>
  <si>
    <t>https://www.bd.com/en-us/products-and-solutions/products/product-page.AU12880#overview, https://accessgudid.nlm.nih.gov/devices/10885403010170</t>
  </si>
  <si>
    <t>GU8305</t>
  </si>
  <si>
    <t>BD_GU8305</t>
  </si>
  <si>
    <t>WYLIE VEIN RETR LONG BLADE 7X1IN</t>
  </si>
  <si>
    <t>PRODIGO1057626</t>
  </si>
  <si>
    <t>Wylie vein retractors Long. Blade 7in x 1in (17.7cm x 2.5cm) wide. Overall length 12-1/2in (31.5cm).</t>
  </si>
  <si>
    <t>RETRACTOR, SURGICAL, WYLIE VEIN, LONG, 12.5 IN, 7X1 IN, NON STERILE, LATEX</t>
  </si>
  <si>
    <t>RETRACTOR, SURG, WYLIE VEIN, LNG, 12.5 IN, 7X1 IN, NS, LTX</t>
  </si>
  <si>
    <t>WYLIE VEIN</t>
  </si>
  <si>
    <t>7X1 IN</t>
  </si>
  <si>
    <t>https://www.bd.com/en-us/products-and-solutions/products/product-page.GU8305#overview, https://accessgudid.nlm.nih.gov/devices/10885403050534</t>
  </si>
  <si>
    <t>GU8300</t>
  </si>
  <si>
    <t>BD_GU8300</t>
  </si>
  <si>
    <t>WYLIE VEIN RETR SHORT BLADE 4X1IN</t>
  </si>
  <si>
    <t>PRODIGO1057625</t>
  </si>
  <si>
    <t>Wylie vein retractors Short. Blade 4in x 1in (10cm x 2.5cm) wide. Overall length 12-1/4in (31.2cm).</t>
  </si>
  <si>
    <t>RETRACTOR, SURGICAL, WYLIE VEIN, SHORT, 12.25 IN, 4X1 IN, NON STERILE, LATEX</t>
  </si>
  <si>
    <t>RETRACTOR, SURG, WYLIE VEIN, SHT, 12.25 IN, 4X1 IN, NS, LTX</t>
  </si>
  <si>
    <t>https://www.bd.com/en-us/products-and-solutions/products/product-page.GU8300#overview, https://accessgudid.nlm.nih.gov/devices/10885403050527</t>
  </si>
  <si>
    <t>GU8776</t>
  </si>
  <si>
    <t>BD_GU8776</t>
  </si>
  <si>
    <t>XIL-VERNET RETR BLADE 11MM WIDE 11-3/8IN</t>
  </si>
  <si>
    <t>PRODIGO1057646</t>
  </si>
  <si>
    <t>Gil-Vernet retractors Malleable shaft. Overall length 11-1/4in (28.6cm). Blade 11mm wide.</t>
  </si>
  <si>
    <t>RETRACTOR, SURGICAL, GIL VERNET, 11.25 IN, 11 MM, BLADE, WIDE, MALLEABLE SHAFT, NON STERILE, LATEX</t>
  </si>
  <si>
    <t>RETRACTOR, SURG, GIL VERNET, 11.25 IN, 11 MM, BLADE, WIDE, MALL SHFT, NS, LTX</t>
  </si>
  <si>
    <t>RETRACTOR, SURG, GIL VERNET, 11.25 IN, 11 MM, WIDE, MALL SHFT</t>
  </si>
  <si>
    <t>https://www.bd.com/en-us/products-and-solutions/products/product-page.GU8776#overview, https://accessgudid.nlm.nih.gov/devices/10885403050893</t>
  </si>
  <si>
    <t>AS171</t>
  </si>
  <si>
    <t>BD_AS171</t>
  </si>
  <si>
    <t>YANKAUER SUCT TBE OVER LGTH 18IN(45.7CM)</t>
  </si>
  <si>
    <t>PRODIGO1056116</t>
  </si>
  <si>
    <t>YANKAUER SUCTION TUBES HALF-CURVED WITH ADDITIONAL SLIGHT CURVED NEAR THE TIP. LARGE LIGHT HOLLOW HANDLE. OVERALL LENGTH 18IN (45.7CM).</t>
  </si>
  <si>
    <t>TUBE, SUCTION, YANKAUER, LARGE, 18 IN, HALF-CURVED, WITH ADDITIONAL SLIGHT CURVED NEAR THE TIP, LIGHT, HOLLOW HANDLE, NON STERILE, LATEX</t>
  </si>
  <si>
    <t>TUBE, SUCTION, YANKAUER, LG, 18 IN, HALF-CURVED, W/ ADD SLGHT CRV NEAR THE TIP, LIGHT, HLLW HNDL, NS, LTX</t>
  </si>
  <si>
    <t>TUBE, SUCTION, YANKAUER, LG, 18 IN, HALF-CURVED, LIGHT, HLLW HNDL</t>
  </si>
  <si>
    <t>YANKAUER</t>
  </si>
  <si>
    <t>HALF-CURVED, WITH ADDITIONAL SLIGHT CURVED NEAR THE TIP, LIGHT, HOLLOW HANDLE</t>
  </si>
  <si>
    <t>https://www.bd.com/en-us/products-and-solutions/products/product-page.AS171#overview, https://accessgudid.nlm.nih.gov/devices/10885403007644</t>
  </si>
  <si>
    <t>AS168</t>
  </si>
  <si>
    <t>BD_AS168</t>
  </si>
  <si>
    <t>YANKAUER SUCT TUBE OVER LGTH 12(30.56CM)</t>
  </si>
  <si>
    <t>PRODIGO1056114</t>
  </si>
  <si>
    <t>YANKAUER SUCTION TUBES HALF-CURVED WITH ADDITIONAL SLIGHT CURVED NEAR THE TIP. LARGE LIGHT HOLLOW HANDLE. OVERALL LENGTH 12IN (30.5CM).</t>
  </si>
  <si>
    <t>TUBE, SUCTION, YANKAUER, LARGE, 12 IN, HALF-CURVED, WITH ADDITIONAL SLIGHT CURVED NEAR THE TIP, LIGHT, HOLLOW HANDLE, NON STERILE, LATEX</t>
  </si>
  <si>
    <t>TUBE, SUCTION, YANKAUER, LG, 12 IN, HALF-CURVED, W/ ADD SLGHT CRV NEAR THE TIP, LIGHT, HLLW HNDL, NS, LTX</t>
  </si>
  <si>
    <t>TUBE, SUCTION, YANKAUER, LG, 12 IN, HALF-CURVED, LIGHT, HLLW HNDL</t>
  </si>
  <si>
    <t>https://www.bd.com/en-us/products-and-solutions/products/product-page.AS168#overview, https://accessgudid.nlm.nih.gov/devices/10885403007606</t>
  </si>
  <si>
    <t>AS169</t>
  </si>
  <si>
    <t>BD_AS169</t>
  </si>
  <si>
    <t>YANKAUER SUCT TUBE OVER LGTH 14(35.6CM)</t>
  </si>
  <si>
    <t>PRODIGO1056115</t>
  </si>
  <si>
    <t>YANKAUER SUCTION TUBES HALF-CURVED WITH ADDITIONAL SLIGHT CURVED NEAR THE TIP. LARGE LIGHT HOLLOW HANDLE. OVERALL LENGTH 14IN (35.6CM).</t>
  </si>
  <si>
    <t>TUBE, SUCTION, YANKAUER, LARGE, 14 IN, HALF-CURVED, WITH ADDITIONAL SLIGHT CURVED NEAR THE TIP, LIGHT, HOLLOW HANDLE, NON STERILE, LATEX</t>
  </si>
  <si>
    <t>TUBE, SUCTION, YANKAUER, LG, 14 IN, HALF-CURVED, W/ ADD SLGHT CRV NEAR THE TIP, LIGHT, HLLW HNDL, NS, LTX</t>
  </si>
  <si>
    <t>TUBE, SUCTION, YANKAUER, LG, 14 IN, HALF-CURVED, LIGHT, HLLW HNDL</t>
  </si>
  <si>
    <t>https://www.bd.com/en-us/products-and-solutions/products/product-page.AS169#overview, https://accessgudid.nlm.nih.gov/devices/10885403007613</t>
  </si>
  <si>
    <t>NL3079</t>
  </si>
  <si>
    <t>BD_NL3079</t>
  </si>
  <si>
    <t>YASARGIL ARACHNOID KNIFE BAYON BKWD CVD</t>
  </si>
  <si>
    <t>PRODIGO1058160</t>
  </si>
  <si>
    <t>Yasargil arachnoid knives Bayonet shank with round handle. Mirror and satin finish. Overall length 7-1/4in (18.4cm). Blade curved backward</t>
  </si>
  <si>
    <t>KNIFE, SURGICAL, YASARGIL, 7.25 IN, ARACHNOID, BAYONET SHANK WITH ROUND HANDLE, MIRROR, SATIN FINISH, BLADE CURVED BACKWARD, NON STERILE, LATEX</t>
  </si>
  <si>
    <t>KNIFE, SURG, YASRG, 7.25 IN, ARACH, BAYNT SHANK W/ RND HNDL, MIRROR, SATIN FINISH, BLADE CRV BKWRD, NS, LTX</t>
  </si>
  <si>
    <t>KNIFE, SURG, YASRG, 7.25 IN, ARACH, BAYNT SHANK W/RND HNDL, MIRROR</t>
  </si>
  <si>
    <t>YASARGIL</t>
  </si>
  <si>
    <t>ARACHNOID, BAYONET SHANK WITH ROUND HANDLE, MIRROR, SATIN FINISH, BLADE CURVED BACKWARD</t>
  </si>
  <si>
    <t>https://www.bd.com/en-us/products-and-solutions/products/product-page.nl3079#overview, https://accessgudid.nlm.nih.gov/devices/10885403072994</t>
  </si>
  <si>
    <t>NL3065</t>
  </si>
  <si>
    <t>BD_NL3065</t>
  </si>
  <si>
    <t>YASARGIL BAYONET SCISSOR ANG BLADE 7-1/2</t>
  </si>
  <si>
    <t>PRODIGO1058159</t>
  </si>
  <si>
    <t>Yasargil bayonet scissors Overall length 7-1/2in (19.1cm). Blades angled sideward.</t>
  </si>
  <si>
    <t>SCISSOR, SURGICAL, YASARGIL, 7.5 IN, BAYONET, BLADE ANGLED SIDEWARD, NON STERILE, LATEX</t>
  </si>
  <si>
    <t>SCISSOR, SURG, YASRG, 7.5 IN, BAYNT, BLADE ANGLED SIDEWARD, NS, LTX</t>
  </si>
  <si>
    <t>BAYONET, BLADE ANGLED SIDEWARD</t>
  </si>
  <si>
    <t>https://www.bd.com/en-us/products-and-solutions/products/product-page.nl3065#overview, https://accessgudid.nlm.nih.gov/devices/10885403072970</t>
  </si>
  <si>
    <t>CH5708</t>
  </si>
  <si>
    <t>BD_CH5708</t>
  </si>
  <si>
    <t>YASARGIL BAYONET SCISSORS ANGLE 125DEG</t>
  </si>
  <si>
    <t>PRODIGO1056914</t>
  </si>
  <si>
    <t>YASARGIL SCISSORS BAYONET-SHAPED REVERSE ANGLE CUTTING BLADES LENGTH 12MM ANGLED 125 DEGREE OVERALL LENGTH 18.4CM SCISSOR SURGICAL YASARGIL 125 DEGREE 18.4 CM 12 MM BAYONET SHAPED REVERSE ANGLE CUTTING BLADES</t>
  </si>
  <si>
    <t>SCISSOR, SURGICAL, YASARGIL, 125 DEGREE, 7.25 IN, 12 MM, BAYONET SHAPED, REVERSE ANGLE CUTTING BLADE, NON STERILE, LATEX</t>
  </si>
  <si>
    <t>SCISSOR, SURG, YASRG, 125 DEG, 7.25 IN, 12 MM, BAYNT SHP, RVS ANGLE CUT BLADE, NS, LTX</t>
  </si>
  <si>
    <t>SCISSOR, SURG, YASRG, 125 DEG, 7.25 IN, 12 MM, BAYNT SHP, NS, LTX</t>
  </si>
  <si>
    <t>BAYONET SHAPED, REVERSE ANGLE CUTTING BLADE</t>
  </si>
  <si>
    <t>http://www.megamedworld.com/wp-content/uploads/2019/03/VM_KVC-min.pdf, https://accessgudid.nlm.nih.gov/devices/10885403029011</t>
  </si>
  <si>
    <t>NL3152001</t>
  </si>
  <si>
    <t>NL3152-001</t>
  </si>
  <si>
    <t>BD_NL3152001</t>
  </si>
  <si>
    <t>YASARGIL BAYONET SCISSORS FINE STR BLADE</t>
  </si>
  <si>
    <t>PRODIGO1058167</t>
  </si>
  <si>
    <t>Yasargil bayonet scissors Extra-fine straight blades. Overall length 8-3/4in (22.2cm)</t>
  </si>
  <si>
    <t>SCISSOR, SURGICAL, YASARGIL, 8.75 IN, BAYONET, EXTRA FINE STRAIGHT BLADE, NON STERILE, LATEX</t>
  </si>
  <si>
    <t>SCISSOR, SURG, YASRG, 8.75 IN, BAYNT, X FN STR BLADE, NS, LTX</t>
  </si>
  <si>
    <t>BAYONET, EXTRA FINE STRAIGHT BLADE</t>
  </si>
  <si>
    <t>https://www.bd.com/en-us/products-and-solutions/products/product-page.NL3152-001#overview, https://accessgudid.nlm.nih.gov/devices/10885403073151</t>
  </si>
  <si>
    <t>NL3107</t>
  </si>
  <si>
    <t>BD_NL3107</t>
  </si>
  <si>
    <t>YASARGIL LIGATURE GUIDE &amp;CARR 5/8IN CVD</t>
  </si>
  <si>
    <t>PRODIGO1058164</t>
  </si>
  <si>
    <t>42291808  Surgical clamp or forcep or surgical ligator accessories</t>
  </si>
  <si>
    <t>Yasargil ligature guide and carriers Probe pointed. Overall length 7-1/4in (18.4cm). 5/8 curved</t>
  </si>
  <si>
    <t>CARRIER, LIGATURE, YASARGIL, 7.25 IN, 5/8 IN, GUIDE, PROBE POINTED, CURVED, NON STERILE, LATEX</t>
  </si>
  <si>
    <t>CARRIER, LIG, YASRG, 7.25 IN, 5/8 IN, GUIDE, PRB PT, CRV, NS, LTX</t>
  </si>
  <si>
    <t>GUIDE, PROBE POINTED, CURVED</t>
  </si>
  <si>
    <t>https://www.bd.com/en-us/products-and-solutions/products/product-page.NL3107#overview, https://accessgudid.nlm.nih.gov/devices/10885403073106</t>
  </si>
  <si>
    <t>NL3162010</t>
  </si>
  <si>
    <t>NL3162-010</t>
  </si>
  <si>
    <t>BD_NL3162010</t>
  </si>
  <si>
    <t>YASARGIL RND TIP MICRO SCISSOR BAYON STR</t>
  </si>
  <si>
    <t>PRODIGO1058170</t>
  </si>
  <si>
    <t>Yasargil round tip micro scissors Bayonet shape straight blades. Working length 3-7/8in (9.8cm)</t>
  </si>
  <si>
    <t>SCISSOR, SURGICAL, YASARGIL, MICRO, 3-7/8 IN, ROUND TIP, BAYONET SHAPE, STRAIGHT BLADE, NON STERILE, LATEX</t>
  </si>
  <si>
    <t>SCISSOR, SURG, YASRG, MIC, 3-7/8 IN, RND TIP, BAYNT SHP, STR BLADE, NS, LTX</t>
  </si>
  <si>
    <t>SCISSOR, SURG, YASRG, MIC, 3-7/8 IN, RND TIP, BAYNT SHP, STR BLADE</t>
  </si>
  <si>
    <t>ROUND TIP, BAYONET SHAPE, STRAIGHT BLADE</t>
  </si>
  <si>
    <t>https://www.bd.com/en-us/products-and-solutions/products/product-page.nl3162-010#overview, https://accessgudid.nlm.nih.gov/devices/10885403073199</t>
  </si>
  <si>
    <t>NL101</t>
  </si>
  <si>
    <t>BD_NL101</t>
  </si>
  <si>
    <t>YASARGIL SPRING HOOK LARGE</t>
  </si>
  <si>
    <t>PRODIGO1058035</t>
  </si>
  <si>
    <t>HOOK, SURGICAL, YASARGIL, LARGE, SPRING, NON STERILE, LATEX</t>
  </si>
  <si>
    <t>HOOK SURGICAL YASARGIL LARGE SPRING NON STERILE LATEX</t>
  </si>
  <si>
    <t>HOOK, SURG, YASRG, LG, SPRING, NS, LTX</t>
  </si>
  <si>
    <t>SPRING</t>
  </si>
  <si>
    <t>https://www.bd.com/en-us/products-and-solutions/products/product-print-page.nl101, https://accessgudid.nlm.nih.gov/devices/10885403062247</t>
  </si>
  <si>
    <t>GU8365</t>
  </si>
  <si>
    <t>BD_GU8365</t>
  </si>
  <si>
    <t>YOUNG ANTERIOR RETR BLADE 2-3/8X1-1/2IN</t>
  </si>
  <si>
    <t>PRODIGO1057629</t>
  </si>
  <si>
    <t>Young anterior retractors Acute angle. Overall length 7-5/8in (19.5cm). Blade 2-3/8in x 1-1/2in (6cm x 3.8cm) wide.</t>
  </si>
  <si>
    <t>RETRACTOR, SURGICAL, YOUNG, 7-5/8 IN, 2-3/8X1.5 IN, ANTERIOR, ACUTE ANGLE, WIDE BLADE, NON STERILE, LATEX</t>
  </si>
  <si>
    <t>RETRACTOR, SURG, YOUNG, 7-5/8 IN, 2-3/8X1.5 IN, ANTR, ACUTE ANGLE, WIDE BLADE, NS, LTX</t>
  </si>
  <si>
    <t>RETRACTOR, SURG, YOUNG, 7-5/8 IN, 2-3/8X1.5 IN, ANTR, ACUTE ANGLE</t>
  </si>
  <si>
    <t>YOUNG</t>
  </si>
  <si>
    <t>2-3/8X1.5 IN</t>
  </si>
  <si>
    <t>ACUTE ANGLE, WIDE BLADE</t>
  </si>
  <si>
    <t>https://www.bd.com/en-us/products-and-solutions/products/product-page.GU8365#overview, https://accessgudid.nlm.nih.gov/devices/10885403050572</t>
  </si>
  <si>
    <t>GU8375</t>
  </si>
  <si>
    <t>BD_GU8375</t>
  </si>
  <si>
    <t>YOUNG BIFID RETRACTOR BLDE 1-1/2X1-5/8IN</t>
  </si>
  <si>
    <t>PRODIGO1057630</t>
  </si>
  <si>
    <t>Young bifid retractor Deep-slotted blade has rounded ends. Blade 1-1/2in x 1-5/8in (3.8cm x 4cm) wide. Overall length 7-7/8in (20cm).</t>
  </si>
  <si>
    <t>RETRACTOR, SURGICAL, YOUNG BIFID, 7-7/8 IN, 1.5X1-5/8 IN, DEEP-SLOTTED BLADE, ROUNDED END, NON STERILE, LATEX</t>
  </si>
  <si>
    <t>RETRACTOR, SURG, YOUNG BIFID, 7-7/8 IN, 1.5X1-5/8 IN, DEEP-SLOTTED BLADE, ROUNDED END, NS, LTX</t>
  </si>
  <si>
    <t>RETRACTOR, SURG, YOUNG BIFID, 7-7/8 IN, 1.5X1-5/8 IN</t>
  </si>
  <si>
    <t>YOUNG BIFID</t>
  </si>
  <si>
    <t>1.5X1-5/8 IN</t>
  </si>
  <si>
    <t>DEEP-SLOTTED BLADE, ROUNDED END</t>
  </si>
  <si>
    <t>https://www.bd.com/en-us/products-and-solutions/products/product-page.GU8375#overview, https://accessgudid.nlm.nih.gov/devices/10885403050602</t>
  </si>
  <si>
    <t>GU8350</t>
  </si>
  <si>
    <t>BD_GU8350</t>
  </si>
  <si>
    <t>YOUNG LATERAL RETR BLADE 7/16X2IN 8-1/4</t>
  </si>
  <si>
    <t>PRODIGO1057627</t>
  </si>
  <si>
    <t>Young lateral retractor Narrow blade grooved. Blade 2in x 7/16in (5.1cm x 1.1cm) wide. Overall length 8-1/4in (21cm).</t>
  </si>
  <si>
    <t>RETRACTOR, SURGICAL, YOUNG, 8.25 IN, 2X7/16 IN, LATERAL, NARROW BLADE, GROOVED, NON STERILE, LATEX</t>
  </si>
  <si>
    <t>RETRACTOR, SURG, YOUNG, 8.25 IN, 2X7/16 IN, LAT, NAR BLADE, GROOVED, NS, LTX</t>
  </si>
  <si>
    <t>RETRACTOR, SURG, YOUNG, 8.25 IN, 2X7/16 IN, LAT, NAR BLADE, GROOVED</t>
  </si>
  <si>
    <t>2X7/16 IN</t>
  </si>
  <si>
    <t>NARROW BLADE, GROOVED</t>
  </si>
  <si>
    <t>https://www.bd.com/en-us/products-and-solutions/products/product-page.GU8350#overview, https://accessgudid.nlm.nih.gov/devices/10885403050541</t>
  </si>
  <si>
    <t>CH7212</t>
  </si>
  <si>
    <t>BD_CH7212</t>
  </si>
  <si>
    <t>ZANGER ABDOMINAL AORTA CLAMP 12-1/4IN</t>
  </si>
  <si>
    <t>PRODIGO1057122</t>
  </si>
  <si>
    <t>ZANGER Abdominal Aorta Clamps Acutely-curved shanks Overall length
12-1/4in (31cm)</t>
  </si>
  <si>
    <t>CLAMP, SURGICAL, ZANGER, 12.25 IN, ABDOMINAL, AORTA, ACUTELY-CURVED SHANK, NON STERILE, LATEX</t>
  </si>
  <si>
    <t>CLAMP, SURG, ZANGER, 12.25 IN, ABD, AORT, ACUTELY-CURVED SHANK, NS, LTX</t>
  </si>
  <si>
    <t>CLAMP, SURG, ZANGER, 12.25 IN, ABD, AORT, ACUTELY-CURVED SHANK</t>
  </si>
  <si>
    <t>ZANGER</t>
  </si>
  <si>
    <t>ABDOMINAL, AORTA</t>
  </si>
  <si>
    <t>ACUTELY-CURVED SHANK</t>
  </si>
  <si>
    <t>http://www.lt-technologies.de/_ws/mediabase/_ts_1494230442000/Downloads/CardioCatalog_LIT12012_low-res.pdf, https://accessgudid.nlm.nih.gov/devices/10885403032622</t>
  </si>
  <si>
    <t>CH7210</t>
  </si>
  <si>
    <t>BD_CH7210</t>
  </si>
  <si>
    <t>ZANGER ABDOMINAL AORTA CLAMP 9-1/2IN</t>
  </si>
  <si>
    <t>PRODIGO1057121</t>
  </si>
  <si>
    <t>ZANGER Abdominal Aorta Clamps Acutely-curved shanks Overall length
9-1/2in (24.1cm)</t>
  </si>
  <si>
    <t>CLAMP, SURGICAL, ZANGER, 9.5 IN, ABDOMINAL, AORTA, ACUTELY-CURVED SHANK, NON STERILE, LATEX</t>
  </si>
  <si>
    <t>CLAMP, SURG, ZANGER, 9.5 IN, ABD, AORT, ACUTELY-CURVED SHANK, NS, LTX</t>
  </si>
  <si>
    <t>CLAMP, SURG, ZANGER, 9.5 IN, ABD, AORT, ACUTELY-CURVED SHANK</t>
  </si>
  <si>
    <t>http://www.lt-technologies.de/_ws/mediabase/_ts_1494230442000/Downloads/CardioCatalog_LIT12012_low-res.pdf, https://accessgudid.nlm.nih.gov/devices/10885403032615</t>
  </si>
  <si>
    <t>CH7214</t>
  </si>
  <si>
    <t>BD_CH7214</t>
  </si>
  <si>
    <t>PRODIGO1057123</t>
  </si>
  <si>
    <t>CLAMP, SURGICAL, ZANGER, 9.5 IN, ABDOMINAL, AORTA, ACUTELY-CURVED SHANK, NON STERILE, LATEX, CH7214</t>
  </si>
  <si>
    <t>CLAMP, SURG, ZANGER, 9.5 IN, ABD, AORT, ACUTELY-CURVED, CH7214</t>
  </si>
  <si>
    <t>http://www.lt-technologies.de/_ws/mediabase/_ts_1494230442000/Downloads/CardioCatalog_LIT12012_low-res.pdf, https://accessgudid.nlm.nih.gov/devices/10885403032639</t>
  </si>
  <si>
    <t>Description Duplicate - Catalog # Added</t>
  </si>
  <si>
    <t>GL3340</t>
  </si>
  <si>
    <t>BD_GL3340</t>
  </si>
  <si>
    <t>ZENKER FORCEPS OVER LGTH 14IN</t>
  </si>
  <si>
    <t>PRODIGO1057455</t>
  </si>
  <si>
    <t>Zenker Forceps Overall length 14in (35.6cm).</t>
  </si>
  <si>
    <t>FORCEP, SURGICAL, ZENKER, 14 IN, NON STERILE, LATEX</t>
  </si>
  <si>
    <t>FORCEP, SURG, ZENKER, 14 IN, NS, LTX</t>
  </si>
  <si>
    <t>ZENKER</t>
  </si>
  <si>
    <t>https://www.bd.com/en-us/products-and-solutions/products/product-page.GL3340#overview, https://accessgudid.nlm.nih.gov/devices/10885403045585</t>
  </si>
  <si>
    <t>LAT0545MX90</t>
  </si>
  <si>
    <t>LAT-0545-MX90</t>
  </si>
  <si>
    <t>BD_LAT0545MX90</t>
  </si>
  <si>
    <t>zIXTER 90° D/A INSERT 5MM 45CM</t>
  </si>
  <si>
    <t>PRODIGO1057827</t>
  </si>
  <si>
    <t>MIXTER 90 DISSECTOR D/A INSERT 5MM 45CM</t>
  </si>
  <si>
    <t>DISSECTOR, ENDOSCOPIC, MIXTER, 90 DEGREE, 5 MMX45 CM, DOUBLE ACTION INSERT, NON STERILE, LATEX</t>
  </si>
  <si>
    <t>DISSECTOR ENDOSCOPIC MIXTER 90 DEGREE 5 MMX45 CM DOUBLE ACTION INSERT NON STERILE LATEX</t>
  </si>
  <si>
    <t>DISSECTOR, ENDOSCP, MIXTER, 90 DEG, 5 MMX45 CM, DBL ACT INSRT, NS, LTX</t>
  </si>
  <si>
    <t>DISSECTOR, ENDOSCP, MIXTER, 90 DEG, 5 MMX45 CM, DBL ACT INSRT, NS</t>
  </si>
  <si>
    <t>https://www.bd.com/en-us/products-and-solutions/products/product-page.LAT-0545-MX90#overview</t>
  </si>
  <si>
    <t>LAT0536UG</t>
  </si>
  <si>
    <t>LAT-0536-UG</t>
  </si>
  <si>
    <t>BD_LAT0536UG</t>
  </si>
  <si>
    <t>zNIVERSAL GRASPER D/A INSERT 5MM 36CM</t>
  </si>
  <si>
    <t>PRODIGO1057808</t>
  </si>
  <si>
    <t>UNIVERSAL GRASPER D/A INSERT 5MM 36CM</t>
  </si>
  <si>
    <t>GRASPER, ENDOSCOPIC, UNIVERSAL, 5 MMX36 CM, DOUBLE ACTION INSERT, NON STERILE, LATEX</t>
  </si>
  <si>
    <t>GRASPER ENDOSCOPIC UNIVERSAL 5 MMX36 CM DOUBLE ACTION INSERT NON STERILE LATEX</t>
  </si>
  <si>
    <t>GRASPER, ENDOSCP, UNIV, 5 MMX36 CM, DBL ACT INSRT, NS, LTX</t>
  </si>
  <si>
    <t>https://www.bd.com/en-us/products-and-solutions/products/product-page.lat-0536-ug, https://accessgudid.nlm.nih.gov/devices/10885403431715</t>
  </si>
  <si>
    <t>GL3606004</t>
  </si>
  <si>
    <t>GL3606-004</t>
  </si>
  <si>
    <t>BD_GL3606004</t>
  </si>
  <si>
    <t>Z-TYPE CLAMP ANG JAWS STR HANDLE 14"</t>
  </si>
  <si>
    <t>PRODIGO1057483</t>
  </si>
  <si>
    <t>Z-type uterine clamp Offset handle.Straight jaw. Overall length 14 in(35.5cm).</t>
  </si>
  <si>
    <t>CLAMP, SURGICAL, Z TYPE, 14 IN, UTERINE, OFFSET HANDLE, STRAIGHT JAW, NON STERILE, LATEX</t>
  </si>
  <si>
    <t>CLAMP, SURG, Z TYP, 14 IN, UTER, OFFSET HNDL, STR JAW, NS, LTX</t>
  </si>
  <si>
    <t>Z TYPE</t>
  </si>
  <si>
    <t>OFFSET HANDLE, STRAIGHT JAW</t>
  </si>
  <si>
    <t>https://www.bd.com/en-us/products-and-solutions/products/product-page.GL3606-004#overview, https://accessgudid.nlm.nih.gov/devices/10885403046148</t>
  </si>
  <si>
    <t>GL3602004</t>
  </si>
  <si>
    <t>GL3602-004</t>
  </si>
  <si>
    <t>BD_GL3602004</t>
  </si>
  <si>
    <t>Z-TYPE CLAMP ANG JAWS STR HANDLE 9-1/4"</t>
  </si>
  <si>
    <t>PRODIGO1057473</t>
  </si>
  <si>
    <t>Z-type uterine clamp Offset handle.Straight jaw. Overall length 9-1/2 in(24cm).</t>
  </si>
  <si>
    <t>CLAMP, SURGICAL, Z TYPE, 9.5 IN, UTERINE, OFFSET HANDLE, STRAIGHT JAW, NON STERILE, LATEX</t>
  </si>
  <si>
    <t>CLAMP, SURG, Z TYP, 9.5 IN, UTER, OFFSET HNDL, STR JAW, NS, LTX</t>
  </si>
  <si>
    <t>https://www.bd.com/en-us/products-and-solutions/products/product-page.GL3602-004#overview, https://accessgudid.nlm.nih.gov/devices/10885403045981</t>
  </si>
  <si>
    <t>GL3606003</t>
  </si>
  <si>
    <t>GL3606-003</t>
  </si>
  <si>
    <t>BD_GL3606003</t>
  </si>
  <si>
    <t>Z-TYPE CLAMP CVD JAWS STR HANDLE 14"</t>
  </si>
  <si>
    <t>PRODIGO1057482</t>
  </si>
  <si>
    <t>Z-type uterine clamp Straight handle.Angled jaws. Overall length 14 in(35.5cm).</t>
  </si>
  <si>
    <t>CLAMP, SURGICAL, Z TYPE, 14 IN, UTERINE, STRAIGHT HANDLE, ANGLED JAW, NON STERILE, LATEX</t>
  </si>
  <si>
    <t>CLAMP, SURG, Z TYP, 14 IN, UTER, STR HNDL, ANGLED JAW, NS, LTX</t>
  </si>
  <si>
    <t>STRAIGHT HANDLE, ANGLED JAW</t>
  </si>
  <si>
    <t>https://www.bd.com/en-us/products-and-solutions/products/product-page.GL3606-003#overview, https://accessgudid.nlm.nih.gov/devices/10885403046131</t>
  </si>
  <si>
    <t>GL3602003</t>
  </si>
  <si>
    <t>GL3602-003</t>
  </si>
  <si>
    <t>BD_GL3602003</t>
  </si>
  <si>
    <t>Z-TYPE CLAMP CVD JAWS STR HANDLE 9-1/2"</t>
  </si>
  <si>
    <t>PRODIGO1057472</t>
  </si>
  <si>
    <t>Z-type uterine clamp Straight handle.Angled jaws. Overall length 9-1/4 in(23.6cm).</t>
  </si>
  <si>
    <t>CLAMP, SURGICAL, Z TYPE, 9.25 IN, UTERINE, STRAIGHT HANDLE, ANGLED JAW, NON STERILE, LATEX</t>
  </si>
  <si>
    <t>CLAMP, SURG, Z TYP, 9.25 IN, UTER, STR HNDL, ANGLED JAW, NS, LTX</t>
  </si>
  <si>
    <t>https://www.bd.com/en-us/products-and-solutions/products/product-page.GL3602-003#overview, https://accessgudid.nlm.nih.gov/devices/10885403045974</t>
  </si>
  <si>
    <t>GL3604006</t>
  </si>
  <si>
    <t>GL3604-006</t>
  </si>
  <si>
    <t>BD_GL3604006</t>
  </si>
  <si>
    <t>Z-TYPE CLAMP SL CVD JAW OFFSET HNDL 12"</t>
  </si>
  <si>
    <t>PRODIGO1057478</t>
  </si>
  <si>
    <t>Z-type uterine clamp Offset handle.Curved jaws. Overall length 12 in(30.5cm).</t>
  </si>
  <si>
    <t>CLAMP, SURGICAL, Z TYPE, 12 IN, UTERINE, OFFSET HANDLE, CURVED JAW, NON STERILE, LATEX</t>
  </si>
  <si>
    <t>CLAMP, SURG, Z TYP, 12 IN, UTER, OFFSET HNDL, CRV JAW, NS, LTX</t>
  </si>
  <si>
    <t>OFFSET HANDLE, CURVED JAW</t>
  </si>
  <si>
    <t>https://www.bd.com/en-us/products-and-solutions/products/product-page.GL3604-006#overview, https://accessgudid.nlm.nih.gov/devices/10885403046087</t>
  </si>
  <si>
    <t>GL3602006</t>
  </si>
  <si>
    <t>GL3602-006</t>
  </si>
  <si>
    <t>BD_GL3602006</t>
  </si>
  <si>
    <t>Z-TYPE CLAMP SL CVD JAW OFFSETHNDL 9-1/4</t>
  </si>
  <si>
    <t>PRODIGO1057475</t>
  </si>
  <si>
    <t>Z-type uterine clamp Offset handle.Curved jaws. Overall length 9 in(22.8cm).</t>
  </si>
  <si>
    <t>CLAMP, SURGICAL, Z TYPE, 9 IN, UTERINE, OFFSET HANDLE, CURVED JAW, NON STERILE, LATEX</t>
  </si>
  <si>
    <t>CLAMP, SURG, Z TYP, 9 IN, UTER, OFFSET HNDL, CRV JAW, NS, LTX</t>
  </si>
  <si>
    <t>https://www.bd.com/en-us/products-and-solutions/products/product-page.GL3602-006#overview, https://accessgudid.nlm.nih.gov/devices/10885403046001</t>
  </si>
  <si>
    <t>GL3606002</t>
  </si>
  <si>
    <t>GL3606-002</t>
  </si>
  <si>
    <t>BD_GL3606002</t>
  </si>
  <si>
    <t>Z-TYPE CLAMP SL CVD JAW STR HANDLE 14"</t>
  </si>
  <si>
    <t>PRODIGO1057481</t>
  </si>
  <si>
    <t>Z-type uterine clamp Straight handle.Curved jaws. Overall length 14 in(35.5cm).</t>
  </si>
  <si>
    <t>CLAMP, SURGICAL, Z TYPE, 14 IN, UTERINE, STRAIGHT HANDLE, CURVED JAW, NON STERILE, LATEX</t>
  </si>
  <si>
    <t>CLAMP, SURG, Z TYP, 14 IN, UTER, STR HNDL, CRV JAW, NS, LTX</t>
  </si>
  <si>
    <t>STRAIGHT HANDLE, CURVED JAW</t>
  </si>
  <si>
    <t>https://www.bd.com/en-us/products-and-solutions/products/product-page.GL3606-002#overview, https://accessgudid.nlm.nih.gov/devices/10885403046124</t>
  </si>
  <si>
    <t>GL3602002</t>
  </si>
  <si>
    <t>GL3602-002</t>
  </si>
  <si>
    <t>BD_GL3602002</t>
  </si>
  <si>
    <t>Z-TYPE CLAMP SL CVD JAW STR HANDLE 9-3/4</t>
  </si>
  <si>
    <t>PRODIGO1057471</t>
  </si>
  <si>
    <t>Z-type uterine clamp Straight handle.Curved jaws. Overall length 9-1/2 in(24cm).</t>
  </si>
  <si>
    <t>CLAMP, SURGICAL, Z TYPE, 9.5 IN, UTERINE, STRAIGHT HANDLE, CURVED JAW, NON STERILE, LATEX</t>
  </si>
  <si>
    <t>CLAMP, SURG, Z TYP, 9.5 IN, UTER, STR HNDL, CRV JAW, NS, LTX</t>
  </si>
  <si>
    <t>https://www.bd.com/en-us/products-and-solutions/products/product-page.GL3602-002#overview, https://accessgudid.nlm.nih.gov/devices/10885403045967</t>
  </si>
  <si>
    <t>GL3604005</t>
  </si>
  <si>
    <t>GL3604-005</t>
  </si>
  <si>
    <t>BD_GL3604005</t>
  </si>
  <si>
    <t>Z-TYPE CLAMP STR JAW OFFSET HANDLE 12"</t>
  </si>
  <si>
    <t>PRODIGO1057477</t>
  </si>
  <si>
    <t>Z-type uterine clamp Offset handle.Slightly curved jaws. Overall length 12 in(30.5cm).</t>
  </si>
  <si>
    <t>CLAMP, SURGICAL, Z TYPE, 12 IN, UTERINE, OFFSET HANDLE, SLIGHT CURVED JAW, NON STERILE, LATEX</t>
  </si>
  <si>
    <t>CLAMP, SURG, Z TYP, 12 IN, UTER, OFFSET HNDL, SLGHT CRV JAW, NS, LTX</t>
  </si>
  <si>
    <t>OFFSET HANDLE, SLIGHT CURVED JAW</t>
  </si>
  <si>
    <t>https://www.bd.com/en-us/products-and-solutions/products/product-page.GL3604-005#overview, https://accessgudid.nlm.nih.gov/devices/10885403046070</t>
  </si>
  <si>
    <t>GL3602005</t>
  </si>
  <si>
    <t>GL3602-005</t>
  </si>
  <si>
    <t>BD_GL3602005</t>
  </si>
  <si>
    <t>Z-TYPE CLAMP STR JAW OFFSET HANDLE 9-1/2</t>
  </si>
  <si>
    <t>PRODIGO1057474</t>
  </si>
  <si>
    <t>Z-type uterine clamp Offset handle.Slightly curved jaws. Overall length 9-1/4 in(23.6cm).</t>
  </si>
  <si>
    <t>CLAMP, SURGICAL, Z TYPE, 9.25 IN, UTERINE, OFFSET HANDLE, SLIGHTLY CURVED JAW, NON STERILE, LATEX</t>
  </si>
  <si>
    <t>CLAMP, SURG, Z TYP, 9.25 IN, UTER, OFFSET HNDL, SLIGHTLY CRV JAW, NS, LTX</t>
  </si>
  <si>
    <t>CLAMP, SURG, Z TYP, 9.25 IN, UTER, OFFSET HNDL, SLIGHTLY CRV JAW</t>
  </si>
  <si>
    <t>OFFSET HANDLE, SLIGHTLY CURVED JAW</t>
  </si>
  <si>
    <t>https://www.bd.com/en-us/products-and-solutions/products/product-page.GL3602-005#overview, https://accessgudid.nlm.nih.gov/devices/10885403045998</t>
  </si>
  <si>
    <t>GL3606001</t>
  </si>
  <si>
    <t>GL3606-001</t>
  </si>
  <si>
    <t>BD_GL3606001</t>
  </si>
  <si>
    <t>Z-TYPE CLAMP STR JAWS &amp; HANDLE 14"</t>
  </si>
  <si>
    <t>PRODIGO1057480</t>
  </si>
  <si>
    <t>Z-type uterine clamp Straight handle.Slightly curved jaws. Overall length 14 in(35.5cm).</t>
  </si>
  <si>
    <t>CLAMP, SURGICAL, Z TYPE, 14 IN, UTERINE, STRAIGHT HANDLE, SLIGHTLY CURVED JAW, NON STERILE, LATEX</t>
  </si>
  <si>
    <t>CLAMP, SURG, Z TYP, 14 IN, UTER, STR HNDL, SLIGHTLY CRV JAW, NS, LTX</t>
  </si>
  <si>
    <t>STRAIGHT HANDLE, SLIGHTLY CURVED JAW</t>
  </si>
  <si>
    <t>https://www.bd.com/en-us/products-and-solutions/products/product-page.GL3606-001#overview, https://accessgudid.nlm.nih.gov/devices/10885403046117</t>
  </si>
  <si>
    <t>GL3602001</t>
  </si>
  <si>
    <t>GL3602-001</t>
  </si>
  <si>
    <t>BD_GL3602001</t>
  </si>
  <si>
    <t>Z-TYPE CLAMP STR JAWS &amp; HDL 9-3/4"</t>
  </si>
  <si>
    <t>PRODIGO1057470</t>
  </si>
  <si>
    <t>Z-type uterine clamp Straight handle.Slightly curved jaws. Overall length 9-3/4 in(24.7cm).</t>
  </si>
  <si>
    <t>CLAMP, SURGICAL, Z TYPE, 9.75 IN, UTERINE, STRAIGHT HANDLE, SLIGHTLY CURVED JAW, NON STERILE, LATEX</t>
  </si>
  <si>
    <t>CLAMP, SURG, Z TYP, 9.75 IN, UTER, STR HNDL, SLIGHTLY CRV JAW, NS, LTX</t>
  </si>
  <si>
    <t>CLAMP, SURG, Z TYP, 9.75 IN, UTER, STR HNDL, SLIGHTLY CRV JAW, NS</t>
  </si>
  <si>
    <t>https://www.bd.com/en-us/products-and-solutions/products/product-page.GL3602-001#overview, https://accessgudid.nlm.nih.gov/devices/10885403045950</t>
  </si>
  <si>
    <t>B1</t>
  </si>
  <si>
    <t>QC User</t>
  </si>
  <si>
    <t>QC User Comments</t>
  </si>
  <si>
    <t>Status</t>
  </si>
  <si>
    <t>Production Comments</t>
  </si>
  <si>
    <t>Production Completed</t>
  </si>
  <si>
    <t>QC Comments</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</si>
</sst>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1"/>
      <color theme="1"/>
      <name val="Calibri"/>
      <family val="2"/>
      <scheme val="minor"/>
    </font>
    <font>
      <b/>
      <sz val="10"/>
      <color theme="1"/>
      <name val="Calibri"/>
      <family val="2"/>
      <scheme val="minor"/>
    </font>
    <font>
      <b/>
      <sz val="10"/>
      <color theme="0"/>
      <name val="Calibri"/>
      <family val="2"/>
      <scheme val="minor"/>
    </font>
    <font>
      <b/>
      <sz val="10"/>
      <name val="Calibri"/>
      <family val="2"/>
      <scheme val="minor"/>
    </font>
    <font>
      <sz val="10"/>
      <color theme="1"/>
      <name val="Calibri"/>
      <family val="2"/>
      <scheme val="minor"/>
    </font>
    <font>
      <sz val="10"/>
      <name val="Calibri"/>
      <family val="2"/>
      <scheme val="minor"/>
    </font>
    <font>
      <sz val="10"/>
      <color indexed="8"/>
      <name val="Calibri"/>
      <family val="2"/>
      <scheme val="minor"/>
    </font>
    <font>
      <u/>
      <sz val="11"/>
      <color theme="10"/>
      <name val="Calibri"/>
      <family val="2"/>
      <scheme val="minor"/>
    </font>
    <font>
      <sz val="10"/>
      <color theme="10"/>
      <name val="Calibri"/>
      <family val="2"/>
      <scheme val="minor"/>
    </font>
    <font>
      <sz val="10"/>
      <color indexed="8"/>
      <name val="Arial"/>
      <family val="2"/>
    </font>
  </fonts>
  <fills count="10">
    <fill>
      <patternFill patternType="none"/>
    </fill>
    <fill>
      <patternFill patternType="gray125"/>
    </fill>
    <fill>
      <patternFill patternType="solid">
        <fgColor theme="5" tint="0.59999389629810485"/>
        <bgColor indexed="64"/>
      </patternFill>
    </fill>
    <fill>
      <patternFill patternType="solid">
        <fgColor rgb="FFFFFFCC"/>
        <bgColor indexed="64"/>
      </patternFill>
    </fill>
    <fill>
      <patternFill patternType="solid">
        <fgColor theme="0" tint="-0.14996795556505021"/>
        <bgColor indexed="64"/>
      </patternFill>
    </fill>
    <fill>
      <patternFill patternType="solid">
        <fgColor rgb="FFFFFF99"/>
        <bgColor indexed="64"/>
      </patternFill>
    </fill>
    <fill>
      <patternFill patternType="solid">
        <fgColor rgb="FF0033CC"/>
        <bgColor indexed="64"/>
      </patternFill>
    </fill>
    <fill>
      <patternFill patternType="solid">
        <fgColor rgb="FF00FFFF"/>
        <bgColor indexed="64"/>
      </patternFill>
    </fill>
    <fill>
      <patternFill patternType="solid">
        <fgColor rgb="FF800000"/>
        <bgColor indexed="64"/>
      </patternFill>
    </fill>
    <fill>
      <patternFill patternType="solid">
        <fgColor indexed="47"/>
        <bgColor indexed="64"/>
      </patternFill>
    </fill>
  </fills>
  <borders count="4">
    <border>
      <left/>
      <right/>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indexed="22"/>
      </left>
      <right style="thin">
        <color indexed="22"/>
      </right>
      <top style="thin">
        <color indexed="22"/>
      </top>
      <bottom style="thin">
        <color indexed="22"/>
      </bottom>
      <diagonal/>
    </border>
    <border>
      <left style="thin">
        <color theme="0" tint="-0.24994659260841701"/>
      </left>
      <right style="thin">
        <color indexed="64"/>
      </right>
      <top style="thin">
        <color theme="0" tint="-0.24994659260841701"/>
      </top>
      <bottom style="thin">
        <color theme="0" tint="-0.24994659260841701"/>
      </bottom>
      <diagonal/>
    </border>
  </borders>
  <cellStyleXfs count="3">
    <xf numFmtId="0" fontId="0" fillId="0" borderId="0"/>
    <xf numFmtId="0" fontId="7" fillId="0" borderId="0" applyNumberFormat="0" applyFill="0" applyBorder="0" applyAlignment="0" applyProtection="0"/>
    <xf numFmtId="0" fontId="9" fillId="0" borderId="0"/>
  </cellStyleXfs>
  <cellXfs count="48">
    <xf numFmtId="0" fontId="0" fillId="0" borderId="0" xfId="0"/>
    <xf numFmtId="0" fontId="1" fillId="2" borderId="0" xfId="0" applyFont="1" applyFill="1" applyAlignment="1">
      <alignment vertical="center"/>
    </xf>
    <xf numFmtId="0" fontId="1" fillId="3" borderId="0" xfId="0" applyFont="1" applyFill="1" applyAlignment="1">
      <alignment vertical="center"/>
    </xf>
    <xf numFmtId="49" fontId="1" fillId="4" borderId="0" xfId="0" applyNumberFormat="1" applyFont="1" applyFill="1" applyAlignment="1">
      <alignment vertical="center"/>
    </xf>
    <xf numFmtId="0" fontId="1" fillId="4" borderId="0" xfId="0" applyFont="1" applyFill="1" applyAlignment="1">
      <alignment vertical="center"/>
    </xf>
    <xf numFmtId="0" fontId="1" fillId="5" borderId="0" xfId="0" applyFont="1" applyFill="1" applyAlignment="1">
      <alignment vertical="center"/>
    </xf>
    <xf numFmtId="49" fontId="1" fillId="2" borderId="0" xfId="0" applyNumberFormat="1" applyFont="1" applyFill="1" applyAlignment="1">
      <alignment vertical="center"/>
    </xf>
    <xf numFmtId="0" fontId="2" fillId="6" borderId="0" xfId="0" applyFont="1" applyFill="1" applyAlignment="1">
      <alignment vertical="center"/>
    </xf>
    <xf numFmtId="0" fontId="1" fillId="7" borderId="0" xfId="0" applyFont="1" applyFill="1" applyAlignment="1">
      <alignment vertical="center"/>
    </xf>
    <xf numFmtId="0" fontId="1" fillId="5" borderId="0" xfId="0" applyFont="1" applyFill="1" applyAlignment="1">
      <alignment horizontal="left" vertical="center"/>
    </xf>
    <xf numFmtId="0" fontId="2" fillId="8" borderId="0" xfId="0" applyFont="1" applyFill="1" applyAlignment="1">
      <alignment vertical="center"/>
    </xf>
    <xf numFmtId="0" fontId="3" fillId="9" borderId="0" xfId="0" applyFont="1" applyFill="1" applyAlignment="1">
      <alignment vertical="center"/>
    </xf>
    <xf numFmtId="49" fontId="3" fillId="9" borderId="0" xfId="0" applyNumberFormat="1" applyFont="1" applyFill="1" applyAlignment="1">
      <alignment vertical="center"/>
    </xf>
    <xf numFmtId="0" fontId="1" fillId="0" borderId="0" xfId="0" applyFont="1" applyAlignment="1">
      <alignment vertical="center"/>
    </xf>
    <xf numFmtId="0" fontId="1" fillId="0" borderId="0" xfId="0" applyFont="1" applyAlignment="1">
      <alignment horizontal="left" vertical="center" indent="1"/>
    </xf>
    <xf numFmtId="0" fontId="4" fillId="0" borderId="0" xfId="0" applyFont="1" applyAlignment="1"/>
    <xf numFmtId="49" fontId="4" fillId="0" borderId="0" xfId="0" applyNumberFormat="1" applyFont="1" applyAlignment="1">
      <alignment vertical="center"/>
    </xf>
    <xf numFmtId="0" fontId="4" fillId="0" borderId="0" xfId="0" applyFont="1" applyAlignment="1">
      <alignment vertical="center"/>
    </xf>
    <xf numFmtId="0" fontId="4" fillId="0" borderId="0" xfId="0" applyNumberFormat="1" applyFont="1" applyAlignment="1"/>
    <xf numFmtId="0" fontId="4" fillId="0" borderId="0" xfId="0" quotePrefix="1" applyFont="1" applyAlignment="1"/>
    <xf numFmtId="0" fontId="4" fillId="0" borderId="0" xfId="0" applyFont="1" applyBorder="1" applyAlignment="1">
      <alignment vertical="center"/>
    </xf>
    <xf numFmtId="0" fontId="5" fillId="0" borderId="0" xfId="0" applyFont="1" applyAlignment="1">
      <alignment vertical="center"/>
    </xf>
    <xf numFmtId="49" fontId="4" fillId="0" borderId="0" xfId="0" applyNumberFormat="1" applyFont="1" applyFill="1" applyAlignment="1"/>
    <xf numFmtId="0" fontId="5" fillId="0" borderId="0" xfId="0" applyFont="1" applyFill="1" applyAlignment="1">
      <alignment vertical="center"/>
    </xf>
    <xf numFmtId="0" fontId="4" fillId="0" borderId="0" xfId="0" applyNumberFormat="1" applyFont="1" applyFill="1" applyBorder="1" applyAlignment="1">
      <alignment vertical="center"/>
    </xf>
    <xf numFmtId="49" fontId="4" fillId="0" borderId="0" xfId="0" applyNumberFormat="1" applyFont="1" applyAlignment="1"/>
    <xf numFmtId="0" fontId="4" fillId="0" borderId="0" xfId="0" quotePrefix="1" applyNumberFormat="1" applyFont="1" applyAlignment="1"/>
    <xf numFmtId="0" fontId="4" fillId="0" borderId="0" xfId="0" applyFont="1" applyAlignment="1">
      <alignment wrapText="1"/>
    </xf>
    <xf numFmtId="49" fontId="1" fillId="0" borderId="0" xfId="0" applyNumberFormat="1" applyFont="1" applyFill="1" applyAlignment="1"/>
    <xf numFmtId="0" fontId="4" fillId="0" borderId="0" xfId="0" applyNumberFormat="1" applyFont="1" applyBorder="1" applyAlignment="1">
      <alignment vertical="center"/>
    </xf>
    <xf numFmtId="0" fontId="1" fillId="0" borderId="0" xfId="0" applyFont="1" applyAlignment="1"/>
    <xf numFmtId="0" fontId="6" fillId="0" borderId="0" xfId="0" applyFont="1" applyBorder="1" applyAlignment="1"/>
    <xf numFmtId="0" fontId="5" fillId="0" borderId="0" xfId="0" applyNumberFormat="1" applyFont="1" applyAlignment="1"/>
    <xf numFmtId="0" fontId="8" fillId="0" borderId="0" xfId="1" applyFont="1" applyAlignment="1"/>
    <xf numFmtId="0" fontId="4" fillId="0" borderId="1" xfId="0" applyFont="1" applyBorder="1" applyAlignment="1"/>
    <xf numFmtId="0" fontId="4" fillId="0" borderId="2" xfId="0" applyFont="1" applyBorder="1" applyAlignment="1"/>
    <xf numFmtId="0" fontId="4" fillId="0" borderId="1" xfId="0" applyNumberFormat="1" applyFont="1" applyBorder="1" applyAlignment="1"/>
    <xf numFmtId="0" fontId="4" fillId="0" borderId="3" xfId="0" applyFont="1" applyBorder="1" applyAlignment="1"/>
    <xf numFmtId="0" fontId="4" fillId="0" borderId="3" xfId="0" applyFont="1" applyBorder="1" applyAlignment="1">
      <alignment vertical="center"/>
    </xf>
    <xf numFmtId="14" fontId="4" fillId="0" borderId="0" xfId="0" applyNumberFormat="1" applyFont="1" applyAlignment="1"/>
    <xf numFmtId="0" fontId="4" fillId="0" borderId="0" xfId="0" applyNumberFormat="1" applyFont="1" applyBorder="1" applyAlignment="1"/>
    <xf numFmtId="0" fontId="4" fillId="0" borderId="1" xfId="0" applyFont="1" applyBorder="1" applyAlignment="1">
      <alignment vertical="center"/>
    </xf>
    <xf numFmtId="0" fontId="5" fillId="0" borderId="0" xfId="0" applyFont="1" applyAlignment="1"/>
    <xf numFmtId="0" fontId="5" fillId="0" borderId="0" xfId="2" applyFont="1" applyAlignment="1">
      <alignment vertical="center"/>
    </xf>
    <xf numFmtId="0" fontId="5" fillId="0" borderId="0" xfId="2" applyNumberFormat="1" applyFont="1" applyAlignment="1">
      <alignment vertical="center"/>
    </xf>
    <xf numFmtId="0" fontId="5" fillId="0" borderId="0" xfId="2" applyNumberFormat="1" applyFont="1" applyBorder="1" applyAlignment="1">
      <alignment vertical="center"/>
    </xf>
    <xf numFmtId="0" fontId="1" fillId="0" borderId="0" xfId="0" applyNumberFormat="1" applyFont="1" applyAlignment="1"/>
    <xf numFmtId="0" fontId="4" fillId="0" borderId="0" xfId="0" applyFont="1" applyBorder="1" applyAlignment="1"/>
  </cellXfs>
  <cellStyles count="3">
    <cellStyle name="Hyperlink" xfId="1" builtinId="8"/>
    <cellStyle name="Normal" xfId="0" builtinId="0"/>
    <cellStyle name="Normal_Sheet1"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J1697"/>
  <sheetViews>
    <sheetView tabSelected="1" topLeftCell="C1" workbookViewId="0">
      <pane ySplit="1" topLeftCell="A2" activePane="bottomLeft" state="frozen"/>
      <selection pane="bottomLeft" activeCell="C1" sqref="C1"/>
    </sheetView>
  </sheetViews>
  <sheetFormatPr defaultRowHeight="15" x14ac:dyDescent="0.25"/>
  <cols>
    <col min="6" max="6" width="13.7109375" bestFit="1" customWidth="1"/>
    <col min="7" max="7" width="11.85546875" bestFit="1" customWidth="1"/>
    <col min="9" max="9" width="16.42578125" bestFit="1" customWidth="1"/>
    <col min="10" max="10" width="34" bestFit="1" customWidth="1"/>
    <col min="112" max="113" width="18.7109375" bestFit="1" customWidth="1"/>
  </cols>
  <sheetData>
    <row r="1" spans="1:114" s="14" customFormat="1" ht="12.75" x14ac:dyDescent="0.25">
      <c r="A1" s="1" t="s">
        <v>0</v>
      </c>
      <c r="B1" s="1" t="s">
        <v>1</v>
      </c>
      <c r="C1" s="1" t="s">
        <v>2</v>
      </c>
      <c r="D1" s="1" t="s">
        <v>3</v>
      </c>
      <c r="E1" s="1" t="s">
        <v>4</v>
      </c>
      <c r="F1" s="1" t="s">
        <v>5</v>
      </c>
      <c r="G1" s="1" t="s">
        <v>6</v>
      </c>
      <c r="H1" s="1" t="s">
        <v>17978</v>
      </c>
      <c r="I1" s="1" t="s">
        <v>17979</v>
      </c>
      <c r="J1" s="1" t="s">
        <v>7</v>
      </c>
      <c r="K1" s="1" t="s">
        <v>8</v>
      </c>
      <c r="L1" s="1" t="s">
        <v>9</v>
      </c>
      <c r="M1" s="1" t="s">
        <v>10</v>
      </c>
      <c r="N1" s="1" t="s">
        <v>11</v>
      </c>
      <c r="O1" s="1" t="s">
        <v>12</v>
      </c>
      <c r="P1" s="1" t="s">
        <v>13</v>
      </c>
      <c r="Q1" s="1" t="s">
        <v>14</v>
      </c>
      <c r="R1" s="1" t="s">
        <v>15</v>
      </c>
      <c r="S1" s="1" t="s">
        <v>16</v>
      </c>
      <c r="T1" s="1" t="s">
        <v>17</v>
      </c>
      <c r="U1" s="1" t="s">
        <v>18</v>
      </c>
      <c r="V1" s="1" t="s">
        <v>19</v>
      </c>
      <c r="W1" s="2" t="s">
        <v>20</v>
      </c>
      <c r="X1" s="2" t="s">
        <v>21</v>
      </c>
      <c r="Y1" s="3" t="s">
        <v>22</v>
      </c>
      <c r="Z1" s="4" t="s">
        <v>23</v>
      </c>
      <c r="AA1" s="5" t="s">
        <v>24</v>
      </c>
      <c r="AB1" s="3" t="s">
        <v>25</v>
      </c>
      <c r="AC1" s="4" t="s">
        <v>26</v>
      </c>
      <c r="AD1" s="5" t="s">
        <v>27</v>
      </c>
      <c r="AE1" s="1" t="s">
        <v>28</v>
      </c>
      <c r="AF1" s="1" t="s">
        <v>29</v>
      </c>
      <c r="AG1" s="6" t="s">
        <v>30</v>
      </c>
      <c r="AH1" s="1" t="s">
        <v>31</v>
      </c>
      <c r="AI1" s="4" t="s">
        <v>32</v>
      </c>
      <c r="AJ1" s="4" t="s">
        <v>33</v>
      </c>
      <c r="AK1" s="4" t="s">
        <v>34</v>
      </c>
      <c r="AL1" s="4" t="s">
        <v>35</v>
      </c>
      <c r="AM1" s="4" t="s">
        <v>36</v>
      </c>
      <c r="AN1" s="4" t="s">
        <v>37</v>
      </c>
      <c r="AO1" s="4" t="s">
        <v>38</v>
      </c>
      <c r="AP1" s="4" t="s">
        <v>39</v>
      </c>
      <c r="AQ1" s="5" t="s">
        <v>40</v>
      </c>
      <c r="AR1" s="1" t="s">
        <v>41</v>
      </c>
      <c r="AS1" s="1" t="s">
        <v>42</v>
      </c>
      <c r="AT1" s="7" t="s">
        <v>43</v>
      </c>
      <c r="AU1" s="5" t="s">
        <v>44</v>
      </c>
      <c r="AV1" s="5" t="s">
        <v>45</v>
      </c>
      <c r="AW1" s="8" t="s">
        <v>46</v>
      </c>
      <c r="AX1" s="8" t="s">
        <v>47</v>
      </c>
      <c r="AY1" s="9" t="s">
        <v>48</v>
      </c>
      <c r="AZ1" s="7" t="s">
        <v>49</v>
      </c>
      <c r="BA1" s="7" t="s">
        <v>50</v>
      </c>
      <c r="BB1" s="7" t="s">
        <v>51</v>
      </c>
      <c r="BC1" s="7" t="s">
        <v>52</v>
      </c>
      <c r="BD1" s="7" t="s">
        <v>53</v>
      </c>
      <c r="BE1" s="7" t="s">
        <v>54</v>
      </c>
      <c r="BF1" s="7" t="s">
        <v>55</v>
      </c>
      <c r="BG1" s="7" t="s">
        <v>56</v>
      </c>
      <c r="BH1" s="7" t="s">
        <v>57</v>
      </c>
      <c r="BI1" s="7" t="s">
        <v>58</v>
      </c>
      <c r="BJ1" s="7" t="s">
        <v>59</v>
      </c>
      <c r="BK1" s="7" t="s">
        <v>60</v>
      </c>
      <c r="BL1" s="7" t="s">
        <v>61</v>
      </c>
      <c r="BM1" s="7" t="s">
        <v>62</v>
      </c>
      <c r="BN1" s="7" t="s">
        <v>63</v>
      </c>
      <c r="BO1" s="7" t="s">
        <v>64</v>
      </c>
      <c r="BP1" s="7" t="s">
        <v>65</v>
      </c>
      <c r="BQ1" s="7" t="s">
        <v>66</v>
      </c>
      <c r="BR1" s="7" t="s">
        <v>67</v>
      </c>
      <c r="BS1" s="5" t="s">
        <v>68</v>
      </c>
      <c r="BT1" s="5" t="s">
        <v>69</v>
      </c>
      <c r="BU1" s="7" t="s">
        <v>70</v>
      </c>
      <c r="BV1" s="7" t="s">
        <v>71</v>
      </c>
      <c r="BW1" s="7" t="s">
        <v>72</v>
      </c>
      <c r="BX1" s="7" t="s">
        <v>73</v>
      </c>
      <c r="BY1" s="7" t="s">
        <v>74</v>
      </c>
      <c r="BZ1" s="7" t="s">
        <v>75</v>
      </c>
      <c r="CA1" s="7" t="s">
        <v>76</v>
      </c>
      <c r="CB1" s="7" t="s">
        <v>77</v>
      </c>
      <c r="CC1" s="10" t="s">
        <v>78</v>
      </c>
      <c r="CD1" s="10" t="s">
        <v>79</v>
      </c>
      <c r="CE1" s="10" t="s">
        <v>80</v>
      </c>
      <c r="CF1" s="10" t="s">
        <v>81</v>
      </c>
      <c r="CG1" s="10" t="s">
        <v>82</v>
      </c>
      <c r="CH1" s="10" t="s">
        <v>83</v>
      </c>
      <c r="CI1" s="10" t="s">
        <v>84</v>
      </c>
      <c r="CJ1" s="10" t="s">
        <v>85</v>
      </c>
      <c r="CK1" s="10" t="s">
        <v>86</v>
      </c>
      <c r="CL1" s="10" t="s">
        <v>87</v>
      </c>
      <c r="CM1" s="10" t="s">
        <v>88</v>
      </c>
      <c r="CN1" s="10" t="s">
        <v>89</v>
      </c>
      <c r="CO1" s="10" t="s">
        <v>90</v>
      </c>
      <c r="CP1" s="10" t="s">
        <v>91</v>
      </c>
      <c r="CQ1" s="10" t="s">
        <v>92</v>
      </c>
      <c r="CR1" s="10" t="s">
        <v>93</v>
      </c>
      <c r="CS1" s="10" t="s">
        <v>94</v>
      </c>
      <c r="CT1" s="10" t="s">
        <v>95</v>
      </c>
      <c r="CU1" s="10" t="s">
        <v>96</v>
      </c>
      <c r="CV1" s="4" t="s">
        <v>97</v>
      </c>
      <c r="CW1" s="4" t="s">
        <v>98</v>
      </c>
      <c r="CX1" s="4" t="s">
        <v>99</v>
      </c>
      <c r="CY1" s="4" t="s">
        <v>100</v>
      </c>
      <c r="CZ1" s="11" t="s">
        <v>101</v>
      </c>
      <c r="DA1" s="12" t="s">
        <v>102</v>
      </c>
      <c r="DB1" s="11" t="s">
        <v>103</v>
      </c>
      <c r="DC1" s="13" t="s">
        <v>104</v>
      </c>
      <c r="DD1" s="13" t="s">
        <v>105</v>
      </c>
      <c r="DE1" s="13" t="s">
        <v>106</v>
      </c>
      <c r="DF1" s="13" t="s">
        <v>107</v>
      </c>
      <c r="DG1" s="13" t="s">
        <v>108</v>
      </c>
      <c r="DH1" s="14" t="s">
        <v>17980</v>
      </c>
      <c r="DI1" s="14" t="s">
        <v>17981</v>
      </c>
      <c r="DJ1" s="14" t="s">
        <v>17983</v>
      </c>
    </row>
    <row r="2" spans="1:114" s="15" customFormat="1" ht="12.75" x14ac:dyDescent="0.2">
      <c r="A2" s="15" t="s">
        <v>109</v>
      </c>
      <c r="B2" s="15" t="s">
        <v>110</v>
      </c>
      <c r="D2" s="15" t="s">
        <v>111</v>
      </c>
      <c r="E2" s="15" t="s">
        <v>112</v>
      </c>
      <c r="F2" s="15" t="s">
        <v>111</v>
      </c>
      <c r="G2" s="15" t="s">
        <v>113</v>
      </c>
      <c r="H2" s="15" t="s">
        <v>1045</v>
      </c>
      <c r="J2" s="16" t="s">
        <v>114</v>
      </c>
      <c r="U2" s="15" t="s">
        <v>17977</v>
      </c>
      <c r="W2" s="15">
        <v>1188</v>
      </c>
      <c r="X2" s="15">
        <v>1</v>
      </c>
      <c r="Y2" s="15" t="s">
        <v>115</v>
      </c>
      <c r="Z2" s="15" t="s">
        <v>115</v>
      </c>
      <c r="AA2" s="15" t="s">
        <v>116</v>
      </c>
      <c r="AB2" s="15" t="s">
        <v>6190</v>
      </c>
      <c r="AC2" s="15" t="s">
        <v>6190</v>
      </c>
      <c r="AD2" s="15" t="s">
        <v>6190</v>
      </c>
      <c r="AE2" s="15" t="s">
        <v>119</v>
      </c>
      <c r="AF2" s="15" t="s">
        <v>6190</v>
      </c>
      <c r="AG2" s="15" t="s">
        <v>6190</v>
      </c>
      <c r="AH2" s="15" t="s">
        <v>6191</v>
      </c>
      <c r="AL2" s="15" t="s">
        <v>6192</v>
      </c>
      <c r="AN2" s="15">
        <v>27</v>
      </c>
      <c r="AO2" s="15" t="s">
        <v>6193</v>
      </c>
      <c r="AQ2" s="15" t="s">
        <v>123</v>
      </c>
      <c r="AR2" s="15" t="s">
        <v>124</v>
      </c>
      <c r="AS2" s="15" t="s">
        <v>125</v>
      </c>
      <c r="AT2" s="15" t="s">
        <v>6194</v>
      </c>
      <c r="AU2" s="15" t="s">
        <v>6195</v>
      </c>
      <c r="AV2" s="15" t="s">
        <v>6195</v>
      </c>
      <c r="AW2" s="15" t="s">
        <v>6196</v>
      </c>
      <c r="AX2" s="15" t="s">
        <v>6197</v>
      </c>
      <c r="AY2" s="15">
        <f t="shared" ref="AY2:AY65" si="0">LEN(SUBSTITUTE(AX2, ", "," "))</f>
        <v>59</v>
      </c>
      <c r="AZ2" s="15" t="s">
        <v>130</v>
      </c>
      <c r="BA2" s="15" t="s">
        <v>131</v>
      </c>
      <c r="BB2" s="15" t="s">
        <v>6198</v>
      </c>
      <c r="BC2" s="15" t="s">
        <v>6199</v>
      </c>
      <c r="BE2" s="15" t="s">
        <v>6200</v>
      </c>
      <c r="BJ2" s="15" t="s">
        <v>6201</v>
      </c>
      <c r="BN2" s="15" t="s">
        <v>136</v>
      </c>
      <c r="BO2" s="15" t="s">
        <v>6202</v>
      </c>
      <c r="BP2" s="15" t="s">
        <v>138</v>
      </c>
      <c r="BS2" s="15" t="s">
        <v>6203</v>
      </c>
      <c r="BT2" s="15" t="s">
        <v>140</v>
      </c>
      <c r="DH2" s="15" t="s">
        <v>17982</v>
      </c>
      <c r="DI2" s="15" t="s">
        <v>17982</v>
      </c>
    </row>
    <row r="3" spans="1:114" s="15" customFormat="1" ht="12.75" x14ac:dyDescent="0.2">
      <c r="A3" s="15" t="s">
        <v>109</v>
      </c>
      <c r="B3" s="15" t="s">
        <v>110</v>
      </c>
      <c r="D3" s="15" t="s">
        <v>111</v>
      </c>
      <c r="E3" s="15" t="s">
        <v>112</v>
      </c>
      <c r="F3" s="15" t="s">
        <v>111</v>
      </c>
      <c r="G3" s="15" t="s">
        <v>113</v>
      </c>
      <c r="H3" s="15" t="s">
        <v>1045</v>
      </c>
      <c r="J3" s="16" t="s">
        <v>114</v>
      </c>
      <c r="U3" s="15" t="s">
        <v>17977</v>
      </c>
      <c r="W3" s="15">
        <v>1185</v>
      </c>
      <c r="X3" s="15">
        <v>2</v>
      </c>
      <c r="Y3" s="15" t="s">
        <v>115</v>
      </c>
      <c r="Z3" s="15" t="s">
        <v>115</v>
      </c>
      <c r="AA3" s="15" t="s">
        <v>116</v>
      </c>
      <c r="AB3" s="15" t="s">
        <v>6153</v>
      </c>
      <c r="AC3" s="15" t="s">
        <v>6153</v>
      </c>
      <c r="AD3" s="15" t="s">
        <v>6153</v>
      </c>
      <c r="AE3" s="15" t="s">
        <v>119</v>
      </c>
      <c r="AF3" s="15" t="s">
        <v>6153</v>
      </c>
      <c r="AG3" s="15" t="s">
        <v>6153</v>
      </c>
      <c r="AH3" s="15" t="s">
        <v>6154</v>
      </c>
      <c r="AL3" s="15" t="s">
        <v>6155</v>
      </c>
      <c r="AN3" s="15">
        <v>27</v>
      </c>
      <c r="AO3" s="15" t="s">
        <v>6156</v>
      </c>
      <c r="AQ3" s="15" t="s">
        <v>123</v>
      </c>
      <c r="AR3" s="15" t="s">
        <v>124</v>
      </c>
      <c r="AS3" s="15" t="s">
        <v>125</v>
      </c>
      <c r="AT3" s="15" t="s">
        <v>6157</v>
      </c>
      <c r="AU3" s="15" t="s">
        <v>6158</v>
      </c>
      <c r="AV3" s="15" t="s">
        <v>6158</v>
      </c>
      <c r="AW3" s="15" t="s">
        <v>6159</v>
      </c>
      <c r="AX3" s="15" t="s">
        <v>6160</v>
      </c>
      <c r="AY3" s="15">
        <f t="shared" si="0"/>
        <v>60</v>
      </c>
      <c r="AZ3" s="15" t="s">
        <v>130</v>
      </c>
      <c r="BA3" s="15" t="s">
        <v>131</v>
      </c>
      <c r="BB3" s="15" t="s">
        <v>6161</v>
      </c>
      <c r="BC3" s="15" t="s">
        <v>6162</v>
      </c>
      <c r="BE3" s="15" t="s">
        <v>6163</v>
      </c>
      <c r="BJ3" s="15" t="s">
        <v>6164</v>
      </c>
      <c r="BN3" s="15" t="s">
        <v>136</v>
      </c>
      <c r="BO3" s="15" t="s">
        <v>6165</v>
      </c>
      <c r="BP3" s="15" t="s">
        <v>138</v>
      </c>
      <c r="BS3" s="15" t="s">
        <v>6166</v>
      </c>
      <c r="BT3" s="15" t="s">
        <v>140</v>
      </c>
      <c r="DH3" s="15" t="s">
        <v>17982</v>
      </c>
      <c r="DI3" s="15" t="s">
        <v>17982</v>
      </c>
    </row>
    <row r="4" spans="1:114" s="15" customFormat="1" ht="12.75" x14ac:dyDescent="0.2">
      <c r="A4" s="15" t="s">
        <v>109</v>
      </c>
      <c r="B4" s="15" t="s">
        <v>110</v>
      </c>
      <c r="D4" s="15" t="s">
        <v>111</v>
      </c>
      <c r="E4" s="15" t="s">
        <v>112</v>
      </c>
      <c r="F4" s="15" t="s">
        <v>111</v>
      </c>
      <c r="G4" s="15" t="s">
        <v>113</v>
      </c>
      <c r="H4" s="15" t="s">
        <v>1045</v>
      </c>
      <c r="J4" s="16" t="s">
        <v>114</v>
      </c>
      <c r="U4" s="15" t="s">
        <v>17977</v>
      </c>
      <c r="W4" s="15">
        <v>1187</v>
      </c>
      <c r="X4" s="15">
        <v>3</v>
      </c>
      <c r="Y4" s="15" t="s">
        <v>115</v>
      </c>
      <c r="Z4" s="15" t="s">
        <v>115</v>
      </c>
      <c r="AA4" s="15" t="s">
        <v>116</v>
      </c>
      <c r="AB4" s="15" t="s">
        <v>6178</v>
      </c>
      <c r="AC4" s="15" t="s">
        <v>6178</v>
      </c>
      <c r="AD4" s="15" t="s">
        <v>6178</v>
      </c>
      <c r="AE4" s="15" t="s">
        <v>119</v>
      </c>
      <c r="AF4" s="15" t="s">
        <v>6178</v>
      </c>
      <c r="AG4" s="15" t="s">
        <v>6178</v>
      </c>
      <c r="AH4" s="15" t="s">
        <v>6179</v>
      </c>
      <c r="AL4" s="15" t="s">
        <v>6180</v>
      </c>
      <c r="AN4" s="15">
        <v>27</v>
      </c>
      <c r="AO4" s="15" t="s">
        <v>6181</v>
      </c>
      <c r="AQ4" s="15" t="s">
        <v>123</v>
      </c>
      <c r="AR4" s="15" t="s">
        <v>147</v>
      </c>
      <c r="AS4" s="15" t="s">
        <v>148</v>
      </c>
      <c r="AT4" s="15" t="s">
        <v>6182</v>
      </c>
      <c r="AU4" s="15" t="s">
        <v>6183</v>
      </c>
      <c r="AV4" s="15" t="s">
        <v>6183</v>
      </c>
      <c r="AW4" s="15" t="s">
        <v>6184</v>
      </c>
      <c r="AX4" s="15" t="s">
        <v>6185</v>
      </c>
      <c r="AY4" s="15">
        <f t="shared" si="0"/>
        <v>60</v>
      </c>
      <c r="AZ4" s="15" t="s">
        <v>130</v>
      </c>
      <c r="BA4" s="15" t="s">
        <v>131</v>
      </c>
      <c r="BB4" s="15" t="s">
        <v>6186</v>
      </c>
      <c r="BC4" s="15" t="s">
        <v>6187</v>
      </c>
      <c r="BE4" s="15" t="s">
        <v>6163</v>
      </c>
      <c r="BJ4" s="15" t="s">
        <v>6188</v>
      </c>
      <c r="BN4" s="15" t="s">
        <v>136</v>
      </c>
      <c r="BO4" s="15" t="s">
        <v>6165</v>
      </c>
      <c r="BP4" s="15" t="s">
        <v>138</v>
      </c>
      <c r="BS4" s="15" t="s">
        <v>6189</v>
      </c>
      <c r="BT4" s="15" t="s">
        <v>140</v>
      </c>
      <c r="DH4" s="15" t="s">
        <v>17982</v>
      </c>
      <c r="DI4" s="15" t="s">
        <v>17982</v>
      </c>
    </row>
    <row r="5" spans="1:114" s="15" customFormat="1" ht="12.75" x14ac:dyDescent="0.2">
      <c r="A5" s="15" t="s">
        <v>109</v>
      </c>
      <c r="B5" s="15" t="s">
        <v>110</v>
      </c>
      <c r="D5" s="15" t="s">
        <v>111</v>
      </c>
      <c r="E5" s="15" t="s">
        <v>112</v>
      </c>
      <c r="F5" s="15" t="s">
        <v>111</v>
      </c>
      <c r="G5" s="15" t="s">
        <v>113</v>
      </c>
      <c r="H5" s="15" t="s">
        <v>1045</v>
      </c>
      <c r="J5" s="16" t="s">
        <v>114</v>
      </c>
      <c r="U5" s="15" t="s">
        <v>17977</v>
      </c>
      <c r="W5" s="15">
        <v>2561</v>
      </c>
      <c r="X5" s="15">
        <v>4</v>
      </c>
      <c r="Y5" s="15" t="s">
        <v>115</v>
      </c>
      <c r="Z5" s="15" t="s">
        <v>115</v>
      </c>
      <c r="AA5" s="15" t="s">
        <v>116</v>
      </c>
      <c r="AB5" s="15" t="s">
        <v>12537</v>
      </c>
      <c r="AC5" s="15" t="s">
        <v>12537</v>
      </c>
      <c r="AD5" s="15" t="s">
        <v>12537</v>
      </c>
      <c r="AE5" s="47" t="s">
        <v>119</v>
      </c>
      <c r="AF5" s="15" t="s">
        <v>12537</v>
      </c>
      <c r="AG5" s="15" t="s">
        <v>12537</v>
      </c>
      <c r="AH5" s="47" t="s">
        <v>12538</v>
      </c>
      <c r="AL5" s="15" t="s">
        <v>12539</v>
      </c>
      <c r="AN5" s="15">
        <v>27</v>
      </c>
      <c r="AO5" s="15" t="s">
        <v>12540</v>
      </c>
      <c r="AQ5" s="15" t="s">
        <v>12541</v>
      </c>
      <c r="AR5" s="15" t="s">
        <v>12542</v>
      </c>
      <c r="AS5" s="15" t="s">
        <v>12543</v>
      </c>
      <c r="AT5" s="15" t="s">
        <v>12544</v>
      </c>
      <c r="AU5" s="15" t="s">
        <v>12545</v>
      </c>
      <c r="AV5" s="15" t="s">
        <v>12545</v>
      </c>
      <c r="AW5" s="15" t="s">
        <v>12546</v>
      </c>
      <c r="AX5" s="15" t="s">
        <v>12547</v>
      </c>
      <c r="AY5" s="15">
        <f t="shared" si="0"/>
        <v>60</v>
      </c>
      <c r="AZ5" s="15" t="s">
        <v>12548</v>
      </c>
      <c r="BA5" s="15" t="s">
        <v>12549</v>
      </c>
      <c r="BC5" s="26" t="s">
        <v>12550</v>
      </c>
      <c r="BE5" s="15" t="s">
        <v>12551</v>
      </c>
      <c r="BF5" s="15" t="s">
        <v>12552</v>
      </c>
      <c r="BG5" s="15" t="s">
        <v>12553</v>
      </c>
      <c r="BJ5" s="15" t="s">
        <v>12554</v>
      </c>
      <c r="BN5" s="15" t="s">
        <v>136</v>
      </c>
      <c r="BO5" s="15" t="s">
        <v>12555</v>
      </c>
      <c r="BP5" s="15" t="s">
        <v>138</v>
      </c>
      <c r="BS5" s="15" t="s">
        <v>12556</v>
      </c>
      <c r="BT5" s="15" t="s">
        <v>12557</v>
      </c>
      <c r="DH5" s="15" t="s">
        <v>17982</v>
      </c>
      <c r="DI5" s="15" t="s">
        <v>17982</v>
      </c>
    </row>
    <row r="6" spans="1:114" s="15" customFormat="1" ht="12.75" x14ac:dyDescent="0.2">
      <c r="A6" s="15" t="s">
        <v>109</v>
      </c>
      <c r="B6" s="15" t="s">
        <v>110</v>
      </c>
      <c r="D6" s="15" t="s">
        <v>111</v>
      </c>
      <c r="E6" s="15" t="s">
        <v>112</v>
      </c>
      <c r="F6" s="15" t="s">
        <v>111</v>
      </c>
      <c r="G6" s="15" t="s">
        <v>113</v>
      </c>
      <c r="H6" s="15" t="s">
        <v>1045</v>
      </c>
      <c r="J6" s="16" t="s">
        <v>114</v>
      </c>
      <c r="U6" s="15" t="s">
        <v>17977</v>
      </c>
      <c r="W6" s="15">
        <v>3206</v>
      </c>
      <c r="X6" s="15">
        <v>5</v>
      </c>
      <c r="Y6" s="15" t="s">
        <v>115</v>
      </c>
      <c r="Z6" s="15" t="s">
        <v>115</v>
      </c>
      <c r="AA6" s="15" t="s">
        <v>116</v>
      </c>
      <c r="AB6" s="15" t="s">
        <v>15490</v>
      </c>
      <c r="AC6" s="15" t="s">
        <v>15490</v>
      </c>
      <c r="AD6" s="15" t="s">
        <v>15491</v>
      </c>
      <c r="AE6" s="15" t="s">
        <v>119</v>
      </c>
      <c r="AF6" s="15" t="s">
        <v>15491</v>
      </c>
      <c r="AG6" s="15" t="s">
        <v>15490</v>
      </c>
      <c r="AH6" s="15" t="s">
        <v>15492</v>
      </c>
      <c r="AL6" s="15" t="s">
        <v>15493</v>
      </c>
      <c r="AN6" s="15">
        <v>27</v>
      </c>
      <c r="AO6" s="15" t="s">
        <v>15494</v>
      </c>
      <c r="AQ6" s="15" t="s">
        <v>15495</v>
      </c>
      <c r="AR6" s="15" t="s">
        <v>124</v>
      </c>
      <c r="AS6" s="15" t="s">
        <v>125</v>
      </c>
      <c r="AT6" s="15" t="s">
        <v>15496</v>
      </c>
      <c r="AU6" s="15" t="s">
        <v>15497</v>
      </c>
      <c r="AV6" s="15" t="s">
        <v>15497</v>
      </c>
      <c r="AW6" s="15" t="s">
        <v>15498</v>
      </c>
      <c r="AX6" s="15" t="s">
        <v>15499</v>
      </c>
      <c r="AY6" s="15">
        <f t="shared" si="0"/>
        <v>59</v>
      </c>
      <c r="AZ6" s="15" t="s">
        <v>130</v>
      </c>
      <c r="BA6" s="15" t="s">
        <v>6109</v>
      </c>
      <c r="BB6" s="15" t="s">
        <v>458</v>
      </c>
      <c r="BC6" s="15" t="s">
        <v>15500</v>
      </c>
      <c r="BE6" s="15" t="s">
        <v>15501</v>
      </c>
      <c r="BJ6" s="18" t="s">
        <v>15502</v>
      </c>
      <c r="BN6" s="15" t="s">
        <v>136</v>
      </c>
      <c r="BO6" s="18" t="s">
        <v>15503</v>
      </c>
      <c r="BP6" s="15" t="s">
        <v>6112</v>
      </c>
      <c r="BS6" s="15" t="s">
        <v>15504</v>
      </c>
      <c r="BT6" s="15" t="s">
        <v>140</v>
      </c>
      <c r="DH6" s="15" t="s">
        <v>17982</v>
      </c>
      <c r="DI6" s="15" t="s">
        <v>17982</v>
      </c>
    </row>
    <row r="7" spans="1:114" s="15" customFormat="1" ht="12.75" x14ac:dyDescent="0.2">
      <c r="A7" s="15" t="s">
        <v>109</v>
      </c>
      <c r="B7" s="15" t="s">
        <v>110</v>
      </c>
      <c r="D7" s="15" t="s">
        <v>111</v>
      </c>
      <c r="E7" s="15" t="s">
        <v>112</v>
      </c>
      <c r="F7" s="15" t="s">
        <v>111</v>
      </c>
      <c r="G7" s="15" t="s">
        <v>113</v>
      </c>
      <c r="H7" s="15" t="s">
        <v>1045</v>
      </c>
      <c r="J7" s="16" t="s">
        <v>114</v>
      </c>
      <c r="U7" s="15" t="s">
        <v>17977</v>
      </c>
      <c r="W7" s="15">
        <v>3207</v>
      </c>
      <c r="X7" s="15">
        <v>6</v>
      </c>
      <c r="Y7" s="15" t="s">
        <v>115</v>
      </c>
      <c r="Z7" s="15" t="s">
        <v>115</v>
      </c>
      <c r="AA7" s="15" t="s">
        <v>116</v>
      </c>
      <c r="AB7" s="15" t="s">
        <v>15505</v>
      </c>
      <c r="AC7" s="15" t="s">
        <v>15505</v>
      </c>
      <c r="AD7" s="15" t="s">
        <v>15506</v>
      </c>
      <c r="AE7" s="15" t="s">
        <v>119</v>
      </c>
      <c r="AF7" s="15" t="s">
        <v>15506</v>
      </c>
      <c r="AG7" s="15" t="s">
        <v>15505</v>
      </c>
      <c r="AH7" s="15" t="s">
        <v>15507</v>
      </c>
      <c r="AL7" s="15" t="s">
        <v>15508</v>
      </c>
      <c r="AN7" s="15">
        <v>27</v>
      </c>
      <c r="AO7" s="15" t="s">
        <v>15509</v>
      </c>
      <c r="AQ7" s="15" t="s">
        <v>15495</v>
      </c>
      <c r="AR7" s="15" t="s">
        <v>124</v>
      </c>
      <c r="AS7" s="15" t="s">
        <v>125</v>
      </c>
      <c r="AT7" s="15" t="s">
        <v>15510</v>
      </c>
      <c r="AU7" s="15" t="s">
        <v>15511</v>
      </c>
      <c r="AV7" s="15" t="s">
        <v>15511</v>
      </c>
      <c r="AW7" s="15" t="s">
        <v>15512</v>
      </c>
      <c r="AX7" s="15" t="s">
        <v>15513</v>
      </c>
      <c r="AY7" s="15">
        <f t="shared" si="0"/>
        <v>59</v>
      </c>
      <c r="AZ7" s="15" t="s">
        <v>130</v>
      </c>
      <c r="BA7" s="15" t="s">
        <v>6109</v>
      </c>
      <c r="BB7" s="15" t="s">
        <v>15514</v>
      </c>
      <c r="BC7" s="15" t="s">
        <v>15500</v>
      </c>
      <c r="BE7" s="15" t="s">
        <v>15501</v>
      </c>
      <c r="BJ7" s="18" t="s">
        <v>15502</v>
      </c>
      <c r="BN7" s="15" t="s">
        <v>136</v>
      </c>
      <c r="BO7" s="18" t="s">
        <v>15503</v>
      </c>
      <c r="BP7" s="15" t="s">
        <v>6112</v>
      </c>
      <c r="BS7" s="15" t="s">
        <v>15515</v>
      </c>
      <c r="BT7" s="15" t="s">
        <v>140</v>
      </c>
      <c r="DH7" s="15" t="s">
        <v>17982</v>
      </c>
      <c r="DI7" s="15" t="s">
        <v>17982</v>
      </c>
    </row>
    <row r="8" spans="1:114" s="15" customFormat="1" ht="12.75" x14ac:dyDescent="0.2">
      <c r="A8" s="15" t="s">
        <v>109</v>
      </c>
      <c r="B8" s="15" t="s">
        <v>110</v>
      </c>
      <c r="D8" s="15" t="s">
        <v>111</v>
      </c>
      <c r="E8" s="15" t="s">
        <v>112</v>
      </c>
      <c r="F8" s="15" t="s">
        <v>111</v>
      </c>
      <c r="G8" s="15" t="s">
        <v>113</v>
      </c>
      <c r="H8" s="15" t="s">
        <v>1045</v>
      </c>
      <c r="J8" s="16" t="s">
        <v>114</v>
      </c>
      <c r="U8" s="15" t="s">
        <v>17977</v>
      </c>
      <c r="W8" s="15">
        <v>1186</v>
      </c>
      <c r="X8" s="15">
        <v>7</v>
      </c>
      <c r="Y8" s="15" t="s">
        <v>115</v>
      </c>
      <c r="Z8" s="15" t="s">
        <v>115</v>
      </c>
      <c r="AA8" s="15" t="s">
        <v>116</v>
      </c>
      <c r="AB8" s="15" t="s">
        <v>6167</v>
      </c>
      <c r="AC8" s="15" t="s">
        <v>6167</v>
      </c>
      <c r="AD8" s="15" t="s">
        <v>6167</v>
      </c>
      <c r="AE8" s="15" t="s">
        <v>119</v>
      </c>
      <c r="AF8" s="15" t="s">
        <v>6167</v>
      </c>
      <c r="AG8" s="15" t="s">
        <v>6167</v>
      </c>
      <c r="AH8" s="15" t="s">
        <v>6168</v>
      </c>
      <c r="AL8" s="15" t="s">
        <v>6169</v>
      </c>
      <c r="AN8" s="15">
        <v>27</v>
      </c>
      <c r="AO8" s="15" t="s">
        <v>6170</v>
      </c>
      <c r="AQ8" s="15" t="s">
        <v>123</v>
      </c>
      <c r="AR8" s="15" t="s">
        <v>124</v>
      </c>
      <c r="AS8" s="15" t="s">
        <v>125</v>
      </c>
      <c r="AT8" s="15" t="s">
        <v>6171</v>
      </c>
      <c r="AU8" s="15" t="s">
        <v>6172</v>
      </c>
      <c r="AV8" s="15" t="s">
        <v>6172</v>
      </c>
      <c r="AW8" s="15" t="s">
        <v>6173</v>
      </c>
      <c r="AX8" s="15" t="s">
        <v>6174</v>
      </c>
      <c r="AY8" s="15">
        <f t="shared" si="0"/>
        <v>60</v>
      </c>
      <c r="AZ8" s="15" t="s">
        <v>130</v>
      </c>
      <c r="BA8" s="15" t="s">
        <v>131</v>
      </c>
      <c r="BB8" s="15" t="s">
        <v>6175</v>
      </c>
      <c r="BC8" s="15" t="s">
        <v>6162</v>
      </c>
      <c r="BE8" s="15" t="s">
        <v>6163</v>
      </c>
      <c r="BF8" s="15" t="s">
        <v>863</v>
      </c>
      <c r="BJ8" s="18" t="s">
        <v>6176</v>
      </c>
      <c r="BN8" s="15" t="s">
        <v>136</v>
      </c>
      <c r="BO8" s="15" t="s">
        <v>6165</v>
      </c>
      <c r="BP8" s="15" t="s">
        <v>138</v>
      </c>
      <c r="BS8" s="15" t="s">
        <v>6177</v>
      </c>
      <c r="DH8" s="15" t="s">
        <v>17982</v>
      </c>
      <c r="DI8" s="15" t="s">
        <v>17982</v>
      </c>
    </row>
    <row r="9" spans="1:114" s="15" customFormat="1" ht="12.75" x14ac:dyDescent="0.2">
      <c r="A9" s="15" t="s">
        <v>109</v>
      </c>
      <c r="B9" s="15" t="s">
        <v>110</v>
      </c>
      <c r="D9" s="15" t="s">
        <v>111</v>
      </c>
      <c r="E9" s="15" t="s">
        <v>112</v>
      </c>
      <c r="F9" s="15" t="s">
        <v>111</v>
      </c>
      <c r="G9" s="15" t="s">
        <v>113</v>
      </c>
      <c r="H9" s="15" t="s">
        <v>1045</v>
      </c>
      <c r="J9" s="16" t="s">
        <v>114</v>
      </c>
      <c r="U9" s="15" t="s">
        <v>17977</v>
      </c>
      <c r="W9" s="15">
        <v>37</v>
      </c>
      <c r="X9" s="15">
        <v>8</v>
      </c>
      <c r="Y9" s="15" t="s">
        <v>115</v>
      </c>
      <c r="Z9" s="15" t="s">
        <v>115</v>
      </c>
      <c r="AA9" s="15" t="s">
        <v>116</v>
      </c>
      <c r="AB9" s="15" t="s">
        <v>449</v>
      </c>
      <c r="AC9" s="15" t="s">
        <v>449</v>
      </c>
      <c r="AD9" s="15" t="s">
        <v>450</v>
      </c>
      <c r="AE9" s="15" t="s">
        <v>119</v>
      </c>
      <c r="AF9" s="15" t="s">
        <v>450</v>
      </c>
      <c r="AG9" s="15" t="s">
        <v>449</v>
      </c>
      <c r="AH9" s="15" t="s">
        <v>451</v>
      </c>
      <c r="AL9" s="15" t="s">
        <v>452</v>
      </c>
      <c r="AN9" s="15">
        <v>27</v>
      </c>
      <c r="AO9" s="15" t="s">
        <v>453</v>
      </c>
      <c r="AQ9" s="15" t="s">
        <v>123</v>
      </c>
      <c r="AR9" s="15" t="s">
        <v>124</v>
      </c>
      <c r="AS9" s="15" t="s">
        <v>125</v>
      </c>
      <c r="AT9" s="15" t="s">
        <v>454</v>
      </c>
      <c r="AU9" s="15" t="s">
        <v>455</v>
      </c>
      <c r="AV9" s="15" t="s">
        <v>455</v>
      </c>
      <c r="AW9" s="15" t="s">
        <v>456</v>
      </c>
      <c r="AX9" s="15" t="s">
        <v>457</v>
      </c>
      <c r="AY9" s="15">
        <f t="shared" si="0"/>
        <v>52</v>
      </c>
      <c r="AZ9" s="15" t="s">
        <v>130</v>
      </c>
      <c r="BA9" s="15" t="s">
        <v>430</v>
      </c>
      <c r="BB9" s="18" t="s">
        <v>458</v>
      </c>
      <c r="BC9" s="15" t="s">
        <v>432</v>
      </c>
      <c r="BE9" s="15" t="s">
        <v>433</v>
      </c>
      <c r="BJ9" s="18" t="s">
        <v>459</v>
      </c>
      <c r="BN9" s="15" t="s">
        <v>136</v>
      </c>
      <c r="BO9" s="18" t="s">
        <v>435</v>
      </c>
      <c r="BP9" s="15" t="s">
        <v>138</v>
      </c>
      <c r="BS9" s="19" t="s">
        <v>460</v>
      </c>
      <c r="BT9" s="15" t="s">
        <v>140</v>
      </c>
      <c r="DH9" s="15" t="s">
        <v>17982</v>
      </c>
      <c r="DI9" s="15" t="s">
        <v>17982</v>
      </c>
    </row>
    <row r="10" spans="1:114" s="15" customFormat="1" ht="12.75" x14ac:dyDescent="0.2">
      <c r="A10" s="15" t="s">
        <v>109</v>
      </c>
      <c r="B10" s="15" t="s">
        <v>110</v>
      </c>
      <c r="D10" s="15" t="s">
        <v>111</v>
      </c>
      <c r="E10" s="15" t="s">
        <v>112</v>
      </c>
      <c r="F10" s="15" t="s">
        <v>111</v>
      </c>
      <c r="G10" s="15" t="s">
        <v>113</v>
      </c>
      <c r="H10" s="15" t="s">
        <v>1045</v>
      </c>
      <c r="J10" s="16" t="s">
        <v>114</v>
      </c>
      <c r="U10" s="15" t="s">
        <v>17977</v>
      </c>
      <c r="W10" s="15">
        <v>38</v>
      </c>
      <c r="X10" s="15">
        <v>9</v>
      </c>
      <c r="Y10" s="15" t="s">
        <v>115</v>
      </c>
      <c r="Z10" s="15" t="s">
        <v>115</v>
      </c>
      <c r="AA10" s="15" t="s">
        <v>116</v>
      </c>
      <c r="AB10" s="15" t="s">
        <v>461</v>
      </c>
      <c r="AC10" s="15" t="s">
        <v>461</v>
      </c>
      <c r="AD10" s="15" t="s">
        <v>462</v>
      </c>
      <c r="AE10" s="15" t="s">
        <v>119</v>
      </c>
      <c r="AF10" s="15" t="s">
        <v>462</v>
      </c>
      <c r="AG10" s="15" t="s">
        <v>461</v>
      </c>
      <c r="AH10" s="15" t="s">
        <v>463</v>
      </c>
      <c r="AL10" s="15" t="s">
        <v>464</v>
      </c>
      <c r="AN10" s="15">
        <v>27</v>
      </c>
      <c r="AO10" s="15" t="s">
        <v>465</v>
      </c>
      <c r="AQ10" s="15" t="s">
        <v>123</v>
      </c>
      <c r="AR10" s="15" t="s">
        <v>124</v>
      </c>
      <c r="AS10" s="15" t="s">
        <v>125</v>
      </c>
      <c r="AT10" s="15" t="s">
        <v>466</v>
      </c>
      <c r="AU10" s="15" t="s">
        <v>467</v>
      </c>
      <c r="AV10" s="15" t="s">
        <v>467</v>
      </c>
      <c r="AW10" s="15" t="s">
        <v>468</v>
      </c>
      <c r="AX10" s="15" t="s">
        <v>469</v>
      </c>
      <c r="AY10" s="15">
        <f t="shared" si="0"/>
        <v>58</v>
      </c>
      <c r="AZ10" s="15" t="s">
        <v>130</v>
      </c>
      <c r="BA10" s="15" t="s">
        <v>430</v>
      </c>
      <c r="BB10" s="18" t="s">
        <v>458</v>
      </c>
      <c r="BC10" s="15" t="s">
        <v>446</v>
      </c>
      <c r="BE10" s="15" t="s">
        <v>433</v>
      </c>
      <c r="BJ10" s="18" t="s">
        <v>470</v>
      </c>
      <c r="BN10" s="15" t="s">
        <v>136</v>
      </c>
      <c r="BO10" s="18" t="s">
        <v>435</v>
      </c>
      <c r="BP10" s="15" t="s">
        <v>138</v>
      </c>
      <c r="BS10" s="15" t="s">
        <v>471</v>
      </c>
      <c r="BT10" s="15" t="s">
        <v>140</v>
      </c>
      <c r="DH10" s="15" t="s">
        <v>17982</v>
      </c>
      <c r="DI10" s="15" t="s">
        <v>17982</v>
      </c>
    </row>
    <row r="11" spans="1:114" s="15" customFormat="1" ht="12.75" x14ac:dyDescent="0.2">
      <c r="A11" s="15" t="s">
        <v>109</v>
      </c>
      <c r="B11" s="15" t="s">
        <v>110</v>
      </c>
      <c r="D11" s="15" t="s">
        <v>111</v>
      </c>
      <c r="E11" s="15" t="s">
        <v>112</v>
      </c>
      <c r="F11" s="15" t="s">
        <v>111</v>
      </c>
      <c r="G11" s="15" t="s">
        <v>113</v>
      </c>
      <c r="H11" s="15" t="s">
        <v>1045</v>
      </c>
      <c r="J11" s="16" t="s">
        <v>114</v>
      </c>
      <c r="U11" s="15" t="s">
        <v>17977</v>
      </c>
      <c r="W11" s="15">
        <v>35</v>
      </c>
      <c r="X11" s="15">
        <v>10</v>
      </c>
      <c r="Y11" s="15" t="s">
        <v>115</v>
      </c>
      <c r="Z11" s="15" t="s">
        <v>115</v>
      </c>
      <c r="AA11" s="15" t="s">
        <v>116</v>
      </c>
      <c r="AB11" s="15" t="s">
        <v>421</v>
      </c>
      <c r="AC11" s="15" t="s">
        <v>421</v>
      </c>
      <c r="AD11" s="15" t="s">
        <v>422</v>
      </c>
      <c r="AE11" s="15" t="s">
        <v>119</v>
      </c>
      <c r="AF11" s="15" t="s">
        <v>422</v>
      </c>
      <c r="AG11" s="15" t="s">
        <v>421</v>
      </c>
      <c r="AH11" s="15" t="s">
        <v>423</v>
      </c>
      <c r="AL11" s="15" t="s">
        <v>424</v>
      </c>
      <c r="AN11" s="15">
        <v>27</v>
      </c>
      <c r="AO11" s="15" t="s">
        <v>425</v>
      </c>
      <c r="AQ11" s="15" t="s">
        <v>123</v>
      </c>
      <c r="AR11" s="15" t="s">
        <v>124</v>
      </c>
      <c r="AS11" s="15" t="s">
        <v>125</v>
      </c>
      <c r="AT11" s="15" t="s">
        <v>426</v>
      </c>
      <c r="AU11" s="15" t="s">
        <v>427</v>
      </c>
      <c r="AV11" s="15" t="s">
        <v>427</v>
      </c>
      <c r="AW11" s="15" t="s">
        <v>428</v>
      </c>
      <c r="AX11" s="15" t="s">
        <v>429</v>
      </c>
      <c r="AY11" s="15">
        <f t="shared" si="0"/>
        <v>57</v>
      </c>
      <c r="AZ11" s="15" t="s">
        <v>130</v>
      </c>
      <c r="BA11" s="15" t="s">
        <v>430</v>
      </c>
      <c r="BB11" s="15" t="s">
        <v>431</v>
      </c>
      <c r="BC11" s="15" t="s">
        <v>432</v>
      </c>
      <c r="BE11" s="15" t="s">
        <v>433</v>
      </c>
      <c r="BJ11" s="18" t="s">
        <v>434</v>
      </c>
      <c r="BN11" s="15" t="s">
        <v>136</v>
      </c>
      <c r="BO11" s="18" t="s">
        <v>435</v>
      </c>
      <c r="BP11" s="15" t="s">
        <v>138</v>
      </c>
      <c r="BS11" s="15" t="s">
        <v>436</v>
      </c>
      <c r="BT11" s="15" t="s">
        <v>140</v>
      </c>
      <c r="DH11" s="15" t="s">
        <v>17982</v>
      </c>
      <c r="DI11" s="15" t="s">
        <v>17982</v>
      </c>
    </row>
    <row r="12" spans="1:114" s="15" customFormat="1" ht="12.75" x14ac:dyDescent="0.2">
      <c r="A12" s="15" t="s">
        <v>109</v>
      </c>
      <c r="B12" s="15" t="s">
        <v>110</v>
      </c>
      <c r="D12" s="15" t="s">
        <v>111</v>
      </c>
      <c r="E12" s="15" t="s">
        <v>112</v>
      </c>
      <c r="F12" s="15" t="s">
        <v>111</v>
      </c>
      <c r="G12" s="15" t="s">
        <v>113</v>
      </c>
      <c r="H12" s="15" t="s">
        <v>1045</v>
      </c>
      <c r="J12" s="16" t="s">
        <v>114</v>
      </c>
      <c r="U12" s="15" t="s">
        <v>17977</v>
      </c>
      <c r="W12" s="15">
        <v>36</v>
      </c>
      <c r="X12" s="15">
        <v>11</v>
      </c>
      <c r="Y12" s="15" t="s">
        <v>115</v>
      </c>
      <c r="Z12" s="15" t="s">
        <v>115</v>
      </c>
      <c r="AA12" s="15" t="s">
        <v>116</v>
      </c>
      <c r="AB12" s="15" t="s">
        <v>437</v>
      </c>
      <c r="AC12" s="15" t="s">
        <v>437</v>
      </c>
      <c r="AD12" s="15" t="s">
        <v>438</v>
      </c>
      <c r="AE12" s="15" t="s">
        <v>119</v>
      </c>
      <c r="AF12" s="15" t="s">
        <v>438</v>
      </c>
      <c r="AG12" s="15" t="s">
        <v>437</v>
      </c>
      <c r="AH12" s="15" t="s">
        <v>439</v>
      </c>
      <c r="AL12" s="15" t="s">
        <v>440</v>
      </c>
      <c r="AN12" s="15">
        <v>27</v>
      </c>
      <c r="AO12" s="15" t="s">
        <v>441</v>
      </c>
      <c r="AQ12" s="15" t="s">
        <v>123</v>
      </c>
      <c r="AR12" s="15" t="s">
        <v>124</v>
      </c>
      <c r="AS12" s="15" t="s">
        <v>125</v>
      </c>
      <c r="AT12" s="15" t="s">
        <v>442</v>
      </c>
      <c r="AU12" s="15" t="s">
        <v>443</v>
      </c>
      <c r="AV12" s="15" t="s">
        <v>443</v>
      </c>
      <c r="AW12" s="15" t="s">
        <v>444</v>
      </c>
      <c r="AX12" s="15" t="s">
        <v>445</v>
      </c>
      <c r="AY12" s="15">
        <f t="shared" si="0"/>
        <v>59</v>
      </c>
      <c r="AZ12" s="15" t="s">
        <v>130</v>
      </c>
      <c r="BA12" s="15" t="s">
        <v>430</v>
      </c>
      <c r="BB12" s="15" t="s">
        <v>431</v>
      </c>
      <c r="BC12" s="15" t="s">
        <v>446</v>
      </c>
      <c r="BE12" s="15" t="s">
        <v>433</v>
      </c>
      <c r="BJ12" s="18" t="s">
        <v>447</v>
      </c>
      <c r="BN12" s="15" t="s">
        <v>136</v>
      </c>
      <c r="BO12" s="18" t="s">
        <v>435</v>
      </c>
      <c r="BP12" s="15" t="s">
        <v>138</v>
      </c>
      <c r="BS12" s="15" t="s">
        <v>448</v>
      </c>
      <c r="BT12" s="15" t="s">
        <v>140</v>
      </c>
      <c r="DH12" s="15" t="s">
        <v>17982</v>
      </c>
      <c r="DI12" s="15" t="s">
        <v>17982</v>
      </c>
    </row>
    <row r="13" spans="1:114" s="15" customFormat="1" ht="12.75" x14ac:dyDescent="0.2">
      <c r="A13" s="15" t="s">
        <v>109</v>
      </c>
      <c r="B13" s="15" t="s">
        <v>110</v>
      </c>
      <c r="D13" s="15" t="s">
        <v>111</v>
      </c>
      <c r="E13" s="15" t="s">
        <v>112</v>
      </c>
      <c r="F13" s="15" t="s">
        <v>111</v>
      </c>
      <c r="G13" s="15" t="s">
        <v>113</v>
      </c>
      <c r="H13" s="15" t="s">
        <v>1045</v>
      </c>
      <c r="J13" s="16" t="s">
        <v>114</v>
      </c>
      <c r="U13" s="15" t="s">
        <v>17977</v>
      </c>
      <c r="W13" s="15">
        <v>1</v>
      </c>
      <c r="X13" s="15">
        <v>12</v>
      </c>
      <c r="Y13" s="15" t="s">
        <v>115</v>
      </c>
      <c r="Z13" s="15" t="s">
        <v>115</v>
      </c>
      <c r="AA13" s="15" t="s">
        <v>116</v>
      </c>
      <c r="AB13" s="15" t="s">
        <v>117</v>
      </c>
      <c r="AC13" s="15" t="s">
        <v>117</v>
      </c>
      <c r="AD13" s="15" t="s">
        <v>118</v>
      </c>
      <c r="AE13" s="15" t="s">
        <v>119</v>
      </c>
      <c r="AF13" s="15" t="s">
        <v>118</v>
      </c>
      <c r="AG13" s="15" t="s">
        <v>117</v>
      </c>
      <c r="AH13" s="15" t="s">
        <v>120</v>
      </c>
      <c r="AL13" s="15" t="s">
        <v>121</v>
      </c>
      <c r="AN13" s="15">
        <v>27</v>
      </c>
      <c r="AO13" s="15" t="s">
        <v>122</v>
      </c>
      <c r="AQ13" s="15" t="s">
        <v>123</v>
      </c>
      <c r="AR13" s="15" t="s">
        <v>124</v>
      </c>
      <c r="AS13" s="15" t="s">
        <v>125</v>
      </c>
      <c r="AT13" s="15" t="s">
        <v>126</v>
      </c>
      <c r="AU13" s="15" t="s">
        <v>127</v>
      </c>
      <c r="AV13" s="15" t="s">
        <v>127</v>
      </c>
      <c r="AW13" s="15" t="s">
        <v>128</v>
      </c>
      <c r="AX13" s="15" t="s">
        <v>129</v>
      </c>
      <c r="AY13" s="15">
        <f t="shared" si="0"/>
        <v>59</v>
      </c>
      <c r="AZ13" s="15" t="s">
        <v>130</v>
      </c>
      <c r="BA13" s="15" t="s">
        <v>131</v>
      </c>
      <c r="BB13" s="15" t="s">
        <v>132</v>
      </c>
      <c r="BC13" s="15" t="s">
        <v>133</v>
      </c>
      <c r="BE13" s="15" t="s">
        <v>134</v>
      </c>
      <c r="BJ13" s="15" t="s">
        <v>135</v>
      </c>
      <c r="BN13" s="15" t="s">
        <v>136</v>
      </c>
      <c r="BO13" s="15" t="s">
        <v>137</v>
      </c>
      <c r="BP13" s="15" t="s">
        <v>138</v>
      </c>
      <c r="BS13" s="15" t="s">
        <v>139</v>
      </c>
      <c r="BT13" s="15" t="s">
        <v>140</v>
      </c>
      <c r="DH13" s="15" t="s">
        <v>17982</v>
      </c>
      <c r="DI13" s="15" t="s">
        <v>17982</v>
      </c>
    </row>
    <row r="14" spans="1:114" s="15" customFormat="1" ht="12.75" x14ac:dyDescent="0.2">
      <c r="A14" s="15" t="s">
        <v>109</v>
      </c>
      <c r="B14" s="15" t="s">
        <v>110</v>
      </c>
      <c r="D14" s="15" t="s">
        <v>111</v>
      </c>
      <c r="E14" s="15" t="s">
        <v>112</v>
      </c>
      <c r="F14" s="15" t="s">
        <v>111</v>
      </c>
      <c r="G14" s="15" t="s">
        <v>113</v>
      </c>
      <c r="H14" s="15" t="s">
        <v>1045</v>
      </c>
      <c r="J14" s="16" t="s">
        <v>114</v>
      </c>
      <c r="U14" s="15" t="s">
        <v>17977</v>
      </c>
      <c r="W14" s="15">
        <v>1714</v>
      </c>
      <c r="X14" s="15">
        <v>13</v>
      </c>
      <c r="Y14" s="15" t="s">
        <v>115</v>
      </c>
      <c r="Z14" s="15" t="s">
        <v>115</v>
      </c>
      <c r="AA14" s="15" t="s">
        <v>116</v>
      </c>
      <c r="AB14" s="15" t="s">
        <v>9043</v>
      </c>
      <c r="AC14" s="15" t="s">
        <v>9043</v>
      </c>
      <c r="AD14" s="15" t="s">
        <v>9044</v>
      </c>
      <c r="AE14" s="15" t="s">
        <v>119</v>
      </c>
      <c r="AF14" s="15" t="s">
        <v>9044</v>
      </c>
      <c r="AG14" s="15" t="s">
        <v>9043</v>
      </c>
      <c r="AH14" s="15" t="s">
        <v>9045</v>
      </c>
      <c r="AL14" s="15" t="s">
        <v>9046</v>
      </c>
      <c r="AN14" s="15">
        <v>27</v>
      </c>
      <c r="AO14" s="15" t="s">
        <v>9047</v>
      </c>
      <c r="AQ14" s="15" t="s">
        <v>123</v>
      </c>
      <c r="AR14" s="15" t="s">
        <v>124</v>
      </c>
      <c r="AS14" s="15" t="s">
        <v>125</v>
      </c>
      <c r="AT14" s="15" t="s">
        <v>9048</v>
      </c>
      <c r="AU14" s="15" t="s">
        <v>9049</v>
      </c>
      <c r="AV14" s="15" t="s">
        <v>9049</v>
      </c>
      <c r="AW14" s="15" t="s">
        <v>9050</v>
      </c>
      <c r="AX14" s="15" t="s">
        <v>9051</v>
      </c>
      <c r="AY14" s="15">
        <f t="shared" si="0"/>
        <v>59</v>
      </c>
      <c r="AZ14" s="15" t="s">
        <v>130</v>
      </c>
      <c r="BA14" s="15" t="s">
        <v>131</v>
      </c>
      <c r="BB14" s="15" t="s">
        <v>9052</v>
      </c>
      <c r="BC14" s="15" t="s">
        <v>9053</v>
      </c>
      <c r="BE14" s="15" t="s">
        <v>155</v>
      </c>
      <c r="BJ14" s="15" t="s">
        <v>9054</v>
      </c>
      <c r="BN14" s="15" t="s">
        <v>136</v>
      </c>
      <c r="BO14" s="15" t="s">
        <v>9055</v>
      </c>
      <c r="BP14" s="15" t="s">
        <v>138</v>
      </c>
      <c r="BS14" s="15" t="s">
        <v>9056</v>
      </c>
      <c r="BT14" s="15" t="s">
        <v>140</v>
      </c>
      <c r="DH14" s="15" t="s">
        <v>17982</v>
      </c>
      <c r="DI14" s="15" t="s">
        <v>17982</v>
      </c>
    </row>
    <row r="15" spans="1:114" s="15" customFormat="1" ht="12.75" x14ac:dyDescent="0.2">
      <c r="A15" s="15" t="s">
        <v>109</v>
      </c>
      <c r="B15" s="15" t="s">
        <v>110</v>
      </c>
      <c r="D15" s="15" t="s">
        <v>111</v>
      </c>
      <c r="E15" s="15" t="s">
        <v>112</v>
      </c>
      <c r="F15" s="15" t="s">
        <v>111</v>
      </c>
      <c r="G15" s="15" t="s">
        <v>113</v>
      </c>
      <c r="H15" s="15" t="s">
        <v>1045</v>
      </c>
      <c r="J15" s="16" t="s">
        <v>114</v>
      </c>
      <c r="U15" s="15" t="s">
        <v>17977</v>
      </c>
      <c r="W15" s="15">
        <v>1715</v>
      </c>
      <c r="X15" s="15">
        <v>14</v>
      </c>
      <c r="Y15" s="15" t="s">
        <v>115</v>
      </c>
      <c r="Z15" s="15" t="s">
        <v>115</v>
      </c>
      <c r="AA15" s="15" t="s">
        <v>116</v>
      </c>
      <c r="AB15" s="15" t="s">
        <v>9057</v>
      </c>
      <c r="AC15" s="15" t="s">
        <v>9057</v>
      </c>
      <c r="AD15" s="15" t="s">
        <v>9058</v>
      </c>
      <c r="AE15" s="15" t="s">
        <v>119</v>
      </c>
      <c r="AF15" s="15" t="s">
        <v>9058</v>
      </c>
      <c r="AG15" s="15" t="s">
        <v>9057</v>
      </c>
      <c r="AH15" s="15" t="s">
        <v>9059</v>
      </c>
      <c r="AL15" s="15" t="s">
        <v>9060</v>
      </c>
      <c r="AN15" s="15">
        <v>27</v>
      </c>
      <c r="AO15" s="15" t="s">
        <v>9061</v>
      </c>
      <c r="AQ15" s="15" t="s">
        <v>123</v>
      </c>
      <c r="AR15" s="15" t="s">
        <v>124</v>
      </c>
      <c r="AS15" s="15" t="s">
        <v>125</v>
      </c>
      <c r="AT15" s="15" t="s">
        <v>9062</v>
      </c>
      <c r="AU15" s="15" t="s">
        <v>9063</v>
      </c>
      <c r="AV15" s="15" t="s">
        <v>9063</v>
      </c>
      <c r="AW15" s="15" t="s">
        <v>9064</v>
      </c>
      <c r="AX15" s="15" t="s">
        <v>9065</v>
      </c>
      <c r="AY15" s="15">
        <f t="shared" si="0"/>
        <v>60</v>
      </c>
      <c r="AZ15" s="15" t="s">
        <v>130</v>
      </c>
      <c r="BA15" s="15" t="s">
        <v>131</v>
      </c>
      <c r="BB15" s="15" t="s">
        <v>9066</v>
      </c>
      <c r="BC15" s="15" t="s">
        <v>9053</v>
      </c>
      <c r="BE15" s="15" t="s">
        <v>155</v>
      </c>
      <c r="BJ15" s="15" t="s">
        <v>9067</v>
      </c>
      <c r="BN15" s="15" t="s">
        <v>136</v>
      </c>
      <c r="BO15" s="15" t="s">
        <v>9055</v>
      </c>
      <c r="BP15" s="15" t="s">
        <v>138</v>
      </c>
      <c r="BS15" s="15" t="s">
        <v>9068</v>
      </c>
      <c r="BT15" s="15" t="s">
        <v>140</v>
      </c>
      <c r="DH15" s="15" t="s">
        <v>17982</v>
      </c>
      <c r="DI15" s="15" t="s">
        <v>17982</v>
      </c>
    </row>
    <row r="16" spans="1:114" s="15" customFormat="1" ht="12.75" x14ac:dyDescent="0.2">
      <c r="A16" s="15" t="s">
        <v>109</v>
      </c>
      <c r="B16" s="15" t="s">
        <v>110</v>
      </c>
      <c r="D16" s="15" t="s">
        <v>111</v>
      </c>
      <c r="E16" s="15" t="s">
        <v>141</v>
      </c>
      <c r="F16" s="15" t="s">
        <v>111</v>
      </c>
      <c r="G16" s="15" t="s">
        <v>113</v>
      </c>
      <c r="H16" s="15" t="s">
        <v>1045</v>
      </c>
      <c r="J16" s="16" t="s">
        <v>114</v>
      </c>
      <c r="U16" s="15" t="s">
        <v>17977</v>
      </c>
      <c r="W16" s="15">
        <v>1166</v>
      </c>
      <c r="X16" s="15">
        <v>15</v>
      </c>
      <c r="Y16" s="15" t="s">
        <v>115</v>
      </c>
      <c r="Z16" s="15" t="s">
        <v>115</v>
      </c>
      <c r="AA16" s="15" t="s">
        <v>116</v>
      </c>
      <c r="AB16" s="15" t="s">
        <v>6099</v>
      </c>
      <c r="AC16" s="15" t="s">
        <v>6099</v>
      </c>
      <c r="AD16" s="15" t="s">
        <v>6100</v>
      </c>
      <c r="AE16" s="15" t="s">
        <v>119</v>
      </c>
      <c r="AF16" s="15" t="s">
        <v>6100</v>
      </c>
      <c r="AG16" s="15" t="s">
        <v>6099</v>
      </c>
      <c r="AH16" s="15" t="s">
        <v>6101</v>
      </c>
      <c r="AL16" s="15" t="s">
        <v>6102</v>
      </c>
      <c r="AN16" s="15">
        <v>27</v>
      </c>
      <c r="AO16" s="15" t="s">
        <v>6103</v>
      </c>
      <c r="AQ16" s="15" t="s">
        <v>6104</v>
      </c>
      <c r="AT16" s="15" t="s">
        <v>6105</v>
      </c>
      <c r="AU16" s="15" t="s">
        <v>6106</v>
      </c>
      <c r="AV16" s="15" t="s">
        <v>6106</v>
      </c>
      <c r="AW16" s="15" t="s">
        <v>6107</v>
      </c>
      <c r="AX16" s="15" t="s">
        <v>6107</v>
      </c>
      <c r="AY16" s="15">
        <f t="shared" si="0"/>
        <v>39</v>
      </c>
      <c r="AZ16" s="15" t="s">
        <v>6108</v>
      </c>
      <c r="BA16" s="15" t="s">
        <v>130</v>
      </c>
      <c r="BB16" s="15" t="s">
        <v>6109</v>
      </c>
      <c r="BE16" s="15" t="s">
        <v>6110</v>
      </c>
      <c r="BJ16" s="15" t="s">
        <v>6111</v>
      </c>
      <c r="BN16" s="15" t="s">
        <v>136</v>
      </c>
      <c r="BP16" s="15" t="s">
        <v>6112</v>
      </c>
      <c r="BS16" s="19" t="s">
        <v>6113</v>
      </c>
      <c r="DH16" s="15" t="s">
        <v>17982</v>
      </c>
      <c r="DI16" s="15" t="s">
        <v>17982</v>
      </c>
    </row>
    <row r="17" spans="1:113" s="15" customFormat="1" ht="12.75" x14ac:dyDescent="0.2">
      <c r="A17" s="15" t="s">
        <v>109</v>
      </c>
      <c r="B17" s="15" t="s">
        <v>110</v>
      </c>
      <c r="D17" s="15" t="s">
        <v>111</v>
      </c>
      <c r="E17" s="15" t="s">
        <v>112</v>
      </c>
      <c r="F17" s="15" t="s">
        <v>111</v>
      </c>
      <c r="G17" s="15" t="s">
        <v>113</v>
      </c>
      <c r="H17" s="15" t="s">
        <v>1045</v>
      </c>
      <c r="J17" s="16" t="s">
        <v>114</v>
      </c>
      <c r="U17" s="15" t="s">
        <v>17977</v>
      </c>
      <c r="W17" s="15">
        <v>1709</v>
      </c>
      <c r="X17" s="15">
        <v>16</v>
      </c>
      <c r="Y17" s="15" t="s">
        <v>115</v>
      </c>
      <c r="Z17" s="15" t="s">
        <v>115</v>
      </c>
      <c r="AA17" s="15" t="s">
        <v>116</v>
      </c>
      <c r="AB17" s="15" t="s">
        <v>9009</v>
      </c>
      <c r="AC17" s="15" t="s">
        <v>9009</v>
      </c>
      <c r="AD17" s="15" t="s">
        <v>9010</v>
      </c>
      <c r="AE17" s="15" t="s">
        <v>119</v>
      </c>
      <c r="AF17" s="15" t="s">
        <v>9010</v>
      </c>
      <c r="AG17" s="15" t="s">
        <v>9009</v>
      </c>
      <c r="AH17" s="15" t="s">
        <v>9011</v>
      </c>
      <c r="AL17" s="15" t="s">
        <v>9012</v>
      </c>
      <c r="AN17" s="15">
        <v>27</v>
      </c>
      <c r="AO17" s="15" t="s">
        <v>9013</v>
      </c>
      <c r="AQ17" s="15" t="s">
        <v>9014</v>
      </c>
      <c r="AT17" s="15" t="s">
        <v>9015</v>
      </c>
      <c r="AU17" s="15" t="s">
        <v>9016</v>
      </c>
      <c r="AV17" s="15" t="s">
        <v>9016</v>
      </c>
      <c r="AW17" s="15" t="s">
        <v>9017</v>
      </c>
      <c r="AX17" s="15" t="s">
        <v>9017</v>
      </c>
      <c r="AY17" s="15">
        <f t="shared" si="0"/>
        <v>32</v>
      </c>
      <c r="AZ17" s="15" t="s">
        <v>6108</v>
      </c>
      <c r="BA17" s="15" t="s">
        <v>130</v>
      </c>
      <c r="BE17" s="15" t="s">
        <v>9018</v>
      </c>
      <c r="BJ17" s="15" t="s">
        <v>9019</v>
      </c>
      <c r="BN17" s="15" t="s">
        <v>136</v>
      </c>
      <c r="BP17" s="15" t="s">
        <v>6112</v>
      </c>
      <c r="BS17" s="15" t="s">
        <v>6189</v>
      </c>
      <c r="BT17" s="15" t="s">
        <v>140</v>
      </c>
      <c r="DH17" s="15" t="s">
        <v>17982</v>
      </c>
      <c r="DI17" s="15" t="s">
        <v>17982</v>
      </c>
    </row>
    <row r="18" spans="1:113" s="15" customFormat="1" ht="12.75" x14ac:dyDescent="0.2">
      <c r="A18" s="15" t="s">
        <v>109</v>
      </c>
      <c r="B18" s="15" t="s">
        <v>110</v>
      </c>
      <c r="D18" s="15" t="s">
        <v>111</v>
      </c>
      <c r="E18" s="15" t="s">
        <v>141</v>
      </c>
      <c r="F18" s="15" t="s">
        <v>111</v>
      </c>
      <c r="G18" s="15" t="s">
        <v>113</v>
      </c>
      <c r="H18" s="15" t="s">
        <v>1045</v>
      </c>
      <c r="J18" s="16" t="s">
        <v>114</v>
      </c>
      <c r="U18" s="15" t="s">
        <v>17977</v>
      </c>
      <c r="W18" s="15">
        <v>2</v>
      </c>
      <c r="X18" s="15">
        <v>17</v>
      </c>
      <c r="Y18" s="15" t="s">
        <v>115</v>
      </c>
      <c r="Z18" s="15" t="s">
        <v>115</v>
      </c>
      <c r="AA18" s="15" t="s">
        <v>116</v>
      </c>
      <c r="AB18" s="15" t="s">
        <v>142</v>
      </c>
      <c r="AC18" s="15" t="s">
        <v>142</v>
      </c>
      <c r="AD18" s="15" t="s">
        <v>143</v>
      </c>
      <c r="AE18" s="15" t="s">
        <v>119</v>
      </c>
      <c r="AF18" s="15" t="s">
        <v>143</v>
      </c>
      <c r="AG18" s="15" t="s">
        <v>142</v>
      </c>
      <c r="AH18" s="15" t="s">
        <v>144</v>
      </c>
      <c r="AL18" s="15" t="s">
        <v>145</v>
      </c>
      <c r="AN18" s="15">
        <v>27</v>
      </c>
      <c r="AO18" s="15" t="s">
        <v>146</v>
      </c>
      <c r="AQ18" s="15" t="s">
        <v>123</v>
      </c>
      <c r="AR18" s="15" t="s">
        <v>147</v>
      </c>
      <c r="AS18" s="15" t="s">
        <v>148</v>
      </c>
      <c r="AT18" s="15" t="s">
        <v>149</v>
      </c>
      <c r="AU18" s="15" t="s">
        <v>150</v>
      </c>
      <c r="AV18" s="15" t="s">
        <v>150</v>
      </c>
      <c r="AW18" s="15" t="s">
        <v>151</v>
      </c>
      <c r="AX18" s="15" t="s">
        <v>152</v>
      </c>
      <c r="AY18" s="15">
        <f t="shared" si="0"/>
        <v>60</v>
      </c>
      <c r="AZ18" s="15" t="s">
        <v>130</v>
      </c>
      <c r="BA18" s="15" t="s">
        <v>131</v>
      </c>
      <c r="BB18" s="15" t="s">
        <v>153</v>
      </c>
      <c r="BC18" s="15" t="s">
        <v>154</v>
      </c>
      <c r="BE18" s="15" t="s">
        <v>155</v>
      </c>
      <c r="BJ18" s="15" t="s">
        <v>156</v>
      </c>
      <c r="BN18" s="15" t="s">
        <v>136</v>
      </c>
      <c r="BO18" s="15" t="s">
        <v>157</v>
      </c>
      <c r="BP18" s="15" t="s">
        <v>138</v>
      </c>
      <c r="BS18" s="15" t="s">
        <v>158</v>
      </c>
      <c r="DH18" s="15" t="s">
        <v>17982</v>
      </c>
      <c r="DI18" s="15" t="s">
        <v>17982</v>
      </c>
    </row>
    <row r="19" spans="1:113" s="15" customFormat="1" ht="12.75" x14ac:dyDescent="0.2">
      <c r="A19" s="15" t="s">
        <v>109</v>
      </c>
      <c r="B19" s="15" t="s">
        <v>110</v>
      </c>
      <c r="D19" s="15" t="s">
        <v>620</v>
      </c>
      <c r="E19" s="15" t="s">
        <v>112</v>
      </c>
      <c r="F19" s="15" t="s">
        <v>620</v>
      </c>
      <c r="G19" s="15" t="s">
        <v>113</v>
      </c>
      <c r="H19" s="15" t="s">
        <v>1045</v>
      </c>
      <c r="J19" s="16" t="s">
        <v>114</v>
      </c>
      <c r="U19" s="15" t="s">
        <v>17977</v>
      </c>
      <c r="W19" s="15">
        <v>2453</v>
      </c>
      <c r="X19" s="15">
        <v>29</v>
      </c>
      <c r="Y19" s="15" t="s">
        <v>160</v>
      </c>
      <c r="Z19" s="15" t="s">
        <v>161</v>
      </c>
      <c r="AA19" s="15" t="s">
        <v>162</v>
      </c>
      <c r="AB19" s="15" t="s">
        <v>12178</v>
      </c>
      <c r="AC19" s="15" t="s">
        <v>12178</v>
      </c>
      <c r="AD19" s="15" t="s">
        <v>12179</v>
      </c>
      <c r="AE19" s="15" t="s">
        <v>164</v>
      </c>
      <c r="AF19" s="15" t="s">
        <v>12179</v>
      </c>
      <c r="AG19" s="15" t="s">
        <v>12178</v>
      </c>
      <c r="AH19" s="47" t="s">
        <v>12180</v>
      </c>
      <c r="AL19" s="15" t="s">
        <v>12181</v>
      </c>
      <c r="AN19" s="15">
        <v>743</v>
      </c>
      <c r="AO19" s="15" t="s">
        <v>12182</v>
      </c>
      <c r="AQ19" s="15" t="s">
        <v>3598</v>
      </c>
      <c r="AT19" s="15" t="s">
        <v>12183</v>
      </c>
      <c r="AU19" s="15" t="s">
        <v>12184</v>
      </c>
      <c r="AV19" s="15" t="s">
        <v>12184</v>
      </c>
      <c r="AW19" s="15" t="s">
        <v>12185</v>
      </c>
      <c r="AX19" s="15" t="s">
        <v>12186</v>
      </c>
      <c r="AY19" s="15">
        <f t="shared" si="0"/>
        <v>53</v>
      </c>
      <c r="AZ19" s="15" t="s">
        <v>3603</v>
      </c>
      <c r="BA19" s="15" t="s">
        <v>214</v>
      </c>
      <c r="BB19" s="15" t="s">
        <v>12187</v>
      </c>
      <c r="BE19" s="15" t="s">
        <v>1081</v>
      </c>
      <c r="BJ19" s="15" t="s">
        <v>12188</v>
      </c>
      <c r="BK19" s="15" t="s">
        <v>314</v>
      </c>
      <c r="BN19" s="15" t="s">
        <v>179</v>
      </c>
      <c r="BO19" s="15" t="s">
        <v>488</v>
      </c>
      <c r="BP19" s="15" t="s">
        <v>138</v>
      </c>
      <c r="BS19" s="15" t="s">
        <v>12189</v>
      </c>
      <c r="BT19" s="15" t="s">
        <v>3323</v>
      </c>
      <c r="DH19" s="15" t="s">
        <v>17982</v>
      </c>
      <c r="DI19" s="15" t="s">
        <v>17982</v>
      </c>
    </row>
    <row r="20" spans="1:113" s="15" customFormat="1" ht="12.75" x14ac:dyDescent="0.2">
      <c r="A20" s="15" t="s">
        <v>109</v>
      </c>
      <c r="B20" s="15" t="s">
        <v>110</v>
      </c>
      <c r="D20" s="15" t="s">
        <v>620</v>
      </c>
      <c r="E20" s="15" t="s">
        <v>112</v>
      </c>
      <c r="F20" s="15" t="s">
        <v>620</v>
      </c>
      <c r="G20" s="15" t="s">
        <v>113</v>
      </c>
      <c r="H20" s="15" t="s">
        <v>1045</v>
      </c>
      <c r="J20" s="16" t="s">
        <v>114</v>
      </c>
      <c r="U20" s="15" t="s">
        <v>17977</v>
      </c>
      <c r="W20" s="15">
        <v>1324</v>
      </c>
      <c r="X20" s="15">
        <v>30</v>
      </c>
      <c r="Y20" s="15" t="s">
        <v>160</v>
      </c>
      <c r="Z20" s="15" t="s">
        <v>161</v>
      </c>
      <c r="AA20" s="15" t="s">
        <v>162</v>
      </c>
      <c r="AB20" s="15" t="s">
        <v>6817</v>
      </c>
      <c r="AC20" s="15" t="s">
        <v>6817</v>
      </c>
      <c r="AD20" s="15" t="s">
        <v>6818</v>
      </c>
      <c r="AE20" s="15" t="s">
        <v>164</v>
      </c>
      <c r="AF20" s="15" t="s">
        <v>6818</v>
      </c>
      <c r="AG20" s="15" t="s">
        <v>6817</v>
      </c>
      <c r="AH20" s="15" t="s">
        <v>6819</v>
      </c>
      <c r="AL20" s="15" t="s">
        <v>6820</v>
      </c>
      <c r="AN20" s="15">
        <v>743</v>
      </c>
      <c r="AO20" s="15" t="s">
        <v>6821</v>
      </c>
      <c r="AQ20" s="15" t="s">
        <v>912</v>
      </c>
      <c r="AT20" s="15" t="s">
        <v>6822</v>
      </c>
      <c r="AU20" s="15" t="s">
        <v>6823</v>
      </c>
      <c r="AV20" s="15" t="s">
        <v>6823</v>
      </c>
      <c r="AW20" s="15" t="s">
        <v>6824</v>
      </c>
      <c r="AX20" s="15" t="s">
        <v>6825</v>
      </c>
      <c r="AY20" s="15">
        <f t="shared" si="0"/>
        <v>59</v>
      </c>
      <c r="AZ20" s="15" t="s">
        <v>917</v>
      </c>
      <c r="BA20" s="15" t="s">
        <v>174</v>
      </c>
      <c r="BB20" s="15" t="s">
        <v>6826</v>
      </c>
      <c r="BE20" s="15" t="s">
        <v>6827</v>
      </c>
      <c r="BJ20" s="15" t="s">
        <v>6828</v>
      </c>
      <c r="BK20" s="15" t="s">
        <v>487</v>
      </c>
      <c r="BN20" s="15" t="s">
        <v>179</v>
      </c>
      <c r="BO20" s="15" t="s">
        <v>488</v>
      </c>
      <c r="BP20" s="15" t="s">
        <v>138</v>
      </c>
      <c r="BS20" s="15" t="s">
        <v>6829</v>
      </c>
      <c r="BT20" s="15" t="s">
        <v>3323</v>
      </c>
      <c r="DH20" s="15" t="s">
        <v>17982</v>
      </c>
      <c r="DI20" s="15" t="s">
        <v>17982</v>
      </c>
    </row>
    <row r="21" spans="1:113" s="15" customFormat="1" ht="12.75" x14ac:dyDescent="0.2">
      <c r="A21" s="15" t="s">
        <v>109</v>
      </c>
      <c r="B21" s="15" t="s">
        <v>110</v>
      </c>
      <c r="D21" s="15" t="s">
        <v>620</v>
      </c>
      <c r="E21" s="15" t="s">
        <v>112</v>
      </c>
      <c r="F21" s="15" t="s">
        <v>620</v>
      </c>
      <c r="G21" s="15" t="s">
        <v>113</v>
      </c>
      <c r="H21" s="15" t="s">
        <v>1045</v>
      </c>
      <c r="J21" s="16" t="s">
        <v>114</v>
      </c>
      <c r="U21" s="15" t="s">
        <v>17977</v>
      </c>
      <c r="W21" s="15">
        <v>763</v>
      </c>
      <c r="X21" s="15">
        <v>31</v>
      </c>
      <c r="Y21" s="15" t="s">
        <v>160</v>
      </c>
      <c r="Z21" s="15" t="s">
        <v>161</v>
      </c>
      <c r="AA21" s="15" t="s">
        <v>162</v>
      </c>
      <c r="AB21" s="15" t="s">
        <v>3310</v>
      </c>
      <c r="AC21" s="15" t="s">
        <v>3310</v>
      </c>
      <c r="AD21" s="15" t="s">
        <v>3311</v>
      </c>
      <c r="AE21" s="15" t="s">
        <v>164</v>
      </c>
      <c r="AF21" s="15" t="s">
        <v>3311</v>
      </c>
      <c r="AG21" s="15" t="s">
        <v>3310</v>
      </c>
      <c r="AH21" s="15" t="s">
        <v>3312</v>
      </c>
      <c r="AL21" s="15" t="s">
        <v>3313</v>
      </c>
      <c r="AN21" s="15">
        <v>743</v>
      </c>
      <c r="AO21" s="15" t="s">
        <v>3314</v>
      </c>
      <c r="AQ21" s="15" t="s">
        <v>3315</v>
      </c>
      <c r="AT21" s="15" t="s">
        <v>3316</v>
      </c>
      <c r="AU21" s="15" t="s">
        <v>3317</v>
      </c>
      <c r="AV21" s="15" t="s">
        <v>3317</v>
      </c>
      <c r="AW21" s="15" t="s">
        <v>3318</v>
      </c>
      <c r="AX21" s="15" t="s">
        <v>3319</v>
      </c>
      <c r="AY21" s="15">
        <f t="shared" si="0"/>
        <v>46</v>
      </c>
      <c r="AZ21" s="15" t="s">
        <v>274</v>
      </c>
      <c r="BA21" s="15" t="s">
        <v>834</v>
      </c>
      <c r="BB21" s="15" t="s">
        <v>3320</v>
      </c>
      <c r="BE21" s="15" t="s">
        <v>1688</v>
      </c>
      <c r="BJ21" s="15" t="s">
        <v>3321</v>
      </c>
      <c r="BK21" s="15" t="s">
        <v>487</v>
      </c>
      <c r="BN21" s="15" t="s">
        <v>179</v>
      </c>
      <c r="BO21" s="15" t="s">
        <v>488</v>
      </c>
      <c r="BP21" s="15" t="s">
        <v>138</v>
      </c>
      <c r="BS21" s="15" t="s">
        <v>3322</v>
      </c>
      <c r="BT21" s="15" t="s">
        <v>3323</v>
      </c>
      <c r="DH21" s="15" t="s">
        <v>17982</v>
      </c>
      <c r="DI21" s="15" t="s">
        <v>17982</v>
      </c>
    </row>
    <row r="22" spans="1:113" s="15" customFormat="1" ht="12.75" x14ac:dyDescent="0.2">
      <c r="A22" s="15" t="s">
        <v>109</v>
      </c>
      <c r="B22" s="15" t="s">
        <v>110</v>
      </c>
      <c r="D22" s="15" t="s">
        <v>620</v>
      </c>
      <c r="E22" s="15" t="s">
        <v>112</v>
      </c>
      <c r="F22" s="15" t="s">
        <v>620</v>
      </c>
      <c r="G22" s="15" t="s">
        <v>113</v>
      </c>
      <c r="H22" s="15" t="s">
        <v>1045</v>
      </c>
      <c r="J22" s="16" t="s">
        <v>114</v>
      </c>
      <c r="U22" s="15" t="s">
        <v>17977</v>
      </c>
      <c r="W22" s="15">
        <v>1326</v>
      </c>
      <c r="X22" s="15">
        <v>32</v>
      </c>
      <c r="Y22" s="15" t="s">
        <v>160</v>
      </c>
      <c r="Z22" s="15" t="s">
        <v>161</v>
      </c>
      <c r="AA22" s="15" t="s">
        <v>162</v>
      </c>
      <c r="AB22" s="15" t="s">
        <v>6830</v>
      </c>
      <c r="AC22" s="15" t="s">
        <v>6830</v>
      </c>
      <c r="AD22" s="15" t="s">
        <v>6831</v>
      </c>
      <c r="AE22" s="15" t="s">
        <v>164</v>
      </c>
      <c r="AF22" s="15" t="s">
        <v>6831</v>
      </c>
      <c r="AG22" s="15" t="s">
        <v>6830</v>
      </c>
      <c r="AH22" s="15" t="s">
        <v>6832</v>
      </c>
      <c r="AL22" s="15" t="s">
        <v>6833</v>
      </c>
      <c r="AN22" s="15">
        <v>743</v>
      </c>
      <c r="AO22" s="15" t="s">
        <v>6834</v>
      </c>
      <c r="AQ22" s="15" t="s">
        <v>6835</v>
      </c>
      <c r="AT22" s="15" t="s">
        <v>6836</v>
      </c>
      <c r="AU22" s="15" t="s">
        <v>6837</v>
      </c>
      <c r="AV22" s="15" t="s">
        <v>6837</v>
      </c>
      <c r="AW22" s="15" t="s">
        <v>6838</v>
      </c>
      <c r="AX22" s="15" t="s">
        <v>6839</v>
      </c>
      <c r="AY22" s="15">
        <f t="shared" si="0"/>
        <v>47</v>
      </c>
      <c r="AZ22" s="15" t="s">
        <v>6840</v>
      </c>
      <c r="BA22" s="15" t="s">
        <v>174</v>
      </c>
      <c r="BB22" s="15" t="s">
        <v>6841</v>
      </c>
      <c r="BE22" s="15" t="s">
        <v>6842</v>
      </c>
      <c r="BJ22" s="15" t="s">
        <v>6843</v>
      </c>
      <c r="BK22" s="15" t="s">
        <v>487</v>
      </c>
      <c r="BN22" s="15" t="s">
        <v>179</v>
      </c>
      <c r="BO22" s="15" t="s">
        <v>488</v>
      </c>
      <c r="BP22" s="15" t="s">
        <v>138</v>
      </c>
      <c r="BS22" s="15" t="s">
        <v>6844</v>
      </c>
      <c r="BT22" s="15" t="s">
        <v>3323</v>
      </c>
      <c r="DH22" s="15" t="s">
        <v>17982</v>
      </c>
      <c r="DI22" s="15" t="s">
        <v>17982</v>
      </c>
    </row>
    <row r="23" spans="1:113" s="15" customFormat="1" ht="12.75" x14ac:dyDescent="0.2">
      <c r="A23" s="15" t="s">
        <v>109</v>
      </c>
      <c r="B23" s="15" t="s">
        <v>110</v>
      </c>
      <c r="D23" s="15" t="s">
        <v>620</v>
      </c>
      <c r="E23" s="15" t="s">
        <v>112</v>
      </c>
      <c r="F23" s="15" t="s">
        <v>620</v>
      </c>
      <c r="G23" s="15" t="s">
        <v>113</v>
      </c>
      <c r="H23" s="15" t="s">
        <v>1045</v>
      </c>
      <c r="J23" s="16" t="s">
        <v>114</v>
      </c>
      <c r="U23" s="15" t="s">
        <v>17977</v>
      </c>
      <c r="W23" s="15">
        <v>1327</v>
      </c>
      <c r="X23" s="15">
        <v>33</v>
      </c>
      <c r="Y23" s="15" t="s">
        <v>160</v>
      </c>
      <c r="Z23" s="15" t="s">
        <v>161</v>
      </c>
      <c r="AA23" s="15" t="s">
        <v>162</v>
      </c>
      <c r="AB23" s="15" t="s">
        <v>6845</v>
      </c>
      <c r="AC23" s="15" t="s">
        <v>6845</v>
      </c>
      <c r="AD23" s="15" t="s">
        <v>6846</v>
      </c>
      <c r="AE23" s="15" t="s">
        <v>164</v>
      </c>
      <c r="AF23" s="15" t="s">
        <v>6846</v>
      </c>
      <c r="AG23" s="15" t="s">
        <v>6845</v>
      </c>
      <c r="AH23" s="15" t="s">
        <v>6847</v>
      </c>
      <c r="AL23" s="15" t="s">
        <v>6848</v>
      </c>
      <c r="AN23" s="15">
        <v>743</v>
      </c>
      <c r="AO23" s="15" t="s">
        <v>6849</v>
      </c>
      <c r="AQ23" s="15" t="s">
        <v>6835</v>
      </c>
      <c r="AT23" s="15" t="s">
        <v>6850</v>
      </c>
      <c r="AU23" s="15" t="s">
        <v>6851</v>
      </c>
      <c r="AV23" s="15" t="s">
        <v>6851</v>
      </c>
      <c r="AW23" s="15" t="s">
        <v>6852</v>
      </c>
      <c r="AX23" s="15" t="s">
        <v>6853</v>
      </c>
      <c r="AY23" s="15">
        <f t="shared" si="0"/>
        <v>47</v>
      </c>
      <c r="AZ23" s="15" t="s">
        <v>6840</v>
      </c>
      <c r="BA23" s="15" t="s">
        <v>174</v>
      </c>
      <c r="BB23" s="15" t="s">
        <v>6841</v>
      </c>
      <c r="BE23" s="15" t="s">
        <v>6854</v>
      </c>
      <c r="BJ23" s="15" t="s">
        <v>6843</v>
      </c>
      <c r="BK23" s="15" t="s">
        <v>487</v>
      </c>
      <c r="BN23" s="15" t="s">
        <v>179</v>
      </c>
      <c r="BO23" s="15" t="s">
        <v>488</v>
      </c>
      <c r="BP23" s="15" t="s">
        <v>138</v>
      </c>
      <c r="BS23" s="15" t="s">
        <v>6855</v>
      </c>
      <c r="BT23" s="15" t="s">
        <v>3323</v>
      </c>
      <c r="DH23" s="15" t="s">
        <v>17982</v>
      </c>
      <c r="DI23" s="15" t="s">
        <v>17982</v>
      </c>
    </row>
    <row r="24" spans="1:113" s="15" customFormat="1" ht="12.75" x14ac:dyDescent="0.2">
      <c r="A24" s="15" t="s">
        <v>109</v>
      </c>
      <c r="B24" s="15" t="s">
        <v>110</v>
      </c>
      <c r="D24" s="15" t="s">
        <v>620</v>
      </c>
      <c r="E24" s="15" t="s">
        <v>112</v>
      </c>
      <c r="F24" s="15" t="s">
        <v>620</v>
      </c>
      <c r="G24" s="15" t="s">
        <v>113</v>
      </c>
      <c r="H24" s="15" t="s">
        <v>1045</v>
      </c>
      <c r="J24" s="16" t="s">
        <v>114</v>
      </c>
      <c r="U24" s="15" t="s">
        <v>17977</v>
      </c>
      <c r="W24" s="15">
        <v>71</v>
      </c>
      <c r="X24" s="15">
        <v>34</v>
      </c>
      <c r="Y24" s="15" t="s">
        <v>160</v>
      </c>
      <c r="Z24" s="15" t="s">
        <v>161</v>
      </c>
      <c r="AA24" s="15" t="s">
        <v>162</v>
      </c>
      <c r="AB24" s="15" t="s">
        <v>621</v>
      </c>
      <c r="AC24" s="15" t="s">
        <v>621</v>
      </c>
      <c r="AD24" s="15" t="s">
        <v>622</v>
      </c>
      <c r="AE24" s="15" t="s">
        <v>164</v>
      </c>
      <c r="AF24" s="15" t="s">
        <v>622</v>
      </c>
      <c r="AG24" s="15" t="s">
        <v>621</v>
      </c>
      <c r="AH24" s="15" t="s">
        <v>623</v>
      </c>
      <c r="AL24" s="15" t="s">
        <v>624</v>
      </c>
      <c r="AN24" s="15">
        <v>743</v>
      </c>
      <c r="AO24" s="15" t="s">
        <v>625</v>
      </c>
      <c r="AQ24" s="15" t="s">
        <v>626</v>
      </c>
      <c r="AT24" s="15" t="s">
        <v>627</v>
      </c>
      <c r="AU24" s="15" t="s">
        <v>628</v>
      </c>
      <c r="AV24" s="15" t="s">
        <v>628</v>
      </c>
      <c r="AW24" s="15" t="s">
        <v>629</v>
      </c>
      <c r="AX24" s="15" t="s">
        <v>630</v>
      </c>
      <c r="AY24" s="15">
        <f t="shared" si="0"/>
        <v>58</v>
      </c>
      <c r="AZ24" s="15" t="s">
        <v>482</v>
      </c>
      <c r="BA24" s="15" t="s">
        <v>174</v>
      </c>
      <c r="BB24" s="15" t="s">
        <v>631</v>
      </c>
      <c r="BE24" s="15" t="s">
        <v>632</v>
      </c>
      <c r="BJ24" s="15" t="s">
        <v>633</v>
      </c>
      <c r="BN24" s="15" t="s">
        <v>179</v>
      </c>
      <c r="BO24" s="15" t="s">
        <v>488</v>
      </c>
      <c r="BP24" s="15" t="s">
        <v>138</v>
      </c>
      <c r="BS24" s="15" t="s">
        <v>634</v>
      </c>
      <c r="DH24" s="15" t="s">
        <v>17982</v>
      </c>
      <c r="DI24" s="15" t="s">
        <v>17982</v>
      </c>
    </row>
    <row r="25" spans="1:113" s="15" customFormat="1" ht="12.75" x14ac:dyDescent="0.2">
      <c r="A25" s="15" t="s">
        <v>109</v>
      </c>
      <c r="B25" s="15" t="s">
        <v>110</v>
      </c>
      <c r="D25" s="15" t="s">
        <v>620</v>
      </c>
      <c r="E25" s="15" t="s">
        <v>112</v>
      </c>
      <c r="F25" s="15" t="s">
        <v>620</v>
      </c>
      <c r="G25" s="15" t="s">
        <v>113</v>
      </c>
      <c r="H25" s="15" t="s">
        <v>1045</v>
      </c>
      <c r="J25" s="16" t="s">
        <v>114</v>
      </c>
      <c r="U25" s="15" t="s">
        <v>17977</v>
      </c>
      <c r="W25" s="15">
        <v>2107</v>
      </c>
      <c r="X25" s="15">
        <v>35</v>
      </c>
      <c r="Y25" s="15" t="s">
        <v>160</v>
      </c>
      <c r="Z25" s="15" t="s">
        <v>161</v>
      </c>
      <c r="AA25" s="15" t="s">
        <v>162</v>
      </c>
      <c r="AB25" s="15" t="s">
        <v>10840</v>
      </c>
      <c r="AC25" s="15" t="s">
        <v>10840</v>
      </c>
      <c r="AD25" s="15" t="s">
        <v>10840</v>
      </c>
      <c r="AE25" s="15" t="s">
        <v>164</v>
      </c>
      <c r="AF25" s="15" t="s">
        <v>10840</v>
      </c>
      <c r="AG25" s="15" t="s">
        <v>10840</v>
      </c>
      <c r="AH25" s="15" t="s">
        <v>10841</v>
      </c>
      <c r="AL25" s="15" t="s">
        <v>10842</v>
      </c>
      <c r="AN25" s="15">
        <v>743</v>
      </c>
      <c r="AO25" s="15" t="s">
        <v>10843</v>
      </c>
      <c r="AQ25" s="15" t="s">
        <v>626</v>
      </c>
      <c r="AT25" s="15" t="s">
        <v>10844</v>
      </c>
      <c r="AU25" s="15" t="s">
        <v>10845</v>
      </c>
      <c r="AV25" s="15" t="s">
        <v>10845</v>
      </c>
      <c r="AW25" s="15" t="s">
        <v>10846</v>
      </c>
      <c r="AX25" s="15" t="s">
        <v>10846</v>
      </c>
      <c r="AY25" s="15">
        <f t="shared" si="0"/>
        <v>31</v>
      </c>
      <c r="AZ25" s="15" t="s">
        <v>173</v>
      </c>
      <c r="BA25" s="15" t="s">
        <v>174</v>
      </c>
      <c r="BB25" s="15" t="s">
        <v>10847</v>
      </c>
      <c r="BC25" s="15" t="s">
        <v>1055</v>
      </c>
      <c r="BD25" s="15" t="s">
        <v>3057</v>
      </c>
      <c r="BN25" s="15" t="s">
        <v>179</v>
      </c>
      <c r="BP25" s="15" t="s">
        <v>138</v>
      </c>
      <c r="BS25" s="15" t="s">
        <v>10848</v>
      </c>
      <c r="DH25" s="15" t="s">
        <v>17982</v>
      </c>
      <c r="DI25" s="15" t="s">
        <v>17982</v>
      </c>
    </row>
    <row r="26" spans="1:113" s="15" customFormat="1" ht="12.75" x14ac:dyDescent="0.2">
      <c r="A26" s="15" t="s">
        <v>109</v>
      </c>
      <c r="B26" s="15" t="s">
        <v>110</v>
      </c>
      <c r="D26" s="15" t="s">
        <v>620</v>
      </c>
      <c r="E26" s="15" t="s">
        <v>112</v>
      </c>
      <c r="F26" s="15" t="s">
        <v>620</v>
      </c>
      <c r="G26" s="15" t="s">
        <v>113</v>
      </c>
      <c r="H26" s="15" t="s">
        <v>1045</v>
      </c>
      <c r="J26" s="16" t="s">
        <v>114</v>
      </c>
      <c r="U26" s="15" t="s">
        <v>17977</v>
      </c>
      <c r="W26" s="15">
        <v>2041</v>
      </c>
      <c r="X26" s="15">
        <v>36</v>
      </c>
      <c r="Y26" s="15" t="s">
        <v>160</v>
      </c>
      <c r="Z26" s="15" t="s">
        <v>161</v>
      </c>
      <c r="AA26" s="15" t="s">
        <v>162</v>
      </c>
      <c r="AB26" s="15" t="s">
        <v>10554</v>
      </c>
      <c r="AC26" s="15" t="s">
        <v>10554</v>
      </c>
      <c r="AD26" s="15" t="s">
        <v>10554</v>
      </c>
      <c r="AE26" s="15" t="s">
        <v>164</v>
      </c>
      <c r="AF26" s="15" t="s">
        <v>10554</v>
      </c>
      <c r="AG26" s="15" t="s">
        <v>10554</v>
      </c>
      <c r="AH26" s="15" t="s">
        <v>10555</v>
      </c>
      <c r="AL26" s="15" t="s">
        <v>10556</v>
      </c>
      <c r="AN26" s="15">
        <v>743</v>
      </c>
      <c r="AO26" s="15" t="s">
        <v>10557</v>
      </c>
      <c r="AQ26" s="15" t="s">
        <v>626</v>
      </c>
      <c r="AT26" s="15" t="s">
        <v>10558</v>
      </c>
      <c r="AU26" s="15" t="s">
        <v>10559</v>
      </c>
      <c r="AV26" s="15" t="s">
        <v>10559</v>
      </c>
      <c r="AW26" s="15" t="s">
        <v>10560</v>
      </c>
      <c r="AX26" s="15" t="s">
        <v>10560</v>
      </c>
      <c r="AY26" s="15">
        <f t="shared" si="0"/>
        <v>51</v>
      </c>
      <c r="AZ26" s="15" t="s">
        <v>173</v>
      </c>
      <c r="BA26" s="15" t="s">
        <v>174</v>
      </c>
      <c r="BB26" s="15" t="s">
        <v>10538</v>
      </c>
      <c r="BE26" s="15" t="s">
        <v>606</v>
      </c>
      <c r="BJ26" s="15" t="s">
        <v>10561</v>
      </c>
      <c r="BN26" s="15" t="s">
        <v>179</v>
      </c>
      <c r="BP26" s="15" t="s">
        <v>138</v>
      </c>
      <c r="BS26" s="15" t="s">
        <v>10562</v>
      </c>
      <c r="DH26" s="15" t="s">
        <v>17982</v>
      </c>
      <c r="DI26" s="15" t="s">
        <v>17982</v>
      </c>
    </row>
    <row r="27" spans="1:113" s="15" customFormat="1" ht="12.75" x14ac:dyDescent="0.2">
      <c r="A27" s="15" t="s">
        <v>109</v>
      </c>
      <c r="B27" s="15" t="s">
        <v>110</v>
      </c>
      <c r="D27" s="15" t="s">
        <v>620</v>
      </c>
      <c r="E27" s="15" t="s">
        <v>112</v>
      </c>
      <c r="F27" s="15" t="s">
        <v>620</v>
      </c>
      <c r="G27" s="15" t="s">
        <v>113</v>
      </c>
      <c r="H27" s="15" t="s">
        <v>1045</v>
      </c>
      <c r="J27" s="16" t="s">
        <v>114</v>
      </c>
      <c r="U27" s="15" t="s">
        <v>17977</v>
      </c>
      <c r="W27" s="15">
        <v>3642</v>
      </c>
      <c r="X27" s="15">
        <v>37</v>
      </c>
      <c r="Y27" s="15" t="s">
        <v>160</v>
      </c>
      <c r="Z27" s="15" t="s">
        <v>161</v>
      </c>
      <c r="AA27" s="15" t="s">
        <v>162</v>
      </c>
      <c r="AB27" s="15" t="s">
        <v>17570</v>
      </c>
      <c r="AC27" s="15" t="s">
        <v>17570</v>
      </c>
      <c r="AD27" s="15" t="s">
        <v>17570</v>
      </c>
      <c r="AE27" s="15" t="s">
        <v>164</v>
      </c>
      <c r="AF27" s="15" t="s">
        <v>17570</v>
      </c>
      <c r="AG27" s="15" t="s">
        <v>17570</v>
      </c>
      <c r="AH27" s="15" t="s">
        <v>17571</v>
      </c>
      <c r="AL27" s="15" t="s">
        <v>17572</v>
      </c>
      <c r="AN27" s="15">
        <v>743</v>
      </c>
      <c r="AO27" s="15" t="s">
        <v>17573</v>
      </c>
      <c r="AQ27" s="15" t="s">
        <v>626</v>
      </c>
      <c r="AT27" s="15" t="s">
        <v>17574</v>
      </c>
      <c r="AU27" s="15" t="s">
        <v>17575</v>
      </c>
      <c r="AV27" s="15" t="s">
        <v>17575</v>
      </c>
      <c r="AW27" s="15" t="s">
        <v>17576</v>
      </c>
      <c r="AX27" s="15" t="s">
        <v>17576</v>
      </c>
      <c r="AY27" s="15">
        <f t="shared" si="0"/>
        <v>54</v>
      </c>
      <c r="AZ27" s="15" t="s">
        <v>173</v>
      </c>
      <c r="BA27" s="15" t="s">
        <v>174</v>
      </c>
      <c r="BB27" s="15" t="s">
        <v>17577</v>
      </c>
      <c r="BE27" s="15" t="s">
        <v>1894</v>
      </c>
      <c r="BI27" s="15" t="s">
        <v>1200</v>
      </c>
      <c r="BJ27" s="15" t="s">
        <v>17578</v>
      </c>
      <c r="BN27" s="15" t="s">
        <v>179</v>
      </c>
      <c r="BP27" s="15" t="s">
        <v>138</v>
      </c>
      <c r="BS27" s="15" t="s">
        <v>17579</v>
      </c>
      <c r="DH27" s="15" t="s">
        <v>17982</v>
      </c>
      <c r="DI27" s="15" t="s">
        <v>17982</v>
      </c>
    </row>
    <row r="28" spans="1:113" s="15" customFormat="1" ht="12.75" x14ac:dyDescent="0.2">
      <c r="A28" s="15" t="s">
        <v>109</v>
      </c>
      <c r="B28" s="15" t="s">
        <v>110</v>
      </c>
      <c r="D28" s="15" t="s">
        <v>620</v>
      </c>
      <c r="E28" s="30" t="s">
        <v>112</v>
      </c>
      <c r="F28" s="15" t="s">
        <v>620</v>
      </c>
      <c r="G28" s="30" t="s">
        <v>113</v>
      </c>
      <c r="H28" s="15" t="s">
        <v>1045</v>
      </c>
      <c r="I28" s="30"/>
      <c r="J28" s="16" t="s">
        <v>114</v>
      </c>
      <c r="U28" s="15" t="s">
        <v>17977</v>
      </c>
      <c r="W28" s="15">
        <v>250</v>
      </c>
      <c r="X28" s="15">
        <v>38</v>
      </c>
      <c r="Y28" s="15" t="s">
        <v>160</v>
      </c>
      <c r="Z28" s="15" t="s">
        <v>161</v>
      </c>
      <c r="AA28" s="15" t="s">
        <v>162</v>
      </c>
      <c r="AB28" s="15" t="s">
        <v>1189</v>
      </c>
      <c r="AC28" s="15" t="s">
        <v>1189</v>
      </c>
      <c r="AD28" s="30" t="s">
        <v>1189</v>
      </c>
      <c r="AE28" s="15" t="s">
        <v>164</v>
      </c>
      <c r="AF28" s="30" t="s">
        <v>1189</v>
      </c>
      <c r="AG28" s="30" t="s">
        <v>1189</v>
      </c>
      <c r="AH28" s="30" t="s">
        <v>1190</v>
      </c>
      <c r="AL28" s="15" t="s">
        <v>1191</v>
      </c>
      <c r="AN28" s="15">
        <v>743</v>
      </c>
      <c r="AO28" s="15" t="s">
        <v>1192</v>
      </c>
      <c r="AQ28" s="30" t="s">
        <v>1193</v>
      </c>
      <c r="AS28" s="30"/>
      <c r="AT28" s="30" t="s">
        <v>1194</v>
      </c>
      <c r="AU28" s="30" t="s">
        <v>1195</v>
      </c>
      <c r="AV28" s="30" t="s">
        <v>1195</v>
      </c>
      <c r="AW28" s="30" t="s">
        <v>1196</v>
      </c>
      <c r="AX28" s="30" t="s">
        <v>1196</v>
      </c>
      <c r="AY28" s="15">
        <f t="shared" si="0"/>
        <v>40</v>
      </c>
      <c r="AZ28" s="30" t="s">
        <v>1197</v>
      </c>
      <c r="BA28" s="30" t="s">
        <v>174</v>
      </c>
      <c r="BB28" s="30" t="s">
        <v>1198</v>
      </c>
      <c r="BC28" s="30" t="s">
        <v>1199</v>
      </c>
      <c r="BD28" s="30"/>
      <c r="BE28" s="30"/>
      <c r="BF28" s="30"/>
      <c r="BG28" s="30"/>
      <c r="BH28" s="30"/>
      <c r="BI28" s="30" t="s">
        <v>1200</v>
      </c>
      <c r="BJ28" s="30" t="s">
        <v>1201</v>
      </c>
      <c r="BK28" s="30"/>
      <c r="BL28" s="30"/>
      <c r="BM28" s="30"/>
      <c r="BN28" s="15" t="s">
        <v>179</v>
      </c>
      <c r="BO28" s="30"/>
      <c r="BP28" s="15" t="s">
        <v>138</v>
      </c>
      <c r="BQ28" s="30"/>
      <c r="BR28" s="30"/>
      <c r="BS28" s="30" t="s">
        <v>1202</v>
      </c>
      <c r="BT28" s="30"/>
      <c r="BU28" s="30"/>
      <c r="BV28" s="30"/>
      <c r="BW28" s="30"/>
      <c r="BX28" s="30"/>
      <c r="BY28" s="30"/>
      <c r="DH28" s="15" t="s">
        <v>17982</v>
      </c>
      <c r="DI28" s="15" t="s">
        <v>17982</v>
      </c>
    </row>
    <row r="29" spans="1:113" s="15" customFormat="1" ht="12.75" x14ac:dyDescent="0.2">
      <c r="A29" s="15" t="s">
        <v>109</v>
      </c>
      <c r="B29" s="15" t="s">
        <v>110</v>
      </c>
      <c r="D29" s="15" t="s">
        <v>620</v>
      </c>
      <c r="E29" s="15" t="s">
        <v>112</v>
      </c>
      <c r="F29" s="15" t="s">
        <v>620</v>
      </c>
      <c r="G29" s="15" t="s">
        <v>113</v>
      </c>
      <c r="H29" s="15" t="s">
        <v>1045</v>
      </c>
      <c r="J29" s="16" t="s">
        <v>114</v>
      </c>
      <c r="U29" s="15" t="s">
        <v>17977</v>
      </c>
      <c r="W29" s="15">
        <v>1467</v>
      </c>
      <c r="X29" s="15">
        <v>39</v>
      </c>
      <c r="Y29" s="15" t="s">
        <v>160</v>
      </c>
      <c r="Z29" s="15" t="s">
        <v>161</v>
      </c>
      <c r="AA29" s="15" t="s">
        <v>162</v>
      </c>
      <c r="AB29" s="15" t="s">
        <v>7477</v>
      </c>
      <c r="AC29" s="15" t="s">
        <v>7477</v>
      </c>
      <c r="AD29" s="15" t="s">
        <v>7477</v>
      </c>
      <c r="AE29" s="15" t="s">
        <v>164</v>
      </c>
      <c r="AF29" s="15" t="s">
        <v>7477</v>
      </c>
      <c r="AG29" s="15" t="s">
        <v>7477</v>
      </c>
      <c r="AH29" s="15" t="s">
        <v>7478</v>
      </c>
      <c r="AL29" s="15" t="s">
        <v>7479</v>
      </c>
      <c r="AN29" s="15">
        <v>743</v>
      </c>
      <c r="AO29" s="15" t="s">
        <v>7480</v>
      </c>
      <c r="AQ29" s="15" t="s">
        <v>626</v>
      </c>
      <c r="AT29" s="15" t="s">
        <v>7481</v>
      </c>
      <c r="AU29" s="15" t="s">
        <v>7482</v>
      </c>
      <c r="AV29" s="15" t="s">
        <v>7482</v>
      </c>
      <c r="AW29" s="15" t="s">
        <v>7483</v>
      </c>
      <c r="AX29" s="15" t="s">
        <v>7483</v>
      </c>
      <c r="AY29" s="15">
        <f t="shared" si="0"/>
        <v>55</v>
      </c>
      <c r="AZ29" s="15" t="s">
        <v>173</v>
      </c>
      <c r="BA29" s="15" t="s">
        <v>174</v>
      </c>
      <c r="BB29" s="15" t="s">
        <v>7484</v>
      </c>
      <c r="BE29" s="15" t="s">
        <v>251</v>
      </c>
      <c r="BI29" s="15" t="s">
        <v>1200</v>
      </c>
      <c r="BJ29" s="15" t="s">
        <v>7485</v>
      </c>
      <c r="BN29" s="15" t="s">
        <v>179</v>
      </c>
      <c r="BP29" s="15" t="s">
        <v>138</v>
      </c>
      <c r="BS29" s="15" t="s">
        <v>7486</v>
      </c>
      <c r="DH29" s="15" t="s">
        <v>17982</v>
      </c>
      <c r="DI29" s="15" t="s">
        <v>17982</v>
      </c>
    </row>
    <row r="30" spans="1:113" s="15" customFormat="1" ht="12.75" x14ac:dyDescent="0.2">
      <c r="A30" s="15" t="s">
        <v>109</v>
      </c>
      <c r="B30" s="15" t="s">
        <v>110</v>
      </c>
      <c r="D30" s="15" t="s">
        <v>620</v>
      </c>
      <c r="E30" s="15" t="s">
        <v>112</v>
      </c>
      <c r="F30" s="15" t="s">
        <v>620</v>
      </c>
      <c r="G30" s="15" t="s">
        <v>113</v>
      </c>
      <c r="H30" s="15" t="s">
        <v>1045</v>
      </c>
      <c r="J30" s="16" t="s">
        <v>114</v>
      </c>
      <c r="U30" s="15" t="s">
        <v>17977</v>
      </c>
      <c r="W30" s="15">
        <v>2998</v>
      </c>
      <c r="X30" s="15">
        <v>40</v>
      </c>
      <c r="Y30" s="15" t="s">
        <v>160</v>
      </c>
      <c r="Z30" s="15" t="s">
        <v>161</v>
      </c>
      <c r="AA30" s="15" t="s">
        <v>162</v>
      </c>
      <c r="AB30" s="15" t="s">
        <v>14708</v>
      </c>
      <c r="AC30" s="15" t="s">
        <v>14708</v>
      </c>
      <c r="AD30" s="15" t="s">
        <v>14708</v>
      </c>
      <c r="AE30" s="15" t="s">
        <v>164</v>
      </c>
      <c r="AF30" s="15" t="s">
        <v>14708</v>
      </c>
      <c r="AG30" s="15" t="s">
        <v>14708</v>
      </c>
      <c r="AH30" s="15" t="s">
        <v>14709</v>
      </c>
      <c r="AL30" s="15" t="s">
        <v>14710</v>
      </c>
      <c r="AN30" s="15">
        <v>743</v>
      </c>
      <c r="AO30" s="15" t="s">
        <v>14711</v>
      </c>
      <c r="AQ30" s="15" t="s">
        <v>1193</v>
      </c>
      <c r="AT30" s="15" t="s">
        <v>14712</v>
      </c>
      <c r="AU30" s="15" t="s">
        <v>14713</v>
      </c>
      <c r="AV30" s="15" t="s">
        <v>14713</v>
      </c>
      <c r="AW30" s="15" t="s">
        <v>14714</v>
      </c>
      <c r="AX30" s="15" t="s">
        <v>14714</v>
      </c>
      <c r="AY30" s="15">
        <f t="shared" si="0"/>
        <v>56</v>
      </c>
      <c r="AZ30" s="15" t="s">
        <v>1634</v>
      </c>
      <c r="BA30" s="15" t="s">
        <v>174</v>
      </c>
      <c r="BB30" s="15" t="s">
        <v>14694</v>
      </c>
      <c r="BC30" s="19" t="s">
        <v>14715</v>
      </c>
      <c r="BE30" s="15" t="s">
        <v>1081</v>
      </c>
      <c r="BF30" s="15" t="s">
        <v>14716</v>
      </c>
      <c r="BJ30" s="15" t="s">
        <v>14717</v>
      </c>
      <c r="BN30" s="15" t="s">
        <v>179</v>
      </c>
      <c r="BP30" s="15" t="s">
        <v>138</v>
      </c>
      <c r="BS30" s="15" t="s">
        <v>14718</v>
      </c>
      <c r="DH30" s="15" t="s">
        <v>17982</v>
      </c>
      <c r="DI30" s="15" t="s">
        <v>17982</v>
      </c>
    </row>
    <row r="31" spans="1:113" s="15" customFormat="1" ht="12.75" x14ac:dyDescent="0.2">
      <c r="A31" s="15" t="s">
        <v>109</v>
      </c>
      <c r="B31" s="15" t="s">
        <v>110</v>
      </c>
      <c r="D31" s="15" t="s">
        <v>620</v>
      </c>
      <c r="E31" s="15" t="s">
        <v>112</v>
      </c>
      <c r="F31" s="15" t="s">
        <v>620</v>
      </c>
      <c r="G31" s="15" t="s">
        <v>113</v>
      </c>
      <c r="H31" s="15" t="s">
        <v>1045</v>
      </c>
      <c r="J31" s="16" t="s">
        <v>114</v>
      </c>
      <c r="U31" s="15" t="s">
        <v>17977</v>
      </c>
      <c r="W31" s="15">
        <v>2999</v>
      </c>
      <c r="X31" s="15">
        <v>41</v>
      </c>
      <c r="Y31" s="15" t="s">
        <v>160</v>
      </c>
      <c r="Z31" s="15" t="s">
        <v>161</v>
      </c>
      <c r="AA31" s="15" t="s">
        <v>162</v>
      </c>
      <c r="AB31" s="15" t="s">
        <v>14719</v>
      </c>
      <c r="AC31" s="15" t="s">
        <v>14719</v>
      </c>
      <c r="AD31" s="15" t="s">
        <v>14719</v>
      </c>
      <c r="AE31" s="15" t="s">
        <v>164</v>
      </c>
      <c r="AF31" s="15" t="s">
        <v>14719</v>
      </c>
      <c r="AG31" s="15" t="s">
        <v>14719</v>
      </c>
      <c r="AH31" s="15" t="s">
        <v>14720</v>
      </c>
      <c r="AL31" s="15" t="s">
        <v>14721</v>
      </c>
      <c r="AN31" s="15">
        <v>743</v>
      </c>
      <c r="AO31" s="15" t="s">
        <v>14722</v>
      </c>
      <c r="AQ31" s="15" t="s">
        <v>1193</v>
      </c>
      <c r="AT31" s="15" t="s">
        <v>14723</v>
      </c>
      <c r="AU31" s="15" t="s">
        <v>14724</v>
      </c>
      <c r="AV31" s="15" t="s">
        <v>14724</v>
      </c>
      <c r="AW31" s="15" t="s">
        <v>14725</v>
      </c>
      <c r="AX31" s="15" t="s">
        <v>14725</v>
      </c>
      <c r="AY31" s="15">
        <f t="shared" si="0"/>
        <v>55</v>
      </c>
      <c r="AZ31" s="15" t="s">
        <v>1634</v>
      </c>
      <c r="BA31" s="15" t="s">
        <v>174</v>
      </c>
      <c r="BB31" s="15" t="s">
        <v>14694</v>
      </c>
      <c r="BC31" s="19" t="s">
        <v>14374</v>
      </c>
      <c r="BE31" s="15" t="s">
        <v>1081</v>
      </c>
      <c r="BF31" s="15" t="s">
        <v>14726</v>
      </c>
      <c r="BJ31" s="15" t="s">
        <v>14717</v>
      </c>
      <c r="BN31" s="15" t="s">
        <v>179</v>
      </c>
      <c r="BP31" s="15" t="s">
        <v>138</v>
      </c>
      <c r="BS31" s="15" t="s">
        <v>14727</v>
      </c>
      <c r="DH31" s="15" t="s">
        <v>17982</v>
      </c>
      <c r="DI31" s="15" t="s">
        <v>17982</v>
      </c>
    </row>
    <row r="32" spans="1:113" s="15" customFormat="1" ht="12.75" x14ac:dyDescent="0.2">
      <c r="A32" s="15" t="s">
        <v>109</v>
      </c>
      <c r="B32" s="15" t="s">
        <v>110</v>
      </c>
      <c r="D32" s="15" t="s">
        <v>620</v>
      </c>
      <c r="E32" s="15" t="s">
        <v>112</v>
      </c>
      <c r="F32" s="15" t="s">
        <v>620</v>
      </c>
      <c r="G32" s="15" t="s">
        <v>113</v>
      </c>
      <c r="H32" s="15" t="s">
        <v>1045</v>
      </c>
      <c r="J32" s="16" t="s">
        <v>114</v>
      </c>
      <c r="U32" s="15" t="s">
        <v>17977</v>
      </c>
      <c r="W32" s="15">
        <v>3000</v>
      </c>
      <c r="X32" s="15">
        <v>42</v>
      </c>
      <c r="Y32" s="15" t="s">
        <v>160</v>
      </c>
      <c r="Z32" s="15" t="s">
        <v>161</v>
      </c>
      <c r="AA32" s="15" t="s">
        <v>162</v>
      </c>
      <c r="AB32" s="15" t="s">
        <v>14728</v>
      </c>
      <c r="AC32" s="15" t="s">
        <v>14728</v>
      </c>
      <c r="AD32" s="15" t="s">
        <v>14728</v>
      </c>
      <c r="AE32" s="15" t="s">
        <v>164</v>
      </c>
      <c r="AF32" s="15" t="s">
        <v>14728</v>
      </c>
      <c r="AG32" s="15" t="s">
        <v>14728</v>
      </c>
      <c r="AH32" s="15" t="s">
        <v>14729</v>
      </c>
      <c r="AL32" s="15" t="s">
        <v>14730</v>
      </c>
      <c r="AN32" s="15">
        <v>743</v>
      </c>
      <c r="AO32" s="15" t="s">
        <v>14731</v>
      </c>
      <c r="AQ32" s="15" t="s">
        <v>1193</v>
      </c>
      <c r="AT32" s="15" t="s">
        <v>14732</v>
      </c>
      <c r="AU32" s="15" t="s">
        <v>14733</v>
      </c>
      <c r="AV32" s="15" t="s">
        <v>14733</v>
      </c>
      <c r="AW32" s="15" t="s">
        <v>14734</v>
      </c>
      <c r="AX32" s="15" t="s">
        <v>14734</v>
      </c>
      <c r="AY32" s="15">
        <f t="shared" si="0"/>
        <v>54</v>
      </c>
      <c r="AZ32" s="15" t="s">
        <v>1634</v>
      </c>
      <c r="BA32" s="15" t="s">
        <v>174</v>
      </c>
      <c r="BB32" s="15" t="s">
        <v>14694</v>
      </c>
      <c r="BC32" s="19" t="s">
        <v>14735</v>
      </c>
      <c r="BE32" s="15" t="s">
        <v>1081</v>
      </c>
      <c r="BF32" s="15" t="s">
        <v>1636</v>
      </c>
      <c r="BJ32" s="15" t="s">
        <v>14717</v>
      </c>
      <c r="BN32" s="15" t="s">
        <v>179</v>
      </c>
      <c r="BP32" s="15" t="s">
        <v>138</v>
      </c>
      <c r="BS32" s="15" t="s">
        <v>14736</v>
      </c>
      <c r="DH32" s="15" t="s">
        <v>17982</v>
      </c>
      <c r="DI32" s="15" t="s">
        <v>17982</v>
      </c>
    </row>
    <row r="33" spans="1:113" s="15" customFormat="1" ht="12.75" x14ac:dyDescent="0.2">
      <c r="A33" s="15" t="s">
        <v>109</v>
      </c>
      <c r="B33" s="15" t="s">
        <v>110</v>
      </c>
      <c r="D33" s="15" t="s">
        <v>620</v>
      </c>
      <c r="E33" s="15" t="s">
        <v>112</v>
      </c>
      <c r="F33" s="15" t="s">
        <v>620</v>
      </c>
      <c r="G33" s="15" t="s">
        <v>113</v>
      </c>
      <c r="H33" s="15" t="s">
        <v>1045</v>
      </c>
      <c r="J33" s="16" t="s">
        <v>114</v>
      </c>
      <c r="U33" s="15" t="s">
        <v>17977</v>
      </c>
      <c r="W33" s="15">
        <v>3001</v>
      </c>
      <c r="X33" s="15">
        <v>43</v>
      </c>
      <c r="Y33" s="15" t="s">
        <v>160</v>
      </c>
      <c r="Z33" s="15" t="s">
        <v>161</v>
      </c>
      <c r="AA33" s="15" t="s">
        <v>162</v>
      </c>
      <c r="AB33" s="15" t="s">
        <v>14737</v>
      </c>
      <c r="AC33" s="15" t="s">
        <v>14737</v>
      </c>
      <c r="AD33" s="15" t="s">
        <v>14737</v>
      </c>
      <c r="AE33" s="15" t="s">
        <v>164</v>
      </c>
      <c r="AF33" s="15" t="s">
        <v>14737</v>
      </c>
      <c r="AG33" s="15" t="s">
        <v>14737</v>
      </c>
      <c r="AH33" s="15" t="s">
        <v>14738</v>
      </c>
      <c r="AL33" s="15" t="s">
        <v>14739</v>
      </c>
      <c r="AN33" s="15">
        <v>743</v>
      </c>
      <c r="AO33" s="15" t="s">
        <v>14740</v>
      </c>
      <c r="AQ33" s="15" t="s">
        <v>1193</v>
      </c>
      <c r="AT33" s="15" t="s">
        <v>14741</v>
      </c>
      <c r="AU33" s="15" t="s">
        <v>14742</v>
      </c>
      <c r="AV33" s="15" t="s">
        <v>14742</v>
      </c>
      <c r="AW33" s="15" t="s">
        <v>14743</v>
      </c>
      <c r="AX33" s="15" t="s">
        <v>14743</v>
      </c>
      <c r="AY33" s="15">
        <f t="shared" si="0"/>
        <v>54</v>
      </c>
      <c r="AZ33" s="15" t="s">
        <v>1634</v>
      </c>
      <c r="BA33" s="15" t="s">
        <v>174</v>
      </c>
      <c r="BB33" s="15" t="s">
        <v>14694</v>
      </c>
      <c r="BC33" s="15">
        <v>1</v>
      </c>
      <c r="BE33" s="15" t="s">
        <v>1081</v>
      </c>
      <c r="BF33" s="15" t="s">
        <v>1647</v>
      </c>
      <c r="BJ33" s="15" t="s">
        <v>14717</v>
      </c>
      <c r="BN33" s="15" t="s">
        <v>179</v>
      </c>
      <c r="BP33" s="15" t="s">
        <v>138</v>
      </c>
      <c r="BS33" s="15" t="s">
        <v>14744</v>
      </c>
      <c r="DH33" s="15" t="s">
        <v>17982</v>
      </c>
      <c r="DI33" s="15" t="s">
        <v>17982</v>
      </c>
    </row>
    <row r="34" spans="1:113" s="15" customFormat="1" ht="12.75" x14ac:dyDescent="0.2">
      <c r="A34" s="15" t="s">
        <v>109</v>
      </c>
      <c r="B34" s="15" t="s">
        <v>110</v>
      </c>
      <c r="D34" s="15" t="s">
        <v>620</v>
      </c>
      <c r="E34" s="15" t="s">
        <v>112</v>
      </c>
      <c r="F34" s="15" t="s">
        <v>620</v>
      </c>
      <c r="G34" s="15" t="s">
        <v>113</v>
      </c>
      <c r="H34" s="15" t="s">
        <v>1045</v>
      </c>
      <c r="J34" s="16" t="s">
        <v>114</v>
      </c>
      <c r="U34" s="15" t="s">
        <v>17977</v>
      </c>
      <c r="W34" s="15">
        <v>3002</v>
      </c>
      <c r="X34" s="15">
        <v>44</v>
      </c>
      <c r="Y34" s="15" t="s">
        <v>160</v>
      </c>
      <c r="Z34" s="15" t="s">
        <v>161</v>
      </c>
      <c r="AA34" s="15" t="s">
        <v>162</v>
      </c>
      <c r="AB34" s="15" t="s">
        <v>14745</v>
      </c>
      <c r="AC34" s="15" t="s">
        <v>14745</v>
      </c>
      <c r="AD34" s="15" t="s">
        <v>14745</v>
      </c>
      <c r="AE34" s="15" t="s">
        <v>164</v>
      </c>
      <c r="AF34" s="15" t="s">
        <v>14745</v>
      </c>
      <c r="AG34" s="15" t="s">
        <v>14745</v>
      </c>
      <c r="AH34" s="15" t="s">
        <v>14746</v>
      </c>
      <c r="AL34" s="15" t="s">
        <v>14747</v>
      </c>
      <c r="AN34" s="15">
        <v>743</v>
      </c>
      <c r="AO34" s="15" t="s">
        <v>14748</v>
      </c>
      <c r="AQ34" s="15" t="s">
        <v>1193</v>
      </c>
      <c r="AT34" s="15" t="s">
        <v>14749</v>
      </c>
      <c r="AU34" s="15" t="s">
        <v>14750</v>
      </c>
      <c r="AV34" s="15" t="s">
        <v>14750</v>
      </c>
      <c r="AW34" s="15" t="s">
        <v>14751</v>
      </c>
      <c r="AX34" s="15" t="s">
        <v>14751</v>
      </c>
      <c r="AY34" s="15">
        <f t="shared" si="0"/>
        <v>54</v>
      </c>
      <c r="AZ34" s="15" t="s">
        <v>1634</v>
      </c>
      <c r="BA34" s="15" t="s">
        <v>174</v>
      </c>
      <c r="BB34" s="15" t="s">
        <v>14694</v>
      </c>
      <c r="BC34" s="15">
        <v>2</v>
      </c>
      <c r="BE34" s="15" t="s">
        <v>1081</v>
      </c>
      <c r="BF34" s="15" t="s">
        <v>1657</v>
      </c>
      <c r="BJ34" s="15" t="s">
        <v>14717</v>
      </c>
      <c r="BN34" s="15" t="s">
        <v>179</v>
      </c>
      <c r="BP34" s="15" t="s">
        <v>138</v>
      </c>
      <c r="BS34" s="15" t="s">
        <v>14752</v>
      </c>
      <c r="DH34" s="15" t="s">
        <v>17982</v>
      </c>
      <c r="DI34" s="15" t="s">
        <v>17982</v>
      </c>
    </row>
    <row r="35" spans="1:113" s="15" customFormat="1" ht="12.75" x14ac:dyDescent="0.2">
      <c r="A35" s="15" t="s">
        <v>109</v>
      </c>
      <c r="B35" s="15" t="s">
        <v>110</v>
      </c>
      <c r="D35" s="15" t="s">
        <v>620</v>
      </c>
      <c r="E35" s="15" t="s">
        <v>112</v>
      </c>
      <c r="F35" s="15" t="s">
        <v>620</v>
      </c>
      <c r="G35" s="15" t="s">
        <v>113</v>
      </c>
      <c r="H35" s="15" t="s">
        <v>1045</v>
      </c>
      <c r="J35" s="16" t="s">
        <v>114</v>
      </c>
      <c r="U35" s="15" t="s">
        <v>17977</v>
      </c>
      <c r="W35" s="15">
        <v>3003</v>
      </c>
      <c r="X35" s="15">
        <v>45</v>
      </c>
      <c r="Y35" s="15" t="s">
        <v>160</v>
      </c>
      <c r="Z35" s="15" t="s">
        <v>161</v>
      </c>
      <c r="AA35" s="15" t="s">
        <v>162</v>
      </c>
      <c r="AB35" s="15" t="s">
        <v>14753</v>
      </c>
      <c r="AC35" s="15" t="s">
        <v>14753</v>
      </c>
      <c r="AD35" s="15" t="s">
        <v>14753</v>
      </c>
      <c r="AE35" s="15" t="s">
        <v>164</v>
      </c>
      <c r="AF35" s="15" t="s">
        <v>14753</v>
      </c>
      <c r="AG35" s="15" t="s">
        <v>14753</v>
      </c>
      <c r="AH35" s="15" t="s">
        <v>14754</v>
      </c>
      <c r="AL35" s="15" t="s">
        <v>14755</v>
      </c>
      <c r="AN35" s="15">
        <v>743</v>
      </c>
      <c r="AO35" s="15" t="s">
        <v>14756</v>
      </c>
      <c r="AQ35" s="15" t="s">
        <v>1193</v>
      </c>
      <c r="AT35" s="15" t="s">
        <v>14757</v>
      </c>
      <c r="AU35" s="15" t="s">
        <v>14758</v>
      </c>
      <c r="AV35" s="15" t="s">
        <v>14758</v>
      </c>
      <c r="AW35" s="15" t="s">
        <v>14759</v>
      </c>
      <c r="AX35" s="15" t="s">
        <v>14759</v>
      </c>
      <c r="AY35" s="15">
        <f t="shared" si="0"/>
        <v>52</v>
      </c>
      <c r="AZ35" s="15" t="s">
        <v>1634</v>
      </c>
      <c r="BA35" s="15" t="s">
        <v>174</v>
      </c>
      <c r="BB35" s="15" t="s">
        <v>14694</v>
      </c>
      <c r="BC35" s="15">
        <v>3</v>
      </c>
      <c r="BE35" s="15" t="s">
        <v>1081</v>
      </c>
      <c r="BF35" s="15" t="s">
        <v>1667</v>
      </c>
      <c r="BJ35" s="15" t="s">
        <v>14717</v>
      </c>
      <c r="BN35" s="15" t="s">
        <v>179</v>
      </c>
      <c r="BP35" s="15" t="s">
        <v>138</v>
      </c>
      <c r="BS35" s="15" t="s">
        <v>14760</v>
      </c>
      <c r="DH35" s="15" t="s">
        <v>17982</v>
      </c>
      <c r="DI35" s="15" t="s">
        <v>17982</v>
      </c>
    </row>
    <row r="36" spans="1:113" s="15" customFormat="1" ht="12.75" x14ac:dyDescent="0.2">
      <c r="A36" s="15" t="s">
        <v>109</v>
      </c>
      <c r="B36" s="15" t="s">
        <v>110</v>
      </c>
      <c r="D36" s="15" t="s">
        <v>620</v>
      </c>
      <c r="E36" s="15" t="s">
        <v>112</v>
      </c>
      <c r="F36" s="15" t="s">
        <v>620</v>
      </c>
      <c r="G36" s="15" t="s">
        <v>113</v>
      </c>
      <c r="H36" s="15" t="s">
        <v>1045</v>
      </c>
      <c r="J36" s="16" t="s">
        <v>114</v>
      </c>
      <c r="U36" s="15" t="s">
        <v>17977</v>
      </c>
      <c r="W36" s="15">
        <v>2810</v>
      </c>
      <c r="X36" s="15">
        <v>46</v>
      </c>
      <c r="Y36" s="15" t="s">
        <v>160</v>
      </c>
      <c r="Z36" s="15" t="s">
        <v>161</v>
      </c>
      <c r="AA36" s="15" t="s">
        <v>162</v>
      </c>
      <c r="AB36" s="15" t="s">
        <v>13655</v>
      </c>
      <c r="AC36" s="15" t="s">
        <v>13655</v>
      </c>
      <c r="AD36" s="15" t="s">
        <v>13655</v>
      </c>
      <c r="AE36" s="15" t="s">
        <v>164</v>
      </c>
      <c r="AF36" s="15" t="s">
        <v>13655</v>
      </c>
      <c r="AG36" s="15" t="s">
        <v>13655</v>
      </c>
      <c r="AH36" s="47" t="s">
        <v>13656</v>
      </c>
      <c r="AL36" s="15" t="s">
        <v>13657</v>
      </c>
      <c r="AN36" s="15">
        <v>743</v>
      </c>
      <c r="AO36" s="15" t="s">
        <v>13658</v>
      </c>
      <c r="AQ36" s="15" t="s">
        <v>626</v>
      </c>
      <c r="AT36" s="15" t="s">
        <v>13659</v>
      </c>
      <c r="AU36" s="15" t="s">
        <v>13660</v>
      </c>
      <c r="AV36" s="15" t="s">
        <v>13660</v>
      </c>
      <c r="AW36" s="15" t="s">
        <v>13661</v>
      </c>
      <c r="AX36" s="15" t="s">
        <v>13662</v>
      </c>
      <c r="AY36" s="15">
        <f t="shared" si="0"/>
        <v>59</v>
      </c>
      <c r="AZ36" s="15" t="s">
        <v>173</v>
      </c>
      <c r="BA36" s="15" t="s">
        <v>174</v>
      </c>
      <c r="BB36" s="15" t="s">
        <v>13652</v>
      </c>
      <c r="BE36" s="15" t="s">
        <v>367</v>
      </c>
      <c r="BJ36" s="15" t="s">
        <v>13663</v>
      </c>
      <c r="BN36" s="15" t="s">
        <v>179</v>
      </c>
      <c r="BP36" s="15" t="s">
        <v>138</v>
      </c>
      <c r="BS36" s="15" t="s">
        <v>13664</v>
      </c>
      <c r="DH36" s="15" t="s">
        <v>17982</v>
      </c>
      <c r="DI36" s="15" t="s">
        <v>17982</v>
      </c>
    </row>
    <row r="37" spans="1:113" s="15" customFormat="1" ht="12.75" x14ac:dyDescent="0.2">
      <c r="A37" s="15" t="s">
        <v>109</v>
      </c>
      <c r="B37" s="15" t="s">
        <v>110</v>
      </c>
      <c r="D37" s="15" t="s">
        <v>620</v>
      </c>
      <c r="E37" s="15" t="s">
        <v>112</v>
      </c>
      <c r="F37" s="15" t="s">
        <v>620</v>
      </c>
      <c r="G37" s="15" t="s">
        <v>113</v>
      </c>
      <c r="H37" s="15" t="s">
        <v>1045</v>
      </c>
      <c r="J37" s="16" t="s">
        <v>114</v>
      </c>
      <c r="U37" s="15" t="s">
        <v>17977</v>
      </c>
      <c r="W37" s="15">
        <v>247</v>
      </c>
      <c r="X37" s="15">
        <v>47</v>
      </c>
      <c r="Y37" s="15" t="s">
        <v>160</v>
      </c>
      <c r="Z37" s="15" t="s">
        <v>161</v>
      </c>
      <c r="AA37" s="15" t="s">
        <v>162</v>
      </c>
      <c r="AB37" s="15" t="s">
        <v>1166</v>
      </c>
      <c r="AC37" s="15" t="s">
        <v>1166</v>
      </c>
      <c r="AD37" s="15" t="s">
        <v>1166</v>
      </c>
      <c r="AE37" s="15" t="s">
        <v>164</v>
      </c>
      <c r="AF37" s="15" t="s">
        <v>1166</v>
      </c>
      <c r="AG37" s="15" t="s">
        <v>1166</v>
      </c>
      <c r="AH37" s="15" t="s">
        <v>1167</v>
      </c>
      <c r="AL37" s="15" t="s">
        <v>1168</v>
      </c>
      <c r="AN37" s="15">
        <v>743</v>
      </c>
      <c r="AO37" s="15" t="s">
        <v>1169</v>
      </c>
      <c r="AQ37" s="15" t="s">
        <v>626</v>
      </c>
      <c r="AT37" s="15" t="s">
        <v>1170</v>
      </c>
      <c r="AU37" s="15" t="s">
        <v>1171</v>
      </c>
      <c r="AV37" s="15" t="s">
        <v>1171</v>
      </c>
      <c r="AW37" s="15" t="s">
        <v>1172</v>
      </c>
      <c r="AX37" s="15" t="s">
        <v>1172</v>
      </c>
      <c r="AY37" s="15">
        <f t="shared" si="0"/>
        <v>59</v>
      </c>
      <c r="AZ37" s="15" t="s">
        <v>173</v>
      </c>
      <c r="BA37" s="15" t="s">
        <v>174</v>
      </c>
      <c r="BB37" s="15" t="s">
        <v>1173</v>
      </c>
      <c r="BE37" s="15" t="s">
        <v>1174</v>
      </c>
      <c r="BF37" s="15" t="s">
        <v>1175</v>
      </c>
      <c r="BJ37" s="15" t="s">
        <v>1176</v>
      </c>
      <c r="BN37" s="15" t="s">
        <v>179</v>
      </c>
      <c r="BP37" s="15" t="s">
        <v>138</v>
      </c>
      <c r="BS37" s="15" t="s">
        <v>1177</v>
      </c>
      <c r="DH37" s="15" t="s">
        <v>17982</v>
      </c>
      <c r="DI37" s="15" t="s">
        <v>17982</v>
      </c>
    </row>
    <row r="38" spans="1:113" s="15" customFormat="1" ht="12.75" x14ac:dyDescent="0.2">
      <c r="A38" s="15" t="s">
        <v>109</v>
      </c>
      <c r="B38" s="15" t="s">
        <v>110</v>
      </c>
      <c r="D38" s="15" t="s">
        <v>620</v>
      </c>
      <c r="E38" s="15" t="s">
        <v>112</v>
      </c>
      <c r="F38" s="15" t="s">
        <v>620</v>
      </c>
      <c r="G38" s="15" t="s">
        <v>113</v>
      </c>
      <c r="H38" s="15" t="s">
        <v>1045</v>
      </c>
      <c r="J38" s="16" t="s">
        <v>114</v>
      </c>
      <c r="U38" s="15" t="s">
        <v>17977</v>
      </c>
      <c r="W38" s="15">
        <v>3386</v>
      </c>
      <c r="X38" s="15">
        <v>48</v>
      </c>
      <c r="Y38" s="15" t="s">
        <v>160</v>
      </c>
      <c r="Z38" s="15" t="s">
        <v>161</v>
      </c>
      <c r="AA38" s="15" t="s">
        <v>162</v>
      </c>
      <c r="AB38" s="15" t="s">
        <v>16432</v>
      </c>
      <c r="AC38" s="15" t="s">
        <v>16432</v>
      </c>
      <c r="AD38" s="15" t="s">
        <v>16432</v>
      </c>
      <c r="AE38" s="15" t="s">
        <v>164</v>
      </c>
      <c r="AF38" s="15" t="s">
        <v>16432</v>
      </c>
      <c r="AG38" s="15" t="s">
        <v>16432</v>
      </c>
      <c r="AH38" s="15" t="s">
        <v>16433</v>
      </c>
      <c r="AL38" s="15" t="s">
        <v>16434</v>
      </c>
      <c r="AN38" s="15">
        <v>743</v>
      </c>
      <c r="AO38" s="15" t="s">
        <v>16435</v>
      </c>
      <c r="AQ38" s="15" t="s">
        <v>16426</v>
      </c>
      <c r="AT38" s="15" t="s">
        <v>16434</v>
      </c>
      <c r="AU38" s="15" t="s">
        <v>16436</v>
      </c>
      <c r="AV38" s="15" t="s">
        <v>16436</v>
      </c>
      <c r="AW38" s="15" t="s">
        <v>16437</v>
      </c>
      <c r="AX38" s="15" t="s">
        <v>16437</v>
      </c>
      <c r="AY38" s="15">
        <f t="shared" si="0"/>
        <v>26</v>
      </c>
      <c r="AZ38" s="15" t="s">
        <v>9692</v>
      </c>
      <c r="BA38" s="15" t="s">
        <v>16429</v>
      </c>
      <c r="BC38" s="15" t="s">
        <v>16438</v>
      </c>
      <c r="BS38" s="15" t="s">
        <v>16439</v>
      </c>
      <c r="DH38" s="15" t="s">
        <v>17982</v>
      </c>
      <c r="DI38" s="15" t="s">
        <v>17982</v>
      </c>
    </row>
    <row r="39" spans="1:113" s="15" customFormat="1" ht="12.75" x14ac:dyDescent="0.2">
      <c r="A39" s="15" t="s">
        <v>109</v>
      </c>
      <c r="B39" s="15" t="s">
        <v>110</v>
      </c>
      <c r="D39" s="15" t="s">
        <v>620</v>
      </c>
      <c r="E39" s="15" t="s">
        <v>112</v>
      </c>
      <c r="F39" s="15" t="s">
        <v>620</v>
      </c>
      <c r="G39" s="15" t="s">
        <v>113</v>
      </c>
      <c r="H39" s="15" t="s">
        <v>1045</v>
      </c>
      <c r="J39" s="16" t="s">
        <v>114</v>
      </c>
      <c r="U39" s="15" t="s">
        <v>17977</v>
      </c>
      <c r="W39" s="15">
        <v>3387</v>
      </c>
      <c r="X39" s="15">
        <v>49</v>
      </c>
      <c r="Y39" s="15" t="s">
        <v>160</v>
      </c>
      <c r="Z39" s="15" t="s">
        <v>161</v>
      </c>
      <c r="AA39" s="15" t="s">
        <v>162</v>
      </c>
      <c r="AB39" s="15" t="s">
        <v>16440</v>
      </c>
      <c r="AC39" s="15" t="s">
        <v>16440</v>
      </c>
      <c r="AD39" s="15" t="s">
        <v>16440</v>
      </c>
      <c r="AE39" s="15" t="s">
        <v>164</v>
      </c>
      <c r="AF39" s="15" t="s">
        <v>16440</v>
      </c>
      <c r="AG39" s="15" t="s">
        <v>16440</v>
      </c>
      <c r="AH39" s="15" t="s">
        <v>16441</v>
      </c>
      <c r="AL39" s="15" t="s">
        <v>16442</v>
      </c>
      <c r="AN39" s="15">
        <v>743</v>
      </c>
      <c r="AO39" s="15" t="s">
        <v>16443</v>
      </c>
      <c r="AQ39" s="15" t="s">
        <v>16426</v>
      </c>
      <c r="AT39" s="15" t="s">
        <v>16442</v>
      </c>
      <c r="AU39" s="15" t="s">
        <v>16444</v>
      </c>
      <c r="AV39" s="15" t="s">
        <v>16444</v>
      </c>
      <c r="AW39" s="15" t="s">
        <v>16445</v>
      </c>
      <c r="AX39" s="15" t="s">
        <v>16445</v>
      </c>
      <c r="AY39" s="15">
        <f t="shared" si="0"/>
        <v>25</v>
      </c>
      <c r="AZ39" s="15" t="s">
        <v>9692</v>
      </c>
      <c r="BA39" s="15" t="s">
        <v>16429</v>
      </c>
      <c r="BC39" s="15" t="s">
        <v>16446</v>
      </c>
      <c r="BS39" s="15" t="s">
        <v>16447</v>
      </c>
      <c r="DH39" s="15" t="s">
        <v>17982</v>
      </c>
      <c r="DI39" s="15" t="s">
        <v>17982</v>
      </c>
    </row>
    <row r="40" spans="1:113" s="15" customFormat="1" ht="12.75" x14ac:dyDescent="0.2">
      <c r="A40" s="15" t="s">
        <v>109</v>
      </c>
      <c r="B40" s="15" t="s">
        <v>110</v>
      </c>
      <c r="D40" s="15" t="s">
        <v>620</v>
      </c>
      <c r="E40" s="15" t="s">
        <v>112</v>
      </c>
      <c r="F40" s="15" t="s">
        <v>620</v>
      </c>
      <c r="G40" s="15" t="s">
        <v>113</v>
      </c>
      <c r="H40" s="15" t="s">
        <v>1045</v>
      </c>
      <c r="J40" s="16" t="s">
        <v>114</v>
      </c>
      <c r="U40" s="15" t="s">
        <v>17977</v>
      </c>
      <c r="W40" s="15">
        <v>3654</v>
      </c>
      <c r="X40" s="15">
        <v>50</v>
      </c>
      <c r="Y40" s="15" t="s">
        <v>160</v>
      </c>
      <c r="Z40" s="15" t="s">
        <v>161</v>
      </c>
      <c r="AA40" s="15" t="s">
        <v>162</v>
      </c>
      <c r="AB40" s="15" t="s">
        <v>17678</v>
      </c>
      <c r="AC40" s="15" t="s">
        <v>17678</v>
      </c>
      <c r="AD40" s="15" t="s">
        <v>17678</v>
      </c>
      <c r="AE40" s="15" t="s">
        <v>164</v>
      </c>
      <c r="AF40" s="15" t="s">
        <v>17678</v>
      </c>
      <c r="AG40" s="15" t="s">
        <v>17678</v>
      </c>
      <c r="AH40" s="15" t="s">
        <v>17679</v>
      </c>
      <c r="AL40" s="15" t="s">
        <v>17680</v>
      </c>
      <c r="AN40" s="15">
        <v>743</v>
      </c>
      <c r="AO40" s="15" t="s">
        <v>17681</v>
      </c>
      <c r="AQ40" s="15" t="s">
        <v>2747</v>
      </c>
      <c r="AT40" s="15" t="s">
        <v>17682</v>
      </c>
      <c r="AU40" s="15" t="s">
        <v>17683</v>
      </c>
      <c r="AV40" s="15" t="s">
        <v>17683</v>
      </c>
      <c r="AW40" s="15" t="s">
        <v>17684</v>
      </c>
      <c r="AX40" s="15" t="s">
        <v>17685</v>
      </c>
      <c r="AY40" s="15">
        <f t="shared" si="0"/>
        <v>58</v>
      </c>
      <c r="AZ40" s="15" t="s">
        <v>2752</v>
      </c>
      <c r="BA40" s="15" t="s">
        <v>2753</v>
      </c>
      <c r="BB40" s="15" t="s">
        <v>17675</v>
      </c>
      <c r="BC40" s="15" t="s">
        <v>4343</v>
      </c>
      <c r="BE40" s="15" t="s">
        <v>1528</v>
      </c>
      <c r="BJ40" s="15" t="s">
        <v>17676</v>
      </c>
      <c r="BN40" s="15" t="s">
        <v>179</v>
      </c>
      <c r="BP40" s="15" t="s">
        <v>138</v>
      </c>
      <c r="BS40" s="15" t="s">
        <v>17686</v>
      </c>
      <c r="DH40" s="15" t="s">
        <v>17982</v>
      </c>
      <c r="DI40" s="15" t="s">
        <v>17982</v>
      </c>
    </row>
    <row r="41" spans="1:113" s="15" customFormat="1" ht="12.75" x14ac:dyDescent="0.2">
      <c r="A41" s="15" t="s">
        <v>109</v>
      </c>
      <c r="B41" s="15" t="s">
        <v>110</v>
      </c>
      <c r="D41" s="15" t="s">
        <v>620</v>
      </c>
      <c r="E41" s="15" t="s">
        <v>112</v>
      </c>
      <c r="F41" s="15" t="s">
        <v>620</v>
      </c>
      <c r="G41" s="15" t="s">
        <v>113</v>
      </c>
      <c r="H41" s="15" t="s">
        <v>1045</v>
      </c>
      <c r="J41" s="16" t="s">
        <v>114</v>
      </c>
      <c r="U41" s="15" t="s">
        <v>17977</v>
      </c>
      <c r="W41" s="15">
        <v>3655</v>
      </c>
      <c r="X41" s="15">
        <v>51</v>
      </c>
      <c r="Y41" s="15" t="s">
        <v>160</v>
      </c>
      <c r="Z41" s="15" t="s">
        <v>161</v>
      </c>
      <c r="AA41" s="15" t="s">
        <v>162</v>
      </c>
      <c r="AB41" s="15" t="s">
        <v>17687</v>
      </c>
      <c r="AC41" s="15" t="s">
        <v>17687</v>
      </c>
      <c r="AD41" s="15" t="s">
        <v>17687</v>
      </c>
      <c r="AE41" s="15" t="s">
        <v>164</v>
      </c>
      <c r="AF41" s="15" t="s">
        <v>17687</v>
      </c>
      <c r="AG41" s="15" t="s">
        <v>17687</v>
      </c>
      <c r="AH41" s="15" t="s">
        <v>17688</v>
      </c>
      <c r="AL41" s="15" t="s">
        <v>17689</v>
      </c>
      <c r="AN41" s="15">
        <v>743</v>
      </c>
      <c r="AO41" s="15" t="s">
        <v>17690</v>
      </c>
      <c r="AQ41" s="15" t="s">
        <v>2747</v>
      </c>
      <c r="AT41" s="15" t="s">
        <v>17691</v>
      </c>
      <c r="AU41" s="15" t="s">
        <v>17692</v>
      </c>
      <c r="AV41" s="15" t="s">
        <v>17692</v>
      </c>
      <c r="AW41" s="15" t="s">
        <v>17693</v>
      </c>
      <c r="AX41" s="15" t="s">
        <v>17694</v>
      </c>
      <c r="AY41" s="15">
        <f t="shared" si="0"/>
        <v>58</v>
      </c>
      <c r="AZ41" s="15" t="s">
        <v>2752</v>
      </c>
      <c r="BA41" s="15" t="s">
        <v>2753</v>
      </c>
      <c r="BB41" s="15" t="s">
        <v>17675</v>
      </c>
      <c r="BC41" s="15" t="s">
        <v>4343</v>
      </c>
      <c r="BE41" s="15" t="s">
        <v>585</v>
      </c>
      <c r="BJ41" s="15" t="s">
        <v>17676</v>
      </c>
      <c r="BN41" s="15" t="s">
        <v>179</v>
      </c>
      <c r="BP41" s="15" t="s">
        <v>138</v>
      </c>
      <c r="BS41" s="15" t="s">
        <v>17695</v>
      </c>
      <c r="DH41" s="15" t="s">
        <v>17982</v>
      </c>
      <c r="DI41" s="15" t="s">
        <v>17982</v>
      </c>
    </row>
    <row r="42" spans="1:113" s="15" customFormat="1" ht="12.75" x14ac:dyDescent="0.2">
      <c r="A42" s="15" t="s">
        <v>109</v>
      </c>
      <c r="B42" s="15" t="s">
        <v>110</v>
      </c>
      <c r="D42" s="15" t="s">
        <v>620</v>
      </c>
      <c r="E42" s="15" t="s">
        <v>112</v>
      </c>
      <c r="F42" s="15" t="s">
        <v>620</v>
      </c>
      <c r="G42" s="15" t="s">
        <v>113</v>
      </c>
      <c r="H42" s="15" t="s">
        <v>1045</v>
      </c>
      <c r="J42" s="16" t="s">
        <v>114</v>
      </c>
      <c r="U42" s="15" t="s">
        <v>17977</v>
      </c>
      <c r="W42" s="15">
        <v>3653</v>
      </c>
      <c r="X42" s="15">
        <v>52</v>
      </c>
      <c r="Y42" s="15" t="s">
        <v>160</v>
      </c>
      <c r="Z42" s="15" t="s">
        <v>161</v>
      </c>
      <c r="AA42" s="15" t="s">
        <v>162</v>
      </c>
      <c r="AB42" s="15" t="s">
        <v>17667</v>
      </c>
      <c r="AC42" s="15" t="s">
        <v>17667</v>
      </c>
      <c r="AD42" s="15" t="s">
        <v>17667</v>
      </c>
      <c r="AE42" s="15" t="s">
        <v>164</v>
      </c>
      <c r="AF42" s="15" t="s">
        <v>17667</v>
      </c>
      <c r="AG42" s="15" t="s">
        <v>17667</v>
      </c>
      <c r="AH42" s="15" t="s">
        <v>17668</v>
      </c>
      <c r="AL42" s="15" t="s">
        <v>17669</v>
      </c>
      <c r="AN42" s="15">
        <v>743</v>
      </c>
      <c r="AO42" s="15" t="s">
        <v>17670</v>
      </c>
      <c r="AQ42" s="15" t="s">
        <v>2747</v>
      </c>
      <c r="AT42" s="15" t="s">
        <v>17671</v>
      </c>
      <c r="AU42" s="15" t="s">
        <v>17672</v>
      </c>
      <c r="AV42" s="15" t="s">
        <v>17672</v>
      </c>
      <c r="AW42" s="15" t="s">
        <v>17673</v>
      </c>
      <c r="AX42" s="15" t="s">
        <v>17674</v>
      </c>
      <c r="AY42" s="15">
        <f t="shared" si="0"/>
        <v>58</v>
      </c>
      <c r="AZ42" s="15" t="s">
        <v>2752</v>
      </c>
      <c r="BA42" s="15" t="s">
        <v>2753</v>
      </c>
      <c r="BB42" s="15" t="s">
        <v>17675</v>
      </c>
      <c r="BC42" s="15" t="s">
        <v>4343</v>
      </c>
      <c r="BE42" s="15" t="s">
        <v>595</v>
      </c>
      <c r="BJ42" s="15" t="s">
        <v>17676</v>
      </c>
      <c r="BN42" s="15" t="s">
        <v>179</v>
      </c>
      <c r="BP42" s="15" t="s">
        <v>138</v>
      </c>
      <c r="BS42" s="15" t="s">
        <v>17677</v>
      </c>
      <c r="DH42" s="15" t="s">
        <v>17982</v>
      </c>
      <c r="DI42" s="15" t="s">
        <v>17982</v>
      </c>
    </row>
    <row r="43" spans="1:113" s="15" customFormat="1" ht="12.75" x14ac:dyDescent="0.2">
      <c r="A43" s="15" t="s">
        <v>109</v>
      </c>
      <c r="B43" s="15" t="s">
        <v>110</v>
      </c>
      <c r="D43" s="15" t="s">
        <v>620</v>
      </c>
      <c r="E43" s="15" t="s">
        <v>141</v>
      </c>
      <c r="F43" s="15" t="s">
        <v>620</v>
      </c>
      <c r="G43" s="15" t="s">
        <v>113</v>
      </c>
      <c r="H43" s="15" t="s">
        <v>1045</v>
      </c>
      <c r="J43" s="16" t="s">
        <v>114</v>
      </c>
      <c r="U43" s="15" t="s">
        <v>17977</v>
      </c>
      <c r="W43" s="15">
        <v>2654</v>
      </c>
      <c r="X43" s="15">
        <v>53</v>
      </c>
      <c r="Y43" s="15" t="s">
        <v>160</v>
      </c>
      <c r="Z43" s="15" t="s">
        <v>161</v>
      </c>
      <c r="AA43" s="15" t="s">
        <v>162</v>
      </c>
      <c r="AB43" s="15" t="s">
        <v>12855</v>
      </c>
      <c r="AC43" s="15" t="s">
        <v>12855</v>
      </c>
      <c r="AD43" s="15" t="s">
        <v>12856</v>
      </c>
      <c r="AE43" s="15" t="s">
        <v>164</v>
      </c>
      <c r="AF43" s="15" t="s">
        <v>12856</v>
      </c>
      <c r="AG43" s="15" t="s">
        <v>12855</v>
      </c>
      <c r="AH43" s="47" t="s">
        <v>12857</v>
      </c>
      <c r="AL43" s="15" t="s">
        <v>12858</v>
      </c>
      <c r="AN43" s="15">
        <v>743</v>
      </c>
      <c r="AO43" s="15" t="s">
        <v>12859</v>
      </c>
      <c r="AQ43" s="15" t="s">
        <v>626</v>
      </c>
      <c r="AT43" s="15" t="s">
        <v>12860</v>
      </c>
      <c r="AU43" s="15" t="s">
        <v>12861</v>
      </c>
      <c r="AV43" s="15" t="s">
        <v>12861</v>
      </c>
      <c r="AW43" s="15" t="s">
        <v>12862</v>
      </c>
      <c r="AX43" s="15" t="s">
        <v>12862</v>
      </c>
      <c r="AY43" s="15">
        <f t="shared" si="0"/>
        <v>42</v>
      </c>
      <c r="AZ43" s="15" t="s">
        <v>173</v>
      </c>
      <c r="BA43" s="15" t="s">
        <v>174</v>
      </c>
      <c r="BJ43" s="15" t="s">
        <v>12863</v>
      </c>
      <c r="BN43" s="15" t="s">
        <v>179</v>
      </c>
      <c r="BP43" s="15" t="s">
        <v>6112</v>
      </c>
      <c r="BS43" s="15" t="s">
        <v>12864</v>
      </c>
      <c r="DH43" s="15" t="s">
        <v>17982</v>
      </c>
      <c r="DI43" s="15" t="s">
        <v>17982</v>
      </c>
    </row>
    <row r="44" spans="1:113" s="15" customFormat="1" ht="12.75" x14ac:dyDescent="0.2">
      <c r="A44" s="15" t="s">
        <v>109</v>
      </c>
      <c r="B44" s="15" t="s">
        <v>110</v>
      </c>
      <c r="D44" s="15" t="s">
        <v>620</v>
      </c>
      <c r="E44" s="15" t="s">
        <v>112</v>
      </c>
      <c r="F44" s="15" t="s">
        <v>620</v>
      </c>
      <c r="G44" s="15" t="s">
        <v>113</v>
      </c>
      <c r="H44" s="15" t="s">
        <v>1045</v>
      </c>
      <c r="J44" s="16" t="s">
        <v>114</v>
      </c>
      <c r="U44" s="15" t="s">
        <v>17977</v>
      </c>
      <c r="W44" s="15">
        <v>3385</v>
      </c>
      <c r="X44" s="15">
        <v>54</v>
      </c>
      <c r="Y44" s="15" t="s">
        <v>160</v>
      </c>
      <c r="Z44" s="15" t="s">
        <v>161</v>
      </c>
      <c r="AA44" s="15" t="s">
        <v>162</v>
      </c>
      <c r="AB44" s="15" t="s">
        <v>16422</v>
      </c>
      <c r="AC44" s="15" t="s">
        <v>16422</v>
      </c>
      <c r="AD44" s="15" t="s">
        <v>16422</v>
      </c>
      <c r="AE44" s="15" t="s">
        <v>164</v>
      </c>
      <c r="AF44" s="15" t="s">
        <v>16422</v>
      </c>
      <c r="AG44" s="15" t="s">
        <v>16422</v>
      </c>
      <c r="AH44" s="15" t="s">
        <v>16423</v>
      </c>
      <c r="AL44" s="15" t="s">
        <v>16424</v>
      </c>
      <c r="AN44" s="15">
        <v>743</v>
      </c>
      <c r="AO44" s="15" t="s">
        <v>16425</v>
      </c>
      <c r="AQ44" s="15" t="s">
        <v>16426</v>
      </c>
      <c r="AT44" s="15" t="s">
        <v>16424</v>
      </c>
      <c r="AU44" s="15" t="s">
        <v>16427</v>
      </c>
      <c r="AV44" s="15" t="s">
        <v>16427</v>
      </c>
      <c r="AW44" s="15" t="s">
        <v>16428</v>
      </c>
      <c r="AX44" s="15" t="s">
        <v>16428</v>
      </c>
      <c r="AY44" s="15">
        <f t="shared" si="0"/>
        <v>25</v>
      </c>
      <c r="AZ44" s="15" t="s">
        <v>9692</v>
      </c>
      <c r="BA44" s="15" t="s">
        <v>16429</v>
      </c>
      <c r="BC44" s="15" t="s">
        <v>16430</v>
      </c>
      <c r="BS44" s="15" t="s">
        <v>16431</v>
      </c>
      <c r="DH44" s="15" t="s">
        <v>17982</v>
      </c>
      <c r="DI44" s="15" t="s">
        <v>17982</v>
      </c>
    </row>
    <row r="45" spans="1:113" s="15" customFormat="1" ht="12.75" x14ac:dyDescent="0.2">
      <c r="A45" s="15" t="s">
        <v>109</v>
      </c>
      <c r="B45" s="15" t="s">
        <v>110</v>
      </c>
      <c r="D45" s="15" t="s">
        <v>620</v>
      </c>
      <c r="E45" s="15" t="s">
        <v>112</v>
      </c>
      <c r="F45" s="15" t="s">
        <v>620</v>
      </c>
      <c r="G45" s="15" t="s">
        <v>113</v>
      </c>
      <c r="H45" s="15" t="s">
        <v>1045</v>
      </c>
      <c r="J45" s="16" t="s">
        <v>114</v>
      </c>
      <c r="U45" s="15" t="s">
        <v>17977</v>
      </c>
      <c r="W45" s="15">
        <v>3388</v>
      </c>
      <c r="X45" s="15">
        <v>55</v>
      </c>
      <c r="Y45" s="15" t="s">
        <v>160</v>
      </c>
      <c r="Z45" s="15" t="s">
        <v>161</v>
      </c>
      <c r="AA45" s="15" t="s">
        <v>162</v>
      </c>
      <c r="AB45" s="15" t="s">
        <v>16448</v>
      </c>
      <c r="AC45" s="15" t="s">
        <v>16448</v>
      </c>
      <c r="AD45" s="15" t="s">
        <v>16448</v>
      </c>
      <c r="AE45" s="15" t="s">
        <v>164</v>
      </c>
      <c r="AF45" s="15" t="s">
        <v>16448</v>
      </c>
      <c r="AG45" s="15" t="s">
        <v>16448</v>
      </c>
      <c r="AH45" s="15" t="s">
        <v>16449</v>
      </c>
      <c r="AL45" s="15" t="s">
        <v>16450</v>
      </c>
      <c r="AN45" s="15">
        <v>743</v>
      </c>
      <c r="AO45" s="15" t="s">
        <v>16451</v>
      </c>
      <c r="AQ45" s="15" t="s">
        <v>16426</v>
      </c>
      <c r="AT45" s="15" t="s">
        <v>16450</v>
      </c>
      <c r="AU45" s="15" t="s">
        <v>16452</v>
      </c>
      <c r="AV45" s="15" t="s">
        <v>16452</v>
      </c>
      <c r="AW45" s="15" t="s">
        <v>16453</v>
      </c>
      <c r="AX45" s="15" t="s">
        <v>16453</v>
      </c>
      <c r="AY45" s="15">
        <f t="shared" si="0"/>
        <v>25</v>
      </c>
      <c r="AZ45" s="15" t="s">
        <v>9692</v>
      </c>
      <c r="BA45" s="15" t="s">
        <v>16429</v>
      </c>
      <c r="BC45" s="15" t="s">
        <v>16454</v>
      </c>
      <c r="BS45" s="15" t="s">
        <v>16455</v>
      </c>
      <c r="DH45" s="15" t="s">
        <v>17982</v>
      </c>
      <c r="DI45" s="15" t="s">
        <v>17982</v>
      </c>
    </row>
    <row r="46" spans="1:113" s="15" customFormat="1" ht="12.75" x14ac:dyDescent="0.2">
      <c r="A46" s="15" t="s">
        <v>109</v>
      </c>
      <c r="B46" s="15" t="s">
        <v>110</v>
      </c>
      <c r="D46" s="15" t="s">
        <v>620</v>
      </c>
      <c r="E46" s="15" t="s">
        <v>112</v>
      </c>
      <c r="F46" s="15" t="s">
        <v>620</v>
      </c>
      <c r="G46" s="15" t="s">
        <v>113</v>
      </c>
      <c r="H46" s="15" t="s">
        <v>1045</v>
      </c>
      <c r="J46" s="16" t="s">
        <v>114</v>
      </c>
      <c r="U46" s="15" t="s">
        <v>17977</v>
      </c>
      <c r="W46" s="15">
        <v>2039</v>
      </c>
      <c r="X46" s="15">
        <v>56</v>
      </c>
      <c r="Y46" s="15" t="s">
        <v>160</v>
      </c>
      <c r="Z46" s="15" t="s">
        <v>161</v>
      </c>
      <c r="AA46" s="15" t="s">
        <v>162</v>
      </c>
      <c r="AB46" s="15" t="s">
        <v>10530</v>
      </c>
      <c r="AC46" s="15" t="s">
        <v>10530</v>
      </c>
      <c r="AD46" s="15" t="s">
        <v>10530</v>
      </c>
      <c r="AE46" s="15" t="s">
        <v>164</v>
      </c>
      <c r="AF46" s="15" t="s">
        <v>10530</v>
      </c>
      <c r="AG46" s="15" t="s">
        <v>10530</v>
      </c>
      <c r="AH46" s="15" t="s">
        <v>10531</v>
      </c>
      <c r="AL46" s="15" t="s">
        <v>10532</v>
      </c>
      <c r="AN46" s="15">
        <v>743</v>
      </c>
      <c r="AO46" s="15" t="s">
        <v>10533</v>
      </c>
      <c r="AQ46" s="15" t="s">
        <v>1193</v>
      </c>
      <c r="AT46" s="15" t="s">
        <v>10534</v>
      </c>
      <c r="AU46" s="15" t="s">
        <v>10535</v>
      </c>
      <c r="AV46" s="15" t="s">
        <v>10535</v>
      </c>
      <c r="AW46" s="15" t="s">
        <v>10536</v>
      </c>
      <c r="AX46" s="15" t="s">
        <v>10537</v>
      </c>
      <c r="AY46" s="15">
        <f t="shared" si="0"/>
        <v>58</v>
      </c>
      <c r="AZ46" s="15" t="s">
        <v>1634</v>
      </c>
      <c r="BA46" s="15" t="s">
        <v>174</v>
      </c>
      <c r="BB46" s="15" t="s">
        <v>10538</v>
      </c>
      <c r="BC46" s="15" t="s">
        <v>10539</v>
      </c>
      <c r="BE46" s="15" t="s">
        <v>1317</v>
      </c>
      <c r="BF46" s="15" t="s">
        <v>10540</v>
      </c>
      <c r="BJ46" s="15" t="s">
        <v>10541</v>
      </c>
      <c r="BN46" s="15" t="s">
        <v>179</v>
      </c>
      <c r="BP46" s="15" t="s">
        <v>138</v>
      </c>
      <c r="BS46" s="15" t="s">
        <v>10542</v>
      </c>
      <c r="DH46" s="15" t="s">
        <v>17982</v>
      </c>
      <c r="DI46" s="15" t="s">
        <v>17982</v>
      </c>
    </row>
    <row r="47" spans="1:113" s="15" customFormat="1" ht="12.75" x14ac:dyDescent="0.2">
      <c r="A47" s="15" t="s">
        <v>109</v>
      </c>
      <c r="B47" s="15" t="s">
        <v>110</v>
      </c>
      <c r="D47" s="15" t="s">
        <v>620</v>
      </c>
      <c r="E47" s="15" t="s">
        <v>112</v>
      </c>
      <c r="F47" s="15" t="s">
        <v>620</v>
      </c>
      <c r="G47" s="15" t="s">
        <v>113</v>
      </c>
      <c r="H47" s="15" t="s">
        <v>1045</v>
      </c>
      <c r="J47" s="16" t="s">
        <v>114</v>
      </c>
      <c r="U47" s="15" t="s">
        <v>17977</v>
      </c>
      <c r="W47" s="15">
        <v>2759</v>
      </c>
      <c r="X47" s="15">
        <v>57</v>
      </c>
      <c r="Y47" s="15" t="s">
        <v>160</v>
      </c>
      <c r="Z47" s="15" t="s">
        <v>161</v>
      </c>
      <c r="AA47" s="15" t="s">
        <v>162</v>
      </c>
      <c r="AB47" s="15" t="s">
        <v>13352</v>
      </c>
      <c r="AC47" s="15" t="s">
        <v>13352</v>
      </c>
      <c r="AD47" s="15" t="s">
        <v>13353</v>
      </c>
      <c r="AE47" s="15" t="s">
        <v>164</v>
      </c>
      <c r="AF47" s="15" t="s">
        <v>13353</v>
      </c>
      <c r="AG47" s="15" t="s">
        <v>13352</v>
      </c>
      <c r="AH47" s="47" t="s">
        <v>13354</v>
      </c>
      <c r="AL47" s="15" t="s">
        <v>13355</v>
      </c>
      <c r="AN47" s="15">
        <v>743</v>
      </c>
      <c r="AO47" s="15" t="s">
        <v>13356</v>
      </c>
      <c r="AQ47" s="15" t="s">
        <v>1432</v>
      </c>
      <c r="AT47" s="15" t="s">
        <v>13357</v>
      </c>
      <c r="AU47" s="15" t="s">
        <v>13358</v>
      </c>
      <c r="AV47" s="15" t="s">
        <v>13358</v>
      </c>
      <c r="AW47" s="15" t="s">
        <v>13359</v>
      </c>
      <c r="AX47" s="15" t="s">
        <v>13360</v>
      </c>
      <c r="AY47" s="15">
        <f t="shared" si="0"/>
        <v>48</v>
      </c>
      <c r="AZ47" s="15" t="s">
        <v>1437</v>
      </c>
      <c r="BA47" s="15" t="s">
        <v>174</v>
      </c>
      <c r="BB47" s="15" t="s">
        <v>13361</v>
      </c>
      <c r="BC47" s="15" t="s">
        <v>2029</v>
      </c>
      <c r="BE47" s="15" t="s">
        <v>7507</v>
      </c>
      <c r="BF47" s="15" t="s">
        <v>13362</v>
      </c>
      <c r="BJ47" s="15" t="s">
        <v>13363</v>
      </c>
      <c r="BK47" s="15" t="s">
        <v>487</v>
      </c>
      <c r="BN47" s="15" t="s">
        <v>179</v>
      </c>
      <c r="BP47" s="15" t="s">
        <v>138</v>
      </c>
      <c r="BS47" s="15" t="s">
        <v>13364</v>
      </c>
      <c r="DH47" s="15" t="s">
        <v>17982</v>
      </c>
      <c r="DI47" s="15" t="s">
        <v>17982</v>
      </c>
    </row>
    <row r="48" spans="1:113" s="15" customFormat="1" ht="12.75" x14ac:dyDescent="0.2">
      <c r="A48" s="15" t="s">
        <v>109</v>
      </c>
      <c r="B48" s="15" t="s">
        <v>110</v>
      </c>
      <c r="D48" s="15" t="s">
        <v>620</v>
      </c>
      <c r="E48" s="15" t="s">
        <v>112</v>
      </c>
      <c r="F48" s="15" t="s">
        <v>620</v>
      </c>
      <c r="G48" s="15" t="s">
        <v>113</v>
      </c>
      <c r="H48" s="15" t="s">
        <v>1045</v>
      </c>
      <c r="J48" s="16" t="s">
        <v>114</v>
      </c>
      <c r="U48" s="15" t="s">
        <v>17977</v>
      </c>
      <c r="W48" s="15">
        <v>2040</v>
      </c>
      <c r="X48" s="15">
        <v>58</v>
      </c>
      <c r="Y48" s="15" t="s">
        <v>160</v>
      </c>
      <c r="Z48" s="15" t="s">
        <v>161</v>
      </c>
      <c r="AA48" s="15" t="s">
        <v>162</v>
      </c>
      <c r="AB48" s="15" t="s">
        <v>10543</v>
      </c>
      <c r="AC48" s="15" t="s">
        <v>10543</v>
      </c>
      <c r="AD48" s="15" t="s">
        <v>10543</v>
      </c>
      <c r="AE48" s="15" t="s">
        <v>164</v>
      </c>
      <c r="AF48" s="15" t="s">
        <v>10543</v>
      </c>
      <c r="AG48" s="15" t="s">
        <v>10543</v>
      </c>
      <c r="AH48" s="15" t="s">
        <v>10544</v>
      </c>
      <c r="AL48" s="15" t="s">
        <v>10545</v>
      </c>
      <c r="AN48" s="15">
        <v>743</v>
      </c>
      <c r="AO48" s="15" t="s">
        <v>10546</v>
      </c>
      <c r="AQ48" s="15" t="s">
        <v>626</v>
      </c>
      <c r="AT48" s="15" t="s">
        <v>10547</v>
      </c>
      <c r="AU48" s="15" t="s">
        <v>10548</v>
      </c>
      <c r="AV48" s="15" t="s">
        <v>10548</v>
      </c>
      <c r="AW48" s="15" t="s">
        <v>10549</v>
      </c>
      <c r="AX48" s="15" t="s">
        <v>10550</v>
      </c>
      <c r="AY48" s="15">
        <f t="shared" si="0"/>
        <v>52</v>
      </c>
      <c r="AZ48" s="15" t="s">
        <v>173</v>
      </c>
      <c r="BA48" s="15" t="s">
        <v>174</v>
      </c>
      <c r="BB48" s="15" t="s">
        <v>10538</v>
      </c>
      <c r="BE48" s="15" t="s">
        <v>176</v>
      </c>
      <c r="BF48" s="15" t="s">
        <v>10551</v>
      </c>
      <c r="BJ48" s="15" t="s">
        <v>10552</v>
      </c>
      <c r="BN48" s="15" t="s">
        <v>179</v>
      </c>
      <c r="BP48" s="15" t="s">
        <v>138</v>
      </c>
      <c r="BS48" s="15" t="s">
        <v>10553</v>
      </c>
      <c r="DH48" s="15" t="s">
        <v>17982</v>
      </c>
      <c r="DI48" s="15" t="s">
        <v>17982</v>
      </c>
    </row>
    <row r="49" spans="1:113" s="15" customFormat="1" ht="12.75" x14ac:dyDescent="0.2">
      <c r="A49" s="15" t="s">
        <v>109</v>
      </c>
      <c r="B49" s="15" t="s">
        <v>110</v>
      </c>
      <c r="D49" s="15" t="s">
        <v>620</v>
      </c>
      <c r="E49" s="15" t="s">
        <v>112</v>
      </c>
      <c r="F49" s="15" t="s">
        <v>620</v>
      </c>
      <c r="G49" s="15" t="s">
        <v>113</v>
      </c>
      <c r="H49" s="15" t="s">
        <v>1045</v>
      </c>
      <c r="J49" s="16" t="s">
        <v>114</v>
      </c>
      <c r="U49" s="15" t="s">
        <v>17977</v>
      </c>
      <c r="W49" s="15">
        <v>1869</v>
      </c>
      <c r="X49" s="15">
        <v>59</v>
      </c>
      <c r="Y49" s="15" t="s">
        <v>160</v>
      </c>
      <c r="Z49" s="15" t="s">
        <v>161</v>
      </c>
      <c r="AA49" s="15" t="s">
        <v>162</v>
      </c>
      <c r="AB49" s="15" t="s">
        <v>10060</v>
      </c>
      <c r="AC49" s="15" t="s">
        <v>10060</v>
      </c>
      <c r="AD49" s="15" t="s">
        <v>10060</v>
      </c>
      <c r="AE49" s="15" t="s">
        <v>164</v>
      </c>
      <c r="AF49" s="15" t="s">
        <v>10060</v>
      </c>
      <c r="AG49" s="15" t="s">
        <v>10060</v>
      </c>
      <c r="AH49" s="15" t="s">
        <v>10061</v>
      </c>
      <c r="AL49" s="15" t="s">
        <v>10062</v>
      </c>
      <c r="AN49" s="15">
        <v>743</v>
      </c>
      <c r="AO49" s="15" t="s">
        <v>10063</v>
      </c>
      <c r="AQ49" s="15" t="s">
        <v>626</v>
      </c>
      <c r="AT49" s="15" t="s">
        <v>10064</v>
      </c>
      <c r="AU49" s="15" t="s">
        <v>10065</v>
      </c>
      <c r="AV49" s="15" t="s">
        <v>10065</v>
      </c>
      <c r="AW49" s="15" t="s">
        <v>10066</v>
      </c>
      <c r="AX49" s="15" t="s">
        <v>10067</v>
      </c>
      <c r="AY49" s="15">
        <f t="shared" si="0"/>
        <v>57</v>
      </c>
      <c r="AZ49" s="15" t="s">
        <v>173</v>
      </c>
      <c r="BA49" s="15" t="s">
        <v>174</v>
      </c>
      <c r="BB49" s="15" t="s">
        <v>10068</v>
      </c>
      <c r="BE49" s="15" t="s">
        <v>367</v>
      </c>
      <c r="BF49" s="15" t="s">
        <v>2250</v>
      </c>
      <c r="BJ49" s="15" t="s">
        <v>10069</v>
      </c>
      <c r="BN49" s="15" t="s">
        <v>179</v>
      </c>
      <c r="BP49" s="15" t="s">
        <v>138</v>
      </c>
      <c r="BS49" s="15" t="s">
        <v>10070</v>
      </c>
      <c r="DH49" s="15" t="s">
        <v>17982</v>
      </c>
      <c r="DI49" s="15" t="s">
        <v>17982</v>
      </c>
    </row>
    <row r="50" spans="1:113" s="15" customFormat="1" ht="12.75" x14ac:dyDescent="0.2">
      <c r="A50" s="15" t="s">
        <v>109</v>
      </c>
      <c r="B50" s="15" t="s">
        <v>110</v>
      </c>
      <c r="D50" s="15" t="s">
        <v>620</v>
      </c>
      <c r="E50" s="15" t="s">
        <v>112</v>
      </c>
      <c r="F50" s="15" t="s">
        <v>620</v>
      </c>
      <c r="G50" s="15" t="s">
        <v>113</v>
      </c>
      <c r="H50" s="15" t="s">
        <v>1045</v>
      </c>
      <c r="J50" s="16" t="s">
        <v>114</v>
      </c>
      <c r="U50" s="15" t="s">
        <v>17977</v>
      </c>
      <c r="W50" s="15">
        <v>2787</v>
      </c>
      <c r="X50" s="15">
        <v>60</v>
      </c>
      <c r="Y50" s="15" t="s">
        <v>160</v>
      </c>
      <c r="Z50" s="15" t="s">
        <v>161</v>
      </c>
      <c r="AA50" s="15" t="s">
        <v>162</v>
      </c>
      <c r="AB50" s="15" t="s">
        <v>13501</v>
      </c>
      <c r="AC50" s="15" t="s">
        <v>13501</v>
      </c>
      <c r="AD50" s="15" t="s">
        <v>13501</v>
      </c>
      <c r="AE50" s="15" t="s">
        <v>164</v>
      </c>
      <c r="AF50" s="15" t="s">
        <v>13501</v>
      </c>
      <c r="AG50" s="15" t="s">
        <v>13501</v>
      </c>
      <c r="AH50" s="47" t="s">
        <v>13502</v>
      </c>
      <c r="AL50" s="15" t="s">
        <v>13503</v>
      </c>
      <c r="AN50" s="15">
        <v>743</v>
      </c>
      <c r="AO50" s="15" t="s">
        <v>13504</v>
      </c>
      <c r="AQ50" s="15" t="s">
        <v>13505</v>
      </c>
      <c r="AT50" s="15" t="s">
        <v>13506</v>
      </c>
      <c r="AU50" s="15" t="s">
        <v>13507</v>
      </c>
      <c r="AV50" s="15" t="s">
        <v>13507</v>
      </c>
      <c r="AW50" s="15" t="s">
        <v>13508</v>
      </c>
      <c r="AX50" s="15" t="s">
        <v>13509</v>
      </c>
      <c r="AY50" s="15">
        <f t="shared" si="0"/>
        <v>52</v>
      </c>
      <c r="AZ50" s="15" t="s">
        <v>13510</v>
      </c>
      <c r="BA50" s="15" t="s">
        <v>174</v>
      </c>
      <c r="BB50" s="15" t="s">
        <v>13511</v>
      </c>
      <c r="BE50" s="15" t="s">
        <v>13512</v>
      </c>
      <c r="BJ50" s="15" t="s">
        <v>13513</v>
      </c>
      <c r="BN50" s="15" t="s">
        <v>179</v>
      </c>
      <c r="BP50" s="15" t="s">
        <v>138</v>
      </c>
      <c r="BS50" s="15" t="s">
        <v>13514</v>
      </c>
      <c r="DH50" s="15" t="s">
        <v>17982</v>
      </c>
      <c r="DI50" s="15" t="s">
        <v>17982</v>
      </c>
    </row>
    <row r="51" spans="1:113" s="15" customFormat="1" ht="12.75" x14ac:dyDescent="0.2">
      <c r="A51" s="15" t="s">
        <v>109</v>
      </c>
      <c r="B51" s="15" t="s">
        <v>110</v>
      </c>
      <c r="D51" s="15" t="s">
        <v>620</v>
      </c>
      <c r="E51" s="15" t="s">
        <v>112</v>
      </c>
      <c r="F51" s="15" t="s">
        <v>620</v>
      </c>
      <c r="G51" s="15" t="s">
        <v>113</v>
      </c>
      <c r="H51" s="15" t="s">
        <v>1045</v>
      </c>
      <c r="J51" s="16" t="s">
        <v>114</v>
      </c>
      <c r="U51" s="15" t="s">
        <v>17977</v>
      </c>
      <c r="W51" s="15">
        <v>3616</v>
      </c>
      <c r="X51" s="15">
        <v>61</v>
      </c>
      <c r="Y51" s="15" t="s">
        <v>160</v>
      </c>
      <c r="Z51" s="15" t="s">
        <v>161</v>
      </c>
      <c r="AA51" s="15" t="s">
        <v>162</v>
      </c>
      <c r="AB51" s="15" t="s">
        <v>17436</v>
      </c>
      <c r="AC51" s="15" t="s">
        <v>17436</v>
      </c>
      <c r="AD51" s="15" t="s">
        <v>17436</v>
      </c>
      <c r="AE51" s="15" t="s">
        <v>164</v>
      </c>
      <c r="AF51" s="15" t="s">
        <v>17436</v>
      </c>
      <c r="AG51" s="15" t="s">
        <v>17436</v>
      </c>
      <c r="AH51" s="15" t="s">
        <v>17437</v>
      </c>
      <c r="AL51" s="15" t="s">
        <v>17438</v>
      </c>
      <c r="AN51" s="15">
        <v>743</v>
      </c>
      <c r="AO51" s="15" t="s">
        <v>17439</v>
      </c>
      <c r="AQ51" s="15" t="s">
        <v>8673</v>
      </c>
      <c r="AT51" s="15" t="s">
        <v>17440</v>
      </c>
      <c r="AU51" s="15" t="s">
        <v>17441</v>
      </c>
      <c r="AV51" s="15" t="s">
        <v>17441</v>
      </c>
      <c r="AW51" s="15" t="s">
        <v>17442</v>
      </c>
      <c r="AX51" s="15" t="s">
        <v>17443</v>
      </c>
      <c r="AY51" s="15">
        <f t="shared" si="0"/>
        <v>58</v>
      </c>
      <c r="AZ51" s="15" t="s">
        <v>393</v>
      </c>
      <c r="BA51" s="15" t="s">
        <v>17433</v>
      </c>
      <c r="BB51" s="15" t="s">
        <v>17423</v>
      </c>
      <c r="BE51" s="15" t="s">
        <v>1081</v>
      </c>
      <c r="BJ51" s="15" t="s">
        <v>17444</v>
      </c>
      <c r="BN51" s="15" t="s">
        <v>179</v>
      </c>
      <c r="BP51" s="15" t="s">
        <v>138</v>
      </c>
      <c r="BS51" s="15" t="s">
        <v>17445</v>
      </c>
      <c r="DH51" s="15" t="s">
        <v>17982</v>
      </c>
      <c r="DI51" s="15" t="s">
        <v>17982</v>
      </c>
    </row>
    <row r="52" spans="1:113" s="15" customFormat="1" ht="12.75" x14ac:dyDescent="0.2">
      <c r="A52" s="15" t="s">
        <v>109</v>
      </c>
      <c r="B52" s="15" t="s">
        <v>110</v>
      </c>
      <c r="D52" s="15" t="s">
        <v>620</v>
      </c>
      <c r="E52" s="15" t="s">
        <v>112</v>
      </c>
      <c r="F52" s="15" t="s">
        <v>620</v>
      </c>
      <c r="G52" s="15" t="s">
        <v>113</v>
      </c>
      <c r="H52" s="15" t="s">
        <v>1045</v>
      </c>
      <c r="J52" s="16" t="s">
        <v>114</v>
      </c>
      <c r="U52" s="15" t="s">
        <v>17977</v>
      </c>
      <c r="W52" s="15">
        <v>3615</v>
      </c>
      <c r="X52" s="15">
        <v>62</v>
      </c>
      <c r="Y52" s="15" t="s">
        <v>160</v>
      </c>
      <c r="Z52" s="15" t="s">
        <v>161</v>
      </c>
      <c r="AA52" s="15" t="s">
        <v>162</v>
      </c>
      <c r="AB52" s="15" t="s">
        <v>17425</v>
      </c>
      <c r="AC52" s="15" t="s">
        <v>17425</v>
      </c>
      <c r="AD52" s="15" t="s">
        <v>17425</v>
      </c>
      <c r="AE52" s="15" t="s">
        <v>164</v>
      </c>
      <c r="AF52" s="15" t="s">
        <v>17425</v>
      </c>
      <c r="AG52" s="15" t="s">
        <v>17425</v>
      </c>
      <c r="AH52" s="15" t="s">
        <v>17426</v>
      </c>
      <c r="AL52" s="15" t="s">
        <v>17427</v>
      </c>
      <c r="AN52" s="15">
        <v>743</v>
      </c>
      <c r="AO52" s="15" t="s">
        <v>17428</v>
      </c>
      <c r="AQ52" s="15" t="s">
        <v>8673</v>
      </c>
      <c r="AT52" s="15" t="s">
        <v>17429</v>
      </c>
      <c r="AU52" s="15" t="s">
        <v>17430</v>
      </c>
      <c r="AV52" s="15" t="s">
        <v>17430</v>
      </c>
      <c r="AW52" s="15" t="s">
        <v>17431</v>
      </c>
      <c r="AX52" s="15" t="s">
        <v>17432</v>
      </c>
      <c r="AY52" s="15">
        <f t="shared" si="0"/>
        <v>53</v>
      </c>
      <c r="AZ52" s="15" t="s">
        <v>393</v>
      </c>
      <c r="BA52" s="15" t="s">
        <v>17433</v>
      </c>
      <c r="BB52" s="15" t="s">
        <v>17423</v>
      </c>
      <c r="BC52" s="15" t="s">
        <v>801</v>
      </c>
      <c r="BE52" s="15" t="s">
        <v>251</v>
      </c>
      <c r="BJ52" s="15" t="s">
        <v>17434</v>
      </c>
      <c r="BN52" s="15" t="s">
        <v>179</v>
      </c>
      <c r="BP52" s="15" t="s">
        <v>138</v>
      </c>
      <c r="BS52" s="15" t="s">
        <v>17435</v>
      </c>
      <c r="DH52" s="15" t="s">
        <v>17982</v>
      </c>
      <c r="DI52" s="15" t="s">
        <v>17982</v>
      </c>
    </row>
    <row r="53" spans="1:113" s="15" customFormat="1" ht="12.75" x14ac:dyDescent="0.2">
      <c r="A53" s="15" t="s">
        <v>109</v>
      </c>
      <c r="B53" s="15" t="s">
        <v>110</v>
      </c>
      <c r="D53" s="15" t="s">
        <v>620</v>
      </c>
      <c r="E53" s="15" t="s">
        <v>112</v>
      </c>
      <c r="F53" s="15" t="s">
        <v>620</v>
      </c>
      <c r="G53" s="15" t="s">
        <v>113</v>
      </c>
      <c r="H53" s="15" t="s">
        <v>1045</v>
      </c>
      <c r="J53" s="16" t="s">
        <v>114</v>
      </c>
      <c r="U53" s="15" t="s">
        <v>17977</v>
      </c>
      <c r="W53" s="15">
        <v>2903</v>
      </c>
      <c r="X53" s="15">
        <v>63</v>
      </c>
      <c r="Y53" s="15" t="s">
        <v>160</v>
      </c>
      <c r="Z53" s="15" t="s">
        <v>161</v>
      </c>
      <c r="AA53" s="15" t="s">
        <v>162</v>
      </c>
      <c r="AB53" s="15" t="s">
        <v>14204</v>
      </c>
      <c r="AC53" s="15" t="s">
        <v>14204</v>
      </c>
      <c r="AD53" s="15" t="s">
        <v>14204</v>
      </c>
      <c r="AE53" s="15" t="s">
        <v>164</v>
      </c>
      <c r="AF53" s="15" t="s">
        <v>14204</v>
      </c>
      <c r="AG53" s="15" t="s">
        <v>14204</v>
      </c>
      <c r="AH53" s="15" t="s">
        <v>14205</v>
      </c>
      <c r="AL53" s="15" t="s">
        <v>14206</v>
      </c>
      <c r="AN53" s="15">
        <v>743</v>
      </c>
      <c r="AO53" s="15" t="s">
        <v>14207</v>
      </c>
      <c r="AQ53" s="15" t="s">
        <v>10045</v>
      </c>
      <c r="AR53" s="15" t="s">
        <v>209</v>
      </c>
      <c r="AS53" s="15" t="s">
        <v>210</v>
      </c>
      <c r="AT53" s="15" t="s">
        <v>14208</v>
      </c>
      <c r="AU53" s="15" t="s">
        <v>14209</v>
      </c>
      <c r="AV53" s="15" t="s">
        <v>14209</v>
      </c>
      <c r="AW53" s="15" t="s">
        <v>14210</v>
      </c>
      <c r="AX53" s="15" t="s">
        <v>14210</v>
      </c>
      <c r="AY53" s="15">
        <f t="shared" si="0"/>
        <v>59</v>
      </c>
      <c r="AZ53" s="15" t="s">
        <v>214</v>
      </c>
      <c r="BA53" s="15" t="s">
        <v>1225</v>
      </c>
      <c r="BB53" s="15" t="s">
        <v>14190</v>
      </c>
      <c r="BE53" s="15" t="s">
        <v>251</v>
      </c>
      <c r="BJ53" s="15" t="s">
        <v>14211</v>
      </c>
      <c r="BN53" s="15" t="s">
        <v>179</v>
      </c>
      <c r="BP53" s="15" t="s">
        <v>138</v>
      </c>
      <c r="BS53" s="15" t="s">
        <v>14212</v>
      </c>
      <c r="DH53" s="15" t="s">
        <v>17982</v>
      </c>
      <c r="DI53" s="15" t="s">
        <v>17982</v>
      </c>
    </row>
    <row r="54" spans="1:113" s="15" customFormat="1" ht="12.75" x14ac:dyDescent="0.2">
      <c r="A54" s="15" t="s">
        <v>109</v>
      </c>
      <c r="B54" s="15" t="s">
        <v>110</v>
      </c>
      <c r="D54" s="15" t="s">
        <v>620</v>
      </c>
      <c r="E54" s="15" t="s">
        <v>112</v>
      </c>
      <c r="F54" s="15" t="s">
        <v>620</v>
      </c>
      <c r="G54" s="15" t="s">
        <v>113</v>
      </c>
      <c r="H54" s="15" t="s">
        <v>1045</v>
      </c>
      <c r="J54" s="16" t="s">
        <v>114</v>
      </c>
      <c r="U54" s="15" t="s">
        <v>17977</v>
      </c>
      <c r="W54" s="15">
        <v>2098</v>
      </c>
      <c r="X54" s="15">
        <v>64</v>
      </c>
      <c r="Y54" s="15" t="s">
        <v>160</v>
      </c>
      <c r="Z54" s="15" t="s">
        <v>161</v>
      </c>
      <c r="AA54" s="15" t="s">
        <v>162</v>
      </c>
      <c r="AB54" s="15" t="s">
        <v>10772</v>
      </c>
      <c r="AC54" s="15" t="s">
        <v>10772</v>
      </c>
      <c r="AD54" s="15" t="s">
        <v>10772</v>
      </c>
      <c r="AE54" s="15" t="s">
        <v>164</v>
      </c>
      <c r="AF54" s="15" t="s">
        <v>10772</v>
      </c>
      <c r="AG54" s="15" t="s">
        <v>10772</v>
      </c>
      <c r="AH54" s="15" t="s">
        <v>10773</v>
      </c>
      <c r="AL54" s="15" t="s">
        <v>10774</v>
      </c>
      <c r="AN54" s="15">
        <v>743</v>
      </c>
      <c r="AO54" s="15" t="s">
        <v>10775</v>
      </c>
      <c r="AQ54" s="15" t="s">
        <v>1591</v>
      </c>
      <c r="AT54" s="15" t="s">
        <v>10776</v>
      </c>
      <c r="AU54" s="15" t="s">
        <v>10777</v>
      </c>
      <c r="AV54" s="15" t="s">
        <v>10777</v>
      </c>
      <c r="AW54" s="15" t="s">
        <v>10778</v>
      </c>
      <c r="AX54" s="15" t="s">
        <v>10779</v>
      </c>
      <c r="AY54" s="15">
        <f t="shared" si="0"/>
        <v>32</v>
      </c>
      <c r="AZ54" s="15" t="s">
        <v>10780</v>
      </c>
      <c r="BA54" s="15" t="s">
        <v>2753</v>
      </c>
      <c r="BE54" s="15" t="s">
        <v>3190</v>
      </c>
      <c r="BJ54" s="15" t="s">
        <v>10781</v>
      </c>
      <c r="BN54" s="15" t="s">
        <v>179</v>
      </c>
      <c r="BP54" s="15" t="s">
        <v>138</v>
      </c>
      <c r="BS54" s="15" t="s">
        <v>10782</v>
      </c>
      <c r="DH54" s="15" t="s">
        <v>17982</v>
      </c>
      <c r="DI54" s="15" t="s">
        <v>17982</v>
      </c>
    </row>
    <row r="55" spans="1:113" s="15" customFormat="1" ht="12.75" x14ac:dyDescent="0.2">
      <c r="A55" s="15" t="s">
        <v>109</v>
      </c>
      <c r="B55" s="15" t="s">
        <v>110</v>
      </c>
      <c r="D55" s="15" t="s">
        <v>620</v>
      </c>
      <c r="E55" s="15" t="s">
        <v>112</v>
      </c>
      <c r="F55" s="15" t="s">
        <v>620</v>
      </c>
      <c r="G55" s="15" t="s">
        <v>113</v>
      </c>
      <c r="H55" s="15" t="s">
        <v>1045</v>
      </c>
      <c r="J55" s="16" t="s">
        <v>114</v>
      </c>
      <c r="U55" s="15" t="s">
        <v>17977</v>
      </c>
      <c r="W55" s="15">
        <v>3118</v>
      </c>
      <c r="X55" s="15">
        <v>65</v>
      </c>
      <c r="Y55" s="15" t="s">
        <v>160</v>
      </c>
      <c r="Z55" s="15" t="s">
        <v>161</v>
      </c>
      <c r="AA55" s="15" t="s">
        <v>162</v>
      </c>
      <c r="AB55" s="15" t="s">
        <v>15013</v>
      </c>
      <c r="AC55" s="15" t="s">
        <v>15013</v>
      </c>
      <c r="AD55" s="15" t="s">
        <v>15013</v>
      </c>
      <c r="AE55" s="15" t="s">
        <v>164</v>
      </c>
      <c r="AF55" s="15" t="s">
        <v>15013</v>
      </c>
      <c r="AG55" s="15" t="s">
        <v>15013</v>
      </c>
      <c r="AH55" s="15" t="s">
        <v>15014</v>
      </c>
      <c r="AL55" s="15" t="s">
        <v>15015</v>
      </c>
      <c r="AN55" s="15">
        <v>743</v>
      </c>
      <c r="AO55" s="15" t="s">
        <v>15016</v>
      </c>
      <c r="AQ55" s="15" t="s">
        <v>1591</v>
      </c>
      <c r="AT55" s="15" t="s">
        <v>15017</v>
      </c>
      <c r="AU55" s="15" t="s">
        <v>15018</v>
      </c>
      <c r="AV55" s="15" t="s">
        <v>15018</v>
      </c>
      <c r="AW55" s="15" t="s">
        <v>15019</v>
      </c>
      <c r="AX55" s="15" t="s">
        <v>15019</v>
      </c>
      <c r="AY55" s="15">
        <f t="shared" si="0"/>
        <v>49</v>
      </c>
      <c r="AZ55" s="15" t="s">
        <v>288</v>
      </c>
      <c r="BA55" s="15" t="s">
        <v>2753</v>
      </c>
      <c r="BE55" s="15" t="s">
        <v>15020</v>
      </c>
      <c r="BJ55" s="15" t="s">
        <v>12526</v>
      </c>
      <c r="BN55" s="15" t="s">
        <v>179</v>
      </c>
      <c r="BP55" s="15" t="s">
        <v>138</v>
      </c>
      <c r="BS55" s="15" t="s">
        <v>15021</v>
      </c>
      <c r="DH55" s="15" t="s">
        <v>17982</v>
      </c>
      <c r="DI55" s="15" t="s">
        <v>17982</v>
      </c>
    </row>
    <row r="56" spans="1:113" s="15" customFormat="1" ht="12.75" x14ac:dyDescent="0.2">
      <c r="A56" s="15" t="s">
        <v>109</v>
      </c>
      <c r="B56" s="15" t="s">
        <v>110</v>
      </c>
      <c r="D56" s="15" t="s">
        <v>620</v>
      </c>
      <c r="E56" s="15" t="s">
        <v>112</v>
      </c>
      <c r="F56" s="15" t="s">
        <v>620</v>
      </c>
      <c r="G56" s="15" t="s">
        <v>113</v>
      </c>
      <c r="H56" s="15" t="s">
        <v>1045</v>
      </c>
      <c r="J56" s="16" t="s">
        <v>114</v>
      </c>
      <c r="U56" s="15" t="s">
        <v>17977</v>
      </c>
      <c r="W56" s="15">
        <v>3119</v>
      </c>
      <c r="X56" s="15">
        <v>66</v>
      </c>
      <c r="Y56" s="15" t="s">
        <v>160</v>
      </c>
      <c r="Z56" s="15" t="s">
        <v>161</v>
      </c>
      <c r="AA56" s="15" t="s">
        <v>162</v>
      </c>
      <c r="AB56" s="15" t="s">
        <v>15022</v>
      </c>
      <c r="AC56" s="15" t="s">
        <v>15022</v>
      </c>
      <c r="AD56" s="15" t="s">
        <v>15022</v>
      </c>
      <c r="AE56" s="15" t="s">
        <v>164</v>
      </c>
      <c r="AF56" s="15" t="s">
        <v>15022</v>
      </c>
      <c r="AG56" s="15" t="s">
        <v>15022</v>
      </c>
      <c r="AH56" s="15" t="s">
        <v>15023</v>
      </c>
      <c r="AL56" s="15" t="s">
        <v>15024</v>
      </c>
      <c r="AN56" s="15">
        <v>743</v>
      </c>
      <c r="AO56" s="15" t="s">
        <v>15025</v>
      </c>
      <c r="AQ56" s="15" t="s">
        <v>1591</v>
      </c>
      <c r="AT56" s="15" t="s">
        <v>15026</v>
      </c>
      <c r="AU56" s="15" t="s">
        <v>15027</v>
      </c>
      <c r="AV56" s="15" t="s">
        <v>15027</v>
      </c>
      <c r="AW56" s="15" t="s">
        <v>15028</v>
      </c>
      <c r="AX56" s="15" t="s">
        <v>15028</v>
      </c>
      <c r="AY56" s="15">
        <f t="shared" si="0"/>
        <v>49</v>
      </c>
      <c r="AZ56" s="15" t="s">
        <v>288</v>
      </c>
      <c r="BA56" s="15" t="s">
        <v>2753</v>
      </c>
      <c r="BE56" s="15" t="s">
        <v>15029</v>
      </c>
      <c r="BJ56" s="15" t="s">
        <v>12526</v>
      </c>
      <c r="BN56" s="15" t="s">
        <v>179</v>
      </c>
      <c r="BP56" s="15" t="s">
        <v>138</v>
      </c>
      <c r="BS56" s="15" t="s">
        <v>15030</v>
      </c>
      <c r="DH56" s="15" t="s">
        <v>17982</v>
      </c>
      <c r="DI56" s="15" t="s">
        <v>17982</v>
      </c>
    </row>
    <row r="57" spans="1:113" s="15" customFormat="1" ht="12.75" x14ac:dyDescent="0.2">
      <c r="A57" s="15" t="s">
        <v>109</v>
      </c>
      <c r="B57" s="15" t="s">
        <v>110</v>
      </c>
      <c r="D57" s="15" t="s">
        <v>620</v>
      </c>
      <c r="E57" s="15" t="s">
        <v>112</v>
      </c>
      <c r="F57" s="15" t="s">
        <v>620</v>
      </c>
      <c r="G57" s="15" t="s">
        <v>113</v>
      </c>
      <c r="H57" s="15" t="s">
        <v>1045</v>
      </c>
      <c r="J57" s="16" t="s">
        <v>114</v>
      </c>
      <c r="U57" s="15" t="s">
        <v>17977</v>
      </c>
      <c r="W57" s="15">
        <v>3120</v>
      </c>
      <c r="X57" s="15">
        <v>67</v>
      </c>
      <c r="Y57" s="15" t="s">
        <v>160</v>
      </c>
      <c r="Z57" s="15" t="s">
        <v>161</v>
      </c>
      <c r="AA57" s="15" t="s">
        <v>162</v>
      </c>
      <c r="AB57" s="15" t="s">
        <v>15031</v>
      </c>
      <c r="AC57" s="15" t="s">
        <v>15031</v>
      </c>
      <c r="AD57" s="15" t="s">
        <v>15031</v>
      </c>
      <c r="AE57" s="15" t="s">
        <v>164</v>
      </c>
      <c r="AF57" s="15" t="s">
        <v>15031</v>
      </c>
      <c r="AG57" s="15" t="s">
        <v>15031</v>
      </c>
      <c r="AH57" s="15" t="s">
        <v>15032</v>
      </c>
      <c r="AL57" s="15" t="s">
        <v>15033</v>
      </c>
      <c r="AN57" s="15">
        <v>743</v>
      </c>
      <c r="AO57" s="15" t="s">
        <v>15034</v>
      </c>
      <c r="AQ57" s="15" t="s">
        <v>1591</v>
      </c>
      <c r="AT57" s="15" t="s">
        <v>15035</v>
      </c>
      <c r="AU57" s="15" t="s">
        <v>15036</v>
      </c>
      <c r="AV57" s="15" t="s">
        <v>15036</v>
      </c>
      <c r="AW57" s="15" t="s">
        <v>15037</v>
      </c>
      <c r="AX57" s="15" t="s">
        <v>15037</v>
      </c>
      <c r="AY57" s="15">
        <f t="shared" si="0"/>
        <v>49</v>
      </c>
      <c r="AZ57" s="15" t="s">
        <v>288</v>
      </c>
      <c r="BA57" s="15" t="s">
        <v>2753</v>
      </c>
      <c r="BE57" s="15" t="s">
        <v>15038</v>
      </c>
      <c r="BJ57" s="15" t="s">
        <v>12526</v>
      </c>
      <c r="BN57" s="15" t="s">
        <v>179</v>
      </c>
      <c r="BP57" s="15" t="s">
        <v>138</v>
      </c>
      <c r="BS57" s="15" t="s">
        <v>15039</v>
      </c>
      <c r="DH57" s="15" t="s">
        <v>17982</v>
      </c>
      <c r="DI57" s="15" t="s">
        <v>17982</v>
      </c>
    </row>
    <row r="58" spans="1:113" s="15" customFormat="1" ht="12.75" x14ac:dyDescent="0.2">
      <c r="A58" s="15" t="s">
        <v>109</v>
      </c>
      <c r="B58" s="15" t="s">
        <v>110</v>
      </c>
      <c r="D58" s="15" t="s">
        <v>620</v>
      </c>
      <c r="E58" s="15" t="s">
        <v>112</v>
      </c>
      <c r="F58" s="15" t="s">
        <v>620</v>
      </c>
      <c r="G58" s="15" t="s">
        <v>113</v>
      </c>
      <c r="H58" s="15" t="s">
        <v>1045</v>
      </c>
      <c r="J58" s="16" t="s">
        <v>114</v>
      </c>
      <c r="U58" s="15" t="s">
        <v>17977</v>
      </c>
      <c r="W58" s="15">
        <v>3121</v>
      </c>
      <c r="X58" s="15">
        <v>68</v>
      </c>
      <c r="Y58" s="15" t="s">
        <v>160</v>
      </c>
      <c r="Z58" s="15" t="s">
        <v>161</v>
      </c>
      <c r="AA58" s="15" t="s">
        <v>162</v>
      </c>
      <c r="AB58" s="15" t="s">
        <v>15040</v>
      </c>
      <c r="AC58" s="15" t="s">
        <v>15040</v>
      </c>
      <c r="AD58" s="15" t="s">
        <v>15040</v>
      </c>
      <c r="AE58" s="15" t="s">
        <v>164</v>
      </c>
      <c r="AF58" s="15" t="s">
        <v>15040</v>
      </c>
      <c r="AG58" s="15" t="s">
        <v>15040</v>
      </c>
      <c r="AH58" s="15" t="s">
        <v>15041</v>
      </c>
      <c r="AL58" s="15" t="s">
        <v>15042</v>
      </c>
      <c r="AN58" s="15">
        <v>743</v>
      </c>
      <c r="AO58" s="15" t="s">
        <v>15043</v>
      </c>
      <c r="AQ58" s="15" t="s">
        <v>1591</v>
      </c>
      <c r="AT58" s="15" t="s">
        <v>15044</v>
      </c>
      <c r="AU58" s="15" t="s">
        <v>15045</v>
      </c>
      <c r="AV58" s="15" t="s">
        <v>15045</v>
      </c>
      <c r="AW58" s="15" t="s">
        <v>15046</v>
      </c>
      <c r="AX58" s="15" t="s">
        <v>15046</v>
      </c>
      <c r="AY58" s="15">
        <f t="shared" si="0"/>
        <v>49</v>
      </c>
      <c r="AZ58" s="15" t="s">
        <v>288</v>
      </c>
      <c r="BA58" s="15" t="s">
        <v>2753</v>
      </c>
      <c r="BE58" s="15" t="s">
        <v>15047</v>
      </c>
      <c r="BJ58" s="15" t="s">
        <v>12526</v>
      </c>
      <c r="BN58" s="15" t="s">
        <v>179</v>
      </c>
      <c r="BP58" s="15" t="s">
        <v>138</v>
      </c>
      <c r="BS58" s="15" t="s">
        <v>15048</v>
      </c>
      <c r="DH58" s="15" t="s">
        <v>17982</v>
      </c>
      <c r="DI58" s="15" t="s">
        <v>17982</v>
      </c>
    </row>
    <row r="59" spans="1:113" s="15" customFormat="1" ht="12.75" x14ac:dyDescent="0.2">
      <c r="A59" s="15" t="s">
        <v>109</v>
      </c>
      <c r="B59" s="15" t="s">
        <v>110</v>
      </c>
      <c r="D59" s="15" t="s">
        <v>620</v>
      </c>
      <c r="E59" s="15" t="s">
        <v>112</v>
      </c>
      <c r="F59" s="15" t="s">
        <v>620</v>
      </c>
      <c r="G59" s="15" t="s">
        <v>113</v>
      </c>
      <c r="H59" s="15" t="s">
        <v>1045</v>
      </c>
      <c r="J59" s="16" t="s">
        <v>114</v>
      </c>
      <c r="U59" s="15" t="s">
        <v>17977</v>
      </c>
      <c r="W59" s="15">
        <v>2902</v>
      </c>
      <c r="X59" s="15">
        <v>69</v>
      </c>
      <c r="Y59" s="15" t="s">
        <v>160</v>
      </c>
      <c r="Z59" s="15" t="s">
        <v>161</v>
      </c>
      <c r="AA59" s="15" t="s">
        <v>162</v>
      </c>
      <c r="AB59" s="15" t="s">
        <v>14194</v>
      </c>
      <c r="AC59" s="15" t="s">
        <v>14194</v>
      </c>
      <c r="AD59" s="15" t="s">
        <v>14194</v>
      </c>
      <c r="AE59" s="15" t="s">
        <v>164</v>
      </c>
      <c r="AF59" s="15" t="s">
        <v>14194</v>
      </c>
      <c r="AG59" s="15" t="s">
        <v>14194</v>
      </c>
      <c r="AH59" s="15" t="s">
        <v>14195</v>
      </c>
      <c r="AL59" s="15" t="s">
        <v>14196</v>
      </c>
      <c r="AN59" s="15">
        <v>743</v>
      </c>
      <c r="AO59" s="15" t="s">
        <v>14197</v>
      </c>
      <c r="AQ59" s="15" t="s">
        <v>225</v>
      </c>
      <c r="AT59" s="15" t="s">
        <v>14198</v>
      </c>
      <c r="AU59" s="15" t="s">
        <v>14199</v>
      </c>
      <c r="AV59" s="15" t="s">
        <v>14199</v>
      </c>
      <c r="AW59" s="15" t="s">
        <v>14200</v>
      </c>
      <c r="AX59" s="15" t="s">
        <v>14201</v>
      </c>
      <c r="AY59" s="15">
        <f t="shared" si="0"/>
        <v>43</v>
      </c>
      <c r="AZ59" s="15" t="s">
        <v>229</v>
      </c>
      <c r="BA59" s="15" t="s">
        <v>174</v>
      </c>
      <c r="BB59" s="15" t="s">
        <v>14190</v>
      </c>
      <c r="BC59" s="15" t="s">
        <v>884</v>
      </c>
      <c r="BE59" s="15" t="s">
        <v>1915</v>
      </c>
      <c r="BJ59" s="15" t="s">
        <v>14202</v>
      </c>
      <c r="BN59" s="15" t="s">
        <v>179</v>
      </c>
      <c r="BP59" s="15" t="s">
        <v>138</v>
      </c>
      <c r="BS59" s="15" t="s">
        <v>14203</v>
      </c>
      <c r="DH59" s="15" t="s">
        <v>17982</v>
      </c>
      <c r="DI59" s="15" t="s">
        <v>17982</v>
      </c>
    </row>
    <row r="60" spans="1:113" s="15" customFormat="1" ht="12.75" x14ac:dyDescent="0.2">
      <c r="A60" s="15" t="s">
        <v>109</v>
      </c>
      <c r="B60" s="15" t="s">
        <v>110</v>
      </c>
      <c r="D60" s="15" t="s">
        <v>620</v>
      </c>
      <c r="E60" s="15" t="s">
        <v>112</v>
      </c>
      <c r="F60" s="15" t="s">
        <v>620</v>
      </c>
      <c r="G60" s="15" t="s">
        <v>113</v>
      </c>
      <c r="H60" s="15" t="s">
        <v>1045</v>
      </c>
      <c r="J60" s="16" t="s">
        <v>114</v>
      </c>
      <c r="U60" s="15" t="s">
        <v>17977</v>
      </c>
      <c r="W60" s="15">
        <v>1072</v>
      </c>
      <c r="X60" s="15">
        <v>70</v>
      </c>
      <c r="Y60" s="15" t="s">
        <v>160</v>
      </c>
      <c r="Z60" s="15" t="s">
        <v>161</v>
      </c>
      <c r="AA60" s="15" t="s">
        <v>162</v>
      </c>
      <c r="AB60" s="15" t="s">
        <v>5617</v>
      </c>
      <c r="AC60" s="15" t="s">
        <v>5617</v>
      </c>
      <c r="AD60" s="15" t="s">
        <v>5617</v>
      </c>
      <c r="AE60" s="15" t="s">
        <v>164</v>
      </c>
      <c r="AF60" s="15" t="s">
        <v>5617</v>
      </c>
      <c r="AG60" s="15" t="s">
        <v>5617</v>
      </c>
      <c r="AH60" s="15" t="s">
        <v>5618</v>
      </c>
      <c r="AL60" s="15" t="s">
        <v>5619</v>
      </c>
      <c r="AN60" s="15">
        <v>743</v>
      </c>
      <c r="AO60" s="15" t="s">
        <v>5620</v>
      </c>
      <c r="AQ60" s="15" t="s">
        <v>5609</v>
      </c>
      <c r="AT60" s="15" t="s">
        <v>5621</v>
      </c>
      <c r="AU60" s="15" t="s">
        <v>5622</v>
      </c>
      <c r="AV60" s="15" t="s">
        <v>5622</v>
      </c>
      <c r="AW60" s="15" t="s">
        <v>5623</v>
      </c>
      <c r="AX60" s="15" t="s">
        <v>5623</v>
      </c>
      <c r="AY60" s="15">
        <f t="shared" si="0"/>
        <v>56</v>
      </c>
      <c r="AZ60" s="15" t="s">
        <v>5613</v>
      </c>
      <c r="BA60" s="15" t="s">
        <v>174</v>
      </c>
      <c r="BB60" s="15" t="s">
        <v>5591</v>
      </c>
      <c r="BE60" s="15" t="s">
        <v>251</v>
      </c>
      <c r="BF60" s="19" t="s">
        <v>836</v>
      </c>
      <c r="BJ60" s="15" t="s">
        <v>5624</v>
      </c>
      <c r="BN60" s="15" t="s">
        <v>179</v>
      </c>
      <c r="BP60" s="15" t="s">
        <v>138</v>
      </c>
      <c r="BS60" s="15" t="s">
        <v>5625</v>
      </c>
      <c r="DH60" s="15" t="s">
        <v>17982</v>
      </c>
      <c r="DI60" s="15" t="s">
        <v>17982</v>
      </c>
    </row>
    <row r="61" spans="1:113" s="15" customFormat="1" ht="12.75" x14ac:dyDescent="0.2">
      <c r="A61" s="15" t="s">
        <v>109</v>
      </c>
      <c r="B61" s="15" t="s">
        <v>110</v>
      </c>
      <c r="D61" s="15" t="s">
        <v>620</v>
      </c>
      <c r="E61" s="15" t="s">
        <v>112</v>
      </c>
      <c r="F61" s="15" t="s">
        <v>620</v>
      </c>
      <c r="G61" s="15" t="s">
        <v>113</v>
      </c>
      <c r="H61" s="15" t="s">
        <v>1045</v>
      </c>
      <c r="J61" s="16" t="s">
        <v>114</v>
      </c>
      <c r="U61" s="15" t="s">
        <v>17977</v>
      </c>
      <c r="W61" s="15">
        <v>1071</v>
      </c>
      <c r="X61" s="15">
        <v>71</v>
      </c>
      <c r="Y61" s="15" t="s">
        <v>160</v>
      </c>
      <c r="Z61" s="15" t="s">
        <v>161</v>
      </c>
      <c r="AA61" s="15" t="s">
        <v>162</v>
      </c>
      <c r="AB61" s="15" t="s">
        <v>5605</v>
      </c>
      <c r="AC61" s="15" t="s">
        <v>5605</v>
      </c>
      <c r="AD61" s="15" t="s">
        <v>5605</v>
      </c>
      <c r="AE61" s="15" t="s">
        <v>164</v>
      </c>
      <c r="AF61" s="15" t="s">
        <v>5605</v>
      </c>
      <c r="AG61" s="15" t="s">
        <v>5605</v>
      </c>
      <c r="AH61" s="15" t="s">
        <v>5606</v>
      </c>
      <c r="AL61" s="15" t="s">
        <v>5607</v>
      </c>
      <c r="AN61" s="15">
        <v>743</v>
      </c>
      <c r="AO61" s="15" t="s">
        <v>5608</v>
      </c>
      <c r="AQ61" s="15" t="s">
        <v>5609</v>
      </c>
      <c r="AT61" s="15" t="s">
        <v>5610</v>
      </c>
      <c r="AU61" s="15" t="s">
        <v>5611</v>
      </c>
      <c r="AV61" s="15" t="s">
        <v>5611</v>
      </c>
      <c r="AW61" s="15" t="s">
        <v>5612</v>
      </c>
      <c r="AX61" s="15" t="s">
        <v>5612</v>
      </c>
      <c r="AY61" s="15">
        <f t="shared" si="0"/>
        <v>59</v>
      </c>
      <c r="AZ61" s="15" t="s">
        <v>5613</v>
      </c>
      <c r="BA61" s="15" t="s">
        <v>174</v>
      </c>
      <c r="BB61" s="15" t="s">
        <v>5591</v>
      </c>
      <c r="BC61" s="15" t="s">
        <v>5614</v>
      </c>
      <c r="BE61" s="15" t="s">
        <v>251</v>
      </c>
      <c r="BJ61" s="15" t="s">
        <v>5615</v>
      </c>
      <c r="BN61" s="15" t="s">
        <v>179</v>
      </c>
      <c r="BP61" s="15" t="s">
        <v>138</v>
      </c>
      <c r="BS61" s="15" t="s">
        <v>5616</v>
      </c>
      <c r="DH61" s="15" t="s">
        <v>17982</v>
      </c>
      <c r="DI61" s="15" t="s">
        <v>17982</v>
      </c>
    </row>
    <row r="62" spans="1:113" s="15" customFormat="1" ht="12.75" x14ac:dyDescent="0.2">
      <c r="A62" s="15" t="s">
        <v>109</v>
      </c>
      <c r="B62" s="15" t="s">
        <v>110</v>
      </c>
      <c r="D62" s="15" t="s">
        <v>620</v>
      </c>
      <c r="E62" s="15" t="s">
        <v>112</v>
      </c>
      <c r="F62" s="15" t="s">
        <v>620</v>
      </c>
      <c r="G62" s="15" t="s">
        <v>113</v>
      </c>
      <c r="H62" s="15" t="s">
        <v>1045</v>
      </c>
      <c r="J62" s="16" t="s">
        <v>114</v>
      </c>
      <c r="U62" s="15" t="s">
        <v>17977</v>
      </c>
      <c r="W62" s="15">
        <v>1070</v>
      </c>
      <c r="X62" s="15">
        <v>72</v>
      </c>
      <c r="Y62" s="15" t="s">
        <v>160</v>
      </c>
      <c r="Z62" s="15" t="s">
        <v>161</v>
      </c>
      <c r="AA62" s="15" t="s">
        <v>162</v>
      </c>
      <c r="AB62" s="15" t="s">
        <v>5595</v>
      </c>
      <c r="AC62" s="15" t="s">
        <v>5595</v>
      </c>
      <c r="AD62" s="15" t="s">
        <v>5595</v>
      </c>
      <c r="AE62" s="15" t="s">
        <v>164</v>
      </c>
      <c r="AF62" s="15" t="s">
        <v>5595</v>
      </c>
      <c r="AG62" s="15" t="s">
        <v>5595</v>
      </c>
      <c r="AH62" s="15" t="s">
        <v>5596</v>
      </c>
      <c r="AL62" s="15" t="s">
        <v>5597</v>
      </c>
      <c r="AN62" s="15">
        <v>743</v>
      </c>
      <c r="AO62" s="15" t="s">
        <v>5598</v>
      </c>
      <c r="AQ62" s="15" t="s">
        <v>829</v>
      </c>
      <c r="AT62" s="15" t="s">
        <v>5599</v>
      </c>
      <c r="AU62" s="15" t="s">
        <v>5600</v>
      </c>
      <c r="AV62" s="15" t="s">
        <v>5600</v>
      </c>
      <c r="AW62" s="15" t="s">
        <v>5601</v>
      </c>
      <c r="AX62" s="15" t="s">
        <v>5602</v>
      </c>
      <c r="AY62" s="15">
        <f t="shared" si="0"/>
        <v>58</v>
      </c>
      <c r="AZ62" s="15" t="s">
        <v>5590</v>
      </c>
      <c r="BA62" s="15" t="s">
        <v>174</v>
      </c>
      <c r="BB62" s="15" t="s">
        <v>5591</v>
      </c>
      <c r="BE62" s="15" t="s">
        <v>251</v>
      </c>
      <c r="BJ62" s="15" t="s">
        <v>5603</v>
      </c>
      <c r="BN62" s="15" t="s">
        <v>179</v>
      </c>
      <c r="BP62" s="15" t="s">
        <v>138</v>
      </c>
      <c r="BS62" s="15" t="s">
        <v>5604</v>
      </c>
      <c r="DH62" s="15" t="s">
        <v>17982</v>
      </c>
      <c r="DI62" s="15" t="s">
        <v>17982</v>
      </c>
    </row>
    <row r="63" spans="1:113" s="15" customFormat="1" ht="12.75" x14ac:dyDescent="0.2">
      <c r="A63" s="15" t="s">
        <v>109</v>
      </c>
      <c r="B63" s="15" t="s">
        <v>110</v>
      </c>
      <c r="D63" s="15" t="s">
        <v>620</v>
      </c>
      <c r="E63" s="15" t="s">
        <v>112</v>
      </c>
      <c r="F63" s="15" t="s">
        <v>620</v>
      </c>
      <c r="G63" s="15" t="s">
        <v>113</v>
      </c>
      <c r="H63" s="15" t="s">
        <v>1045</v>
      </c>
      <c r="J63" s="16" t="s">
        <v>114</v>
      </c>
      <c r="U63" s="15" t="s">
        <v>17977</v>
      </c>
      <c r="W63" s="15">
        <v>1069</v>
      </c>
      <c r="X63" s="15">
        <v>73</v>
      </c>
      <c r="Y63" s="15" t="s">
        <v>160</v>
      </c>
      <c r="Z63" s="15" t="s">
        <v>161</v>
      </c>
      <c r="AA63" s="15" t="s">
        <v>162</v>
      </c>
      <c r="AB63" s="15" t="s">
        <v>5583</v>
      </c>
      <c r="AC63" s="15" t="s">
        <v>5583</v>
      </c>
      <c r="AD63" s="15" t="s">
        <v>5583</v>
      </c>
      <c r="AE63" s="15" t="s">
        <v>164</v>
      </c>
      <c r="AF63" s="15" t="s">
        <v>5583</v>
      </c>
      <c r="AG63" s="15" t="s">
        <v>5583</v>
      </c>
      <c r="AH63" s="15" t="s">
        <v>5584</v>
      </c>
      <c r="AL63" s="15" t="s">
        <v>5585</v>
      </c>
      <c r="AN63" s="15">
        <v>743</v>
      </c>
      <c r="AO63" s="15" t="s">
        <v>5586</v>
      </c>
      <c r="AQ63" s="15" t="s">
        <v>829</v>
      </c>
      <c r="AT63" s="15" t="s">
        <v>5587</v>
      </c>
      <c r="AU63" s="15" t="s">
        <v>5588</v>
      </c>
      <c r="AV63" s="15" t="s">
        <v>5588</v>
      </c>
      <c r="AW63" s="15" t="s">
        <v>5589</v>
      </c>
      <c r="AX63" s="15" t="s">
        <v>5589</v>
      </c>
      <c r="AY63" s="15">
        <f t="shared" si="0"/>
        <v>57</v>
      </c>
      <c r="AZ63" s="15" t="s">
        <v>5590</v>
      </c>
      <c r="BA63" s="15" t="s">
        <v>174</v>
      </c>
      <c r="BB63" s="15" t="s">
        <v>5591</v>
      </c>
      <c r="BC63" s="15" t="s">
        <v>5592</v>
      </c>
      <c r="BE63" s="15" t="s">
        <v>251</v>
      </c>
      <c r="BJ63" s="15" t="s">
        <v>5593</v>
      </c>
      <c r="BN63" s="15" t="s">
        <v>179</v>
      </c>
      <c r="BP63" s="15" t="s">
        <v>138</v>
      </c>
      <c r="BS63" s="15" t="s">
        <v>5594</v>
      </c>
      <c r="DH63" s="15" t="s">
        <v>17982</v>
      </c>
      <c r="DI63" s="15" t="s">
        <v>17982</v>
      </c>
    </row>
    <row r="64" spans="1:113" s="15" customFormat="1" ht="12.75" x14ac:dyDescent="0.2">
      <c r="A64" s="15" t="s">
        <v>109</v>
      </c>
      <c r="B64" s="15" t="s">
        <v>110</v>
      </c>
      <c r="D64" s="15" t="s">
        <v>620</v>
      </c>
      <c r="E64" s="15" t="s">
        <v>112</v>
      </c>
      <c r="F64" s="15" t="s">
        <v>620</v>
      </c>
      <c r="G64" s="15" t="s">
        <v>113</v>
      </c>
      <c r="H64" s="15" t="s">
        <v>1045</v>
      </c>
      <c r="J64" s="16" t="s">
        <v>114</v>
      </c>
      <c r="U64" s="15" t="s">
        <v>17977</v>
      </c>
      <c r="W64" s="15">
        <v>2901</v>
      </c>
      <c r="X64" s="15">
        <v>74</v>
      </c>
      <c r="Y64" s="15" t="s">
        <v>160</v>
      </c>
      <c r="Z64" s="15" t="s">
        <v>161</v>
      </c>
      <c r="AA64" s="15" t="s">
        <v>162</v>
      </c>
      <c r="AB64" s="15" t="s">
        <v>14183</v>
      </c>
      <c r="AC64" s="15" t="s">
        <v>14183</v>
      </c>
      <c r="AD64" s="15" t="s">
        <v>14183</v>
      </c>
      <c r="AE64" s="15" t="s">
        <v>164</v>
      </c>
      <c r="AF64" s="15" t="s">
        <v>14183</v>
      </c>
      <c r="AG64" s="15" t="s">
        <v>14183</v>
      </c>
      <c r="AH64" s="15" t="s">
        <v>14184</v>
      </c>
      <c r="AL64" s="15" t="s">
        <v>14185</v>
      </c>
      <c r="AN64" s="15">
        <v>743</v>
      </c>
      <c r="AO64" s="15" t="s">
        <v>14186</v>
      </c>
      <c r="AQ64" s="15" t="s">
        <v>225</v>
      </c>
      <c r="AT64" s="15" t="s">
        <v>14187</v>
      </c>
      <c r="AU64" s="15" t="s">
        <v>14188</v>
      </c>
      <c r="AV64" s="15" t="s">
        <v>14188</v>
      </c>
      <c r="AW64" s="15" t="s">
        <v>14189</v>
      </c>
      <c r="AX64" s="15" t="s">
        <v>14189</v>
      </c>
      <c r="AY64" s="15">
        <f t="shared" si="0"/>
        <v>60</v>
      </c>
      <c r="AZ64" s="15" t="s">
        <v>229</v>
      </c>
      <c r="BA64" s="15" t="s">
        <v>174</v>
      </c>
      <c r="BB64" s="15" t="s">
        <v>14190</v>
      </c>
      <c r="BC64" s="15" t="s">
        <v>884</v>
      </c>
      <c r="BE64" s="15" t="s">
        <v>251</v>
      </c>
      <c r="BJ64" s="15" t="s">
        <v>14191</v>
      </c>
      <c r="BN64" s="15" t="s">
        <v>179</v>
      </c>
      <c r="BP64" s="15" t="s">
        <v>138</v>
      </c>
      <c r="BR64" s="15" t="s">
        <v>14192</v>
      </c>
      <c r="BS64" s="15" t="s">
        <v>14193</v>
      </c>
      <c r="DH64" s="15" t="s">
        <v>17982</v>
      </c>
      <c r="DI64" s="15" t="s">
        <v>17982</v>
      </c>
    </row>
    <row r="65" spans="1:113" s="15" customFormat="1" ht="12.75" x14ac:dyDescent="0.2">
      <c r="A65" s="15" t="s">
        <v>109</v>
      </c>
      <c r="B65" s="15" t="s">
        <v>110</v>
      </c>
      <c r="D65" s="15" t="s">
        <v>620</v>
      </c>
      <c r="E65" s="15" t="s">
        <v>112</v>
      </c>
      <c r="F65" s="15" t="s">
        <v>620</v>
      </c>
      <c r="G65" s="15" t="s">
        <v>113</v>
      </c>
      <c r="H65" s="15" t="s">
        <v>1045</v>
      </c>
      <c r="J65" s="16" t="s">
        <v>114</v>
      </c>
      <c r="U65" s="15" t="s">
        <v>17977</v>
      </c>
      <c r="W65" s="15">
        <v>1688</v>
      </c>
      <c r="X65" s="15">
        <v>75</v>
      </c>
      <c r="Y65" s="15" t="s">
        <v>160</v>
      </c>
      <c r="Z65" s="15" t="s">
        <v>161</v>
      </c>
      <c r="AA65" s="15" t="s">
        <v>162</v>
      </c>
      <c r="AB65" s="15" t="s">
        <v>8820</v>
      </c>
      <c r="AC65" s="15" t="s">
        <v>8820</v>
      </c>
      <c r="AD65" s="15" t="s">
        <v>8820</v>
      </c>
      <c r="AE65" s="15" t="s">
        <v>164</v>
      </c>
      <c r="AF65" s="15" t="s">
        <v>8820</v>
      </c>
      <c r="AG65" s="15" t="s">
        <v>8820</v>
      </c>
      <c r="AH65" s="47" t="s">
        <v>8821</v>
      </c>
      <c r="AL65" s="15" t="s">
        <v>8822</v>
      </c>
      <c r="AN65" s="15">
        <v>743</v>
      </c>
      <c r="AO65" s="15" t="s">
        <v>8823</v>
      </c>
      <c r="AQ65" s="15" t="s">
        <v>1193</v>
      </c>
      <c r="AT65" s="15" t="s">
        <v>8824</v>
      </c>
      <c r="AU65" s="15" t="s">
        <v>8825</v>
      </c>
      <c r="AV65" s="15" t="s">
        <v>8825</v>
      </c>
      <c r="AW65" s="15" t="s">
        <v>8826</v>
      </c>
      <c r="AX65" s="15" t="s">
        <v>8827</v>
      </c>
      <c r="AY65" s="15">
        <f t="shared" si="0"/>
        <v>60</v>
      </c>
      <c r="AZ65" s="15" t="s">
        <v>1634</v>
      </c>
      <c r="BA65" s="15" t="s">
        <v>174</v>
      </c>
      <c r="BB65" s="15" t="s">
        <v>8828</v>
      </c>
      <c r="BE65" s="15" t="s">
        <v>251</v>
      </c>
      <c r="BF65" s="15" t="s">
        <v>8829</v>
      </c>
      <c r="BJ65" s="15" t="s">
        <v>8830</v>
      </c>
      <c r="BN65" s="15" t="s">
        <v>179</v>
      </c>
      <c r="BP65" s="15" t="s">
        <v>138</v>
      </c>
      <c r="BS65" s="15" t="s">
        <v>8831</v>
      </c>
      <c r="DH65" s="15" t="s">
        <v>17982</v>
      </c>
      <c r="DI65" s="15" t="s">
        <v>17982</v>
      </c>
    </row>
    <row r="66" spans="1:113" s="15" customFormat="1" ht="12.75" x14ac:dyDescent="0.2">
      <c r="A66" s="15" t="s">
        <v>109</v>
      </c>
      <c r="B66" s="15" t="s">
        <v>110</v>
      </c>
      <c r="D66" s="15" t="s">
        <v>620</v>
      </c>
      <c r="E66" s="15" t="s">
        <v>112</v>
      </c>
      <c r="F66" s="15" t="s">
        <v>620</v>
      </c>
      <c r="G66" s="15" t="s">
        <v>113</v>
      </c>
      <c r="H66" s="15" t="s">
        <v>1045</v>
      </c>
      <c r="J66" s="16" t="s">
        <v>114</v>
      </c>
      <c r="U66" s="15" t="s">
        <v>17977</v>
      </c>
      <c r="W66" s="15">
        <v>1689</v>
      </c>
      <c r="X66" s="15">
        <v>76</v>
      </c>
      <c r="Y66" s="15" t="s">
        <v>160</v>
      </c>
      <c r="Z66" s="15" t="s">
        <v>161</v>
      </c>
      <c r="AA66" s="15" t="s">
        <v>162</v>
      </c>
      <c r="AB66" s="15" t="s">
        <v>8832</v>
      </c>
      <c r="AC66" s="15" t="s">
        <v>8832</v>
      </c>
      <c r="AD66" s="15" t="s">
        <v>8832</v>
      </c>
      <c r="AE66" s="15" t="s">
        <v>164</v>
      </c>
      <c r="AF66" s="15" t="s">
        <v>8832</v>
      </c>
      <c r="AG66" s="15" t="s">
        <v>8832</v>
      </c>
      <c r="AH66" s="47" t="s">
        <v>8833</v>
      </c>
      <c r="AL66" s="15" t="s">
        <v>8822</v>
      </c>
      <c r="AN66" s="15">
        <v>743</v>
      </c>
      <c r="AO66" s="15" t="s">
        <v>8834</v>
      </c>
      <c r="AQ66" s="15" t="s">
        <v>1193</v>
      </c>
      <c r="AT66" s="15" t="s">
        <v>8835</v>
      </c>
      <c r="AU66" s="15" t="s">
        <v>8836</v>
      </c>
      <c r="AV66" s="15" t="s">
        <v>8836</v>
      </c>
      <c r="AW66" s="15" t="s">
        <v>8837</v>
      </c>
      <c r="AX66" s="15" t="s">
        <v>8838</v>
      </c>
      <c r="AY66" s="15">
        <f t="shared" ref="AY66:AY129" si="1">LEN(SUBSTITUTE(AX66, ", "," "))</f>
        <v>54</v>
      </c>
      <c r="AZ66" s="15" t="s">
        <v>1634</v>
      </c>
      <c r="BA66" s="15" t="s">
        <v>174</v>
      </c>
      <c r="BB66" s="15" t="s">
        <v>8828</v>
      </c>
      <c r="BE66" s="15" t="s">
        <v>251</v>
      </c>
      <c r="BF66" s="15" t="s">
        <v>8839</v>
      </c>
      <c r="BJ66" s="15" t="s">
        <v>8830</v>
      </c>
      <c r="BN66" s="15" t="s">
        <v>179</v>
      </c>
      <c r="BP66" s="15" t="s">
        <v>138</v>
      </c>
      <c r="BS66" s="15" t="s">
        <v>8840</v>
      </c>
      <c r="DH66" s="15" t="s">
        <v>17982</v>
      </c>
      <c r="DI66" s="15" t="s">
        <v>17982</v>
      </c>
    </row>
    <row r="67" spans="1:113" s="15" customFormat="1" ht="12.75" x14ac:dyDescent="0.2">
      <c r="A67" s="15" t="s">
        <v>109</v>
      </c>
      <c r="B67" s="15" t="s">
        <v>110</v>
      </c>
      <c r="D67" s="15" t="s">
        <v>620</v>
      </c>
      <c r="E67" s="15" t="s">
        <v>112</v>
      </c>
      <c r="F67" s="15" t="s">
        <v>620</v>
      </c>
      <c r="G67" s="15" t="s">
        <v>113</v>
      </c>
      <c r="H67" s="15" t="s">
        <v>1045</v>
      </c>
      <c r="J67" s="16" t="s">
        <v>114</v>
      </c>
      <c r="U67" s="15" t="s">
        <v>17977</v>
      </c>
      <c r="W67" s="15">
        <v>3617</v>
      </c>
      <c r="X67" s="15">
        <v>77</v>
      </c>
      <c r="Y67" s="15" t="s">
        <v>160</v>
      </c>
      <c r="Z67" s="15" t="s">
        <v>161</v>
      </c>
      <c r="AA67" s="15" t="s">
        <v>162</v>
      </c>
      <c r="AB67" s="15" t="s">
        <v>17446</v>
      </c>
      <c r="AC67" s="15" t="s">
        <v>17446</v>
      </c>
      <c r="AD67" s="15" t="s">
        <v>17446</v>
      </c>
      <c r="AE67" s="15" t="s">
        <v>164</v>
      </c>
      <c r="AF67" s="15" t="s">
        <v>17446</v>
      </c>
      <c r="AG67" s="15" t="s">
        <v>17446</v>
      </c>
      <c r="AH67" s="15" t="s">
        <v>17447</v>
      </c>
      <c r="AL67" s="15" t="s">
        <v>17448</v>
      </c>
      <c r="AN67" s="15">
        <v>743</v>
      </c>
      <c r="AO67" s="15" t="s">
        <v>17449</v>
      </c>
      <c r="AQ67" s="15" t="s">
        <v>5692</v>
      </c>
      <c r="AT67" s="15" t="s">
        <v>17450</v>
      </c>
      <c r="AU67" s="15" t="s">
        <v>17451</v>
      </c>
      <c r="AV67" s="15" t="s">
        <v>17451</v>
      </c>
      <c r="AW67" s="15" t="s">
        <v>17452</v>
      </c>
      <c r="AX67" s="15" t="s">
        <v>17453</v>
      </c>
      <c r="AY67" s="15">
        <f t="shared" si="1"/>
        <v>56</v>
      </c>
      <c r="AZ67" s="15" t="s">
        <v>17454</v>
      </c>
      <c r="BA67" s="15" t="s">
        <v>174</v>
      </c>
      <c r="BB67" s="15" t="s">
        <v>17455</v>
      </c>
      <c r="BC67" s="15" t="s">
        <v>863</v>
      </c>
      <c r="BE67" s="15" t="s">
        <v>251</v>
      </c>
      <c r="BJ67" s="15" t="s">
        <v>17456</v>
      </c>
      <c r="BN67" s="15" t="s">
        <v>179</v>
      </c>
      <c r="BP67" s="15" t="s">
        <v>138</v>
      </c>
      <c r="BS67" s="15" t="s">
        <v>17457</v>
      </c>
      <c r="DH67" s="15" t="s">
        <v>17982</v>
      </c>
      <c r="DI67" s="15" t="s">
        <v>17982</v>
      </c>
    </row>
    <row r="68" spans="1:113" s="15" customFormat="1" ht="12.75" x14ac:dyDescent="0.2">
      <c r="A68" s="15" t="s">
        <v>109</v>
      </c>
      <c r="B68" s="15" t="s">
        <v>110</v>
      </c>
      <c r="D68" s="15" t="s">
        <v>620</v>
      </c>
      <c r="E68" s="15" t="s">
        <v>112</v>
      </c>
      <c r="F68" s="15" t="s">
        <v>620</v>
      </c>
      <c r="G68" s="15" t="s">
        <v>113</v>
      </c>
      <c r="H68" s="15" t="s">
        <v>1045</v>
      </c>
      <c r="J68" s="16" t="s">
        <v>114</v>
      </c>
      <c r="U68" s="15" t="s">
        <v>17977</v>
      </c>
      <c r="W68" s="15">
        <v>3621</v>
      </c>
      <c r="X68" s="15">
        <v>78</v>
      </c>
      <c r="Y68" s="15" t="s">
        <v>160</v>
      </c>
      <c r="Z68" s="15" t="s">
        <v>161</v>
      </c>
      <c r="AA68" s="15" t="s">
        <v>162</v>
      </c>
      <c r="AB68" s="15" t="s">
        <v>17486</v>
      </c>
      <c r="AC68" s="15" t="s">
        <v>17486</v>
      </c>
      <c r="AD68" s="15" t="s">
        <v>17486</v>
      </c>
      <c r="AE68" s="15" t="s">
        <v>164</v>
      </c>
      <c r="AF68" s="15" t="s">
        <v>17486</v>
      </c>
      <c r="AG68" s="15" t="s">
        <v>17486</v>
      </c>
      <c r="AH68" s="15" t="s">
        <v>17487</v>
      </c>
      <c r="AL68" s="15" t="s">
        <v>17488</v>
      </c>
      <c r="AN68" s="15">
        <v>743</v>
      </c>
      <c r="AO68" s="15" t="s">
        <v>17489</v>
      </c>
      <c r="AQ68" s="15" t="s">
        <v>829</v>
      </c>
      <c r="AT68" s="15" t="s">
        <v>17490</v>
      </c>
      <c r="AU68" s="15" t="s">
        <v>17491</v>
      </c>
      <c r="AV68" s="15" t="s">
        <v>17491</v>
      </c>
      <c r="AW68" s="15" t="s">
        <v>17492</v>
      </c>
      <c r="AX68" s="15" t="s">
        <v>17493</v>
      </c>
      <c r="AY68" s="15">
        <f t="shared" si="1"/>
        <v>60</v>
      </c>
      <c r="AZ68" s="15" t="s">
        <v>834</v>
      </c>
      <c r="BA68" s="15" t="s">
        <v>174</v>
      </c>
      <c r="BB68" s="15" t="s">
        <v>17423</v>
      </c>
      <c r="BC68" s="15" t="s">
        <v>884</v>
      </c>
      <c r="BE68" s="15" t="s">
        <v>251</v>
      </c>
      <c r="BF68" s="15" t="s">
        <v>217</v>
      </c>
      <c r="BJ68" s="15" t="s">
        <v>17494</v>
      </c>
      <c r="BN68" s="15" t="s">
        <v>179</v>
      </c>
      <c r="BP68" s="15" t="s">
        <v>138</v>
      </c>
      <c r="BS68" s="15" t="s">
        <v>17495</v>
      </c>
      <c r="DH68" s="15" t="s">
        <v>17982</v>
      </c>
      <c r="DI68" s="15" t="s">
        <v>17982</v>
      </c>
    </row>
    <row r="69" spans="1:113" s="15" customFormat="1" ht="12.75" x14ac:dyDescent="0.2">
      <c r="A69" s="15" t="s">
        <v>109</v>
      </c>
      <c r="B69" s="15" t="s">
        <v>110</v>
      </c>
      <c r="D69" s="15" t="s">
        <v>620</v>
      </c>
      <c r="E69" s="15" t="s">
        <v>112</v>
      </c>
      <c r="F69" s="15" t="s">
        <v>620</v>
      </c>
      <c r="G69" s="15" t="s">
        <v>113</v>
      </c>
      <c r="H69" s="15" t="s">
        <v>1045</v>
      </c>
      <c r="J69" s="16" t="s">
        <v>114</v>
      </c>
      <c r="U69" s="15" t="s">
        <v>17977</v>
      </c>
      <c r="W69" s="15">
        <v>3624</v>
      </c>
      <c r="X69" s="15">
        <v>79</v>
      </c>
      <c r="Y69" s="15" t="s">
        <v>160</v>
      </c>
      <c r="Z69" s="15" t="s">
        <v>161</v>
      </c>
      <c r="AA69" s="15" t="s">
        <v>162</v>
      </c>
      <c r="AB69" s="15" t="s">
        <v>17513</v>
      </c>
      <c r="AC69" s="15" t="s">
        <v>17513</v>
      </c>
      <c r="AD69" s="15" t="s">
        <v>17513</v>
      </c>
      <c r="AE69" s="15" t="s">
        <v>164</v>
      </c>
      <c r="AF69" s="15" t="s">
        <v>17513</v>
      </c>
      <c r="AG69" s="15" t="s">
        <v>17513</v>
      </c>
      <c r="AH69" s="15" t="s">
        <v>17514</v>
      </c>
      <c r="AL69" s="15" t="s">
        <v>17515</v>
      </c>
      <c r="AN69" s="15">
        <v>743</v>
      </c>
      <c r="AO69" s="15" t="s">
        <v>17516</v>
      </c>
      <c r="AQ69" s="15" t="s">
        <v>829</v>
      </c>
      <c r="AT69" s="15" t="s">
        <v>17517</v>
      </c>
      <c r="AU69" s="15" t="s">
        <v>17518</v>
      </c>
      <c r="AV69" s="15" t="s">
        <v>17518</v>
      </c>
      <c r="AW69" s="15" t="s">
        <v>17519</v>
      </c>
      <c r="AX69" s="15" t="s">
        <v>17520</v>
      </c>
      <c r="AY69" s="15">
        <f t="shared" si="1"/>
        <v>59</v>
      </c>
      <c r="AZ69" s="15" t="s">
        <v>834</v>
      </c>
      <c r="BA69" s="15" t="s">
        <v>174</v>
      </c>
      <c r="BB69" s="15" t="s">
        <v>17423</v>
      </c>
      <c r="BC69" s="15" t="s">
        <v>801</v>
      </c>
      <c r="BE69" s="15" t="s">
        <v>1081</v>
      </c>
      <c r="BF69" s="15" t="s">
        <v>217</v>
      </c>
      <c r="BJ69" s="15" t="s">
        <v>17521</v>
      </c>
      <c r="BN69" s="15" t="s">
        <v>179</v>
      </c>
      <c r="BP69" s="15" t="s">
        <v>138</v>
      </c>
      <c r="BS69" s="15" t="s">
        <v>17522</v>
      </c>
      <c r="DH69" s="15" t="s">
        <v>17982</v>
      </c>
      <c r="DI69" s="15" t="s">
        <v>17982</v>
      </c>
    </row>
    <row r="70" spans="1:113" s="15" customFormat="1" ht="12.75" x14ac:dyDescent="0.2">
      <c r="A70" s="15" t="s">
        <v>109</v>
      </c>
      <c r="B70" s="15" t="s">
        <v>110</v>
      </c>
      <c r="D70" s="15" t="s">
        <v>620</v>
      </c>
      <c r="E70" s="15" t="s">
        <v>112</v>
      </c>
      <c r="F70" s="15" t="s">
        <v>620</v>
      </c>
      <c r="G70" s="15" t="s">
        <v>113</v>
      </c>
      <c r="H70" s="15" t="s">
        <v>1045</v>
      </c>
      <c r="J70" s="16" t="s">
        <v>114</v>
      </c>
      <c r="U70" s="15" t="s">
        <v>17977</v>
      </c>
      <c r="W70" s="15">
        <v>3614</v>
      </c>
      <c r="X70" s="15">
        <v>80</v>
      </c>
      <c r="Y70" s="15" t="s">
        <v>160</v>
      </c>
      <c r="Z70" s="15" t="s">
        <v>161</v>
      </c>
      <c r="AA70" s="15" t="s">
        <v>162</v>
      </c>
      <c r="AB70" s="15" t="s">
        <v>17416</v>
      </c>
      <c r="AC70" s="15" t="s">
        <v>17416</v>
      </c>
      <c r="AD70" s="15" t="s">
        <v>17416</v>
      </c>
      <c r="AE70" s="15" t="s">
        <v>164</v>
      </c>
      <c r="AF70" s="15" t="s">
        <v>17416</v>
      </c>
      <c r="AG70" s="15" t="s">
        <v>17416</v>
      </c>
      <c r="AH70" s="15" t="s">
        <v>17417</v>
      </c>
      <c r="AL70" s="15" t="s">
        <v>17418</v>
      </c>
      <c r="AN70" s="15">
        <v>743</v>
      </c>
      <c r="AO70" s="15" t="s">
        <v>17419</v>
      </c>
      <c r="AQ70" s="15" t="s">
        <v>7524</v>
      </c>
      <c r="AT70" s="15" t="s">
        <v>17420</v>
      </c>
      <c r="AU70" s="15" t="s">
        <v>17421</v>
      </c>
      <c r="AV70" s="15" t="s">
        <v>17421</v>
      </c>
      <c r="AW70" s="15" t="s">
        <v>17422</v>
      </c>
      <c r="AX70" s="15" t="s">
        <v>17422</v>
      </c>
      <c r="AY70" s="15">
        <f t="shared" si="1"/>
        <v>40</v>
      </c>
      <c r="AZ70" s="15" t="s">
        <v>7529</v>
      </c>
      <c r="BA70" s="15" t="s">
        <v>174</v>
      </c>
      <c r="BB70" s="15" t="s">
        <v>17423</v>
      </c>
      <c r="BC70" s="15" t="s">
        <v>10038</v>
      </c>
      <c r="BE70" s="15" t="s">
        <v>1081</v>
      </c>
      <c r="BN70" s="15" t="s">
        <v>179</v>
      </c>
      <c r="BP70" s="15" t="s">
        <v>138</v>
      </c>
      <c r="BS70" s="15" t="s">
        <v>17424</v>
      </c>
      <c r="BT70" s="15" t="s">
        <v>1897</v>
      </c>
      <c r="DH70" s="15" t="s">
        <v>17982</v>
      </c>
      <c r="DI70" s="15" t="s">
        <v>17982</v>
      </c>
    </row>
    <row r="71" spans="1:113" s="15" customFormat="1" ht="12.75" x14ac:dyDescent="0.2">
      <c r="A71" s="15" t="s">
        <v>109</v>
      </c>
      <c r="B71" s="15" t="s">
        <v>110</v>
      </c>
      <c r="D71" s="15" t="s">
        <v>620</v>
      </c>
      <c r="E71" s="15" t="s">
        <v>112</v>
      </c>
      <c r="F71" s="15" t="s">
        <v>620</v>
      </c>
      <c r="G71" s="15" t="s">
        <v>113</v>
      </c>
      <c r="H71" s="15" t="s">
        <v>1045</v>
      </c>
      <c r="J71" s="16" t="s">
        <v>114</v>
      </c>
      <c r="U71" s="15" t="s">
        <v>17977</v>
      </c>
      <c r="W71" s="15">
        <v>3619</v>
      </c>
      <c r="X71" s="15">
        <v>81</v>
      </c>
      <c r="Y71" s="15" t="s">
        <v>160</v>
      </c>
      <c r="Z71" s="15" t="s">
        <v>161</v>
      </c>
      <c r="AA71" s="15" t="s">
        <v>162</v>
      </c>
      <c r="AB71" s="15" t="s">
        <v>17468</v>
      </c>
      <c r="AC71" s="15" t="s">
        <v>17468</v>
      </c>
      <c r="AD71" s="15" t="s">
        <v>17468</v>
      </c>
      <c r="AE71" s="15" t="s">
        <v>164</v>
      </c>
      <c r="AF71" s="15" t="s">
        <v>17468</v>
      </c>
      <c r="AG71" s="15" t="s">
        <v>17468</v>
      </c>
      <c r="AH71" s="15" t="s">
        <v>17469</v>
      </c>
      <c r="AL71" s="15" t="s">
        <v>17470</v>
      </c>
      <c r="AN71" s="15">
        <v>743</v>
      </c>
      <c r="AO71" s="15" t="s">
        <v>17471</v>
      </c>
      <c r="AQ71" s="15" t="s">
        <v>2281</v>
      </c>
      <c r="AT71" s="15" t="s">
        <v>17472</v>
      </c>
      <c r="AU71" s="15" t="s">
        <v>17473</v>
      </c>
      <c r="AV71" s="15" t="s">
        <v>17473</v>
      </c>
      <c r="AW71" s="15" t="s">
        <v>17474</v>
      </c>
      <c r="AX71" s="15" t="s">
        <v>17474</v>
      </c>
      <c r="AY71" s="15">
        <f t="shared" si="1"/>
        <v>35</v>
      </c>
      <c r="AZ71" s="15" t="s">
        <v>11050</v>
      </c>
      <c r="BA71" s="15" t="s">
        <v>8764</v>
      </c>
      <c r="BB71" s="15" t="s">
        <v>17423</v>
      </c>
      <c r="BE71" s="15" t="s">
        <v>17475</v>
      </c>
      <c r="BN71" s="15" t="s">
        <v>179</v>
      </c>
      <c r="BP71" s="15" t="s">
        <v>138</v>
      </c>
      <c r="BS71" s="15" t="s">
        <v>17476</v>
      </c>
      <c r="BT71" s="15" t="s">
        <v>1897</v>
      </c>
      <c r="DH71" s="15" t="s">
        <v>17982</v>
      </c>
      <c r="DI71" s="15" t="s">
        <v>17982</v>
      </c>
    </row>
    <row r="72" spans="1:113" s="15" customFormat="1" ht="12.75" x14ac:dyDescent="0.2">
      <c r="A72" s="15" t="s">
        <v>109</v>
      </c>
      <c r="B72" s="15" t="s">
        <v>110</v>
      </c>
      <c r="D72" s="15" t="s">
        <v>620</v>
      </c>
      <c r="E72" s="15" t="s">
        <v>112</v>
      </c>
      <c r="F72" s="15" t="s">
        <v>620</v>
      </c>
      <c r="G72" s="15" t="s">
        <v>113</v>
      </c>
      <c r="H72" s="15" t="s">
        <v>1045</v>
      </c>
      <c r="J72" s="16" t="s">
        <v>114</v>
      </c>
      <c r="U72" s="15" t="s">
        <v>17977</v>
      </c>
      <c r="W72" s="15">
        <v>3620</v>
      </c>
      <c r="X72" s="15">
        <v>82</v>
      </c>
      <c r="Y72" s="15" t="s">
        <v>160</v>
      </c>
      <c r="Z72" s="15" t="s">
        <v>161</v>
      </c>
      <c r="AA72" s="15" t="s">
        <v>162</v>
      </c>
      <c r="AB72" s="15" t="s">
        <v>17477</v>
      </c>
      <c r="AC72" s="15" t="s">
        <v>17477</v>
      </c>
      <c r="AD72" s="15" t="s">
        <v>17477</v>
      </c>
      <c r="AE72" s="15" t="s">
        <v>164</v>
      </c>
      <c r="AF72" s="15" t="s">
        <v>17477</v>
      </c>
      <c r="AG72" s="15" t="s">
        <v>17477</v>
      </c>
      <c r="AH72" s="15" t="s">
        <v>17478</v>
      </c>
      <c r="AL72" s="15" t="s">
        <v>17479</v>
      </c>
      <c r="AN72" s="15">
        <v>743</v>
      </c>
      <c r="AO72" s="15" t="s">
        <v>17480</v>
      </c>
      <c r="AQ72" s="15" t="s">
        <v>2281</v>
      </c>
      <c r="AT72" s="15" t="s">
        <v>17481</v>
      </c>
      <c r="AU72" s="15" t="s">
        <v>17482</v>
      </c>
      <c r="AV72" s="15" t="s">
        <v>17482</v>
      </c>
      <c r="AW72" s="15" t="s">
        <v>17483</v>
      </c>
      <c r="AX72" s="15" t="s">
        <v>17483</v>
      </c>
      <c r="AY72" s="15">
        <f t="shared" si="1"/>
        <v>35</v>
      </c>
      <c r="AZ72" s="15" t="s">
        <v>11050</v>
      </c>
      <c r="BA72" s="15" t="s">
        <v>8764</v>
      </c>
      <c r="BB72" s="15" t="s">
        <v>17423</v>
      </c>
      <c r="BE72" s="15" t="s">
        <v>17484</v>
      </c>
      <c r="BN72" s="15" t="s">
        <v>179</v>
      </c>
      <c r="BP72" s="15" t="s">
        <v>138</v>
      </c>
      <c r="BS72" s="15" t="s">
        <v>17485</v>
      </c>
      <c r="BT72" s="15" t="s">
        <v>1897</v>
      </c>
      <c r="DH72" s="15" t="s">
        <v>17982</v>
      </c>
      <c r="DI72" s="15" t="s">
        <v>17982</v>
      </c>
    </row>
    <row r="73" spans="1:113" s="15" customFormat="1" ht="12.75" x14ac:dyDescent="0.2">
      <c r="A73" s="15" t="s">
        <v>109</v>
      </c>
      <c r="B73" s="15" t="s">
        <v>110</v>
      </c>
      <c r="D73" s="15" t="s">
        <v>620</v>
      </c>
      <c r="E73" s="15" t="s">
        <v>112</v>
      </c>
      <c r="F73" s="15" t="s">
        <v>620</v>
      </c>
      <c r="G73" s="15" t="s">
        <v>113</v>
      </c>
      <c r="H73" s="15" t="s">
        <v>1045</v>
      </c>
      <c r="J73" s="16" t="s">
        <v>114</v>
      </c>
      <c r="U73" s="15" t="s">
        <v>17977</v>
      </c>
      <c r="W73" s="15">
        <v>3622</v>
      </c>
      <c r="X73" s="15">
        <v>83</v>
      </c>
      <c r="Y73" s="15" t="s">
        <v>160</v>
      </c>
      <c r="Z73" s="15" t="s">
        <v>161</v>
      </c>
      <c r="AA73" s="15" t="s">
        <v>162</v>
      </c>
      <c r="AB73" s="15" t="s">
        <v>17496</v>
      </c>
      <c r="AC73" s="15" t="s">
        <v>17496</v>
      </c>
      <c r="AD73" s="15" t="s">
        <v>17496</v>
      </c>
      <c r="AE73" s="15" t="s">
        <v>164</v>
      </c>
      <c r="AF73" s="15" t="s">
        <v>17496</v>
      </c>
      <c r="AG73" s="15" t="s">
        <v>17496</v>
      </c>
      <c r="AH73" s="15" t="s">
        <v>17497</v>
      </c>
      <c r="AL73" s="15" t="s">
        <v>17498</v>
      </c>
      <c r="AN73" s="15">
        <v>743</v>
      </c>
      <c r="AO73" s="15" t="s">
        <v>17499</v>
      </c>
      <c r="AQ73" s="15" t="s">
        <v>2747</v>
      </c>
      <c r="AT73" s="15" t="s">
        <v>17500</v>
      </c>
      <c r="AU73" s="15" t="s">
        <v>17501</v>
      </c>
      <c r="AV73" s="15" t="s">
        <v>17501</v>
      </c>
      <c r="AW73" s="15" t="s">
        <v>17502</v>
      </c>
      <c r="AX73" s="15" t="s">
        <v>17502</v>
      </c>
      <c r="AY73" s="15">
        <f t="shared" si="1"/>
        <v>39</v>
      </c>
      <c r="AZ73" s="15" t="s">
        <v>2752</v>
      </c>
      <c r="BA73" s="15" t="s">
        <v>2753</v>
      </c>
      <c r="BB73" s="15" t="s">
        <v>17423</v>
      </c>
      <c r="BC73" s="15" t="s">
        <v>2806</v>
      </c>
      <c r="BE73" s="15" t="s">
        <v>12552</v>
      </c>
      <c r="BN73" s="15" t="s">
        <v>179</v>
      </c>
      <c r="BP73" s="15" t="s">
        <v>138</v>
      </c>
      <c r="BS73" s="15" t="s">
        <v>17503</v>
      </c>
      <c r="DH73" s="15" t="s">
        <v>17982</v>
      </c>
      <c r="DI73" s="15" t="s">
        <v>17982</v>
      </c>
    </row>
    <row r="74" spans="1:113" s="15" customFormat="1" ht="12.75" x14ac:dyDescent="0.2">
      <c r="A74" s="15" t="s">
        <v>109</v>
      </c>
      <c r="B74" s="15" t="s">
        <v>110</v>
      </c>
      <c r="D74" s="15" t="s">
        <v>620</v>
      </c>
      <c r="E74" s="15" t="s">
        <v>112</v>
      </c>
      <c r="F74" s="15" t="s">
        <v>620</v>
      </c>
      <c r="G74" s="15" t="s">
        <v>113</v>
      </c>
      <c r="H74" s="15" t="s">
        <v>1045</v>
      </c>
      <c r="J74" s="16" t="s">
        <v>114</v>
      </c>
      <c r="U74" s="15" t="s">
        <v>17977</v>
      </c>
      <c r="W74" s="15">
        <v>3623</v>
      </c>
      <c r="X74" s="15">
        <v>84</v>
      </c>
      <c r="Y74" s="15" t="s">
        <v>160</v>
      </c>
      <c r="Z74" s="15" t="s">
        <v>161</v>
      </c>
      <c r="AA74" s="15" t="s">
        <v>162</v>
      </c>
      <c r="AB74" s="15" t="s">
        <v>17504</v>
      </c>
      <c r="AC74" s="15" t="s">
        <v>17504</v>
      </c>
      <c r="AD74" s="15" t="s">
        <v>17504</v>
      </c>
      <c r="AE74" s="15" t="s">
        <v>164</v>
      </c>
      <c r="AF74" s="15" t="s">
        <v>17504</v>
      </c>
      <c r="AG74" s="15" t="s">
        <v>17504</v>
      </c>
      <c r="AH74" s="15" t="s">
        <v>17505</v>
      </c>
      <c r="AL74" s="15" t="s">
        <v>17506</v>
      </c>
      <c r="AN74" s="15">
        <v>743</v>
      </c>
      <c r="AO74" s="15" t="s">
        <v>17507</v>
      </c>
      <c r="AQ74" s="15" t="s">
        <v>2747</v>
      </c>
      <c r="AT74" s="15" t="s">
        <v>17508</v>
      </c>
      <c r="AU74" s="15" t="s">
        <v>17509</v>
      </c>
      <c r="AV74" s="15" t="s">
        <v>17509</v>
      </c>
      <c r="AW74" s="15" t="s">
        <v>17510</v>
      </c>
      <c r="AX74" s="15" t="s">
        <v>17510</v>
      </c>
      <c r="AY74" s="15">
        <f t="shared" si="1"/>
        <v>39</v>
      </c>
      <c r="AZ74" s="15" t="s">
        <v>2752</v>
      </c>
      <c r="BA74" s="15" t="s">
        <v>2753</v>
      </c>
      <c r="BB74" s="15" t="s">
        <v>17423</v>
      </c>
      <c r="BC74" s="15" t="s">
        <v>2806</v>
      </c>
      <c r="BE74" s="15" t="s">
        <v>17511</v>
      </c>
      <c r="BN74" s="15" t="s">
        <v>179</v>
      </c>
      <c r="BP74" s="15" t="s">
        <v>138</v>
      </c>
      <c r="BS74" s="15" t="s">
        <v>17512</v>
      </c>
      <c r="DH74" s="15" t="s">
        <v>17982</v>
      </c>
      <c r="DI74" s="15" t="s">
        <v>17982</v>
      </c>
    </row>
    <row r="75" spans="1:113" s="15" customFormat="1" ht="12.75" x14ac:dyDescent="0.2">
      <c r="A75" s="15" t="s">
        <v>109</v>
      </c>
      <c r="B75" s="15" t="s">
        <v>110</v>
      </c>
      <c r="D75" s="15" t="s">
        <v>620</v>
      </c>
      <c r="E75" s="15" t="s">
        <v>112</v>
      </c>
      <c r="F75" s="15" t="s">
        <v>620</v>
      </c>
      <c r="G75" s="15" t="s">
        <v>113</v>
      </c>
      <c r="H75" s="15" t="s">
        <v>1045</v>
      </c>
      <c r="J75" s="16" t="s">
        <v>114</v>
      </c>
      <c r="U75" s="15" t="s">
        <v>17977</v>
      </c>
      <c r="W75" s="15">
        <v>448</v>
      </c>
      <c r="X75" s="15">
        <v>85</v>
      </c>
      <c r="Y75" s="15" t="s">
        <v>160</v>
      </c>
      <c r="Z75" s="15" t="s">
        <v>161</v>
      </c>
      <c r="AA75" s="15" t="s">
        <v>162</v>
      </c>
      <c r="AB75" s="15" t="s">
        <v>1745</v>
      </c>
      <c r="AC75" s="15" t="s">
        <v>1745</v>
      </c>
      <c r="AD75" s="15" t="s">
        <v>1745</v>
      </c>
      <c r="AE75" s="15" t="s">
        <v>164</v>
      </c>
      <c r="AF75" s="15" t="s">
        <v>1745</v>
      </c>
      <c r="AG75" s="15" t="s">
        <v>1745</v>
      </c>
      <c r="AH75" s="15" t="s">
        <v>1746</v>
      </c>
      <c r="AL75" s="15" t="s">
        <v>1747</v>
      </c>
      <c r="AN75" s="15">
        <v>743</v>
      </c>
      <c r="AO75" s="15" t="s">
        <v>1748</v>
      </c>
      <c r="AQ75" s="15" t="s">
        <v>168</v>
      </c>
      <c r="AT75" s="15" t="s">
        <v>1749</v>
      </c>
      <c r="AU75" s="15" t="s">
        <v>1750</v>
      </c>
      <c r="AV75" s="15" t="s">
        <v>1750</v>
      </c>
      <c r="AW75" s="15" t="s">
        <v>1751</v>
      </c>
      <c r="AX75" s="15" t="s">
        <v>1752</v>
      </c>
      <c r="AY75" s="15">
        <f t="shared" si="1"/>
        <v>55</v>
      </c>
      <c r="AZ75" s="15" t="s">
        <v>173</v>
      </c>
      <c r="BA75" s="15" t="s">
        <v>174</v>
      </c>
      <c r="BB75" s="15" t="s">
        <v>1753</v>
      </c>
      <c r="BE75" s="15" t="s">
        <v>1754</v>
      </c>
      <c r="BF75" s="15" t="s">
        <v>1755</v>
      </c>
      <c r="BJ75" s="15" t="s">
        <v>1756</v>
      </c>
      <c r="BK75" s="15" t="s">
        <v>487</v>
      </c>
      <c r="BN75" s="15" t="s">
        <v>179</v>
      </c>
      <c r="BP75" s="15" t="s">
        <v>138</v>
      </c>
      <c r="BS75" s="15" t="s">
        <v>1757</v>
      </c>
      <c r="DH75" s="15" t="s">
        <v>17982</v>
      </c>
      <c r="DI75" s="15" t="s">
        <v>17982</v>
      </c>
    </row>
    <row r="76" spans="1:113" s="15" customFormat="1" ht="12.75" x14ac:dyDescent="0.2">
      <c r="A76" s="15" t="s">
        <v>109</v>
      </c>
      <c r="B76" s="15" t="s">
        <v>110</v>
      </c>
      <c r="D76" s="15" t="s">
        <v>620</v>
      </c>
      <c r="E76" s="15" t="s">
        <v>112</v>
      </c>
      <c r="F76" s="15" t="s">
        <v>620</v>
      </c>
      <c r="G76" s="15" t="s">
        <v>113</v>
      </c>
      <c r="H76" s="15" t="s">
        <v>1045</v>
      </c>
      <c r="J76" s="16" t="s">
        <v>114</v>
      </c>
      <c r="U76" s="15" t="s">
        <v>17977</v>
      </c>
      <c r="W76" s="15">
        <v>2187</v>
      </c>
      <c r="X76" s="15">
        <v>86</v>
      </c>
      <c r="Y76" s="15" t="s">
        <v>160</v>
      </c>
      <c r="Z76" s="15" t="s">
        <v>161</v>
      </c>
      <c r="AA76" s="15" t="s">
        <v>162</v>
      </c>
      <c r="AB76" s="15" t="s">
        <v>11042</v>
      </c>
      <c r="AC76" s="15" t="s">
        <v>11042</v>
      </c>
      <c r="AD76" s="15" t="s">
        <v>11042</v>
      </c>
      <c r="AE76" s="15" t="s">
        <v>164</v>
      </c>
      <c r="AF76" s="15" t="s">
        <v>11042</v>
      </c>
      <c r="AG76" s="15" t="s">
        <v>11042</v>
      </c>
      <c r="AH76" s="15" t="s">
        <v>11043</v>
      </c>
      <c r="AL76" s="15" t="s">
        <v>11044</v>
      </c>
      <c r="AN76" s="15">
        <v>743</v>
      </c>
      <c r="AO76" s="15" t="s">
        <v>11045</v>
      </c>
      <c r="AQ76" s="15" t="s">
        <v>2281</v>
      </c>
      <c r="AT76" s="15" t="s">
        <v>11046</v>
      </c>
      <c r="AU76" s="15" t="s">
        <v>11047</v>
      </c>
      <c r="AV76" s="15" t="s">
        <v>11047</v>
      </c>
      <c r="AW76" s="15" t="s">
        <v>11048</v>
      </c>
      <c r="AX76" s="15" t="s">
        <v>11049</v>
      </c>
      <c r="AY76" s="15">
        <f t="shared" si="1"/>
        <v>55</v>
      </c>
      <c r="AZ76" s="15" t="s">
        <v>11050</v>
      </c>
      <c r="BA76" s="15" t="s">
        <v>8764</v>
      </c>
      <c r="BB76" s="15" t="s">
        <v>11037</v>
      </c>
      <c r="BE76" s="15" t="s">
        <v>1915</v>
      </c>
      <c r="BJ76" s="15" t="s">
        <v>11051</v>
      </c>
      <c r="BN76" s="15" t="s">
        <v>179</v>
      </c>
      <c r="BP76" s="15" t="s">
        <v>138</v>
      </c>
      <c r="BS76" s="15" t="s">
        <v>11052</v>
      </c>
      <c r="DH76" s="15" t="s">
        <v>17982</v>
      </c>
      <c r="DI76" s="15" t="s">
        <v>17982</v>
      </c>
    </row>
    <row r="77" spans="1:113" s="15" customFormat="1" ht="12.75" x14ac:dyDescent="0.2">
      <c r="A77" s="15" t="s">
        <v>109</v>
      </c>
      <c r="B77" s="15" t="s">
        <v>110</v>
      </c>
      <c r="D77" s="15" t="s">
        <v>620</v>
      </c>
      <c r="E77" s="15" t="s">
        <v>112</v>
      </c>
      <c r="F77" s="15" t="s">
        <v>620</v>
      </c>
      <c r="G77" s="15" t="s">
        <v>113</v>
      </c>
      <c r="H77" s="15" t="s">
        <v>1045</v>
      </c>
      <c r="J77" s="16" t="s">
        <v>114</v>
      </c>
      <c r="U77" s="15" t="s">
        <v>17977</v>
      </c>
      <c r="W77" s="15">
        <v>3647</v>
      </c>
      <c r="X77" s="15">
        <v>87</v>
      </c>
      <c r="Y77" s="15" t="s">
        <v>160</v>
      </c>
      <c r="Z77" s="15" t="s">
        <v>161</v>
      </c>
      <c r="AA77" s="15" t="s">
        <v>162</v>
      </c>
      <c r="AB77" s="15" t="s">
        <v>17619</v>
      </c>
      <c r="AC77" s="15" t="s">
        <v>17619</v>
      </c>
      <c r="AD77" s="15" t="s">
        <v>17619</v>
      </c>
      <c r="AE77" s="15" t="s">
        <v>164</v>
      </c>
      <c r="AF77" s="15" t="s">
        <v>17619</v>
      </c>
      <c r="AG77" s="15" t="s">
        <v>17619</v>
      </c>
      <c r="AH77" s="15" t="s">
        <v>17620</v>
      </c>
      <c r="AL77" s="15" t="s">
        <v>17621</v>
      </c>
      <c r="AN77" s="15">
        <v>743</v>
      </c>
      <c r="AO77" s="15" t="s">
        <v>17622</v>
      </c>
      <c r="AQ77" s="15" t="s">
        <v>168</v>
      </c>
      <c r="AT77" s="15" t="s">
        <v>17623</v>
      </c>
      <c r="AU77" s="15" t="s">
        <v>17624</v>
      </c>
      <c r="AV77" s="15" t="s">
        <v>17624</v>
      </c>
      <c r="AW77" s="15" t="s">
        <v>17625</v>
      </c>
      <c r="AX77" s="15" t="s">
        <v>17626</v>
      </c>
      <c r="AY77" s="15">
        <f t="shared" si="1"/>
        <v>58</v>
      </c>
      <c r="AZ77" s="15" t="s">
        <v>173</v>
      </c>
      <c r="BA77" s="15" t="s">
        <v>174</v>
      </c>
      <c r="BB77" s="15" t="s">
        <v>17627</v>
      </c>
      <c r="BC77" s="15" t="s">
        <v>17628</v>
      </c>
      <c r="BE77" s="15" t="s">
        <v>2785</v>
      </c>
      <c r="BJ77" s="15" t="s">
        <v>17629</v>
      </c>
      <c r="BN77" s="15" t="s">
        <v>179</v>
      </c>
      <c r="BP77" s="15" t="s">
        <v>138</v>
      </c>
      <c r="BS77" s="15" t="s">
        <v>17630</v>
      </c>
      <c r="DH77" s="15" t="s">
        <v>17982</v>
      </c>
      <c r="DI77" s="15" t="s">
        <v>17982</v>
      </c>
    </row>
    <row r="78" spans="1:113" s="15" customFormat="1" ht="12.75" x14ac:dyDescent="0.2">
      <c r="A78" s="15" t="s">
        <v>109</v>
      </c>
      <c r="B78" s="15" t="s">
        <v>110</v>
      </c>
      <c r="D78" s="15" t="s">
        <v>620</v>
      </c>
      <c r="E78" s="15" t="s">
        <v>112</v>
      </c>
      <c r="F78" s="15" t="s">
        <v>620</v>
      </c>
      <c r="G78" s="15" t="s">
        <v>113</v>
      </c>
      <c r="H78" s="15" t="s">
        <v>1045</v>
      </c>
      <c r="J78" s="16" t="s">
        <v>114</v>
      </c>
      <c r="U78" s="15" t="s">
        <v>17977</v>
      </c>
      <c r="W78" s="15">
        <v>3648</v>
      </c>
      <c r="X78" s="15">
        <v>88</v>
      </c>
      <c r="Y78" s="15" t="s">
        <v>160</v>
      </c>
      <c r="Z78" s="15" t="s">
        <v>161</v>
      </c>
      <c r="AA78" s="15" t="s">
        <v>162</v>
      </c>
      <c r="AB78" s="15" t="s">
        <v>17631</v>
      </c>
      <c r="AC78" s="15" t="s">
        <v>17631</v>
      </c>
      <c r="AD78" s="15" t="s">
        <v>17631</v>
      </c>
      <c r="AE78" s="15" t="s">
        <v>164</v>
      </c>
      <c r="AF78" s="15" t="s">
        <v>17631</v>
      </c>
      <c r="AG78" s="15" t="s">
        <v>17631</v>
      </c>
      <c r="AH78" s="15" t="s">
        <v>17632</v>
      </c>
      <c r="AL78" s="15" t="s">
        <v>17633</v>
      </c>
      <c r="AN78" s="15">
        <v>743</v>
      </c>
      <c r="AO78" s="15" t="s">
        <v>17634</v>
      </c>
      <c r="AQ78" s="15" t="s">
        <v>168</v>
      </c>
      <c r="AT78" s="15" t="s">
        <v>17635</v>
      </c>
      <c r="AU78" s="15" t="s">
        <v>17636</v>
      </c>
      <c r="AV78" s="15" t="s">
        <v>17636</v>
      </c>
      <c r="AW78" s="15" t="s">
        <v>17637</v>
      </c>
      <c r="AX78" s="15" t="s">
        <v>17638</v>
      </c>
      <c r="AY78" s="15">
        <f t="shared" si="1"/>
        <v>58</v>
      </c>
      <c r="AZ78" s="15" t="s">
        <v>173</v>
      </c>
      <c r="BA78" s="15" t="s">
        <v>174</v>
      </c>
      <c r="BB78" s="15" t="s">
        <v>17627</v>
      </c>
      <c r="BC78" s="15" t="s">
        <v>884</v>
      </c>
      <c r="BE78" s="15" t="s">
        <v>2785</v>
      </c>
      <c r="BJ78" s="15" t="s">
        <v>17629</v>
      </c>
      <c r="BN78" s="15" t="s">
        <v>179</v>
      </c>
      <c r="BP78" s="15" t="s">
        <v>138</v>
      </c>
      <c r="BS78" s="15" t="s">
        <v>17639</v>
      </c>
      <c r="DH78" s="15" t="s">
        <v>17982</v>
      </c>
      <c r="DI78" s="15" t="s">
        <v>17982</v>
      </c>
    </row>
    <row r="79" spans="1:113" s="15" customFormat="1" ht="12.75" x14ac:dyDescent="0.2">
      <c r="A79" s="15" t="s">
        <v>109</v>
      </c>
      <c r="B79" s="15" t="s">
        <v>110</v>
      </c>
      <c r="D79" s="15" t="s">
        <v>620</v>
      </c>
      <c r="E79" s="15" t="s">
        <v>112</v>
      </c>
      <c r="F79" s="15" t="s">
        <v>620</v>
      </c>
      <c r="G79" s="15" t="s">
        <v>113</v>
      </c>
      <c r="H79" s="15" t="s">
        <v>1045</v>
      </c>
      <c r="J79" s="16" t="s">
        <v>114</v>
      </c>
      <c r="U79" s="15" t="s">
        <v>17977</v>
      </c>
      <c r="W79" s="15">
        <v>2185</v>
      </c>
      <c r="X79" s="15">
        <v>89</v>
      </c>
      <c r="Y79" s="15" t="s">
        <v>160</v>
      </c>
      <c r="Z79" s="15" t="s">
        <v>161</v>
      </c>
      <c r="AA79" s="15" t="s">
        <v>162</v>
      </c>
      <c r="AB79" s="15" t="s">
        <v>11019</v>
      </c>
      <c r="AC79" s="15" t="s">
        <v>11019</v>
      </c>
      <c r="AD79" s="15" t="s">
        <v>11019</v>
      </c>
      <c r="AE79" s="15" t="s">
        <v>164</v>
      </c>
      <c r="AF79" s="15" t="s">
        <v>11019</v>
      </c>
      <c r="AG79" s="15" t="s">
        <v>11019</v>
      </c>
      <c r="AH79" s="15" t="s">
        <v>11020</v>
      </c>
      <c r="AL79" s="15" t="s">
        <v>11021</v>
      </c>
      <c r="AN79" s="15">
        <v>743</v>
      </c>
      <c r="AO79" s="15" t="s">
        <v>11022</v>
      </c>
      <c r="AQ79" s="15" t="s">
        <v>829</v>
      </c>
      <c r="AT79" s="15" t="s">
        <v>11023</v>
      </c>
      <c r="AU79" s="15" t="s">
        <v>11024</v>
      </c>
      <c r="AV79" s="15" t="s">
        <v>11024</v>
      </c>
      <c r="AW79" s="15" t="s">
        <v>11025</v>
      </c>
      <c r="AX79" s="15" t="s">
        <v>11026</v>
      </c>
      <c r="AY79" s="15">
        <f t="shared" si="1"/>
        <v>58</v>
      </c>
      <c r="AZ79" s="15" t="s">
        <v>834</v>
      </c>
      <c r="BA79" s="15" t="s">
        <v>174</v>
      </c>
      <c r="BB79" s="15" t="s">
        <v>11015</v>
      </c>
      <c r="BC79" s="15" t="s">
        <v>801</v>
      </c>
      <c r="BE79" s="15" t="s">
        <v>11027</v>
      </c>
      <c r="BJ79" s="15" t="s">
        <v>11017</v>
      </c>
      <c r="BN79" s="15" t="s">
        <v>179</v>
      </c>
      <c r="BP79" s="15" t="s">
        <v>138</v>
      </c>
      <c r="BS79" s="15" t="s">
        <v>11028</v>
      </c>
      <c r="DH79" s="15" t="s">
        <v>17982</v>
      </c>
      <c r="DI79" s="15" t="s">
        <v>17982</v>
      </c>
    </row>
    <row r="80" spans="1:113" s="15" customFormat="1" ht="12.75" x14ac:dyDescent="0.2">
      <c r="A80" s="15" t="s">
        <v>109</v>
      </c>
      <c r="B80" s="15" t="s">
        <v>110</v>
      </c>
      <c r="D80" s="15" t="s">
        <v>620</v>
      </c>
      <c r="E80" s="15" t="s">
        <v>112</v>
      </c>
      <c r="F80" s="15" t="s">
        <v>620</v>
      </c>
      <c r="G80" s="15" t="s">
        <v>113</v>
      </c>
      <c r="H80" s="15" t="s">
        <v>1045</v>
      </c>
      <c r="J80" s="16" t="s">
        <v>114</v>
      </c>
      <c r="U80" s="15" t="s">
        <v>17977</v>
      </c>
      <c r="W80" s="15">
        <v>2184</v>
      </c>
      <c r="X80" s="15">
        <v>90</v>
      </c>
      <c r="Y80" s="15" t="s">
        <v>160</v>
      </c>
      <c r="Z80" s="15" t="s">
        <v>161</v>
      </c>
      <c r="AA80" s="15" t="s">
        <v>162</v>
      </c>
      <c r="AB80" s="15" t="s">
        <v>11007</v>
      </c>
      <c r="AC80" s="15" t="s">
        <v>11007</v>
      </c>
      <c r="AD80" s="15" t="s">
        <v>11007</v>
      </c>
      <c r="AE80" s="15" t="s">
        <v>164</v>
      </c>
      <c r="AF80" s="15" t="s">
        <v>11007</v>
      </c>
      <c r="AG80" s="15" t="s">
        <v>11007</v>
      </c>
      <c r="AH80" s="15" t="s">
        <v>11008</v>
      </c>
      <c r="AL80" s="15" t="s">
        <v>11009</v>
      </c>
      <c r="AN80" s="15">
        <v>743</v>
      </c>
      <c r="AO80" s="15" t="s">
        <v>11010</v>
      </c>
      <c r="AQ80" s="15" t="s">
        <v>829</v>
      </c>
      <c r="AT80" s="15" t="s">
        <v>11011</v>
      </c>
      <c r="AU80" s="15" t="s">
        <v>11012</v>
      </c>
      <c r="AV80" s="15" t="s">
        <v>11012</v>
      </c>
      <c r="AW80" s="15" t="s">
        <v>11013</v>
      </c>
      <c r="AX80" s="15" t="s">
        <v>11014</v>
      </c>
      <c r="AY80" s="15">
        <f t="shared" si="1"/>
        <v>60</v>
      </c>
      <c r="AZ80" s="15" t="s">
        <v>834</v>
      </c>
      <c r="BA80" s="15" t="s">
        <v>174</v>
      </c>
      <c r="BB80" s="15" t="s">
        <v>11015</v>
      </c>
      <c r="BC80" s="15" t="s">
        <v>801</v>
      </c>
      <c r="BE80" s="15" t="s">
        <v>11016</v>
      </c>
      <c r="BJ80" s="15" t="s">
        <v>11017</v>
      </c>
      <c r="BN80" s="15" t="s">
        <v>179</v>
      </c>
      <c r="BP80" s="15" t="s">
        <v>138</v>
      </c>
      <c r="BS80" s="15" t="s">
        <v>11018</v>
      </c>
      <c r="DH80" s="15" t="s">
        <v>17982</v>
      </c>
      <c r="DI80" s="15" t="s">
        <v>17982</v>
      </c>
    </row>
    <row r="81" spans="1:113" s="15" customFormat="1" ht="12.75" x14ac:dyDescent="0.2">
      <c r="A81" s="15" t="s">
        <v>109</v>
      </c>
      <c r="B81" s="15" t="s">
        <v>110</v>
      </c>
      <c r="D81" s="15" t="s">
        <v>620</v>
      </c>
      <c r="E81" s="15" t="s">
        <v>112</v>
      </c>
      <c r="F81" s="15" t="s">
        <v>620</v>
      </c>
      <c r="G81" s="15" t="s">
        <v>113</v>
      </c>
      <c r="H81" s="15" t="s">
        <v>1045</v>
      </c>
      <c r="J81" s="16" t="s">
        <v>114</v>
      </c>
      <c r="U81" s="15" t="s">
        <v>17977</v>
      </c>
      <c r="W81" s="15">
        <v>2186</v>
      </c>
      <c r="X81" s="15">
        <v>91</v>
      </c>
      <c r="Y81" s="15" t="s">
        <v>160</v>
      </c>
      <c r="Z81" s="15" t="s">
        <v>161</v>
      </c>
      <c r="AA81" s="15" t="s">
        <v>162</v>
      </c>
      <c r="AB81" s="15" t="s">
        <v>11029</v>
      </c>
      <c r="AC81" s="15" t="s">
        <v>11029</v>
      </c>
      <c r="AD81" s="15" t="s">
        <v>11029</v>
      </c>
      <c r="AE81" s="15" t="s">
        <v>164</v>
      </c>
      <c r="AF81" s="15" t="s">
        <v>11029</v>
      </c>
      <c r="AG81" s="15" t="s">
        <v>11029</v>
      </c>
      <c r="AH81" s="15" t="s">
        <v>11030</v>
      </c>
      <c r="AL81" s="15" t="s">
        <v>11031</v>
      </c>
      <c r="AN81" s="15">
        <v>743</v>
      </c>
      <c r="AO81" s="15" t="s">
        <v>11032</v>
      </c>
      <c r="AQ81" s="15" t="s">
        <v>3412</v>
      </c>
      <c r="AT81" s="15" t="s">
        <v>11033</v>
      </c>
      <c r="AU81" s="15" t="s">
        <v>11034</v>
      </c>
      <c r="AV81" s="15" t="s">
        <v>11034</v>
      </c>
      <c r="AW81" s="15" t="s">
        <v>11035</v>
      </c>
      <c r="AX81" s="15" t="s">
        <v>11036</v>
      </c>
      <c r="AY81" s="15">
        <f t="shared" si="1"/>
        <v>57</v>
      </c>
      <c r="AZ81" s="15" t="s">
        <v>1725</v>
      </c>
      <c r="BA81" s="15" t="s">
        <v>174</v>
      </c>
      <c r="BB81" s="15" t="s">
        <v>11037</v>
      </c>
      <c r="BC81" s="15" t="s">
        <v>11038</v>
      </c>
      <c r="BE81" s="15" t="s">
        <v>367</v>
      </c>
      <c r="BF81" s="15" t="s">
        <v>11039</v>
      </c>
      <c r="BJ81" s="15" t="s">
        <v>11040</v>
      </c>
      <c r="BN81" s="15" t="s">
        <v>179</v>
      </c>
      <c r="BP81" s="15" t="s">
        <v>138</v>
      </c>
      <c r="BS81" s="15" t="s">
        <v>11041</v>
      </c>
      <c r="DH81" s="15" t="s">
        <v>17982</v>
      </c>
      <c r="DI81" s="15" t="s">
        <v>17982</v>
      </c>
    </row>
    <row r="82" spans="1:113" s="15" customFormat="1" ht="12.75" x14ac:dyDescent="0.2">
      <c r="A82" s="15" t="s">
        <v>109</v>
      </c>
      <c r="B82" s="15" t="s">
        <v>110</v>
      </c>
      <c r="D82" s="15" t="s">
        <v>620</v>
      </c>
      <c r="E82" s="15" t="s">
        <v>112</v>
      </c>
      <c r="F82" s="15" t="s">
        <v>620</v>
      </c>
      <c r="G82" s="15" t="s">
        <v>113</v>
      </c>
      <c r="H82" s="15" t="s">
        <v>1045</v>
      </c>
      <c r="J82" s="16" t="s">
        <v>114</v>
      </c>
      <c r="U82" s="15" t="s">
        <v>17977</v>
      </c>
      <c r="W82" s="15">
        <v>2189</v>
      </c>
      <c r="X82" s="15">
        <v>92</v>
      </c>
      <c r="Y82" s="15" t="s">
        <v>160</v>
      </c>
      <c r="Z82" s="15" t="s">
        <v>161</v>
      </c>
      <c r="AA82" s="15" t="s">
        <v>162</v>
      </c>
      <c r="AB82" s="15" t="s">
        <v>11065</v>
      </c>
      <c r="AC82" s="15" t="s">
        <v>11065</v>
      </c>
      <c r="AD82" s="15" t="s">
        <v>11065</v>
      </c>
      <c r="AE82" s="15" t="s">
        <v>164</v>
      </c>
      <c r="AF82" s="15" t="s">
        <v>11065</v>
      </c>
      <c r="AG82" s="15" t="s">
        <v>11065</v>
      </c>
      <c r="AH82" s="15" t="s">
        <v>11066</v>
      </c>
      <c r="AL82" s="15" t="s">
        <v>11067</v>
      </c>
      <c r="AN82" s="15">
        <v>743</v>
      </c>
      <c r="AO82" s="15" t="s">
        <v>11068</v>
      </c>
      <c r="AQ82" s="15" t="s">
        <v>11057</v>
      </c>
      <c r="AT82" s="15" t="s">
        <v>11069</v>
      </c>
      <c r="AU82" s="15" t="s">
        <v>11070</v>
      </c>
      <c r="AV82" s="15" t="s">
        <v>11070</v>
      </c>
      <c r="AW82" s="15" t="s">
        <v>11071</v>
      </c>
      <c r="AX82" s="15" t="s">
        <v>11071</v>
      </c>
      <c r="AY82" s="15">
        <f t="shared" si="1"/>
        <v>50</v>
      </c>
      <c r="AZ82" s="15" t="s">
        <v>11062</v>
      </c>
      <c r="BA82" s="15" t="s">
        <v>174</v>
      </c>
      <c r="BB82" s="15" t="s">
        <v>11037</v>
      </c>
      <c r="BC82" s="15" t="s">
        <v>801</v>
      </c>
      <c r="BE82" s="15" t="s">
        <v>251</v>
      </c>
      <c r="BJ82" s="15" t="s">
        <v>11072</v>
      </c>
      <c r="BN82" s="15" t="s">
        <v>179</v>
      </c>
      <c r="BP82" s="15" t="s">
        <v>138</v>
      </c>
      <c r="BS82" s="15" t="s">
        <v>11073</v>
      </c>
      <c r="DH82" s="15" t="s">
        <v>17982</v>
      </c>
      <c r="DI82" s="15" t="s">
        <v>17982</v>
      </c>
    </row>
    <row r="83" spans="1:113" s="15" customFormat="1" ht="12.75" x14ac:dyDescent="0.2">
      <c r="A83" s="15" t="s">
        <v>109</v>
      </c>
      <c r="B83" s="15" t="s">
        <v>110</v>
      </c>
      <c r="D83" s="15" t="s">
        <v>620</v>
      </c>
      <c r="E83" s="15" t="s">
        <v>112</v>
      </c>
      <c r="F83" s="15" t="s">
        <v>620</v>
      </c>
      <c r="G83" s="15" t="s">
        <v>113</v>
      </c>
      <c r="H83" s="15" t="s">
        <v>1045</v>
      </c>
      <c r="J83" s="16" t="s">
        <v>114</v>
      </c>
      <c r="U83" s="15" t="s">
        <v>17977</v>
      </c>
      <c r="W83" s="15">
        <v>2188</v>
      </c>
      <c r="X83" s="15">
        <v>93</v>
      </c>
      <c r="Y83" s="15" t="s">
        <v>160</v>
      </c>
      <c r="Z83" s="15" t="s">
        <v>161</v>
      </c>
      <c r="AA83" s="15" t="s">
        <v>162</v>
      </c>
      <c r="AB83" s="15" t="s">
        <v>11053</v>
      </c>
      <c r="AC83" s="15" t="s">
        <v>11053</v>
      </c>
      <c r="AD83" s="15" t="s">
        <v>11053</v>
      </c>
      <c r="AE83" s="15" t="s">
        <v>164</v>
      </c>
      <c r="AF83" s="15" t="s">
        <v>11053</v>
      </c>
      <c r="AG83" s="15" t="s">
        <v>11053</v>
      </c>
      <c r="AH83" s="15" t="s">
        <v>11054</v>
      </c>
      <c r="AL83" s="15" t="s">
        <v>11055</v>
      </c>
      <c r="AN83" s="15">
        <v>743</v>
      </c>
      <c r="AO83" s="15" t="s">
        <v>11056</v>
      </c>
      <c r="AQ83" s="15" t="s">
        <v>11057</v>
      </c>
      <c r="AT83" s="15" t="s">
        <v>11058</v>
      </c>
      <c r="AU83" s="15" t="s">
        <v>11059</v>
      </c>
      <c r="AV83" s="15" t="s">
        <v>11059</v>
      </c>
      <c r="AW83" s="15" t="s">
        <v>11060</v>
      </c>
      <c r="AX83" s="15" t="s">
        <v>11061</v>
      </c>
      <c r="AY83" s="15">
        <f t="shared" si="1"/>
        <v>59</v>
      </c>
      <c r="AZ83" s="15" t="s">
        <v>11062</v>
      </c>
      <c r="BA83" s="15" t="s">
        <v>174</v>
      </c>
      <c r="BB83" s="15" t="s">
        <v>11037</v>
      </c>
      <c r="BC83" s="15" t="s">
        <v>3010</v>
      </c>
      <c r="BE83" s="15" t="s">
        <v>251</v>
      </c>
      <c r="BJ83" s="15" t="s">
        <v>11063</v>
      </c>
      <c r="BN83" s="15" t="s">
        <v>179</v>
      </c>
      <c r="BP83" s="15" t="s">
        <v>138</v>
      </c>
      <c r="BS83" s="15" t="s">
        <v>11064</v>
      </c>
      <c r="DH83" s="15" t="s">
        <v>17982</v>
      </c>
      <c r="DI83" s="15" t="s">
        <v>17982</v>
      </c>
    </row>
    <row r="84" spans="1:113" s="15" customFormat="1" ht="12.75" x14ac:dyDescent="0.2">
      <c r="A84" s="15" t="s">
        <v>109</v>
      </c>
      <c r="B84" s="15" t="s">
        <v>110</v>
      </c>
      <c r="D84" s="15" t="s">
        <v>620</v>
      </c>
      <c r="E84" s="15" t="s">
        <v>112</v>
      </c>
      <c r="F84" s="15" t="s">
        <v>620</v>
      </c>
      <c r="G84" s="15" t="s">
        <v>113</v>
      </c>
      <c r="H84" s="15" t="s">
        <v>1045</v>
      </c>
      <c r="J84" s="16" t="s">
        <v>114</v>
      </c>
      <c r="U84" s="15" t="s">
        <v>17977</v>
      </c>
      <c r="W84" s="15">
        <v>1860</v>
      </c>
      <c r="X84" s="15">
        <v>94</v>
      </c>
      <c r="Y84" s="15" t="s">
        <v>160</v>
      </c>
      <c r="Z84" s="15" t="s">
        <v>161</v>
      </c>
      <c r="AA84" s="15" t="s">
        <v>162</v>
      </c>
      <c r="AB84" s="15" t="s">
        <v>10051</v>
      </c>
      <c r="AC84" s="15" t="s">
        <v>10051</v>
      </c>
      <c r="AD84" s="15" t="s">
        <v>10051</v>
      </c>
      <c r="AE84" s="15" t="s">
        <v>164</v>
      </c>
      <c r="AF84" s="15" t="s">
        <v>10051</v>
      </c>
      <c r="AG84" s="15" t="s">
        <v>10051</v>
      </c>
      <c r="AH84" s="15" t="s">
        <v>10052</v>
      </c>
      <c r="AL84" s="15" t="s">
        <v>10053</v>
      </c>
      <c r="AN84" s="15">
        <v>743</v>
      </c>
      <c r="AO84" s="15" t="s">
        <v>10054</v>
      </c>
      <c r="AQ84" s="15" t="s">
        <v>10045</v>
      </c>
      <c r="AR84" s="15" t="s">
        <v>209</v>
      </c>
      <c r="AS84" s="15" t="s">
        <v>210</v>
      </c>
      <c r="AT84" s="15" t="s">
        <v>10055</v>
      </c>
      <c r="AU84" s="15" t="s">
        <v>10056</v>
      </c>
      <c r="AV84" s="15" t="s">
        <v>10056</v>
      </c>
      <c r="AW84" s="15" t="s">
        <v>10057</v>
      </c>
      <c r="AX84" s="15" t="s">
        <v>10057</v>
      </c>
      <c r="AY84" s="15">
        <f t="shared" si="1"/>
        <v>53</v>
      </c>
      <c r="AZ84" s="15" t="s">
        <v>214</v>
      </c>
      <c r="BA84" s="15" t="s">
        <v>1225</v>
      </c>
      <c r="BB84" s="15" t="s">
        <v>10026</v>
      </c>
      <c r="BE84" s="15" t="s">
        <v>1081</v>
      </c>
      <c r="BJ84" s="15" t="s">
        <v>10058</v>
      </c>
      <c r="BN84" s="15" t="s">
        <v>179</v>
      </c>
      <c r="BP84" s="15" t="s">
        <v>138</v>
      </c>
      <c r="BS84" s="15" t="s">
        <v>10059</v>
      </c>
      <c r="DH84" s="15" t="s">
        <v>17982</v>
      </c>
      <c r="DI84" s="15" t="s">
        <v>17982</v>
      </c>
    </row>
    <row r="85" spans="1:113" s="15" customFormat="1" ht="12.75" x14ac:dyDescent="0.2">
      <c r="A85" s="15" t="s">
        <v>109</v>
      </c>
      <c r="B85" s="15" t="s">
        <v>110</v>
      </c>
      <c r="D85" s="15" t="s">
        <v>620</v>
      </c>
      <c r="E85" s="15" t="s">
        <v>112</v>
      </c>
      <c r="F85" s="15" t="s">
        <v>620</v>
      </c>
      <c r="G85" s="15" t="s">
        <v>113</v>
      </c>
      <c r="H85" s="15" t="s">
        <v>1045</v>
      </c>
      <c r="J85" s="16" t="s">
        <v>114</v>
      </c>
      <c r="U85" s="15" t="s">
        <v>17977</v>
      </c>
      <c r="W85" s="15">
        <v>1859</v>
      </c>
      <c r="X85" s="15">
        <v>95</v>
      </c>
      <c r="Y85" s="15" t="s">
        <v>160</v>
      </c>
      <c r="Z85" s="15" t="s">
        <v>161</v>
      </c>
      <c r="AA85" s="15" t="s">
        <v>162</v>
      </c>
      <c r="AB85" s="15" t="s">
        <v>10041</v>
      </c>
      <c r="AC85" s="15" t="s">
        <v>10041</v>
      </c>
      <c r="AD85" s="15" t="s">
        <v>10041</v>
      </c>
      <c r="AE85" s="15" t="s">
        <v>164</v>
      </c>
      <c r="AF85" s="15" t="s">
        <v>10041</v>
      </c>
      <c r="AG85" s="15" t="s">
        <v>10041</v>
      </c>
      <c r="AH85" s="15" t="s">
        <v>10042</v>
      </c>
      <c r="AL85" s="15" t="s">
        <v>10043</v>
      </c>
      <c r="AN85" s="15">
        <v>743</v>
      </c>
      <c r="AO85" s="15" t="s">
        <v>10044</v>
      </c>
      <c r="AQ85" s="15" t="s">
        <v>10045</v>
      </c>
      <c r="AR85" s="15" t="s">
        <v>209</v>
      </c>
      <c r="AS85" s="15" t="s">
        <v>210</v>
      </c>
      <c r="AT85" s="15" t="s">
        <v>10046</v>
      </c>
      <c r="AU85" s="15" t="s">
        <v>10047</v>
      </c>
      <c r="AV85" s="15" t="s">
        <v>10047</v>
      </c>
      <c r="AW85" s="15" t="s">
        <v>10048</v>
      </c>
      <c r="AX85" s="15" t="s">
        <v>10048</v>
      </c>
      <c r="AY85" s="15">
        <f t="shared" si="1"/>
        <v>52</v>
      </c>
      <c r="AZ85" s="15" t="s">
        <v>214</v>
      </c>
      <c r="BA85" s="15" t="s">
        <v>1225</v>
      </c>
      <c r="BB85" s="15" t="s">
        <v>10026</v>
      </c>
      <c r="BE85" s="15" t="s">
        <v>1081</v>
      </c>
      <c r="BJ85" s="15" t="s">
        <v>10049</v>
      </c>
      <c r="BN85" s="15" t="s">
        <v>179</v>
      </c>
      <c r="BP85" s="15" t="s">
        <v>138</v>
      </c>
      <c r="BS85" s="15" t="s">
        <v>10050</v>
      </c>
      <c r="DH85" s="15" t="s">
        <v>17982</v>
      </c>
      <c r="DI85" s="15" t="s">
        <v>17982</v>
      </c>
    </row>
    <row r="86" spans="1:113" s="15" customFormat="1" ht="12.75" x14ac:dyDescent="0.2">
      <c r="A86" s="15" t="s">
        <v>109</v>
      </c>
      <c r="B86" s="15" t="s">
        <v>110</v>
      </c>
      <c r="D86" s="15" t="s">
        <v>620</v>
      </c>
      <c r="E86" s="15" t="s">
        <v>112</v>
      </c>
      <c r="F86" s="15" t="s">
        <v>620</v>
      </c>
      <c r="G86" s="15" t="s">
        <v>113</v>
      </c>
      <c r="H86" s="15" t="s">
        <v>1045</v>
      </c>
      <c r="J86" s="16" t="s">
        <v>114</v>
      </c>
      <c r="U86" s="15" t="s">
        <v>17977</v>
      </c>
      <c r="W86" s="15">
        <v>1858</v>
      </c>
      <c r="X86" s="15">
        <v>96</v>
      </c>
      <c r="Y86" s="15" t="s">
        <v>160</v>
      </c>
      <c r="Z86" s="15" t="s">
        <v>161</v>
      </c>
      <c r="AA86" s="15" t="s">
        <v>162</v>
      </c>
      <c r="AB86" s="15" t="s">
        <v>10030</v>
      </c>
      <c r="AC86" s="15" t="s">
        <v>10030</v>
      </c>
      <c r="AD86" s="15" t="s">
        <v>10030</v>
      </c>
      <c r="AE86" s="15" t="s">
        <v>164</v>
      </c>
      <c r="AF86" s="15" t="s">
        <v>10030</v>
      </c>
      <c r="AG86" s="15" t="s">
        <v>10030</v>
      </c>
      <c r="AH86" s="15" t="s">
        <v>10031</v>
      </c>
      <c r="AL86" s="15" t="s">
        <v>10032</v>
      </c>
      <c r="AN86" s="15">
        <v>743</v>
      </c>
      <c r="AO86" s="15" t="s">
        <v>10033</v>
      </c>
      <c r="AQ86" s="15" t="s">
        <v>225</v>
      </c>
      <c r="AT86" s="15" t="s">
        <v>10034</v>
      </c>
      <c r="AU86" s="15" t="s">
        <v>10035</v>
      </c>
      <c r="AV86" s="15" t="s">
        <v>10035</v>
      </c>
      <c r="AW86" s="15" t="s">
        <v>10036</v>
      </c>
      <c r="AX86" s="15" t="s">
        <v>10037</v>
      </c>
      <c r="AY86" s="15">
        <f t="shared" si="1"/>
        <v>56</v>
      </c>
      <c r="AZ86" s="15" t="s">
        <v>229</v>
      </c>
      <c r="BA86" s="15" t="s">
        <v>174</v>
      </c>
      <c r="BB86" s="15" t="s">
        <v>10026</v>
      </c>
      <c r="BC86" s="15" t="s">
        <v>10038</v>
      </c>
      <c r="BE86" s="15" t="s">
        <v>1081</v>
      </c>
      <c r="BJ86" s="15" t="s">
        <v>10039</v>
      </c>
      <c r="BK86" s="15" t="s">
        <v>487</v>
      </c>
      <c r="BN86" s="15" t="s">
        <v>179</v>
      </c>
      <c r="BP86" s="15" t="s">
        <v>138</v>
      </c>
      <c r="BS86" s="15" t="s">
        <v>10040</v>
      </c>
      <c r="DH86" s="15" t="s">
        <v>17982</v>
      </c>
      <c r="DI86" s="15" t="s">
        <v>17982</v>
      </c>
    </row>
    <row r="87" spans="1:113" s="15" customFormat="1" ht="12.75" x14ac:dyDescent="0.2">
      <c r="A87" s="15" t="s">
        <v>109</v>
      </c>
      <c r="B87" s="15" t="s">
        <v>110</v>
      </c>
      <c r="D87" s="15" t="s">
        <v>620</v>
      </c>
      <c r="E87" s="15" t="s">
        <v>112</v>
      </c>
      <c r="F87" s="15" t="s">
        <v>620</v>
      </c>
      <c r="G87" s="15" t="s">
        <v>113</v>
      </c>
      <c r="H87" s="15" t="s">
        <v>1045</v>
      </c>
      <c r="J87" s="16" t="s">
        <v>114</v>
      </c>
      <c r="U87" s="15" t="s">
        <v>17977</v>
      </c>
      <c r="W87" s="15">
        <v>1857</v>
      </c>
      <c r="X87" s="15">
        <v>97</v>
      </c>
      <c r="Y87" s="15" t="s">
        <v>160</v>
      </c>
      <c r="Z87" s="15" t="s">
        <v>161</v>
      </c>
      <c r="AA87" s="15" t="s">
        <v>162</v>
      </c>
      <c r="AB87" s="15" t="s">
        <v>10018</v>
      </c>
      <c r="AC87" s="15" t="s">
        <v>10018</v>
      </c>
      <c r="AD87" s="15" t="s">
        <v>10018</v>
      </c>
      <c r="AE87" s="15" t="s">
        <v>164</v>
      </c>
      <c r="AF87" s="15" t="s">
        <v>10018</v>
      </c>
      <c r="AG87" s="15" t="s">
        <v>10018</v>
      </c>
      <c r="AH87" s="15" t="s">
        <v>10019</v>
      </c>
      <c r="AL87" s="15" t="s">
        <v>10020</v>
      </c>
      <c r="AN87" s="15">
        <v>743</v>
      </c>
      <c r="AO87" s="15" t="s">
        <v>10021</v>
      </c>
      <c r="AQ87" s="15" t="s">
        <v>225</v>
      </c>
      <c r="AT87" s="15" t="s">
        <v>10022</v>
      </c>
      <c r="AU87" s="15" t="s">
        <v>10023</v>
      </c>
      <c r="AV87" s="15" t="s">
        <v>10023</v>
      </c>
      <c r="AW87" s="15" t="s">
        <v>10024</v>
      </c>
      <c r="AX87" s="15" t="s">
        <v>10025</v>
      </c>
      <c r="AY87" s="15">
        <f t="shared" si="1"/>
        <v>50</v>
      </c>
      <c r="AZ87" s="15" t="s">
        <v>229</v>
      </c>
      <c r="BA87" s="15" t="s">
        <v>174</v>
      </c>
      <c r="BB87" s="15" t="s">
        <v>10026</v>
      </c>
      <c r="BC87" s="15" t="s">
        <v>10027</v>
      </c>
      <c r="BE87" s="15" t="s">
        <v>1081</v>
      </c>
      <c r="BF87" s="15" t="s">
        <v>863</v>
      </c>
      <c r="BJ87" s="15" t="s">
        <v>10028</v>
      </c>
      <c r="BK87" s="15" t="s">
        <v>487</v>
      </c>
      <c r="BN87" s="15" t="s">
        <v>179</v>
      </c>
      <c r="BP87" s="15" t="s">
        <v>138</v>
      </c>
      <c r="BS87" s="15" t="s">
        <v>10029</v>
      </c>
      <c r="DH87" s="15" t="s">
        <v>17982</v>
      </c>
      <c r="DI87" s="15" t="s">
        <v>17982</v>
      </c>
    </row>
    <row r="88" spans="1:113" s="15" customFormat="1" ht="12.75" x14ac:dyDescent="0.2">
      <c r="A88" s="15" t="s">
        <v>109</v>
      </c>
      <c r="B88" s="15" t="s">
        <v>110</v>
      </c>
      <c r="D88" s="15" t="s">
        <v>620</v>
      </c>
      <c r="E88" s="15" t="s">
        <v>112</v>
      </c>
      <c r="F88" s="15" t="s">
        <v>620</v>
      </c>
      <c r="G88" s="15" t="s">
        <v>113</v>
      </c>
      <c r="H88" s="15" t="s">
        <v>1045</v>
      </c>
      <c r="J88" s="16" t="s">
        <v>114</v>
      </c>
      <c r="U88" s="15" t="s">
        <v>17977</v>
      </c>
      <c r="W88" s="15">
        <v>462</v>
      </c>
      <c r="X88" s="15">
        <v>98</v>
      </c>
      <c r="Y88" s="15" t="s">
        <v>160</v>
      </c>
      <c r="Z88" s="15" t="s">
        <v>161</v>
      </c>
      <c r="AA88" s="15" t="s">
        <v>162</v>
      </c>
      <c r="AB88" s="15" t="s">
        <v>1885</v>
      </c>
      <c r="AC88" s="15" t="s">
        <v>1885</v>
      </c>
      <c r="AD88" s="15" t="s">
        <v>1885</v>
      </c>
      <c r="AE88" s="15" t="s">
        <v>164</v>
      </c>
      <c r="AF88" s="15" t="s">
        <v>1885</v>
      </c>
      <c r="AG88" s="15" t="s">
        <v>1885</v>
      </c>
      <c r="AH88" s="15" t="s">
        <v>1886</v>
      </c>
      <c r="AL88" s="15" t="s">
        <v>1887</v>
      </c>
      <c r="AN88" s="15">
        <v>743</v>
      </c>
      <c r="AO88" s="15" t="s">
        <v>1888</v>
      </c>
      <c r="AQ88" s="15" t="s">
        <v>168</v>
      </c>
      <c r="AT88" s="15" t="s">
        <v>1889</v>
      </c>
      <c r="AU88" s="15" t="s">
        <v>1890</v>
      </c>
      <c r="AV88" s="15" t="s">
        <v>1890</v>
      </c>
      <c r="AW88" s="15" t="s">
        <v>1891</v>
      </c>
      <c r="AX88" s="15" t="s">
        <v>1892</v>
      </c>
      <c r="AY88" s="15">
        <f t="shared" si="1"/>
        <v>59</v>
      </c>
      <c r="AZ88" s="15" t="s">
        <v>173</v>
      </c>
      <c r="BA88" s="15" t="s">
        <v>174</v>
      </c>
      <c r="BB88" s="15" t="s">
        <v>1893</v>
      </c>
      <c r="BE88" s="15" t="s">
        <v>1894</v>
      </c>
      <c r="BJ88" s="15" t="s">
        <v>1895</v>
      </c>
      <c r="BN88" s="15" t="s">
        <v>179</v>
      </c>
      <c r="BP88" s="15" t="s">
        <v>138</v>
      </c>
      <c r="BS88" s="15" t="s">
        <v>1896</v>
      </c>
      <c r="BT88" s="15" t="s">
        <v>1897</v>
      </c>
      <c r="DH88" s="15" t="s">
        <v>17982</v>
      </c>
      <c r="DI88" s="15" t="s">
        <v>17982</v>
      </c>
    </row>
    <row r="89" spans="1:113" s="15" customFormat="1" ht="12.75" x14ac:dyDescent="0.2">
      <c r="A89" s="15" t="s">
        <v>109</v>
      </c>
      <c r="B89" s="15" t="s">
        <v>110</v>
      </c>
      <c r="D89" s="15" t="s">
        <v>620</v>
      </c>
      <c r="E89" s="15" t="s">
        <v>112</v>
      </c>
      <c r="F89" s="15" t="s">
        <v>620</v>
      </c>
      <c r="G89" s="15" t="s">
        <v>113</v>
      </c>
      <c r="H89" s="15" t="s">
        <v>1045</v>
      </c>
      <c r="J89" s="16" t="s">
        <v>114</v>
      </c>
      <c r="U89" s="15" t="s">
        <v>17977</v>
      </c>
      <c r="W89" s="15">
        <v>1469</v>
      </c>
      <c r="X89" s="15">
        <v>99</v>
      </c>
      <c r="Y89" s="15" t="s">
        <v>160</v>
      </c>
      <c r="Z89" s="15" t="s">
        <v>161</v>
      </c>
      <c r="AA89" s="15" t="s">
        <v>162</v>
      </c>
      <c r="AB89" s="15" t="s">
        <v>7498</v>
      </c>
      <c r="AC89" s="15" t="s">
        <v>7498</v>
      </c>
      <c r="AD89" s="15" t="s">
        <v>7498</v>
      </c>
      <c r="AE89" s="15" t="s">
        <v>164</v>
      </c>
      <c r="AF89" s="15" t="s">
        <v>7498</v>
      </c>
      <c r="AG89" s="15" t="s">
        <v>7498</v>
      </c>
      <c r="AH89" s="15" t="s">
        <v>7499</v>
      </c>
      <c r="AL89" s="15" t="s">
        <v>7500</v>
      </c>
      <c r="AN89" s="15">
        <v>743</v>
      </c>
      <c r="AO89" s="15" t="s">
        <v>7501</v>
      </c>
      <c r="AQ89" s="15" t="s">
        <v>843</v>
      </c>
      <c r="AT89" s="15" t="s">
        <v>7502</v>
      </c>
      <c r="AU89" s="15" t="s">
        <v>7503</v>
      </c>
      <c r="AV89" s="15" t="s">
        <v>7503</v>
      </c>
      <c r="AW89" s="15" t="s">
        <v>7504</v>
      </c>
      <c r="AX89" s="15" t="s">
        <v>7505</v>
      </c>
      <c r="AY89" s="15">
        <f t="shared" si="1"/>
        <v>58</v>
      </c>
      <c r="AZ89" s="15" t="s">
        <v>848</v>
      </c>
      <c r="BA89" s="15" t="s">
        <v>174</v>
      </c>
      <c r="BB89" s="15" t="s">
        <v>7506</v>
      </c>
      <c r="BE89" s="15" t="s">
        <v>7507</v>
      </c>
      <c r="BF89" s="15" t="s">
        <v>1608</v>
      </c>
      <c r="BJ89" s="15" t="s">
        <v>7508</v>
      </c>
      <c r="BN89" s="15" t="s">
        <v>179</v>
      </c>
      <c r="BP89" s="15" t="s">
        <v>138</v>
      </c>
      <c r="BS89" s="15" t="s">
        <v>7509</v>
      </c>
      <c r="DH89" s="15" t="s">
        <v>17982</v>
      </c>
      <c r="DI89" s="15" t="s">
        <v>17982</v>
      </c>
    </row>
    <row r="90" spans="1:113" s="15" customFormat="1" ht="12.75" x14ac:dyDescent="0.2">
      <c r="A90" s="15" t="s">
        <v>109</v>
      </c>
      <c r="B90" s="15" t="s">
        <v>110</v>
      </c>
      <c r="D90" s="15" t="s">
        <v>620</v>
      </c>
      <c r="E90" s="15" t="s">
        <v>112</v>
      </c>
      <c r="F90" s="15" t="s">
        <v>620</v>
      </c>
      <c r="G90" s="15" t="s">
        <v>113</v>
      </c>
      <c r="H90" s="15" t="s">
        <v>1045</v>
      </c>
      <c r="J90" s="16" t="s">
        <v>114</v>
      </c>
      <c r="U90" s="15" t="s">
        <v>17977</v>
      </c>
      <c r="W90" s="15">
        <v>1470</v>
      </c>
      <c r="X90" s="15">
        <v>100</v>
      </c>
      <c r="Y90" s="15" t="s">
        <v>160</v>
      </c>
      <c r="Z90" s="15" t="s">
        <v>161</v>
      </c>
      <c r="AA90" s="15" t="s">
        <v>162</v>
      </c>
      <c r="AB90" s="15" t="s">
        <v>7510</v>
      </c>
      <c r="AC90" s="15" t="s">
        <v>7510</v>
      </c>
      <c r="AD90" s="15" t="s">
        <v>7510</v>
      </c>
      <c r="AE90" s="15" t="s">
        <v>164</v>
      </c>
      <c r="AF90" s="15" t="s">
        <v>7510</v>
      </c>
      <c r="AG90" s="15" t="s">
        <v>7510</v>
      </c>
      <c r="AH90" s="15" t="s">
        <v>7511</v>
      </c>
      <c r="AL90" s="15" t="s">
        <v>7512</v>
      </c>
      <c r="AN90" s="15">
        <v>743</v>
      </c>
      <c r="AO90" s="15" t="s">
        <v>7513</v>
      </c>
      <c r="AQ90" s="15" t="s">
        <v>843</v>
      </c>
      <c r="AT90" s="15" t="s">
        <v>7514</v>
      </c>
      <c r="AU90" s="15" t="s">
        <v>7515</v>
      </c>
      <c r="AV90" s="15" t="s">
        <v>7515</v>
      </c>
      <c r="AW90" s="15" t="s">
        <v>7516</v>
      </c>
      <c r="AX90" s="15" t="s">
        <v>7517</v>
      </c>
      <c r="AY90" s="15">
        <f t="shared" si="1"/>
        <v>60</v>
      </c>
      <c r="AZ90" s="15" t="s">
        <v>848</v>
      </c>
      <c r="BA90" s="15" t="s">
        <v>174</v>
      </c>
      <c r="BB90" s="15" t="s">
        <v>7506</v>
      </c>
      <c r="BE90" s="15" t="s">
        <v>1081</v>
      </c>
      <c r="BF90" s="15" t="s">
        <v>6945</v>
      </c>
      <c r="BJ90" s="15" t="s">
        <v>7518</v>
      </c>
      <c r="BN90" s="15" t="s">
        <v>179</v>
      </c>
      <c r="BP90" s="15" t="s">
        <v>138</v>
      </c>
      <c r="BS90" s="15" t="s">
        <v>7519</v>
      </c>
      <c r="DH90" s="15" t="s">
        <v>17982</v>
      </c>
      <c r="DI90" s="15" t="s">
        <v>17982</v>
      </c>
    </row>
    <row r="91" spans="1:113" s="15" customFormat="1" ht="12.75" x14ac:dyDescent="0.2">
      <c r="A91" s="15" t="s">
        <v>109</v>
      </c>
      <c r="B91" s="15" t="s">
        <v>110</v>
      </c>
      <c r="D91" s="15" t="s">
        <v>620</v>
      </c>
      <c r="E91" s="15" t="s">
        <v>112</v>
      </c>
      <c r="F91" s="15" t="s">
        <v>620</v>
      </c>
      <c r="G91" s="15" t="s">
        <v>113</v>
      </c>
      <c r="H91" s="15" t="s">
        <v>1045</v>
      </c>
      <c r="J91" s="16" t="s">
        <v>114</v>
      </c>
      <c r="U91" s="15" t="s">
        <v>17977</v>
      </c>
      <c r="W91" s="15">
        <v>1473</v>
      </c>
      <c r="X91" s="15">
        <v>101</v>
      </c>
      <c r="Y91" s="15" t="s">
        <v>160</v>
      </c>
      <c r="Z91" s="15" t="s">
        <v>161</v>
      </c>
      <c r="AA91" s="15" t="s">
        <v>162</v>
      </c>
      <c r="AB91" s="15" t="s">
        <v>7542</v>
      </c>
      <c r="AC91" s="15" t="s">
        <v>7542</v>
      </c>
      <c r="AD91" s="15" t="s">
        <v>7542</v>
      </c>
      <c r="AE91" s="15" t="s">
        <v>164</v>
      </c>
      <c r="AF91" s="15" t="s">
        <v>7542</v>
      </c>
      <c r="AG91" s="15" t="s">
        <v>7542</v>
      </c>
      <c r="AH91" s="15" t="s">
        <v>7543</v>
      </c>
      <c r="AL91" s="15" t="s">
        <v>7544</v>
      </c>
      <c r="AN91" s="15">
        <v>743</v>
      </c>
      <c r="AO91" s="15" t="s">
        <v>7545</v>
      </c>
      <c r="AQ91" s="15" t="s">
        <v>1193</v>
      </c>
      <c r="AT91" s="15" t="s">
        <v>7546</v>
      </c>
      <c r="AU91" s="15" t="s">
        <v>7547</v>
      </c>
      <c r="AV91" s="15" t="s">
        <v>7547</v>
      </c>
      <c r="AW91" s="15" t="s">
        <v>7548</v>
      </c>
      <c r="AX91" s="15" t="s">
        <v>7549</v>
      </c>
      <c r="AY91" s="15">
        <f t="shared" si="1"/>
        <v>55</v>
      </c>
      <c r="AZ91" s="15" t="s">
        <v>1634</v>
      </c>
      <c r="BA91" s="15" t="s">
        <v>174</v>
      </c>
      <c r="BB91" s="15" t="s">
        <v>7506</v>
      </c>
      <c r="BC91" s="15" t="s">
        <v>646</v>
      </c>
      <c r="BE91" s="15" t="s">
        <v>7550</v>
      </c>
      <c r="BF91" s="15" t="s">
        <v>7551</v>
      </c>
      <c r="BI91" s="15" t="s">
        <v>7552</v>
      </c>
      <c r="BJ91" s="15" t="s">
        <v>7553</v>
      </c>
      <c r="BK91" s="15" t="s">
        <v>487</v>
      </c>
      <c r="BN91" s="15" t="s">
        <v>179</v>
      </c>
      <c r="BP91" s="15" t="s">
        <v>138</v>
      </c>
      <c r="BS91" s="15" t="s">
        <v>7554</v>
      </c>
      <c r="DH91" s="15" t="s">
        <v>17982</v>
      </c>
      <c r="DI91" s="15" t="s">
        <v>17982</v>
      </c>
    </row>
    <row r="92" spans="1:113" s="15" customFormat="1" ht="12.75" x14ac:dyDescent="0.2">
      <c r="A92" s="15" t="s">
        <v>109</v>
      </c>
      <c r="B92" s="15" t="s">
        <v>110</v>
      </c>
      <c r="D92" s="15" t="s">
        <v>620</v>
      </c>
      <c r="E92" s="15" t="s">
        <v>112</v>
      </c>
      <c r="F92" s="15" t="s">
        <v>620</v>
      </c>
      <c r="G92" s="15" t="s">
        <v>113</v>
      </c>
      <c r="H92" s="15" t="s">
        <v>1045</v>
      </c>
      <c r="J92" s="16" t="s">
        <v>114</v>
      </c>
      <c r="U92" s="15" t="s">
        <v>17977</v>
      </c>
      <c r="W92" s="15">
        <v>1474</v>
      </c>
      <c r="X92" s="15">
        <v>102</v>
      </c>
      <c r="Y92" s="15" t="s">
        <v>160</v>
      </c>
      <c r="Z92" s="15" t="s">
        <v>161</v>
      </c>
      <c r="AA92" s="15" t="s">
        <v>162</v>
      </c>
      <c r="AB92" s="15" t="s">
        <v>7555</v>
      </c>
      <c r="AC92" s="15" t="s">
        <v>7555</v>
      </c>
      <c r="AD92" s="15" t="s">
        <v>7555</v>
      </c>
      <c r="AE92" s="15" t="s">
        <v>164</v>
      </c>
      <c r="AF92" s="15" t="s">
        <v>7555</v>
      </c>
      <c r="AG92" s="15" t="s">
        <v>7555</v>
      </c>
      <c r="AH92" s="15" t="s">
        <v>7556</v>
      </c>
      <c r="AL92" s="15" t="s">
        <v>7557</v>
      </c>
      <c r="AN92" s="15">
        <v>743</v>
      </c>
      <c r="AO92" s="15" t="s">
        <v>7558</v>
      </c>
      <c r="AQ92" s="15" t="s">
        <v>1193</v>
      </c>
      <c r="AT92" s="15" t="s">
        <v>7559</v>
      </c>
      <c r="AU92" s="15" t="s">
        <v>7560</v>
      </c>
      <c r="AV92" s="15" t="s">
        <v>7560</v>
      </c>
      <c r="AW92" s="15" t="s">
        <v>7561</v>
      </c>
      <c r="AX92" s="15" t="s">
        <v>7562</v>
      </c>
      <c r="AY92" s="15">
        <f t="shared" si="1"/>
        <v>55</v>
      </c>
      <c r="AZ92" s="15" t="s">
        <v>1634</v>
      </c>
      <c r="BA92" s="15" t="s">
        <v>174</v>
      </c>
      <c r="BB92" s="15" t="s">
        <v>7506</v>
      </c>
      <c r="BC92" s="15" t="s">
        <v>646</v>
      </c>
      <c r="BE92" s="15" t="s">
        <v>7550</v>
      </c>
      <c r="BF92" s="15" t="s">
        <v>7563</v>
      </c>
      <c r="BI92" s="15" t="s">
        <v>7552</v>
      </c>
      <c r="BJ92" s="15" t="s">
        <v>7553</v>
      </c>
      <c r="BK92" s="15" t="s">
        <v>487</v>
      </c>
      <c r="BN92" s="15" t="s">
        <v>179</v>
      </c>
      <c r="BP92" s="15" t="s">
        <v>138</v>
      </c>
      <c r="BS92" s="15" t="s">
        <v>7564</v>
      </c>
      <c r="DH92" s="15" t="s">
        <v>17982</v>
      </c>
      <c r="DI92" s="15" t="s">
        <v>17982</v>
      </c>
    </row>
    <row r="93" spans="1:113" s="15" customFormat="1" ht="12.75" x14ac:dyDescent="0.2">
      <c r="A93" s="15" t="s">
        <v>109</v>
      </c>
      <c r="B93" s="15" t="s">
        <v>110</v>
      </c>
      <c r="D93" s="15" t="s">
        <v>620</v>
      </c>
      <c r="E93" s="15" t="s">
        <v>112</v>
      </c>
      <c r="F93" s="15" t="s">
        <v>620</v>
      </c>
      <c r="G93" s="15" t="s">
        <v>113</v>
      </c>
      <c r="H93" s="15" t="s">
        <v>1045</v>
      </c>
      <c r="J93" s="16" t="s">
        <v>114</v>
      </c>
      <c r="U93" s="15" t="s">
        <v>17977</v>
      </c>
      <c r="W93" s="15">
        <v>1476</v>
      </c>
      <c r="X93" s="15">
        <v>103</v>
      </c>
      <c r="Y93" s="15" t="s">
        <v>160</v>
      </c>
      <c r="Z93" s="15" t="s">
        <v>161</v>
      </c>
      <c r="AA93" s="15" t="s">
        <v>162</v>
      </c>
      <c r="AB93" s="15" t="s">
        <v>7574</v>
      </c>
      <c r="AC93" s="15" t="s">
        <v>7574</v>
      </c>
      <c r="AD93" s="15" t="s">
        <v>7574</v>
      </c>
      <c r="AE93" s="15" t="s">
        <v>164</v>
      </c>
      <c r="AF93" s="15" t="s">
        <v>7574</v>
      </c>
      <c r="AG93" s="15" t="s">
        <v>7574</v>
      </c>
      <c r="AH93" s="15" t="s">
        <v>7575</v>
      </c>
      <c r="AL93" s="15" t="s">
        <v>7576</v>
      </c>
      <c r="AN93" s="15">
        <v>743</v>
      </c>
      <c r="AO93" s="15" t="s">
        <v>7577</v>
      </c>
      <c r="AQ93" s="15" t="s">
        <v>1193</v>
      </c>
      <c r="AT93" s="15" t="s">
        <v>7578</v>
      </c>
      <c r="AU93" s="15" t="s">
        <v>7579</v>
      </c>
      <c r="AV93" s="15" t="s">
        <v>7579</v>
      </c>
      <c r="AW93" s="15" t="s">
        <v>7580</v>
      </c>
      <c r="AX93" s="15" t="s">
        <v>7581</v>
      </c>
      <c r="AY93" s="15">
        <f t="shared" si="1"/>
        <v>53</v>
      </c>
      <c r="AZ93" s="15" t="s">
        <v>1634</v>
      </c>
      <c r="BA93" s="15" t="s">
        <v>174</v>
      </c>
      <c r="BB93" s="15" t="s">
        <v>7506</v>
      </c>
      <c r="BC93" s="15" t="s">
        <v>646</v>
      </c>
      <c r="BE93" s="15" t="s">
        <v>7550</v>
      </c>
      <c r="BF93" s="15" t="s">
        <v>7582</v>
      </c>
      <c r="BI93" s="15" t="s">
        <v>7552</v>
      </c>
      <c r="BJ93" s="15" t="s">
        <v>7553</v>
      </c>
      <c r="BN93" s="15" t="s">
        <v>179</v>
      </c>
      <c r="BP93" s="15" t="s">
        <v>138</v>
      </c>
      <c r="BS93" s="15" t="s">
        <v>7583</v>
      </c>
      <c r="DH93" s="15" t="s">
        <v>17982</v>
      </c>
      <c r="DI93" s="15" t="s">
        <v>17982</v>
      </c>
    </row>
    <row r="94" spans="1:113" s="15" customFormat="1" ht="12.75" x14ac:dyDescent="0.2">
      <c r="A94" s="15" t="s">
        <v>109</v>
      </c>
      <c r="B94" s="15" t="s">
        <v>110</v>
      </c>
      <c r="D94" s="15" t="s">
        <v>620</v>
      </c>
      <c r="E94" s="15" t="s">
        <v>112</v>
      </c>
      <c r="F94" s="15" t="s">
        <v>620</v>
      </c>
      <c r="G94" s="15" t="s">
        <v>113</v>
      </c>
      <c r="H94" s="15" t="s">
        <v>1045</v>
      </c>
      <c r="J94" s="16" t="s">
        <v>114</v>
      </c>
      <c r="U94" s="15" t="s">
        <v>17977</v>
      </c>
      <c r="W94" s="15">
        <v>1475</v>
      </c>
      <c r="X94" s="15">
        <v>104</v>
      </c>
      <c r="Y94" s="15" t="s">
        <v>160</v>
      </c>
      <c r="Z94" s="15" t="s">
        <v>161</v>
      </c>
      <c r="AA94" s="15" t="s">
        <v>162</v>
      </c>
      <c r="AB94" s="15" t="s">
        <v>7565</v>
      </c>
      <c r="AC94" s="15" t="s">
        <v>7565</v>
      </c>
      <c r="AD94" s="15" t="s">
        <v>7565</v>
      </c>
      <c r="AE94" s="15" t="s">
        <v>164</v>
      </c>
      <c r="AF94" s="15" t="s">
        <v>7565</v>
      </c>
      <c r="AG94" s="15" t="s">
        <v>7565</v>
      </c>
      <c r="AH94" s="15" t="s">
        <v>7566</v>
      </c>
      <c r="AL94" s="15" t="s">
        <v>7557</v>
      </c>
      <c r="AN94" s="15">
        <v>743</v>
      </c>
      <c r="AO94" s="15" t="s">
        <v>7567</v>
      </c>
      <c r="AQ94" s="15" t="s">
        <v>1193</v>
      </c>
      <c r="AT94" s="15" t="s">
        <v>7568</v>
      </c>
      <c r="AU94" s="15" t="s">
        <v>7569</v>
      </c>
      <c r="AV94" s="15" t="s">
        <v>7569</v>
      </c>
      <c r="AW94" s="15" t="s">
        <v>7570</v>
      </c>
      <c r="AX94" s="15" t="s">
        <v>7571</v>
      </c>
      <c r="AY94" s="15">
        <f t="shared" si="1"/>
        <v>55</v>
      </c>
      <c r="AZ94" s="15" t="s">
        <v>1634</v>
      </c>
      <c r="BA94" s="15" t="s">
        <v>174</v>
      </c>
      <c r="BB94" s="15" t="s">
        <v>7506</v>
      </c>
      <c r="BC94" s="15" t="s">
        <v>646</v>
      </c>
      <c r="BE94" s="15" t="s">
        <v>7550</v>
      </c>
      <c r="BF94" s="15" t="s">
        <v>7572</v>
      </c>
      <c r="BI94" s="15" t="s">
        <v>7552</v>
      </c>
      <c r="BJ94" s="15" t="s">
        <v>7553</v>
      </c>
      <c r="BK94" s="15" t="s">
        <v>487</v>
      </c>
      <c r="BN94" s="15" t="s">
        <v>179</v>
      </c>
      <c r="BP94" s="15" t="s">
        <v>138</v>
      </c>
      <c r="BS94" s="15" t="s">
        <v>7573</v>
      </c>
      <c r="DH94" s="15" t="s">
        <v>17982</v>
      </c>
      <c r="DI94" s="15" t="s">
        <v>17982</v>
      </c>
    </row>
    <row r="95" spans="1:113" s="15" customFormat="1" ht="12.75" x14ac:dyDescent="0.2">
      <c r="A95" s="15" t="s">
        <v>109</v>
      </c>
      <c r="B95" s="15" t="s">
        <v>110</v>
      </c>
      <c r="D95" s="15" t="s">
        <v>620</v>
      </c>
      <c r="E95" s="15" t="s">
        <v>112</v>
      </c>
      <c r="F95" s="15" t="s">
        <v>620</v>
      </c>
      <c r="G95" s="15" t="s">
        <v>113</v>
      </c>
      <c r="H95" s="15" t="s">
        <v>1045</v>
      </c>
      <c r="J95" s="16" t="s">
        <v>114</v>
      </c>
      <c r="U95" s="15" t="s">
        <v>17977</v>
      </c>
      <c r="W95" s="15">
        <v>1471</v>
      </c>
      <c r="X95" s="15">
        <v>105</v>
      </c>
      <c r="Y95" s="15" t="s">
        <v>160</v>
      </c>
      <c r="Z95" s="15" t="s">
        <v>161</v>
      </c>
      <c r="AA95" s="15" t="s">
        <v>162</v>
      </c>
      <c r="AB95" s="15" t="s">
        <v>7520</v>
      </c>
      <c r="AC95" s="15" t="s">
        <v>7520</v>
      </c>
      <c r="AD95" s="15" t="s">
        <v>7520</v>
      </c>
      <c r="AE95" s="15" t="s">
        <v>164</v>
      </c>
      <c r="AF95" s="15" t="s">
        <v>7520</v>
      </c>
      <c r="AG95" s="15" t="s">
        <v>7520</v>
      </c>
      <c r="AH95" s="15" t="s">
        <v>7521</v>
      </c>
      <c r="AL95" s="15" t="s">
        <v>7522</v>
      </c>
      <c r="AN95" s="15">
        <v>743</v>
      </c>
      <c r="AO95" s="15" t="s">
        <v>7523</v>
      </c>
      <c r="AQ95" s="15" t="s">
        <v>7524</v>
      </c>
      <c r="AT95" s="15" t="s">
        <v>7525</v>
      </c>
      <c r="AU95" s="15" t="s">
        <v>7526</v>
      </c>
      <c r="AV95" s="15" t="s">
        <v>7526</v>
      </c>
      <c r="AW95" s="15" t="s">
        <v>7527</v>
      </c>
      <c r="AX95" s="15" t="s">
        <v>7528</v>
      </c>
      <c r="AY95" s="15">
        <f t="shared" si="1"/>
        <v>59</v>
      </c>
      <c r="AZ95" s="15" t="s">
        <v>7529</v>
      </c>
      <c r="BA95" s="15" t="s">
        <v>174</v>
      </c>
      <c r="BB95" s="15" t="s">
        <v>7506</v>
      </c>
      <c r="BC95" s="15" t="s">
        <v>801</v>
      </c>
      <c r="BE95" s="15" t="s">
        <v>7530</v>
      </c>
      <c r="BJ95" s="15" t="s">
        <v>7531</v>
      </c>
      <c r="BN95" s="15" t="s">
        <v>179</v>
      </c>
      <c r="BP95" s="15" t="s">
        <v>138</v>
      </c>
      <c r="BS95" s="15" t="s">
        <v>7532</v>
      </c>
      <c r="DH95" s="15" t="s">
        <v>17982</v>
      </c>
      <c r="DI95" s="15" t="s">
        <v>17982</v>
      </c>
    </row>
    <row r="96" spans="1:113" s="15" customFormat="1" ht="12.75" x14ac:dyDescent="0.2">
      <c r="A96" s="15" t="s">
        <v>109</v>
      </c>
      <c r="B96" s="15" t="s">
        <v>110</v>
      </c>
      <c r="D96" s="15" t="s">
        <v>620</v>
      </c>
      <c r="E96" s="15" t="s">
        <v>112</v>
      </c>
      <c r="F96" s="15" t="s">
        <v>620</v>
      </c>
      <c r="G96" s="15" t="s">
        <v>113</v>
      </c>
      <c r="H96" s="15" t="s">
        <v>1045</v>
      </c>
      <c r="J96" s="16" t="s">
        <v>114</v>
      </c>
      <c r="U96" s="15" t="s">
        <v>17977</v>
      </c>
      <c r="W96" s="15">
        <v>1472</v>
      </c>
      <c r="X96" s="15">
        <v>106</v>
      </c>
      <c r="Y96" s="15" t="s">
        <v>160</v>
      </c>
      <c r="Z96" s="15" t="s">
        <v>161</v>
      </c>
      <c r="AA96" s="15" t="s">
        <v>162</v>
      </c>
      <c r="AB96" s="15" t="s">
        <v>7533</v>
      </c>
      <c r="AC96" s="15" t="s">
        <v>7533</v>
      </c>
      <c r="AD96" s="15" t="s">
        <v>7533</v>
      </c>
      <c r="AE96" s="15" t="s">
        <v>164</v>
      </c>
      <c r="AF96" s="15" t="s">
        <v>7533</v>
      </c>
      <c r="AG96" s="15" t="s">
        <v>7533</v>
      </c>
      <c r="AH96" s="15" t="s">
        <v>7534</v>
      </c>
      <c r="AL96" s="15" t="s">
        <v>7535</v>
      </c>
      <c r="AN96" s="15">
        <v>743</v>
      </c>
      <c r="AO96" s="15" t="s">
        <v>7536</v>
      </c>
      <c r="AQ96" s="15" t="s">
        <v>7524</v>
      </c>
      <c r="AT96" s="15" t="s">
        <v>7537</v>
      </c>
      <c r="AU96" s="15" t="s">
        <v>7538</v>
      </c>
      <c r="AV96" s="15" t="s">
        <v>7538</v>
      </c>
      <c r="AW96" s="15" t="s">
        <v>7539</v>
      </c>
      <c r="AX96" s="15" t="s">
        <v>7540</v>
      </c>
      <c r="AY96" s="15">
        <f t="shared" si="1"/>
        <v>59</v>
      </c>
      <c r="AZ96" s="15" t="s">
        <v>7529</v>
      </c>
      <c r="BA96" s="15" t="s">
        <v>174</v>
      </c>
      <c r="BB96" s="15" t="s">
        <v>7506</v>
      </c>
      <c r="BC96" s="15" t="s">
        <v>884</v>
      </c>
      <c r="BE96" s="15" t="s">
        <v>7530</v>
      </c>
      <c r="BJ96" s="15" t="s">
        <v>7531</v>
      </c>
      <c r="BN96" s="15" t="s">
        <v>179</v>
      </c>
      <c r="BP96" s="15" t="s">
        <v>138</v>
      </c>
      <c r="BS96" s="15" t="s">
        <v>7541</v>
      </c>
      <c r="DH96" s="15" t="s">
        <v>17982</v>
      </c>
      <c r="DI96" s="15" t="s">
        <v>17982</v>
      </c>
    </row>
    <row r="97" spans="1:113" s="15" customFormat="1" ht="12.75" x14ac:dyDescent="0.2">
      <c r="A97" s="15" t="s">
        <v>109</v>
      </c>
      <c r="B97" s="15" t="s">
        <v>110</v>
      </c>
      <c r="D97" s="15" t="s">
        <v>620</v>
      </c>
      <c r="E97" s="15" t="s">
        <v>112</v>
      </c>
      <c r="F97" s="15" t="s">
        <v>620</v>
      </c>
      <c r="G97" s="15" t="s">
        <v>113</v>
      </c>
      <c r="H97" s="15" t="s">
        <v>1045</v>
      </c>
      <c r="J97" s="16" t="s">
        <v>114</v>
      </c>
      <c r="U97" s="15" t="s">
        <v>17977</v>
      </c>
      <c r="W97" s="15">
        <v>3362</v>
      </c>
      <c r="X97" s="15">
        <v>107</v>
      </c>
      <c r="Y97" s="15" t="s">
        <v>160</v>
      </c>
      <c r="Z97" s="15" t="s">
        <v>161</v>
      </c>
      <c r="AA97" s="15" t="s">
        <v>162</v>
      </c>
      <c r="AB97" s="15" t="s">
        <v>16242</v>
      </c>
      <c r="AC97" s="15" t="s">
        <v>16242</v>
      </c>
      <c r="AD97" s="15" t="s">
        <v>16242</v>
      </c>
      <c r="AE97" s="15" t="s">
        <v>164</v>
      </c>
      <c r="AF97" s="15" t="s">
        <v>16242</v>
      </c>
      <c r="AG97" s="15" t="s">
        <v>16242</v>
      </c>
      <c r="AH97" s="15" t="s">
        <v>16243</v>
      </c>
      <c r="AL97" s="15" t="s">
        <v>16244</v>
      </c>
      <c r="AN97" s="15">
        <v>743</v>
      </c>
      <c r="AO97" s="15" t="s">
        <v>16245</v>
      </c>
      <c r="AQ97" s="15" t="s">
        <v>2747</v>
      </c>
      <c r="AT97" s="15" t="s">
        <v>16246</v>
      </c>
      <c r="AU97" s="15" t="s">
        <v>16247</v>
      </c>
      <c r="AV97" s="15" t="s">
        <v>16247</v>
      </c>
      <c r="AW97" s="15" t="s">
        <v>16248</v>
      </c>
      <c r="AX97" s="15" t="s">
        <v>16249</v>
      </c>
      <c r="AY97" s="15">
        <f t="shared" si="1"/>
        <v>52</v>
      </c>
      <c r="AZ97" s="15" t="s">
        <v>2752</v>
      </c>
      <c r="BA97" s="15" t="s">
        <v>2753</v>
      </c>
      <c r="BB97" s="15" t="s">
        <v>7495</v>
      </c>
      <c r="BE97" s="15" t="s">
        <v>16250</v>
      </c>
      <c r="BJ97" s="15" t="s">
        <v>16251</v>
      </c>
      <c r="BK97" s="15" t="s">
        <v>1469</v>
      </c>
      <c r="BN97" s="15" t="s">
        <v>179</v>
      </c>
      <c r="BP97" s="15" t="s">
        <v>138</v>
      </c>
      <c r="BS97" s="15" t="s">
        <v>16252</v>
      </c>
      <c r="DH97" s="15" t="s">
        <v>17982</v>
      </c>
      <c r="DI97" s="15" t="s">
        <v>17982</v>
      </c>
    </row>
    <row r="98" spans="1:113" s="15" customFormat="1" ht="12.75" x14ac:dyDescent="0.2">
      <c r="A98" s="15" t="s">
        <v>109</v>
      </c>
      <c r="B98" s="15" t="s">
        <v>110</v>
      </c>
      <c r="D98" s="15" t="s">
        <v>620</v>
      </c>
      <c r="E98" s="15" t="s">
        <v>112</v>
      </c>
      <c r="F98" s="15" t="s">
        <v>620</v>
      </c>
      <c r="G98" s="15" t="s">
        <v>113</v>
      </c>
      <c r="H98" s="15" t="s">
        <v>1045</v>
      </c>
      <c r="J98" s="16" t="s">
        <v>114</v>
      </c>
      <c r="U98" s="15" t="s">
        <v>17977</v>
      </c>
      <c r="W98" s="15">
        <v>3363</v>
      </c>
      <c r="X98" s="15">
        <v>108</v>
      </c>
      <c r="Y98" s="15" t="s">
        <v>160</v>
      </c>
      <c r="Z98" s="15" t="s">
        <v>161</v>
      </c>
      <c r="AA98" s="15" t="s">
        <v>162</v>
      </c>
      <c r="AB98" s="15" t="s">
        <v>16253</v>
      </c>
      <c r="AC98" s="15" t="s">
        <v>16253</v>
      </c>
      <c r="AD98" s="15" t="s">
        <v>16253</v>
      </c>
      <c r="AE98" s="15" t="s">
        <v>164</v>
      </c>
      <c r="AF98" s="15" t="s">
        <v>16253</v>
      </c>
      <c r="AG98" s="15" t="s">
        <v>16253</v>
      </c>
      <c r="AH98" s="15" t="s">
        <v>16254</v>
      </c>
      <c r="AL98" s="15" t="s">
        <v>16255</v>
      </c>
      <c r="AN98" s="15">
        <v>743</v>
      </c>
      <c r="AO98" s="15" t="s">
        <v>16256</v>
      </c>
      <c r="AQ98" s="15" t="s">
        <v>2747</v>
      </c>
      <c r="AT98" s="15" t="s">
        <v>16257</v>
      </c>
      <c r="AU98" s="15" t="s">
        <v>16258</v>
      </c>
      <c r="AV98" s="15" t="s">
        <v>16258</v>
      </c>
      <c r="AW98" s="15" t="s">
        <v>16259</v>
      </c>
      <c r="AX98" s="15" t="s">
        <v>16260</v>
      </c>
      <c r="AY98" s="15">
        <f t="shared" si="1"/>
        <v>52</v>
      </c>
      <c r="AZ98" s="15" t="s">
        <v>2752</v>
      </c>
      <c r="BA98" s="15" t="s">
        <v>2753</v>
      </c>
      <c r="BB98" s="15" t="s">
        <v>7495</v>
      </c>
      <c r="BE98" s="15" t="s">
        <v>16261</v>
      </c>
      <c r="BJ98" s="15" t="s">
        <v>16251</v>
      </c>
      <c r="BK98" s="15" t="s">
        <v>1469</v>
      </c>
      <c r="BN98" s="15" t="s">
        <v>179</v>
      </c>
      <c r="BP98" s="15" t="s">
        <v>138</v>
      </c>
      <c r="BS98" s="15" t="s">
        <v>16262</v>
      </c>
      <c r="DH98" s="15" t="s">
        <v>17982</v>
      </c>
      <c r="DI98" s="15" t="s">
        <v>17982</v>
      </c>
    </row>
    <row r="99" spans="1:113" s="15" customFormat="1" ht="12.75" x14ac:dyDescent="0.2">
      <c r="A99" s="15" t="s">
        <v>109</v>
      </c>
      <c r="B99" s="15" t="s">
        <v>110</v>
      </c>
      <c r="D99" s="15" t="s">
        <v>620</v>
      </c>
      <c r="E99" s="15" t="s">
        <v>112</v>
      </c>
      <c r="F99" s="15" t="s">
        <v>620</v>
      </c>
      <c r="G99" s="15" t="s">
        <v>113</v>
      </c>
      <c r="H99" s="15" t="s">
        <v>1045</v>
      </c>
      <c r="J99" s="16" t="s">
        <v>114</v>
      </c>
      <c r="U99" s="15" t="s">
        <v>17977</v>
      </c>
      <c r="W99" s="15">
        <v>3364</v>
      </c>
      <c r="X99" s="15">
        <v>109</v>
      </c>
      <c r="Y99" s="15" t="s">
        <v>160</v>
      </c>
      <c r="Z99" s="15" t="s">
        <v>161</v>
      </c>
      <c r="AA99" s="15" t="s">
        <v>162</v>
      </c>
      <c r="AB99" s="15" t="s">
        <v>16263</v>
      </c>
      <c r="AC99" s="15" t="s">
        <v>16263</v>
      </c>
      <c r="AD99" s="15" t="s">
        <v>16263</v>
      </c>
      <c r="AE99" s="15" t="s">
        <v>164</v>
      </c>
      <c r="AF99" s="15" t="s">
        <v>16263</v>
      </c>
      <c r="AG99" s="15" t="s">
        <v>16263</v>
      </c>
      <c r="AH99" s="15" t="s">
        <v>16264</v>
      </c>
      <c r="AL99" s="15" t="s">
        <v>16265</v>
      </c>
      <c r="AN99" s="15">
        <v>743</v>
      </c>
      <c r="AO99" s="15" t="s">
        <v>16266</v>
      </c>
      <c r="AQ99" s="15" t="s">
        <v>2747</v>
      </c>
      <c r="AT99" s="15" t="s">
        <v>16267</v>
      </c>
      <c r="AU99" s="15" t="s">
        <v>16268</v>
      </c>
      <c r="AV99" s="15" t="s">
        <v>16268</v>
      </c>
      <c r="AW99" s="15" t="s">
        <v>16269</v>
      </c>
      <c r="AX99" s="15" t="s">
        <v>16270</v>
      </c>
      <c r="AY99" s="15">
        <f t="shared" si="1"/>
        <v>52</v>
      </c>
      <c r="AZ99" s="15" t="s">
        <v>2752</v>
      </c>
      <c r="BA99" s="15" t="s">
        <v>2753</v>
      </c>
      <c r="BB99" s="15" t="s">
        <v>7495</v>
      </c>
      <c r="BE99" s="15" t="s">
        <v>16271</v>
      </c>
      <c r="BJ99" s="15" t="s">
        <v>16251</v>
      </c>
      <c r="BK99" s="15" t="s">
        <v>1469</v>
      </c>
      <c r="BN99" s="15" t="s">
        <v>179</v>
      </c>
      <c r="BP99" s="15" t="s">
        <v>138</v>
      </c>
      <c r="BS99" s="15" t="s">
        <v>16272</v>
      </c>
      <c r="DH99" s="15" t="s">
        <v>17982</v>
      </c>
      <c r="DI99" s="15" t="s">
        <v>17982</v>
      </c>
    </row>
    <row r="100" spans="1:113" s="15" customFormat="1" ht="12.75" x14ac:dyDescent="0.2">
      <c r="A100" s="15" t="s">
        <v>109</v>
      </c>
      <c r="B100" s="15" t="s">
        <v>110</v>
      </c>
      <c r="D100" s="15" t="s">
        <v>620</v>
      </c>
      <c r="E100" s="15" t="s">
        <v>112</v>
      </c>
      <c r="F100" s="15" t="s">
        <v>620</v>
      </c>
      <c r="G100" s="15" t="s">
        <v>113</v>
      </c>
      <c r="H100" s="15" t="s">
        <v>1045</v>
      </c>
      <c r="J100" s="16" t="s">
        <v>114</v>
      </c>
      <c r="U100" s="15" t="s">
        <v>17977</v>
      </c>
      <c r="W100" s="15">
        <v>3365</v>
      </c>
      <c r="X100" s="15">
        <v>110</v>
      </c>
      <c r="Y100" s="15" t="s">
        <v>160</v>
      </c>
      <c r="Z100" s="15" t="s">
        <v>161</v>
      </c>
      <c r="AA100" s="15" t="s">
        <v>162</v>
      </c>
      <c r="AB100" s="15" t="s">
        <v>16273</v>
      </c>
      <c r="AC100" s="15" t="s">
        <v>16273</v>
      </c>
      <c r="AD100" s="15" t="s">
        <v>16273</v>
      </c>
      <c r="AE100" s="15" t="s">
        <v>164</v>
      </c>
      <c r="AF100" s="15" t="s">
        <v>16273</v>
      </c>
      <c r="AG100" s="15" t="s">
        <v>16273</v>
      </c>
      <c r="AH100" s="15" t="s">
        <v>16274</v>
      </c>
      <c r="AL100" s="15" t="s">
        <v>16275</v>
      </c>
      <c r="AN100" s="15">
        <v>743</v>
      </c>
      <c r="AO100" s="15" t="s">
        <v>16276</v>
      </c>
      <c r="AQ100" s="15" t="s">
        <v>2747</v>
      </c>
      <c r="AT100" s="15" t="s">
        <v>16277</v>
      </c>
      <c r="AU100" s="15" t="s">
        <v>16278</v>
      </c>
      <c r="AV100" s="15" t="s">
        <v>16278</v>
      </c>
      <c r="AW100" s="15" t="s">
        <v>16279</v>
      </c>
      <c r="AX100" s="15" t="s">
        <v>16280</v>
      </c>
      <c r="AY100" s="15">
        <f t="shared" si="1"/>
        <v>52</v>
      </c>
      <c r="AZ100" s="15" t="s">
        <v>2752</v>
      </c>
      <c r="BA100" s="15" t="s">
        <v>2753</v>
      </c>
      <c r="BB100" s="15" t="s">
        <v>7495</v>
      </c>
      <c r="BE100" s="15" t="s">
        <v>16281</v>
      </c>
      <c r="BJ100" s="15" t="s">
        <v>16282</v>
      </c>
      <c r="BK100" s="15" t="s">
        <v>1469</v>
      </c>
      <c r="BN100" s="15" t="s">
        <v>179</v>
      </c>
      <c r="BP100" s="15" t="s">
        <v>138</v>
      </c>
      <c r="BS100" s="15" t="s">
        <v>16283</v>
      </c>
      <c r="DH100" s="15" t="s">
        <v>17982</v>
      </c>
      <c r="DI100" s="15" t="s">
        <v>17982</v>
      </c>
    </row>
    <row r="101" spans="1:113" s="15" customFormat="1" ht="12.75" x14ac:dyDescent="0.2">
      <c r="A101" s="15" t="s">
        <v>109</v>
      </c>
      <c r="B101" s="15" t="s">
        <v>110</v>
      </c>
      <c r="D101" s="15" t="s">
        <v>620</v>
      </c>
      <c r="E101" s="15" t="s">
        <v>112</v>
      </c>
      <c r="F101" s="15" t="s">
        <v>620</v>
      </c>
      <c r="G101" s="15" t="s">
        <v>113</v>
      </c>
      <c r="H101" s="15" t="s">
        <v>1045</v>
      </c>
      <c r="J101" s="16" t="s">
        <v>114</v>
      </c>
      <c r="U101" s="15" t="s">
        <v>17977</v>
      </c>
      <c r="W101" s="15">
        <v>1468</v>
      </c>
      <c r="X101" s="15">
        <v>111</v>
      </c>
      <c r="Y101" s="15" t="s">
        <v>160</v>
      </c>
      <c r="Z101" s="15" t="s">
        <v>161</v>
      </c>
      <c r="AA101" s="15" t="s">
        <v>162</v>
      </c>
      <c r="AB101" s="15" t="s">
        <v>7487</v>
      </c>
      <c r="AC101" s="15" t="s">
        <v>7487</v>
      </c>
      <c r="AD101" s="15" t="s">
        <v>7487</v>
      </c>
      <c r="AE101" s="15" t="s">
        <v>164</v>
      </c>
      <c r="AF101" s="15" t="s">
        <v>7487</v>
      </c>
      <c r="AG101" s="15" t="s">
        <v>7487</v>
      </c>
      <c r="AH101" s="15" t="s">
        <v>7488</v>
      </c>
      <c r="AL101" s="15" t="s">
        <v>7489</v>
      </c>
      <c r="AN101" s="15">
        <v>743</v>
      </c>
      <c r="AO101" s="15" t="s">
        <v>7490</v>
      </c>
      <c r="AQ101" s="15" t="s">
        <v>829</v>
      </c>
      <c r="AT101" s="15" t="s">
        <v>7491</v>
      </c>
      <c r="AU101" s="15" t="s">
        <v>7492</v>
      </c>
      <c r="AV101" s="15" t="s">
        <v>7492</v>
      </c>
      <c r="AW101" s="15" t="s">
        <v>7493</v>
      </c>
      <c r="AX101" s="15" t="s">
        <v>7494</v>
      </c>
      <c r="AY101" s="15">
        <f t="shared" si="1"/>
        <v>58</v>
      </c>
      <c r="AZ101" s="15" t="s">
        <v>834</v>
      </c>
      <c r="BA101" s="15" t="s">
        <v>174</v>
      </c>
      <c r="BB101" s="15" t="s">
        <v>7495</v>
      </c>
      <c r="BE101" s="15" t="s">
        <v>1754</v>
      </c>
      <c r="BF101" s="15" t="s">
        <v>1467</v>
      </c>
      <c r="BJ101" s="15" t="s">
        <v>7496</v>
      </c>
      <c r="BN101" s="15" t="s">
        <v>179</v>
      </c>
      <c r="BP101" s="15" t="s">
        <v>138</v>
      </c>
      <c r="BS101" s="15" t="s">
        <v>7497</v>
      </c>
      <c r="DH101" s="15" t="s">
        <v>17982</v>
      </c>
      <c r="DI101" s="15" t="s">
        <v>17982</v>
      </c>
    </row>
    <row r="102" spans="1:113" s="15" customFormat="1" ht="12.75" x14ac:dyDescent="0.2">
      <c r="A102" s="15" t="s">
        <v>109</v>
      </c>
      <c r="B102" s="15" t="s">
        <v>110</v>
      </c>
      <c r="D102" s="15" t="s">
        <v>620</v>
      </c>
      <c r="E102" s="15" t="s">
        <v>112</v>
      </c>
      <c r="F102" s="15" t="s">
        <v>620</v>
      </c>
      <c r="G102" s="15" t="s">
        <v>113</v>
      </c>
      <c r="H102" s="15" t="s">
        <v>1045</v>
      </c>
      <c r="J102" s="16" t="s">
        <v>114</v>
      </c>
      <c r="U102" s="15" t="s">
        <v>17977</v>
      </c>
      <c r="W102" s="15">
        <v>3202</v>
      </c>
      <c r="X102" s="15">
        <v>112</v>
      </c>
      <c r="Y102" s="15" t="s">
        <v>160</v>
      </c>
      <c r="Z102" s="15" t="s">
        <v>161</v>
      </c>
      <c r="AA102" s="15" t="s">
        <v>162</v>
      </c>
      <c r="AB102" s="15" t="s">
        <v>15446</v>
      </c>
      <c r="AC102" s="15" t="s">
        <v>15446</v>
      </c>
      <c r="AD102" s="15" t="s">
        <v>15446</v>
      </c>
      <c r="AE102" s="15" t="s">
        <v>164</v>
      </c>
      <c r="AF102" s="15" t="s">
        <v>15446</v>
      </c>
      <c r="AG102" s="15" t="s">
        <v>15446</v>
      </c>
      <c r="AH102" s="15" t="s">
        <v>15447</v>
      </c>
      <c r="AL102" s="15" t="s">
        <v>15448</v>
      </c>
      <c r="AN102" s="15">
        <v>743</v>
      </c>
      <c r="AO102" s="15" t="s">
        <v>15449</v>
      </c>
      <c r="AQ102" s="15" t="s">
        <v>843</v>
      </c>
      <c r="AT102" s="15" t="s">
        <v>15450</v>
      </c>
      <c r="AU102" s="15" t="s">
        <v>15451</v>
      </c>
      <c r="AV102" s="15" t="s">
        <v>15451</v>
      </c>
      <c r="AW102" s="15" t="s">
        <v>15452</v>
      </c>
      <c r="AX102" s="15" t="s">
        <v>15453</v>
      </c>
      <c r="AY102" s="15">
        <f t="shared" si="1"/>
        <v>58</v>
      </c>
      <c r="AZ102" s="15" t="s">
        <v>848</v>
      </c>
      <c r="BA102" s="15" t="s">
        <v>174</v>
      </c>
      <c r="BB102" s="15" t="s">
        <v>15442</v>
      </c>
      <c r="BC102" s="15" t="s">
        <v>801</v>
      </c>
      <c r="BE102" s="15" t="s">
        <v>251</v>
      </c>
      <c r="BF102" s="15" t="s">
        <v>863</v>
      </c>
      <c r="BJ102" s="15" t="s">
        <v>15454</v>
      </c>
      <c r="BN102" s="15" t="s">
        <v>179</v>
      </c>
      <c r="BP102" s="15" t="s">
        <v>138</v>
      </c>
      <c r="BS102" s="15" t="s">
        <v>15455</v>
      </c>
      <c r="DH102" s="15" t="s">
        <v>17982</v>
      </c>
      <c r="DI102" s="15" t="s">
        <v>17982</v>
      </c>
    </row>
    <row r="103" spans="1:113" s="15" customFormat="1" ht="12.75" x14ac:dyDescent="0.2">
      <c r="A103" s="15" t="s">
        <v>109</v>
      </c>
      <c r="B103" s="15" t="s">
        <v>110</v>
      </c>
      <c r="D103" s="15" t="s">
        <v>620</v>
      </c>
      <c r="E103" s="15" t="s">
        <v>112</v>
      </c>
      <c r="F103" s="15" t="s">
        <v>620</v>
      </c>
      <c r="G103" s="15" t="s">
        <v>113</v>
      </c>
      <c r="H103" s="15" t="s">
        <v>1045</v>
      </c>
      <c r="J103" s="16" t="s">
        <v>114</v>
      </c>
      <c r="U103" s="15" t="s">
        <v>17977</v>
      </c>
      <c r="W103" s="15">
        <v>3204</v>
      </c>
      <c r="X103" s="15">
        <v>113</v>
      </c>
      <c r="Y103" s="15" t="s">
        <v>160</v>
      </c>
      <c r="Z103" s="15" t="s">
        <v>161</v>
      </c>
      <c r="AA103" s="15" t="s">
        <v>162</v>
      </c>
      <c r="AB103" s="15" t="s">
        <v>15468</v>
      </c>
      <c r="AC103" s="15" t="s">
        <v>15468</v>
      </c>
      <c r="AD103" s="15" t="s">
        <v>15468</v>
      </c>
      <c r="AE103" s="15" t="s">
        <v>164</v>
      </c>
      <c r="AF103" s="15" t="s">
        <v>15468</v>
      </c>
      <c r="AG103" s="15" t="s">
        <v>15468</v>
      </c>
      <c r="AH103" s="15" t="s">
        <v>15469</v>
      </c>
      <c r="AL103" s="15" t="s">
        <v>15470</v>
      </c>
      <c r="AN103" s="15">
        <v>743</v>
      </c>
      <c r="AO103" s="15" t="s">
        <v>15471</v>
      </c>
      <c r="AQ103" s="15" t="s">
        <v>829</v>
      </c>
      <c r="AT103" s="15" t="s">
        <v>15472</v>
      </c>
      <c r="AU103" s="15" t="s">
        <v>15473</v>
      </c>
      <c r="AV103" s="15" t="s">
        <v>15473</v>
      </c>
      <c r="AW103" s="15" t="s">
        <v>15474</v>
      </c>
      <c r="AX103" s="15" t="s">
        <v>15475</v>
      </c>
      <c r="AY103" s="15">
        <f t="shared" si="1"/>
        <v>57</v>
      </c>
      <c r="AZ103" s="15" t="s">
        <v>834</v>
      </c>
      <c r="BA103" s="15" t="s">
        <v>174</v>
      </c>
      <c r="BB103" s="15" t="s">
        <v>15442</v>
      </c>
      <c r="BC103" s="15" t="s">
        <v>15476</v>
      </c>
      <c r="BE103" s="15" t="s">
        <v>251</v>
      </c>
      <c r="BF103" s="15" t="s">
        <v>15477</v>
      </c>
      <c r="BJ103" s="15" t="s">
        <v>15466</v>
      </c>
      <c r="BN103" s="15" t="s">
        <v>179</v>
      </c>
      <c r="BP103" s="15" t="s">
        <v>138</v>
      </c>
      <c r="BS103" s="15" t="s">
        <v>15478</v>
      </c>
      <c r="DH103" s="15" t="s">
        <v>17982</v>
      </c>
      <c r="DI103" s="15" t="s">
        <v>17982</v>
      </c>
    </row>
    <row r="104" spans="1:113" s="15" customFormat="1" ht="12.75" x14ac:dyDescent="0.2">
      <c r="A104" s="15" t="s">
        <v>109</v>
      </c>
      <c r="B104" s="15" t="s">
        <v>110</v>
      </c>
      <c r="D104" s="15" t="s">
        <v>620</v>
      </c>
      <c r="E104" s="15" t="s">
        <v>112</v>
      </c>
      <c r="F104" s="15" t="s">
        <v>620</v>
      </c>
      <c r="G104" s="15" t="s">
        <v>113</v>
      </c>
      <c r="H104" s="15" t="s">
        <v>1045</v>
      </c>
      <c r="J104" s="16" t="s">
        <v>114</v>
      </c>
      <c r="U104" s="15" t="s">
        <v>17977</v>
      </c>
      <c r="W104" s="15">
        <v>3203</v>
      </c>
      <c r="X104" s="15">
        <v>114</v>
      </c>
      <c r="Y104" s="15" t="s">
        <v>160</v>
      </c>
      <c r="Z104" s="15" t="s">
        <v>161</v>
      </c>
      <c r="AA104" s="15" t="s">
        <v>162</v>
      </c>
      <c r="AB104" s="15" t="s">
        <v>15456</v>
      </c>
      <c r="AC104" s="15" t="s">
        <v>15456</v>
      </c>
      <c r="AD104" s="15" t="s">
        <v>15456</v>
      </c>
      <c r="AE104" s="15" t="s">
        <v>164</v>
      </c>
      <c r="AF104" s="15" t="s">
        <v>15456</v>
      </c>
      <c r="AG104" s="15" t="s">
        <v>15456</v>
      </c>
      <c r="AH104" s="15" t="s">
        <v>15457</v>
      </c>
      <c r="AL104" s="15" t="s">
        <v>15458</v>
      </c>
      <c r="AN104" s="15">
        <v>743</v>
      </c>
      <c r="AO104" s="15" t="s">
        <v>15459</v>
      </c>
      <c r="AQ104" s="15" t="s">
        <v>829</v>
      </c>
      <c r="AT104" s="15" t="s">
        <v>15460</v>
      </c>
      <c r="AU104" s="15" t="s">
        <v>15461</v>
      </c>
      <c r="AV104" s="15" t="s">
        <v>15461</v>
      </c>
      <c r="AW104" s="15" t="s">
        <v>15462</v>
      </c>
      <c r="AX104" s="15" t="s">
        <v>15463</v>
      </c>
      <c r="AY104" s="15">
        <f t="shared" si="1"/>
        <v>53</v>
      </c>
      <c r="AZ104" s="15" t="s">
        <v>834</v>
      </c>
      <c r="BA104" s="15" t="s">
        <v>174</v>
      </c>
      <c r="BB104" s="15" t="s">
        <v>15442</v>
      </c>
      <c r="BC104" s="15" t="s">
        <v>15464</v>
      </c>
      <c r="BE104" s="15" t="s">
        <v>251</v>
      </c>
      <c r="BF104" s="15" t="s">
        <v>15465</v>
      </c>
      <c r="BJ104" s="15" t="s">
        <v>15466</v>
      </c>
      <c r="BN104" s="15" t="s">
        <v>179</v>
      </c>
      <c r="BP104" s="15" t="s">
        <v>138</v>
      </c>
      <c r="BS104" s="15" t="s">
        <v>15467</v>
      </c>
      <c r="DH104" s="15" t="s">
        <v>17982</v>
      </c>
      <c r="DI104" s="15" t="s">
        <v>17982</v>
      </c>
    </row>
    <row r="105" spans="1:113" s="15" customFormat="1" ht="12.75" x14ac:dyDescent="0.2">
      <c r="A105" s="15" t="s">
        <v>109</v>
      </c>
      <c r="B105" s="15" t="s">
        <v>110</v>
      </c>
      <c r="D105" s="15" t="s">
        <v>620</v>
      </c>
      <c r="E105" s="15" t="s">
        <v>112</v>
      </c>
      <c r="F105" s="15" t="s">
        <v>620</v>
      </c>
      <c r="G105" s="15" t="s">
        <v>113</v>
      </c>
      <c r="H105" s="15" t="s">
        <v>1045</v>
      </c>
      <c r="J105" s="16" t="s">
        <v>114</v>
      </c>
      <c r="U105" s="15" t="s">
        <v>17977</v>
      </c>
      <c r="W105" s="15">
        <v>3205</v>
      </c>
      <c r="X105" s="15">
        <v>115</v>
      </c>
      <c r="Y105" s="15" t="s">
        <v>160</v>
      </c>
      <c r="Z105" s="15" t="s">
        <v>161</v>
      </c>
      <c r="AA105" s="15" t="s">
        <v>162</v>
      </c>
      <c r="AB105" s="15" t="s">
        <v>15479</v>
      </c>
      <c r="AC105" s="15" t="s">
        <v>15479</v>
      </c>
      <c r="AD105" s="15" t="s">
        <v>15479</v>
      </c>
      <c r="AE105" s="15" t="s">
        <v>164</v>
      </c>
      <c r="AF105" s="15" t="s">
        <v>15479</v>
      </c>
      <c r="AG105" s="15" t="s">
        <v>15479</v>
      </c>
      <c r="AH105" s="15" t="s">
        <v>15480</v>
      </c>
      <c r="AL105" s="15" t="s">
        <v>15481</v>
      </c>
      <c r="AN105" s="15">
        <v>743</v>
      </c>
      <c r="AO105" s="15" t="s">
        <v>15482</v>
      </c>
      <c r="AQ105" s="15" t="s">
        <v>829</v>
      </c>
      <c r="AT105" s="15" t="s">
        <v>15483</v>
      </c>
      <c r="AU105" s="15" t="s">
        <v>15484</v>
      </c>
      <c r="AV105" s="15" t="s">
        <v>15484</v>
      </c>
      <c r="AW105" s="15" t="s">
        <v>15485</v>
      </c>
      <c r="AX105" s="15" t="s">
        <v>15485</v>
      </c>
      <c r="AY105" s="15">
        <f t="shared" si="1"/>
        <v>57</v>
      </c>
      <c r="AZ105" s="15" t="s">
        <v>834</v>
      </c>
      <c r="BA105" s="15" t="s">
        <v>174</v>
      </c>
      <c r="BB105" s="15" t="s">
        <v>15486</v>
      </c>
      <c r="BE105" s="15" t="s">
        <v>606</v>
      </c>
      <c r="BF105" s="15" t="s">
        <v>15487</v>
      </c>
      <c r="BJ105" s="15" t="s">
        <v>15488</v>
      </c>
      <c r="BN105" s="15" t="s">
        <v>179</v>
      </c>
      <c r="BP105" s="15" t="s">
        <v>138</v>
      </c>
      <c r="BS105" s="15" t="s">
        <v>15489</v>
      </c>
      <c r="DH105" s="15" t="s">
        <v>17982</v>
      </c>
      <c r="DI105" s="15" t="s">
        <v>17982</v>
      </c>
    </row>
    <row r="106" spans="1:113" s="15" customFormat="1" ht="12.75" x14ac:dyDescent="0.2">
      <c r="A106" s="15" t="s">
        <v>109</v>
      </c>
      <c r="B106" s="15" t="s">
        <v>110</v>
      </c>
      <c r="D106" s="15" t="s">
        <v>620</v>
      </c>
      <c r="E106" s="15" t="s">
        <v>112</v>
      </c>
      <c r="F106" s="15" t="s">
        <v>620</v>
      </c>
      <c r="G106" s="15" t="s">
        <v>113</v>
      </c>
      <c r="H106" s="15" t="s">
        <v>1045</v>
      </c>
      <c r="J106" s="16" t="s">
        <v>114</v>
      </c>
      <c r="U106" s="15" t="s">
        <v>17977</v>
      </c>
      <c r="W106" s="15">
        <v>3201</v>
      </c>
      <c r="X106" s="15">
        <v>116</v>
      </c>
      <c r="Y106" s="15" t="s">
        <v>160</v>
      </c>
      <c r="Z106" s="15" t="s">
        <v>161</v>
      </c>
      <c r="AA106" s="15" t="s">
        <v>162</v>
      </c>
      <c r="AB106" s="15" t="s">
        <v>15434</v>
      </c>
      <c r="AC106" s="15" t="s">
        <v>15434</v>
      </c>
      <c r="AD106" s="15" t="s">
        <v>15434</v>
      </c>
      <c r="AE106" s="15" t="s">
        <v>164</v>
      </c>
      <c r="AF106" s="15" t="s">
        <v>15434</v>
      </c>
      <c r="AG106" s="15" t="s">
        <v>15434</v>
      </c>
      <c r="AH106" s="15" t="s">
        <v>15435</v>
      </c>
      <c r="AL106" s="15" t="s">
        <v>15436</v>
      </c>
      <c r="AN106" s="15">
        <v>743</v>
      </c>
      <c r="AO106" s="15" t="s">
        <v>15437</v>
      </c>
      <c r="AQ106" s="15" t="s">
        <v>829</v>
      </c>
      <c r="AT106" s="15" t="s">
        <v>15438</v>
      </c>
      <c r="AU106" s="15" t="s">
        <v>15439</v>
      </c>
      <c r="AV106" s="15" t="s">
        <v>15439</v>
      </c>
      <c r="AW106" s="15" t="s">
        <v>15440</v>
      </c>
      <c r="AX106" s="15" t="s">
        <v>15441</v>
      </c>
      <c r="AY106" s="15">
        <f t="shared" si="1"/>
        <v>60</v>
      </c>
      <c r="AZ106" s="15" t="s">
        <v>834</v>
      </c>
      <c r="BA106" s="15" t="s">
        <v>174</v>
      </c>
      <c r="BB106" s="15" t="s">
        <v>15442</v>
      </c>
      <c r="BC106" s="15" t="s">
        <v>11038</v>
      </c>
      <c r="BE106" s="15" t="s">
        <v>251</v>
      </c>
      <c r="BF106" s="15" t="s">
        <v>15443</v>
      </c>
      <c r="BJ106" s="15" t="s">
        <v>15444</v>
      </c>
      <c r="BN106" s="15" t="s">
        <v>179</v>
      </c>
      <c r="BP106" s="15" t="s">
        <v>138</v>
      </c>
      <c r="BS106" s="15" t="s">
        <v>15445</v>
      </c>
      <c r="DH106" s="15" t="s">
        <v>17982</v>
      </c>
      <c r="DI106" s="15" t="s">
        <v>17982</v>
      </c>
    </row>
    <row r="107" spans="1:113" s="15" customFormat="1" ht="12.75" x14ac:dyDescent="0.2">
      <c r="A107" s="15" t="s">
        <v>109</v>
      </c>
      <c r="B107" s="15" t="s">
        <v>110</v>
      </c>
      <c r="D107" s="15" t="s">
        <v>620</v>
      </c>
      <c r="E107" s="15" t="s">
        <v>112</v>
      </c>
      <c r="F107" s="15" t="s">
        <v>620</v>
      </c>
      <c r="G107" s="15" t="s">
        <v>113</v>
      </c>
      <c r="H107" s="15" t="s">
        <v>1045</v>
      </c>
      <c r="J107" s="16" t="s">
        <v>114</v>
      </c>
      <c r="U107" s="15" t="s">
        <v>17977</v>
      </c>
      <c r="W107" s="15">
        <v>2513</v>
      </c>
      <c r="X107" s="15">
        <v>117</v>
      </c>
      <c r="Y107" s="15" t="s">
        <v>160</v>
      </c>
      <c r="Z107" s="15" t="s">
        <v>161</v>
      </c>
      <c r="AA107" s="15" t="s">
        <v>162</v>
      </c>
      <c r="AB107" s="15" t="s">
        <v>12358</v>
      </c>
      <c r="AC107" s="15" t="s">
        <v>12358</v>
      </c>
      <c r="AD107" s="15" t="s">
        <v>12358</v>
      </c>
      <c r="AE107" s="15" t="s">
        <v>164</v>
      </c>
      <c r="AF107" s="15" t="s">
        <v>12358</v>
      </c>
      <c r="AG107" s="15" t="s">
        <v>12358</v>
      </c>
      <c r="AH107" s="47" t="s">
        <v>12359</v>
      </c>
      <c r="AL107" s="15" t="s">
        <v>12360</v>
      </c>
      <c r="AN107" s="15">
        <v>743</v>
      </c>
      <c r="AO107" s="15" t="s">
        <v>12361</v>
      </c>
      <c r="AQ107" s="15" t="s">
        <v>829</v>
      </c>
      <c r="AT107" s="15" t="s">
        <v>12362</v>
      </c>
      <c r="AU107" s="15" t="s">
        <v>12363</v>
      </c>
      <c r="AV107" s="15" t="s">
        <v>12363</v>
      </c>
      <c r="AW107" s="15" t="s">
        <v>12364</v>
      </c>
      <c r="AX107" s="15" t="s">
        <v>12365</v>
      </c>
      <c r="AY107" s="15">
        <f t="shared" si="1"/>
        <v>58</v>
      </c>
      <c r="AZ107" s="15" t="s">
        <v>834</v>
      </c>
      <c r="BA107" s="15" t="s">
        <v>174</v>
      </c>
      <c r="BB107" s="15" t="s">
        <v>12354</v>
      </c>
      <c r="BC107" s="15">
        <v>1</v>
      </c>
      <c r="BE107" s="15" t="s">
        <v>1081</v>
      </c>
      <c r="BF107" s="15" t="s">
        <v>217</v>
      </c>
      <c r="BJ107" s="15" t="s">
        <v>12366</v>
      </c>
      <c r="BN107" s="15" t="s">
        <v>179</v>
      </c>
      <c r="BP107" s="15" t="s">
        <v>138</v>
      </c>
      <c r="BS107" s="15" t="s">
        <v>12367</v>
      </c>
      <c r="DH107" s="15" t="s">
        <v>17982</v>
      </c>
      <c r="DI107" s="15" t="s">
        <v>17982</v>
      </c>
    </row>
    <row r="108" spans="1:113" s="15" customFormat="1" ht="12.75" x14ac:dyDescent="0.2">
      <c r="A108" s="15" t="s">
        <v>109</v>
      </c>
      <c r="B108" s="15" t="s">
        <v>110</v>
      </c>
      <c r="D108" s="15" t="s">
        <v>620</v>
      </c>
      <c r="E108" s="15" t="s">
        <v>112</v>
      </c>
      <c r="F108" s="15" t="s">
        <v>620</v>
      </c>
      <c r="G108" s="15" t="s">
        <v>113</v>
      </c>
      <c r="H108" s="15" t="s">
        <v>1045</v>
      </c>
      <c r="J108" s="16" t="s">
        <v>114</v>
      </c>
      <c r="U108" s="15" t="s">
        <v>17977</v>
      </c>
      <c r="W108" s="15">
        <v>2514</v>
      </c>
      <c r="X108" s="15">
        <v>118</v>
      </c>
      <c r="Y108" s="15" t="s">
        <v>160</v>
      </c>
      <c r="Z108" s="15" t="s">
        <v>161</v>
      </c>
      <c r="AA108" s="15" t="s">
        <v>162</v>
      </c>
      <c r="AB108" s="15" t="s">
        <v>12368</v>
      </c>
      <c r="AC108" s="15" t="s">
        <v>12368</v>
      </c>
      <c r="AD108" s="15" t="s">
        <v>12368</v>
      </c>
      <c r="AE108" s="15" t="s">
        <v>164</v>
      </c>
      <c r="AF108" s="15" t="s">
        <v>12368</v>
      </c>
      <c r="AG108" s="15" t="s">
        <v>12368</v>
      </c>
      <c r="AH108" s="47" t="s">
        <v>12369</v>
      </c>
      <c r="AL108" s="15" t="s">
        <v>12370</v>
      </c>
      <c r="AN108" s="15">
        <v>743</v>
      </c>
      <c r="AO108" s="15" t="s">
        <v>12371</v>
      </c>
      <c r="AQ108" s="15" t="s">
        <v>829</v>
      </c>
      <c r="AT108" s="15" t="s">
        <v>12372</v>
      </c>
      <c r="AU108" s="15" t="s">
        <v>12373</v>
      </c>
      <c r="AV108" s="15" t="s">
        <v>12373</v>
      </c>
      <c r="AW108" s="15" t="s">
        <v>12374</v>
      </c>
      <c r="AX108" s="15" t="s">
        <v>12375</v>
      </c>
      <c r="AY108" s="15">
        <f t="shared" si="1"/>
        <v>58</v>
      </c>
      <c r="AZ108" s="15" t="s">
        <v>834</v>
      </c>
      <c r="BA108" s="15" t="s">
        <v>174</v>
      </c>
      <c r="BB108" s="15" t="s">
        <v>12354</v>
      </c>
      <c r="BC108" s="15">
        <v>2</v>
      </c>
      <c r="BE108" s="15" t="s">
        <v>1081</v>
      </c>
      <c r="BF108" s="15" t="s">
        <v>217</v>
      </c>
      <c r="BJ108" s="15" t="s">
        <v>12376</v>
      </c>
      <c r="BN108" s="15" t="s">
        <v>179</v>
      </c>
      <c r="BP108" s="15" t="s">
        <v>138</v>
      </c>
      <c r="BS108" s="15" t="s">
        <v>12377</v>
      </c>
      <c r="DH108" s="15" t="s">
        <v>17982</v>
      </c>
      <c r="DI108" s="15" t="s">
        <v>17982</v>
      </c>
    </row>
    <row r="109" spans="1:113" s="15" customFormat="1" ht="12.75" x14ac:dyDescent="0.2">
      <c r="A109" s="15" t="s">
        <v>109</v>
      </c>
      <c r="B109" s="15" t="s">
        <v>110</v>
      </c>
      <c r="D109" s="15" t="s">
        <v>620</v>
      </c>
      <c r="E109" s="15" t="s">
        <v>112</v>
      </c>
      <c r="F109" s="15" t="s">
        <v>620</v>
      </c>
      <c r="G109" s="15" t="s">
        <v>113</v>
      </c>
      <c r="H109" s="15" t="s">
        <v>1045</v>
      </c>
      <c r="J109" s="16" t="s">
        <v>114</v>
      </c>
      <c r="U109" s="15" t="s">
        <v>17977</v>
      </c>
      <c r="W109" s="15">
        <v>2515</v>
      </c>
      <c r="X109" s="15">
        <v>119</v>
      </c>
      <c r="Y109" s="15" t="s">
        <v>160</v>
      </c>
      <c r="Z109" s="15" t="s">
        <v>161</v>
      </c>
      <c r="AA109" s="15" t="s">
        <v>162</v>
      </c>
      <c r="AB109" s="15" t="s">
        <v>12378</v>
      </c>
      <c r="AC109" s="15" t="s">
        <v>12378</v>
      </c>
      <c r="AD109" s="15" t="s">
        <v>12378</v>
      </c>
      <c r="AE109" s="15" t="s">
        <v>164</v>
      </c>
      <c r="AF109" s="15" t="s">
        <v>12378</v>
      </c>
      <c r="AG109" s="15" t="s">
        <v>12378</v>
      </c>
      <c r="AH109" s="47" t="s">
        <v>12379</v>
      </c>
      <c r="AL109" s="15" t="s">
        <v>12380</v>
      </c>
      <c r="AN109" s="15">
        <v>743</v>
      </c>
      <c r="AO109" s="15" t="s">
        <v>12381</v>
      </c>
      <c r="AQ109" s="15" t="s">
        <v>843</v>
      </c>
      <c r="AT109" s="15" t="s">
        <v>12382</v>
      </c>
      <c r="AU109" s="15" t="s">
        <v>12383</v>
      </c>
      <c r="AV109" s="15" t="s">
        <v>12383</v>
      </c>
      <c r="AW109" s="15" t="s">
        <v>12384</v>
      </c>
      <c r="AX109" s="15" t="s">
        <v>12385</v>
      </c>
      <c r="AY109" s="15">
        <f t="shared" si="1"/>
        <v>57</v>
      </c>
      <c r="AZ109" s="15" t="s">
        <v>848</v>
      </c>
      <c r="BA109" s="15" t="s">
        <v>174</v>
      </c>
      <c r="BB109" s="15" t="s">
        <v>12354</v>
      </c>
      <c r="BC109" s="15" t="s">
        <v>12386</v>
      </c>
      <c r="BE109" s="15" t="s">
        <v>1081</v>
      </c>
      <c r="BJ109" s="15" t="s">
        <v>12387</v>
      </c>
      <c r="BN109" s="15" t="s">
        <v>179</v>
      </c>
      <c r="BP109" s="15" t="s">
        <v>138</v>
      </c>
      <c r="BS109" s="15" t="s">
        <v>12388</v>
      </c>
      <c r="DH109" s="15" t="s">
        <v>17982</v>
      </c>
      <c r="DI109" s="15" t="s">
        <v>17982</v>
      </c>
    </row>
    <row r="110" spans="1:113" s="15" customFormat="1" ht="12.75" x14ac:dyDescent="0.2">
      <c r="A110" s="15" t="s">
        <v>109</v>
      </c>
      <c r="B110" s="15" t="s">
        <v>110</v>
      </c>
      <c r="D110" s="15" t="s">
        <v>620</v>
      </c>
      <c r="E110" s="15" t="s">
        <v>112</v>
      </c>
      <c r="F110" s="15" t="s">
        <v>620</v>
      </c>
      <c r="G110" s="15" t="s">
        <v>113</v>
      </c>
      <c r="H110" s="15" t="s">
        <v>1045</v>
      </c>
      <c r="J110" s="16" t="s">
        <v>114</v>
      </c>
      <c r="U110" s="15" t="s">
        <v>17977</v>
      </c>
      <c r="W110" s="15">
        <v>2517</v>
      </c>
      <c r="X110" s="15">
        <v>120</v>
      </c>
      <c r="Y110" s="15" t="s">
        <v>160</v>
      </c>
      <c r="Z110" s="15" t="s">
        <v>161</v>
      </c>
      <c r="AA110" s="15" t="s">
        <v>162</v>
      </c>
      <c r="AB110" s="15" t="s">
        <v>12398</v>
      </c>
      <c r="AC110" s="15" t="s">
        <v>12398</v>
      </c>
      <c r="AD110" s="15" t="s">
        <v>12398</v>
      </c>
      <c r="AE110" s="15" t="s">
        <v>164</v>
      </c>
      <c r="AF110" s="15" t="s">
        <v>12398</v>
      </c>
      <c r="AG110" s="15" t="s">
        <v>12398</v>
      </c>
      <c r="AH110" s="47" t="s">
        <v>12399</v>
      </c>
      <c r="AL110" s="15" t="s">
        <v>12400</v>
      </c>
      <c r="AN110" s="15">
        <v>743</v>
      </c>
      <c r="AO110" s="15" t="s">
        <v>12401</v>
      </c>
      <c r="AQ110" s="15" t="s">
        <v>829</v>
      </c>
      <c r="AT110" s="15" t="s">
        <v>12402</v>
      </c>
      <c r="AU110" s="15" t="s">
        <v>12403</v>
      </c>
      <c r="AV110" s="15" t="s">
        <v>12403</v>
      </c>
      <c r="AW110" s="15" t="s">
        <v>12404</v>
      </c>
      <c r="AX110" s="15" t="s">
        <v>12404</v>
      </c>
      <c r="AY110" s="15">
        <f t="shared" si="1"/>
        <v>59</v>
      </c>
      <c r="AZ110" s="15" t="s">
        <v>834</v>
      </c>
      <c r="BA110" s="15" t="s">
        <v>174</v>
      </c>
      <c r="BB110" s="15" t="s">
        <v>12354</v>
      </c>
      <c r="BC110" s="15">
        <v>4</v>
      </c>
      <c r="BE110" s="15" t="s">
        <v>1081</v>
      </c>
      <c r="BF110" s="19" t="s">
        <v>836</v>
      </c>
      <c r="BJ110" s="15" t="s">
        <v>12405</v>
      </c>
      <c r="BN110" s="15" t="s">
        <v>179</v>
      </c>
      <c r="BP110" s="15" t="s">
        <v>138</v>
      </c>
      <c r="BS110" s="15" t="s">
        <v>12406</v>
      </c>
      <c r="DH110" s="15" t="s">
        <v>17982</v>
      </c>
      <c r="DI110" s="15" t="s">
        <v>17982</v>
      </c>
    </row>
    <row r="111" spans="1:113" s="15" customFormat="1" ht="12.75" x14ac:dyDescent="0.2">
      <c r="A111" s="15" t="s">
        <v>109</v>
      </c>
      <c r="B111" s="15" t="s">
        <v>110</v>
      </c>
      <c r="D111" s="15" t="s">
        <v>620</v>
      </c>
      <c r="E111" s="15" t="s">
        <v>112</v>
      </c>
      <c r="F111" s="15" t="s">
        <v>620</v>
      </c>
      <c r="G111" s="15" t="s">
        <v>113</v>
      </c>
      <c r="H111" s="15" t="s">
        <v>1045</v>
      </c>
      <c r="J111" s="16" t="s">
        <v>114</v>
      </c>
      <c r="U111" s="15" t="s">
        <v>17977</v>
      </c>
      <c r="W111" s="15">
        <v>1694</v>
      </c>
      <c r="X111" s="15">
        <v>121</v>
      </c>
      <c r="Y111" s="15" t="s">
        <v>160</v>
      </c>
      <c r="Z111" s="15" t="s">
        <v>161</v>
      </c>
      <c r="AA111" s="15" t="s">
        <v>162</v>
      </c>
      <c r="AB111" s="15" t="s">
        <v>8884</v>
      </c>
      <c r="AC111" s="15" t="s">
        <v>8884</v>
      </c>
      <c r="AD111" s="15" t="s">
        <v>8884</v>
      </c>
      <c r="AE111" s="15" t="s">
        <v>164</v>
      </c>
      <c r="AF111" s="15" t="s">
        <v>8884</v>
      </c>
      <c r="AG111" s="15" t="s">
        <v>8884</v>
      </c>
      <c r="AH111" s="15" t="s">
        <v>8885</v>
      </c>
      <c r="AL111" s="15" t="s">
        <v>8886</v>
      </c>
      <c r="AN111" s="15">
        <v>743</v>
      </c>
      <c r="AO111" s="15" t="s">
        <v>8887</v>
      </c>
      <c r="AQ111" s="15" t="s">
        <v>1193</v>
      </c>
      <c r="AT111" s="15" t="s">
        <v>8888</v>
      </c>
      <c r="AU111" s="15" t="s">
        <v>8889</v>
      </c>
      <c r="AV111" s="15" t="s">
        <v>8889</v>
      </c>
      <c r="AW111" s="15" t="s">
        <v>8890</v>
      </c>
      <c r="AX111" s="15" t="s">
        <v>8891</v>
      </c>
      <c r="AY111" s="15">
        <f t="shared" si="1"/>
        <v>53</v>
      </c>
      <c r="AZ111" s="15" t="s">
        <v>1634</v>
      </c>
      <c r="BA111" s="15" t="s">
        <v>174</v>
      </c>
      <c r="BB111" s="15" t="s">
        <v>8892</v>
      </c>
      <c r="BC111" s="15">
        <v>19</v>
      </c>
      <c r="BE111" s="15" t="s">
        <v>251</v>
      </c>
      <c r="BF111" s="15" t="s">
        <v>8893</v>
      </c>
      <c r="BJ111" s="15" t="s">
        <v>8830</v>
      </c>
      <c r="BN111" s="15" t="s">
        <v>179</v>
      </c>
      <c r="BP111" s="15" t="s">
        <v>138</v>
      </c>
      <c r="BS111" s="15" t="s">
        <v>8894</v>
      </c>
      <c r="DH111" s="15" t="s">
        <v>17982</v>
      </c>
      <c r="DI111" s="15" t="s">
        <v>17982</v>
      </c>
    </row>
    <row r="112" spans="1:113" s="15" customFormat="1" ht="12.75" x14ac:dyDescent="0.2">
      <c r="A112" s="15" t="s">
        <v>109</v>
      </c>
      <c r="B112" s="15" t="s">
        <v>110</v>
      </c>
      <c r="D112" s="15" t="s">
        <v>620</v>
      </c>
      <c r="E112" s="15" t="s">
        <v>112</v>
      </c>
      <c r="F112" s="15" t="s">
        <v>620</v>
      </c>
      <c r="G112" s="15" t="s">
        <v>113</v>
      </c>
      <c r="H112" s="15" t="s">
        <v>1045</v>
      </c>
      <c r="J112" s="16" t="s">
        <v>114</v>
      </c>
      <c r="U112" s="15" t="s">
        <v>17977</v>
      </c>
      <c r="W112" s="15">
        <v>2838</v>
      </c>
      <c r="X112" s="15">
        <v>122</v>
      </c>
      <c r="Y112" s="15" t="s">
        <v>160</v>
      </c>
      <c r="Z112" s="15" t="s">
        <v>161</v>
      </c>
      <c r="AA112" s="15" t="s">
        <v>162</v>
      </c>
      <c r="AB112" s="15" t="s">
        <v>13857</v>
      </c>
      <c r="AC112" s="15" t="s">
        <v>13857</v>
      </c>
      <c r="AD112" s="15" t="s">
        <v>13857</v>
      </c>
      <c r="AE112" s="15" t="s">
        <v>164</v>
      </c>
      <c r="AF112" s="15" t="s">
        <v>13857</v>
      </c>
      <c r="AG112" s="15" t="s">
        <v>13857</v>
      </c>
      <c r="AH112" s="47" t="s">
        <v>13858</v>
      </c>
      <c r="AL112" s="15" t="s">
        <v>13859</v>
      </c>
      <c r="AN112" s="15">
        <v>743</v>
      </c>
      <c r="AO112" s="15" t="s">
        <v>13860</v>
      </c>
      <c r="AQ112" s="15" t="s">
        <v>8876</v>
      </c>
      <c r="AT112" s="15" t="s">
        <v>13861</v>
      </c>
      <c r="AU112" s="15" t="s">
        <v>13862</v>
      </c>
      <c r="AV112" s="15" t="s">
        <v>13862</v>
      </c>
      <c r="AW112" s="15" t="s">
        <v>13863</v>
      </c>
      <c r="AX112" s="15" t="s">
        <v>13864</v>
      </c>
      <c r="AY112" s="15">
        <f t="shared" si="1"/>
        <v>54</v>
      </c>
      <c r="AZ112" s="15" t="s">
        <v>214</v>
      </c>
      <c r="BA112" s="15" t="s">
        <v>174</v>
      </c>
      <c r="BB112" s="15" t="s">
        <v>13830</v>
      </c>
      <c r="BC112" s="15">
        <v>5</v>
      </c>
      <c r="BE112" s="15" t="s">
        <v>1081</v>
      </c>
      <c r="BF112" s="15" t="s">
        <v>2785</v>
      </c>
      <c r="BJ112" s="15" t="s">
        <v>13865</v>
      </c>
      <c r="BN112" s="15" t="s">
        <v>179</v>
      </c>
      <c r="BP112" s="15" t="s">
        <v>138</v>
      </c>
      <c r="BS112" s="15" t="s">
        <v>13866</v>
      </c>
      <c r="DH112" s="15" t="s">
        <v>17982</v>
      </c>
      <c r="DI112" s="15" t="s">
        <v>17982</v>
      </c>
    </row>
    <row r="113" spans="1:113" s="15" customFormat="1" ht="12.75" x14ac:dyDescent="0.2">
      <c r="A113" s="15" t="s">
        <v>109</v>
      </c>
      <c r="B113" s="15" t="s">
        <v>110</v>
      </c>
      <c r="D113" s="15" t="s">
        <v>620</v>
      </c>
      <c r="E113" s="15" t="s">
        <v>112</v>
      </c>
      <c r="F113" s="15" t="s">
        <v>620</v>
      </c>
      <c r="G113" s="15" t="s">
        <v>113</v>
      </c>
      <c r="H113" s="15" t="s">
        <v>1045</v>
      </c>
      <c r="J113" s="16" t="s">
        <v>114</v>
      </c>
      <c r="U113" s="15" t="s">
        <v>17977</v>
      </c>
      <c r="W113" s="15">
        <v>2518</v>
      </c>
      <c r="X113" s="15">
        <v>123</v>
      </c>
      <c r="Y113" s="15" t="s">
        <v>160</v>
      </c>
      <c r="Z113" s="15" t="s">
        <v>161</v>
      </c>
      <c r="AA113" s="15" t="s">
        <v>162</v>
      </c>
      <c r="AB113" s="15" t="s">
        <v>12407</v>
      </c>
      <c r="AC113" s="15" t="s">
        <v>12407</v>
      </c>
      <c r="AD113" s="15" t="s">
        <v>12407</v>
      </c>
      <c r="AE113" s="15" t="s">
        <v>164</v>
      </c>
      <c r="AF113" s="15" t="s">
        <v>12407</v>
      </c>
      <c r="AG113" s="15" t="s">
        <v>12407</v>
      </c>
      <c r="AH113" s="47" t="s">
        <v>12408</v>
      </c>
      <c r="AL113" s="15" t="s">
        <v>12409</v>
      </c>
      <c r="AN113" s="15">
        <v>743</v>
      </c>
      <c r="AO113" s="15" t="s">
        <v>12410</v>
      </c>
      <c r="AQ113" s="15" t="s">
        <v>8876</v>
      </c>
      <c r="AT113" s="15" t="s">
        <v>12411</v>
      </c>
      <c r="AU113" s="15" t="s">
        <v>12412</v>
      </c>
      <c r="AV113" s="15" t="s">
        <v>12412</v>
      </c>
      <c r="AW113" s="15" t="s">
        <v>12413</v>
      </c>
      <c r="AX113" s="15" t="s">
        <v>12414</v>
      </c>
      <c r="AY113" s="15">
        <f t="shared" si="1"/>
        <v>59</v>
      </c>
      <c r="AZ113" s="15" t="s">
        <v>214</v>
      </c>
      <c r="BA113" s="15" t="s">
        <v>174</v>
      </c>
      <c r="BB113" s="15" t="s">
        <v>12354</v>
      </c>
      <c r="BC113" s="15">
        <v>6</v>
      </c>
      <c r="BE113" s="15" t="s">
        <v>1081</v>
      </c>
      <c r="BF113" s="15" t="s">
        <v>2785</v>
      </c>
      <c r="BJ113" s="15" t="s">
        <v>12415</v>
      </c>
      <c r="BN113" s="15" t="s">
        <v>179</v>
      </c>
      <c r="BP113" s="15" t="s">
        <v>138</v>
      </c>
      <c r="BS113" s="15" t="s">
        <v>12416</v>
      </c>
      <c r="DH113" s="15" t="s">
        <v>17982</v>
      </c>
      <c r="DI113" s="15" t="s">
        <v>17982</v>
      </c>
    </row>
    <row r="114" spans="1:113" s="15" customFormat="1" ht="12.75" x14ac:dyDescent="0.2">
      <c r="A114" s="15" t="s">
        <v>109</v>
      </c>
      <c r="B114" s="15" t="s">
        <v>110</v>
      </c>
      <c r="D114" s="15" t="s">
        <v>620</v>
      </c>
      <c r="E114" s="15" t="s">
        <v>112</v>
      </c>
      <c r="F114" s="15" t="s">
        <v>620</v>
      </c>
      <c r="G114" s="15" t="s">
        <v>113</v>
      </c>
      <c r="H114" s="15" t="s">
        <v>1045</v>
      </c>
      <c r="J114" s="16" t="s">
        <v>114</v>
      </c>
      <c r="U114" s="15" t="s">
        <v>17977</v>
      </c>
      <c r="W114" s="15">
        <v>1676</v>
      </c>
      <c r="X114" s="15">
        <v>124</v>
      </c>
      <c r="Y114" s="15" t="s">
        <v>160</v>
      </c>
      <c r="Z114" s="15" t="s">
        <v>161</v>
      </c>
      <c r="AA114" s="15" t="s">
        <v>162</v>
      </c>
      <c r="AB114" s="15" t="s">
        <v>8692</v>
      </c>
      <c r="AC114" s="15" t="s">
        <v>8692</v>
      </c>
      <c r="AD114" s="15" t="s">
        <v>8692</v>
      </c>
      <c r="AE114" s="15" t="s">
        <v>164</v>
      </c>
      <c r="AF114" s="15" t="s">
        <v>8692</v>
      </c>
      <c r="AG114" s="15" t="s">
        <v>8692</v>
      </c>
      <c r="AH114" s="47" t="s">
        <v>8693</v>
      </c>
      <c r="AL114" s="15" t="s">
        <v>8694</v>
      </c>
      <c r="AN114" s="15">
        <v>743</v>
      </c>
      <c r="AO114" s="15" t="s">
        <v>8695</v>
      </c>
      <c r="AQ114" s="15" t="s">
        <v>225</v>
      </c>
      <c r="AT114" s="15" t="s">
        <v>8696</v>
      </c>
      <c r="AU114" s="15" t="s">
        <v>8697</v>
      </c>
      <c r="AV114" s="15" t="s">
        <v>8697</v>
      </c>
      <c r="AW114" s="15" t="s">
        <v>8698</v>
      </c>
      <c r="AX114" s="15" t="s">
        <v>8699</v>
      </c>
      <c r="AY114" s="15">
        <f t="shared" si="1"/>
        <v>60</v>
      </c>
      <c r="AZ114" s="15" t="s">
        <v>229</v>
      </c>
      <c r="BA114" s="15" t="s">
        <v>174</v>
      </c>
      <c r="BB114" s="15" t="s">
        <v>8700</v>
      </c>
      <c r="BC114" s="15" t="s">
        <v>8701</v>
      </c>
      <c r="BE114" s="15" t="s">
        <v>1081</v>
      </c>
      <c r="BF114" s="15" t="s">
        <v>2785</v>
      </c>
      <c r="BJ114" s="15" t="s">
        <v>8702</v>
      </c>
      <c r="BN114" s="15" t="s">
        <v>179</v>
      </c>
      <c r="BP114" s="15" t="s">
        <v>138</v>
      </c>
      <c r="BS114" s="15" t="s">
        <v>8703</v>
      </c>
      <c r="DH114" s="15" t="s">
        <v>17982</v>
      </c>
      <c r="DI114" s="15" t="s">
        <v>17982</v>
      </c>
    </row>
    <row r="115" spans="1:113" s="15" customFormat="1" ht="12.75" x14ac:dyDescent="0.2">
      <c r="A115" s="15" t="s">
        <v>109</v>
      </c>
      <c r="B115" s="15" t="s">
        <v>110</v>
      </c>
      <c r="D115" s="15" t="s">
        <v>620</v>
      </c>
      <c r="E115" s="15" t="s">
        <v>112</v>
      </c>
      <c r="F115" s="15" t="s">
        <v>620</v>
      </c>
      <c r="G115" s="15" t="s">
        <v>113</v>
      </c>
      <c r="H115" s="15" t="s">
        <v>1045</v>
      </c>
      <c r="J115" s="16" t="s">
        <v>114</v>
      </c>
      <c r="U115" s="15" t="s">
        <v>17977</v>
      </c>
      <c r="W115" s="15">
        <v>2836</v>
      </c>
      <c r="X115" s="15">
        <v>125</v>
      </c>
      <c r="Y115" s="15" t="s">
        <v>160</v>
      </c>
      <c r="Z115" s="15" t="s">
        <v>161</v>
      </c>
      <c r="AA115" s="15" t="s">
        <v>162</v>
      </c>
      <c r="AB115" s="15" t="s">
        <v>13835</v>
      </c>
      <c r="AC115" s="15" t="s">
        <v>13835</v>
      </c>
      <c r="AD115" s="15" t="s">
        <v>13835</v>
      </c>
      <c r="AE115" s="15" t="s">
        <v>164</v>
      </c>
      <c r="AF115" s="15" t="s">
        <v>13835</v>
      </c>
      <c r="AG115" s="15" t="s">
        <v>13835</v>
      </c>
      <c r="AH115" s="47" t="s">
        <v>13836</v>
      </c>
      <c r="AL115" s="15" t="s">
        <v>13837</v>
      </c>
      <c r="AN115" s="15">
        <v>743</v>
      </c>
      <c r="AO115" s="15" t="s">
        <v>13838</v>
      </c>
      <c r="AQ115" s="15" t="s">
        <v>225</v>
      </c>
      <c r="AT115" s="15" t="s">
        <v>13839</v>
      </c>
      <c r="AU115" s="15" t="s">
        <v>13840</v>
      </c>
      <c r="AV115" s="15" t="s">
        <v>13840</v>
      </c>
      <c r="AW115" s="15" t="s">
        <v>13841</v>
      </c>
      <c r="AX115" s="15" t="s">
        <v>13842</v>
      </c>
      <c r="AY115" s="15">
        <f t="shared" si="1"/>
        <v>59</v>
      </c>
      <c r="AZ115" s="15" t="s">
        <v>229</v>
      </c>
      <c r="BA115" s="15" t="s">
        <v>174</v>
      </c>
      <c r="BB115" s="15" t="s">
        <v>13830</v>
      </c>
      <c r="BC115" s="15" t="s">
        <v>13843</v>
      </c>
      <c r="BE115" s="15" t="s">
        <v>1081</v>
      </c>
      <c r="BF115" s="19" t="s">
        <v>13844</v>
      </c>
      <c r="BJ115" s="15" t="s">
        <v>13833</v>
      </c>
      <c r="BN115" s="15" t="s">
        <v>179</v>
      </c>
      <c r="BP115" s="15" t="s">
        <v>138</v>
      </c>
      <c r="BS115" s="15" t="s">
        <v>13845</v>
      </c>
      <c r="DH115" s="15" t="s">
        <v>17982</v>
      </c>
      <c r="DI115" s="15" t="s">
        <v>17982</v>
      </c>
    </row>
    <row r="116" spans="1:113" s="15" customFormat="1" ht="12.75" x14ac:dyDescent="0.2">
      <c r="A116" s="15" t="s">
        <v>109</v>
      </c>
      <c r="B116" s="15" t="s">
        <v>110</v>
      </c>
      <c r="D116" s="15" t="s">
        <v>620</v>
      </c>
      <c r="E116" s="15" t="s">
        <v>112</v>
      </c>
      <c r="F116" s="15" t="s">
        <v>620</v>
      </c>
      <c r="G116" s="15" t="s">
        <v>113</v>
      </c>
      <c r="H116" s="15" t="s">
        <v>1045</v>
      </c>
      <c r="J116" s="16" t="s">
        <v>114</v>
      </c>
      <c r="U116" s="15" t="s">
        <v>17977</v>
      </c>
      <c r="W116" s="15">
        <v>2837</v>
      </c>
      <c r="X116" s="15">
        <v>126</v>
      </c>
      <c r="Y116" s="15" t="s">
        <v>160</v>
      </c>
      <c r="Z116" s="15" t="s">
        <v>161</v>
      </c>
      <c r="AA116" s="15" t="s">
        <v>162</v>
      </c>
      <c r="AB116" s="15" t="s">
        <v>13846</v>
      </c>
      <c r="AC116" s="15" t="s">
        <v>13846</v>
      </c>
      <c r="AD116" s="15" t="s">
        <v>13846</v>
      </c>
      <c r="AE116" s="15" t="s">
        <v>164</v>
      </c>
      <c r="AF116" s="15" t="s">
        <v>13846</v>
      </c>
      <c r="AG116" s="15" t="s">
        <v>13846</v>
      </c>
      <c r="AH116" s="47" t="s">
        <v>13847</v>
      </c>
      <c r="AL116" s="15" t="s">
        <v>13848</v>
      </c>
      <c r="AN116" s="15">
        <v>743</v>
      </c>
      <c r="AO116" s="15" t="s">
        <v>13849</v>
      </c>
      <c r="AQ116" s="15" t="s">
        <v>225</v>
      </c>
      <c r="AT116" s="15" t="s">
        <v>13850</v>
      </c>
      <c r="AU116" s="15" t="s">
        <v>13851</v>
      </c>
      <c r="AV116" s="15" t="s">
        <v>13851</v>
      </c>
      <c r="AW116" s="15" t="s">
        <v>13852</v>
      </c>
      <c r="AX116" s="15" t="s">
        <v>13853</v>
      </c>
      <c r="AY116" s="15">
        <f t="shared" si="1"/>
        <v>59</v>
      </c>
      <c r="AZ116" s="15" t="s">
        <v>229</v>
      </c>
      <c r="BA116" s="15" t="s">
        <v>174</v>
      </c>
      <c r="BB116" s="15" t="s">
        <v>13830</v>
      </c>
      <c r="BC116" s="15" t="s">
        <v>13854</v>
      </c>
      <c r="BE116" s="15" t="s">
        <v>1081</v>
      </c>
      <c r="BF116" s="19" t="s">
        <v>13855</v>
      </c>
      <c r="BJ116" s="15" t="s">
        <v>13833</v>
      </c>
      <c r="BN116" s="15" t="s">
        <v>179</v>
      </c>
      <c r="BP116" s="15" t="s">
        <v>138</v>
      </c>
      <c r="BS116" s="15" t="s">
        <v>13856</v>
      </c>
      <c r="DH116" s="15" t="s">
        <v>17982</v>
      </c>
      <c r="DI116" s="15" t="s">
        <v>17982</v>
      </c>
    </row>
    <row r="117" spans="1:113" s="15" customFormat="1" ht="12.75" x14ac:dyDescent="0.2">
      <c r="A117" s="15" t="s">
        <v>109</v>
      </c>
      <c r="B117" s="15" t="s">
        <v>110</v>
      </c>
      <c r="D117" s="15" t="s">
        <v>620</v>
      </c>
      <c r="E117" s="15" t="s">
        <v>112</v>
      </c>
      <c r="F117" s="15" t="s">
        <v>620</v>
      </c>
      <c r="G117" s="15" t="s">
        <v>113</v>
      </c>
      <c r="H117" s="15" t="s">
        <v>1045</v>
      </c>
      <c r="J117" s="16" t="s">
        <v>114</v>
      </c>
      <c r="U117" s="15" t="s">
        <v>17977</v>
      </c>
      <c r="W117" s="15">
        <v>2835</v>
      </c>
      <c r="X117" s="15">
        <v>127</v>
      </c>
      <c r="Y117" s="15" t="s">
        <v>160</v>
      </c>
      <c r="Z117" s="15" t="s">
        <v>161</v>
      </c>
      <c r="AA117" s="15" t="s">
        <v>162</v>
      </c>
      <c r="AB117" s="15" t="s">
        <v>13822</v>
      </c>
      <c r="AC117" s="15" t="s">
        <v>13822</v>
      </c>
      <c r="AD117" s="15" t="s">
        <v>13822</v>
      </c>
      <c r="AE117" s="15" t="s">
        <v>164</v>
      </c>
      <c r="AF117" s="15" t="s">
        <v>13822</v>
      </c>
      <c r="AG117" s="15" t="s">
        <v>13822</v>
      </c>
      <c r="AH117" s="47" t="s">
        <v>13823</v>
      </c>
      <c r="AL117" s="15" t="s">
        <v>13824</v>
      </c>
      <c r="AN117" s="15">
        <v>743</v>
      </c>
      <c r="AO117" s="15" t="s">
        <v>13825</v>
      </c>
      <c r="AQ117" s="15" t="s">
        <v>225</v>
      </c>
      <c r="AT117" s="15" t="s">
        <v>13826</v>
      </c>
      <c r="AU117" s="15" t="s">
        <v>13827</v>
      </c>
      <c r="AV117" s="15" t="s">
        <v>13827</v>
      </c>
      <c r="AW117" s="15" t="s">
        <v>13828</v>
      </c>
      <c r="AX117" s="15" t="s">
        <v>13829</v>
      </c>
      <c r="AY117" s="15">
        <f t="shared" si="1"/>
        <v>60</v>
      </c>
      <c r="AZ117" s="15" t="s">
        <v>229</v>
      </c>
      <c r="BA117" s="15" t="s">
        <v>174</v>
      </c>
      <c r="BB117" s="15" t="s">
        <v>13830</v>
      </c>
      <c r="BC117" s="15" t="s">
        <v>13831</v>
      </c>
      <c r="BE117" s="15" t="s">
        <v>1081</v>
      </c>
      <c r="BF117" s="19" t="s">
        <v>13832</v>
      </c>
      <c r="BJ117" s="15" t="s">
        <v>13833</v>
      </c>
      <c r="BN117" s="15" t="s">
        <v>179</v>
      </c>
      <c r="BP117" s="15" t="s">
        <v>138</v>
      </c>
      <c r="BS117" s="15" t="s">
        <v>13834</v>
      </c>
      <c r="DH117" s="15" t="s">
        <v>17982</v>
      </c>
      <c r="DI117" s="15" t="s">
        <v>17982</v>
      </c>
    </row>
    <row r="118" spans="1:113" s="15" customFormat="1" ht="12.75" x14ac:dyDescent="0.2">
      <c r="A118" s="15" t="s">
        <v>109</v>
      </c>
      <c r="B118" s="15" t="s">
        <v>110</v>
      </c>
      <c r="D118" s="15" t="s">
        <v>620</v>
      </c>
      <c r="E118" s="15" t="s">
        <v>112</v>
      </c>
      <c r="F118" s="15" t="s">
        <v>620</v>
      </c>
      <c r="G118" s="15" t="s">
        <v>113</v>
      </c>
      <c r="H118" s="15" t="s">
        <v>1045</v>
      </c>
      <c r="J118" s="16" t="s">
        <v>114</v>
      </c>
      <c r="U118" s="15" t="s">
        <v>17977</v>
      </c>
      <c r="W118" s="15">
        <v>2512</v>
      </c>
      <c r="X118" s="15">
        <v>128</v>
      </c>
      <c r="Y118" s="15" t="s">
        <v>160</v>
      </c>
      <c r="Z118" s="15" t="s">
        <v>161</v>
      </c>
      <c r="AA118" s="15" t="s">
        <v>162</v>
      </c>
      <c r="AB118" s="15" t="s">
        <v>12346</v>
      </c>
      <c r="AC118" s="15" t="s">
        <v>12346</v>
      </c>
      <c r="AD118" s="15" t="s">
        <v>12346</v>
      </c>
      <c r="AE118" s="15" t="s">
        <v>164</v>
      </c>
      <c r="AF118" s="15" t="s">
        <v>12346</v>
      </c>
      <c r="AG118" s="15" t="s">
        <v>12346</v>
      </c>
      <c r="AH118" s="47" t="s">
        <v>12347</v>
      </c>
      <c r="AL118" s="15" t="s">
        <v>12348</v>
      </c>
      <c r="AN118" s="15">
        <v>743</v>
      </c>
      <c r="AO118" s="15" t="s">
        <v>12349</v>
      </c>
      <c r="AQ118" s="15" t="s">
        <v>1193</v>
      </c>
      <c r="AT118" s="15" t="s">
        <v>12350</v>
      </c>
      <c r="AU118" s="15" t="s">
        <v>12351</v>
      </c>
      <c r="AV118" s="15" t="s">
        <v>12351</v>
      </c>
      <c r="AW118" s="15" t="s">
        <v>12352</v>
      </c>
      <c r="AX118" s="15" t="s">
        <v>12353</v>
      </c>
      <c r="AY118" s="15">
        <f t="shared" si="1"/>
        <v>60</v>
      </c>
      <c r="AZ118" s="15" t="s">
        <v>1634</v>
      </c>
      <c r="BA118" s="15" t="s">
        <v>174</v>
      </c>
      <c r="BB118" s="15" t="s">
        <v>12354</v>
      </c>
      <c r="BC118" s="15" t="s">
        <v>12355</v>
      </c>
      <c r="BE118" s="15" t="s">
        <v>1081</v>
      </c>
      <c r="BJ118" s="15" t="s">
        <v>12356</v>
      </c>
      <c r="BN118" s="15" t="s">
        <v>179</v>
      </c>
      <c r="BP118" s="15" t="s">
        <v>138</v>
      </c>
      <c r="BS118" s="15" t="s">
        <v>12357</v>
      </c>
      <c r="DH118" s="15" t="s">
        <v>17982</v>
      </c>
      <c r="DI118" s="15" t="s">
        <v>17982</v>
      </c>
    </row>
    <row r="119" spans="1:113" s="15" customFormat="1" ht="12.75" x14ac:dyDescent="0.2">
      <c r="A119" s="15" t="s">
        <v>109</v>
      </c>
      <c r="B119" s="15" t="s">
        <v>110</v>
      </c>
      <c r="D119" s="15" t="s">
        <v>620</v>
      </c>
      <c r="E119" s="15" t="s">
        <v>112</v>
      </c>
      <c r="F119" s="15" t="s">
        <v>620</v>
      </c>
      <c r="G119" s="15" t="s">
        <v>113</v>
      </c>
      <c r="H119" s="15" t="s">
        <v>1045</v>
      </c>
      <c r="J119" s="16" t="s">
        <v>114</v>
      </c>
      <c r="U119" s="15" t="s">
        <v>17977</v>
      </c>
      <c r="W119" s="15">
        <v>2516</v>
      </c>
      <c r="X119" s="15">
        <v>129</v>
      </c>
      <c r="Y119" s="15" t="s">
        <v>160</v>
      </c>
      <c r="Z119" s="15" t="s">
        <v>161</v>
      </c>
      <c r="AA119" s="15" t="s">
        <v>162</v>
      </c>
      <c r="AB119" s="15" t="s">
        <v>12389</v>
      </c>
      <c r="AC119" s="15" t="s">
        <v>12389</v>
      </c>
      <c r="AD119" s="15" t="s">
        <v>12389</v>
      </c>
      <c r="AE119" s="15" t="s">
        <v>164</v>
      </c>
      <c r="AF119" s="15" t="s">
        <v>12389</v>
      </c>
      <c r="AG119" s="15" t="s">
        <v>12389</v>
      </c>
      <c r="AH119" s="47" t="s">
        <v>12390</v>
      </c>
      <c r="AL119" s="15" t="s">
        <v>12391</v>
      </c>
      <c r="AN119" s="15">
        <v>743</v>
      </c>
      <c r="AO119" s="15" t="s">
        <v>12392</v>
      </c>
      <c r="AQ119" s="15" t="s">
        <v>843</v>
      </c>
      <c r="AT119" s="15" t="s">
        <v>12393</v>
      </c>
      <c r="AU119" s="15" t="s">
        <v>12394</v>
      </c>
      <c r="AV119" s="15" t="s">
        <v>12394</v>
      </c>
      <c r="AW119" s="15" t="s">
        <v>12395</v>
      </c>
      <c r="AX119" s="15" t="s">
        <v>12395</v>
      </c>
      <c r="AY119" s="15">
        <f t="shared" si="1"/>
        <v>60</v>
      </c>
      <c r="AZ119" s="15" t="s">
        <v>848</v>
      </c>
      <c r="BA119" s="15" t="s">
        <v>174</v>
      </c>
      <c r="BB119" s="15" t="s">
        <v>12396</v>
      </c>
      <c r="BC119" s="15">
        <v>18</v>
      </c>
      <c r="BE119" s="15" t="s">
        <v>1081</v>
      </c>
      <c r="BF119" s="15" t="s">
        <v>3591</v>
      </c>
      <c r="BJ119" s="15" t="s">
        <v>2840</v>
      </c>
      <c r="BN119" s="15" t="s">
        <v>179</v>
      </c>
      <c r="BP119" s="15" t="s">
        <v>138</v>
      </c>
      <c r="BS119" s="15" t="s">
        <v>12397</v>
      </c>
      <c r="DH119" s="15" t="s">
        <v>17982</v>
      </c>
      <c r="DI119" s="15" t="s">
        <v>17982</v>
      </c>
    </row>
    <row r="120" spans="1:113" s="15" customFormat="1" ht="12.75" x14ac:dyDescent="0.2">
      <c r="A120" s="15" t="s">
        <v>109</v>
      </c>
      <c r="B120" s="15" t="s">
        <v>110</v>
      </c>
      <c r="D120" s="15" t="s">
        <v>620</v>
      </c>
      <c r="E120" s="15" t="s">
        <v>112</v>
      </c>
      <c r="F120" s="15" t="s">
        <v>620</v>
      </c>
      <c r="G120" s="15" t="s">
        <v>113</v>
      </c>
      <c r="H120" s="15" t="s">
        <v>1045</v>
      </c>
      <c r="J120" s="16" t="s">
        <v>114</v>
      </c>
      <c r="U120" s="15" t="s">
        <v>17977</v>
      </c>
      <c r="W120" s="15">
        <v>2519</v>
      </c>
      <c r="X120" s="15">
        <v>130</v>
      </c>
      <c r="Y120" s="15" t="s">
        <v>160</v>
      </c>
      <c r="Z120" s="15" t="s">
        <v>161</v>
      </c>
      <c r="AA120" s="15" t="s">
        <v>162</v>
      </c>
      <c r="AB120" s="15" t="s">
        <v>12417</v>
      </c>
      <c r="AC120" s="15" t="s">
        <v>12417</v>
      </c>
      <c r="AD120" s="15" t="s">
        <v>12417</v>
      </c>
      <c r="AE120" s="15" t="s">
        <v>164</v>
      </c>
      <c r="AF120" s="15" t="s">
        <v>12417</v>
      </c>
      <c r="AG120" s="15" t="s">
        <v>12417</v>
      </c>
      <c r="AH120" s="47" t="s">
        <v>12418</v>
      </c>
      <c r="AL120" s="15" t="s">
        <v>12419</v>
      </c>
      <c r="AN120" s="15">
        <v>743</v>
      </c>
      <c r="AO120" s="15" t="s">
        <v>12420</v>
      </c>
      <c r="AQ120" s="15" t="s">
        <v>388</v>
      </c>
      <c r="AT120" s="15" t="s">
        <v>12421</v>
      </c>
      <c r="AU120" s="15" t="s">
        <v>12422</v>
      </c>
      <c r="AV120" s="15" t="s">
        <v>12422</v>
      </c>
      <c r="AW120" s="15" t="s">
        <v>12423</v>
      </c>
      <c r="AX120" s="15" t="s">
        <v>12424</v>
      </c>
      <c r="AY120" s="15">
        <f t="shared" si="1"/>
        <v>58</v>
      </c>
      <c r="AZ120" s="15" t="s">
        <v>393</v>
      </c>
      <c r="BA120" s="15" t="s">
        <v>174</v>
      </c>
      <c r="BB120" s="15" t="s">
        <v>12354</v>
      </c>
      <c r="BE120" s="15" t="s">
        <v>617</v>
      </c>
      <c r="BJ120" s="15" t="s">
        <v>12425</v>
      </c>
      <c r="BN120" s="15" t="s">
        <v>179</v>
      </c>
      <c r="BP120" s="15" t="s">
        <v>138</v>
      </c>
      <c r="BS120" s="15" t="s">
        <v>12426</v>
      </c>
      <c r="DH120" s="15" t="s">
        <v>17982</v>
      </c>
      <c r="DI120" s="15" t="s">
        <v>17982</v>
      </c>
    </row>
    <row r="121" spans="1:113" s="15" customFormat="1" ht="12.75" x14ac:dyDescent="0.2">
      <c r="A121" s="15" t="s">
        <v>109</v>
      </c>
      <c r="B121" s="15" t="s">
        <v>110</v>
      </c>
      <c r="D121" s="15" t="s">
        <v>620</v>
      </c>
      <c r="E121" s="15" t="s">
        <v>112</v>
      </c>
      <c r="F121" s="15" t="s">
        <v>620</v>
      </c>
      <c r="G121" s="15" t="s">
        <v>113</v>
      </c>
      <c r="H121" s="15" t="s">
        <v>1045</v>
      </c>
      <c r="J121" s="16" t="s">
        <v>114</v>
      </c>
      <c r="U121" s="15" t="s">
        <v>17977</v>
      </c>
      <c r="W121" s="15">
        <v>3361</v>
      </c>
      <c r="X121" s="15">
        <v>131</v>
      </c>
      <c r="Y121" s="15" t="s">
        <v>160</v>
      </c>
      <c r="Z121" s="15" t="s">
        <v>161</v>
      </c>
      <c r="AA121" s="15" t="s">
        <v>162</v>
      </c>
      <c r="AB121" s="15" t="s">
        <v>16232</v>
      </c>
      <c r="AC121" s="15" t="s">
        <v>16232</v>
      </c>
      <c r="AD121" s="15" t="s">
        <v>16232</v>
      </c>
      <c r="AE121" s="15" t="s">
        <v>164</v>
      </c>
      <c r="AF121" s="15" t="s">
        <v>16232</v>
      </c>
      <c r="AG121" s="15" t="s">
        <v>16232</v>
      </c>
      <c r="AH121" s="15" t="s">
        <v>16233</v>
      </c>
      <c r="AL121" s="15" t="s">
        <v>16234</v>
      </c>
      <c r="AN121" s="15">
        <v>743</v>
      </c>
      <c r="AO121" s="15" t="s">
        <v>16235</v>
      </c>
      <c r="AQ121" s="15" t="s">
        <v>2747</v>
      </c>
      <c r="AT121" s="15" t="s">
        <v>16236</v>
      </c>
      <c r="AU121" s="15" t="s">
        <v>16237</v>
      </c>
      <c r="AV121" s="15" t="s">
        <v>16237</v>
      </c>
      <c r="AW121" s="15" t="s">
        <v>16238</v>
      </c>
      <c r="AX121" s="15" t="s">
        <v>16239</v>
      </c>
      <c r="AY121" s="15">
        <f t="shared" si="1"/>
        <v>53</v>
      </c>
      <c r="AZ121" s="15" t="s">
        <v>2752</v>
      </c>
      <c r="BA121" s="15" t="s">
        <v>2753</v>
      </c>
      <c r="BB121" s="15" t="s">
        <v>16228</v>
      </c>
      <c r="BC121" s="15">
        <v>1</v>
      </c>
      <c r="BE121" s="15" t="s">
        <v>16240</v>
      </c>
      <c r="BJ121" s="15" t="s">
        <v>16230</v>
      </c>
      <c r="BN121" s="15" t="s">
        <v>179</v>
      </c>
      <c r="BP121" s="15" t="s">
        <v>138</v>
      </c>
      <c r="BS121" s="15" t="s">
        <v>16241</v>
      </c>
      <c r="DH121" s="15" t="s">
        <v>17982</v>
      </c>
      <c r="DI121" s="15" t="s">
        <v>17982</v>
      </c>
    </row>
    <row r="122" spans="1:113" s="15" customFormat="1" ht="12.75" x14ac:dyDescent="0.2">
      <c r="A122" s="15" t="s">
        <v>109</v>
      </c>
      <c r="B122" s="15" t="s">
        <v>110</v>
      </c>
      <c r="D122" s="15" t="s">
        <v>620</v>
      </c>
      <c r="E122" s="15" t="s">
        <v>112</v>
      </c>
      <c r="F122" s="15" t="s">
        <v>620</v>
      </c>
      <c r="G122" s="15" t="s">
        <v>113</v>
      </c>
      <c r="H122" s="15" t="s">
        <v>1045</v>
      </c>
      <c r="J122" s="16" t="s">
        <v>114</v>
      </c>
      <c r="U122" s="15" t="s">
        <v>17977</v>
      </c>
      <c r="W122" s="15">
        <v>3360</v>
      </c>
      <c r="X122" s="15">
        <v>132</v>
      </c>
      <c r="Y122" s="15" t="s">
        <v>160</v>
      </c>
      <c r="Z122" s="15" t="s">
        <v>161</v>
      </c>
      <c r="AA122" s="15" t="s">
        <v>162</v>
      </c>
      <c r="AB122" s="15" t="s">
        <v>16220</v>
      </c>
      <c r="AC122" s="15" t="s">
        <v>16220</v>
      </c>
      <c r="AD122" s="15" t="s">
        <v>16220</v>
      </c>
      <c r="AE122" s="15" t="s">
        <v>164</v>
      </c>
      <c r="AF122" s="15" t="s">
        <v>16220</v>
      </c>
      <c r="AG122" s="15" t="s">
        <v>16220</v>
      </c>
      <c r="AH122" s="15" t="s">
        <v>16221</v>
      </c>
      <c r="AL122" s="15" t="s">
        <v>16222</v>
      </c>
      <c r="AN122" s="15">
        <v>743</v>
      </c>
      <c r="AO122" s="15" t="s">
        <v>16223</v>
      </c>
      <c r="AQ122" s="15" t="s">
        <v>2747</v>
      </c>
      <c r="AT122" s="15" t="s">
        <v>16224</v>
      </c>
      <c r="AU122" s="15" t="s">
        <v>16225</v>
      </c>
      <c r="AV122" s="15" t="s">
        <v>16225</v>
      </c>
      <c r="AW122" s="15" t="s">
        <v>16226</v>
      </c>
      <c r="AX122" s="15" t="s">
        <v>16227</v>
      </c>
      <c r="AY122" s="15">
        <f t="shared" si="1"/>
        <v>54</v>
      </c>
      <c r="AZ122" s="15" t="s">
        <v>2752</v>
      </c>
      <c r="BA122" s="15" t="s">
        <v>2753</v>
      </c>
      <c r="BB122" s="15" t="s">
        <v>16228</v>
      </c>
      <c r="BC122" s="15">
        <v>3</v>
      </c>
      <c r="BE122" s="15" t="s">
        <v>16229</v>
      </c>
      <c r="BJ122" s="15" t="s">
        <v>16230</v>
      </c>
      <c r="BN122" s="15" t="s">
        <v>179</v>
      </c>
      <c r="BP122" s="15" t="s">
        <v>138</v>
      </c>
      <c r="BS122" s="15" t="s">
        <v>16231</v>
      </c>
      <c r="DH122" s="15" t="s">
        <v>17982</v>
      </c>
      <c r="DI122" s="15" t="s">
        <v>17982</v>
      </c>
    </row>
    <row r="123" spans="1:113" s="15" customFormat="1" ht="12.75" x14ac:dyDescent="0.2">
      <c r="A123" s="15" t="s">
        <v>109</v>
      </c>
      <c r="B123" s="15" t="s">
        <v>110</v>
      </c>
      <c r="D123" s="15" t="s">
        <v>620</v>
      </c>
      <c r="E123" s="15" t="s">
        <v>112</v>
      </c>
      <c r="F123" s="15" t="s">
        <v>620</v>
      </c>
      <c r="G123" s="15" t="s">
        <v>113</v>
      </c>
      <c r="H123" s="15" t="s">
        <v>1045</v>
      </c>
      <c r="J123" s="16" t="s">
        <v>114</v>
      </c>
      <c r="U123" s="15" t="s">
        <v>17977</v>
      </c>
      <c r="W123" s="15">
        <v>1678</v>
      </c>
      <c r="X123" s="15">
        <v>133</v>
      </c>
      <c r="Y123" s="15" t="s">
        <v>160</v>
      </c>
      <c r="Z123" s="15" t="s">
        <v>161</v>
      </c>
      <c r="AA123" s="15" t="s">
        <v>162</v>
      </c>
      <c r="AB123" s="15" t="s">
        <v>8715</v>
      </c>
      <c r="AC123" s="15" t="s">
        <v>8715</v>
      </c>
      <c r="AD123" s="15" t="s">
        <v>8715</v>
      </c>
      <c r="AE123" s="15" t="s">
        <v>164</v>
      </c>
      <c r="AF123" s="15" t="s">
        <v>8715</v>
      </c>
      <c r="AG123" s="15" t="s">
        <v>8715</v>
      </c>
      <c r="AH123" s="47" t="s">
        <v>8716</v>
      </c>
      <c r="AL123" s="15" t="s">
        <v>8717</v>
      </c>
      <c r="AN123" s="15">
        <v>743</v>
      </c>
      <c r="AO123" s="15" t="s">
        <v>8718</v>
      </c>
      <c r="AQ123" s="15" t="s">
        <v>168</v>
      </c>
      <c r="AT123" s="15" t="s">
        <v>8719</v>
      </c>
      <c r="AU123" s="15" t="s">
        <v>8720</v>
      </c>
      <c r="AV123" s="15" t="s">
        <v>8720</v>
      </c>
      <c r="AW123" s="15" t="s">
        <v>8721</v>
      </c>
      <c r="AX123" s="15" t="s">
        <v>8721</v>
      </c>
      <c r="AY123" s="15">
        <f t="shared" si="1"/>
        <v>60</v>
      </c>
      <c r="AZ123" s="15" t="s">
        <v>173</v>
      </c>
      <c r="BA123" s="15" t="s">
        <v>174</v>
      </c>
      <c r="BB123" s="15" t="s">
        <v>8722</v>
      </c>
      <c r="BE123" s="15" t="s">
        <v>7749</v>
      </c>
      <c r="BF123" s="15" t="s">
        <v>8723</v>
      </c>
      <c r="BJ123" s="15" t="s">
        <v>8724</v>
      </c>
      <c r="BN123" s="15" t="s">
        <v>179</v>
      </c>
      <c r="BP123" s="15" t="s">
        <v>138</v>
      </c>
      <c r="BS123" s="15" t="s">
        <v>8725</v>
      </c>
      <c r="DH123" s="15" t="s">
        <v>17982</v>
      </c>
      <c r="DI123" s="15" t="s">
        <v>17982</v>
      </c>
    </row>
    <row r="124" spans="1:113" s="15" customFormat="1" ht="12.75" x14ac:dyDescent="0.2">
      <c r="A124" s="15" t="s">
        <v>109</v>
      </c>
      <c r="B124" s="15" t="s">
        <v>110</v>
      </c>
      <c r="D124" s="15" t="s">
        <v>620</v>
      </c>
      <c r="E124" s="15" t="s">
        <v>112</v>
      </c>
      <c r="F124" s="15" t="s">
        <v>620</v>
      </c>
      <c r="G124" s="15" t="s">
        <v>113</v>
      </c>
      <c r="H124" s="15" t="s">
        <v>1045</v>
      </c>
      <c r="J124" s="16" t="s">
        <v>114</v>
      </c>
      <c r="U124" s="15" t="s">
        <v>17977</v>
      </c>
      <c r="W124" s="15">
        <v>3644</v>
      </c>
      <c r="X124" s="15">
        <v>134</v>
      </c>
      <c r="Y124" s="15" t="s">
        <v>160</v>
      </c>
      <c r="Z124" s="15" t="s">
        <v>161</v>
      </c>
      <c r="AA124" s="15" t="s">
        <v>162</v>
      </c>
      <c r="AB124" s="15" t="s">
        <v>17590</v>
      </c>
      <c r="AC124" s="15" t="s">
        <v>17590</v>
      </c>
      <c r="AD124" s="15" t="s">
        <v>17590</v>
      </c>
      <c r="AE124" s="15" t="s">
        <v>164</v>
      </c>
      <c r="AF124" s="15" t="s">
        <v>17590</v>
      </c>
      <c r="AG124" s="15" t="s">
        <v>17590</v>
      </c>
      <c r="AH124" s="15" t="s">
        <v>17591</v>
      </c>
      <c r="AL124" s="15" t="s">
        <v>17592</v>
      </c>
      <c r="AN124" s="15">
        <v>743</v>
      </c>
      <c r="AO124" s="15" t="s">
        <v>17593</v>
      </c>
      <c r="AQ124" s="15" t="s">
        <v>388</v>
      </c>
      <c r="AT124" s="15" t="s">
        <v>17594</v>
      </c>
      <c r="AU124" s="15" t="s">
        <v>17595</v>
      </c>
      <c r="AV124" s="15" t="s">
        <v>17595</v>
      </c>
      <c r="AW124" s="15" t="s">
        <v>17596</v>
      </c>
      <c r="AX124" s="15" t="s">
        <v>17596</v>
      </c>
      <c r="AY124" s="15">
        <f t="shared" si="1"/>
        <v>58</v>
      </c>
      <c r="AZ124" s="15" t="s">
        <v>393</v>
      </c>
      <c r="BA124" s="15" t="s">
        <v>174</v>
      </c>
      <c r="BB124" s="15" t="s">
        <v>17577</v>
      </c>
      <c r="BE124" s="15" t="s">
        <v>2008</v>
      </c>
      <c r="BF124" s="15" t="s">
        <v>1175</v>
      </c>
      <c r="BI124" s="15" t="s">
        <v>1200</v>
      </c>
      <c r="BJ124" s="15" t="s">
        <v>17597</v>
      </c>
      <c r="BN124" s="15" t="s">
        <v>179</v>
      </c>
      <c r="BP124" s="15" t="s">
        <v>138</v>
      </c>
      <c r="BS124" s="15" t="s">
        <v>17598</v>
      </c>
      <c r="DH124" s="15" t="s">
        <v>17982</v>
      </c>
      <c r="DI124" s="15" t="s">
        <v>17982</v>
      </c>
    </row>
    <row r="125" spans="1:113" s="15" customFormat="1" ht="12.75" x14ac:dyDescent="0.2">
      <c r="A125" s="15" t="s">
        <v>109</v>
      </c>
      <c r="B125" s="15" t="s">
        <v>110</v>
      </c>
      <c r="D125" s="15" t="s">
        <v>620</v>
      </c>
      <c r="E125" s="15" t="s">
        <v>112</v>
      </c>
      <c r="F125" s="15" t="s">
        <v>620</v>
      </c>
      <c r="G125" s="15" t="s">
        <v>113</v>
      </c>
      <c r="H125" s="15" t="s">
        <v>1045</v>
      </c>
      <c r="J125" s="16" t="s">
        <v>114</v>
      </c>
      <c r="U125" s="15" t="s">
        <v>17977</v>
      </c>
      <c r="W125" s="15">
        <v>3645</v>
      </c>
      <c r="X125" s="15">
        <v>135</v>
      </c>
      <c r="Y125" s="15" t="s">
        <v>160</v>
      </c>
      <c r="Z125" s="15" t="s">
        <v>161</v>
      </c>
      <c r="AA125" s="15" t="s">
        <v>162</v>
      </c>
      <c r="AB125" s="15" t="s">
        <v>17599</v>
      </c>
      <c r="AC125" s="15" t="s">
        <v>17599</v>
      </c>
      <c r="AD125" s="15" t="s">
        <v>17599</v>
      </c>
      <c r="AE125" s="15" t="s">
        <v>164</v>
      </c>
      <c r="AF125" s="15" t="s">
        <v>17599</v>
      </c>
      <c r="AG125" s="15" t="s">
        <v>17599</v>
      </c>
      <c r="AH125" s="15" t="s">
        <v>17600</v>
      </c>
      <c r="AL125" s="15" t="s">
        <v>17601</v>
      </c>
      <c r="AN125" s="15">
        <v>743</v>
      </c>
      <c r="AO125" s="15" t="s">
        <v>17602</v>
      </c>
      <c r="AQ125" s="15" t="s">
        <v>388</v>
      </c>
      <c r="AT125" s="15" t="s">
        <v>17603</v>
      </c>
      <c r="AU125" s="15" t="s">
        <v>17604</v>
      </c>
      <c r="AV125" s="15" t="s">
        <v>17604</v>
      </c>
      <c r="AW125" s="15" t="s">
        <v>17605</v>
      </c>
      <c r="AX125" s="15" t="s">
        <v>17606</v>
      </c>
      <c r="AY125" s="15">
        <f t="shared" si="1"/>
        <v>57</v>
      </c>
      <c r="AZ125" s="15" t="s">
        <v>393</v>
      </c>
      <c r="BA125" s="15" t="s">
        <v>174</v>
      </c>
      <c r="BB125" s="15" t="s">
        <v>17577</v>
      </c>
      <c r="BE125" s="15" t="s">
        <v>2008</v>
      </c>
      <c r="BF125" s="15" t="s">
        <v>1175</v>
      </c>
      <c r="BI125" s="15" t="s">
        <v>1200</v>
      </c>
      <c r="BJ125" s="15" t="s">
        <v>17607</v>
      </c>
      <c r="BN125" s="15" t="s">
        <v>179</v>
      </c>
      <c r="BP125" s="15" t="s">
        <v>138</v>
      </c>
      <c r="BS125" s="15" t="s">
        <v>17608</v>
      </c>
      <c r="DH125" s="15" t="s">
        <v>17982</v>
      </c>
      <c r="DI125" s="15" t="s">
        <v>17982</v>
      </c>
    </row>
    <row r="126" spans="1:113" s="15" customFormat="1" ht="12.75" x14ac:dyDescent="0.2">
      <c r="A126" s="15" t="s">
        <v>109</v>
      </c>
      <c r="B126" s="15" t="s">
        <v>110</v>
      </c>
      <c r="D126" s="15" t="s">
        <v>620</v>
      </c>
      <c r="E126" s="15" t="s">
        <v>112</v>
      </c>
      <c r="F126" s="15" t="s">
        <v>620</v>
      </c>
      <c r="G126" s="15" t="s">
        <v>113</v>
      </c>
      <c r="H126" s="15" t="s">
        <v>1045</v>
      </c>
      <c r="J126" s="16" t="s">
        <v>114</v>
      </c>
      <c r="U126" s="15" t="s">
        <v>17977</v>
      </c>
      <c r="W126" s="15">
        <v>3643</v>
      </c>
      <c r="X126" s="15">
        <v>136</v>
      </c>
      <c r="Y126" s="15" t="s">
        <v>160</v>
      </c>
      <c r="Z126" s="15" t="s">
        <v>161</v>
      </c>
      <c r="AA126" s="15" t="s">
        <v>162</v>
      </c>
      <c r="AB126" s="15" t="s">
        <v>17580</v>
      </c>
      <c r="AC126" s="15" t="s">
        <v>17580</v>
      </c>
      <c r="AD126" s="15" t="s">
        <v>17580</v>
      </c>
      <c r="AE126" s="15" t="s">
        <v>164</v>
      </c>
      <c r="AF126" s="15" t="s">
        <v>17580</v>
      </c>
      <c r="AG126" s="15" t="s">
        <v>17580</v>
      </c>
      <c r="AH126" s="15" t="s">
        <v>17581</v>
      </c>
      <c r="AL126" s="15" t="s">
        <v>17582</v>
      </c>
      <c r="AN126" s="15">
        <v>743</v>
      </c>
      <c r="AO126" s="15" t="s">
        <v>17583</v>
      </c>
      <c r="AQ126" s="15" t="s">
        <v>388</v>
      </c>
      <c r="AT126" s="15" t="s">
        <v>17584</v>
      </c>
      <c r="AU126" s="15" t="s">
        <v>17585</v>
      </c>
      <c r="AV126" s="15" t="s">
        <v>17585</v>
      </c>
      <c r="AW126" s="15" t="s">
        <v>17586</v>
      </c>
      <c r="AX126" s="15" t="s">
        <v>17587</v>
      </c>
      <c r="AY126" s="15">
        <f t="shared" si="1"/>
        <v>57</v>
      </c>
      <c r="AZ126" s="15" t="s">
        <v>393</v>
      </c>
      <c r="BA126" s="15" t="s">
        <v>174</v>
      </c>
      <c r="BB126" s="15" t="s">
        <v>17577</v>
      </c>
      <c r="BE126" s="15" t="s">
        <v>2008</v>
      </c>
      <c r="BF126" s="15" t="s">
        <v>1175</v>
      </c>
      <c r="BI126" s="15" t="s">
        <v>1200</v>
      </c>
      <c r="BJ126" s="15" t="s">
        <v>17588</v>
      </c>
      <c r="BN126" s="15" t="s">
        <v>179</v>
      </c>
      <c r="BP126" s="15" t="s">
        <v>138</v>
      </c>
      <c r="BS126" s="15" t="s">
        <v>17589</v>
      </c>
      <c r="DH126" s="15" t="s">
        <v>17982</v>
      </c>
      <c r="DI126" s="15" t="s">
        <v>17982</v>
      </c>
    </row>
    <row r="127" spans="1:113" s="15" customFormat="1" ht="12.75" x14ac:dyDescent="0.2">
      <c r="A127" s="15" t="s">
        <v>109</v>
      </c>
      <c r="B127" s="15" t="s">
        <v>110</v>
      </c>
      <c r="D127" s="15" t="s">
        <v>620</v>
      </c>
      <c r="E127" s="15" t="s">
        <v>112</v>
      </c>
      <c r="F127" s="15" t="s">
        <v>620</v>
      </c>
      <c r="G127" s="15" t="s">
        <v>113</v>
      </c>
      <c r="H127" s="15" t="s">
        <v>1045</v>
      </c>
      <c r="J127" s="16" t="s">
        <v>114</v>
      </c>
      <c r="U127" s="15" t="s">
        <v>17977</v>
      </c>
      <c r="W127" s="15">
        <v>3646</v>
      </c>
      <c r="X127" s="15">
        <v>137</v>
      </c>
      <c r="Y127" s="15" t="s">
        <v>160</v>
      </c>
      <c r="Z127" s="15" t="s">
        <v>161</v>
      </c>
      <c r="AA127" s="15" t="s">
        <v>162</v>
      </c>
      <c r="AB127" s="15" t="s">
        <v>17609</v>
      </c>
      <c r="AC127" s="15" t="s">
        <v>17609</v>
      </c>
      <c r="AD127" s="15" t="s">
        <v>17609</v>
      </c>
      <c r="AE127" s="15" t="s">
        <v>164</v>
      </c>
      <c r="AF127" s="15" t="s">
        <v>17609</v>
      </c>
      <c r="AG127" s="15" t="s">
        <v>17609</v>
      </c>
      <c r="AH127" s="15" t="s">
        <v>17610</v>
      </c>
      <c r="AL127" s="15" t="s">
        <v>17611</v>
      </c>
      <c r="AN127" s="15">
        <v>743</v>
      </c>
      <c r="AO127" s="15" t="s">
        <v>17612</v>
      </c>
      <c r="AQ127" s="15" t="s">
        <v>912</v>
      </c>
      <c r="AT127" s="15" t="s">
        <v>17613</v>
      </c>
      <c r="AU127" s="15" t="s">
        <v>17614</v>
      </c>
      <c r="AV127" s="15" t="s">
        <v>17614</v>
      </c>
      <c r="AW127" s="15" t="s">
        <v>17615</v>
      </c>
      <c r="AX127" s="15" t="s">
        <v>17616</v>
      </c>
      <c r="AY127" s="15">
        <f t="shared" si="1"/>
        <v>54</v>
      </c>
      <c r="AZ127" s="15" t="s">
        <v>917</v>
      </c>
      <c r="BA127" s="15" t="s">
        <v>174</v>
      </c>
      <c r="BB127" s="15" t="s">
        <v>17577</v>
      </c>
      <c r="BE127" s="15" t="s">
        <v>3573</v>
      </c>
      <c r="BF127" s="15" t="s">
        <v>2528</v>
      </c>
      <c r="BJ127" s="15" t="s">
        <v>17617</v>
      </c>
      <c r="BN127" s="15" t="s">
        <v>179</v>
      </c>
      <c r="BP127" s="15" t="s">
        <v>138</v>
      </c>
      <c r="BS127" s="15" t="s">
        <v>17618</v>
      </c>
      <c r="DH127" s="15" t="s">
        <v>17982</v>
      </c>
      <c r="DI127" s="15" t="s">
        <v>17982</v>
      </c>
    </row>
    <row r="128" spans="1:113" s="15" customFormat="1" ht="12.75" x14ac:dyDescent="0.2">
      <c r="A128" s="15" t="s">
        <v>109</v>
      </c>
      <c r="B128" s="15" t="s">
        <v>110</v>
      </c>
      <c r="D128" s="15" t="s">
        <v>620</v>
      </c>
      <c r="E128" s="15" t="s">
        <v>112</v>
      </c>
      <c r="F128" s="15" t="s">
        <v>620</v>
      </c>
      <c r="G128" s="15" t="s">
        <v>113</v>
      </c>
      <c r="H128" s="15" t="s">
        <v>1045</v>
      </c>
      <c r="J128" s="16" t="s">
        <v>114</v>
      </c>
      <c r="U128" s="15" t="s">
        <v>17977</v>
      </c>
      <c r="W128" s="15">
        <v>1690</v>
      </c>
      <c r="X128" s="15">
        <v>138</v>
      </c>
      <c r="Y128" s="15" t="s">
        <v>160</v>
      </c>
      <c r="Z128" s="15" t="s">
        <v>161</v>
      </c>
      <c r="AA128" s="15" t="s">
        <v>162</v>
      </c>
      <c r="AB128" s="15" t="s">
        <v>8841</v>
      </c>
      <c r="AC128" s="15" t="s">
        <v>8841</v>
      </c>
      <c r="AD128" s="15" t="s">
        <v>8841</v>
      </c>
      <c r="AE128" s="15" t="s">
        <v>164</v>
      </c>
      <c r="AF128" s="15" t="s">
        <v>8841</v>
      </c>
      <c r="AG128" s="15" t="s">
        <v>8841</v>
      </c>
      <c r="AH128" s="15" t="s">
        <v>8842</v>
      </c>
      <c r="AL128" s="15" t="s">
        <v>8843</v>
      </c>
      <c r="AN128" s="15">
        <v>743</v>
      </c>
      <c r="AO128" s="15" t="s">
        <v>8844</v>
      </c>
      <c r="AQ128" s="15" t="s">
        <v>8845</v>
      </c>
      <c r="AT128" s="15" t="s">
        <v>8846</v>
      </c>
      <c r="AU128" s="30" t="s">
        <v>8847</v>
      </c>
      <c r="AV128" s="30" t="s">
        <v>8847</v>
      </c>
      <c r="AW128" s="30" t="s">
        <v>8848</v>
      </c>
      <c r="AX128" s="30" t="s">
        <v>8849</v>
      </c>
      <c r="AY128" s="15">
        <f t="shared" si="1"/>
        <v>57</v>
      </c>
      <c r="AZ128" s="15" t="s">
        <v>930</v>
      </c>
      <c r="BA128" s="15" t="s">
        <v>1465</v>
      </c>
      <c r="BB128" s="15" t="s">
        <v>8712</v>
      </c>
      <c r="BE128" s="15" t="s">
        <v>8850</v>
      </c>
      <c r="BJ128" s="15" t="s">
        <v>8851</v>
      </c>
      <c r="BK128" s="15" t="s">
        <v>1469</v>
      </c>
      <c r="BN128" s="15" t="s">
        <v>179</v>
      </c>
      <c r="BP128" s="15" t="s">
        <v>138</v>
      </c>
      <c r="BS128" s="15" t="s">
        <v>8852</v>
      </c>
      <c r="DH128" s="15" t="s">
        <v>17982</v>
      </c>
      <c r="DI128" s="15" t="s">
        <v>17982</v>
      </c>
    </row>
    <row r="129" spans="1:113" s="15" customFormat="1" ht="12.75" x14ac:dyDescent="0.2">
      <c r="A129" s="15" t="s">
        <v>109</v>
      </c>
      <c r="B129" s="15" t="s">
        <v>110</v>
      </c>
      <c r="D129" s="15" t="s">
        <v>620</v>
      </c>
      <c r="E129" s="15" t="s">
        <v>112</v>
      </c>
      <c r="F129" s="15" t="s">
        <v>620</v>
      </c>
      <c r="G129" s="15" t="s">
        <v>113</v>
      </c>
      <c r="H129" s="15" t="s">
        <v>1045</v>
      </c>
      <c r="J129" s="16" t="s">
        <v>114</v>
      </c>
      <c r="U129" s="15" t="s">
        <v>17977</v>
      </c>
      <c r="W129" s="15">
        <v>3318</v>
      </c>
      <c r="X129" s="15">
        <v>139</v>
      </c>
      <c r="Y129" s="15" t="s">
        <v>160</v>
      </c>
      <c r="Z129" s="15" t="s">
        <v>161</v>
      </c>
      <c r="AA129" s="15" t="s">
        <v>162</v>
      </c>
      <c r="AB129" s="15" t="s">
        <v>16021</v>
      </c>
      <c r="AC129" s="15" t="s">
        <v>16021</v>
      </c>
      <c r="AD129" s="15" t="s">
        <v>16021</v>
      </c>
      <c r="AE129" s="15" t="s">
        <v>164</v>
      </c>
      <c r="AF129" s="15" t="s">
        <v>16021</v>
      </c>
      <c r="AG129" s="15" t="s">
        <v>16021</v>
      </c>
      <c r="AH129" s="15" t="s">
        <v>16022</v>
      </c>
      <c r="AL129" s="15" t="s">
        <v>16023</v>
      </c>
      <c r="AN129" s="15">
        <v>743</v>
      </c>
      <c r="AO129" s="15" t="s">
        <v>16024</v>
      </c>
      <c r="AQ129" s="15" t="s">
        <v>2747</v>
      </c>
      <c r="AT129" s="15" t="s">
        <v>16025</v>
      </c>
      <c r="AU129" s="15" t="s">
        <v>16026</v>
      </c>
      <c r="AV129" s="15" t="s">
        <v>16026</v>
      </c>
      <c r="AW129" s="15" t="s">
        <v>16027</v>
      </c>
      <c r="AX129" s="15" t="s">
        <v>16027</v>
      </c>
      <c r="AY129" s="15">
        <f t="shared" si="1"/>
        <v>38</v>
      </c>
      <c r="AZ129" s="15" t="s">
        <v>2752</v>
      </c>
      <c r="BA129" s="15" t="s">
        <v>2753</v>
      </c>
      <c r="BB129" s="15" t="s">
        <v>16028</v>
      </c>
      <c r="BE129" s="15" t="s">
        <v>16029</v>
      </c>
      <c r="BN129" s="15" t="s">
        <v>179</v>
      </c>
      <c r="BP129" s="15" t="s">
        <v>138</v>
      </c>
      <c r="BS129" s="15" t="s">
        <v>16030</v>
      </c>
      <c r="DH129" s="15" t="s">
        <v>17982</v>
      </c>
      <c r="DI129" s="15" t="s">
        <v>17982</v>
      </c>
    </row>
    <row r="130" spans="1:113" s="15" customFormat="1" ht="12.75" x14ac:dyDescent="0.2">
      <c r="A130" s="15" t="s">
        <v>109</v>
      </c>
      <c r="B130" s="15" t="s">
        <v>110</v>
      </c>
      <c r="D130" s="15" t="s">
        <v>620</v>
      </c>
      <c r="E130" s="15" t="s">
        <v>112</v>
      </c>
      <c r="F130" s="15" t="s">
        <v>620</v>
      </c>
      <c r="G130" s="15" t="s">
        <v>113</v>
      </c>
      <c r="H130" s="15" t="s">
        <v>1045</v>
      </c>
      <c r="J130" s="16" t="s">
        <v>114</v>
      </c>
      <c r="U130" s="15" t="s">
        <v>17977</v>
      </c>
      <c r="W130" s="15">
        <v>3319</v>
      </c>
      <c r="X130" s="15">
        <v>140</v>
      </c>
      <c r="Y130" s="15" t="s">
        <v>160</v>
      </c>
      <c r="Z130" s="15" t="s">
        <v>161</v>
      </c>
      <c r="AA130" s="15" t="s">
        <v>162</v>
      </c>
      <c r="AB130" s="15" t="s">
        <v>16031</v>
      </c>
      <c r="AC130" s="15" t="s">
        <v>16031</v>
      </c>
      <c r="AD130" s="15" t="s">
        <v>16031</v>
      </c>
      <c r="AE130" s="15" t="s">
        <v>164</v>
      </c>
      <c r="AF130" s="15" t="s">
        <v>16031</v>
      </c>
      <c r="AG130" s="15" t="s">
        <v>16031</v>
      </c>
      <c r="AH130" s="15" t="s">
        <v>16032</v>
      </c>
      <c r="AL130" s="15" t="s">
        <v>16033</v>
      </c>
      <c r="AN130" s="15">
        <v>743</v>
      </c>
      <c r="AO130" s="15" t="s">
        <v>16034</v>
      </c>
      <c r="AQ130" s="15" t="s">
        <v>2747</v>
      </c>
      <c r="AT130" s="15" t="s">
        <v>16035</v>
      </c>
      <c r="AU130" s="15" t="s">
        <v>16036</v>
      </c>
      <c r="AV130" s="15" t="s">
        <v>16036</v>
      </c>
      <c r="AW130" s="15" t="s">
        <v>16037</v>
      </c>
      <c r="AX130" s="15" t="s">
        <v>16037</v>
      </c>
      <c r="AY130" s="15">
        <f t="shared" ref="AY130:AY193" si="2">LEN(SUBSTITUTE(AX130, ", "," "))</f>
        <v>38</v>
      </c>
      <c r="AZ130" s="15" t="s">
        <v>2752</v>
      </c>
      <c r="BA130" s="15" t="s">
        <v>2753</v>
      </c>
      <c r="BB130" s="15" t="s">
        <v>16028</v>
      </c>
      <c r="BE130" s="15" t="s">
        <v>16038</v>
      </c>
      <c r="BN130" s="15" t="s">
        <v>179</v>
      </c>
      <c r="BP130" s="15" t="s">
        <v>138</v>
      </c>
      <c r="BS130" s="15" t="s">
        <v>16039</v>
      </c>
      <c r="DH130" s="15" t="s">
        <v>17982</v>
      </c>
      <c r="DI130" s="15" t="s">
        <v>17982</v>
      </c>
    </row>
    <row r="131" spans="1:113" s="15" customFormat="1" ht="12.75" x14ac:dyDescent="0.2">
      <c r="A131" s="15" t="s">
        <v>109</v>
      </c>
      <c r="B131" s="15" t="s">
        <v>110</v>
      </c>
      <c r="D131" s="15" t="s">
        <v>620</v>
      </c>
      <c r="E131" s="15" t="s">
        <v>112</v>
      </c>
      <c r="F131" s="15" t="s">
        <v>620</v>
      </c>
      <c r="G131" s="15" t="s">
        <v>113</v>
      </c>
      <c r="H131" s="15" t="s">
        <v>1045</v>
      </c>
      <c r="J131" s="16" t="s">
        <v>114</v>
      </c>
      <c r="U131" s="15" t="s">
        <v>17977</v>
      </c>
      <c r="W131" s="15">
        <v>1687</v>
      </c>
      <c r="X131" s="15">
        <v>141</v>
      </c>
      <c r="Y131" s="15" t="s">
        <v>160</v>
      </c>
      <c r="Z131" s="15" t="s">
        <v>161</v>
      </c>
      <c r="AA131" s="15" t="s">
        <v>162</v>
      </c>
      <c r="AB131" s="15" t="s">
        <v>8808</v>
      </c>
      <c r="AC131" s="15" t="s">
        <v>8808</v>
      </c>
      <c r="AD131" s="15" t="s">
        <v>8808</v>
      </c>
      <c r="AE131" s="15" t="s">
        <v>164</v>
      </c>
      <c r="AF131" s="15" t="s">
        <v>8808</v>
      </c>
      <c r="AG131" s="15" t="s">
        <v>8808</v>
      </c>
      <c r="AH131" s="47" t="s">
        <v>8809</v>
      </c>
      <c r="AL131" s="15" t="s">
        <v>8810</v>
      </c>
      <c r="AN131" s="15">
        <v>743</v>
      </c>
      <c r="AO131" s="15" t="s">
        <v>8811</v>
      </c>
      <c r="AQ131" s="15" t="s">
        <v>8812</v>
      </c>
      <c r="AT131" s="15" t="s">
        <v>8813</v>
      </c>
      <c r="AU131" s="15" t="s">
        <v>8814</v>
      </c>
      <c r="AV131" s="15" t="s">
        <v>8814</v>
      </c>
      <c r="AW131" s="15" t="s">
        <v>8815</v>
      </c>
      <c r="AX131" s="15" t="s">
        <v>8816</v>
      </c>
      <c r="AY131" s="15">
        <f t="shared" si="2"/>
        <v>57</v>
      </c>
      <c r="AZ131" s="15" t="s">
        <v>8817</v>
      </c>
      <c r="BA131" s="15" t="s">
        <v>174</v>
      </c>
      <c r="BB131" s="15" t="s">
        <v>8712</v>
      </c>
      <c r="BC131" s="15" t="s">
        <v>3153</v>
      </c>
      <c r="BE131" s="15" t="s">
        <v>4865</v>
      </c>
      <c r="BJ131" s="15" t="s">
        <v>8818</v>
      </c>
      <c r="BN131" s="15" t="s">
        <v>179</v>
      </c>
      <c r="BP131" s="15" t="s">
        <v>138</v>
      </c>
      <c r="BS131" s="15" t="s">
        <v>8819</v>
      </c>
      <c r="DH131" s="15" t="s">
        <v>17982</v>
      </c>
      <c r="DI131" s="15" t="s">
        <v>17982</v>
      </c>
    </row>
    <row r="132" spans="1:113" s="15" customFormat="1" ht="12.75" x14ac:dyDescent="0.2">
      <c r="A132" s="15" t="s">
        <v>109</v>
      </c>
      <c r="B132" s="15" t="s">
        <v>110</v>
      </c>
      <c r="D132" s="15" t="s">
        <v>620</v>
      </c>
      <c r="E132" s="15" t="s">
        <v>112</v>
      </c>
      <c r="F132" s="15" t="s">
        <v>620</v>
      </c>
      <c r="G132" s="15" t="s">
        <v>113</v>
      </c>
      <c r="H132" s="15" t="s">
        <v>1045</v>
      </c>
      <c r="J132" s="16" t="s">
        <v>114</v>
      </c>
      <c r="U132" s="15" t="s">
        <v>17977</v>
      </c>
      <c r="W132" s="15">
        <v>1693</v>
      </c>
      <c r="X132" s="15">
        <v>142</v>
      </c>
      <c r="Y132" s="15" t="s">
        <v>160</v>
      </c>
      <c r="Z132" s="15" t="s">
        <v>161</v>
      </c>
      <c r="AA132" s="15" t="s">
        <v>162</v>
      </c>
      <c r="AB132" s="15" t="s">
        <v>8872</v>
      </c>
      <c r="AC132" s="15" t="s">
        <v>8872</v>
      </c>
      <c r="AD132" s="15" t="s">
        <v>8872</v>
      </c>
      <c r="AE132" s="15" t="s">
        <v>164</v>
      </c>
      <c r="AF132" s="15" t="s">
        <v>8872</v>
      </c>
      <c r="AG132" s="15" t="s">
        <v>8872</v>
      </c>
      <c r="AH132" s="15" t="s">
        <v>8873</v>
      </c>
      <c r="AL132" s="15" t="s">
        <v>8874</v>
      </c>
      <c r="AN132" s="15">
        <v>743</v>
      </c>
      <c r="AO132" s="15" t="s">
        <v>8875</v>
      </c>
      <c r="AQ132" s="15" t="s">
        <v>8876</v>
      </c>
      <c r="AT132" s="15" t="s">
        <v>8877</v>
      </c>
      <c r="AU132" s="15" t="s">
        <v>8878</v>
      </c>
      <c r="AV132" s="15" t="s">
        <v>8878</v>
      </c>
      <c r="AW132" s="15" t="s">
        <v>8879</v>
      </c>
      <c r="AX132" s="15" t="s">
        <v>8880</v>
      </c>
      <c r="AY132" s="15">
        <f t="shared" si="2"/>
        <v>57</v>
      </c>
      <c r="AZ132" s="15" t="s">
        <v>214</v>
      </c>
      <c r="BA132" s="15" t="s">
        <v>174</v>
      </c>
      <c r="BB132" s="15" t="s">
        <v>8881</v>
      </c>
      <c r="BE132" s="15" t="s">
        <v>1081</v>
      </c>
      <c r="BJ132" s="15" t="s">
        <v>8882</v>
      </c>
      <c r="BN132" s="15" t="s">
        <v>179</v>
      </c>
      <c r="BP132" s="15" t="s">
        <v>138</v>
      </c>
      <c r="BS132" s="15" t="s">
        <v>8883</v>
      </c>
      <c r="DH132" s="15" t="s">
        <v>17982</v>
      </c>
      <c r="DI132" s="15" t="s">
        <v>17982</v>
      </c>
    </row>
    <row r="133" spans="1:113" s="15" customFormat="1" ht="12.75" x14ac:dyDescent="0.2">
      <c r="A133" s="15" t="s">
        <v>109</v>
      </c>
      <c r="B133" s="15" t="s">
        <v>110</v>
      </c>
      <c r="D133" s="15" t="s">
        <v>620</v>
      </c>
      <c r="E133" s="15" t="s">
        <v>112</v>
      </c>
      <c r="F133" s="15" t="s">
        <v>620</v>
      </c>
      <c r="G133" s="15" t="s">
        <v>113</v>
      </c>
      <c r="H133" s="15" t="s">
        <v>1045</v>
      </c>
      <c r="J133" s="16" t="s">
        <v>114</v>
      </c>
      <c r="U133" s="15" t="s">
        <v>17977</v>
      </c>
      <c r="W133" s="15">
        <v>1686</v>
      </c>
      <c r="X133" s="15">
        <v>143</v>
      </c>
      <c r="Y133" s="15" t="s">
        <v>160</v>
      </c>
      <c r="Z133" s="15" t="s">
        <v>161</v>
      </c>
      <c r="AA133" s="15" t="s">
        <v>162</v>
      </c>
      <c r="AB133" s="15" t="s">
        <v>8797</v>
      </c>
      <c r="AC133" s="15" t="s">
        <v>8797</v>
      </c>
      <c r="AD133" s="15" t="s">
        <v>8797</v>
      </c>
      <c r="AE133" s="15" t="s">
        <v>164</v>
      </c>
      <c r="AF133" s="15" t="s">
        <v>8797</v>
      </c>
      <c r="AG133" s="15" t="s">
        <v>8797</v>
      </c>
      <c r="AH133" s="47" t="s">
        <v>8798</v>
      </c>
      <c r="AL133" s="15" t="s">
        <v>8799</v>
      </c>
      <c r="AN133" s="15">
        <v>743</v>
      </c>
      <c r="AO133" s="15" t="s">
        <v>8800</v>
      </c>
      <c r="AQ133" s="15" t="s">
        <v>225</v>
      </c>
      <c r="AT133" s="15" t="s">
        <v>8801</v>
      </c>
      <c r="AU133" s="15" t="s">
        <v>8802</v>
      </c>
      <c r="AV133" s="15" t="s">
        <v>8802</v>
      </c>
      <c r="AW133" s="15" t="s">
        <v>8803</v>
      </c>
      <c r="AX133" s="15" t="s">
        <v>8804</v>
      </c>
      <c r="AY133" s="15">
        <f t="shared" si="2"/>
        <v>56</v>
      </c>
      <c r="AZ133" s="15" t="s">
        <v>229</v>
      </c>
      <c r="BA133" s="15" t="s">
        <v>174</v>
      </c>
      <c r="BB133" s="15" t="s">
        <v>8712</v>
      </c>
      <c r="BC133" s="15" t="s">
        <v>884</v>
      </c>
      <c r="BE133" s="15" t="s">
        <v>1081</v>
      </c>
      <c r="BF133" s="15" t="s">
        <v>8805</v>
      </c>
      <c r="BJ133" s="15" t="s">
        <v>8806</v>
      </c>
      <c r="BN133" s="15" t="s">
        <v>179</v>
      </c>
      <c r="BP133" s="15" t="s">
        <v>138</v>
      </c>
      <c r="BS133" s="15" t="s">
        <v>8807</v>
      </c>
      <c r="DH133" s="15" t="s">
        <v>17982</v>
      </c>
      <c r="DI133" s="15" t="s">
        <v>17982</v>
      </c>
    </row>
    <row r="134" spans="1:113" s="15" customFormat="1" ht="12.75" x14ac:dyDescent="0.2">
      <c r="A134" s="15" t="s">
        <v>109</v>
      </c>
      <c r="B134" s="15" t="s">
        <v>110</v>
      </c>
      <c r="D134" s="15" t="s">
        <v>620</v>
      </c>
      <c r="E134" s="15" t="s">
        <v>112</v>
      </c>
      <c r="F134" s="15" t="s">
        <v>620</v>
      </c>
      <c r="G134" s="15" t="s">
        <v>113</v>
      </c>
      <c r="H134" s="15" t="s">
        <v>1045</v>
      </c>
      <c r="J134" s="16" t="s">
        <v>114</v>
      </c>
      <c r="U134" s="15" t="s">
        <v>17977</v>
      </c>
      <c r="W134" s="15">
        <v>803</v>
      </c>
      <c r="X134" s="15">
        <v>144</v>
      </c>
      <c r="Y134" s="15" t="s">
        <v>160</v>
      </c>
      <c r="Z134" s="15" t="s">
        <v>161</v>
      </c>
      <c r="AA134" s="15" t="s">
        <v>162</v>
      </c>
      <c r="AB134" s="15" t="s">
        <v>3408</v>
      </c>
      <c r="AC134" s="15" t="s">
        <v>3408</v>
      </c>
      <c r="AD134" s="15" t="s">
        <v>3408</v>
      </c>
      <c r="AE134" s="15" t="s">
        <v>164</v>
      </c>
      <c r="AF134" s="15" t="s">
        <v>3408</v>
      </c>
      <c r="AG134" s="15" t="s">
        <v>3408</v>
      </c>
      <c r="AH134" s="15" t="s">
        <v>3409</v>
      </c>
      <c r="AL134" s="15" t="s">
        <v>3410</v>
      </c>
      <c r="AN134" s="15">
        <v>743</v>
      </c>
      <c r="AO134" s="15" t="s">
        <v>3411</v>
      </c>
      <c r="AQ134" s="15" t="s">
        <v>3412</v>
      </c>
      <c r="AT134" s="15" t="s">
        <v>3413</v>
      </c>
      <c r="AU134" s="15" t="s">
        <v>3414</v>
      </c>
      <c r="AV134" s="15" t="s">
        <v>3414</v>
      </c>
      <c r="AW134" s="15" t="s">
        <v>3415</v>
      </c>
      <c r="AX134" s="15" t="s">
        <v>3416</v>
      </c>
      <c r="AY134" s="15">
        <f t="shared" si="2"/>
        <v>60</v>
      </c>
      <c r="AZ134" s="15" t="s">
        <v>1725</v>
      </c>
      <c r="BA134" s="15" t="s">
        <v>174</v>
      </c>
      <c r="BB134" s="15" t="s">
        <v>3417</v>
      </c>
      <c r="BC134" s="15" t="s">
        <v>3418</v>
      </c>
      <c r="BE134" s="15" t="s">
        <v>1081</v>
      </c>
      <c r="BF134" s="15" t="s">
        <v>3419</v>
      </c>
      <c r="BJ134" s="15" t="s">
        <v>3420</v>
      </c>
      <c r="BN134" s="15" t="s">
        <v>179</v>
      </c>
      <c r="BP134" s="15" t="s">
        <v>138</v>
      </c>
      <c r="BS134" s="15" t="s">
        <v>3421</v>
      </c>
      <c r="DH134" s="15" t="s">
        <v>17982</v>
      </c>
      <c r="DI134" s="15" t="s">
        <v>17982</v>
      </c>
    </row>
    <row r="135" spans="1:113" s="15" customFormat="1" ht="12.75" x14ac:dyDescent="0.2">
      <c r="A135" s="15" t="s">
        <v>109</v>
      </c>
      <c r="B135" s="15" t="s">
        <v>110</v>
      </c>
      <c r="D135" s="15" t="s">
        <v>620</v>
      </c>
      <c r="E135" s="15" t="s">
        <v>112</v>
      </c>
      <c r="F135" s="15" t="s">
        <v>620</v>
      </c>
      <c r="G135" s="15" t="s">
        <v>113</v>
      </c>
      <c r="H135" s="15" t="s">
        <v>1045</v>
      </c>
      <c r="J135" s="16" t="s">
        <v>114</v>
      </c>
      <c r="U135" s="15" t="s">
        <v>17977</v>
      </c>
      <c r="W135" s="15">
        <v>1679</v>
      </c>
      <c r="X135" s="15">
        <v>145</v>
      </c>
      <c r="Y135" s="15" t="s">
        <v>160</v>
      </c>
      <c r="Z135" s="15" t="s">
        <v>161</v>
      </c>
      <c r="AA135" s="15" t="s">
        <v>162</v>
      </c>
      <c r="AB135" s="15" t="s">
        <v>8726</v>
      </c>
      <c r="AC135" s="15" t="s">
        <v>8726</v>
      </c>
      <c r="AD135" s="15" t="s">
        <v>8726</v>
      </c>
      <c r="AE135" s="15" t="s">
        <v>164</v>
      </c>
      <c r="AF135" s="15" t="s">
        <v>8726</v>
      </c>
      <c r="AG135" s="15" t="s">
        <v>8726</v>
      </c>
      <c r="AH135" s="47" t="s">
        <v>8727</v>
      </c>
      <c r="AL135" s="15" t="s">
        <v>8728</v>
      </c>
      <c r="AN135" s="15">
        <v>743</v>
      </c>
      <c r="AO135" s="15" t="s">
        <v>8729</v>
      </c>
      <c r="AQ135" s="15" t="s">
        <v>5609</v>
      </c>
      <c r="AT135" s="15" t="s">
        <v>8730</v>
      </c>
      <c r="AU135" s="15" t="s">
        <v>8731</v>
      </c>
      <c r="AV135" s="15" t="s">
        <v>8731</v>
      </c>
      <c r="AW135" s="15" t="s">
        <v>8732</v>
      </c>
      <c r="AX135" s="15" t="s">
        <v>8733</v>
      </c>
      <c r="AY135" s="15">
        <f t="shared" si="2"/>
        <v>55</v>
      </c>
      <c r="AZ135" s="15" t="s">
        <v>5613</v>
      </c>
      <c r="BA135" s="15" t="s">
        <v>174</v>
      </c>
      <c r="BB135" s="15" t="s">
        <v>8712</v>
      </c>
      <c r="BE135" s="15" t="s">
        <v>251</v>
      </c>
      <c r="BF135" s="19" t="s">
        <v>8734</v>
      </c>
      <c r="BJ135" s="15" t="s">
        <v>8735</v>
      </c>
      <c r="BN135" s="15" t="s">
        <v>179</v>
      </c>
      <c r="BP135" s="15" t="s">
        <v>138</v>
      </c>
      <c r="BS135" s="15" t="s">
        <v>8736</v>
      </c>
      <c r="DH135" s="15" t="s">
        <v>17982</v>
      </c>
      <c r="DI135" s="15" t="s">
        <v>17982</v>
      </c>
    </row>
    <row r="136" spans="1:113" s="15" customFormat="1" ht="12.75" x14ac:dyDescent="0.2">
      <c r="A136" s="15" t="s">
        <v>109</v>
      </c>
      <c r="B136" s="15" t="s">
        <v>110</v>
      </c>
      <c r="D136" s="15" t="s">
        <v>620</v>
      </c>
      <c r="E136" s="15" t="s">
        <v>112</v>
      </c>
      <c r="F136" s="15" t="s">
        <v>620</v>
      </c>
      <c r="G136" s="15" t="s">
        <v>113</v>
      </c>
      <c r="H136" s="15" t="s">
        <v>1045</v>
      </c>
      <c r="J136" s="16" t="s">
        <v>114</v>
      </c>
      <c r="U136" s="15" t="s">
        <v>17977</v>
      </c>
      <c r="W136" s="15">
        <v>1680</v>
      </c>
      <c r="X136" s="15">
        <v>146</v>
      </c>
      <c r="Y136" s="15" t="s">
        <v>160</v>
      </c>
      <c r="Z136" s="15" t="s">
        <v>161</v>
      </c>
      <c r="AA136" s="15" t="s">
        <v>162</v>
      </c>
      <c r="AB136" s="15" t="s">
        <v>8737</v>
      </c>
      <c r="AC136" s="15" t="s">
        <v>8737</v>
      </c>
      <c r="AD136" s="15" t="s">
        <v>8737</v>
      </c>
      <c r="AE136" s="15" t="s">
        <v>164</v>
      </c>
      <c r="AF136" s="15" t="s">
        <v>8737</v>
      </c>
      <c r="AG136" s="15" t="s">
        <v>8737</v>
      </c>
      <c r="AH136" s="47" t="s">
        <v>8738</v>
      </c>
      <c r="AL136" s="15" t="s">
        <v>8739</v>
      </c>
      <c r="AN136" s="15">
        <v>743</v>
      </c>
      <c r="AO136" s="15" t="s">
        <v>8740</v>
      </c>
      <c r="AQ136" s="15" t="s">
        <v>5609</v>
      </c>
      <c r="AT136" s="15" t="s">
        <v>8741</v>
      </c>
      <c r="AU136" s="15" t="s">
        <v>8742</v>
      </c>
      <c r="AV136" s="15" t="s">
        <v>8742</v>
      </c>
      <c r="AW136" s="15" t="s">
        <v>8743</v>
      </c>
      <c r="AX136" s="15" t="s">
        <v>8744</v>
      </c>
      <c r="AY136" s="15">
        <f t="shared" si="2"/>
        <v>55</v>
      </c>
      <c r="AZ136" s="15" t="s">
        <v>5613</v>
      </c>
      <c r="BA136" s="15" t="s">
        <v>174</v>
      </c>
      <c r="BB136" s="15" t="s">
        <v>8712</v>
      </c>
      <c r="BE136" s="15" t="s">
        <v>251</v>
      </c>
      <c r="BF136" s="19" t="s">
        <v>836</v>
      </c>
      <c r="BJ136" s="15" t="s">
        <v>8745</v>
      </c>
      <c r="BN136" s="15" t="s">
        <v>179</v>
      </c>
      <c r="BP136" s="15" t="s">
        <v>138</v>
      </c>
      <c r="BS136" s="15" t="s">
        <v>8746</v>
      </c>
      <c r="DH136" s="15" t="s">
        <v>17982</v>
      </c>
      <c r="DI136" s="15" t="s">
        <v>17982</v>
      </c>
    </row>
    <row r="137" spans="1:113" s="15" customFormat="1" ht="12.75" x14ac:dyDescent="0.2">
      <c r="A137" s="15" t="s">
        <v>109</v>
      </c>
      <c r="B137" s="15" t="s">
        <v>110</v>
      </c>
      <c r="D137" s="15" t="s">
        <v>620</v>
      </c>
      <c r="E137" s="15" t="s">
        <v>112</v>
      </c>
      <c r="F137" s="15" t="s">
        <v>620</v>
      </c>
      <c r="G137" s="15" t="s">
        <v>113</v>
      </c>
      <c r="H137" s="15" t="s">
        <v>1045</v>
      </c>
      <c r="J137" s="16" t="s">
        <v>114</v>
      </c>
      <c r="U137" s="15" t="s">
        <v>17977</v>
      </c>
      <c r="W137" s="15">
        <v>3366</v>
      </c>
      <c r="X137" s="15">
        <v>147</v>
      </c>
      <c r="Y137" s="15" t="s">
        <v>160</v>
      </c>
      <c r="Z137" s="15" t="s">
        <v>161</v>
      </c>
      <c r="AA137" s="15" t="s">
        <v>162</v>
      </c>
      <c r="AB137" s="15" t="s">
        <v>16284</v>
      </c>
      <c r="AC137" s="15" t="s">
        <v>16284</v>
      </c>
      <c r="AD137" s="15" t="s">
        <v>16284</v>
      </c>
      <c r="AE137" s="15" t="s">
        <v>164</v>
      </c>
      <c r="AF137" s="15" t="s">
        <v>16284</v>
      </c>
      <c r="AG137" s="15" t="s">
        <v>16284</v>
      </c>
      <c r="AH137" s="15" t="s">
        <v>16285</v>
      </c>
      <c r="AL137" s="15" t="s">
        <v>16286</v>
      </c>
      <c r="AN137" s="15">
        <v>743</v>
      </c>
      <c r="AO137" s="15" t="s">
        <v>16287</v>
      </c>
      <c r="AQ137" s="15" t="s">
        <v>2747</v>
      </c>
      <c r="AT137" s="15" t="s">
        <v>16288</v>
      </c>
      <c r="AU137" s="15" t="s">
        <v>16289</v>
      </c>
      <c r="AV137" s="15" t="s">
        <v>16289</v>
      </c>
      <c r="AW137" s="15" t="s">
        <v>16290</v>
      </c>
      <c r="AX137" s="15" t="s">
        <v>16291</v>
      </c>
      <c r="AY137" s="15">
        <f t="shared" si="2"/>
        <v>46</v>
      </c>
      <c r="AZ137" s="15" t="s">
        <v>2752</v>
      </c>
      <c r="BA137" s="15" t="s">
        <v>2753</v>
      </c>
      <c r="BB137" s="15" t="s">
        <v>8712</v>
      </c>
      <c r="BE137" s="15" t="s">
        <v>16292</v>
      </c>
      <c r="BJ137" s="15" t="s">
        <v>16293</v>
      </c>
      <c r="BN137" s="15" t="s">
        <v>179</v>
      </c>
      <c r="BP137" s="15" t="s">
        <v>138</v>
      </c>
      <c r="BS137" s="15" t="s">
        <v>16294</v>
      </c>
      <c r="DH137" s="15" t="s">
        <v>17982</v>
      </c>
      <c r="DI137" s="15" t="s">
        <v>17982</v>
      </c>
    </row>
    <row r="138" spans="1:113" s="15" customFormat="1" ht="12.75" x14ac:dyDescent="0.2">
      <c r="A138" s="15" t="s">
        <v>109</v>
      </c>
      <c r="B138" s="15" t="s">
        <v>110</v>
      </c>
      <c r="D138" s="15" t="s">
        <v>620</v>
      </c>
      <c r="E138" s="15" t="s">
        <v>112</v>
      </c>
      <c r="F138" s="15" t="s">
        <v>620</v>
      </c>
      <c r="G138" s="15" t="s">
        <v>113</v>
      </c>
      <c r="H138" s="15" t="s">
        <v>1045</v>
      </c>
      <c r="J138" s="16" t="s">
        <v>114</v>
      </c>
      <c r="U138" s="15" t="s">
        <v>17977</v>
      </c>
      <c r="W138" s="15">
        <v>1683</v>
      </c>
      <c r="X138" s="15">
        <v>148</v>
      </c>
      <c r="Y138" s="15" t="s">
        <v>160</v>
      </c>
      <c r="Z138" s="15" t="s">
        <v>161</v>
      </c>
      <c r="AA138" s="15" t="s">
        <v>162</v>
      </c>
      <c r="AB138" s="15" t="s">
        <v>8767</v>
      </c>
      <c r="AC138" s="15" t="s">
        <v>8767</v>
      </c>
      <c r="AD138" s="15" t="s">
        <v>8767</v>
      </c>
      <c r="AE138" s="15" t="s">
        <v>164</v>
      </c>
      <c r="AF138" s="15" t="s">
        <v>8767</v>
      </c>
      <c r="AG138" s="15" t="s">
        <v>8767</v>
      </c>
      <c r="AH138" s="47" t="s">
        <v>8768</v>
      </c>
      <c r="AL138" s="15" t="s">
        <v>8769</v>
      </c>
      <c r="AN138" s="15">
        <v>743</v>
      </c>
      <c r="AO138" s="15" t="s">
        <v>8770</v>
      </c>
      <c r="AQ138" s="15" t="s">
        <v>2281</v>
      </c>
      <c r="AT138" s="15" t="s">
        <v>8771</v>
      </c>
      <c r="AU138" s="15" t="s">
        <v>8772</v>
      </c>
      <c r="AV138" s="15" t="s">
        <v>8772</v>
      </c>
      <c r="AW138" s="15" t="s">
        <v>8773</v>
      </c>
      <c r="AX138" s="15" t="s">
        <v>8773</v>
      </c>
      <c r="AY138" s="15">
        <f t="shared" si="2"/>
        <v>48</v>
      </c>
      <c r="AZ138" s="15" t="s">
        <v>8763</v>
      </c>
      <c r="BA138" s="15" t="s">
        <v>8764</v>
      </c>
      <c r="BB138" s="15" t="s">
        <v>8712</v>
      </c>
      <c r="BE138" s="15" t="s">
        <v>8774</v>
      </c>
      <c r="BJ138" s="15" t="s">
        <v>1454</v>
      </c>
      <c r="BN138" s="15" t="s">
        <v>179</v>
      </c>
      <c r="BP138" s="15" t="s">
        <v>138</v>
      </c>
      <c r="BS138" s="15" t="s">
        <v>8775</v>
      </c>
      <c r="DH138" s="15" t="s">
        <v>17982</v>
      </c>
      <c r="DI138" s="15" t="s">
        <v>17982</v>
      </c>
    </row>
    <row r="139" spans="1:113" s="15" customFormat="1" ht="12.75" x14ac:dyDescent="0.2">
      <c r="A139" s="15" t="s">
        <v>109</v>
      </c>
      <c r="B139" s="15" t="s">
        <v>110</v>
      </c>
      <c r="D139" s="15" t="s">
        <v>620</v>
      </c>
      <c r="E139" s="15" t="s">
        <v>112</v>
      </c>
      <c r="F139" s="15" t="s">
        <v>620</v>
      </c>
      <c r="G139" s="15" t="s">
        <v>113</v>
      </c>
      <c r="H139" s="15" t="s">
        <v>1045</v>
      </c>
      <c r="J139" s="16" t="s">
        <v>114</v>
      </c>
      <c r="U139" s="15" t="s">
        <v>17977</v>
      </c>
      <c r="W139" s="15">
        <v>1682</v>
      </c>
      <c r="X139" s="15">
        <v>149</v>
      </c>
      <c r="Y139" s="15" t="s">
        <v>160</v>
      </c>
      <c r="Z139" s="15" t="s">
        <v>161</v>
      </c>
      <c r="AA139" s="15" t="s">
        <v>162</v>
      </c>
      <c r="AB139" s="15" t="s">
        <v>8756</v>
      </c>
      <c r="AC139" s="15" t="s">
        <v>8756</v>
      </c>
      <c r="AD139" s="15" t="s">
        <v>8756</v>
      </c>
      <c r="AE139" s="15" t="s">
        <v>164</v>
      </c>
      <c r="AF139" s="15" t="s">
        <v>8756</v>
      </c>
      <c r="AG139" s="15" t="s">
        <v>8756</v>
      </c>
      <c r="AH139" s="47" t="s">
        <v>8757</v>
      </c>
      <c r="AL139" s="15" t="s">
        <v>8758</v>
      </c>
      <c r="AN139" s="15">
        <v>743</v>
      </c>
      <c r="AO139" s="15" t="s">
        <v>8759</v>
      </c>
      <c r="AQ139" s="15" t="s">
        <v>2281</v>
      </c>
      <c r="AT139" s="15" t="s">
        <v>8760</v>
      </c>
      <c r="AU139" s="15" t="s">
        <v>8761</v>
      </c>
      <c r="AV139" s="15" t="s">
        <v>8761</v>
      </c>
      <c r="AW139" s="15" t="s">
        <v>8762</v>
      </c>
      <c r="AX139" s="15" t="s">
        <v>8762</v>
      </c>
      <c r="AY139" s="15">
        <f t="shared" si="2"/>
        <v>46</v>
      </c>
      <c r="AZ139" s="15" t="s">
        <v>8763</v>
      </c>
      <c r="BA139" s="15" t="s">
        <v>8764</v>
      </c>
      <c r="BB139" s="15" t="s">
        <v>8712</v>
      </c>
      <c r="BE139" s="15" t="s">
        <v>8765</v>
      </c>
      <c r="BJ139" s="15" t="s">
        <v>1454</v>
      </c>
      <c r="BN139" s="15" t="s">
        <v>179</v>
      </c>
      <c r="BP139" s="15" t="s">
        <v>138</v>
      </c>
      <c r="BS139" s="15" t="s">
        <v>8766</v>
      </c>
      <c r="DH139" s="15" t="s">
        <v>17982</v>
      </c>
      <c r="DI139" s="15" t="s">
        <v>17982</v>
      </c>
    </row>
    <row r="140" spans="1:113" s="15" customFormat="1" ht="12.75" x14ac:dyDescent="0.2">
      <c r="A140" s="15" t="s">
        <v>109</v>
      </c>
      <c r="B140" s="15" t="s">
        <v>110</v>
      </c>
      <c r="D140" s="15" t="s">
        <v>620</v>
      </c>
      <c r="E140" s="15" t="s">
        <v>112</v>
      </c>
      <c r="F140" s="15" t="s">
        <v>620</v>
      </c>
      <c r="G140" s="15" t="s">
        <v>113</v>
      </c>
      <c r="H140" s="15" t="s">
        <v>1045</v>
      </c>
      <c r="J140" s="16" t="s">
        <v>114</v>
      </c>
      <c r="U140" s="15" t="s">
        <v>17977</v>
      </c>
      <c r="W140" s="15">
        <v>1684</v>
      </c>
      <c r="X140" s="15">
        <v>150</v>
      </c>
      <c r="Y140" s="15" t="s">
        <v>160</v>
      </c>
      <c r="Z140" s="15" t="s">
        <v>161</v>
      </c>
      <c r="AA140" s="15" t="s">
        <v>162</v>
      </c>
      <c r="AB140" s="15" t="s">
        <v>8776</v>
      </c>
      <c r="AC140" s="15" t="s">
        <v>8776</v>
      </c>
      <c r="AD140" s="15" t="s">
        <v>8776</v>
      </c>
      <c r="AE140" s="15" t="s">
        <v>164</v>
      </c>
      <c r="AF140" s="15" t="s">
        <v>8776</v>
      </c>
      <c r="AG140" s="15" t="s">
        <v>8776</v>
      </c>
      <c r="AH140" s="47" t="s">
        <v>8777</v>
      </c>
      <c r="AL140" s="15" t="s">
        <v>8778</v>
      </c>
      <c r="AN140" s="15">
        <v>743</v>
      </c>
      <c r="AO140" s="15" t="s">
        <v>8779</v>
      </c>
      <c r="AQ140" s="15" t="s">
        <v>2281</v>
      </c>
      <c r="AT140" s="15" t="s">
        <v>8780</v>
      </c>
      <c r="AU140" s="15" t="s">
        <v>8781</v>
      </c>
      <c r="AV140" s="15" t="s">
        <v>8781</v>
      </c>
      <c r="AW140" s="15" t="s">
        <v>8782</v>
      </c>
      <c r="AX140" s="15" t="s">
        <v>8782</v>
      </c>
      <c r="AY140" s="15">
        <f t="shared" si="2"/>
        <v>48</v>
      </c>
      <c r="AZ140" s="15" t="s">
        <v>8763</v>
      </c>
      <c r="BA140" s="15" t="s">
        <v>8764</v>
      </c>
      <c r="BB140" s="15" t="s">
        <v>8712</v>
      </c>
      <c r="BE140" s="15" t="s">
        <v>8783</v>
      </c>
      <c r="BJ140" s="15" t="s">
        <v>1454</v>
      </c>
      <c r="BN140" s="15" t="s">
        <v>179</v>
      </c>
      <c r="BP140" s="15" t="s">
        <v>138</v>
      </c>
      <c r="BS140" s="15" t="s">
        <v>8784</v>
      </c>
      <c r="DH140" s="15" t="s">
        <v>17982</v>
      </c>
      <c r="DI140" s="15" t="s">
        <v>17982</v>
      </c>
    </row>
    <row r="141" spans="1:113" s="15" customFormat="1" ht="12.75" x14ac:dyDescent="0.2">
      <c r="A141" s="15" t="s">
        <v>109</v>
      </c>
      <c r="B141" s="15" t="s">
        <v>110</v>
      </c>
      <c r="D141" s="15" t="s">
        <v>620</v>
      </c>
      <c r="E141" s="15" t="s">
        <v>112</v>
      </c>
      <c r="F141" s="15" t="s">
        <v>620</v>
      </c>
      <c r="G141" s="15" t="s">
        <v>113</v>
      </c>
      <c r="H141" s="15" t="s">
        <v>1045</v>
      </c>
      <c r="J141" s="16" t="s">
        <v>114</v>
      </c>
      <c r="U141" s="15" t="s">
        <v>17977</v>
      </c>
      <c r="W141" s="15">
        <v>1677</v>
      </c>
      <c r="X141" s="15">
        <v>151</v>
      </c>
      <c r="Y141" s="15" t="s">
        <v>160</v>
      </c>
      <c r="Z141" s="15" t="s">
        <v>161</v>
      </c>
      <c r="AA141" s="15" t="s">
        <v>162</v>
      </c>
      <c r="AB141" s="15" t="s">
        <v>8704</v>
      </c>
      <c r="AC141" s="15" t="s">
        <v>8704</v>
      </c>
      <c r="AD141" s="15" t="s">
        <v>8704</v>
      </c>
      <c r="AE141" s="15" t="s">
        <v>164</v>
      </c>
      <c r="AF141" s="15" t="s">
        <v>8704</v>
      </c>
      <c r="AG141" s="15" t="s">
        <v>8704</v>
      </c>
      <c r="AH141" s="47" t="s">
        <v>8705</v>
      </c>
      <c r="AL141" s="15" t="s">
        <v>8706</v>
      </c>
      <c r="AN141" s="15">
        <v>743</v>
      </c>
      <c r="AO141" s="15" t="s">
        <v>8707</v>
      </c>
      <c r="AQ141" s="15" t="s">
        <v>168</v>
      </c>
      <c r="AT141" s="15" t="s">
        <v>8708</v>
      </c>
      <c r="AU141" s="15" t="s">
        <v>8709</v>
      </c>
      <c r="AV141" s="15" t="s">
        <v>8709</v>
      </c>
      <c r="AW141" s="15" t="s">
        <v>8710</v>
      </c>
      <c r="AX141" s="15" t="s">
        <v>8711</v>
      </c>
      <c r="AY141" s="15">
        <f t="shared" si="2"/>
        <v>52</v>
      </c>
      <c r="AZ141" s="15" t="s">
        <v>173</v>
      </c>
      <c r="BA141" s="15" t="s">
        <v>174</v>
      </c>
      <c r="BB141" s="15" t="s">
        <v>8712</v>
      </c>
      <c r="BE141" s="15" t="s">
        <v>1894</v>
      </c>
      <c r="BJ141" s="15" t="s">
        <v>8713</v>
      </c>
      <c r="BN141" s="15" t="s">
        <v>179</v>
      </c>
      <c r="BP141" s="15" t="s">
        <v>138</v>
      </c>
      <c r="BS141" s="15" t="s">
        <v>8714</v>
      </c>
      <c r="DH141" s="15" t="s">
        <v>17982</v>
      </c>
      <c r="DI141" s="15" t="s">
        <v>17982</v>
      </c>
    </row>
    <row r="142" spans="1:113" s="15" customFormat="1" ht="12.75" x14ac:dyDescent="0.2">
      <c r="A142" s="15" t="s">
        <v>109</v>
      </c>
      <c r="B142" s="15" t="s">
        <v>110</v>
      </c>
      <c r="D142" s="15" t="s">
        <v>620</v>
      </c>
      <c r="E142" s="15" t="s">
        <v>112</v>
      </c>
      <c r="F142" s="15" t="s">
        <v>620</v>
      </c>
      <c r="G142" s="15" t="s">
        <v>113</v>
      </c>
      <c r="H142" s="15" t="s">
        <v>1045</v>
      </c>
      <c r="J142" s="16" t="s">
        <v>114</v>
      </c>
      <c r="U142" s="15" t="s">
        <v>17977</v>
      </c>
      <c r="W142" s="15">
        <v>1692</v>
      </c>
      <c r="X142" s="15">
        <v>152</v>
      </c>
      <c r="Y142" s="15" t="s">
        <v>160</v>
      </c>
      <c r="Z142" s="15" t="s">
        <v>161</v>
      </c>
      <c r="AA142" s="15" t="s">
        <v>162</v>
      </c>
      <c r="AB142" s="15" t="s">
        <v>8863</v>
      </c>
      <c r="AC142" s="15" t="s">
        <v>8863</v>
      </c>
      <c r="AD142" s="15" t="s">
        <v>8863</v>
      </c>
      <c r="AE142" s="15" t="s">
        <v>164</v>
      </c>
      <c r="AF142" s="15" t="s">
        <v>8863</v>
      </c>
      <c r="AG142" s="15" t="s">
        <v>8863</v>
      </c>
      <c r="AH142" s="15" t="s">
        <v>8864</v>
      </c>
      <c r="AL142" s="15" t="s">
        <v>8865</v>
      </c>
      <c r="AN142" s="15">
        <v>743</v>
      </c>
      <c r="AO142" s="15" t="s">
        <v>8866</v>
      </c>
      <c r="AQ142" s="15" t="s">
        <v>1591</v>
      </c>
      <c r="AT142" s="15" t="s">
        <v>8867</v>
      </c>
      <c r="AU142" s="15" t="s">
        <v>8868</v>
      </c>
      <c r="AV142" s="15" t="s">
        <v>8868</v>
      </c>
      <c r="AW142" s="15" t="s">
        <v>8869</v>
      </c>
      <c r="AX142" s="15" t="s">
        <v>8869</v>
      </c>
      <c r="AY142" s="15">
        <f t="shared" si="2"/>
        <v>43</v>
      </c>
      <c r="AZ142" s="15" t="s">
        <v>8860</v>
      </c>
      <c r="BA142" s="15" t="s">
        <v>2753</v>
      </c>
      <c r="BB142" s="15" t="s">
        <v>8712</v>
      </c>
      <c r="BE142" s="15" t="s">
        <v>8870</v>
      </c>
      <c r="BN142" s="15" t="s">
        <v>179</v>
      </c>
      <c r="BP142" s="15" t="s">
        <v>138</v>
      </c>
      <c r="BS142" s="15" t="s">
        <v>8871</v>
      </c>
      <c r="DH142" s="15" t="s">
        <v>17982</v>
      </c>
      <c r="DI142" s="15" t="s">
        <v>17982</v>
      </c>
    </row>
    <row r="143" spans="1:113" s="15" customFormat="1" ht="12.75" x14ac:dyDescent="0.2">
      <c r="A143" s="15" t="s">
        <v>109</v>
      </c>
      <c r="B143" s="15" t="s">
        <v>110</v>
      </c>
      <c r="D143" s="15" t="s">
        <v>620</v>
      </c>
      <c r="E143" s="15" t="s">
        <v>112</v>
      </c>
      <c r="F143" s="15" t="s">
        <v>620</v>
      </c>
      <c r="G143" s="15" t="s">
        <v>113</v>
      </c>
      <c r="H143" s="15" t="s">
        <v>1045</v>
      </c>
      <c r="J143" s="16" t="s">
        <v>114</v>
      </c>
      <c r="U143" s="15" t="s">
        <v>17977</v>
      </c>
      <c r="W143" s="15">
        <v>1691</v>
      </c>
      <c r="X143" s="15">
        <v>153</v>
      </c>
      <c r="Y143" s="15" t="s">
        <v>160</v>
      </c>
      <c r="Z143" s="15" t="s">
        <v>161</v>
      </c>
      <c r="AA143" s="15" t="s">
        <v>162</v>
      </c>
      <c r="AB143" s="15" t="s">
        <v>8853</v>
      </c>
      <c r="AC143" s="15" t="s">
        <v>8853</v>
      </c>
      <c r="AD143" s="15" t="s">
        <v>8853</v>
      </c>
      <c r="AE143" s="15" t="s">
        <v>164</v>
      </c>
      <c r="AF143" s="15" t="s">
        <v>8853</v>
      </c>
      <c r="AG143" s="15" t="s">
        <v>8853</v>
      </c>
      <c r="AH143" s="15" t="s">
        <v>8854</v>
      </c>
      <c r="AL143" s="15" t="s">
        <v>8855</v>
      </c>
      <c r="AN143" s="15">
        <v>743</v>
      </c>
      <c r="AO143" s="15" t="s">
        <v>8856</v>
      </c>
      <c r="AQ143" s="15" t="s">
        <v>1591</v>
      </c>
      <c r="AT143" s="15" t="s">
        <v>8857</v>
      </c>
      <c r="AU143" s="15" t="s">
        <v>8858</v>
      </c>
      <c r="AV143" s="15" t="s">
        <v>8858</v>
      </c>
      <c r="AW143" s="15" t="s">
        <v>8859</v>
      </c>
      <c r="AX143" s="15" t="s">
        <v>8859</v>
      </c>
      <c r="AY143" s="15">
        <f t="shared" si="2"/>
        <v>44</v>
      </c>
      <c r="AZ143" s="15" t="s">
        <v>8860</v>
      </c>
      <c r="BA143" s="15" t="s">
        <v>2753</v>
      </c>
      <c r="BB143" s="15" t="s">
        <v>8712</v>
      </c>
      <c r="BE143" s="15" t="s">
        <v>8861</v>
      </c>
      <c r="BN143" s="15" t="s">
        <v>179</v>
      </c>
      <c r="BP143" s="15" t="s">
        <v>138</v>
      </c>
      <c r="BS143" s="15" t="s">
        <v>8862</v>
      </c>
      <c r="DH143" s="15" t="s">
        <v>17982</v>
      </c>
      <c r="DI143" s="15" t="s">
        <v>17982</v>
      </c>
    </row>
    <row r="144" spans="1:113" s="15" customFormat="1" ht="12.75" x14ac:dyDescent="0.2">
      <c r="A144" s="15" t="s">
        <v>109</v>
      </c>
      <c r="B144" s="15" t="s">
        <v>110</v>
      </c>
      <c r="D144" s="15" t="s">
        <v>620</v>
      </c>
      <c r="E144" s="15" t="s">
        <v>112</v>
      </c>
      <c r="F144" s="15" t="s">
        <v>620</v>
      </c>
      <c r="G144" s="15" t="s">
        <v>113</v>
      </c>
      <c r="H144" s="15" t="s">
        <v>1045</v>
      </c>
      <c r="J144" s="16" t="s">
        <v>114</v>
      </c>
      <c r="U144" s="15" t="s">
        <v>17977</v>
      </c>
      <c r="W144" s="15">
        <v>1697</v>
      </c>
      <c r="X144" s="15">
        <v>154</v>
      </c>
      <c r="Y144" s="15" t="s">
        <v>160</v>
      </c>
      <c r="Z144" s="15" t="s">
        <v>161</v>
      </c>
      <c r="AA144" s="15" t="s">
        <v>162</v>
      </c>
      <c r="AB144" s="15" t="s">
        <v>8919</v>
      </c>
      <c r="AC144" s="15" t="s">
        <v>8919</v>
      </c>
      <c r="AD144" s="15" t="s">
        <v>8919</v>
      </c>
      <c r="AE144" s="15" t="s">
        <v>164</v>
      </c>
      <c r="AF144" s="15" t="s">
        <v>8919</v>
      </c>
      <c r="AG144" s="15" t="s">
        <v>8919</v>
      </c>
      <c r="AH144" s="15" t="s">
        <v>8920</v>
      </c>
      <c r="AL144" s="15" t="s">
        <v>8921</v>
      </c>
      <c r="AN144" s="15">
        <v>743</v>
      </c>
      <c r="AO144" s="15" t="s">
        <v>8922</v>
      </c>
      <c r="AQ144" s="15" t="s">
        <v>1591</v>
      </c>
      <c r="AT144" s="15" t="s">
        <v>8923</v>
      </c>
      <c r="AU144" s="15" t="s">
        <v>8924</v>
      </c>
      <c r="AV144" s="15" t="s">
        <v>8924</v>
      </c>
      <c r="AW144" s="15" t="s">
        <v>8925</v>
      </c>
      <c r="AX144" s="15" t="s">
        <v>8926</v>
      </c>
      <c r="AY144" s="15">
        <f t="shared" si="2"/>
        <v>56</v>
      </c>
      <c r="AZ144" s="15" t="s">
        <v>8860</v>
      </c>
      <c r="BA144" s="15" t="s">
        <v>2753</v>
      </c>
      <c r="BB144" s="15" t="s">
        <v>8903</v>
      </c>
      <c r="BE144" s="15" t="s">
        <v>8927</v>
      </c>
      <c r="BJ144" s="15" t="s">
        <v>8905</v>
      </c>
      <c r="BK144" s="15" t="s">
        <v>8917</v>
      </c>
      <c r="BN144" s="15" t="s">
        <v>179</v>
      </c>
      <c r="BP144" s="15" t="s">
        <v>138</v>
      </c>
      <c r="BS144" s="15" t="s">
        <v>8928</v>
      </c>
      <c r="DH144" s="15" t="s">
        <v>17982</v>
      </c>
      <c r="DI144" s="15" t="s">
        <v>17982</v>
      </c>
    </row>
    <row r="145" spans="1:113" s="15" customFormat="1" ht="12.75" x14ac:dyDescent="0.2">
      <c r="A145" s="15" t="s">
        <v>109</v>
      </c>
      <c r="B145" s="15" t="s">
        <v>110</v>
      </c>
      <c r="D145" s="15" t="s">
        <v>620</v>
      </c>
      <c r="E145" s="15" t="s">
        <v>112</v>
      </c>
      <c r="F145" s="15" t="s">
        <v>620</v>
      </c>
      <c r="G145" s="15" t="s">
        <v>113</v>
      </c>
      <c r="H145" s="15" t="s">
        <v>1045</v>
      </c>
      <c r="J145" s="16" t="s">
        <v>114</v>
      </c>
      <c r="U145" s="15" t="s">
        <v>17977</v>
      </c>
      <c r="W145" s="15">
        <v>1698</v>
      </c>
      <c r="X145" s="15">
        <v>155</v>
      </c>
      <c r="Y145" s="15" t="s">
        <v>160</v>
      </c>
      <c r="Z145" s="15" t="s">
        <v>161</v>
      </c>
      <c r="AA145" s="15" t="s">
        <v>162</v>
      </c>
      <c r="AB145" s="15" t="s">
        <v>8929</v>
      </c>
      <c r="AC145" s="15" t="s">
        <v>8929</v>
      </c>
      <c r="AD145" s="15" t="s">
        <v>8929</v>
      </c>
      <c r="AE145" s="15" t="s">
        <v>164</v>
      </c>
      <c r="AF145" s="15" t="s">
        <v>8929</v>
      </c>
      <c r="AG145" s="15" t="s">
        <v>8929</v>
      </c>
      <c r="AH145" s="15" t="s">
        <v>8930</v>
      </c>
      <c r="AL145" s="15" t="s">
        <v>8931</v>
      </c>
      <c r="AN145" s="15">
        <v>743</v>
      </c>
      <c r="AO145" s="15" t="s">
        <v>8932</v>
      </c>
      <c r="AQ145" s="15" t="s">
        <v>1591</v>
      </c>
      <c r="AT145" s="15" t="s">
        <v>8933</v>
      </c>
      <c r="AU145" s="15" t="s">
        <v>8934</v>
      </c>
      <c r="AV145" s="15" t="s">
        <v>8934</v>
      </c>
      <c r="AW145" s="15" t="s">
        <v>8935</v>
      </c>
      <c r="AX145" s="15" t="s">
        <v>8936</v>
      </c>
      <c r="AY145" s="15">
        <f t="shared" si="2"/>
        <v>57</v>
      </c>
      <c r="AZ145" s="15" t="s">
        <v>8860</v>
      </c>
      <c r="BA145" s="15" t="s">
        <v>2753</v>
      </c>
      <c r="BB145" s="15" t="s">
        <v>8903</v>
      </c>
      <c r="BE145" s="15" t="s">
        <v>8937</v>
      </c>
      <c r="BJ145" s="15" t="s">
        <v>8905</v>
      </c>
      <c r="BK145" s="15" t="s">
        <v>8906</v>
      </c>
      <c r="BN145" s="15" t="s">
        <v>179</v>
      </c>
      <c r="BP145" s="15" t="s">
        <v>138</v>
      </c>
      <c r="BS145" s="15" t="s">
        <v>8938</v>
      </c>
      <c r="DH145" s="15" t="s">
        <v>17982</v>
      </c>
      <c r="DI145" s="15" t="s">
        <v>17982</v>
      </c>
    </row>
    <row r="146" spans="1:113" s="15" customFormat="1" ht="12.75" x14ac:dyDescent="0.2">
      <c r="A146" s="15" t="s">
        <v>109</v>
      </c>
      <c r="B146" s="15" t="s">
        <v>110</v>
      </c>
      <c r="D146" s="15" t="s">
        <v>620</v>
      </c>
      <c r="E146" s="15" t="s">
        <v>141</v>
      </c>
      <c r="F146" s="15" t="s">
        <v>620</v>
      </c>
      <c r="G146" s="15" t="s">
        <v>113</v>
      </c>
      <c r="H146" s="15" t="s">
        <v>1045</v>
      </c>
      <c r="J146" s="16" t="s">
        <v>114</v>
      </c>
      <c r="U146" s="15" t="s">
        <v>17977</v>
      </c>
      <c r="W146" s="15">
        <v>1695</v>
      </c>
      <c r="X146" s="15">
        <v>156</v>
      </c>
      <c r="Y146" s="15" t="s">
        <v>160</v>
      </c>
      <c r="Z146" s="15" t="s">
        <v>161</v>
      </c>
      <c r="AA146" s="15" t="s">
        <v>162</v>
      </c>
      <c r="AB146" s="15" t="s">
        <v>8895</v>
      </c>
      <c r="AC146" s="15" t="s">
        <v>8895</v>
      </c>
      <c r="AD146" s="15" t="s">
        <v>8895</v>
      </c>
      <c r="AE146" s="15" t="s">
        <v>164</v>
      </c>
      <c r="AF146" s="15" t="s">
        <v>8895</v>
      </c>
      <c r="AG146" s="15" t="s">
        <v>8895</v>
      </c>
      <c r="AH146" s="15" t="s">
        <v>8896</v>
      </c>
      <c r="AL146" s="15" t="s">
        <v>8897</v>
      </c>
      <c r="AN146" s="15">
        <v>743</v>
      </c>
      <c r="AO146" s="15" t="s">
        <v>8898</v>
      </c>
      <c r="AQ146" s="15" t="s">
        <v>1591</v>
      </c>
      <c r="AT146" s="15" t="s">
        <v>8899</v>
      </c>
      <c r="AU146" s="15" t="s">
        <v>8900</v>
      </c>
      <c r="AV146" s="15" t="s">
        <v>8900</v>
      </c>
      <c r="AW146" s="15" t="s">
        <v>8901</v>
      </c>
      <c r="AX146" s="15" t="s">
        <v>8902</v>
      </c>
      <c r="AY146" s="15">
        <f t="shared" si="2"/>
        <v>58</v>
      </c>
      <c r="AZ146" s="15" t="s">
        <v>8860</v>
      </c>
      <c r="BA146" s="15" t="s">
        <v>2753</v>
      </c>
      <c r="BB146" s="15" t="s">
        <v>8903</v>
      </c>
      <c r="BE146" s="15" t="s">
        <v>8904</v>
      </c>
      <c r="BJ146" s="15" t="s">
        <v>8905</v>
      </c>
      <c r="BK146" s="15" t="s">
        <v>8906</v>
      </c>
      <c r="BN146" s="15" t="s">
        <v>179</v>
      </c>
      <c r="BP146" s="15" t="s">
        <v>138</v>
      </c>
      <c r="BS146" s="15" t="s">
        <v>8907</v>
      </c>
      <c r="DH146" s="15" t="s">
        <v>17982</v>
      </c>
      <c r="DI146" s="15" t="s">
        <v>17982</v>
      </c>
    </row>
    <row r="147" spans="1:113" s="15" customFormat="1" ht="12.75" x14ac:dyDescent="0.2">
      <c r="A147" s="15" t="s">
        <v>109</v>
      </c>
      <c r="B147" s="15" t="s">
        <v>110</v>
      </c>
      <c r="D147" s="15" t="s">
        <v>620</v>
      </c>
      <c r="E147" s="15" t="s">
        <v>112</v>
      </c>
      <c r="F147" s="15" t="s">
        <v>620</v>
      </c>
      <c r="G147" s="15" t="s">
        <v>113</v>
      </c>
      <c r="H147" s="15" t="s">
        <v>1045</v>
      </c>
      <c r="J147" s="16" t="s">
        <v>114</v>
      </c>
      <c r="U147" s="15" t="s">
        <v>17977</v>
      </c>
      <c r="W147" s="15">
        <v>1696</v>
      </c>
      <c r="X147" s="15">
        <v>157</v>
      </c>
      <c r="Y147" s="15" t="s">
        <v>160</v>
      </c>
      <c r="Z147" s="15" t="s">
        <v>161</v>
      </c>
      <c r="AA147" s="15" t="s">
        <v>162</v>
      </c>
      <c r="AB147" s="15" t="s">
        <v>8908</v>
      </c>
      <c r="AC147" s="15" t="s">
        <v>8908</v>
      </c>
      <c r="AD147" s="15" t="s">
        <v>8908</v>
      </c>
      <c r="AE147" s="15" t="s">
        <v>164</v>
      </c>
      <c r="AF147" s="15" t="s">
        <v>8908</v>
      </c>
      <c r="AG147" s="15" t="s">
        <v>8908</v>
      </c>
      <c r="AH147" s="15" t="s">
        <v>8909</v>
      </c>
      <c r="AL147" s="15" t="s">
        <v>8910</v>
      </c>
      <c r="AN147" s="15">
        <v>743</v>
      </c>
      <c r="AO147" s="15" t="s">
        <v>8911</v>
      </c>
      <c r="AQ147" s="15" t="s">
        <v>1591</v>
      </c>
      <c r="AT147" s="15" t="s">
        <v>8912</v>
      </c>
      <c r="AU147" s="15" t="s">
        <v>8913</v>
      </c>
      <c r="AV147" s="15" t="s">
        <v>8913</v>
      </c>
      <c r="AW147" s="15" t="s">
        <v>8914</v>
      </c>
      <c r="AX147" s="15" t="s">
        <v>8915</v>
      </c>
      <c r="AY147" s="15">
        <f t="shared" si="2"/>
        <v>57</v>
      </c>
      <c r="AZ147" s="15" t="s">
        <v>8860</v>
      </c>
      <c r="BA147" s="15" t="s">
        <v>2753</v>
      </c>
      <c r="BB147" s="15" t="s">
        <v>8903</v>
      </c>
      <c r="BE147" s="15" t="s">
        <v>8916</v>
      </c>
      <c r="BJ147" s="15" t="s">
        <v>8905</v>
      </c>
      <c r="BK147" s="15" t="s">
        <v>8917</v>
      </c>
      <c r="BN147" s="15" t="s">
        <v>179</v>
      </c>
      <c r="BP147" s="15" t="s">
        <v>138</v>
      </c>
      <c r="BS147" s="15" t="s">
        <v>8918</v>
      </c>
      <c r="DH147" s="15" t="s">
        <v>17982</v>
      </c>
      <c r="DI147" s="15" t="s">
        <v>17982</v>
      </c>
    </row>
    <row r="148" spans="1:113" s="15" customFormat="1" ht="12.75" x14ac:dyDescent="0.2">
      <c r="A148" s="15" t="s">
        <v>109</v>
      </c>
      <c r="B148" s="15" t="s">
        <v>110</v>
      </c>
      <c r="D148" s="15" t="s">
        <v>620</v>
      </c>
      <c r="E148" s="15" t="s">
        <v>112</v>
      </c>
      <c r="F148" s="15" t="s">
        <v>620</v>
      </c>
      <c r="G148" s="15" t="s">
        <v>113</v>
      </c>
      <c r="H148" s="15" t="s">
        <v>1045</v>
      </c>
      <c r="J148" s="16" t="s">
        <v>114</v>
      </c>
      <c r="U148" s="15" t="s">
        <v>17977</v>
      </c>
      <c r="W148" s="15">
        <v>1700</v>
      </c>
      <c r="X148" s="15">
        <v>158</v>
      </c>
      <c r="Y148" s="15" t="s">
        <v>160</v>
      </c>
      <c r="Z148" s="15" t="s">
        <v>161</v>
      </c>
      <c r="AA148" s="15" t="s">
        <v>162</v>
      </c>
      <c r="AB148" s="15" t="s">
        <v>8951</v>
      </c>
      <c r="AC148" s="15" t="s">
        <v>8951</v>
      </c>
      <c r="AD148" s="15" t="s">
        <v>8951</v>
      </c>
      <c r="AE148" s="15" t="s">
        <v>164</v>
      </c>
      <c r="AF148" s="15" t="s">
        <v>8951</v>
      </c>
      <c r="AG148" s="15" t="s">
        <v>8951</v>
      </c>
      <c r="AH148" s="15" t="s">
        <v>8952</v>
      </c>
      <c r="AL148" s="15" t="s">
        <v>8953</v>
      </c>
      <c r="AN148" s="15">
        <v>743</v>
      </c>
      <c r="AO148" s="15" t="s">
        <v>8954</v>
      </c>
      <c r="AQ148" s="15" t="s">
        <v>168</v>
      </c>
      <c r="AT148" s="15" t="s">
        <v>8955</v>
      </c>
      <c r="AU148" s="15" t="s">
        <v>8956</v>
      </c>
      <c r="AV148" s="15" t="s">
        <v>8956</v>
      </c>
      <c r="AW148" s="15" t="s">
        <v>8957</v>
      </c>
      <c r="AX148" s="15" t="s">
        <v>8958</v>
      </c>
      <c r="AY148" s="15">
        <f t="shared" si="2"/>
        <v>60</v>
      </c>
      <c r="AZ148" s="15" t="s">
        <v>173</v>
      </c>
      <c r="BA148" s="15" t="s">
        <v>174</v>
      </c>
      <c r="BB148" s="15" t="s">
        <v>8947</v>
      </c>
      <c r="BE148" s="15" t="s">
        <v>8948</v>
      </c>
      <c r="BJ148" s="15" t="s">
        <v>8959</v>
      </c>
      <c r="BN148" s="15" t="s">
        <v>179</v>
      </c>
      <c r="BP148" s="15" t="s">
        <v>138</v>
      </c>
      <c r="BS148" s="15" t="s">
        <v>8960</v>
      </c>
      <c r="DH148" s="15" t="s">
        <v>17982</v>
      </c>
      <c r="DI148" s="15" t="s">
        <v>17982</v>
      </c>
    </row>
    <row r="149" spans="1:113" s="15" customFormat="1" ht="12.75" x14ac:dyDescent="0.2">
      <c r="A149" s="15" t="s">
        <v>109</v>
      </c>
      <c r="B149" s="15" t="s">
        <v>110</v>
      </c>
      <c r="D149" s="15" t="s">
        <v>620</v>
      </c>
      <c r="E149" s="15" t="s">
        <v>112</v>
      </c>
      <c r="F149" s="15" t="s">
        <v>620</v>
      </c>
      <c r="G149" s="15" t="s">
        <v>113</v>
      </c>
      <c r="H149" s="15" t="s">
        <v>1045</v>
      </c>
      <c r="J149" s="16" t="s">
        <v>114</v>
      </c>
      <c r="U149" s="15" t="s">
        <v>17977</v>
      </c>
      <c r="W149" s="15">
        <v>1699</v>
      </c>
      <c r="X149" s="15">
        <v>159</v>
      </c>
      <c r="Y149" s="15" t="s">
        <v>160</v>
      </c>
      <c r="Z149" s="15" t="s">
        <v>161</v>
      </c>
      <c r="AA149" s="15" t="s">
        <v>162</v>
      </c>
      <c r="AB149" s="15" t="s">
        <v>8939</v>
      </c>
      <c r="AC149" s="15" t="s">
        <v>8939</v>
      </c>
      <c r="AD149" s="15" t="s">
        <v>8939</v>
      </c>
      <c r="AE149" s="15" t="s">
        <v>164</v>
      </c>
      <c r="AF149" s="15" t="s">
        <v>8939</v>
      </c>
      <c r="AG149" s="15" t="s">
        <v>8939</v>
      </c>
      <c r="AH149" s="15" t="s">
        <v>8940</v>
      </c>
      <c r="AL149" s="15" t="s">
        <v>8941</v>
      </c>
      <c r="AN149" s="15">
        <v>743</v>
      </c>
      <c r="AO149" s="15" t="s">
        <v>8942</v>
      </c>
      <c r="AQ149" s="15" t="s">
        <v>168</v>
      </c>
      <c r="AT149" s="15" t="s">
        <v>8943</v>
      </c>
      <c r="AU149" s="15" t="s">
        <v>8944</v>
      </c>
      <c r="AV149" s="15" t="s">
        <v>8944</v>
      </c>
      <c r="AW149" s="15" t="s">
        <v>8945</v>
      </c>
      <c r="AX149" s="15" t="s">
        <v>8946</v>
      </c>
      <c r="AY149" s="15">
        <f t="shared" si="2"/>
        <v>60</v>
      </c>
      <c r="AZ149" s="15" t="s">
        <v>173</v>
      </c>
      <c r="BA149" s="15" t="s">
        <v>174</v>
      </c>
      <c r="BB149" s="15" t="s">
        <v>8947</v>
      </c>
      <c r="BE149" s="15" t="s">
        <v>8948</v>
      </c>
      <c r="BJ149" s="15" t="s">
        <v>8949</v>
      </c>
      <c r="BN149" s="15" t="s">
        <v>179</v>
      </c>
      <c r="BP149" s="15" t="s">
        <v>138</v>
      </c>
      <c r="BS149" s="15" t="s">
        <v>8950</v>
      </c>
      <c r="DH149" s="15" t="s">
        <v>17982</v>
      </c>
      <c r="DI149" s="15" t="s">
        <v>17982</v>
      </c>
    </row>
    <row r="150" spans="1:113" s="15" customFormat="1" ht="12.75" x14ac:dyDescent="0.2">
      <c r="A150" s="15" t="s">
        <v>109</v>
      </c>
      <c r="B150" s="15" t="s">
        <v>110</v>
      </c>
      <c r="D150" s="15" t="s">
        <v>620</v>
      </c>
      <c r="E150" s="15" t="s">
        <v>112</v>
      </c>
      <c r="F150" s="15" t="s">
        <v>620</v>
      </c>
      <c r="G150" s="15" t="s">
        <v>113</v>
      </c>
      <c r="H150" s="15" t="s">
        <v>1045</v>
      </c>
      <c r="J150" s="16" t="s">
        <v>114</v>
      </c>
      <c r="U150" s="15" t="s">
        <v>17977</v>
      </c>
      <c r="W150" s="15">
        <v>2042</v>
      </c>
      <c r="X150" s="15">
        <v>160</v>
      </c>
      <c r="Y150" s="15" t="s">
        <v>160</v>
      </c>
      <c r="Z150" s="15" t="s">
        <v>161</v>
      </c>
      <c r="AA150" s="15" t="s">
        <v>162</v>
      </c>
      <c r="AB150" s="15" t="s">
        <v>10563</v>
      </c>
      <c r="AC150" s="15" t="s">
        <v>10563</v>
      </c>
      <c r="AD150" s="15" t="s">
        <v>10563</v>
      </c>
      <c r="AE150" s="15" t="s">
        <v>164</v>
      </c>
      <c r="AF150" s="15" t="s">
        <v>10563</v>
      </c>
      <c r="AG150" s="15" t="s">
        <v>10563</v>
      </c>
      <c r="AH150" s="15" t="s">
        <v>10564</v>
      </c>
      <c r="AL150" s="15" t="s">
        <v>10565</v>
      </c>
      <c r="AN150" s="15">
        <v>743</v>
      </c>
      <c r="AO150" s="15" t="s">
        <v>10566</v>
      </c>
      <c r="AQ150" s="15" t="s">
        <v>1193</v>
      </c>
      <c r="AT150" s="15" t="s">
        <v>10567</v>
      </c>
      <c r="AU150" s="15" t="s">
        <v>10568</v>
      </c>
      <c r="AV150" s="15" t="s">
        <v>10568</v>
      </c>
      <c r="AW150" s="15" t="s">
        <v>10569</v>
      </c>
      <c r="AX150" s="15" t="s">
        <v>10569</v>
      </c>
      <c r="AY150" s="15">
        <f t="shared" si="2"/>
        <v>45</v>
      </c>
      <c r="AZ150" s="15" t="s">
        <v>1634</v>
      </c>
      <c r="BA150" s="15" t="s">
        <v>174</v>
      </c>
      <c r="BB150" s="15" t="s">
        <v>10538</v>
      </c>
      <c r="BC150" s="15">
        <v>3</v>
      </c>
      <c r="BE150" s="15" t="s">
        <v>1123</v>
      </c>
      <c r="BF150" s="15" t="s">
        <v>10570</v>
      </c>
      <c r="BN150" s="15" t="s">
        <v>179</v>
      </c>
      <c r="BP150" s="15" t="s">
        <v>138</v>
      </c>
      <c r="BS150" s="15" t="s">
        <v>10571</v>
      </c>
      <c r="DH150" s="15" t="s">
        <v>17982</v>
      </c>
      <c r="DI150" s="15" t="s">
        <v>17982</v>
      </c>
    </row>
    <row r="151" spans="1:113" s="15" customFormat="1" ht="12.75" x14ac:dyDescent="0.2">
      <c r="A151" s="15" t="s">
        <v>109</v>
      </c>
      <c r="B151" s="15" t="s">
        <v>110</v>
      </c>
      <c r="D151" s="15" t="s">
        <v>620</v>
      </c>
      <c r="E151" s="15" t="s">
        <v>112</v>
      </c>
      <c r="F151" s="15" t="s">
        <v>620</v>
      </c>
      <c r="G151" s="15" t="s">
        <v>113</v>
      </c>
      <c r="H151" s="15" t="s">
        <v>1045</v>
      </c>
      <c r="J151" s="16" t="s">
        <v>114</v>
      </c>
      <c r="U151" s="15" t="s">
        <v>17977</v>
      </c>
      <c r="W151" s="15">
        <v>2043</v>
      </c>
      <c r="X151" s="15">
        <v>161</v>
      </c>
      <c r="Y151" s="15" t="s">
        <v>160</v>
      </c>
      <c r="Z151" s="15" t="s">
        <v>161</v>
      </c>
      <c r="AA151" s="15" t="s">
        <v>162</v>
      </c>
      <c r="AB151" s="15" t="s">
        <v>10572</v>
      </c>
      <c r="AC151" s="15" t="s">
        <v>10572</v>
      </c>
      <c r="AD151" s="15" t="s">
        <v>10572</v>
      </c>
      <c r="AE151" s="15" t="s">
        <v>164</v>
      </c>
      <c r="AF151" s="15" t="s">
        <v>10572</v>
      </c>
      <c r="AG151" s="15" t="s">
        <v>10572</v>
      </c>
      <c r="AH151" s="15" t="s">
        <v>10573</v>
      </c>
      <c r="AL151" s="15" t="s">
        <v>10574</v>
      </c>
      <c r="AN151" s="15">
        <v>743</v>
      </c>
      <c r="AO151" s="15" t="s">
        <v>10575</v>
      </c>
      <c r="AQ151" s="15" t="s">
        <v>1193</v>
      </c>
      <c r="AT151" s="15" t="s">
        <v>10576</v>
      </c>
      <c r="AU151" s="15" t="s">
        <v>10577</v>
      </c>
      <c r="AV151" s="15" t="s">
        <v>10577</v>
      </c>
      <c r="AW151" s="15" t="s">
        <v>10578</v>
      </c>
      <c r="AX151" s="15" t="s">
        <v>10578</v>
      </c>
      <c r="AY151" s="15">
        <f t="shared" si="2"/>
        <v>43</v>
      </c>
      <c r="AZ151" s="15" t="s">
        <v>1634</v>
      </c>
      <c r="BA151" s="15" t="s">
        <v>174</v>
      </c>
      <c r="BB151" s="15" t="s">
        <v>10538</v>
      </c>
      <c r="BC151" s="15">
        <v>5</v>
      </c>
      <c r="BE151" s="15" t="s">
        <v>1123</v>
      </c>
      <c r="BF151" s="15" t="s">
        <v>10579</v>
      </c>
      <c r="BN151" s="15" t="s">
        <v>179</v>
      </c>
      <c r="BP151" s="15" t="s">
        <v>138</v>
      </c>
      <c r="BS151" s="15" t="s">
        <v>10580</v>
      </c>
      <c r="DH151" s="15" t="s">
        <v>17982</v>
      </c>
      <c r="DI151" s="15" t="s">
        <v>17982</v>
      </c>
    </row>
    <row r="152" spans="1:113" s="15" customFormat="1" ht="12.75" x14ac:dyDescent="0.2">
      <c r="A152" s="15" t="s">
        <v>109</v>
      </c>
      <c r="B152" s="15" t="s">
        <v>110</v>
      </c>
      <c r="D152" s="15" t="s">
        <v>620</v>
      </c>
      <c r="E152" s="15" t="s">
        <v>112</v>
      </c>
      <c r="F152" s="15" t="s">
        <v>620</v>
      </c>
      <c r="G152" s="15" t="s">
        <v>113</v>
      </c>
      <c r="H152" s="15" t="s">
        <v>1045</v>
      </c>
      <c r="J152" s="16" t="s">
        <v>114</v>
      </c>
      <c r="U152" s="15" t="s">
        <v>17977</v>
      </c>
      <c r="W152" s="15">
        <v>1681</v>
      </c>
      <c r="X152" s="15">
        <v>162</v>
      </c>
      <c r="Y152" s="15" t="s">
        <v>160</v>
      </c>
      <c r="Z152" s="15" t="s">
        <v>161</v>
      </c>
      <c r="AA152" s="15" t="s">
        <v>162</v>
      </c>
      <c r="AB152" s="15" t="s">
        <v>8747</v>
      </c>
      <c r="AC152" s="15" t="s">
        <v>8747</v>
      </c>
      <c r="AD152" s="15" t="s">
        <v>8747</v>
      </c>
      <c r="AE152" s="15" t="s">
        <v>164</v>
      </c>
      <c r="AF152" s="15" t="s">
        <v>8747</v>
      </c>
      <c r="AG152" s="15" t="s">
        <v>8747</v>
      </c>
      <c r="AH152" s="47" t="s">
        <v>8748</v>
      </c>
      <c r="AL152" s="15" t="s">
        <v>8749</v>
      </c>
      <c r="AN152" s="15">
        <v>743</v>
      </c>
      <c r="AO152" s="15" t="s">
        <v>8750</v>
      </c>
      <c r="AQ152" s="15" t="s">
        <v>168</v>
      </c>
      <c r="AT152" s="15" t="s">
        <v>8751</v>
      </c>
      <c r="AU152" s="15" t="s">
        <v>8752</v>
      </c>
      <c r="AV152" s="15" t="s">
        <v>8752</v>
      </c>
      <c r="AW152" s="15" t="s">
        <v>8753</v>
      </c>
      <c r="AX152" s="15" t="s">
        <v>8753</v>
      </c>
      <c r="AY152" s="15">
        <f t="shared" si="2"/>
        <v>43</v>
      </c>
      <c r="AZ152" s="15" t="s">
        <v>173</v>
      </c>
      <c r="BA152" s="15" t="s">
        <v>174</v>
      </c>
      <c r="BB152" s="15" t="s">
        <v>8712</v>
      </c>
      <c r="BE152" s="15" t="s">
        <v>251</v>
      </c>
      <c r="BF152" s="19" t="s">
        <v>8754</v>
      </c>
      <c r="BN152" s="15" t="s">
        <v>179</v>
      </c>
      <c r="BP152" s="15" t="s">
        <v>138</v>
      </c>
      <c r="BS152" s="15" t="s">
        <v>8755</v>
      </c>
      <c r="DH152" s="15" t="s">
        <v>17982</v>
      </c>
      <c r="DI152" s="15" t="s">
        <v>17982</v>
      </c>
    </row>
    <row r="153" spans="1:113" s="15" customFormat="1" ht="12.75" x14ac:dyDescent="0.2">
      <c r="A153" s="15" t="s">
        <v>109</v>
      </c>
      <c r="B153" s="15" t="s">
        <v>110</v>
      </c>
      <c r="D153" s="15" t="s">
        <v>620</v>
      </c>
      <c r="E153" s="15" t="s">
        <v>112</v>
      </c>
      <c r="F153" s="15" t="s">
        <v>620</v>
      </c>
      <c r="G153" s="15" t="s">
        <v>113</v>
      </c>
      <c r="H153" s="15" t="s">
        <v>1045</v>
      </c>
      <c r="J153" s="16" t="s">
        <v>114</v>
      </c>
      <c r="U153" s="15" t="s">
        <v>17977</v>
      </c>
      <c r="W153" s="15">
        <v>1685</v>
      </c>
      <c r="X153" s="15">
        <v>163</v>
      </c>
      <c r="Y153" s="15" t="s">
        <v>160</v>
      </c>
      <c r="Z153" s="15" t="s">
        <v>161</v>
      </c>
      <c r="AA153" s="15" t="s">
        <v>162</v>
      </c>
      <c r="AB153" s="15" t="s">
        <v>8785</v>
      </c>
      <c r="AC153" s="15" t="s">
        <v>8785</v>
      </c>
      <c r="AD153" s="15" t="s">
        <v>8786</v>
      </c>
      <c r="AE153" s="15" t="s">
        <v>164</v>
      </c>
      <c r="AF153" s="15" t="s">
        <v>8786</v>
      </c>
      <c r="AG153" s="15" t="s">
        <v>8785</v>
      </c>
      <c r="AH153" s="47" t="s">
        <v>8787</v>
      </c>
      <c r="AL153" s="15" t="s">
        <v>8788</v>
      </c>
      <c r="AN153" s="15">
        <v>743</v>
      </c>
      <c r="AO153" s="15" t="s">
        <v>8789</v>
      </c>
      <c r="AQ153" s="15" t="s">
        <v>8790</v>
      </c>
      <c r="AT153" s="15" t="s">
        <v>8791</v>
      </c>
      <c r="AU153" s="15" t="s">
        <v>8792</v>
      </c>
      <c r="AV153" s="15" t="s">
        <v>8792</v>
      </c>
      <c r="AW153" s="15" t="s">
        <v>8793</v>
      </c>
      <c r="AX153" s="15" t="s">
        <v>8793</v>
      </c>
      <c r="AY153" s="15">
        <f t="shared" si="2"/>
        <v>50</v>
      </c>
      <c r="AZ153" s="15" t="s">
        <v>2840</v>
      </c>
      <c r="BA153" s="15" t="s">
        <v>8794</v>
      </c>
      <c r="BB153" s="15" t="s">
        <v>8712</v>
      </c>
      <c r="BE153" s="15" t="s">
        <v>918</v>
      </c>
      <c r="BJ153" s="15" t="s">
        <v>8795</v>
      </c>
      <c r="BN153" s="15" t="s">
        <v>179</v>
      </c>
      <c r="BP153" s="15" t="s">
        <v>138</v>
      </c>
      <c r="BS153" s="15" t="s">
        <v>8796</v>
      </c>
      <c r="DH153" s="15" t="s">
        <v>17982</v>
      </c>
      <c r="DI153" s="15" t="s">
        <v>17982</v>
      </c>
    </row>
    <row r="154" spans="1:113" s="15" customFormat="1" ht="12.75" x14ac:dyDescent="0.2">
      <c r="A154" s="15" t="s">
        <v>109</v>
      </c>
      <c r="B154" s="15" t="s">
        <v>110</v>
      </c>
      <c r="D154" s="15" t="s">
        <v>620</v>
      </c>
      <c r="E154" s="15" t="s">
        <v>112</v>
      </c>
      <c r="F154" s="15" t="s">
        <v>620</v>
      </c>
      <c r="G154" s="15" t="s">
        <v>113</v>
      </c>
      <c r="H154" s="15" t="s">
        <v>1045</v>
      </c>
      <c r="J154" s="16" t="s">
        <v>114</v>
      </c>
      <c r="U154" s="15" t="s">
        <v>17977</v>
      </c>
      <c r="W154" s="15">
        <v>2855</v>
      </c>
      <c r="X154" s="15">
        <v>164</v>
      </c>
      <c r="Y154" s="15" t="s">
        <v>160</v>
      </c>
      <c r="Z154" s="15" t="s">
        <v>161</v>
      </c>
      <c r="AA154" s="15" t="s">
        <v>162</v>
      </c>
      <c r="AB154" s="15" t="s">
        <v>13965</v>
      </c>
      <c r="AC154" s="15" t="s">
        <v>13965</v>
      </c>
      <c r="AD154" s="15" t="s">
        <v>13965</v>
      </c>
      <c r="AE154" s="15" t="s">
        <v>164</v>
      </c>
      <c r="AF154" s="15" t="s">
        <v>13965</v>
      </c>
      <c r="AG154" s="15" t="s">
        <v>13965</v>
      </c>
      <c r="AH154" s="47" t="s">
        <v>13966</v>
      </c>
      <c r="AL154" s="15" t="s">
        <v>13967</v>
      </c>
      <c r="AN154" s="15">
        <v>743</v>
      </c>
      <c r="AO154" s="15" t="s">
        <v>13968</v>
      </c>
      <c r="AQ154" s="47" t="s">
        <v>829</v>
      </c>
      <c r="AT154" s="15" t="s">
        <v>13969</v>
      </c>
      <c r="AU154" s="15" t="s">
        <v>13970</v>
      </c>
      <c r="AV154" s="15" t="s">
        <v>13970</v>
      </c>
      <c r="AW154" s="15" t="s">
        <v>13971</v>
      </c>
      <c r="AX154" s="15" t="s">
        <v>13972</v>
      </c>
      <c r="AY154" s="15">
        <f t="shared" si="2"/>
        <v>60</v>
      </c>
      <c r="AZ154" s="15" t="s">
        <v>834</v>
      </c>
      <c r="BA154" s="15" t="s">
        <v>174</v>
      </c>
      <c r="BB154" s="15" t="s">
        <v>13931</v>
      </c>
      <c r="BE154" s="15" t="s">
        <v>1081</v>
      </c>
      <c r="BF154" s="15" t="s">
        <v>3591</v>
      </c>
      <c r="BJ154" s="15" t="s">
        <v>13973</v>
      </c>
      <c r="BN154" s="15" t="s">
        <v>179</v>
      </c>
      <c r="BP154" s="15" t="s">
        <v>138</v>
      </c>
      <c r="BS154" s="15" t="s">
        <v>13974</v>
      </c>
      <c r="DH154" s="15" t="s">
        <v>17982</v>
      </c>
      <c r="DI154" s="15" t="s">
        <v>17982</v>
      </c>
    </row>
    <row r="155" spans="1:113" s="15" customFormat="1" ht="12.75" x14ac:dyDescent="0.2">
      <c r="A155" s="15" t="s">
        <v>109</v>
      </c>
      <c r="B155" s="15" t="s">
        <v>110</v>
      </c>
      <c r="D155" s="15" t="s">
        <v>620</v>
      </c>
      <c r="E155" s="15" t="s">
        <v>112</v>
      </c>
      <c r="F155" s="15" t="s">
        <v>620</v>
      </c>
      <c r="G155" s="15" t="s">
        <v>113</v>
      </c>
      <c r="H155" s="15" t="s">
        <v>1045</v>
      </c>
      <c r="J155" s="16" t="s">
        <v>114</v>
      </c>
      <c r="U155" s="15" t="s">
        <v>17977</v>
      </c>
      <c r="W155" s="15">
        <v>2856</v>
      </c>
      <c r="X155" s="15">
        <v>165</v>
      </c>
      <c r="Y155" s="15" t="s">
        <v>160</v>
      </c>
      <c r="Z155" s="15" t="s">
        <v>161</v>
      </c>
      <c r="AA155" s="15" t="s">
        <v>162</v>
      </c>
      <c r="AB155" s="15" t="s">
        <v>13975</v>
      </c>
      <c r="AC155" s="15" t="s">
        <v>13975</v>
      </c>
      <c r="AD155" s="15" t="s">
        <v>13975</v>
      </c>
      <c r="AE155" s="15" t="s">
        <v>164</v>
      </c>
      <c r="AF155" s="15" t="s">
        <v>13975</v>
      </c>
      <c r="AG155" s="15" t="s">
        <v>13975</v>
      </c>
      <c r="AH155" s="47" t="s">
        <v>13976</v>
      </c>
      <c r="AL155" s="15" t="s">
        <v>13977</v>
      </c>
      <c r="AN155" s="15">
        <v>743</v>
      </c>
      <c r="AO155" s="15" t="s">
        <v>13978</v>
      </c>
      <c r="AQ155" s="15" t="s">
        <v>829</v>
      </c>
      <c r="AT155" s="15" t="s">
        <v>13979</v>
      </c>
      <c r="AU155" s="15" t="s">
        <v>13980</v>
      </c>
      <c r="AV155" s="15" t="s">
        <v>13980</v>
      </c>
      <c r="AW155" s="15" t="s">
        <v>13981</v>
      </c>
      <c r="AX155" s="15" t="s">
        <v>13982</v>
      </c>
      <c r="AY155" s="15">
        <f t="shared" si="2"/>
        <v>58</v>
      </c>
      <c r="AZ155" s="15" t="s">
        <v>834</v>
      </c>
      <c r="BA155" s="15" t="s">
        <v>174</v>
      </c>
      <c r="BB155" s="15" t="s">
        <v>13931</v>
      </c>
      <c r="BE155" s="15" t="s">
        <v>1081</v>
      </c>
      <c r="BF155" s="15" t="s">
        <v>3591</v>
      </c>
      <c r="BJ155" s="15" t="s">
        <v>13983</v>
      </c>
      <c r="BN155" s="15" t="s">
        <v>179</v>
      </c>
      <c r="BP155" s="15" t="s">
        <v>138</v>
      </c>
      <c r="BS155" s="15" t="s">
        <v>13984</v>
      </c>
      <c r="DH155" s="15" t="s">
        <v>17982</v>
      </c>
      <c r="DI155" s="15" t="s">
        <v>17982</v>
      </c>
    </row>
    <row r="156" spans="1:113" s="15" customFormat="1" ht="12.75" x14ac:dyDescent="0.2">
      <c r="A156" s="15" t="s">
        <v>109</v>
      </c>
      <c r="B156" s="15" t="s">
        <v>110</v>
      </c>
      <c r="D156" s="15" t="s">
        <v>620</v>
      </c>
      <c r="E156" s="15" t="s">
        <v>112</v>
      </c>
      <c r="F156" s="15" t="s">
        <v>620</v>
      </c>
      <c r="G156" s="15" t="s">
        <v>113</v>
      </c>
      <c r="H156" s="15" t="s">
        <v>1045</v>
      </c>
      <c r="J156" s="16" t="s">
        <v>114</v>
      </c>
      <c r="U156" s="15" t="s">
        <v>17977</v>
      </c>
      <c r="W156" s="15">
        <v>2852</v>
      </c>
      <c r="X156" s="15">
        <v>166</v>
      </c>
      <c r="Y156" s="15" t="s">
        <v>160</v>
      </c>
      <c r="Z156" s="15" t="s">
        <v>161</v>
      </c>
      <c r="AA156" s="15" t="s">
        <v>162</v>
      </c>
      <c r="AB156" s="15" t="s">
        <v>13934</v>
      </c>
      <c r="AC156" s="15" t="s">
        <v>13934</v>
      </c>
      <c r="AD156" s="15" t="s">
        <v>13934</v>
      </c>
      <c r="AE156" s="15" t="s">
        <v>164</v>
      </c>
      <c r="AF156" s="15" t="s">
        <v>13934</v>
      </c>
      <c r="AG156" s="15" t="s">
        <v>13934</v>
      </c>
      <c r="AH156" s="47" t="s">
        <v>13935</v>
      </c>
      <c r="AL156" s="15" t="s">
        <v>13936</v>
      </c>
      <c r="AN156" s="15">
        <v>743</v>
      </c>
      <c r="AO156" s="15" t="s">
        <v>13937</v>
      </c>
      <c r="AQ156" s="47" t="s">
        <v>225</v>
      </c>
      <c r="AT156" s="15" t="s">
        <v>13938</v>
      </c>
      <c r="AU156" s="15" t="s">
        <v>13939</v>
      </c>
      <c r="AV156" s="15" t="s">
        <v>13939</v>
      </c>
      <c r="AW156" s="15" t="s">
        <v>13940</v>
      </c>
      <c r="AX156" s="15" t="s">
        <v>13941</v>
      </c>
      <c r="AY156" s="15">
        <f t="shared" si="2"/>
        <v>60</v>
      </c>
      <c r="AZ156" s="15" t="s">
        <v>229</v>
      </c>
      <c r="BA156" s="15" t="s">
        <v>174</v>
      </c>
      <c r="BB156" s="15" t="s">
        <v>13931</v>
      </c>
      <c r="BE156" s="15" t="s">
        <v>251</v>
      </c>
      <c r="BF156" s="19" t="s">
        <v>13942</v>
      </c>
      <c r="BJ156" s="15" t="s">
        <v>13943</v>
      </c>
      <c r="BN156" s="15" t="s">
        <v>179</v>
      </c>
      <c r="BP156" s="15" t="s">
        <v>138</v>
      </c>
      <c r="BS156" s="15" t="s">
        <v>13944</v>
      </c>
      <c r="DH156" s="15" t="s">
        <v>17982</v>
      </c>
      <c r="DI156" s="15" t="s">
        <v>17982</v>
      </c>
    </row>
    <row r="157" spans="1:113" s="15" customFormat="1" ht="12.75" x14ac:dyDescent="0.2">
      <c r="A157" s="15" t="s">
        <v>109</v>
      </c>
      <c r="B157" s="15" t="s">
        <v>110</v>
      </c>
      <c r="D157" s="15" t="s">
        <v>620</v>
      </c>
      <c r="E157" s="15" t="s">
        <v>112</v>
      </c>
      <c r="F157" s="15" t="s">
        <v>620</v>
      </c>
      <c r="G157" s="15" t="s">
        <v>113</v>
      </c>
      <c r="H157" s="15" t="s">
        <v>1045</v>
      </c>
      <c r="J157" s="16" t="s">
        <v>114</v>
      </c>
      <c r="U157" s="15" t="s">
        <v>17977</v>
      </c>
      <c r="W157" s="15">
        <v>2853</v>
      </c>
      <c r="X157" s="15">
        <v>167</v>
      </c>
      <c r="Y157" s="15" t="s">
        <v>160</v>
      </c>
      <c r="Z157" s="15" t="s">
        <v>161</v>
      </c>
      <c r="AA157" s="15" t="s">
        <v>162</v>
      </c>
      <c r="AB157" s="15" t="s">
        <v>13945</v>
      </c>
      <c r="AC157" s="15" t="s">
        <v>13945</v>
      </c>
      <c r="AD157" s="15" t="s">
        <v>13945</v>
      </c>
      <c r="AE157" s="15" t="s">
        <v>164</v>
      </c>
      <c r="AF157" s="15" t="s">
        <v>13945</v>
      </c>
      <c r="AG157" s="15" t="s">
        <v>13945</v>
      </c>
      <c r="AH157" s="47" t="s">
        <v>13946</v>
      </c>
      <c r="AL157" s="15" t="s">
        <v>13947</v>
      </c>
      <c r="AN157" s="15">
        <v>743</v>
      </c>
      <c r="AO157" s="15" t="s">
        <v>13948</v>
      </c>
      <c r="AQ157" s="47" t="s">
        <v>225</v>
      </c>
      <c r="AT157" s="15" t="s">
        <v>13949</v>
      </c>
      <c r="AU157" s="15" t="s">
        <v>13950</v>
      </c>
      <c r="AV157" s="15" t="s">
        <v>13950</v>
      </c>
      <c r="AW157" s="15" t="s">
        <v>13951</v>
      </c>
      <c r="AX157" s="15" t="s">
        <v>13952</v>
      </c>
      <c r="AY157" s="15">
        <f t="shared" si="2"/>
        <v>60</v>
      </c>
      <c r="AZ157" s="15" t="s">
        <v>229</v>
      </c>
      <c r="BA157" s="15" t="s">
        <v>174</v>
      </c>
      <c r="BB157" s="15" t="s">
        <v>13931</v>
      </c>
      <c r="BE157" s="15" t="s">
        <v>251</v>
      </c>
      <c r="BF157" s="19" t="s">
        <v>13953</v>
      </c>
      <c r="BJ157" s="15" t="s">
        <v>13943</v>
      </c>
      <c r="BN157" s="15" t="s">
        <v>179</v>
      </c>
      <c r="BP157" s="15" t="s">
        <v>138</v>
      </c>
      <c r="BS157" s="15" t="s">
        <v>13954</v>
      </c>
      <c r="DH157" s="15" t="s">
        <v>17982</v>
      </c>
      <c r="DI157" s="15" t="s">
        <v>17982</v>
      </c>
    </row>
    <row r="158" spans="1:113" s="15" customFormat="1" ht="12.75" x14ac:dyDescent="0.2">
      <c r="A158" s="15" t="s">
        <v>109</v>
      </c>
      <c r="B158" s="15" t="s">
        <v>110</v>
      </c>
      <c r="D158" s="15" t="s">
        <v>620</v>
      </c>
      <c r="E158" s="15" t="s">
        <v>112</v>
      </c>
      <c r="F158" s="15" t="s">
        <v>620</v>
      </c>
      <c r="G158" s="15" t="s">
        <v>113</v>
      </c>
      <c r="H158" s="15" t="s">
        <v>1045</v>
      </c>
      <c r="J158" s="16" t="s">
        <v>114</v>
      </c>
      <c r="U158" s="15" t="s">
        <v>17977</v>
      </c>
      <c r="W158" s="15">
        <v>2854</v>
      </c>
      <c r="X158" s="15">
        <v>168</v>
      </c>
      <c r="Y158" s="15" t="s">
        <v>160</v>
      </c>
      <c r="Z158" s="15" t="s">
        <v>161</v>
      </c>
      <c r="AA158" s="15" t="s">
        <v>162</v>
      </c>
      <c r="AB158" s="15" t="s">
        <v>13955</v>
      </c>
      <c r="AC158" s="15" t="s">
        <v>13955</v>
      </c>
      <c r="AD158" s="15" t="s">
        <v>13955</v>
      </c>
      <c r="AE158" s="15" t="s">
        <v>164</v>
      </c>
      <c r="AF158" s="15" t="s">
        <v>13955</v>
      </c>
      <c r="AG158" s="15" t="s">
        <v>13955</v>
      </c>
      <c r="AH158" s="47" t="s">
        <v>13956</v>
      </c>
      <c r="AL158" s="15" t="s">
        <v>13957</v>
      </c>
      <c r="AN158" s="15">
        <v>743</v>
      </c>
      <c r="AO158" s="15" t="s">
        <v>13958</v>
      </c>
      <c r="AQ158" s="47" t="s">
        <v>225</v>
      </c>
      <c r="AT158" s="15" t="s">
        <v>13959</v>
      </c>
      <c r="AU158" s="15" t="s">
        <v>13960</v>
      </c>
      <c r="AV158" s="15" t="s">
        <v>13960</v>
      </c>
      <c r="AW158" s="15" t="s">
        <v>13961</v>
      </c>
      <c r="AX158" s="15" t="s">
        <v>13962</v>
      </c>
      <c r="AY158" s="15">
        <f t="shared" si="2"/>
        <v>52</v>
      </c>
      <c r="AZ158" s="15" t="s">
        <v>229</v>
      </c>
      <c r="BA158" s="15" t="s">
        <v>174</v>
      </c>
      <c r="BB158" s="15" t="s">
        <v>13931</v>
      </c>
      <c r="BE158" s="15" t="s">
        <v>251</v>
      </c>
      <c r="BF158" s="19" t="s">
        <v>13953</v>
      </c>
      <c r="BJ158" s="15" t="s">
        <v>13963</v>
      </c>
      <c r="BN158" s="15" t="s">
        <v>179</v>
      </c>
      <c r="BP158" s="15" t="s">
        <v>138</v>
      </c>
      <c r="BS158" s="15" t="s">
        <v>13964</v>
      </c>
      <c r="DH158" s="15" t="s">
        <v>17982</v>
      </c>
      <c r="DI158" s="15" t="s">
        <v>17982</v>
      </c>
    </row>
    <row r="159" spans="1:113" s="15" customFormat="1" ht="12.75" x14ac:dyDescent="0.2">
      <c r="A159" s="15" t="s">
        <v>109</v>
      </c>
      <c r="B159" s="15" t="s">
        <v>110</v>
      </c>
      <c r="D159" s="15" t="s">
        <v>620</v>
      </c>
      <c r="E159" s="15" t="s">
        <v>112</v>
      </c>
      <c r="F159" s="15" t="s">
        <v>620</v>
      </c>
      <c r="G159" s="15" t="s">
        <v>113</v>
      </c>
      <c r="H159" s="15" t="s">
        <v>1045</v>
      </c>
      <c r="J159" s="16" t="s">
        <v>114</v>
      </c>
      <c r="U159" s="15" t="s">
        <v>17977</v>
      </c>
      <c r="W159" s="15">
        <v>2851</v>
      </c>
      <c r="X159" s="15">
        <v>169</v>
      </c>
      <c r="Y159" s="15" t="s">
        <v>160</v>
      </c>
      <c r="Z159" s="15" t="s">
        <v>161</v>
      </c>
      <c r="AA159" s="15" t="s">
        <v>162</v>
      </c>
      <c r="AB159" s="15" t="s">
        <v>13923</v>
      </c>
      <c r="AC159" s="15" t="s">
        <v>13923</v>
      </c>
      <c r="AD159" s="15" t="s">
        <v>13923</v>
      </c>
      <c r="AE159" s="15" t="s">
        <v>164</v>
      </c>
      <c r="AF159" s="15" t="s">
        <v>13923</v>
      </c>
      <c r="AG159" s="15" t="s">
        <v>13923</v>
      </c>
      <c r="AH159" s="47" t="s">
        <v>13924</v>
      </c>
      <c r="AL159" s="15" t="s">
        <v>13925</v>
      </c>
      <c r="AN159" s="15">
        <v>743</v>
      </c>
      <c r="AO159" s="15" t="s">
        <v>13926</v>
      </c>
      <c r="AQ159" s="15" t="s">
        <v>857</v>
      </c>
      <c r="AT159" s="15" t="s">
        <v>13927</v>
      </c>
      <c r="AU159" s="15" t="s">
        <v>13928</v>
      </c>
      <c r="AV159" s="15" t="s">
        <v>13928</v>
      </c>
      <c r="AW159" s="15" t="s">
        <v>13929</v>
      </c>
      <c r="AX159" s="15" t="s">
        <v>13930</v>
      </c>
      <c r="AY159" s="15">
        <f t="shared" si="2"/>
        <v>56</v>
      </c>
      <c r="AZ159" s="15" t="s">
        <v>862</v>
      </c>
      <c r="BA159" s="15" t="s">
        <v>174</v>
      </c>
      <c r="BB159" s="15" t="s">
        <v>13931</v>
      </c>
      <c r="BE159" s="15" t="s">
        <v>251</v>
      </c>
      <c r="BJ159" s="15" t="s">
        <v>13932</v>
      </c>
      <c r="BN159" s="15" t="s">
        <v>179</v>
      </c>
      <c r="BP159" s="15" t="s">
        <v>138</v>
      </c>
      <c r="BS159" s="15" t="s">
        <v>13933</v>
      </c>
      <c r="DH159" s="15" t="s">
        <v>17982</v>
      </c>
      <c r="DI159" s="15" t="s">
        <v>17982</v>
      </c>
    </row>
    <row r="160" spans="1:113" s="15" customFormat="1" ht="12.75" x14ac:dyDescent="0.2">
      <c r="A160" s="15" t="s">
        <v>109</v>
      </c>
      <c r="B160" s="15" t="s">
        <v>110</v>
      </c>
      <c r="D160" s="15" t="s">
        <v>620</v>
      </c>
      <c r="E160" s="15" t="s">
        <v>112</v>
      </c>
      <c r="F160" s="15" t="s">
        <v>620</v>
      </c>
      <c r="G160" s="15" t="s">
        <v>113</v>
      </c>
      <c r="H160" s="15" t="s">
        <v>1045</v>
      </c>
      <c r="J160" s="16" t="s">
        <v>114</v>
      </c>
      <c r="U160" s="15" t="s">
        <v>17977</v>
      </c>
      <c r="W160" s="15">
        <v>2857</v>
      </c>
      <c r="X160" s="15">
        <v>170</v>
      </c>
      <c r="Y160" s="15" t="s">
        <v>160</v>
      </c>
      <c r="Z160" s="15" t="s">
        <v>161</v>
      </c>
      <c r="AA160" s="15" t="s">
        <v>162</v>
      </c>
      <c r="AB160" s="15" t="s">
        <v>13985</v>
      </c>
      <c r="AC160" s="15" t="s">
        <v>13985</v>
      </c>
      <c r="AD160" s="15" t="s">
        <v>13985</v>
      </c>
      <c r="AE160" s="15" t="s">
        <v>164</v>
      </c>
      <c r="AF160" s="15" t="s">
        <v>13985</v>
      </c>
      <c r="AG160" s="15" t="s">
        <v>13985</v>
      </c>
      <c r="AH160" s="47" t="s">
        <v>13986</v>
      </c>
      <c r="AL160" s="15" t="s">
        <v>13987</v>
      </c>
      <c r="AN160" s="15">
        <v>743</v>
      </c>
      <c r="AO160" s="15" t="s">
        <v>13988</v>
      </c>
      <c r="AQ160" s="15" t="s">
        <v>225</v>
      </c>
      <c r="AT160" s="15" t="s">
        <v>13989</v>
      </c>
      <c r="AU160" s="15" t="s">
        <v>13990</v>
      </c>
      <c r="AV160" s="15" t="s">
        <v>13990</v>
      </c>
      <c r="AW160" s="15" t="s">
        <v>13991</v>
      </c>
      <c r="AX160" s="15" t="s">
        <v>13992</v>
      </c>
      <c r="AY160" s="15">
        <f t="shared" si="2"/>
        <v>56</v>
      </c>
      <c r="AZ160" s="15" t="s">
        <v>229</v>
      </c>
      <c r="BA160" s="15" t="s">
        <v>174</v>
      </c>
      <c r="BB160" s="15" t="s">
        <v>13931</v>
      </c>
      <c r="BC160" s="15" t="s">
        <v>884</v>
      </c>
      <c r="BE160" s="15" t="s">
        <v>251</v>
      </c>
      <c r="BF160" s="15" t="s">
        <v>863</v>
      </c>
      <c r="BJ160" s="15" t="s">
        <v>13993</v>
      </c>
      <c r="BN160" s="15" t="s">
        <v>179</v>
      </c>
      <c r="BP160" s="15" t="s">
        <v>138</v>
      </c>
      <c r="BS160" s="15" t="s">
        <v>13994</v>
      </c>
      <c r="DH160" s="15" t="s">
        <v>17982</v>
      </c>
      <c r="DI160" s="15" t="s">
        <v>17982</v>
      </c>
    </row>
    <row r="161" spans="1:113" s="15" customFormat="1" ht="12.75" x14ac:dyDescent="0.2">
      <c r="A161" s="15" t="s">
        <v>109</v>
      </c>
      <c r="B161" s="15" t="s">
        <v>110</v>
      </c>
      <c r="D161" s="15" t="s">
        <v>620</v>
      </c>
      <c r="E161" s="15" t="s">
        <v>112</v>
      </c>
      <c r="F161" s="15" t="s">
        <v>620</v>
      </c>
      <c r="G161" s="15" t="s">
        <v>113</v>
      </c>
      <c r="H161" s="15" t="s">
        <v>1045</v>
      </c>
      <c r="J161" s="16" t="s">
        <v>114</v>
      </c>
      <c r="U161" s="15" t="s">
        <v>17977</v>
      </c>
      <c r="W161" s="15">
        <v>2858</v>
      </c>
      <c r="X161" s="15">
        <v>171</v>
      </c>
      <c r="Y161" s="15" t="s">
        <v>160</v>
      </c>
      <c r="Z161" s="15" t="s">
        <v>161</v>
      </c>
      <c r="AA161" s="15" t="s">
        <v>162</v>
      </c>
      <c r="AB161" s="15" t="s">
        <v>13995</v>
      </c>
      <c r="AC161" s="15" t="s">
        <v>13995</v>
      </c>
      <c r="AD161" s="15" t="s">
        <v>13995</v>
      </c>
      <c r="AE161" s="15" t="s">
        <v>164</v>
      </c>
      <c r="AF161" s="15" t="s">
        <v>13995</v>
      </c>
      <c r="AG161" s="15" t="s">
        <v>13995</v>
      </c>
      <c r="AH161" s="47" t="s">
        <v>13996</v>
      </c>
      <c r="AL161" s="15" t="s">
        <v>13997</v>
      </c>
      <c r="AN161" s="15">
        <v>743</v>
      </c>
      <c r="AO161" s="15" t="s">
        <v>13998</v>
      </c>
      <c r="AQ161" s="15" t="s">
        <v>225</v>
      </c>
      <c r="AT161" s="15" t="s">
        <v>13999</v>
      </c>
      <c r="AU161" s="15" t="s">
        <v>14000</v>
      </c>
      <c r="AV161" s="15" t="s">
        <v>14000</v>
      </c>
      <c r="AW161" s="15" t="s">
        <v>14001</v>
      </c>
      <c r="AX161" s="15" t="s">
        <v>14002</v>
      </c>
      <c r="AY161" s="15">
        <f t="shared" si="2"/>
        <v>56</v>
      </c>
      <c r="AZ161" s="15" t="s">
        <v>229</v>
      </c>
      <c r="BA161" s="15" t="s">
        <v>174</v>
      </c>
      <c r="BB161" s="15" t="s">
        <v>13931</v>
      </c>
      <c r="BC161" s="15" t="s">
        <v>884</v>
      </c>
      <c r="BE161" s="15" t="s">
        <v>251</v>
      </c>
      <c r="BF161" s="15" t="s">
        <v>217</v>
      </c>
      <c r="BJ161" s="15" t="s">
        <v>13993</v>
      </c>
      <c r="BN161" s="15" t="s">
        <v>179</v>
      </c>
      <c r="BP161" s="15" t="s">
        <v>138</v>
      </c>
      <c r="BS161" s="15" t="s">
        <v>14003</v>
      </c>
      <c r="DH161" s="15" t="s">
        <v>17982</v>
      </c>
      <c r="DI161" s="15" t="s">
        <v>17982</v>
      </c>
    </row>
    <row r="162" spans="1:113" s="15" customFormat="1" ht="12.75" x14ac:dyDescent="0.2">
      <c r="A162" s="15" t="s">
        <v>109</v>
      </c>
      <c r="B162" s="15" t="s">
        <v>110</v>
      </c>
      <c r="D162" s="15" t="s">
        <v>620</v>
      </c>
      <c r="E162" s="15" t="s">
        <v>112</v>
      </c>
      <c r="F162" s="15" t="s">
        <v>620</v>
      </c>
      <c r="G162" s="15" t="s">
        <v>113</v>
      </c>
      <c r="H162" s="15" t="s">
        <v>1045</v>
      </c>
      <c r="J162" s="16" t="s">
        <v>114</v>
      </c>
      <c r="U162" s="15" t="s">
        <v>17977</v>
      </c>
      <c r="W162" s="15">
        <v>2859</v>
      </c>
      <c r="X162" s="15">
        <v>172</v>
      </c>
      <c r="Y162" s="15" t="s">
        <v>160</v>
      </c>
      <c r="Z162" s="15" t="s">
        <v>161</v>
      </c>
      <c r="AA162" s="15" t="s">
        <v>162</v>
      </c>
      <c r="AB162" s="15" t="s">
        <v>14004</v>
      </c>
      <c r="AC162" s="15" t="s">
        <v>14004</v>
      </c>
      <c r="AD162" s="15" t="s">
        <v>14004</v>
      </c>
      <c r="AE162" s="15" t="s">
        <v>164</v>
      </c>
      <c r="AF162" s="15" t="s">
        <v>14004</v>
      </c>
      <c r="AG162" s="15" t="s">
        <v>14004</v>
      </c>
      <c r="AH162" s="47" t="s">
        <v>14005</v>
      </c>
      <c r="AL162" s="15" t="s">
        <v>14006</v>
      </c>
      <c r="AN162" s="15">
        <v>743</v>
      </c>
      <c r="AO162" s="15" t="s">
        <v>14007</v>
      </c>
      <c r="AQ162" s="15" t="s">
        <v>14008</v>
      </c>
      <c r="AT162" s="15" t="s">
        <v>14009</v>
      </c>
      <c r="AU162" s="30" t="s">
        <v>14010</v>
      </c>
      <c r="AV162" s="30" t="s">
        <v>14010</v>
      </c>
      <c r="AW162" s="30" t="s">
        <v>14011</v>
      </c>
      <c r="AX162" s="30" t="s">
        <v>14011</v>
      </c>
      <c r="AY162" s="15">
        <f t="shared" si="2"/>
        <v>54</v>
      </c>
      <c r="AZ162" s="15" t="s">
        <v>14012</v>
      </c>
      <c r="BA162" s="15" t="s">
        <v>174</v>
      </c>
      <c r="BB162" s="15" t="s">
        <v>13931</v>
      </c>
      <c r="BE162" s="15" t="s">
        <v>1894</v>
      </c>
      <c r="BF162" s="15" t="s">
        <v>3591</v>
      </c>
      <c r="BJ162" s="15" t="s">
        <v>14013</v>
      </c>
      <c r="BN162" s="15" t="s">
        <v>179</v>
      </c>
      <c r="BP162" s="15" t="s">
        <v>138</v>
      </c>
      <c r="BS162" s="15" t="s">
        <v>14014</v>
      </c>
      <c r="DH162" s="15" t="s">
        <v>17982</v>
      </c>
      <c r="DI162" s="15" t="s">
        <v>17982</v>
      </c>
    </row>
    <row r="163" spans="1:113" s="15" customFormat="1" ht="12.75" x14ac:dyDescent="0.2">
      <c r="A163" s="15" t="s">
        <v>109</v>
      </c>
      <c r="B163" s="15" t="s">
        <v>110</v>
      </c>
      <c r="D163" s="15" t="s">
        <v>620</v>
      </c>
      <c r="E163" s="15" t="s">
        <v>112</v>
      </c>
      <c r="F163" s="15" t="s">
        <v>620</v>
      </c>
      <c r="G163" s="15" t="s">
        <v>113</v>
      </c>
      <c r="H163" s="15" t="s">
        <v>1045</v>
      </c>
      <c r="J163" s="16" t="s">
        <v>114</v>
      </c>
      <c r="U163" s="15" t="s">
        <v>17977</v>
      </c>
      <c r="W163" s="15">
        <v>2907</v>
      </c>
      <c r="X163" s="15">
        <v>173</v>
      </c>
      <c r="Y163" s="15" t="s">
        <v>160</v>
      </c>
      <c r="Z163" s="15" t="s">
        <v>161</v>
      </c>
      <c r="AA163" s="15" t="s">
        <v>162</v>
      </c>
      <c r="AB163" s="15" t="s">
        <v>14235</v>
      </c>
      <c r="AC163" s="15" t="s">
        <v>14235</v>
      </c>
      <c r="AD163" s="15" t="s">
        <v>14235</v>
      </c>
      <c r="AE163" s="15" t="s">
        <v>164</v>
      </c>
      <c r="AF163" s="15" t="s">
        <v>14235</v>
      </c>
      <c r="AG163" s="15" t="s">
        <v>14235</v>
      </c>
      <c r="AH163" s="15" t="s">
        <v>14236</v>
      </c>
      <c r="AL163" s="15" t="s">
        <v>14237</v>
      </c>
      <c r="AN163" s="15">
        <v>743</v>
      </c>
      <c r="AO163" s="15" t="s">
        <v>14238</v>
      </c>
      <c r="AQ163" s="15" t="s">
        <v>829</v>
      </c>
      <c r="AT163" s="15" t="s">
        <v>14239</v>
      </c>
      <c r="AU163" s="15" t="s">
        <v>14240</v>
      </c>
      <c r="AV163" s="15" t="s">
        <v>14240</v>
      </c>
      <c r="AW163" s="15" t="s">
        <v>14241</v>
      </c>
      <c r="AX163" s="15" t="s">
        <v>14242</v>
      </c>
      <c r="AY163" s="15">
        <f t="shared" si="2"/>
        <v>52</v>
      </c>
      <c r="AZ163" s="15" t="s">
        <v>834</v>
      </c>
      <c r="BA163" s="15" t="s">
        <v>174</v>
      </c>
      <c r="BB163" s="15" t="s">
        <v>14221</v>
      </c>
      <c r="BE163" s="15" t="s">
        <v>251</v>
      </c>
      <c r="BF163" s="15" t="s">
        <v>3153</v>
      </c>
      <c r="BJ163" s="15" t="s">
        <v>14243</v>
      </c>
      <c r="BN163" s="15" t="s">
        <v>179</v>
      </c>
      <c r="BP163" s="15" t="s">
        <v>138</v>
      </c>
      <c r="BS163" s="15" t="s">
        <v>14244</v>
      </c>
      <c r="DH163" s="15" t="s">
        <v>17982</v>
      </c>
      <c r="DI163" s="15" t="s">
        <v>17982</v>
      </c>
    </row>
    <row r="164" spans="1:113" s="15" customFormat="1" ht="12.75" x14ac:dyDescent="0.2">
      <c r="A164" s="15" t="s">
        <v>109</v>
      </c>
      <c r="B164" s="15" t="s">
        <v>110</v>
      </c>
      <c r="D164" s="15" t="s">
        <v>620</v>
      </c>
      <c r="E164" s="15" t="s">
        <v>112</v>
      </c>
      <c r="F164" s="15" t="s">
        <v>620</v>
      </c>
      <c r="G164" s="15" t="s">
        <v>113</v>
      </c>
      <c r="H164" s="15" t="s">
        <v>1045</v>
      </c>
      <c r="J164" s="16" t="s">
        <v>114</v>
      </c>
      <c r="U164" s="15" t="s">
        <v>17977</v>
      </c>
      <c r="W164" s="15">
        <v>2905</v>
      </c>
      <c r="X164" s="15">
        <v>174</v>
      </c>
      <c r="Y164" s="15" t="s">
        <v>160</v>
      </c>
      <c r="Z164" s="15" t="s">
        <v>161</v>
      </c>
      <c r="AA164" s="15" t="s">
        <v>162</v>
      </c>
      <c r="AB164" s="15" t="s">
        <v>14213</v>
      </c>
      <c r="AC164" s="15" t="s">
        <v>14213</v>
      </c>
      <c r="AD164" s="15" t="s">
        <v>14213</v>
      </c>
      <c r="AE164" s="15" t="s">
        <v>164</v>
      </c>
      <c r="AF164" s="15" t="s">
        <v>14213</v>
      </c>
      <c r="AG164" s="15" t="s">
        <v>14213</v>
      </c>
      <c r="AH164" s="15" t="s">
        <v>14214</v>
      </c>
      <c r="AL164" s="15" t="s">
        <v>14215</v>
      </c>
      <c r="AN164" s="15">
        <v>743</v>
      </c>
      <c r="AO164" s="15" t="s">
        <v>14216</v>
      </c>
      <c r="AQ164" s="15" t="s">
        <v>1193</v>
      </c>
      <c r="AT164" s="15" t="s">
        <v>14217</v>
      </c>
      <c r="AU164" s="15" t="s">
        <v>14218</v>
      </c>
      <c r="AV164" s="15" t="s">
        <v>14218</v>
      </c>
      <c r="AW164" s="15" t="s">
        <v>14219</v>
      </c>
      <c r="AX164" s="15" t="s">
        <v>14220</v>
      </c>
      <c r="AY164" s="15">
        <f t="shared" si="2"/>
        <v>59</v>
      </c>
      <c r="AZ164" s="15" t="s">
        <v>1634</v>
      </c>
      <c r="BA164" s="15" t="s">
        <v>174</v>
      </c>
      <c r="BB164" s="15" t="s">
        <v>14221</v>
      </c>
      <c r="BE164" s="15" t="s">
        <v>1754</v>
      </c>
      <c r="BF164" s="15" t="s">
        <v>14222</v>
      </c>
      <c r="BJ164" s="15" t="s">
        <v>14223</v>
      </c>
      <c r="BN164" s="15" t="s">
        <v>179</v>
      </c>
      <c r="BP164" s="15" t="s">
        <v>138</v>
      </c>
      <c r="BS164" s="15" t="s">
        <v>14224</v>
      </c>
      <c r="DH164" s="15" t="s">
        <v>17982</v>
      </c>
      <c r="DI164" s="15" t="s">
        <v>17982</v>
      </c>
    </row>
    <row r="165" spans="1:113" s="15" customFormat="1" ht="12.75" x14ac:dyDescent="0.2">
      <c r="A165" s="15" t="s">
        <v>109</v>
      </c>
      <c r="B165" s="15" t="s">
        <v>110</v>
      </c>
      <c r="D165" s="15" t="s">
        <v>620</v>
      </c>
      <c r="E165" s="15" t="s">
        <v>112</v>
      </c>
      <c r="F165" s="15" t="s">
        <v>620</v>
      </c>
      <c r="G165" s="15" t="s">
        <v>113</v>
      </c>
      <c r="H165" s="15" t="s">
        <v>1045</v>
      </c>
      <c r="J165" s="16" t="s">
        <v>114</v>
      </c>
      <c r="U165" s="15" t="s">
        <v>17977</v>
      </c>
      <c r="W165" s="15">
        <v>2906</v>
      </c>
      <c r="X165" s="15">
        <v>175</v>
      </c>
      <c r="Y165" s="15" t="s">
        <v>160</v>
      </c>
      <c r="Z165" s="15" t="s">
        <v>161</v>
      </c>
      <c r="AA165" s="15" t="s">
        <v>162</v>
      </c>
      <c r="AB165" s="15" t="s">
        <v>14225</v>
      </c>
      <c r="AC165" s="15" t="s">
        <v>14225</v>
      </c>
      <c r="AD165" s="15" t="s">
        <v>14225</v>
      </c>
      <c r="AE165" s="15" t="s">
        <v>164</v>
      </c>
      <c r="AF165" s="15" t="s">
        <v>14225</v>
      </c>
      <c r="AG165" s="15" t="s">
        <v>14225</v>
      </c>
      <c r="AH165" s="15" t="s">
        <v>14226</v>
      </c>
      <c r="AL165" s="15" t="s">
        <v>14227</v>
      </c>
      <c r="AN165" s="15">
        <v>743</v>
      </c>
      <c r="AO165" s="15" t="s">
        <v>14228</v>
      </c>
      <c r="AQ165" s="15" t="s">
        <v>225</v>
      </c>
      <c r="AT165" s="15" t="s">
        <v>14229</v>
      </c>
      <c r="AU165" s="15" t="s">
        <v>14230</v>
      </c>
      <c r="AV165" s="15" t="s">
        <v>14230</v>
      </c>
      <c r="AW165" s="15" t="s">
        <v>14231</v>
      </c>
      <c r="AX165" s="15" t="s">
        <v>14231</v>
      </c>
      <c r="AY165" s="15">
        <f t="shared" si="2"/>
        <v>55</v>
      </c>
      <c r="AZ165" s="15" t="s">
        <v>229</v>
      </c>
      <c r="BA165" s="15" t="s">
        <v>174</v>
      </c>
      <c r="BB165" s="15" t="s">
        <v>14221</v>
      </c>
      <c r="BC165" s="15" t="s">
        <v>884</v>
      </c>
      <c r="BE165" s="15" t="s">
        <v>251</v>
      </c>
      <c r="BF165" s="19" t="s">
        <v>14232</v>
      </c>
      <c r="BJ165" s="15" t="s">
        <v>14233</v>
      </c>
      <c r="BN165" s="15" t="s">
        <v>179</v>
      </c>
      <c r="BP165" s="15" t="s">
        <v>138</v>
      </c>
      <c r="BS165" s="15" t="s">
        <v>14234</v>
      </c>
      <c r="DH165" s="15" t="s">
        <v>17982</v>
      </c>
      <c r="DI165" s="15" t="s">
        <v>17982</v>
      </c>
    </row>
    <row r="166" spans="1:113" s="15" customFormat="1" ht="12.75" x14ac:dyDescent="0.2">
      <c r="A166" s="15" t="s">
        <v>109</v>
      </c>
      <c r="B166" s="15" t="s">
        <v>110</v>
      </c>
      <c r="D166" s="15" t="s">
        <v>620</v>
      </c>
      <c r="E166" s="15" t="s">
        <v>112</v>
      </c>
      <c r="F166" s="15" t="s">
        <v>620</v>
      </c>
      <c r="G166" s="15" t="s">
        <v>113</v>
      </c>
      <c r="H166" s="15" t="s">
        <v>1045</v>
      </c>
      <c r="J166" s="16" t="s">
        <v>114</v>
      </c>
      <c r="U166" s="15" t="s">
        <v>17977</v>
      </c>
      <c r="W166" s="15">
        <v>2910</v>
      </c>
      <c r="X166" s="15">
        <v>176</v>
      </c>
      <c r="Y166" s="15" t="s">
        <v>160</v>
      </c>
      <c r="Z166" s="15" t="s">
        <v>161</v>
      </c>
      <c r="AA166" s="15" t="s">
        <v>162</v>
      </c>
      <c r="AB166" s="15" t="s">
        <v>14264</v>
      </c>
      <c r="AC166" s="15" t="s">
        <v>14264</v>
      </c>
      <c r="AD166" s="15" t="s">
        <v>14264</v>
      </c>
      <c r="AE166" s="15" t="s">
        <v>164</v>
      </c>
      <c r="AF166" s="15" t="s">
        <v>14264</v>
      </c>
      <c r="AG166" s="15" t="s">
        <v>14264</v>
      </c>
      <c r="AH166" s="15" t="s">
        <v>14265</v>
      </c>
      <c r="AL166" s="15" t="s">
        <v>14266</v>
      </c>
      <c r="AN166" s="15">
        <v>743</v>
      </c>
      <c r="AO166" s="15" t="s">
        <v>14267</v>
      </c>
      <c r="AQ166" s="15" t="s">
        <v>225</v>
      </c>
      <c r="AT166" s="15" t="s">
        <v>14268</v>
      </c>
      <c r="AU166" s="15" t="s">
        <v>14269</v>
      </c>
      <c r="AV166" s="15" t="s">
        <v>14269</v>
      </c>
      <c r="AW166" s="15" t="s">
        <v>14270</v>
      </c>
      <c r="AX166" s="15" t="s">
        <v>14270</v>
      </c>
      <c r="AY166" s="15">
        <f t="shared" si="2"/>
        <v>55</v>
      </c>
      <c r="AZ166" s="15" t="s">
        <v>229</v>
      </c>
      <c r="BA166" s="15" t="s">
        <v>174</v>
      </c>
      <c r="BB166" s="15" t="s">
        <v>14221</v>
      </c>
      <c r="BC166" s="15" t="s">
        <v>884</v>
      </c>
      <c r="BE166" s="15" t="s">
        <v>251</v>
      </c>
      <c r="BF166" s="19" t="s">
        <v>13953</v>
      </c>
      <c r="BJ166" s="15" t="s">
        <v>14271</v>
      </c>
      <c r="BN166" s="15" t="s">
        <v>179</v>
      </c>
      <c r="BP166" s="15" t="s">
        <v>138</v>
      </c>
      <c r="BS166" s="15" t="s">
        <v>14272</v>
      </c>
      <c r="DH166" s="15" t="s">
        <v>17982</v>
      </c>
      <c r="DI166" s="15" t="s">
        <v>17982</v>
      </c>
    </row>
    <row r="167" spans="1:113" s="15" customFormat="1" ht="12.75" x14ac:dyDescent="0.2">
      <c r="A167" s="15" t="s">
        <v>109</v>
      </c>
      <c r="B167" s="15" t="s">
        <v>110</v>
      </c>
      <c r="D167" s="15" t="s">
        <v>620</v>
      </c>
      <c r="E167" s="15" t="s">
        <v>112</v>
      </c>
      <c r="F167" s="15" t="s">
        <v>620</v>
      </c>
      <c r="G167" s="15" t="s">
        <v>113</v>
      </c>
      <c r="H167" s="15" t="s">
        <v>1045</v>
      </c>
      <c r="J167" s="16" t="s">
        <v>114</v>
      </c>
      <c r="U167" s="15" t="s">
        <v>17977</v>
      </c>
      <c r="W167" s="15">
        <v>2908</v>
      </c>
      <c r="X167" s="15">
        <v>177</v>
      </c>
      <c r="Y167" s="15" t="s">
        <v>160</v>
      </c>
      <c r="Z167" s="15" t="s">
        <v>161</v>
      </c>
      <c r="AA167" s="15" t="s">
        <v>162</v>
      </c>
      <c r="AB167" s="15" t="s">
        <v>14245</v>
      </c>
      <c r="AC167" s="15" t="s">
        <v>14245</v>
      </c>
      <c r="AD167" s="15" t="s">
        <v>14245</v>
      </c>
      <c r="AE167" s="15" t="s">
        <v>164</v>
      </c>
      <c r="AF167" s="15" t="s">
        <v>14245</v>
      </c>
      <c r="AG167" s="15" t="s">
        <v>14245</v>
      </c>
      <c r="AH167" s="15" t="s">
        <v>14246</v>
      </c>
      <c r="AL167" s="15" t="s">
        <v>14247</v>
      </c>
      <c r="AN167" s="15">
        <v>743</v>
      </c>
      <c r="AO167" s="15" t="s">
        <v>14248</v>
      </c>
      <c r="AQ167" s="15" t="s">
        <v>843</v>
      </c>
      <c r="AT167" s="15" t="s">
        <v>14249</v>
      </c>
      <c r="AU167" s="15" t="s">
        <v>14250</v>
      </c>
      <c r="AV167" s="15" t="s">
        <v>14250</v>
      </c>
      <c r="AW167" s="15" t="s">
        <v>14251</v>
      </c>
      <c r="AX167" s="15" t="s">
        <v>14252</v>
      </c>
      <c r="AY167" s="15">
        <f t="shared" si="2"/>
        <v>60</v>
      </c>
      <c r="AZ167" s="15" t="s">
        <v>848</v>
      </c>
      <c r="BA167" s="15" t="s">
        <v>174</v>
      </c>
      <c r="BB167" s="15" t="s">
        <v>14221</v>
      </c>
      <c r="BC167" s="15" t="s">
        <v>801</v>
      </c>
      <c r="BE167" s="15" t="s">
        <v>251</v>
      </c>
      <c r="BF167" s="15" t="s">
        <v>217</v>
      </c>
      <c r="BJ167" s="15" t="s">
        <v>14253</v>
      </c>
      <c r="BN167" s="15" t="s">
        <v>179</v>
      </c>
      <c r="BP167" s="15" t="s">
        <v>138</v>
      </c>
      <c r="BS167" s="15" t="s">
        <v>14254</v>
      </c>
      <c r="DH167" s="15" t="s">
        <v>17982</v>
      </c>
      <c r="DI167" s="15" t="s">
        <v>17982</v>
      </c>
    </row>
    <row r="168" spans="1:113" s="15" customFormat="1" ht="12.75" x14ac:dyDescent="0.2">
      <c r="A168" s="15" t="s">
        <v>109</v>
      </c>
      <c r="B168" s="15" t="s">
        <v>110</v>
      </c>
      <c r="D168" s="15" t="s">
        <v>620</v>
      </c>
      <c r="E168" s="15" t="s">
        <v>112</v>
      </c>
      <c r="F168" s="15" t="s">
        <v>620</v>
      </c>
      <c r="G168" s="15" t="s">
        <v>113</v>
      </c>
      <c r="H168" s="15" t="s">
        <v>1045</v>
      </c>
      <c r="J168" s="16" t="s">
        <v>114</v>
      </c>
      <c r="U168" s="15" t="s">
        <v>17977</v>
      </c>
      <c r="W168" s="15">
        <v>2909</v>
      </c>
      <c r="X168" s="15">
        <v>178</v>
      </c>
      <c r="Y168" s="15" t="s">
        <v>160</v>
      </c>
      <c r="Z168" s="15" t="s">
        <v>161</v>
      </c>
      <c r="AA168" s="15" t="s">
        <v>162</v>
      </c>
      <c r="AB168" s="15" t="s">
        <v>14255</v>
      </c>
      <c r="AC168" s="15" t="s">
        <v>14255</v>
      </c>
      <c r="AD168" s="15" t="s">
        <v>14256</v>
      </c>
      <c r="AE168" s="15" t="s">
        <v>164</v>
      </c>
      <c r="AF168" s="15" t="s">
        <v>14256</v>
      </c>
      <c r="AG168" s="15" t="s">
        <v>14255</v>
      </c>
      <c r="AH168" s="15" t="s">
        <v>14257</v>
      </c>
      <c r="AL168" s="15" t="s">
        <v>14258</v>
      </c>
      <c r="AN168" s="15">
        <v>743</v>
      </c>
      <c r="AO168" s="15" t="s">
        <v>14259</v>
      </c>
      <c r="AQ168" s="15" t="s">
        <v>14260</v>
      </c>
      <c r="AT168" s="15" t="s">
        <v>14258</v>
      </c>
      <c r="AU168" s="15" t="s">
        <v>14261</v>
      </c>
      <c r="AV168" s="15" t="s">
        <v>14261</v>
      </c>
      <c r="AW168" s="15" t="s">
        <v>14262</v>
      </c>
      <c r="AX168" s="15" t="s">
        <v>14262</v>
      </c>
      <c r="AY168" s="15">
        <f t="shared" si="2"/>
        <v>25</v>
      </c>
      <c r="AZ168" s="15" t="s">
        <v>3603</v>
      </c>
      <c r="BA168" s="15" t="s">
        <v>7430</v>
      </c>
      <c r="BB168" s="15" t="s">
        <v>14221</v>
      </c>
      <c r="BN168" s="15" t="s">
        <v>179</v>
      </c>
      <c r="BP168" s="15" t="s">
        <v>138</v>
      </c>
      <c r="BS168" s="15" t="s">
        <v>14263</v>
      </c>
      <c r="DH168" s="15" t="s">
        <v>17982</v>
      </c>
      <c r="DI168" s="15" t="s">
        <v>17982</v>
      </c>
    </row>
    <row r="169" spans="1:113" s="15" customFormat="1" ht="12.75" x14ac:dyDescent="0.2">
      <c r="A169" s="15" t="s">
        <v>109</v>
      </c>
      <c r="B169" s="15" t="s">
        <v>110</v>
      </c>
      <c r="D169" s="15" t="s">
        <v>620</v>
      </c>
      <c r="E169" s="15" t="s">
        <v>112</v>
      </c>
      <c r="F169" s="15" t="s">
        <v>620</v>
      </c>
      <c r="G169" s="15" t="s">
        <v>113</v>
      </c>
      <c r="H169" s="15" t="s">
        <v>1045</v>
      </c>
      <c r="J169" s="16" t="s">
        <v>114</v>
      </c>
      <c r="U169" s="15" t="s">
        <v>17977</v>
      </c>
      <c r="W169" s="15">
        <v>1664</v>
      </c>
      <c r="X169" s="15">
        <v>179</v>
      </c>
      <c r="Y169" s="15" t="s">
        <v>160</v>
      </c>
      <c r="Z169" s="15" t="s">
        <v>161</v>
      </c>
      <c r="AA169" s="15" t="s">
        <v>162</v>
      </c>
      <c r="AB169" s="15" t="s">
        <v>8567</v>
      </c>
      <c r="AC169" s="15" t="s">
        <v>8567</v>
      </c>
      <c r="AD169" s="15" t="s">
        <v>8567</v>
      </c>
      <c r="AE169" s="15" t="s">
        <v>164</v>
      </c>
      <c r="AF169" s="15" t="s">
        <v>8567</v>
      </c>
      <c r="AG169" s="15" t="s">
        <v>8567</v>
      </c>
      <c r="AH169" s="47" t="s">
        <v>8568</v>
      </c>
      <c r="AL169" s="15" t="s">
        <v>8569</v>
      </c>
      <c r="AN169" s="15">
        <v>743</v>
      </c>
      <c r="AO169" s="15" t="s">
        <v>8570</v>
      </c>
      <c r="AQ169" s="15" t="s">
        <v>857</v>
      </c>
      <c r="AT169" s="15" t="s">
        <v>8571</v>
      </c>
      <c r="AU169" s="15" t="s">
        <v>8572</v>
      </c>
      <c r="AV169" s="15" t="s">
        <v>8572</v>
      </c>
      <c r="AW169" s="15" t="s">
        <v>8573</v>
      </c>
      <c r="AX169" s="15" t="s">
        <v>8574</v>
      </c>
      <c r="AY169" s="15">
        <f t="shared" si="2"/>
        <v>56</v>
      </c>
      <c r="AZ169" s="15" t="s">
        <v>862</v>
      </c>
      <c r="BA169" s="15" t="s">
        <v>174</v>
      </c>
      <c r="BB169" s="15" t="s">
        <v>8531</v>
      </c>
      <c r="BE169" s="15" t="s">
        <v>606</v>
      </c>
      <c r="BF169" s="15" t="s">
        <v>8575</v>
      </c>
      <c r="BJ169" s="15" t="s">
        <v>8565</v>
      </c>
      <c r="BN169" s="15" t="s">
        <v>179</v>
      </c>
      <c r="BP169" s="15" t="s">
        <v>138</v>
      </c>
      <c r="BS169" s="15" t="s">
        <v>8576</v>
      </c>
      <c r="DH169" s="15" t="s">
        <v>17982</v>
      </c>
      <c r="DI169" s="15" t="s">
        <v>17982</v>
      </c>
    </row>
    <row r="170" spans="1:113" s="15" customFormat="1" ht="12.75" x14ac:dyDescent="0.2">
      <c r="A170" s="15" t="s">
        <v>109</v>
      </c>
      <c r="B170" s="15" t="s">
        <v>110</v>
      </c>
      <c r="D170" s="15" t="s">
        <v>620</v>
      </c>
      <c r="E170" s="15" t="s">
        <v>112</v>
      </c>
      <c r="F170" s="15" t="s">
        <v>620</v>
      </c>
      <c r="G170" s="15" t="s">
        <v>113</v>
      </c>
      <c r="H170" s="15" t="s">
        <v>1045</v>
      </c>
      <c r="J170" s="16" t="s">
        <v>114</v>
      </c>
      <c r="U170" s="15" t="s">
        <v>17977</v>
      </c>
      <c r="W170" s="15">
        <v>1666</v>
      </c>
      <c r="X170" s="15">
        <v>180</v>
      </c>
      <c r="Y170" s="15" t="s">
        <v>160</v>
      </c>
      <c r="Z170" s="15" t="s">
        <v>161</v>
      </c>
      <c r="AA170" s="15" t="s">
        <v>162</v>
      </c>
      <c r="AB170" s="15" t="s">
        <v>8587</v>
      </c>
      <c r="AC170" s="15" t="s">
        <v>8587</v>
      </c>
      <c r="AD170" s="15" t="s">
        <v>8587</v>
      </c>
      <c r="AE170" s="15" t="s">
        <v>164</v>
      </c>
      <c r="AF170" s="15" t="s">
        <v>8587</v>
      </c>
      <c r="AG170" s="15" t="s">
        <v>8587</v>
      </c>
      <c r="AH170" s="47" t="s">
        <v>8588</v>
      </c>
      <c r="AL170" s="15" t="s">
        <v>8589</v>
      </c>
      <c r="AN170" s="15">
        <v>743</v>
      </c>
      <c r="AO170" s="15" t="s">
        <v>8590</v>
      </c>
      <c r="AQ170" s="15" t="s">
        <v>857</v>
      </c>
      <c r="AT170" s="15" t="s">
        <v>8591</v>
      </c>
      <c r="AU170" s="15" t="s">
        <v>8592</v>
      </c>
      <c r="AV170" s="15" t="s">
        <v>8592</v>
      </c>
      <c r="AW170" s="15" t="s">
        <v>8593</v>
      </c>
      <c r="AX170" s="15" t="s">
        <v>8594</v>
      </c>
      <c r="AY170" s="15">
        <f t="shared" si="2"/>
        <v>56</v>
      </c>
      <c r="AZ170" s="15" t="s">
        <v>862</v>
      </c>
      <c r="BA170" s="15" t="s">
        <v>174</v>
      </c>
      <c r="BB170" s="15" t="s">
        <v>8531</v>
      </c>
      <c r="BE170" s="15" t="s">
        <v>606</v>
      </c>
      <c r="BF170" s="15" t="s">
        <v>8575</v>
      </c>
      <c r="BJ170" s="15" t="s">
        <v>8585</v>
      </c>
      <c r="BN170" s="15" t="s">
        <v>179</v>
      </c>
      <c r="BP170" s="15" t="s">
        <v>138</v>
      </c>
      <c r="BS170" s="15" t="s">
        <v>8595</v>
      </c>
      <c r="DH170" s="15" t="s">
        <v>17982</v>
      </c>
      <c r="DI170" s="15" t="s">
        <v>17982</v>
      </c>
    </row>
    <row r="171" spans="1:113" s="15" customFormat="1" ht="12.75" x14ac:dyDescent="0.2">
      <c r="A171" s="15" t="s">
        <v>109</v>
      </c>
      <c r="B171" s="15" t="s">
        <v>110</v>
      </c>
      <c r="D171" s="15" t="s">
        <v>620</v>
      </c>
      <c r="E171" s="15" t="s">
        <v>112</v>
      </c>
      <c r="F171" s="15" t="s">
        <v>620</v>
      </c>
      <c r="G171" s="15" t="s">
        <v>113</v>
      </c>
      <c r="H171" s="15" t="s">
        <v>1045</v>
      </c>
      <c r="J171" s="16" t="s">
        <v>114</v>
      </c>
      <c r="U171" s="15" t="s">
        <v>17977</v>
      </c>
      <c r="W171" s="15">
        <v>1663</v>
      </c>
      <c r="X171" s="15">
        <v>181</v>
      </c>
      <c r="Y171" s="15" t="s">
        <v>160</v>
      </c>
      <c r="Z171" s="15" t="s">
        <v>161</v>
      </c>
      <c r="AA171" s="15" t="s">
        <v>162</v>
      </c>
      <c r="AB171" s="15" t="s">
        <v>8556</v>
      </c>
      <c r="AC171" s="15" t="s">
        <v>8556</v>
      </c>
      <c r="AD171" s="15" t="s">
        <v>8556</v>
      </c>
      <c r="AE171" s="15" t="s">
        <v>164</v>
      </c>
      <c r="AF171" s="15" t="s">
        <v>8556</v>
      </c>
      <c r="AG171" s="15" t="s">
        <v>8556</v>
      </c>
      <c r="AH171" s="47" t="s">
        <v>8557</v>
      </c>
      <c r="AL171" s="15" t="s">
        <v>8558</v>
      </c>
      <c r="AN171" s="15">
        <v>743</v>
      </c>
      <c r="AO171" s="15" t="s">
        <v>8559</v>
      </c>
      <c r="AQ171" s="15" t="s">
        <v>857</v>
      </c>
      <c r="AT171" s="15" t="s">
        <v>8560</v>
      </c>
      <c r="AU171" s="15" t="s">
        <v>8561</v>
      </c>
      <c r="AV171" s="15" t="s">
        <v>8561</v>
      </c>
      <c r="AW171" s="15" t="s">
        <v>8562</v>
      </c>
      <c r="AX171" s="15" t="s">
        <v>8563</v>
      </c>
      <c r="AY171" s="15">
        <f t="shared" si="2"/>
        <v>58</v>
      </c>
      <c r="AZ171" s="15" t="s">
        <v>862</v>
      </c>
      <c r="BA171" s="15" t="s">
        <v>174</v>
      </c>
      <c r="BB171" s="15" t="s">
        <v>8531</v>
      </c>
      <c r="BE171" s="15" t="s">
        <v>606</v>
      </c>
      <c r="BF171" s="15" t="s">
        <v>8564</v>
      </c>
      <c r="BJ171" s="15" t="s">
        <v>8565</v>
      </c>
      <c r="BN171" s="15" t="s">
        <v>179</v>
      </c>
      <c r="BP171" s="15" t="s">
        <v>138</v>
      </c>
      <c r="BS171" s="15" t="s">
        <v>8566</v>
      </c>
      <c r="DH171" s="15" t="s">
        <v>17982</v>
      </c>
      <c r="DI171" s="15" t="s">
        <v>17982</v>
      </c>
    </row>
    <row r="172" spans="1:113" s="15" customFormat="1" ht="12.75" x14ac:dyDescent="0.2">
      <c r="A172" s="15" t="s">
        <v>109</v>
      </c>
      <c r="B172" s="15" t="s">
        <v>110</v>
      </c>
      <c r="D172" s="15" t="s">
        <v>620</v>
      </c>
      <c r="E172" s="15" t="s">
        <v>112</v>
      </c>
      <c r="F172" s="15" t="s">
        <v>620</v>
      </c>
      <c r="G172" s="15" t="s">
        <v>113</v>
      </c>
      <c r="H172" s="15" t="s">
        <v>1045</v>
      </c>
      <c r="J172" s="16" t="s">
        <v>114</v>
      </c>
      <c r="U172" s="15" t="s">
        <v>17977</v>
      </c>
      <c r="W172" s="15">
        <v>1665</v>
      </c>
      <c r="X172" s="15">
        <v>182</v>
      </c>
      <c r="Y172" s="15" t="s">
        <v>160</v>
      </c>
      <c r="Z172" s="15" t="s">
        <v>161</v>
      </c>
      <c r="AA172" s="15" t="s">
        <v>162</v>
      </c>
      <c r="AB172" s="15" t="s">
        <v>8577</v>
      </c>
      <c r="AC172" s="15" t="s">
        <v>8577</v>
      </c>
      <c r="AD172" s="15" t="s">
        <v>8577</v>
      </c>
      <c r="AE172" s="15" t="s">
        <v>164</v>
      </c>
      <c r="AF172" s="15" t="s">
        <v>8577</v>
      </c>
      <c r="AG172" s="15" t="s">
        <v>8577</v>
      </c>
      <c r="AH172" s="47" t="s">
        <v>8578</v>
      </c>
      <c r="AL172" s="15" t="s">
        <v>8579</v>
      </c>
      <c r="AN172" s="15">
        <v>743</v>
      </c>
      <c r="AO172" s="15" t="s">
        <v>8580</v>
      </c>
      <c r="AQ172" s="15" t="s">
        <v>857</v>
      </c>
      <c r="AT172" s="15" t="s">
        <v>8581</v>
      </c>
      <c r="AU172" s="15" t="s">
        <v>8582</v>
      </c>
      <c r="AV172" s="15" t="s">
        <v>8582</v>
      </c>
      <c r="AW172" s="15" t="s">
        <v>8583</v>
      </c>
      <c r="AX172" s="15" t="s">
        <v>8584</v>
      </c>
      <c r="AY172" s="15">
        <f t="shared" si="2"/>
        <v>58</v>
      </c>
      <c r="AZ172" s="15" t="s">
        <v>862</v>
      </c>
      <c r="BA172" s="15" t="s">
        <v>174</v>
      </c>
      <c r="BB172" s="15" t="s">
        <v>8531</v>
      </c>
      <c r="BE172" s="15" t="s">
        <v>606</v>
      </c>
      <c r="BF172" s="15" t="s">
        <v>8564</v>
      </c>
      <c r="BJ172" s="15" t="s">
        <v>8585</v>
      </c>
      <c r="BN172" s="15" t="s">
        <v>179</v>
      </c>
      <c r="BP172" s="15" t="s">
        <v>138</v>
      </c>
      <c r="BS172" s="15" t="s">
        <v>8586</v>
      </c>
      <c r="DH172" s="15" t="s">
        <v>17982</v>
      </c>
      <c r="DI172" s="15" t="s">
        <v>17982</v>
      </c>
    </row>
    <row r="173" spans="1:113" s="15" customFormat="1" ht="12.75" x14ac:dyDescent="0.2">
      <c r="A173" s="15" t="s">
        <v>109</v>
      </c>
      <c r="B173" s="15" t="s">
        <v>110</v>
      </c>
      <c r="D173" s="15" t="s">
        <v>620</v>
      </c>
      <c r="E173" s="15" t="s">
        <v>112</v>
      </c>
      <c r="F173" s="15" t="s">
        <v>620</v>
      </c>
      <c r="G173" s="15" t="s">
        <v>113</v>
      </c>
      <c r="H173" s="15" t="s">
        <v>1045</v>
      </c>
      <c r="J173" s="16" t="s">
        <v>114</v>
      </c>
      <c r="U173" s="15" t="s">
        <v>17977</v>
      </c>
      <c r="W173" s="15">
        <v>1671</v>
      </c>
      <c r="X173" s="15">
        <v>183</v>
      </c>
      <c r="Y173" s="15" t="s">
        <v>160</v>
      </c>
      <c r="Z173" s="15" t="s">
        <v>161</v>
      </c>
      <c r="AA173" s="15" t="s">
        <v>162</v>
      </c>
      <c r="AB173" s="15" t="s">
        <v>8638</v>
      </c>
      <c r="AC173" s="15" t="s">
        <v>8638</v>
      </c>
      <c r="AD173" s="15" t="s">
        <v>8638</v>
      </c>
      <c r="AE173" s="15" t="s">
        <v>164</v>
      </c>
      <c r="AF173" s="15" t="s">
        <v>8638</v>
      </c>
      <c r="AG173" s="15" t="s">
        <v>8638</v>
      </c>
      <c r="AH173" s="47" t="s">
        <v>8639</v>
      </c>
      <c r="AL173" s="15" t="s">
        <v>8640</v>
      </c>
      <c r="AN173" s="15">
        <v>743</v>
      </c>
      <c r="AO173" s="15" t="s">
        <v>8641</v>
      </c>
      <c r="AQ173" s="15" t="s">
        <v>7524</v>
      </c>
      <c r="AT173" s="15" t="s">
        <v>8642</v>
      </c>
      <c r="AU173" s="15" t="s">
        <v>8643</v>
      </c>
      <c r="AV173" s="15" t="s">
        <v>8643</v>
      </c>
      <c r="AW173" s="15" t="s">
        <v>8644</v>
      </c>
      <c r="AX173" s="15" t="s">
        <v>8645</v>
      </c>
      <c r="AY173" s="15">
        <f t="shared" si="2"/>
        <v>59</v>
      </c>
      <c r="AZ173" s="15" t="s">
        <v>7529</v>
      </c>
      <c r="BA173" s="15" t="s">
        <v>174</v>
      </c>
      <c r="BB173" s="15" t="s">
        <v>8531</v>
      </c>
      <c r="BC173" s="15" t="s">
        <v>8646</v>
      </c>
      <c r="BE173" s="15" t="s">
        <v>395</v>
      </c>
      <c r="BJ173" s="15" t="s">
        <v>8647</v>
      </c>
      <c r="BN173" s="15" t="s">
        <v>179</v>
      </c>
      <c r="BP173" s="15" t="s">
        <v>138</v>
      </c>
      <c r="BS173" s="15" t="s">
        <v>8648</v>
      </c>
      <c r="DH173" s="15" t="s">
        <v>17982</v>
      </c>
      <c r="DI173" s="15" t="s">
        <v>17982</v>
      </c>
    </row>
    <row r="174" spans="1:113" s="15" customFormat="1" ht="12.75" x14ac:dyDescent="0.2">
      <c r="A174" s="15" t="s">
        <v>109</v>
      </c>
      <c r="B174" s="15" t="s">
        <v>110</v>
      </c>
      <c r="D174" s="15" t="s">
        <v>620</v>
      </c>
      <c r="E174" s="15" t="s">
        <v>112</v>
      </c>
      <c r="F174" s="15" t="s">
        <v>620</v>
      </c>
      <c r="G174" s="15" t="s">
        <v>113</v>
      </c>
      <c r="H174" s="15" t="s">
        <v>1045</v>
      </c>
      <c r="J174" s="16" t="s">
        <v>114</v>
      </c>
      <c r="U174" s="15" t="s">
        <v>17977</v>
      </c>
      <c r="W174" s="15">
        <v>1672</v>
      </c>
      <c r="X174" s="15">
        <v>184</v>
      </c>
      <c r="Y174" s="15" t="s">
        <v>160</v>
      </c>
      <c r="Z174" s="15" t="s">
        <v>161</v>
      </c>
      <c r="AA174" s="15" t="s">
        <v>162</v>
      </c>
      <c r="AB174" s="15" t="s">
        <v>8649</v>
      </c>
      <c r="AC174" s="15" t="s">
        <v>8649</v>
      </c>
      <c r="AD174" s="15" t="s">
        <v>8649</v>
      </c>
      <c r="AE174" s="15" t="s">
        <v>164</v>
      </c>
      <c r="AF174" s="15" t="s">
        <v>8649</v>
      </c>
      <c r="AG174" s="15" t="s">
        <v>8649</v>
      </c>
      <c r="AH174" s="47" t="s">
        <v>8650</v>
      </c>
      <c r="AL174" s="15" t="s">
        <v>8651</v>
      </c>
      <c r="AN174" s="15">
        <v>743</v>
      </c>
      <c r="AO174" s="15" t="s">
        <v>8652</v>
      </c>
      <c r="AQ174" s="15" t="s">
        <v>7524</v>
      </c>
      <c r="AT174" s="15" t="s">
        <v>8653</v>
      </c>
      <c r="AU174" s="15" t="s">
        <v>8654</v>
      </c>
      <c r="AV174" s="15" t="s">
        <v>8654</v>
      </c>
      <c r="AW174" s="15" t="s">
        <v>8655</v>
      </c>
      <c r="AX174" s="15" t="s">
        <v>8656</v>
      </c>
      <c r="AY174" s="15">
        <f t="shared" si="2"/>
        <v>59</v>
      </c>
      <c r="AZ174" s="15" t="s">
        <v>7529</v>
      </c>
      <c r="BA174" s="15" t="s">
        <v>174</v>
      </c>
      <c r="BB174" s="15" t="s">
        <v>8531</v>
      </c>
      <c r="BC174" s="15" t="s">
        <v>8657</v>
      </c>
      <c r="BE174" s="15" t="s">
        <v>395</v>
      </c>
      <c r="BJ174" s="15" t="s">
        <v>8647</v>
      </c>
      <c r="BN174" s="15" t="s">
        <v>179</v>
      </c>
      <c r="BP174" s="15" t="s">
        <v>138</v>
      </c>
      <c r="BS174" s="15" t="s">
        <v>8658</v>
      </c>
      <c r="DH174" s="15" t="s">
        <v>17982</v>
      </c>
      <c r="DI174" s="15" t="s">
        <v>17982</v>
      </c>
    </row>
    <row r="175" spans="1:113" s="15" customFormat="1" ht="12.75" x14ac:dyDescent="0.2">
      <c r="A175" s="15" t="s">
        <v>109</v>
      </c>
      <c r="B175" s="15" t="s">
        <v>110</v>
      </c>
      <c r="D175" s="15" t="s">
        <v>620</v>
      </c>
      <c r="E175" s="15" t="s">
        <v>112</v>
      </c>
      <c r="F175" s="15" t="s">
        <v>620</v>
      </c>
      <c r="G175" s="15" t="s">
        <v>113</v>
      </c>
      <c r="H175" s="15" t="s">
        <v>1045</v>
      </c>
      <c r="J175" s="16" t="s">
        <v>114</v>
      </c>
      <c r="U175" s="15" t="s">
        <v>17977</v>
      </c>
      <c r="W175" s="15">
        <v>1673</v>
      </c>
      <c r="X175" s="15">
        <v>185</v>
      </c>
      <c r="Y175" s="15" t="s">
        <v>160</v>
      </c>
      <c r="Z175" s="15" t="s">
        <v>161</v>
      </c>
      <c r="AA175" s="15" t="s">
        <v>162</v>
      </c>
      <c r="AB175" s="15" t="s">
        <v>8659</v>
      </c>
      <c r="AC175" s="15" t="s">
        <v>8659</v>
      </c>
      <c r="AD175" s="15" t="s">
        <v>8659</v>
      </c>
      <c r="AE175" s="15" t="s">
        <v>164</v>
      </c>
      <c r="AF175" s="15" t="s">
        <v>8659</v>
      </c>
      <c r="AG175" s="15" t="s">
        <v>8659</v>
      </c>
      <c r="AH175" s="47" t="s">
        <v>8660</v>
      </c>
      <c r="AL175" s="15" t="s">
        <v>8661</v>
      </c>
      <c r="AN175" s="15">
        <v>743</v>
      </c>
      <c r="AO175" s="15" t="s">
        <v>8662</v>
      </c>
      <c r="AQ175" s="15" t="s">
        <v>7524</v>
      </c>
      <c r="AT175" s="15" t="s">
        <v>8663</v>
      </c>
      <c r="AU175" s="15" t="s">
        <v>8664</v>
      </c>
      <c r="AV175" s="15" t="s">
        <v>8664</v>
      </c>
      <c r="AW175" s="15" t="s">
        <v>8665</v>
      </c>
      <c r="AX175" s="15" t="s">
        <v>8666</v>
      </c>
      <c r="AY175" s="15">
        <f t="shared" si="2"/>
        <v>60</v>
      </c>
      <c r="AZ175" s="15" t="s">
        <v>7529</v>
      </c>
      <c r="BA175" s="15" t="s">
        <v>174</v>
      </c>
      <c r="BB175" s="15" t="s">
        <v>8531</v>
      </c>
      <c r="BC175" s="15" t="s">
        <v>8667</v>
      </c>
      <c r="BE175" s="15" t="s">
        <v>395</v>
      </c>
      <c r="BJ175" s="15" t="s">
        <v>8647</v>
      </c>
      <c r="BN175" s="15" t="s">
        <v>179</v>
      </c>
      <c r="BP175" s="15" t="s">
        <v>138</v>
      </c>
      <c r="BS175" s="15" t="s">
        <v>8668</v>
      </c>
      <c r="DH175" s="15" t="s">
        <v>17982</v>
      </c>
      <c r="DI175" s="15" t="s">
        <v>17982</v>
      </c>
    </row>
    <row r="176" spans="1:113" s="15" customFormat="1" ht="12.75" x14ac:dyDescent="0.2">
      <c r="A176" s="15" t="s">
        <v>109</v>
      </c>
      <c r="B176" s="15" t="s">
        <v>110</v>
      </c>
      <c r="D176" s="15" t="s">
        <v>620</v>
      </c>
      <c r="E176" s="15" t="s">
        <v>112</v>
      </c>
      <c r="F176" s="15" t="s">
        <v>620</v>
      </c>
      <c r="G176" s="15" t="s">
        <v>113</v>
      </c>
      <c r="H176" s="15" t="s">
        <v>1045</v>
      </c>
      <c r="J176" s="16" t="s">
        <v>114</v>
      </c>
      <c r="U176" s="15" t="s">
        <v>17977</v>
      </c>
      <c r="W176" s="15">
        <v>1670</v>
      </c>
      <c r="X176" s="15">
        <v>186</v>
      </c>
      <c r="Y176" s="15" t="s">
        <v>160</v>
      </c>
      <c r="Z176" s="15" t="s">
        <v>161</v>
      </c>
      <c r="AA176" s="15" t="s">
        <v>162</v>
      </c>
      <c r="AB176" s="15" t="s">
        <v>8627</v>
      </c>
      <c r="AC176" s="15" t="s">
        <v>8627</v>
      </c>
      <c r="AD176" s="15" t="s">
        <v>8627</v>
      </c>
      <c r="AE176" s="15" t="s">
        <v>164</v>
      </c>
      <c r="AF176" s="15" t="s">
        <v>8627</v>
      </c>
      <c r="AG176" s="15" t="s">
        <v>8627</v>
      </c>
      <c r="AH176" s="47" t="s">
        <v>8628</v>
      </c>
      <c r="AL176" s="15" t="s">
        <v>8629</v>
      </c>
      <c r="AN176" s="15">
        <v>743</v>
      </c>
      <c r="AO176" s="15" t="s">
        <v>8630</v>
      </c>
      <c r="AQ176" s="15" t="s">
        <v>7524</v>
      </c>
      <c r="AT176" s="15" t="s">
        <v>8631</v>
      </c>
      <c r="AU176" s="15" t="s">
        <v>8632</v>
      </c>
      <c r="AV176" s="15" t="s">
        <v>8632</v>
      </c>
      <c r="AW176" s="15" t="s">
        <v>8633</v>
      </c>
      <c r="AX176" s="15" t="s">
        <v>8634</v>
      </c>
      <c r="AY176" s="15">
        <f t="shared" si="2"/>
        <v>57</v>
      </c>
      <c r="AZ176" s="15" t="s">
        <v>7529</v>
      </c>
      <c r="BA176" s="15" t="s">
        <v>174</v>
      </c>
      <c r="BB176" s="15" t="s">
        <v>8531</v>
      </c>
      <c r="BC176" s="19" t="s">
        <v>8635</v>
      </c>
      <c r="BE176" s="15" t="s">
        <v>395</v>
      </c>
      <c r="BJ176" s="15" t="s">
        <v>8636</v>
      </c>
      <c r="BN176" s="15" t="s">
        <v>179</v>
      </c>
      <c r="BP176" s="15" t="s">
        <v>138</v>
      </c>
      <c r="BS176" s="15" t="s">
        <v>8637</v>
      </c>
      <c r="DH176" s="15" t="s">
        <v>17982</v>
      </c>
      <c r="DI176" s="15" t="s">
        <v>17982</v>
      </c>
    </row>
    <row r="177" spans="1:113" s="15" customFormat="1" ht="12.75" x14ac:dyDescent="0.2">
      <c r="A177" s="15" t="s">
        <v>109</v>
      </c>
      <c r="B177" s="15" t="s">
        <v>110</v>
      </c>
      <c r="D177" s="15" t="s">
        <v>620</v>
      </c>
      <c r="E177" s="15" t="s">
        <v>112</v>
      </c>
      <c r="F177" s="15" t="s">
        <v>620</v>
      </c>
      <c r="G177" s="15" t="s">
        <v>113</v>
      </c>
      <c r="H177" s="15" t="s">
        <v>1045</v>
      </c>
      <c r="J177" s="16" t="s">
        <v>114</v>
      </c>
      <c r="U177" s="15" t="s">
        <v>17977</v>
      </c>
      <c r="W177" s="15">
        <v>1667</v>
      </c>
      <c r="X177" s="15">
        <v>187</v>
      </c>
      <c r="Y177" s="15" t="s">
        <v>160</v>
      </c>
      <c r="Z177" s="15" t="s">
        <v>161</v>
      </c>
      <c r="AA177" s="15" t="s">
        <v>162</v>
      </c>
      <c r="AB177" s="15" t="s">
        <v>8596</v>
      </c>
      <c r="AC177" s="15" t="s">
        <v>8596</v>
      </c>
      <c r="AD177" s="15" t="s">
        <v>8596</v>
      </c>
      <c r="AE177" s="15" t="s">
        <v>164</v>
      </c>
      <c r="AF177" s="15" t="s">
        <v>8596</v>
      </c>
      <c r="AG177" s="15" t="s">
        <v>8596</v>
      </c>
      <c r="AH177" s="47" t="s">
        <v>8597</v>
      </c>
      <c r="AL177" s="15" t="s">
        <v>8598</v>
      </c>
      <c r="AN177" s="15">
        <v>743</v>
      </c>
      <c r="AO177" s="15" t="s">
        <v>8599</v>
      </c>
      <c r="AQ177" s="15" t="s">
        <v>857</v>
      </c>
      <c r="AT177" s="15" t="s">
        <v>8600</v>
      </c>
      <c r="AU177" s="15" t="s">
        <v>8601</v>
      </c>
      <c r="AV177" s="15" t="s">
        <v>8601</v>
      </c>
      <c r="AW177" s="15" t="s">
        <v>8602</v>
      </c>
      <c r="AX177" s="15" t="s">
        <v>8603</v>
      </c>
      <c r="AY177" s="15">
        <f t="shared" si="2"/>
        <v>57</v>
      </c>
      <c r="AZ177" s="15" t="s">
        <v>862</v>
      </c>
      <c r="BA177" s="15" t="s">
        <v>174</v>
      </c>
      <c r="BB177" s="15" t="s">
        <v>8531</v>
      </c>
      <c r="BC177" s="15" t="s">
        <v>801</v>
      </c>
      <c r="BE177" s="15" t="s">
        <v>395</v>
      </c>
      <c r="BF177" s="19" t="s">
        <v>8604</v>
      </c>
      <c r="BJ177" s="15" t="s">
        <v>8605</v>
      </c>
      <c r="BN177" s="15" t="s">
        <v>179</v>
      </c>
      <c r="BP177" s="15" t="s">
        <v>138</v>
      </c>
      <c r="BS177" s="15" t="s">
        <v>8606</v>
      </c>
      <c r="DH177" s="15" t="s">
        <v>17982</v>
      </c>
      <c r="DI177" s="15" t="s">
        <v>17982</v>
      </c>
    </row>
    <row r="178" spans="1:113" s="15" customFormat="1" ht="12.75" x14ac:dyDescent="0.2">
      <c r="A178" s="15" t="s">
        <v>109</v>
      </c>
      <c r="B178" s="15" t="s">
        <v>110</v>
      </c>
      <c r="D178" s="15" t="s">
        <v>620</v>
      </c>
      <c r="E178" s="15" t="s">
        <v>112</v>
      </c>
      <c r="F178" s="15" t="s">
        <v>620</v>
      </c>
      <c r="G178" s="15" t="s">
        <v>113</v>
      </c>
      <c r="H178" s="15" t="s">
        <v>1045</v>
      </c>
      <c r="J178" s="16" t="s">
        <v>114</v>
      </c>
      <c r="U178" s="15" t="s">
        <v>17977</v>
      </c>
      <c r="W178" s="15">
        <v>1668</v>
      </c>
      <c r="X178" s="15">
        <v>188</v>
      </c>
      <c r="Y178" s="15" t="s">
        <v>160</v>
      </c>
      <c r="Z178" s="15" t="s">
        <v>161</v>
      </c>
      <c r="AA178" s="15" t="s">
        <v>162</v>
      </c>
      <c r="AB178" s="15" t="s">
        <v>8607</v>
      </c>
      <c r="AC178" s="15" t="s">
        <v>8607</v>
      </c>
      <c r="AD178" s="15" t="s">
        <v>8607</v>
      </c>
      <c r="AE178" s="15" t="s">
        <v>164</v>
      </c>
      <c r="AF178" s="15" t="s">
        <v>8607</v>
      </c>
      <c r="AG178" s="15" t="s">
        <v>8607</v>
      </c>
      <c r="AH178" s="47" t="s">
        <v>8608</v>
      </c>
      <c r="AL178" s="15" t="s">
        <v>8609</v>
      </c>
      <c r="AN178" s="15">
        <v>743</v>
      </c>
      <c r="AO178" s="15" t="s">
        <v>8610</v>
      </c>
      <c r="AQ178" s="15" t="s">
        <v>857</v>
      </c>
      <c r="AT178" s="15" t="s">
        <v>8611</v>
      </c>
      <c r="AU178" s="15" t="s">
        <v>8612</v>
      </c>
      <c r="AV178" s="15" t="s">
        <v>8612</v>
      </c>
      <c r="AW178" s="15" t="s">
        <v>8613</v>
      </c>
      <c r="AX178" s="15" t="s">
        <v>8614</v>
      </c>
      <c r="AY178" s="15">
        <f t="shared" si="2"/>
        <v>58</v>
      </c>
      <c r="AZ178" s="15" t="s">
        <v>862</v>
      </c>
      <c r="BA178" s="15" t="s">
        <v>174</v>
      </c>
      <c r="BB178" s="15" t="s">
        <v>8531</v>
      </c>
      <c r="BC178" s="15" t="s">
        <v>884</v>
      </c>
      <c r="BE178" s="15" t="s">
        <v>395</v>
      </c>
      <c r="BF178" s="19" t="s">
        <v>8615</v>
      </c>
      <c r="BJ178" s="15" t="s">
        <v>8616</v>
      </c>
      <c r="BN178" s="15" t="s">
        <v>179</v>
      </c>
      <c r="BP178" s="15" t="s">
        <v>138</v>
      </c>
      <c r="BS178" s="15" t="s">
        <v>8617</v>
      </c>
      <c r="DH178" s="15" t="s">
        <v>17982</v>
      </c>
      <c r="DI178" s="15" t="s">
        <v>17982</v>
      </c>
    </row>
    <row r="179" spans="1:113" s="15" customFormat="1" ht="12.75" x14ac:dyDescent="0.2">
      <c r="A179" s="15" t="s">
        <v>109</v>
      </c>
      <c r="B179" s="15" t="s">
        <v>110</v>
      </c>
      <c r="D179" s="15" t="s">
        <v>620</v>
      </c>
      <c r="E179" s="15" t="s">
        <v>112</v>
      </c>
      <c r="F179" s="15" t="s">
        <v>620</v>
      </c>
      <c r="G179" s="15" t="s">
        <v>113</v>
      </c>
      <c r="H179" s="15" t="s">
        <v>1045</v>
      </c>
      <c r="J179" s="16" t="s">
        <v>114</v>
      </c>
      <c r="U179" s="15" t="s">
        <v>17977</v>
      </c>
      <c r="W179" s="15">
        <v>1669</v>
      </c>
      <c r="X179" s="15">
        <v>189</v>
      </c>
      <c r="Y179" s="15" t="s">
        <v>160</v>
      </c>
      <c r="Z179" s="15" t="s">
        <v>161</v>
      </c>
      <c r="AA179" s="15" t="s">
        <v>162</v>
      </c>
      <c r="AB179" s="15" t="s">
        <v>8618</v>
      </c>
      <c r="AC179" s="15" t="s">
        <v>8618</v>
      </c>
      <c r="AD179" s="15" t="s">
        <v>8618</v>
      </c>
      <c r="AE179" s="15" t="s">
        <v>164</v>
      </c>
      <c r="AF179" s="15" t="s">
        <v>8618</v>
      </c>
      <c r="AG179" s="15" t="s">
        <v>8618</v>
      </c>
      <c r="AH179" s="47" t="s">
        <v>8619</v>
      </c>
      <c r="AL179" s="15" t="s">
        <v>8620</v>
      </c>
      <c r="AN179" s="15">
        <v>743</v>
      </c>
      <c r="AO179" s="15" t="s">
        <v>8621</v>
      </c>
      <c r="AQ179" s="15" t="s">
        <v>857</v>
      </c>
      <c r="AT179" s="15" t="s">
        <v>8622</v>
      </c>
      <c r="AU179" s="15" t="s">
        <v>8623</v>
      </c>
      <c r="AV179" s="15" t="s">
        <v>8623</v>
      </c>
      <c r="AW179" s="15" t="s">
        <v>8624</v>
      </c>
      <c r="AX179" s="15" t="s">
        <v>8624</v>
      </c>
      <c r="AY179" s="15">
        <f t="shared" si="2"/>
        <v>60</v>
      </c>
      <c r="AZ179" s="15" t="s">
        <v>862</v>
      </c>
      <c r="BA179" s="15" t="s">
        <v>174</v>
      </c>
      <c r="BB179" s="15" t="s">
        <v>8531</v>
      </c>
      <c r="BE179" s="15" t="s">
        <v>251</v>
      </c>
      <c r="BJ179" s="15" t="s">
        <v>8625</v>
      </c>
      <c r="BN179" s="15" t="s">
        <v>179</v>
      </c>
      <c r="BP179" s="15" t="s">
        <v>138</v>
      </c>
      <c r="BS179" s="15" t="s">
        <v>8626</v>
      </c>
      <c r="DH179" s="15" t="s">
        <v>17982</v>
      </c>
      <c r="DI179" s="15" t="s">
        <v>17982</v>
      </c>
    </row>
    <row r="180" spans="1:113" s="15" customFormat="1" ht="12.75" x14ac:dyDescent="0.2">
      <c r="A180" s="15" t="s">
        <v>109</v>
      </c>
      <c r="B180" s="15" t="s">
        <v>110</v>
      </c>
      <c r="D180" s="15" t="s">
        <v>620</v>
      </c>
      <c r="E180" s="15" t="s">
        <v>112</v>
      </c>
      <c r="F180" s="15" t="s">
        <v>620</v>
      </c>
      <c r="G180" s="15" t="s">
        <v>113</v>
      </c>
      <c r="H180" s="15" t="s">
        <v>1045</v>
      </c>
      <c r="J180" s="16" t="s">
        <v>114</v>
      </c>
      <c r="U180" s="15" t="s">
        <v>17977</v>
      </c>
      <c r="W180" s="15">
        <v>1675</v>
      </c>
      <c r="X180" s="15">
        <v>190</v>
      </c>
      <c r="Y180" s="15" t="s">
        <v>160</v>
      </c>
      <c r="Z180" s="15" t="s">
        <v>161</v>
      </c>
      <c r="AA180" s="15" t="s">
        <v>162</v>
      </c>
      <c r="AB180" s="15" t="s">
        <v>8682</v>
      </c>
      <c r="AC180" s="15" t="s">
        <v>8682</v>
      </c>
      <c r="AD180" s="15" t="s">
        <v>8682</v>
      </c>
      <c r="AE180" s="15" t="s">
        <v>164</v>
      </c>
      <c r="AF180" s="15" t="s">
        <v>8682</v>
      </c>
      <c r="AG180" s="15" t="s">
        <v>8682</v>
      </c>
      <c r="AH180" s="47" t="s">
        <v>8683</v>
      </c>
      <c r="AL180" s="15" t="s">
        <v>8684</v>
      </c>
      <c r="AN180" s="15">
        <v>743</v>
      </c>
      <c r="AO180" s="15" t="s">
        <v>8685</v>
      </c>
      <c r="AQ180" s="15" t="s">
        <v>8673</v>
      </c>
      <c r="AT180" s="15" t="s">
        <v>8686</v>
      </c>
      <c r="AU180" s="15" t="s">
        <v>8687</v>
      </c>
      <c r="AV180" s="15" t="s">
        <v>8687</v>
      </c>
      <c r="AW180" s="15" t="s">
        <v>8688</v>
      </c>
      <c r="AX180" s="15" t="s">
        <v>8689</v>
      </c>
      <c r="AY180" s="15">
        <f t="shared" si="2"/>
        <v>60</v>
      </c>
      <c r="AZ180" s="15" t="s">
        <v>8678</v>
      </c>
      <c r="BA180" s="15" t="s">
        <v>8679</v>
      </c>
      <c r="BB180" s="15" t="s">
        <v>8531</v>
      </c>
      <c r="BE180" s="15" t="s">
        <v>1688</v>
      </c>
      <c r="BJ180" s="15" t="s">
        <v>8690</v>
      </c>
      <c r="BN180" s="15" t="s">
        <v>179</v>
      </c>
      <c r="BP180" s="15" t="s">
        <v>138</v>
      </c>
      <c r="BS180" s="15" t="s">
        <v>8691</v>
      </c>
      <c r="DH180" s="15" t="s">
        <v>17982</v>
      </c>
      <c r="DI180" s="15" t="s">
        <v>17982</v>
      </c>
    </row>
    <row r="181" spans="1:113" s="15" customFormat="1" ht="12.75" x14ac:dyDescent="0.2">
      <c r="A181" s="15" t="s">
        <v>109</v>
      </c>
      <c r="B181" s="15" t="s">
        <v>110</v>
      </c>
      <c r="D181" s="15" t="s">
        <v>620</v>
      </c>
      <c r="E181" s="15" t="s">
        <v>112</v>
      </c>
      <c r="F181" s="15" t="s">
        <v>620</v>
      </c>
      <c r="G181" s="15" t="s">
        <v>113</v>
      </c>
      <c r="H181" s="15" t="s">
        <v>1045</v>
      </c>
      <c r="J181" s="16" t="s">
        <v>114</v>
      </c>
      <c r="U181" s="15" t="s">
        <v>17977</v>
      </c>
      <c r="W181" s="15">
        <v>1674</v>
      </c>
      <c r="X181" s="15">
        <v>191</v>
      </c>
      <c r="Y181" s="15" t="s">
        <v>160</v>
      </c>
      <c r="Z181" s="15" t="s">
        <v>161</v>
      </c>
      <c r="AA181" s="15" t="s">
        <v>162</v>
      </c>
      <c r="AB181" s="15" t="s">
        <v>8669</v>
      </c>
      <c r="AC181" s="15" t="s">
        <v>8669</v>
      </c>
      <c r="AD181" s="15" t="s">
        <v>8669</v>
      </c>
      <c r="AE181" s="15" t="s">
        <v>164</v>
      </c>
      <c r="AF181" s="15" t="s">
        <v>8669</v>
      </c>
      <c r="AG181" s="15" t="s">
        <v>8669</v>
      </c>
      <c r="AH181" s="47" t="s">
        <v>8670</v>
      </c>
      <c r="AL181" s="15" t="s">
        <v>8671</v>
      </c>
      <c r="AN181" s="15">
        <v>743</v>
      </c>
      <c r="AO181" s="15" t="s">
        <v>8672</v>
      </c>
      <c r="AQ181" s="15" t="s">
        <v>8673</v>
      </c>
      <c r="AT181" s="15" t="s">
        <v>8674</v>
      </c>
      <c r="AU181" s="15" t="s">
        <v>8675</v>
      </c>
      <c r="AV181" s="15" t="s">
        <v>8675</v>
      </c>
      <c r="AW181" s="15" t="s">
        <v>8676</v>
      </c>
      <c r="AX181" s="15" t="s">
        <v>8677</v>
      </c>
      <c r="AY181" s="15">
        <f t="shared" si="2"/>
        <v>60</v>
      </c>
      <c r="AZ181" s="15" t="s">
        <v>8678</v>
      </c>
      <c r="BA181" s="15" t="s">
        <v>8679</v>
      </c>
      <c r="BB181" s="15" t="s">
        <v>8531</v>
      </c>
      <c r="BE181" s="15" t="s">
        <v>1688</v>
      </c>
      <c r="BJ181" s="15" t="s">
        <v>8680</v>
      </c>
      <c r="BN181" s="15" t="s">
        <v>179</v>
      </c>
      <c r="BP181" s="15" t="s">
        <v>138</v>
      </c>
      <c r="BS181" s="15" t="s">
        <v>8681</v>
      </c>
      <c r="DH181" s="15" t="s">
        <v>17982</v>
      </c>
      <c r="DI181" s="15" t="s">
        <v>17982</v>
      </c>
    </row>
    <row r="182" spans="1:113" s="15" customFormat="1" ht="12.75" x14ac:dyDescent="0.2">
      <c r="A182" s="15" t="s">
        <v>109</v>
      </c>
      <c r="B182" s="15" t="s">
        <v>110</v>
      </c>
      <c r="D182" s="15" t="s">
        <v>620</v>
      </c>
      <c r="E182" s="15" t="s">
        <v>112</v>
      </c>
      <c r="F182" s="15" t="s">
        <v>620</v>
      </c>
      <c r="G182" s="15" t="s">
        <v>113</v>
      </c>
      <c r="H182" s="15" t="s">
        <v>1045</v>
      </c>
      <c r="J182" s="16" t="s">
        <v>114</v>
      </c>
      <c r="U182" s="15" t="s">
        <v>17977</v>
      </c>
      <c r="W182" s="15">
        <v>1660</v>
      </c>
      <c r="X182" s="15">
        <v>192</v>
      </c>
      <c r="Y182" s="15" t="s">
        <v>160</v>
      </c>
      <c r="Z182" s="15" t="s">
        <v>161</v>
      </c>
      <c r="AA182" s="15" t="s">
        <v>162</v>
      </c>
      <c r="AB182" s="15" t="s">
        <v>8523</v>
      </c>
      <c r="AC182" s="15" t="s">
        <v>8523</v>
      </c>
      <c r="AD182" s="15" t="s">
        <v>8523</v>
      </c>
      <c r="AE182" s="15" t="s">
        <v>164</v>
      </c>
      <c r="AF182" s="15" t="s">
        <v>8523</v>
      </c>
      <c r="AG182" s="15" t="s">
        <v>8523</v>
      </c>
      <c r="AH182" s="47" t="s">
        <v>8524</v>
      </c>
      <c r="AL182" s="15" t="s">
        <v>8525</v>
      </c>
      <c r="AN182" s="15">
        <v>743</v>
      </c>
      <c r="AO182" s="15" t="s">
        <v>8526</v>
      </c>
      <c r="AQ182" s="15" t="s">
        <v>168</v>
      </c>
      <c r="AT182" s="15" t="s">
        <v>8527</v>
      </c>
      <c r="AU182" s="15" t="s">
        <v>8528</v>
      </c>
      <c r="AV182" s="15" t="s">
        <v>8528</v>
      </c>
      <c r="AW182" s="15" t="s">
        <v>8529</v>
      </c>
      <c r="AX182" s="15" t="s">
        <v>8530</v>
      </c>
      <c r="AY182" s="15">
        <f t="shared" si="2"/>
        <v>59</v>
      </c>
      <c r="AZ182" s="15" t="s">
        <v>173</v>
      </c>
      <c r="BA182" s="15" t="s">
        <v>174</v>
      </c>
      <c r="BB182" s="15" t="s">
        <v>8531</v>
      </c>
      <c r="BE182" s="15" t="s">
        <v>1894</v>
      </c>
      <c r="BJ182" s="15" t="s">
        <v>8532</v>
      </c>
      <c r="BN182" s="15" t="s">
        <v>179</v>
      </c>
      <c r="BP182" s="15" t="s">
        <v>138</v>
      </c>
      <c r="BS182" s="15" t="s">
        <v>8533</v>
      </c>
      <c r="DH182" s="15" t="s">
        <v>17982</v>
      </c>
      <c r="DI182" s="15" t="s">
        <v>17982</v>
      </c>
    </row>
    <row r="183" spans="1:113" s="15" customFormat="1" ht="12.75" x14ac:dyDescent="0.2">
      <c r="A183" s="15" t="s">
        <v>109</v>
      </c>
      <c r="B183" s="15" t="s">
        <v>110</v>
      </c>
      <c r="D183" s="15" t="s">
        <v>620</v>
      </c>
      <c r="E183" s="15" t="s">
        <v>112</v>
      </c>
      <c r="F183" s="15" t="s">
        <v>620</v>
      </c>
      <c r="G183" s="15" t="s">
        <v>113</v>
      </c>
      <c r="H183" s="15" t="s">
        <v>1045</v>
      </c>
      <c r="J183" s="16" t="s">
        <v>114</v>
      </c>
      <c r="U183" s="15" t="s">
        <v>17977</v>
      </c>
      <c r="W183" s="15">
        <v>1661</v>
      </c>
      <c r="X183" s="15">
        <v>193</v>
      </c>
      <c r="Y183" s="15" t="s">
        <v>160</v>
      </c>
      <c r="Z183" s="15" t="s">
        <v>161</v>
      </c>
      <c r="AA183" s="15" t="s">
        <v>162</v>
      </c>
      <c r="AB183" s="15" t="s">
        <v>8534</v>
      </c>
      <c r="AC183" s="15" t="s">
        <v>8534</v>
      </c>
      <c r="AD183" s="15" t="s">
        <v>8534</v>
      </c>
      <c r="AE183" s="15" t="s">
        <v>164</v>
      </c>
      <c r="AF183" s="15" t="s">
        <v>8534</v>
      </c>
      <c r="AG183" s="15" t="s">
        <v>8534</v>
      </c>
      <c r="AH183" s="47" t="s">
        <v>8535</v>
      </c>
      <c r="AL183" s="15" t="s">
        <v>8525</v>
      </c>
      <c r="AN183" s="15">
        <v>743</v>
      </c>
      <c r="AO183" s="15" t="s">
        <v>8536</v>
      </c>
      <c r="AQ183" s="15" t="s">
        <v>168</v>
      </c>
      <c r="AT183" s="15" t="s">
        <v>8537</v>
      </c>
      <c r="AU183" s="15" t="s">
        <v>8538</v>
      </c>
      <c r="AV183" s="15" t="s">
        <v>8538</v>
      </c>
      <c r="AW183" s="15" t="s">
        <v>8539</v>
      </c>
      <c r="AX183" s="15" t="s">
        <v>8540</v>
      </c>
      <c r="AY183" s="15">
        <f t="shared" si="2"/>
        <v>59</v>
      </c>
      <c r="AZ183" s="15" t="s">
        <v>173</v>
      </c>
      <c r="BA183" s="15" t="s">
        <v>174</v>
      </c>
      <c r="BB183" s="15" t="s">
        <v>8531</v>
      </c>
      <c r="BE183" s="15" t="s">
        <v>1894</v>
      </c>
      <c r="BJ183" s="15" t="s">
        <v>8541</v>
      </c>
      <c r="BN183" s="15" t="s">
        <v>179</v>
      </c>
      <c r="BP183" s="15" t="s">
        <v>138</v>
      </c>
      <c r="BS183" s="15" t="s">
        <v>8542</v>
      </c>
      <c r="DH183" s="15" t="s">
        <v>17982</v>
      </c>
      <c r="DI183" s="15" t="s">
        <v>17982</v>
      </c>
    </row>
    <row r="184" spans="1:113" s="15" customFormat="1" ht="12.75" x14ac:dyDescent="0.2">
      <c r="A184" s="15" t="s">
        <v>109</v>
      </c>
      <c r="B184" s="15" t="s">
        <v>110</v>
      </c>
      <c r="D184" s="15" t="s">
        <v>620</v>
      </c>
      <c r="E184" s="15" t="s">
        <v>112</v>
      </c>
      <c r="F184" s="15" t="s">
        <v>620</v>
      </c>
      <c r="G184" s="15" t="s">
        <v>113</v>
      </c>
      <c r="H184" s="15" t="s">
        <v>1045</v>
      </c>
      <c r="J184" s="16" t="s">
        <v>114</v>
      </c>
      <c r="U184" s="15" t="s">
        <v>17977</v>
      </c>
      <c r="W184" s="15">
        <v>1662</v>
      </c>
      <c r="X184" s="15">
        <v>194</v>
      </c>
      <c r="Y184" s="15" t="s">
        <v>160</v>
      </c>
      <c r="Z184" s="15" t="s">
        <v>161</v>
      </c>
      <c r="AA184" s="15" t="s">
        <v>162</v>
      </c>
      <c r="AB184" s="15" t="s">
        <v>8543</v>
      </c>
      <c r="AC184" s="15" t="s">
        <v>8543</v>
      </c>
      <c r="AD184" s="15" t="s">
        <v>8543</v>
      </c>
      <c r="AE184" s="15" t="s">
        <v>164</v>
      </c>
      <c r="AF184" s="15" t="s">
        <v>8543</v>
      </c>
      <c r="AG184" s="15" t="s">
        <v>8543</v>
      </c>
      <c r="AH184" s="47" t="s">
        <v>8544</v>
      </c>
      <c r="AL184" s="15" t="s">
        <v>8545</v>
      </c>
      <c r="AN184" s="15">
        <v>743</v>
      </c>
      <c r="AO184" s="15" t="s">
        <v>8546</v>
      </c>
      <c r="AQ184" s="15" t="s">
        <v>8547</v>
      </c>
      <c r="AT184" s="15" t="s">
        <v>8548</v>
      </c>
      <c r="AU184" s="15" t="s">
        <v>8549</v>
      </c>
      <c r="AV184" s="15" t="s">
        <v>8549</v>
      </c>
      <c r="AW184" s="15" t="s">
        <v>8550</v>
      </c>
      <c r="AX184" s="15" t="s">
        <v>8551</v>
      </c>
      <c r="AY184" s="15">
        <f t="shared" si="2"/>
        <v>59</v>
      </c>
      <c r="AZ184" s="15" t="s">
        <v>8552</v>
      </c>
      <c r="BA184" s="15" t="s">
        <v>174</v>
      </c>
      <c r="BB184" s="15" t="s">
        <v>8531</v>
      </c>
      <c r="BE184" s="15" t="s">
        <v>7474</v>
      </c>
      <c r="BF184" s="15" t="s">
        <v>3591</v>
      </c>
      <c r="BI184" s="15" t="s">
        <v>8553</v>
      </c>
      <c r="BJ184" s="15" t="s">
        <v>8554</v>
      </c>
      <c r="BN184" s="15" t="s">
        <v>179</v>
      </c>
      <c r="BP184" s="15" t="s">
        <v>138</v>
      </c>
      <c r="BS184" s="15" t="s">
        <v>8555</v>
      </c>
      <c r="DH184" s="15" t="s">
        <v>17982</v>
      </c>
      <c r="DI184" s="15" t="s">
        <v>17982</v>
      </c>
    </row>
    <row r="185" spans="1:113" s="15" customFormat="1" ht="12.75" x14ac:dyDescent="0.2">
      <c r="A185" s="15" t="s">
        <v>109</v>
      </c>
      <c r="B185" s="15" t="s">
        <v>110</v>
      </c>
      <c r="D185" s="15" t="s">
        <v>620</v>
      </c>
      <c r="E185" s="15" t="s">
        <v>112</v>
      </c>
      <c r="F185" s="15" t="s">
        <v>620</v>
      </c>
      <c r="G185" s="15" t="s">
        <v>113</v>
      </c>
      <c r="H185" s="15" t="s">
        <v>1045</v>
      </c>
      <c r="J185" s="16" t="s">
        <v>114</v>
      </c>
      <c r="U185" s="15" t="s">
        <v>17977</v>
      </c>
      <c r="W185" s="15">
        <v>117</v>
      </c>
      <c r="X185" s="15">
        <v>195</v>
      </c>
      <c r="Y185" s="15" t="s">
        <v>160</v>
      </c>
      <c r="Z185" s="15" t="s">
        <v>161</v>
      </c>
      <c r="AA185" s="15" t="s">
        <v>162</v>
      </c>
      <c r="AB185" s="15" t="s">
        <v>839</v>
      </c>
      <c r="AC185" s="15" t="s">
        <v>839</v>
      </c>
      <c r="AD185" s="15" t="s">
        <v>839</v>
      </c>
      <c r="AE185" s="15" t="s">
        <v>164</v>
      </c>
      <c r="AF185" s="15" t="s">
        <v>839</v>
      </c>
      <c r="AG185" s="15" t="s">
        <v>839</v>
      </c>
      <c r="AH185" s="15" t="s">
        <v>840</v>
      </c>
      <c r="AL185" s="15" t="s">
        <v>841</v>
      </c>
      <c r="AN185" s="15">
        <v>743</v>
      </c>
      <c r="AO185" s="15" t="s">
        <v>842</v>
      </c>
      <c r="AQ185" s="15" t="s">
        <v>843</v>
      </c>
      <c r="AT185" s="15" t="s">
        <v>844</v>
      </c>
      <c r="AU185" s="15" t="s">
        <v>845</v>
      </c>
      <c r="AV185" s="15" t="s">
        <v>845</v>
      </c>
      <c r="AW185" s="15" t="s">
        <v>846</v>
      </c>
      <c r="AX185" s="15" t="s">
        <v>847</v>
      </c>
      <c r="AY185" s="15">
        <f t="shared" si="2"/>
        <v>55</v>
      </c>
      <c r="AZ185" s="15" t="s">
        <v>848</v>
      </c>
      <c r="BA185" s="15" t="s">
        <v>174</v>
      </c>
      <c r="BB185" s="15" t="s">
        <v>849</v>
      </c>
      <c r="BE185" s="15" t="s">
        <v>251</v>
      </c>
      <c r="BF185" s="15" t="s">
        <v>850</v>
      </c>
      <c r="BJ185" s="15" t="s">
        <v>851</v>
      </c>
      <c r="BN185" s="15" t="s">
        <v>179</v>
      </c>
      <c r="BP185" s="15" t="s">
        <v>138</v>
      </c>
      <c r="BS185" s="15" t="s">
        <v>852</v>
      </c>
      <c r="DH185" s="15" t="s">
        <v>17982</v>
      </c>
      <c r="DI185" s="15" t="s">
        <v>17982</v>
      </c>
    </row>
    <row r="186" spans="1:113" s="15" customFormat="1" ht="12.75" x14ac:dyDescent="0.2">
      <c r="A186" s="15" t="s">
        <v>109</v>
      </c>
      <c r="B186" s="15" t="s">
        <v>110</v>
      </c>
      <c r="D186" s="15" t="s">
        <v>620</v>
      </c>
      <c r="E186" s="15" t="s">
        <v>112</v>
      </c>
      <c r="F186" s="15" t="s">
        <v>620</v>
      </c>
      <c r="G186" s="15" t="s">
        <v>113</v>
      </c>
      <c r="H186" s="15" t="s">
        <v>1045</v>
      </c>
      <c r="J186" s="16" t="s">
        <v>114</v>
      </c>
      <c r="U186" s="15" t="s">
        <v>17977</v>
      </c>
      <c r="W186" s="15">
        <v>121</v>
      </c>
      <c r="X186" s="15">
        <v>196</v>
      </c>
      <c r="Y186" s="15" t="s">
        <v>160</v>
      </c>
      <c r="Z186" s="15" t="s">
        <v>161</v>
      </c>
      <c r="AA186" s="15" t="s">
        <v>162</v>
      </c>
      <c r="AB186" s="15" t="s">
        <v>887</v>
      </c>
      <c r="AC186" s="15" t="s">
        <v>887</v>
      </c>
      <c r="AD186" s="15" t="s">
        <v>887</v>
      </c>
      <c r="AE186" s="15" t="s">
        <v>164</v>
      </c>
      <c r="AF186" s="15" t="s">
        <v>887</v>
      </c>
      <c r="AG186" s="15" t="s">
        <v>887</v>
      </c>
      <c r="AH186" s="15" t="s">
        <v>888</v>
      </c>
      <c r="AL186" s="15" t="s">
        <v>889</v>
      </c>
      <c r="AN186" s="15">
        <v>743</v>
      </c>
      <c r="AO186" s="15" t="s">
        <v>890</v>
      </c>
      <c r="AQ186" s="15" t="s">
        <v>843</v>
      </c>
      <c r="AT186" s="15" t="s">
        <v>891</v>
      </c>
      <c r="AU186" s="15" t="s">
        <v>892</v>
      </c>
      <c r="AV186" s="15" t="s">
        <v>892</v>
      </c>
      <c r="AW186" s="15" t="s">
        <v>893</v>
      </c>
      <c r="AX186" s="15" t="s">
        <v>894</v>
      </c>
      <c r="AY186" s="15">
        <f t="shared" si="2"/>
        <v>60</v>
      </c>
      <c r="AZ186" s="15" t="s">
        <v>848</v>
      </c>
      <c r="BA186" s="15" t="s">
        <v>174</v>
      </c>
      <c r="BB186" s="15" t="s">
        <v>835</v>
      </c>
      <c r="BC186" s="15" t="s">
        <v>884</v>
      </c>
      <c r="BE186" s="15" t="s">
        <v>251</v>
      </c>
      <c r="BF186" s="15" t="s">
        <v>217</v>
      </c>
      <c r="BJ186" s="15" t="s">
        <v>895</v>
      </c>
      <c r="BN186" s="15" t="s">
        <v>179</v>
      </c>
      <c r="BP186" s="15" t="s">
        <v>138</v>
      </c>
      <c r="BS186" s="15" t="s">
        <v>896</v>
      </c>
      <c r="DH186" s="15" t="s">
        <v>17982</v>
      </c>
      <c r="DI186" s="15" t="s">
        <v>17982</v>
      </c>
    </row>
    <row r="187" spans="1:113" s="15" customFormat="1" ht="12.75" x14ac:dyDescent="0.2">
      <c r="A187" s="15" t="s">
        <v>109</v>
      </c>
      <c r="B187" s="15" t="s">
        <v>110</v>
      </c>
      <c r="D187" s="15" t="s">
        <v>620</v>
      </c>
      <c r="E187" s="15" t="s">
        <v>112</v>
      </c>
      <c r="F187" s="15" t="s">
        <v>620</v>
      </c>
      <c r="G187" s="15" t="s">
        <v>113</v>
      </c>
      <c r="H187" s="15" t="s">
        <v>1045</v>
      </c>
      <c r="J187" s="16" t="s">
        <v>114</v>
      </c>
      <c r="U187" s="15" t="s">
        <v>17977</v>
      </c>
      <c r="W187" s="15">
        <v>116</v>
      </c>
      <c r="X187" s="15">
        <v>197</v>
      </c>
      <c r="Y187" s="15" t="s">
        <v>160</v>
      </c>
      <c r="Z187" s="15" t="s">
        <v>161</v>
      </c>
      <c r="AA187" s="15" t="s">
        <v>162</v>
      </c>
      <c r="AB187" s="15" t="s">
        <v>825</v>
      </c>
      <c r="AC187" s="15" t="s">
        <v>825</v>
      </c>
      <c r="AD187" s="15" t="s">
        <v>825</v>
      </c>
      <c r="AE187" s="15" t="s">
        <v>164</v>
      </c>
      <c r="AF187" s="15" t="s">
        <v>825</v>
      </c>
      <c r="AG187" s="15" t="s">
        <v>825</v>
      </c>
      <c r="AH187" s="15" t="s">
        <v>826</v>
      </c>
      <c r="AL187" s="15" t="s">
        <v>827</v>
      </c>
      <c r="AN187" s="15">
        <v>743</v>
      </c>
      <c r="AO187" s="15" t="s">
        <v>828</v>
      </c>
      <c r="AQ187" s="15" t="s">
        <v>829</v>
      </c>
      <c r="AT187" s="15" t="s">
        <v>830</v>
      </c>
      <c r="AU187" s="15" t="s">
        <v>831</v>
      </c>
      <c r="AV187" s="15" t="s">
        <v>831</v>
      </c>
      <c r="AW187" s="15" t="s">
        <v>832</v>
      </c>
      <c r="AX187" s="15" t="s">
        <v>833</v>
      </c>
      <c r="AY187" s="15">
        <f t="shared" si="2"/>
        <v>57</v>
      </c>
      <c r="AZ187" s="15" t="s">
        <v>834</v>
      </c>
      <c r="BA187" s="15" t="s">
        <v>174</v>
      </c>
      <c r="BB187" s="15" t="s">
        <v>835</v>
      </c>
      <c r="BC187" s="15" t="s">
        <v>801</v>
      </c>
      <c r="BE187" s="15" t="s">
        <v>251</v>
      </c>
      <c r="BF187" s="19" t="s">
        <v>836</v>
      </c>
      <c r="BJ187" s="15" t="s">
        <v>837</v>
      </c>
      <c r="BN187" s="15" t="s">
        <v>179</v>
      </c>
      <c r="BP187" s="15" t="s">
        <v>138</v>
      </c>
      <c r="BS187" s="15" t="s">
        <v>838</v>
      </c>
      <c r="DH187" s="15" t="s">
        <v>17982</v>
      </c>
      <c r="DI187" s="15" t="s">
        <v>17982</v>
      </c>
    </row>
    <row r="188" spans="1:113" s="15" customFormat="1" ht="12.75" x14ac:dyDescent="0.2">
      <c r="A188" s="15" t="s">
        <v>109</v>
      </c>
      <c r="B188" s="15" t="s">
        <v>110</v>
      </c>
      <c r="D188" s="15" t="s">
        <v>620</v>
      </c>
      <c r="E188" s="15" t="s">
        <v>112</v>
      </c>
      <c r="F188" s="15" t="s">
        <v>620</v>
      </c>
      <c r="G188" s="15" t="s">
        <v>113</v>
      </c>
      <c r="H188" s="15" t="s">
        <v>1045</v>
      </c>
      <c r="J188" s="16" t="s">
        <v>114</v>
      </c>
      <c r="U188" s="15" t="s">
        <v>17977</v>
      </c>
      <c r="W188" s="15">
        <v>118</v>
      </c>
      <c r="X188" s="15">
        <v>198</v>
      </c>
      <c r="Y188" s="15" t="s">
        <v>160</v>
      </c>
      <c r="Z188" s="15" t="s">
        <v>161</v>
      </c>
      <c r="AA188" s="15" t="s">
        <v>162</v>
      </c>
      <c r="AB188" s="15" t="s">
        <v>853</v>
      </c>
      <c r="AC188" s="15" t="s">
        <v>853</v>
      </c>
      <c r="AD188" s="15" t="s">
        <v>853</v>
      </c>
      <c r="AE188" s="15" t="s">
        <v>164</v>
      </c>
      <c r="AF188" s="15" t="s">
        <v>853</v>
      </c>
      <c r="AG188" s="15" t="s">
        <v>853</v>
      </c>
      <c r="AH188" s="15" t="s">
        <v>854</v>
      </c>
      <c r="AL188" s="15" t="s">
        <v>855</v>
      </c>
      <c r="AN188" s="15">
        <v>743</v>
      </c>
      <c r="AO188" s="15" t="s">
        <v>856</v>
      </c>
      <c r="AQ188" s="15" t="s">
        <v>857</v>
      </c>
      <c r="AT188" s="15" t="s">
        <v>858</v>
      </c>
      <c r="AU188" s="15" t="s">
        <v>859</v>
      </c>
      <c r="AV188" s="15" t="s">
        <v>859</v>
      </c>
      <c r="AW188" s="15" t="s">
        <v>860</v>
      </c>
      <c r="AX188" s="15" t="s">
        <v>861</v>
      </c>
      <c r="AY188" s="15">
        <f t="shared" si="2"/>
        <v>55</v>
      </c>
      <c r="AZ188" s="15" t="s">
        <v>862</v>
      </c>
      <c r="BA188" s="15" t="s">
        <v>174</v>
      </c>
      <c r="BB188" s="15" t="s">
        <v>835</v>
      </c>
      <c r="BE188" s="15" t="s">
        <v>251</v>
      </c>
      <c r="BF188" s="15" t="s">
        <v>863</v>
      </c>
      <c r="BJ188" s="15" t="s">
        <v>864</v>
      </c>
      <c r="BN188" s="15" t="s">
        <v>179</v>
      </c>
      <c r="BP188" s="15" t="s">
        <v>138</v>
      </c>
      <c r="BS188" s="15" t="s">
        <v>865</v>
      </c>
      <c r="DH188" s="15" t="s">
        <v>17982</v>
      </c>
      <c r="DI188" s="15" t="s">
        <v>17982</v>
      </c>
    </row>
    <row r="189" spans="1:113" s="15" customFormat="1" ht="12.75" x14ac:dyDescent="0.2">
      <c r="A189" s="15" t="s">
        <v>109</v>
      </c>
      <c r="B189" s="15" t="s">
        <v>110</v>
      </c>
      <c r="D189" s="15" t="s">
        <v>620</v>
      </c>
      <c r="E189" s="15" t="s">
        <v>112</v>
      </c>
      <c r="F189" s="15" t="s">
        <v>620</v>
      </c>
      <c r="G189" s="15" t="s">
        <v>113</v>
      </c>
      <c r="H189" s="15" t="s">
        <v>1045</v>
      </c>
      <c r="J189" s="16" t="s">
        <v>114</v>
      </c>
      <c r="U189" s="15" t="s">
        <v>17977</v>
      </c>
      <c r="W189" s="15">
        <v>119</v>
      </c>
      <c r="X189" s="15">
        <v>199</v>
      </c>
      <c r="Y189" s="15" t="s">
        <v>160</v>
      </c>
      <c r="Z189" s="15" t="s">
        <v>161</v>
      </c>
      <c r="AA189" s="15" t="s">
        <v>162</v>
      </c>
      <c r="AB189" s="15" t="s">
        <v>866</v>
      </c>
      <c r="AC189" s="15" t="s">
        <v>866</v>
      </c>
      <c r="AD189" s="15" t="s">
        <v>866</v>
      </c>
      <c r="AE189" s="15" t="s">
        <v>164</v>
      </c>
      <c r="AF189" s="15" t="s">
        <v>866</v>
      </c>
      <c r="AG189" s="15" t="s">
        <v>866</v>
      </c>
      <c r="AH189" s="15" t="s">
        <v>867</v>
      </c>
      <c r="AL189" s="15" t="s">
        <v>868</v>
      </c>
      <c r="AN189" s="15">
        <v>743</v>
      </c>
      <c r="AO189" s="15" t="s">
        <v>869</v>
      </c>
      <c r="AQ189" s="15" t="s">
        <v>857</v>
      </c>
      <c r="AT189" s="15" t="s">
        <v>870</v>
      </c>
      <c r="AU189" s="15" t="s">
        <v>871</v>
      </c>
      <c r="AV189" s="15" t="s">
        <v>871</v>
      </c>
      <c r="AW189" s="15" t="s">
        <v>872</v>
      </c>
      <c r="AX189" s="15" t="s">
        <v>873</v>
      </c>
      <c r="AY189" s="15">
        <f t="shared" si="2"/>
        <v>55</v>
      </c>
      <c r="AZ189" s="15" t="s">
        <v>862</v>
      </c>
      <c r="BA189" s="15" t="s">
        <v>174</v>
      </c>
      <c r="BB189" s="15" t="s">
        <v>835</v>
      </c>
      <c r="BE189" s="15" t="s">
        <v>251</v>
      </c>
      <c r="BF189" s="15" t="s">
        <v>863</v>
      </c>
      <c r="BJ189" s="15" t="s">
        <v>874</v>
      </c>
      <c r="BN189" s="15" t="s">
        <v>179</v>
      </c>
      <c r="BP189" s="15" t="s">
        <v>138</v>
      </c>
      <c r="BS189" s="15" t="s">
        <v>875</v>
      </c>
      <c r="DH189" s="15" t="s">
        <v>17982</v>
      </c>
      <c r="DI189" s="15" t="s">
        <v>17982</v>
      </c>
    </row>
    <row r="190" spans="1:113" s="15" customFormat="1" ht="12.75" x14ac:dyDescent="0.2">
      <c r="A190" s="15" t="s">
        <v>109</v>
      </c>
      <c r="B190" s="15" t="s">
        <v>110</v>
      </c>
      <c r="D190" s="15" t="s">
        <v>620</v>
      </c>
      <c r="E190" s="15" t="s">
        <v>112</v>
      </c>
      <c r="F190" s="15" t="s">
        <v>620</v>
      </c>
      <c r="G190" s="15" t="s">
        <v>113</v>
      </c>
      <c r="H190" s="15" t="s">
        <v>1045</v>
      </c>
      <c r="J190" s="16" t="s">
        <v>114</v>
      </c>
      <c r="U190" s="15" t="s">
        <v>17977</v>
      </c>
      <c r="W190" s="15">
        <v>122</v>
      </c>
      <c r="X190" s="15">
        <v>200</v>
      </c>
      <c r="Y190" s="15" t="s">
        <v>160</v>
      </c>
      <c r="Z190" s="15" t="s">
        <v>161</v>
      </c>
      <c r="AA190" s="15" t="s">
        <v>162</v>
      </c>
      <c r="AB190" s="15" t="s">
        <v>897</v>
      </c>
      <c r="AC190" s="15" t="s">
        <v>897</v>
      </c>
      <c r="AD190" s="15" t="s">
        <v>897</v>
      </c>
      <c r="AE190" s="15" t="s">
        <v>164</v>
      </c>
      <c r="AF190" s="15" t="s">
        <v>897</v>
      </c>
      <c r="AG190" s="15" t="s">
        <v>897</v>
      </c>
      <c r="AH190" s="15" t="s">
        <v>898</v>
      </c>
      <c r="AL190" s="15" t="s">
        <v>899</v>
      </c>
      <c r="AN190" s="15">
        <v>743</v>
      </c>
      <c r="AO190" s="15" t="s">
        <v>900</v>
      </c>
      <c r="AQ190" s="15" t="s">
        <v>829</v>
      </c>
      <c r="AT190" s="15" t="s">
        <v>901</v>
      </c>
      <c r="AU190" s="15" t="s">
        <v>902</v>
      </c>
      <c r="AV190" s="15" t="s">
        <v>902</v>
      </c>
      <c r="AW190" s="15" t="s">
        <v>903</v>
      </c>
      <c r="AX190" s="15" t="s">
        <v>904</v>
      </c>
      <c r="AY190" s="15">
        <f t="shared" si="2"/>
        <v>56</v>
      </c>
      <c r="AZ190" s="15" t="s">
        <v>834</v>
      </c>
      <c r="BA190" s="15" t="s">
        <v>174</v>
      </c>
      <c r="BB190" s="15" t="s">
        <v>835</v>
      </c>
      <c r="BE190" s="15" t="s">
        <v>905</v>
      </c>
      <c r="BJ190" s="15" t="s">
        <v>906</v>
      </c>
      <c r="BN190" s="15" t="s">
        <v>179</v>
      </c>
      <c r="BP190" s="15" t="s">
        <v>138</v>
      </c>
      <c r="BS190" s="15" t="s">
        <v>907</v>
      </c>
      <c r="DH190" s="15" t="s">
        <v>17982</v>
      </c>
      <c r="DI190" s="15" t="s">
        <v>17982</v>
      </c>
    </row>
    <row r="191" spans="1:113" s="15" customFormat="1" ht="12.75" x14ac:dyDescent="0.2">
      <c r="A191" s="15" t="s">
        <v>109</v>
      </c>
      <c r="B191" s="15" t="s">
        <v>110</v>
      </c>
      <c r="D191" s="15" t="s">
        <v>620</v>
      </c>
      <c r="E191" s="15" t="s">
        <v>112</v>
      </c>
      <c r="F191" s="15" t="s">
        <v>620</v>
      </c>
      <c r="G191" s="15" t="s">
        <v>113</v>
      </c>
      <c r="H191" s="15" t="s">
        <v>1045</v>
      </c>
      <c r="J191" s="16" t="s">
        <v>114</v>
      </c>
      <c r="U191" s="15" t="s">
        <v>17977</v>
      </c>
      <c r="W191" s="15">
        <v>120</v>
      </c>
      <c r="X191" s="15">
        <v>201</v>
      </c>
      <c r="Y191" s="15" t="s">
        <v>160</v>
      </c>
      <c r="Z191" s="15" t="s">
        <v>161</v>
      </c>
      <c r="AA191" s="15" t="s">
        <v>162</v>
      </c>
      <c r="AB191" s="15" t="s">
        <v>876</v>
      </c>
      <c r="AC191" s="15" t="s">
        <v>876</v>
      </c>
      <c r="AD191" s="15" t="s">
        <v>876</v>
      </c>
      <c r="AE191" s="15" t="s">
        <v>164</v>
      </c>
      <c r="AF191" s="15" t="s">
        <v>876</v>
      </c>
      <c r="AG191" s="15" t="s">
        <v>876</v>
      </c>
      <c r="AH191" s="15" t="s">
        <v>877</v>
      </c>
      <c r="AL191" s="15" t="s">
        <v>878</v>
      </c>
      <c r="AN191" s="15">
        <v>743</v>
      </c>
      <c r="AO191" s="15" t="s">
        <v>879</v>
      </c>
      <c r="AQ191" s="15" t="s">
        <v>843</v>
      </c>
      <c r="AT191" s="15" t="s">
        <v>880</v>
      </c>
      <c r="AU191" s="15" t="s">
        <v>881</v>
      </c>
      <c r="AV191" s="15" t="s">
        <v>881</v>
      </c>
      <c r="AW191" s="15" t="s">
        <v>882</v>
      </c>
      <c r="AX191" s="15" t="s">
        <v>883</v>
      </c>
      <c r="AY191" s="15">
        <f t="shared" si="2"/>
        <v>60</v>
      </c>
      <c r="AZ191" s="15" t="s">
        <v>848</v>
      </c>
      <c r="BA191" s="15" t="s">
        <v>174</v>
      </c>
      <c r="BB191" s="15" t="s">
        <v>835</v>
      </c>
      <c r="BC191" s="15" t="s">
        <v>884</v>
      </c>
      <c r="BE191" s="15" t="s">
        <v>251</v>
      </c>
      <c r="BF191" s="15" t="s">
        <v>863</v>
      </c>
      <c r="BJ191" s="15" t="s">
        <v>885</v>
      </c>
      <c r="BN191" s="15" t="s">
        <v>179</v>
      </c>
      <c r="BP191" s="15" t="s">
        <v>138</v>
      </c>
      <c r="BS191" s="15" t="s">
        <v>886</v>
      </c>
      <c r="DH191" s="15" t="s">
        <v>17982</v>
      </c>
      <c r="DI191" s="15" t="s">
        <v>17982</v>
      </c>
    </row>
    <row r="192" spans="1:113" s="15" customFormat="1" ht="12.75" x14ac:dyDescent="0.2">
      <c r="A192" s="15" t="s">
        <v>109</v>
      </c>
      <c r="B192" s="15" t="s">
        <v>110</v>
      </c>
      <c r="D192" s="15" t="s">
        <v>620</v>
      </c>
      <c r="E192" s="15" t="s">
        <v>112</v>
      </c>
      <c r="F192" s="15" t="s">
        <v>620</v>
      </c>
      <c r="G192" s="15" t="s">
        <v>113</v>
      </c>
      <c r="H192" s="15" t="s">
        <v>1045</v>
      </c>
      <c r="J192" s="16" t="s">
        <v>114</v>
      </c>
      <c r="U192" s="15" t="s">
        <v>17977</v>
      </c>
      <c r="W192" s="15">
        <v>357</v>
      </c>
      <c r="X192" s="15">
        <v>202</v>
      </c>
      <c r="Y192" s="15" t="s">
        <v>160</v>
      </c>
      <c r="Z192" s="15" t="s">
        <v>161</v>
      </c>
      <c r="AA192" s="15" t="s">
        <v>162</v>
      </c>
      <c r="AB192" s="15" t="s">
        <v>1456</v>
      </c>
      <c r="AC192" s="15" t="s">
        <v>1456</v>
      </c>
      <c r="AD192" s="15" t="s">
        <v>1456</v>
      </c>
      <c r="AE192" s="15" t="s">
        <v>164</v>
      </c>
      <c r="AF192" s="15" t="s">
        <v>1456</v>
      </c>
      <c r="AG192" s="15" t="s">
        <v>1456</v>
      </c>
      <c r="AH192" s="15" t="s">
        <v>1457</v>
      </c>
      <c r="AL192" s="15" t="s">
        <v>1458</v>
      </c>
      <c r="AN192" s="15">
        <v>743</v>
      </c>
      <c r="AO192" s="15" t="s">
        <v>1459</v>
      </c>
      <c r="AQ192" s="15" t="s">
        <v>1460</v>
      </c>
      <c r="AT192" s="15" t="s">
        <v>1461</v>
      </c>
      <c r="AU192" s="15" t="s">
        <v>1462</v>
      </c>
      <c r="AV192" s="15" t="s">
        <v>1462</v>
      </c>
      <c r="AW192" s="15" t="s">
        <v>1463</v>
      </c>
      <c r="AX192" s="15" t="s">
        <v>1464</v>
      </c>
      <c r="AY192" s="15">
        <f t="shared" si="2"/>
        <v>60</v>
      </c>
      <c r="AZ192" s="15" t="s">
        <v>930</v>
      </c>
      <c r="BA192" s="15" t="s">
        <v>1465</v>
      </c>
      <c r="BB192" s="15" t="s">
        <v>1466</v>
      </c>
      <c r="BE192" s="15" t="s">
        <v>1467</v>
      </c>
      <c r="BI192" s="15" t="s">
        <v>1200</v>
      </c>
      <c r="BJ192" s="15" t="s">
        <v>1468</v>
      </c>
      <c r="BK192" s="15" t="s">
        <v>1469</v>
      </c>
      <c r="BN192" s="15" t="s">
        <v>179</v>
      </c>
      <c r="BP192" s="15" t="s">
        <v>138</v>
      </c>
      <c r="BS192" s="15" t="s">
        <v>1470</v>
      </c>
      <c r="DH192" s="15" t="s">
        <v>17982</v>
      </c>
      <c r="DI192" s="15" t="s">
        <v>17982</v>
      </c>
    </row>
    <row r="193" spans="1:113" s="15" customFormat="1" ht="12.75" x14ac:dyDescent="0.2">
      <c r="A193" s="15" t="s">
        <v>109</v>
      </c>
      <c r="B193" s="15" t="s">
        <v>110</v>
      </c>
      <c r="D193" s="15" t="s">
        <v>620</v>
      </c>
      <c r="E193" s="15" t="s">
        <v>112</v>
      </c>
      <c r="F193" s="15" t="s">
        <v>620</v>
      </c>
      <c r="G193" s="15" t="s">
        <v>113</v>
      </c>
      <c r="H193" s="15" t="s">
        <v>1045</v>
      </c>
      <c r="J193" s="16" t="s">
        <v>114</v>
      </c>
      <c r="U193" s="15" t="s">
        <v>17977</v>
      </c>
      <c r="W193" s="15">
        <v>358</v>
      </c>
      <c r="X193" s="15">
        <v>203</v>
      </c>
      <c r="Y193" s="15" t="s">
        <v>160</v>
      </c>
      <c r="Z193" s="15" t="s">
        <v>161</v>
      </c>
      <c r="AA193" s="15" t="s">
        <v>162</v>
      </c>
      <c r="AB193" s="15" t="s">
        <v>1471</v>
      </c>
      <c r="AC193" s="15" t="s">
        <v>1471</v>
      </c>
      <c r="AD193" s="15" t="s">
        <v>1471</v>
      </c>
      <c r="AE193" s="15" t="s">
        <v>164</v>
      </c>
      <c r="AF193" s="15" t="s">
        <v>1471</v>
      </c>
      <c r="AG193" s="15" t="s">
        <v>1471</v>
      </c>
      <c r="AH193" s="15" t="s">
        <v>1472</v>
      </c>
      <c r="AL193" s="15" t="s">
        <v>1473</v>
      </c>
      <c r="AN193" s="15">
        <v>743</v>
      </c>
      <c r="AO193" s="15" t="s">
        <v>1474</v>
      </c>
      <c r="AQ193" s="15" t="s">
        <v>1460</v>
      </c>
      <c r="AT193" s="15" t="s">
        <v>1475</v>
      </c>
      <c r="AU193" s="15" t="s">
        <v>1476</v>
      </c>
      <c r="AV193" s="15" t="s">
        <v>1476</v>
      </c>
      <c r="AW193" s="15" t="s">
        <v>1477</v>
      </c>
      <c r="AX193" s="15" t="s">
        <v>1478</v>
      </c>
      <c r="AY193" s="15">
        <f t="shared" si="2"/>
        <v>60</v>
      </c>
      <c r="AZ193" s="15" t="s">
        <v>930</v>
      </c>
      <c r="BA193" s="15" t="s">
        <v>1465</v>
      </c>
      <c r="BB193" s="15" t="s">
        <v>1466</v>
      </c>
      <c r="BE193" s="15" t="s">
        <v>1479</v>
      </c>
      <c r="BI193" s="15" t="s">
        <v>1200</v>
      </c>
      <c r="BJ193" s="15" t="s">
        <v>1468</v>
      </c>
      <c r="BK193" s="15" t="s">
        <v>1469</v>
      </c>
      <c r="BN193" s="15" t="s">
        <v>179</v>
      </c>
      <c r="BP193" s="15" t="s">
        <v>138</v>
      </c>
      <c r="BS193" s="15" t="s">
        <v>1480</v>
      </c>
      <c r="DH193" s="15" t="s">
        <v>17982</v>
      </c>
      <c r="DI193" s="15" t="s">
        <v>17982</v>
      </c>
    </row>
    <row r="194" spans="1:113" s="15" customFormat="1" ht="12.75" x14ac:dyDescent="0.2">
      <c r="A194" s="15" t="s">
        <v>109</v>
      </c>
      <c r="B194" s="15" t="s">
        <v>110</v>
      </c>
      <c r="D194" s="15" t="s">
        <v>620</v>
      </c>
      <c r="E194" s="15" t="s">
        <v>112</v>
      </c>
      <c r="F194" s="15" t="s">
        <v>620</v>
      </c>
      <c r="G194" s="15" t="s">
        <v>113</v>
      </c>
      <c r="H194" s="15" t="s">
        <v>1045</v>
      </c>
      <c r="J194" s="16" t="s">
        <v>114</v>
      </c>
      <c r="U194" s="15" t="s">
        <v>17977</v>
      </c>
      <c r="W194" s="15">
        <v>1205</v>
      </c>
      <c r="X194" s="15">
        <v>204</v>
      </c>
      <c r="Y194" s="15" t="s">
        <v>160</v>
      </c>
      <c r="Z194" s="15" t="s">
        <v>161</v>
      </c>
      <c r="AA194" s="15" t="s">
        <v>162</v>
      </c>
      <c r="AB194" s="15" t="s">
        <v>6297</v>
      </c>
      <c r="AC194" s="15" t="s">
        <v>6297</v>
      </c>
      <c r="AD194" s="15" t="s">
        <v>6298</v>
      </c>
      <c r="AE194" s="15" t="s">
        <v>164</v>
      </c>
      <c r="AF194" s="15" t="s">
        <v>6298</v>
      </c>
      <c r="AG194" s="15" t="s">
        <v>6297</v>
      </c>
      <c r="AH194" s="15" t="s">
        <v>6299</v>
      </c>
      <c r="AL194" s="15" t="s">
        <v>6300</v>
      </c>
      <c r="AN194" s="15">
        <v>743</v>
      </c>
      <c r="AO194" s="15" t="s">
        <v>6301</v>
      </c>
      <c r="AQ194" s="15" t="s">
        <v>1460</v>
      </c>
      <c r="AT194" s="15" t="s">
        <v>6302</v>
      </c>
      <c r="AU194" s="15" t="s">
        <v>6303</v>
      </c>
      <c r="AV194" s="15" t="s">
        <v>6303</v>
      </c>
      <c r="AW194" s="15" t="s">
        <v>6304</v>
      </c>
      <c r="AX194" s="15" t="s">
        <v>6305</v>
      </c>
      <c r="AY194" s="15">
        <f t="shared" ref="AY194:AY257" si="3">LEN(SUBSTITUTE(AX194, ", "," "))</f>
        <v>55</v>
      </c>
      <c r="AZ194" s="15" t="s">
        <v>930</v>
      </c>
      <c r="BA194" s="15" t="s">
        <v>1465</v>
      </c>
      <c r="BB194" s="15" t="s">
        <v>6273</v>
      </c>
      <c r="BE194" s="15" t="s">
        <v>6306</v>
      </c>
      <c r="BI194" s="15" t="s">
        <v>1200</v>
      </c>
      <c r="BJ194" s="15" t="s">
        <v>6307</v>
      </c>
      <c r="BK194" s="15" t="s">
        <v>487</v>
      </c>
      <c r="BN194" s="15" t="s">
        <v>179</v>
      </c>
      <c r="BP194" s="15" t="s">
        <v>138</v>
      </c>
      <c r="BS194" s="15" t="s">
        <v>6308</v>
      </c>
      <c r="DH194" s="15" t="s">
        <v>17982</v>
      </c>
      <c r="DI194" s="15" t="s">
        <v>17982</v>
      </c>
    </row>
    <row r="195" spans="1:113" s="15" customFormat="1" ht="12.75" x14ac:dyDescent="0.2">
      <c r="A195" s="15" t="s">
        <v>109</v>
      </c>
      <c r="B195" s="15" t="s">
        <v>110</v>
      </c>
      <c r="D195" s="15" t="s">
        <v>620</v>
      </c>
      <c r="E195" s="15" t="s">
        <v>112</v>
      </c>
      <c r="F195" s="15" t="s">
        <v>620</v>
      </c>
      <c r="G195" s="15" t="s">
        <v>113</v>
      </c>
      <c r="H195" s="15" t="s">
        <v>1045</v>
      </c>
      <c r="J195" s="16" t="s">
        <v>114</v>
      </c>
      <c r="U195" s="15" t="s">
        <v>17977</v>
      </c>
      <c r="W195" s="15">
        <v>1206</v>
      </c>
      <c r="X195" s="15">
        <v>205</v>
      </c>
      <c r="Y195" s="15" t="s">
        <v>160</v>
      </c>
      <c r="Z195" s="15" t="s">
        <v>161</v>
      </c>
      <c r="AA195" s="15" t="s">
        <v>162</v>
      </c>
      <c r="AB195" s="15" t="s">
        <v>6309</v>
      </c>
      <c r="AC195" s="15" t="s">
        <v>6309</v>
      </c>
      <c r="AD195" s="15" t="s">
        <v>6310</v>
      </c>
      <c r="AE195" s="15" t="s">
        <v>164</v>
      </c>
      <c r="AF195" s="15" t="s">
        <v>6310</v>
      </c>
      <c r="AG195" s="15" t="s">
        <v>6309</v>
      </c>
      <c r="AH195" s="15" t="s">
        <v>6311</v>
      </c>
      <c r="AL195" s="15" t="s">
        <v>6312</v>
      </c>
      <c r="AN195" s="15">
        <v>743</v>
      </c>
      <c r="AO195" s="15" t="s">
        <v>6313</v>
      </c>
      <c r="AQ195" s="15" t="s">
        <v>1460</v>
      </c>
      <c r="AT195" s="15" t="s">
        <v>6314</v>
      </c>
      <c r="AU195" s="15" t="s">
        <v>6315</v>
      </c>
      <c r="AV195" s="15" t="s">
        <v>6315</v>
      </c>
      <c r="AW195" s="15" t="s">
        <v>6316</v>
      </c>
      <c r="AX195" s="15" t="s">
        <v>6317</v>
      </c>
      <c r="AY195" s="15">
        <f t="shared" si="3"/>
        <v>55</v>
      </c>
      <c r="AZ195" s="15" t="s">
        <v>930</v>
      </c>
      <c r="BA195" s="15" t="s">
        <v>1465</v>
      </c>
      <c r="BB195" s="15" t="s">
        <v>6273</v>
      </c>
      <c r="BE195" s="15" t="s">
        <v>6318</v>
      </c>
      <c r="BI195" s="15" t="s">
        <v>1200</v>
      </c>
      <c r="BJ195" s="15" t="s">
        <v>6307</v>
      </c>
      <c r="BK195" s="15" t="s">
        <v>487</v>
      </c>
      <c r="BN195" s="15" t="s">
        <v>179</v>
      </c>
      <c r="BP195" s="15" t="s">
        <v>138</v>
      </c>
      <c r="BS195" s="15" t="s">
        <v>6319</v>
      </c>
      <c r="DH195" s="15" t="s">
        <v>17982</v>
      </c>
      <c r="DI195" s="15" t="s">
        <v>17982</v>
      </c>
    </row>
    <row r="196" spans="1:113" s="15" customFormat="1" ht="12.75" x14ac:dyDescent="0.2">
      <c r="A196" s="15" t="s">
        <v>109</v>
      </c>
      <c r="B196" s="15" t="s">
        <v>110</v>
      </c>
      <c r="D196" s="15" t="s">
        <v>620</v>
      </c>
      <c r="E196" s="15" t="s">
        <v>112</v>
      </c>
      <c r="F196" s="15" t="s">
        <v>620</v>
      </c>
      <c r="G196" s="15" t="s">
        <v>113</v>
      </c>
      <c r="H196" s="15" t="s">
        <v>1045</v>
      </c>
      <c r="J196" s="16" t="s">
        <v>114</v>
      </c>
      <c r="U196" s="15" t="s">
        <v>17977</v>
      </c>
      <c r="W196" s="15">
        <v>1202</v>
      </c>
      <c r="X196" s="15">
        <v>206</v>
      </c>
      <c r="Y196" s="15" t="s">
        <v>160</v>
      </c>
      <c r="Z196" s="15" t="s">
        <v>161</v>
      </c>
      <c r="AA196" s="15" t="s">
        <v>162</v>
      </c>
      <c r="AB196" s="15" t="s">
        <v>6265</v>
      </c>
      <c r="AC196" s="15" t="s">
        <v>6265</v>
      </c>
      <c r="AD196" s="15" t="s">
        <v>6265</v>
      </c>
      <c r="AE196" s="15" t="s">
        <v>164</v>
      </c>
      <c r="AF196" s="15" t="s">
        <v>6265</v>
      </c>
      <c r="AG196" s="15" t="s">
        <v>6265</v>
      </c>
      <c r="AH196" s="15" t="s">
        <v>6266</v>
      </c>
      <c r="AL196" s="15" t="s">
        <v>6267</v>
      </c>
      <c r="AN196" s="15">
        <v>743</v>
      </c>
      <c r="AO196" s="15" t="s">
        <v>6268</v>
      </c>
      <c r="AQ196" s="15" t="s">
        <v>1460</v>
      </c>
      <c r="AT196" s="15" t="s">
        <v>6269</v>
      </c>
      <c r="AU196" s="15" t="s">
        <v>6270</v>
      </c>
      <c r="AV196" s="15" t="s">
        <v>6270</v>
      </c>
      <c r="AW196" s="15" t="s">
        <v>6271</v>
      </c>
      <c r="AX196" s="15" t="s">
        <v>6272</v>
      </c>
      <c r="AY196" s="15">
        <f t="shared" si="3"/>
        <v>58</v>
      </c>
      <c r="AZ196" s="15" t="s">
        <v>930</v>
      </c>
      <c r="BA196" s="15" t="s">
        <v>1465</v>
      </c>
      <c r="BB196" s="15" t="s">
        <v>6273</v>
      </c>
      <c r="BC196" s="15" t="s">
        <v>5592</v>
      </c>
      <c r="BE196" s="15" t="s">
        <v>6274</v>
      </c>
      <c r="BI196" s="15" t="s">
        <v>1200</v>
      </c>
      <c r="BJ196" s="15" t="s">
        <v>6275</v>
      </c>
      <c r="BK196" s="15" t="s">
        <v>487</v>
      </c>
      <c r="BN196" s="15" t="s">
        <v>179</v>
      </c>
      <c r="BP196" s="15" t="s">
        <v>138</v>
      </c>
      <c r="BS196" s="15" t="s">
        <v>6276</v>
      </c>
      <c r="DH196" s="15" t="s">
        <v>17982</v>
      </c>
      <c r="DI196" s="15" t="s">
        <v>17982</v>
      </c>
    </row>
    <row r="197" spans="1:113" s="15" customFormat="1" ht="12.75" x14ac:dyDescent="0.2">
      <c r="A197" s="15" t="s">
        <v>109</v>
      </c>
      <c r="B197" s="15" t="s">
        <v>110</v>
      </c>
      <c r="D197" s="15" t="s">
        <v>620</v>
      </c>
      <c r="E197" s="15" t="s">
        <v>112</v>
      </c>
      <c r="F197" s="15" t="s">
        <v>620</v>
      </c>
      <c r="G197" s="15" t="s">
        <v>113</v>
      </c>
      <c r="H197" s="15" t="s">
        <v>1045</v>
      </c>
      <c r="J197" s="16" t="s">
        <v>114</v>
      </c>
      <c r="U197" s="15" t="s">
        <v>17977</v>
      </c>
      <c r="W197" s="15">
        <v>1207</v>
      </c>
      <c r="X197" s="15">
        <v>207</v>
      </c>
      <c r="Y197" s="15" t="s">
        <v>160</v>
      </c>
      <c r="Z197" s="15" t="s">
        <v>161</v>
      </c>
      <c r="AA197" s="15" t="s">
        <v>162</v>
      </c>
      <c r="AB197" s="15" t="s">
        <v>6320</v>
      </c>
      <c r="AC197" s="15" t="s">
        <v>6320</v>
      </c>
      <c r="AD197" s="15" t="s">
        <v>6321</v>
      </c>
      <c r="AE197" s="15" t="s">
        <v>164</v>
      </c>
      <c r="AF197" s="15" t="s">
        <v>6321</v>
      </c>
      <c r="AG197" s="15" t="s">
        <v>6320</v>
      </c>
      <c r="AH197" s="15" t="s">
        <v>6322</v>
      </c>
      <c r="AL197" s="15" t="s">
        <v>6323</v>
      </c>
      <c r="AN197" s="15">
        <v>743</v>
      </c>
      <c r="AO197" s="15" t="s">
        <v>6324</v>
      </c>
      <c r="AQ197" s="15" t="s">
        <v>1460</v>
      </c>
      <c r="AT197" s="15" t="s">
        <v>6325</v>
      </c>
      <c r="AU197" s="15" t="s">
        <v>6326</v>
      </c>
      <c r="AV197" s="15" t="s">
        <v>6326</v>
      </c>
      <c r="AW197" s="15" t="s">
        <v>6327</v>
      </c>
      <c r="AX197" s="15" t="s">
        <v>6328</v>
      </c>
      <c r="AY197" s="15">
        <f t="shared" si="3"/>
        <v>55</v>
      </c>
      <c r="AZ197" s="15" t="s">
        <v>930</v>
      </c>
      <c r="BA197" s="15" t="s">
        <v>1465</v>
      </c>
      <c r="BB197" s="15" t="s">
        <v>6273</v>
      </c>
      <c r="BE197" s="15" t="s">
        <v>6274</v>
      </c>
      <c r="BI197" s="15" t="s">
        <v>1200</v>
      </c>
      <c r="BJ197" s="15" t="s">
        <v>6307</v>
      </c>
      <c r="BK197" s="15" t="s">
        <v>487</v>
      </c>
      <c r="BN197" s="15" t="s">
        <v>179</v>
      </c>
      <c r="BP197" s="15" t="s">
        <v>138</v>
      </c>
      <c r="BS197" s="15" t="s">
        <v>6329</v>
      </c>
      <c r="DH197" s="15" t="s">
        <v>17982</v>
      </c>
      <c r="DI197" s="15" t="s">
        <v>17982</v>
      </c>
    </row>
    <row r="198" spans="1:113" s="15" customFormat="1" ht="12.75" x14ac:dyDescent="0.2">
      <c r="A198" s="15" t="s">
        <v>109</v>
      </c>
      <c r="B198" s="15" t="s">
        <v>110</v>
      </c>
      <c r="D198" s="15" t="s">
        <v>620</v>
      </c>
      <c r="E198" s="15" t="s">
        <v>112</v>
      </c>
      <c r="F198" s="15" t="s">
        <v>620</v>
      </c>
      <c r="G198" s="15" t="s">
        <v>113</v>
      </c>
      <c r="H198" s="15" t="s">
        <v>1045</v>
      </c>
      <c r="J198" s="16" t="s">
        <v>114</v>
      </c>
      <c r="U198" s="15" t="s">
        <v>17977</v>
      </c>
      <c r="W198" s="15">
        <v>1204</v>
      </c>
      <c r="X198" s="15">
        <v>208</v>
      </c>
      <c r="Y198" s="15" t="s">
        <v>160</v>
      </c>
      <c r="Z198" s="15" t="s">
        <v>161</v>
      </c>
      <c r="AA198" s="15" t="s">
        <v>162</v>
      </c>
      <c r="AB198" s="15" t="s">
        <v>6287</v>
      </c>
      <c r="AC198" s="15" t="s">
        <v>6287</v>
      </c>
      <c r="AD198" s="15" t="s">
        <v>6287</v>
      </c>
      <c r="AE198" s="15" t="s">
        <v>164</v>
      </c>
      <c r="AF198" s="15" t="s">
        <v>6287</v>
      </c>
      <c r="AG198" s="15" t="s">
        <v>6287</v>
      </c>
      <c r="AH198" s="15" t="s">
        <v>6288</v>
      </c>
      <c r="AL198" s="15" t="s">
        <v>6289</v>
      </c>
      <c r="AN198" s="15">
        <v>743</v>
      </c>
      <c r="AO198" s="15" t="s">
        <v>6290</v>
      </c>
      <c r="AQ198" s="15" t="s">
        <v>1460</v>
      </c>
      <c r="AT198" s="15" t="s">
        <v>6291</v>
      </c>
      <c r="AU198" s="15" t="s">
        <v>6292</v>
      </c>
      <c r="AV198" s="15" t="s">
        <v>6292</v>
      </c>
      <c r="AW198" s="15" t="s">
        <v>6293</v>
      </c>
      <c r="AX198" s="15" t="s">
        <v>6294</v>
      </c>
      <c r="AY198" s="15">
        <f t="shared" si="3"/>
        <v>57</v>
      </c>
      <c r="AZ198" s="15" t="s">
        <v>930</v>
      </c>
      <c r="BA198" s="15" t="s">
        <v>1465</v>
      </c>
      <c r="BB198" s="15" t="s">
        <v>6273</v>
      </c>
      <c r="BC198" s="15" t="s">
        <v>5592</v>
      </c>
      <c r="BE198" s="15" t="s">
        <v>6295</v>
      </c>
      <c r="BI198" s="15" t="s">
        <v>1200</v>
      </c>
      <c r="BJ198" s="15" t="s">
        <v>6275</v>
      </c>
      <c r="BK198" s="15" t="s">
        <v>487</v>
      </c>
      <c r="BN198" s="15" t="s">
        <v>179</v>
      </c>
      <c r="BP198" s="15" t="s">
        <v>138</v>
      </c>
      <c r="BS198" s="15" t="s">
        <v>6296</v>
      </c>
      <c r="DH198" s="15" t="s">
        <v>17982</v>
      </c>
      <c r="DI198" s="15" t="s">
        <v>17982</v>
      </c>
    </row>
    <row r="199" spans="1:113" s="15" customFormat="1" ht="12.75" x14ac:dyDescent="0.2">
      <c r="A199" s="15" t="s">
        <v>109</v>
      </c>
      <c r="B199" s="15" t="s">
        <v>110</v>
      </c>
      <c r="D199" s="15" t="s">
        <v>620</v>
      </c>
      <c r="E199" s="15" t="s">
        <v>141</v>
      </c>
      <c r="F199" s="15" t="s">
        <v>620</v>
      </c>
      <c r="G199" s="15" t="s">
        <v>113</v>
      </c>
      <c r="H199" s="15" t="s">
        <v>1045</v>
      </c>
      <c r="J199" s="16" t="s">
        <v>114</v>
      </c>
      <c r="U199" s="15" t="s">
        <v>17977</v>
      </c>
      <c r="W199" s="15">
        <v>1203</v>
      </c>
      <c r="X199" s="15">
        <v>209</v>
      </c>
      <c r="Y199" s="15" t="s">
        <v>160</v>
      </c>
      <c r="Z199" s="15" t="s">
        <v>161</v>
      </c>
      <c r="AA199" s="15" t="s">
        <v>162</v>
      </c>
      <c r="AB199" s="15" t="s">
        <v>6277</v>
      </c>
      <c r="AC199" s="15" t="s">
        <v>6277</v>
      </c>
      <c r="AD199" s="15" t="s">
        <v>6277</v>
      </c>
      <c r="AE199" s="15" t="s">
        <v>164</v>
      </c>
      <c r="AF199" s="15" t="s">
        <v>6277</v>
      </c>
      <c r="AG199" s="15" t="s">
        <v>6277</v>
      </c>
      <c r="AH199" s="15" t="s">
        <v>6278</v>
      </c>
      <c r="AL199" s="15" t="s">
        <v>6279</v>
      </c>
      <c r="AN199" s="15">
        <v>743</v>
      </c>
      <c r="AO199" s="15" t="s">
        <v>6280</v>
      </c>
      <c r="AQ199" s="15" t="s">
        <v>1460</v>
      </c>
      <c r="AT199" s="15" t="s">
        <v>6281</v>
      </c>
      <c r="AU199" s="15" t="s">
        <v>6282</v>
      </c>
      <c r="AV199" s="15" t="s">
        <v>6282</v>
      </c>
      <c r="AW199" s="15" t="s">
        <v>6283</v>
      </c>
      <c r="AX199" s="15" t="s">
        <v>6284</v>
      </c>
      <c r="AY199" s="15">
        <f t="shared" si="3"/>
        <v>59</v>
      </c>
      <c r="AZ199" s="15" t="s">
        <v>930</v>
      </c>
      <c r="BA199" s="15" t="s">
        <v>174</v>
      </c>
      <c r="BB199" s="15" t="s">
        <v>6273</v>
      </c>
      <c r="BC199" s="15" t="s">
        <v>5592</v>
      </c>
      <c r="BE199" s="15" t="s">
        <v>6285</v>
      </c>
      <c r="BI199" s="15" t="s">
        <v>1200</v>
      </c>
      <c r="BJ199" s="15" t="s">
        <v>6275</v>
      </c>
      <c r="BK199" s="15" t="s">
        <v>487</v>
      </c>
      <c r="BN199" s="15" t="s">
        <v>179</v>
      </c>
      <c r="BP199" s="15" t="s">
        <v>138</v>
      </c>
      <c r="BS199" s="15" t="s">
        <v>6286</v>
      </c>
      <c r="DH199" s="15" t="s">
        <v>17982</v>
      </c>
      <c r="DI199" s="15" t="s">
        <v>17982</v>
      </c>
    </row>
    <row r="200" spans="1:113" s="15" customFormat="1" ht="12.75" x14ac:dyDescent="0.2">
      <c r="A200" s="15" t="s">
        <v>109</v>
      </c>
      <c r="B200" s="15" t="s">
        <v>110</v>
      </c>
      <c r="D200" s="15" t="s">
        <v>620</v>
      </c>
      <c r="E200" s="15" t="s">
        <v>112</v>
      </c>
      <c r="F200" s="15" t="s">
        <v>620</v>
      </c>
      <c r="G200" s="15" t="s">
        <v>113</v>
      </c>
      <c r="H200" s="15" t="s">
        <v>1045</v>
      </c>
      <c r="J200" s="16" t="s">
        <v>114</v>
      </c>
      <c r="U200" s="15" t="s">
        <v>17977</v>
      </c>
      <c r="W200" s="15">
        <v>1208</v>
      </c>
      <c r="X200" s="15">
        <v>210</v>
      </c>
      <c r="Y200" s="15" t="s">
        <v>160</v>
      </c>
      <c r="Z200" s="15" t="s">
        <v>161</v>
      </c>
      <c r="AA200" s="15" t="s">
        <v>162</v>
      </c>
      <c r="AB200" s="15" t="s">
        <v>6330</v>
      </c>
      <c r="AC200" s="15" t="s">
        <v>6330</v>
      </c>
      <c r="AD200" s="15" t="s">
        <v>6330</v>
      </c>
      <c r="AE200" s="15" t="s">
        <v>164</v>
      </c>
      <c r="AF200" s="15" t="s">
        <v>6330</v>
      </c>
      <c r="AG200" s="15" t="s">
        <v>6330</v>
      </c>
      <c r="AH200" s="15" t="s">
        <v>6331</v>
      </c>
      <c r="AL200" s="15" t="s">
        <v>6332</v>
      </c>
      <c r="AN200" s="15">
        <v>743</v>
      </c>
      <c r="AO200" s="15" t="s">
        <v>6333</v>
      </c>
      <c r="AQ200" s="15" t="s">
        <v>1460</v>
      </c>
      <c r="AT200" s="15" t="s">
        <v>6334</v>
      </c>
      <c r="AU200" s="15" t="s">
        <v>6335</v>
      </c>
      <c r="AV200" s="15" t="s">
        <v>6335</v>
      </c>
      <c r="AW200" s="15" t="s">
        <v>6336</v>
      </c>
      <c r="AX200" s="15" t="s">
        <v>6337</v>
      </c>
      <c r="AY200" s="15">
        <f t="shared" si="3"/>
        <v>57</v>
      </c>
      <c r="AZ200" s="15" t="s">
        <v>930</v>
      </c>
      <c r="BA200" s="15" t="s">
        <v>1465</v>
      </c>
      <c r="BB200" s="15" t="s">
        <v>6273</v>
      </c>
      <c r="BE200" s="15" t="s">
        <v>6285</v>
      </c>
      <c r="BI200" s="15" t="s">
        <v>1200</v>
      </c>
      <c r="BJ200" s="15" t="s">
        <v>6307</v>
      </c>
      <c r="BK200" s="15" t="s">
        <v>487</v>
      </c>
      <c r="BN200" s="15" t="s">
        <v>179</v>
      </c>
      <c r="BP200" s="15" t="s">
        <v>138</v>
      </c>
      <c r="BS200" s="15" t="s">
        <v>6338</v>
      </c>
      <c r="DH200" s="15" t="s">
        <v>17982</v>
      </c>
      <c r="DI200" s="15" t="s">
        <v>17982</v>
      </c>
    </row>
    <row r="201" spans="1:113" s="15" customFormat="1" ht="12.75" x14ac:dyDescent="0.2">
      <c r="A201" s="15" t="s">
        <v>109</v>
      </c>
      <c r="B201" s="15" t="s">
        <v>110</v>
      </c>
      <c r="D201" s="15" t="s">
        <v>620</v>
      </c>
      <c r="E201" s="15" t="s">
        <v>112</v>
      </c>
      <c r="F201" s="15" t="s">
        <v>620</v>
      </c>
      <c r="G201" s="15" t="s">
        <v>113</v>
      </c>
      <c r="H201" s="15" t="s">
        <v>1045</v>
      </c>
      <c r="J201" s="16" t="s">
        <v>114</v>
      </c>
      <c r="U201" s="15" t="s">
        <v>17977</v>
      </c>
      <c r="W201" s="15">
        <v>430</v>
      </c>
      <c r="X201" s="15">
        <v>211</v>
      </c>
      <c r="Y201" s="15" t="s">
        <v>160</v>
      </c>
      <c r="Z201" s="15" t="s">
        <v>161</v>
      </c>
      <c r="AA201" s="15" t="s">
        <v>162</v>
      </c>
      <c r="AB201" s="15" t="s">
        <v>1679</v>
      </c>
      <c r="AC201" s="15" t="s">
        <v>1679</v>
      </c>
      <c r="AD201" s="15" t="s">
        <v>1679</v>
      </c>
      <c r="AE201" s="15" t="s">
        <v>164</v>
      </c>
      <c r="AF201" s="15" t="s">
        <v>1679</v>
      </c>
      <c r="AG201" s="15" t="s">
        <v>1679</v>
      </c>
      <c r="AH201" s="15" t="s">
        <v>1680</v>
      </c>
      <c r="AL201" s="15" t="s">
        <v>1681</v>
      </c>
      <c r="AN201" s="15">
        <v>743</v>
      </c>
      <c r="AO201" s="15" t="s">
        <v>1682</v>
      </c>
      <c r="AQ201" s="15" t="s">
        <v>1193</v>
      </c>
      <c r="AT201" s="15" t="s">
        <v>1683</v>
      </c>
      <c r="AU201" s="15" t="s">
        <v>1684</v>
      </c>
      <c r="AV201" s="15" t="s">
        <v>1684</v>
      </c>
      <c r="AW201" s="15" t="s">
        <v>1685</v>
      </c>
      <c r="AX201" s="15" t="s">
        <v>1686</v>
      </c>
      <c r="AY201" s="15">
        <f t="shared" si="3"/>
        <v>59</v>
      </c>
      <c r="AZ201" s="15" t="s">
        <v>1634</v>
      </c>
      <c r="BA201" s="15" t="s">
        <v>174</v>
      </c>
      <c r="BB201" s="15" t="s">
        <v>1687</v>
      </c>
      <c r="BC201" s="15">
        <v>2</v>
      </c>
      <c r="BE201" s="15" t="s">
        <v>1688</v>
      </c>
      <c r="BF201" s="15" t="s">
        <v>1689</v>
      </c>
      <c r="BI201" s="15" t="s">
        <v>1200</v>
      </c>
      <c r="BJ201" s="15" t="s">
        <v>1690</v>
      </c>
      <c r="BN201" s="15" t="s">
        <v>179</v>
      </c>
      <c r="BP201" s="15" t="s">
        <v>138</v>
      </c>
      <c r="BS201" s="15" t="s">
        <v>1691</v>
      </c>
      <c r="DH201" s="15" t="s">
        <v>17982</v>
      </c>
      <c r="DI201" s="15" t="s">
        <v>17982</v>
      </c>
    </row>
    <row r="202" spans="1:113" s="15" customFormat="1" ht="12.75" x14ac:dyDescent="0.2">
      <c r="A202" s="15" t="s">
        <v>109</v>
      </c>
      <c r="B202" s="15" t="s">
        <v>110</v>
      </c>
      <c r="D202" s="15" t="s">
        <v>620</v>
      </c>
      <c r="E202" s="15" t="s">
        <v>112</v>
      </c>
      <c r="F202" s="15" t="s">
        <v>620</v>
      </c>
      <c r="G202" s="15" t="s">
        <v>113</v>
      </c>
      <c r="H202" s="15" t="s">
        <v>1045</v>
      </c>
      <c r="J202" s="16" t="s">
        <v>114</v>
      </c>
      <c r="U202" s="15" t="s">
        <v>17977</v>
      </c>
      <c r="W202" s="15">
        <v>251</v>
      </c>
      <c r="X202" s="15">
        <v>212</v>
      </c>
      <c r="Y202" s="15" t="s">
        <v>160</v>
      </c>
      <c r="Z202" s="15" t="s">
        <v>161</v>
      </c>
      <c r="AA202" s="15" t="s">
        <v>162</v>
      </c>
      <c r="AB202" s="15" t="s">
        <v>1203</v>
      </c>
      <c r="AC202" s="15" t="s">
        <v>1203</v>
      </c>
      <c r="AD202" s="15" t="s">
        <v>1204</v>
      </c>
      <c r="AE202" s="15" t="s">
        <v>164</v>
      </c>
      <c r="AF202" s="15" t="s">
        <v>1204</v>
      </c>
      <c r="AG202" s="15" t="s">
        <v>1203</v>
      </c>
      <c r="AH202" s="15" t="s">
        <v>1205</v>
      </c>
      <c r="AL202" s="15" t="s">
        <v>1206</v>
      </c>
      <c r="AN202" s="15">
        <v>743</v>
      </c>
      <c r="AO202" s="15" t="s">
        <v>1207</v>
      </c>
      <c r="AQ202" s="30" t="s">
        <v>1193</v>
      </c>
      <c r="AT202" s="15" t="s">
        <v>1208</v>
      </c>
      <c r="AU202" s="15" t="s">
        <v>1209</v>
      </c>
      <c r="AV202" s="15" t="s">
        <v>1209</v>
      </c>
      <c r="AW202" s="15" t="s">
        <v>1210</v>
      </c>
      <c r="AX202" s="15" t="s">
        <v>1211</v>
      </c>
      <c r="AY202" s="15">
        <f t="shared" si="3"/>
        <v>57</v>
      </c>
      <c r="AZ202" s="15" t="s">
        <v>1197</v>
      </c>
      <c r="BA202" s="15" t="s">
        <v>174</v>
      </c>
      <c r="BB202" s="30" t="s">
        <v>1198</v>
      </c>
      <c r="BC202" s="15" t="s">
        <v>1055</v>
      </c>
      <c r="BE202" s="15" t="s">
        <v>1123</v>
      </c>
      <c r="BF202" s="15" t="s">
        <v>1212</v>
      </c>
      <c r="BI202" s="15" t="s">
        <v>1200</v>
      </c>
      <c r="BJ202" s="15" t="s">
        <v>1213</v>
      </c>
      <c r="BK202" s="15" t="s">
        <v>1214</v>
      </c>
      <c r="BN202" s="15" t="s">
        <v>179</v>
      </c>
      <c r="BP202" s="15" t="s">
        <v>138</v>
      </c>
      <c r="BS202" s="15" t="s">
        <v>1215</v>
      </c>
      <c r="DH202" s="15" t="s">
        <v>17982</v>
      </c>
      <c r="DI202" s="15" t="s">
        <v>17982</v>
      </c>
    </row>
    <row r="203" spans="1:113" s="15" customFormat="1" ht="12.75" x14ac:dyDescent="0.2">
      <c r="A203" s="15" t="s">
        <v>109</v>
      </c>
      <c r="B203" s="15" t="s">
        <v>110</v>
      </c>
      <c r="D203" s="15" t="s">
        <v>620</v>
      </c>
      <c r="E203" s="15" t="s">
        <v>112</v>
      </c>
      <c r="F203" s="15" t="s">
        <v>620</v>
      </c>
      <c r="G203" s="15" t="s">
        <v>113</v>
      </c>
      <c r="H203" s="15" t="s">
        <v>1045</v>
      </c>
      <c r="J203" s="16" t="s">
        <v>114</v>
      </c>
      <c r="U203" s="15" t="s">
        <v>17977</v>
      </c>
      <c r="W203" s="15">
        <v>802</v>
      </c>
      <c r="X203" s="15">
        <v>213</v>
      </c>
      <c r="Y203" s="15" t="s">
        <v>160</v>
      </c>
      <c r="Z203" s="15" t="s">
        <v>161</v>
      </c>
      <c r="AA203" s="15" t="s">
        <v>162</v>
      </c>
      <c r="AB203" s="15" t="s">
        <v>3396</v>
      </c>
      <c r="AC203" s="15" t="s">
        <v>3396</v>
      </c>
      <c r="AD203" s="15" t="s">
        <v>3396</v>
      </c>
      <c r="AE203" s="15" t="s">
        <v>164</v>
      </c>
      <c r="AF203" s="15" t="s">
        <v>3396</v>
      </c>
      <c r="AG203" s="15" t="s">
        <v>3396</v>
      </c>
      <c r="AH203" s="15" t="s">
        <v>3397</v>
      </c>
      <c r="AL203" s="15" t="s">
        <v>3398</v>
      </c>
      <c r="AN203" s="15">
        <v>743</v>
      </c>
      <c r="AO203" s="15" t="s">
        <v>3399</v>
      </c>
      <c r="AQ203" s="15" t="s">
        <v>3400</v>
      </c>
      <c r="AT203" s="15" t="s">
        <v>3401</v>
      </c>
      <c r="AU203" s="15" t="s">
        <v>3402</v>
      </c>
      <c r="AV203" s="15" t="s">
        <v>3402</v>
      </c>
      <c r="AW203" s="15" t="s">
        <v>3403</v>
      </c>
      <c r="AX203" s="15" t="s">
        <v>3403</v>
      </c>
      <c r="AY203" s="15">
        <f t="shared" si="3"/>
        <v>46</v>
      </c>
      <c r="AZ203" s="15" t="s">
        <v>3404</v>
      </c>
      <c r="BA203" s="15" t="s">
        <v>174</v>
      </c>
      <c r="BB203" s="15" t="s">
        <v>3405</v>
      </c>
      <c r="BE203" s="15" t="s">
        <v>1095</v>
      </c>
      <c r="BJ203" s="15" t="s">
        <v>3406</v>
      </c>
      <c r="BN203" s="15" t="s">
        <v>179</v>
      </c>
      <c r="BP203" s="15" t="s">
        <v>138</v>
      </c>
      <c r="BS203" s="15" t="s">
        <v>3407</v>
      </c>
      <c r="DH203" s="15" t="s">
        <v>17982</v>
      </c>
      <c r="DI203" s="15" t="s">
        <v>17982</v>
      </c>
    </row>
    <row r="204" spans="1:113" s="15" customFormat="1" ht="12.75" x14ac:dyDescent="0.2">
      <c r="A204" s="15" t="s">
        <v>109</v>
      </c>
      <c r="B204" s="15" t="s">
        <v>110</v>
      </c>
      <c r="D204" s="15" t="s">
        <v>620</v>
      </c>
      <c r="E204" s="15" t="s">
        <v>112</v>
      </c>
      <c r="F204" s="15" t="s">
        <v>620</v>
      </c>
      <c r="G204" s="15" t="s">
        <v>113</v>
      </c>
      <c r="H204" s="15" t="s">
        <v>1045</v>
      </c>
      <c r="J204" s="16" t="s">
        <v>114</v>
      </c>
      <c r="U204" s="15" t="s">
        <v>17977</v>
      </c>
      <c r="W204" s="15">
        <v>1819</v>
      </c>
      <c r="X204" s="15">
        <v>214</v>
      </c>
      <c r="Y204" s="15" t="s">
        <v>160</v>
      </c>
      <c r="Z204" s="15" t="s">
        <v>161</v>
      </c>
      <c r="AA204" s="15" t="s">
        <v>162</v>
      </c>
      <c r="AB204" s="15" t="s">
        <v>9746</v>
      </c>
      <c r="AC204" s="15" t="s">
        <v>9746</v>
      </c>
      <c r="AD204" s="15" t="s">
        <v>9746</v>
      </c>
      <c r="AE204" s="15" t="s">
        <v>164</v>
      </c>
      <c r="AF204" s="15" t="s">
        <v>9746</v>
      </c>
      <c r="AG204" s="15" t="s">
        <v>9746</v>
      </c>
      <c r="AH204" s="15" t="s">
        <v>9747</v>
      </c>
      <c r="AL204" s="15" t="s">
        <v>9748</v>
      </c>
      <c r="AN204" s="15">
        <v>743</v>
      </c>
      <c r="AO204" s="15" t="s">
        <v>9749</v>
      </c>
      <c r="AQ204" s="15" t="s">
        <v>6244</v>
      </c>
      <c r="AT204" s="15" t="s">
        <v>9750</v>
      </c>
      <c r="AU204" s="15" t="s">
        <v>9751</v>
      </c>
      <c r="AV204" s="15" t="s">
        <v>9751</v>
      </c>
      <c r="AW204" s="15" t="s">
        <v>9752</v>
      </c>
      <c r="AX204" s="15" t="s">
        <v>9752</v>
      </c>
      <c r="AY204" s="15">
        <f t="shared" si="3"/>
        <v>52</v>
      </c>
      <c r="AZ204" s="15" t="s">
        <v>9535</v>
      </c>
      <c r="BA204" s="15" t="s">
        <v>174</v>
      </c>
      <c r="BB204" s="15" t="s">
        <v>9753</v>
      </c>
      <c r="BE204" s="15" t="s">
        <v>1081</v>
      </c>
      <c r="BF204" s="15" t="s">
        <v>1608</v>
      </c>
      <c r="BJ204" s="15" t="s">
        <v>9754</v>
      </c>
      <c r="BN204" s="15" t="s">
        <v>179</v>
      </c>
      <c r="BP204" s="15" t="s">
        <v>138</v>
      </c>
      <c r="BS204" s="15" t="s">
        <v>9755</v>
      </c>
      <c r="DH204" s="15" t="s">
        <v>17982</v>
      </c>
      <c r="DI204" s="15" t="s">
        <v>17982</v>
      </c>
    </row>
    <row r="205" spans="1:113" s="15" customFormat="1" ht="12.75" x14ac:dyDescent="0.2">
      <c r="A205" s="15" t="s">
        <v>109</v>
      </c>
      <c r="B205" s="15" t="s">
        <v>110</v>
      </c>
      <c r="D205" s="15" t="s">
        <v>620</v>
      </c>
      <c r="E205" s="15" t="s">
        <v>112</v>
      </c>
      <c r="F205" s="15" t="s">
        <v>620</v>
      </c>
      <c r="G205" s="15" t="s">
        <v>113</v>
      </c>
      <c r="H205" s="15" t="s">
        <v>1045</v>
      </c>
      <c r="J205" s="16" t="s">
        <v>114</v>
      </c>
      <c r="U205" s="15" t="s">
        <v>17977</v>
      </c>
      <c r="W205" s="15">
        <v>2803</v>
      </c>
      <c r="X205" s="15">
        <v>215</v>
      </c>
      <c r="Y205" s="15" t="s">
        <v>160</v>
      </c>
      <c r="Z205" s="15" t="s">
        <v>161</v>
      </c>
      <c r="AA205" s="15" t="s">
        <v>162</v>
      </c>
      <c r="AB205" s="15" t="s">
        <v>13611</v>
      </c>
      <c r="AC205" s="15" t="s">
        <v>13611</v>
      </c>
      <c r="AD205" s="15" t="s">
        <v>13611</v>
      </c>
      <c r="AE205" s="15" t="s">
        <v>164</v>
      </c>
      <c r="AF205" s="15" t="s">
        <v>13611</v>
      </c>
      <c r="AG205" s="15" t="s">
        <v>13611</v>
      </c>
      <c r="AH205" s="47" t="s">
        <v>13612</v>
      </c>
      <c r="AL205" s="15" t="s">
        <v>13613</v>
      </c>
      <c r="AN205" s="15">
        <v>743</v>
      </c>
      <c r="AO205" s="15" t="s">
        <v>13614</v>
      </c>
      <c r="AQ205" s="15" t="s">
        <v>13615</v>
      </c>
      <c r="AT205" s="15" t="s">
        <v>13616</v>
      </c>
      <c r="AU205" s="15" t="s">
        <v>13617</v>
      </c>
      <c r="AV205" s="15" t="s">
        <v>13617</v>
      </c>
      <c r="AW205" s="15" t="s">
        <v>13618</v>
      </c>
      <c r="AX205" s="15" t="s">
        <v>13619</v>
      </c>
      <c r="AY205" s="15">
        <f t="shared" si="3"/>
        <v>49</v>
      </c>
      <c r="AZ205" s="15" t="s">
        <v>13620</v>
      </c>
      <c r="BA205" s="15" t="s">
        <v>174</v>
      </c>
      <c r="BB205" s="15" t="s">
        <v>13621</v>
      </c>
      <c r="BE205" s="15" t="s">
        <v>606</v>
      </c>
      <c r="BF205" s="15" t="s">
        <v>13622</v>
      </c>
      <c r="BJ205" s="15" t="s">
        <v>13623</v>
      </c>
      <c r="BN205" s="15" t="s">
        <v>179</v>
      </c>
      <c r="BP205" s="15" t="s">
        <v>138</v>
      </c>
      <c r="BS205" s="15" t="s">
        <v>13624</v>
      </c>
      <c r="DH205" s="15" t="s">
        <v>17982</v>
      </c>
      <c r="DI205" s="15" t="s">
        <v>17982</v>
      </c>
    </row>
    <row r="206" spans="1:113" s="15" customFormat="1" ht="12.75" x14ac:dyDescent="0.2">
      <c r="A206" s="15" t="s">
        <v>109</v>
      </c>
      <c r="B206" s="15" t="s">
        <v>110</v>
      </c>
      <c r="D206" s="15" t="s">
        <v>620</v>
      </c>
      <c r="E206" s="15" t="s">
        <v>112</v>
      </c>
      <c r="F206" s="15" t="s">
        <v>620</v>
      </c>
      <c r="G206" s="15" t="s">
        <v>113</v>
      </c>
      <c r="H206" s="15" t="s">
        <v>1045</v>
      </c>
      <c r="J206" s="16" t="s">
        <v>114</v>
      </c>
      <c r="U206" s="15" t="s">
        <v>17977</v>
      </c>
      <c r="W206" s="15">
        <v>287</v>
      </c>
      <c r="X206" s="15">
        <v>216</v>
      </c>
      <c r="Y206" s="15" t="s">
        <v>160</v>
      </c>
      <c r="Z206" s="15" t="s">
        <v>161</v>
      </c>
      <c r="AA206" s="15" t="s">
        <v>162</v>
      </c>
      <c r="AB206" s="15" t="s">
        <v>1328</v>
      </c>
      <c r="AC206" s="15" t="s">
        <v>1328</v>
      </c>
      <c r="AD206" s="15" t="s">
        <v>1328</v>
      </c>
      <c r="AE206" s="15" t="s">
        <v>164</v>
      </c>
      <c r="AF206" s="15" t="s">
        <v>1328</v>
      </c>
      <c r="AG206" s="15" t="s">
        <v>1328</v>
      </c>
      <c r="AH206" s="15" t="s">
        <v>1329</v>
      </c>
      <c r="AL206" s="15" t="s">
        <v>1330</v>
      </c>
      <c r="AN206" s="15">
        <v>743</v>
      </c>
      <c r="AO206" s="15" t="s">
        <v>1331</v>
      </c>
      <c r="AQ206" s="15" t="s">
        <v>168</v>
      </c>
      <c r="AT206" s="15" t="s">
        <v>1332</v>
      </c>
      <c r="AU206" s="15" t="s">
        <v>1333</v>
      </c>
      <c r="AV206" s="15" t="s">
        <v>1333</v>
      </c>
      <c r="AW206" s="15" t="s">
        <v>1334</v>
      </c>
      <c r="AX206" s="15" t="s">
        <v>1335</v>
      </c>
      <c r="AY206" s="15">
        <f t="shared" si="3"/>
        <v>60</v>
      </c>
      <c r="AZ206" s="15" t="s">
        <v>173</v>
      </c>
      <c r="BA206" s="15" t="s">
        <v>174</v>
      </c>
      <c r="BB206" s="15" t="s">
        <v>1336</v>
      </c>
      <c r="BC206" s="15" t="s">
        <v>1055</v>
      </c>
      <c r="BE206" s="15" t="s">
        <v>1337</v>
      </c>
      <c r="BI206" s="15" t="s">
        <v>1200</v>
      </c>
      <c r="BJ206" s="15" t="s">
        <v>1338</v>
      </c>
      <c r="BN206" s="15" t="s">
        <v>179</v>
      </c>
      <c r="BP206" s="15" t="s">
        <v>138</v>
      </c>
      <c r="BS206" s="15" t="s">
        <v>1339</v>
      </c>
      <c r="DH206" s="15" t="s">
        <v>17982</v>
      </c>
      <c r="DI206" s="15" t="s">
        <v>17982</v>
      </c>
    </row>
    <row r="207" spans="1:113" s="15" customFormat="1" ht="12.75" x14ac:dyDescent="0.2">
      <c r="A207" s="15" t="s">
        <v>109</v>
      </c>
      <c r="B207" s="15" t="s">
        <v>110</v>
      </c>
      <c r="D207" s="15" t="s">
        <v>620</v>
      </c>
      <c r="E207" s="15" t="s">
        <v>112</v>
      </c>
      <c r="F207" s="15" t="s">
        <v>620</v>
      </c>
      <c r="G207" s="15" t="s">
        <v>113</v>
      </c>
      <c r="H207" s="15" t="s">
        <v>1045</v>
      </c>
      <c r="J207" s="16" t="s">
        <v>114</v>
      </c>
      <c r="U207" s="15" t="s">
        <v>17977</v>
      </c>
      <c r="W207" s="15">
        <v>1529</v>
      </c>
      <c r="X207" s="15">
        <v>217</v>
      </c>
      <c r="Y207" s="15" t="s">
        <v>160</v>
      </c>
      <c r="Z207" s="15" t="s">
        <v>161</v>
      </c>
      <c r="AA207" s="15" t="s">
        <v>162</v>
      </c>
      <c r="AB207" s="15" t="s">
        <v>7869</v>
      </c>
      <c r="AC207" s="15" t="s">
        <v>7869</v>
      </c>
      <c r="AD207" s="15" t="s">
        <v>7869</v>
      </c>
      <c r="AE207" s="15" t="s">
        <v>164</v>
      </c>
      <c r="AF207" s="15" t="s">
        <v>7869</v>
      </c>
      <c r="AG207" s="15" t="s">
        <v>7869</v>
      </c>
      <c r="AH207" s="47" t="s">
        <v>7870</v>
      </c>
      <c r="AI207" s="15">
        <v>42294925</v>
      </c>
      <c r="AK207" s="15" t="s">
        <v>7871</v>
      </c>
      <c r="AL207" s="15" t="s">
        <v>7872</v>
      </c>
      <c r="AN207" s="15">
        <v>743</v>
      </c>
      <c r="AO207" s="15" t="s">
        <v>7873</v>
      </c>
      <c r="AQ207" s="15" t="s">
        <v>168</v>
      </c>
      <c r="AT207" s="15" t="s">
        <v>7874</v>
      </c>
      <c r="AU207" s="15" t="s">
        <v>7875</v>
      </c>
      <c r="AV207" s="15" t="s">
        <v>7875</v>
      </c>
      <c r="AW207" s="15" t="s">
        <v>7876</v>
      </c>
      <c r="AX207" s="15" t="s">
        <v>7877</v>
      </c>
      <c r="AY207" s="15">
        <f t="shared" si="3"/>
        <v>56</v>
      </c>
      <c r="AZ207" s="15" t="s">
        <v>173</v>
      </c>
      <c r="BA207" s="15" t="s">
        <v>174</v>
      </c>
      <c r="BB207" s="15" t="s">
        <v>7878</v>
      </c>
      <c r="BE207" s="15" t="s">
        <v>1082</v>
      </c>
      <c r="BI207" s="15" t="s">
        <v>1200</v>
      </c>
      <c r="BJ207" s="15" t="s">
        <v>7879</v>
      </c>
      <c r="BK207" s="15" t="s">
        <v>487</v>
      </c>
      <c r="BN207" s="15" t="s">
        <v>179</v>
      </c>
      <c r="BP207" s="15" t="s">
        <v>138</v>
      </c>
      <c r="BS207" s="15" t="s">
        <v>7880</v>
      </c>
      <c r="DH207" s="15" t="s">
        <v>17982</v>
      </c>
      <c r="DI207" s="15" t="s">
        <v>17982</v>
      </c>
    </row>
    <row r="208" spans="1:113" s="15" customFormat="1" ht="12.75" x14ac:dyDescent="0.2">
      <c r="A208" s="15" t="s">
        <v>109</v>
      </c>
      <c r="B208" s="15" t="s">
        <v>110</v>
      </c>
      <c r="D208" s="15" t="s">
        <v>620</v>
      </c>
      <c r="E208" s="15" t="s">
        <v>112</v>
      </c>
      <c r="F208" s="15" t="s">
        <v>620</v>
      </c>
      <c r="G208" s="15" t="s">
        <v>113</v>
      </c>
      <c r="H208" s="15" t="s">
        <v>1045</v>
      </c>
      <c r="J208" s="16" t="s">
        <v>114</v>
      </c>
      <c r="U208" s="15" t="s">
        <v>17977</v>
      </c>
      <c r="W208" s="15">
        <v>1530</v>
      </c>
      <c r="X208" s="15">
        <v>218</v>
      </c>
      <c r="Y208" s="15" t="s">
        <v>160</v>
      </c>
      <c r="Z208" s="15" t="s">
        <v>161</v>
      </c>
      <c r="AA208" s="15" t="s">
        <v>162</v>
      </c>
      <c r="AB208" s="15" t="s">
        <v>7881</v>
      </c>
      <c r="AC208" s="15" t="s">
        <v>7881</v>
      </c>
      <c r="AD208" s="15" t="s">
        <v>7881</v>
      </c>
      <c r="AE208" s="15" t="s">
        <v>164</v>
      </c>
      <c r="AF208" s="15" t="s">
        <v>7881</v>
      </c>
      <c r="AG208" s="15" t="s">
        <v>7881</v>
      </c>
      <c r="AH208" s="47" t="s">
        <v>7882</v>
      </c>
      <c r="AL208" s="15" t="s">
        <v>7883</v>
      </c>
      <c r="AN208" s="15">
        <v>743</v>
      </c>
      <c r="AO208" s="15" t="s">
        <v>7884</v>
      </c>
      <c r="AQ208" s="15" t="s">
        <v>168</v>
      </c>
      <c r="AT208" s="15" t="s">
        <v>7885</v>
      </c>
      <c r="AU208" s="15" t="s">
        <v>7886</v>
      </c>
      <c r="AV208" s="15" t="s">
        <v>7886</v>
      </c>
      <c r="AW208" s="15" t="s">
        <v>7887</v>
      </c>
      <c r="AX208" s="15" t="s">
        <v>7888</v>
      </c>
      <c r="AY208" s="15">
        <f t="shared" si="3"/>
        <v>57</v>
      </c>
      <c r="AZ208" s="15" t="s">
        <v>173</v>
      </c>
      <c r="BA208" s="15" t="s">
        <v>174</v>
      </c>
      <c r="BB208" s="15" t="s">
        <v>7878</v>
      </c>
      <c r="BE208" s="15" t="s">
        <v>2739</v>
      </c>
      <c r="BI208" s="15" t="s">
        <v>1200</v>
      </c>
      <c r="BJ208" s="15" t="s">
        <v>7889</v>
      </c>
      <c r="BK208" s="15" t="s">
        <v>487</v>
      </c>
      <c r="BN208" s="15" t="s">
        <v>179</v>
      </c>
      <c r="BP208" s="15" t="s">
        <v>138</v>
      </c>
      <c r="BS208" s="15" t="s">
        <v>7890</v>
      </c>
      <c r="DH208" s="15" t="s">
        <v>17982</v>
      </c>
      <c r="DI208" s="15" t="s">
        <v>17982</v>
      </c>
    </row>
    <row r="209" spans="1:113" s="15" customFormat="1" ht="12.75" x14ac:dyDescent="0.2">
      <c r="A209" s="15" t="s">
        <v>109</v>
      </c>
      <c r="B209" s="15" t="s">
        <v>110</v>
      </c>
      <c r="D209" s="15" t="s">
        <v>620</v>
      </c>
      <c r="E209" s="15" t="s">
        <v>112</v>
      </c>
      <c r="F209" s="15" t="s">
        <v>620</v>
      </c>
      <c r="G209" s="15" t="s">
        <v>113</v>
      </c>
      <c r="H209" s="15" t="s">
        <v>1045</v>
      </c>
      <c r="J209" s="16" t="s">
        <v>114</v>
      </c>
      <c r="U209" s="15" t="s">
        <v>17977</v>
      </c>
      <c r="W209" s="15">
        <v>1531</v>
      </c>
      <c r="X209" s="15">
        <v>219</v>
      </c>
      <c r="Y209" s="15" t="s">
        <v>160</v>
      </c>
      <c r="Z209" s="15" t="s">
        <v>161</v>
      </c>
      <c r="AA209" s="15" t="s">
        <v>162</v>
      </c>
      <c r="AB209" s="15" t="s">
        <v>7891</v>
      </c>
      <c r="AC209" s="15" t="s">
        <v>7891</v>
      </c>
      <c r="AD209" s="15" t="s">
        <v>7891</v>
      </c>
      <c r="AE209" s="15" t="s">
        <v>164</v>
      </c>
      <c r="AF209" s="15" t="s">
        <v>7891</v>
      </c>
      <c r="AG209" s="15" t="s">
        <v>7891</v>
      </c>
      <c r="AH209" s="47" t="s">
        <v>7892</v>
      </c>
      <c r="AL209" s="15" t="s">
        <v>7893</v>
      </c>
      <c r="AN209" s="15">
        <v>743</v>
      </c>
      <c r="AO209" s="15" t="s">
        <v>7894</v>
      </c>
      <c r="AQ209" s="15" t="s">
        <v>168</v>
      </c>
      <c r="AT209" s="15" t="s">
        <v>7895</v>
      </c>
      <c r="AU209" s="15" t="s">
        <v>7896</v>
      </c>
      <c r="AV209" s="15" t="s">
        <v>7896</v>
      </c>
      <c r="AW209" s="15" t="s">
        <v>7897</v>
      </c>
      <c r="AX209" s="15" t="s">
        <v>7898</v>
      </c>
      <c r="AY209" s="15">
        <f t="shared" si="3"/>
        <v>60</v>
      </c>
      <c r="AZ209" s="15" t="s">
        <v>173</v>
      </c>
      <c r="BA209" s="15" t="s">
        <v>174</v>
      </c>
      <c r="BB209" s="15" t="s">
        <v>7878</v>
      </c>
      <c r="BE209" s="15" t="s">
        <v>7899</v>
      </c>
      <c r="BI209" s="15" t="s">
        <v>1200</v>
      </c>
      <c r="BJ209" s="15" t="s">
        <v>7900</v>
      </c>
      <c r="BK209" s="15" t="s">
        <v>487</v>
      </c>
      <c r="BN209" s="15" t="s">
        <v>179</v>
      </c>
      <c r="BP209" s="15" t="s">
        <v>138</v>
      </c>
      <c r="BS209" s="15" t="s">
        <v>7901</v>
      </c>
      <c r="DH209" s="15" t="s">
        <v>17982</v>
      </c>
      <c r="DI209" s="15" t="s">
        <v>17982</v>
      </c>
    </row>
    <row r="210" spans="1:113" s="15" customFormat="1" ht="12.75" x14ac:dyDescent="0.2">
      <c r="A210" s="15" t="s">
        <v>109</v>
      </c>
      <c r="B210" s="15" t="s">
        <v>110</v>
      </c>
      <c r="D210" s="15" t="s">
        <v>620</v>
      </c>
      <c r="E210" s="15" t="s">
        <v>112</v>
      </c>
      <c r="F210" s="15" t="s">
        <v>620</v>
      </c>
      <c r="G210" s="15" t="s">
        <v>113</v>
      </c>
      <c r="H210" s="15" t="s">
        <v>1045</v>
      </c>
      <c r="J210" s="16" t="s">
        <v>114</v>
      </c>
      <c r="U210" s="15" t="s">
        <v>17977</v>
      </c>
      <c r="W210" s="15">
        <v>3596</v>
      </c>
      <c r="X210" s="15">
        <v>220</v>
      </c>
      <c r="Y210" s="15" t="s">
        <v>160</v>
      </c>
      <c r="Z210" s="15" t="s">
        <v>161</v>
      </c>
      <c r="AA210" s="15" t="s">
        <v>162</v>
      </c>
      <c r="AB210" s="15" t="s">
        <v>17384</v>
      </c>
      <c r="AC210" s="15" t="s">
        <v>17384</v>
      </c>
      <c r="AD210" s="15" t="s">
        <v>17384</v>
      </c>
      <c r="AE210" s="15" t="s">
        <v>164</v>
      </c>
      <c r="AF210" s="15" t="s">
        <v>17384</v>
      </c>
      <c r="AG210" s="15" t="s">
        <v>17384</v>
      </c>
      <c r="AH210" s="15" t="s">
        <v>17385</v>
      </c>
      <c r="AL210" s="15" t="s">
        <v>17386</v>
      </c>
      <c r="AN210" s="15">
        <v>743</v>
      </c>
      <c r="AO210" s="15" t="s">
        <v>17387</v>
      </c>
      <c r="AQ210" s="15" t="s">
        <v>168</v>
      </c>
      <c r="AT210" s="15" t="s">
        <v>17388</v>
      </c>
      <c r="AU210" s="15" t="s">
        <v>17389</v>
      </c>
      <c r="AV210" s="15" t="s">
        <v>17389</v>
      </c>
      <c r="AW210" s="15" t="s">
        <v>17390</v>
      </c>
      <c r="AX210" s="15" t="s">
        <v>17391</v>
      </c>
      <c r="AY210" s="15">
        <f t="shared" si="3"/>
        <v>60</v>
      </c>
      <c r="AZ210" s="15" t="s">
        <v>173</v>
      </c>
      <c r="BA210" s="15" t="s">
        <v>174</v>
      </c>
      <c r="BB210" s="15" t="s">
        <v>17392</v>
      </c>
      <c r="BE210" s="15" t="s">
        <v>1894</v>
      </c>
      <c r="BI210" s="15" t="s">
        <v>1200</v>
      </c>
      <c r="BJ210" s="15" t="s">
        <v>17393</v>
      </c>
      <c r="BN210" s="15" t="s">
        <v>179</v>
      </c>
      <c r="BP210" s="15" t="s">
        <v>138</v>
      </c>
      <c r="BS210" s="15" t="s">
        <v>17394</v>
      </c>
      <c r="DH210" s="15" t="s">
        <v>17982</v>
      </c>
      <c r="DI210" s="15" t="s">
        <v>17982</v>
      </c>
    </row>
    <row r="211" spans="1:113" s="15" customFormat="1" ht="12.75" x14ac:dyDescent="0.2">
      <c r="A211" s="15" t="s">
        <v>109</v>
      </c>
      <c r="B211" s="15" t="s">
        <v>110</v>
      </c>
      <c r="D211" s="15" t="s">
        <v>620</v>
      </c>
      <c r="E211" s="15" t="s">
        <v>112</v>
      </c>
      <c r="F211" s="15" t="s">
        <v>620</v>
      </c>
      <c r="G211" s="15" t="s">
        <v>113</v>
      </c>
      <c r="H211" s="15" t="s">
        <v>1045</v>
      </c>
      <c r="J211" s="16" t="s">
        <v>114</v>
      </c>
      <c r="U211" s="15" t="s">
        <v>17977</v>
      </c>
      <c r="W211" s="15">
        <v>836</v>
      </c>
      <c r="X211" s="15">
        <v>221</v>
      </c>
      <c r="Y211" s="15" t="s">
        <v>160</v>
      </c>
      <c r="Z211" s="15" t="s">
        <v>161</v>
      </c>
      <c r="AA211" s="15" t="s">
        <v>162</v>
      </c>
      <c r="AB211" s="15" t="s">
        <v>3576</v>
      </c>
      <c r="AC211" s="15" t="s">
        <v>3576</v>
      </c>
      <c r="AD211" s="15" t="s">
        <v>3576</v>
      </c>
      <c r="AE211" s="15" t="s">
        <v>164</v>
      </c>
      <c r="AF211" s="15" t="s">
        <v>3576</v>
      </c>
      <c r="AG211" s="15" t="s">
        <v>3576</v>
      </c>
      <c r="AH211" s="15" t="s">
        <v>3577</v>
      </c>
      <c r="AL211" s="15" t="s">
        <v>3578</v>
      </c>
      <c r="AN211" s="15">
        <v>743</v>
      </c>
      <c r="AO211" s="15" t="s">
        <v>3579</v>
      </c>
      <c r="AQ211" s="15" t="s">
        <v>168</v>
      </c>
      <c r="AT211" s="15" t="s">
        <v>3580</v>
      </c>
      <c r="AU211" s="15" t="s">
        <v>3581</v>
      </c>
      <c r="AV211" s="15" t="s">
        <v>3581</v>
      </c>
      <c r="AW211" s="15" t="s">
        <v>3582</v>
      </c>
      <c r="AX211" s="15" t="s">
        <v>3582</v>
      </c>
      <c r="AY211" s="15">
        <f t="shared" si="3"/>
        <v>32</v>
      </c>
      <c r="AZ211" s="15" t="s">
        <v>173</v>
      </c>
      <c r="BA211" s="15" t="s">
        <v>174</v>
      </c>
      <c r="BE211" s="15" t="s">
        <v>617</v>
      </c>
      <c r="BF211" s="15" t="s">
        <v>217</v>
      </c>
      <c r="BJ211" s="15" t="s">
        <v>1239</v>
      </c>
      <c r="BN211" s="15" t="s">
        <v>179</v>
      </c>
      <c r="BP211" s="15" t="s">
        <v>138</v>
      </c>
      <c r="BS211" s="15" t="s">
        <v>3583</v>
      </c>
      <c r="DH211" s="15" t="s">
        <v>17982</v>
      </c>
      <c r="DI211" s="15" t="s">
        <v>17982</v>
      </c>
    </row>
    <row r="212" spans="1:113" s="15" customFormat="1" ht="12.75" x14ac:dyDescent="0.2">
      <c r="A212" s="15" t="s">
        <v>109</v>
      </c>
      <c r="B212" s="15" t="s">
        <v>110</v>
      </c>
      <c r="D212" s="15" t="s">
        <v>620</v>
      </c>
      <c r="E212" s="15" t="s">
        <v>112</v>
      </c>
      <c r="F212" s="15" t="s">
        <v>620</v>
      </c>
      <c r="G212" s="15" t="s">
        <v>113</v>
      </c>
      <c r="H212" s="15" t="s">
        <v>1045</v>
      </c>
      <c r="J212" s="16" t="s">
        <v>114</v>
      </c>
      <c r="U212" s="15" t="s">
        <v>17977</v>
      </c>
      <c r="W212" s="15">
        <v>837</v>
      </c>
      <c r="X212" s="15">
        <v>222</v>
      </c>
      <c r="Y212" s="15" t="s">
        <v>160</v>
      </c>
      <c r="Z212" s="15" t="s">
        <v>161</v>
      </c>
      <c r="AA212" s="15" t="s">
        <v>162</v>
      </c>
      <c r="AB212" s="15" t="s">
        <v>3584</v>
      </c>
      <c r="AC212" s="15" t="s">
        <v>3584</v>
      </c>
      <c r="AD212" s="15" t="s">
        <v>3584</v>
      </c>
      <c r="AE212" s="15" t="s">
        <v>164</v>
      </c>
      <c r="AF212" s="15" t="s">
        <v>3584</v>
      </c>
      <c r="AG212" s="15" t="s">
        <v>3584</v>
      </c>
      <c r="AH212" s="15" t="s">
        <v>3585</v>
      </c>
      <c r="AL212" s="15" t="s">
        <v>3586</v>
      </c>
      <c r="AN212" s="15">
        <v>743</v>
      </c>
      <c r="AO212" s="15" t="s">
        <v>3587</v>
      </c>
      <c r="AQ212" s="15" t="s">
        <v>168</v>
      </c>
      <c r="AT212" s="15" t="s">
        <v>3588</v>
      </c>
      <c r="AU212" s="15" t="s">
        <v>3589</v>
      </c>
      <c r="AV212" s="15" t="s">
        <v>3589</v>
      </c>
      <c r="AW212" s="15" t="s">
        <v>3590</v>
      </c>
      <c r="AX212" s="15" t="s">
        <v>3590</v>
      </c>
      <c r="AY212" s="15">
        <f t="shared" si="3"/>
        <v>32</v>
      </c>
      <c r="AZ212" s="15" t="s">
        <v>173</v>
      </c>
      <c r="BA212" s="15" t="s">
        <v>174</v>
      </c>
      <c r="BE212" s="15" t="s">
        <v>617</v>
      </c>
      <c r="BF212" s="15" t="s">
        <v>3591</v>
      </c>
      <c r="BJ212" s="15" t="s">
        <v>1239</v>
      </c>
      <c r="BN212" s="15" t="s">
        <v>179</v>
      </c>
      <c r="BP212" s="15" t="s">
        <v>138</v>
      </c>
      <c r="BS212" s="15" t="s">
        <v>3592</v>
      </c>
      <c r="DH212" s="15" t="s">
        <v>17982</v>
      </c>
      <c r="DI212" s="15" t="s">
        <v>17982</v>
      </c>
    </row>
    <row r="213" spans="1:113" s="15" customFormat="1" ht="12.75" x14ac:dyDescent="0.2">
      <c r="A213" s="15" t="s">
        <v>109</v>
      </c>
      <c r="B213" s="15" t="s">
        <v>110</v>
      </c>
      <c r="D213" s="15" t="s">
        <v>620</v>
      </c>
      <c r="E213" s="15" t="s">
        <v>112</v>
      </c>
      <c r="F213" s="15" t="s">
        <v>620</v>
      </c>
      <c r="G213" s="15" t="s">
        <v>113</v>
      </c>
      <c r="H213" s="15" t="s">
        <v>1045</v>
      </c>
      <c r="J213" s="16" t="s">
        <v>114</v>
      </c>
      <c r="U213" s="15" t="s">
        <v>17977</v>
      </c>
      <c r="W213" s="15">
        <v>3112</v>
      </c>
      <c r="X213" s="15">
        <v>223</v>
      </c>
      <c r="Y213" s="15" t="s">
        <v>160</v>
      </c>
      <c r="Z213" s="15" t="s">
        <v>161</v>
      </c>
      <c r="AA213" s="15" t="s">
        <v>162</v>
      </c>
      <c r="AB213" s="15" t="s">
        <v>15002</v>
      </c>
      <c r="AC213" s="15" t="s">
        <v>15002</v>
      </c>
      <c r="AD213" s="15" t="s">
        <v>15002</v>
      </c>
      <c r="AE213" s="15" t="s">
        <v>164</v>
      </c>
      <c r="AF213" s="15" t="s">
        <v>15002</v>
      </c>
      <c r="AG213" s="15" t="s">
        <v>15002</v>
      </c>
      <c r="AH213" s="15" t="s">
        <v>15003</v>
      </c>
      <c r="AL213" s="15" t="s">
        <v>15004</v>
      </c>
      <c r="AN213" s="15">
        <v>743</v>
      </c>
      <c r="AO213" s="15" t="s">
        <v>15005</v>
      </c>
      <c r="AQ213" s="15" t="s">
        <v>168</v>
      </c>
      <c r="AT213" s="15" t="s">
        <v>15006</v>
      </c>
      <c r="AU213" s="15" t="s">
        <v>15007</v>
      </c>
      <c r="AV213" s="15" t="s">
        <v>15007</v>
      </c>
      <c r="AW213" s="15" t="s">
        <v>15008</v>
      </c>
      <c r="AX213" s="15" t="s">
        <v>15009</v>
      </c>
      <c r="AY213" s="15">
        <f t="shared" si="3"/>
        <v>59</v>
      </c>
      <c r="AZ213" s="15" t="s">
        <v>173</v>
      </c>
      <c r="BA213" s="15" t="s">
        <v>174</v>
      </c>
      <c r="BB213" s="15" t="s">
        <v>15010</v>
      </c>
      <c r="BE213" s="15" t="s">
        <v>918</v>
      </c>
      <c r="BF213" s="15" t="s">
        <v>1667</v>
      </c>
      <c r="BI213" s="15" t="s">
        <v>1200</v>
      </c>
      <c r="BJ213" s="15" t="s">
        <v>15011</v>
      </c>
      <c r="BN213" s="15" t="s">
        <v>179</v>
      </c>
      <c r="BP213" s="15" t="s">
        <v>138</v>
      </c>
      <c r="BS213" s="15" t="s">
        <v>15012</v>
      </c>
      <c r="DH213" s="15" t="s">
        <v>17982</v>
      </c>
      <c r="DI213" s="15" t="s">
        <v>17982</v>
      </c>
    </row>
    <row r="214" spans="1:113" s="15" customFormat="1" ht="12.75" x14ac:dyDescent="0.2">
      <c r="A214" s="15" t="s">
        <v>109</v>
      </c>
      <c r="B214" s="15" t="s">
        <v>110</v>
      </c>
      <c r="D214" s="15" t="s">
        <v>620</v>
      </c>
      <c r="E214" s="15" t="s">
        <v>112</v>
      </c>
      <c r="F214" s="15" t="s">
        <v>620</v>
      </c>
      <c r="G214" s="15" t="s">
        <v>113</v>
      </c>
      <c r="H214" s="15" t="s">
        <v>1045</v>
      </c>
      <c r="J214" s="16" t="s">
        <v>114</v>
      </c>
      <c r="U214" s="15" t="s">
        <v>17977</v>
      </c>
      <c r="W214" s="15">
        <v>1624</v>
      </c>
      <c r="X214" s="15">
        <v>224</v>
      </c>
      <c r="Y214" s="15" t="s">
        <v>160</v>
      </c>
      <c r="Z214" s="15" t="s">
        <v>161</v>
      </c>
      <c r="AA214" s="15" t="s">
        <v>162</v>
      </c>
      <c r="AB214" s="15" t="s">
        <v>8353</v>
      </c>
      <c r="AC214" s="15" t="s">
        <v>8353</v>
      </c>
      <c r="AD214" s="15" t="s">
        <v>8353</v>
      </c>
      <c r="AE214" s="15" t="s">
        <v>164</v>
      </c>
      <c r="AF214" s="15" t="s">
        <v>8353</v>
      </c>
      <c r="AG214" s="15" t="s">
        <v>8353</v>
      </c>
      <c r="AH214" s="47" t="s">
        <v>8354</v>
      </c>
      <c r="AL214" s="15" t="s">
        <v>8355</v>
      </c>
      <c r="AN214" s="15">
        <v>743</v>
      </c>
      <c r="AO214" s="15" t="s">
        <v>8356</v>
      </c>
      <c r="AQ214" s="15" t="s">
        <v>168</v>
      </c>
      <c r="AT214" s="15" t="s">
        <v>8357</v>
      </c>
      <c r="AU214" s="15" t="s">
        <v>8358</v>
      </c>
      <c r="AV214" s="15" t="s">
        <v>8358</v>
      </c>
      <c r="AW214" s="15" t="s">
        <v>8359</v>
      </c>
      <c r="AX214" s="15" t="s">
        <v>8359</v>
      </c>
      <c r="AY214" s="15">
        <f t="shared" si="3"/>
        <v>60</v>
      </c>
      <c r="AZ214" s="15" t="s">
        <v>173</v>
      </c>
      <c r="BA214" s="15" t="s">
        <v>174</v>
      </c>
      <c r="BB214" s="15" t="s">
        <v>8360</v>
      </c>
      <c r="BE214" s="15" t="s">
        <v>2785</v>
      </c>
      <c r="BF214" s="15" t="s">
        <v>217</v>
      </c>
      <c r="BI214" s="15" t="s">
        <v>1200</v>
      </c>
      <c r="BJ214" s="15" t="s">
        <v>8361</v>
      </c>
      <c r="BN214" s="15" t="s">
        <v>179</v>
      </c>
      <c r="BP214" s="15" t="s">
        <v>138</v>
      </c>
      <c r="BS214" s="15" t="s">
        <v>8362</v>
      </c>
      <c r="DH214" s="15" t="s">
        <v>17982</v>
      </c>
      <c r="DI214" s="15" t="s">
        <v>17982</v>
      </c>
    </row>
    <row r="215" spans="1:113" s="15" customFormat="1" ht="12.75" x14ac:dyDescent="0.2">
      <c r="A215" s="15" t="s">
        <v>109</v>
      </c>
      <c r="B215" s="15" t="s">
        <v>110</v>
      </c>
      <c r="D215" s="15" t="s">
        <v>620</v>
      </c>
      <c r="E215" s="15" t="s">
        <v>112</v>
      </c>
      <c r="F215" s="15" t="s">
        <v>620</v>
      </c>
      <c r="G215" s="15" t="s">
        <v>113</v>
      </c>
      <c r="H215" s="15" t="s">
        <v>1045</v>
      </c>
      <c r="J215" s="16" t="s">
        <v>114</v>
      </c>
      <c r="U215" s="15" t="s">
        <v>17977</v>
      </c>
      <c r="W215" s="15">
        <v>2996</v>
      </c>
      <c r="X215" s="15">
        <v>225</v>
      </c>
      <c r="Y215" s="15" t="s">
        <v>160</v>
      </c>
      <c r="Z215" s="15" t="s">
        <v>161</v>
      </c>
      <c r="AA215" s="15" t="s">
        <v>162</v>
      </c>
      <c r="AB215" s="15" t="s">
        <v>14686</v>
      </c>
      <c r="AC215" s="15" t="s">
        <v>14686</v>
      </c>
      <c r="AD215" s="15" t="s">
        <v>14686</v>
      </c>
      <c r="AE215" s="15" t="s">
        <v>164</v>
      </c>
      <c r="AF215" s="15" t="s">
        <v>14686</v>
      </c>
      <c r="AG215" s="15" t="s">
        <v>14686</v>
      </c>
      <c r="AH215" s="15" t="s">
        <v>14687</v>
      </c>
      <c r="AL215" s="15" t="s">
        <v>14688</v>
      </c>
      <c r="AN215" s="15">
        <v>743</v>
      </c>
      <c r="AO215" s="15" t="s">
        <v>14689</v>
      </c>
      <c r="AQ215" s="15" t="s">
        <v>1193</v>
      </c>
      <c r="AT215" s="15" t="s">
        <v>14690</v>
      </c>
      <c r="AU215" s="15" t="s">
        <v>14691</v>
      </c>
      <c r="AV215" s="15" t="s">
        <v>14691</v>
      </c>
      <c r="AW215" s="15" t="s">
        <v>14692</v>
      </c>
      <c r="AX215" s="15" t="s">
        <v>14693</v>
      </c>
      <c r="AY215" s="15">
        <f t="shared" si="3"/>
        <v>59</v>
      </c>
      <c r="AZ215" s="15" t="s">
        <v>1634</v>
      </c>
      <c r="BA215" s="15" t="s">
        <v>174</v>
      </c>
      <c r="BB215" s="15" t="s">
        <v>14694</v>
      </c>
      <c r="BC215" s="15">
        <v>4</v>
      </c>
      <c r="BE215" s="15" t="s">
        <v>1081</v>
      </c>
      <c r="BF215" s="15" t="s">
        <v>14695</v>
      </c>
      <c r="BJ215" s="15" t="s">
        <v>14696</v>
      </c>
      <c r="BN215" s="15" t="s">
        <v>179</v>
      </c>
      <c r="BP215" s="15" t="s">
        <v>138</v>
      </c>
      <c r="BS215" s="15" t="s">
        <v>14697</v>
      </c>
      <c r="DH215" s="15" t="s">
        <v>17982</v>
      </c>
      <c r="DI215" s="15" t="s">
        <v>17982</v>
      </c>
    </row>
    <row r="216" spans="1:113" s="15" customFormat="1" ht="12.75" x14ac:dyDescent="0.2">
      <c r="A216" s="15" t="s">
        <v>109</v>
      </c>
      <c r="B216" s="15" t="s">
        <v>110</v>
      </c>
      <c r="D216" s="15" t="s">
        <v>620</v>
      </c>
      <c r="E216" s="15" t="s">
        <v>112</v>
      </c>
      <c r="F216" s="15" t="s">
        <v>620</v>
      </c>
      <c r="G216" s="15" t="s">
        <v>113</v>
      </c>
      <c r="H216" s="15" t="s">
        <v>1045</v>
      </c>
      <c r="J216" s="16" t="s">
        <v>114</v>
      </c>
      <c r="U216" s="15" t="s">
        <v>17977</v>
      </c>
      <c r="W216" s="15">
        <v>2997</v>
      </c>
      <c r="X216" s="15">
        <v>226</v>
      </c>
      <c r="Y216" s="15" t="s">
        <v>160</v>
      </c>
      <c r="Z216" s="15" t="s">
        <v>161</v>
      </c>
      <c r="AA216" s="15" t="s">
        <v>162</v>
      </c>
      <c r="AB216" s="15" t="s">
        <v>14698</v>
      </c>
      <c r="AC216" s="15" t="s">
        <v>14698</v>
      </c>
      <c r="AD216" s="15" t="s">
        <v>14698</v>
      </c>
      <c r="AE216" s="15" t="s">
        <v>164</v>
      </c>
      <c r="AF216" s="15" t="s">
        <v>14698</v>
      </c>
      <c r="AG216" s="15" t="s">
        <v>14698</v>
      </c>
      <c r="AH216" s="15" t="s">
        <v>14699</v>
      </c>
      <c r="AL216" s="15" t="s">
        <v>14700</v>
      </c>
      <c r="AN216" s="15">
        <v>743</v>
      </c>
      <c r="AO216" s="15" t="s">
        <v>14701</v>
      </c>
      <c r="AQ216" s="15" t="s">
        <v>1193</v>
      </c>
      <c r="AT216" s="15" t="s">
        <v>14702</v>
      </c>
      <c r="AU216" s="15" t="s">
        <v>14703</v>
      </c>
      <c r="AV216" s="15" t="s">
        <v>14703</v>
      </c>
      <c r="AW216" s="15" t="s">
        <v>14704</v>
      </c>
      <c r="AX216" s="15" t="s">
        <v>14705</v>
      </c>
      <c r="AY216" s="15">
        <f t="shared" si="3"/>
        <v>59</v>
      </c>
      <c r="AZ216" s="15" t="s">
        <v>1634</v>
      </c>
      <c r="BA216" s="15" t="s">
        <v>174</v>
      </c>
      <c r="BB216" s="15" t="s">
        <v>14694</v>
      </c>
      <c r="BC216" s="15">
        <v>5</v>
      </c>
      <c r="BE216" s="15" t="s">
        <v>1081</v>
      </c>
      <c r="BF216" s="15" t="s">
        <v>14706</v>
      </c>
      <c r="BJ216" s="15" t="s">
        <v>14696</v>
      </c>
      <c r="BN216" s="15" t="s">
        <v>179</v>
      </c>
      <c r="BP216" s="15" t="s">
        <v>138</v>
      </c>
      <c r="BS216" s="15" t="s">
        <v>14707</v>
      </c>
      <c r="DH216" s="15" t="s">
        <v>17982</v>
      </c>
      <c r="DI216" s="15" t="s">
        <v>17982</v>
      </c>
    </row>
    <row r="217" spans="1:113" s="15" customFormat="1" ht="12.75" x14ac:dyDescent="0.2">
      <c r="A217" s="15" t="s">
        <v>109</v>
      </c>
      <c r="B217" s="15" t="s">
        <v>110</v>
      </c>
      <c r="D217" s="15" t="s">
        <v>620</v>
      </c>
      <c r="E217" s="15" t="s">
        <v>112</v>
      </c>
      <c r="F217" s="15" t="s">
        <v>620</v>
      </c>
      <c r="G217" s="15" t="s">
        <v>113</v>
      </c>
      <c r="H217" s="15" t="s">
        <v>1045</v>
      </c>
      <c r="J217" s="16" t="s">
        <v>114</v>
      </c>
      <c r="U217" s="15" t="s">
        <v>17977</v>
      </c>
      <c r="W217" s="15">
        <v>3355</v>
      </c>
      <c r="X217" s="15">
        <v>227</v>
      </c>
      <c r="Y217" s="15" t="s">
        <v>160</v>
      </c>
      <c r="Z217" s="15" t="s">
        <v>161</v>
      </c>
      <c r="AA217" s="15" t="s">
        <v>162</v>
      </c>
      <c r="AB217" s="15" t="s">
        <v>16188</v>
      </c>
      <c r="AC217" s="15" t="s">
        <v>16188</v>
      </c>
      <c r="AD217" s="15" t="s">
        <v>16188</v>
      </c>
      <c r="AE217" s="15" t="s">
        <v>164</v>
      </c>
      <c r="AF217" s="15" t="s">
        <v>16188</v>
      </c>
      <c r="AG217" s="15" t="s">
        <v>16188</v>
      </c>
      <c r="AH217" s="15" t="s">
        <v>16189</v>
      </c>
      <c r="AL217" s="15" t="s">
        <v>16190</v>
      </c>
      <c r="AN217" s="15">
        <v>743</v>
      </c>
      <c r="AO217" s="15" t="s">
        <v>16191</v>
      </c>
      <c r="AQ217" s="15" t="s">
        <v>2747</v>
      </c>
      <c r="AT217" s="15" t="s">
        <v>16192</v>
      </c>
      <c r="AU217" s="15" t="s">
        <v>16193</v>
      </c>
      <c r="AV217" s="15" t="s">
        <v>16193</v>
      </c>
      <c r="AW217" s="15" t="s">
        <v>16194</v>
      </c>
      <c r="AX217" s="15" t="s">
        <v>16195</v>
      </c>
      <c r="AY217" s="15">
        <f t="shared" si="3"/>
        <v>58</v>
      </c>
      <c r="AZ217" s="15" t="s">
        <v>2752</v>
      </c>
      <c r="BA217" s="15" t="s">
        <v>2753</v>
      </c>
      <c r="BB217" s="15" t="s">
        <v>16196</v>
      </c>
      <c r="BE217" s="15" t="s">
        <v>16197</v>
      </c>
      <c r="BJ217" s="15" t="s">
        <v>16198</v>
      </c>
      <c r="BK217" s="15" t="s">
        <v>487</v>
      </c>
      <c r="BN217" s="15" t="s">
        <v>179</v>
      </c>
      <c r="BP217" s="15" t="s">
        <v>138</v>
      </c>
      <c r="BS217" s="15" t="s">
        <v>16199</v>
      </c>
      <c r="DH217" s="15" t="s">
        <v>17982</v>
      </c>
      <c r="DI217" s="15" t="s">
        <v>17982</v>
      </c>
    </row>
    <row r="218" spans="1:113" s="15" customFormat="1" ht="12.75" x14ac:dyDescent="0.2">
      <c r="A218" s="15" t="s">
        <v>109</v>
      </c>
      <c r="B218" s="15" t="s">
        <v>110</v>
      </c>
      <c r="D218" s="15" t="s">
        <v>620</v>
      </c>
      <c r="E218" s="15" t="s">
        <v>112</v>
      </c>
      <c r="F218" s="15" t="s">
        <v>620</v>
      </c>
      <c r="G218" s="15" t="s">
        <v>113</v>
      </c>
      <c r="H218" s="15" t="s">
        <v>1045</v>
      </c>
      <c r="J218" s="16" t="s">
        <v>114</v>
      </c>
      <c r="U218" s="15" t="s">
        <v>17977</v>
      </c>
      <c r="W218" s="15">
        <v>3356</v>
      </c>
      <c r="X218" s="15">
        <v>228</v>
      </c>
      <c r="Y218" s="15" t="s">
        <v>160</v>
      </c>
      <c r="Z218" s="15" t="s">
        <v>161</v>
      </c>
      <c r="AA218" s="15" t="s">
        <v>162</v>
      </c>
      <c r="AB218" s="15" t="s">
        <v>16200</v>
      </c>
      <c r="AC218" s="15" t="s">
        <v>16200</v>
      </c>
      <c r="AD218" s="15" t="s">
        <v>16200</v>
      </c>
      <c r="AE218" s="15" t="s">
        <v>164</v>
      </c>
      <c r="AF218" s="15" t="s">
        <v>16200</v>
      </c>
      <c r="AG218" s="15" t="s">
        <v>16200</v>
      </c>
      <c r="AH218" s="15" t="s">
        <v>16201</v>
      </c>
      <c r="AL218" s="15" t="s">
        <v>16202</v>
      </c>
      <c r="AN218" s="15">
        <v>743</v>
      </c>
      <c r="AO218" s="15" t="s">
        <v>16203</v>
      </c>
      <c r="AQ218" s="15" t="s">
        <v>2747</v>
      </c>
      <c r="AT218" s="15" t="s">
        <v>16204</v>
      </c>
      <c r="AU218" s="15" t="s">
        <v>16205</v>
      </c>
      <c r="AV218" s="15" t="s">
        <v>16205</v>
      </c>
      <c r="AW218" s="15" t="s">
        <v>16206</v>
      </c>
      <c r="AX218" s="15" t="s">
        <v>16207</v>
      </c>
      <c r="AY218" s="15">
        <f t="shared" si="3"/>
        <v>58</v>
      </c>
      <c r="AZ218" s="15" t="s">
        <v>2752</v>
      </c>
      <c r="BA218" s="15" t="s">
        <v>2753</v>
      </c>
      <c r="BB218" s="15" t="s">
        <v>16196</v>
      </c>
      <c r="BE218" s="15" t="s">
        <v>16208</v>
      </c>
      <c r="BJ218" s="15" t="s">
        <v>16198</v>
      </c>
      <c r="BK218" s="15" t="s">
        <v>487</v>
      </c>
      <c r="BN218" s="15" t="s">
        <v>179</v>
      </c>
      <c r="BP218" s="15" t="s">
        <v>138</v>
      </c>
      <c r="BS218" s="15" t="s">
        <v>16209</v>
      </c>
      <c r="DH218" s="15" t="s">
        <v>17982</v>
      </c>
      <c r="DI218" s="15" t="s">
        <v>17982</v>
      </c>
    </row>
    <row r="219" spans="1:113" s="15" customFormat="1" ht="12.75" x14ac:dyDescent="0.2">
      <c r="A219" s="15" t="s">
        <v>109</v>
      </c>
      <c r="B219" s="15" t="s">
        <v>110</v>
      </c>
      <c r="D219" s="15" t="s">
        <v>620</v>
      </c>
      <c r="E219" s="15" t="s">
        <v>112</v>
      </c>
      <c r="F219" s="15" t="s">
        <v>620</v>
      </c>
      <c r="G219" s="15" t="s">
        <v>113</v>
      </c>
      <c r="H219" s="15" t="s">
        <v>1045</v>
      </c>
      <c r="J219" s="16" t="s">
        <v>114</v>
      </c>
      <c r="U219" s="15" t="s">
        <v>17977</v>
      </c>
      <c r="W219" s="15">
        <v>2101</v>
      </c>
      <c r="X219" s="15">
        <v>229</v>
      </c>
      <c r="Y219" s="15" t="s">
        <v>160</v>
      </c>
      <c r="Z219" s="15" t="s">
        <v>161</v>
      </c>
      <c r="AA219" s="15" t="s">
        <v>162</v>
      </c>
      <c r="AB219" s="15" t="s">
        <v>10783</v>
      </c>
      <c r="AC219" s="15" t="s">
        <v>10783</v>
      </c>
      <c r="AD219" s="15" t="s">
        <v>10783</v>
      </c>
      <c r="AE219" s="15" t="s">
        <v>164</v>
      </c>
      <c r="AF219" s="15" t="s">
        <v>10783</v>
      </c>
      <c r="AG219" s="15" t="s">
        <v>10783</v>
      </c>
      <c r="AH219" s="15" t="s">
        <v>10784</v>
      </c>
      <c r="AL219" s="15" t="s">
        <v>10785</v>
      </c>
      <c r="AN219" s="15">
        <v>743</v>
      </c>
      <c r="AO219" s="15" t="s">
        <v>10786</v>
      </c>
      <c r="AQ219" s="15" t="s">
        <v>168</v>
      </c>
      <c r="AT219" s="15" t="s">
        <v>10787</v>
      </c>
      <c r="AU219" s="15" t="s">
        <v>10788</v>
      </c>
      <c r="AV219" s="15" t="s">
        <v>10788</v>
      </c>
      <c r="AW219" s="15" t="s">
        <v>10789</v>
      </c>
      <c r="AX219" s="15" t="s">
        <v>10790</v>
      </c>
      <c r="AY219" s="15">
        <f t="shared" si="3"/>
        <v>58</v>
      </c>
      <c r="AZ219" s="15" t="s">
        <v>173</v>
      </c>
      <c r="BA219" s="15" t="s">
        <v>174</v>
      </c>
      <c r="BB219" s="15" t="s">
        <v>10791</v>
      </c>
      <c r="BE219" s="15" t="s">
        <v>1123</v>
      </c>
      <c r="BF219" s="15" t="s">
        <v>10792</v>
      </c>
      <c r="BJ219" s="15" t="s">
        <v>10793</v>
      </c>
      <c r="BN219" s="15" t="s">
        <v>179</v>
      </c>
      <c r="BP219" s="15" t="s">
        <v>138</v>
      </c>
      <c r="BS219" s="15" t="s">
        <v>10794</v>
      </c>
      <c r="DH219" s="15" t="s">
        <v>17982</v>
      </c>
      <c r="DI219" s="15" t="s">
        <v>17982</v>
      </c>
    </row>
    <row r="220" spans="1:113" s="15" customFormat="1" ht="12.75" x14ac:dyDescent="0.2">
      <c r="A220" s="15" t="s">
        <v>109</v>
      </c>
      <c r="B220" s="15" t="s">
        <v>110</v>
      </c>
      <c r="D220" s="15" t="s">
        <v>620</v>
      </c>
      <c r="E220" s="15" t="s">
        <v>112</v>
      </c>
      <c r="F220" s="15" t="s">
        <v>620</v>
      </c>
      <c r="G220" s="15" t="s">
        <v>113</v>
      </c>
      <c r="H220" s="15" t="s">
        <v>1045</v>
      </c>
      <c r="J220" s="16" t="s">
        <v>114</v>
      </c>
      <c r="U220" s="15" t="s">
        <v>17977</v>
      </c>
      <c r="W220" s="15">
        <v>2449</v>
      </c>
      <c r="X220" s="15">
        <v>230</v>
      </c>
      <c r="Y220" s="15" t="s">
        <v>160</v>
      </c>
      <c r="Z220" s="15" t="s">
        <v>161</v>
      </c>
      <c r="AA220" s="15" t="s">
        <v>162</v>
      </c>
      <c r="AB220" s="15" t="s">
        <v>12141</v>
      </c>
      <c r="AC220" s="15" t="s">
        <v>12141</v>
      </c>
      <c r="AD220" s="15" t="s">
        <v>12141</v>
      </c>
      <c r="AE220" s="15" t="s">
        <v>164</v>
      </c>
      <c r="AF220" s="15" t="s">
        <v>12141</v>
      </c>
      <c r="AG220" s="15" t="s">
        <v>12141</v>
      </c>
      <c r="AH220" s="47" t="s">
        <v>12142</v>
      </c>
      <c r="AL220" s="15" t="s">
        <v>12143</v>
      </c>
      <c r="AN220" s="15">
        <v>743</v>
      </c>
      <c r="AO220" s="15" t="s">
        <v>12144</v>
      </c>
      <c r="AQ220" s="15" t="s">
        <v>168</v>
      </c>
      <c r="AT220" s="15" t="s">
        <v>12145</v>
      </c>
      <c r="AU220" s="15" t="s">
        <v>12146</v>
      </c>
      <c r="AV220" s="15" t="s">
        <v>12146</v>
      </c>
      <c r="AW220" s="15" t="s">
        <v>12147</v>
      </c>
      <c r="AX220" s="15" t="s">
        <v>12148</v>
      </c>
      <c r="AY220" s="15">
        <f t="shared" si="3"/>
        <v>54</v>
      </c>
      <c r="AZ220" s="15" t="s">
        <v>173</v>
      </c>
      <c r="BA220" s="15" t="s">
        <v>174</v>
      </c>
      <c r="BB220" s="15" t="s">
        <v>12149</v>
      </c>
      <c r="BE220" s="15" t="s">
        <v>275</v>
      </c>
      <c r="BF220" s="15" t="s">
        <v>12150</v>
      </c>
      <c r="BJ220" s="15" t="s">
        <v>12151</v>
      </c>
      <c r="BN220" s="15" t="s">
        <v>179</v>
      </c>
      <c r="BP220" s="15" t="s">
        <v>138</v>
      </c>
      <c r="BS220" s="15" t="s">
        <v>12152</v>
      </c>
      <c r="DH220" s="15" t="s">
        <v>17982</v>
      </c>
      <c r="DI220" s="15" t="s">
        <v>17982</v>
      </c>
    </row>
    <row r="221" spans="1:113" s="15" customFormat="1" ht="12.75" x14ac:dyDescent="0.2">
      <c r="A221" s="15" t="s">
        <v>109</v>
      </c>
      <c r="B221" s="15" t="s">
        <v>110</v>
      </c>
      <c r="D221" s="15" t="s">
        <v>620</v>
      </c>
      <c r="E221" s="15" t="s">
        <v>112</v>
      </c>
      <c r="F221" s="15" t="s">
        <v>620</v>
      </c>
      <c r="G221" s="15" t="s">
        <v>113</v>
      </c>
      <c r="H221" s="15" t="s">
        <v>1045</v>
      </c>
      <c r="J221" s="16" t="s">
        <v>114</v>
      </c>
      <c r="U221" s="15" t="s">
        <v>17977</v>
      </c>
      <c r="W221" s="15">
        <v>1908</v>
      </c>
      <c r="X221" s="15">
        <v>231</v>
      </c>
      <c r="Y221" s="15" t="s">
        <v>160</v>
      </c>
      <c r="Z221" s="15" t="s">
        <v>161</v>
      </c>
      <c r="AA221" s="15" t="s">
        <v>162</v>
      </c>
      <c r="AB221" s="15" t="s">
        <v>10212</v>
      </c>
      <c r="AC221" s="15" t="s">
        <v>10212</v>
      </c>
      <c r="AD221" s="15" t="s">
        <v>10212</v>
      </c>
      <c r="AE221" s="15" t="s">
        <v>164</v>
      </c>
      <c r="AF221" s="15" t="s">
        <v>10212</v>
      </c>
      <c r="AG221" s="15" t="s">
        <v>10212</v>
      </c>
      <c r="AH221" s="15" t="s">
        <v>10213</v>
      </c>
      <c r="AL221" s="15" t="s">
        <v>10214</v>
      </c>
      <c r="AN221" s="15">
        <v>743</v>
      </c>
      <c r="AO221" s="15" t="s">
        <v>10215</v>
      </c>
      <c r="AQ221" s="15" t="s">
        <v>168</v>
      </c>
      <c r="AT221" s="15" t="s">
        <v>10216</v>
      </c>
      <c r="AU221" s="15" t="s">
        <v>10217</v>
      </c>
      <c r="AV221" s="15" t="s">
        <v>10217</v>
      </c>
      <c r="AW221" s="15" t="s">
        <v>10218</v>
      </c>
      <c r="AX221" s="15" t="s">
        <v>10219</v>
      </c>
      <c r="AY221" s="15">
        <f t="shared" si="3"/>
        <v>58</v>
      </c>
      <c r="AZ221" s="15" t="s">
        <v>173</v>
      </c>
      <c r="BA221" s="15" t="s">
        <v>174</v>
      </c>
      <c r="BB221" s="15" t="s">
        <v>1296</v>
      </c>
      <c r="BC221" s="19" t="s">
        <v>10220</v>
      </c>
      <c r="BE221" s="15" t="s">
        <v>617</v>
      </c>
      <c r="BF221" s="15" t="s">
        <v>1689</v>
      </c>
      <c r="BJ221" s="15" t="s">
        <v>10221</v>
      </c>
      <c r="BK221" s="15" t="s">
        <v>487</v>
      </c>
      <c r="BN221" s="15" t="s">
        <v>179</v>
      </c>
      <c r="BP221" s="15" t="s">
        <v>138</v>
      </c>
      <c r="BS221" s="15" t="s">
        <v>10222</v>
      </c>
      <c r="DH221" s="15" t="s">
        <v>17982</v>
      </c>
      <c r="DI221" s="15" t="s">
        <v>17982</v>
      </c>
    </row>
    <row r="222" spans="1:113" s="15" customFormat="1" ht="12.75" x14ac:dyDescent="0.2">
      <c r="A222" s="15" t="s">
        <v>109</v>
      </c>
      <c r="B222" s="15" t="s">
        <v>110</v>
      </c>
      <c r="D222" s="15" t="s">
        <v>620</v>
      </c>
      <c r="E222" s="15" t="s">
        <v>112</v>
      </c>
      <c r="F222" s="15" t="s">
        <v>620</v>
      </c>
      <c r="G222" s="15" t="s">
        <v>113</v>
      </c>
      <c r="H222" s="15" t="s">
        <v>1045</v>
      </c>
      <c r="J222" s="16" t="s">
        <v>114</v>
      </c>
      <c r="U222" s="15" t="s">
        <v>17977</v>
      </c>
      <c r="W222" s="15">
        <v>1907</v>
      </c>
      <c r="X222" s="15">
        <v>232</v>
      </c>
      <c r="Y222" s="15" t="s">
        <v>160</v>
      </c>
      <c r="Z222" s="15" t="s">
        <v>161</v>
      </c>
      <c r="AA222" s="15" t="s">
        <v>162</v>
      </c>
      <c r="AB222" s="15" t="s">
        <v>10200</v>
      </c>
      <c r="AC222" s="15" t="s">
        <v>10200</v>
      </c>
      <c r="AD222" s="15" t="s">
        <v>10200</v>
      </c>
      <c r="AE222" s="15" t="s">
        <v>164</v>
      </c>
      <c r="AF222" s="15" t="s">
        <v>10200</v>
      </c>
      <c r="AG222" s="15" t="s">
        <v>10200</v>
      </c>
      <c r="AH222" s="15" t="s">
        <v>10201</v>
      </c>
      <c r="AL222" s="15" t="s">
        <v>10202</v>
      </c>
      <c r="AN222" s="15">
        <v>743</v>
      </c>
      <c r="AO222" s="15" t="s">
        <v>10203</v>
      </c>
      <c r="AQ222" s="15" t="s">
        <v>168</v>
      </c>
      <c r="AT222" s="15" t="s">
        <v>10204</v>
      </c>
      <c r="AU222" s="15" t="s">
        <v>10205</v>
      </c>
      <c r="AV222" s="15" t="s">
        <v>10205</v>
      </c>
      <c r="AW222" s="15" t="s">
        <v>10206</v>
      </c>
      <c r="AX222" s="15" t="s">
        <v>10207</v>
      </c>
      <c r="AY222" s="15">
        <f t="shared" si="3"/>
        <v>60</v>
      </c>
      <c r="AZ222" s="15" t="s">
        <v>173</v>
      </c>
      <c r="BA222" s="15" t="s">
        <v>174</v>
      </c>
      <c r="BB222" s="15" t="s">
        <v>1296</v>
      </c>
      <c r="BC222" s="15" t="s">
        <v>10208</v>
      </c>
      <c r="BE222" s="15" t="s">
        <v>617</v>
      </c>
      <c r="BF222" s="15" t="s">
        <v>10209</v>
      </c>
      <c r="BJ222" s="15" t="s">
        <v>10210</v>
      </c>
      <c r="BN222" s="15" t="s">
        <v>179</v>
      </c>
      <c r="BP222" s="15" t="s">
        <v>138</v>
      </c>
      <c r="BS222" s="15" t="s">
        <v>10211</v>
      </c>
      <c r="DH222" s="15" t="s">
        <v>17982</v>
      </c>
      <c r="DI222" s="15" t="s">
        <v>17982</v>
      </c>
    </row>
    <row r="223" spans="1:113" s="15" customFormat="1" ht="12.75" x14ac:dyDescent="0.2">
      <c r="A223" s="15" t="s">
        <v>109</v>
      </c>
      <c r="B223" s="15" t="s">
        <v>110</v>
      </c>
      <c r="D223" s="15" t="s">
        <v>620</v>
      </c>
      <c r="E223" s="15" t="s">
        <v>112</v>
      </c>
      <c r="F223" s="15" t="s">
        <v>620</v>
      </c>
      <c r="G223" s="15" t="s">
        <v>113</v>
      </c>
      <c r="H223" s="15" t="s">
        <v>1045</v>
      </c>
      <c r="J223" s="16" t="s">
        <v>114</v>
      </c>
      <c r="U223" s="15" t="s">
        <v>17977</v>
      </c>
      <c r="W223" s="15">
        <v>3155</v>
      </c>
      <c r="X223" s="15">
        <v>233</v>
      </c>
      <c r="Y223" s="15" t="s">
        <v>160</v>
      </c>
      <c r="Z223" s="15" t="s">
        <v>161</v>
      </c>
      <c r="AA223" s="15" t="s">
        <v>162</v>
      </c>
      <c r="AB223" s="15" t="s">
        <v>15197</v>
      </c>
      <c r="AC223" s="15" t="s">
        <v>15197</v>
      </c>
      <c r="AD223" s="15" t="s">
        <v>15198</v>
      </c>
      <c r="AE223" s="15" t="s">
        <v>164</v>
      </c>
      <c r="AF223" s="15" t="s">
        <v>15198</v>
      </c>
      <c r="AG223" s="15" t="s">
        <v>15197</v>
      </c>
      <c r="AH223" s="15" t="s">
        <v>15199</v>
      </c>
      <c r="AL223" s="15" t="s">
        <v>15200</v>
      </c>
      <c r="AN223" s="15">
        <v>743</v>
      </c>
      <c r="AO223" s="15" t="s">
        <v>15201</v>
      </c>
      <c r="AQ223" s="15" t="s">
        <v>168</v>
      </c>
      <c r="AT223" s="15" t="s">
        <v>15202</v>
      </c>
      <c r="AU223" s="15" t="s">
        <v>15203</v>
      </c>
      <c r="AV223" s="15" t="s">
        <v>15203</v>
      </c>
      <c r="AW223" s="15" t="s">
        <v>15204</v>
      </c>
      <c r="AX223" s="15" t="s">
        <v>15205</v>
      </c>
      <c r="AY223" s="15">
        <f t="shared" si="3"/>
        <v>59</v>
      </c>
      <c r="AZ223" s="15" t="s">
        <v>173</v>
      </c>
      <c r="BA223" s="15" t="s">
        <v>174</v>
      </c>
      <c r="BB223" s="15" t="s">
        <v>15206</v>
      </c>
      <c r="BE223" s="15" t="s">
        <v>2054</v>
      </c>
      <c r="BF223" s="15" t="s">
        <v>15207</v>
      </c>
      <c r="BJ223" s="15" t="s">
        <v>15208</v>
      </c>
      <c r="BK223" s="15" t="s">
        <v>3828</v>
      </c>
      <c r="BN223" s="15" t="s">
        <v>179</v>
      </c>
      <c r="BP223" s="15" t="s">
        <v>138</v>
      </c>
      <c r="BS223" s="15" t="s">
        <v>15209</v>
      </c>
      <c r="DH223" s="15" t="s">
        <v>17982</v>
      </c>
      <c r="DI223" s="15" t="s">
        <v>17982</v>
      </c>
    </row>
    <row r="224" spans="1:113" s="15" customFormat="1" ht="12.75" x14ac:dyDescent="0.2">
      <c r="A224" s="15" t="s">
        <v>109</v>
      </c>
      <c r="B224" s="15" t="s">
        <v>110</v>
      </c>
      <c r="D224" s="15" t="s">
        <v>620</v>
      </c>
      <c r="E224" s="15" t="s">
        <v>112</v>
      </c>
      <c r="F224" s="15" t="s">
        <v>620</v>
      </c>
      <c r="G224" s="15" t="s">
        <v>113</v>
      </c>
      <c r="H224" s="15" t="s">
        <v>1045</v>
      </c>
      <c r="J224" s="16" t="s">
        <v>114</v>
      </c>
      <c r="U224" s="15" t="s">
        <v>17977</v>
      </c>
      <c r="W224" s="15">
        <v>342</v>
      </c>
      <c r="X224" s="15">
        <v>234</v>
      </c>
      <c r="Y224" s="15" t="s">
        <v>160</v>
      </c>
      <c r="Z224" s="15" t="s">
        <v>161</v>
      </c>
      <c r="AA224" s="15" t="s">
        <v>162</v>
      </c>
      <c r="AB224" s="15" t="s">
        <v>1427</v>
      </c>
      <c r="AC224" s="15" t="s">
        <v>1427</v>
      </c>
      <c r="AD224" s="15" t="s">
        <v>1428</v>
      </c>
      <c r="AE224" s="15" t="s">
        <v>164</v>
      </c>
      <c r="AF224" s="15" t="s">
        <v>1428</v>
      </c>
      <c r="AG224" s="15" t="s">
        <v>1427</v>
      </c>
      <c r="AH224" s="15" t="s">
        <v>1429</v>
      </c>
      <c r="AL224" s="15" t="s">
        <v>1430</v>
      </c>
      <c r="AN224" s="15">
        <v>743</v>
      </c>
      <c r="AO224" s="15" t="s">
        <v>1431</v>
      </c>
      <c r="AQ224" s="15" t="s">
        <v>1432</v>
      </c>
      <c r="AT224" s="15" t="s">
        <v>1433</v>
      </c>
      <c r="AU224" s="15" t="s">
        <v>1434</v>
      </c>
      <c r="AV224" s="15" t="s">
        <v>1434</v>
      </c>
      <c r="AW224" s="15" t="s">
        <v>1435</v>
      </c>
      <c r="AX224" s="15" t="s">
        <v>1436</v>
      </c>
      <c r="AY224" s="15">
        <f t="shared" si="3"/>
        <v>59</v>
      </c>
      <c r="AZ224" s="15" t="s">
        <v>1437</v>
      </c>
      <c r="BA224" s="15" t="s">
        <v>174</v>
      </c>
      <c r="BE224" s="15" t="s">
        <v>1438</v>
      </c>
      <c r="BF224" s="15" t="s">
        <v>217</v>
      </c>
      <c r="BI224" s="15" t="s">
        <v>1439</v>
      </c>
      <c r="BJ224" s="15" t="s">
        <v>1440</v>
      </c>
      <c r="BN224" s="15" t="s">
        <v>179</v>
      </c>
      <c r="BP224" s="15" t="s">
        <v>138</v>
      </c>
      <c r="BS224" s="15" t="s">
        <v>1441</v>
      </c>
      <c r="DH224" s="15" t="s">
        <v>17982</v>
      </c>
      <c r="DI224" s="15" t="s">
        <v>17982</v>
      </c>
    </row>
    <row r="225" spans="1:113" s="15" customFormat="1" ht="12.75" x14ac:dyDescent="0.2">
      <c r="A225" s="15" t="s">
        <v>109</v>
      </c>
      <c r="B225" s="15" t="s">
        <v>110</v>
      </c>
      <c r="D225" s="15" t="s">
        <v>620</v>
      </c>
      <c r="E225" s="15" t="s">
        <v>112</v>
      </c>
      <c r="F225" s="15" t="s">
        <v>620</v>
      </c>
      <c r="G225" s="15" t="s">
        <v>113</v>
      </c>
      <c r="H225" s="15" t="s">
        <v>1045</v>
      </c>
      <c r="J225" s="16" t="s">
        <v>114</v>
      </c>
      <c r="U225" s="15" t="s">
        <v>17977</v>
      </c>
      <c r="W225" s="15">
        <v>2663</v>
      </c>
      <c r="X225" s="15">
        <v>235</v>
      </c>
      <c r="Y225" s="15" t="s">
        <v>160</v>
      </c>
      <c r="Z225" s="15" t="s">
        <v>161</v>
      </c>
      <c r="AA225" s="15" t="s">
        <v>162</v>
      </c>
      <c r="AB225" s="15" t="s">
        <v>12885</v>
      </c>
      <c r="AC225" s="15" t="s">
        <v>12885</v>
      </c>
      <c r="AD225" s="15" t="s">
        <v>12886</v>
      </c>
      <c r="AE225" s="15" t="s">
        <v>164</v>
      </c>
      <c r="AF225" s="15" t="s">
        <v>12886</v>
      </c>
      <c r="AG225" s="15" t="s">
        <v>12885</v>
      </c>
      <c r="AH225" s="47" t="s">
        <v>12887</v>
      </c>
      <c r="AL225" s="15" t="s">
        <v>12888</v>
      </c>
      <c r="AN225" s="15">
        <v>743</v>
      </c>
      <c r="AO225" s="15" t="s">
        <v>12889</v>
      </c>
      <c r="AQ225" s="15" t="s">
        <v>912</v>
      </c>
      <c r="AT225" s="15" t="s">
        <v>12890</v>
      </c>
      <c r="AU225" s="15" t="s">
        <v>12891</v>
      </c>
      <c r="AV225" s="15" t="s">
        <v>12891</v>
      </c>
      <c r="AW225" s="15" t="s">
        <v>12892</v>
      </c>
      <c r="AX225" s="15" t="s">
        <v>12893</v>
      </c>
      <c r="AY225" s="15">
        <f t="shared" si="3"/>
        <v>57</v>
      </c>
      <c r="AZ225" s="15" t="s">
        <v>917</v>
      </c>
      <c r="BA225" s="15" t="s">
        <v>174</v>
      </c>
      <c r="BB225" s="15" t="s">
        <v>12894</v>
      </c>
      <c r="BE225" s="15" t="s">
        <v>1528</v>
      </c>
      <c r="BF225" s="15" t="s">
        <v>12895</v>
      </c>
      <c r="BJ225" s="15" t="s">
        <v>12896</v>
      </c>
      <c r="BN225" s="15" t="s">
        <v>179</v>
      </c>
      <c r="BP225" s="15" t="s">
        <v>138</v>
      </c>
      <c r="BS225" s="15" t="s">
        <v>12897</v>
      </c>
      <c r="DH225" s="15" t="s">
        <v>17982</v>
      </c>
      <c r="DI225" s="15" t="s">
        <v>17982</v>
      </c>
    </row>
    <row r="226" spans="1:113" s="15" customFormat="1" ht="12.75" x14ac:dyDescent="0.2">
      <c r="A226" s="15" t="s">
        <v>109</v>
      </c>
      <c r="B226" s="15" t="s">
        <v>110</v>
      </c>
      <c r="D226" s="15" t="s">
        <v>620</v>
      </c>
      <c r="E226" s="15" t="s">
        <v>112</v>
      </c>
      <c r="F226" s="15" t="s">
        <v>620</v>
      </c>
      <c r="G226" s="15" t="s">
        <v>113</v>
      </c>
      <c r="H226" s="15" t="s">
        <v>1045</v>
      </c>
      <c r="J226" s="16" t="s">
        <v>114</v>
      </c>
      <c r="U226" s="15" t="s">
        <v>17977</v>
      </c>
      <c r="W226" s="15">
        <v>3316</v>
      </c>
      <c r="X226" s="15">
        <v>236</v>
      </c>
      <c r="Y226" s="15" t="s">
        <v>160</v>
      </c>
      <c r="Z226" s="15" t="s">
        <v>161</v>
      </c>
      <c r="AA226" s="15" t="s">
        <v>162</v>
      </c>
      <c r="AB226" s="15" t="s">
        <v>16000</v>
      </c>
      <c r="AC226" s="15" t="s">
        <v>16000</v>
      </c>
      <c r="AD226" s="15" t="s">
        <v>16000</v>
      </c>
      <c r="AE226" s="15" t="s">
        <v>164</v>
      </c>
      <c r="AF226" s="15" t="s">
        <v>16000</v>
      </c>
      <c r="AG226" s="15" t="s">
        <v>16000</v>
      </c>
      <c r="AH226" s="15" t="s">
        <v>16001</v>
      </c>
      <c r="AL226" s="15" t="s">
        <v>16002</v>
      </c>
      <c r="AN226" s="15">
        <v>743</v>
      </c>
      <c r="AO226" s="15" t="s">
        <v>16003</v>
      </c>
      <c r="AQ226" s="15" t="s">
        <v>2747</v>
      </c>
      <c r="AT226" s="15" t="s">
        <v>16004</v>
      </c>
      <c r="AU226" s="15" t="s">
        <v>16005</v>
      </c>
      <c r="AV226" s="15" t="s">
        <v>16005</v>
      </c>
      <c r="AW226" s="15" t="s">
        <v>16006</v>
      </c>
      <c r="AX226" s="15" t="s">
        <v>16006</v>
      </c>
      <c r="AY226" s="15">
        <f t="shared" si="3"/>
        <v>56</v>
      </c>
      <c r="AZ226" s="15" t="s">
        <v>2752</v>
      </c>
      <c r="BA226" s="15" t="s">
        <v>9028</v>
      </c>
      <c r="BB226" s="15" t="s">
        <v>16007</v>
      </c>
      <c r="BE226" s="15" t="s">
        <v>16008</v>
      </c>
      <c r="BJ226" s="15" t="s">
        <v>12668</v>
      </c>
      <c r="BN226" s="15" t="s">
        <v>179</v>
      </c>
      <c r="BP226" s="15" t="s">
        <v>138</v>
      </c>
      <c r="BS226" s="15" t="s">
        <v>16009</v>
      </c>
      <c r="DH226" s="15" t="s">
        <v>17982</v>
      </c>
      <c r="DI226" s="15" t="s">
        <v>17982</v>
      </c>
    </row>
    <row r="227" spans="1:113" s="15" customFormat="1" ht="12.75" x14ac:dyDescent="0.2">
      <c r="A227" s="15" t="s">
        <v>109</v>
      </c>
      <c r="B227" s="15" t="s">
        <v>110</v>
      </c>
      <c r="D227" s="15" t="s">
        <v>620</v>
      </c>
      <c r="E227" s="15" t="s">
        <v>112</v>
      </c>
      <c r="F227" s="15" t="s">
        <v>620</v>
      </c>
      <c r="G227" s="15" t="s">
        <v>113</v>
      </c>
      <c r="H227" s="15" t="s">
        <v>1045</v>
      </c>
      <c r="J227" s="16" t="s">
        <v>114</v>
      </c>
      <c r="U227" s="15" t="s">
        <v>17977</v>
      </c>
      <c r="W227" s="15">
        <v>1747</v>
      </c>
      <c r="X227" s="15">
        <v>237</v>
      </c>
      <c r="Y227" s="15" t="s">
        <v>160</v>
      </c>
      <c r="Z227" s="15" t="s">
        <v>161</v>
      </c>
      <c r="AA227" s="15" t="s">
        <v>162</v>
      </c>
      <c r="AB227" s="15" t="s">
        <v>9148</v>
      </c>
      <c r="AC227" s="15" t="s">
        <v>9148</v>
      </c>
      <c r="AD227" s="15" t="s">
        <v>9148</v>
      </c>
      <c r="AE227" s="15" t="s">
        <v>164</v>
      </c>
      <c r="AF227" s="15" t="s">
        <v>9148</v>
      </c>
      <c r="AG227" s="15" t="s">
        <v>9148</v>
      </c>
      <c r="AH227" s="15" t="s">
        <v>9149</v>
      </c>
      <c r="AL227" s="15" t="s">
        <v>9150</v>
      </c>
      <c r="AN227" s="15">
        <v>743</v>
      </c>
      <c r="AO227" s="15" t="s">
        <v>9151</v>
      </c>
      <c r="AQ227" s="15" t="s">
        <v>168</v>
      </c>
      <c r="AT227" s="15" t="s">
        <v>9152</v>
      </c>
      <c r="AU227" s="15" t="s">
        <v>9153</v>
      </c>
      <c r="AV227" s="15" t="s">
        <v>9153</v>
      </c>
      <c r="AW227" s="15" t="s">
        <v>9154</v>
      </c>
      <c r="AX227" s="15" t="s">
        <v>9155</v>
      </c>
      <c r="AY227" s="15">
        <f t="shared" si="3"/>
        <v>55</v>
      </c>
      <c r="AZ227" s="15" t="s">
        <v>173</v>
      </c>
      <c r="BA227" s="15" t="s">
        <v>174</v>
      </c>
      <c r="BB227" s="15" t="s">
        <v>9156</v>
      </c>
      <c r="BE227" s="15" t="s">
        <v>1582</v>
      </c>
      <c r="BF227" s="15" t="s">
        <v>217</v>
      </c>
      <c r="BI227" s="15" t="s">
        <v>9157</v>
      </c>
      <c r="BJ227" s="15" t="s">
        <v>9158</v>
      </c>
      <c r="BN227" s="15" t="s">
        <v>179</v>
      </c>
      <c r="BP227" s="15" t="s">
        <v>138</v>
      </c>
      <c r="BS227" s="15" t="s">
        <v>9159</v>
      </c>
      <c r="DH227" s="15" t="s">
        <v>17982</v>
      </c>
      <c r="DI227" s="15" t="s">
        <v>17982</v>
      </c>
    </row>
    <row r="228" spans="1:113" s="15" customFormat="1" ht="12.75" x14ac:dyDescent="0.2">
      <c r="A228" s="15" t="s">
        <v>109</v>
      </c>
      <c r="B228" s="15" t="s">
        <v>110</v>
      </c>
      <c r="D228" s="15" t="s">
        <v>620</v>
      </c>
      <c r="E228" s="15" t="s">
        <v>112</v>
      </c>
      <c r="F228" s="15" t="s">
        <v>620</v>
      </c>
      <c r="G228" s="15" t="s">
        <v>113</v>
      </c>
      <c r="H228" s="15" t="s">
        <v>1045</v>
      </c>
      <c r="J228" s="16" t="s">
        <v>114</v>
      </c>
      <c r="U228" s="15" t="s">
        <v>17977</v>
      </c>
      <c r="W228" s="15">
        <v>1748</v>
      </c>
      <c r="X228" s="15">
        <v>238</v>
      </c>
      <c r="Y228" s="15" t="s">
        <v>160</v>
      </c>
      <c r="Z228" s="15" t="s">
        <v>161</v>
      </c>
      <c r="AA228" s="15" t="s">
        <v>162</v>
      </c>
      <c r="AB228" s="15" t="s">
        <v>9160</v>
      </c>
      <c r="AC228" s="15" t="s">
        <v>9160</v>
      </c>
      <c r="AD228" s="15" t="s">
        <v>9160</v>
      </c>
      <c r="AE228" s="15" t="s">
        <v>164</v>
      </c>
      <c r="AF228" s="15" t="s">
        <v>9160</v>
      </c>
      <c r="AG228" s="15" t="s">
        <v>9160</v>
      </c>
      <c r="AH228" s="15" t="s">
        <v>9161</v>
      </c>
      <c r="AL228" s="15" t="s">
        <v>9162</v>
      </c>
      <c r="AN228" s="15">
        <v>743</v>
      </c>
      <c r="AO228" s="15" t="s">
        <v>9163</v>
      </c>
      <c r="AQ228" s="15" t="s">
        <v>168</v>
      </c>
      <c r="AT228" s="15" t="s">
        <v>9164</v>
      </c>
      <c r="AU228" s="15" t="s">
        <v>9165</v>
      </c>
      <c r="AV228" s="15" t="s">
        <v>9165</v>
      </c>
      <c r="AW228" s="15" t="s">
        <v>9166</v>
      </c>
      <c r="AX228" s="15" t="s">
        <v>9167</v>
      </c>
      <c r="AY228" s="15">
        <f t="shared" si="3"/>
        <v>55</v>
      </c>
      <c r="AZ228" s="15" t="s">
        <v>173</v>
      </c>
      <c r="BA228" s="15" t="s">
        <v>174</v>
      </c>
      <c r="BB228" s="15" t="s">
        <v>9156</v>
      </c>
      <c r="BE228" s="15" t="s">
        <v>1582</v>
      </c>
      <c r="BF228" s="15" t="s">
        <v>1608</v>
      </c>
      <c r="BI228" s="15" t="s">
        <v>9157</v>
      </c>
      <c r="BJ228" s="15" t="s">
        <v>9158</v>
      </c>
      <c r="BN228" s="15" t="s">
        <v>179</v>
      </c>
      <c r="BP228" s="15" t="s">
        <v>138</v>
      </c>
      <c r="BS228" s="15" t="s">
        <v>9168</v>
      </c>
      <c r="DH228" s="15" t="s">
        <v>17982</v>
      </c>
      <c r="DI228" s="15" t="s">
        <v>17982</v>
      </c>
    </row>
    <row r="229" spans="1:113" s="15" customFormat="1" ht="12.75" x14ac:dyDescent="0.2">
      <c r="A229" s="15" t="s">
        <v>109</v>
      </c>
      <c r="B229" s="15" t="s">
        <v>110</v>
      </c>
      <c r="D229" s="15" t="s">
        <v>620</v>
      </c>
      <c r="E229" s="15" t="s">
        <v>112</v>
      </c>
      <c r="F229" s="15" t="s">
        <v>620</v>
      </c>
      <c r="G229" s="15" t="s">
        <v>113</v>
      </c>
      <c r="H229" s="15" t="s">
        <v>1045</v>
      </c>
      <c r="J229" s="16" t="s">
        <v>114</v>
      </c>
      <c r="U229" s="15" t="s">
        <v>17977</v>
      </c>
      <c r="W229" s="15">
        <v>390</v>
      </c>
      <c r="X229" s="15">
        <v>239</v>
      </c>
      <c r="Y229" s="15" t="s">
        <v>160</v>
      </c>
      <c r="Z229" s="15" t="s">
        <v>161</v>
      </c>
      <c r="AA229" s="15" t="s">
        <v>162</v>
      </c>
      <c r="AB229" s="15" t="s">
        <v>1600</v>
      </c>
      <c r="AC229" s="15" t="s">
        <v>1600</v>
      </c>
      <c r="AD229" s="15" t="s">
        <v>1600</v>
      </c>
      <c r="AE229" s="15" t="s">
        <v>164</v>
      </c>
      <c r="AF229" s="15" t="s">
        <v>1600</v>
      </c>
      <c r="AG229" s="15" t="s">
        <v>1600</v>
      </c>
      <c r="AH229" s="15" t="s">
        <v>1601</v>
      </c>
      <c r="AL229" s="15" t="s">
        <v>1602</v>
      </c>
      <c r="AN229" s="15">
        <v>743</v>
      </c>
      <c r="AO229" s="15" t="s">
        <v>1603</v>
      </c>
      <c r="AQ229" s="15" t="s">
        <v>168</v>
      </c>
      <c r="AT229" s="15" t="s">
        <v>1604</v>
      </c>
      <c r="AU229" s="15" t="s">
        <v>1605</v>
      </c>
      <c r="AV229" s="15" t="s">
        <v>1605</v>
      </c>
      <c r="AW229" s="15" t="s">
        <v>1606</v>
      </c>
      <c r="AX229" s="15" t="s">
        <v>1607</v>
      </c>
      <c r="AY229" s="15">
        <f t="shared" si="3"/>
        <v>60</v>
      </c>
      <c r="AZ229" s="15" t="s">
        <v>173</v>
      </c>
      <c r="BA229" s="15" t="s">
        <v>174</v>
      </c>
      <c r="BB229" s="15" t="s">
        <v>1225</v>
      </c>
      <c r="BE229" s="15" t="s">
        <v>1582</v>
      </c>
      <c r="BF229" s="15" t="s">
        <v>1608</v>
      </c>
      <c r="BI229" s="15" t="s">
        <v>1609</v>
      </c>
      <c r="BJ229" s="15" t="s">
        <v>1610</v>
      </c>
      <c r="BN229" s="15" t="s">
        <v>179</v>
      </c>
      <c r="BP229" s="15" t="s">
        <v>138</v>
      </c>
      <c r="BS229" s="15" t="s">
        <v>1611</v>
      </c>
      <c r="DH229" s="15" t="s">
        <v>17982</v>
      </c>
      <c r="DI229" s="15" t="s">
        <v>17982</v>
      </c>
    </row>
    <row r="230" spans="1:113" s="15" customFormat="1" ht="12.75" x14ac:dyDescent="0.2">
      <c r="A230" s="15" t="s">
        <v>109</v>
      </c>
      <c r="B230" s="15" t="s">
        <v>110</v>
      </c>
      <c r="D230" s="15" t="s">
        <v>620</v>
      </c>
      <c r="E230" s="15" t="s">
        <v>112</v>
      </c>
      <c r="F230" s="15" t="s">
        <v>620</v>
      </c>
      <c r="G230" s="15" t="s">
        <v>113</v>
      </c>
      <c r="H230" s="15" t="s">
        <v>1045</v>
      </c>
      <c r="J230" s="16" t="s">
        <v>114</v>
      </c>
      <c r="U230" s="15" t="s">
        <v>17977</v>
      </c>
      <c r="W230" s="15">
        <v>1870</v>
      </c>
      <c r="X230" s="15">
        <v>240</v>
      </c>
      <c r="Y230" s="15" t="s">
        <v>160</v>
      </c>
      <c r="Z230" s="15" t="s">
        <v>161</v>
      </c>
      <c r="AA230" s="15" t="s">
        <v>162</v>
      </c>
      <c r="AB230" s="15" t="s">
        <v>10071</v>
      </c>
      <c r="AC230" s="15" t="s">
        <v>10071</v>
      </c>
      <c r="AD230" s="15" t="s">
        <v>10071</v>
      </c>
      <c r="AE230" s="15" t="s">
        <v>164</v>
      </c>
      <c r="AF230" s="15" t="s">
        <v>10071</v>
      </c>
      <c r="AG230" s="15" t="s">
        <v>10071</v>
      </c>
      <c r="AH230" s="15" t="s">
        <v>10072</v>
      </c>
      <c r="AL230" s="15" t="s">
        <v>10073</v>
      </c>
      <c r="AN230" s="15">
        <v>743</v>
      </c>
      <c r="AO230" s="15" t="s">
        <v>10074</v>
      </c>
      <c r="AQ230" s="15" t="s">
        <v>168</v>
      </c>
      <c r="AT230" s="15" t="s">
        <v>10075</v>
      </c>
      <c r="AU230" s="15" t="s">
        <v>10076</v>
      </c>
      <c r="AV230" s="15" t="s">
        <v>10076</v>
      </c>
      <c r="AW230" s="15" t="s">
        <v>10077</v>
      </c>
      <c r="AX230" s="15" t="s">
        <v>10078</v>
      </c>
      <c r="AY230" s="15">
        <f t="shared" si="3"/>
        <v>57</v>
      </c>
      <c r="AZ230" s="15" t="s">
        <v>173</v>
      </c>
      <c r="BA230" s="15" t="s">
        <v>174</v>
      </c>
      <c r="BB230" s="15" t="s">
        <v>10079</v>
      </c>
      <c r="BE230" s="15" t="s">
        <v>10080</v>
      </c>
      <c r="BF230" s="15" t="s">
        <v>217</v>
      </c>
      <c r="BI230" s="15" t="s">
        <v>1609</v>
      </c>
      <c r="BJ230" s="15" t="s">
        <v>10081</v>
      </c>
      <c r="BN230" s="15" t="s">
        <v>179</v>
      </c>
      <c r="BP230" s="15" t="s">
        <v>138</v>
      </c>
      <c r="BS230" s="15" t="s">
        <v>10082</v>
      </c>
      <c r="DH230" s="15" t="s">
        <v>17982</v>
      </c>
      <c r="DI230" s="15" t="s">
        <v>17982</v>
      </c>
    </row>
    <row r="231" spans="1:113" s="15" customFormat="1" ht="12.75" x14ac:dyDescent="0.2">
      <c r="A231" s="15" t="s">
        <v>109</v>
      </c>
      <c r="B231" s="15" t="s">
        <v>110</v>
      </c>
      <c r="D231" s="15" t="s">
        <v>620</v>
      </c>
      <c r="E231" s="15" t="s">
        <v>112</v>
      </c>
      <c r="F231" s="15" t="s">
        <v>620</v>
      </c>
      <c r="G231" s="15" t="s">
        <v>113</v>
      </c>
      <c r="H231" s="15" t="s">
        <v>1045</v>
      </c>
      <c r="J231" s="16" t="s">
        <v>114</v>
      </c>
      <c r="U231" s="15" t="s">
        <v>17977</v>
      </c>
      <c r="W231" s="15">
        <v>1802</v>
      </c>
      <c r="X231" s="15">
        <v>241</v>
      </c>
      <c r="Y231" s="15" t="s">
        <v>160</v>
      </c>
      <c r="Z231" s="15" t="s">
        <v>161</v>
      </c>
      <c r="AA231" s="15" t="s">
        <v>162</v>
      </c>
      <c r="AB231" s="15" t="s">
        <v>9620</v>
      </c>
      <c r="AC231" s="15" t="s">
        <v>9620</v>
      </c>
      <c r="AD231" s="15" t="s">
        <v>9620</v>
      </c>
      <c r="AE231" s="15" t="s">
        <v>164</v>
      </c>
      <c r="AF231" s="15" t="s">
        <v>9620</v>
      </c>
      <c r="AG231" s="15" t="s">
        <v>9620</v>
      </c>
      <c r="AH231" s="15" t="s">
        <v>9621</v>
      </c>
      <c r="AL231" s="15" t="s">
        <v>9622</v>
      </c>
      <c r="AN231" s="15">
        <v>743</v>
      </c>
      <c r="AO231" s="15" t="s">
        <v>9623</v>
      </c>
      <c r="AQ231" s="15" t="s">
        <v>168</v>
      </c>
      <c r="AT231" s="15" t="s">
        <v>9624</v>
      </c>
      <c r="AU231" s="15" t="s">
        <v>9625</v>
      </c>
      <c r="AV231" s="15" t="s">
        <v>9625</v>
      </c>
      <c r="AW231" s="15" t="s">
        <v>9626</v>
      </c>
      <c r="AX231" s="15" t="s">
        <v>9627</v>
      </c>
      <c r="AY231" s="15">
        <f t="shared" si="3"/>
        <v>53</v>
      </c>
      <c r="AZ231" s="15" t="s">
        <v>173</v>
      </c>
      <c r="BA231" s="15" t="s">
        <v>174</v>
      </c>
      <c r="BB231" s="15" t="s">
        <v>9566</v>
      </c>
      <c r="BE231" s="15" t="s">
        <v>1032</v>
      </c>
      <c r="BF231" s="15" t="s">
        <v>9628</v>
      </c>
      <c r="BI231" s="15" t="s">
        <v>9567</v>
      </c>
      <c r="BJ231" s="15" t="s">
        <v>9629</v>
      </c>
      <c r="BN231" s="15" t="s">
        <v>179</v>
      </c>
      <c r="BP231" s="15" t="s">
        <v>138</v>
      </c>
      <c r="BS231" s="15" t="s">
        <v>9630</v>
      </c>
      <c r="DH231" s="15" t="s">
        <v>17982</v>
      </c>
      <c r="DI231" s="15" t="s">
        <v>17982</v>
      </c>
    </row>
    <row r="232" spans="1:113" s="15" customFormat="1" ht="12.75" x14ac:dyDescent="0.2">
      <c r="A232" s="15" t="s">
        <v>109</v>
      </c>
      <c r="B232" s="15" t="s">
        <v>110</v>
      </c>
      <c r="D232" s="15" t="s">
        <v>620</v>
      </c>
      <c r="E232" s="15" t="s">
        <v>112</v>
      </c>
      <c r="F232" s="15" t="s">
        <v>620</v>
      </c>
      <c r="G232" s="15" t="s">
        <v>113</v>
      </c>
      <c r="H232" s="15" t="s">
        <v>1045</v>
      </c>
      <c r="J232" s="16" t="s">
        <v>114</v>
      </c>
      <c r="U232" s="15" t="s">
        <v>17977</v>
      </c>
      <c r="W232" s="15">
        <v>1800</v>
      </c>
      <c r="X232" s="15">
        <v>242</v>
      </c>
      <c r="Y232" s="15" t="s">
        <v>160</v>
      </c>
      <c r="Z232" s="15" t="s">
        <v>161</v>
      </c>
      <c r="AA232" s="15" t="s">
        <v>162</v>
      </c>
      <c r="AB232" s="15" t="s">
        <v>9600</v>
      </c>
      <c r="AC232" s="15" t="s">
        <v>9600</v>
      </c>
      <c r="AD232" s="15" t="s">
        <v>9600</v>
      </c>
      <c r="AE232" s="15" t="s">
        <v>164</v>
      </c>
      <c r="AF232" s="15" t="s">
        <v>9600</v>
      </c>
      <c r="AG232" s="15" t="s">
        <v>9600</v>
      </c>
      <c r="AH232" s="15" t="s">
        <v>9601</v>
      </c>
      <c r="AL232" s="15" t="s">
        <v>9602</v>
      </c>
      <c r="AN232" s="15">
        <v>743</v>
      </c>
      <c r="AO232" s="15" t="s">
        <v>9603</v>
      </c>
      <c r="AQ232" s="15" t="s">
        <v>168</v>
      </c>
      <c r="AT232" s="15" t="s">
        <v>9604</v>
      </c>
      <c r="AU232" s="15" t="s">
        <v>9605</v>
      </c>
      <c r="AV232" s="15" t="s">
        <v>9605</v>
      </c>
      <c r="AW232" s="15" t="s">
        <v>9606</v>
      </c>
      <c r="AX232" s="15" t="s">
        <v>9607</v>
      </c>
      <c r="AY232" s="15">
        <f t="shared" si="3"/>
        <v>58</v>
      </c>
      <c r="AZ232" s="15" t="s">
        <v>173</v>
      </c>
      <c r="BA232" s="15" t="s">
        <v>174</v>
      </c>
      <c r="BB232" s="15" t="s">
        <v>9566</v>
      </c>
      <c r="BE232" s="15" t="s">
        <v>1032</v>
      </c>
      <c r="BF232" s="15" t="s">
        <v>2250</v>
      </c>
      <c r="BI232" s="15" t="s">
        <v>9567</v>
      </c>
      <c r="BJ232" s="15" t="s">
        <v>9608</v>
      </c>
      <c r="BN232" s="15" t="s">
        <v>179</v>
      </c>
      <c r="BP232" s="15" t="s">
        <v>138</v>
      </c>
      <c r="BS232" s="15" t="s">
        <v>9609</v>
      </c>
      <c r="DH232" s="15" t="s">
        <v>17982</v>
      </c>
      <c r="DI232" s="15" t="s">
        <v>17982</v>
      </c>
    </row>
    <row r="233" spans="1:113" s="15" customFormat="1" ht="12.75" x14ac:dyDescent="0.2">
      <c r="A233" s="15" t="s">
        <v>109</v>
      </c>
      <c r="B233" s="15" t="s">
        <v>110</v>
      </c>
      <c r="D233" s="15" t="s">
        <v>620</v>
      </c>
      <c r="E233" s="15" t="s">
        <v>112</v>
      </c>
      <c r="F233" s="15" t="s">
        <v>620</v>
      </c>
      <c r="G233" s="15" t="s">
        <v>113</v>
      </c>
      <c r="H233" s="15" t="s">
        <v>1045</v>
      </c>
      <c r="J233" s="16" t="s">
        <v>114</v>
      </c>
      <c r="U233" s="15" t="s">
        <v>17977</v>
      </c>
      <c r="W233" s="15">
        <v>1796</v>
      </c>
      <c r="X233" s="15">
        <v>243</v>
      </c>
      <c r="Y233" s="15" t="s">
        <v>160</v>
      </c>
      <c r="Z233" s="15" t="s">
        <v>161</v>
      </c>
      <c r="AA233" s="15" t="s">
        <v>162</v>
      </c>
      <c r="AB233" s="15" t="s">
        <v>9558</v>
      </c>
      <c r="AC233" s="15" t="s">
        <v>9558</v>
      </c>
      <c r="AD233" s="15" t="s">
        <v>9558</v>
      </c>
      <c r="AE233" s="15" t="s">
        <v>164</v>
      </c>
      <c r="AF233" s="15" t="s">
        <v>9558</v>
      </c>
      <c r="AG233" s="15" t="s">
        <v>9558</v>
      </c>
      <c r="AH233" s="15" t="s">
        <v>9559</v>
      </c>
      <c r="AL233" s="15" t="s">
        <v>9560</v>
      </c>
      <c r="AN233" s="15">
        <v>743</v>
      </c>
      <c r="AO233" s="15" t="s">
        <v>9561</v>
      </c>
      <c r="AQ233" s="15" t="s">
        <v>168</v>
      </c>
      <c r="AT233" s="15" t="s">
        <v>9562</v>
      </c>
      <c r="AU233" s="15" t="s">
        <v>9563</v>
      </c>
      <c r="AV233" s="15" t="s">
        <v>9563</v>
      </c>
      <c r="AW233" s="15" t="s">
        <v>9564</v>
      </c>
      <c r="AX233" s="15" t="s">
        <v>9565</v>
      </c>
      <c r="AY233" s="15">
        <f t="shared" si="3"/>
        <v>55</v>
      </c>
      <c r="AZ233" s="15" t="s">
        <v>173</v>
      </c>
      <c r="BA233" s="15" t="s">
        <v>174</v>
      </c>
      <c r="BB233" s="15" t="s">
        <v>9566</v>
      </c>
      <c r="BE233" s="15" t="s">
        <v>1032</v>
      </c>
      <c r="BF233" s="15" t="s">
        <v>2250</v>
      </c>
      <c r="BI233" s="15" t="s">
        <v>9567</v>
      </c>
      <c r="BJ233" s="15" t="s">
        <v>9568</v>
      </c>
      <c r="BN233" s="15" t="s">
        <v>179</v>
      </c>
      <c r="BP233" s="15" t="s">
        <v>138</v>
      </c>
      <c r="BS233" s="15" t="s">
        <v>9569</v>
      </c>
      <c r="DH233" s="15" t="s">
        <v>17982</v>
      </c>
      <c r="DI233" s="15" t="s">
        <v>17982</v>
      </c>
    </row>
    <row r="234" spans="1:113" s="15" customFormat="1" ht="12.75" x14ac:dyDescent="0.2">
      <c r="A234" s="15" t="s">
        <v>109</v>
      </c>
      <c r="B234" s="15" t="s">
        <v>110</v>
      </c>
      <c r="D234" s="15" t="s">
        <v>620</v>
      </c>
      <c r="E234" s="15" t="s">
        <v>112</v>
      </c>
      <c r="F234" s="15" t="s">
        <v>620</v>
      </c>
      <c r="G234" s="15" t="s">
        <v>113</v>
      </c>
      <c r="H234" s="15" t="s">
        <v>1045</v>
      </c>
      <c r="J234" s="16" t="s">
        <v>114</v>
      </c>
      <c r="U234" s="15" t="s">
        <v>17977</v>
      </c>
      <c r="W234" s="15">
        <v>1801</v>
      </c>
      <c r="X234" s="15">
        <v>244</v>
      </c>
      <c r="Y234" s="15" t="s">
        <v>160</v>
      </c>
      <c r="Z234" s="15" t="s">
        <v>161</v>
      </c>
      <c r="AA234" s="15" t="s">
        <v>162</v>
      </c>
      <c r="AB234" s="15" t="s">
        <v>9610</v>
      </c>
      <c r="AC234" s="15" t="s">
        <v>9610</v>
      </c>
      <c r="AD234" s="15" t="s">
        <v>9610</v>
      </c>
      <c r="AE234" s="15" t="s">
        <v>164</v>
      </c>
      <c r="AF234" s="15" t="s">
        <v>9610</v>
      </c>
      <c r="AG234" s="15" t="s">
        <v>9610</v>
      </c>
      <c r="AH234" s="15" t="s">
        <v>9611</v>
      </c>
      <c r="AL234" s="15" t="s">
        <v>9612</v>
      </c>
      <c r="AN234" s="15">
        <v>743</v>
      </c>
      <c r="AO234" s="15" t="s">
        <v>9613</v>
      </c>
      <c r="AQ234" s="15" t="s">
        <v>168</v>
      </c>
      <c r="AT234" s="15" t="s">
        <v>9614</v>
      </c>
      <c r="AU234" s="15" t="s">
        <v>9615</v>
      </c>
      <c r="AV234" s="15" t="s">
        <v>9615</v>
      </c>
      <c r="AW234" s="15" t="s">
        <v>9616</v>
      </c>
      <c r="AX234" s="15" t="s">
        <v>9617</v>
      </c>
      <c r="AY234" s="15">
        <f t="shared" si="3"/>
        <v>50</v>
      </c>
      <c r="AZ234" s="15" t="s">
        <v>173</v>
      </c>
      <c r="BA234" s="15" t="s">
        <v>174</v>
      </c>
      <c r="BB234" s="15" t="s">
        <v>9566</v>
      </c>
      <c r="BE234" s="15" t="s">
        <v>1701</v>
      </c>
      <c r="BF234" s="15" t="s">
        <v>2250</v>
      </c>
      <c r="BI234" s="15" t="s">
        <v>9567</v>
      </c>
      <c r="BJ234" s="15" t="s">
        <v>9618</v>
      </c>
      <c r="BN234" s="15" t="s">
        <v>179</v>
      </c>
      <c r="BP234" s="15" t="s">
        <v>138</v>
      </c>
      <c r="BS234" s="15" t="s">
        <v>9619</v>
      </c>
      <c r="DH234" s="15" t="s">
        <v>17982</v>
      </c>
      <c r="DI234" s="15" t="s">
        <v>17982</v>
      </c>
    </row>
    <row r="235" spans="1:113" s="15" customFormat="1" ht="12.75" x14ac:dyDescent="0.2">
      <c r="A235" s="15" t="s">
        <v>109</v>
      </c>
      <c r="B235" s="15" t="s">
        <v>110</v>
      </c>
      <c r="D235" s="15" t="s">
        <v>620</v>
      </c>
      <c r="E235" s="15" t="s">
        <v>112</v>
      </c>
      <c r="F235" s="15" t="s">
        <v>620</v>
      </c>
      <c r="G235" s="15" t="s">
        <v>113</v>
      </c>
      <c r="H235" s="15" t="s">
        <v>1045</v>
      </c>
      <c r="J235" s="16" t="s">
        <v>114</v>
      </c>
      <c r="U235" s="15" t="s">
        <v>17977</v>
      </c>
      <c r="W235" s="15">
        <v>1798</v>
      </c>
      <c r="X235" s="15">
        <v>245</v>
      </c>
      <c r="Y235" s="15" t="s">
        <v>160</v>
      </c>
      <c r="Z235" s="15" t="s">
        <v>161</v>
      </c>
      <c r="AA235" s="15" t="s">
        <v>162</v>
      </c>
      <c r="AB235" s="15" t="s">
        <v>9580</v>
      </c>
      <c r="AC235" s="15" t="s">
        <v>9580</v>
      </c>
      <c r="AD235" s="15" t="s">
        <v>9580</v>
      </c>
      <c r="AE235" s="15" t="s">
        <v>164</v>
      </c>
      <c r="AF235" s="15" t="s">
        <v>9580</v>
      </c>
      <c r="AG235" s="15" t="s">
        <v>9580</v>
      </c>
      <c r="AH235" s="15" t="s">
        <v>9581</v>
      </c>
      <c r="AL235" s="15" t="s">
        <v>9582</v>
      </c>
      <c r="AN235" s="15">
        <v>743</v>
      </c>
      <c r="AO235" s="15" t="s">
        <v>9583</v>
      </c>
      <c r="AQ235" s="15" t="s">
        <v>388</v>
      </c>
      <c r="AT235" s="15" t="s">
        <v>9584</v>
      </c>
      <c r="AU235" s="15" t="s">
        <v>9585</v>
      </c>
      <c r="AV235" s="15" t="s">
        <v>9585</v>
      </c>
      <c r="AW235" s="15" t="s">
        <v>9586</v>
      </c>
      <c r="AX235" s="15" t="s">
        <v>9587</v>
      </c>
      <c r="AY235" s="15">
        <f t="shared" si="3"/>
        <v>56</v>
      </c>
      <c r="AZ235" s="15" t="s">
        <v>393</v>
      </c>
      <c r="BA235" s="15" t="s">
        <v>174</v>
      </c>
      <c r="BB235" s="15" t="s">
        <v>9566</v>
      </c>
      <c r="BE235" s="15" t="s">
        <v>1701</v>
      </c>
      <c r="BF235" s="15" t="s">
        <v>3738</v>
      </c>
      <c r="BI235" s="15" t="s">
        <v>9567</v>
      </c>
      <c r="BJ235" s="15" t="s">
        <v>9588</v>
      </c>
      <c r="BK235" s="15" t="s">
        <v>487</v>
      </c>
      <c r="BN235" s="15" t="s">
        <v>179</v>
      </c>
      <c r="BP235" s="15" t="s">
        <v>138</v>
      </c>
      <c r="BS235" s="15" t="s">
        <v>9589</v>
      </c>
      <c r="DH235" s="15" t="s">
        <v>17982</v>
      </c>
      <c r="DI235" s="15" t="s">
        <v>17982</v>
      </c>
    </row>
    <row r="236" spans="1:113" s="15" customFormat="1" ht="12.75" x14ac:dyDescent="0.2">
      <c r="A236" s="15" t="s">
        <v>109</v>
      </c>
      <c r="B236" s="15" t="s">
        <v>110</v>
      </c>
      <c r="D236" s="15" t="s">
        <v>620</v>
      </c>
      <c r="E236" s="15" t="s">
        <v>112</v>
      </c>
      <c r="F236" s="15" t="s">
        <v>620</v>
      </c>
      <c r="G236" s="15" t="s">
        <v>113</v>
      </c>
      <c r="H236" s="15" t="s">
        <v>1045</v>
      </c>
      <c r="J236" s="16" t="s">
        <v>114</v>
      </c>
      <c r="U236" s="15" t="s">
        <v>17977</v>
      </c>
      <c r="W236" s="15">
        <v>1797</v>
      </c>
      <c r="X236" s="15">
        <v>246</v>
      </c>
      <c r="Y236" s="15" t="s">
        <v>160</v>
      </c>
      <c r="Z236" s="15" t="s">
        <v>161</v>
      </c>
      <c r="AA236" s="15" t="s">
        <v>162</v>
      </c>
      <c r="AB236" s="15" t="s">
        <v>9570</v>
      </c>
      <c r="AC236" s="15" t="s">
        <v>9570</v>
      </c>
      <c r="AD236" s="15" t="s">
        <v>9570</v>
      </c>
      <c r="AE236" s="15" t="s">
        <v>164</v>
      </c>
      <c r="AF236" s="15" t="s">
        <v>9570</v>
      </c>
      <c r="AG236" s="15" t="s">
        <v>9570</v>
      </c>
      <c r="AH236" s="15" t="s">
        <v>9571</v>
      </c>
      <c r="AL236" s="15" t="s">
        <v>9572</v>
      </c>
      <c r="AN236" s="15">
        <v>743</v>
      </c>
      <c r="AO236" s="15" t="s">
        <v>9573</v>
      </c>
      <c r="AQ236" s="15" t="s">
        <v>388</v>
      </c>
      <c r="AT236" s="15" t="s">
        <v>9574</v>
      </c>
      <c r="AU236" s="15" t="s">
        <v>9575</v>
      </c>
      <c r="AV236" s="15" t="s">
        <v>9575</v>
      </c>
      <c r="AW236" s="15" t="s">
        <v>9576</v>
      </c>
      <c r="AX236" s="15" t="s">
        <v>9577</v>
      </c>
      <c r="AY236" s="15">
        <f t="shared" si="3"/>
        <v>58</v>
      </c>
      <c r="AZ236" s="15" t="s">
        <v>393</v>
      </c>
      <c r="BA236" s="15" t="s">
        <v>174</v>
      </c>
      <c r="BB236" s="15" t="s">
        <v>9566</v>
      </c>
      <c r="BE236" s="15" t="s">
        <v>1701</v>
      </c>
      <c r="BF236" s="15" t="s">
        <v>3738</v>
      </c>
      <c r="BI236" s="15" t="s">
        <v>9567</v>
      </c>
      <c r="BJ236" s="15" t="s">
        <v>9578</v>
      </c>
      <c r="BK236" s="15" t="s">
        <v>487</v>
      </c>
      <c r="BN236" s="15" t="s">
        <v>179</v>
      </c>
      <c r="BP236" s="15" t="s">
        <v>138</v>
      </c>
      <c r="BS236" s="15" t="s">
        <v>9579</v>
      </c>
      <c r="DH236" s="15" t="s">
        <v>17982</v>
      </c>
      <c r="DI236" s="15" t="s">
        <v>17982</v>
      </c>
    </row>
    <row r="237" spans="1:113" s="15" customFormat="1" ht="12.75" x14ac:dyDescent="0.2">
      <c r="A237" s="15" t="s">
        <v>109</v>
      </c>
      <c r="B237" s="15" t="s">
        <v>110</v>
      </c>
      <c r="D237" s="15" t="s">
        <v>620</v>
      </c>
      <c r="E237" s="15" t="s">
        <v>112</v>
      </c>
      <c r="F237" s="15" t="s">
        <v>620</v>
      </c>
      <c r="G237" s="15" t="s">
        <v>113</v>
      </c>
      <c r="H237" s="15" t="s">
        <v>1045</v>
      </c>
      <c r="J237" s="16" t="s">
        <v>114</v>
      </c>
      <c r="U237" s="15" t="s">
        <v>17977</v>
      </c>
      <c r="W237" s="15">
        <v>1799</v>
      </c>
      <c r="X237" s="15">
        <v>247</v>
      </c>
      <c r="Y237" s="15" t="s">
        <v>160</v>
      </c>
      <c r="Z237" s="15" t="s">
        <v>161</v>
      </c>
      <c r="AA237" s="15" t="s">
        <v>162</v>
      </c>
      <c r="AB237" s="15" t="s">
        <v>9590</v>
      </c>
      <c r="AC237" s="15" t="s">
        <v>9590</v>
      </c>
      <c r="AD237" s="15" t="s">
        <v>9590</v>
      </c>
      <c r="AE237" s="15" t="s">
        <v>164</v>
      </c>
      <c r="AF237" s="15" t="s">
        <v>9590</v>
      </c>
      <c r="AG237" s="15" t="s">
        <v>9590</v>
      </c>
      <c r="AH237" s="15" t="s">
        <v>9591</v>
      </c>
      <c r="AL237" s="15" t="s">
        <v>9592</v>
      </c>
      <c r="AN237" s="15">
        <v>743</v>
      </c>
      <c r="AO237" s="15" t="s">
        <v>9593</v>
      </c>
      <c r="AQ237" s="15" t="s">
        <v>388</v>
      </c>
      <c r="AT237" s="15" t="s">
        <v>9594</v>
      </c>
      <c r="AU237" s="15" t="s">
        <v>9595</v>
      </c>
      <c r="AV237" s="15" t="s">
        <v>9595</v>
      </c>
      <c r="AW237" s="15" t="s">
        <v>9596</v>
      </c>
      <c r="AX237" s="15" t="s">
        <v>9597</v>
      </c>
      <c r="AY237" s="15">
        <f t="shared" si="3"/>
        <v>53</v>
      </c>
      <c r="AZ237" s="15" t="s">
        <v>393</v>
      </c>
      <c r="BA237" s="15" t="s">
        <v>174</v>
      </c>
      <c r="BB237" s="15" t="s">
        <v>9566</v>
      </c>
      <c r="BE237" s="15" t="s">
        <v>1701</v>
      </c>
      <c r="BF237" s="15" t="s">
        <v>3738</v>
      </c>
      <c r="BI237" s="15" t="s">
        <v>9567</v>
      </c>
      <c r="BJ237" s="15" t="s">
        <v>9598</v>
      </c>
      <c r="BK237" s="15" t="s">
        <v>487</v>
      </c>
      <c r="BN237" s="15" t="s">
        <v>179</v>
      </c>
      <c r="BP237" s="15" t="s">
        <v>138</v>
      </c>
      <c r="BS237" s="15" t="s">
        <v>9599</v>
      </c>
      <c r="DH237" s="15" t="s">
        <v>17982</v>
      </c>
      <c r="DI237" s="15" t="s">
        <v>17982</v>
      </c>
    </row>
    <row r="238" spans="1:113" s="15" customFormat="1" ht="12.75" x14ac:dyDescent="0.2">
      <c r="A238" s="15" t="s">
        <v>109</v>
      </c>
      <c r="B238" s="15" t="s">
        <v>110</v>
      </c>
      <c r="D238" s="15" t="s">
        <v>620</v>
      </c>
      <c r="E238" s="15" t="s">
        <v>112</v>
      </c>
      <c r="F238" s="15" t="s">
        <v>620</v>
      </c>
      <c r="G238" s="15" t="s">
        <v>113</v>
      </c>
      <c r="H238" s="15" t="s">
        <v>1045</v>
      </c>
      <c r="J238" s="16" t="s">
        <v>114</v>
      </c>
      <c r="U238" s="15" t="s">
        <v>17977</v>
      </c>
      <c r="W238" s="15">
        <v>1756</v>
      </c>
      <c r="X238" s="15">
        <v>248</v>
      </c>
      <c r="Y238" s="15" t="s">
        <v>160</v>
      </c>
      <c r="Z238" s="15" t="s">
        <v>161</v>
      </c>
      <c r="AA238" s="15" t="s">
        <v>162</v>
      </c>
      <c r="AB238" s="15" t="s">
        <v>9236</v>
      </c>
      <c r="AC238" s="15" t="s">
        <v>9236</v>
      </c>
      <c r="AD238" s="15" t="s">
        <v>9236</v>
      </c>
      <c r="AE238" s="15" t="s">
        <v>164</v>
      </c>
      <c r="AF238" s="15" t="s">
        <v>9236</v>
      </c>
      <c r="AG238" s="15" t="s">
        <v>9236</v>
      </c>
      <c r="AH238" s="15" t="s">
        <v>9237</v>
      </c>
      <c r="AL238" s="15" t="s">
        <v>9238</v>
      </c>
      <c r="AN238" s="15">
        <v>743</v>
      </c>
      <c r="AO238" s="15" t="s">
        <v>9239</v>
      </c>
      <c r="AQ238" s="15" t="s">
        <v>2747</v>
      </c>
      <c r="AT238" s="15" t="s">
        <v>9240</v>
      </c>
      <c r="AU238" s="15" t="s">
        <v>9241</v>
      </c>
      <c r="AV238" s="15" t="s">
        <v>9241</v>
      </c>
      <c r="AW238" s="15" t="s">
        <v>9242</v>
      </c>
      <c r="AX238" s="15" t="s">
        <v>9243</v>
      </c>
      <c r="AY238" s="15">
        <f t="shared" si="3"/>
        <v>56</v>
      </c>
      <c r="AZ238" s="15" t="s">
        <v>2752</v>
      </c>
      <c r="BA238" s="15" t="s">
        <v>9186</v>
      </c>
      <c r="BB238" s="15" t="s">
        <v>9156</v>
      </c>
      <c r="BE238" s="15" t="s">
        <v>9244</v>
      </c>
      <c r="BJ238" s="15" t="s">
        <v>9234</v>
      </c>
      <c r="BK238" s="15" t="s">
        <v>487</v>
      </c>
      <c r="BN238" s="15" t="s">
        <v>179</v>
      </c>
      <c r="BP238" s="15" t="s">
        <v>138</v>
      </c>
      <c r="BS238" s="15" t="s">
        <v>9245</v>
      </c>
      <c r="DH238" s="15" t="s">
        <v>17982</v>
      </c>
      <c r="DI238" s="15" t="s">
        <v>17982</v>
      </c>
    </row>
    <row r="239" spans="1:113" s="15" customFormat="1" ht="12.75" x14ac:dyDescent="0.2">
      <c r="A239" s="15" t="s">
        <v>109</v>
      </c>
      <c r="B239" s="15" t="s">
        <v>110</v>
      </c>
      <c r="D239" s="15" t="s">
        <v>620</v>
      </c>
      <c r="E239" s="15" t="s">
        <v>112</v>
      </c>
      <c r="F239" s="15" t="s">
        <v>620</v>
      </c>
      <c r="G239" s="15" t="s">
        <v>113</v>
      </c>
      <c r="H239" s="15" t="s">
        <v>1045</v>
      </c>
      <c r="J239" s="16" t="s">
        <v>114</v>
      </c>
      <c r="U239" s="15" t="s">
        <v>17977</v>
      </c>
      <c r="W239" s="15">
        <v>1755</v>
      </c>
      <c r="X239" s="15">
        <v>249</v>
      </c>
      <c r="Y239" s="15" t="s">
        <v>160</v>
      </c>
      <c r="Z239" s="15" t="s">
        <v>161</v>
      </c>
      <c r="AA239" s="15" t="s">
        <v>162</v>
      </c>
      <c r="AB239" s="15" t="s">
        <v>9225</v>
      </c>
      <c r="AC239" s="15" t="s">
        <v>9225</v>
      </c>
      <c r="AD239" s="15" t="s">
        <v>9225</v>
      </c>
      <c r="AE239" s="15" t="s">
        <v>164</v>
      </c>
      <c r="AF239" s="15" t="s">
        <v>9225</v>
      </c>
      <c r="AG239" s="15" t="s">
        <v>9225</v>
      </c>
      <c r="AH239" s="15" t="s">
        <v>9226</v>
      </c>
      <c r="AL239" s="15" t="s">
        <v>9227</v>
      </c>
      <c r="AN239" s="15">
        <v>743</v>
      </c>
      <c r="AO239" s="15" t="s">
        <v>9228</v>
      </c>
      <c r="AQ239" s="15" t="s">
        <v>2747</v>
      </c>
      <c r="AT239" s="15" t="s">
        <v>9229</v>
      </c>
      <c r="AU239" s="15" t="s">
        <v>9230</v>
      </c>
      <c r="AV239" s="15" t="s">
        <v>9230</v>
      </c>
      <c r="AW239" s="15" t="s">
        <v>9231</v>
      </c>
      <c r="AX239" s="15" t="s">
        <v>9232</v>
      </c>
      <c r="AY239" s="15">
        <f t="shared" si="3"/>
        <v>56</v>
      </c>
      <c r="AZ239" s="15" t="s">
        <v>2752</v>
      </c>
      <c r="BA239" s="15" t="s">
        <v>9186</v>
      </c>
      <c r="BB239" s="15" t="s">
        <v>9156</v>
      </c>
      <c r="BE239" s="15" t="s">
        <v>9233</v>
      </c>
      <c r="BJ239" s="15" t="s">
        <v>9234</v>
      </c>
      <c r="BK239" s="15" t="s">
        <v>487</v>
      </c>
      <c r="BN239" s="15" t="s">
        <v>179</v>
      </c>
      <c r="BP239" s="15" t="s">
        <v>138</v>
      </c>
      <c r="BS239" s="15" t="s">
        <v>9235</v>
      </c>
      <c r="DH239" s="15" t="s">
        <v>17982</v>
      </c>
      <c r="DI239" s="15" t="s">
        <v>17982</v>
      </c>
    </row>
    <row r="240" spans="1:113" s="15" customFormat="1" ht="12.75" x14ac:dyDescent="0.2">
      <c r="A240" s="15" t="s">
        <v>109</v>
      </c>
      <c r="B240" s="15" t="s">
        <v>110</v>
      </c>
      <c r="D240" s="15" t="s">
        <v>620</v>
      </c>
      <c r="E240" s="15" t="s">
        <v>112</v>
      </c>
      <c r="F240" s="15" t="s">
        <v>620</v>
      </c>
      <c r="G240" s="15" t="s">
        <v>113</v>
      </c>
      <c r="H240" s="15" t="s">
        <v>1045</v>
      </c>
      <c r="J240" s="16" t="s">
        <v>114</v>
      </c>
      <c r="U240" s="15" t="s">
        <v>17977</v>
      </c>
      <c r="W240" s="15">
        <v>1757</v>
      </c>
      <c r="X240" s="15">
        <v>250</v>
      </c>
      <c r="Y240" s="15" t="s">
        <v>160</v>
      </c>
      <c r="Z240" s="15" t="s">
        <v>161</v>
      </c>
      <c r="AA240" s="15" t="s">
        <v>162</v>
      </c>
      <c r="AB240" s="15" t="s">
        <v>9246</v>
      </c>
      <c r="AC240" s="15" t="s">
        <v>9246</v>
      </c>
      <c r="AD240" s="15" t="s">
        <v>9246</v>
      </c>
      <c r="AE240" s="15" t="s">
        <v>164</v>
      </c>
      <c r="AF240" s="15" t="s">
        <v>9246</v>
      </c>
      <c r="AG240" s="15" t="s">
        <v>9246</v>
      </c>
      <c r="AH240" s="15" t="s">
        <v>9247</v>
      </c>
      <c r="AL240" s="15" t="s">
        <v>9238</v>
      </c>
      <c r="AN240" s="15">
        <v>743</v>
      </c>
      <c r="AO240" s="15" t="s">
        <v>9248</v>
      </c>
      <c r="AQ240" s="15" t="s">
        <v>2747</v>
      </c>
      <c r="AT240" s="15" t="s">
        <v>9249</v>
      </c>
      <c r="AU240" s="15" t="s">
        <v>9250</v>
      </c>
      <c r="AV240" s="15" t="s">
        <v>9250</v>
      </c>
      <c r="AW240" s="15" t="s">
        <v>9251</v>
      </c>
      <c r="AX240" s="15" t="s">
        <v>9252</v>
      </c>
      <c r="AY240" s="15">
        <f t="shared" si="3"/>
        <v>56</v>
      </c>
      <c r="AZ240" s="15" t="s">
        <v>2752</v>
      </c>
      <c r="BA240" s="15" t="s">
        <v>9186</v>
      </c>
      <c r="BB240" s="15" t="s">
        <v>9156</v>
      </c>
      <c r="BE240" s="15" t="s">
        <v>9187</v>
      </c>
      <c r="BJ240" s="15" t="s">
        <v>9234</v>
      </c>
      <c r="BK240" s="15" t="s">
        <v>487</v>
      </c>
      <c r="BN240" s="15" t="s">
        <v>179</v>
      </c>
      <c r="BP240" s="15" t="s">
        <v>138</v>
      </c>
      <c r="BS240" s="15" t="s">
        <v>9253</v>
      </c>
      <c r="DH240" s="15" t="s">
        <v>17982</v>
      </c>
      <c r="DI240" s="15" t="s">
        <v>17982</v>
      </c>
    </row>
    <row r="241" spans="1:113" s="15" customFormat="1" ht="12.75" x14ac:dyDescent="0.2">
      <c r="A241" s="15" t="s">
        <v>109</v>
      </c>
      <c r="B241" s="15" t="s">
        <v>110</v>
      </c>
      <c r="D241" s="15" t="s">
        <v>620</v>
      </c>
      <c r="E241" s="15" t="s">
        <v>112</v>
      </c>
      <c r="F241" s="15" t="s">
        <v>620</v>
      </c>
      <c r="G241" s="15" t="s">
        <v>113</v>
      </c>
      <c r="H241" s="15" t="s">
        <v>1045</v>
      </c>
      <c r="J241" s="16" t="s">
        <v>114</v>
      </c>
      <c r="U241" s="15" t="s">
        <v>17977</v>
      </c>
      <c r="W241" s="15">
        <v>1758</v>
      </c>
      <c r="X241" s="15">
        <v>251</v>
      </c>
      <c r="Y241" s="15" t="s">
        <v>160</v>
      </c>
      <c r="Z241" s="15" t="s">
        <v>161</v>
      </c>
      <c r="AA241" s="15" t="s">
        <v>162</v>
      </c>
      <c r="AB241" s="15" t="s">
        <v>9254</v>
      </c>
      <c r="AC241" s="15" t="s">
        <v>9254</v>
      </c>
      <c r="AD241" s="15" t="s">
        <v>9254</v>
      </c>
      <c r="AE241" s="15" t="s">
        <v>164</v>
      </c>
      <c r="AF241" s="15" t="s">
        <v>9254</v>
      </c>
      <c r="AG241" s="15" t="s">
        <v>9254</v>
      </c>
      <c r="AH241" s="15" t="s">
        <v>9255</v>
      </c>
      <c r="AL241" s="15" t="s">
        <v>9238</v>
      </c>
      <c r="AN241" s="15">
        <v>743</v>
      </c>
      <c r="AO241" s="15" t="s">
        <v>9256</v>
      </c>
      <c r="AQ241" s="15" t="s">
        <v>2747</v>
      </c>
      <c r="AT241" s="15" t="s">
        <v>9257</v>
      </c>
      <c r="AU241" s="15" t="s">
        <v>9258</v>
      </c>
      <c r="AV241" s="15" t="s">
        <v>9258</v>
      </c>
      <c r="AW241" s="15" t="s">
        <v>9259</v>
      </c>
      <c r="AX241" s="15" t="s">
        <v>9260</v>
      </c>
      <c r="AY241" s="15">
        <f t="shared" si="3"/>
        <v>56</v>
      </c>
      <c r="AZ241" s="15" t="s">
        <v>2752</v>
      </c>
      <c r="BA241" s="15" t="s">
        <v>9186</v>
      </c>
      <c r="BB241" s="15" t="s">
        <v>9156</v>
      </c>
      <c r="BE241" s="15" t="s">
        <v>9196</v>
      </c>
      <c r="BJ241" s="15" t="s">
        <v>9234</v>
      </c>
      <c r="BK241" s="15" t="s">
        <v>487</v>
      </c>
      <c r="BN241" s="15" t="s">
        <v>179</v>
      </c>
      <c r="BP241" s="15" t="s">
        <v>138</v>
      </c>
      <c r="BS241" s="15" t="s">
        <v>9261</v>
      </c>
      <c r="DH241" s="15" t="s">
        <v>17982</v>
      </c>
      <c r="DI241" s="15" t="s">
        <v>17982</v>
      </c>
    </row>
    <row r="242" spans="1:113" s="15" customFormat="1" ht="12.75" x14ac:dyDescent="0.2">
      <c r="A242" s="15" t="s">
        <v>109</v>
      </c>
      <c r="B242" s="15" t="s">
        <v>110</v>
      </c>
      <c r="D242" s="15" t="s">
        <v>620</v>
      </c>
      <c r="E242" s="15" t="s">
        <v>112</v>
      </c>
      <c r="F242" s="15" t="s">
        <v>620</v>
      </c>
      <c r="G242" s="15" t="s">
        <v>113</v>
      </c>
      <c r="H242" s="15" t="s">
        <v>1045</v>
      </c>
      <c r="J242" s="16" t="s">
        <v>114</v>
      </c>
      <c r="U242" s="15" t="s">
        <v>17977</v>
      </c>
      <c r="W242" s="15">
        <v>1759</v>
      </c>
      <c r="X242" s="15">
        <v>252</v>
      </c>
      <c r="Y242" s="15" t="s">
        <v>160</v>
      </c>
      <c r="Z242" s="15" t="s">
        <v>161</v>
      </c>
      <c r="AA242" s="15" t="s">
        <v>162</v>
      </c>
      <c r="AB242" s="15" t="s">
        <v>9262</v>
      </c>
      <c r="AC242" s="15" t="s">
        <v>9262</v>
      </c>
      <c r="AD242" s="15" t="s">
        <v>9262</v>
      </c>
      <c r="AE242" s="15" t="s">
        <v>164</v>
      </c>
      <c r="AF242" s="15" t="s">
        <v>9262</v>
      </c>
      <c r="AG242" s="15" t="s">
        <v>9262</v>
      </c>
      <c r="AH242" s="15" t="s">
        <v>9263</v>
      </c>
      <c r="AL242" s="15" t="s">
        <v>9238</v>
      </c>
      <c r="AN242" s="15">
        <v>743</v>
      </c>
      <c r="AO242" s="15" t="s">
        <v>9264</v>
      </c>
      <c r="AQ242" s="15" t="s">
        <v>2747</v>
      </c>
      <c r="AT242" s="15" t="s">
        <v>9265</v>
      </c>
      <c r="AU242" s="15" t="s">
        <v>9266</v>
      </c>
      <c r="AV242" s="15" t="s">
        <v>9266</v>
      </c>
      <c r="AW242" s="15" t="s">
        <v>9267</v>
      </c>
      <c r="AX242" s="15" t="s">
        <v>9268</v>
      </c>
      <c r="AY242" s="15">
        <f t="shared" si="3"/>
        <v>56</v>
      </c>
      <c r="AZ242" s="15" t="s">
        <v>2752</v>
      </c>
      <c r="BA242" s="15" t="s">
        <v>9186</v>
      </c>
      <c r="BB242" s="15" t="s">
        <v>9156</v>
      </c>
      <c r="BE242" s="15" t="s">
        <v>9212</v>
      </c>
      <c r="BJ242" s="15" t="s">
        <v>9234</v>
      </c>
      <c r="BK242" s="15" t="s">
        <v>487</v>
      </c>
      <c r="BN242" s="15" t="s">
        <v>179</v>
      </c>
      <c r="BP242" s="15" t="s">
        <v>138</v>
      </c>
      <c r="BS242" s="15" t="s">
        <v>9269</v>
      </c>
      <c r="DH242" s="15" t="s">
        <v>17982</v>
      </c>
      <c r="DI242" s="15" t="s">
        <v>17982</v>
      </c>
    </row>
    <row r="243" spans="1:113" s="15" customFormat="1" ht="12.75" x14ac:dyDescent="0.2">
      <c r="A243" s="15" t="s">
        <v>109</v>
      </c>
      <c r="B243" s="15" t="s">
        <v>110</v>
      </c>
      <c r="D243" s="15" t="s">
        <v>620</v>
      </c>
      <c r="E243" s="15" t="s">
        <v>112</v>
      </c>
      <c r="F243" s="15" t="s">
        <v>620</v>
      </c>
      <c r="G243" s="15" t="s">
        <v>113</v>
      </c>
      <c r="H243" s="15" t="s">
        <v>1045</v>
      </c>
      <c r="J243" s="16" t="s">
        <v>114</v>
      </c>
      <c r="U243" s="15" t="s">
        <v>17977</v>
      </c>
      <c r="W243" s="15">
        <v>1760</v>
      </c>
      <c r="X243" s="15">
        <v>253</v>
      </c>
      <c r="Y243" s="15" t="s">
        <v>160</v>
      </c>
      <c r="Z243" s="15" t="s">
        <v>161</v>
      </c>
      <c r="AA243" s="15" t="s">
        <v>162</v>
      </c>
      <c r="AB243" s="15" t="s">
        <v>9270</v>
      </c>
      <c r="AC243" s="15" t="s">
        <v>9270</v>
      </c>
      <c r="AD243" s="15" t="s">
        <v>9270</v>
      </c>
      <c r="AE243" s="15" t="s">
        <v>164</v>
      </c>
      <c r="AF243" s="15" t="s">
        <v>9270</v>
      </c>
      <c r="AG243" s="15" t="s">
        <v>9270</v>
      </c>
      <c r="AH243" s="15" t="s">
        <v>9271</v>
      </c>
      <c r="AL243" s="15" t="s">
        <v>9238</v>
      </c>
      <c r="AN243" s="15">
        <v>743</v>
      </c>
      <c r="AO243" s="15" t="s">
        <v>9272</v>
      </c>
      <c r="AQ243" s="15" t="s">
        <v>2747</v>
      </c>
      <c r="AT243" s="15" t="s">
        <v>9273</v>
      </c>
      <c r="AU243" s="15" t="s">
        <v>9274</v>
      </c>
      <c r="AV243" s="15" t="s">
        <v>9274</v>
      </c>
      <c r="AW243" s="15" t="s">
        <v>9275</v>
      </c>
      <c r="AX243" s="15" t="s">
        <v>9276</v>
      </c>
      <c r="AY243" s="15">
        <f t="shared" si="3"/>
        <v>56</v>
      </c>
      <c r="AZ243" s="15" t="s">
        <v>2752</v>
      </c>
      <c r="BA243" s="15" t="s">
        <v>9186</v>
      </c>
      <c r="BB243" s="15" t="s">
        <v>9156</v>
      </c>
      <c r="BE243" s="15" t="s">
        <v>9277</v>
      </c>
      <c r="BJ243" s="15" t="s">
        <v>9234</v>
      </c>
      <c r="BK243" s="15" t="s">
        <v>487</v>
      </c>
      <c r="BN243" s="15" t="s">
        <v>179</v>
      </c>
      <c r="BP243" s="15" t="s">
        <v>138</v>
      </c>
      <c r="BS243" s="15" t="s">
        <v>9278</v>
      </c>
      <c r="DH243" s="15" t="s">
        <v>17982</v>
      </c>
      <c r="DI243" s="15" t="s">
        <v>17982</v>
      </c>
    </row>
    <row r="244" spans="1:113" s="15" customFormat="1" ht="12.75" x14ac:dyDescent="0.2">
      <c r="A244" s="15" t="s">
        <v>109</v>
      </c>
      <c r="B244" s="15" t="s">
        <v>110</v>
      </c>
      <c r="D244" s="15" t="s">
        <v>620</v>
      </c>
      <c r="E244" s="15" t="s">
        <v>112</v>
      </c>
      <c r="F244" s="15" t="s">
        <v>620</v>
      </c>
      <c r="G244" s="15" t="s">
        <v>113</v>
      </c>
      <c r="H244" s="15" t="s">
        <v>1045</v>
      </c>
      <c r="J244" s="16" t="s">
        <v>114</v>
      </c>
      <c r="U244" s="15" t="s">
        <v>17977</v>
      </c>
      <c r="W244" s="15">
        <v>1750</v>
      </c>
      <c r="X244" s="15">
        <v>254</v>
      </c>
      <c r="Y244" s="15" t="s">
        <v>160</v>
      </c>
      <c r="Z244" s="15" t="s">
        <v>161</v>
      </c>
      <c r="AA244" s="15" t="s">
        <v>162</v>
      </c>
      <c r="AB244" s="15" t="s">
        <v>9179</v>
      </c>
      <c r="AC244" s="15" t="s">
        <v>9179</v>
      </c>
      <c r="AD244" s="15" t="s">
        <v>9179</v>
      </c>
      <c r="AE244" s="15" t="s">
        <v>164</v>
      </c>
      <c r="AF244" s="15" t="s">
        <v>9179</v>
      </c>
      <c r="AG244" s="15" t="s">
        <v>9179</v>
      </c>
      <c r="AH244" s="15" t="s">
        <v>9180</v>
      </c>
      <c r="AL244" s="15" t="s">
        <v>9181</v>
      </c>
      <c r="AN244" s="15">
        <v>743</v>
      </c>
      <c r="AO244" s="15" t="s">
        <v>9182</v>
      </c>
      <c r="AQ244" s="15" t="s">
        <v>2747</v>
      </c>
      <c r="AT244" s="15" t="s">
        <v>9183</v>
      </c>
      <c r="AU244" s="15" t="s">
        <v>9184</v>
      </c>
      <c r="AV244" s="15" t="s">
        <v>9184</v>
      </c>
      <c r="AW244" s="15" t="s">
        <v>9185</v>
      </c>
      <c r="AX244" s="15" t="s">
        <v>9185</v>
      </c>
      <c r="AY244" s="15">
        <f t="shared" si="3"/>
        <v>60</v>
      </c>
      <c r="AZ244" s="15" t="s">
        <v>2752</v>
      </c>
      <c r="BA244" s="15" t="s">
        <v>9186</v>
      </c>
      <c r="BB244" s="15" t="s">
        <v>9156</v>
      </c>
      <c r="BE244" s="15" t="s">
        <v>9187</v>
      </c>
      <c r="BJ244" s="15" t="s">
        <v>9188</v>
      </c>
      <c r="BK244" s="15" t="s">
        <v>487</v>
      </c>
      <c r="BN244" s="15" t="s">
        <v>179</v>
      </c>
      <c r="BP244" s="15" t="s">
        <v>138</v>
      </c>
      <c r="BS244" s="15" t="s">
        <v>9189</v>
      </c>
      <c r="DH244" s="15" t="s">
        <v>17982</v>
      </c>
      <c r="DI244" s="15" t="s">
        <v>17982</v>
      </c>
    </row>
    <row r="245" spans="1:113" s="15" customFormat="1" ht="12.75" x14ac:dyDescent="0.2">
      <c r="A245" s="15" t="s">
        <v>109</v>
      </c>
      <c r="B245" s="15" t="s">
        <v>110</v>
      </c>
      <c r="D245" s="15" t="s">
        <v>620</v>
      </c>
      <c r="E245" s="15" t="s">
        <v>112</v>
      </c>
      <c r="F245" s="15" t="s">
        <v>620</v>
      </c>
      <c r="G245" s="15" t="s">
        <v>113</v>
      </c>
      <c r="H245" s="15" t="s">
        <v>1045</v>
      </c>
      <c r="J245" s="16" t="s">
        <v>114</v>
      </c>
      <c r="U245" s="15" t="s">
        <v>17977</v>
      </c>
      <c r="W245" s="15">
        <v>1751</v>
      </c>
      <c r="X245" s="15">
        <v>255</v>
      </c>
      <c r="Y245" s="15" t="s">
        <v>160</v>
      </c>
      <c r="Z245" s="15" t="s">
        <v>161</v>
      </c>
      <c r="AA245" s="15" t="s">
        <v>162</v>
      </c>
      <c r="AB245" s="15" t="s">
        <v>9190</v>
      </c>
      <c r="AC245" s="15" t="s">
        <v>9190</v>
      </c>
      <c r="AD245" s="15" t="s">
        <v>9190</v>
      </c>
      <c r="AE245" s="15" t="s">
        <v>164</v>
      </c>
      <c r="AF245" s="15" t="s">
        <v>9190</v>
      </c>
      <c r="AG245" s="15" t="s">
        <v>9190</v>
      </c>
      <c r="AH245" s="15" t="s">
        <v>9191</v>
      </c>
      <c r="AL245" s="15" t="s">
        <v>9181</v>
      </c>
      <c r="AN245" s="15">
        <v>743</v>
      </c>
      <c r="AO245" s="15" t="s">
        <v>9192</v>
      </c>
      <c r="AQ245" s="15" t="s">
        <v>2747</v>
      </c>
      <c r="AT245" s="15" t="s">
        <v>9193</v>
      </c>
      <c r="AU245" s="15" t="s">
        <v>9194</v>
      </c>
      <c r="AV245" s="15" t="s">
        <v>9194</v>
      </c>
      <c r="AW245" s="15" t="s">
        <v>9195</v>
      </c>
      <c r="AX245" s="15" t="s">
        <v>9195</v>
      </c>
      <c r="AY245" s="15">
        <f t="shared" si="3"/>
        <v>60</v>
      </c>
      <c r="AZ245" s="15" t="s">
        <v>2752</v>
      </c>
      <c r="BA245" s="15" t="s">
        <v>9186</v>
      </c>
      <c r="BB245" s="15" t="s">
        <v>9156</v>
      </c>
      <c r="BE245" s="15" t="s">
        <v>9196</v>
      </c>
      <c r="BJ245" s="15" t="s">
        <v>9188</v>
      </c>
      <c r="BK245" s="15" t="s">
        <v>487</v>
      </c>
      <c r="BN245" s="15" t="s">
        <v>179</v>
      </c>
      <c r="BP245" s="15" t="s">
        <v>138</v>
      </c>
      <c r="BS245" s="15" t="s">
        <v>9197</v>
      </c>
      <c r="DH245" s="15" t="s">
        <v>17982</v>
      </c>
      <c r="DI245" s="15" t="s">
        <v>17982</v>
      </c>
    </row>
    <row r="246" spans="1:113" s="15" customFormat="1" ht="12.75" x14ac:dyDescent="0.2">
      <c r="A246" s="15" t="s">
        <v>109</v>
      </c>
      <c r="B246" s="15" t="s">
        <v>110</v>
      </c>
      <c r="D246" s="15" t="s">
        <v>620</v>
      </c>
      <c r="E246" s="15" t="s">
        <v>112</v>
      </c>
      <c r="F246" s="15" t="s">
        <v>620</v>
      </c>
      <c r="G246" s="15" t="s">
        <v>113</v>
      </c>
      <c r="H246" s="15" t="s">
        <v>1045</v>
      </c>
      <c r="J246" s="16" t="s">
        <v>114</v>
      </c>
      <c r="U246" s="15" t="s">
        <v>17977</v>
      </c>
      <c r="W246" s="15">
        <v>1752</v>
      </c>
      <c r="X246" s="15">
        <v>256</v>
      </c>
      <c r="Y246" s="15" t="s">
        <v>160</v>
      </c>
      <c r="Z246" s="15" t="s">
        <v>161</v>
      </c>
      <c r="AA246" s="15" t="s">
        <v>162</v>
      </c>
      <c r="AB246" s="15" t="s">
        <v>9198</v>
      </c>
      <c r="AC246" s="15" t="s">
        <v>9198</v>
      </c>
      <c r="AD246" s="15" t="s">
        <v>9198</v>
      </c>
      <c r="AE246" s="15" t="s">
        <v>164</v>
      </c>
      <c r="AF246" s="15" t="s">
        <v>9198</v>
      </c>
      <c r="AG246" s="15" t="s">
        <v>9198</v>
      </c>
      <c r="AH246" s="15" t="s">
        <v>9199</v>
      </c>
      <c r="AL246" s="15" t="s">
        <v>9181</v>
      </c>
      <c r="AN246" s="15">
        <v>743</v>
      </c>
      <c r="AO246" s="15" t="s">
        <v>9200</v>
      </c>
      <c r="AQ246" s="15" t="s">
        <v>2747</v>
      </c>
      <c r="AT246" s="15" t="s">
        <v>9201</v>
      </c>
      <c r="AU246" s="15" t="s">
        <v>9202</v>
      </c>
      <c r="AV246" s="15" t="s">
        <v>9202</v>
      </c>
      <c r="AW246" s="15" t="s">
        <v>9203</v>
      </c>
      <c r="AX246" s="15" t="s">
        <v>9203</v>
      </c>
      <c r="AY246" s="15">
        <f t="shared" si="3"/>
        <v>60</v>
      </c>
      <c r="AZ246" s="15" t="s">
        <v>2752</v>
      </c>
      <c r="BA246" s="15" t="s">
        <v>9186</v>
      </c>
      <c r="BB246" s="15" t="s">
        <v>9156</v>
      </c>
      <c r="BE246" s="15" t="s">
        <v>9204</v>
      </c>
      <c r="BJ246" s="15" t="s">
        <v>9188</v>
      </c>
      <c r="BK246" s="15" t="s">
        <v>487</v>
      </c>
      <c r="BN246" s="15" t="s">
        <v>179</v>
      </c>
      <c r="BP246" s="15" t="s">
        <v>138</v>
      </c>
      <c r="BS246" s="15" t="s">
        <v>9205</v>
      </c>
      <c r="DH246" s="15" t="s">
        <v>17982</v>
      </c>
      <c r="DI246" s="15" t="s">
        <v>17982</v>
      </c>
    </row>
    <row r="247" spans="1:113" s="15" customFormat="1" ht="12.75" x14ac:dyDescent="0.2">
      <c r="A247" s="15" t="s">
        <v>109</v>
      </c>
      <c r="B247" s="15" t="s">
        <v>110</v>
      </c>
      <c r="D247" s="15" t="s">
        <v>620</v>
      </c>
      <c r="E247" s="15" t="s">
        <v>112</v>
      </c>
      <c r="F247" s="15" t="s">
        <v>620</v>
      </c>
      <c r="G247" s="15" t="s">
        <v>113</v>
      </c>
      <c r="H247" s="15" t="s">
        <v>1045</v>
      </c>
      <c r="J247" s="16" t="s">
        <v>114</v>
      </c>
      <c r="U247" s="15" t="s">
        <v>17977</v>
      </c>
      <c r="W247" s="15">
        <v>1753</v>
      </c>
      <c r="X247" s="15">
        <v>257</v>
      </c>
      <c r="Y247" s="15" t="s">
        <v>160</v>
      </c>
      <c r="Z247" s="15" t="s">
        <v>161</v>
      </c>
      <c r="AA247" s="15" t="s">
        <v>162</v>
      </c>
      <c r="AB247" s="15" t="s">
        <v>9206</v>
      </c>
      <c r="AC247" s="15" t="s">
        <v>9206</v>
      </c>
      <c r="AD247" s="15" t="s">
        <v>9206</v>
      </c>
      <c r="AE247" s="15" t="s">
        <v>164</v>
      </c>
      <c r="AF247" s="15" t="s">
        <v>9206</v>
      </c>
      <c r="AG247" s="15" t="s">
        <v>9206</v>
      </c>
      <c r="AH247" s="15" t="s">
        <v>9207</v>
      </c>
      <c r="AL247" s="15" t="s">
        <v>9181</v>
      </c>
      <c r="AN247" s="15">
        <v>743</v>
      </c>
      <c r="AO247" s="15" t="s">
        <v>9208</v>
      </c>
      <c r="AQ247" s="15" t="s">
        <v>2747</v>
      </c>
      <c r="AT247" s="15" t="s">
        <v>9209</v>
      </c>
      <c r="AU247" s="15" t="s">
        <v>9210</v>
      </c>
      <c r="AV247" s="15" t="s">
        <v>9210</v>
      </c>
      <c r="AW247" s="15" t="s">
        <v>9211</v>
      </c>
      <c r="AX247" s="15" t="s">
        <v>9211</v>
      </c>
      <c r="AY247" s="15">
        <f t="shared" si="3"/>
        <v>60</v>
      </c>
      <c r="AZ247" s="15" t="s">
        <v>2752</v>
      </c>
      <c r="BA247" s="15" t="s">
        <v>9186</v>
      </c>
      <c r="BB247" s="15" t="s">
        <v>9156</v>
      </c>
      <c r="BE247" s="15" t="s">
        <v>9212</v>
      </c>
      <c r="BJ247" s="15" t="s">
        <v>9188</v>
      </c>
      <c r="BK247" s="15" t="s">
        <v>487</v>
      </c>
      <c r="BN247" s="15" t="s">
        <v>179</v>
      </c>
      <c r="BP247" s="15" t="s">
        <v>138</v>
      </c>
      <c r="BS247" s="15" t="s">
        <v>9213</v>
      </c>
      <c r="DH247" s="15" t="s">
        <v>17982</v>
      </c>
      <c r="DI247" s="15" t="s">
        <v>17982</v>
      </c>
    </row>
    <row r="248" spans="1:113" s="15" customFormat="1" ht="12.75" x14ac:dyDescent="0.2">
      <c r="A248" s="15" t="s">
        <v>109</v>
      </c>
      <c r="B248" s="15" t="s">
        <v>110</v>
      </c>
      <c r="D248" s="15" t="s">
        <v>620</v>
      </c>
      <c r="E248" s="15" t="s">
        <v>112</v>
      </c>
      <c r="F248" s="15" t="s">
        <v>620</v>
      </c>
      <c r="G248" s="15" t="s">
        <v>113</v>
      </c>
      <c r="H248" s="15" t="s">
        <v>1045</v>
      </c>
      <c r="J248" s="16" t="s">
        <v>114</v>
      </c>
      <c r="U248" s="15" t="s">
        <v>17977</v>
      </c>
      <c r="W248" s="15">
        <v>3367</v>
      </c>
      <c r="X248" s="15">
        <v>258</v>
      </c>
      <c r="Y248" s="15" t="s">
        <v>160</v>
      </c>
      <c r="Z248" s="15" t="s">
        <v>161</v>
      </c>
      <c r="AA248" s="15" t="s">
        <v>162</v>
      </c>
      <c r="AB248" s="15" t="s">
        <v>16295</v>
      </c>
      <c r="AC248" s="15" t="s">
        <v>16295</v>
      </c>
      <c r="AD248" s="15" t="s">
        <v>16295</v>
      </c>
      <c r="AE248" s="15" t="s">
        <v>164</v>
      </c>
      <c r="AF248" s="15" t="s">
        <v>16295</v>
      </c>
      <c r="AG248" s="15" t="s">
        <v>16295</v>
      </c>
      <c r="AH248" s="15" t="s">
        <v>16296</v>
      </c>
      <c r="AL248" s="15" t="s">
        <v>16297</v>
      </c>
      <c r="AN248" s="15">
        <v>743</v>
      </c>
      <c r="AO248" s="15" t="s">
        <v>16298</v>
      </c>
      <c r="AQ248" s="15" t="s">
        <v>2747</v>
      </c>
      <c r="AT248" s="15" t="s">
        <v>16299</v>
      </c>
      <c r="AU248" s="15" t="s">
        <v>16300</v>
      </c>
      <c r="AV248" s="15" t="s">
        <v>16300</v>
      </c>
      <c r="AW248" s="15" t="s">
        <v>16301</v>
      </c>
      <c r="AX248" s="15" t="s">
        <v>16301</v>
      </c>
      <c r="AY248" s="15">
        <f t="shared" si="3"/>
        <v>56</v>
      </c>
      <c r="AZ248" s="15" t="s">
        <v>2752</v>
      </c>
      <c r="BA248" s="15" t="s">
        <v>2753</v>
      </c>
      <c r="BB248" s="15" t="s">
        <v>9566</v>
      </c>
      <c r="BE248" s="15" t="s">
        <v>16302</v>
      </c>
      <c r="BI248" s="15" t="s">
        <v>9157</v>
      </c>
      <c r="BJ248" s="15" t="s">
        <v>16303</v>
      </c>
      <c r="BN248" s="15" t="s">
        <v>179</v>
      </c>
      <c r="BP248" s="15" t="s">
        <v>138</v>
      </c>
      <c r="BS248" s="15" t="s">
        <v>16304</v>
      </c>
      <c r="DH248" s="15" t="s">
        <v>17982</v>
      </c>
      <c r="DI248" s="15" t="s">
        <v>17982</v>
      </c>
    </row>
    <row r="249" spans="1:113" s="15" customFormat="1" ht="12.75" x14ac:dyDescent="0.2">
      <c r="A249" s="15" t="s">
        <v>109</v>
      </c>
      <c r="B249" s="15" t="s">
        <v>110</v>
      </c>
      <c r="D249" s="15" t="s">
        <v>620</v>
      </c>
      <c r="E249" s="15" t="s">
        <v>112</v>
      </c>
      <c r="F249" s="15" t="s">
        <v>620</v>
      </c>
      <c r="G249" s="15" t="s">
        <v>113</v>
      </c>
      <c r="H249" s="15" t="s">
        <v>1045</v>
      </c>
      <c r="J249" s="16" t="s">
        <v>114</v>
      </c>
      <c r="U249" s="15" t="s">
        <v>17977</v>
      </c>
      <c r="W249" s="15">
        <v>1754</v>
      </c>
      <c r="X249" s="15">
        <v>259</v>
      </c>
      <c r="Y249" s="15" t="s">
        <v>160</v>
      </c>
      <c r="Z249" s="15" t="s">
        <v>161</v>
      </c>
      <c r="AA249" s="15" t="s">
        <v>162</v>
      </c>
      <c r="AB249" s="15" t="s">
        <v>9214</v>
      </c>
      <c r="AC249" s="15" t="s">
        <v>9214</v>
      </c>
      <c r="AD249" s="15" t="s">
        <v>9214</v>
      </c>
      <c r="AE249" s="15" t="s">
        <v>164</v>
      </c>
      <c r="AF249" s="15" t="s">
        <v>9214</v>
      </c>
      <c r="AG249" s="15" t="s">
        <v>9214</v>
      </c>
      <c r="AH249" s="15" t="s">
        <v>9215</v>
      </c>
      <c r="AL249" s="15" t="s">
        <v>9216</v>
      </c>
      <c r="AN249" s="15">
        <v>743</v>
      </c>
      <c r="AO249" s="15" t="s">
        <v>9217</v>
      </c>
      <c r="AQ249" s="15" t="s">
        <v>912</v>
      </c>
      <c r="AT249" s="15" t="s">
        <v>9218</v>
      </c>
      <c r="AU249" s="15" t="s">
        <v>9219</v>
      </c>
      <c r="AV249" s="15" t="s">
        <v>9219</v>
      </c>
      <c r="AW249" s="15" t="s">
        <v>9220</v>
      </c>
      <c r="AX249" s="15" t="s">
        <v>9221</v>
      </c>
      <c r="AY249" s="15">
        <f t="shared" si="3"/>
        <v>59</v>
      </c>
      <c r="AZ249" s="15" t="s">
        <v>917</v>
      </c>
      <c r="BA249" s="15" t="s">
        <v>174</v>
      </c>
      <c r="BB249" s="15" t="s">
        <v>9156</v>
      </c>
      <c r="BE249" s="15" t="s">
        <v>1123</v>
      </c>
      <c r="BF249" s="19" t="s">
        <v>2428</v>
      </c>
      <c r="BI249" s="15" t="s">
        <v>9222</v>
      </c>
      <c r="BJ249" s="15" t="s">
        <v>9223</v>
      </c>
      <c r="BN249" s="15" t="s">
        <v>179</v>
      </c>
      <c r="BP249" s="15" t="s">
        <v>138</v>
      </c>
      <c r="BS249" s="15" t="s">
        <v>9224</v>
      </c>
      <c r="DH249" s="15" t="s">
        <v>17982</v>
      </c>
      <c r="DI249" s="15" t="s">
        <v>17982</v>
      </c>
    </row>
    <row r="250" spans="1:113" s="15" customFormat="1" ht="12.75" x14ac:dyDescent="0.2">
      <c r="A250" s="15" t="s">
        <v>109</v>
      </c>
      <c r="B250" s="15" t="s">
        <v>110</v>
      </c>
      <c r="D250" s="15" t="s">
        <v>620</v>
      </c>
      <c r="E250" s="15" t="s">
        <v>112</v>
      </c>
      <c r="F250" s="15" t="s">
        <v>620</v>
      </c>
      <c r="G250" s="15" t="s">
        <v>113</v>
      </c>
      <c r="H250" s="15" t="s">
        <v>1045</v>
      </c>
      <c r="J250" s="16" t="s">
        <v>114</v>
      </c>
      <c r="U250" s="15" t="s">
        <v>17977</v>
      </c>
      <c r="W250" s="15">
        <v>2103</v>
      </c>
      <c r="X250" s="15">
        <v>260</v>
      </c>
      <c r="Y250" s="15" t="s">
        <v>160</v>
      </c>
      <c r="Z250" s="15" t="s">
        <v>161</v>
      </c>
      <c r="AA250" s="15" t="s">
        <v>162</v>
      </c>
      <c r="AB250" s="15" t="s">
        <v>10807</v>
      </c>
      <c r="AC250" s="15" t="s">
        <v>10807</v>
      </c>
      <c r="AD250" s="15" t="s">
        <v>10807</v>
      </c>
      <c r="AE250" s="15" t="s">
        <v>164</v>
      </c>
      <c r="AF250" s="15" t="s">
        <v>10807</v>
      </c>
      <c r="AG250" s="15" t="s">
        <v>10807</v>
      </c>
      <c r="AH250" s="15" t="s">
        <v>10808</v>
      </c>
      <c r="AL250" s="15" t="s">
        <v>10809</v>
      </c>
      <c r="AN250" s="15">
        <v>743</v>
      </c>
      <c r="AO250" s="15" t="s">
        <v>10810</v>
      </c>
      <c r="AQ250" s="15" t="s">
        <v>912</v>
      </c>
      <c r="AT250" s="15" t="s">
        <v>10811</v>
      </c>
      <c r="AU250" s="15" t="s">
        <v>10812</v>
      </c>
      <c r="AV250" s="15" t="s">
        <v>10812</v>
      </c>
      <c r="AW250" s="15" t="s">
        <v>10813</v>
      </c>
      <c r="AX250" s="15" t="s">
        <v>10814</v>
      </c>
      <c r="AY250" s="15">
        <f t="shared" si="3"/>
        <v>57</v>
      </c>
      <c r="AZ250" s="15" t="s">
        <v>917</v>
      </c>
      <c r="BA250" s="15" t="s">
        <v>174</v>
      </c>
      <c r="BB250" s="15" t="s">
        <v>10815</v>
      </c>
      <c r="BE250" s="15" t="s">
        <v>1123</v>
      </c>
      <c r="BF250" s="15" t="s">
        <v>10816</v>
      </c>
      <c r="BJ250" s="15" t="s">
        <v>10817</v>
      </c>
      <c r="BN250" s="15" t="s">
        <v>179</v>
      </c>
      <c r="BP250" s="15" t="s">
        <v>138</v>
      </c>
      <c r="BS250" s="15" t="s">
        <v>10818</v>
      </c>
      <c r="DH250" s="15" t="s">
        <v>17982</v>
      </c>
      <c r="DI250" s="15" t="s">
        <v>17982</v>
      </c>
    </row>
    <row r="251" spans="1:113" s="15" customFormat="1" ht="12.75" x14ac:dyDescent="0.2">
      <c r="A251" s="15" t="s">
        <v>109</v>
      </c>
      <c r="B251" s="15" t="s">
        <v>110</v>
      </c>
      <c r="D251" s="15" t="s">
        <v>620</v>
      </c>
      <c r="E251" s="15" t="s">
        <v>112</v>
      </c>
      <c r="F251" s="15" t="s">
        <v>620</v>
      </c>
      <c r="G251" s="15" t="s">
        <v>113</v>
      </c>
      <c r="H251" s="15" t="s">
        <v>1045</v>
      </c>
      <c r="J251" s="16" t="s">
        <v>114</v>
      </c>
      <c r="U251" s="15" t="s">
        <v>17977</v>
      </c>
      <c r="W251" s="15">
        <v>3304</v>
      </c>
      <c r="X251" s="15">
        <v>261</v>
      </c>
      <c r="Y251" s="15" t="s">
        <v>160</v>
      </c>
      <c r="Z251" s="15" t="s">
        <v>161</v>
      </c>
      <c r="AA251" s="15" t="s">
        <v>162</v>
      </c>
      <c r="AB251" s="15" t="s">
        <v>15982</v>
      </c>
      <c r="AC251" s="15" t="s">
        <v>15982</v>
      </c>
      <c r="AD251" s="15" t="s">
        <v>15982</v>
      </c>
      <c r="AE251" s="15" t="s">
        <v>164</v>
      </c>
      <c r="AF251" s="15" t="s">
        <v>15982</v>
      </c>
      <c r="AG251" s="15" t="s">
        <v>15982</v>
      </c>
      <c r="AH251" s="15" t="s">
        <v>15983</v>
      </c>
      <c r="AL251" s="15" t="s">
        <v>15984</v>
      </c>
      <c r="AN251" s="15">
        <v>743</v>
      </c>
      <c r="AO251" s="15" t="s">
        <v>15985</v>
      </c>
      <c r="AQ251" s="15" t="s">
        <v>912</v>
      </c>
      <c r="AT251" s="15" t="s">
        <v>15986</v>
      </c>
      <c r="AU251" s="15" t="s">
        <v>15987</v>
      </c>
      <c r="AV251" s="15" t="s">
        <v>15987</v>
      </c>
      <c r="AW251" s="15" t="s">
        <v>15988</v>
      </c>
      <c r="AX251" s="15" t="s">
        <v>15988</v>
      </c>
      <c r="AY251" s="15">
        <f t="shared" si="3"/>
        <v>46</v>
      </c>
      <c r="AZ251" s="15" t="s">
        <v>917</v>
      </c>
      <c r="BA251" s="15" t="s">
        <v>174</v>
      </c>
      <c r="BE251" s="15" t="s">
        <v>1081</v>
      </c>
      <c r="BI251" s="15" t="s">
        <v>9222</v>
      </c>
      <c r="BJ251" s="15" t="s">
        <v>15989</v>
      </c>
      <c r="BN251" s="15" t="s">
        <v>179</v>
      </c>
      <c r="BP251" s="15" t="s">
        <v>138</v>
      </c>
      <c r="BS251" s="15" t="s">
        <v>15990</v>
      </c>
      <c r="DH251" s="15" t="s">
        <v>17982</v>
      </c>
      <c r="DI251" s="15" t="s">
        <v>17982</v>
      </c>
    </row>
    <row r="252" spans="1:113" s="15" customFormat="1" ht="12.75" x14ac:dyDescent="0.2">
      <c r="A252" s="15" t="s">
        <v>109</v>
      </c>
      <c r="B252" s="15" t="s">
        <v>110</v>
      </c>
      <c r="D252" s="15" t="s">
        <v>620</v>
      </c>
      <c r="E252" s="15" t="s">
        <v>112</v>
      </c>
      <c r="F252" s="15" t="s">
        <v>620</v>
      </c>
      <c r="G252" s="15" t="s">
        <v>113</v>
      </c>
      <c r="H252" s="15" t="s">
        <v>1045</v>
      </c>
      <c r="J252" s="16" t="s">
        <v>114</v>
      </c>
      <c r="U252" s="15" t="s">
        <v>17977</v>
      </c>
      <c r="W252" s="15">
        <v>3303</v>
      </c>
      <c r="X252" s="15">
        <v>262</v>
      </c>
      <c r="Y252" s="15" t="s">
        <v>160</v>
      </c>
      <c r="Z252" s="15" t="s">
        <v>161</v>
      </c>
      <c r="AA252" s="15" t="s">
        <v>162</v>
      </c>
      <c r="AB252" s="15" t="s">
        <v>15973</v>
      </c>
      <c r="AC252" s="15" t="s">
        <v>15973</v>
      </c>
      <c r="AD252" s="15" t="s">
        <v>15973</v>
      </c>
      <c r="AE252" s="15" t="s">
        <v>164</v>
      </c>
      <c r="AF252" s="15" t="s">
        <v>15973</v>
      </c>
      <c r="AG252" s="15" t="s">
        <v>15973</v>
      </c>
      <c r="AH252" s="15" t="s">
        <v>15974</v>
      </c>
      <c r="AL252" s="15" t="s">
        <v>15975</v>
      </c>
      <c r="AN252" s="15">
        <v>743</v>
      </c>
      <c r="AO252" s="15" t="s">
        <v>15976</v>
      </c>
      <c r="AQ252" s="15" t="s">
        <v>912</v>
      </c>
      <c r="AT252" s="15" t="s">
        <v>15977</v>
      </c>
      <c r="AU252" s="15" t="s">
        <v>15978</v>
      </c>
      <c r="AV252" s="15" t="s">
        <v>15978</v>
      </c>
      <c r="AW252" s="15" t="s">
        <v>15979</v>
      </c>
      <c r="AX252" s="15" t="s">
        <v>15979</v>
      </c>
      <c r="AY252" s="15">
        <f t="shared" si="3"/>
        <v>40</v>
      </c>
      <c r="AZ252" s="15" t="s">
        <v>917</v>
      </c>
      <c r="BA252" s="15" t="s">
        <v>174</v>
      </c>
      <c r="BE252" s="15" t="s">
        <v>1081</v>
      </c>
      <c r="BJ252" s="15" t="s">
        <v>15980</v>
      </c>
      <c r="BN252" s="15" t="s">
        <v>179</v>
      </c>
      <c r="BP252" s="15" t="s">
        <v>138</v>
      </c>
      <c r="BS252" s="15" t="s">
        <v>15981</v>
      </c>
      <c r="DH252" s="15" t="s">
        <v>17982</v>
      </c>
      <c r="DI252" s="15" t="s">
        <v>17982</v>
      </c>
    </row>
    <row r="253" spans="1:113" s="15" customFormat="1" ht="12.75" x14ac:dyDescent="0.2">
      <c r="A253" s="15" t="s">
        <v>109</v>
      </c>
      <c r="B253" s="15" t="s">
        <v>110</v>
      </c>
      <c r="D253" s="15" t="s">
        <v>620</v>
      </c>
      <c r="E253" s="15" t="s">
        <v>112</v>
      </c>
      <c r="F253" s="15" t="s">
        <v>620</v>
      </c>
      <c r="G253" s="15" t="s">
        <v>113</v>
      </c>
      <c r="H253" s="15" t="s">
        <v>1045</v>
      </c>
      <c r="J253" s="16" t="s">
        <v>114</v>
      </c>
      <c r="U253" s="15" t="s">
        <v>17977</v>
      </c>
      <c r="W253" s="15">
        <v>3305</v>
      </c>
      <c r="X253" s="15">
        <v>263</v>
      </c>
      <c r="Y253" s="15" t="s">
        <v>160</v>
      </c>
      <c r="Z253" s="15" t="s">
        <v>161</v>
      </c>
      <c r="AA253" s="15" t="s">
        <v>162</v>
      </c>
      <c r="AB253" s="15" t="s">
        <v>15991</v>
      </c>
      <c r="AC253" s="15" t="s">
        <v>15991</v>
      </c>
      <c r="AD253" s="15" t="s">
        <v>15991</v>
      </c>
      <c r="AE253" s="15" t="s">
        <v>164</v>
      </c>
      <c r="AF253" s="15" t="s">
        <v>15991</v>
      </c>
      <c r="AG253" s="15" t="s">
        <v>15991</v>
      </c>
      <c r="AH253" s="15" t="s">
        <v>15992</v>
      </c>
      <c r="AL253" s="15" t="s">
        <v>15993</v>
      </c>
      <c r="AN253" s="15">
        <v>743</v>
      </c>
      <c r="AO253" s="15" t="s">
        <v>15994</v>
      </c>
      <c r="AQ253" s="15" t="s">
        <v>912</v>
      </c>
      <c r="AT253" s="15" t="s">
        <v>15995</v>
      </c>
      <c r="AU253" s="15" t="s">
        <v>15996</v>
      </c>
      <c r="AV253" s="15" t="s">
        <v>15996</v>
      </c>
      <c r="AW253" s="15" t="s">
        <v>15997</v>
      </c>
      <c r="AX253" s="15" t="s">
        <v>15997</v>
      </c>
      <c r="AY253" s="15">
        <f t="shared" si="3"/>
        <v>40</v>
      </c>
      <c r="AZ253" s="15" t="s">
        <v>917</v>
      </c>
      <c r="BA253" s="15" t="s">
        <v>174</v>
      </c>
      <c r="BE253" s="15" t="s">
        <v>1081</v>
      </c>
      <c r="BJ253" s="15" t="s">
        <v>15998</v>
      </c>
      <c r="BN253" s="15" t="s">
        <v>179</v>
      </c>
      <c r="BP253" s="15" t="s">
        <v>138</v>
      </c>
      <c r="BS253" s="15" t="s">
        <v>15999</v>
      </c>
      <c r="DH253" s="15" t="s">
        <v>17982</v>
      </c>
      <c r="DI253" s="15" t="s">
        <v>17982</v>
      </c>
    </row>
    <row r="254" spans="1:113" s="15" customFormat="1" ht="12.75" x14ac:dyDescent="0.2">
      <c r="A254" s="15" t="s">
        <v>109</v>
      </c>
      <c r="B254" s="15" t="s">
        <v>110</v>
      </c>
      <c r="D254" s="15" t="s">
        <v>620</v>
      </c>
      <c r="E254" s="15" t="s">
        <v>112</v>
      </c>
      <c r="F254" s="15" t="s">
        <v>620</v>
      </c>
      <c r="G254" s="15" t="s">
        <v>113</v>
      </c>
      <c r="H254" s="15" t="s">
        <v>1045</v>
      </c>
      <c r="J254" s="16" t="s">
        <v>114</v>
      </c>
      <c r="U254" s="15" t="s">
        <v>17977</v>
      </c>
      <c r="W254" s="15">
        <v>391</v>
      </c>
      <c r="X254" s="15">
        <v>264</v>
      </c>
      <c r="Y254" s="15" t="s">
        <v>160</v>
      </c>
      <c r="Z254" s="15" t="s">
        <v>161</v>
      </c>
      <c r="AA254" s="15" t="s">
        <v>162</v>
      </c>
      <c r="AB254" s="15" t="s">
        <v>1612</v>
      </c>
      <c r="AC254" s="15" t="s">
        <v>1612</v>
      </c>
      <c r="AD254" s="15" t="s">
        <v>1612</v>
      </c>
      <c r="AE254" s="15" t="s">
        <v>164</v>
      </c>
      <c r="AF254" s="15" t="s">
        <v>1612</v>
      </c>
      <c r="AG254" s="15" t="s">
        <v>1612</v>
      </c>
      <c r="AH254" s="15" t="s">
        <v>1613</v>
      </c>
      <c r="AL254" s="15" t="s">
        <v>1614</v>
      </c>
      <c r="AN254" s="15">
        <v>743</v>
      </c>
      <c r="AO254" s="15" t="s">
        <v>1615</v>
      </c>
      <c r="AQ254" s="15" t="s">
        <v>1616</v>
      </c>
      <c r="AT254" s="15" t="s">
        <v>1617</v>
      </c>
      <c r="AU254" s="15" t="s">
        <v>1618</v>
      </c>
      <c r="AV254" s="15" t="s">
        <v>1618</v>
      </c>
      <c r="AW254" s="15" t="s">
        <v>1619</v>
      </c>
      <c r="AX254" s="15" t="s">
        <v>1620</v>
      </c>
      <c r="AY254" s="15">
        <f t="shared" si="3"/>
        <v>59</v>
      </c>
      <c r="AZ254" s="15" t="s">
        <v>1621</v>
      </c>
      <c r="BA254" s="15" t="s">
        <v>174</v>
      </c>
      <c r="BB254" s="15" t="s">
        <v>1622</v>
      </c>
      <c r="BE254" s="15" t="s">
        <v>1623</v>
      </c>
      <c r="BJ254" s="15" t="s">
        <v>1624</v>
      </c>
      <c r="BK254" s="15" t="s">
        <v>1469</v>
      </c>
      <c r="BN254" s="15" t="s">
        <v>179</v>
      </c>
      <c r="BP254" s="15" t="s">
        <v>138</v>
      </c>
      <c r="BS254" s="15" t="s">
        <v>1625</v>
      </c>
      <c r="DH254" s="15" t="s">
        <v>17982</v>
      </c>
      <c r="DI254" s="15" t="s">
        <v>17982</v>
      </c>
    </row>
    <row r="255" spans="1:113" s="15" customFormat="1" ht="12.75" x14ac:dyDescent="0.2">
      <c r="A255" s="15" t="s">
        <v>109</v>
      </c>
      <c r="B255" s="15" t="s">
        <v>110</v>
      </c>
      <c r="D255" s="15" t="s">
        <v>620</v>
      </c>
      <c r="E255" s="15" t="s">
        <v>112</v>
      </c>
      <c r="F255" s="15" t="s">
        <v>620</v>
      </c>
      <c r="G255" s="15" t="s">
        <v>113</v>
      </c>
      <c r="H255" s="15" t="s">
        <v>1045</v>
      </c>
      <c r="J255" s="16" t="s">
        <v>114</v>
      </c>
      <c r="U255" s="15" t="s">
        <v>17977</v>
      </c>
      <c r="W255" s="15">
        <v>1749</v>
      </c>
      <c r="X255" s="15">
        <v>265</v>
      </c>
      <c r="Y255" s="15" t="s">
        <v>160</v>
      </c>
      <c r="Z255" s="15" t="s">
        <v>161</v>
      </c>
      <c r="AA255" s="15" t="s">
        <v>162</v>
      </c>
      <c r="AB255" s="15" t="s">
        <v>9169</v>
      </c>
      <c r="AC255" s="15" t="s">
        <v>9169</v>
      </c>
      <c r="AD255" s="15" t="s">
        <v>9169</v>
      </c>
      <c r="AE255" s="15" t="s">
        <v>164</v>
      </c>
      <c r="AF255" s="15" t="s">
        <v>9169</v>
      </c>
      <c r="AG255" s="15" t="s">
        <v>9169</v>
      </c>
      <c r="AH255" s="15" t="s">
        <v>9170</v>
      </c>
      <c r="AL255" s="15" t="s">
        <v>9171</v>
      </c>
      <c r="AN255" s="15">
        <v>743</v>
      </c>
      <c r="AO255" s="15" t="s">
        <v>9172</v>
      </c>
      <c r="AQ255" s="15" t="s">
        <v>168</v>
      </c>
      <c r="AT255" s="15" t="s">
        <v>9173</v>
      </c>
      <c r="AU255" s="15" t="s">
        <v>9174</v>
      </c>
      <c r="AV255" s="15" t="s">
        <v>9174</v>
      </c>
      <c r="AW255" s="15" t="s">
        <v>9175</v>
      </c>
      <c r="AX255" s="15" t="s">
        <v>9176</v>
      </c>
      <c r="AY255" s="15">
        <f t="shared" si="3"/>
        <v>60</v>
      </c>
      <c r="AZ255" s="15" t="s">
        <v>173</v>
      </c>
      <c r="BA255" s="15" t="s">
        <v>174</v>
      </c>
      <c r="BB255" s="15" t="s">
        <v>9156</v>
      </c>
      <c r="BI255" s="15" t="s">
        <v>9157</v>
      </c>
      <c r="BJ255" s="15" t="s">
        <v>9177</v>
      </c>
      <c r="BN255" s="15" t="s">
        <v>179</v>
      </c>
      <c r="BP255" s="15" t="s">
        <v>138</v>
      </c>
      <c r="BS255" s="15" t="s">
        <v>9178</v>
      </c>
      <c r="DH255" s="15" t="s">
        <v>17982</v>
      </c>
      <c r="DI255" s="15" t="s">
        <v>17982</v>
      </c>
    </row>
    <row r="256" spans="1:113" s="15" customFormat="1" ht="12.75" x14ac:dyDescent="0.2">
      <c r="A256" s="15" t="s">
        <v>109</v>
      </c>
      <c r="B256" s="15" t="s">
        <v>110</v>
      </c>
      <c r="D256" s="15" t="s">
        <v>620</v>
      </c>
      <c r="E256" s="15" t="s">
        <v>112</v>
      </c>
      <c r="F256" s="15" t="s">
        <v>620</v>
      </c>
      <c r="G256" s="15" t="s">
        <v>113</v>
      </c>
      <c r="H256" s="15" t="s">
        <v>1045</v>
      </c>
      <c r="J256" s="16" t="s">
        <v>114</v>
      </c>
      <c r="U256" s="15" t="s">
        <v>17977</v>
      </c>
      <c r="W256" s="15">
        <v>3371</v>
      </c>
      <c r="X256" s="15">
        <v>266</v>
      </c>
      <c r="Y256" s="15" t="s">
        <v>160</v>
      </c>
      <c r="Z256" s="15" t="s">
        <v>161</v>
      </c>
      <c r="AA256" s="15" t="s">
        <v>162</v>
      </c>
      <c r="AB256" s="15" t="s">
        <v>16328</v>
      </c>
      <c r="AC256" s="15" t="s">
        <v>16328</v>
      </c>
      <c r="AD256" s="15" t="s">
        <v>16329</v>
      </c>
      <c r="AE256" s="15" t="s">
        <v>164</v>
      </c>
      <c r="AF256" s="15" t="s">
        <v>16329</v>
      </c>
      <c r="AG256" s="15" t="s">
        <v>16328</v>
      </c>
      <c r="AH256" s="15" t="s">
        <v>16330</v>
      </c>
      <c r="AL256" s="15" t="s">
        <v>16331</v>
      </c>
      <c r="AN256" s="15">
        <v>743</v>
      </c>
      <c r="AO256" s="15" t="s">
        <v>16332</v>
      </c>
      <c r="AQ256" s="15" t="s">
        <v>16333</v>
      </c>
      <c r="AR256" s="15" t="s">
        <v>16334</v>
      </c>
      <c r="AS256" s="15" t="s">
        <v>16335</v>
      </c>
      <c r="AT256" s="15" t="s">
        <v>16336</v>
      </c>
      <c r="AU256" s="15" t="s">
        <v>16337</v>
      </c>
      <c r="AV256" s="15" t="s">
        <v>16337</v>
      </c>
      <c r="AW256" s="15" t="s">
        <v>16338</v>
      </c>
      <c r="AX256" s="15" t="s">
        <v>16339</v>
      </c>
      <c r="AY256" s="15">
        <f t="shared" si="3"/>
        <v>54</v>
      </c>
      <c r="AZ256" s="15" t="s">
        <v>2752</v>
      </c>
      <c r="BA256" s="15" t="s">
        <v>16340</v>
      </c>
      <c r="BB256" s="15" t="s">
        <v>9156</v>
      </c>
      <c r="BC256" s="15">
        <v>1</v>
      </c>
      <c r="BE256" s="15" t="s">
        <v>16341</v>
      </c>
      <c r="BJ256" s="15" t="s">
        <v>16342</v>
      </c>
      <c r="BN256" s="15" t="s">
        <v>179</v>
      </c>
      <c r="BP256" s="15" t="s">
        <v>138</v>
      </c>
      <c r="BS256" s="15" t="s">
        <v>16343</v>
      </c>
      <c r="DH256" s="15" t="s">
        <v>17982</v>
      </c>
      <c r="DI256" s="15" t="s">
        <v>17982</v>
      </c>
    </row>
    <row r="257" spans="1:113" s="15" customFormat="1" ht="12.75" x14ac:dyDescent="0.2">
      <c r="A257" s="15" t="s">
        <v>109</v>
      </c>
      <c r="B257" s="15" t="s">
        <v>110</v>
      </c>
      <c r="D257" s="15" t="s">
        <v>620</v>
      </c>
      <c r="E257" s="15" t="s">
        <v>112</v>
      </c>
      <c r="F257" s="15" t="s">
        <v>620</v>
      </c>
      <c r="G257" s="15" t="s">
        <v>113</v>
      </c>
      <c r="H257" s="15" t="s">
        <v>1045</v>
      </c>
      <c r="J257" s="16" t="s">
        <v>114</v>
      </c>
      <c r="U257" s="15" t="s">
        <v>17977</v>
      </c>
      <c r="W257" s="15">
        <v>3372</v>
      </c>
      <c r="X257" s="15">
        <v>267</v>
      </c>
      <c r="Y257" s="15" t="s">
        <v>160</v>
      </c>
      <c r="Z257" s="15" t="s">
        <v>161</v>
      </c>
      <c r="AA257" s="15" t="s">
        <v>162</v>
      </c>
      <c r="AB257" s="15" t="s">
        <v>16344</v>
      </c>
      <c r="AC257" s="15" t="s">
        <v>16344</v>
      </c>
      <c r="AD257" s="15" t="s">
        <v>16345</v>
      </c>
      <c r="AE257" s="15" t="s">
        <v>164</v>
      </c>
      <c r="AF257" s="15" t="s">
        <v>16345</v>
      </c>
      <c r="AG257" s="15" t="s">
        <v>16344</v>
      </c>
      <c r="AH257" s="15" t="s">
        <v>16346</v>
      </c>
      <c r="AL257" s="15" t="s">
        <v>16347</v>
      </c>
      <c r="AN257" s="15">
        <v>743</v>
      </c>
      <c r="AO257" s="15" t="s">
        <v>16348</v>
      </c>
      <c r="AQ257" s="15" t="s">
        <v>16333</v>
      </c>
      <c r="AR257" s="15" t="s">
        <v>16334</v>
      </c>
      <c r="AS257" s="15" t="s">
        <v>16335</v>
      </c>
      <c r="AT257" s="15" t="s">
        <v>16349</v>
      </c>
      <c r="AU257" s="15" t="s">
        <v>16350</v>
      </c>
      <c r="AV257" s="15" t="s">
        <v>16350</v>
      </c>
      <c r="AW257" s="15" t="s">
        <v>16351</v>
      </c>
      <c r="AX257" s="15" t="s">
        <v>16352</v>
      </c>
      <c r="AY257" s="15">
        <f t="shared" si="3"/>
        <v>58</v>
      </c>
      <c r="AZ257" s="15" t="s">
        <v>2752</v>
      </c>
      <c r="BA257" s="15" t="s">
        <v>16340</v>
      </c>
      <c r="BB257" s="15" t="s">
        <v>9156</v>
      </c>
      <c r="BC257" s="15">
        <v>4</v>
      </c>
      <c r="BE257" s="15" t="s">
        <v>16353</v>
      </c>
      <c r="BJ257" s="15" t="s">
        <v>16354</v>
      </c>
      <c r="BN257" s="15" t="s">
        <v>179</v>
      </c>
      <c r="BP257" s="15" t="s">
        <v>138</v>
      </c>
      <c r="BS257" s="15" t="s">
        <v>16355</v>
      </c>
      <c r="DH257" s="15" t="s">
        <v>17982</v>
      </c>
      <c r="DI257" s="15" t="s">
        <v>17982</v>
      </c>
    </row>
    <row r="258" spans="1:113" s="15" customFormat="1" ht="12.75" x14ac:dyDescent="0.2">
      <c r="A258" s="15" t="s">
        <v>109</v>
      </c>
      <c r="B258" s="15" t="s">
        <v>110</v>
      </c>
      <c r="D258" s="15" t="s">
        <v>620</v>
      </c>
      <c r="E258" s="15" t="s">
        <v>112</v>
      </c>
      <c r="F258" s="15" t="s">
        <v>620</v>
      </c>
      <c r="G258" s="15" t="s">
        <v>113</v>
      </c>
      <c r="H258" s="15" t="s">
        <v>1045</v>
      </c>
      <c r="J258" s="16" t="s">
        <v>114</v>
      </c>
      <c r="U258" s="15" t="s">
        <v>17977</v>
      </c>
      <c r="W258" s="15">
        <v>3373</v>
      </c>
      <c r="X258" s="15">
        <v>268</v>
      </c>
      <c r="Y258" s="15" t="s">
        <v>160</v>
      </c>
      <c r="Z258" s="15" t="s">
        <v>161</v>
      </c>
      <c r="AA258" s="15" t="s">
        <v>162</v>
      </c>
      <c r="AB258" s="15" t="s">
        <v>16356</v>
      </c>
      <c r="AC258" s="15" t="s">
        <v>16356</v>
      </c>
      <c r="AD258" s="15" t="s">
        <v>16357</v>
      </c>
      <c r="AE258" s="15" t="s">
        <v>164</v>
      </c>
      <c r="AF258" s="15" t="s">
        <v>16357</v>
      </c>
      <c r="AG258" s="15" t="s">
        <v>16356</v>
      </c>
      <c r="AH258" s="15" t="s">
        <v>16358</v>
      </c>
      <c r="AL258" s="15" t="s">
        <v>16359</v>
      </c>
      <c r="AN258" s="15">
        <v>743</v>
      </c>
      <c r="AO258" s="15" t="s">
        <v>16360</v>
      </c>
      <c r="AQ258" s="15" t="s">
        <v>16333</v>
      </c>
      <c r="AR258" s="15" t="s">
        <v>16334</v>
      </c>
      <c r="AS258" s="15" t="s">
        <v>16335</v>
      </c>
      <c r="AT258" s="15" t="s">
        <v>16361</v>
      </c>
      <c r="AU258" s="15" t="s">
        <v>16362</v>
      </c>
      <c r="AV258" s="15" t="s">
        <v>16362</v>
      </c>
      <c r="AW258" s="15" t="s">
        <v>16363</v>
      </c>
      <c r="AX258" s="15" t="s">
        <v>16364</v>
      </c>
      <c r="AY258" s="15">
        <f t="shared" ref="AY258:AY321" si="4">LEN(SUBSTITUTE(AX258, ", "," "))</f>
        <v>59</v>
      </c>
      <c r="AZ258" s="15" t="s">
        <v>2752</v>
      </c>
      <c r="BA258" s="15" t="s">
        <v>16340</v>
      </c>
      <c r="BB258" s="15" t="s">
        <v>9156</v>
      </c>
      <c r="BC258" s="15">
        <v>5</v>
      </c>
      <c r="BE258" s="15" t="s">
        <v>16365</v>
      </c>
      <c r="BJ258" s="15" t="s">
        <v>16354</v>
      </c>
      <c r="BN258" s="15" t="s">
        <v>179</v>
      </c>
      <c r="BP258" s="15" t="s">
        <v>138</v>
      </c>
      <c r="BS258" s="15" t="s">
        <v>16366</v>
      </c>
      <c r="DH258" s="15" t="s">
        <v>17982</v>
      </c>
      <c r="DI258" s="15" t="s">
        <v>17982</v>
      </c>
    </row>
    <row r="259" spans="1:113" s="15" customFormat="1" ht="12.75" x14ac:dyDescent="0.2">
      <c r="A259" s="15" t="s">
        <v>109</v>
      </c>
      <c r="B259" s="15" t="s">
        <v>110</v>
      </c>
      <c r="D259" s="15" t="s">
        <v>620</v>
      </c>
      <c r="E259" s="15" t="s">
        <v>112</v>
      </c>
      <c r="F259" s="15" t="s">
        <v>620</v>
      </c>
      <c r="G259" s="15" t="s">
        <v>113</v>
      </c>
      <c r="H259" s="15" t="s">
        <v>1045</v>
      </c>
      <c r="J259" s="16" t="s">
        <v>114</v>
      </c>
      <c r="U259" s="15" t="s">
        <v>17977</v>
      </c>
      <c r="W259" s="15">
        <v>3374</v>
      </c>
      <c r="X259" s="15">
        <v>269</v>
      </c>
      <c r="Y259" s="15" t="s">
        <v>160</v>
      </c>
      <c r="Z259" s="15" t="s">
        <v>161</v>
      </c>
      <c r="AA259" s="15" t="s">
        <v>162</v>
      </c>
      <c r="AB259" s="15" t="s">
        <v>16367</v>
      </c>
      <c r="AC259" s="15" t="s">
        <v>16367</v>
      </c>
      <c r="AD259" s="15" t="s">
        <v>16368</v>
      </c>
      <c r="AE259" s="15" t="s">
        <v>164</v>
      </c>
      <c r="AF259" s="15" t="s">
        <v>16368</v>
      </c>
      <c r="AG259" s="15" t="s">
        <v>16367</v>
      </c>
      <c r="AH259" s="15" t="s">
        <v>16369</v>
      </c>
      <c r="AL259" s="15" t="s">
        <v>16370</v>
      </c>
      <c r="AN259" s="15">
        <v>743</v>
      </c>
      <c r="AO259" s="15" t="s">
        <v>16371</v>
      </c>
      <c r="AQ259" s="15" t="s">
        <v>16333</v>
      </c>
      <c r="AR259" s="15" t="s">
        <v>16334</v>
      </c>
      <c r="AS259" s="15" t="s">
        <v>16335</v>
      </c>
      <c r="AT259" s="15" t="s">
        <v>16372</v>
      </c>
      <c r="AU259" s="15" t="s">
        <v>16373</v>
      </c>
      <c r="AV259" s="15" t="s">
        <v>16373</v>
      </c>
      <c r="AW259" s="15" t="s">
        <v>16374</v>
      </c>
      <c r="AX259" s="15" t="s">
        <v>16375</v>
      </c>
      <c r="AY259" s="15">
        <f t="shared" si="4"/>
        <v>59</v>
      </c>
      <c r="AZ259" s="15" t="s">
        <v>2752</v>
      </c>
      <c r="BA259" s="15" t="s">
        <v>16340</v>
      </c>
      <c r="BB259" s="15" t="s">
        <v>9156</v>
      </c>
      <c r="BC259" s="15">
        <v>6</v>
      </c>
      <c r="BE259" s="15" t="s">
        <v>16376</v>
      </c>
      <c r="BJ259" s="15" t="s">
        <v>16354</v>
      </c>
      <c r="BN259" s="15" t="s">
        <v>179</v>
      </c>
      <c r="BP259" s="15" t="s">
        <v>138</v>
      </c>
      <c r="BS259" s="15" t="s">
        <v>16377</v>
      </c>
      <c r="DH259" s="15" t="s">
        <v>17982</v>
      </c>
      <c r="DI259" s="15" t="s">
        <v>17982</v>
      </c>
    </row>
    <row r="260" spans="1:113" s="15" customFormat="1" ht="12.75" x14ac:dyDescent="0.2">
      <c r="A260" s="15" t="s">
        <v>109</v>
      </c>
      <c r="B260" s="15" t="s">
        <v>110</v>
      </c>
      <c r="D260" s="15" t="s">
        <v>620</v>
      </c>
      <c r="E260" s="15" t="s">
        <v>112</v>
      </c>
      <c r="F260" s="15" t="s">
        <v>620</v>
      </c>
      <c r="G260" s="15" t="s">
        <v>113</v>
      </c>
      <c r="H260" s="15" t="s">
        <v>1045</v>
      </c>
      <c r="J260" s="16" t="s">
        <v>114</v>
      </c>
      <c r="U260" s="15" t="s">
        <v>17977</v>
      </c>
      <c r="W260" s="15">
        <v>3375</v>
      </c>
      <c r="X260" s="15">
        <v>270</v>
      </c>
      <c r="Y260" s="15" t="s">
        <v>160</v>
      </c>
      <c r="Z260" s="15" t="s">
        <v>161</v>
      </c>
      <c r="AA260" s="15" t="s">
        <v>162</v>
      </c>
      <c r="AB260" s="15" t="s">
        <v>16378</v>
      </c>
      <c r="AC260" s="15" t="s">
        <v>16378</v>
      </c>
      <c r="AD260" s="15" t="s">
        <v>16379</v>
      </c>
      <c r="AE260" s="15" t="s">
        <v>164</v>
      </c>
      <c r="AF260" s="15" t="s">
        <v>16379</v>
      </c>
      <c r="AG260" s="15" t="s">
        <v>16378</v>
      </c>
      <c r="AH260" s="15" t="s">
        <v>16380</v>
      </c>
      <c r="AL260" s="15" t="s">
        <v>16381</v>
      </c>
      <c r="AN260" s="15">
        <v>743</v>
      </c>
      <c r="AO260" s="15" t="s">
        <v>16382</v>
      </c>
      <c r="AQ260" s="15" t="s">
        <v>16333</v>
      </c>
      <c r="AR260" s="15" t="s">
        <v>16334</v>
      </c>
      <c r="AS260" s="15" t="s">
        <v>16335</v>
      </c>
      <c r="AT260" s="15" t="s">
        <v>16383</v>
      </c>
      <c r="AU260" s="15" t="s">
        <v>16384</v>
      </c>
      <c r="AV260" s="15" t="s">
        <v>16384</v>
      </c>
      <c r="AW260" s="15" t="s">
        <v>16385</v>
      </c>
      <c r="AX260" s="15" t="s">
        <v>16386</v>
      </c>
      <c r="AY260" s="15">
        <f t="shared" si="4"/>
        <v>59</v>
      </c>
      <c r="AZ260" s="15" t="s">
        <v>2752</v>
      </c>
      <c r="BA260" s="15" t="s">
        <v>16340</v>
      </c>
      <c r="BB260" s="15" t="s">
        <v>9156</v>
      </c>
      <c r="BC260" s="15">
        <v>7</v>
      </c>
      <c r="BE260" s="15" t="s">
        <v>16387</v>
      </c>
      <c r="BJ260" s="15" t="s">
        <v>16354</v>
      </c>
      <c r="BN260" s="15" t="s">
        <v>179</v>
      </c>
      <c r="BP260" s="15" t="s">
        <v>138</v>
      </c>
      <c r="BS260" s="15" t="s">
        <v>16388</v>
      </c>
      <c r="DH260" s="15" t="s">
        <v>17982</v>
      </c>
      <c r="DI260" s="15" t="s">
        <v>17982</v>
      </c>
    </row>
    <row r="261" spans="1:113" s="15" customFormat="1" ht="12.75" x14ac:dyDescent="0.2">
      <c r="A261" s="15" t="s">
        <v>109</v>
      </c>
      <c r="B261" s="15" t="s">
        <v>110</v>
      </c>
      <c r="D261" s="15" t="s">
        <v>620</v>
      </c>
      <c r="E261" s="15" t="s">
        <v>112</v>
      </c>
      <c r="F261" s="15" t="s">
        <v>620</v>
      </c>
      <c r="G261" s="15" t="s">
        <v>113</v>
      </c>
      <c r="H261" s="15" t="s">
        <v>1045</v>
      </c>
      <c r="J261" s="16" t="s">
        <v>114</v>
      </c>
      <c r="U261" s="15" t="s">
        <v>17977</v>
      </c>
      <c r="W261" s="15">
        <v>3376</v>
      </c>
      <c r="X261" s="15">
        <v>271</v>
      </c>
      <c r="Y261" s="15" t="s">
        <v>160</v>
      </c>
      <c r="Z261" s="15" t="s">
        <v>161</v>
      </c>
      <c r="AA261" s="15" t="s">
        <v>162</v>
      </c>
      <c r="AB261" s="15" t="s">
        <v>16389</v>
      </c>
      <c r="AC261" s="15" t="s">
        <v>16389</v>
      </c>
      <c r="AD261" s="15" t="s">
        <v>16390</v>
      </c>
      <c r="AE261" s="15" t="s">
        <v>164</v>
      </c>
      <c r="AF261" s="15" t="s">
        <v>16390</v>
      </c>
      <c r="AG261" s="15" t="s">
        <v>16389</v>
      </c>
      <c r="AH261" s="15" t="s">
        <v>16391</v>
      </c>
      <c r="AL261" s="15" t="s">
        <v>16392</v>
      </c>
      <c r="AN261" s="15">
        <v>743</v>
      </c>
      <c r="AO261" s="15" t="s">
        <v>16393</v>
      </c>
      <c r="AQ261" s="15" t="s">
        <v>16333</v>
      </c>
      <c r="AR261" s="15" t="s">
        <v>16334</v>
      </c>
      <c r="AS261" s="15" t="s">
        <v>16335</v>
      </c>
      <c r="AT261" s="15" t="s">
        <v>16394</v>
      </c>
      <c r="AU261" s="15" t="s">
        <v>16395</v>
      </c>
      <c r="AV261" s="15" t="s">
        <v>16395</v>
      </c>
      <c r="AW261" s="15" t="s">
        <v>16396</v>
      </c>
      <c r="AX261" s="15" t="s">
        <v>16397</v>
      </c>
      <c r="AY261" s="15">
        <f t="shared" si="4"/>
        <v>59</v>
      </c>
      <c r="AZ261" s="15" t="s">
        <v>2752</v>
      </c>
      <c r="BA261" s="15" t="s">
        <v>16340</v>
      </c>
      <c r="BB261" s="15" t="s">
        <v>9156</v>
      </c>
      <c r="BC261" s="15">
        <v>8</v>
      </c>
      <c r="BE261" s="15" t="s">
        <v>16398</v>
      </c>
      <c r="BJ261" s="15" t="s">
        <v>16354</v>
      </c>
      <c r="BN261" s="15" t="s">
        <v>179</v>
      </c>
      <c r="BP261" s="15" t="s">
        <v>138</v>
      </c>
      <c r="BS261" s="15" t="s">
        <v>16399</v>
      </c>
      <c r="DH261" s="15" t="s">
        <v>17982</v>
      </c>
      <c r="DI261" s="15" t="s">
        <v>17982</v>
      </c>
    </row>
    <row r="262" spans="1:113" s="15" customFormat="1" ht="12.75" x14ac:dyDescent="0.2">
      <c r="A262" s="15" t="s">
        <v>109</v>
      </c>
      <c r="B262" s="15" t="s">
        <v>110</v>
      </c>
      <c r="D262" s="15" t="s">
        <v>111</v>
      </c>
      <c r="E262" s="15" t="s">
        <v>112</v>
      </c>
      <c r="F262" s="15" t="s">
        <v>111</v>
      </c>
      <c r="G262" s="15" t="s">
        <v>113</v>
      </c>
      <c r="H262" s="15" t="s">
        <v>1045</v>
      </c>
      <c r="J262" s="16" t="s">
        <v>114</v>
      </c>
      <c r="U262" s="15" t="s">
        <v>17977</v>
      </c>
      <c r="W262" s="15">
        <v>61</v>
      </c>
      <c r="X262" s="15">
        <v>272</v>
      </c>
      <c r="Y262" s="15" t="s">
        <v>160</v>
      </c>
      <c r="Z262" s="15" t="s">
        <v>161</v>
      </c>
      <c r="AA262" s="15" t="s">
        <v>162</v>
      </c>
      <c r="AB262" s="15" t="s">
        <v>567</v>
      </c>
      <c r="AC262" s="15" t="s">
        <v>567</v>
      </c>
      <c r="AD262" s="15" t="s">
        <v>568</v>
      </c>
      <c r="AE262" s="15" t="s">
        <v>164</v>
      </c>
      <c r="AF262" s="15" t="s">
        <v>568</v>
      </c>
      <c r="AG262" s="15" t="s">
        <v>567</v>
      </c>
      <c r="AH262" s="15" t="s">
        <v>569</v>
      </c>
      <c r="AL262" s="15" t="s">
        <v>570</v>
      </c>
      <c r="AN262" s="15">
        <v>743</v>
      </c>
      <c r="AO262" s="15" t="s">
        <v>571</v>
      </c>
      <c r="AQ262" s="15" t="s">
        <v>168</v>
      </c>
      <c r="AT262" s="15" t="s">
        <v>572</v>
      </c>
      <c r="AU262" s="15" t="s">
        <v>573</v>
      </c>
      <c r="AV262" s="15" t="s">
        <v>573</v>
      </c>
      <c r="AW262" s="15" t="s">
        <v>574</v>
      </c>
      <c r="AX262" s="15" t="s">
        <v>574</v>
      </c>
      <c r="AY262" s="15">
        <f t="shared" si="4"/>
        <v>54</v>
      </c>
      <c r="AZ262" s="15" t="s">
        <v>173</v>
      </c>
      <c r="BA262" s="15" t="s">
        <v>174</v>
      </c>
      <c r="BB262" s="15" t="s">
        <v>511</v>
      </c>
      <c r="BE262" s="15" t="s">
        <v>564</v>
      </c>
      <c r="BI262" s="15" t="s">
        <v>189</v>
      </c>
      <c r="BJ262" s="15" t="s">
        <v>575</v>
      </c>
      <c r="BN262" s="15" t="s">
        <v>179</v>
      </c>
      <c r="BP262" s="15" t="s">
        <v>138</v>
      </c>
      <c r="BS262" s="19" t="s">
        <v>576</v>
      </c>
      <c r="DH262" s="15" t="s">
        <v>17982</v>
      </c>
      <c r="DI262" s="15" t="s">
        <v>17982</v>
      </c>
    </row>
    <row r="263" spans="1:113" s="15" customFormat="1" ht="12.75" x14ac:dyDescent="0.2">
      <c r="A263" s="15" t="s">
        <v>109</v>
      </c>
      <c r="B263" s="15" t="s">
        <v>110</v>
      </c>
      <c r="D263" s="15" t="s">
        <v>111</v>
      </c>
      <c r="E263" s="15" t="s">
        <v>112</v>
      </c>
      <c r="F263" s="15" t="s">
        <v>111</v>
      </c>
      <c r="G263" s="15" t="s">
        <v>113</v>
      </c>
      <c r="H263" s="15" t="s">
        <v>1045</v>
      </c>
      <c r="J263" s="16" t="s">
        <v>114</v>
      </c>
      <c r="U263" s="15" t="s">
        <v>17977</v>
      </c>
      <c r="W263" s="15">
        <v>8</v>
      </c>
      <c r="X263" s="15">
        <v>273</v>
      </c>
      <c r="Y263" s="15" t="s">
        <v>160</v>
      </c>
      <c r="Z263" s="15" t="s">
        <v>161</v>
      </c>
      <c r="AA263" s="15" t="s">
        <v>162</v>
      </c>
      <c r="AB263" s="15" t="s">
        <v>181</v>
      </c>
      <c r="AC263" s="15" t="s">
        <v>181</v>
      </c>
      <c r="AD263" s="15" t="s">
        <v>181</v>
      </c>
      <c r="AE263" s="15" t="s">
        <v>164</v>
      </c>
      <c r="AF263" s="15" t="s">
        <v>181</v>
      </c>
      <c r="AG263" s="15" t="s">
        <v>181</v>
      </c>
      <c r="AH263" s="15" t="s">
        <v>182</v>
      </c>
      <c r="AL263" s="15" t="s">
        <v>183</v>
      </c>
      <c r="AN263" s="15">
        <v>743</v>
      </c>
      <c r="AO263" s="15" t="s">
        <v>184</v>
      </c>
      <c r="AQ263" s="15" t="s">
        <v>168</v>
      </c>
      <c r="AT263" s="15" t="s">
        <v>185</v>
      </c>
      <c r="AU263" s="15" t="s">
        <v>186</v>
      </c>
      <c r="AV263" s="15" t="s">
        <v>186</v>
      </c>
      <c r="AW263" s="15" t="s">
        <v>187</v>
      </c>
      <c r="AX263" s="15" t="s">
        <v>187</v>
      </c>
      <c r="AY263" s="15">
        <f t="shared" si="4"/>
        <v>47</v>
      </c>
      <c r="AZ263" s="15" t="s">
        <v>173</v>
      </c>
      <c r="BA263" s="15" t="s">
        <v>174</v>
      </c>
      <c r="BB263" s="15" t="s">
        <v>175</v>
      </c>
      <c r="BE263" s="15" t="s">
        <v>188</v>
      </c>
      <c r="BI263" s="15" t="s">
        <v>189</v>
      </c>
      <c r="BJ263" s="15" t="s">
        <v>190</v>
      </c>
      <c r="BN263" s="15" t="s">
        <v>179</v>
      </c>
      <c r="BP263" s="15" t="s">
        <v>138</v>
      </c>
      <c r="BS263" s="19" t="s">
        <v>191</v>
      </c>
      <c r="DH263" s="15" t="s">
        <v>17982</v>
      </c>
      <c r="DI263" s="15" t="s">
        <v>17982</v>
      </c>
    </row>
    <row r="264" spans="1:113" s="15" customFormat="1" ht="12.75" x14ac:dyDescent="0.2">
      <c r="A264" s="15" t="s">
        <v>109</v>
      </c>
      <c r="B264" s="15" t="s">
        <v>110</v>
      </c>
      <c r="D264" s="15" t="s">
        <v>111</v>
      </c>
      <c r="E264" s="15" t="s">
        <v>112</v>
      </c>
      <c r="F264" s="15" t="s">
        <v>111</v>
      </c>
      <c r="G264" s="15" t="s">
        <v>113</v>
      </c>
      <c r="H264" s="15" t="s">
        <v>1045</v>
      </c>
      <c r="J264" s="16" t="s">
        <v>114</v>
      </c>
      <c r="U264" s="15" t="s">
        <v>17977</v>
      </c>
      <c r="W264" s="15">
        <v>143</v>
      </c>
      <c r="X264" s="15">
        <v>274</v>
      </c>
      <c r="Y264" s="15" t="s">
        <v>160</v>
      </c>
      <c r="Z264" s="15" t="s">
        <v>161</v>
      </c>
      <c r="AA264" s="15" t="s">
        <v>162</v>
      </c>
      <c r="AB264" s="15" t="s">
        <v>1024</v>
      </c>
      <c r="AC264" s="15" t="s">
        <v>1024</v>
      </c>
      <c r="AD264" s="15" t="s">
        <v>1024</v>
      </c>
      <c r="AE264" s="15" t="s">
        <v>164</v>
      </c>
      <c r="AF264" s="15" t="s">
        <v>1024</v>
      </c>
      <c r="AG264" s="15" t="s">
        <v>1024</v>
      </c>
      <c r="AH264" s="15" t="s">
        <v>1025</v>
      </c>
      <c r="AL264" s="15" t="s">
        <v>1026</v>
      </c>
      <c r="AN264" s="15">
        <v>743</v>
      </c>
      <c r="AO264" s="15" t="s">
        <v>1027</v>
      </c>
      <c r="AQ264" s="15" t="s">
        <v>168</v>
      </c>
      <c r="AT264" s="15" t="s">
        <v>1028</v>
      </c>
      <c r="AU264" s="15" t="s">
        <v>1029</v>
      </c>
      <c r="AV264" s="15" t="s">
        <v>1029</v>
      </c>
      <c r="AW264" s="15" t="s">
        <v>1030</v>
      </c>
      <c r="AX264" s="15" t="s">
        <v>1031</v>
      </c>
      <c r="AY264" s="15">
        <f t="shared" si="4"/>
        <v>58</v>
      </c>
      <c r="AZ264" s="15" t="s">
        <v>173</v>
      </c>
      <c r="BA264" s="15" t="s">
        <v>174</v>
      </c>
      <c r="BB264" s="15" t="s">
        <v>968</v>
      </c>
      <c r="BE264" s="15" t="s">
        <v>1032</v>
      </c>
      <c r="BI264" s="15" t="s">
        <v>189</v>
      </c>
      <c r="BJ264" s="15" t="s">
        <v>1033</v>
      </c>
      <c r="BN264" s="15" t="s">
        <v>179</v>
      </c>
      <c r="BP264" s="15" t="s">
        <v>138</v>
      </c>
      <c r="BS264" s="19" t="s">
        <v>1034</v>
      </c>
      <c r="DH264" s="15" t="s">
        <v>17982</v>
      </c>
      <c r="DI264" s="15" t="s">
        <v>17982</v>
      </c>
    </row>
    <row r="265" spans="1:113" s="15" customFormat="1" ht="12.75" x14ac:dyDescent="0.2">
      <c r="A265" s="15" t="s">
        <v>109</v>
      </c>
      <c r="B265" s="15" t="s">
        <v>110</v>
      </c>
      <c r="D265" s="15" t="s">
        <v>111</v>
      </c>
      <c r="E265" s="15" t="s">
        <v>112</v>
      </c>
      <c r="F265" s="15" t="s">
        <v>111</v>
      </c>
      <c r="G265" s="15" t="s">
        <v>113</v>
      </c>
      <c r="H265" s="15" t="s">
        <v>1045</v>
      </c>
      <c r="J265" s="16" t="s">
        <v>114</v>
      </c>
      <c r="U265" s="15" t="s">
        <v>17977</v>
      </c>
      <c r="W265" s="15">
        <v>144</v>
      </c>
      <c r="X265" s="15">
        <v>275</v>
      </c>
      <c r="Y265" s="15" t="s">
        <v>160</v>
      </c>
      <c r="Z265" s="15" t="s">
        <v>161</v>
      </c>
      <c r="AA265" s="15" t="s">
        <v>162</v>
      </c>
      <c r="AB265" s="15" t="s">
        <v>1035</v>
      </c>
      <c r="AC265" s="15" t="s">
        <v>1035</v>
      </c>
      <c r="AD265" s="15" t="s">
        <v>1035</v>
      </c>
      <c r="AE265" s="15" t="s">
        <v>164</v>
      </c>
      <c r="AF265" s="15" t="s">
        <v>1035</v>
      </c>
      <c r="AG265" s="15" t="s">
        <v>1035</v>
      </c>
      <c r="AH265" s="15" t="s">
        <v>1036</v>
      </c>
      <c r="AL265" s="15" t="s">
        <v>1037</v>
      </c>
      <c r="AN265" s="15">
        <v>743</v>
      </c>
      <c r="AO265" s="15" t="s">
        <v>1038</v>
      </c>
      <c r="AQ265" s="15" t="s">
        <v>168</v>
      </c>
      <c r="AT265" s="15" t="s">
        <v>1039</v>
      </c>
      <c r="AU265" s="15" t="s">
        <v>1040</v>
      </c>
      <c r="AV265" s="15" t="s">
        <v>1040</v>
      </c>
      <c r="AW265" s="15" t="s">
        <v>1041</v>
      </c>
      <c r="AX265" s="15" t="s">
        <v>1042</v>
      </c>
      <c r="AY265" s="15">
        <f t="shared" si="4"/>
        <v>59</v>
      </c>
      <c r="AZ265" s="15" t="s">
        <v>173</v>
      </c>
      <c r="BA265" s="15" t="s">
        <v>174</v>
      </c>
      <c r="BB265" s="15" t="s">
        <v>968</v>
      </c>
      <c r="BE265" s="15" t="s">
        <v>1032</v>
      </c>
      <c r="BI265" s="15" t="s">
        <v>189</v>
      </c>
      <c r="BJ265" s="15" t="s">
        <v>1043</v>
      </c>
      <c r="BN265" s="15" t="s">
        <v>179</v>
      </c>
      <c r="BP265" s="15" t="s">
        <v>138</v>
      </c>
      <c r="BS265" s="19" t="s">
        <v>1044</v>
      </c>
      <c r="DH265" s="15" t="s">
        <v>17982</v>
      </c>
      <c r="DI265" s="15" t="s">
        <v>17982</v>
      </c>
    </row>
    <row r="266" spans="1:113" s="15" customFormat="1" ht="12.75" x14ac:dyDescent="0.2">
      <c r="A266" s="15" t="s">
        <v>109</v>
      </c>
      <c r="B266" s="15" t="s">
        <v>110</v>
      </c>
      <c r="D266" s="15" t="s">
        <v>111</v>
      </c>
      <c r="E266" s="15" t="s">
        <v>112</v>
      </c>
      <c r="F266" s="15" t="s">
        <v>111</v>
      </c>
      <c r="G266" s="15" t="s">
        <v>113</v>
      </c>
      <c r="H266" s="15" t="s">
        <v>1045</v>
      </c>
      <c r="J266" s="16" t="s">
        <v>114</v>
      </c>
      <c r="U266" s="15" t="s">
        <v>17977</v>
      </c>
      <c r="W266" s="15">
        <v>2825</v>
      </c>
      <c r="X266" s="15">
        <v>276</v>
      </c>
      <c r="Y266" s="15" t="s">
        <v>160</v>
      </c>
      <c r="Z266" s="15" t="s">
        <v>161</v>
      </c>
      <c r="AA266" s="15" t="s">
        <v>162</v>
      </c>
      <c r="AB266" s="15" t="s">
        <v>13737</v>
      </c>
      <c r="AC266" s="15" t="s">
        <v>13737</v>
      </c>
      <c r="AD266" s="15" t="s">
        <v>13737</v>
      </c>
      <c r="AE266" s="15" t="s">
        <v>164</v>
      </c>
      <c r="AF266" s="15" t="s">
        <v>13737</v>
      </c>
      <c r="AG266" s="15" t="s">
        <v>13737</v>
      </c>
      <c r="AH266" s="47" t="s">
        <v>13738</v>
      </c>
      <c r="AL266" s="15" t="s">
        <v>13739</v>
      </c>
      <c r="AN266" s="15">
        <v>743</v>
      </c>
      <c r="AO266" s="15" t="s">
        <v>13740</v>
      </c>
      <c r="AQ266" s="15" t="s">
        <v>168</v>
      </c>
      <c r="AT266" s="15" t="s">
        <v>13741</v>
      </c>
      <c r="AU266" s="15" t="s">
        <v>13742</v>
      </c>
      <c r="AV266" s="15" t="s">
        <v>13742</v>
      </c>
      <c r="AW266" s="15" t="s">
        <v>13743</v>
      </c>
      <c r="AX266" s="15" t="s">
        <v>13744</v>
      </c>
      <c r="AY266" s="15">
        <f t="shared" si="4"/>
        <v>55</v>
      </c>
      <c r="AZ266" s="15" t="s">
        <v>173</v>
      </c>
      <c r="BA266" s="15" t="s">
        <v>174</v>
      </c>
      <c r="BB266" s="15" t="s">
        <v>13723</v>
      </c>
      <c r="BE266" s="15" t="s">
        <v>1032</v>
      </c>
      <c r="BI266" s="15" t="s">
        <v>13745</v>
      </c>
      <c r="BJ266" s="15" t="s">
        <v>13746</v>
      </c>
      <c r="BN266" s="15" t="s">
        <v>179</v>
      </c>
      <c r="BP266" s="15" t="s">
        <v>138</v>
      </c>
      <c r="BS266" s="19" t="s">
        <v>13747</v>
      </c>
      <c r="DH266" s="15" t="s">
        <v>17982</v>
      </c>
      <c r="DI266" s="15" t="s">
        <v>17982</v>
      </c>
    </row>
    <row r="267" spans="1:113" s="15" customFormat="1" ht="12.75" x14ac:dyDescent="0.2">
      <c r="A267" s="15" t="s">
        <v>109</v>
      </c>
      <c r="B267" s="15" t="s">
        <v>110</v>
      </c>
      <c r="D267" s="15" t="s">
        <v>111</v>
      </c>
      <c r="E267" s="15" t="s">
        <v>112</v>
      </c>
      <c r="F267" s="15" t="s">
        <v>111</v>
      </c>
      <c r="G267" s="15" t="s">
        <v>113</v>
      </c>
      <c r="H267" s="15" t="s">
        <v>1045</v>
      </c>
      <c r="J267" s="16" t="s">
        <v>114</v>
      </c>
      <c r="U267" s="15" t="s">
        <v>17977</v>
      </c>
      <c r="W267" s="15">
        <v>1877</v>
      </c>
      <c r="X267" s="15">
        <v>277</v>
      </c>
      <c r="Y267" s="15" t="s">
        <v>160</v>
      </c>
      <c r="Z267" s="15" t="s">
        <v>161</v>
      </c>
      <c r="AA267" s="15" t="s">
        <v>162</v>
      </c>
      <c r="AB267" s="15" t="s">
        <v>10132</v>
      </c>
      <c r="AC267" s="15" t="s">
        <v>10132</v>
      </c>
      <c r="AD267" s="15" t="s">
        <v>10132</v>
      </c>
      <c r="AE267" s="15" t="s">
        <v>164</v>
      </c>
      <c r="AF267" s="15" t="s">
        <v>10132</v>
      </c>
      <c r="AG267" s="15" t="s">
        <v>10132</v>
      </c>
      <c r="AH267" s="15" t="s">
        <v>10133</v>
      </c>
      <c r="AL267" s="15" t="s">
        <v>10134</v>
      </c>
      <c r="AN267" s="15">
        <v>743</v>
      </c>
      <c r="AO267" s="15" t="s">
        <v>10135</v>
      </c>
      <c r="AQ267" s="15" t="s">
        <v>168</v>
      </c>
      <c r="AT267" s="15" t="s">
        <v>10136</v>
      </c>
      <c r="AU267" s="15" t="s">
        <v>10137</v>
      </c>
      <c r="AV267" s="15" t="s">
        <v>10137</v>
      </c>
      <c r="AW267" s="15" t="s">
        <v>10138</v>
      </c>
      <c r="AX267" s="15" t="s">
        <v>10139</v>
      </c>
      <c r="AY267" s="15">
        <f t="shared" si="4"/>
        <v>60</v>
      </c>
      <c r="AZ267" s="15" t="s">
        <v>604</v>
      </c>
      <c r="BA267" s="15" t="s">
        <v>174</v>
      </c>
      <c r="BB267" s="15" t="s">
        <v>10091</v>
      </c>
      <c r="BE267" s="15" t="s">
        <v>199</v>
      </c>
      <c r="BI267" s="15" t="s">
        <v>6470</v>
      </c>
      <c r="BJ267" s="15" t="s">
        <v>10140</v>
      </c>
      <c r="BN267" s="15" t="s">
        <v>179</v>
      </c>
      <c r="BP267" s="15" t="s">
        <v>138</v>
      </c>
      <c r="BS267" s="19" t="s">
        <v>10141</v>
      </c>
      <c r="DH267" s="15" t="s">
        <v>17982</v>
      </c>
      <c r="DI267" s="15" t="s">
        <v>17982</v>
      </c>
    </row>
    <row r="268" spans="1:113" s="15" customFormat="1" ht="12.75" x14ac:dyDescent="0.2">
      <c r="A268" s="15" t="s">
        <v>109</v>
      </c>
      <c r="B268" s="15" t="s">
        <v>110</v>
      </c>
      <c r="D268" s="15" t="s">
        <v>111</v>
      </c>
      <c r="E268" s="15" t="s">
        <v>112</v>
      </c>
      <c r="F268" s="15" t="s">
        <v>111</v>
      </c>
      <c r="G268" s="15" t="s">
        <v>113</v>
      </c>
      <c r="H268" s="15" t="s">
        <v>1045</v>
      </c>
      <c r="J268" s="16" t="s">
        <v>114</v>
      </c>
      <c r="U268" s="15" t="s">
        <v>17977</v>
      </c>
      <c r="W268" s="15">
        <v>1874</v>
      </c>
      <c r="X268" s="15">
        <v>278</v>
      </c>
      <c r="Y268" s="15" t="s">
        <v>160</v>
      </c>
      <c r="Z268" s="15" t="s">
        <v>161</v>
      </c>
      <c r="AA268" s="15" t="s">
        <v>162</v>
      </c>
      <c r="AB268" s="15" t="s">
        <v>10103</v>
      </c>
      <c r="AC268" s="15" t="s">
        <v>10103</v>
      </c>
      <c r="AD268" s="15" t="s">
        <v>10104</v>
      </c>
      <c r="AE268" s="15" t="s">
        <v>164</v>
      </c>
      <c r="AF268" s="15" t="s">
        <v>10104</v>
      </c>
      <c r="AG268" s="15" t="s">
        <v>10103</v>
      </c>
      <c r="AH268" s="15" t="s">
        <v>10105</v>
      </c>
      <c r="AL268" s="15" t="s">
        <v>10106</v>
      </c>
      <c r="AN268" s="15">
        <v>743</v>
      </c>
      <c r="AO268" s="15" t="s">
        <v>10107</v>
      </c>
      <c r="AQ268" s="15" t="s">
        <v>168</v>
      </c>
      <c r="AT268" s="15" t="s">
        <v>10108</v>
      </c>
      <c r="AU268" s="15" t="s">
        <v>10109</v>
      </c>
      <c r="AV268" s="15" t="s">
        <v>10109</v>
      </c>
      <c r="AW268" s="15" t="s">
        <v>10110</v>
      </c>
      <c r="AX268" s="15" t="s">
        <v>10110</v>
      </c>
      <c r="AY268" s="15">
        <f t="shared" si="4"/>
        <v>54</v>
      </c>
      <c r="AZ268" s="15" t="s">
        <v>604</v>
      </c>
      <c r="BA268" s="15" t="s">
        <v>174</v>
      </c>
      <c r="BB268" s="15" t="s">
        <v>10091</v>
      </c>
      <c r="BE268" s="15" t="s">
        <v>251</v>
      </c>
      <c r="BI268" s="15" t="s">
        <v>6470</v>
      </c>
      <c r="BJ268" s="15" t="s">
        <v>10111</v>
      </c>
      <c r="BN268" s="15" t="s">
        <v>179</v>
      </c>
      <c r="BP268" s="15" t="s">
        <v>138</v>
      </c>
      <c r="BS268" s="19" t="s">
        <v>10112</v>
      </c>
      <c r="DH268" s="15" t="s">
        <v>17982</v>
      </c>
      <c r="DI268" s="15" t="s">
        <v>17982</v>
      </c>
    </row>
    <row r="269" spans="1:113" s="15" customFormat="1" ht="12.75" x14ac:dyDescent="0.2">
      <c r="A269" s="15" t="s">
        <v>109</v>
      </c>
      <c r="B269" s="15" t="s">
        <v>110</v>
      </c>
      <c r="D269" s="15" t="s">
        <v>111</v>
      </c>
      <c r="E269" s="15" t="s">
        <v>112</v>
      </c>
      <c r="F269" s="15" t="s">
        <v>111</v>
      </c>
      <c r="G269" s="15" t="s">
        <v>113</v>
      </c>
      <c r="H269" s="15" t="s">
        <v>1045</v>
      </c>
      <c r="J269" s="16" t="s">
        <v>114</v>
      </c>
      <c r="U269" s="15" t="s">
        <v>17977</v>
      </c>
      <c r="W269" s="15">
        <v>1876</v>
      </c>
      <c r="X269" s="15">
        <v>279</v>
      </c>
      <c r="Y269" s="15" t="s">
        <v>160</v>
      </c>
      <c r="Z269" s="15" t="s">
        <v>161</v>
      </c>
      <c r="AA269" s="15" t="s">
        <v>162</v>
      </c>
      <c r="AB269" s="15" t="s">
        <v>10124</v>
      </c>
      <c r="AC269" s="15" t="s">
        <v>10124</v>
      </c>
      <c r="AD269" s="15" t="s">
        <v>10124</v>
      </c>
      <c r="AE269" s="15" t="s">
        <v>164</v>
      </c>
      <c r="AF269" s="15" t="s">
        <v>10124</v>
      </c>
      <c r="AG269" s="15" t="s">
        <v>10124</v>
      </c>
      <c r="AH269" s="15" t="s">
        <v>10125</v>
      </c>
      <c r="AL269" s="15" t="s">
        <v>10126</v>
      </c>
      <c r="AN269" s="15">
        <v>743</v>
      </c>
      <c r="AO269" s="15" t="s">
        <v>10127</v>
      </c>
      <c r="AQ269" s="15" t="s">
        <v>168</v>
      </c>
      <c r="AT269" s="15" t="s">
        <v>10128</v>
      </c>
      <c r="AU269" s="15" t="s">
        <v>10129</v>
      </c>
      <c r="AV269" s="15" t="s">
        <v>10129</v>
      </c>
      <c r="AW269" s="15" t="s">
        <v>10130</v>
      </c>
      <c r="AX269" s="15" t="s">
        <v>10130</v>
      </c>
      <c r="AY269" s="15">
        <f t="shared" si="4"/>
        <v>50</v>
      </c>
      <c r="AZ269" s="15" t="s">
        <v>604</v>
      </c>
      <c r="BA269" s="15" t="s">
        <v>174</v>
      </c>
      <c r="BB269" s="15" t="s">
        <v>10091</v>
      </c>
      <c r="BE269" s="15" t="s">
        <v>1056</v>
      </c>
      <c r="BI269" s="15" t="s">
        <v>6470</v>
      </c>
      <c r="BJ269" s="15" t="s">
        <v>190</v>
      </c>
      <c r="BN269" s="15" t="s">
        <v>179</v>
      </c>
      <c r="BP269" s="15" t="s">
        <v>138</v>
      </c>
      <c r="BS269" s="19" t="s">
        <v>10131</v>
      </c>
      <c r="DH269" s="15" t="s">
        <v>17982</v>
      </c>
      <c r="DI269" s="15" t="s">
        <v>17982</v>
      </c>
    </row>
    <row r="270" spans="1:113" s="15" customFormat="1" ht="12.75" x14ac:dyDescent="0.2">
      <c r="A270" s="15" t="s">
        <v>109</v>
      </c>
      <c r="B270" s="15" t="s">
        <v>110</v>
      </c>
      <c r="D270" s="15" t="s">
        <v>111</v>
      </c>
      <c r="E270" s="15" t="s">
        <v>112</v>
      </c>
      <c r="F270" s="15" t="s">
        <v>111</v>
      </c>
      <c r="G270" s="15" t="s">
        <v>113</v>
      </c>
      <c r="H270" s="15" t="s">
        <v>1045</v>
      </c>
      <c r="J270" s="16" t="s">
        <v>114</v>
      </c>
      <c r="U270" s="15" t="s">
        <v>17977</v>
      </c>
      <c r="W270" s="15">
        <v>1879</v>
      </c>
      <c r="X270" s="15">
        <v>280</v>
      </c>
      <c r="Y270" s="15" t="s">
        <v>160</v>
      </c>
      <c r="Z270" s="15" t="s">
        <v>161</v>
      </c>
      <c r="AA270" s="15" t="s">
        <v>162</v>
      </c>
      <c r="AB270" s="15" t="s">
        <v>10150</v>
      </c>
      <c r="AC270" s="15" t="s">
        <v>10150</v>
      </c>
      <c r="AD270" s="15" t="s">
        <v>10150</v>
      </c>
      <c r="AE270" s="15" t="s">
        <v>164</v>
      </c>
      <c r="AF270" s="15" t="s">
        <v>10150</v>
      </c>
      <c r="AG270" s="15" t="s">
        <v>10150</v>
      </c>
      <c r="AH270" s="15" t="s">
        <v>10151</v>
      </c>
      <c r="AL270" s="15" t="s">
        <v>10152</v>
      </c>
      <c r="AN270" s="15">
        <v>743</v>
      </c>
      <c r="AO270" s="15" t="s">
        <v>10153</v>
      </c>
      <c r="AQ270" s="15" t="s">
        <v>168</v>
      </c>
      <c r="AT270" s="15" t="s">
        <v>10136</v>
      </c>
      <c r="AU270" s="15" t="s">
        <v>10154</v>
      </c>
      <c r="AV270" s="15" t="s">
        <v>10154</v>
      </c>
      <c r="AW270" s="15" t="s">
        <v>10155</v>
      </c>
      <c r="AX270" s="15" t="s">
        <v>10155</v>
      </c>
      <c r="AY270" s="15">
        <f t="shared" si="4"/>
        <v>49</v>
      </c>
      <c r="AZ270" s="15" t="s">
        <v>604</v>
      </c>
      <c r="BA270" s="15" t="s">
        <v>174</v>
      </c>
      <c r="BB270" s="15" t="s">
        <v>10091</v>
      </c>
      <c r="BE270" s="15" t="s">
        <v>199</v>
      </c>
      <c r="BI270" s="15" t="s">
        <v>6470</v>
      </c>
      <c r="BJ270" s="15" t="s">
        <v>190</v>
      </c>
      <c r="BN270" s="15" t="s">
        <v>179</v>
      </c>
      <c r="BP270" s="15" t="s">
        <v>138</v>
      </c>
      <c r="BS270" s="19" t="s">
        <v>10156</v>
      </c>
      <c r="DH270" s="15" t="s">
        <v>17982</v>
      </c>
      <c r="DI270" s="15" t="s">
        <v>17982</v>
      </c>
    </row>
    <row r="271" spans="1:113" s="15" customFormat="1" ht="12.75" x14ac:dyDescent="0.2">
      <c r="A271" s="15" t="s">
        <v>109</v>
      </c>
      <c r="B271" s="15" t="s">
        <v>110</v>
      </c>
      <c r="D271" s="15" t="s">
        <v>111</v>
      </c>
      <c r="E271" s="15" t="s">
        <v>112</v>
      </c>
      <c r="F271" s="15" t="s">
        <v>111</v>
      </c>
      <c r="G271" s="15" t="s">
        <v>113</v>
      </c>
      <c r="H271" s="15" t="s">
        <v>1045</v>
      </c>
      <c r="J271" s="16" t="s">
        <v>114</v>
      </c>
      <c r="U271" s="15" t="s">
        <v>17977</v>
      </c>
      <c r="W271" s="15">
        <v>2318</v>
      </c>
      <c r="X271" s="15">
        <v>281</v>
      </c>
      <c r="Y271" s="15" t="s">
        <v>160</v>
      </c>
      <c r="Z271" s="15" t="s">
        <v>161</v>
      </c>
      <c r="AA271" s="15" t="s">
        <v>162</v>
      </c>
      <c r="AB271" s="15" t="s">
        <v>11604</v>
      </c>
      <c r="AC271" s="15" t="s">
        <v>11604</v>
      </c>
      <c r="AD271" s="15" t="s">
        <v>11605</v>
      </c>
      <c r="AE271" s="15" t="s">
        <v>164</v>
      </c>
      <c r="AF271" s="15" t="s">
        <v>11605</v>
      </c>
      <c r="AG271" s="15" t="s">
        <v>11604</v>
      </c>
      <c r="AH271" s="15" t="s">
        <v>11606</v>
      </c>
      <c r="AL271" s="15" t="s">
        <v>11607</v>
      </c>
      <c r="AN271" s="15">
        <v>743</v>
      </c>
      <c r="AO271" s="15" t="s">
        <v>11608</v>
      </c>
      <c r="AQ271" s="15" t="s">
        <v>168</v>
      </c>
      <c r="AT271" s="15" t="s">
        <v>11609</v>
      </c>
      <c r="AU271" s="15" t="s">
        <v>11610</v>
      </c>
      <c r="AV271" s="15" t="s">
        <v>11610</v>
      </c>
      <c r="AW271" s="15" t="s">
        <v>11611</v>
      </c>
      <c r="AX271" s="15" t="s">
        <v>11611</v>
      </c>
      <c r="AY271" s="15">
        <f t="shared" si="4"/>
        <v>55</v>
      </c>
      <c r="AZ271" s="15" t="s">
        <v>173</v>
      </c>
      <c r="BA271" s="15" t="s">
        <v>174</v>
      </c>
      <c r="BB271" s="15" t="s">
        <v>11601</v>
      </c>
      <c r="BE271" s="15" t="s">
        <v>367</v>
      </c>
      <c r="BI271" s="15" t="s">
        <v>6470</v>
      </c>
      <c r="BJ271" s="18" t="s">
        <v>11602</v>
      </c>
      <c r="BN271" s="15" t="s">
        <v>179</v>
      </c>
      <c r="BP271" s="15" t="s">
        <v>138</v>
      </c>
      <c r="BS271" s="19" t="s">
        <v>11612</v>
      </c>
      <c r="DH271" s="15" t="s">
        <v>17982</v>
      </c>
      <c r="DI271" s="15" t="s">
        <v>17982</v>
      </c>
    </row>
    <row r="272" spans="1:113" s="15" customFormat="1" ht="12.75" x14ac:dyDescent="0.2">
      <c r="A272" s="15" t="s">
        <v>109</v>
      </c>
      <c r="B272" s="15" t="s">
        <v>110</v>
      </c>
      <c r="D272" s="15" t="s">
        <v>111</v>
      </c>
      <c r="E272" s="15" t="s">
        <v>112</v>
      </c>
      <c r="F272" s="15" t="s">
        <v>111</v>
      </c>
      <c r="G272" s="15" t="s">
        <v>113</v>
      </c>
      <c r="H272" s="15" t="s">
        <v>1045</v>
      </c>
      <c r="J272" s="16" t="s">
        <v>114</v>
      </c>
      <c r="U272" s="15" t="s">
        <v>17977</v>
      </c>
      <c r="W272" s="15">
        <v>2319</v>
      </c>
      <c r="X272" s="15">
        <v>282</v>
      </c>
      <c r="Y272" s="15" t="s">
        <v>160</v>
      </c>
      <c r="Z272" s="15" t="s">
        <v>161</v>
      </c>
      <c r="AA272" s="15" t="s">
        <v>162</v>
      </c>
      <c r="AB272" s="15" t="s">
        <v>11613</v>
      </c>
      <c r="AC272" s="15" t="s">
        <v>11613</v>
      </c>
      <c r="AD272" s="15" t="s">
        <v>11614</v>
      </c>
      <c r="AE272" s="15" t="s">
        <v>164</v>
      </c>
      <c r="AF272" s="15" t="s">
        <v>11614</v>
      </c>
      <c r="AG272" s="15" t="s">
        <v>11613</v>
      </c>
      <c r="AH272" s="15" t="s">
        <v>11615</v>
      </c>
      <c r="AL272" s="15" t="s">
        <v>11607</v>
      </c>
      <c r="AN272" s="15">
        <v>743</v>
      </c>
      <c r="AO272" s="15" t="s">
        <v>11616</v>
      </c>
      <c r="AQ272" s="15" t="s">
        <v>168</v>
      </c>
      <c r="AT272" s="15" t="s">
        <v>11617</v>
      </c>
      <c r="AU272" s="15" t="s">
        <v>11618</v>
      </c>
      <c r="AV272" s="15" t="s">
        <v>11618</v>
      </c>
      <c r="AW272" s="15" t="s">
        <v>11619</v>
      </c>
      <c r="AX272" s="15" t="s">
        <v>11619</v>
      </c>
      <c r="AY272" s="15">
        <f t="shared" si="4"/>
        <v>52</v>
      </c>
      <c r="AZ272" s="15" t="s">
        <v>173</v>
      </c>
      <c r="BA272" s="15" t="s">
        <v>174</v>
      </c>
      <c r="BB272" s="15" t="s">
        <v>11601</v>
      </c>
      <c r="BE272" s="15" t="s">
        <v>275</v>
      </c>
      <c r="BI272" s="15" t="s">
        <v>6470</v>
      </c>
      <c r="BJ272" s="18" t="s">
        <v>11602</v>
      </c>
      <c r="BN272" s="15" t="s">
        <v>179</v>
      </c>
      <c r="BP272" s="15" t="s">
        <v>138</v>
      </c>
      <c r="BS272" s="19" t="s">
        <v>11620</v>
      </c>
      <c r="DH272" s="15" t="s">
        <v>17982</v>
      </c>
      <c r="DI272" s="15" t="s">
        <v>17982</v>
      </c>
    </row>
    <row r="273" spans="1:113" s="15" customFormat="1" ht="12.75" x14ac:dyDescent="0.2">
      <c r="A273" s="15" t="s">
        <v>109</v>
      </c>
      <c r="B273" s="15" t="s">
        <v>110</v>
      </c>
      <c r="D273" s="15" t="s">
        <v>111</v>
      </c>
      <c r="E273" s="15" t="s">
        <v>112</v>
      </c>
      <c r="F273" s="15" t="s">
        <v>111</v>
      </c>
      <c r="G273" s="15" t="s">
        <v>113</v>
      </c>
      <c r="H273" s="15" t="s">
        <v>1045</v>
      </c>
      <c r="J273" s="16" t="s">
        <v>114</v>
      </c>
      <c r="U273" s="15" t="s">
        <v>17977</v>
      </c>
      <c r="W273" s="15">
        <v>2320</v>
      </c>
      <c r="X273" s="15">
        <v>283</v>
      </c>
      <c r="Y273" s="15" t="s">
        <v>160</v>
      </c>
      <c r="Z273" s="15" t="s">
        <v>161</v>
      </c>
      <c r="AA273" s="15" t="s">
        <v>162</v>
      </c>
      <c r="AB273" s="15" t="s">
        <v>11621</v>
      </c>
      <c r="AC273" s="15" t="s">
        <v>11621</v>
      </c>
      <c r="AD273" s="15" t="s">
        <v>11622</v>
      </c>
      <c r="AE273" s="15" t="s">
        <v>164</v>
      </c>
      <c r="AF273" s="15" t="s">
        <v>11622</v>
      </c>
      <c r="AG273" s="15" t="s">
        <v>11621</v>
      </c>
      <c r="AH273" s="15" t="s">
        <v>11623</v>
      </c>
      <c r="AL273" s="15" t="s">
        <v>11607</v>
      </c>
      <c r="AN273" s="15">
        <v>743</v>
      </c>
      <c r="AO273" s="15" t="s">
        <v>11624</v>
      </c>
      <c r="AQ273" s="15" t="s">
        <v>168</v>
      </c>
      <c r="AT273" s="15" t="s">
        <v>11625</v>
      </c>
      <c r="AU273" s="15" t="s">
        <v>11626</v>
      </c>
      <c r="AV273" s="15" t="s">
        <v>11626</v>
      </c>
      <c r="AW273" s="15" t="s">
        <v>11627</v>
      </c>
      <c r="AX273" s="15" t="s">
        <v>11627</v>
      </c>
      <c r="AY273" s="15">
        <f t="shared" si="4"/>
        <v>52</v>
      </c>
      <c r="AZ273" s="15" t="s">
        <v>173</v>
      </c>
      <c r="BA273" s="15" t="s">
        <v>174</v>
      </c>
      <c r="BB273" s="15" t="s">
        <v>11601</v>
      </c>
      <c r="BE273" s="15" t="s">
        <v>176</v>
      </c>
      <c r="BI273" s="15" t="s">
        <v>6470</v>
      </c>
      <c r="BJ273" s="18" t="s">
        <v>11602</v>
      </c>
      <c r="BN273" s="15" t="s">
        <v>179</v>
      </c>
      <c r="BP273" s="15" t="s">
        <v>138</v>
      </c>
      <c r="BS273" s="19" t="s">
        <v>11628</v>
      </c>
      <c r="DH273" s="15" t="s">
        <v>17982</v>
      </c>
      <c r="DI273" s="15" t="s">
        <v>17982</v>
      </c>
    </row>
    <row r="274" spans="1:113" s="15" customFormat="1" ht="12.75" x14ac:dyDescent="0.2">
      <c r="A274" s="15" t="s">
        <v>109</v>
      </c>
      <c r="B274" s="15" t="s">
        <v>110</v>
      </c>
      <c r="D274" s="15" t="s">
        <v>111</v>
      </c>
      <c r="E274" s="15" t="s">
        <v>112</v>
      </c>
      <c r="F274" s="15" t="s">
        <v>111</v>
      </c>
      <c r="G274" s="15" t="s">
        <v>113</v>
      </c>
      <c r="H274" s="15" t="s">
        <v>1045</v>
      </c>
      <c r="J274" s="16" t="s">
        <v>114</v>
      </c>
      <c r="U274" s="15" t="s">
        <v>17977</v>
      </c>
      <c r="W274" s="15">
        <v>2317</v>
      </c>
      <c r="X274" s="15">
        <v>284</v>
      </c>
      <c r="Y274" s="15" t="s">
        <v>160</v>
      </c>
      <c r="Z274" s="15" t="s">
        <v>161</v>
      </c>
      <c r="AA274" s="15" t="s">
        <v>162</v>
      </c>
      <c r="AB274" s="15" t="s">
        <v>11593</v>
      </c>
      <c r="AC274" s="15" t="s">
        <v>11593</v>
      </c>
      <c r="AD274" s="15" t="s">
        <v>11594</v>
      </c>
      <c r="AE274" s="15" t="s">
        <v>164</v>
      </c>
      <c r="AF274" s="15" t="s">
        <v>11594</v>
      </c>
      <c r="AG274" s="15" t="s">
        <v>11593</v>
      </c>
      <c r="AH274" s="15" t="s">
        <v>11595</v>
      </c>
      <c r="AL274" s="15" t="s">
        <v>11596</v>
      </c>
      <c r="AN274" s="15">
        <v>743</v>
      </c>
      <c r="AO274" s="15" t="s">
        <v>11597</v>
      </c>
      <c r="AQ274" s="15" t="s">
        <v>168</v>
      </c>
      <c r="AT274" s="15" t="s">
        <v>11598</v>
      </c>
      <c r="AU274" s="15" t="s">
        <v>11599</v>
      </c>
      <c r="AV274" s="15" t="s">
        <v>11599</v>
      </c>
      <c r="AW274" s="15" t="s">
        <v>11600</v>
      </c>
      <c r="AX274" s="15" t="s">
        <v>11600</v>
      </c>
      <c r="AY274" s="15">
        <f t="shared" si="4"/>
        <v>53</v>
      </c>
      <c r="AZ274" s="15" t="s">
        <v>173</v>
      </c>
      <c r="BA274" s="15" t="s">
        <v>174</v>
      </c>
      <c r="BB274" s="15" t="s">
        <v>11601</v>
      </c>
      <c r="BE274" s="15" t="s">
        <v>1582</v>
      </c>
      <c r="BI274" s="15" t="s">
        <v>6470</v>
      </c>
      <c r="BJ274" s="18" t="s">
        <v>11602</v>
      </c>
      <c r="BN274" s="15" t="s">
        <v>179</v>
      </c>
      <c r="BP274" s="15" t="s">
        <v>138</v>
      </c>
      <c r="BS274" s="19" t="s">
        <v>11603</v>
      </c>
      <c r="DH274" s="15" t="s">
        <v>17982</v>
      </c>
      <c r="DI274" s="15" t="s">
        <v>17982</v>
      </c>
    </row>
    <row r="275" spans="1:113" s="15" customFormat="1" ht="12.75" x14ac:dyDescent="0.2">
      <c r="A275" s="15" t="s">
        <v>109</v>
      </c>
      <c r="B275" s="15" t="s">
        <v>110</v>
      </c>
      <c r="D275" s="15" t="s">
        <v>111</v>
      </c>
      <c r="E275" s="15" t="s">
        <v>112</v>
      </c>
      <c r="F275" s="15" t="s">
        <v>111</v>
      </c>
      <c r="G275" s="15" t="s">
        <v>113</v>
      </c>
      <c r="H275" s="15" t="s">
        <v>1045</v>
      </c>
      <c r="J275" s="16" t="s">
        <v>114</v>
      </c>
      <c r="U275" s="15" t="s">
        <v>17977</v>
      </c>
      <c r="W275" s="15">
        <v>3398</v>
      </c>
      <c r="X275" s="15">
        <v>285</v>
      </c>
      <c r="Y275" s="15" t="s">
        <v>160</v>
      </c>
      <c r="Z275" s="15" t="s">
        <v>161</v>
      </c>
      <c r="AA275" s="15" t="s">
        <v>162</v>
      </c>
      <c r="AB275" s="15" t="s">
        <v>16480</v>
      </c>
      <c r="AC275" s="15" t="s">
        <v>16480</v>
      </c>
      <c r="AD275" s="15" t="s">
        <v>16480</v>
      </c>
      <c r="AE275" s="15" t="s">
        <v>164</v>
      </c>
      <c r="AF275" s="15" t="s">
        <v>16480</v>
      </c>
      <c r="AG275" s="15" t="s">
        <v>16480</v>
      </c>
      <c r="AH275" s="15" t="s">
        <v>16481</v>
      </c>
      <c r="AL275" s="15" t="s">
        <v>16482</v>
      </c>
      <c r="AN275" s="15">
        <v>743</v>
      </c>
      <c r="AO275" s="15" t="s">
        <v>16483</v>
      </c>
      <c r="AQ275" s="15" t="s">
        <v>168</v>
      </c>
      <c r="AT275" s="15" t="s">
        <v>16484</v>
      </c>
      <c r="AU275" s="15" t="s">
        <v>16485</v>
      </c>
      <c r="AV275" s="15" t="s">
        <v>16485</v>
      </c>
      <c r="AW275" s="15" t="s">
        <v>16486</v>
      </c>
      <c r="AX275" s="15" t="s">
        <v>16487</v>
      </c>
      <c r="AY275" s="15">
        <f t="shared" si="4"/>
        <v>58</v>
      </c>
      <c r="AZ275" s="15" t="s">
        <v>173</v>
      </c>
      <c r="BA275" s="15" t="s">
        <v>174</v>
      </c>
      <c r="BB275" s="15" t="s">
        <v>16488</v>
      </c>
      <c r="BE275" s="15" t="s">
        <v>1701</v>
      </c>
      <c r="BJ275" s="15" t="s">
        <v>16489</v>
      </c>
      <c r="BN275" s="15" t="s">
        <v>179</v>
      </c>
      <c r="BP275" s="15" t="s">
        <v>138</v>
      </c>
      <c r="BS275" s="19" t="s">
        <v>16490</v>
      </c>
      <c r="DH275" s="15" t="s">
        <v>17982</v>
      </c>
      <c r="DI275" s="15" t="s">
        <v>17982</v>
      </c>
    </row>
    <row r="276" spans="1:113" s="15" customFormat="1" ht="12.75" x14ac:dyDescent="0.2">
      <c r="A276" s="15" t="s">
        <v>109</v>
      </c>
      <c r="B276" s="15" t="s">
        <v>110</v>
      </c>
      <c r="D276" s="15" t="s">
        <v>111</v>
      </c>
      <c r="E276" s="15" t="s">
        <v>112</v>
      </c>
      <c r="F276" s="15" t="s">
        <v>111</v>
      </c>
      <c r="G276" s="15" t="s">
        <v>113</v>
      </c>
      <c r="H276" s="15" t="s">
        <v>1045</v>
      </c>
      <c r="J276" s="16" t="s">
        <v>114</v>
      </c>
      <c r="U276" s="15" t="s">
        <v>17977</v>
      </c>
      <c r="W276" s="15">
        <v>3174</v>
      </c>
      <c r="X276" s="15">
        <v>286</v>
      </c>
      <c r="Y276" s="15" t="s">
        <v>160</v>
      </c>
      <c r="Z276" s="15" t="s">
        <v>161</v>
      </c>
      <c r="AA276" s="15" t="s">
        <v>162</v>
      </c>
      <c r="AB276" s="15" t="s">
        <v>15309</v>
      </c>
      <c r="AC276" s="15" t="s">
        <v>15309</v>
      </c>
      <c r="AD276" s="15" t="s">
        <v>15309</v>
      </c>
      <c r="AE276" s="15" t="s">
        <v>164</v>
      </c>
      <c r="AF276" s="15" t="s">
        <v>15309</v>
      </c>
      <c r="AG276" s="15" t="s">
        <v>15309</v>
      </c>
      <c r="AH276" s="15" t="s">
        <v>15310</v>
      </c>
      <c r="AL276" s="15" t="s">
        <v>15311</v>
      </c>
      <c r="AN276" s="15">
        <v>743</v>
      </c>
      <c r="AO276" s="15" t="s">
        <v>15312</v>
      </c>
      <c r="AQ276" s="15" t="s">
        <v>388</v>
      </c>
      <c r="AT276" s="15" t="s">
        <v>15313</v>
      </c>
      <c r="AU276" s="15" t="s">
        <v>15314</v>
      </c>
      <c r="AV276" s="15" t="s">
        <v>15314</v>
      </c>
      <c r="AW276" s="15" t="s">
        <v>15315</v>
      </c>
      <c r="AX276" s="15" t="s">
        <v>15316</v>
      </c>
      <c r="AY276" s="15">
        <f t="shared" si="4"/>
        <v>52</v>
      </c>
      <c r="AZ276" s="15" t="s">
        <v>393</v>
      </c>
      <c r="BA276" s="15" t="s">
        <v>174</v>
      </c>
      <c r="BB276" s="15" t="s">
        <v>15112</v>
      </c>
      <c r="BE276" s="15" t="s">
        <v>176</v>
      </c>
      <c r="BJ276" s="15" t="s">
        <v>15317</v>
      </c>
      <c r="BK276" s="15" t="s">
        <v>314</v>
      </c>
      <c r="BN276" s="15" t="s">
        <v>179</v>
      </c>
      <c r="BP276" s="15" t="s">
        <v>138</v>
      </c>
      <c r="BS276" s="19" t="s">
        <v>15318</v>
      </c>
      <c r="DH276" s="15" t="s">
        <v>17982</v>
      </c>
      <c r="DI276" s="15" t="s">
        <v>17982</v>
      </c>
    </row>
    <row r="277" spans="1:113" s="15" customFormat="1" ht="12.75" x14ac:dyDescent="0.2">
      <c r="A277" s="15" t="s">
        <v>109</v>
      </c>
      <c r="B277" s="15" t="s">
        <v>110</v>
      </c>
      <c r="D277" s="15" t="s">
        <v>111</v>
      </c>
      <c r="E277" s="15" t="s">
        <v>112</v>
      </c>
      <c r="F277" s="15" t="s">
        <v>111</v>
      </c>
      <c r="G277" s="15" t="s">
        <v>113</v>
      </c>
      <c r="H277" s="15" t="s">
        <v>1045</v>
      </c>
      <c r="J277" s="16" t="s">
        <v>114</v>
      </c>
      <c r="U277" s="15" t="s">
        <v>17977</v>
      </c>
      <c r="W277" s="15">
        <v>3173</v>
      </c>
      <c r="X277" s="15">
        <v>287</v>
      </c>
      <c r="Y277" s="15" t="s">
        <v>160</v>
      </c>
      <c r="Z277" s="15" t="s">
        <v>161</v>
      </c>
      <c r="AA277" s="15" t="s">
        <v>162</v>
      </c>
      <c r="AB277" s="15" t="s">
        <v>15299</v>
      </c>
      <c r="AC277" s="15" t="s">
        <v>15299</v>
      </c>
      <c r="AD277" s="15" t="s">
        <v>15299</v>
      </c>
      <c r="AE277" s="15" t="s">
        <v>164</v>
      </c>
      <c r="AF277" s="15" t="s">
        <v>15299</v>
      </c>
      <c r="AG277" s="15" t="s">
        <v>15299</v>
      </c>
      <c r="AH277" s="15" t="s">
        <v>15300</v>
      </c>
      <c r="AL277" s="15" t="s">
        <v>15301</v>
      </c>
      <c r="AN277" s="15">
        <v>743</v>
      </c>
      <c r="AO277" s="15" t="s">
        <v>15302</v>
      </c>
      <c r="AQ277" s="15" t="s">
        <v>388</v>
      </c>
      <c r="AT277" s="15" t="s">
        <v>15303</v>
      </c>
      <c r="AU277" s="15" t="s">
        <v>15304</v>
      </c>
      <c r="AV277" s="15" t="s">
        <v>15304</v>
      </c>
      <c r="AW277" s="15" t="s">
        <v>15305</v>
      </c>
      <c r="AX277" s="15" t="s">
        <v>15306</v>
      </c>
      <c r="AY277" s="15">
        <f t="shared" si="4"/>
        <v>52</v>
      </c>
      <c r="AZ277" s="15" t="s">
        <v>393</v>
      </c>
      <c r="BA277" s="15" t="s">
        <v>174</v>
      </c>
      <c r="BB277" s="15" t="s">
        <v>15112</v>
      </c>
      <c r="BE277" s="15" t="s">
        <v>176</v>
      </c>
      <c r="BJ277" s="15" t="s">
        <v>15307</v>
      </c>
      <c r="BK277" s="15" t="s">
        <v>314</v>
      </c>
      <c r="BN277" s="15" t="s">
        <v>179</v>
      </c>
      <c r="BP277" s="15" t="s">
        <v>138</v>
      </c>
      <c r="BS277" s="19" t="s">
        <v>15308</v>
      </c>
      <c r="DH277" s="15" t="s">
        <v>17982</v>
      </c>
      <c r="DI277" s="15" t="s">
        <v>17982</v>
      </c>
    </row>
    <row r="278" spans="1:113" s="15" customFormat="1" ht="12.75" x14ac:dyDescent="0.2">
      <c r="A278" s="15" t="s">
        <v>109</v>
      </c>
      <c r="B278" s="15" t="s">
        <v>110</v>
      </c>
      <c r="D278" s="15" t="s">
        <v>111</v>
      </c>
      <c r="E278" s="15" t="s">
        <v>112</v>
      </c>
      <c r="F278" s="15" t="s">
        <v>111</v>
      </c>
      <c r="G278" s="15" t="s">
        <v>113</v>
      </c>
      <c r="H278" s="15" t="s">
        <v>1045</v>
      </c>
      <c r="J278" s="16" t="s">
        <v>114</v>
      </c>
      <c r="U278" s="15" t="s">
        <v>17977</v>
      </c>
      <c r="W278" s="15">
        <v>3197</v>
      </c>
      <c r="X278" s="15">
        <v>288</v>
      </c>
      <c r="Y278" s="15" t="s">
        <v>160</v>
      </c>
      <c r="Z278" s="15" t="s">
        <v>161</v>
      </c>
      <c r="AA278" s="15" t="s">
        <v>162</v>
      </c>
      <c r="AB278" s="15" t="s">
        <v>15426</v>
      </c>
      <c r="AC278" s="15" t="s">
        <v>15426</v>
      </c>
      <c r="AD278" s="15" t="s">
        <v>15426</v>
      </c>
      <c r="AE278" s="15" t="s">
        <v>164</v>
      </c>
      <c r="AF278" s="15" t="s">
        <v>15426</v>
      </c>
      <c r="AG278" s="15" t="s">
        <v>15426</v>
      </c>
      <c r="AH278" s="15" t="s">
        <v>15427</v>
      </c>
      <c r="AL278" s="15" t="s">
        <v>15428</v>
      </c>
      <c r="AN278" s="15">
        <v>743</v>
      </c>
      <c r="AO278" s="15" t="s">
        <v>15429</v>
      </c>
      <c r="AQ278" s="15" t="s">
        <v>3598</v>
      </c>
      <c r="AT278" s="15" t="s">
        <v>15430</v>
      </c>
      <c r="AU278" s="15" t="s">
        <v>15431</v>
      </c>
      <c r="AV278" s="15" t="s">
        <v>15431</v>
      </c>
      <c r="AW278" s="15" t="s">
        <v>15432</v>
      </c>
      <c r="AX278" s="15" t="s">
        <v>15432</v>
      </c>
      <c r="AY278" s="15">
        <f t="shared" si="4"/>
        <v>58</v>
      </c>
      <c r="AZ278" s="15" t="s">
        <v>3603</v>
      </c>
      <c r="BA278" s="15" t="s">
        <v>214</v>
      </c>
      <c r="BB278" s="15" t="s">
        <v>13723</v>
      </c>
      <c r="BD278" s="39"/>
      <c r="BE278" s="15" t="s">
        <v>241</v>
      </c>
      <c r="BJ278" s="15" t="s">
        <v>190</v>
      </c>
      <c r="BK278" s="15" t="s">
        <v>314</v>
      </c>
      <c r="BN278" s="15" t="s">
        <v>179</v>
      </c>
      <c r="BP278" s="15" t="s">
        <v>138</v>
      </c>
      <c r="BS278" s="19" t="s">
        <v>15433</v>
      </c>
      <c r="DH278" s="15" t="s">
        <v>17982</v>
      </c>
      <c r="DI278" s="15" t="s">
        <v>17982</v>
      </c>
    </row>
    <row r="279" spans="1:113" s="15" customFormat="1" ht="12.75" x14ac:dyDescent="0.2">
      <c r="A279" s="15" t="s">
        <v>109</v>
      </c>
      <c r="B279" s="15" t="s">
        <v>110</v>
      </c>
      <c r="D279" s="15" t="s">
        <v>111</v>
      </c>
      <c r="E279" s="15" t="s">
        <v>112</v>
      </c>
      <c r="F279" s="15" t="s">
        <v>111</v>
      </c>
      <c r="G279" s="15" t="s">
        <v>113</v>
      </c>
      <c r="H279" s="15" t="s">
        <v>1045</v>
      </c>
      <c r="J279" s="16" t="s">
        <v>114</v>
      </c>
      <c r="U279" s="15" t="s">
        <v>17977</v>
      </c>
      <c r="W279" s="15">
        <v>3193</v>
      </c>
      <c r="X279" s="15">
        <v>289</v>
      </c>
      <c r="Y279" s="15" t="s">
        <v>160</v>
      </c>
      <c r="Z279" s="15" t="s">
        <v>161</v>
      </c>
      <c r="AA279" s="15" t="s">
        <v>162</v>
      </c>
      <c r="AB279" s="15" t="s">
        <v>15388</v>
      </c>
      <c r="AC279" s="15" t="s">
        <v>15388</v>
      </c>
      <c r="AD279" s="15" t="s">
        <v>15388</v>
      </c>
      <c r="AE279" s="15" t="s">
        <v>164</v>
      </c>
      <c r="AF279" s="15" t="s">
        <v>15388</v>
      </c>
      <c r="AG279" s="15" t="s">
        <v>15388</v>
      </c>
      <c r="AH279" s="15" t="s">
        <v>15389</v>
      </c>
      <c r="AL279" s="15" t="s">
        <v>15390</v>
      </c>
      <c r="AN279" s="15">
        <v>743</v>
      </c>
      <c r="AO279" s="15" t="s">
        <v>15391</v>
      </c>
      <c r="AQ279" s="15" t="s">
        <v>3598</v>
      </c>
      <c r="AT279" s="15" t="s">
        <v>15392</v>
      </c>
      <c r="AU279" s="15" t="s">
        <v>15393</v>
      </c>
      <c r="AV279" s="15" t="s">
        <v>15393</v>
      </c>
      <c r="AW279" s="15" t="s">
        <v>15394</v>
      </c>
      <c r="AX279" s="15" t="s">
        <v>15395</v>
      </c>
      <c r="AY279" s="15">
        <f t="shared" si="4"/>
        <v>59</v>
      </c>
      <c r="AZ279" s="15" t="s">
        <v>3603</v>
      </c>
      <c r="BA279" s="15" t="s">
        <v>214</v>
      </c>
      <c r="BB279" s="15" t="s">
        <v>13387</v>
      </c>
      <c r="BE279" s="15" t="s">
        <v>241</v>
      </c>
      <c r="BJ279" s="15" t="s">
        <v>15396</v>
      </c>
      <c r="BK279" s="15" t="s">
        <v>314</v>
      </c>
      <c r="BN279" s="15" t="s">
        <v>179</v>
      </c>
      <c r="BP279" s="15" t="s">
        <v>138</v>
      </c>
      <c r="BS279" s="19" t="s">
        <v>15397</v>
      </c>
      <c r="DH279" s="15" t="s">
        <v>17982</v>
      </c>
      <c r="DI279" s="15" t="s">
        <v>17982</v>
      </c>
    </row>
    <row r="280" spans="1:113" s="15" customFormat="1" ht="12.75" x14ac:dyDescent="0.2">
      <c r="A280" s="15" t="s">
        <v>109</v>
      </c>
      <c r="B280" s="15" t="s">
        <v>110</v>
      </c>
      <c r="D280" s="15" t="s">
        <v>111</v>
      </c>
      <c r="E280" s="15" t="s">
        <v>112</v>
      </c>
      <c r="F280" s="15" t="s">
        <v>111</v>
      </c>
      <c r="G280" s="15" t="s">
        <v>113</v>
      </c>
      <c r="H280" s="15" t="s">
        <v>1045</v>
      </c>
      <c r="J280" s="16" t="s">
        <v>114</v>
      </c>
      <c r="U280" s="15" t="s">
        <v>17977</v>
      </c>
      <c r="W280" s="15">
        <v>3159</v>
      </c>
      <c r="X280" s="15">
        <v>290</v>
      </c>
      <c r="Y280" s="15" t="s">
        <v>160</v>
      </c>
      <c r="Z280" s="15" t="s">
        <v>161</v>
      </c>
      <c r="AA280" s="15" t="s">
        <v>162</v>
      </c>
      <c r="AB280" s="15" t="s">
        <v>15231</v>
      </c>
      <c r="AC280" s="15" t="s">
        <v>15231</v>
      </c>
      <c r="AD280" s="15" t="s">
        <v>15231</v>
      </c>
      <c r="AE280" s="15" t="s">
        <v>164</v>
      </c>
      <c r="AF280" s="15" t="s">
        <v>15231</v>
      </c>
      <c r="AG280" s="15" t="s">
        <v>15231</v>
      </c>
      <c r="AH280" s="15" t="s">
        <v>15232</v>
      </c>
      <c r="AL280" s="15" t="s">
        <v>15233</v>
      </c>
      <c r="AN280" s="15">
        <v>743</v>
      </c>
      <c r="AO280" s="15" t="s">
        <v>15234</v>
      </c>
      <c r="AQ280" s="15" t="s">
        <v>3598</v>
      </c>
      <c r="AT280" s="15" t="s">
        <v>15235</v>
      </c>
      <c r="AU280" s="15" t="s">
        <v>15236</v>
      </c>
      <c r="AV280" s="15" t="s">
        <v>15236</v>
      </c>
      <c r="AW280" s="15" t="s">
        <v>15237</v>
      </c>
      <c r="AX280" s="15" t="s">
        <v>15238</v>
      </c>
      <c r="AY280" s="15">
        <f t="shared" si="4"/>
        <v>54</v>
      </c>
      <c r="AZ280" s="15" t="s">
        <v>3603</v>
      </c>
      <c r="BA280" s="15" t="s">
        <v>214</v>
      </c>
      <c r="BB280" s="15" t="s">
        <v>15239</v>
      </c>
      <c r="BE280" s="15" t="s">
        <v>606</v>
      </c>
      <c r="BJ280" s="15" t="s">
        <v>15240</v>
      </c>
      <c r="BK280" s="15" t="s">
        <v>314</v>
      </c>
      <c r="BN280" s="15" t="s">
        <v>179</v>
      </c>
      <c r="BP280" s="15" t="s">
        <v>138</v>
      </c>
      <c r="BS280" s="19" t="s">
        <v>15241</v>
      </c>
      <c r="DH280" s="15" t="s">
        <v>17982</v>
      </c>
      <c r="DI280" s="15" t="s">
        <v>17982</v>
      </c>
    </row>
    <row r="281" spans="1:113" s="15" customFormat="1" ht="12.75" x14ac:dyDescent="0.2">
      <c r="A281" s="15" t="s">
        <v>109</v>
      </c>
      <c r="B281" s="15" t="s">
        <v>110</v>
      </c>
      <c r="D281" s="15" t="s">
        <v>111</v>
      </c>
      <c r="E281" s="15" t="s">
        <v>112</v>
      </c>
      <c r="F281" s="15" t="s">
        <v>111</v>
      </c>
      <c r="G281" s="15" t="s">
        <v>113</v>
      </c>
      <c r="H281" s="15" t="s">
        <v>1045</v>
      </c>
      <c r="J281" s="16" t="s">
        <v>114</v>
      </c>
      <c r="U281" s="15" t="s">
        <v>17977</v>
      </c>
      <c r="W281" s="15">
        <v>3160</v>
      </c>
      <c r="X281" s="15">
        <v>291</v>
      </c>
      <c r="Y281" s="15" t="s">
        <v>160</v>
      </c>
      <c r="Z281" s="15" t="s">
        <v>161</v>
      </c>
      <c r="AA281" s="15" t="s">
        <v>162</v>
      </c>
      <c r="AB281" s="15" t="s">
        <v>15242</v>
      </c>
      <c r="AC281" s="15" t="s">
        <v>15242</v>
      </c>
      <c r="AD281" s="15" t="s">
        <v>15242</v>
      </c>
      <c r="AE281" s="15" t="s">
        <v>164</v>
      </c>
      <c r="AF281" s="15" t="s">
        <v>15242</v>
      </c>
      <c r="AG281" s="15" t="s">
        <v>15242</v>
      </c>
      <c r="AH281" s="15" t="s">
        <v>15243</v>
      </c>
      <c r="AL281" s="15" t="s">
        <v>15244</v>
      </c>
      <c r="AN281" s="15">
        <v>743</v>
      </c>
      <c r="AO281" s="15" t="s">
        <v>15245</v>
      </c>
      <c r="AQ281" s="15" t="s">
        <v>3598</v>
      </c>
      <c r="AT281" s="15" t="s">
        <v>15246</v>
      </c>
      <c r="AU281" s="15" t="s">
        <v>15247</v>
      </c>
      <c r="AV281" s="15" t="s">
        <v>15247</v>
      </c>
      <c r="AW281" s="15" t="s">
        <v>15248</v>
      </c>
      <c r="AX281" s="15" t="s">
        <v>15249</v>
      </c>
      <c r="AY281" s="15">
        <f t="shared" si="4"/>
        <v>52</v>
      </c>
      <c r="AZ281" s="15" t="s">
        <v>3603</v>
      </c>
      <c r="BA281" s="15" t="s">
        <v>214</v>
      </c>
      <c r="BB281" s="15" t="s">
        <v>15239</v>
      </c>
      <c r="BE281" s="15" t="s">
        <v>275</v>
      </c>
      <c r="BJ281" s="15" t="s">
        <v>15250</v>
      </c>
      <c r="BK281" s="15" t="s">
        <v>314</v>
      </c>
      <c r="BN281" s="15" t="s">
        <v>179</v>
      </c>
      <c r="BP281" s="15" t="s">
        <v>138</v>
      </c>
      <c r="BS281" s="19" t="s">
        <v>15251</v>
      </c>
      <c r="DH281" s="15" t="s">
        <v>17982</v>
      </c>
      <c r="DI281" s="15" t="s">
        <v>17982</v>
      </c>
    </row>
    <row r="282" spans="1:113" s="15" customFormat="1" ht="12.75" x14ac:dyDescent="0.2">
      <c r="A282" s="15" t="s">
        <v>109</v>
      </c>
      <c r="B282" s="15" t="s">
        <v>110</v>
      </c>
      <c r="D282" s="15" t="s">
        <v>111</v>
      </c>
      <c r="E282" s="15" t="s">
        <v>112</v>
      </c>
      <c r="F282" s="15" t="s">
        <v>111</v>
      </c>
      <c r="G282" s="15" t="s">
        <v>113</v>
      </c>
      <c r="H282" s="15" t="s">
        <v>1045</v>
      </c>
      <c r="J282" s="16" t="s">
        <v>114</v>
      </c>
      <c r="U282" s="15" t="s">
        <v>17977</v>
      </c>
      <c r="W282" s="15">
        <v>3161</v>
      </c>
      <c r="X282" s="15">
        <v>292</v>
      </c>
      <c r="Y282" s="15" t="s">
        <v>160</v>
      </c>
      <c r="Z282" s="15" t="s">
        <v>161</v>
      </c>
      <c r="AA282" s="15" t="s">
        <v>162</v>
      </c>
      <c r="AB282" s="15" t="s">
        <v>15252</v>
      </c>
      <c r="AC282" s="15" t="s">
        <v>15252</v>
      </c>
      <c r="AD282" s="15" t="s">
        <v>15252</v>
      </c>
      <c r="AE282" s="15" t="s">
        <v>164</v>
      </c>
      <c r="AF282" s="15" t="s">
        <v>15252</v>
      </c>
      <c r="AG282" s="15" t="s">
        <v>15252</v>
      </c>
      <c r="AH282" s="15" t="s">
        <v>15253</v>
      </c>
      <c r="AL282" s="15" t="s">
        <v>15244</v>
      </c>
      <c r="AN282" s="15">
        <v>743</v>
      </c>
      <c r="AO282" s="15" t="s">
        <v>15254</v>
      </c>
      <c r="AQ282" s="15" t="s">
        <v>3598</v>
      </c>
      <c r="AT282" s="15" t="s">
        <v>15255</v>
      </c>
      <c r="AU282" s="15" t="s">
        <v>15256</v>
      </c>
      <c r="AV282" s="15" t="s">
        <v>15256</v>
      </c>
      <c r="AW282" s="15" t="s">
        <v>15257</v>
      </c>
      <c r="AX282" s="15" t="s">
        <v>15258</v>
      </c>
      <c r="AY282" s="15">
        <f t="shared" si="4"/>
        <v>52</v>
      </c>
      <c r="AZ282" s="15" t="s">
        <v>3603</v>
      </c>
      <c r="BA282" s="15" t="s">
        <v>214</v>
      </c>
      <c r="BB282" s="15" t="s">
        <v>15239</v>
      </c>
      <c r="BE282" s="15" t="s">
        <v>176</v>
      </c>
      <c r="BJ282" s="15" t="s">
        <v>15250</v>
      </c>
      <c r="BK282" s="15" t="s">
        <v>314</v>
      </c>
      <c r="BN282" s="15" t="s">
        <v>179</v>
      </c>
      <c r="BP282" s="15" t="s">
        <v>138</v>
      </c>
      <c r="BS282" s="19" t="s">
        <v>15259</v>
      </c>
      <c r="DH282" s="15" t="s">
        <v>17982</v>
      </c>
      <c r="DI282" s="15" t="s">
        <v>17982</v>
      </c>
    </row>
    <row r="283" spans="1:113" s="15" customFormat="1" ht="12.75" x14ac:dyDescent="0.2">
      <c r="A283" s="15" t="s">
        <v>109</v>
      </c>
      <c r="B283" s="15" t="s">
        <v>110</v>
      </c>
      <c r="D283" s="15" t="s">
        <v>111</v>
      </c>
      <c r="E283" s="15" t="s">
        <v>112</v>
      </c>
      <c r="F283" s="15" t="s">
        <v>111</v>
      </c>
      <c r="G283" s="15" t="s">
        <v>113</v>
      </c>
      <c r="H283" s="15" t="s">
        <v>1045</v>
      </c>
      <c r="J283" s="16" t="s">
        <v>114</v>
      </c>
      <c r="U283" s="15" t="s">
        <v>17977</v>
      </c>
      <c r="W283" s="15">
        <v>3172</v>
      </c>
      <c r="X283" s="15">
        <v>293</v>
      </c>
      <c r="Y283" s="15" t="s">
        <v>160</v>
      </c>
      <c r="Z283" s="15" t="s">
        <v>161</v>
      </c>
      <c r="AA283" s="15" t="s">
        <v>162</v>
      </c>
      <c r="AB283" s="15" t="s">
        <v>15290</v>
      </c>
      <c r="AC283" s="15" t="s">
        <v>15290</v>
      </c>
      <c r="AD283" s="15" t="s">
        <v>15290</v>
      </c>
      <c r="AE283" s="15" t="s">
        <v>164</v>
      </c>
      <c r="AF283" s="15" t="s">
        <v>15290</v>
      </c>
      <c r="AG283" s="15" t="s">
        <v>15290</v>
      </c>
      <c r="AH283" s="15" t="s">
        <v>15291</v>
      </c>
      <c r="AL283" s="15" t="s">
        <v>15292</v>
      </c>
      <c r="AN283" s="15">
        <v>743</v>
      </c>
      <c r="AO283" s="15" t="s">
        <v>15293</v>
      </c>
      <c r="AQ283" s="15" t="s">
        <v>3598</v>
      </c>
      <c r="AT283" s="15" t="s">
        <v>15294</v>
      </c>
      <c r="AU283" s="15" t="s">
        <v>15295</v>
      </c>
      <c r="AV283" s="15" t="s">
        <v>15295</v>
      </c>
      <c r="AW283" s="15" t="s">
        <v>15296</v>
      </c>
      <c r="AX283" s="15" t="s">
        <v>15296</v>
      </c>
      <c r="AY283" s="15">
        <f t="shared" si="4"/>
        <v>60</v>
      </c>
      <c r="AZ283" s="15" t="s">
        <v>3603</v>
      </c>
      <c r="BA283" s="15" t="s">
        <v>214</v>
      </c>
      <c r="BB283" s="15" t="s">
        <v>10911</v>
      </c>
      <c r="BD283" s="19"/>
      <c r="BE283" s="15" t="s">
        <v>15297</v>
      </c>
      <c r="BJ283" s="15" t="s">
        <v>190</v>
      </c>
      <c r="BK283" s="15" t="s">
        <v>314</v>
      </c>
      <c r="BN283" s="15" t="s">
        <v>179</v>
      </c>
      <c r="BP283" s="15" t="s">
        <v>138</v>
      </c>
      <c r="BS283" s="19" t="s">
        <v>15298</v>
      </c>
      <c r="DH283" s="15" t="s">
        <v>17982</v>
      </c>
      <c r="DI283" s="15" t="s">
        <v>17982</v>
      </c>
    </row>
    <row r="284" spans="1:113" s="15" customFormat="1" ht="12.75" x14ac:dyDescent="0.2">
      <c r="A284" s="15" t="s">
        <v>109</v>
      </c>
      <c r="B284" s="15" t="s">
        <v>110</v>
      </c>
      <c r="D284" s="15" t="s">
        <v>111</v>
      </c>
      <c r="E284" s="15" t="s">
        <v>112</v>
      </c>
      <c r="F284" s="15" t="s">
        <v>111</v>
      </c>
      <c r="G284" s="15" t="s">
        <v>113</v>
      </c>
      <c r="H284" s="15" t="s">
        <v>1045</v>
      </c>
      <c r="J284" s="16" t="s">
        <v>114</v>
      </c>
      <c r="U284" s="15" t="s">
        <v>17977</v>
      </c>
      <c r="W284" s="15">
        <v>3156</v>
      </c>
      <c r="X284" s="15">
        <v>294</v>
      </c>
      <c r="Y284" s="15" t="s">
        <v>160</v>
      </c>
      <c r="Z284" s="15" t="s">
        <v>161</v>
      </c>
      <c r="AA284" s="15" t="s">
        <v>162</v>
      </c>
      <c r="AB284" s="15" t="s">
        <v>15210</v>
      </c>
      <c r="AC284" s="15" t="s">
        <v>15210</v>
      </c>
      <c r="AD284" s="15" t="s">
        <v>15210</v>
      </c>
      <c r="AE284" s="15" t="s">
        <v>164</v>
      </c>
      <c r="AF284" s="15" t="s">
        <v>15210</v>
      </c>
      <c r="AG284" s="15" t="s">
        <v>15210</v>
      </c>
      <c r="AH284" s="15" t="s">
        <v>15211</v>
      </c>
      <c r="AL284" s="15" t="s">
        <v>15212</v>
      </c>
      <c r="AN284" s="15">
        <v>743</v>
      </c>
      <c r="AO284" s="15" t="s">
        <v>15213</v>
      </c>
      <c r="AQ284" s="15" t="s">
        <v>3598</v>
      </c>
      <c r="AT284" s="15" t="s">
        <v>15214</v>
      </c>
      <c r="AU284" s="15" t="s">
        <v>15215</v>
      </c>
      <c r="AV284" s="15" t="s">
        <v>15215</v>
      </c>
      <c r="AW284" s="15" t="s">
        <v>15216</v>
      </c>
      <c r="AX284" s="15" t="s">
        <v>15217</v>
      </c>
      <c r="AY284" s="15">
        <f t="shared" si="4"/>
        <v>59</v>
      </c>
      <c r="AZ284" s="15" t="s">
        <v>3603</v>
      </c>
      <c r="BA284" s="15" t="s">
        <v>214</v>
      </c>
      <c r="BB284" s="15" t="s">
        <v>2006</v>
      </c>
      <c r="BE284" s="15" t="s">
        <v>367</v>
      </c>
      <c r="BJ284" s="15" t="s">
        <v>15218</v>
      </c>
      <c r="BK284" s="15" t="s">
        <v>314</v>
      </c>
      <c r="BN284" s="15" t="s">
        <v>179</v>
      </c>
      <c r="BP284" s="15" t="s">
        <v>138</v>
      </c>
      <c r="BS284" s="19" t="s">
        <v>15219</v>
      </c>
      <c r="DH284" s="15" t="s">
        <v>17982</v>
      </c>
      <c r="DI284" s="15" t="s">
        <v>17982</v>
      </c>
    </row>
    <row r="285" spans="1:113" s="15" customFormat="1" ht="12.75" x14ac:dyDescent="0.2">
      <c r="A285" s="15" t="s">
        <v>109</v>
      </c>
      <c r="B285" s="15" t="s">
        <v>110</v>
      </c>
      <c r="D285" s="15" t="s">
        <v>111</v>
      </c>
      <c r="E285" s="15" t="s">
        <v>112</v>
      </c>
      <c r="F285" s="15" t="s">
        <v>111</v>
      </c>
      <c r="G285" s="15" t="s">
        <v>113</v>
      </c>
      <c r="H285" s="15" t="s">
        <v>1045</v>
      </c>
      <c r="J285" s="16" t="s">
        <v>114</v>
      </c>
      <c r="U285" s="15" t="s">
        <v>17977</v>
      </c>
      <c r="W285" s="15">
        <v>3163</v>
      </c>
      <c r="X285" s="15">
        <v>295</v>
      </c>
      <c r="Y285" s="15" t="s">
        <v>160</v>
      </c>
      <c r="Z285" s="15" t="s">
        <v>161</v>
      </c>
      <c r="AA285" s="15" t="s">
        <v>162</v>
      </c>
      <c r="AB285" s="15" t="s">
        <v>15271</v>
      </c>
      <c r="AC285" s="15" t="s">
        <v>15271</v>
      </c>
      <c r="AD285" s="15" t="s">
        <v>15271</v>
      </c>
      <c r="AE285" s="15" t="s">
        <v>164</v>
      </c>
      <c r="AF285" s="15" t="s">
        <v>15271</v>
      </c>
      <c r="AG285" s="15" t="s">
        <v>15271</v>
      </c>
      <c r="AH285" s="15" t="s">
        <v>15272</v>
      </c>
      <c r="AL285" s="15" t="s">
        <v>15273</v>
      </c>
      <c r="AN285" s="15">
        <v>743</v>
      </c>
      <c r="AO285" s="15" t="s">
        <v>15274</v>
      </c>
      <c r="AQ285" s="15" t="s">
        <v>3598</v>
      </c>
      <c r="AT285" s="15" t="s">
        <v>15275</v>
      </c>
      <c r="AU285" s="15" t="s">
        <v>15276</v>
      </c>
      <c r="AV285" s="15" t="s">
        <v>15276</v>
      </c>
      <c r="AW285" s="15" t="s">
        <v>15277</v>
      </c>
      <c r="AX285" s="15" t="s">
        <v>15278</v>
      </c>
      <c r="AY285" s="15">
        <f t="shared" si="4"/>
        <v>56</v>
      </c>
      <c r="AZ285" s="15" t="s">
        <v>3603</v>
      </c>
      <c r="BA285" s="15" t="s">
        <v>214</v>
      </c>
      <c r="BB285" s="15" t="s">
        <v>4026</v>
      </c>
      <c r="BE285" s="15" t="s">
        <v>241</v>
      </c>
      <c r="BI285" s="15" t="s">
        <v>1905</v>
      </c>
      <c r="BJ285" s="15" t="s">
        <v>15279</v>
      </c>
      <c r="BK285" s="15" t="s">
        <v>314</v>
      </c>
      <c r="BN285" s="15" t="s">
        <v>179</v>
      </c>
      <c r="BP285" s="15" t="s">
        <v>138</v>
      </c>
      <c r="BS285" s="19" t="s">
        <v>15280</v>
      </c>
      <c r="DH285" s="15" t="s">
        <v>17982</v>
      </c>
      <c r="DI285" s="15" t="s">
        <v>17982</v>
      </c>
    </row>
    <row r="286" spans="1:113" s="15" customFormat="1" ht="12.75" x14ac:dyDescent="0.2">
      <c r="A286" s="15" t="s">
        <v>109</v>
      </c>
      <c r="B286" s="15" t="s">
        <v>110</v>
      </c>
      <c r="D286" s="15" t="s">
        <v>111</v>
      </c>
      <c r="E286" s="15" t="s">
        <v>112</v>
      </c>
      <c r="F286" s="15" t="s">
        <v>111</v>
      </c>
      <c r="G286" s="15" t="s">
        <v>113</v>
      </c>
      <c r="H286" s="15" t="s">
        <v>1045</v>
      </c>
      <c r="J286" s="16" t="s">
        <v>114</v>
      </c>
      <c r="U286" s="15" t="s">
        <v>17977</v>
      </c>
      <c r="W286" s="15">
        <v>3164</v>
      </c>
      <c r="X286" s="15">
        <v>296</v>
      </c>
      <c r="Y286" s="15" t="s">
        <v>160</v>
      </c>
      <c r="Z286" s="15" t="s">
        <v>161</v>
      </c>
      <c r="AA286" s="15" t="s">
        <v>162</v>
      </c>
      <c r="AB286" s="15" t="s">
        <v>15281</v>
      </c>
      <c r="AC286" s="15" t="s">
        <v>15281</v>
      </c>
      <c r="AD286" s="15" t="s">
        <v>15281</v>
      </c>
      <c r="AE286" s="15" t="s">
        <v>164</v>
      </c>
      <c r="AF286" s="15" t="s">
        <v>15281</v>
      </c>
      <c r="AG286" s="15" t="s">
        <v>15281</v>
      </c>
      <c r="AH286" s="15" t="s">
        <v>15282</v>
      </c>
      <c r="AL286" s="15" t="s">
        <v>15283</v>
      </c>
      <c r="AN286" s="15">
        <v>743</v>
      </c>
      <c r="AO286" s="15" t="s">
        <v>15284</v>
      </c>
      <c r="AQ286" s="15" t="s">
        <v>3598</v>
      </c>
      <c r="AT286" s="18" t="s">
        <v>15285</v>
      </c>
      <c r="AU286" s="15" t="s">
        <v>15286</v>
      </c>
      <c r="AV286" s="15" t="s">
        <v>15286</v>
      </c>
      <c r="AW286" s="15" t="s">
        <v>15287</v>
      </c>
      <c r="AX286" s="15" t="s">
        <v>15288</v>
      </c>
      <c r="AY286" s="15">
        <f t="shared" si="4"/>
        <v>60</v>
      </c>
      <c r="AZ286" s="15" t="s">
        <v>3603</v>
      </c>
      <c r="BA286" s="15" t="s">
        <v>214</v>
      </c>
      <c r="BB286" s="15" t="s">
        <v>4026</v>
      </c>
      <c r="BE286" s="15" t="s">
        <v>176</v>
      </c>
      <c r="BI286" s="15" t="s">
        <v>1905</v>
      </c>
      <c r="BJ286" s="15" t="s">
        <v>15218</v>
      </c>
      <c r="BK286" s="15" t="s">
        <v>314</v>
      </c>
      <c r="BN286" s="15" t="s">
        <v>179</v>
      </c>
      <c r="BP286" s="15" t="s">
        <v>138</v>
      </c>
      <c r="BS286" s="19" t="s">
        <v>15289</v>
      </c>
      <c r="DH286" s="15" t="s">
        <v>17982</v>
      </c>
      <c r="DI286" s="15" t="s">
        <v>17982</v>
      </c>
    </row>
    <row r="287" spans="1:113" s="15" customFormat="1" ht="12.75" x14ac:dyDescent="0.2">
      <c r="A287" s="15" t="s">
        <v>109</v>
      </c>
      <c r="B287" s="15" t="s">
        <v>110</v>
      </c>
      <c r="D287" s="15" t="s">
        <v>111</v>
      </c>
      <c r="E287" s="15" t="s">
        <v>112</v>
      </c>
      <c r="F287" s="15" t="s">
        <v>111</v>
      </c>
      <c r="G287" s="15" t="s">
        <v>113</v>
      </c>
      <c r="H287" s="15" t="s">
        <v>1045</v>
      </c>
      <c r="J287" s="16" t="s">
        <v>114</v>
      </c>
      <c r="U287" s="15" t="s">
        <v>17977</v>
      </c>
      <c r="W287" s="15">
        <v>3158</v>
      </c>
      <c r="X287" s="15">
        <v>297</v>
      </c>
      <c r="Y287" s="15" t="s">
        <v>160</v>
      </c>
      <c r="Z287" s="15" t="s">
        <v>161</v>
      </c>
      <c r="AA287" s="15" t="s">
        <v>162</v>
      </c>
      <c r="AB287" s="15" t="s">
        <v>15220</v>
      </c>
      <c r="AC287" s="15" t="s">
        <v>15220</v>
      </c>
      <c r="AD287" s="15" t="s">
        <v>15220</v>
      </c>
      <c r="AE287" s="15" t="s">
        <v>164</v>
      </c>
      <c r="AF287" s="15" t="s">
        <v>15220</v>
      </c>
      <c r="AG287" s="15" t="s">
        <v>15220</v>
      </c>
      <c r="AH287" s="15" t="s">
        <v>15221</v>
      </c>
      <c r="AL287" s="15" t="s">
        <v>15222</v>
      </c>
      <c r="AN287" s="15">
        <v>743</v>
      </c>
      <c r="AO287" s="15" t="s">
        <v>15223</v>
      </c>
      <c r="AQ287" s="15" t="s">
        <v>3598</v>
      </c>
      <c r="AT287" s="15" t="s">
        <v>15224</v>
      </c>
      <c r="AU287" s="15" t="s">
        <v>15225</v>
      </c>
      <c r="AV287" s="15" t="s">
        <v>15225</v>
      </c>
      <c r="AW287" s="15" t="s">
        <v>15226</v>
      </c>
      <c r="AX287" s="15" t="s">
        <v>15227</v>
      </c>
      <c r="AY287" s="15">
        <f t="shared" si="4"/>
        <v>59</v>
      </c>
      <c r="AZ287" s="15" t="s">
        <v>3603</v>
      </c>
      <c r="BA287" s="15" t="s">
        <v>214</v>
      </c>
      <c r="BB287" s="15" t="s">
        <v>2370</v>
      </c>
      <c r="BE287" s="15" t="s">
        <v>1123</v>
      </c>
      <c r="BJ287" s="15" t="s">
        <v>15228</v>
      </c>
      <c r="BK287" s="15" t="s">
        <v>314</v>
      </c>
      <c r="BN287" s="15" t="s">
        <v>179</v>
      </c>
      <c r="BP287" s="15" t="s">
        <v>138</v>
      </c>
      <c r="BR287" s="15" t="s">
        <v>15229</v>
      </c>
      <c r="BS287" s="19" t="s">
        <v>15230</v>
      </c>
      <c r="DH287" s="15" t="s">
        <v>17982</v>
      </c>
      <c r="DI287" s="15" t="s">
        <v>17982</v>
      </c>
    </row>
    <row r="288" spans="1:113" s="15" customFormat="1" ht="12.75" x14ac:dyDescent="0.2">
      <c r="A288" s="15" t="s">
        <v>109</v>
      </c>
      <c r="B288" s="15" t="s">
        <v>110</v>
      </c>
      <c r="D288" s="15" t="s">
        <v>111</v>
      </c>
      <c r="E288" s="15" t="s">
        <v>112</v>
      </c>
      <c r="F288" s="15" t="s">
        <v>111</v>
      </c>
      <c r="G288" s="15" t="s">
        <v>113</v>
      </c>
      <c r="H288" s="15" t="s">
        <v>1045</v>
      </c>
      <c r="J288" s="16" t="s">
        <v>114</v>
      </c>
      <c r="U288" s="15" t="s">
        <v>17977</v>
      </c>
      <c r="W288" s="15">
        <v>3194</v>
      </c>
      <c r="X288" s="15">
        <v>298</v>
      </c>
      <c r="Y288" s="15" t="s">
        <v>160</v>
      </c>
      <c r="Z288" s="15" t="s">
        <v>161</v>
      </c>
      <c r="AA288" s="15" t="s">
        <v>162</v>
      </c>
      <c r="AB288" s="15" t="s">
        <v>15398</v>
      </c>
      <c r="AC288" s="15" t="s">
        <v>15398</v>
      </c>
      <c r="AD288" s="15" t="s">
        <v>15398</v>
      </c>
      <c r="AE288" s="15" t="s">
        <v>164</v>
      </c>
      <c r="AF288" s="15" t="s">
        <v>15398</v>
      </c>
      <c r="AG288" s="15" t="s">
        <v>15398</v>
      </c>
      <c r="AH288" s="15" t="s">
        <v>15399</v>
      </c>
      <c r="AL288" s="15" t="s">
        <v>15400</v>
      </c>
      <c r="AN288" s="15">
        <v>743</v>
      </c>
      <c r="AO288" s="15" t="s">
        <v>15401</v>
      </c>
      <c r="AQ288" s="15" t="s">
        <v>3598</v>
      </c>
      <c r="AT288" s="18" t="s">
        <v>15402</v>
      </c>
      <c r="AU288" s="15" t="s">
        <v>15403</v>
      </c>
      <c r="AV288" s="15" t="s">
        <v>15403</v>
      </c>
      <c r="AW288" s="15" t="s">
        <v>15404</v>
      </c>
      <c r="AX288" s="15" t="s">
        <v>15405</v>
      </c>
      <c r="AY288" s="15">
        <f t="shared" si="4"/>
        <v>58</v>
      </c>
      <c r="AZ288" s="15" t="s">
        <v>3603</v>
      </c>
      <c r="BA288" s="15" t="s">
        <v>214</v>
      </c>
      <c r="BB288" s="15" t="s">
        <v>15406</v>
      </c>
      <c r="BE288" s="15" t="s">
        <v>1123</v>
      </c>
      <c r="BJ288" s="15" t="s">
        <v>15228</v>
      </c>
      <c r="BK288" s="15" t="s">
        <v>314</v>
      </c>
      <c r="BN288" s="15" t="s">
        <v>179</v>
      </c>
      <c r="BP288" s="15" t="s">
        <v>138</v>
      </c>
      <c r="BS288" s="19" t="s">
        <v>15407</v>
      </c>
      <c r="DH288" s="15" t="s">
        <v>17982</v>
      </c>
      <c r="DI288" s="15" t="s">
        <v>17982</v>
      </c>
    </row>
    <row r="289" spans="1:113" s="15" customFormat="1" ht="12.75" x14ac:dyDescent="0.2">
      <c r="A289" s="15" t="s">
        <v>109</v>
      </c>
      <c r="B289" s="15" t="s">
        <v>110</v>
      </c>
      <c r="D289" s="15" t="s">
        <v>111</v>
      </c>
      <c r="E289" s="15" t="s">
        <v>112</v>
      </c>
      <c r="F289" s="15" t="s">
        <v>111</v>
      </c>
      <c r="G289" s="15" t="s">
        <v>113</v>
      </c>
      <c r="H289" s="15" t="s">
        <v>1045</v>
      </c>
      <c r="J289" s="16" t="s">
        <v>114</v>
      </c>
      <c r="U289" s="15" t="s">
        <v>17977</v>
      </c>
      <c r="W289" s="15">
        <v>3195</v>
      </c>
      <c r="X289" s="15">
        <v>299</v>
      </c>
      <c r="Y289" s="15" t="s">
        <v>160</v>
      </c>
      <c r="Z289" s="15" t="s">
        <v>161</v>
      </c>
      <c r="AA289" s="15" t="s">
        <v>162</v>
      </c>
      <c r="AB289" s="15" t="s">
        <v>15408</v>
      </c>
      <c r="AC289" s="15" t="s">
        <v>15408</v>
      </c>
      <c r="AD289" s="15" t="s">
        <v>15408</v>
      </c>
      <c r="AE289" s="15" t="s">
        <v>164</v>
      </c>
      <c r="AF289" s="15" t="s">
        <v>15408</v>
      </c>
      <c r="AG289" s="15" t="s">
        <v>15408</v>
      </c>
      <c r="AH289" s="15" t="s">
        <v>15409</v>
      </c>
      <c r="AL289" s="15" t="s">
        <v>15410</v>
      </c>
      <c r="AN289" s="15">
        <v>743</v>
      </c>
      <c r="AO289" s="15" t="s">
        <v>15411</v>
      </c>
      <c r="AQ289" s="15" t="s">
        <v>3598</v>
      </c>
      <c r="AT289" s="15" t="s">
        <v>15412</v>
      </c>
      <c r="AU289" s="15" t="s">
        <v>15413</v>
      </c>
      <c r="AV289" s="15" t="s">
        <v>15413</v>
      </c>
      <c r="AW289" s="15" t="s">
        <v>15414</v>
      </c>
      <c r="AX289" s="15" t="s">
        <v>15415</v>
      </c>
      <c r="AY289" s="15">
        <f t="shared" si="4"/>
        <v>58</v>
      </c>
      <c r="AZ289" s="15" t="s">
        <v>3603</v>
      </c>
      <c r="BA289" s="15" t="s">
        <v>214</v>
      </c>
      <c r="BB289" s="15" t="s">
        <v>15406</v>
      </c>
      <c r="BE289" s="15" t="s">
        <v>275</v>
      </c>
      <c r="BJ289" s="15" t="s">
        <v>15228</v>
      </c>
      <c r="BK289" s="15" t="s">
        <v>314</v>
      </c>
      <c r="BN289" s="15" t="s">
        <v>179</v>
      </c>
      <c r="BP289" s="15" t="s">
        <v>138</v>
      </c>
      <c r="BS289" s="19" t="s">
        <v>15416</v>
      </c>
      <c r="DH289" s="15" t="s">
        <v>17982</v>
      </c>
      <c r="DI289" s="15" t="s">
        <v>17982</v>
      </c>
    </row>
    <row r="290" spans="1:113" s="15" customFormat="1" ht="12.75" x14ac:dyDescent="0.2">
      <c r="A290" s="15" t="s">
        <v>109</v>
      </c>
      <c r="B290" s="15" t="s">
        <v>110</v>
      </c>
      <c r="D290" s="15" t="s">
        <v>111</v>
      </c>
      <c r="E290" s="15" t="s">
        <v>112</v>
      </c>
      <c r="F290" s="15" t="s">
        <v>111</v>
      </c>
      <c r="G290" s="15" t="s">
        <v>113</v>
      </c>
      <c r="H290" s="15" t="s">
        <v>1045</v>
      </c>
      <c r="J290" s="16" t="s">
        <v>114</v>
      </c>
      <c r="U290" s="15" t="s">
        <v>17977</v>
      </c>
      <c r="W290" s="15">
        <v>3196</v>
      </c>
      <c r="X290" s="15">
        <v>300</v>
      </c>
      <c r="Y290" s="15" t="s">
        <v>160</v>
      </c>
      <c r="Z290" s="15" t="s">
        <v>161</v>
      </c>
      <c r="AA290" s="15" t="s">
        <v>162</v>
      </c>
      <c r="AB290" s="15" t="s">
        <v>15417</v>
      </c>
      <c r="AC290" s="15" t="s">
        <v>15417</v>
      </c>
      <c r="AD290" s="15" t="s">
        <v>15417</v>
      </c>
      <c r="AE290" s="15" t="s">
        <v>164</v>
      </c>
      <c r="AF290" s="15" t="s">
        <v>15417</v>
      </c>
      <c r="AG290" s="15" t="s">
        <v>15417</v>
      </c>
      <c r="AH290" s="15" t="s">
        <v>15418</v>
      </c>
      <c r="AL290" s="15" t="s">
        <v>15419</v>
      </c>
      <c r="AN290" s="15">
        <v>743</v>
      </c>
      <c r="AO290" s="15" t="s">
        <v>15420</v>
      </c>
      <c r="AQ290" s="15" t="s">
        <v>3598</v>
      </c>
      <c r="AT290" s="15" t="s">
        <v>15421</v>
      </c>
      <c r="AU290" s="15" t="s">
        <v>15422</v>
      </c>
      <c r="AV290" s="15" t="s">
        <v>15422</v>
      </c>
      <c r="AW290" s="15" t="s">
        <v>15423</v>
      </c>
      <c r="AX290" s="15" t="s">
        <v>15424</v>
      </c>
      <c r="AY290" s="15">
        <f t="shared" si="4"/>
        <v>58</v>
      </c>
      <c r="AZ290" s="15" t="s">
        <v>3603</v>
      </c>
      <c r="BA290" s="15" t="s">
        <v>214</v>
      </c>
      <c r="BB290" s="15" t="s">
        <v>15406</v>
      </c>
      <c r="BE290" s="15" t="s">
        <v>176</v>
      </c>
      <c r="BJ290" s="15" t="s">
        <v>15228</v>
      </c>
      <c r="BK290" s="15" t="s">
        <v>314</v>
      </c>
      <c r="BN290" s="15" t="s">
        <v>179</v>
      </c>
      <c r="BP290" s="15" t="s">
        <v>138</v>
      </c>
      <c r="BS290" s="19" t="s">
        <v>15425</v>
      </c>
      <c r="DH290" s="15" t="s">
        <v>17982</v>
      </c>
      <c r="DI290" s="15" t="s">
        <v>17982</v>
      </c>
    </row>
    <row r="291" spans="1:113" s="15" customFormat="1" ht="12.75" x14ac:dyDescent="0.2">
      <c r="A291" s="15" t="s">
        <v>109</v>
      </c>
      <c r="B291" s="15" t="s">
        <v>110</v>
      </c>
      <c r="D291" s="15" t="s">
        <v>111</v>
      </c>
      <c r="E291" s="15" t="s">
        <v>112</v>
      </c>
      <c r="F291" s="15" t="s">
        <v>111</v>
      </c>
      <c r="G291" s="15" t="s">
        <v>113</v>
      </c>
      <c r="H291" s="15" t="s">
        <v>1045</v>
      </c>
      <c r="J291" s="16" t="s">
        <v>114</v>
      </c>
      <c r="U291" s="15" t="s">
        <v>17977</v>
      </c>
      <c r="W291" s="15">
        <v>2606</v>
      </c>
      <c r="X291" s="15">
        <v>301</v>
      </c>
      <c r="Y291" s="15" t="s">
        <v>160</v>
      </c>
      <c r="Z291" s="15" t="s">
        <v>161</v>
      </c>
      <c r="AA291" s="15" t="s">
        <v>162</v>
      </c>
      <c r="AB291" s="15" t="s">
        <v>12680</v>
      </c>
      <c r="AC291" s="15" t="s">
        <v>12680</v>
      </c>
      <c r="AD291" s="15" t="s">
        <v>12680</v>
      </c>
      <c r="AE291" s="15" t="s">
        <v>164</v>
      </c>
      <c r="AF291" s="15" t="s">
        <v>12680</v>
      </c>
      <c r="AG291" s="15" t="s">
        <v>12680</v>
      </c>
      <c r="AH291" s="47" t="s">
        <v>12681</v>
      </c>
      <c r="AL291" s="15" t="s">
        <v>12682</v>
      </c>
      <c r="AN291" s="15">
        <v>743</v>
      </c>
      <c r="AO291" s="15" t="s">
        <v>12683</v>
      </c>
      <c r="AQ291" s="15" t="s">
        <v>168</v>
      </c>
      <c r="AT291" s="15" t="s">
        <v>12684</v>
      </c>
      <c r="AU291" s="15" t="s">
        <v>12685</v>
      </c>
      <c r="AV291" s="15" t="s">
        <v>12685</v>
      </c>
      <c r="AW291" s="15" t="s">
        <v>12686</v>
      </c>
      <c r="AX291" s="15" t="s">
        <v>12687</v>
      </c>
      <c r="AY291" s="15">
        <f t="shared" si="4"/>
        <v>58</v>
      </c>
      <c r="AZ291" s="15" t="s">
        <v>173</v>
      </c>
      <c r="BA291" s="15" t="s">
        <v>174</v>
      </c>
      <c r="BB291" s="15" t="s">
        <v>12639</v>
      </c>
      <c r="BE291" s="15" t="s">
        <v>1123</v>
      </c>
      <c r="BI291" s="15" t="s">
        <v>189</v>
      </c>
      <c r="BJ291" s="15" t="s">
        <v>12688</v>
      </c>
      <c r="BN291" s="15" t="s">
        <v>179</v>
      </c>
      <c r="BP291" s="15" t="s">
        <v>138</v>
      </c>
      <c r="BS291" s="19" t="s">
        <v>12689</v>
      </c>
      <c r="DH291" s="15" t="s">
        <v>17982</v>
      </c>
      <c r="DI291" s="15" t="s">
        <v>17982</v>
      </c>
    </row>
    <row r="292" spans="1:113" s="15" customFormat="1" ht="12.75" x14ac:dyDescent="0.2">
      <c r="A292" s="15" t="s">
        <v>109</v>
      </c>
      <c r="B292" s="15" t="s">
        <v>110</v>
      </c>
      <c r="D292" s="15" t="s">
        <v>111</v>
      </c>
      <c r="E292" s="15" t="s">
        <v>112</v>
      </c>
      <c r="F292" s="15" t="s">
        <v>111</v>
      </c>
      <c r="G292" s="15" t="s">
        <v>113</v>
      </c>
      <c r="H292" s="15" t="s">
        <v>1045</v>
      </c>
      <c r="J292" s="16" t="s">
        <v>114</v>
      </c>
      <c r="U292" s="15" t="s">
        <v>17977</v>
      </c>
      <c r="W292" s="15">
        <v>2602</v>
      </c>
      <c r="X292" s="15">
        <v>302</v>
      </c>
      <c r="Y292" s="15" t="s">
        <v>160</v>
      </c>
      <c r="Z292" s="15" t="s">
        <v>161</v>
      </c>
      <c r="AA292" s="15" t="s">
        <v>162</v>
      </c>
      <c r="AB292" s="15" t="s">
        <v>12642</v>
      </c>
      <c r="AC292" s="15" t="s">
        <v>12642</v>
      </c>
      <c r="AD292" s="15" t="s">
        <v>12642</v>
      </c>
      <c r="AE292" s="15" t="s">
        <v>164</v>
      </c>
      <c r="AF292" s="15" t="s">
        <v>12642</v>
      </c>
      <c r="AG292" s="15" t="s">
        <v>12642</v>
      </c>
      <c r="AH292" s="47" t="s">
        <v>12643</v>
      </c>
      <c r="AL292" s="15" t="s">
        <v>12644</v>
      </c>
      <c r="AN292" s="15">
        <v>743</v>
      </c>
      <c r="AO292" s="15" t="s">
        <v>12645</v>
      </c>
      <c r="AQ292" s="15" t="s">
        <v>388</v>
      </c>
      <c r="AT292" s="15" t="s">
        <v>12646</v>
      </c>
      <c r="AU292" s="15" t="s">
        <v>12647</v>
      </c>
      <c r="AV292" s="15" t="s">
        <v>12647</v>
      </c>
      <c r="AW292" s="15" t="s">
        <v>12648</v>
      </c>
      <c r="AX292" s="15" t="s">
        <v>12648</v>
      </c>
      <c r="AY292" s="15">
        <f t="shared" si="4"/>
        <v>52</v>
      </c>
      <c r="AZ292" s="15" t="s">
        <v>393</v>
      </c>
      <c r="BA292" s="15" t="s">
        <v>174</v>
      </c>
      <c r="BB292" s="15" t="s">
        <v>12649</v>
      </c>
      <c r="BE292" s="15" t="s">
        <v>606</v>
      </c>
      <c r="BJ292" s="15" t="s">
        <v>12650</v>
      </c>
      <c r="BN292" s="15" t="s">
        <v>179</v>
      </c>
      <c r="BP292" s="15" t="s">
        <v>138</v>
      </c>
      <c r="BS292" s="19" t="s">
        <v>12651</v>
      </c>
      <c r="DH292" s="15" t="s">
        <v>17982</v>
      </c>
      <c r="DI292" s="15" t="s">
        <v>17982</v>
      </c>
    </row>
    <row r="293" spans="1:113" s="15" customFormat="1" ht="12.75" x14ac:dyDescent="0.2">
      <c r="A293" s="15" t="s">
        <v>109</v>
      </c>
      <c r="B293" s="15" t="s">
        <v>110</v>
      </c>
      <c r="D293" s="15" t="s">
        <v>111</v>
      </c>
      <c r="E293" s="15" t="s">
        <v>112</v>
      </c>
      <c r="F293" s="15" t="s">
        <v>111</v>
      </c>
      <c r="G293" s="15" t="s">
        <v>113</v>
      </c>
      <c r="H293" s="15" t="s">
        <v>1045</v>
      </c>
      <c r="J293" s="16" t="s">
        <v>114</v>
      </c>
      <c r="U293" s="15" t="s">
        <v>17977</v>
      </c>
      <c r="W293" s="15">
        <v>2603</v>
      </c>
      <c r="X293" s="15">
        <v>303</v>
      </c>
      <c r="Y293" s="15" t="s">
        <v>160</v>
      </c>
      <c r="Z293" s="15" t="s">
        <v>161</v>
      </c>
      <c r="AA293" s="15" t="s">
        <v>162</v>
      </c>
      <c r="AB293" s="15" t="s">
        <v>12652</v>
      </c>
      <c r="AC293" s="15" t="s">
        <v>12652</v>
      </c>
      <c r="AD293" s="15" t="s">
        <v>12652</v>
      </c>
      <c r="AE293" s="15" t="s">
        <v>164</v>
      </c>
      <c r="AF293" s="15" t="s">
        <v>12652</v>
      </c>
      <c r="AG293" s="15" t="s">
        <v>12652</v>
      </c>
      <c r="AH293" s="47" t="s">
        <v>12653</v>
      </c>
      <c r="AL293" s="15" t="s">
        <v>12654</v>
      </c>
      <c r="AN293" s="15">
        <v>743</v>
      </c>
      <c r="AO293" s="15" t="s">
        <v>12655</v>
      </c>
      <c r="AQ293" s="15" t="s">
        <v>388</v>
      </c>
      <c r="AT293" s="15" t="s">
        <v>12656</v>
      </c>
      <c r="AU293" s="15" t="s">
        <v>12657</v>
      </c>
      <c r="AV293" s="15" t="s">
        <v>12657</v>
      </c>
      <c r="AW293" s="15" t="s">
        <v>12658</v>
      </c>
      <c r="AX293" s="15" t="s">
        <v>12658</v>
      </c>
      <c r="AY293" s="15">
        <f t="shared" si="4"/>
        <v>52</v>
      </c>
      <c r="AZ293" s="15" t="s">
        <v>393</v>
      </c>
      <c r="BA293" s="15" t="s">
        <v>174</v>
      </c>
      <c r="BB293" s="15" t="s">
        <v>12649</v>
      </c>
      <c r="BE293" s="15" t="s">
        <v>1123</v>
      </c>
      <c r="BJ293" s="15" t="s">
        <v>12650</v>
      </c>
      <c r="BN293" s="15" t="s">
        <v>179</v>
      </c>
      <c r="BP293" s="15" t="s">
        <v>138</v>
      </c>
      <c r="BS293" s="19" t="s">
        <v>12659</v>
      </c>
      <c r="DH293" s="15" t="s">
        <v>17982</v>
      </c>
      <c r="DI293" s="15" t="s">
        <v>17982</v>
      </c>
    </row>
    <row r="294" spans="1:113" s="15" customFormat="1" ht="12.75" x14ac:dyDescent="0.2">
      <c r="A294" s="15" t="s">
        <v>109</v>
      </c>
      <c r="B294" s="15" t="s">
        <v>110</v>
      </c>
      <c r="D294" s="15" t="s">
        <v>111</v>
      </c>
      <c r="E294" s="15" t="s">
        <v>112</v>
      </c>
      <c r="F294" s="15" t="s">
        <v>111</v>
      </c>
      <c r="G294" s="15" t="s">
        <v>113</v>
      </c>
      <c r="H294" s="15" t="s">
        <v>1045</v>
      </c>
      <c r="J294" s="16" t="s">
        <v>114</v>
      </c>
      <c r="U294" s="15" t="s">
        <v>17977</v>
      </c>
      <c r="W294" s="15">
        <v>943</v>
      </c>
      <c r="X294" s="15">
        <v>304</v>
      </c>
      <c r="Y294" s="15" t="s">
        <v>160</v>
      </c>
      <c r="Z294" s="15" t="s">
        <v>161</v>
      </c>
      <c r="AA294" s="15" t="s">
        <v>162</v>
      </c>
      <c r="AB294" s="15" t="s">
        <v>4453</v>
      </c>
      <c r="AC294" s="15" t="s">
        <v>4453</v>
      </c>
      <c r="AD294" s="15" t="s">
        <v>4453</v>
      </c>
      <c r="AE294" s="15" t="s">
        <v>164</v>
      </c>
      <c r="AF294" s="15" t="s">
        <v>4453</v>
      </c>
      <c r="AG294" s="15" t="s">
        <v>4453</v>
      </c>
      <c r="AH294" s="15" t="s">
        <v>4454</v>
      </c>
      <c r="AL294" s="15" t="s">
        <v>4455</v>
      </c>
      <c r="AN294" s="15">
        <v>743</v>
      </c>
      <c r="AO294" s="15" t="s">
        <v>4456</v>
      </c>
      <c r="AQ294" s="15" t="s">
        <v>168</v>
      </c>
      <c r="AT294" s="18" t="s">
        <v>4457</v>
      </c>
      <c r="AU294" s="15" t="s">
        <v>4458</v>
      </c>
      <c r="AV294" s="15" t="s">
        <v>4458</v>
      </c>
      <c r="AW294" s="15" t="s">
        <v>4459</v>
      </c>
      <c r="AX294" s="15" t="s">
        <v>4459</v>
      </c>
      <c r="AY294" s="15">
        <f t="shared" si="4"/>
        <v>58</v>
      </c>
      <c r="AZ294" s="15" t="s">
        <v>173</v>
      </c>
      <c r="BA294" s="15" t="s">
        <v>174</v>
      </c>
      <c r="BB294" s="15" t="s">
        <v>4026</v>
      </c>
      <c r="BE294" s="15" t="s">
        <v>4460</v>
      </c>
      <c r="BI294" s="15" t="s">
        <v>4451</v>
      </c>
      <c r="BJ294" s="15" t="s">
        <v>190</v>
      </c>
      <c r="BN294" s="15" t="s">
        <v>179</v>
      </c>
      <c r="BP294" s="15" t="s">
        <v>138</v>
      </c>
      <c r="BS294" s="19" t="s">
        <v>4461</v>
      </c>
      <c r="DH294" s="15" t="s">
        <v>17982</v>
      </c>
      <c r="DI294" s="15" t="s">
        <v>17982</v>
      </c>
    </row>
    <row r="295" spans="1:113" s="15" customFormat="1" ht="12.75" x14ac:dyDescent="0.2">
      <c r="A295" s="15" t="s">
        <v>109</v>
      </c>
      <c r="B295" s="15" t="s">
        <v>110</v>
      </c>
      <c r="D295" s="15" t="s">
        <v>111</v>
      </c>
      <c r="E295" s="15" t="s">
        <v>112</v>
      </c>
      <c r="F295" s="15" t="s">
        <v>111</v>
      </c>
      <c r="G295" s="15" t="s">
        <v>113</v>
      </c>
      <c r="H295" s="15" t="s">
        <v>1045</v>
      </c>
      <c r="J295" s="16" t="s">
        <v>114</v>
      </c>
      <c r="U295" s="15" t="s">
        <v>17977</v>
      </c>
      <c r="W295" s="15">
        <v>944</v>
      </c>
      <c r="X295" s="15">
        <v>305</v>
      </c>
      <c r="Y295" s="15" t="s">
        <v>160</v>
      </c>
      <c r="Z295" s="15" t="s">
        <v>161</v>
      </c>
      <c r="AA295" s="15" t="s">
        <v>162</v>
      </c>
      <c r="AB295" s="15" t="s">
        <v>4462</v>
      </c>
      <c r="AC295" s="15" t="s">
        <v>4462</v>
      </c>
      <c r="AD295" s="15" t="s">
        <v>4462</v>
      </c>
      <c r="AE295" s="15" t="s">
        <v>164</v>
      </c>
      <c r="AF295" s="15" t="s">
        <v>4462</v>
      </c>
      <c r="AG295" s="15" t="s">
        <v>4462</v>
      </c>
      <c r="AH295" s="15" t="s">
        <v>4463</v>
      </c>
      <c r="AL295" s="15" t="s">
        <v>4464</v>
      </c>
      <c r="AN295" s="15">
        <v>743</v>
      </c>
      <c r="AO295" s="15" t="s">
        <v>4465</v>
      </c>
      <c r="AQ295" s="15" t="s">
        <v>168</v>
      </c>
      <c r="AT295" s="15" t="s">
        <v>4466</v>
      </c>
      <c r="AU295" s="15" t="s">
        <v>4467</v>
      </c>
      <c r="AV295" s="15" t="s">
        <v>4467</v>
      </c>
      <c r="AW295" s="15" t="s">
        <v>4468</v>
      </c>
      <c r="AX295" s="15" t="s">
        <v>4468</v>
      </c>
      <c r="AY295" s="15">
        <f t="shared" si="4"/>
        <v>49</v>
      </c>
      <c r="AZ295" s="15" t="s">
        <v>173</v>
      </c>
      <c r="BA295" s="15" t="s">
        <v>174</v>
      </c>
      <c r="BB295" s="15" t="s">
        <v>4026</v>
      </c>
      <c r="BE295" s="15" t="s">
        <v>4469</v>
      </c>
      <c r="BI295" s="15" t="s">
        <v>4451</v>
      </c>
      <c r="BN295" s="15" t="s">
        <v>179</v>
      </c>
      <c r="BP295" s="15" t="s">
        <v>138</v>
      </c>
      <c r="BS295" s="19" t="s">
        <v>4470</v>
      </c>
      <c r="DH295" s="15" t="s">
        <v>17982</v>
      </c>
      <c r="DI295" s="15" t="s">
        <v>17982</v>
      </c>
    </row>
    <row r="296" spans="1:113" s="15" customFormat="1" ht="12.75" x14ac:dyDescent="0.2">
      <c r="A296" s="15" t="s">
        <v>109</v>
      </c>
      <c r="B296" s="15" t="s">
        <v>110</v>
      </c>
      <c r="D296" s="15" t="s">
        <v>111</v>
      </c>
      <c r="E296" s="15" t="s">
        <v>112</v>
      </c>
      <c r="F296" s="15" t="s">
        <v>111</v>
      </c>
      <c r="G296" s="15" t="s">
        <v>113</v>
      </c>
      <c r="H296" s="15" t="s">
        <v>1045</v>
      </c>
      <c r="J296" s="16" t="s">
        <v>114</v>
      </c>
      <c r="U296" s="15" t="s">
        <v>17977</v>
      </c>
      <c r="W296" s="15">
        <v>945</v>
      </c>
      <c r="X296" s="15">
        <v>306</v>
      </c>
      <c r="Y296" s="15" t="s">
        <v>160</v>
      </c>
      <c r="Z296" s="15" t="s">
        <v>161</v>
      </c>
      <c r="AA296" s="15" t="s">
        <v>162</v>
      </c>
      <c r="AB296" s="15" t="s">
        <v>4471</v>
      </c>
      <c r="AC296" s="15" t="s">
        <v>4471</v>
      </c>
      <c r="AD296" s="15" t="s">
        <v>4471</v>
      </c>
      <c r="AE296" s="15" t="s">
        <v>164</v>
      </c>
      <c r="AF296" s="15" t="s">
        <v>4471</v>
      </c>
      <c r="AG296" s="15" t="s">
        <v>4471</v>
      </c>
      <c r="AH296" s="15" t="s">
        <v>4472</v>
      </c>
      <c r="AL296" s="15" t="s">
        <v>4473</v>
      </c>
      <c r="AN296" s="15">
        <v>743</v>
      </c>
      <c r="AO296" s="15" t="s">
        <v>4474</v>
      </c>
      <c r="AQ296" s="15" t="s">
        <v>168</v>
      </c>
      <c r="AT296" s="15" t="s">
        <v>4475</v>
      </c>
      <c r="AU296" s="15" t="s">
        <v>4476</v>
      </c>
      <c r="AV296" s="15" t="s">
        <v>4476</v>
      </c>
      <c r="AW296" s="15" t="s">
        <v>4477</v>
      </c>
      <c r="AX296" s="15" t="s">
        <v>4477</v>
      </c>
      <c r="AY296" s="15">
        <f t="shared" si="4"/>
        <v>48</v>
      </c>
      <c r="AZ296" s="15" t="s">
        <v>173</v>
      </c>
      <c r="BA296" s="15" t="s">
        <v>174</v>
      </c>
      <c r="BB296" s="15" t="s">
        <v>4026</v>
      </c>
      <c r="BE296" s="15" t="s">
        <v>4478</v>
      </c>
      <c r="BI296" s="15" t="s">
        <v>4451</v>
      </c>
      <c r="BN296" s="15" t="s">
        <v>179</v>
      </c>
      <c r="BP296" s="15" t="s">
        <v>138</v>
      </c>
      <c r="BS296" s="19" t="s">
        <v>4479</v>
      </c>
      <c r="DH296" s="15" t="s">
        <v>17982</v>
      </c>
      <c r="DI296" s="15" t="s">
        <v>17982</v>
      </c>
    </row>
    <row r="297" spans="1:113" s="15" customFormat="1" ht="12.75" x14ac:dyDescent="0.2">
      <c r="A297" s="15" t="s">
        <v>109</v>
      </c>
      <c r="B297" s="15" t="s">
        <v>110</v>
      </c>
      <c r="D297" s="15" t="s">
        <v>111</v>
      </c>
      <c r="E297" s="15" t="s">
        <v>112</v>
      </c>
      <c r="F297" s="15" t="s">
        <v>111</v>
      </c>
      <c r="G297" s="15" t="s">
        <v>113</v>
      </c>
      <c r="H297" s="15" t="s">
        <v>1045</v>
      </c>
      <c r="J297" s="16" t="s">
        <v>114</v>
      </c>
      <c r="U297" s="15" t="s">
        <v>17977</v>
      </c>
      <c r="W297" s="15">
        <v>942</v>
      </c>
      <c r="X297" s="15">
        <v>307</v>
      </c>
      <c r="Y297" s="15" t="s">
        <v>160</v>
      </c>
      <c r="Z297" s="15" t="s">
        <v>161</v>
      </c>
      <c r="AA297" s="15" t="s">
        <v>162</v>
      </c>
      <c r="AB297" s="15" t="s">
        <v>4443</v>
      </c>
      <c r="AC297" s="15" t="s">
        <v>4443</v>
      </c>
      <c r="AD297" s="15" t="s">
        <v>4443</v>
      </c>
      <c r="AE297" s="15" t="s">
        <v>164</v>
      </c>
      <c r="AF297" s="15" t="s">
        <v>4443</v>
      </c>
      <c r="AG297" s="15" t="s">
        <v>4443</v>
      </c>
      <c r="AH297" s="15" t="s">
        <v>4444</v>
      </c>
      <c r="AL297" s="15" t="s">
        <v>4445</v>
      </c>
      <c r="AN297" s="15">
        <v>743</v>
      </c>
      <c r="AO297" s="15" t="s">
        <v>4446</v>
      </c>
      <c r="AQ297" s="15" t="s">
        <v>168</v>
      </c>
      <c r="AT297" s="15" t="s">
        <v>4447</v>
      </c>
      <c r="AU297" s="15" t="s">
        <v>4448</v>
      </c>
      <c r="AV297" s="15" t="s">
        <v>4448</v>
      </c>
      <c r="AW297" s="15" t="s">
        <v>4449</v>
      </c>
      <c r="AX297" s="15" t="s">
        <v>4449</v>
      </c>
      <c r="AY297" s="15">
        <f t="shared" si="4"/>
        <v>47</v>
      </c>
      <c r="AZ297" s="15" t="s">
        <v>173</v>
      </c>
      <c r="BA297" s="15" t="s">
        <v>174</v>
      </c>
      <c r="BB297" s="15" t="s">
        <v>4026</v>
      </c>
      <c r="BE297" s="15" t="s">
        <v>4450</v>
      </c>
      <c r="BI297" s="15" t="s">
        <v>4451</v>
      </c>
      <c r="BN297" s="15" t="s">
        <v>179</v>
      </c>
      <c r="BP297" s="15" t="s">
        <v>138</v>
      </c>
      <c r="BS297" s="19" t="s">
        <v>4452</v>
      </c>
      <c r="DH297" s="15" t="s">
        <v>17982</v>
      </c>
      <c r="DI297" s="15" t="s">
        <v>17982</v>
      </c>
    </row>
    <row r="298" spans="1:113" s="15" customFormat="1" ht="12.75" x14ac:dyDescent="0.2">
      <c r="A298" s="15" t="s">
        <v>109</v>
      </c>
      <c r="B298" s="15" t="s">
        <v>110</v>
      </c>
      <c r="D298" s="15" t="s">
        <v>111</v>
      </c>
      <c r="E298" s="15" t="s">
        <v>112</v>
      </c>
      <c r="F298" s="15" t="s">
        <v>111</v>
      </c>
      <c r="G298" s="15" t="s">
        <v>113</v>
      </c>
      <c r="H298" s="15" t="s">
        <v>1045</v>
      </c>
      <c r="J298" s="16" t="s">
        <v>114</v>
      </c>
      <c r="U298" s="15" t="s">
        <v>17977</v>
      </c>
      <c r="W298" s="15">
        <v>1781</v>
      </c>
      <c r="X298" s="15">
        <v>308</v>
      </c>
      <c r="Y298" s="15" t="s">
        <v>160</v>
      </c>
      <c r="Z298" s="15" t="s">
        <v>161</v>
      </c>
      <c r="AA298" s="15" t="s">
        <v>162</v>
      </c>
      <c r="AB298" s="15" t="s">
        <v>9478</v>
      </c>
      <c r="AC298" s="15" t="s">
        <v>9478</v>
      </c>
      <c r="AD298" s="15" t="s">
        <v>9478</v>
      </c>
      <c r="AE298" s="15" t="s">
        <v>164</v>
      </c>
      <c r="AF298" s="15" t="s">
        <v>9478</v>
      </c>
      <c r="AG298" s="15" t="s">
        <v>9478</v>
      </c>
      <c r="AH298" s="15" t="s">
        <v>9479</v>
      </c>
      <c r="AL298" s="15" t="s">
        <v>9480</v>
      </c>
      <c r="AN298" s="15">
        <v>743</v>
      </c>
      <c r="AO298" s="15" t="s">
        <v>9481</v>
      </c>
      <c r="AQ298" s="15" t="s">
        <v>168</v>
      </c>
      <c r="AT298" s="15" t="s">
        <v>9482</v>
      </c>
      <c r="AU298" s="15" t="s">
        <v>9483</v>
      </c>
      <c r="AV298" s="15" t="s">
        <v>9483</v>
      </c>
      <c r="AW298" s="15" t="s">
        <v>9484</v>
      </c>
      <c r="AX298" s="15" t="s">
        <v>9484</v>
      </c>
      <c r="AY298" s="15">
        <f t="shared" si="4"/>
        <v>54</v>
      </c>
      <c r="AZ298" s="15" t="s">
        <v>173</v>
      </c>
      <c r="BA298" s="15" t="s">
        <v>174</v>
      </c>
      <c r="BB298" s="15" t="s">
        <v>9485</v>
      </c>
      <c r="BE298" s="15" t="s">
        <v>1095</v>
      </c>
      <c r="BJ298" s="18" t="s">
        <v>9486</v>
      </c>
      <c r="BN298" s="15" t="s">
        <v>179</v>
      </c>
      <c r="BP298" s="15" t="s">
        <v>138</v>
      </c>
      <c r="BS298" s="19" t="s">
        <v>9487</v>
      </c>
      <c r="DH298" s="15" t="s">
        <v>17982</v>
      </c>
      <c r="DI298" s="15" t="s">
        <v>17982</v>
      </c>
    </row>
    <row r="299" spans="1:113" s="15" customFormat="1" ht="12.75" x14ac:dyDescent="0.2">
      <c r="A299" s="15" t="s">
        <v>109</v>
      </c>
      <c r="B299" s="15" t="s">
        <v>110</v>
      </c>
      <c r="D299" s="15" t="s">
        <v>111</v>
      </c>
      <c r="E299" s="15" t="s">
        <v>112</v>
      </c>
      <c r="F299" s="15" t="s">
        <v>111</v>
      </c>
      <c r="G299" s="15" t="s">
        <v>113</v>
      </c>
      <c r="H299" s="15" t="s">
        <v>1045</v>
      </c>
      <c r="J299" s="16" t="s">
        <v>114</v>
      </c>
      <c r="U299" s="15" t="s">
        <v>17977</v>
      </c>
      <c r="W299" s="15">
        <v>1772</v>
      </c>
      <c r="X299" s="15">
        <v>309</v>
      </c>
      <c r="Y299" s="15" t="s">
        <v>160</v>
      </c>
      <c r="Z299" s="15" t="s">
        <v>161</v>
      </c>
      <c r="AA299" s="15" t="s">
        <v>162</v>
      </c>
      <c r="AB299" s="15" t="s">
        <v>9388</v>
      </c>
      <c r="AC299" s="15" t="s">
        <v>9388</v>
      </c>
      <c r="AD299" s="15" t="s">
        <v>9388</v>
      </c>
      <c r="AE299" s="15" t="s">
        <v>164</v>
      </c>
      <c r="AF299" s="15" t="s">
        <v>9388</v>
      </c>
      <c r="AG299" s="15" t="s">
        <v>9388</v>
      </c>
      <c r="AH299" s="15" t="s">
        <v>9389</v>
      </c>
      <c r="AL299" s="15" t="s">
        <v>9390</v>
      </c>
      <c r="AN299" s="15">
        <v>743</v>
      </c>
      <c r="AO299" s="15" t="s">
        <v>9391</v>
      </c>
      <c r="AQ299" s="15" t="s">
        <v>168</v>
      </c>
      <c r="AT299" s="15" t="s">
        <v>9392</v>
      </c>
      <c r="AU299" s="15" t="s">
        <v>9393</v>
      </c>
      <c r="AV299" s="15" t="s">
        <v>9393</v>
      </c>
      <c r="AW299" s="15" t="s">
        <v>9394</v>
      </c>
      <c r="AX299" s="15" t="s">
        <v>9395</v>
      </c>
      <c r="AY299" s="15">
        <f t="shared" si="4"/>
        <v>55</v>
      </c>
      <c r="AZ299" s="15" t="s">
        <v>173</v>
      </c>
      <c r="BA299" s="15" t="s">
        <v>174</v>
      </c>
      <c r="BB299" s="15" t="s">
        <v>5006</v>
      </c>
      <c r="BE299" s="15" t="s">
        <v>199</v>
      </c>
      <c r="BJ299" s="18" t="s">
        <v>9396</v>
      </c>
      <c r="BN299" s="15" t="s">
        <v>179</v>
      </c>
      <c r="BP299" s="15" t="s">
        <v>138</v>
      </c>
      <c r="BS299" s="19" t="s">
        <v>9397</v>
      </c>
      <c r="DH299" s="15" t="s">
        <v>17982</v>
      </c>
      <c r="DI299" s="15" t="s">
        <v>17982</v>
      </c>
    </row>
    <row r="300" spans="1:113" s="15" customFormat="1" ht="12.75" x14ac:dyDescent="0.2">
      <c r="A300" s="15" t="s">
        <v>109</v>
      </c>
      <c r="B300" s="15" t="s">
        <v>110</v>
      </c>
      <c r="D300" s="15" t="s">
        <v>111</v>
      </c>
      <c r="E300" s="15" t="s">
        <v>112</v>
      </c>
      <c r="F300" s="15" t="s">
        <v>111</v>
      </c>
      <c r="G300" s="15" t="s">
        <v>113</v>
      </c>
      <c r="H300" s="15" t="s">
        <v>1045</v>
      </c>
      <c r="J300" s="16" t="s">
        <v>114</v>
      </c>
      <c r="U300" s="15" t="s">
        <v>17977</v>
      </c>
      <c r="W300" s="15">
        <v>3286</v>
      </c>
      <c r="X300" s="15">
        <v>310</v>
      </c>
      <c r="Y300" s="15" t="s">
        <v>160</v>
      </c>
      <c r="Z300" s="15" t="s">
        <v>161</v>
      </c>
      <c r="AA300" s="15" t="s">
        <v>162</v>
      </c>
      <c r="AB300" s="15" t="s">
        <v>15834</v>
      </c>
      <c r="AC300" s="15" t="s">
        <v>15834</v>
      </c>
      <c r="AD300" s="15" t="s">
        <v>15834</v>
      </c>
      <c r="AE300" s="15" t="s">
        <v>164</v>
      </c>
      <c r="AF300" s="15" t="s">
        <v>15834</v>
      </c>
      <c r="AG300" s="15" t="s">
        <v>15834</v>
      </c>
      <c r="AH300" s="15" t="s">
        <v>15835</v>
      </c>
      <c r="AL300" s="15" t="s">
        <v>15836</v>
      </c>
      <c r="AN300" s="15">
        <v>743</v>
      </c>
      <c r="AO300" s="15" t="s">
        <v>15837</v>
      </c>
      <c r="AQ300" s="15" t="s">
        <v>3598</v>
      </c>
      <c r="AT300" s="15" t="s">
        <v>15838</v>
      </c>
      <c r="AU300" s="15" t="s">
        <v>15839</v>
      </c>
      <c r="AV300" s="15" t="s">
        <v>15839</v>
      </c>
      <c r="AW300" s="15" t="s">
        <v>15840</v>
      </c>
      <c r="AX300" s="15" t="s">
        <v>15841</v>
      </c>
      <c r="AY300" s="15">
        <f t="shared" si="4"/>
        <v>59</v>
      </c>
      <c r="AZ300" s="15" t="s">
        <v>3603</v>
      </c>
      <c r="BA300" s="15" t="s">
        <v>214</v>
      </c>
      <c r="BB300" s="15" t="s">
        <v>5006</v>
      </c>
      <c r="BC300" s="15" t="s">
        <v>646</v>
      </c>
      <c r="BE300" s="15" t="s">
        <v>367</v>
      </c>
      <c r="BF300" s="18"/>
      <c r="BI300" s="15" t="s">
        <v>1905</v>
      </c>
      <c r="BJ300" s="15" t="s">
        <v>15842</v>
      </c>
      <c r="BK300" s="15" t="s">
        <v>1714</v>
      </c>
      <c r="BN300" s="15" t="s">
        <v>179</v>
      </c>
      <c r="BO300" s="15" t="s">
        <v>4731</v>
      </c>
      <c r="BP300" s="15" t="s">
        <v>138</v>
      </c>
      <c r="BS300" s="19" t="s">
        <v>15843</v>
      </c>
      <c r="BT300" s="15" t="s">
        <v>804</v>
      </c>
      <c r="DH300" s="15" t="s">
        <v>17982</v>
      </c>
      <c r="DI300" s="15" t="s">
        <v>17982</v>
      </c>
    </row>
    <row r="301" spans="1:113" s="15" customFormat="1" ht="12.75" x14ac:dyDescent="0.2">
      <c r="A301" s="15" t="s">
        <v>109</v>
      </c>
      <c r="B301" s="15" t="s">
        <v>110</v>
      </c>
      <c r="D301" s="15" t="s">
        <v>111</v>
      </c>
      <c r="E301" s="15" t="s">
        <v>112</v>
      </c>
      <c r="F301" s="15" t="s">
        <v>111</v>
      </c>
      <c r="G301" s="15" t="s">
        <v>113</v>
      </c>
      <c r="H301" s="15" t="s">
        <v>1045</v>
      </c>
      <c r="J301" s="16" t="s">
        <v>114</v>
      </c>
      <c r="U301" s="15" t="s">
        <v>17977</v>
      </c>
      <c r="W301" s="15">
        <v>3280</v>
      </c>
      <c r="X301" s="15">
        <v>311</v>
      </c>
      <c r="Y301" s="15" t="s">
        <v>160</v>
      </c>
      <c r="Z301" s="15" t="s">
        <v>161</v>
      </c>
      <c r="AA301" s="15" t="s">
        <v>162</v>
      </c>
      <c r="AB301" s="15" t="s">
        <v>15775</v>
      </c>
      <c r="AC301" s="15" t="s">
        <v>15775</v>
      </c>
      <c r="AD301" s="15" t="s">
        <v>15776</v>
      </c>
      <c r="AE301" s="15" t="s">
        <v>164</v>
      </c>
      <c r="AF301" s="15" t="s">
        <v>15776</v>
      </c>
      <c r="AG301" s="15" t="s">
        <v>15775</v>
      </c>
      <c r="AH301" s="15" t="s">
        <v>15777</v>
      </c>
      <c r="AL301" s="15" t="s">
        <v>15778</v>
      </c>
      <c r="AN301" s="15">
        <v>743</v>
      </c>
      <c r="AO301" s="15" t="s">
        <v>15779</v>
      </c>
      <c r="AQ301" s="15" t="s">
        <v>3598</v>
      </c>
      <c r="AT301" s="15" t="s">
        <v>15780</v>
      </c>
      <c r="AU301" s="15" t="s">
        <v>15781</v>
      </c>
      <c r="AV301" s="15" t="s">
        <v>15781</v>
      </c>
      <c r="AW301" s="15" t="s">
        <v>15782</v>
      </c>
      <c r="AX301" s="15" t="s">
        <v>15783</v>
      </c>
      <c r="AY301" s="15">
        <f t="shared" si="4"/>
        <v>59</v>
      </c>
      <c r="AZ301" s="15" t="s">
        <v>3603</v>
      </c>
      <c r="BA301" s="15" t="s">
        <v>214</v>
      </c>
      <c r="BB301" s="15" t="s">
        <v>5006</v>
      </c>
      <c r="BE301" s="18" t="s">
        <v>367</v>
      </c>
      <c r="BF301" s="18"/>
      <c r="BJ301" s="15" t="s">
        <v>15784</v>
      </c>
      <c r="BK301" s="15" t="s">
        <v>1714</v>
      </c>
      <c r="BN301" s="15" t="s">
        <v>179</v>
      </c>
      <c r="BO301" s="15" t="s">
        <v>4731</v>
      </c>
      <c r="BP301" s="15" t="s">
        <v>138</v>
      </c>
      <c r="BS301" s="19" t="s">
        <v>15785</v>
      </c>
      <c r="BT301" s="15" t="s">
        <v>804</v>
      </c>
      <c r="DH301" s="15" t="s">
        <v>17982</v>
      </c>
      <c r="DI301" s="15" t="s">
        <v>17982</v>
      </c>
    </row>
    <row r="302" spans="1:113" s="15" customFormat="1" ht="12.75" x14ac:dyDescent="0.2">
      <c r="A302" s="15" t="s">
        <v>109</v>
      </c>
      <c r="B302" s="15" t="s">
        <v>110</v>
      </c>
      <c r="D302" s="15" t="s">
        <v>111</v>
      </c>
      <c r="E302" s="15" t="s">
        <v>112</v>
      </c>
      <c r="F302" s="15" t="s">
        <v>111</v>
      </c>
      <c r="G302" s="15" t="s">
        <v>113</v>
      </c>
      <c r="H302" s="15" t="s">
        <v>1045</v>
      </c>
      <c r="J302" s="16" t="s">
        <v>114</v>
      </c>
      <c r="U302" s="15" t="s">
        <v>17977</v>
      </c>
      <c r="W302" s="15">
        <v>3284</v>
      </c>
      <c r="X302" s="15">
        <v>312</v>
      </c>
      <c r="Y302" s="15" t="s">
        <v>160</v>
      </c>
      <c r="Z302" s="15" t="s">
        <v>161</v>
      </c>
      <c r="AA302" s="15" t="s">
        <v>162</v>
      </c>
      <c r="AB302" s="15" t="s">
        <v>15815</v>
      </c>
      <c r="AC302" s="15" t="s">
        <v>15815</v>
      </c>
      <c r="AD302" s="15" t="s">
        <v>15815</v>
      </c>
      <c r="AE302" s="15" t="s">
        <v>164</v>
      </c>
      <c r="AF302" s="15" t="s">
        <v>15815</v>
      </c>
      <c r="AG302" s="15" t="s">
        <v>15815</v>
      </c>
      <c r="AH302" s="15" t="s">
        <v>15816</v>
      </c>
      <c r="AL302" s="15" t="s">
        <v>15817</v>
      </c>
      <c r="AN302" s="15">
        <v>743</v>
      </c>
      <c r="AO302" s="15" t="s">
        <v>15818</v>
      </c>
      <c r="AQ302" s="15" t="s">
        <v>3598</v>
      </c>
      <c r="AT302" s="15" t="s">
        <v>15819</v>
      </c>
      <c r="AU302" s="15" t="s">
        <v>15820</v>
      </c>
      <c r="AV302" s="15" t="s">
        <v>15820</v>
      </c>
      <c r="AW302" s="15" t="s">
        <v>15821</v>
      </c>
      <c r="AX302" s="15" t="s">
        <v>15822</v>
      </c>
      <c r="AY302" s="15">
        <f t="shared" si="4"/>
        <v>59</v>
      </c>
      <c r="AZ302" s="15" t="s">
        <v>3603</v>
      </c>
      <c r="BA302" s="15" t="s">
        <v>214</v>
      </c>
      <c r="BB302" s="15" t="s">
        <v>5006</v>
      </c>
      <c r="BC302" s="15" t="s">
        <v>646</v>
      </c>
      <c r="BE302" s="15" t="s">
        <v>367</v>
      </c>
      <c r="BF302" s="18"/>
      <c r="BI302" s="15" t="s">
        <v>1905</v>
      </c>
      <c r="BJ302" s="15" t="s">
        <v>15823</v>
      </c>
      <c r="BK302" s="15" t="s">
        <v>1714</v>
      </c>
      <c r="BN302" s="15" t="s">
        <v>179</v>
      </c>
      <c r="BO302" s="15" t="s">
        <v>4731</v>
      </c>
      <c r="BP302" s="15" t="s">
        <v>138</v>
      </c>
      <c r="BS302" s="15" t="s">
        <v>15824</v>
      </c>
      <c r="DH302" s="15" t="s">
        <v>17982</v>
      </c>
      <c r="DI302" s="15" t="s">
        <v>17982</v>
      </c>
    </row>
    <row r="303" spans="1:113" s="15" customFormat="1" ht="12.75" x14ac:dyDescent="0.2">
      <c r="A303" s="15" t="s">
        <v>109</v>
      </c>
      <c r="B303" s="15" t="s">
        <v>110</v>
      </c>
      <c r="D303" s="15" t="s">
        <v>111</v>
      </c>
      <c r="E303" s="15" t="s">
        <v>112</v>
      </c>
      <c r="F303" s="15" t="s">
        <v>111</v>
      </c>
      <c r="G303" s="15" t="s">
        <v>113</v>
      </c>
      <c r="H303" s="15" t="s">
        <v>1045</v>
      </c>
      <c r="J303" s="16" t="s">
        <v>114</v>
      </c>
      <c r="U303" s="15" t="s">
        <v>17977</v>
      </c>
      <c r="W303" s="15">
        <v>3287</v>
      </c>
      <c r="X303" s="15">
        <v>313</v>
      </c>
      <c r="Y303" s="15" t="s">
        <v>160</v>
      </c>
      <c r="Z303" s="15" t="s">
        <v>161</v>
      </c>
      <c r="AA303" s="15" t="s">
        <v>162</v>
      </c>
      <c r="AB303" s="15" t="s">
        <v>15844</v>
      </c>
      <c r="AC303" s="15" t="s">
        <v>15844</v>
      </c>
      <c r="AD303" s="15" t="s">
        <v>15844</v>
      </c>
      <c r="AE303" s="15" t="s">
        <v>164</v>
      </c>
      <c r="AF303" s="15" t="s">
        <v>15844</v>
      </c>
      <c r="AG303" s="15" t="s">
        <v>15844</v>
      </c>
      <c r="AH303" s="15" t="s">
        <v>15845</v>
      </c>
      <c r="AL303" s="15" t="s">
        <v>15836</v>
      </c>
      <c r="AN303" s="15">
        <v>743</v>
      </c>
      <c r="AO303" s="15" t="s">
        <v>15846</v>
      </c>
      <c r="AQ303" s="15" t="s">
        <v>3598</v>
      </c>
      <c r="AT303" s="15" t="s">
        <v>15847</v>
      </c>
      <c r="AU303" s="15" t="s">
        <v>15848</v>
      </c>
      <c r="AV303" s="15" t="s">
        <v>15848</v>
      </c>
      <c r="AW303" s="15" t="s">
        <v>15849</v>
      </c>
      <c r="AX303" s="15" t="s">
        <v>15850</v>
      </c>
      <c r="AY303" s="15">
        <f t="shared" si="4"/>
        <v>59</v>
      </c>
      <c r="AZ303" s="15" t="s">
        <v>3603</v>
      </c>
      <c r="BA303" s="15" t="s">
        <v>214</v>
      </c>
      <c r="BB303" s="15" t="s">
        <v>5006</v>
      </c>
      <c r="BC303" s="15" t="s">
        <v>646</v>
      </c>
      <c r="BE303" s="15" t="s">
        <v>275</v>
      </c>
      <c r="BF303" s="18"/>
      <c r="BJ303" s="15" t="s">
        <v>15851</v>
      </c>
      <c r="BK303" s="15" t="s">
        <v>1714</v>
      </c>
      <c r="BN303" s="15" t="s">
        <v>179</v>
      </c>
      <c r="BO303" s="15" t="s">
        <v>4731</v>
      </c>
      <c r="BP303" s="15" t="s">
        <v>138</v>
      </c>
      <c r="BS303" s="19" t="s">
        <v>15852</v>
      </c>
      <c r="BT303" s="15" t="s">
        <v>804</v>
      </c>
      <c r="DH303" s="15" t="s">
        <v>17982</v>
      </c>
      <c r="DI303" s="15" t="s">
        <v>17982</v>
      </c>
    </row>
    <row r="304" spans="1:113" s="15" customFormat="1" ht="12.75" x14ac:dyDescent="0.2">
      <c r="A304" s="15" t="s">
        <v>109</v>
      </c>
      <c r="B304" s="15" t="s">
        <v>110</v>
      </c>
      <c r="D304" s="15" t="s">
        <v>111</v>
      </c>
      <c r="E304" s="15" t="s">
        <v>112</v>
      </c>
      <c r="F304" s="15" t="s">
        <v>111</v>
      </c>
      <c r="G304" s="15" t="s">
        <v>113</v>
      </c>
      <c r="H304" s="15" t="s">
        <v>1045</v>
      </c>
      <c r="J304" s="16" t="s">
        <v>114</v>
      </c>
      <c r="U304" s="15" t="s">
        <v>17977</v>
      </c>
      <c r="W304" s="15">
        <v>3281</v>
      </c>
      <c r="X304" s="15">
        <v>314</v>
      </c>
      <c r="Y304" s="15" t="s">
        <v>160</v>
      </c>
      <c r="Z304" s="15" t="s">
        <v>161</v>
      </c>
      <c r="AA304" s="15" t="s">
        <v>162</v>
      </c>
      <c r="AB304" s="15" t="s">
        <v>15786</v>
      </c>
      <c r="AC304" s="15" t="s">
        <v>15786</v>
      </c>
      <c r="AD304" s="15" t="s">
        <v>15787</v>
      </c>
      <c r="AE304" s="15" t="s">
        <v>164</v>
      </c>
      <c r="AF304" s="15" t="s">
        <v>15787</v>
      </c>
      <c r="AG304" s="15" t="s">
        <v>15786</v>
      </c>
      <c r="AH304" s="15" t="s">
        <v>15788</v>
      </c>
      <c r="AL304" s="15" t="s">
        <v>15789</v>
      </c>
      <c r="AN304" s="15">
        <v>743</v>
      </c>
      <c r="AO304" s="15" t="s">
        <v>15790</v>
      </c>
      <c r="AQ304" s="15" t="s">
        <v>3598</v>
      </c>
      <c r="AT304" s="15" t="s">
        <v>15791</v>
      </c>
      <c r="AU304" s="15" t="s">
        <v>15792</v>
      </c>
      <c r="AV304" s="15" t="s">
        <v>15792</v>
      </c>
      <c r="AW304" s="15" t="s">
        <v>15793</v>
      </c>
      <c r="AX304" s="15" t="s">
        <v>15794</v>
      </c>
      <c r="AY304" s="15">
        <f t="shared" si="4"/>
        <v>59</v>
      </c>
      <c r="AZ304" s="15" t="s">
        <v>3603</v>
      </c>
      <c r="BA304" s="15" t="s">
        <v>214</v>
      </c>
      <c r="BB304" s="15" t="s">
        <v>5006</v>
      </c>
      <c r="BE304" s="15" t="s">
        <v>1597</v>
      </c>
      <c r="BF304" s="18"/>
      <c r="BJ304" s="15" t="s">
        <v>15795</v>
      </c>
      <c r="BK304" s="15" t="s">
        <v>1714</v>
      </c>
      <c r="BN304" s="15" t="s">
        <v>179</v>
      </c>
      <c r="BO304" s="15" t="s">
        <v>4731</v>
      </c>
      <c r="BP304" s="15" t="s">
        <v>138</v>
      </c>
      <c r="BS304" s="19" t="s">
        <v>15796</v>
      </c>
      <c r="BT304" s="15" t="s">
        <v>804</v>
      </c>
      <c r="DH304" s="15" t="s">
        <v>17982</v>
      </c>
      <c r="DI304" s="15" t="s">
        <v>17982</v>
      </c>
    </row>
    <row r="305" spans="1:113" s="15" customFormat="1" ht="12.75" x14ac:dyDescent="0.2">
      <c r="A305" s="15" t="s">
        <v>109</v>
      </c>
      <c r="B305" s="15" t="s">
        <v>110</v>
      </c>
      <c r="D305" s="15" t="s">
        <v>111</v>
      </c>
      <c r="E305" s="15" t="s">
        <v>112</v>
      </c>
      <c r="F305" s="15" t="s">
        <v>111</v>
      </c>
      <c r="G305" s="15" t="s">
        <v>113</v>
      </c>
      <c r="H305" s="15" t="s">
        <v>1045</v>
      </c>
      <c r="J305" s="16" t="s">
        <v>114</v>
      </c>
      <c r="U305" s="15" t="s">
        <v>17977</v>
      </c>
      <c r="W305" s="15">
        <v>3288</v>
      </c>
      <c r="X305" s="15">
        <v>315</v>
      </c>
      <c r="Y305" s="15" t="s">
        <v>160</v>
      </c>
      <c r="Z305" s="15" t="s">
        <v>161</v>
      </c>
      <c r="AA305" s="15" t="s">
        <v>162</v>
      </c>
      <c r="AB305" s="15" t="s">
        <v>15853</v>
      </c>
      <c r="AC305" s="15" t="s">
        <v>15853</v>
      </c>
      <c r="AD305" s="15" t="s">
        <v>15853</v>
      </c>
      <c r="AE305" s="15" t="s">
        <v>164</v>
      </c>
      <c r="AF305" s="15" t="s">
        <v>15853</v>
      </c>
      <c r="AG305" s="15" t="s">
        <v>15853</v>
      </c>
      <c r="AH305" s="15" t="s">
        <v>15854</v>
      </c>
      <c r="AL305" s="15" t="s">
        <v>15836</v>
      </c>
      <c r="AN305" s="15">
        <v>743</v>
      </c>
      <c r="AO305" s="15" t="s">
        <v>15855</v>
      </c>
      <c r="AQ305" s="15" t="s">
        <v>3598</v>
      </c>
      <c r="AT305" s="15" t="s">
        <v>15856</v>
      </c>
      <c r="AU305" s="15" t="s">
        <v>15857</v>
      </c>
      <c r="AV305" s="15" t="s">
        <v>15857</v>
      </c>
      <c r="AW305" s="15" t="s">
        <v>15858</v>
      </c>
      <c r="AX305" s="15" t="s">
        <v>15859</v>
      </c>
      <c r="AY305" s="15">
        <f t="shared" si="4"/>
        <v>60</v>
      </c>
      <c r="AZ305" s="15" t="s">
        <v>3603</v>
      </c>
      <c r="BA305" s="15" t="s">
        <v>214</v>
      </c>
      <c r="BB305" s="15" t="s">
        <v>5006</v>
      </c>
      <c r="BC305" s="15" t="s">
        <v>646</v>
      </c>
      <c r="BE305" s="15" t="s">
        <v>275</v>
      </c>
      <c r="BF305" s="18"/>
      <c r="BJ305" s="15" t="s">
        <v>15860</v>
      </c>
      <c r="BK305" s="15" t="s">
        <v>1714</v>
      </c>
      <c r="BN305" s="15" t="s">
        <v>179</v>
      </c>
      <c r="BO305" s="15" t="s">
        <v>4731</v>
      </c>
      <c r="BP305" s="15" t="s">
        <v>138</v>
      </c>
      <c r="BS305" s="19" t="s">
        <v>15861</v>
      </c>
      <c r="BT305" s="15" t="s">
        <v>804</v>
      </c>
      <c r="DH305" s="15" t="s">
        <v>17982</v>
      </c>
      <c r="DI305" s="15" t="s">
        <v>17982</v>
      </c>
    </row>
    <row r="306" spans="1:113" s="15" customFormat="1" ht="12.75" x14ac:dyDescent="0.2">
      <c r="A306" s="15" t="s">
        <v>109</v>
      </c>
      <c r="B306" s="15" t="s">
        <v>110</v>
      </c>
      <c r="D306" s="15" t="s">
        <v>111</v>
      </c>
      <c r="E306" s="15" t="s">
        <v>112</v>
      </c>
      <c r="F306" s="15" t="s">
        <v>111</v>
      </c>
      <c r="G306" s="15" t="s">
        <v>113</v>
      </c>
      <c r="H306" s="15" t="s">
        <v>1045</v>
      </c>
      <c r="J306" s="16" t="s">
        <v>114</v>
      </c>
      <c r="U306" s="15" t="s">
        <v>17977</v>
      </c>
      <c r="W306" s="15">
        <v>3285</v>
      </c>
      <c r="X306" s="15">
        <v>316</v>
      </c>
      <c r="Y306" s="15" t="s">
        <v>160</v>
      </c>
      <c r="Z306" s="15" t="s">
        <v>161</v>
      </c>
      <c r="AA306" s="15" t="s">
        <v>162</v>
      </c>
      <c r="AB306" s="15" t="s">
        <v>15825</v>
      </c>
      <c r="AC306" s="15" t="s">
        <v>15825</v>
      </c>
      <c r="AD306" s="15" t="s">
        <v>15825</v>
      </c>
      <c r="AE306" s="15" t="s">
        <v>164</v>
      </c>
      <c r="AF306" s="15" t="s">
        <v>15825</v>
      </c>
      <c r="AG306" s="15" t="s">
        <v>15825</v>
      </c>
      <c r="AH306" s="15" t="s">
        <v>15826</v>
      </c>
      <c r="AL306" s="15" t="s">
        <v>15817</v>
      </c>
      <c r="AN306" s="15">
        <v>743</v>
      </c>
      <c r="AO306" s="15" t="s">
        <v>15827</v>
      </c>
      <c r="AQ306" s="15" t="s">
        <v>3598</v>
      </c>
      <c r="AT306" s="15" t="s">
        <v>15828</v>
      </c>
      <c r="AU306" s="15" t="s">
        <v>15829</v>
      </c>
      <c r="AV306" s="15" t="s">
        <v>15829</v>
      </c>
      <c r="AW306" s="15" t="s">
        <v>15830</v>
      </c>
      <c r="AX306" s="15" t="s">
        <v>15831</v>
      </c>
      <c r="AY306" s="15">
        <f t="shared" si="4"/>
        <v>60</v>
      </c>
      <c r="AZ306" s="15" t="s">
        <v>3603</v>
      </c>
      <c r="BA306" s="15" t="s">
        <v>214</v>
      </c>
      <c r="BB306" s="15" t="s">
        <v>5006</v>
      </c>
      <c r="BC306" s="15" t="s">
        <v>646</v>
      </c>
      <c r="BE306" s="15" t="s">
        <v>275</v>
      </c>
      <c r="BF306" s="18"/>
      <c r="BI306" s="15" t="s">
        <v>1905</v>
      </c>
      <c r="BJ306" s="15" t="s">
        <v>15832</v>
      </c>
      <c r="BK306" s="15" t="s">
        <v>1714</v>
      </c>
      <c r="BN306" s="15" t="s">
        <v>179</v>
      </c>
      <c r="BO306" s="15" t="s">
        <v>4731</v>
      </c>
      <c r="BP306" s="15" t="s">
        <v>138</v>
      </c>
      <c r="BS306" s="15" t="s">
        <v>15833</v>
      </c>
      <c r="DH306" s="15" t="s">
        <v>17982</v>
      </c>
      <c r="DI306" s="15" t="s">
        <v>17982</v>
      </c>
    </row>
    <row r="307" spans="1:113" s="15" customFormat="1" ht="12.75" x14ac:dyDescent="0.2">
      <c r="A307" s="15" t="s">
        <v>109</v>
      </c>
      <c r="B307" s="15" t="s">
        <v>110</v>
      </c>
      <c r="D307" s="15" t="s">
        <v>111</v>
      </c>
      <c r="E307" s="15" t="s">
        <v>112</v>
      </c>
      <c r="F307" s="15" t="s">
        <v>111</v>
      </c>
      <c r="G307" s="15" t="s">
        <v>113</v>
      </c>
      <c r="H307" s="15" t="s">
        <v>1045</v>
      </c>
      <c r="J307" s="16" t="s">
        <v>114</v>
      </c>
      <c r="U307" s="15" t="s">
        <v>17977</v>
      </c>
      <c r="W307" s="15">
        <v>3282</v>
      </c>
      <c r="X307" s="15">
        <v>317</v>
      </c>
      <c r="Y307" s="15" t="s">
        <v>160</v>
      </c>
      <c r="Z307" s="15" t="s">
        <v>161</v>
      </c>
      <c r="AA307" s="15" t="s">
        <v>162</v>
      </c>
      <c r="AB307" s="15" t="s">
        <v>15797</v>
      </c>
      <c r="AC307" s="15" t="s">
        <v>15797</v>
      </c>
      <c r="AD307" s="15" t="s">
        <v>15797</v>
      </c>
      <c r="AE307" s="15" t="s">
        <v>164</v>
      </c>
      <c r="AF307" s="15" t="s">
        <v>15797</v>
      </c>
      <c r="AG307" s="15" t="s">
        <v>15797</v>
      </c>
      <c r="AH307" s="15" t="s">
        <v>15798</v>
      </c>
      <c r="AL307" s="15" t="s">
        <v>15789</v>
      </c>
      <c r="AN307" s="15">
        <v>743</v>
      </c>
      <c r="AO307" s="15" t="s">
        <v>15799</v>
      </c>
      <c r="AQ307" s="15" t="s">
        <v>3598</v>
      </c>
      <c r="AT307" s="15" t="s">
        <v>15800</v>
      </c>
      <c r="AU307" s="15" t="s">
        <v>15801</v>
      </c>
      <c r="AV307" s="15" t="s">
        <v>15801</v>
      </c>
      <c r="AW307" s="15" t="s">
        <v>15802</v>
      </c>
      <c r="AX307" s="15" t="s">
        <v>15803</v>
      </c>
      <c r="AY307" s="15">
        <f t="shared" si="4"/>
        <v>57</v>
      </c>
      <c r="AZ307" s="15" t="s">
        <v>3603</v>
      </c>
      <c r="BA307" s="15" t="s">
        <v>214</v>
      </c>
      <c r="BB307" s="15" t="s">
        <v>5006</v>
      </c>
      <c r="BC307" s="15" t="s">
        <v>646</v>
      </c>
      <c r="BE307" s="15" t="s">
        <v>1528</v>
      </c>
      <c r="BF307" s="18"/>
      <c r="BI307" s="15" t="s">
        <v>1905</v>
      </c>
      <c r="BJ307" s="15" t="s">
        <v>15804</v>
      </c>
      <c r="BK307" s="15" t="s">
        <v>1714</v>
      </c>
      <c r="BN307" s="15" t="s">
        <v>179</v>
      </c>
      <c r="BO307" s="15" t="s">
        <v>4731</v>
      </c>
      <c r="BP307" s="15" t="s">
        <v>138</v>
      </c>
      <c r="BS307" s="15" t="s">
        <v>15805</v>
      </c>
      <c r="DH307" s="15" t="s">
        <v>17982</v>
      </c>
      <c r="DI307" s="15" t="s">
        <v>17982</v>
      </c>
    </row>
    <row r="308" spans="1:113" s="15" customFormat="1" ht="12.75" x14ac:dyDescent="0.2">
      <c r="A308" s="15" t="s">
        <v>109</v>
      </c>
      <c r="B308" s="15" t="s">
        <v>110</v>
      </c>
      <c r="D308" s="15" t="s">
        <v>111</v>
      </c>
      <c r="E308" s="15" t="s">
        <v>112</v>
      </c>
      <c r="F308" s="15" t="s">
        <v>111</v>
      </c>
      <c r="G308" s="15" t="s">
        <v>113</v>
      </c>
      <c r="H308" s="15" t="s">
        <v>1045</v>
      </c>
      <c r="J308" s="16" t="s">
        <v>114</v>
      </c>
      <c r="U308" s="15" t="s">
        <v>17977</v>
      </c>
      <c r="W308" s="15">
        <v>3283</v>
      </c>
      <c r="X308" s="15">
        <v>318</v>
      </c>
      <c r="Y308" s="15" t="s">
        <v>160</v>
      </c>
      <c r="Z308" s="15" t="s">
        <v>161</v>
      </c>
      <c r="AA308" s="15" t="s">
        <v>162</v>
      </c>
      <c r="AB308" s="15" t="s">
        <v>15806</v>
      </c>
      <c r="AC308" s="15" t="s">
        <v>15806</v>
      </c>
      <c r="AD308" s="15" t="s">
        <v>15806</v>
      </c>
      <c r="AE308" s="15" t="s">
        <v>164</v>
      </c>
      <c r="AF308" s="15" t="s">
        <v>15806</v>
      </c>
      <c r="AG308" s="15" t="s">
        <v>15806</v>
      </c>
      <c r="AH308" s="15" t="s">
        <v>15807</v>
      </c>
      <c r="AL308" s="15" t="s">
        <v>15789</v>
      </c>
      <c r="AN308" s="15">
        <v>743</v>
      </c>
      <c r="AO308" s="15" t="s">
        <v>15808</v>
      </c>
      <c r="AQ308" s="15" t="s">
        <v>3598</v>
      </c>
      <c r="AT308" s="15" t="s">
        <v>15809</v>
      </c>
      <c r="AU308" s="15" t="s">
        <v>15810</v>
      </c>
      <c r="AV308" s="15" t="s">
        <v>15810</v>
      </c>
      <c r="AW308" s="15" t="s">
        <v>15811</v>
      </c>
      <c r="AX308" s="15" t="s">
        <v>15812</v>
      </c>
      <c r="AY308" s="15">
        <f t="shared" si="4"/>
        <v>58</v>
      </c>
      <c r="AZ308" s="15" t="s">
        <v>3603</v>
      </c>
      <c r="BA308" s="15" t="s">
        <v>214</v>
      </c>
      <c r="BB308" s="15" t="s">
        <v>5006</v>
      </c>
      <c r="BC308" s="15" t="s">
        <v>646</v>
      </c>
      <c r="BE308" s="15" t="s">
        <v>564</v>
      </c>
      <c r="BF308" s="18"/>
      <c r="BJ308" s="15" t="s">
        <v>15813</v>
      </c>
      <c r="BK308" s="15" t="s">
        <v>1714</v>
      </c>
      <c r="BN308" s="15" t="s">
        <v>179</v>
      </c>
      <c r="BO308" s="15" t="s">
        <v>4731</v>
      </c>
      <c r="BP308" s="15" t="s">
        <v>138</v>
      </c>
      <c r="BS308" s="19" t="s">
        <v>15814</v>
      </c>
      <c r="BT308" s="15" t="s">
        <v>804</v>
      </c>
      <c r="DH308" s="15" t="s">
        <v>17982</v>
      </c>
      <c r="DI308" s="15" t="s">
        <v>17982</v>
      </c>
    </row>
    <row r="309" spans="1:113" s="15" customFormat="1" ht="12.75" x14ac:dyDescent="0.2">
      <c r="A309" s="15" t="s">
        <v>109</v>
      </c>
      <c r="B309" s="15" t="s">
        <v>110</v>
      </c>
      <c r="D309" s="15" t="s">
        <v>111</v>
      </c>
      <c r="E309" s="15" t="s">
        <v>112</v>
      </c>
      <c r="F309" s="15" t="s">
        <v>111</v>
      </c>
      <c r="G309" s="15" t="s">
        <v>113</v>
      </c>
      <c r="H309" s="15" t="s">
        <v>1045</v>
      </c>
      <c r="J309" s="16" t="s">
        <v>114</v>
      </c>
      <c r="U309" s="15" t="s">
        <v>17977</v>
      </c>
      <c r="W309" s="15">
        <v>1009</v>
      </c>
      <c r="X309" s="15">
        <v>319</v>
      </c>
      <c r="Y309" s="15" t="s">
        <v>160</v>
      </c>
      <c r="Z309" s="15" t="s">
        <v>161</v>
      </c>
      <c r="AA309" s="15" t="s">
        <v>162</v>
      </c>
      <c r="AB309" s="15" t="s">
        <v>5072</v>
      </c>
      <c r="AC309" s="15" t="s">
        <v>5072</v>
      </c>
      <c r="AD309" s="15" t="s">
        <v>5072</v>
      </c>
      <c r="AE309" s="15" t="s">
        <v>164</v>
      </c>
      <c r="AF309" s="15" t="s">
        <v>5072</v>
      </c>
      <c r="AG309" s="15" t="s">
        <v>5072</v>
      </c>
      <c r="AH309" s="15" t="s">
        <v>5073</v>
      </c>
      <c r="AL309" s="15" t="s">
        <v>5074</v>
      </c>
      <c r="AN309" s="15">
        <v>743</v>
      </c>
      <c r="AO309" s="15" t="s">
        <v>5075</v>
      </c>
      <c r="AQ309" s="15" t="s">
        <v>3598</v>
      </c>
      <c r="AT309" s="15" t="s">
        <v>5076</v>
      </c>
      <c r="AU309" s="15" t="s">
        <v>5077</v>
      </c>
      <c r="AV309" s="15" t="s">
        <v>5077</v>
      </c>
      <c r="AW309" s="15" t="s">
        <v>5078</v>
      </c>
      <c r="AX309" s="15" t="s">
        <v>5079</v>
      </c>
      <c r="AY309" s="15">
        <f t="shared" si="4"/>
        <v>58</v>
      </c>
      <c r="AZ309" s="15" t="s">
        <v>3603</v>
      </c>
      <c r="BA309" s="15" t="s">
        <v>214</v>
      </c>
      <c r="BB309" s="15" t="s">
        <v>5006</v>
      </c>
      <c r="BC309" s="15" t="s">
        <v>646</v>
      </c>
      <c r="BE309" s="15" t="s">
        <v>367</v>
      </c>
      <c r="BF309" s="18"/>
      <c r="BI309" s="15" t="s">
        <v>1905</v>
      </c>
      <c r="BJ309" s="15" t="s">
        <v>5080</v>
      </c>
      <c r="BK309" s="15" t="s">
        <v>1714</v>
      </c>
      <c r="BN309" s="15" t="s">
        <v>179</v>
      </c>
      <c r="BO309" s="15" t="s">
        <v>4731</v>
      </c>
      <c r="BP309" s="15" t="s">
        <v>138</v>
      </c>
      <c r="BS309" s="15" t="s">
        <v>5081</v>
      </c>
      <c r="DH309" s="15" t="s">
        <v>17982</v>
      </c>
      <c r="DI309" s="15" t="s">
        <v>17982</v>
      </c>
    </row>
    <row r="310" spans="1:113" s="15" customFormat="1" ht="12.75" x14ac:dyDescent="0.2">
      <c r="A310" s="15" t="s">
        <v>109</v>
      </c>
      <c r="B310" s="15" t="s">
        <v>110</v>
      </c>
      <c r="D310" s="15" t="s">
        <v>111</v>
      </c>
      <c r="E310" s="15" t="s">
        <v>112</v>
      </c>
      <c r="F310" s="15" t="s">
        <v>111</v>
      </c>
      <c r="G310" s="15" t="s">
        <v>113</v>
      </c>
      <c r="H310" s="15" t="s">
        <v>1045</v>
      </c>
      <c r="J310" s="16" t="s">
        <v>114</v>
      </c>
      <c r="U310" s="15" t="s">
        <v>17977</v>
      </c>
      <c r="W310" s="15">
        <v>1015</v>
      </c>
      <c r="X310" s="15">
        <v>320</v>
      </c>
      <c r="Y310" s="15" t="s">
        <v>160</v>
      </c>
      <c r="Z310" s="15" t="s">
        <v>161</v>
      </c>
      <c r="AA310" s="15" t="s">
        <v>162</v>
      </c>
      <c r="AB310" s="15" t="s">
        <v>5128</v>
      </c>
      <c r="AC310" s="15" t="s">
        <v>5128</v>
      </c>
      <c r="AD310" s="15" t="s">
        <v>5128</v>
      </c>
      <c r="AE310" s="15" t="s">
        <v>164</v>
      </c>
      <c r="AF310" s="15" t="s">
        <v>5128</v>
      </c>
      <c r="AG310" s="15" t="s">
        <v>5128</v>
      </c>
      <c r="AH310" s="15" t="s">
        <v>5129</v>
      </c>
      <c r="AL310" s="15" t="s">
        <v>5130</v>
      </c>
      <c r="AN310" s="15">
        <v>743</v>
      </c>
      <c r="AO310" s="15" t="s">
        <v>5131</v>
      </c>
      <c r="AQ310" s="15" t="s">
        <v>3598</v>
      </c>
      <c r="AT310" s="15" t="s">
        <v>5132</v>
      </c>
      <c r="AU310" s="15" t="s">
        <v>5133</v>
      </c>
      <c r="AV310" s="15" t="s">
        <v>5133</v>
      </c>
      <c r="AW310" s="15" t="s">
        <v>5134</v>
      </c>
      <c r="AX310" s="15" t="s">
        <v>5135</v>
      </c>
      <c r="AY310" s="15">
        <f t="shared" si="4"/>
        <v>60</v>
      </c>
      <c r="AZ310" s="15" t="s">
        <v>3603</v>
      </c>
      <c r="BA310" s="15" t="s">
        <v>214</v>
      </c>
      <c r="BB310" s="15" t="s">
        <v>5006</v>
      </c>
      <c r="BE310" s="15" t="s">
        <v>367</v>
      </c>
      <c r="BF310" s="18"/>
      <c r="BJ310" s="15" t="s">
        <v>5136</v>
      </c>
      <c r="BK310" s="15" t="s">
        <v>1714</v>
      </c>
      <c r="BN310" s="15" t="s">
        <v>179</v>
      </c>
      <c r="BO310" s="15" t="s">
        <v>4731</v>
      </c>
      <c r="BP310" s="15" t="s">
        <v>138</v>
      </c>
      <c r="BR310" s="15" t="s">
        <v>5137</v>
      </c>
      <c r="BS310" s="19" t="s">
        <v>5138</v>
      </c>
      <c r="BT310" s="15" t="s">
        <v>804</v>
      </c>
      <c r="DH310" s="15" t="s">
        <v>17982</v>
      </c>
      <c r="DI310" s="15" t="s">
        <v>17982</v>
      </c>
    </row>
    <row r="311" spans="1:113" s="15" customFormat="1" ht="12.75" x14ac:dyDescent="0.2">
      <c r="A311" s="15" t="s">
        <v>109</v>
      </c>
      <c r="B311" s="15" t="s">
        <v>110</v>
      </c>
      <c r="D311" s="15" t="s">
        <v>111</v>
      </c>
      <c r="E311" s="15" t="s">
        <v>112</v>
      </c>
      <c r="F311" s="15" t="s">
        <v>111</v>
      </c>
      <c r="G311" s="15" t="s">
        <v>113</v>
      </c>
      <c r="H311" s="15" t="s">
        <v>1045</v>
      </c>
      <c r="J311" s="16" t="s">
        <v>114</v>
      </c>
      <c r="U311" s="15" t="s">
        <v>17977</v>
      </c>
      <c r="W311" s="15">
        <v>1025</v>
      </c>
      <c r="X311" s="15">
        <v>321</v>
      </c>
      <c r="Y311" s="15" t="s">
        <v>160</v>
      </c>
      <c r="Z311" s="15" t="s">
        <v>161</v>
      </c>
      <c r="AA311" s="15" t="s">
        <v>162</v>
      </c>
      <c r="AB311" s="15" t="s">
        <v>5227</v>
      </c>
      <c r="AC311" s="15" t="s">
        <v>5227</v>
      </c>
      <c r="AD311" s="15" t="s">
        <v>5227</v>
      </c>
      <c r="AE311" s="15" t="s">
        <v>164</v>
      </c>
      <c r="AF311" s="15" t="s">
        <v>5227</v>
      </c>
      <c r="AG311" s="15" t="s">
        <v>5227</v>
      </c>
      <c r="AH311" s="15" t="s">
        <v>5228</v>
      </c>
      <c r="AL311" s="15" t="s">
        <v>5229</v>
      </c>
      <c r="AN311" s="15">
        <v>743</v>
      </c>
      <c r="AO311" s="15" t="s">
        <v>5230</v>
      </c>
      <c r="AQ311" s="15" t="s">
        <v>3598</v>
      </c>
      <c r="AT311" s="15" t="s">
        <v>5231</v>
      </c>
      <c r="AU311" s="15" t="s">
        <v>5232</v>
      </c>
      <c r="AV311" s="15" t="s">
        <v>5232</v>
      </c>
      <c r="AW311" s="15" t="s">
        <v>5233</v>
      </c>
      <c r="AX311" s="15" t="s">
        <v>5234</v>
      </c>
      <c r="AY311" s="15">
        <f t="shared" si="4"/>
        <v>60</v>
      </c>
      <c r="AZ311" s="15" t="s">
        <v>3603</v>
      </c>
      <c r="BA311" s="15" t="s">
        <v>214</v>
      </c>
      <c r="BB311" s="15" t="s">
        <v>5006</v>
      </c>
      <c r="BE311" s="15" t="s">
        <v>367</v>
      </c>
      <c r="BF311" s="18"/>
      <c r="BJ311" s="15" t="s">
        <v>5235</v>
      </c>
      <c r="BK311" s="15" t="s">
        <v>1714</v>
      </c>
      <c r="BN311" s="15" t="s">
        <v>179</v>
      </c>
      <c r="BO311" s="15" t="s">
        <v>4731</v>
      </c>
      <c r="BP311" s="15" t="s">
        <v>138</v>
      </c>
      <c r="BS311" s="15" t="s">
        <v>5236</v>
      </c>
      <c r="BT311" s="15" t="s">
        <v>804</v>
      </c>
      <c r="DH311" s="15" t="s">
        <v>17982</v>
      </c>
      <c r="DI311" s="15" t="s">
        <v>17982</v>
      </c>
    </row>
    <row r="312" spans="1:113" s="15" customFormat="1" ht="12.75" x14ac:dyDescent="0.2">
      <c r="A312" s="15" t="s">
        <v>109</v>
      </c>
      <c r="B312" s="15" t="s">
        <v>110</v>
      </c>
      <c r="D312" s="15" t="s">
        <v>111</v>
      </c>
      <c r="E312" s="15" t="s">
        <v>112</v>
      </c>
      <c r="F312" s="15" t="s">
        <v>111</v>
      </c>
      <c r="G312" s="15" t="s">
        <v>113</v>
      </c>
      <c r="H312" s="15" t="s">
        <v>1045</v>
      </c>
      <c r="J312" s="16" t="s">
        <v>114</v>
      </c>
      <c r="U312" s="15" t="s">
        <v>17977</v>
      </c>
      <c r="W312" s="15">
        <v>1024</v>
      </c>
      <c r="X312" s="15">
        <v>322</v>
      </c>
      <c r="Y312" s="15" t="s">
        <v>160</v>
      </c>
      <c r="Z312" s="15" t="s">
        <v>161</v>
      </c>
      <c r="AA312" s="15" t="s">
        <v>162</v>
      </c>
      <c r="AB312" s="15" t="s">
        <v>5217</v>
      </c>
      <c r="AC312" s="15" t="s">
        <v>5217</v>
      </c>
      <c r="AD312" s="15" t="s">
        <v>5217</v>
      </c>
      <c r="AE312" s="15" t="s">
        <v>164</v>
      </c>
      <c r="AF312" s="15" t="s">
        <v>5217</v>
      </c>
      <c r="AG312" s="15" t="s">
        <v>5217</v>
      </c>
      <c r="AH312" s="15" t="s">
        <v>5218</v>
      </c>
      <c r="AL312" s="15" t="s">
        <v>5219</v>
      </c>
      <c r="AN312" s="15">
        <v>743</v>
      </c>
      <c r="AO312" s="15" t="s">
        <v>5220</v>
      </c>
      <c r="AQ312" s="15" t="s">
        <v>3598</v>
      </c>
      <c r="AT312" s="15" t="s">
        <v>5221</v>
      </c>
      <c r="AU312" s="15" t="s">
        <v>5222</v>
      </c>
      <c r="AV312" s="15" t="s">
        <v>5222</v>
      </c>
      <c r="AW312" s="15" t="s">
        <v>5223</v>
      </c>
      <c r="AX312" s="15" t="s">
        <v>5224</v>
      </c>
      <c r="AY312" s="15">
        <f t="shared" si="4"/>
        <v>58</v>
      </c>
      <c r="AZ312" s="15" t="s">
        <v>3603</v>
      </c>
      <c r="BA312" s="15" t="s">
        <v>214</v>
      </c>
      <c r="BB312" s="15" t="s">
        <v>5006</v>
      </c>
      <c r="BC312" s="15" t="s">
        <v>646</v>
      </c>
      <c r="BE312" s="15" t="s">
        <v>367</v>
      </c>
      <c r="BF312" s="18"/>
      <c r="BI312" s="15" t="s">
        <v>1905</v>
      </c>
      <c r="BJ312" s="15" t="s">
        <v>5225</v>
      </c>
      <c r="BK312" s="15" t="s">
        <v>1714</v>
      </c>
      <c r="BN312" s="15" t="s">
        <v>179</v>
      </c>
      <c r="BO312" s="15" t="s">
        <v>4731</v>
      </c>
      <c r="BP312" s="15" t="s">
        <v>138</v>
      </c>
      <c r="BS312" s="15" t="s">
        <v>5226</v>
      </c>
      <c r="DH312" s="15" t="s">
        <v>17982</v>
      </c>
      <c r="DI312" s="15" t="s">
        <v>17982</v>
      </c>
    </row>
    <row r="313" spans="1:113" s="15" customFormat="1" ht="12.75" x14ac:dyDescent="0.2">
      <c r="A313" s="15" t="s">
        <v>109</v>
      </c>
      <c r="B313" s="15" t="s">
        <v>110</v>
      </c>
      <c r="D313" s="15" t="s">
        <v>111</v>
      </c>
      <c r="E313" s="15" t="s">
        <v>112</v>
      </c>
      <c r="F313" s="15" t="s">
        <v>111</v>
      </c>
      <c r="G313" s="15" t="s">
        <v>113</v>
      </c>
      <c r="H313" s="15" t="s">
        <v>1045</v>
      </c>
      <c r="J313" s="16" t="s">
        <v>114</v>
      </c>
      <c r="U313" s="15" t="s">
        <v>17977</v>
      </c>
      <c r="W313" s="15">
        <v>1026</v>
      </c>
      <c r="X313" s="15">
        <v>323</v>
      </c>
      <c r="Y313" s="15" t="s">
        <v>160</v>
      </c>
      <c r="Z313" s="15" t="s">
        <v>161</v>
      </c>
      <c r="AA313" s="15" t="s">
        <v>162</v>
      </c>
      <c r="AB313" s="15" t="s">
        <v>5237</v>
      </c>
      <c r="AC313" s="15" t="s">
        <v>5237</v>
      </c>
      <c r="AD313" s="15" t="s">
        <v>5237</v>
      </c>
      <c r="AE313" s="15" t="s">
        <v>164</v>
      </c>
      <c r="AF313" s="15" t="s">
        <v>5237</v>
      </c>
      <c r="AG313" s="15" t="s">
        <v>5237</v>
      </c>
      <c r="AH313" s="15" t="s">
        <v>5238</v>
      </c>
      <c r="AL313" s="15" t="s">
        <v>5239</v>
      </c>
      <c r="AN313" s="15">
        <v>743</v>
      </c>
      <c r="AO313" s="15" t="s">
        <v>5240</v>
      </c>
      <c r="AQ313" s="15" t="s">
        <v>3598</v>
      </c>
      <c r="AT313" s="15" t="s">
        <v>5241</v>
      </c>
      <c r="AU313" s="15" t="s">
        <v>5242</v>
      </c>
      <c r="AV313" s="15" t="s">
        <v>5242</v>
      </c>
      <c r="AW313" s="15" t="s">
        <v>5243</v>
      </c>
      <c r="AX313" s="15" t="s">
        <v>5244</v>
      </c>
      <c r="AY313" s="15">
        <f t="shared" si="4"/>
        <v>57</v>
      </c>
      <c r="AZ313" s="15" t="s">
        <v>3603</v>
      </c>
      <c r="BA313" s="15" t="s">
        <v>214</v>
      </c>
      <c r="BB313" s="15" t="s">
        <v>5006</v>
      </c>
      <c r="BC313" s="15" t="s">
        <v>646</v>
      </c>
      <c r="BE313" s="15" t="s">
        <v>348</v>
      </c>
      <c r="BF313" s="18"/>
      <c r="BI313" s="15" t="s">
        <v>1905</v>
      </c>
      <c r="BJ313" s="15" t="s">
        <v>5080</v>
      </c>
      <c r="BK313" s="15" t="s">
        <v>1714</v>
      </c>
      <c r="BN313" s="15" t="s">
        <v>179</v>
      </c>
      <c r="BO313" s="15" t="s">
        <v>4731</v>
      </c>
      <c r="BP313" s="15" t="s">
        <v>138</v>
      </c>
      <c r="BS313" s="15" t="s">
        <v>5245</v>
      </c>
      <c r="DH313" s="15" t="s">
        <v>17982</v>
      </c>
      <c r="DI313" s="15" t="s">
        <v>17982</v>
      </c>
    </row>
    <row r="314" spans="1:113" s="15" customFormat="1" ht="12.75" x14ac:dyDescent="0.2">
      <c r="A314" s="15" t="s">
        <v>109</v>
      </c>
      <c r="B314" s="15" t="s">
        <v>110</v>
      </c>
      <c r="D314" s="15" t="s">
        <v>111</v>
      </c>
      <c r="E314" s="15" t="s">
        <v>112</v>
      </c>
      <c r="F314" s="15" t="s">
        <v>111</v>
      </c>
      <c r="G314" s="15" t="s">
        <v>113</v>
      </c>
      <c r="H314" s="15" t="s">
        <v>1045</v>
      </c>
      <c r="J314" s="16" t="s">
        <v>114</v>
      </c>
      <c r="U314" s="15" t="s">
        <v>17977</v>
      </c>
      <c r="W314" s="15">
        <v>1016</v>
      </c>
      <c r="X314" s="15">
        <v>324</v>
      </c>
      <c r="Y314" s="15" t="s">
        <v>160</v>
      </c>
      <c r="Z314" s="15" t="s">
        <v>161</v>
      </c>
      <c r="AA314" s="15" t="s">
        <v>162</v>
      </c>
      <c r="AB314" s="15" t="s">
        <v>5139</v>
      </c>
      <c r="AC314" s="15" t="s">
        <v>5139</v>
      </c>
      <c r="AD314" s="15" t="s">
        <v>5139</v>
      </c>
      <c r="AE314" s="15" t="s">
        <v>164</v>
      </c>
      <c r="AF314" s="15" t="s">
        <v>5139</v>
      </c>
      <c r="AG314" s="15" t="s">
        <v>5139</v>
      </c>
      <c r="AH314" s="15" t="s">
        <v>5140</v>
      </c>
      <c r="AL314" s="15" t="s">
        <v>5141</v>
      </c>
      <c r="AN314" s="15">
        <v>743</v>
      </c>
      <c r="AO314" s="15" t="s">
        <v>5142</v>
      </c>
      <c r="AQ314" s="15" t="s">
        <v>3598</v>
      </c>
      <c r="AT314" s="15" t="s">
        <v>5143</v>
      </c>
      <c r="AU314" s="15" t="s">
        <v>5144</v>
      </c>
      <c r="AV314" s="15" t="s">
        <v>5144</v>
      </c>
      <c r="AW314" s="15" t="s">
        <v>5145</v>
      </c>
      <c r="AX314" s="15" t="s">
        <v>5146</v>
      </c>
      <c r="AY314" s="15">
        <f t="shared" si="4"/>
        <v>59</v>
      </c>
      <c r="AZ314" s="15" t="s">
        <v>3603</v>
      </c>
      <c r="BA314" s="15" t="s">
        <v>214</v>
      </c>
      <c r="BB314" s="15" t="s">
        <v>5006</v>
      </c>
      <c r="BE314" s="15" t="s">
        <v>348</v>
      </c>
      <c r="BF314" s="18"/>
      <c r="BJ314" s="15" t="s">
        <v>5136</v>
      </c>
      <c r="BK314" s="15" t="s">
        <v>1714</v>
      </c>
      <c r="BN314" s="15" t="s">
        <v>179</v>
      </c>
      <c r="BO314" s="15" t="s">
        <v>4731</v>
      </c>
      <c r="BP314" s="15" t="s">
        <v>138</v>
      </c>
      <c r="BR314" s="15" t="s">
        <v>5147</v>
      </c>
      <c r="BS314" s="19" t="s">
        <v>5148</v>
      </c>
      <c r="BT314" s="15" t="s">
        <v>804</v>
      </c>
      <c r="DH314" s="15" t="s">
        <v>17982</v>
      </c>
      <c r="DI314" s="15" t="s">
        <v>17982</v>
      </c>
    </row>
    <row r="315" spans="1:113" s="15" customFormat="1" ht="12.75" x14ac:dyDescent="0.2">
      <c r="A315" s="15" t="s">
        <v>109</v>
      </c>
      <c r="B315" s="15" t="s">
        <v>110</v>
      </c>
      <c r="D315" s="15" t="s">
        <v>111</v>
      </c>
      <c r="E315" s="15" t="s">
        <v>112</v>
      </c>
      <c r="F315" s="15" t="s">
        <v>111</v>
      </c>
      <c r="G315" s="15" t="s">
        <v>113</v>
      </c>
      <c r="H315" s="15" t="s">
        <v>1045</v>
      </c>
      <c r="J315" s="16" t="s">
        <v>114</v>
      </c>
      <c r="U315" s="15" t="s">
        <v>17977</v>
      </c>
      <c r="W315" s="15">
        <v>988</v>
      </c>
      <c r="X315" s="15">
        <v>325</v>
      </c>
      <c r="Y315" s="15" t="s">
        <v>160</v>
      </c>
      <c r="Z315" s="15" t="s">
        <v>161</v>
      </c>
      <c r="AA315" s="15" t="s">
        <v>162</v>
      </c>
      <c r="AB315" s="15" t="s">
        <v>4868</v>
      </c>
      <c r="AC315" s="15" t="s">
        <v>4868</v>
      </c>
      <c r="AD315" s="15" t="s">
        <v>4868</v>
      </c>
      <c r="AE315" s="15" t="s">
        <v>164</v>
      </c>
      <c r="AF315" s="15" t="s">
        <v>4868</v>
      </c>
      <c r="AG315" s="15" t="s">
        <v>4868</v>
      </c>
      <c r="AH315" s="15" t="s">
        <v>4869</v>
      </c>
      <c r="AL315" s="15" t="s">
        <v>4870</v>
      </c>
      <c r="AN315" s="15">
        <v>743</v>
      </c>
      <c r="AO315" s="15" t="s">
        <v>4871</v>
      </c>
      <c r="AQ315" s="15" t="s">
        <v>3598</v>
      </c>
      <c r="AT315" s="15" t="s">
        <v>4872</v>
      </c>
      <c r="AU315" s="15" t="s">
        <v>4873</v>
      </c>
      <c r="AV315" s="15" t="s">
        <v>4874</v>
      </c>
      <c r="AW315" s="15" t="s">
        <v>4875</v>
      </c>
      <c r="AX315" s="15" t="s">
        <v>4876</v>
      </c>
      <c r="AY315" s="15">
        <f t="shared" si="4"/>
        <v>59</v>
      </c>
      <c r="AZ315" s="15" t="s">
        <v>3603</v>
      </c>
      <c r="BA315" s="15" t="s">
        <v>214</v>
      </c>
      <c r="BB315" s="15" t="s">
        <v>4026</v>
      </c>
      <c r="BE315" s="15" t="s">
        <v>241</v>
      </c>
      <c r="BF315" s="18"/>
      <c r="BJ315" s="15" t="s">
        <v>4877</v>
      </c>
      <c r="BK315" s="15" t="s">
        <v>1714</v>
      </c>
      <c r="BN315" s="15" t="s">
        <v>179</v>
      </c>
      <c r="BO315" s="15" t="s">
        <v>4731</v>
      </c>
      <c r="BP315" s="15" t="s">
        <v>138</v>
      </c>
      <c r="BS315" s="19" t="s">
        <v>4878</v>
      </c>
      <c r="BT315" s="15" t="s">
        <v>804</v>
      </c>
      <c r="DH315" s="15" t="s">
        <v>17982</v>
      </c>
      <c r="DI315" s="15" t="s">
        <v>17982</v>
      </c>
    </row>
    <row r="316" spans="1:113" s="15" customFormat="1" ht="12.75" x14ac:dyDescent="0.2">
      <c r="A316" s="15" t="s">
        <v>109</v>
      </c>
      <c r="B316" s="15" t="s">
        <v>110</v>
      </c>
      <c r="D316" s="15" t="s">
        <v>111</v>
      </c>
      <c r="E316" s="15" t="s">
        <v>112</v>
      </c>
      <c r="F316" s="15" t="s">
        <v>111</v>
      </c>
      <c r="G316" s="15" t="s">
        <v>113</v>
      </c>
      <c r="H316" s="15" t="s">
        <v>1045</v>
      </c>
      <c r="J316" s="16" t="s">
        <v>114</v>
      </c>
      <c r="U316" s="15" t="s">
        <v>17977</v>
      </c>
      <c r="W316" s="15">
        <v>989</v>
      </c>
      <c r="X316" s="15">
        <v>326</v>
      </c>
      <c r="Y316" s="15" t="s">
        <v>160</v>
      </c>
      <c r="Z316" s="15" t="s">
        <v>161</v>
      </c>
      <c r="AA316" s="15" t="s">
        <v>162</v>
      </c>
      <c r="AB316" s="15" t="s">
        <v>4879</v>
      </c>
      <c r="AC316" s="15" t="s">
        <v>4879</v>
      </c>
      <c r="AD316" s="15" t="s">
        <v>4879</v>
      </c>
      <c r="AE316" s="15" t="s">
        <v>164</v>
      </c>
      <c r="AF316" s="15" t="s">
        <v>4879</v>
      </c>
      <c r="AG316" s="15" t="s">
        <v>4879</v>
      </c>
      <c r="AH316" s="15" t="s">
        <v>4880</v>
      </c>
      <c r="AL316" s="15" t="s">
        <v>4881</v>
      </c>
      <c r="AN316" s="15">
        <v>743</v>
      </c>
      <c r="AO316" s="15" t="s">
        <v>4882</v>
      </c>
      <c r="AQ316" s="15" t="s">
        <v>3598</v>
      </c>
      <c r="AT316" s="15" t="s">
        <v>4883</v>
      </c>
      <c r="AU316" s="15" t="s">
        <v>4884</v>
      </c>
      <c r="AV316" s="15" t="s">
        <v>4884</v>
      </c>
      <c r="AW316" s="15" t="s">
        <v>4885</v>
      </c>
      <c r="AX316" s="15" t="s">
        <v>4886</v>
      </c>
      <c r="AY316" s="15">
        <f t="shared" si="4"/>
        <v>56</v>
      </c>
      <c r="AZ316" s="15" t="s">
        <v>3603</v>
      </c>
      <c r="BA316" s="15" t="s">
        <v>214</v>
      </c>
      <c r="BB316" s="15" t="s">
        <v>4026</v>
      </c>
      <c r="BE316" s="15" t="s">
        <v>564</v>
      </c>
      <c r="BF316" s="18"/>
      <c r="BI316" s="15" t="s">
        <v>1905</v>
      </c>
      <c r="BJ316" s="15" t="s">
        <v>4887</v>
      </c>
      <c r="BK316" s="15" t="s">
        <v>1714</v>
      </c>
      <c r="BN316" s="15" t="s">
        <v>179</v>
      </c>
      <c r="BO316" s="15" t="s">
        <v>4731</v>
      </c>
      <c r="BP316" s="15" t="s">
        <v>138</v>
      </c>
      <c r="BS316" s="15" t="s">
        <v>4888</v>
      </c>
      <c r="DH316" s="15" t="s">
        <v>17982</v>
      </c>
      <c r="DI316" s="15" t="s">
        <v>17982</v>
      </c>
    </row>
    <row r="317" spans="1:113" s="15" customFormat="1" ht="12.75" x14ac:dyDescent="0.2">
      <c r="A317" s="15" t="s">
        <v>109</v>
      </c>
      <c r="B317" s="15" t="s">
        <v>110</v>
      </c>
      <c r="D317" s="15" t="s">
        <v>111</v>
      </c>
      <c r="E317" s="15" t="s">
        <v>112</v>
      </c>
      <c r="F317" s="15" t="s">
        <v>111</v>
      </c>
      <c r="G317" s="15" t="s">
        <v>113</v>
      </c>
      <c r="H317" s="15" t="s">
        <v>1045</v>
      </c>
      <c r="J317" s="16" t="s">
        <v>114</v>
      </c>
      <c r="U317" s="15" t="s">
        <v>17977</v>
      </c>
      <c r="W317" s="15">
        <v>3294</v>
      </c>
      <c r="X317" s="15">
        <v>327</v>
      </c>
      <c r="Y317" s="15" t="s">
        <v>160</v>
      </c>
      <c r="Z317" s="15" t="s">
        <v>161</v>
      </c>
      <c r="AA317" s="15" t="s">
        <v>162</v>
      </c>
      <c r="AB317" s="15" t="s">
        <v>15902</v>
      </c>
      <c r="AC317" s="15" t="s">
        <v>15902</v>
      </c>
      <c r="AD317" s="15" t="s">
        <v>15902</v>
      </c>
      <c r="AE317" s="15" t="s">
        <v>164</v>
      </c>
      <c r="AF317" s="15" t="s">
        <v>15902</v>
      </c>
      <c r="AG317" s="15" t="s">
        <v>15902</v>
      </c>
      <c r="AH317" s="15" t="s">
        <v>15903</v>
      </c>
      <c r="AL317" s="15" t="s">
        <v>15904</v>
      </c>
      <c r="AN317" s="15">
        <v>743</v>
      </c>
      <c r="AO317" s="15" t="s">
        <v>15905</v>
      </c>
      <c r="AQ317" s="15" t="s">
        <v>3598</v>
      </c>
      <c r="AT317" s="15" t="s">
        <v>15906</v>
      </c>
      <c r="AU317" s="15" t="s">
        <v>15907</v>
      </c>
      <c r="AV317" s="15" t="s">
        <v>15907</v>
      </c>
      <c r="AW317" s="15" t="s">
        <v>15908</v>
      </c>
      <c r="AX317" s="15" t="s">
        <v>15909</v>
      </c>
      <c r="AY317" s="15">
        <f t="shared" si="4"/>
        <v>60</v>
      </c>
      <c r="AZ317" s="15" t="s">
        <v>3603</v>
      </c>
      <c r="BA317" s="15" t="s">
        <v>214</v>
      </c>
      <c r="BB317" s="15" t="s">
        <v>15406</v>
      </c>
      <c r="BE317" s="18" t="s">
        <v>2054</v>
      </c>
      <c r="BJ317" s="15" t="s">
        <v>15910</v>
      </c>
      <c r="BK317" s="15" t="s">
        <v>1714</v>
      </c>
      <c r="BN317" s="15" t="s">
        <v>179</v>
      </c>
      <c r="BO317" s="15" t="s">
        <v>4731</v>
      </c>
      <c r="BP317" s="15" t="s">
        <v>138</v>
      </c>
      <c r="BS317" s="15" t="s">
        <v>15911</v>
      </c>
      <c r="BT317" s="15" t="s">
        <v>804</v>
      </c>
      <c r="DH317" s="15" t="s">
        <v>17982</v>
      </c>
      <c r="DI317" s="15" t="s">
        <v>17982</v>
      </c>
    </row>
    <row r="318" spans="1:113" s="15" customFormat="1" ht="12.75" x14ac:dyDescent="0.2">
      <c r="A318" s="15" t="s">
        <v>109</v>
      </c>
      <c r="B318" s="15" t="s">
        <v>110</v>
      </c>
      <c r="D318" s="15" t="s">
        <v>111</v>
      </c>
      <c r="E318" s="15" t="s">
        <v>112</v>
      </c>
      <c r="F318" s="15" t="s">
        <v>111</v>
      </c>
      <c r="G318" s="15" t="s">
        <v>113</v>
      </c>
      <c r="H318" s="15" t="s">
        <v>1045</v>
      </c>
      <c r="J318" s="16" t="s">
        <v>114</v>
      </c>
      <c r="U318" s="15" t="s">
        <v>17977</v>
      </c>
      <c r="W318" s="15">
        <v>3293</v>
      </c>
      <c r="X318" s="15">
        <v>328</v>
      </c>
      <c r="Y318" s="15" t="s">
        <v>160</v>
      </c>
      <c r="Z318" s="15" t="s">
        <v>161</v>
      </c>
      <c r="AA318" s="15" t="s">
        <v>162</v>
      </c>
      <c r="AB318" s="15" t="s">
        <v>15891</v>
      </c>
      <c r="AC318" s="15" t="s">
        <v>15891</v>
      </c>
      <c r="AD318" s="15" t="s">
        <v>15891</v>
      </c>
      <c r="AE318" s="15" t="s">
        <v>164</v>
      </c>
      <c r="AF318" s="15" t="s">
        <v>15891</v>
      </c>
      <c r="AG318" s="15" t="s">
        <v>15891</v>
      </c>
      <c r="AH318" s="15" t="s">
        <v>15892</v>
      </c>
      <c r="AL318" s="15" t="s">
        <v>15893</v>
      </c>
      <c r="AN318" s="15">
        <v>743</v>
      </c>
      <c r="AO318" s="15" t="s">
        <v>15894</v>
      </c>
      <c r="AQ318" s="15" t="s">
        <v>3598</v>
      </c>
      <c r="AT318" s="15" t="s">
        <v>15895</v>
      </c>
      <c r="AU318" s="15" t="s">
        <v>15896</v>
      </c>
      <c r="AV318" s="15" t="s">
        <v>15896</v>
      </c>
      <c r="AW318" s="15" t="s">
        <v>15897</v>
      </c>
      <c r="AX318" s="15" t="s">
        <v>15898</v>
      </c>
      <c r="AY318" s="15">
        <f t="shared" si="4"/>
        <v>59</v>
      </c>
      <c r="AZ318" s="15" t="s">
        <v>3603</v>
      </c>
      <c r="BA318" s="15" t="s">
        <v>214</v>
      </c>
      <c r="BB318" s="15" t="s">
        <v>4026</v>
      </c>
      <c r="BE318" s="15" t="s">
        <v>275</v>
      </c>
      <c r="BF318" s="18"/>
      <c r="BI318" s="15" t="s">
        <v>1905</v>
      </c>
      <c r="BJ318" s="15" t="s">
        <v>15899</v>
      </c>
      <c r="BK318" s="15" t="s">
        <v>1714</v>
      </c>
      <c r="BN318" s="15" t="s">
        <v>179</v>
      </c>
      <c r="BO318" s="15" t="s">
        <v>4731</v>
      </c>
      <c r="BP318" s="15" t="s">
        <v>138</v>
      </c>
      <c r="BR318" s="15" t="s">
        <v>15900</v>
      </c>
      <c r="BS318" s="15" t="s">
        <v>15901</v>
      </c>
      <c r="DH318" s="15" t="s">
        <v>17982</v>
      </c>
      <c r="DI318" s="15" t="s">
        <v>17982</v>
      </c>
    </row>
    <row r="319" spans="1:113" s="15" customFormat="1" ht="12.75" x14ac:dyDescent="0.2">
      <c r="A319" s="15" t="s">
        <v>109</v>
      </c>
      <c r="B319" s="15" t="s">
        <v>110</v>
      </c>
      <c r="D319" s="15" t="s">
        <v>111</v>
      </c>
      <c r="E319" s="15" t="s">
        <v>112</v>
      </c>
      <c r="F319" s="15" t="s">
        <v>111</v>
      </c>
      <c r="G319" s="15" t="s">
        <v>113</v>
      </c>
      <c r="H319" s="15" t="s">
        <v>1045</v>
      </c>
      <c r="J319" s="16" t="s">
        <v>114</v>
      </c>
      <c r="U319" s="15" t="s">
        <v>17977</v>
      </c>
      <c r="W319" s="15">
        <v>991</v>
      </c>
      <c r="X319" s="15">
        <v>329</v>
      </c>
      <c r="Y319" s="15" t="s">
        <v>160</v>
      </c>
      <c r="Z319" s="15" t="s">
        <v>161</v>
      </c>
      <c r="AA319" s="15" t="s">
        <v>162</v>
      </c>
      <c r="AB319" s="15" t="s">
        <v>4901</v>
      </c>
      <c r="AC319" s="15" t="s">
        <v>4901</v>
      </c>
      <c r="AD319" s="15" t="s">
        <v>4902</v>
      </c>
      <c r="AE319" s="15" t="s">
        <v>164</v>
      </c>
      <c r="AF319" s="15" t="s">
        <v>4902</v>
      </c>
      <c r="AG319" s="15" t="s">
        <v>4901</v>
      </c>
      <c r="AH319" s="15" t="s">
        <v>4903</v>
      </c>
      <c r="AL319" s="15" t="s">
        <v>4904</v>
      </c>
      <c r="AN319" s="15">
        <v>743</v>
      </c>
      <c r="AO319" s="15" t="s">
        <v>4905</v>
      </c>
      <c r="AQ319" s="15" t="s">
        <v>168</v>
      </c>
      <c r="AT319" s="15" t="s">
        <v>4906</v>
      </c>
      <c r="AU319" s="15" t="s">
        <v>4907</v>
      </c>
      <c r="AV319" s="15" t="s">
        <v>4907</v>
      </c>
      <c r="AW319" s="15" t="s">
        <v>4908</v>
      </c>
      <c r="AX319" s="15" t="s">
        <v>4909</v>
      </c>
      <c r="AY319" s="15">
        <f t="shared" si="4"/>
        <v>59</v>
      </c>
      <c r="AZ319" s="15" t="s">
        <v>173</v>
      </c>
      <c r="BA319" s="15" t="s">
        <v>174</v>
      </c>
      <c r="BB319" s="15" t="s">
        <v>4897</v>
      </c>
      <c r="BC319" s="15" t="s">
        <v>4532</v>
      </c>
      <c r="BE319" s="15" t="s">
        <v>1597</v>
      </c>
      <c r="BJ319" s="15" t="s">
        <v>4899</v>
      </c>
      <c r="BK319" s="15" t="s">
        <v>1714</v>
      </c>
      <c r="BN319" s="15" t="s">
        <v>179</v>
      </c>
      <c r="BO319" s="15" t="s">
        <v>4731</v>
      </c>
      <c r="BP319" s="15" t="s">
        <v>138</v>
      </c>
      <c r="BS319" s="19" t="s">
        <v>4910</v>
      </c>
      <c r="BT319" s="15" t="s">
        <v>804</v>
      </c>
      <c r="DH319" s="15" t="s">
        <v>17982</v>
      </c>
      <c r="DI319" s="15" t="s">
        <v>17982</v>
      </c>
    </row>
    <row r="320" spans="1:113" s="15" customFormat="1" ht="12.75" x14ac:dyDescent="0.2">
      <c r="A320" s="15" t="s">
        <v>109</v>
      </c>
      <c r="B320" s="15" t="s">
        <v>110</v>
      </c>
      <c r="D320" s="15" t="s">
        <v>111</v>
      </c>
      <c r="E320" s="15" t="s">
        <v>112</v>
      </c>
      <c r="F320" s="15" t="s">
        <v>111</v>
      </c>
      <c r="G320" s="15" t="s">
        <v>113</v>
      </c>
      <c r="H320" s="15" t="s">
        <v>1045</v>
      </c>
      <c r="J320" s="16" t="s">
        <v>114</v>
      </c>
      <c r="U320" s="15" t="s">
        <v>17977</v>
      </c>
      <c r="W320" s="15">
        <v>951</v>
      </c>
      <c r="X320" s="15">
        <v>330</v>
      </c>
      <c r="Y320" s="15" t="s">
        <v>160</v>
      </c>
      <c r="Z320" s="15" t="s">
        <v>161</v>
      </c>
      <c r="AA320" s="15" t="s">
        <v>162</v>
      </c>
      <c r="AB320" s="15" t="s">
        <v>4524</v>
      </c>
      <c r="AC320" s="15" t="s">
        <v>4524</v>
      </c>
      <c r="AD320" s="15" t="s">
        <v>4524</v>
      </c>
      <c r="AE320" s="15" t="s">
        <v>164</v>
      </c>
      <c r="AF320" s="15" t="s">
        <v>4524</v>
      </c>
      <c r="AG320" s="15" t="s">
        <v>4524</v>
      </c>
      <c r="AH320" s="15" t="s">
        <v>4525</v>
      </c>
      <c r="AL320" s="15" t="s">
        <v>4526</v>
      </c>
      <c r="AN320" s="15">
        <v>743</v>
      </c>
      <c r="AO320" s="15" t="s">
        <v>4527</v>
      </c>
      <c r="AQ320" s="15" t="s">
        <v>168</v>
      </c>
      <c r="AT320" s="15" t="s">
        <v>4528</v>
      </c>
      <c r="AU320" s="15" t="s">
        <v>4529</v>
      </c>
      <c r="AV320" s="15" t="s">
        <v>4529</v>
      </c>
      <c r="AW320" s="15" t="s">
        <v>4530</v>
      </c>
      <c r="AX320" s="15" t="s">
        <v>4531</v>
      </c>
      <c r="AY320" s="15">
        <f t="shared" si="4"/>
        <v>55</v>
      </c>
      <c r="AZ320" s="15" t="s">
        <v>173</v>
      </c>
      <c r="BA320" s="15" t="s">
        <v>174</v>
      </c>
      <c r="BB320" s="15" t="s">
        <v>4026</v>
      </c>
      <c r="BC320" s="15" t="s">
        <v>4532</v>
      </c>
      <c r="BE320" s="15" t="s">
        <v>241</v>
      </c>
      <c r="BI320" s="15" t="s">
        <v>1905</v>
      </c>
      <c r="BJ320" s="15" t="s">
        <v>4533</v>
      </c>
      <c r="BK320" s="15" t="s">
        <v>1714</v>
      </c>
      <c r="BN320" s="15" t="s">
        <v>179</v>
      </c>
      <c r="BP320" s="15" t="s">
        <v>138</v>
      </c>
      <c r="BS320" s="15" t="s">
        <v>4534</v>
      </c>
      <c r="DH320" s="15" t="s">
        <v>17982</v>
      </c>
      <c r="DI320" s="15" t="s">
        <v>17982</v>
      </c>
    </row>
    <row r="321" spans="1:113" s="15" customFormat="1" ht="12.75" x14ac:dyDescent="0.2">
      <c r="A321" s="15" t="s">
        <v>109</v>
      </c>
      <c r="B321" s="15" t="s">
        <v>110</v>
      </c>
      <c r="D321" s="15" t="s">
        <v>111</v>
      </c>
      <c r="E321" s="15" t="s">
        <v>112</v>
      </c>
      <c r="F321" s="15" t="s">
        <v>111</v>
      </c>
      <c r="G321" s="15" t="s">
        <v>113</v>
      </c>
      <c r="H321" s="15" t="s">
        <v>1045</v>
      </c>
      <c r="J321" s="16" t="s">
        <v>114</v>
      </c>
      <c r="U321" s="15" t="s">
        <v>17977</v>
      </c>
      <c r="W321" s="15">
        <v>952</v>
      </c>
      <c r="X321" s="15">
        <v>331</v>
      </c>
      <c r="Y321" s="15" t="s">
        <v>160</v>
      </c>
      <c r="Z321" s="15" t="s">
        <v>161</v>
      </c>
      <c r="AA321" s="15" t="s">
        <v>162</v>
      </c>
      <c r="AB321" s="15" t="s">
        <v>4535</v>
      </c>
      <c r="AC321" s="15" t="s">
        <v>4535</v>
      </c>
      <c r="AD321" s="15" t="s">
        <v>4536</v>
      </c>
      <c r="AE321" s="15" t="s">
        <v>164</v>
      </c>
      <c r="AF321" s="15" t="s">
        <v>4536</v>
      </c>
      <c r="AG321" s="15" t="s">
        <v>4535</v>
      </c>
      <c r="AH321" s="15" t="s">
        <v>4537</v>
      </c>
      <c r="AL321" s="15" t="s">
        <v>4538</v>
      </c>
      <c r="AN321" s="15">
        <v>743</v>
      </c>
      <c r="AO321" s="15" t="s">
        <v>4539</v>
      </c>
      <c r="AQ321" s="15" t="s">
        <v>168</v>
      </c>
      <c r="AT321" s="15" t="s">
        <v>4540</v>
      </c>
      <c r="AU321" s="15" t="s">
        <v>4541</v>
      </c>
      <c r="AV321" s="15" t="s">
        <v>4541</v>
      </c>
      <c r="AW321" s="15" t="s">
        <v>4542</v>
      </c>
      <c r="AX321" s="15" t="s">
        <v>4543</v>
      </c>
      <c r="AY321" s="15">
        <f t="shared" si="4"/>
        <v>58</v>
      </c>
      <c r="AZ321" s="15" t="s">
        <v>173</v>
      </c>
      <c r="BA321" s="15" t="s">
        <v>174</v>
      </c>
      <c r="BB321" s="15" t="s">
        <v>4026</v>
      </c>
      <c r="BC321" s="15" t="s">
        <v>4532</v>
      </c>
      <c r="BE321" s="15" t="s">
        <v>1597</v>
      </c>
      <c r="BJ321" s="15" t="s">
        <v>4544</v>
      </c>
      <c r="BK321" s="15" t="s">
        <v>1714</v>
      </c>
      <c r="BN321" s="15" t="s">
        <v>179</v>
      </c>
      <c r="BP321" s="15" t="s">
        <v>138</v>
      </c>
      <c r="BS321" s="19" t="s">
        <v>4545</v>
      </c>
      <c r="BT321" s="15" t="s">
        <v>804</v>
      </c>
      <c r="DH321" s="15" t="s">
        <v>17982</v>
      </c>
      <c r="DI321" s="15" t="s">
        <v>17982</v>
      </c>
    </row>
    <row r="322" spans="1:113" s="15" customFormat="1" ht="12.75" x14ac:dyDescent="0.2">
      <c r="A322" s="15" t="s">
        <v>109</v>
      </c>
      <c r="B322" s="15" t="s">
        <v>110</v>
      </c>
      <c r="D322" s="15" t="s">
        <v>111</v>
      </c>
      <c r="E322" s="15" t="s">
        <v>112</v>
      </c>
      <c r="F322" s="15" t="s">
        <v>111</v>
      </c>
      <c r="G322" s="15" t="s">
        <v>113</v>
      </c>
      <c r="H322" s="15" t="s">
        <v>1045</v>
      </c>
      <c r="J322" s="16" t="s">
        <v>114</v>
      </c>
      <c r="U322" s="15" t="s">
        <v>17977</v>
      </c>
      <c r="W322" s="15">
        <v>997</v>
      </c>
      <c r="X322" s="15">
        <v>332</v>
      </c>
      <c r="Y322" s="15" t="s">
        <v>160</v>
      </c>
      <c r="Z322" s="15" t="s">
        <v>161</v>
      </c>
      <c r="AA322" s="15" t="s">
        <v>162</v>
      </c>
      <c r="AB322" s="15" t="s">
        <v>4960</v>
      </c>
      <c r="AC322" s="15" t="s">
        <v>4960</v>
      </c>
      <c r="AD322" s="15" t="s">
        <v>4960</v>
      </c>
      <c r="AE322" s="15" t="s">
        <v>164</v>
      </c>
      <c r="AF322" s="15" t="s">
        <v>4960</v>
      </c>
      <c r="AG322" s="15" t="s">
        <v>4960</v>
      </c>
      <c r="AH322" s="15" t="s">
        <v>4961</v>
      </c>
      <c r="AL322" s="15" t="s">
        <v>4962</v>
      </c>
      <c r="AN322" s="15">
        <v>743</v>
      </c>
      <c r="AO322" s="15" t="s">
        <v>4963</v>
      </c>
      <c r="AQ322" s="15" t="s">
        <v>168</v>
      </c>
      <c r="AT322" s="15" t="s">
        <v>4964</v>
      </c>
      <c r="AU322" s="15" t="s">
        <v>4965</v>
      </c>
      <c r="AV322" s="15" t="s">
        <v>4965</v>
      </c>
      <c r="AW322" s="15" t="s">
        <v>4966</v>
      </c>
      <c r="AX322" s="15" t="s">
        <v>4967</v>
      </c>
      <c r="AY322" s="15">
        <f t="shared" ref="AY322:AY371" si="5">LEN(SUBSTITUTE(AX322, ", "," "))</f>
        <v>58</v>
      </c>
      <c r="AZ322" s="15" t="s">
        <v>173</v>
      </c>
      <c r="BA322" s="15" t="s">
        <v>174</v>
      </c>
      <c r="BB322" s="15" t="s">
        <v>4968</v>
      </c>
      <c r="BC322" s="15" t="s">
        <v>863</v>
      </c>
      <c r="BE322" s="15" t="s">
        <v>275</v>
      </c>
      <c r="BJ322" s="15" t="s">
        <v>4969</v>
      </c>
      <c r="BN322" s="15" t="s">
        <v>179</v>
      </c>
      <c r="BO322" s="15" t="s">
        <v>4731</v>
      </c>
      <c r="BP322" s="15" t="s">
        <v>138</v>
      </c>
      <c r="BS322" s="15" t="s">
        <v>4970</v>
      </c>
      <c r="BT322" s="15" t="s">
        <v>804</v>
      </c>
      <c r="DH322" s="15" t="s">
        <v>17982</v>
      </c>
      <c r="DI322" s="15" t="s">
        <v>17982</v>
      </c>
    </row>
    <row r="323" spans="1:113" s="15" customFormat="1" ht="12.75" x14ac:dyDescent="0.2">
      <c r="A323" s="15" t="s">
        <v>109</v>
      </c>
      <c r="B323" s="15" t="s">
        <v>110</v>
      </c>
      <c r="D323" s="15" t="s">
        <v>111</v>
      </c>
      <c r="E323" s="15" t="s">
        <v>112</v>
      </c>
      <c r="F323" s="15" t="s">
        <v>111</v>
      </c>
      <c r="G323" s="15" t="s">
        <v>113</v>
      </c>
      <c r="H323" s="15" t="s">
        <v>1045</v>
      </c>
      <c r="J323" s="16" t="s">
        <v>114</v>
      </c>
      <c r="U323" s="15" t="s">
        <v>17977</v>
      </c>
      <c r="W323" s="15">
        <v>1000</v>
      </c>
      <c r="X323" s="15">
        <v>333</v>
      </c>
      <c r="Y323" s="15" t="s">
        <v>160</v>
      </c>
      <c r="Z323" s="15" t="s">
        <v>161</v>
      </c>
      <c r="AA323" s="15" t="s">
        <v>162</v>
      </c>
      <c r="AB323" s="15" t="s">
        <v>4988</v>
      </c>
      <c r="AC323" s="15" t="s">
        <v>4988</v>
      </c>
      <c r="AD323" s="15" t="s">
        <v>4988</v>
      </c>
      <c r="AE323" s="15" t="s">
        <v>164</v>
      </c>
      <c r="AF323" s="15" t="s">
        <v>4988</v>
      </c>
      <c r="AG323" s="15" t="s">
        <v>4988</v>
      </c>
      <c r="AH323" s="15" t="s">
        <v>4989</v>
      </c>
      <c r="AL323" s="15" t="s">
        <v>4990</v>
      </c>
      <c r="AN323" s="15">
        <v>743</v>
      </c>
      <c r="AO323" s="15" t="s">
        <v>4991</v>
      </c>
      <c r="AQ323" s="15" t="s">
        <v>168</v>
      </c>
      <c r="AT323" s="15" t="s">
        <v>4992</v>
      </c>
      <c r="AU323" s="15" t="s">
        <v>4993</v>
      </c>
      <c r="AV323" s="15" t="s">
        <v>4993</v>
      </c>
      <c r="AW323" s="15" t="s">
        <v>4994</v>
      </c>
      <c r="AX323" s="15" t="s">
        <v>4995</v>
      </c>
      <c r="AY323" s="15">
        <f t="shared" si="5"/>
        <v>56</v>
      </c>
      <c r="AZ323" s="15" t="s">
        <v>173</v>
      </c>
      <c r="BA323" s="15" t="s">
        <v>174</v>
      </c>
      <c r="BB323" s="15" t="s">
        <v>4978</v>
      </c>
      <c r="BC323" s="15" t="s">
        <v>863</v>
      </c>
      <c r="BE323" s="15" t="s">
        <v>275</v>
      </c>
      <c r="BI323" s="15" t="s">
        <v>1905</v>
      </c>
      <c r="BJ323" s="15" t="s">
        <v>4996</v>
      </c>
      <c r="BK323" s="15" t="s">
        <v>1714</v>
      </c>
      <c r="BN323" s="15" t="s">
        <v>179</v>
      </c>
      <c r="BO323" s="15" t="s">
        <v>4731</v>
      </c>
      <c r="BP323" s="15" t="s">
        <v>138</v>
      </c>
      <c r="BS323" s="15" t="s">
        <v>4997</v>
      </c>
      <c r="DH323" s="15" t="s">
        <v>17982</v>
      </c>
      <c r="DI323" s="15" t="s">
        <v>17982</v>
      </c>
    </row>
    <row r="324" spans="1:113" s="15" customFormat="1" ht="12.75" x14ac:dyDescent="0.2">
      <c r="A324" s="15" t="s">
        <v>109</v>
      </c>
      <c r="B324" s="15" t="s">
        <v>110</v>
      </c>
      <c r="D324" s="15" t="s">
        <v>111</v>
      </c>
      <c r="E324" s="15" t="s">
        <v>112</v>
      </c>
      <c r="F324" s="15" t="s">
        <v>111</v>
      </c>
      <c r="G324" s="15" t="s">
        <v>113</v>
      </c>
      <c r="H324" s="15" t="s">
        <v>1045</v>
      </c>
      <c r="J324" s="16" t="s">
        <v>114</v>
      </c>
      <c r="U324" s="15" t="s">
        <v>17977</v>
      </c>
      <c r="W324" s="15">
        <v>3289</v>
      </c>
      <c r="X324" s="15">
        <v>334</v>
      </c>
      <c r="Y324" s="15" t="s">
        <v>160</v>
      </c>
      <c r="Z324" s="15" t="s">
        <v>161</v>
      </c>
      <c r="AA324" s="15" t="s">
        <v>162</v>
      </c>
      <c r="AB324" s="15" t="s">
        <v>15862</v>
      </c>
      <c r="AC324" s="15" t="s">
        <v>15862</v>
      </c>
      <c r="AD324" s="15" t="s">
        <v>15862</v>
      </c>
      <c r="AE324" s="15" t="s">
        <v>164</v>
      </c>
      <c r="AF324" s="15" t="s">
        <v>15862</v>
      </c>
      <c r="AG324" s="15" t="s">
        <v>15862</v>
      </c>
      <c r="AH324" s="15" t="s">
        <v>15863</v>
      </c>
      <c r="AL324" s="15" t="s">
        <v>15864</v>
      </c>
      <c r="AN324" s="15">
        <v>743</v>
      </c>
      <c r="AO324" s="15" t="s">
        <v>15865</v>
      </c>
      <c r="AQ324" s="15" t="s">
        <v>3598</v>
      </c>
      <c r="AT324" s="15" t="s">
        <v>15866</v>
      </c>
      <c r="AU324" s="15" t="s">
        <v>15867</v>
      </c>
      <c r="AV324" s="15" t="s">
        <v>15867</v>
      </c>
      <c r="AW324" s="15" t="s">
        <v>15868</v>
      </c>
      <c r="AX324" s="15" t="s">
        <v>15868</v>
      </c>
      <c r="AY324" s="15">
        <f t="shared" si="5"/>
        <v>50</v>
      </c>
      <c r="AZ324" s="15" t="s">
        <v>3603</v>
      </c>
      <c r="BA324" s="15" t="s">
        <v>214</v>
      </c>
      <c r="BB324" s="18" t="s">
        <v>4730</v>
      </c>
      <c r="BC324" s="15" t="s">
        <v>646</v>
      </c>
      <c r="BE324" s="15" t="s">
        <v>606</v>
      </c>
      <c r="BF324" s="18"/>
      <c r="BJ324" s="15" t="s">
        <v>15869</v>
      </c>
      <c r="BK324" s="15" t="s">
        <v>1714</v>
      </c>
      <c r="BN324" s="15" t="s">
        <v>179</v>
      </c>
      <c r="BO324" s="15" t="s">
        <v>4731</v>
      </c>
      <c r="BP324" s="15" t="s">
        <v>138</v>
      </c>
      <c r="BS324" s="19" t="s">
        <v>15870</v>
      </c>
      <c r="BT324" s="15" t="s">
        <v>804</v>
      </c>
      <c r="DH324" s="15" t="s">
        <v>17982</v>
      </c>
      <c r="DI324" s="15" t="s">
        <v>17982</v>
      </c>
    </row>
    <row r="325" spans="1:113" s="15" customFormat="1" ht="12.75" x14ac:dyDescent="0.2">
      <c r="A325" s="15" t="s">
        <v>109</v>
      </c>
      <c r="B325" s="15" t="s">
        <v>110</v>
      </c>
      <c r="D325" s="15" t="s">
        <v>111</v>
      </c>
      <c r="E325" s="15" t="s">
        <v>112</v>
      </c>
      <c r="F325" s="15" t="s">
        <v>111</v>
      </c>
      <c r="G325" s="15" t="s">
        <v>113</v>
      </c>
      <c r="H325" s="15" t="s">
        <v>1045</v>
      </c>
      <c r="J325" s="16" t="s">
        <v>114</v>
      </c>
      <c r="U325" s="15" t="s">
        <v>17977</v>
      </c>
      <c r="W325" s="15">
        <v>3290</v>
      </c>
      <c r="X325" s="15">
        <v>335</v>
      </c>
      <c r="Y325" s="15" t="s">
        <v>160</v>
      </c>
      <c r="Z325" s="15" t="s">
        <v>161</v>
      </c>
      <c r="AA325" s="15" t="s">
        <v>162</v>
      </c>
      <c r="AB325" s="15" t="s">
        <v>15871</v>
      </c>
      <c r="AC325" s="15" t="s">
        <v>15871</v>
      </c>
      <c r="AD325" s="15" t="s">
        <v>15871</v>
      </c>
      <c r="AE325" s="15" t="s">
        <v>164</v>
      </c>
      <c r="AF325" s="15" t="s">
        <v>15871</v>
      </c>
      <c r="AG325" s="15" t="s">
        <v>15871</v>
      </c>
      <c r="AH325" s="15" t="s">
        <v>15872</v>
      </c>
      <c r="AL325" s="15" t="s">
        <v>15864</v>
      </c>
      <c r="AN325" s="15">
        <v>743</v>
      </c>
      <c r="AO325" s="15" t="s">
        <v>15873</v>
      </c>
      <c r="AQ325" s="15" t="s">
        <v>3598</v>
      </c>
      <c r="AT325" s="15" t="s">
        <v>15874</v>
      </c>
      <c r="AU325" s="15" t="s">
        <v>15875</v>
      </c>
      <c r="AV325" s="15" t="s">
        <v>15875</v>
      </c>
      <c r="AW325" s="15" t="s">
        <v>15876</v>
      </c>
      <c r="AX325" s="15" t="s">
        <v>15877</v>
      </c>
      <c r="AY325" s="15">
        <f t="shared" si="5"/>
        <v>57</v>
      </c>
      <c r="AZ325" s="15" t="s">
        <v>3603</v>
      </c>
      <c r="BA325" s="15" t="s">
        <v>214</v>
      </c>
      <c r="BB325" s="15" t="s">
        <v>4730</v>
      </c>
      <c r="BC325" s="15" t="s">
        <v>646</v>
      </c>
      <c r="BE325" s="15" t="s">
        <v>395</v>
      </c>
      <c r="BF325" s="18"/>
      <c r="BI325" s="15" t="s">
        <v>1905</v>
      </c>
      <c r="BJ325" s="15" t="s">
        <v>15878</v>
      </c>
      <c r="BK325" s="15" t="s">
        <v>1714</v>
      </c>
      <c r="BN325" s="15" t="s">
        <v>179</v>
      </c>
      <c r="BO325" s="15" t="s">
        <v>4731</v>
      </c>
      <c r="BP325" s="15" t="s">
        <v>138</v>
      </c>
      <c r="BS325" s="15" t="s">
        <v>15879</v>
      </c>
      <c r="DH325" s="15" t="s">
        <v>17982</v>
      </c>
      <c r="DI325" s="15" t="s">
        <v>17982</v>
      </c>
    </row>
    <row r="326" spans="1:113" s="15" customFormat="1" ht="12.75" x14ac:dyDescent="0.2">
      <c r="A326" s="15" t="s">
        <v>109</v>
      </c>
      <c r="B326" s="15" t="s">
        <v>110</v>
      </c>
      <c r="D326" s="15" t="s">
        <v>111</v>
      </c>
      <c r="E326" s="15" t="s">
        <v>112</v>
      </c>
      <c r="F326" s="15" t="s">
        <v>111</v>
      </c>
      <c r="G326" s="15" t="s">
        <v>113</v>
      </c>
      <c r="H326" s="15" t="s">
        <v>1045</v>
      </c>
      <c r="J326" s="16" t="s">
        <v>114</v>
      </c>
      <c r="U326" s="15" t="s">
        <v>17977</v>
      </c>
      <c r="W326" s="15">
        <v>1045</v>
      </c>
      <c r="X326" s="15">
        <v>336</v>
      </c>
      <c r="Y326" s="15" t="s">
        <v>160</v>
      </c>
      <c r="Z326" s="15" t="s">
        <v>161</v>
      </c>
      <c r="AA326" s="15" t="s">
        <v>162</v>
      </c>
      <c r="AB326" s="15" t="s">
        <v>5416</v>
      </c>
      <c r="AC326" s="15" t="s">
        <v>5416</v>
      </c>
      <c r="AD326" s="15" t="s">
        <v>5416</v>
      </c>
      <c r="AE326" s="15" t="s">
        <v>164</v>
      </c>
      <c r="AF326" s="15" t="s">
        <v>5416</v>
      </c>
      <c r="AG326" s="15" t="s">
        <v>5416</v>
      </c>
      <c r="AH326" s="15" t="s">
        <v>5417</v>
      </c>
      <c r="AL326" s="15" t="s">
        <v>5418</v>
      </c>
      <c r="AN326" s="15">
        <v>743</v>
      </c>
      <c r="AO326" s="15" t="s">
        <v>5419</v>
      </c>
      <c r="AQ326" s="15" t="s">
        <v>168</v>
      </c>
      <c r="AT326" s="15" t="s">
        <v>5420</v>
      </c>
      <c r="AU326" s="15" t="s">
        <v>5421</v>
      </c>
      <c r="AV326" s="15" t="s">
        <v>5421</v>
      </c>
      <c r="AW326" s="15" t="s">
        <v>5422</v>
      </c>
      <c r="AX326" s="15" t="s">
        <v>5423</v>
      </c>
      <c r="AY326" s="15">
        <f t="shared" si="5"/>
        <v>58</v>
      </c>
      <c r="AZ326" s="15" t="s">
        <v>173</v>
      </c>
      <c r="BA326" s="15" t="s">
        <v>174</v>
      </c>
      <c r="BB326" s="15" t="s">
        <v>4730</v>
      </c>
      <c r="BC326" s="15" t="s">
        <v>4950</v>
      </c>
      <c r="BE326" s="15" t="s">
        <v>564</v>
      </c>
      <c r="BJ326" s="15" t="s">
        <v>4921</v>
      </c>
      <c r="BN326" s="15" t="s">
        <v>179</v>
      </c>
      <c r="BO326" s="15" t="s">
        <v>4731</v>
      </c>
      <c r="BP326" s="15" t="s">
        <v>138</v>
      </c>
      <c r="BS326" s="19" t="s">
        <v>5424</v>
      </c>
      <c r="BT326" s="15" t="s">
        <v>804</v>
      </c>
      <c r="DH326" s="15" t="s">
        <v>17982</v>
      </c>
      <c r="DI326" s="15" t="s">
        <v>17982</v>
      </c>
    </row>
    <row r="327" spans="1:113" s="15" customFormat="1" ht="12.75" x14ac:dyDescent="0.2">
      <c r="A327" s="15" t="s">
        <v>109</v>
      </c>
      <c r="B327" s="15" t="s">
        <v>110</v>
      </c>
      <c r="D327" s="15" t="s">
        <v>111</v>
      </c>
      <c r="E327" s="15" t="s">
        <v>112</v>
      </c>
      <c r="F327" s="15" t="s">
        <v>111</v>
      </c>
      <c r="G327" s="15" t="s">
        <v>113</v>
      </c>
      <c r="H327" s="15" t="s">
        <v>1045</v>
      </c>
      <c r="J327" s="16" t="s">
        <v>114</v>
      </c>
      <c r="U327" s="15" t="s">
        <v>17977</v>
      </c>
      <c r="W327" s="15">
        <v>1048</v>
      </c>
      <c r="X327" s="15">
        <v>337</v>
      </c>
      <c r="Y327" s="15" t="s">
        <v>160</v>
      </c>
      <c r="Z327" s="15" t="s">
        <v>161</v>
      </c>
      <c r="AA327" s="15" t="s">
        <v>162</v>
      </c>
      <c r="AB327" s="15" t="s">
        <v>5442</v>
      </c>
      <c r="AC327" s="15" t="s">
        <v>5442</v>
      </c>
      <c r="AD327" s="15" t="s">
        <v>5442</v>
      </c>
      <c r="AE327" s="15" t="s">
        <v>164</v>
      </c>
      <c r="AF327" s="15" t="s">
        <v>5442</v>
      </c>
      <c r="AG327" s="15" t="s">
        <v>5442</v>
      </c>
      <c r="AH327" s="15" t="s">
        <v>5443</v>
      </c>
      <c r="AL327" s="15" t="s">
        <v>5444</v>
      </c>
      <c r="AN327" s="15">
        <v>743</v>
      </c>
      <c r="AO327" s="15" t="s">
        <v>5445</v>
      </c>
      <c r="AQ327" s="15" t="s">
        <v>168</v>
      </c>
      <c r="AT327" s="15" t="s">
        <v>5446</v>
      </c>
      <c r="AU327" s="15" t="s">
        <v>5447</v>
      </c>
      <c r="AV327" s="15" t="s">
        <v>5447</v>
      </c>
      <c r="AW327" s="15" t="s">
        <v>5448</v>
      </c>
      <c r="AX327" s="15" t="s">
        <v>5449</v>
      </c>
      <c r="AY327" s="15">
        <f t="shared" si="5"/>
        <v>57</v>
      </c>
      <c r="AZ327" s="15" t="s">
        <v>173</v>
      </c>
      <c r="BA327" s="15" t="s">
        <v>174</v>
      </c>
      <c r="BB327" s="15" t="s">
        <v>4730</v>
      </c>
      <c r="BC327" s="15" t="s">
        <v>4532</v>
      </c>
      <c r="BE327" s="15" t="s">
        <v>606</v>
      </c>
      <c r="BJ327" s="15" t="s">
        <v>5394</v>
      </c>
      <c r="BN327" s="15" t="s">
        <v>179</v>
      </c>
      <c r="BO327" s="15" t="s">
        <v>4731</v>
      </c>
      <c r="BP327" s="15" t="s">
        <v>138</v>
      </c>
      <c r="BS327" s="15" t="s">
        <v>5450</v>
      </c>
      <c r="BT327" s="15" t="s">
        <v>804</v>
      </c>
      <c r="DH327" s="15" t="s">
        <v>17982</v>
      </c>
      <c r="DI327" s="15" t="s">
        <v>17982</v>
      </c>
    </row>
    <row r="328" spans="1:113" s="15" customFormat="1" ht="12.75" x14ac:dyDescent="0.2">
      <c r="A328" s="15" t="s">
        <v>109</v>
      </c>
      <c r="B328" s="15" t="s">
        <v>110</v>
      </c>
      <c r="D328" s="15" t="s">
        <v>111</v>
      </c>
      <c r="E328" s="15" t="s">
        <v>112</v>
      </c>
      <c r="F328" s="15" t="s">
        <v>111</v>
      </c>
      <c r="G328" s="15" t="s">
        <v>113</v>
      </c>
      <c r="H328" s="15" t="s">
        <v>1045</v>
      </c>
      <c r="J328" s="16" t="s">
        <v>114</v>
      </c>
      <c r="U328" s="15" t="s">
        <v>17977</v>
      </c>
      <c r="W328" s="15">
        <v>1046</v>
      </c>
      <c r="X328" s="15">
        <v>338</v>
      </c>
      <c r="Y328" s="15" t="s">
        <v>160</v>
      </c>
      <c r="Z328" s="15" t="s">
        <v>161</v>
      </c>
      <c r="AA328" s="15" t="s">
        <v>162</v>
      </c>
      <c r="AB328" s="15" t="s">
        <v>5425</v>
      </c>
      <c r="AC328" s="15" t="s">
        <v>5425</v>
      </c>
      <c r="AD328" s="15" t="s">
        <v>5425</v>
      </c>
      <c r="AE328" s="15" t="s">
        <v>164</v>
      </c>
      <c r="AF328" s="15" t="s">
        <v>5425</v>
      </c>
      <c r="AG328" s="15" t="s">
        <v>5425</v>
      </c>
      <c r="AH328" s="15" t="s">
        <v>5426</v>
      </c>
      <c r="AL328" s="15" t="s">
        <v>5427</v>
      </c>
      <c r="AN328" s="15">
        <v>743</v>
      </c>
      <c r="AO328" s="15" t="s">
        <v>5428</v>
      </c>
      <c r="AQ328" s="15" t="s">
        <v>168</v>
      </c>
      <c r="AT328" s="15" t="s">
        <v>5429</v>
      </c>
      <c r="AU328" s="15" t="s">
        <v>5430</v>
      </c>
      <c r="AV328" s="15" t="s">
        <v>5430</v>
      </c>
      <c r="AW328" s="15" t="s">
        <v>5431</v>
      </c>
      <c r="AX328" s="15" t="s">
        <v>5432</v>
      </c>
      <c r="AY328" s="15">
        <f t="shared" si="5"/>
        <v>60</v>
      </c>
      <c r="AZ328" s="15" t="s">
        <v>173</v>
      </c>
      <c r="BA328" s="15" t="s">
        <v>174</v>
      </c>
      <c r="BB328" s="15" t="s">
        <v>4730</v>
      </c>
      <c r="BC328" s="15" t="s">
        <v>4532</v>
      </c>
      <c r="BE328" s="15" t="s">
        <v>367</v>
      </c>
      <c r="BJ328" s="15" t="s">
        <v>5394</v>
      </c>
      <c r="BN328" s="15" t="s">
        <v>179</v>
      </c>
      <c r="BO328" s="15" t="s">
        <v>4731</v>
      </c>
      <c r="BP328" s="15" t="s">
        <v>138</v>
      </c>
      <c r="BS328" s="19" t="s">
        <v>5433</v>
      </c>
      <c r="BT328" s="15" t="s">
        <v>804</v>
      </c>
      <c r="DH328" s="15" t="s">
        <v>17982</v>
      </c>
      <c r="DI328" s="15" t="s">
        <v>17982</v>
      </c>
    </row>
    <row r="329" spans="1:113" s="15" customFormat="1" ht="12.75" x14ac:dyDescent="0.2">
      <c r="A329" s="15" t="s">
        <v>109</v>
      </c>
      <c r="B329" s="15" t="s">
        <v>110</v>
      </c>
      <c r="D329" s="15" t="s">
        <v>111</v>
      </c>
      <c r="E329" s="15" t="s">
        <v>112</v>
      </c>
      <c r="F329" s="15" t="s">
        <v>111</v>
      </c>
      <c r="G329" s="15" t="s">
        <v>113</v>
      </c>
      <c r="H329" s="15" t="s">
        <v>1045</v>
      </c>
      <c r="J329" s="16" t="s">
        <v>114</v>
      </c>
      <c r="U329" s="15" t="s">
        <v>17977</v>
      </c>
      <c r="W329" s="15">
        <v>1047</v>
      </c>
      <c r="X329" s="15">
        <v>339</v>
      </c>
      <c r="Y329" s="15" t="s">
        <v>160</v>
      </c>
      <c r="Z329" s="15" t="s">
        <v>161</v>
      </c>
      <c r="AA329" s="15" t="s">
        <v>162</v>
      </c>
      <c r="AB329" s="15" t="s">
        <v>5434</v>
      </c>
      <c r="AC329" s="15" t="s">
        <v>5434</v>
      </c>
      <c r="AD329" s="15" t="s">
        <v>5434</v>
      </c>
      <c r="AE329" s="15" t="s">
        <v>164</v>
      </c>
      <c r="AF329" s="15" t="s">
        <v>5434</v>
      </c>
      <c r="AG329" s="15" t="s">
        <v>5434</v>
      </c>
      <c r="AH329" s="15" t="s">
        <v>5435</v>
      </c>
      <c r="AL329" s="15" t="s">
        <v>5427</v>
      </c>
      <c r="AN329" s="15">
        <v>743</v>
      </c>
      <c r="AO329" s="15" t="s">
        <v>5436</v>
      </c>
      <c r="AQ329" s="15" t="s">
        <v>168</v>
      </c>
      <c r="AT329" s="15" t="s">
        <v>5437</v>
      </c>
      <c r="AU329" s="15" t="s">
        <v>5438</v>
      </c>
      <c r="AV329" s="15" t="s">
        <v>5438</v>
      </c>
      <c r="AW329" s="15" t="s">
        <v>5439</v>
      </c>
      <c r="AX329" s="15" t="s">
        <v>5440</v>
      </c>
      <c r="AY329" s="15">
        <f t="shared" si="5"/>
        <v>60</v>
      </c>
      <c r="AZ329" s="15" t="s">
        <v>173</v>
      </c>
      <c r="BA329" s="15" t="s">
        <v>174</v>
      </c>
      <c r="BB329" s="15" t="s">
        <v>4730</v>
      </c>
      <c r="BC329" s="15" t="s">
        <v>4532</v>
      </c>
      <c r="BE329" s="15" t="s">
        <v>1597</v>
      </c>
      <c r="BJ329" s="15" t="s">
        <v>5394</v>
      </c>
      <c r="BN329" s="15" t="s">
        <v>179</v>
      </c>
      <c r="BO329" s="15" t="s">
        <v>4731</v>
      </c>
      <c r="BP329" s="15" t="s">
        <v>138</v>
      </c>
      <c r="BS329" s="19" t="s">
        <v>5441</v>
      </c>
      <c r="BT329" s="15" t="s">
        <v>804</v>
      </c>
      <c r="DH329" s="15" t="s">
        <v>17982</v>
      </c>
      <c r="DI329" s="15" t="s">
        <v>17982</v>
      </c>
    </row>
    <row r="330" spans="1:113" s="15" customFormat="1" ht="12.75" x14ac:dyDescent="0.2">
      <c r="A330" s="15" t="s">
        <v>109</v>
      </c>
      <c r="B330" s="15" t="s">
        <v>110</v>
      </c>
      <c r="D330" s="15" t="s">
        <v>111</v>
      </c>
      <c r="E330" s="15" t="s">
        <v>112</v>
      </c>
      <c r="F330" s="15" t="s">
        <v>111</v>
      </c>
      <c r="G330" s="15" t="s">
        <v>113</v>
      </c>
      <c r="H330" s="15" t="s">
        <v>1045</v>
      </c>
      <c r="J330" s="16" t="s">
        <v>114</v>
      </c>
      <c r="U330" s="15" t="s">
        <v>17977</v>
      </c>
      <c r="W330" s="15">
        <v>1049</v>
      </c>
      <c r="X330" s="15">
        <v>340</v>
      </c>
      <c r="Y330" s="15" t="s">
        <v>160</v>
      </c>
      <c r="Z330" s="15" t="s">
        <v>161</v>
      </c>
      <c r="AA330" s="15" t="s">
        <v>162</v>
      </c>
      <c r="AB330" s="15" t="s">
        <v>5451</v>
      </c>
      <c r="AC330" s="15" t="s">
        <v>5451</v>
      </c>
      <c r="AD330" s="15" t="s">
        <v>5451</v>
      </c>
      <c r="AE330" s="15" t="s">
        <v>164</v>
      </c>
      <c r="AF330" s="15" t="s">
        <v>5451</v>
      </c>
      <c r="AG330" s="15" t="s">
        <v>5451</v>
      </c>
      <c r="AH330" s="15" t="s">
        <v>5452</v>
      </c>
      <c r="AL330" s="15" t="s">
        <v>5453</v>
      </c>
      <c r="AN330" s="15">
        <v>743</v>
      </c>
      <c r="AO330" s="15" t="s">
        <v>5454</v>
      </c>
      <c r="AQ330" s="15" t="s">
        <v>168</v>
      </c>
      <c r="AT330" s="15" t="s">
        <v>5455</v>
      </c>
      <c r="AU330" s="15" t="s">
        <v>5456</v>
      </c>
      <c r="AV330" s="15" t="s">
        <v>5456</v>
      </c>
      <c r="AW330" s="15" t="s">
        <v>5457</v>
      </c>
      <c r="AX330" s="15" t="s">
        <v>5458</v>
      </c>
      <c r="AY330" s="15">
        <f t="shared" si="5"/>
        <v>57</v>
      </c>
      <c r="AZ330" s="15" t="s">
        <v>173</v>
      </c>
      <c r="BA330" s="15" t="s">
        <v>174</v>
      </c>
      <c r="BB330" s="15" t="s">
        <v>4730</v>
      </c>
      <c r="BC330" s="15" t="s">
        <v>4532</v>
      </c>
      <c r="BE330" s="15" t="s">
        <v>176</v>
      </c>
      <c r="BJ330" s="15" t="s">
        <v>5394</v>
      </c>
      <c r="BN330" s="15" t="s">
        <v>179</v>
      </c>
      <c r="BO330" s="15" t="s">
        <v>4731</v>
      </c>
      <c r="BP330" s="15" t="s">
        <v>138</v>
      </c>
      <c r="BS330" s="15" t="s">
        <v>5459</v>
      </c>
      <c r="BT330" s="15" t="s">
        <v>804</v>
      </c>
      <c r="DH330" s="15" t="s">
        <v>17982</v>
      </c>
      <c r="DI330" s="15" t="s">
        <v>17982</v>
      </c>
    </row>
    <row r="331" spans="1:113" s="15" customFormat="1" ht="12.75" x14ac:dyDescent="0.2">
      <c r="A331" s="15" t="s">
        <v>109</v>
      </c>
      <c r="B331" s="15" t="s">
        <v>110</v>
      </c>
      <c r="D331" s="15" t="s">
        <v>111</v>
      </c>
      <c r="E331" s="15" t="s">
        <v>112</v>
      </c>
      <c r="F331" s="15" t="s">
        <v>111</v>
      </c>
      <c r="G331" s="15" t="s">
        <v>113</v>
      </c>
      <c r="H331" s="15" t="s">
        <v>1045</v>
      </c>
      <c r="J331" s="16" t="s">
        <v>114</v>
      </c>
      <c r="U331" s="15" t="s">
        <v>17977</v>
      </c>
      <c r="W331" s="15">
        <v>1042</v>
      </c>
      <c r="X331" s="15">
        <v>341</v>
      </c>
      <c r="Y331" s="15" t="s">
        <v>160</v>
      </c>
      <c r="Z331" s="15" t="s">
        <v>161</v>
      </c>
      <c r="AA331" s="15" t="s">
        <v>162</v>
      </c>
      <c r="AB331" s="15" t="s">
        <v>5386</v>
      </c>
      <c r="AC331" s="15" t="s">
        <v>5386</v>
      </c>
      <c r="AD331" s="15" t="s">
        <v>5386</v>
      </c>
      <c r="AE331" s="15" t="s">
        <v>164</v>
      </c>
      <c r="AF331" s="15" t="s">
        <v>5386</v>
      </c>
      <c r="AG331" s="15" t="s">
        <v>5386</v>
      </c>
      <c r="AH331" s="15" t="s">
        <v>5387</v>
      </c>
      <c r="AL331" s="15" t="s">
        <v>5388</v>
      </c>
      <c r="AN331" s="15">
        <v>743</v>
      </c>
      <c r="AO331" s="15" t="s">
        <v>5389</v>
      </c>
      <c r="AQ331" s="15" t="s">
        <v>168</v>
      </c>
      <c r="AT331" s="15" t="s">
        <v>5390</v>
      </c>
      <c r="AU331" s="15" t="s">
        <v>5391</v>
      </c>
      <c r="AV331" s="15" t="s">
        <v>5391</v>
      </c>
      <c r="AW331" s="15" t="s">
        <v>5392</v>
      </c>
      <c r="AX331" s="15" t="s">
        <v>5393</v>
      </c>
      <c r="AY331" s="15">
        <f t="shared" si="5"/>
        <v>58</v>
      </c>
      <c r="AZ331" s="15" t="s">
        <v>173</v>
      </c>
      <c r="BA331" s="15" t="s">
        <v>174</v>
      </c>
      <c r="BB331" s="15" t="s">
        <v>4730</v>
      </c>
      <c r="BC331" s="15" t="s">
        <v>4532</v>
      </c>
      <c r="BE331" s="15" t="s">
        <v>564</v>
      </c>
      <c r="BJ331" s="15" t="s">
        <v>5394</v>
      </c>
      <c r="BN331" s="15" t="s">
        <v>179</v>
      </c>
      <c r="BO331" s="15" t="s">
        <v>4731</v>
      </c>
      <c r="BP331" s="15" t="s">
        <v>138</v>
      </c>
      <c r="BS331" s="19" t="s">
        <v>5395</v>
      </c>
      <c r="BT331" s="15" t="s">
        <v>804</v>
      </c>
      <c r="DH331" s="15" t="s">
        <v>17982</v>
      </c>
      <c r="DI331" s="15" t="s">
        <v>17982</v>
      </c>
    </row>
    <row r="332" spans="1:113" s="15" customFormat="1" ht="12.75" x14ac:dyDescent="0.2">
      <c r="A332" s="15" t="s">
        <v>109</v>
      </c>
      <c r="B332" s="15" t="s">
        <v>110</v>
      </c>
      <c r="D332" s="15" t="s">
        <v>111</v>
      </c>
      <c r="E332" s="15" t="s">
        <v>112</v>
      </c>
      <c r="F332" s="15" t="s">
        <v>111</v>
      </c>
      <c r="G332" s="15" t="s">
        <v>113</v>
      </c>
      <c r="H332" s="15" t="s">
        <v>1045</v>
      </c>
      <c r="J332" s="16" t="s">
        <v>114</v>
      </c>
      <c r="U332" s="15" t="s">
        <v>17977</v>
      </c>
      <c r="W332" s="15">
        <v>2271</v>
      </c>
      <c r="X332" s="15">
        <v>342</v>
      </c>
      <c r="Y332" s="15" t="s">
        <v>160</v>
      </c>
      <c r="Z332" s="15" t="s">
        <v>161</v>
      </c>
      <c r="AA332" s="15" t="s">
        <v>162</v>
      </c>
      <c r="AB332" s="15" t="s">
        <v>11272</v>
      </c>
      <c r="AC332" s="15" t="s">
        <v>11272</v>
      </c>
      <c r="AD332" s="15" t="s">
        <v>11272</v>
      </c>
      <c r="AE332" s="15" t="s">
        <v>164</v>
      </c>
      <c r="AF332" s="15" t="s">
        <v>11272</v>
      </c>
      <c r="AG332" s="15" t="s">
        <v>11272</v>
      </c>
      <c r="AH332" s="15" t="s">
        <v>11273</v>
      </c>
      <c r="AL332" s="15" t="s">
        <v>11274</v>
      </c>
      <c r="AN332" s="15">
        <v>743</v>
      </c>
      <c r="AO332" s="15" t="s">
        <v>11275</v>
      </c>
      <c r="AQ332" s="15" t="s">
        <v>168</v>
      </c>
      <c r="AT332" s="15" t="s">
        <v>11276</v>
      </c>
      <c r="AU332" s="15" t="s">
        <v>11277</v>
      </c>
      <c r="AV332" s="15" t="s">
        <v>11277</v>
      </c>
      <c r="AW332" s="15" t="s">
        <v>11278</v>
      </c>
      <c r="AX332" s="15" t="s">
        <v>11279</v>
      </c>
      <c r="AY332" s="15">
        <f t="shared" si="5"/>
        <v>58</v>
      </c>
      <c r="AZ332" s="15" t="s">
        <v>173</v>
      </c>
      <c r="BA332" s="15" t="s">
        <v>174</v>
      </c>
      <c r="BB332" s="15" t="s">
        <v>4026</v>
      </c>
      <c r="BC332" s="15" t="s">
        <v>4532</v>
      </c>
      <c r="BE332" s="15" t="s">
        <v>241</v>
      </c>
      <c r="BI332" s="15" t="s">
        <v>189</v>
      </c>
      <c r="BJ332" s="15" t="s">
        <v>5384</v>
      </c>
      <c r="BN332" s="15" t="s">
        <v>179</v>
      </c>
      <c r="BP332" s="15" t="s">
        <v>138</v>
      </c>
      <c r="BS332" s="15" t="s">
        <v>11280</v>
      </c>
      <c r="BT332" s="15" t="s">
        <v>804</v>
      </c>
      <c r="DH332" s="15" t="s">
        <v>17982</v>
      </c>
      <c r="DI332" s="15" t="s">
        <v>17982</v>
      </c>
    </row>
    <row r="333" spans="1:113" s="15" customFormat="1" ht="12.75" x14ac:dyDescent="0.2">
      <c r="A333" s="15" t="s">
        <v>109</v>
      </c>
      <c r="B333" s="15" t="s">
        <v>110</v>
      </c>
      <c r="D333" s="15" t="s">
        <v>111</v>
      </c>
      <c r="E333" s="15" t="s">
        <v>112</v>
      </c>
      <c r="F333" s="15" t="s">
        <v>111</v>
      </c>
      <c r="G333" s="15" t="s">
        <v>113</v>
      </c>
      <c r="H333" s="15" t="s">
        <v>1045</v>
      </c>
      <c r="J333" s="16" t="s">
        <v>114</v>
      </c>
      <c r="U333" s="15" t="s">
        <v>17977</v>
      </c>
      <c r="W333" s="15">
        <v>2272</v>
      </c>
      <c r="X333" s="15">
        <v>343</v>
      </c>
      <c r="Y333" s="15" t="s">
        <v>160</v>
      </c>
      <c r="Z333" s="15" t="s">
        <v>161</v>
      </c>
      <c r="AA333" s="15" t="s">
        <v>162</v>
      </c>
      <c r="AB333" s="15" t="s">
        <v>11281</v>
      </c>
      <c r="AC333" s="15" t="s">
        <v>11281</v>
      </c>
      <c r="AD333" s="15" t="s">
        <v>11281</v>
      </c>
      <c r="AE333" s="15" t="s">
        <v>164</v>
      </c>
      <c r="AF333" s="15" t="s">
        <v>11281</v>
      </c>
      <c r="AG333" s="15" t="s">
        <v>11281</v>
      </c>
      <c r="AH333" s="15" t="s">
        <v>11282</v>
      </c>
      <c r="AL333" s="15" t="s">
        <v>11274</v>
      </c>
      <c r="AN333" s="15">
        <v>743</v>
      </c>
      <c r="AO333" s="15" t="s">
        <v>11283</v>
      </c>
      <c r="AQ333" s="15" t="s">
        <v>168</v>
      </c>
      <c r="AT333" s="15" t="s">
        <v>11284</v>
      </c>
      <c r="AU333" s="15" t="s">
        <v>11285</v>
      </c>
      <c r="AV333" s="15" t="s">
        <v>11285</v>
      </c>
      <c r="AW333" s="15" t="s">
        <v>11286</v>
      </c>
      <c r="AX333" s="15" t="s">
        <v>11287</v>
      </c>
      <c r="AY333" s="15">
        <f t="shared" si="5"/>
        <v>60</v>
      </c>
      <c r="AZ333" s="15" t="s">
        <v>173</v>
      </c>
      <c r="BA333" s="15" t="s">
        <v>174</v>
      </c>
      <c r="BB333" s="15" t="s">
        <v>4026</v>
      </c>
      <c r="BC333" s="15" t="s">
        <v>4532</v>
      </c>
      <c r="BE333" s="18" t="s">
        <v>1597</v>
      </c>
      <c r="BJ333" s="15" t="s">
        <v>5384</v>
      </c>
      <c r="BN333" s="15" t="s">
        <v>179</v>
      </c>
      <c r="BP333" s="15" t="s">
        <v>138</v>
      </c>
      <c r="BS333" s="15" t="s">
        <v>11288</v>
      </c>
      <c r="BT333" s="15" t="s">
        <v>804</v>
      </c>
      <c r="DH333" s="15" t="s">
        <v>17982</v>
      </c>
      <c r="DI333" s="15" t="s">
        <v>17982</v>
      </c>
    </row>
    <row r="334" spans="1:113" s="15" customFormat="1" ht="12.75" x14ac:dyDescent="0.2">
      <c r="A334" s="15" t="s">
        <v>109</v>
      </c>
      <c r="B334" s="15" t="s">
        <v>110</v>
      </c>
      <c r="D334" s="15" t="s">
        <v>111</v>
      </c>
      <c r="E334" s="15" t="s">
        <v>112</v>
      </c>
      <c r="F334" s="15" t="s">
        <v>111</v>
      </c>
      <c r="G334" s="15" t="s">
        <v>113</v>
      </c>
      <c r="H334" s="15" t="s">
        <v>1045</v>
      </c>
      <c r="J334" s="16" t="s">
        <v>114</v>
      </c>
      <c r="U334" s="15" t="s">
        <v>17977</v>
      </c>
      <c r="W334" s="15">
        <v>994</v>
      </c>
      <c r="X334" s="15">
        <v>344</v>
      </c>
      <c r="Y334" s="15" t="s">
        <v>160</v>
      </c>
      <c r="Z334" s="15" t="s">
        <v>161</v>
      </c>
      <c r="AA334" s="15" t="s">
        <v>162</v>
      </c>
      <c r="AB334" s="15" t="s">
        <v>4931</v>
      </c>
      <c r="AC334" s="15" t="s">
        <v>4931</v>
      </c>
      <c r="AD334" s="15" t="s">
        <v>4931</v>
      </c>
      <c r="AE334" s="15" t="s">
        <v>164</v>
      </c>
      <c r="AF334" s="15" t="s">
        <v>4931</v>
      </c>
      <c r="AG334" s="15" t="s">
        <v>4931</v>
      </c>
      <c r="AH334" s="15" t="s">
        <v>4932</v>
      </c>
      <c r="AL334" s="15" t="s">
        <v>4933</v>
      </c>
      <c r="AN334" s="15">
        <v>743</v>
      </c>
      <c r="AO334" s="15" t="s">
        <v>4934</v>
      </c>
      <c r="AQ334" s="15" t="s">
        <v>168</v>
      </c>
      <c r="AT334" s="15" t="s">
        <v>4935</v>
      </c>
      <c r="AU334" s="15" t="s">
        <v>4936</v>
      </c>
      <c r="AV334" s="15" t="s">
        <v>4936</v>
      </c>
      <c r="AW334" s="15" t="s">
        <v>4937</v>
      </c>
      <c r="AX334" s="15" t="s">
        <v>4938</v>
      </c>
      <c r="AY334" s="15">
        <f t="shared" si="5"/>
        <v>54</v>
      </c>
      <c r="AZ334" s="15" t="s">
        <v>173</v>
      </c>
      <c r="BA334" s="15" t="s">
        <v>174</v>
      </c>
      <c r="BB334" s="15" t="s">
        <v>4939</v>
      </c>
      <c r="BC334" s="15" t="s">
        <v>4920</v>
      </c>
      <c r="BE334" s="15" t="s">
        <v>241</v>
      </c>
      <c r="BJ334" s="15" t="s">
        <v>4940</v>
      </c>
      <c r="BN334" s="15" t="s">
        <v>179</v>
      </c>
      <c r="BO334" s="15" t="s">
        <v>4731</v>
      </c>
      <c r="BP334" s="15" t="s">
        <v>138</v>
      </c>
      <c r="BS334" s="15" t="s">
        <v>4941</v>
      </c>
      <c r="BT334" s="15" t="s">
        <v>804</v>
      </c>
      <c r="DH334" s="15" t="s">
        <v>17982</v>
      </c>
      <c r="DI334" s="15" t="s">
        <v>17982</v>
      </c>
    </row>
    <row r="335" spans="1:113" s="15" customFormat="1" ht="12.75" x14ac:dyDescent="0.2">
      <c r="A335" s="15" t="s">
        <v>109</v>
      </c>
      <c r="B335" s="15" t="s">
        <v>110</v>
      </c>
      <c r="D335" s="15" t="s">
        <v>111</v>
      </c>
      <c r="E335" s="15" t="s">
        <v>112</v>
      </c>
      <c r="F335" s="15" t="s">
        <v>111</v>
      </c>
      <c r="G335" s="15" t="s">
        <v>113</v>
      </c>
      <c r="H335" s="15" t="s">
        <v>1045</v>
      </c>
      <c r="J335" s="16" t="s">
        <v>114</v>
      </c>
      <c r="U335" s="15" t="s">
        <v>17977</v>
      </c>
      <c r="W335" s="15">
        <v>1359</v>
      </c>
      <c r="X335" s="15">
        <v>345</v>
      </c>
      <c r="Y335" s="15" t="s">
        <v>160</v>
      </c>
      <c r="Z335" s="15" t="s">
        <v>161</v>
      </c>
      <c r="AA335" s="15" t="s">
        <v>162</v>
      </c>
      <c r="AB335" s="15" t="s">
        <v>7009</v>
      </c>
      <c r="AC335" s="15" t="s">
        <v>7009</v>
      </c>
      <c r="AD335" s="15" t="s">
        <v>7009</v>
      </c>
      <c r="AE335" s="15" t="s">
        <v>164</v>
      </c>
      <c r="AF335" s="15" t="s">
        <v>7009</v>
      </c>
      <c r="AG335" s="15" t="s">
        <v>7009</v>
      </c>
      <c r="AH335" s="15" t="s">
        <v>7010</v>
      </c>
      <c r="AL335" s="15" t="s">
        <v>7011</v>
      </c>
      <c r="AN335" s="15">
        <v>743</v>
      </c>
      <c r="AO335" s="15" t="s">
        <v>7012</v>
      </c>
      <c r="AQ335" s="15" t="s">
        <v>168</v>
      </c>
      <c r="AT335" s="15" t="s">
        <v>7013</v>
      </c>
      <c r="AU335" s="15" t="s">
        <v>7014</v>
      </c>
      <c r="AV335" s="15" t="s">
        <v>7014</v>
      </c>
      <c r="AW335" s="15" t="s">
        <v>7015</v>
      </c>
      <c r="AX335" s="15" t="s">
        <v>7015</v>
      </c>
      <c r="AY335" s="15">
        <f t="shared" si="5"/>
        <v>57</v>
      </c>
      <c r="AZ335" s="15" t="s">
        <v>173</v>
      </c>
      <c r="BA335" s="15" t="s">
        <v>174</v>
      </c>
      <c r="BB335" s="15" t="s">
        <v>4968</v>
      </c>
      <c r="BC335" s="15" t="s">
        <v>863</v>
      </c>
      <c r="BE335" s="15" t="s">
        <v>275</v>
      </c>
      <c r="BJ335" s="15" t="s">
        <v>4969</v>
      </c>
      <c r="BN335" s="15" t="s">
        <v>179</v>
      </c>
      <c r="BP335" s="15" t="s">
        <v>138</v>
      </c>
      <c r="BS335" s="15" t="s">
        <v>7016</v>
      </c>
      <c r="BT335" s="15" t="s">
        <v>804</v>
      </c>
      <c r="DH335" s="15" t="s">
        <v>17982</v>
      </c>
      <c r="DI335" s="15" t="s">
        <v>17982</v>
      </c>
    </row>
    <row r="336" spans="1:113" s="15" customFormat="1" ht="12.75" x14ac:dyDescent="0.2">
      <c r="A336" s="15" t="s">
        <v>109</v>
      </c>
      <c r="B336" s="15" t="s">
        <v>110</v>
      </c>
      <c r="D336" s="15" t="s">
        <v>111</v>
      </c>
      <c r="E336" s="15" t="s">
        <v>112</v>
      </c>
      <c r="F336" s="15" t="s">
        <v>111</v>
      </c>
      <c r="G336" s="15" t="s">
        <v>113</v>
      </c>
      <c r="H336" s="15" t="s">
        <v>1045</v>
      </c>
      <c r="J336" s="16" t="s">
        <v>114</v>
      </c>
      <c r="U336" s="15" t="s">
        <v>17977</v>
      </c>
      <c r="W336" s="15">
        <v>998</v>
      </c>
      <c r="X336" s="15">
        <v>346</v>
      </c>
      <c r="Y336" s="15" t="s">
        <v>160</v>
      </c>
      <c r="Z336" s="15" t="s">
        <v>161</v>
      </c>
      <c r="AA336" s="15" t="s">
        <v>162</v>
      </c>
      <c r="AB336" s="15" t="s">
        <v>4971</v>
      </c>
      <c r="AC336" s="15" t="s">
        <v>4971</v>
      </c>
      <c r="AD336" s="15" t="s">
        <v>4971</v>
      </c>
      <c r="AE336" s="15" t="s">
        <v>164</v>
      </c>
      <c r="AF336" s="15" t="s">
        <v>4971</v>
      </c>
      <c r="AG336" s="15" t="s">
        <v>4971</v>
      </c>
      <c r="AH336" s="15" t="s">
        <v>4972</v>
      </c>
      <c r="AL336" s="15" t="s">
        <v>4973</v>
      </c>
      <c r="AN336" s="15">
        <v>743</v>
      </c>
      <c r="AO336" s="15" t="s">
        <v>4974</v>
      </c>
      <c r="AQ336" s="15" t="s">
        <v>168</v>
      </c>
      <c r="AT336" s="15" t="s">
        <v>4975</v>
      </c>
      <c r="AU336" s="15" t="s">
        <v>4976</v>
      </c>
      <c r="AV336" s="15" t="s">
        <v>4976</v>
      </c>
      <c r="AW336" s="15" t="s">
        <v>4977</v>
      </c>
      <c r="AX336" s="15" t="s">
        <v>4977</v>
      </c>
      <c r="AY336" s="15">
        <f t="shared" si="5"/>
        <v>57</v>
      </c>
      <c r="AZ336" s="15" t="s">
        <v>173</v>
      </c>
      <c r="BA336" s="15" t="s">
        <v>174</v>
      </c>
      <c r="BB336" s="15" t="s">
        <v>4978</v>
      </c>
      <c r="BC336" s="15" t="s">
        <v>863</v>
      </c>
      <c r="BE336" s="15" t="s">
        <v>1123</v>
      </c>
      <c r="BJ336" s="15" t="s">
        <v>4969</v>
      </c>
      <c r="BN336" s="15" t="s">
        <v>179</v>
      </c>
      <c r="BO336" s="15" t="s">
        <v>4731</v>
      </c>
      <c r="BP336" s="15" t="s">
        <v>138</v>
      </c>
      <c r="BS336" s="15" t="s">
        <v>4979</v>
      </c>
      <c r="BT336" s="15" t="s">
        <v>804</v>
      </c>
      <c r="DH336" s="15" t="s">
        <v>17982</v>
      </c>
      <c r="DI336" s="15" t="s">
        <v>17982</v>
      </c>
    </row>
    <row r="337" spans="1:113" s="15" customFormat="1" ht="12.75" x14ac:dyDescent="0.2">
      <c r="A337" s="15" t="s">
        <v>109</v>
      </c>
      <c r="B337" s="15" t="s">
        <v>110</v>
      </c>
      <c r="D337" s="15" t="s">
        <v>111</v>
      </c>
      <c r="E337" s="15" t="s">
        <v>112</v>
      </c>
      <c r="F337" s="15" t="s">
        <v>111</v>
      </c>
      <c r="G337" s="15" t="s">
        <v>113</v>
      </c>
      <c r="H337" s="15" t="s">
        <v>1045</v>
      </c>
      <c r="J337" s="16" t="s">
        <v>114</v>
      </c>
      <c r="U337" s="15" t="s">
        <v>17977</v>
      </c>
      <c r="W337" s="15">
        <v>999</v>
      </c>
      <c r="X337" s="15">
        <v>347</v>
      </c>
      <c r="Y337" s="15" t="s">
        <v>160</v>
      </c>
      <c r="Z337" s="15" t="s">
        <v>161</v>
      </c>
      <c r="AA337" s="15" t="s">
        <v>162</v>
      </c>
      <c r="AB337" s="15" t="s">
        <v>4980</v>
      </c>
      <c r="AC337" s="15" t="s">
        <v>4980</v>
      </c>
      <c r="AD337" s="15" t="s">
        <v>4980</v>
      </c>
      <c r="AE337" s="15" t="s">
        <v>164</v>
      </c>
      <c r="AF337" s="15" t="s">
        <v>4980</v>
      </c>
      <c r="AG337" s="15" t="s">
        <v>4980</v>
      </c>
      <c r="AH337" s="15" t="s">
        <v>4981</v>
      </c>
      <c r="AL337" s="15" t="s">
        <v>4982</v>
      </c>
      <c r="AN337" s="15">
        <v>743</v>
      </c>
      <c r="AO337" s="15" t="s">
        <v>4983</v>
      </c>
      <c r="AQ337" s="15" t="s">
        <v>168</v>
      </c>
      <c r="AT337" s="15" t="s">
        <v>4984</v>
      </c>
      <c r="AU337" s="15" t="s">
        <v>4985</v>
      </c>
      <c r="AV337" s="15" t="s">
        <v>4985</v>
      </c>
      <c r="AW337" s="15" t="s">
        <v>4986</v>
      </c>
      <c r="AX337" s="15" t="s">
        <v>4986</v>
      </c>
      <c r="AY337" s="15">
        <f t="shared" si="5"/>
        <v>57</v>
      </c>
      <c r="AZ337" s="15" t="s">
        <v>173</v>
      </c>
      <c r="BA337" s="15" t="s">
        <v>174</v>
      </c>
      <c r="BB337" s="15" t="s">
        <v>4978</v>
      </c>
      <c r="BC337" s="15" t="s">
        <v>863</v>
      </c>
      <c r="BE337" s="15" t="s">
        <v>275</v>
      </c>
      <c r="BJ337" s="15" t="s">
        <v>4969</v>
      </c>
      <c r="BN337" s="15" t="s">
        <v>179</v>
      </c>
      <c r="BO337" s="15" t="s">
        <v>4731</v>
      </c>
      <c r="BP337" s="15" t="s">
        <v>138</v>
      </c>
      <c r="BS337" s="15" t="s">
        <v>4987</v>
      </c>
      <c r="BT337" s="15" t="s">
        <v>804</v>
      </c>
      <c r="DH337" s="15" t="s">
        <v>17982</v>
      </c>
      <c r="DI337" s="15" t="s">
        <v>17982</v>
      </c>
    </row>
    <row r="338" spans="1:113" s="15" customFormat="1" ht="12.75" x14ac:dyDescent="0.2">
      <c r="A338" s="15" t="s">
        <v>109</v>
      </c>
      <c r="B338" s="15" t="s">
        <v>110</v>
      </c>
      <c r="D338" s="15" t="s">
        <v>111</v>
      </c>
      <c r="E338" s="15" t="s">
        <v>112</v>
      </c>
      <c r="F338" s="15" t="s">
        <v>111</v>
      </c>
      <c r="G338" s="15" t="s">
        <v>113</v>
      </c>
      <c r="H338" s="15" t="s">
        <v>1045</v>
      </c>
      <c r="J338" s="16" t="s">
        <v>114</v>
      </c>
      <c r="U338" s="15" t="s">
        <v>17977</v>
      </c>
      <c r="W338" s="15">
        <v>1037</v>
      </c>
      <c r="X338" s="15">
        <v>348</v>
      </c>
      <c r="Y338" s="15" t="s">
        <v>160</v>
      </c>
      <c r="Z338" s="15" t="s">
        <v>161</v>
      </c>
      <c r="AA338" s="15" t="s">
        <v>162</v>
      </c>
      <c r="AB338" s="15" t="s">
        <v>5340</v>
      </c>
      <c r="AC338" s="15" t="s">
        <v>5340</v>
      </c>
      <c r="AD338" s="15" t="s">
        <v>5340</v>
      </c>
      <c r="AE338" s="15" t="s">
        <v>164</v>
      </c>
      <c r="AF338" s="15" t="s">
        <v>5340</v>
      </c>
      <c r="AG338" s="15" t="s">
        <v>5340</v>
      </c>
      <c r="AH338" s="15" t="s">
        <v>5341</v>
      </c>
      <c r="AL338" s="15" t="s">
        <v>5342</v>
      </c>
      <c r="AN338" s="15">
        <v>743</v>
      </c>
      <c r="AO338" s="15" t="s">
        <v>5343</v>
      </c>
      <c r="AQ338" s="15" t="s">
        <v>168</v>
      </c>
      <c r="AT338" s="15" t="s">
        <v>5344</v>
      </c>
      <c r="AU338" s="15" t="s">
        <v>5345</v>
      </c>
      <c r="AV338" s="15" t="s">
        <v>5345</v>
      </c>
      <c r="AW338" s="15" t="s">
        <v>5346</v>
      </c>
      <c r="AX338" s="15" t="s">
        <v>5347</v>
      </c>
      <c r="AY338" s="15">
        <f t="shared" si="5"/>
        <v>58</v>
      </c>
      <c r="AZ338" s="15" t="s">
        <v>173</v>
      </c>
      <c r="BA338" s="15" t="s">
        <v>174</v>
      </c>
      <c r="BB338" s="15" t="s">
        <v>4730</v>
      </c>
      <c r="BC338" s="15" t="s">
        <v>4532</v>
      </c>
      <c r="BE338" s="15" t="s">
        <v>241</v>
      </c>
      <c r="BJ338" s="15" t="s">
        <v>5348</v>
      </c>
      <c r="BN338" s="15" t="s">
        <v>179</v>
      </c>
      <c r="BO338" s="15" t="s">
        <v>4731</v>
      </c>
      <c r="BP338" s="15" t="s">
        <v>138</v>
      </c>
      <c r="BS338" s="19" t="s">
        <v>5349</v>
      </c>
      <c r="BT338" s="15" t="s">
        <v>804</v>
      </c>
      <c r="DH338" s="15" t="s">
        <v>17982</v>
      </c>
      <c r="DI338" s="15" t="s">
        <v>17982</v>
      </c>
    </row>
    <row r="339" spans="1:113" s="15" customFormat="1" ht="12.75" x14ac:dyDescent="0.2">
      <c r="A339" s="15" t="s">
        <v>109</v>
      </c>
      <c r="B339" s="15" t="s">
        <v>110</v>
      </c>
      <c r="D339" s="15" t="s">
        <v>111</v>
      </c>
      <c r="E339" s="15" t="s">
        <v>112</v>
      </c>
      <c r="F339" s="15" t="s">
        <v>111</v>
      </c>
      <c r="G339" s="15" t="s">
        <v>113</v>
      </c>
      <c r="H339" s="15" t="s">
        <v>1045</v>
      </c>
      <c r="J339" s="16" t="s">
        <v>114</v>
      </c>
      <c r="U339" s="15" t="s">
        <v>17977</v>
      </c>
      <c r="W339" s="15">
        <v>1038</v>
      </c>
      <c r="X339" s="15">
        <v>349</v>
      </c>
      <c r="Y339" s="15" t="s">
        <v>160</v>
      </c>
      <c r="Z339" s="15" t="s">
        <v>161</v>
      </c>
      <c r="AA339" s="15" t="s">
        <v>162</v>
      </c>
      <c r="AB339" s="15" t="s">
        <v>5350</v>
      </c>
      <c r="AC339" s="15" t="s">
        <v>5350</v>
      </c>
      <c r="AD339" s="15" t="s">
        <v>5350</v>
      </c>
      <c r="AE339" s="15" t="s">
        <v>164</v>
      </c>
      <c r="AF339" s="15" t="s">
        <v>5350</v>
      </c>
      <c r="AG339" s="15" t="s">
        <v>5350</v>
      </c>
      <c r="AH339" s="15" t="s">
        <v>5351</v>
      </c>
      <c r="AL339" s="15" t="s">
        <v>5342</v>
      </c>
      <c r="AN339" s="15">
        <v>743</v>
      </c>
      <c r="AO339" s="15" t="s">
        <v>5352</v>
      </c>
      <c r="AQ339" s="15" t="s">
        <v>168</v>
      </c>
      <c r="AT339" s="15" t="s">
        <v>5353</v>
      </c>
      <c r="AU339" s="15" t="s">
        <v>5354</v>
      </c>
      <c r="AV339" s="15" t="s">
        <v>5354</v>
      </c>
      <c r="AW339" s="15" t="s">
        <v>5355</v>
      </c>
      <c r="AX339" s="15" t="s">
        <v>5356</v>
      </c>
      <c r="AY339" s="15">
        <f t="shared" si="5"/>
        <v>57</v>
      </c>
      <c r="AZ339" s="15" t="s">
        <v>173</v>
      </c>
      <c r="BA339" s="15" t="s">
        <v>174</v>
      </c>
      <c r="BB339" s="15" t="s">
        <v>4730</v>
      </c>
      <c r="BC339" s="15" t="s">
        <v>4532</v>
      </c>
      <c r="BE339" s="18" t="s">
        <v>1597</v>
      </c>
      <c r="BJ339" s="15" t="s">
        <v>5348</v>
      </c>
      <c r="BN339" s="15" t="s">
        <v>179</v>
      </c>
      <c r="BO339" s="15" t="s">
        <v>4731</v>
      </c>
      <c r="BP339" s="15" t="s">
        <v>138</v>
      </c>
      <c r="BS339" s="15" t="s">
        <v>5357</v>
      </c>
      <c r="BT339" s="15" t="s">
        <v>804</v>
      </c>
      <c r="DH339" s="15" t="s">
        <v>17982</v>
      </c>
      <c r="DI339" s="15" t="s">
        <v>17982</v>
      </c>
    </row>
    <row r="340" spans="1:113" s="15" customFormat="1" ht="12.75" x14ac:dyDescent="0.2">
      <c r="A340" s="15" t="s">
        <v>109</v>
      </c>
      <c r="B340" s="15" t="s">
        <v>110</v>
      </c>
      <c r="D340" s="15" t="s">
        <v>111</v>
      </c>
      <c r="E340" s="15" t="s">
        <v>112</v>
      </c>
      <c r="F340" s="15" t="s">
        <v>111</v>
      </c>
      <c r="G340" s="15" t="s">
        <v>113</v>
      </c>
      <c r="H340" s="15" t="s">
        <v>1045</v>
      </c>
      <c r="J340" s="16" t="s">
        <v>114</v>
      </c>
      <c r="U340" s="15" t="s">
        <v>17977</v>
      </c>
      <c r="W340" s="15">
        <v>1039</v>
      </c>
      <c r="X340" s="15">
        <v>350</v>
      </c>
      <c r="Y340" s="15" t="s">
        <v>160</v>
      </c>
      <c r="Z340" s="15" t="s">
        <v>161</v>
      </c>
      <c r="AA340" s="15" t="s">
        <v>162</v>
      </c>
      <c r="AB340" s="15" t="s">
        <v>5358</v>
      </c>
      <c r="AC340" s="15" t="s">
        <v>5358</v>
      </c>
      <c r="AD340" s="15" t="s">
        <v>5358</v>
      </c>
      <c r="AE340" s="15" t="s">
        <v>164</v>
      </c>
      <c r="AF340" s="15" t="s">
        <v>5358</v>
      </c>
      <c r="AG340" s="15" t="s">
        <v>5358</v>
      </c>
      <c r="AH340" s="15" t="s">
        <v>5359</v>
      </c>
      <c r="AL340" s="15" t="s">
        <v>5360</v>
      </c>
      <c r="AN340" s="15">
        <v>743</v>
      </c>
      <c r="AO340" s="15" t="s">
        <v>5361</v>
      </c>
      <c r="AQ340" s="15" t="s">
        <v>168</v>
      </c>
      <c r="AT340" s="15" t="s">
        <v>5362</v>
      </c>
      <c r="AU340" s="15" t="s">
        <v>5363</v>
      </c>
      <c r="AV340" s="15" t="s">
        <v>5363</v>
      </c>
      <c r="AW340" s="15" t="s">
        <v>5364</v>
      </c>
      <c r="AX340" s="15" t="s">
        <v>5365</v>
      </c>
      <c r="AY340" s="15">
        <f t="shared" si="5"/>
        <v>58</v>
      </c>
      <c r="AZ340" s="15" t="s">
        <v>173</v>
      </c>
      <c r="BA340" s="15" t="s">
        <v>174</v>
      </c>
      <c r="BB340" s="15" t="s">
        <v>4730</v>
      </c>
      <c r="BC340" s="15" t="s">
        <v>646</v>
      </c>
      <c r="BE340" s="15" t="s">
        <v>241</v>
      </c>
      <c r="BJ340" s="15" t="s">
        <v>5366</v>
      </c>
      <c r="BN340" s="15" t="s">
        <v>179</v>
      </c>
      <c r="BO340" s="15" t="s">
        <v>4731</v>
      </c>
      <c r="BP340" s="15" t="s">
        <v>138</v>
      </c>
      <c r="BS340" s="15" t="s">
        <v>5367</v>
      </c>
      <c r="BT340" s="15" t="s">
        <v>804</v>
      </c>
      <c r="DH340" s="15" t="s">
        <v>17982</v>
      </c>
      <c r="DI340" s="15" t="s">
        <v>17982</v>
      </c>
    </row>
    <row r="341" spans="1:113" s="15" customFormat="1" ht="12.75" x14ac:dyDescent="0.2">
      <c r="A341" s="15" t="s">
        <v>109</v>
      </c>
      <c r="B341" s="15" t="s">
        <v>110</v>
      </c>
      <c r="D341" s="15" t="s">
        <v>111</v>
      </c>
      <c r="E341" s="15" t="s">
        <v>112</v>
      </c>
      <c r="F341" s="15" t="s">
        <v>111</v>
      </c>
      <c r="G341" s="15" t="s">
        <v>113</v>
      </c>
      <c r="H341" s="15" t="s">
        <v>1045</v>
      </c>
      <c r="J341" s="16" t="s">
        <v>114</v>
      </c>
      <c r="U341" s="15" t="s">
        <v>17977</v>
      </c>
      <c r="W341" s="15">
        <v>1040</v>
      </c>
      <c r="X341" s="15">
        <v>351</v>
      </c>
      <c r="Y341" s="15" t="s">
        <v>160</v>
      </c>
      <c r="Z341" s="15" t="s">
        <v>161</v>
      </c>
      <c r="AA341" s="15" t="s">
        <v>162</v>
      </c>
      <c r="AB341" s="15" t="s">
        <v>5368</v>
      </c>
      <c r="AC341" s="15" t="s">
        <v>5368</v>
      </c>
      <c r="AD341" s="15" t="s">
        <v>5368</v>
      </c>
      <c r="AE341" s="15" t="s">
        <v>164</v>
      </c>
      <c r="AF341" s="15" t="s">
        <v>5368</v>
      </c>
      <c r="AG341" s="15" t="s">
        <v>5368</v>
      </c>
      <c r="AH341" s="15" t="s">
        <v>5369</v>
      </c>
      <c r="AL341" s="15" t="s">
        <v>5360</v>
      </c>
      <c r="AN341" s="15">
        <v>743</v>
      </c>
      <c r="AO341" s="15" t="s">
        <v>5370</v>
      </c>
      <c r="AQ341" s="15" t="s">
        <v>168</v>
      </c>
      <c r="AT341" s="15" t="s">
        <v>5371</v>
      </c>
      <c r="AU341" s="15" t="s">
        <v>5372</v>
      </c>
      <c r="AV341" s="15" t="s">
        <v>5372</v>
      </c>
      <c r="AW341" s="15" t="s">
        <v>5373</v>
      </c>
      <c r="AX341" s="15" t="s">
        <v>5374</v>
      </c>
      <c r="AY341" s="15">
        <f t="shared" si="5"/>
        <v>57</v>
      </c>
      <c r="AZ341" s="15" t="s">
        <v>173</v>
      </c>
      <c r="BA341" s="15" t="s">
        <v>174</v>
      </c>
      <c r="BB341" s="15" t="s">
        <v>4730</v>
      </c>
      <c r="BC341" s="15" t="s">
        <v>646</v>
      </c>
      <c r="BE341" s="15" t="s">
        <v>1597</v>
      </c>
      <c r="BJ341" s="15" t="s">
        <v>5366</v>
      </c>
      <c r="BN341" s="15" t="s">
        <v>179</v>
      </c>
      <c r="BO341" s="15" t="s">
        <v>4731</v>
      </c>
      <c r="BP341" s="15" t="s">
        <v>138</v>
      </c>
      <c r="BS341" s="19" t="s">
        <v>5375</v>
      </c>
      <c r="BT341" s="15" t="s">
        <v>804</v>
      </c>
      <c r="DH341" s="15" t="s">
        <v>17982</v>
      </c>
      <c r="DI341" s="15" t="s">
        <v>17982</v>
      </c>
    </row>
    <row r="342" spans="1:113" s="15" customFormat="1" ht="12.75" x14ac:dyDescent="0.2">
      <c r="A342" s="15" t="s">
        <v>109</v>
      </c>
      <c r="B342" s="15" t="s">
        <v>110</v>
      </c>
      <c r="D342" s="15" t="s">
        <v>111</v>
      </c>
      <c r="E342" s="15" t="s">
        <v>112</v>
      </c>
      <c r="F342" s="15" t="s">
        <v>111</v>
      </c>
      <c r="G342" s="15" t="s">
        <v>113</v>
      </c>
      <c r="H342" s="15" t="s">
        <v>1045</v>
      </c>
      <c r="J342" s="16" t="s">
        <v>114</v>
      </c>
      <c r="U342" s="15" t="s">
        <v>17977</v>
      </c>
      <c r="W342" s="15">
        <v>1043</v>
      </c>
      <c r="X342" s="15">
        <v>352</v>
      </c>
      <c r="Y342" s="15" t="s">
        <v>160</v>
      </c>
      <c r="Z342" s="15" t="s">
        <v>161</v>
      </c>
      <c r="AA342" s="15" t="s">
        <v>162</v>
      </c>
      <c r="AB342" s="15" t="s">
        <v>5396</v>
      </c>
      <c r="AC342" s="15" t="s">
        <v>5396</v>
      </c>
      <c r="AD342" s="15" t="s">
        <v>5396</v>
      </c>
      <c r="AE342" s="15" t="s">
        <v>164</v>
      </c>
      <c r="AF342" s="15" t="s">
        <v>5396</v>
      </c>
      <c r="AG342" s="15" t="s">
        <v>5396</v>
      </c>
      <c r="AH342" s="15" t="s">
        <v>5397</v>
      </c>
      <c r="AL342" s="15" t="s">
        <v>5398</v>
      </c>
      <c r="AN342" s="15">
        <v>743</v>
      </c>
      <c r="AO342" s="15" t="s">
        <v>5399</v>
      </c>
      <c r="AQ342" s="15" t="s">
        <v>168</v>
      </c>
      <c r="AT342" s="15" t="s">
        <v>5400</v>
      </c>
      <c r="AU342" s="15" t="s">
        <v>5401</v>
      </c>
      <c r="AV342" s="15" t="s">
        <v>5401</v>
      </c>
      <c r="AW342" s="15" t="s">
        <v>5402</v>
      </c>
      <c r="AX342" s="15" t="s">
        <v>5403</v>
      </c>
      <c r="AY342" s="15">
        <f t="shared" si="5"/>
        <v>54</v>
      </c>
      <c r="AZ342" s="15" t="s">
        <v>173</v>
      </c>
      <c r="BA342" s="15" t="s">
        <v>174</v>
      </c>
      <c r="BB342" s="15" t="s">
        <v>4730</v>
      </c>
      <c r="BC342" s="15" t="s">
        <v>4532</v>
      </c>
      <c r="BE342" s="15" t="s">
        <v>241</v>
      </c>
      <c r="BJ342" s="15" t="s">
        <v>5404</v>
      </c>
      <c r="BN342" s="15" t="s">
        <v>179</v>
      </c>
      <c r="BO342" s="15" t="s">
        <v>4731</v>
      </c>
      <c r="BP342" s="15" t="s">
        <v>138</v>
      </c>
      <c r="BS342" s="15" t="s">
        <v>5405</v>
      </c>
      <c r="BT342" s="15" t="s">
        <v>804</v>
      </c>
      <c r="DH342" s="15" t="s">
        <v>17982</v>
      </c>
      <c r="DI342" s="15" t="s">
        <v>17982</v>
      </c>
    </row>
    <row r="343" spans="1:113" s="15" customFormat="1" ht="12.75" x14ac:dyDescent="0.2">
      <c r="A343" s="15" t="s">
        <v>109</v>
      </c>
      <c r="B343" s="15" t="s">
        <v>110</v>
      </c>
      <c r="D343" s="15" t="s">
        <v>111</v>
      </c>
      <c r="E343" s="15" t="s">
        <v>112</v>
      </c>
      <c r="F343" s="15" t="s">
        <v>111</v>
      </c>
      <c r="G343" s="15" t="s">
        <v>113</v>
      </c>
      <c r="H343" s="15" t="s">
        <v>1045</v>
      </c>
      <c r="J343" s="16" t="s">
        <v>114</v>
      </c>
      <c r="U343" s="15" t="s">
        <v>17977</v>
      </c>
      <c r="W343" s="15">
        <v>990</v>
      </c>
      <c r="X343" s="15">
        <v>353</v>
      </c>
      <c r="Y343" s="15" t="s">
        <v>160</v>
      </c>
      <c r="Z343" s="15" t="s">
        <v>161</v>
      </c>
      <c r="AA343" s="15" t="s">
        <v>162</v>
      </c>
      <c r="AB343" s="15" t="s">
        <v>4889</v>
      </c>
      <c r="AC343" s="15" t="s">
        <v>4889</v>
      </c>
      <c r="AD343" s="15" t="s">
        <v>4889</v>
      </c>
      <c r="AE343" s="15" t="s">
        <v>164</v>
      </c>
      <c r="AF343" s="15" t="s">
        <v>4889</v>
      </c>
      <c r="AG343" s="15" t="s">
        <v>4889</v>
      </c>
      <c r="AH343" s="15" t="s">
        <v>4890</v>
      </c>
      <c r="AL343" s="15" t="s">
        <v>4891</v>
      </c>
      <c r="AN343" s="15">
        <v>743</v>
      </c>
      <c r="AO343" s="15" t="s">
        <v>4892</v>
      </c>
      <c r="AQ343" s="15" t="s">
        <v>168</v>
      </c>
      <c r="AT343" s="15" t="s">
        <v>4893</v>
      </c>
      <c r="AU343" s="15" t="s">
        <v>4894</v>
      </c>
      <c r="AV343" s="15" t="s">
        <v>4894</v>
      </c>
      <c r="AW343" s="15" t="s">
        <v>4895</v>
      </c>
      <c r="AX343" s="15" t="s">
        <v>4896</v>
      </c>
      <c r="AY343" s="15">
        <f t="shared" si="5"/>
        <v>57</v>
      </c>
      <c r="AZ343" s="15" t="s">
        <v>173</v>
      </c>
      <c r="BA343" s="15" t="s">
        <v>174</v>
      </c>
      <c r="BB343" s="15" t="s">
        <v>4897</v>
      </c>
      <c r="BC343" s="15" t="s">
        <v>4898</v>
      </c>
      <c r="BE343" s="15" t="s">
        <v>1123</v>
      </c>
      <c r="BJ343" s="15" t="s">
        <v>4899</v>
      </c>
      <c r="BN343" s="15" t="s">
        <v>179</v>
      </c>
      <c r="BO343" s="15" t="s">
        <v>4731</v>
      </c>
      <c r="BP343" s="15" t="s">
        <v>138</v>
      </c>
      <c r="BS343" s="15" t="s">
        <v>4900</v>
      </c>
      <c r="BT343" s="15" t="s">
        <v>804</v>
      </c>
      <c r="DH343" s="15" t="s">
        <v>17982</v>
      </c>
      <c r="DI343" s="15" t="s">
        <v>17982</v>
      </c>
    </row>
    <row r="344" spans="1:113" s="15" customFormat="1" ht="12.75" x14ac:dyDescent="0.2">
      <c r="A344" s="15" t="s">
        <v>109</v>
      </c>
      <c r="B344" s="15" t="s">
        <v>110</v>
      </c>
      <c r="D344" s="15" t="s">
        <v>111</v>
      </c>
      <c r="E344" s="15" t="s">
        <v>112</v>
      </c>
      <c r="F344" s="15" t="s">
        <v>111</v>
      </c>
      <c r="G344" s="15" t="s">
        <v>113</v>
      </c>
      <c r="H344" s="15" t="s">
        <v>1045</v>
      </c>
      <c r="J344" s="16" t="s">
        <v>114</v>
      </c>
      <c r="U344" s="15" t="s">
        <v>17977</v>
      </c>
      <c r="W344" s="15">
        <v>949</v>
      </c>
      <c r="X344" s="15">
        <v>354</v>
      </c>
      <c r="Y344" s="15" t="s">
        <v>160</v>
      </c>
      <c r="Z344" s="15" t="s">
        <v>161</v>
      </c>
      <c r="AA344" s="15" t="s">
        <v>162</v>
      </c>
      <c r="AB344" s="15" t="s">
        <v>4508</v>
      </c>
      <c r="AC344" s="15" t="s">
        <v>4508</v>
      </c>
      <c r="AD344" s="15" t="s">
        <v>4508</v>
      </c>
      <c r="AE344" s="15" t="s">
        <v>164</v>
      </c>
      <c r="AF344" s="15" t="s">
        <v>4508</v>
      </c>
      <c r="AG344" s="15" t="s">
        <v>4508</v>
      </c>
      <c r="AH344" s="15" t="s">
        <v>4509</v>
      </c>
      <c r="AL344" s="15" t="s">
        <v>4510</v>
      </c>
      <c r="AN344" s="15">
        <v>743</v>
      </c>
      <c r="AO344" s="15" t="s">
        <v>4511</v>
      </c>
      <c r="AQ344" s="15" t="s">
        <v>168</v>
      </c>
      <c r="AT344" s="15" t="s">
        <v>4512</v>
      </c>
      <c r="AU344" s="15" t="s">
        <v>4513</v>
      </c>
      <c r="AV344" s="15" t="s">
        <v>4513</v>
      </c>
      <c r="AW344" s="15" t="s">
        <v>4514</v>
      </c>
      <c r="AX344" s="15" t="s">
        <v>4514</v>
      </c>
      <c r="AY344" s="15">
        <f t="shared" si="5"/>
        <v>58</v>
      </c>
      <c r="AZ344" s="15" t="s">
        <v>173</v>
      </c>
      <c r="BA344" s="15" t="s">
        <v>174</v>
      </c>
      <c r="BB344" s="15" t="s">
        <v>4026</v>
      </c>
      <c r="BC344" s="18" t="s">
        <v>863</v>
      </c>
      <c r="BE344" s="15" t="s">
        <v>4059</v>
      </c>
      <c r="BI344" s="15" t="s">
        <v>189</v>
      </c>
      <c r="BJ344" s="15" t="s">
        <v>4515</v>
      </c>
      <c r="BN344" s="15" t="s">
        <v>179</v>
      </c>
      <c r="BP344" s="15" t="s">
        <v>138</v>
      </c>
      <c r="BS344" s="15" t="s">
        <v>4516</v>
      </c>
      <c r="BT344" s="15" t="s">
        <v>804</v>
      </c>
      <c r="DH344" s="15" t="s">
        <v>17982</v>
      </c>
      <c r="DI344" s="15" t="s">
        <v>17982</v>
      </c>
    </row>
    <row r="345" spans="1:113" s="15" customFormat="1" ht="12.75" x14ac:dyDescent="0.2">
      <c r="A345" s="15" t="s">
        <v>109</v>
      </c>
      <c r="B345" s="15" t="s">
        <v>110</v>
      </c>
      <c r="D345" s="15" t="s">
        <v>111</v>
      </c>
      <c r="E345" s="15" t="s">
        <v>112</v>
      </c>
      <c r="F345" s="15" t="s">
        <v>111</v>
      </c>
      <c r="G345" s="15" t="s">
        <v>113</v>
      </c>
      <c r="H345" s="15" t="s">
        <v>1045</v>
      </c>
      <c r="J345" s="16" t="s">
        <v>114</v>
      </c>
      <c r="U345" s="15" t="s">
        <v>17977</v>
      </c>
      <c r="W345" s="15">
        <v>950</v>
      </c>
      <c r="X345" s="15">
        <v>355</v>
      </c>
      <c r="Y345" s="15" t="s">
        <v>160</v>
      </c>
      <c r="Z345" s="15" t="s">
        <v>161</v>
      </c>
      <c r="AA345" s="15" t="s">
        <v>162</v>
      </c>
      <c r="AB345" s="15" t="s">
        <v>4517</v>
      </c>
      <c r="AC345" s="15" t="s">
        <v>4517</v>
      </c>
      <c r="AD345" s="15" t="s">
        <v>4517</v>
      </c>
      <c r="AE345" s="15" t="s">
        <v>164</v>
      </c>
      <c r="AF345" s="15" t="s">
        <v>4517</v>
      </c>
      <c r="AG345" s="15" t="s">
        <v>4517</v>
      </c>
      <c r="AH345" s="15" t="s">
        <v>4518</v>
      </c>
      <c r="AL345" s="15" t="s">
        <v>4510</v>
      </c>
      <c r="AN345" s="15">
        <v>743</v>
      </c>
      <c r="AO345" s="15" t="s">
        <v>4519</v>
      </c>
      <c r="AQ345" s="15" t="s">
        <v>168</v>
      </c>
      <c r="AT345" s="15" t="s">
        <v>4520</v>
      </c>
      <c r="AU345" s="15" t="s">
        <v>4521</v>
      </c>
      <c r="AV345" s="15" t="s">
        <v>4521</v>
      </c>
      <c r="AW345" s="15" t="s">
        <v>4522</v>
      </c>
      <c r="AX345" s="15" t="s">
        <v>4522</v>
      </c>
      <c r="AY345" s="15">
        <f t="shared" si="5"/>
        <v>58</v>
      </c>
      <c r="AZ345" s="15" t="s">
        <v>173</v>
      </c>
      <c r="BA345" s="15" t="s">
        <v>174</v>
      </c>
      <c r="BB345" s="15" t="s">
        <v>4026</v>
      </c>
      <c r="BC345" s="15" t="s">
        <v>217</v>
      </c>
      <c r="BE345" s="15" t="s">
        <v>4059</v>
      </c>
      <c r="BI345" s="15" t="s">
        <v>189</v>
      </c>
      <c r="BJ345" s="15" t="s">
        <v>4515</v>
      </c>
      <c r="BN345" s="15" t="s">
        <v>179</v>
      </c>
      <c r="BP345" s="15" t="s">
        <v>138</v>
      </c>
      <c r="BS345" s="15" t="s">
        <v>4523</v>
      </c>
      <c r="BT345" s="15" t="s">
        <v>804</v>
      </c>
      <c r="DH345" s="15" t="s">
        <v>17982</v>
      </c>
      <c r="DI345" s="15" t="s">
        <v>17982</v>
      </c>
    </row>
    <row r="346" spans="1:113" s="15" customFormat="1" ht="12.75" x14ac:dyDescent="0.2">
      <c r="A346" s="15" t="s">
        <v>109</v>
      </c>
      <c r="B346" s="15" t="s">
        <v>110</v>
      </c>
      <c r="D346" s="15" t="s">
        <v>111</v>
      </c>
      <c r="E346" s="15" t="s">
        <v>112</v>
      </c>
      <c r="F346" s="15" t="s">
        <v>111</v>
      </c>
      <c r="G346" s="15" t="s">
        <v>113</v>
      </c>
      <c r="H346" s="15" t="s">
        <v>1045</v>
      </c>
      <c r="J346" s="16" t="s">
        <v>114</v>
      </c>
      <c r="U346" s="15" t="s">
        <v>17977</v>
      </c>
      <c r="W346" s="15">
        <v>1364</v>
      </c>
      <c r="X346" s="15">
        <v>356</v>
      </c>
      <c r="Y346" s="15" t="s">
        <v>160</v>
      </c>
      <c r="Z346" s="15" t="s">
        <v>161</v>
      </c>
      <c r="AA346" s="15" t="s">
        <v>162</v>
      </c>
      <c r="AB346" s="15" t="s">
        <v>7057</v>
      </c>
      <c r="AC346" s="15" t="s">
        <v>7057</v>
      </c>
      <c r="AD346" s="15" t="s">
        <v>7057</v>
      </c>
      <c r="AE346" s="15" t="s">
        <v>164</v>
      </c>
      <c r="AF346" s="15" t="s">
        <v>7057</v>
      </c>
      <c r="AG346" s="15" t="s">
        <v>7057</v>
      </c>
      <c r="AH346" s="15" t="s">
        <v>7058</v>
      </c>
      <c r="AL346" s="15" t="s">
        <v>7059</v>
      </c>
      <c r="AN346" s="15">
        <v>743</v>
      </c>
      <c r="AO346" s="15" t="s">
        <v>7060</v>
      </c>
      <c r="AQ346" s="15" t="s">
        <v>168</v>
      </c>
      <c r="AT346" s="15" t="s">
        <v>7061</v>
      </c>
      <c r="AU346" s="15" t="s">
        <v>7062</v>
      </c>
      <c r="AV346" s="15" t="s">
        <v>7062</v>
      </c>
      <c r="AW346" s="15" t="s">
        <v>7063</v>
      </c>
      <c r="AX346" s="15" t="s">
        <v>7064</v>
      </c>
      <c r="AY346" s="15">
        <f t="shared" si="5"/>
        <v>60</v>
      </c>
      <c r="AZ346" s="15" t="s">
        <v>173</v>
      </c>
      <c r="BA346" s="47" t="s">
        <v>174</v>
      </c>
      <c r="BB346" s="15" t="s">
        <v>4978</v>
      </c>
      <c r="BC346" s="15" t="s">
        <v>863</v>
      </c>
      <c r="BE346" s="15" t="s">
        <v>4059</v>
      </c>
      <c r="BJ346" s="15" t="s">
        <v>7045</v>
      </c>
      <c r="BN346" s="15" t="s">
        <v>179</v>
      </c>
      <c r="BP346" s="15" t="s">
        <v>138</v>
      </c>
      <c r="BS346" s="15" t="s">
        <v>7065</v>
      </c>
      <c r="BT346" s="15" t="s">
        <v>804</v>
      </c>
      <c r="DH346" s="15" t="s">
        <v>17982</v>
      </c>
      <c r="DI346" s="15" t="s">
        <v>17982</v>
      </c>
    </row>
    <row r="347" spans="1:113" s="15" customFormat="1" ht="12.75" x14ac:dyDescent="0.2">
      <c r="A347" s="15" t="s">
        <v>109</v>
      </c>
      <c r="B347" s="15" t="s">
        <v>110</v>
      </c>
      <c r="D347" s="15" t="s">
        <v>111</v>
      </c>
      <c r="E347" s="15" t="s">
        <v>112</v>
      </c>
      <c r="F347" s="15" t="s">
        <v>111</v>
      </c>
      <c r="G347" s="15" t="s">
        <v>113</v>
      </c>
      <c r="H347" s="15" t="s">
        <v>1045</v>
      </c>
      <c r="J347" s="16" t="s">
        <v>114</v>
      </c>
      <c r="U347" s="15" t="s">
        <v>17977</v>
      </c>
      <c r="W347" s="15">
        <v>1362</v>
      </c>
      <c r="X347" s="15">
        <v>357</v>
      </c>
      <c r="Y347" s="15" t="s">
        <v>160</v>
      </c>
      <c r="Z347" s="15" t="s">
        <v>161</v>
      </c>
      <c r="AA347" s="15" t="s">
        <v>162</v>
      </c>
      <c r="AB347" s="15" t="s">
        <v>7037</v>
      </c>
      <c r="AC347" s="15" t="s">
        <v>7037</v>
      </c>
      <c r="AD347" s="15" t="s">
        <v>7037</v>
      </c>
      <c r="AE347" s="15" t="s">
        <v>164</v>
      </c>
      <c r="AF347" s="15" t="s">
        <v>7037</v>
      </c>
      <c r="AG347" s="15" t="s">
        <v>7037</v>
      </c>
      <c r="AH347" s="15" t="s">
        <v>7038</v>
      </c>
      <c r="AL347" s="15" t="s">
        <v>7039</v>
      </c>
      <c r="AN347" s="15">
        <v>743</v>
      </c>
      <c r="AO347" s="15" t="s">
        <v>7040</v>
      </c>
      <c r="AQ347" s="15" t="s">
        <v>168</v>
      </c>
      <c r="AT347" s="15" t="s">
        <v>7041</v>
      </c>
      <c r="AU347" s="15" t="s">
        <v>7042</v>
      </c>
      <c r="AV347" s="15" t="s">
        <v>7042</v>
      </c>
      <c r="AW347" s="15" t="s">
        <v>7043</v>
      </c>
      <c r="AX347" s="15" t="s">
        <v>7044</v>
      </c>
      <c r="AY347" s="15">
        <f t="shared" si="5"/>
        <v>58</v>
      </c>
      <c r="AZ347" s="15" t="s">
        <v>173</v>
      </c>
      <c r="BA347" s="15" t="s">
        <v>174</v>
      </c>
      <c r="BB347" s="15" t="s">
        <v>4978</v>
      </c>
      <c r="BC347" s="15" t="s">
        <v>863</v>
      </c>
      <c r="BE347" s="15" t="s">
        <v>564</v>
      </c>
      <c r="BJ347" s="15" t="s">
        <v>7045</v>
      </c>
      <c r="BN347" s="15" t="s">
        <v>179</v>
      </c>
      <c r="BP347" s="15" t="s">
        <v>138</v>
      </c>
      <c r="BS347" s="19" t="s">
        <v>7046</v>
      </c>
      <c r="BT347" s="15" t="s">
        <v>804</v>
      </c>
      <c r="DH347" s="15" t="s">
        <v>17982</v>
      </c>
      <c r="DI347" s="15" t="s">
        <v>17982</v>
      </c>
    </row>
    <row r="348" spans="1:113" s="15" customFormat="1" ht="12.75" x14ac:dyDescent="0.2">
      <c r="A348" s="15" t="s">
        <v>109</v>
      </c>
      <c r="B348" s="15" t="s">
        <v>110</v>
      </c>
      <c r="D348" s="15" t="s">
        <v>111</v>
      </c>
      <c r="E348" s="15" t="s">
        <v>112</v>
      </c>
      <c r="F348" s="15" t="s">
        <v>111</v>
      </c>
      <c r="G348" s="15" t="s">
        <v>113</v>
      </c>
      <c r="H348" s="15" t="s">
        <v>1045</v>
      </c>
      <c r="J348" s="16" t="s">
        <v>114</v>
      </c>
      <c r="U348" s="15" t="s">
        <v>17977</v>
      </c>
      <c r="W348" s="15">
        <v>1363</v>
      </c>
      <c r="X348" s="15">
        <v>358</v>
      </c>
      <c r="Y348" s="15" t="s">
        <v>160</v>
      </c>
      <c r="Z348" s="15" t="s">
        <v>161</v>
      </c>
      <c r="AA348" s="15" t="s">
        <v>162</v>
      </c>
      <c r="AB348" s="15" t="s">
        <v>7047</v>
      </c>
      <c r="AC348" s="15" t="s">
        <v>7047</v>
      </c>
      <c r="AD348" s="15" t="s">
        <v>7048</v>
      </c>
      <c r="AE348" s="15" t="s">
        <v>164</v>
      </c>
      <c r="AF348" s="15" t="s">
        <v>7048</v>
      </c>
      <c r="AG348" s="15" t="s">
        <v>7047</v>
      </c>
      <c r="AH348" s="15" t="s">
        <v>7049</v>
      </c>
      <c r="AL348" s="15" t="s">
        <v>7050</v>
      </c>
      <c r="AN348" s="15">
        <v>743</v>
      </c>
      <c r="AO348" s="15" t="s">
        <v>7051</v>
      </c>
      <c r="AQ348" s="15" t="s">
        <v>168</v>
      </c>
      <c r="AT348" s="15" t="s">
        <v>7052</v>
      </c>
      <c r="AU348" s="15" t="s">
        <v>7053</v>
      </c>
      <c r="AV348" s="15" t="s">
        <v>7053</v>
      </c>
      <c r="AW348" s="15" t="s">
        <v>7054</v>
      </c>
      <c r="AX348" s="15" t="s">
        <v>7055</v>
      </c>
      <c r="AY348" s="15">
        <f t="shared" si="5"/>
        <v>60</v>
      </c>
      <c r="AZ348" s="15" t="s">
        <v>173</v>
      </c>
      <c r="BA348" s="47" t="s">
        <v>174</v>
      </c>
      <c r="BB348" s="15" t="s">
        <v>4978</v>
      </c>
      <c r="BC348" s="15" t="s">
        <v>3153</v>
      </c>
      <c r="BE348" s="15" t="s">
        <v>1528</v>
      </c>
      <c r="BJ348" s="15" t="s">
        <v>7045</v>
      </c>
      <c r="BN348" s="15" t="s">
        <v>179</v>
      </c>
      <c r="BP348" s="15" t="s">
        <v>138</v>
      </c>
      <c r="BS348" s="19" t="s">
        <v>7056</v>
      </c>
      <c r="BT348" s="15" t="s">
        <v>804</v>
      </c>
      <c r="DH348" s="15" t="s">
        <v>17982</v>
      </c>
      <c r="DI348" s="15" t="s">
        <v>17982</v>
      </c>
    </row>
    <row r="349" spans="1:113" s="15" customFormat="1" ht="12.75" x14ac:dyDescent="0.2">
      <c r="A349" s="15" t="s">
        <v>109</v>
      </c>
      <c r="B349" s="15" t="s">
        <v>110</v>
      </c>
      <c r="D349" s="15" t="s">
        <v>111</v>
      </c>
      <c r="E349" s="15" t="s">
        <v>112</v>
      </c>
      <c r="F349" s="15" t="s">
        <v>111</v>
      </c>
      <c r="G349" s="15" t="s">
        <v>113</v>
      </c>
      <c r="H349" s="15" t="s">
        <v>1045</v>
      </c>
      <c r="J349" s="16" t="s">
        <v>114</v>
      </c>
      <c r="U349" s="15" t="s">
        <v>17977</v>
      </c>
      <c r="W349" s="15">
        <v>995</v>
      </c>
      <c r="X349" s="15">
        <v>359</v>
      </c>
      <c r="Y349" s="15" t="s">
        <v>160</v>
      </c>
      <c r="Z349" s="15" t="s">
        <v>161</v>
      </c>
      <c r="AA349" s="15" t="s">
        <v>162</v>
      </c>
      <c r="AB349" s="15" t="s">
        <v>4942</v>
      </c>
      <c r="AC349" s="15" t="s">
        <v>4942</v>
      </c>
      <c r="AD349" s="15" t="s">
        <v>4942</v>
      </c>
      <c r="AE349" s="15" t="s">
        <v>164</v>
      </c>
      <c r="AF349" s="15" t="s">
        <v>4942</v>
      </c>
      <c r="AG349" s="15" t="s">
        <v>4942</v>
      </c>
      <c r="AH349" s="15" t="s">
        <v>4943</v>
      </c>
      <c r="AL349" s="15" t="s">
        <v>4944</v>
      </c>
      <c r="AN349" s="15">
        <v>743</v>
      </c>
      <c r="AO349" s="15" t="s">
        <v>4945</v>
      </c>
      <c r="AQ349" s="15" t="s">
        <v>168</v>
      </c>
      <c r="AT349" s="15" t="s">
        <v>4946</v>
      </c>
      <c r="AU349" s="15" t="s">
        <v>4947</v>
      </c>
      <c r="AV349" s="15" t="s">
        <v>4947</v>
      </c>
      <c r="AW349" s="15" t="s">
        <v>4948</v>
      </c>
      <c r="AX349" s="15" t="s">
        <v>4949</v>
      </c>
      <c r="AY349" s="15">
        <f t="shared" si="5"/>
        <v>57</v>
      </c>
      <c r="AZ349" s="15" t="s">
        <v>173</v>
      </c>
      <c r="BA349" s="15" t="s">
        <v>174</v>
      </c>
      <c r="BB349" s="15" t="s">
        <v>4730</v>
      </c>
      <c r="BC349" s="15" t="s">
        <v>4950</v>
      </c>
      <c r="BE349" s="15" t="s">
        <v>241</v>
      </c>
      <c r="BJ349" s="15" t="s">
        <v>4921</v>
      </c>
      <c r="BN349" s="15" t="s">
        <v>179</v>
      </c>
      <c r="BO349" s="15" t="s">
        <v>4731</v>
      </c>
      <c r="BP349" s="15" t="s">
        <v>138</v>
      </c>
      <c r="BS349" s="15" t="s">
        <v>4951</v>
      </c>
      <c r="BT349" s="15" t="s">
        <v>804</v>
      </c>
      <c r="DH349" s="15" t="s">
        <v>17982</v>
      </c>
      <c r="DI349" s="15" t="s">
        <v>17982</v>
      </c>
    </row>
    <row r="350" spans="1:113" s="15" customFormat="1" ht="12.75" x14ac:dyDescent="0.2">
      <c r="A350" s="15" t="s">
        <v>109</v>
      </c>
      <c r="B350" s="15" t="s">
        <v>110</v>
      </c>
      <c r="D350" s="15" t="s">
        <v>111</v>
      </c>
      <c r="E350" s="15" t="s">
        <v>112</v>
      </c>
      <c r="F350" s="15" t="s">
        <v>111</v>
      </c>
      <c r="G350" s="15" t="s">
        <v>113</v>
      </c>
      <c r="H350" s="15" t="s">
        <v>1045</v>
      </c>
      <c r="J350" s="16" t="s">
        <v>114</v>
      </c>
      <c r="U350" s="15" t="s">
        <v>17977</v>
      </c>
      <c r="W350" s="15">
        <v>992</v>
      </c>
      <c r="X350" s="15">
        <v>360</v>
      </c>
      <c r="Y350" s="15" t="s">
        <v>160</v>
      </c>
      <c r="Z350" s="15" t="s">
        <v>161</v>
      </c>
      <c r="AA350" s="15" t="s">
        <v>162</v>
      </c>
      <c r="AB350" s="15" t="s">
        <v>4911</v>
      </c>
      <c r="AC350" s="15" t="s">
        <v>4911</v>
      </c>
      <c r="AD350" s="15" t="s">
        <v>4911</v>
      </c>
      <c r="AE350" s="15" t="s">
        <v>164</v>
      </c>
      <c r="AF350" s="15" t="s">
        <v>4911</v>
      </c>
      <c r="AG350" s="15" t="s">
        <v>4911</v>
      </c>
      <c r="AH350" s="15" t="s">
        <v>4912</v>
      </c>
      <c r="AL350" s="15" t="s">
        <v>4913</v>
      </c>
      <c r="AN350" s="15">
        <v>743</v>
      </c>
      <c r="AO350" s="15" t="s">
        <v>4914</v>
      </c>
      <c r="AQ350" s="15" t="s">
        <v>168</v>
      </c>
      <c r="AT350" s="15" t="s">
        <v>4915</v>
      </c>
      <c r="AU350" s="15" t="s">
        <v>4916</v>
      </c>
      <c r="AV350" s="15" t="s">
        <v>4916</v>
      </c>
      <c r="AW350" s="15" t="s">
        <v>4917</v>
      </c>
      <c r="AX350" s="15" t="s">
        <v>4918</v>
      </c>
      <c r="AY350" s="15">
        <f t="shared" si="5"/>
        <v>57</v>
      </c>
      <c r="AZ350" s="15" t="s">
        <v>173</v>
      </c>
      <c r="BA350" s="15" t="s">
        <v>174</v>
      </c>
      <c r="BB350" s="15" t="s">
        <v>4919</v>
      </c>
      <c r="BC350" s="15" t="s">
        <v>4920</v>
      </c>
      <c r="BE350" s="15" t="s">
        <v>241</v>
      </c>
      <c r="BJ350" s="15" t="s">
        <v>4921</v>
      </c>
      <c r="BN350" s="15" t="s">
        <v>179</v>
      </c>
      <c r="BO350" s="15" t="s">
        <v>4731</v>
      </c>
      <c r="BP350" s="15" t="s">
        <v>138</v>
      </c>
      <c r="BS350" s="15" t="s">
        <v>4922</v>
      </c>
      <c r="BT350" s="15" t="s">
        <v>804</v>
      </c>
      <c r="DH350" s="15" t="s">
        <v>17982</v>
      </c>
      <c r="DI350" s="15" t="s">
        <v>17982</v>
      </c>
    </row>
    <row r="351" spans="1:113" s="15" customFormat="1" ht="12.75" x14ac:dyDescent="0.2">
      <c r="A351" s="15" t="s">
        <v>109</v>
      </c>
      <c r="B351" s="15" t="s">
        <v>110</v>
      </c>
      <c r="D351" s="15" t="s">
        <v>111</v>
      </c>
      <c r="E351" s="15" t="s">
        <v>112</v>
      </c>
      <c r="F351" s="15" t="s">
        <v>111</v>
      </c>
      <c r="G351" s="15" t="s">
        <v>113</v>
      </c>
      <c r="H351" s="15" t="s">
        <v>1045</v>
      </c>
      <c r="J351" s="16" t="s">
        <v>114</v>
      </c>
      <c r="U351" s="15" t="s">
        <v>17977</v>
      </c>
      <c r="W351" s="15">
        <v>1041</v>
      </c>
      <c r="X351" s="15">
        <v>361</v>
      </c>
      <c r="Y351" s="15" t="s">
        <v>160</v>
      </c>
      <c r="Z351" s="15" t="s">
        <v>161</v>
      </c>
      <c r="AA351" s="15" t="s">
        <v>162</v>
      </c>
      <c r="AB351" s="15" t="s">
        <v>5376</v>
      </c>
      <c r="AC351" s="15" t="s">
        <v>5376</v>
      </c>
      <c r="AD351" s="15" t="s">
        <v>5376</v>
      </c>
      <c r="AE351" s="15" t="s">
        <v>164</v>
      </c>
      <c r="AF351" s="15" t="s">
        <v>5376</v>
      </c>
      <c r="AG351" s="15" t="s">
        <v>5376</v>
      </c>
      <c r="AH351" s="15" t="s">
        <v>5377</v>
      </c>
      <c r="AL351" s="15" t="s">
        <v>5378</v>
      </c>
      <c r="AN351" s="15">
        <v>743</v>
      </c>
      <c r="AO351" s="15" t="s">
        <v>5379</v>
      </c>
      <c r="AQ351" s="15" t="s">
        <v>168</v>
      </c>
      <c r="AT351" s="15" t="s">
        <v>5380</v>
      </c>
      <c r="AU351" s="15" t="s">
        <v>5381</v>
      </c>
      <c r="AV351" s="15" t="s">
        <v>5381</v>
      </c>
      <c r="AW351" s="15" t="s">
        <v>5382</v>
      </c>
      <c r="AX351" s="15" t="s">
        <v>5383</v>
      </c>
      <c r="AY351" s="15">
        <f t="shared" si="5"/>
        <v>57</v>
      </c>
      <c r="AZ351" s="15" t="s">
        <v>173</v>
      </c>
      <c r="BA351" s="15" t="s">
        <v>174</v>
      </c>
      <c r="BB351" s="15" t="s">
        <v>4730</v>
      </c>
      <c r="BC351" s="15" t="s">
        <v>646</v>
      </c>
      <c r="BE351" s="15" t="s">
        <v>241</v>
      </c>
      <c r="BJ351" s="15" t="s">
        <v>5384</v>
      </c>
      <c r="BN351" s="15" t="s">
        <v>179</v>
      </c>
      <c r="BO351" s="15" t="s">
        <v>4731</v>
      </c>
      <c r="BP351" s="15" t="s">
        <v>138</v>
      </c>
      <c r="BS351" s="15" t="s">
        <v>5385</v>
      </c>
      <c r="BT351" s="15" t="s">
        <v>804</v>
      </c>
      <c r="DH351" s="15" t="s">
        <v>17982</v>
      </c>
      <c r="DI351" s="15" t="s">
        <v>17982</v>
      </c>
    </row>
    <row r="352" spans="1:113" s="15" customFormat="1" ht="12.75" x14ac:dyDescent="0.2">
      <c r="A352" s="15" t="s">
        <v>109</v>
      </c>
      <c r="B352" s="15" t="s">
        <v>110</v>
      </c>
      <c r="D352" s="15" t="s">
        <v>111</v>
      </c>
      <c r="E352" s="15" t="s">
        <v>112</v>
      </c>
      <c r="F352" s="15" t="s">
        <v>111</v>
      </c>
      <c r="G352" s="15" t="s">
        <v>113</v>
      </c>
      <c r="H352" s="15" t="s">
        <v>1045</v>
      </c>
      <c r="J352" s="16" t="s">
        <v>114</v>
      </c>
      <c r="U352" s="15" t="s">
        <v>17977</v>
      </c>
      <c r="W352" s="15">
        <v>996</v>
      </c>
      <c r="X352" s="15">
        <v>362</v>
      </c>
      <c r="Y352" s="15" t="s">
        <v>160</v>
      </c>
      <c r="Z352" s="15" t="s">
        <v>161</v>
      </c>
      <c r="AA352" s="15" t="s">
        <v>162</v>
      </c>
      <c r="AB352" s="15" t="s">
        <v>4952</v>
      </c>
      <c r="AC352" s="15" t="s">
        <v>4952</v>
      </c>
      <c r="AD352" s="15" t="s">
        <v>4952</v>
      </c>
      <c r="AE352" s="15" t="s">
        <v>164</v>
      </c>
      <c r="AF352" s="15" t="s">
        <v>4952</v>
      </c>
      <c r="AG352" s="15" t="s">
        <v>4952</v>
      </c>
      <c r="AH352" s="15" t="s">
        <v>4953</v>
      </c>
      <c r="AL352" s="15" t="s">
        <v>4944</v>
      </c>
      <c r="AN352" s="15">
        <v>743</v>
      </c>
      <c r="AO352" s="15" t="s">
        <v>4954</v>
      </c>
      <c r="AQ352" s="15" t="s">
        <v>168</v>
      </c>
      <c r="AT352" s="15" t="s">
        <v>4955</v>
      </c>
      <c r="AU352" s="15" t="s">
        <v>4956</v>
      </c>
      <c r="AV352" s="15" t="s">
        <v>4956</v>
      </c>
      <c r="AW352" s="15" t="s">
        <v>4957</v>
      </c>
      <c r="AX352" s="15" t="s">
        <v>4958</v>
      </c>
      <c r="AY352" s="15">
        <f t="shared" si="5"/>
        <v>60</v>
      </c>
      <c r="AZ352" s="15" t="s">
        <v>173</v>
      </c>
      <c r="BA352" s="15" t="s">
        <v>174</v>
      </c>
      <c r="BB352" s="15" t="s">
        <v>4730</v>
      </c>
      <c r="BC352" s="15" t="s">
        <v>4950</v>
      </c>
      <c r="BE352" s="18" t="s">
        <v>1597</v>
      </c>
      <c r="BJ352" s="15" t="s">
        <v>4921</v>
      </c>
      <c r="BN352" s="15" t="s">
        <v>179</v>
      </c>
      <c r="BO352" s="15" t="s">
        <v>4731</v>
      </c>
      <c r="BP352" s="15" t="s">
        <v>138</v>
      </c>
      <c r="BS352" s="15" t="s">
        <v>4959</v>
      </c>
      <c r="BT352" s="15" t="s">
        <v>804</v>
      </c>
      <c r="DH352" s="15" t="s">
        <v>17982</v>
      </c>
      <c r="DI352" s="15" t="s">
        <v>17982</v>
      </c>
    </row>
    <row r="353" spans="1:113" s="15" customFormat="1" ht="12.75" x14ac:dyDescent="0.2">
      <c r="A353" s="15" t="s">
        <v>109</v>
      </c>
      <c r="B353" s="15" t="s">
        <v>110</v>
      </c>
      <c r="D353" s="15" t="s">
        <v>111</v>
      </c>
      <c r="E353" s="15" t="s">
        <v>112</v>
      </c>
      <c r="F353" s="15" t="s">
        <v>111</v>
      </c>
      <c r="G353" s="15" t="s">
        <v>113</v>
      </c>
      <c r="H353" s="15" t="s">
        <v>1045</v>
      </c>
      <c r="J353" s="16" t="s">
        <v>114</v>
      </c>
      <c r="U353" s="15" t="s">
        <v>17977</v>
      </c>
      <c r="W353" s="15">
        <v>993</v>
      </c>
      <c r="X353" s="15">
        <v>363</v>
      </c>
      <c r="Y353" s="15" t="s">
        <v>160</v>
      </c>
      <c r="Z353" s="15" t="s">
        <v>161</v>
      </c>
      <c r="AA353" s="15" t="s">
        <v>162</v>
      </c>
      <c r="AB353" s="15" t="s">
        <v>4923</v>
      </c>
      <c r="AC353" s="15" t="s">
        <v>4923</v>
      </c>
      <c r="AD353" s="15" t="s">
        <v>4923</v>
      </c>
      <c r="AE353" s="15" t="s">
        <v>164</v>
      </c>
      <c r="AF353" s="15" t="s">
        <v>4923</v>
      </c>
      <c r="AG353" s="15" t="s">
        <v>4923</v>
      </c>
      <c r="AH353" s="15" t="s">
        <v>4924</v>
      </c>
      <c r="AL353" s="15" t="s">
        <v>4913</v>
      </c>
      <c r="AN353" s="15">
        <v>743</v>
      </c>
      <c r="AO353" s="15" t="s">
        <v>4925</v>
      </c>
      <c r="AQ353" s="15" t="s">
        <v>168</v>
      </c>
      <c r="AT353" s="15" t="s">
        <v>4926</v>
      </c>
      <c r="AU353" s="15" t="s">
        <v>4927</v>
      </c>
      <c r="AV353" s="15" t="s">
        <v>4927</v>
      </c>
      <c r="AW353" s="15" t="s">
        <v>4928</v>
      </c>
      <c r="AX353" s="15" t="s">
        <v>4929</v>
      </c>
      <c r="AY353" s="15">
        <f t="shared" si="5"/>
        <v>60</v>
      </c>
      <c r="AZ353" s="15" t="s">
        <v>173</v>
      </c>
      <c r="BA353" s="15" t="s">
        <v>174</v>
      </c>
      <c r="BB353" s="15" t="s">
        <v>4919</v>
      </c>
      <c r="BC353" s="15" t="s">
        <v>4920</v>
      </c>
      <c r="BE353" s="18" t="s">
        <v>1597</v>
      </c>
      <c r="BJ353" s="15" t="s">
        <v>4921</v>
      </c>
      <c r="BN353" s="15" t="s">
        <v>179</v>
      </c>
      <c r="BO353" s="15" t="s">
        <v>4731</v>
      </c>
      <c r="BP353" s="15" t="s">
        <v>138</v>
      </c>
      <c r="BS353" s="15" t="s">
        <v>4930</v>
      </c>
      <c r="BT353" s="15" t="s">
        <v>804</v>
      </c>
      <c r="DH353" s="15" t="s">
        <v>17982</v>
      </c>
      <c r="DI353" s="15" t="s">
        <v>17982</v>
      </c>
    </row>
    <row r="354" spans="1:113" s="15" customFormat="1" ht="12.75" x14ac:dyDescent="0.2">
      <c r="A354" s="15" t="s">
        <v>109</v>
      </c>
      <c r="B354" s="15" t="s">
        <v>110</v>
      </c>
      <c r="D354" s="15" t="s">
        <v>111</v>
      </c>
      <c r="E354" s="15" t="s">
        <v>112</v>
      </c>
      <c r="F354" s="15" t="s">
        <v>111</v>
      </c>
      <c r="G354" s="15" t="s">
        <v>113</v>
      </c>
      <c r="H354" s="15" t="s">
        <v>1045</v>
      </c>
      <c r="J354" s="16" t="s">
        <v>114</v>
      </c>
      <c r="U354" s="15" t="s">
        <v>17977</v>
      </c>
      <c r="W354" s="15">
        <v>1019</v>
      </c>
      <c r="X354" s="15">
        <v>364</v>
      </c>
      <c r="Y354" s="15" t="s">
        <v>160</v>
      </c>
      <c r="Z354" s="15" t="s">
        <v>161</v>
      </c>
      <c r="AA354" s="15" t="s">
        <v>162</v>
      </c>
      <c r="AB354" s="15" t="s">
        <v>5169</v>
      </c>
      <c r="AC354" s="15" t="s">
        <v>5169</v>
      </c>
      <c r="AD354" s="15" t="s">
        <v>5169</v>
      </c>
      <c r="AE354" s="15" t="s">
        <v>164</v>
      </c>
      <c r="AF354" s="15" t="s">
        <v>5169</v>
      </c>
      <c r="AG354" s="15" t="s">
        <v>5169</v>
      </c>
      <c r="AH354" s="15" t="s">
        <v>5170</v>
      </c>
      <c r="AL354" s="15" t="s">
        <v>5171</v>
      </c>
      <c r="AN354" s="15">
        <v>743</v>
      </c>
      <c r="AO354" s="15" t="s">
        <v>5172</v>
      </c>
      <c r="AQ354" s="15" t="s">
        <v>3598</v>
      </c>
      <c r="AT354" s="15" t="s">
        <v>5173</v>
      </c>
      <c r="AU354" s="15" t="s">
        <v>5174</v>
      </c>
      <c r="AV354" s="15" t="s">
        <v>5174</v>
      </c>
      <c r="AW354" s="15" t="s">
        <v>5175</v>
      </c>
      <c r="AX354" s="15" t="s">
        <v>5176</v>
      </c>
      <c r="AY354" s="15">
        <f t="shared" si="5"/>
        <v>58</v>
      </c>
      <c r="AZ354" s="15" t="s">
        <v>3603</v>
      </c>
      <c r="BA354" s="15" t="s">
        <v>214</v>
      </c>
      <c r="BB354" s="15" t="s">
        <v>5006</v>
      </c>
      <c r="BC354" s="15" t="s">
        <v>646</v>
      </c>
      <c r="BE354" s="15" t="s">
        <v>275</v>
      </c>
      <c r="BF354" s="18"/>
      <c r="BJ354" s="15" t="s">
        <v>5177</v>
      </c>
      <c r="BN354" s="15" t="s">
        <v>179</v>
      </c>
      <c r="BO354" s="15" t="s">
        <v>4731</v>
      </c>
      <c r="BP354" s="15" t="s">
        <v>138</v>
      </c>
      <c r="BS354" s="15" t="s">
        <v>5178</v>
      </c>
      <c r="DH354" s="15" t="s">
        <v>17982</v>
      </c>
      <c r="DI354" s="15" t="s">
        <v>17982</v>
      </c>
    </row>
    <row r="355" spans="1:113" s="15" customFormat="1" ht="12.75" x14ac:dyDescent="0.2">
      <c r="A355" s="15" t="s">
        <v>109</v>
      </c>
      <c r="B355" s="15" t="s">
        <v>110</v>
      </c>
      <c r="D355" s="15" t="s">
        <v>111</v>
      </c>
      <c r="E355" s="15" t="s">
        <v>112</v>
      </c>
      <c r="F355" s="15" t="s">
        <v>111</v>
      </c>
      <c r="G355" s="15" t="s">
        <v>113</v>
      </c>
      <c r="H355" s="15" t="s">
        <v>1045</v>
      </c>
      <c r="J355" s="16" t="s">
        <v>114</v>
      </c>
      <c r="U355" s="15" t="s">
        <v>17977</v>
      </c>
      <c r="W355" s="15">
        <v>1012</v>
      </c>
      <c r="X355" s="15">
        <v>365</v>
      </c>
      <c r="Y355" s="15" t="s">
        <v>160</v>
      </c>
      <c r="Z355" s="15" t="s">
        <v>161</v>
      </c>
      <c r="AA355" s="15" t="s">
        <v>162</v>
      </c>
      <c r="AB355" s="15" t="s">
        <v>5099</v>
      </c>
      <c r="AC355" s="15" t="s">
        <v>5099</v>
      </c>
      <c r="AD355" s="15" t="s">
        <v>5099</v>
      </c>
      <c r="AE355" s="15" t="s">
        <v>164</v>
      </c>
      <c r="AF355" s="15" t="s">
        <v>5099</v>
      </c>
      <c r="AG355" s="15" t="s">
        <v>5099</v>
      </c>
      <c r="AH355" s="15" t="s">
        <v>5100</v>
      </c>
      <c r="AL355" s="15" t="s">
        <v>5101</v>
      </c>
      <c r="AN355" s="15">
        <v>743</v>
      </c>
      <c r="AO355" s="15" t="s">
        <v>5102</v>
      </c>
      <c r="AQ355" s="15" t="s">
        <v>3598</v>
      </c>
      <c r="AT355" s="15" t="s">
        <v>5103</v>
      </c>
      <c r="AU355" s="15" t="s">
        <v>5104</v>
      </c>
      <c r="AV355" s="15" t="s">
        <v>5104</v>
      </c>
      <c r="AW355" s="15" t="s">
        <v>5105</v>
      </c>
      <c r="AX355" s="15" t="s">
        <v>5106</v>
      </c>
      <c r="AY355" s="15">
        <f t="shared" si="5"/>
        <v>57</v>
      </c>
      <c r="AZ355" s="15" t="s">
        <v>3603</v>
      </c>
      <c r="BA355" s="15" t="s">
        <v>214</v>
      </c>
      <c r="BB355" s="15" t="s">
        <v>5006</v>
      </c>
      <c r="BC355" s="15" t="s">
        <v>646</v>
      </c>
      <c r="BE355" s="15" t="s">
        <v>348</v>
      </c>
      <c r="BF355" s="18"/>
      <c r="BJ355" s="15" t="s">
        <v>5107</v>
      </c>
      <c r="BK355" s="15" t="s">
        <v>487</v>
      </c>
      <c r="BN355" s="15" t="s">
        <v>179</v>
      </c>
      <c r="BO355" s="15" t="s">
        <v>4731</v>
      </c>
      <c r="BP355" s="15" t="s">
        <v>138</v>
      </c>
      <c r="BS355" s="15" t="s">
        <v>5108</v>
      </c>
      <c r="DH355" s="15" t="s">
        <v>17982</v>
      </c>
      <c r="DI355" s="15" t="s">
        <v>17982</v>
      </c>
    </row>
    <row r="356" spans="1:113" s="15" customFormat="1" ht="12.75" x14ac:dyDescent="0.2">
      <c r="A356" s="15" t="s">
        <v>109</v>
      </c>
      <c r="B356" s="15" t="s">
        <v>110</v>
      </c>
      <c r="D356" s="15" t="s">
        <v>111</v>
      </c>
      <c r="E356" s="15" t="s">
        <v>112</v>
      </c>
      <c r="F356" s="15" t="s">
        <v>111</v>
      </c>
      <c r="G356" s="15" t="s">
        <v>113</v>
      </c>
      <c r="H356" s="15" t="s">
        <v>1045</v>
      </c>
      <c r="J356" s="16" t="s">
        <v>114</v>
      </c>
      <c r="U356" s="15" t="s">
        <v>17977</v>
      </c>
      <c r="W356" s="15">
        <v>1032</v>
      </c>
      <c r="X356" s="15">
        <v>366</v>
      </c>
      <c r="Y356" s="15" t="s">
        <v>160</v>
      </c>
      <c r="Z356" s="15" t="s">
        <v>161</v>
      </c>
      <c r="AA356" s="15" t="s">
        <v>162</v>
      </c>
      <c r="AB356" s="15" t="s">
        <v>5294</v>
      </c>
      <c r="AC356" s="15" t="s">
        <v>5294</v>
      </c>
      <c r="AD356" s="15" t="s">
        <v>5294</v>
      </c>
      <c r="AE356" s="15" t="s">
        <v>164</v>
      </c>
      <c r="AF356" s="15" t="s">
        <v>5294</v>
      </c>
      <c r="AG356" s="15" t="s">
        <v>5294</v>
      </c>
      <c r="AH356" s="15" t="s">
        <v>5295</v>
      </c>
      <c r="AL356" s="15" t="s">
        <v>5296</v>
      </c>
      <c r="AN356" s="15">
        <v>743</v>
      </c>
      <c r="AO356" s="15" t="s">
        <v>5297</v>
      </c>
      <c r="AQ356" s="15" t="s">
        <v>3598</v>
      </c>
      <c r="AT356" s="15" t="s">
        <v>5298</v>
      </c>
      <c r="AU356" s="15" t="s">
        <v>5299</v>
      </c>
      <c r="AV356" s="15" t="s">
        <v>5299</v>
      </c>
      <c r="AW356" s="15" t="s">
        <v>5300</v>
      </c>
      <c r="AX356" s="15" t="s">
        <v>5301</v>
      </c>
      <c r="AY356" s="15">
        <f t="shared" si="5"/>
        <v>58</v>
      </c>
      <c r="AZ356" s="15" t="s">
        <v>3603</v>
      </c>
      <c r="BA356" s="15" t="s">
        <v>214</v>
      </c>
      <c r="BB356" s="15" t="s">
        <v>5006</v>
      </c>
      <c r="BC356" s="15" t="s">
        <v>646</v>
      </c>
      <c r="BE356" s="15" t="s">
        <v>1597</v>
      </c>
      <c r="BF356" s="18"/>
      <c r="BJ356" s="15" t="s">
        <v>5117</v>
      </c>
      <c r="BK356" s="15" t="s">
        <v>487</v>
      </c>
      <c r="BN356" s="15" t="s">
        <v>179</v>
      </c>
      <c r="BO356" s="15" t="s">
        <v>4731</v>
      </c>
      <c r="BP356" s="15" t="s">
        <v>138</v>
      </c>
      <c r="BS356" s="15" t="s">
        <v>5302</v>
      </c>
      <c r="DH356" s="15" t="s">
        <v>17982</v>
      </c>
      <c r="DI356" s="15" t="s">
        <v>17982</v>
      </c>
    </row>
    <row r="357" spans="1:113" s="15" customFormat="1" ht="12.75" x14ac:dyDescent="0.2">
      <c r="A357" s="15" t="s">
        <v>109</v>
      </c>
      <c r="B357" s="15" t="s">
        <v>110</v>
      </c>
      <c r="D357" s="15" t="s">
        <v>111</v>
      </c>
      <c r="E357" s="15" t="s">
        <v>112</v>
      </c>
      <c r="F357" s="15" t="s">
        <v>111</v>
      </c>
      <c r="G357" s="15" t="s">
        <v>113</v>
      </c>
      <c r="H357" s="15" t="s">
        <v>1045</v>
      </c>
      <c r="J357" s="16" t="s">
        <v>114</v>
      </c>
      <c r="U357" s="15" t="s">
        <v>17977</v>
      </c>
      <c r="W357" s="15">
        <v>1033</v>
      </c>
      <c r="X357" s="15">
        <v>367</v>
      </c>
      <c r="Y357" s="15" t="s">
        <v>160</v>
      </c>
      <c r="Z357" s="15" t="s">
        <v>161</v>
      </c>
      <c r="AA357" s="15" t="s">
        <v>162</v>
      </c>
      <c r="AB357" s="15" t="s">
        <v>5303</v>
      </c>
      <c r="AC357" s="15" t="s">
        <v>5303</v>
      </c>
      <c r="AD357" s="15" t="s">
        <v>5303</v>
      </c>
      <c r="AE357" s="15" t="s">
        <v>164</v>
      </c>
      <c r="AF357" s="15" t="s">
        <v>5303</v>
      </c>
      <c r="AG357" s="15" t="s">
        <v>5303</v>
      </c>
      <c r="AH357" s="15" t="s">
        <v>5304</v>
      </c>
      <c r="AL357" s="15" t="s">
        <v>5296</v>
      </c>
      <c r="AN357" s="15">
        <v>743</v>
      </c>
      <c r="AO357" s="15" t="s">
        <v>5305</v>
      </c>
      <c r="AQ357" s="15" t="s">
        <v>3598</v>
      </c>
      <c r="AT357" s="15" t="s">
        <v>5306</v>
      </c>
      <c r="AU357" s="15" t="s">
        <v>5307</v>
      </c>
      <c r="AV357" s="15" t="s">
        <v>5307</v>
      </c>
      <c r="AW357" s="15" t="s">
        <v>5308</v>
      </c>
      <c r="AX357" s="15" t="s">
        <v>5309</v>
      </c>
      <c r="AY357" s="15">
        <f t="shared" si="5"/>
        <v>59</v>
      </c>
      <c r="AZ357" s="15" t="s">
        <v>3603</v>
      </c>
      <c r="BA357" s="15" t="s">
        <v>214</v>
      </c>
      <c r="BB357" s="15" t="s">
        <v>5006</v>
      </c>
      <c r="BC357" s="15" t="s">
        <v>646</v>
      </c>
      <c r="BE357" s="15" t="s">
        <v>1597</v>
      </c>
      <c r="BF357" s="18"/>
      <c r="BJ357" s="15" t="s">
        <v>5310</v>
      </c>
      <c r="BK357" s="15" t="s">
        <v>487</v>
      </c>
      <c r="BN357" s="15" t="s">
        <v>179</v>
      </c>
      <c r="BO357" s="15" t="s">
        <v>4731</v>
      </c>
      <c r="BP357" s="15" t="s">
        <v>138</v>
      </c>
      <c r="BS357" s="15" t="s">
        <v>5311</v>
      </c>
      <c r="DH357" s="15" t="s">
        <v>17982</v>
      </c>
      <c r="DI357" s="15" t="s">
        <v>17982</v>
      </c>
    </row>
    <row r="358" spans="1:113" s="15" customFormat="1" ht="12.75" x14ac:dyDescent="0.2">
      <c r="A358" s="15" t="s">
        <v>109</v>
      </c>
      <c r="B358" s="15" t="s">
        <v>110</v>
      </c>
      <c r="D358" s="15" t="s">
        <v>111</v>
      </c>
      <c r="E358" s="15" t="s">
        <v>112</v>
      </c>
      <c r="F358" s="15" t="s">
        <v>111</v>
      </c>
      <c r="G358" s="15" t="s">
        <v>113</v>
      </c>
      <c r="H358" s="15" t="s">
        <v>1045</v>
      </c>
      <c r="J358" s="16" t="s">
        <v>114</v>
      </c>
      <c r="U358" s="15" t="s">
        <v>17977</v>
      </c>
      <c r="W358" s="15">
        <v>1034</v>
      </c>
      <c r="X358" s="15">
        <v>368</v>
      </c>
      <c r="Y358" s="15" t="s">
        <v>160</v>
      </c>
      <c r="Z358" s="15" t="s">
        <v>161</v>
      </c>
      <c r="AA358" s="15" t="s">
        <v>162</v>
      </c>
      <c r="AB358" s="15" t="s">
        <v>5312</v>
      </c>
      <c r="AC358" s="15" t="s">
        <v>5312</v>
      </c>
      <c r="AD358" s="15" t="s">
        <v>5312</v>
      </c>
      <c r="AE358" s="15" t="s">
        <v>164</v>
      </c>
      <c r="AF358" s="15" t="s">
        <v>5312</v>
      </c>
      <c r="AG358" s="15" t="s">
        <v>5312</v>
      </c>
      <c r="AH358" s="15" t="s">
        <v>5313</v>
      </c>
      <c r="AL358" s="15" t="s">
        <v>5296</v>
      </c>
      <c r="AN358" s="15">
        <v>743</v>
      </c>
      <c r="AO358" s="15" t="s">
        <v>5314</v>
      </c>
      <c r="AQ358" s="15" t="s">
        <v>3598</v>
      </c>
      <c r="AT358" s="15" t="s">
        <v>5315</v>
      </c>
      <c r="AU358" s="15" t="s">
        <v>5316</v>
      </c>
      <c r="AV358" s="15" t="s">
        <v>5316</v>
      </c>
      <c r="AW358" s="15" t="s">
        <v>5317</v>
      </c>
      <c r="AX358" s="15" t="s">
        <v>5318</v>
      </c>
      <c r="AY358" s="15">
        <f t="shared" si="5"/>
        <v>59</v>
      </c>
      <c r="AZ358" s="15" t="s">
        <v>3603</v>
      </c>
      <c r="BA358" s="15" t="s">
        <v>214</v>
      </c>
      <c r="BB358" s="15" t="s">
        <v>5006</v>
      </c>
      <c r="BC358" s="15" t="s">
        <v>646</v>
      </c>
      <c r="BE358" s="15" t="s">
        <v>1597</v>
      </c>
      <c r="BF358" s="18"/>
      <c r="BJ358" s="15" t="s">
        <v>5319</v>
      </c>
      <c r="BK358" s="15" t="s">
        <v>487</v>
      </c>
      <c r="BN358" s="15" t="s">
        <v>179</v>
      </c>
      <c r="BO358" s="15" t="s">
        <v>4731</v>
      </c>
      <c r="BP358" s="15" t="s">
        <v>138</v>
      </c>
      <c r="BS358" s="15" t="s">
        <v>5320</v>
      </c>
      <c r="DH358" s="15" t="s">
        <v>17982</v>
      </c>
      <c r="DI358" s="15" t="s">
        <v>17982</v>
      </c>
    </row>
    <row r="359" spans="1:113" s="15" customFormat="1" ht="12.75" x14ac:dyDescent="0.2">
      <c r="A359" s="15" t="s">
        <v>109</v>
      </c>
      <c r="B359" s="15" t="s">
        <v>110</v>
      </c>
      <c r="D359" s="15" t="s">
        <v>111</v>
      </c>
      <c r="E359" s="15" t="s">
        <v>112</v>
      </c>
      <c r="F359" s="15" t="s">
        <v>111</v>
      </c>
      <c r="G359" s="15" t="s">
        <v>113</v>
      </c>
      <c r="H359" s="15" t="s">
        <v>1045</v>
      </c>
      <c r="J359" s="16" t="s">
        <v>114</v>
      </c>
      <c r="U359" s="15" t="s">
        <v>17977</v>
      </c>
      <c r="W359" s="15">
        <v>1035</v>
      </c>
      <c r="X359" s="15">
        <v>369</v>
      </c>
      <c r="Y359" s="15" t="s">
        <v>160</v>
      </c>
      <c r="Z359" s="15" t="s">
        <v>161</v>
      </c>
      <c r="AA359" s="15" t="s">
        <v>162</v>
      </c>
      <c r="AB359" s="15" t="s">
        <v>5321</v>
      </c>
      <c r="AC359" s="15" t="s">
        <v>5321</v>
      </c>
      <c r="AD359" s="15" t="s">
        <v>5321</v>
      </c>
      <c r="AE359" s="15" t="s">
        <v>164</v>
      </c>
      <c r="AF359" s="15" t="s">
        <v>5321</v>
      </c>
      <c r="AG359" s="15" t="s">
        <v>5321</v>
      </c>
      <c r="AH359" s="15" t="s">
        <v>5322</v>
      </c>
      <c r="AL359" s="15" t="s">
        <v>5296</v>
      </c>
      <c r="AN359" s="15">
        <v>743</v>
      </c>
      <c r="AO359" s="15" t="s">
        <v>5323</v>
      </c>
      <c r="AQ359" s="15" t="s">
        <v>3598</v>
      </c>
      <c r="AT359" s="15" t="s">
        <v>5324</v>
      </c>
      <c r="AU359" s="15" t="s">
        <v>5325</v>
      </c>
      <c r="AV359" s="15" t="s">
        <v>5326</v>
      </c>
      <c r="AW359" s="15" t="s">
        <v>5327</v>
      </c>
      <c r="AX359" s="15" t="s">
        <v>5328</v>
      </c>
      <c r="AY359" s="15">
        <f t="shared" si="5"/>
        <v>58</v>
      </c>
      <c r="AZ359" s="15" t="s">
        <v>3603</v>
      </c>
      <c r="BA359" s="15" t="s">
        <v>214</v>
      </c>
      <c r="BB359" s="15" t="s">
        <v>5006</v>
      </c>
      <c r="BC359" s="15" t="s">
        <v>646</v>
      </c>
      <c r="BE359" s="15" t="s">
        <v>1597</v>
      </c>
      <c r="BF359" s="18"/>
      <c r="BI359" s="15" t="s">
        <v>1905</v>
      </c>
      <c r="BJ359" s="15" t="s">
        <v>5329</v>
      </c>
      <c r="BK359" s="15" t="s">
        <v>487</v>
      </c>
      <c r="BN359" s="15" t="s">
        <v>179</v>
      </c>
      <c r="BO359" s="15" t="s">
        <v>4731</v>
      </c>
      <c r="BP359" s="15" t="s">
        <v>138</v>
      </c>
      <c r="BS359" s="15" t="s">
        <v>5330</v>
      </c>
      <c r="DH359" s="15" t="s">
        <v>17982</v>
      </c>
      <c r="DI359" s="15" t="s">
        <v>17982</v>
      </c>
    </row>
    <row r="360" spans="1:113" s="15" customFormat="1" ht="12.75" x14ac:dyDescent="0.2">
      <c r="A360" s="15" t="s">
        <v>109</v>
      </c>
      <c r="B360" s="15" t="s">
        <v>110</v>
      </c>
      <c r="D360" s="15" t="s">
        <v>111</v>
      </c>
      <c r="E360" s="15" t="s">
        <v>112</v>
      </c>
      <c r="F360" s="15" t="s">
        <v>111</v>
      </c>
      <c r="G360" s="15" t="s">
        <v>113</v>
      </c>
      <c r="H360" s="15" t="s">
        <v>1045</v>
      </c>
      <c r="J360" s="16" t="s">
        <v>114</v>
      </c>
      <c r="U360" s="15" t="s">
        <v>17977</v>
      </c>
      <c r="W360" s="15">
        <v>1027</v>
      </c>
      <c r="X360" s="15">
        <v>370</v>
      </c>
      <c r="Y360" s="15" t="s">
        <v>160</v>
      </c>
      <c r="Z360" s="15" t="s">
        <v>161</v>
      </c>
      <c r="AA360" s="15" t="s">
        <v>162</v>
      </c>
      <c r="AB360" s="15" t="s">
        <v>5246</v>
      </c>
      <c r="AC360" s="15" t="s">
        <v>5246</v>
      </c>
      <c r="AD360" s="15" t="s">
        <v>5246</v>
      </c>
      <c r="AE360" s="15" t="s">
        <v>164</v>
      </c>
      <c r="AF360" s="15" t="s">
        <v>5246</v>
      </c>
      <c r="AG360" s="15" t="s">
        <v>5246</v>
      </c>
      <c r="AH360" s="15" t="s">
        <v>5247</v>
      </c>
      <c r="AL360" s="15" t="s">
        <v>5248</v>
      </c>
      <c r="AN360" s="15">
        <v>743</v>
      </c>
      <c r="AO360" s="15" t="s">
        <v>5249</v>
      </c>
      <c r="AQ360" s="15" t="s">
        <v>3598</v>
      </c>
      <c r="AT360" s="15" t="s">
        <v>5250</v>
      </c>
      <c r="AU360" s="15" t="s">
        <v>5251</v>
      </c>
      <c r="AV360" s="15" t="s">
        <v>5251</v>
      </c>
      <c r="AW360" s="15" t="s">
        <v>5252</v>
      </c>
      <c r="AX360" s="15" t="s">
        <v>5253</v>
      </c>
      <c r="AY360" s="15">
        <f t="shared" si="5"/>
        <v>58</v>
      </c>
      <c r="AZ360" s="15" t="s">
        <v>3603</v>
      </c>
      <c r="BA360" s="15" t="s">
        <v>214</v>
      </c>
      <c r="BB360" s="15" t="s">
        <v>5006</v>
      </c>
      <c r="BC360" s="15" t="s">
        <v>646</v>
      </c>
      <c r="BE360" s="15" t="s">
        <v>1597</v>
      </c>
      <c r="BF360" s="18"/>
      <c r="BJ360" s="15" t="s">
        <v>5254</v>
      </c>
      <c r="BK360" s="15" t="s">
        <v>487</v>
      </c>
      <c r="BN360" s="15" t="s">
        <v>179</v>
      </c>
      <c r="BO360" s="15" t="s">
        <v>4731</v>
      </c>
      <c r="BP360" s="15" t="s">
        <v>138</v>
      </c>
      <c r="BS360" s="15" t="s">
        <v>5255</v>
      </c>
      <c r="DH360" s="15" t="s">
        <v>17982</v>
      </c>
      <c r="DI360" s="15" t="s">
        <v>17982</v>
      </c>
    </row>
    <row r="361" spans="1:113" s="15" customFormat="1" ht="12.75" x14ac:dyDescent="0.2">
      <c r="A361" s="15" t="s">
        <v>109</v>
      </c>
      <c r="B361" s="15" t="s">
        <v>110</v>
      </c>
      <c r="D361" s="15" t="s">
        <v>111</v>
      </c>
      <c r="E361" s="15" t="s">
        <v>112</v>
      </c>
      <c r="F361" s="15" t="s">
        <v>111</v>
      </c>
      <c r="G361" s="15" t="s">
        <v>113</v>
      </c>
      <c r="H361" s="15" t="s">
        <v>1045</v>
      </c>
      <c r="J361" s="16" t="s">
        <v>114</v>
      </c>
      <c r="U361" s="15" t="s">
        <v>17977</v>
      </c>
      <c r="W361" s="15">
        <v>1028</v>
      </c>
      <c r="X361" s="15">
        <v>371</v>
      </c>
      <c r="Y361" s="15" t="s">
        <v>160</v>
      </c>
      <c r="Z361" s="15" t="s">
        <v>161</v>
      </c>
      <c r="AA361" s="15" t="s">
        <v>162</v>
      </c>
      <c r="AB361" s="15" t="s">
        <v>5256</v>
      </c>
      <c r="AC361" s="15" t="s">
        <v>5256</v>
      </c>
      <c r="AD361" s="15" t="s">
        <v>5256</v>
      </c>
      <c r="AE361" s="15" t="s">
        <v>164</v>
      </c>
      <c r="AF361" s="15" t="s">
        <v>5256</v>
      </c>
      <c r="AG361" s="15" t="s">
        <v>5256</v>
      </c>
      <c r="AH361" s="15" t="s">
        <v>5257</v>
      </c>
      <c r="AL361" s="15" t="s">
        <v>5248</v>
      </c>
      <c r="AN361" s="15">
        <v>743</v>
      </c>
      <c r="AO361" s="15" t="s">
        <v>5258</v>
      </c>
      <c r="AQ361" s="15" t="s">
        <v>3598</v>
      </c>
      <c r="AT361" s="15" t="s">
        <v>5259</v>
      </c>
      <c r="AU361" s="15" t="s">
        <v>5260</v>
      </c>
      <c r="AV361" s="15" t="s">
        <v>5260</v>
      </c>
      <c r="AW361" s="15" t="s">
        <v>5261</v>
      </c>
      <c r="AX361" s="15" t="s">
        <v>5262</v>
      </c>
      <c r="AY361" s="15">
        <f t="shared" si="5"/>
        <v>53</v>
      </c>
      <c r="AZ361" s="15" t="s">
        <v>3603</v>
      </c>
      <c r="BA361" s="15" t="s">
        <v>214</v>
      </c>
      <c r="BB361" s="15" t="s">
        <v>5006</v>
      </c>
      <c r="BC361" s="15" t="s">
        <v>646</v>
      </c>
      <c r="BE361" s="15" t="s">
        <v>1597</v>
      </c>
      <c r="BF361" s="18"/>
      <c r="BJ361" s="15" t="s">
        <v>5263</v>
      </c>
      <c r="BN361" s="15" t="s">
        <v>179</v>
      </c>
      <c r="BO361" s="15" t="s">
        <v>4731</v>
      </c>
      <c r="BP361" s="15" t="s">
        <v>138</v>
      </c>
      <c r="BS361" s="19" t="s">
        <v>5264</v>
      </c>
      <c r="BT361" s="15" t="s">
        <v>804</v>
      </c>
      <c r="DH361" s="15" t="s">
        <v>17982</v>
      </c>
      <c r="DI361" s="15" t="s">
        <v>17982</v>
      </c>
    </row>
    <row r="362" spans="1:113" s="15" customFormat="1" ht="12.75" x14ac:dyDescent="0.2">
      <c r="A362" s="15" t="s">
        <v>109</v>
      </c>
      <c r="B362" s="15" t="s">
        <v>110</v>
      </c>
      <c r="D362" s="15" t="s">
        <v>111</v>
      </c>
      <c r="E362" s="15" t="s">
        <v>112</v>
      </c>
      <c r="F362" s="15" t="s">
        <v>111</v>
      </c>
      <c r="G362" s="15" t="s">
        <v>113</v>
      </c>
      <c r="H362" s="15" t="s">
        <v>1045</v>
      </c>
      <c r="J362" s="16" t="s">
        <v>114</v>
      </c>
      <c r="U362" s="15" t="s">
        <v>17977</v>
      </c>
      <c r="W362" s="15">
        <v>1029</v>
      </c>
      <c r="X362" s="15">
        <v>372</v>
      </c>
      <c r="Y362" s="15" t="s">
        <v>160</v>
      </c>
      <c r="Z362" s="15" t="s">
        <v>161</v>
      </c>
      <c r="AA362" s="15" t="s">
        <v>162</v>
      </c>
      <c r="AB362" s="15" t="s">
        <v>5265</v>
      </c>
      <c r="AC362" s="15" t="s">
        <v>5265</v>
      </c>
      <c r="AD362" s="15" t="s">
        <v>5265</v>
      </c>
      <c r="AE362" s="15" t="s">
        <v>164</v>
      </c>
      <c r="AF362" s="15" t="s">
        <v>5265</v>
      </c>
      <c r="AG362" s="15" t="s">
        <v>5265</v>
      </c>
      <c r="AH362" s="15" t="s">
        <v>5266</v>
      </c>
      <c r="AL362" s="15" t="s">
        <v>5248</v>
      </c>
      <c r="AN362" s="15">
        <v>743</v>
      </c>
      <c r="AO362" s="15" t="s">
        <v>5267</v>
      </c>
      <c r="AQ362" s="15" t="s">
        <v>3598</v>
      </c>
      <c r="AT362" s="15" t="s">
        <v>5268</v>
      </c>
      <c r="AU362" s="15" t="s">
        <v>5269</v>
      </c>
      <c r="AV362" s="15" t="s">
        <v>5269</v>
      </c>
      <c r="AW362" s="15" t="s">
        <v>5270</v>
      </c>
      <c r="AX362" s="15" t="s">
        <v>5271</v>
      </c>
      <c r="AY362" s="15">
        <f t="shared" si="5"/>
        <v>60</v>
      </c>
      <c r="AZ362" s="15" t="s">
        <v>3603</v>
      </c>
      <c r="BA362" s="15" t="s">
        <v>214</v>
      </c>
      <c r="BB362" s="15" t="s">
        <v>5006</v>
      </c>
      <c r="BC362" s="15" t="s">
        <v>646</v>
      </c>
      <c r="BE362" s="15" t="s">
        <v>1597</v>
      </c>
      <c r="BF362" s="18"/>
      <c r="BJ362" s="15" t="s">
        <v>5272</v>
      </c>
      <c r="BN362" s="15" t="s">
        <v>179</v>
      </c>
      <c r="BO362" s="15" t="s">
        <v>4731</v>
      </c>
      <c r="BP362" s="15" t="s">
        <v>138</v>
      </c>
      <c r="BS362" s="19" t="s">
        <v>5273</v>
      </c>
      <c r="BT362" s="15" t="s">
        <v>804</v>
      </c>
      <c r="DH362" s="15" t="s">
        <v>17982</v>
      </c>
      <c r="DI362" s="15" t="s">
        <v>17982</v>
      </c>
    </row>
    <row r="363" spans="1:113" s="15" customFormat="1" ht="12.75" x14ac:dyDescent="0.2">
      <c r="A363" s="15" t="s">
        <v>109</v>
      </c>
      <c r="B363" s="15" t="s">
        <v>110</v>
      </c>
      <c r="D363" s="15" t="s">
        <v>111</v>
      </c>
      <c r="E363" s="15" t="s">
        <v>112</v>
      </c>
      <c r="F363" s="15" t="s">
        <v>111</v>
      </c>
      <c r="G363" s="15" t="s">
        <v>113</v>
      </c>
      <c r="H363" s="15" t="s">
        <v>1045</v>
      </c>
      <c r="J363" s="16" t="s">
        <v>114</v>
      </c>
      <c r="U363" s="15" t="s">
        <v>17977</v>
      </c>
      <c r="W363" s="15">
        <v>1036</v>
      </c>
      <c r="X363" s="15">
        <v>373</v>
      </c>
      <c r="Y363" s="15" t="s">
        <v>160</v>
      </c>
      <c r="Z363" s="15" t="s">
        <v>161</v>
      </c>
      <c r="AA363" s="15" t="s">
        <v>162</v>
      </c>
      <c r="AB363" s="15" t="s">
        <v>5331</v>
      </c>
      <c r="AC363" s="15" t="s">
        <v>5331</v>
      </c>
      <c r="AD363" s="15" t="s">
        <v>5331</v>
      </c>
      <c r="AE363" s="15" t="s">
        <v>164</v>
      </c>
      <c r="AF363" s="15" t="s">
        <v>5331</v>
      </c>
      <c r="AG363" s="15" t="s">
        <v>5331</v>
      </c>
      <c r="AH363" s="15" t="s">
        <v>5332</v>
      </c>
      <c r="AL363" s="15" t="s">
        <v>5333</v>
      </c>
      <c r="AN363" s="15">
        <v>743</v>
      </c>
      <c r="AO363" s="15" t="s">
        <v>5334</v>
      </c>
      <c r="AQ363" s="15" t="s">
        <v>3598</v>
      </c>
      <c r="AT363" s="15" t="s">
        <v>5335</v>
      </c>
      <c r="AU363" s="15" t="s">
        <v>5336</v>
      </c>
      <c r="AV363" s="15" t="s">
        <v>5336</v>
      </c>
      <c r="AW363" s="15" t="s">
        <v>5337</v>
      </c>
      <c r="AX363" s="15" t="s">
        <v>5338</v>
      </c>
      <c r="AY363" s="15">
        <f t="shared" si="5"/>
        <v>59</v>
      </c>
      <c r="AZ363" s="15" t="s">
        <v>3603</v>
      </c>
      <c r="BA363" s="15" t="s">
        <v>214</v>
      </c>
      <c r="BB363" s="15" t="s">
        <v>5006</v>
      </c>
      <c r="BC363" s="15" t="s">
        <v>646</v>
      </c>
      <c r="BE363" s="15" t="s">
        <v>176</v>
      </c>
      <c r="BF363" s="18"/>
      <c r="BJ363" s="15" t="s">
        <v>5319</v>
      </c>
      <c r="BK363" s="15" t="s">
        <v>487</v>
      </c>
      <c r="BN363" s="15" t="s">
        <v>179</v>
      </c>
      <c r="BO363" s="15" t="s">
        <v>4731</v>
      </c>
      <c r="BP363" s="15" t="s">
        <v>138</v>
      </c>
      <c r="BS363" s="15" t="s">
        <v>5339</v>
      </c>
      <c r="DH363" s="15" t="s">
        <v>17982</v>
      </c>
      <c r="DI363" s="15" t="s">
        <v>17982</v>
      </c>
    </row>
    <row r="364" spans="1:113" s="15" customFormat="1" ht="12.75" x14ac:dyDescent="0.2">
      <c r="A364" s="15" t="s">
        <v>109</v>
      </c>
      <c r="B364" s="15" t="s">
        <v>110</v>
      </c>
      <c r="D364" s="15" t="s">
        <v>111</v>
      </c>
      <c r="E364" s="15" t="s">
        <v>112</v>
      </c>
      <c r="F364" s="15" t="s">
        <v>111</v>
      </c>
      <c r="G364" s="15" t="s">
        <v>113</v>
      </c>
      <c r="H364" s="15" t="s">
        <v>1045</v>
      </c>
      <c r="J364" s="16" t="s">
        <v>114</v>
      </c>
      <c r="U364" s="15" t="s">
        <v>17977</v>
      </c>
      <c r="W364" s="15">
        <v>1017</v>
      </c>
      <c r="X364" s="15">
        <v>374</v>
      </c>
      <c r="Y364" s="15" t="s">
        <v>160</v>
      </c>
      <c r="Z364" s="15" t="s">
        <v>161</v>
      </c>
      <c r="AA364" s="15" t="s">
        <v>162</v>
      </c>
      <c r="AB364" s="15" t="s">
        <v>5149</v>
      </c>
      <c r="AC364" s="15" t="s">
        <v>5149</v>
      </c>
      <c r="AD364" s="15" t="s">
        <v>5149</v>
      </c>
      <c r="AE364" s="15" t="s">
        <v>164</v>
      </c>
      <c r="AF364" s="15" t="s">
        <v>5149</v>
      </c>
      <c r="AG364" s="15" t="s">
        <v>5149</v>
      </c>
      <c r="AH364" s="15" t="s">
        <v>5150</v>
      </c>
      <c r="AL364" s="15" t="s">
        <v>5151</v>
      </c>
      <c r="AN364" s="15">
        <v>743</v>
      </c>
      <c r="AO364" s="15" t="s">
        <v>5152</v>
      </c>
      <c r="AQ364" s="15" t="s">
        <v>3598</v>
      </c>
      <c r="AT364" s="15" t="s">
        <v>5153</v>
      </c>
      <c r="AU364" s="15" t="s">
        <v>5154</v>
      </c>
      <c r="AV364" s="15" t="s">
        <v>5154</v>
      </c>
      <c r="AW364" s="15" t="s">
        <v>5155</v>
      </c>
      <c r="AX364" s="15" t="s">
        <v>5156</v>
      </c>
      <c r="AY364" s="15">
        <f t="shared" si="5"/>
        <v>55</v>
      </c>
      <c r="AZ364" s="15" t="s">
        <v>3603</v>
      </c>
      <c r="BA364" s="15" t="s">
        <v>214</v>
      </c>
      <c r="BB364" s="15" t="s">
        <v>5006</v>
      </c>
      <c r="BC364" s="15" t="s">
        <v>646</v>
      </c>
      <c r="BE364" s="18" t="s">
        <v>367</v>
      </c>
      <c r="BF364" s="18"/>
      <c r="BJ364" s="15" t="s">
        <v>5157</v>
      </c>
      <c r="BN364" s="15" t="s">
        <v>179</v>
      </c>
      <c r="BO364" s="15" t="s">
        <v>4731</v>
      </c>
      <c r="BP364" s="15" t="s">
        <v>138</v>
      </c>
      <c r="BR364" s="15" t="s">
        <v>5158</v>
      </c>
      <c r="BS364" s="19" t="s">
        <v>5159</v>
      </c>
      <c r="BT364" s="15" t="s">
        <v>804</v>
      </c>
      <c r="DH364" s="15" t="s">
        <v>17982</v>
      </c>
      <c r="DI364" s="15" t="s">
        <v>17982</v>
      </c>
    </row>
    <row r="365" spans="1:113" s="15" customFormat="1" ht="12.75" x14ac:dyDescent="0.2">
      <c r="A365" s="15" t="s">
        <v>109</v>
      </c>
      <c r="B365" s="15" t="s">
        <v>110</v>
      </c>
      <c r="D365" s="15" t="s">
        <v>111</v>
      </c>
      <c r="E365" s="15" t="s">
        <v>112</v>
      </c>
      <c r="F365" s="15" t="s">
        <v>111</v>
      </c>
      <c r="G365" s="15" t="s">
        <v>113</v>
      </c>
      <c r="H365" s="15" t="s">
        <v>1045</v>
      </c>
      <c r="J365" s="16" t="s">
        <v>114</v>
      </c>
      <c r="U365" s="15" t="s">
        <v>17977</v>
      </c>
      <c r="W365" s="15">
        <v>1018</v>
      </c>
      <c r="X365" s="15">
        <v>375</v>
      </c>
      <c r="Y365" s="15" t="s">
        <v>160</v>
      </c>
      <c r="Z365" s="15" t="s">
        <v>161</v>
      </c>
      <c r="AA365" s="15" t="s">
        <v>162</v>
      </c>
      <c r="AB365" s="15" t="s">
        <v>5160</v>
      </c>
      <c r="AC365" s="15" t="s">
        <v>5160</v>
      </c>
      <c r="AD365" s="15" t="s">
        <v>5160</v>
      </c>
      <c r="AE365" s="15" t="s">
        <v>164</v>
      </c>
      <c r="AF365" s="15" t="s">
        <v>5160</v>
      </c>
      <c r="AG365" s="15" t="s">
        <v>5160</v>
      </c>
      <c r="AH365" s="15" t="s">
        <v>5161</v>
      </c>
      <c r="AL365" s="15" t="s">
        <v>5162</v>
      </c>
      <c r="AN365" s="15">
        <v>743</v>
      </c>
      <c r="AO365" s="15" t="s">
        <v>5163</v>
      </c>
      <c r="AQ365" s="15" t="s">
        <v>3598</v>
      </c>
      <c r="AT365" s="15" t="s">
        <v>5164</v>
      </c>
      <c r="AU365" s="15" t="s">
        <v>5165</v>
      </c>
      <c r="AV365" s="15" t="s">
        <v>5165</v>
      </c>
      <c r="AW365" s="15" t="s">
        <v>5166</v>
      </c>
      <c r="AX365" s="15" t="s">
        <v>5167</v>
      </c>
      <c r="AY365" s="15">
        <f t="shared" si="5"/>
        <v>52</v>
      </c>
      <c r="AZ365" s="15" t="s">
        <v>3603</v>
      </c>
      <c r="BA365" s="15" t="s">
        <v>214</v>
      </c>
      <c r="BB365" s="15" t="s">
        <v>5006</v>
      </c>
      <c r="BC365" s="15" t="s">
        <v>646</v>
      </c>
      <c r="BE365" s="15" t="s">
        <v>176</v>
      </c>
      <c r="BF365" s="18"/>
      <c r="BJ365" s="15" t="s">
        <v>5157</v>
      </c>
      <c r="BN365" s="15" t="s">
        <v>179</v>
      </c>
      <c r="BO365" s="15" t="s">
        <v>4731</v>
      </c>
      <c r="BP365" s="15" t="s">
        <v>138</v>
      </c>
      <c r="BR365" s="15" t="s">
        <v>5158</v>
      </c>
      <c r="BS365" s="19" t="s">
        <v>5168</v>
      </c>
      <c r="BT365" s="15" t="s">
        <v>804</v>
      </c>
      <c r="DH365" s="15" t="s">
        <v>17982</v>
      </c>
      <c r="DI365" s="15" t="s">
        <v>17982</v>
      </c>
    </row>
    <row r="366" spans="1:113" s="15" customFormat="1" ht="12.75" x14ac:dyDescent="0.2">
      <c r="A366" s="15" t="s">
        <v>109</v>
      </c>
      <c r="B366" s="15" t="s">
        <v>110</v>
      </c>
      <c r="D366" s="15" t="s">
        <v>111</v>
      </c>
      <c r="E366" s="15" t="s">
        <v>112</v>
      </c>
      <c r="F366" s="15" t="s">
        <v>111</v>
      </c>
      <c r="G366" s="15" t="s">
        <v>113</v>
      </c>
      <c r="H366" s="15" t="s">
        <v>1045</v>
      </c>
      <c r="J366" s="16" t="s">
        <v>114</v>
      </c>
      <c r="U366" s="15" t="s">
        <v>17977</v>
      </c>
      <c r="W366" s="15">
        <v>1013</v>
      </c>
      <c r="X366" s="15">
        <v>376</v>
      </c>
      <c r="Y366" s="15" t="s">
        <v>160</v>
      </c>
      <c r="Z366" s="15" t="s">
        <v>161</v>
      </c>
      <c r="AA366" s="15" t="s">
        <v>162</v>
      </c>
      <c r="AB366" s="15" t="s">
        <v>5109</v>
      </c>
      <c r="AC366" s="15" t="s">
        <v>5109</v>
      </c>
      <c r="AD366" s="15" t="s">
        <v>5109</v>
      </c>
      <c r="AE366" s="15" t="s">
        <v>164</v>
      </c>
      <c r="AF366" s="15" t="s">
        <v>5109</v>
      </c>
      <c r="AG366" s="15" t="s">
        <v>5109</v>
      </c>
      <c r="AH366" s="15" t="s">
        <v>5110</v>
      </c>
      <c r="AL366" s="15" t="s">
        <v>5111</v>
      </c>
      <c r="AN366" s="15">
        <v>743</v>
      </c>
      <c r="AO366" s="15" t="s">
        <v>5112</v>
      </c>
      <c r="AQ366" s="15" t="s">
        <v>3598</v>
      </c>
      <c r="AT366" s="15" t="s">
        <v>5113</v>
      </c>
      <c r="AU366" s="15" t="s">
        <v>5114</v>
      </c>
      <c r="AV366" s="15" t="s">
        <v>5114</v>
      </c>
      <c r="AW366" s="15" t="s">
        <v>5115</v>
      </c>
      <c r="AX366" s="15" t="s">
        <v>5116</v>
      </c>
      <c r="AY366" s="15">
        <f t="shared" si="5"/>
        <v>60</v>
      </c>
      <c r="AZ366" s="15" t="s">
        <v>3603</v>
      </c>
      <c r="BA366" s="15" t="s">
        <v>214</v>
      </c>
      <c r="BB366" s="15" t="s">
        <v>5006</v>
      </c>
      <c r="BC366" s="15" t="s">
        <v>646</v>
      </c>
      <c r="BE366" s="15" t="s">
        <v>1032</v>
      </c>
      <c r="BF366" s="18"/>
      <c r="BJ366" s="15" t="s">
        <v>5117</v>
      </c>
      <c r="BK366" s="15" t="s">
        <v>487</v>
      </c>
      <c r="BN366" s="15" t="s">
        <v>179</v>
      </c>
      <c r="BO366" s="15" t="s">
        <v>4731</v>
      </c>
      <c r="BP366" s="15" t="s">
        <v>138</v>
      </c>
      <c r="BS366" s="15" t="s">
        <v>5118</v>
      </c>
      <c r="DH366" s="15" t="s">
        <v>17982</v>
      </c>
      <c r="DI366" s="15" t="s">
        <v>17982</v>
      </c>
    </row>
    <row r="367" spans="1:113" s="15" customFormat="1" ht="12.75" x14ac:dyDescent="0.2">
      <c r="A367" s="15" t="s">
        <v>109</v>
      </c>
      <c r="B367" s="15" t="s">
        <v>110</v>
      </c>
      <c r="D367" s="15" t="s">
        <v>111</v>
      </c>
      <c r="E367" s="15" t="s">
        <v>112</v>
      </c>
      <c r="F367" s="15" t="s">
        <v>111</v>
      </c>
      <c r="G367" s="15" t="s">
        <v>113</v>
      </c>
      <c r="H367" s="15" t="s">
        <v>1045</v>
      </c>
      <c r="J367" s="16" t="s">
        <v>114</v>
      </c>
      <c r="U367" s="15" t="s">
        <v>17977</v>
      </c>
      <c r="W367" s="15">
        <v>1014</v>
      </c>
      <c r="X367" s="15">
        <v>377</v>
      </c>
      <c r="Y367" s="15" t="s">
        <v>160</v>
      </c>
      <c r="Z367" s="15" t="s">
        <v>161</v>
      </c>
      <c r="AA367" s="15" t="s">
        <v>162</v>
      </c>
      <c r="AB367" s="15" t="s">
        <v>5119</v>
      </c>
      <c r="AC367" s="15" t="s">
        <v>5119</v>
      </c>
      <c r="AD367" s="15" t="s">
        <v>5119</v>
      </c>
      <c r="AE367" s="15" t="s">
        <v>164</v>
      </c>
      <c r="AF367" s="15" t="s">
        <v>5119</v>
      </c>
      <c r="AG367" s="15" t="s">
        <v>5119</v>
      </c>
      <c r="AH367" s="15" t="s">
        <v>5120</v>
      </c>
      <c r="AL367" s="15" t="s">
        <v>5111</v>
      </c>
      <c r="AN367" s="15">
        <v>743</v>
      </c>
      <c r="AO367" s="15" t="s">
        <v>5121</v>
      </c>
      <c r="AQ367" s="15" t="s">
        <v>3598</v>
      </c>
      <c r="AT367" s="15" t="s">
        <v>5122</v>
      </c>
      <c r="AU367" s="15" t="s">
        <v>5123</v>
      </c>
      <c r="AV367" s="15" t="s">
        <v>5123</v>
      </c>
      <c r="AW367" s="15" t="s">
        <v>5124</v>
      </c>
      <c r="AX367" s="15" t="s">
        <v>5125</v>
      </c>
      <c r="AY367" s="15">
        <f t="shared" si="5"/>
        <v>56</v>
      </c>
      <c r="AZ367" s="15" t="s">
        <v>3603</v>
      </c>
      <c r="BA367" s="15" t="s">
        <v>214</v>
      </c>
      <c r="BB367" s="15" t="s">
        <v>5006</v>
      </c>
      <c r="BC367" s="15" t="s">
        <v>646</v>
      </c>
      <c r="BE367" s="15" t="s">
        <v>1032</v>
      </c>
      <c r="BF367" s="18"/>
      <c r="BJ367" s="15" t="s">
        <v>5126</v>
      </c>
      <c r="BK367" s="15" t="s">
        <v>487</v>
      </c>
      <c r="BN367" s="15" t="s">
        <v>179</v>
      </c>
      <c r="BO367" s="15" t="s">
        <v>4731</v>
      </c>
      <c r="BP367" s="15" t="s">
        <v>138</v>
      </c>
      <c r="BS367" s="15" t="s">
        <v>5127</v>
      </c>
      <c r="DH367" s="15" t="s">
        <v>17982</v>
      </c>
      <c r="DI367" s="15" t="s">
        <v>17982</v>
      </c>
    </row>
    <row r="368" spans="1:113" s="15" customFormat="1" ht="12.75" x14ac:dyDescent="0.2">
      <c r="A368" s="15" t="s">
        <v>109</v>
      </c>
      <c r="B368" s="15" t="s">
        <v>110</v>
      </c>
      <c r="D368" s="15" t="s">
        <v>111</v>
      </c>
      <c r="E368" s="15" t="s">
        <v>112</v>
      </c>
      <c r="F368" s="15" t="s">
        <v>111</v>
      </c>
      <c r="G368" s="15" t="s">
        <v>113</v>
      </c>
      <c r="H368" s="15" t="s">
        <v>1045</v>
      </c>
      <c r="J368" s="16" t="s">
        <v>114</v>
      </c>
      <c r="U368" s="15" t="s">
        <v>17977</v>
      </c>
      <c r="W368" s="15">
        <v>1006</v>
      </c>
      <c r="X368" s="15">
        <v>378</v>
      </c>
      <c r="Y368" s="15" t="s">
        <v>160</v>
      </c>
      <c r="Z368" s="15" t="s">
        <v>161</v>
      </c>
      <c r="AA368" s="15" t="s">
        <v>162</v>
      </c>
      <c r="AB368" s="15" t="s">
        <v>5044</v>
      </c>
      <c r="AC368" s="15" t="s">
        <v>5044</v>
      </c>
      <c r="AD368" s="15" t="s">
        <v>5044</v>
      </c>
      <c r="AE368" s="15" t="s">
        <v>164</v>
      </c>
      <c r="AF368" s="15" t="s">
        <v>5044</v>
      </c>
      <c r="AG368" s="15" t="s">
        <v>5044</v>
      </c>
      <c r="AH368" s="15" t="s">
        <v>5045</v>
      </c>
      <c r="AL368" s="15" t="s">
        <v>5046</v>
      </c>
      <c r="AN368" s="15">
        <v>743</v>
      </c>
      <c r="AO368" s="15" t="s">
        <v>5047</v>
      </c>
      <c r="AQ368" s="15" t="s">
        <v>3598</v>
      </c>
      <c r="AT368" s="15" t="s">
        <v>5048</v>
      </c>
      <c r="AU368" s="15" t="s">
        <v>5049</v>
      </c>
      <c r="AV368" s="15" t="s">
        <v>5049</v>
      </c>
      <c r="AW368" s="15" t="s">
        <v>5050</v>
      </c>
      <c r="AX368" s="15" t="s">
        <v>5051</v>
      </c>
      <c r="AY368" s="15">
        <f t="shared" si="5"/>
        <v>56</v>
      </c>
      <c r="AZ368" s="15" t="s">
        <v>3603</v>
      </c>
      <c r="BA368" s="15" t="s">
        <v>214</v>
      </c>
      <c r="BB368" s="15" t="s">
        <v>5006</v>
      </c>
      <c r="BC368" s="15" t="s">
        <v>646</v>
      </c>
      <c r="BE368" s="15" t="s">
        <v>1032</v>
      </c>
      <c r="BF368" s="18"/>
      <c r="BJ368" s="15" t="s">
        <v>5052</v>
      </c>
      <c r="BK368" s="15" t="s">
        <v>5053</v>
      </c>
      <c r="BN368" s="15" t="s">
        <v>179</v>
      </c>
      <c r="BO368" s="15" t="s">
        <v>4731</v>
      </c>
      <c r="BP368" s="15" t="s">
        <v>138</v>
      </c>
      <c r="BS368" s="15" t="s">
        <v>5054</v>
      </c>
      <c r="DH368" s="15" t="s">
        <v>17982</v>
      </c>
      <c r="DI368" s="15" t="s">
        <v>17982</v>
      </c>
    </row>
    <row r="369" spans="1:113" s="15" customFormat="1" ht="12.75" x14ac:dyDescent="0.2">
      <c r="A369" s="15" t="s">
        <v>109</v>
      </c>
      <c r="B369" s="15" t="s">
        <v>110</v>
      </c>
      <c r="D369" s="15" t="s">
        <v>111</v>
      </c>
      <c r="E369" s="15" t="s">
        <v>112</v>
      </c>
      <c r="F369" s="15" t="s">
        <v>111</v>
      </c>
      <c r="G369" s="15" t="s">
        <v>113</v>
      </c>
      <c r="H369" s="15" t="s">
        <v>1045</v>
      </c>
      <c r="J369" s="16" t="s">
        <v>114</v>
      </c>
      <c r="U369" s="15" t="s">
        <v>17977</v>
      </c>
      <c r="W369" s="15">
        <v>1052</v>
      </c>
      <c r="X369" s="15">
        <v>379</v>
      </c>
      <c r="Y369" s="15" t="s">
        <v>160</v>
      </c>
      <c r="Z369" s="15" t="s">
        <v>161</v>
      </c>
      <c r="AA369" s="15" t="s">
        <v>162</v>
      </c>
      <c r="AB369" s="15" t="s">
        <v>5478</v>
      </c>
      <c r="AC369" s="15" t="s">
        <v>5478</v>
      </c>
      <c r="AD369" s="15" t="s">
        <v>5478</v>
      </c>
      <c r="AE369" s="15" t="s">
        <v>164</v>
      </c>
      <c r="AF369" s="15" t="s">
        <v>5478</v>
      </c>
      <c r="AG369" s="15" t="s">
        <v>5478</v>
      </c>
      <c r="AH369" s="15" t="s">
        <v>5479</v>
      </c>
      <c r="AL369" s="15" t="s">
        <v>5480</v>
      </c>
      <c r="AN369" s="15">
        <v>743</v>
      </c>
      <c r="AO369" s="15" t="s">
        <v>5481</v>
      </c>
      <c r="AQ369" s="15" t="s">
        <v>3598</v>
      </c>
      <c r="AT369" s="15" t="s">
        <v>5482</v>
      </c>
      <c r="AU369" s="15" t="s">
        <v>5483</v>
      </c>
      <c r="AV369" s="15" t="s">
        <v>5483</v>
      </c>
      <c r="AW369" s="15" t="s">
        <v>5484</v>
      </c>
      <c r="AX369" s="15" t="s">
        <v>5485</v>
      </c>
      <c r="AY369" s="15">
        <f t="shared" si="5"/>
        <v>59</v>
      </c>
      <c r="AZ369" s="15" t="s">
        <v>3603</v>
      </c>
      <c r="BA369" s="15" t="s">
        <v>214</v>
      </c>
      <c r="BB369" s="15" t="s">
        <v>4730</v>
      </c>
      <c r="BC369" s="15" t="s">
        <v>646</v>
      </c>
      <c r="BE369" s="15" t="s">
        <v>1688</v>
      </c>
      <c r="BF369" s="18"/>
      <c r="BJ369" s="15" t="s">
        <v>5486</v>
      </c>
      <c r="BK369" s="15" t="s">
        <v>5283</v>
      </c>
      <c r="BN369" s="15" t="s">
        <v>179</v>
      </c>
      <c r="BO369" s="15" t="s">
        <v>4731</v>
      </c>
      <c r="BP369" s="15" t="s">
        <v>138</v>
      </c>
      <c r="BS369" s="15" t="s">
        <v>5487</v>
      </c>
      <c r="DH369" s="15" t="s">
        <v>17982</v>
      </c>
      <c r="DI369" s="15" t="s">
        <v>17982</v>
      </c>
    </row>
    <row r="370" spans="1:113" s="15" customFormat="1" ht="12.75" x14ac:dyDescent="0.2">
      <c r="A370" s="15" t="s">
        <v>109</v>
      </c>
      <c r="B370" s="15" t="s">
        <v>110</v>
      </c>
      <c r="D370" s="15" t="s">
        <v>111</v>
      </c>
      <c r="E370" s="15" t="s">
        <v>112</v>
      </c>
      <c r="F370" s="15" t="s">
        <v>111</v>
      </c>
      <c r="G370" s="15" t="s">
        <v>113</v>
      </c>
      <c r="H370" s="15" t="s">
        <v>1045</v>
      </c>
      <c r="J370" s="16" t="s">
        <v>114</v>
      </c>
      <c r="U370" s="15" t="s">
        <v>17977</v>
      </c>
      <c r="W370" s="15">
        <v>1053</v>
      </c>
      <c r="X370" s="15">
        <v>380</v>
      </c>
      <c r="Y370" s="15" t="s">
        <v>160</v>
      </c>
      <c r="Z370" s="15" t="s">
        <v>161</v>
      </c>
      <c r="AA370" s="15" t="s">
        <v>162</v>
      </c>
      <c r="AB370" s="15" t="s">
        <v>5488</v>
      </c>
      <c r="AC370" s="15" t="s">
        <v>5488</v>
      </c>
      <c r="AD370" s="15" t="s">
        <v>5488</v>
      </c>
      <c r="AE370" s="15" t="s">
        <v>164</v>
      </c>
      <c r="AF370" s="15" t="s">
        <v>5488</v>
      </c>
      <c r="AG370" s="15" t="s">
        <v>5488</v>
      </c>
      <c r="AH370" s="15" t="s">
        <v>5489</v>
      </c>
      <c r="AL370" s="15" t="s">
        <v>5480</v>
      </c>
      <c r="AN370" s="15">
        <v>743</v>
      </c>
      <c r="AO370" s="15" t="s">
        <v>5490</v>
      </c>
      <c r="AQ370" s="15" t="s">
        <v>3598</v>
      </c>
      <c r="AT370" s="15" t="s">
        <v>5491</v>
      </c>
      <c r="AU370" s="15" t="s">
        <v>5492</v>
      </c>
      <c r="AV370" s="15" t="s">
        <v>5492</v>
      </c>
      <c r="AW370" s="15" t="s">
        <v>5493</v>
      </c>
      <c r="AX370" s="15" t="s">
        <v>5494</v>
      </c>
      <c r="AY370" s="15">
        <f t="shared" si="5"/>
        <v>60</v>
      </c>
      <c r="AZ370" s="15" t="s">
        <v>3603</v>
      </c>
      <c r="BA370" s="15" t="s">
        <v>214</v>
      </c>
      <c r="BB370" s="15" t="s">
        <v>4730</v>
      </c>
      <c r="BC370" s="15" t="s">
        <v>646</v>
      </c>
      <c r="BE370" s="15" t="s">
        <v>251</v>
      </c>
      <c r="BF370" s="18"/>
      <c r="BJ370" s="15" t="s">
        <v>5486</v>
      </c>
      <c r="BK370" s="15" t="s">
        <v>5495</v>
      </c>
      <c r="BN370" s="15" t="s">
        <v>179</v>
      </c>
      <c r="BO370" s="15" t="s">
        <v>4731</v>
      </c>
      <c r="BP370" s="15" t="s">
        <v>138</v>
      </c>
      <c r="BS370" s="15" t="s">
        <v>5496</v>
      </c>
      <c r="DH370" s="15" t="s">
        <v>17982</v>
      </c>
      <c r="DI370" s="15" t="s">
        <v>17982</v>
      </c>
    </row>
    <row r="371" spans="1:113" s="15" customFormat="1" ht="12.75" x14ac:dyDescent="0.2">
      <c r="A371" s="15" t="s">
        <v>109</v>
      </c>
      <c r="B371" s="15" t="s">
        <v>110</v>
      </c>
      <c r="D371" s="15" t="s">
        <v>111</v>
      </c>
      <c r="E371" s="15" t="s">
        <v>112</v>
      </c>
      <c r="F371" s="15" t="s">
        <v>111</v>
      </c>
      <c r="G371" s="15" t="s">
        <v>113</v>
      </c>
      <c r="H371" s="15" t="s">
        <v>1045</v>
      </c>
      <c r="J371" s="16" t="s">
        <v>114</v>
      </c>
      <c r="U371" s="15" t="s">
        <v>17977</v>
      </c>
      <c r="W371" s="15">
        <v>1054</v>
      </c>
      <c r="X371" s="15">
        <v>381</v>
      </c>
      <c r="Y371" s="15" t="s">
        <v>160</v>
      </c>
      <c r="Z371" s="15" t="s">
        <v>161</v>
      </c>
      <c r="AA371" s="15" t="s">
        <v>162</v>
      </c>
      <c r="AB371" s="15" t="s">
        <v>5497</v>
      </c>
      <c r="AC371" s="15" t="s">
        <v>5497</v>
      </c>
      <c r="AD371" s="15" t="s">
        <v>5497</v>
      </c>
      <c r="AE371" s="15" t="s">
        <v>164</v>
      </c>
      <c r="AF371" s="15" t="s">
        <v>5497</v>
      </c>
      <c r="AG371" s="15" t="s">
        <v>5497</v>
      </c>
      <c r="AH371" s="15" t="s">
        <v>5498</v>
      </c>
      <c r="AL371" s="15" t="s">
        <v>5480</v>
      </c>
      <c r="AN371" s="15">
        <v>743</v>
      </c>
      <c r="AO371" s="15" t="s">
        <v>5499</v>
      </c>
      <c r="AQ371" s="15" t="s">
        <v>3598</v>
      </c>
      <c r="AT371" s="15" t="s">
        <v>5500</v>
      </c>
      <c r="AU371" s="15" t="s">
        <v>5501</v>
      </c>
      <c r="AV371" s="15" t="s">
        <v>5501</v>
      </c>
      <c r="AW371" s="15" t="s">
        <v>5502</v>
      </c>
      <c r="AX371" s="15" t="s">
        <v>5503</v>
      </c>
      <c r="AY371" s="15">
        <f t="shared" si="5"/>
        <v>60</v>
      </c>
      <c r="AZ371" s="15" t="s">
        <v>3603</v>
      </c>
      <c r="BA371" s="15" t="s">
        <v>214</v>
      </c>
      <c r="BB371" s="15" t="s">
        <v>4730</v>
      </c>
      <c r="BC371" s="15" t="s">
        <v>646</v>
      </c>
      <c r="BE371" s="15" t="s">
        <v>367</v>
      </c>
      <c r="BF371" s="18"/>
      <c r="BJ371" s="15" t="s">
        <v>5486</v>
      </c>
      <c r="BK371" s="15" t="s">
        <v>5495</v>
      </c>
      <c r="BN371" s="15" t="s">
        <v>179</v>
      </c>
      <c r="BO371" s="15" t="s">
        <v>4731</v>
      </c>
      <c r="BP371" s="15" t="s">
        <v>138</v>
      </c>
      <c r="BS371" s="15" t="s">
        <v>5504</v>
      </c>
      <c r="DH371" s="15" t="s">
        <v>17982</v>
      </c>
      <c r="DI371" s="15" t="s">
        <v>17982</v>
      </c>
    </row>
    <row r="372" spans="1:113" s="15" customFormat="1" ht="12.75" x14ac:dyDescent="0.2">
      <c r="A372" s="15" t="s">
        <v>109</v>
      </c>
      <c r="B372" s="15" t="s">
        <v>110</v>
      </c>
      <c r="D372" s="15" t="s">
        <v>383</v>
      </c>
      <c r="E372" s="15" t="s">
        <v>112</v>
      </c>
      <c r="F372" s="15" t="s">
        <v>383</v>
      </c>
      <c r="G372" s="15" t="s">
        <v>113</v>
      </c>
      <c r="H372" s="15" t="s">
        <v>1045</v>
      </c>
      <c r="J372" s="16" t="s">
        <v>114</v>
      </c>
      <c r="U372" s="15" t="s">
        <v>17977</v>
      </c>
      <c r="W372" s="15">
        <v>3476</v>
      </c>
      <c r="X372" s="15">
        <v>382</v>
      </c>
      <c r="Y372" s="15" t="s">
        <v>160</v>
      </c>
      <c r="Z372" s="15" t="s">
        <v>161</v>
      </c>
      <c r="AA372" s="15" t="s">
        <v>162</v>
      </c>
      <c r="AB372" s="15" t="s">
        <v>16776</v>
      </c>
      <c r="AC372" s="15" t="s">
        <v>16776</v>
      </c>
      <c r="AD372" s="15" t="s">
        <v>16776</v>
      </c>
      <c r="AE372" s="15" t="s">
        <v>164</v>
      </c>
      <c r="AF372" s="15" t="s">
        <v>16776</v>
      </c>
      <c r="AG372" s="15" t="s">
        <v>16776</v>
      </c>
      <c r="AH372" s="20" t="s">
        <v>16777</v>
      </c>
      <c r="AL372" s="15" t="s">
        <v>16778</v>
      </c>
      <c r="AN372" s="15">
        <v>743</v>
      </c>
      <c r="AO372" s="15" t="s">
        <v>16779</v>
      </c>
      <c r="AQ372" s="15" t="s">
        <v>3598</v>
      </c>
      <c r="AT372" s="15" t="s">
        <v>16780</v>
      </c>
      <c r="AU372" s="15" t="s">
        <v>16781</v>
      </c>
      <c r="AV372" s="15" t="s">
        <v>16781</v>
      </c>
      <c r="AW372" s="15" t="s">
        <v>16782</v>
      </c>
      <c r="AX372" s="15" t="s">
        <v>16783</v>
      </c>
      <c r="AY372" s="21">
        <f t="shared" ref="AY372:AY403" si="6">LEN(SUBSTITUTE(AX372,", "," "))</f>
        <v>59</v>
      </c>
      <c r="AZ372" s="15" t="s">
        <v>3603</v>
      </c>
      <c r="BA372" s="15" t="s">
        <v>214</v>
      </c>
      <c r="BB372" s="15" t="s">
        <v>5006</v>
      </c>
      <c r="BE372" s="15" t="s">
        <v>564</v>
      </c>
      <c r="BJ372" s="15" t="s">
        <v>16784</v>
      </c>
      <c r="BK372" s="15" t="s">
        <v>314</v>
      </c>
      <c r="BN372" s="15" t="s">
        <v>179</v>
      </c>
      <c r="BO372" s="15" t="s">
        <v>16602</v>
      </c>
      <c r="BP372" s="15" t="s">
        <v>138</v>
      </c>
      <c r="BS372" s="15" t="s">
        <v>16785</v>
      </c>
      <c r="DH372" s="15" t="s">
        <v>17982</v>
      </c>
      <c r="DI372" s="15" t="s">
        <v>17982</v>
      </c>
    </row>
    <row r="373" spans="1:113" s="15" customFormat="1" ht="12.75" x14ac:dyDescent="0.2">
      <c r="A373" s="15" t="s">
        <v>109</v>
      </c>
      <c r="B373" s="15" t="s">
        <v>110</v>
      </c>
      <c r="D373" s="15" t="s">
        <v>383</v>
      </c>
      <c r="E373" s="15" t="s">
        <v>112</v>
      </c>
      <c r="F373" s="15" t="s">
        <v>383</v>
      </c>
      <c r="G373" s="15" t="s">
        <v>113</v>
      </c>
      <c r="H373" s="15" t="s">
        <v>1045</v>
      </c>
      <c r="J373" s="16" t="s">
        <v>114</v>
      </c>
      <c r="U373" s="15" t="s">
        <v>17977</v>
      </c>
      <c r="W373" s="15">
        <v>3300</v>
      </c>
      <c r="X373" s="15">
        <v>383</v>
      </c>
      <c r="Y373" s="15" t="s">
        <v>160</v>
      </c>
      <c r="Z373" s="15" t="s">
        <v>161</v>
      </c>
      <c r="AA373" s="15" t="s">
        <v>162</v>
      </c>
      <c r="AB373" s="15" t="s">
        <v>15963</v>
      </c>
      <c r="AC373" s="15" t="s">
        <v>15963</v>
      </c>
      <c r="AD373" s="15" t="s">
        <v>15963</v>
      </c>
      <c r="AE373" s="15" t="s">
        <v>164</v>
      </c>
      <c r="AF373" s="15" t="s">
        <v>15963</v>
      </c>
      <c r="AG373" s="15" t="s">
        <v>15963</v>
      </c>
      <c r="AH373" s="20" t="s">
        <v>15964</v>
      </c>
      <c r="AL373" s="15" t="s">
        <v>15965</v>
      </c>
      <c r="AN373" s="15">
        <v>743</v>
      </c>
      <c r="AO373" s="15" t="s">
        <v>15966</v>
      </c>
      <c r="AQ373" s="15" t="s">
        <v>3598</v>
      </c>
      <c r="AT373" s="15" t="s">
        <v>15967</v>
      </c>
      <c r="AU373" s="15" t="s">
        <v>15968</v>
      </c>
      <c r="AV373" s="15" t="s">
        <v>15968</v>
      </c>
      <c r="AW373" s="15" t="s">
        <v>15969</v>
      </c>
      <c r="AX373" s="15" t="s">
        <v>15970</v>
      </c>
      <c r="AY373" s="21">
        <f t="shared" si="6"/>
        <v>57</v>
      </c>
      <c r="AZ373" s="15" t="s">
        <v>3603</v>
      </c>
      <c r="BA373" s="15" t="s">
        <v>214</v>
      </c>
      <c r="BB373" s="15" t="s">
        <v>5468</v>
      </c>
      <c r="BC373" s="15" t="s">
        <v>646</v>
      </c>
      <c r="BE373" s="15" t="s">
        <v>564</v>
      </c>
      <c r="BJ373" s="15" t="s">
        <v>15971</v>
      </c>
      <c r="BK373" s="15" t="s">
        <v>5283</v>
      </c>
      <c r="BN373" s="15" t="s">
        <v>179</v>
      </c>
      <c r="BO373" s="15" t="s">
        <v>4731</v>
      </c>
      <c r="BP373" s="15" t="s">
        <v>138</v>
      </c>
      <c r="BS373" s="15" t="s">
        <v>15972</v>
      </c>
      <c r="DH373" s="15" t="s">
        <v>17982</v>
      </c>
      <c r="DI373" s="15" t="s">
        <v>17982</v>
      </c>
    </row>
    <row r="374" spans="1:113" s="15" customFormat="1" ht="12.75" x14ac:dyDescent="0.2">
      <c r="A374" s="15" t="s">
        <v>109</v>
      </c>
      <c r="B374" s="15" t="s">
        <v>110</v>
      </c>
      <c r="D374" s="15" t="s">
        <v>383</v>
      </c>
      <c r="E374" s="15" t="s">
        <v>112</v>
      </c>
      <c r="F374" s="15" t="s">
        <v>383</v>
      </c>
      <c r="G374" s="15" t="s">
        <v>113</v>
      </c>
      <c r="H374" s="15" t="s">
        <v>1045</v>
      </c>
      <c r="J374" s="16" t="s">
        <v>114</v>
      </c>
      <c r="U374" s="15" t="s">
        <v>17977</v>
      </c>
      <c r="W374" s="15">
        <v>982</v>
      </c>
      <c r="X374" s="15">
        <v>384</v>
      </c>
      <c r="Y374" s="15" t="s">
        <v>160</v>
      </c>
      <c r="Z374" s="15" t="s">
        <v>161</v>
      </c>
      <c r="AA374" s="15" t="s">
        <v>162</v>
      </c>
      <c r="AB374" s="15" t="s">
        <v>4808</v>
      </c>
      <c r="AC374" s="15" t="s">
        <v>4808</v>
      </c>
      <c r="AD374" s="15" t="s">
        <v>4808</v>
      </c>
      <c r="AE374" s="15" t="s">
        <v>164</v>
      </c>
      <c r="AF374" s="15" t="s">
        <v>4808</v>
      </c>
      <c r="AG374" s="15" t="s">
        <v>4808</v>
      </c>
      <c r="AH374" s="20" t="s">
        <v>4809</v>
      </c>
      <c r="AL374" s="15" t="s">
        <v>4810</v>
      </c>
      <c r="AN374" s="15">
        <v>743</v>
      </c>
      <c r="AO374" s="15" t="s">
        <v>4811</v>
      </c>
      <c r="AQ374" s="15" t="s">
        <v>3598</v>
      </c>
      <c r="AT374" s="15" t="s">
        <v>4812</v>
      </c>
      <c r="AU374" s="15" t="s">
        <v>4813</v>
      </c>
      <c r="AV374" s="15" t="s">
        <v>4813</v>
      </c>
      <c r="AW374" s="15" t="s">
        <v>4814</v>
      </c>
      <c r="AX374" s="15" t="s">
        <v>4815</v>
      </c>
      <c r="AY374" s="21">
        <f t="shared" si="6"/>
        <v>57</v>
      </c>
      <c r="AZ374" s="15" t="s">
        <v>3603</v>
      </c>
      <c r="BA374" s="15" t="s">
        <v>214</v>
      </c>
      <c r="BB374" s="15" t="s">
        <v>2006</v>
      </c>
      <c r="BC374" s="15" t="s">
        <v>646</v>
      </c>
      <c r="BE374" s="15" t="s">
        <v>1688</v>
      </c>
      <c r="BJ374" s="15" t="s">
        <v>4816</v>
      </c>
      <c r="BK374" s="15" t="s">
        <v>487</v>
      </c>
      <c r="BN374" s="15" t="s">
        <v>179</v>
      </c>
      <c r="BO374" s="15" t="s">
        <v>4731</v>
      </c>
      <c r="BP374" s="15" t="s">
        <v>138</v>
      </c>
      <c r="BS374" s="15" t="s">
        <v>4817</v>
      </c>
      <c r="DH374" s="15" t="s">
        <v>17982</v>
      </c>
      <c r="DI374" s="15" t="s">
        <v>17982</v>
      </c>
    </row>
    <row r="375" spans="1:113" s="15" customFormat="1" ht="12.75" x14ac:dyDescent="0.2">
      <c r="A375" s="15" t="s">
        <v>109</v>
      </c>
      <c r="B375" s="15" t="s">
        <v>110</v>
      </c>
      <c r="D375" s="15" t="s">
        <v>383</v>
      </c>
      <c r="E375" s="15" t="s">
        <v>112</v>
      </c>
      <c r="F375" s="15" t="s">
        <v>383</v>
      </c>
      <c r="G375" s="15" t="s">
        <v>113</v>
      </c>
      <c r="H375" s="15" t="s">
        <v>1045</v>
      </c>
      <c r="J375" s="16" t="s">
        <v>114</v>
      </c>
      <c r="U375" s="15" t="s">
        <v>17977</v>
      </c>
      <c r="W375" s="15">
        <v>983</v>
      </c>
      <c r="X375" s="15">
        <v>385</v>
      </c>
      <c r="Y375" s="15" t="s">
        <v>160</v>
      </c>
      <c r="Z375" s="15" t="s">
        <v>161</v>
      </c>
      <c r="AA375" s="15" t="s">
        <v>162</v>
      </c>
      <c r="AB375" s="15" t="s">
        <v>4818</v>
      </c>
      <c r="AC375" s="15" t="s">
        <v>4818</v>
      </c>
      <c r="AD375" s="15" t="s">
        <v>4818</v>
      </c>
      <c r="AE375" s="15" t="s">
        <v>164</v>
      </c>
      <c r="AF375" s="15" t="s">
        <v>4818</v>
      </c>
      <c r="AG375" s="15" t="s">
        <v>4818</v>
      </c>
      <c r="AH375" s="20" t="s">
        <v>4819</v>
      </c>
      <c r="AL375" s="15" t="s">
        <v>4820</v>
      </c>
      <c r="AN375" s="15">
        <v>743</v>
      </c>
      <c r="AO375" s="15" t="s">
        <v>4821</v>
      </c>
      <c r="AQ375" s="15" t="s">
        <v>3598</v>
      </c>
      <c r="AT375" s="15" t="s">
        <v>4822</v>
      </c>
      <c r="AU375" s="15" t="s">
        <v>4823</v>
      </c>
      <c r="AV375" s="15" t="s">
        <v>4823</v>
      </c>
      <c r="AW375" s="15" t="s">
        <v>4824</v>
      </c>
      <c r="AX375" s="15" t="s">
        <v>4825</v>
      </c>
      <c r="AY375" s="21">
        <f t="shared" si="6"/>
        <v>58</v>
      </c>
      <c r="AZ375" s="15" t="s">
        <v>3603</v>
      </c>
      <c r="BA375" s="15" t="s">
        <v>214</v>
      </c>
      <c r="BB375" s="15" t="s">
        <v>2006</v>
      </c>
      <c r="BC375" s="15" t="s">
        <v>646</v>
      </c>
      <c r="BE375" s="15" t="s">
        <v>1688</v>
      </c>
      <c r="BJ375" s="15" t="s">
        <v>4826</v>
      </c>
      <c r="BK375" s="15" t="s">
        <v>487</v>
      </c>
      <c r="BN375" s="15" t="s">
        <v>179</v>
      </c>
      <c r="BO375" s="15" t="s">
        <v>4731</v>
      </c>
      <c r="BP375" s="15" t="s">
        <v>138</v>
      </c>
      <c r="BS375" s="15" t="s">
        <v>4827</v>
      </c>
      <c r="DH375" s="15" t="s">
        <v>17982</v>
      </c>
      <c r="DI375" s="15" t="s">
        <v>17982</v>
      </c>
    </row>
    <row r="376" spans="1:113" s="15" customFormat="1" ht="12.75" x14ac:dyDescent="0.2">
      <c r="A376" s="15" t="s">
        <v>109</v>
      </c>
      <c r="B376" s="15" t="s">
        <v>110</v>
      </c>
      <c r="D376" s="15" t="s">
        <v>383</v>
      </c>
      <c r="E376" s="15" t="s">
        <v>112</v>
      </c>
      <c r="F376" s="15" t="s">
        <v>383</v>
      </c>
      <c r="G376" s="15" t="s">
        <v>113</v>
      </c>
      <c r="H376" s="15" t="s">
        <v>1045</v>
      </c>
      <c r="J376" s="16" t="s">
        <v>114</v>
      </c>
      <c r="U376" s="15" t="s">
        <v>17977</v>
      </c>
      <c r="W376" s="15">
        <v>984</v>
      </c>
      <c r="X376" s="15">
        <v>386</v>
      </c>
      <c r="Y376" s="15" t="s">
        <v>160</v>
      </c>
      <c r="Z376" s="15" t="s">
        <v>161</v>
      </c>
      <c r="AA376" s="15" t="s">
        <v>162</v>
      </c>
      <c r="AB376" s="15" t="s">
        <v>4828</v>
      </c>
      <c r="AC376" s="15" t="s">
        <v>4828</v>
      </c>
      <c r="AD376" s="15" t="s">
        <v>4828</v>
      </c>
      <c r="AE376" s="15" t="s">
        <v>164</v>
      </c>
      <c r="AF376" s="15" t="s">
        <v>4828</v>
      </c>
      <c r="AG376" s="15" t="s">
        <v>4828</v>
      </c>
      <c r="AH376" s="20" t="s">
        <v>4829</v>
      </c>
      <c r="AL376" s="15" t="s">
        <v>4820</v>
      </c>
      <c r="AN376" s="15">
        <v>743</v>
      </c>
      <c r="AO376" s="15" t="s">
        <v>4830</v>
      </c>
      <c r="AQ376" s="15" t="s">
        <v>3598</v>
      </c>
      <c r="AT376" s="15" t="s">
        <v>4831</v>
      </c>
      <c r="AU376" s="15" t="s">
        <v>4832</v>
      </c>
      <c r="AV376" s="15" t="s">
        <v>4832</v>
      </c>
      <c r="AW376" s="15" t="s">
        <v>4833</v>
      </c>
      <c r="AX376" s="15" t="s">
        <v>4834</v>
      </c>
      <c r="AY376" s="21">
        <f t="shared" si="6"/>
        <v>58</v>
      </c>
      <c r="AZ376" s="15" t="s">
        <v>3603</v>
      </c>
      <c r="BA376" s="15" t="s">
        <v>214</v>
      </c>
      <c r="BB376" s="15" t="s">
        <v>2006</v>
      </c>
      <c r="BC376" s="15" t="s">
        <v>646</v>
      </c>
      <c r="BE376" s="15" t="s">
        <v>1688</v>
      </c>
      <c r="BJ376" s="15" t="s">
        <v>4835</v>
      </c>
      <c r="BK376" s="15" t="s">
        <v>487</v>
      </c>
      <c r="BN376" s="15" t="s">
        <v>179</v>
      </c>
      <c r="BO376" s="15" t="s">
        <v>4731</v>
      </c>
      <c r="BP376" s="15" t="s">
        <v>138</v>
      </c>
      <c r="BS376" s="15" t="s">
        <v>4836</v>
      </c>
      <c r="DH376" s="15" t="s">
        <v>17982</v>
      </c>
      <c r="DI376" s="15" t="s">
        <v>17982</v>
      </c>
    </row>
    <row r="377" spans="1:113" s="15" customFormat="1" ht="12.75" x14ac:dyDescent="0.2">
      <c r="A377" s="15" t="s">
        <v>109</v>
      </c>
      <c r="B377" s="15" t="s">
        <v>110</v>
      </c>
      <c r="D377" s="15" t="s">
        <v>383</v>
      </c>
      <c r="E377" s="15" t="s">
        <v>112</v>
      </c>
      <c r="F377" s="15" t="s">
        <v>383</v>
      </c>
      <c r="G377" s="15" t="s">
        <v>113</v>
      </c>
      <c r="H377" s="15" t="s">
        <v>1045</v>
      </c>
      <c r="J377" s="16" t="s">
        <v>114</v>
      </c>
      <c r="U377" s="15" t="s">
        <v>17977</v>
      </c>
      <c r="W377" s="15">
        <v>974</v>
      </c>
      <c r="X377" s="15">
        <v>387</v>
      </c>
      <c r="Y377" s="15" t="s">
        <v>160</v>
      </c>
      <c r="Z377" s="15" t="s">
        <v>161</v>
      </c>
      <c r="AA377" s="15" t="s">
        <v>162</v>
      </c>
      <c r="AB377" s="15" t="s">
        <v>4733</v>
      </c>
      <c r="AC377" s="15" t="s">
        <v>4733</v>
      </c>
      <c r="AD377" s="15" t="s">
        <v>4733</v>
      </c>
      <c r="AE377" s="15" t="s">
        <v>164</v>
      </c>
      <c r="AF377" s="15" t="s">
        <v>4733</v>
      </c>
      <c r="AG377" s="15" t="s">
        <v>4733</v>
      </c>
      <c r="AH377" s="20" t="s">
        <v>4734</v>
      </c>
      <c r="AL377" s="15" t="s">
        <v>4735</v>
      </c>
      <c r="AN377" s="15">
        <v>743</v>
      </c>
      <c r="AO377" s="15" t="s">
        <v>4736</v>
      </c>
      <c r="AQ377" s="15" t="s">
        <v>3598</v>
      </c>
      <c r="AT377" s="15" t="s">
        <v>4737</v>
      </c>
      <c r="AU377" s="15" t="s">
        <v>4738</v>
      </c>
      <c r="AV377" s="15" t="s">
        <v>4738</v>
      </c>
      <c r="AW377" s="15" t="s">
        <v>4739</v>
      </c>
      <c r="AX377" s="15" t="s">
        <v>4740</v>
      </c>
      <c r="AY377" s="21">
        <f t="shared" si="6"/>
        <v>58</v>
      </c>
      <c r="AZ377" s="15" t="s">
        <v>3603</v>
      </c>
      <c r="BA377" s="15" t="s">
        <v>214</v>
      </c>
      <c r="BB377" s="15" t="s">
        <v>2006</v>
      </c>
      <c r="BC377" s="15" t="s">
        <v>646</v>
      </c>
      <c r="BE377" s="15" t="s">
        <v>1688</v>
      </c>
      <c r="BJ377" s="15" t="s">
        <v>4741</v>
      </c>
      <c r="BK377" s="15" t="s">
        <v>487</v>
      </c>
      <c r="BN377" s="15" t="s">
        <v>179</v>
      </c>
      <c r="BO377" s="15" t="s">
        <v>4731</v>
      </c>
      <c r="BP377" s="15" t="s">
        <v>138</v>
      </c>
      <c r="BS377" s="15" t="s">
        <v>4742</v>
      </c>
      <c r="DH377" s="15" t="s">
        <v>17982</v>
      </c>
      <c r="DI377" s="15" t="s">
        <v>17982</v>
      </c>
    </row>
    <row r="378" spans="1:113" s="15" customFormat="1" ht="12.75" x14ac:dyDescent="0.2">
      <c r="A378" s="15" t="s">
        <v>109</v>
      </c>
      <c r="B378" s="15" t="s">
        <v>110</v>
      </c>
      <c r="D378" s="15" t="s">
        <v>383</v>
      </c>
      <c r="E378" s="15" t="s">
        <v>112</v>
      </c>
      <c r="F378" s="15" t="s">
        <v>383</v>
      </c>
      <c r="G378" s="15" t="s">
        <v>113</v>
      </c>
      <c r="H378" s="15" t="s">
        <v>1045</v>
      </c>
      <c r="J378" s="16" t="s">
        <v>114</v>
      </c>
      <c r="U378" s="15" t="s">
        <v>17977</v>
      </c>
      <c r="W378" s="15">
        <v>976</v>
      </c>
      <c r="X378" s="15">
        <v>388</v>
      </c>
      <c r="Y378" s="15" t="s">
        <v>160</v>
      </c>
      <c r="Z378" s="15" t="s">
        <v>161</v>
      </c>
      <c r="AA378" s="15" t="s">
        <v>162</v>
      </c>
      <c r="AB378" s="15" t="s">
        <v>4752</v>
      </c>
      <c r="AC378" s="15" t="s">
        <v>4752</v>
      </c>
      <c r="AD378" s="15" t="s">
        <v>4752</v>
      </c>
      <c r="AE378" s="15" t="s">
        <v>164</v>
      </c>
      <c r="AF378" s="15" t="s">
        <v>4752</v>
      </c>
      <c r="AG378" s="15" t="s">
        <v>4752</v>
      </c>
      <c r="AH378" s="20" t="s">
        <v>4753</v>
      </c>
      <c r="AL378" s="15" t="s">
        <v>4754</v>
      </c>
      <c r="AN378" s="15">
        <v>743</v>
      </c>
      <c r="AO378" s="15" t="s">
        <v>4755</v>
      </c>
      <c r="AQ378" s="15" t="s">
        <v>3598</v>
      </c>
      <c r="AT378" s="15" t="s">
        <v>4756</v>
      </c>
      <c r="AU378" s="15" t="s">
        <v>4757</v>
      </c>
      <c r="AV378" s="15" t="s">
        <v>4757</v>
      </c>
      <c r="AW378" s="15" t="s">
        <v>4758</v>
      </c>
      <c r="AX378" s="15" t="s">
        <v>4759</v>
      </c>
      <c r="AY378" s="21">
        <f t="shared" si="6"/>
        <v>59</v>
      </c>
      <c r="AZ378" s="15" t="s">
        <v>3603</v>
      </c>
      <c r="BA378" s="15" t="s">
        <v>214</v>
      </c>
      <c r="BB378" s="15" t="s">
        <v>2006</v>
      </c>
      <c r="BC378" s="15" t="s">
        <v>646</v>
      </c>
      <c r="BE378" s="15" t="s">
        <v>1688</v>
      </c>
      <c r="BJ378" s="15" t="s">
        <v>4760</v>
      </c>
      <c r="BK378" s="15" t="s">
        <v>487</v>
      </c>
      <c r="BN378" s="15" t="s">
        <v>179</v>
      </c>
      <c r="BO378" s="15" t="s">
        <v>4731</v>
      </c>
      <c r="BP378" s="15" t="s">
        <v>138</v>
      </c>
      <c r="BS378" s="15" t="s">
        <v>4761</v>
      </c>
      <c r="DH378" s="15" t="s">
        <v>17982</v>
      </c>
      <c r="DI378" s="15" t="s">
        <v>17982</v>
      </c>
    </row>
    <row r="379" spans="1:113" s="15" customFormat="1" ht="12.75" x14ac:dyDescent="0.2">
      <c r="A379" s="15" t="s">
        <v>109</v>
      </c>
      <c r="B379" s="15" t="s">
        <v>110</v>
      </c>
      <c r="D379" s="15" t="s">
        <v>383</v>
      </c>
      <c r="E379" s="15" t="s">
        <v>112</v>
      </c>
      <c r="F379" s="15" t="s">
        <v>383</v>
      </c>
      <c r="G379" s="15" t="s">
        <v>113</v>
      </c>
      <c r="H379" s="15" t="s">
        <v>1045</v>
      </c>
      <c r="J379" s="16" t="s">
        <v>114</v>
      </c>
      <c r="U379" s="15" t="s">
        <v>17977</v>
      </c>
      <c r="W379" s="15">
        <v>975</v>
      </c>
      <c r="X379" s="15">
        <v>389</v>
      </c>
      <c r="Y379" s="15" t="s">
        <v>160</v>
      </c>
      <c r="Z379" s="15" t="s">
        <v>161</v>
      </c>
      <c r="AA379" s="15" t="s">
        <v>162</v>
      </c>
      <c r="AB379" s="15" t="s">
        <v>4743</v>
      </c>
      <c r="AC379" s="15" t="s">
        <v>4743</v>
      </c>
      <c r="AD379" s="15" t="s">
        <v>4743</v>
      </c>
      <c r="AE379" s="15" t="s">
        <v>164</v>
      </c>
      <c r="AF379" s="15" t="s">
        <v>4743</v>
      </c>
      <c r="AG379" s="15" t="s">
        <v>4743</v>
      </c>
      <c r="AH379" s="20" t="s">
        <v>4744</v>
      </c>
      <c r="AL379" s="15" t="s">
        <v>4735</v>
      </c>
      <c r="AN379" s="15">
        <v>743</v>
      </c>
      <c r="AO379" s="15" t="s">
        <v>4745</v>
      </c>
      <c r="AQ379" s="15" t="s">
        <v>3598</v>
      </c>
      <c r="AT379" s="15" t="s">
        <v>4746</v>
      </c>
      <c r="AU379" s="15" t="s">
        <v>4747</v>
      </c>
      <c r="AV379" s="15" t="s">
        <v>4747</v>
      </c>
      <c r="AW379" s="15" t="s">
        <v>4748</v>
      </c>
      <c r="AX379" s="15" t="s">
        <v>4749</v>
      </c>
      <c r="AY379" s="21">
        <f t="shared" si="6"/>
        <v>58</v>
      </c>
      <c r="AZ379" s="15" t="s">
        <v>3603</v>
      </c>
      <c r="BA379" s="15" t="s">
        <v>214</v>
      </c>
      <c r="BB379" s="15" t="s">
        <v>2006</v>
      </c>
      <c r="BC379" s="15" t="s">
        <v>646</v>
      </c>
      <c r="BE379" s="15" t="s">
        <v>1688</v>
      </c>
      <c r="BJ379" s="15" t="s">
        <v>4750</v>
      </c>
      <c r="BK379" s="15" t="s">
        <v>487</v>
      </c>
      <c r="BN379" s="15" t="s">
        <v>179</v>
      </c>
      <c r="BO379" s="15" t="s">
        <v>4731</v>
      </c>
      <c r="BP379" s="15" t="s">
        <v>138</v>
      </c>
      <c r="BS379" s="15" t="s">
        <v>4751</v>
      </c>
      <c r="DH379" s="15" t="s">
        <v>17982</v>
      </c>
      <c r="DI379" s="15" t="s">
        <v>17982</v>
      </c>
    </row>
    <row r="380" spans="1:113" s="15" customFormat="1" ht="12.75" x14ac:dyDescent="0.2">
      <c r="A380" s="15" t="s">
        <v>109</v>
      </c>
      <c r="B380" s="15" t="s">
        <v>110</v>
      </c>
      <c r="D380" s="15" t="s">
        <v>383</v>
      </c>
      <c r="E380" s="15" t="s">
        <v>112</v>
      </c>
      <c r="F380" s="15" t="s">
        <v>383</v>
      </c>
      <c r="G380" s="15" t="s">
        <v>113</v>
      </c>
      <c r="H380" s="15" t="s">
        <v>1045</v>
      </c>
      <c r="J380" s="16" t="s">
        <v>114</v>
      </c>
      <c r="U380" s="15" t="s">
        <v>17977</v>
      </c>
      <c r="W380" s="15">
        <v>977</v>
      </c>
      <c r="X380" s="15">
        <v>390</v>
      </c>
      <c r="Y380" s="15" t="s">
        <v>160</v>
      </c>
      <c r="Z380" s="15" t="s">
        <v>161</v>
      </c>
      <c r="AA380" s="15" t="s">
        <v>162</v>
      </c>
      <c r="AB380" s="15" t="s">
        <v>4762</v>
      </c>
      <c r="AC380" s="15" t="s">
        <v>4762</v>
      </c>
      <c r="AD380" s="15" t="s">
        <v>4762</v>
      </c>
      <c r="AE380" s="15" t="s">
        <v>164</v>
      </c>
      <c r="AF380" s="15" t="s">
        <v>4762</v>
      </c>
      <c r="AG380" s="15" t="s">
        <v>4762</v>
      </c>
      <c r="AH380" s="20" t="s">
        <v>4763</v>
      </c>
      <c r="AL380" s="15" t="s">
        <v>4754</v>
      </c>
      <c r="AN380" s="15">
        <v>743</v>
      </c>
      <c r="AO380" s="15" t="s">
        <v>4764</v>
      </c>
      <c r="AQ380" s="15" t="s">
        <v>3598</v>
      </c>
      <c r="AT380" s="15" t="s">
        <v>4765</v>
      </c>
      <c r="AU380" s="15" t="s">
        <v>4766</v>
      </c>
      <c r="AV380" s="15" t="s">
        <v>4766</v>
      </c>
      <c r="AW380" s="15" t="s">
        <v>4767</v>
      </c>
      <c r="AX380" s="15" t="s">
        <v>4768</v>
      </c>
      <c r="AY380" s="21">
        <f t="shared" si="6"/>
        <v>59</v>
      </c>
      <c r="AZ380" s="15" t="s">
        <v>3603</v>
      </c>
      <c r="BA380" s="15" t="s">
        <v>214</v>
      </c>
      <c r="BB380" s="15" t="s">
        <v>2006</v>
      </c>
      <c r="BC380" s="15" t="s">
        <v>646</v>
      </c>
      <c r="BE380" s="15" t="s">
        <v>1688</v>
      </c>
      <c r="BJ380" s="15" t="s">
        <v>4769</v>
      </c>
      <c r="BK380" s="15" t="s">
        <v>487</v>
      </c>
      <c r="BN380" s="15" t="s">
        <v>179</v>
      </c>
      <c r="BO380" s="15" t="s">
        <v>4731</v>
      </c>
      <c r="BP380" s="15" t="s">
        <v>138</v>
      </c>
      <c r="BS380" s="15" t="s">
        <v>4770</v>
      </c>
      <c r="DH380" s="15" t="s">
        <v>17982</v>
      </c>
      <c r="DI380" s="15" t="s">
        <v>17982</v>
      </c>
    </row>
    <row r="381" spans="1:113" s="15" customFormat="1" ht="12.75" x14ac:dyDescent="0.2">
      <c r="A381" s="15" t="s">
        <v>109</v>
      </c>
      <c r="B381" s="15" t="s">
        <v>110</v>
      </c>
      <c r="D381" s="15" t="s">
        <v>383</v>
      </c>
      <c r="E381" s="15" t="s">
        <v>112</v>
      </c>
      <c r="F381" s="15" t="s">
        <v>383</v>
      </c>
      <c r="G381" s="15" t="s">
        <v>113</v>
      </c>
      <c r="H381" s="15" t="s">
        <v>1045</v>
      </c>
      <c r="J381" s="16" t="s">
        <v>114</v>
      </c>
      <c r="U381" s="15" t="s">
        <v>17977</v>
      </c>
      <c r="W381" s="15">
        <v>1007</v>
      </c>
      <c r="X381" s="15">
        <v>391</v>
      </c>
      <c r="Y381" s="15" t="s">
        <v>160</v>
      </c>
      <c r="Z381" s="15" t="s">
        <v>161</v>
      </c>
      <c r="AA381" s="15" t="s">
        <v>162</v>
      </c>
      <c r="AB381" s="15" t="s">
        <v>5055</v>
      </c>
      <c r="AC381" s="15" t="s">
        <v>5055</v>
      </c>
      <c r="AD381" s="15" t="s">
        <v>5055</v>
      </c>
      <c r="AE381" s="15" t="s">
        <v>164</v>
      </c>
      <c r="AF381" s="15" t="s">
        <v>5055</v>
      </c>
      <c r="AG381" s="15" t="s">
        <v>5055</v>
      </c>
      <c r="AH381" s="20" t="s">
        <v>5056</v>
      </c>
      <c r="AL381" s="15" t="s">
        <v>5057</v>
      </c>
      <c r="AN381" s="15">
        <v>743</v>
      </c>
      <c r="AO381" s="15" t="s">
        <v>5058</v>
      </c>
      <c r="AQ381" s="15" t="s">
        <v>3598</v>
      </c>
      <c r="AT381" s="15" t="s">
        <v>5059</v>
      </c>
      <c r="AU381" s="15" t="s">
        <v>5060</v>
      </c>
      <c r="AV381" s="15" t="s">
        <v>5060</v>
      </c>
      <c r="AW381" s="15" t="s">
        <v>5061</v>
      </c>
      <c r="AX381" s="15" t="s">
        <v>5062</v>
      </c>
      <c r="AY381" s="21">
        <f t="shared" si="6"/>
        <v>60</v>
      </c>
      <c r="AZ381" s="15" t="s">
        <v>3603</v>
      </c>
      <c r="BA381" s="15" t="s">
        <v>214</v>
      </c>
      <c r="BB381" s="15" t="s">
        <v>5006</v>
      </c>
      <c r="BC381" s="15" t="s">
        <v>646</v>
      </c>
      <c r="BE381" s="15" t="s">
        <v>2054</v>
      </c>
      <c r="BJ381" s="15" t="s">
        <v>4741</v>
      </c>
      <c r="BK381" s="15" t="s">
        <v>487</v>
      </c>
      <c r="BN381" s="15" t="s">
        <v>179</v>
      </c>
      <c r="BO381" s="15" t="s">
        <v>4731</v>
      </c>
      <c r="BP381" s="15" t="s">
        <v>138</v>
      </c>
      <c r="BS381" s="15" t="s">
        <v>5063</v>
      </c>
      <c r="DH381" s="15" t="s">
        <v>17982</v>
      </c>
      <c r="DI381" s="15" t="s">
        <v>17982</v>
      </c>
    </row>
    <row r="382" spans="1:113" s="15" customFormat="1" ht="12.75" x14ac:dyDescent="0.2">
      <c r="A382" s="15" t="s">
        <v>109</v>
      </c>
      <c r="B382" s="15" t="s">
        <v>110</v>
      </c>
      <c r="D382" s="15" t="s">
        <v>383</v>
      </c>
      <c r="E382" s="15" t="s">
        <v>112</v>
      </c>
      <c r="F382" s="15" t="s">
        <v>383</v>
      </c>
      <c r="G382" s="15" t="s">
        <v>113</v>
      </c>
      <c r="H382" s="15" t="s">
        <v>1045</v>
      </c>
      <c r="J382" s="16" t="s">
        <v>114</v>
      </c>
      <c r="U382" s="15" t="s">
        <v>17977</v>
      </c>
      <c r="W382" s="15">
        <v>1008</v>
      </c>
      <c r="X382" s="15">
        <v>392</v>
      </c>
      <c r="Y382" s="15" t="s">
        <v>160</v>
      </c>
      <c r="Z382" s="15" t="s">
        <v>161</v>
      </c>
      <c r="AA382" s="15" t="s">
        <v>162</v>
      </c>
      <c r="AB382" s="15" t="s">
        <v>5064</v>
      </c>
      <c r="AC382" s="15" t="s">
        <v>5064</v>
      </c>
      <c r="AD382" s="15" t="s">
        <v>5064</v>
      </c>
      <c r="AE382" s="15" t="s">
        <v>164</v>
      </c>
      <c r="AF382" s="15" t="s">
        <v>5064</v>
      </c>
      <c r="AG382" s="15" t="s">
        <v>5064</v>
      </c>
      <c r="AH382" s="20" t="s">
        <v>5065</v>
      </c>
      <c r="AL382" s="15" t="s">
        <v>5057</v>
      </c>
      <c r="AN382" s="15">
        <v>743</v>
      </c>
      <c r="AO382" s="15" t="s">
        <v>5066</v>
      </c>
      <c r="AQ382" s="15" t="s">
        <v>3598</v>
      </c>
      <c r="AT382" s="15" t="s">
        <v>5067</v>
      </c>
      <c r="AU382" s="15" t="s">
        <v>5068</v>
      </c>
      <c r="AV382" s="15" t="s">
        <v>5068</v>
      </c>
      <c r="AW382" s="15" t="s">
        <v>5069</v>
      </c>
      <c r="AX382" s="15" t="s">
        <v>5070</v>
      </c>
      <c r="AY382" s="21">
        <f t="shared" si="6"/>
        <v>56</v>
      </c>
      <c r="AZ382" s="15" t="s">
        <v>3603</v>
      </c>
      <c r="BA382" s="15" t="s">
        <v>214</v>
      </c>
      <c r="BB382" s="15" t="s">
        <v>5006</v>
      </c>
      <c r="BC382" s="15" t="s">
        <v>646</v>
      </c>
      <c r="BE382" s="15" t="s">
        <v>2054</v>
      </c>
      <c r="BJ382" s="15" t="s">
        <v>4760</v>
      </c>
      <c r="BK382" s="15" t="s">
        <v>487</v>
      </c>
      <c r="BN382" s="15" t="s">
        <v>179</v>
      </c>
      <c r="BO382" s="15" t="s">
        <v>4731</v>
      </c>
      <c r="BP382" s="15" t="s">
        <v>138</v>
      </c>
      <c r="BS382" s="15" t="s">
        <v>5071</v>
      </c>
      <c r="DH382" s="15" t="s">
        <v>17982</v>
      </c>
      <c r="DI382" s="15" t="s">
        <v>17982</v>
      </c>
    </row>
    <row r="383" spans="1:113" s="15" customFormat="1" ht="12.75" x14ac:dyDescent="0.2">
      <c r="A383" s="15" t="s">
        <v>109</v>
      </c>
      <c r="B383" s="15" t="s">
        <v>110</v>
      </c>
      <c r="D383" s="15" t="s">
        <v>383</v>
      </c>
      <c r="E383" s="15" t="s">
        <v>112</v>
      </c>
      <c r="F383" s="15" t="s">
        <v>383</v>
      </c>
      <c r="G383" s="15" t="s">
        <v>113</v>
      </c>
      <c r="H383" s="15" t="s">
        <v>1045</v>
      </c>
      <c r="J383" s="16" t="s">
        <v>114</v>
      </c>
      <c r="U383" s="15" t="s">
        <v>17977</v>
      </c>
      <c r="W383" s="15">
        <v>1003</v>
      </c>
      <c r="X383" s="15">
        <v>393</v>
      </c>
      <c r="Y383" s="15" t="s">
        <v>160</v>
      </c>
      <c r="Z383" s="15" t="s">
        <v>161</v>
      </c>
      <c r="AA383" s="15" t="s">
        <v>162</v>
      </c>
      <c r="AB383" s="15" t="s">
        <v>5018</v>
      </c>
      <c r="AC383" s="15" t="s">
        <v>5018</v>
      </c>
      <c r="AD383" s="15" t="s">
        <v>5018</v>
      </c>
      <c r="AE383" s="15" t="s">
        <v>164</v>
      </c>
      <c r="AF383" s="15" t="s">
        <v>5018</v>
      </c>
      <c r="AG383" s="15" t="s">
        <v>5018</v>
      </c>
      <c r="AH383" s="20" t="s">
        <v>5019</v>
      </c>
      <c r="AL383" s="15" t="s">
        <v>5020</v>
      </c>
      <c r="AN383" s="15">
        <v>743</v>
      </c>
      <c r="AO383" s="15" t="s">
        <v>5021</v>
      </c>
      <c r="AQ383" s="15" t="s">
        <v>3598</v>
      </c>
      <c r="AT383" s="15" t="s">
        <v>5022</v>
      </c>
      <c r="AU383" s="15" t="s">
        <v>5023</v>
      </c>
      <c r="AV383" s="15" t="s">
        <v>5023</v>
      </c>
      <c r="AW383" s="15" t="s">
        <v>5024</v>
      </c>
      <c r="AX383" s="15" t="s">
        <v>5025</v>
      </c>
      <c r="AY383" s="21">
        <f t="shared" si="6"/>
        <v>60</v>
      </c>
      <c r="AZ383" s="15" t="s">
        <v>3603</v>
      </c>
      <c r="BA383" s="15" t="s">
        <v>214</v>
      </c>
      <c r="BB383" s="15" t="s">
        <v>5006</v>
      </c>
      <c r="BC383" s="15" t="s">
        <v>646</v>
      </c>
      <c r="BE383" s="15" t="s">
        <v>2054</v>
      </c>
      <c r="BJ383" s="15" t="s">
        <v>4750</v>
      </c>
      <c r="BK383" s="15" t="s">
        <v>487</v>
      </c>
      <c r="BN383" s="15" t="s">
        <v>179</v>
      </c>
      <c r="BO383" s="15" t="s">
        <v>4731</v>
      </c>
      <c r="BP383" s="15" t="s">
        <v>138</v>
      </c>
      <c r="BS383" s="15" t="s">
        <v>5026</v>
      </c>
      <c r="DH383" s="15" t="s">
        <v>17982</v>
      </c>
      <c r="DI383" s="15" t="s">
        <v>17982</v>
      </c>
    </row>
    <row r="384" spans="1:113" s="15" customFormat="1" ht="12.75" x14ac:dyDescent="0.2">
      <c r="A384" s="15" t="s">
        <v>109</v>
      </c>
      <c r="B384" s="15" t="s">
        <v>110</v>
      </c>
      <c r="D384" s="15" t="s">
        <v>383</v>
      </c>
      <c r="E384" s="15" t="s">
        <v>112</v>
      </c>
      <c r="F384" s="15" t="s">
        <v>383</v>
      </c>
      <c r="G384" s="15" t="s">
        <v>113</v>
      </c>
      <c r="H384" s="15" t="s">
        <v>1045</v>
      </c>
      <c r="J384" s="16" t="s">
        <v>114</v>
      </c>
      <c r="U384" s="15" t="s">
        <v>17977</v>
      </c>
      <c r="W384" s="15">
        <v>1004</v>
      </c>
      <c r="X384" s="15">
        <v>394</v>
      </c>
      <c r="Y384" s="15" t="s">
        <v>160</v>
      </c>
      <c r="Z384" s="15" t="s">
        <v>161</v>
      </c>
      <c r="AA384" s="15" t="s">
        <v>162</v>
      </c>
      <c r="AB384" s="15" t="s">
        <v>5027</v>
      </c>
      <c r="AC384" s="15" t="s">
        <v>5027</v>
      </c>
      <c r="AD384" s="15" t="s">
        <v>5027</v>
      </c>
      <c r="AE384" s="15" t="s">
        <v>164</v>
      </c>
      <c r="AF384" s="15" t="s">
        <v>5027</v>
      </c>
      <c r="AG384" s="15" t="s">
        <v>5027</v>
      </c>
      <c r="AH384" s="20" t="s">
        <v>5028</v>
      </c>
      <c r="AL384" s="15" t="s">
        <v>5020</v>
      </c>
      <c r="AN384" s="15">
        <v>743</v>
      </c>
      <c r="AO384" s="15" t="s">
        <v>5029</v>
      </c>
      <c r="AQ384" s="15" t="s">
        <v>3598</v>
      </c>
      <c r="AT384" s="15" t="s">
        <v>5030</v>
      </c>
      <c r="AU384" s="15" t="s">
        <v>5031</v>
      </c>
      <c r="AV384" s="15" t="s">
        <v>5031</v>
      </c>
      <c r="AW384" s="15" t="s">
        <v>5032</v>
      </c>
      <c r="AX384" s="15" t="s">
        <v>5033</v>
      </c>
      <c r="AY384" s="21">
        <f t="shared" si="6"/>
        <v>56</v>
      </c>
      <c r="AZ384" s="15" t="s">
        <v>3603</v>
      </c>
      <c r="BA384" s="15" t="s">
        <v>214</v>
      </c>
      <c r="BB384" s="15" t="s">
        <v>5006</v>
      </c>
      <c r="BC384" s="15" t="s">
        <v>646</v>
      </c>
      <c r="BE384" s="15" t="s">
        <v>2054</v>
      </c>
      <c r="BJ384" s="15" t="s">
        <v>4769</v>
      </c>
      <c r="BK384" s="15" t="s">
        <v>487</v>
      </c>
      <c r="BN384" s="15" t="s">
        <v>179</v>
      </c>
      <c r="BO384" s="15" t="s">
        <v>4731</v>
      </c>
      <c r="BP384" s="15" t="s">
        <v>138</v>
      </c>
      <c r="BS384" s="15" t="s">
        <v>5034</v>
      </c>
      <c r="DH384" s="15" t="s">
        <v>17982</v>
      </c>
      <c r="DI384" s="15" t="s">
        <v>17982</v>
      </c>
    </row>
    <row r="385" spans="1:113" s="15" customFormat="1" ht="12.75" x14ac:dyDescent="0.2">
      <c r="A385" s="15" t="s">
        <v>109</v>
      </c>
      <c r="B385" s="15" t="s">
        <v>110</v>
      </c>
      <c r="D385" s="15" t="s">
        <v>383</v>
      </c>
      <c r="E385" s="15" t="s">
        <v>112</v>
      </c>
      <c r="F385" s="15" t="s">
        <v>383</v>
      </c>
      <c r="G385" s="15" t="s">
        <v>113</v>
      </c>
      <c r="H385" s="15" t="s">
        <v>1045</v>
      </c>
      <c r="J385" s="16" t="s">
        <v>114</v>
      </c>
      <c r="U385" s="15" t="s">
        <v>17977</v>
      </c>
      <c r="W385" s="15">
        <v>1030</v>
      </c>
      <c r="X385" s="15">
        <v>395</v>
      </c>
      <c r="Y385" s="15" t="s">
        <v>160</v>
      </c>
      <c r="Z385" s="15" t="s">
        <v>161</v>
      </c>
      <c r="AA385" s="15" t="s">
        <v>162</v>
      </c>
      <c r="AB385" s="15" t="s">
        <v>5274</v>
      </c>
      <c r="AC385" s="15" t="s">
        <v>5274</v>
      </c>
      <c r="AD385" s="15" t="s">
        <v>5274</v>
      </c>
      <c r="AE385" s="15" t="s">
        <v>164</v>
      </c>
      <c r="AF385" s="15" t="s">
        <v>5274</v>
      </c>
      <c r="AG385" s="15" t="s">
        <v>5274</v>
      </c>
      <c r="AH385" s="20" t="s">
        <v>5275</v>
      </c>
      <c r="AI385" s="15">
        <v>42292903</v>
      </c>
      <c r="AK385" s="15" t="s">
        <v>5092</v>
      </c>
      <c r="AL385" s="15" t="s">
        <v>5276</v>
      </c>
      <c r="AN385" s="15">
        <v>743</v>
      </c>
      <c r="AO385" s="15" t="s">
        <v>5277</v>
      </c>
      <c r="AQ385" s="15" t="s">
        <v>3598</v>
      </c>
      <c r="AT385" s="15" t="s">
        <v>5278</v>
      </c>
      <c r="AU385" s="15" t="s">
        <v>5279</v>
      </c>
      <c r="AV385" s="15" t="s">
        <v>5279</v>
      </c>
      <c r="AW385" s="15" t="s">
        <v>5280</v>
      </c>
      <c r="AX385" s="15" t="s">
        <v>5281</v>
      </c>
      <c r="AY385" s="21">
        <f t="shared" si="6"/>
        <v>58</v>
      </c>
      <c r="AZ385" s="15" t="s">
        <v>3603</v>
      </c>
      <c r="BA385" s="15" t="s">
        <v>214</v>
      </c>
      <c r="BB385" s="15" t="s">
        <v>5006</v>
      </c>
      <c r="BC385" s="15" t="s">
        <v>646</v>
      </c>
      <c r="BE385" s="15" t="s">
        <v>367</v>
      </c>
      <c r="BJ385" s="15" t="s">
        <v>5282</v>
      </c>
      <c r="BK385" s="15" t="s">
        <v>5283</v>
      </c>
      <c r="BN385" s="15" t="s">
        <v>179</v>
      </c>
      <c r="BO385" s="15" t="s">
        <v>4731</v>
      </c>
      <c r="BP385" s="15" t="s">
        <v>138</v>
      </c>
      <c r="BS385" s="15" t="s">
        <v>5284</v>
      </c>
      <c r="DH385" s="15" t="s">
        <v>17982</v>
      </c>
      <c r="DI385" s="15" t="s">
        <v>17982</v>
      </c>
    </row>
    <row r="386" spans="1:113" s="15" customFormat="1" ht="12.75" x14ac:dyDescent="0.2">
      <c r="A386" s="15" t="s">
        <v>109</v>
      </c>
      <c r="B386" s="15" t="s">
        <v>110</v>
      </c>
      <c r="D386" s="15" t="s">
        <v>383</v>
      </c>
      <c r="E386" s="15" t="s">
        <v>112</v>
      </c>
      <c r="F386" s="15" t="s">
        <v>383</v>
      </c>
      <c r="G386" s="15" t="s">
        <v>113</v>
      </c>
      <c r="H386" s="15" t="s">
        <v>1045</v>
      </c>
      <c r="J386" s="16" t="s">
        <v>114</v>
      </c>
      <c r="U386" s="15" t="s">
        <v>17977</v>
      </c>
      <c r="W386" s="15">
        <v>1031</v>
      </c>
      <c r="X386" s="15">
        <v>396</v>
      </c>
      <c r="Y386" s="15" t="s">
        <v>160</v>
      </c>
      <c r="Z386" s="15" t="s">
        <v>161</v>
      </c>
      <c r="AA386" s="15" t="s">
        <v>162</v>
      </c>
      <c r="AB386" s="15" t="s">
        <v>5285</v>
      </c>
      <c r="AC386" s="15" t="s">
        <v>5285</v>
      </c>
      <c r="AD386" s="15" t="s">
        <v>5285</v>
      </c>
      <c r="AE386" s="15" t="s">
        <v>164</v>
      </c>
      <c r="AF386" s="15" t="s">
        <v>5285</v>
      </c>
      <c r="AG386" s="15" t="s">
        <v>5285</v>
      </c>
      <c r="AH386" s="20" t="s">
        <v>5286</v>
      </c>
      <c r="AL386" s="15" t="s">
        <v>5276</v>
      </c>
      <c r="AN386" s="15">
        <v>743</v>
      </c>
      <c r="AO386" s="15" t="s">
        <v>5287</v>
      </c>
      <c r="AQ386" s="15" t="s">
        <v>3598</v>
      </c>
      <c r="AT386" s="15" t="s">
        <v>5288</v>
      </c>
      <c r="AU386" s="15" t="s">
        <v>5289</v>
      </c>
      <c r="AV386" s="15" t="s">
        <v>5289</v>
      </c>
      <c r="AW386" s="15" t="s">
        <v>5290</v>
      </c>
      <c r="AX386" s="15" t="s">
        <v>5291</v>
      </c>
      <c r="AY386" s="21">
        <f t="shared" si="6"/>
        <v>59</v>
      </c>
      <c r="AZ386" s="15" t="s">
        <v>3603</v>
      </c>
      <c r="BA386" s="15" t="s">
        <v>214</v>
      </c>
      <c r="BB386" s="15" t="s">
        <v>5006</v>
      </c>
      <c r="BC386" s="15" t="s">
        <v>646</v>
      </c>
      <c r="BE386" s="15" t="s">
        <v>367</v>
      </c>
      <c r="BJ386" s="15" t="s">
        <v>5292</v>
      </c>
      <c r="BK386" s="15" t="s">
        <v>5283</v>
      </c>
      <c r="BN386" s="15" t="s">
        <v>179</v>
      </c>
      <c r="BO386" s="15" t="s">
        <v>4731</v>
      </c>
      <c r="BP386" s="15" t="s">
        <v>138</v>
      </c>
      <c r="BS386" s="15" t="s">
        <v>5293</v>
      </c>
      <c r="DH386" s="15" t="s">
        <v>17982</v>
      </c>
      <c r="DI386" s="15" t="s">
        <v>17982</v>
      </c>
    </row>
    <row r="387" spans="1:113" s="15" customFormat="1" ht="12.75" x14ac:dyDescent="0.2">
      <c r="A387" s="15" t="s">
        <v>109</v>
      </c>
      <c r="B387" s="15" t="s">
        <v>110</v>
      </c>
      <c r="D387" s="15" t="s">
        <v>383</v>
      </c>
      <c r="E387" s="15" t="s">
        <v>112</v>
      </c>
      <c r="F387" s="15" t="s">
        <v>383</v>
      </c>
      <c r="G387" s="15" t="s">
        <v>113</v>
      </c>
      <c r="H387" s="15" t="s">
        <v>1045</v>
      </c>
      <c r="J387" s="16" t="s">
        <v>114</v>
      </c>
      <c r="U387" s="15" t="s">
        <v>17977</v>
      </c>
      <c r="W387" s="15">
        <v>1010</v>
      </c>
      <c r="X387" s="15">
        <v>397</v>
      </c>
      <c r="Y387" s="15" t="s">
        <v>160</v>
      </c>
      <c r="Z387" s="15" t="s">
        <v>161</v>
      </c>
      <c r="AA387" s="15" t="s">
        <v>162</v>
      </c>
      <c r="AB387" s="15" t="s">
        <v>5082</v>
      </c>
      <c r="AC387" s="15" t="s">
        <v>5082</v>
      </c>
      <c r="AD387" s="15" t="s">
        <v>5082</v>
      </c>
      <c r="AE387" s="15" t="s">
        <v>164</v>
      </c>
      <c r="AF387" s="15" t="s">
        <v>5082</v>
      </c>
      <c r="AG387" s="15" t="s">
        <v>5082</v>
      </c>
      <c r="AH387" s="20" t="s">
        <v>5083</v>
      </c>
      <c r="AL387" s="15" t="s">
        <v>5074</v>
      </c>
      <c r="AN387" s="15">
        <v>743</v>
      </c>
      <c r="AO387" s="15" t="s">
        <v>5084</v>
      </c>
      <c r="AQ387" s="15" t="s">
        <v>3598</v>
      </c>
      <c r="AT387" s="15" t="s">
        <v>5085</v>
      </c>
      <c r="AU387" s="15" t="s">
        <v>5086</v>
      </c>
      <c r="AV387" s="15" t="s">
        <v>5086</v>
      </c>
      <c r="AW387" s="15" t="s">
        <v>5087</v>
      </c>
      <c r="AX387" s="15" t="s">
        <v>5088</v>
      </c>
      <c r="AY387" s="21">
        <f t="shared" si="6"/>
        <v>59</v>
      </c>
      <c r="AZ387" s="15" t="s">
        <v>3603</v>
      </c>
      <c r="BA387" s="15" t="s">
        <v>214</v>
      </c>
      <c r="BB387" s="15" t="s">
        <v>5006</v>
      </c>
      <c r="BC387" s="15" t="s">
        <v>646</v>
      </c>
      <c r="BE387" s="15" t="s">
        <v>367</v>
      </c>
      <c r="BJ387" s="15" t="s">
        <v>4741</v>
      </c>
      <c r="BK387" s="15" t="s">
        <v>487</v>
      </c>
      <c r="BN387" s="15" t="s">
        <v>179</v>
      </c>
      <c r="BO387" s="15" t="s">
        <v>4731</v>
      </c>
      <c r="BP387" s="15" t="s">
        <v>138</v>
      </c>
      <c r="BS387" s="15" t="s">
        <v>5089</v>
      </c>
      <c r="DH387" s="15" t="s">
        <v>17982</v>
      </c>
      <c r="DI387" s="15" t="s">
        <v>17982</v>
      </c>
    </row>
    <row r="388" spans="1:113" s="15" customFormat="1" ht="12.75" x14ac:dyDescent="0.2">
      <c r="A388" s="15" t="s">
        <v>109</v>
      </c>
      <c r="B388" s="15" t="s">
        <v>110</v>
      </c>
      <c r="D388" s="15" t="s">
        <v>383</v>
      </c>
      <c r="E388" s="15" t="s">
        <v>112</v>
      </c>
      <c r="F388" s="15" t="s">
        <v>383</v>
      </c>
      <c r="G388" s="15" t="s">
        <v>113</v>
      </c>
      <c r="H388" s="15" t="s">
        <v>1045</v>
      </c>
      <c r="J388" s="16" t="s">
        <v>114</v>
      </c>
      <c r="U388" s="15" t="s">
        <v>17977</v>
      </c>
      <c r="W388" s="15">
        <v>1011</v>
      </c>
      <c r="X388" s="15">
        <v>398</v>
      </c>
      <c r="Y388" s="15" t="s">
        <v>160</v>
      </c>
      <c r="Z388" s="15" t="s">
        <v>161</v>
      </c>
      <c r="AA388" s="15" t="s">
        <v>162</v>
      </c>
      <c r="AB388" s="15" t="s">
        <v>5090</v>
      </c>
      <c r="AC388" s="15" t="s">
        <v>5090</v>
      </c>
      <c r="AD388" s="15" t="s">
        <v>5090</v>
      </c>
      <c r="AE388" s="15" t="s">
        <v>164</v>
      </c>
      <c r="AF388" s="15" t="s">
        <v>5090</v>
      </c>
      <c r="AG388" s="15" t="s">
        <v>5090</v>
      </c>
      <c r="AH388" s="20" t="s">
        <v>5091</v>
      </c>
      <c r="AI388" s="15">
        <v>42292903</v>
      </c>
      <c r="AK388" s="15" t="s">
        <v>5092</v>
      </c>
      <c r="AL388" s="15" t="s">
        <v>5074</v>
      </c>
      <c r="AN388" s="15">
        <v>743</v>
      </c>
      <c r="AO388" s="15" t="s">
        <v>5093</v>
      </c>
      <c r="AQ388" s="15" t="s">
        <v>3598</v>
      </c>
      <c r="AT388" s="15" t="s">
        <v>5094</v>
      </c>
      <c r="AU388" s="15" t="s">
        <v>5095</v>
      </c>
      <c r="AV388" s="15" t="s">
        <v>5095</v>
      </c>
      <c r="AW388" s="15" t="s">
        <v>5096</v>
      </c>
      <c r="AX388" s="15" t="s">
        <v>5097</v>
      </c>
      <c r="AY388" s="21">
        <f t="shared" si="6"/>
        <v>60</v>
      </c>
      <c r="AZ388" s="15" t="s">
        <v>3603</v>
      </c>
      <c r="BA388" s="15" t="s">
        <v>214</v>
      </c>
      <c r="BB388" s="15" t="s">
        <v>5006</v>
      </c>
      <c r="BC388" s="15" t="s">
        <v>646</v>
      </c>
      <c r="BE388" s="15" t="s">
        <v>367</v>
      </c>
      <c r="BJ388" s="15" t="s">
        <v>4760</v>
      </c>
      <c r="BK388" s="15" t="s">
        <v>487</v>
      </c>
      <c r="BN388" s="15" t="s">
        <v>179</v>
      </c>
      <c r="BO388" s="15" t="s">
        <v>4731</v>
      </c>
      <c r="BP388" s="15" t="s">
        <v>138</v>
      </c>
      <c r="BS388" s="15" t="s">
        <v>5098</v>
      </c>
      <c r="DH388" s="15" t="s">
        <v>17982</v>
      </c>
      <c r="DI388" s="15" t="s">
        <v>17982</v>
      </c>
    </row>
    <row r="389" spans="1:113" s="15" customFormat="1" ht="12.75" x14ac:dyDescent="0.2">
      <c r="A389" s="15" t="s">
        <v>109</v>
      </c>
      <c r="B389" s="15" t="s">
        <v>110</v>
      </c>
      <c r="D389" s="15" t="s">
        <v>383</v>
      </c>
      <c r="E389" s="15" t="s">
        <v>112</v>
      </c>
      <c r="F389" s="15" t="s">
        <v>383</v>
      </c>
      <c r="G389" s="15" t="s">
        <v>113</v>
      </c>
      <c r="H389" s="15" t="s">
        <v>1045</v>
      </c>
      <c r="J389" s="16" t="s">
        <v>114</v>
      </c>
      <c r="U389" s="15" t="s">
        <v>17977</v>
      </c>
      <c r="W389" s="15">
        <v>1005</v>
      </c>
      <c r="X389" s="15">
        <v>399</v>
      </c>
      <c r="Y389" s="15" t="s">
        <v>160</v>
      </c>
      <c r="Z389" s="15" t="s">
        <v>161</v>
      </c>
      <c r="AA389" s="15" t="s">
        <v>162</v>
      </c>
      <c r="AB389" s="15" t="s">
        <v>5035</v>
      </c>
      <c r="AC389" s="15" t="s">
        <v>5035</v>
      </c>
      <c r="AD389" s="15" t="s">
        <v>5035</v>
      </c>
      <c r="AE389" s="15" t="s">
        <v>164</v>
      </c>
      <c r="AF389" s="15" t="s">
        <v>5035</v>
      </c>
      <c r="AG389" s="15" t="s">
        <v>5035</v>
      </c>
      <c r="AH389" s="20" t="s">
        <v>5036</v>
      </c>
      <c r="AL389" s="15" t="s">
        <v>5037</v>
      </c>
      <c r="AN389" s="15">
        <v>743</v>
      </c>
      <c r="AO389" s="15" t="s">
        <v>5038</v>
      </c>
      <c r="AQ389" s="15" t="s">
        <v>3598</v>
      </c>
      <c r="AT389" s="15" t="s">
        <v>5039</v>
      </c>
      <c r="AU389" s="15" t="s">
        <v>5040</v>
      </c>
      <c r="AV389" s="15" t="s">
        <v>5040</v>
      </c>
      <c r="AW389" s="15" t="s">
        <v>5041</v>
      </c>
      <c r="AX389" s="15" t="s">
        <v>5042</v>
      </c>
      <c r="AY389" s="21">
        <f t="shared" si="6"/>
        <v>59</v>
      </c>
      <c r="AZ389" s="15" t="s">
        <v>3603</v>
      </c>
      <c r="BA389" s="15" t="s">
        <v>214</v>
      </c>
      <c r="BB389" s="15" t="s">
        <v>5006</v>
      </c>
      <c r="BC389" s="15" t="s">
        <v>646</v>
      </c>
      <c r="BE389" s="15" t="s">
        <v>367</v>
      </c>
      <c r="BJ389" s="15" t="s">
        <v>4750</v>
      </c>
      <c r="BK389" s="15" t="s">
        <v>487</v>
      </c>
      <c r="BN389" s="15" t="s">
        <v>179</v>
      </c>
      <c r="BO389" s="15" t="s">
        <v>4731</v>
      </c>
      <c r="BP389" s="15" t="s">
        <v>138</v>
      </c>
      <c r="BS389" s="15" t="s">
        <v>5043</v>
      </c>
      <c r="DH389" s="15" t="s">
        <v>17982</v>
      </c>
      <c r="DI389" s="15" t="s">
        <v>17982</v>
      </c>
    </row>
    <row r="390" spans="1:113" s="15" customFormat="1" ht="12.75" x14ac:dyDescent="0.2">
      <c r="A390" s="15" t="s">
        <v>109</v>
      </c>
      <c r="B390" s="15" t="s">
        <v>110</v>
      </c>
      <c r="D390" s="15" t="s">
        <v>383</v>
      </c>
      <c r="E390" s="15" t="s">
        <v>112</v>
      </c>
      <c r="F390" s="15" t="s">
        <v>383</v>
      </c>
      <c r="G390" s="15" t="s">
        <v>113</v>
      </c>
      <c r="H390" s="15" t="s">
        <v>1045</v>
      </c>
      <c r="J390" s="16" t="s">
        <v>114</v>
      </c>
      <c r="U390" s="15" t="s">
        <v>17977</v>
      </c>
      <c r="W390" s="15">
        <v>525</v>
      </c>
      <c r="X390" s="15">
        <v>400</v>
      </c>
      <c r="Y390" s="15" t="s">
        <v>160</v>
      </c>
      <c r="Z390" s="15" t="s">
        <v>161</v>
      </c>
      <c r="AA390" s="15" t="s">
        <v>162</v>
      </c>
      <c r="AB390" s="15" t="s">
        <v>2011</v>
      </c>
      <c r="AC390" s="15" t="s">
        <v>2011</v>
      </c>
      <c r="AD390" s="15" t="s">
        <v>2011</v>
      </c>
      <c r="AE390" s="15" t="s">
        <v>164</v>
      </c>
      <c r="AF390" s="15" t="s">
        <v>2011</v>
      </c>
      <c r="AG390" s="15" t="s">
        <v>2011</v>
      </c>
      <c r="AH390" s="20" t="s">
        <v>2012</v>
      </c>
      <c r="AL390" s="15" t="s">
        <v>2013</v>
      </c>
      <c r="AN390" s="15">
        <v>743</v>
      </c>
      <c r="AO390" s="15" t="s">
        <v>2014</v>
      </c>
      <c r="AQ390" s="15" t="s">
        <v>388</v>
      </c>
      <c r="AT390" s="15" t="s">
        <v>2015</v>
      </c>
      <c r="AU390" s="15" t="s">
        <v>2016</v>
      </c>
      <c r="AV390" s="15" t="s">
        <v>2016</v>
      </c>
      <c r="AW390" s="15" t="s">
        <v>2017</v>
      </c>
      <c r="AX390" s="15" t="s">
        <v>2018</v>
      </c>
      <c r="AY390" s="21">
        <f t="shared" si="6"/>
        <v>56</v>
      </c>
      <c r="AZ390" s="15" t="s">
        <v>393</v>
      </c>
      <c r="BA390" s="15" t="s">
        <v>174</v>
      </c>
      <c r="BB390" s="15" t="s">
        <v>2006</v>
      </c>
      <c r="BC390" s="15" t="s">
        <v>2019</v>
      </c>
      <c r="BE390" s="15" t="s">
        <v>2008</v>
      </c>
      <c r="BJ390" s="15" t="s">
        <v>2009</v>
      </c>
      <c r="BK390" s="15" t="s">
        <v>487</v>
      </c>
      <c r="BN390" s="15" t="s">
        <v>179</v>
      </c>
      <c r="BP390" s="15" t="s">
        <v>138</v>
      </c>
      <c r="BS390" s="15" t="s">
        <v>2020</v>
      </c>
      <c r="DH390" s="15" t="s">
        <v>17982</v>
      </c>
      <c r="DI390" s="15" t="s">
        <v>17982</v>
      </c>
    </row>
    <row r="391" spans="1:113" s="15" customFormat="1" ht="12.75" x14ac:dyDescent="0.2">
      <c r="A391" s="15" t="s">
        <v>109</v>
      </c>
      <c r="B391" s="15" t="s">
        <v>110</v>
      </c>
      <c r="D391" s="15" t="s">
        <v>383</v>
      </c>
      <c r="E391" s="15" t="s">
        <v>112</v>
      </c>
      <c r="F391" s="15" t="s">
        <v>383</v>
      </c>
      <c r="G391" s="15" t="s">
        <v>113</v>
      </c>
      <c r="H391" s="15" t="s">
        <v>1045</v>
      </c>
      <c r="J391" s="16" t="s">
        <v>114</v>
      </c>
      <c r="U391" s="15" t="s">
        <v>17977</v>
      </c>
      <c r="W391" s="15">
        <v>526</v>
      </c>
      <c r="X391" s="15">
        <v>401</v>
      </c>
      <c r="Y391" s="15" t="s">
        <v>160</v>
      </c>
      <c r="Z391" s="15" t="s">
        <v>161</v>
      </c>
      <c r="AA391" s="15" t="s">
        <v>162</v>
      </c>
      <c r="AB391" s="15" t="s">
        <v>2021</v>
      </c>
      <c r="AC391" s="15" t="s">
        <v>2021</v>
      </c>
      <c r="AD391" s="15" t="s">
        <v>2021</v>
      </c>
      <c r="AE391" s="15" t="s">
        <v>164</v>
      </c>
      <c r="AF391" s="15" t="s">
        <v>2021</v>
      </c>
      <c r="AG391" s="15" t="s">
        <v>2021</v>
      </c>
      <c r="AH391" s="20" t="s">
        <v>2022</v>
      </c>
      <c r="AL391" s="15" t="s">
        <v>2023</v>
      </c>
      <c r="AN391" s="15">
        <v>743</v>
      </c>
      <c r="AO391" s="15" t="s">
        <v>2024</v>
      </c>
      <c r="AQ391" s="15" t="s">
        <v>388</v>
      </c>
      <c r="AT391" s="15" t="s">
        <v>2025</v>
      </c>
      <c r="AU391" s="15" t="s">
        <v>2026</v>
      </c>
      <c r="AV391" s="15" t="s">
        <v>2026</v>
      </c>
      <c r="AW391" s="15" t="s">
        <v>2027</v>
      </c>
      <c r="AX391" s="15" t="s">
        <v>2028</v>
      </c>
      <c r="AY391" s="21">
        <f t="shared" si="6"/>
        <v>56</v>
      </c>
      <c r="AZ391" s="15" t="s">
        <v>393</v>
      </c>
      <c r="BA391" s="15" t="s">
        <v>174</v>
      </c>
      <c r="BB391" s="15" t="s">
        <v>2006</v>
      </c>
      <c r="BC391" s="15" t="s">
        <v>2029</v>
      </c>
      <c r="BE391" s="15" t="s">
        <v>2008</v>
      </c>
      <c r="BJ391" s="15" t="s">
        <v>2009</v>
      </c>
      <c r="BK391" s="15" t="s">
        <v>487</v>
      </c>
      <c r="BN391" s="15" t="s">
        <v>179</v>
      </c>
      <c r="BP391" s="15" t="s">
        <v>138</v>
      </c>
      <c r="BS391" s="15" t="s">
        <v>2030</v>
      </c>
      <c r="DH391" s="15" t="s">
        <v>17982</v>
      </c>
      <c r="DI391" s="15" t="s">
        <v>17982</v>
      </c>
    </row>
    <row r="392" spans="1:113" s="15" customFormat="1" ht="12.75" x14ac:dyDescent="0.2">
      <c r="A392" s="15" t="s">
        <v>109</v>
      </c>
      <c r="B392" s="15" t="s">
        <v>110</v>
      </c>
      <c r="D392" s="15" t="s">
        <v>383</v>
      </c>
      <c r="E392" s="15" t="s">
        <v>112</v>
      </c>
      <c r="F392" s="15" t="s">
        <v>383</v>
      </c>
      <c r="G392" s="15" t="s">
        <v>113</v>
      </c>
      <c r="H392" s="15" t="s">
        <v>1045</v>
      </c>
      <c r="J392" s="16" t="s">
        <v>114</v>
      </c>
      <c r="U392" s="15" t="s">
        <v>17977</v>
      </c>
      <c r="W392" s="15">
        <v>524</v>
      </c>
      <c r="X392" s="15">
        <v>402</v>
      </c>
      <c r="Y392" s="15" t="s">
        <v>160</v>
      </c>
      <c r="Z392" s="15" t="s">
        <v>161</v>
      </c>
      <c r="AA392" s="15" t="s">
        <v>162</v>
      </c>
      <c r="AB392" s="15" t="s">
        <v>1998</v>
      </c>
      <c r="AC392" s="15" t="s">
        <v>1998</v>
      </c>
      <c r="AD392" s="15" t="s">
        <v>1998</v>
      </c>
      <c r="AE392" s="15" t="s">
        <v>164</v>
      </c>
      <c r="AF392" s="15" t="s">
        <v>1998</v>
      </c>
      <c r="AG392" s="15" t="s">
        <v>1998</v>
      </c>
      <c r="AH392" s="20" t="s">
        <v>1999</v>
      </c>
      <c r="AL392" s="15" t="s">
        <v>2000</v>
      </c>
      <c r="AN392" s="15">
        <v>743</v>
      </c>
      <c r="AO392" s="15" t="s">
        <v>2001</v>
      </c>
      <c r="AQ392" s="15" t="s">
        <v>388</v>
      </c>
      <c r="AT392" s="15" t="s">
        <v>2002</v>
      </c>
      <c r="AU392" s="15" t="s">
        <v>2003</v>
      </c>
      <c r="AV392" s="15" t="s">
        <v>2003</v>
      </c>
      <c r="AW392" s="15" t="s">
        <v>2004</v>
      </c>
      <c r="AX392" s="15" t="s">
        <v>2005</v>
      </c>
      <c r="AY392" s="21">
        <f t="shared" si="6"/>
        <v>57</v>
      </c>
      <c r="AZ392" s="15" t="s">
        <v>393</v>
      </c>
      <c r="BA392" s="15" t="s">
        <v>174</v>
      </c>
      <c r="BB392" s="15" t="s">
        <v>2006</v>
      </c>
      <c r="BC392" s="15" t="s">
        <v>2007</v>
      </c>
      <c r="BE392" s="15" t="s">
        <v>2008</v>
      </c>
      <c r="BJ392" s="15" t="s">
        <v>2009</v>
      </c>
      <c r="BK392" s="15" t="s">
        <v>487</v>
      </c>
      <c r="BN392" s="15" t="s">
        <v>179</v>
      </c>
      <c r="BP392" s="15" t="s">
        <v>138</v>
      </c>
      <c r="BS392" s="15" t="s">
        <v>2010</v>
      </c>
      <c r="DH392" s="15" t="s">
        <v>17982</v>
      </c>
      <c r="DI392" s="15" t="s">
        <v>17982</v>
      </c>
    </row>
    <row r="393" spans="1:113" s="15" customFormat="1" ht="12.75" x14ac:dyDescent="0.2">
      <c r="A393" s="15" t="s">
        <v>109</v>
      </c>
      <c r="B393" s="15" t="s">
        <v>110</v>
      </c>
      <c r="D393" s="15" t="s">
        <v>383</v>
      </c>
      <c r="E393" s="15" t="s">
        <v>112</v>
      </c>
      <c r="F393" s="15" t="s">
        <v>383</v>
      </c>
      <c r="G393" s="15" t="s">
        <v>113</v>
      </c>
      <c r="H393" s="15" t="s">
        <v>1045</v>
      </c>
      <c r="J393" s="16" t="s">
        <v>114</v>
      </c>
      <c r="U393" s="15" t="s">
        <v>17977</v>
      </c>
      <c r="W393" s="15">
        <v>1778</v>
      </c>
      <c r="X393" s="15">
        <v>403</v>
      </c>
      <c r="Y393" s="15" t="s">
        <v>160</v>
      </c>
      <c r="Z393" s="15" t="s">
        <v>161</v>
      </c>
      <c r="AA393" s="15" t="s">
        <v>162</v>
      </c>
      <c r="AB393" s="15" t="s">
        <v>9451</v>
      </c>
      <c r="AC393" s="15" t="s">
        <v>9451</v>
      </c>
      <c r="AD393" s="15" t="s">
        <v>9451</v>
      </c>
      <c r="AE393" s="15" t="s">
        <v>164</v>
      </c>
      <c r="AF393" s="15" t="s">
        <v>9451</v>
      </c>
      <c r="AG393" s="15" t="s">
        <v>9451</v>
      </c>
      <c r="AH393" s="20" t="s">
        <v>9452</v>
      </c>
      <c r="AL393" s="15" t="s">
        <v>9453</v>
      </c>
      <c r="AN393" s="15">
        <v>743</v>
      </c>
      <c r="AO393" s="15" t="s">
        <v>9454</v>
      </c>
      <c r="AQ393" s="15" t="s">
        <v>388</v>
      </c>
      <c r="AT393" s="15" t="s">
        <v>9455</v>
      </c>
      <c r="AU393" s="15" t="s">
        <v>9456</v>
      </c>
      <c r="AV393" s="15" t="s">
        <v>9456</v>
      </c>
      <c r="AW393" s="15" t="s">
        <v>9457</v>
      </c>
      <c r="AX393" s="15" t="s">
        <v>9458</v>
      </c>
      <c r="AY393" s="21">
        <f t="shared" si="6"/>
        <v>58</v>
      </c>
      <c r="AZ393" s="15" t="s">
        <v>393</v>
      </c>
      <c r="BA393" s="15" t="s">
        <v>174</v>
      </c>
      <c r="BB393" s="15" t="s">
        <v>5006</v>
      </c>
      <c r="BC393" s="15" t="s">
        <v>9438</v>
      </c>
      <c r="BE393" s="15" t="s">
        <v>1081</v>
      </c>
      <c r="BJ393" s="15" t="s">
        <v>9449</v>
      </c>
      <c r="BN393" s="15" t="s">
        <v>179</v>
      </c>
      <c r="BP393" s="15" t="s">
        <v>138</v>
      </c>
      <c r="BS393" s="15" t="s">
        <v>9459</v>
      </c>
      <c r="DH393" s="15" t="s">
        <v>17982</v>
      </c>
      <c r="DI393" s="15" t="s">
        <v>17982</v>
      </c>
    </row>
    <row r="394" spans="1:113" s="15" customFormat="1" ht="12.75" x14ac:dyDescent="0.2">
      <c r="A394" s="15" t="s">
        <v>109</v>
      </c>
      <c r="B394" s="15" t="s">
        <v>110</v>
      </c>
      <c r="D394" s="15" t="s">
        <v>383</v>
      </c>
      <c r="E394" s="15" t="s">
        <v>112</v>
      </c>
      <c r="F394" s="15" t="s">
        <v>383</v>
      </c>
      <c r="G394" s="15" t="s">
        <v>113</v>
      </c>
      <c r="H394" s="15" t="s">
        <v>1045</v>
      </c>
      <c r="J394" s="16" t="s">
        <v>114</v>
      </c>
      <c r="U394" s="15" t="s">
        <v>17977</v>
      </c>
      <c r="W394" s="15">
        <v>1779</v>
      </c>
      <c r="X394" s="15">
        <v>404</v>
      </c>
      <c r="Y394" s="15" t="s">
        <v>160</v>
      </c>
      <c r="Z394" s="15" t="s">
        <v>161</v>
      </c>
      <c r="AA394" s="15" t="s">
        <v>162</v>
      </c>
      <c r="AB394" s="15" t="s">
        <v>9460</v>
      </c>
      <c r="AC394" s="15" t="s">
        <v>9460</v>
      </c>
      <c r="AD394" s="15" t="s">
        <v>9460</v>
      </c>
      <c r="AE394" s="15" t="s">
        <v>164</v>
      </c>
      <c r="AF394" s="15" t="s">
        <v>9460</v>
      </c>
      <c r="AG394" s="15" t="s">
        <v>9460</v>
      </c>
      <c r="AH394" s="20" t="s">
        <v>9461</v>
      </c>
      <c r="AL394" s="15" t="s">
        <v>9462</v>
      </c>
      <c r="AN394" s="15">
        <v>743</v>
      </c>
      <c r="AO394" s="15" t="s">
        <v>9463</v>
      </c>
      <c r="AQ394" s="15" t="s">
        <v>388</v>
      </c>
      <c r="AT394" s="15" t="s">
        <v>9464</v>
      </c>
      <c r="AU394" s="15" t="s">
        <v>9465</v>
      </c>
      <c r="AV394" s="15" t="s">
        <v>9465</v>
      </c>
      <c r="AW394" s="15" t="s">
        <v>9466</v>
      </c>
      <c r="AX394" s="15" t="s">
        <v>9467</v>
      </c>
      <c r="AY394" s="21">
        <f t="shared" si="6"/>
        <v>58</v>
      </c>
      <c r="AZ394" s="15" t="s">
        <v>393</v>
      </c>
      <c r="BA394" s="15" t="s">
        <v>174</v>
      </c>
      <c r="BB394" s="15" t="s">
        <v>5006</v>
      </c>
      <c r="BC394" s="15" t="s">
        <v>2019</v>
      </c>
      <c r="BE394" s="15" t="s">
        <v>1081</v>
      </c>
      <c r="BJ394" s="15" t="s">
        <v>9449</v>
      </c>
      <c r="BN394" s="15" t="s">
        <v>179</v>
      </c>
      <c r="BP394" s="15" t="s">
        <v>138</v>
      </c>
      <c r="BS394" s="15" t="s">
        <v>9468</v>
      </c>
      <c r="DH394" s="15" t="s">
        <v>17982</v>
      </c>
      <c r="DI394" s="15" t="s">
        <v>17982</v>
      </c>
    </row>
    <row r="395" spans="1:113" s="15" customFormat="1" ht="12.75" x14ac:dyDescent="0.2">
      <c r="A395" s="15" t="s">
        <v>109</v>
      </c>
      <c r="B395" s="15" t="s">
        <v>110</v>
      </c>
      <c r="D395" s="15" t="s">
        <v>383</v>
      </c>
      <c r="E395" s="15" t="s">
        <v>112</v>
      </c>
      <c r="F395" s="15" t="s">
        <v>383</v>
      </c>
      <c r="G395" s="15" t="s">
        <v>113</v>
      </c>
      <c r="H395" s="15" t="s">
        <v>1045</v>
      </c>
      <c r="J395" s="16" t="s">
        <v>114</v>
      </c>
      <c r="U395" s="15" t="s">
        <v>17977</v>
      </c>
      <c r="W395" s="15">
        <v>1780</v>
      </c>
      <c r="X395" s="15">
        <v>405</v>
      </c>
      <c r="Y395" s="15" t="s">
        <v>160</v>
      </c>
      <c r="Z395" s="15" t="s">
        <v>161</v>
      </c>
      <c r="AA395" s="15" t="s">
        <v>162</v>
      </c>
      <c r="AB395" s="15" t="s">
        <v>9469</v>
      </c>
      <c r="AC395" s="15" t="s">
        <v>9469</v>
      </c>
      <c r="AD395" s="15" t="s">
        <v>9469</v>
      </c>
      <c r="AE395" s="15" t="s">
        <v>164</v>
      </c>
      <c r="AF395" s="15" t="s">
        <v>9469</v>
      </c>
      <c r="AG395" s="15" t="s">
        <v>9469</v>
      </c>
      <c r="AH395" s="20" t="s">
        <v>9470</v>
      </c>
      <c r="AL395" s="15" t="s">
        <v>9471</v>
      </c>
      <c r="AN395" s="15">
        <v>743</v>
      </c>
      <c r="AO395" s="15" t="s">
        <v>9472</v>
      </c>
      <c r="AQ395" s="15" t="s">
        <v>388</v>
      </c>
      <c r="AT395" s="15" t="s">
        <v>9473</v>
      </c>
      <c r="AU395" s="15" t="s">
        <v>9474</v>
      </c>
      <c r="AV395" s="15" t="s">
        <v>9474</v>
      </c>
      <c r="AW395" s="15" t="s">
        <v>9475</v>
      </c>
      <c r="AX395" s="15" t="s">
        <v>9476</v>
      </c>
      <c r="AY395" s="21">
        <f t="shared" si="6"/>
        <v>58</v>
      </c>
      <c r="AZ395" s="15" t="s">
        <v>393</v>
      </c>
      <c r="BA395" s="15" t="s">
        <v>174</v>
      </c>
      <c r="BB395" s="15" t="s">
        <v>5006</v>
      </c>
      <c r="BC395" s="15" t="s">
        <v>2029</v>
      </c>
      <c r="BE395" s="15" t="s">
        <v>1081</v>
      </c>
      <c r="BJ395" s="15" t="s">
        <v>9449</v>
      </c>
      <c r="BN395" s="15" t="s">
        <v>179</v>
      </c>
      <c r="BP395" s="15" t="s">
        <v>138</v>
      </c>
      <c r="BS395" s="15" t="s">
        <v>9477</v>
      </c>
      <c r="DH395" s="15" t="s">
        <v>17982</v>
      </c>
      <c r="DI395" s="15" t="s">
        <v>17982</v>
      </c>
    </row>
    <row r="396" spans="1:113" s="15" customFormat="1" ht="12.75" x14ac:dyDescent="0.2">
      <c r="A396" s="15" t="s">
        <v>109</v>
      </c>
      <c r="B396" s="15" t="s">
        <v>110</v>
      </c>
      <c r="D396" s="15" t="s">
        <v>383</v>
      </c>
      <c r="E396" s="15" t="s">
        <v>112</v>
      </c>
      <c r="F396" s="15" t="s">
        <v>383</v>
      </c>
      <c r="G396" s="15" t="s">
        <v>113</v>
      </c>
      <c r="H396" s="15" t="s">
        <v>1045</v>
      </c>
      <c r="J396" s="16" t="s">
        <v>114</v>
      </c>
      <c r="U396" s="15" t="s">
        <v>17977</v>
      </c>
      <c r="W396" s="15">
        <v>1777</v>
      </c>
      <c r="X396" s="15">
        <v>406</v>
      </c>
      <c r="Y396" s="15" t="s">
        <v>160</v>
      </c>
      <c r="Z396" s="15" t="s">
        <v>161</v>
      </c>
      <c r="AA396" s="15" t="s">
        <v>162</v>
      </c>
      <c r="AB396" s="15" t="s">
        <v>9441</v>
      </c>
      <c r="AC396" s="15" t="s">
        <v>9441</v>
      </c>
      <c r="AD396" s="15" t="s">
        <v>9441</v>
      </c>
      <c r="AE396" s="15" t="s">
        <v>164</v>
      </c>
      <c r="AF396" s="15" t="s">
        <v>9441</v>
      </c>
      <c r="AG396" s="15" t="s">
        <v>9441</v>
      </c>
      <c r="AH396" s="20" t="s">
        <v>9442</v>
      </c>
      <c r="AL396" s="15" t="s">
        <v>9443</v>
      </c>
      <c r="AN396" s="15">
        <v>743</v>
      </c>
      <c r="AO396" s="15" t="s">
        <v>9444</v>
      </c>
      <c r="AQ396" s="15" t="s">
        <v>388</v>
      </c>
      <c r="AT396" s="15" t="s">
        <v>9445</v>
      </c>
      <c r="AU396" s="15" t="s">
        <v>9446</v>
      </c>
      <c r="AV396" s="15" t="s">
        <v>9446</v>
      </c>
      <c r="AW396" s="15" t="s">
        <v>9447</v>
      </c>
      <c r="AX396" s="15" t="s">
        <v>9448</v>
      </c>
      <c r="AY396" s="21">
        <f t="shared" si="6"/>
        <v>59</v>
      </c>
      <c r="AZ396" s="15" t="s">
        <v>393</v>
      </c>
      <c r="BA396" s="15" t="s">
        <v>174</v>
      </c>
      <c r="BB396" s="15" t="s">
        <v>5006</v>
      </c>
      <c r="BC396" s="15" t="s">
        <v>2007</v>
      </c>
      <c r="BE396" s="15" t="s">
        <v>1081</v>
      </c>
      <c r="BJ396" s="15" t="s">
        <v>9449</v>
      </c>
      <c r="BN396" s="15" t="s">
        <v>179</v>
      </c>
      <c r="BP396" s="15" t="s">
        <v>138</v>
      </c>
      <c r="BS396" s="15" t="s">
        <v>9450</v>
      </c>
      <c r="DH396" s="15" t="s">
        <v>17982</v>
      </c>
      <c r="DI396" s="15" t="s">
        <v>17982</v>
      </c>
    </row>
    <row r="397" spans="1:113" s="15" customFormat="1" ht="12.75" x14ac:dyDescent="0.2">
      <c r="A397" s="15" t="s">
        <v>109</v>
      </c>
      <c r="B397" s="15" t="s">
        <v>110</v>
      </c>
      <c r="D397" s="15" t="s">
        <v>383</v>
      </c>
      <c r="E397" s="15" t="s">
        <v>112</v>
      </c>
      <c r="F397" s="15" t="s">
        <v>383</v>
      </c>
      <c r="G397" s="15" t="s">
        <v>113</v>
      </c>
      <c r="H397" s="15" t="s">
        <v>1045</v>
      </c>
      <c r="J397" s="16" t="s">
        <v>114</v>
      </c>
      <c r="U397" s="15" t="s">
        <v>17977</v>
      </c>
      <c r="W397" s="15">
        <v>1762</v>
      </c>
      <c r="X397" s="15">
        <v>407</v>
      </c>
      <c r="Y397" s="15" t="s">
        <v>160</v>
      </c>
      <c r="Z397" s="15" t="s">
        <v>161</v>
      </c>
      <c r="AA397" s="15" t="s">
        <v>162</v>
      </c>
      <c r="AB397" s="15" t="s">
        <v>9290</v>
      </c>
      <c r="AC397" s="15" t="s">
        <v>9290</v>
      </c>
      <c r="AD397" s="15" t="s">
        <v>9290</v>
      </c>
      <c r="AE397" s="15" t="s">
        <v>164</v>
      </c>
      <c r="AF397" s="15" t="s">
        <v>9290</v>
      </c>
      <c r="AG397" s="15" t="s">
        <v>9290</v>
      </c>
      <c r="AH397" s="20" t="s">
        <v>9291</v>
      </c>
      <c r="AL397" s="15" t="s">
        <v>9292</v>
      </c>
      <c r="AN397" s="15">
        <v>743</v>
      </c>
      <c r="AO397" s="15" t="s">
        <v>9293</v>
      </c>
      <c r="AQ397" s="15" t="s">
        <v>388</v>
      </c>
      <c r="AT397" s="15" t="s">
        <v>9294</v>
      </c>
      <c r="AU397" s="15" t="s">
        <v>9295</v>
      </c>
      <c r="AV397" s="15" t="s">
        <v>9295</v>
      </c>
      <c r="AW397" s="15" t="s">
        <v>9296</v>
      </c>
      <c r="AX397" s="15" t="s">
        <v>9297</v>
      </c>
      <c r="AY397" s="21">
        <f t="shared" si="6"/>
        <v>56</v>
      </c>
      <c r="AZ397" s="15" t="s">
        <v>393</v>
      </c>
      <c r="BA397" s="15" t="s">
        <v>174</v>
      </c>
      <c r="BB397" s="15" t="s">
        <v>5006</v>
      </c>
      <c r="BC397" s="15" t="s">
        <v>4229</v>
      </c>
      <c r="BE397" s="15" t="s">
        <v>1123</v>
      </c>
      <c r="BJ397" s="15" t="s">
        <v>9298</v>
      </c>
      <c r="BN397" s="15" t="s">
        <v>179</v>
      </c>
      <c r="BP397" s="15" t="s">
        <v>138</v>
      </c>
      <c r="BS397" s="15" t="s">
        <v>9299</v>
      </c>
      <c r="DH397" s="15" t="s">
        <v>17982</v>
      </c>
      <c r="DI397" s="15" t="s">
        <v>17982</v>
      </c>
    </row>
    <row r="398" spans="1:113" s="15" customFormat="1" ht="12.75" x14ac:dyDescent="0.2">
      <c r="A398" s="15" t="s">
        <v>109</v>
      </c>
      <c r="B398" s="15" t="s">
        <v>110</v>
      </c>
      <c r="D398" s="15" t="s">
        <v>383</v>
      </c>
      <c r="E398" s="15" t="s">
        <v>112</v>
      </c>
      <c r="F398" s="15" t="s">
        <v>383</v>
      </c>
      <c r="G398" s="15" t="s">
        <v>113</v>
      </c>
      <c r="H398" s="15" t="s">
        <v>1045</v>
      </c>
      <c r="J398" s="16" t="s">
        <v>114</v>
      </c>
      <c r="U398" s="15" t="s">
        <v>17977</v>
      </c>
      <c r="W398" s="15">
        <v>1764</v>
      </c>
      <c r="X398" s="15">
        <v>408</v>
      </c>
      <c r="Y398" s="15" t="s">
        <v>160</v>
      </c>
      <c r="Z398" s="15" t="s">
        <v>161</v>
      </c>
      <c r="AA398" s="15" t="s">
        <v>162</v>
      </c>
      <c r="AB398" s="15" t="s">
        <v>9310</v>
      </c>
      <c r="AC398" s="15" t="s">
        <v>9310</v>
      </c>
      <c r="AD398" s="15" t="s">
        <v>9310</v>
      </c>
      <c r="AE398" s="15" t="s">
        <v>164</v>
      </c>
      <c r="AF398" s="15" t="s">
        <v>9310</v>
      </c>
      <c r="AG398" s="15" t="s">
        <v>9310</v>
      </c>
      <c r="AH398" s="20" t="s">
        <v>9311</v>
      </c>
      <c r="AL398" s="15" t="s">
        <v>9312</v>
      </c>
      <c r="AN398" s="15">
        <v>743</v>
      </c>
      <c r="AO398" s="15" t="s">
        <v>9313</v>
      </c>
      <c r="AQ398" s="15" t="s">
        <v>388</v>
      </c>
      <c r="AT398" s="15" t="s">
        <v>9314</v>
      </c>
      <c r="AU398" s="15" t="s">
        <v>9315</v>
      </c>
      <c r="AV398" s="15" t="s">
        <v>9315</v>
      </c>
      <c r="AW398" s="15" t="s">
        <v>9316</v>
      </c>
      <c r="AX398" s="15" t="s">
        <v>9317</v>
      </c>
      <c r="AY398" s="21">
        <f t="shared" si="6"/>
        <v>56</v>
      </c>
      <c r="AZ398" s="15" t="s">
        <v>393</v>
      </c>
      <c r="BA398" s="15" t="s">
        <v>174</v>
      </c>
      <c r="BB398" s="15" t="s">
        <v>5006</v>
      </c>
      <c r="BC398" s="15" t="s">
        <v>801</v>
      </c>
      <c r="BE398" s="15" t="s">
        <v>1123</v>
      </c>
      <c r="BJ398" s="15" t="s">
        <v>9298</v>
      </c>
      <c r="BN398" s="15" t="s">
        <v>179</v>
      </c>
      <c r="BP398" s="15" t="s">
        <v>138</v>
      </c>
      <c r="BS398" s="15" t="s">
        <v>9318</v>
      </c>
      <c r="DH398" s="15" t="s">
        <v>17982</v>
      </c>
      <c r="DI398" s="15" t="s">
        <v>17982</v>
      </c>
    </row>
    <row r="399" spans="1:113" s="15" customFormat="1" ht="12.75" x14ac:dyDescent="0.2">
      <c r="A399" s="15" t="s">
        <v>109</v>
      </c>
      <c r="B399" s="15" t="s">
        <v>110</v>
      </c>
      <c r="D399" s="15" t="s">
        <v>383</v>
      </c>
      <c r="E399" s="15" t="s">
        <v>112</v>
      </c>
      <c r="F399" s="15" t="s">
        <v>383</v>
      </c>
      <c r="G399" s="15" t="s">
        <v>113</v>
      </c>
      <c r="H399" s="15" t="s">
        <v>1045</v>
      </c>
      <c r="J399" s="16" t="s">
        <v>114</v>
      </c>
      <c r="U399" s="15" t="s">
        <v>17977</v>
      </c>
      <c r="W399" s="15">
        <v>1774</v>
      </c>
      <c r="X399" s="15">
        <v>409</v>
      </c>
      <c r="Y399" s="15" t="s">
        <v>160</v>
      </c>
      <c r="Z399" s="15" t="s">
        <v>161</v>
      </c>
      <c r="AA399" s="15" t="s">
        <v>162</v>
      </c>
      <c r="AB399" s="15" t="s">
        <v>9409</v>
      </c>
      <c r="AC399" s="15" t="s">
        <v>9409</v>
      </c>
      <c r="AD399" s="15" t="s">
        <v>9410</v>
      </c>
      <c r="AE399" s="15" t="s">
        <v>164</v>
      </c>
      <c r="AF399" s="15" t="s">
        <v>9410</v>
      </c>
      <c r="AG399" s="15" t="s">
        <v>9409</v>
      </c>
      <c r="AH399" s="20" t="s">
        <v>9411</v>
      </c>
      <c r="AL399" s="15" t="s">
        <v>9412</v>
      </c>
      <c r="AN399" s="15">
        <v>743</v>
      </c>
      <c r="AO399" s="15" t="s">
        <v>9413</v>
      </c>
      <c r="AQ399" s="15" t="s">
        <v>388</v>
      </c>
      <c r="AT399" s="15" t="s">
        <v>9414</v>
      </c>
      <c r="AU399" s="15" t="s">
        <v>9415</v>
      </c>
      <c r="AV399" s="15" t="s">
        <v>9415</v>
      </c>
      <c r="AW399" s="15" t="s">
        <v>9416</v>
      </c>
      <c r="AX399" s="15" t="s">
        <v>9417</v>
      </c>
      <c r="AY399" s="21">
        <f t="shared" si="6"/>
        <v>58</v>
      </c>
      <c r="AZ399" s="15" t="s">
        <v>393</v>
      </c>
      <c r="BA399" s="15" t="s">
        <v>174</v>
      </c>
      <c r="BB399" s="15" t="s">
        <v>5006</v>
      </c>
      <c r="BC399" s="15" t="s">
        <v>2019</v>
      </c>
      <c r="BE399" s="15" t="s">
        <v>1123</v>
      </c>
      <c r="BJ399" s="15" t="s">
        <v>9407</v>
      </c>
      <c r="BK399" s="15" t="s">
        <v>487</v>
      </c>
      <c r="BN399" s="15" t="s">
        <v>179</v>
      </c>
      <c r="BP399" s="15" t="s">
        <v>138</v>
      </c>
      <c r="BS399" s="15" t="s">
        <v>9418</v>
      </c>
      <c r="DH399" s="15" t="s">
        <v>17982</v>
      </c>
      <c r="DI399" s="15" t="s">
        <v>17982</v>
      </c>
    </row>
    <row r="400" spans="1:113" s="15" customFormat="1" ht="12.75" x14ac:dyDescent="0.2">
      <c r="A400" s="15" t="s">
        <v>109</v>
      </c>
      <c r="B400" s="15" t="s">
        <v>110</v>
      </c>
      <c r="D400" s="15" t="s">
        <v>383</v>
      </c>
      <c r="E400" s="15" t="s">
        <v>112</v>
      </c>
      <c r="F400" s="15" t="s">
        <v>383</v>
      </c>
      <c r="G400" s="15" t="s">
        <v>113</v>
      </c>
      <c r="H400" s="15" t="s">
        <v>1045</v>
      </c>
      <c r="J400" s="16" t="s">
        <v>114</v>
      </c>
      <c r="U400" s="15" t="s">
        <v>17977</v>
      </c>
      <c r="W400" s="15">
        <v>1775</v>
      </c>
      <c r="X400" s="15">
        <v>410</v>
      </c>
      <c r="Y400" s="15" t="s">
        <v>160</v>
      </c>
      <c r="Z400" s="15" t="s">
        <v>161</v>
      </c>
      <c r="AA400" s="15" t="s">
        <v>162</v>
      </c>
      <c r="AB400" s="15" t="s">
        <v>9419</v>
      </c>
      <c r="AC400" s="15" t="s">
        <v>9419</v>
      </c>
      <c r="AD400" s="15" t="s">
        <v>9420</v>
      </c>
      <c r="AE400" s="15" t="s">
        <v>164</v>
      </c>
      <c r="AF400" s="15" t="s">
        <v>9420</v>
      </c>
      <c r="AG400" s="15" t="s">
        <v>9419</v>
      </c>
      <c r="AH400" s="20" t="s">
        <v>9421</v>
      </c>
      <c r="AL400" s="15" t="s">
        <v>9422</v>
      </c>
      <c r="AN400" s="15">
        <v>743</v>
      </c>
      <c r="AO400" s="15" t="s">
        <v>9423</v>
      </c>
      <c r="AQ400" s="15" t="s">
        <v>388</v>
      </c>
      <c r="AT400" s="15" t="s">
        <v>9424</v>
      </c>
      <c r="AU400" s="15" t="s">
        <v>9425</v>
      </c>
      <c r="AV400" s="15" t="s">
        <v>9425</v>
      </c>
      <c r="AW400" s="15" t="s">
        <v>9426</v>
      </c>
      <c r="AX400" s="15" t="s">
        <v>9427</v>
      </c>
      <c r="AY400" s="21">
        <f t="shared" si="6"/>
        <v>58</v>
      </c>
      <c r="AZ400" s="15" t="s">
        <v>393</v>
      </c>
      <c r="BA400" s="15" t="s">
        <v>174</v>
      </c>
      <c r="BB400" s="15" t="s">
        <v>5006</v>
      </c>
      <c r="BC400" s="15" t="s">
        <v>9428</v>
      </c>
      <c r="BE400" s="15" t="s">
        <v>1123</v>
      </c>
      <c r="BJ400" s="15" t="s">
        <v>9407</v>
      </c>
      <c r="BK400" s="15" t="s">
        <v>487</v>
      </c>
      <c r="BN400" s="15" t="s">
        <v>179</v>
      </c>
      <c r="BP400" s="15" t="s">
        <v>138</v>
      </c>
      <c r="BS400" s="15" t="s">
        <v>9429</v>
      </c>
      <c r="DH400" s="15" t="s">
        <v>17982</v>
      </c>
      <c r="DI400" s="15" t="s">
        <v>17982</v>
      </c>
    </row>
    <row r="401" spans="1:113" s="15" customFormat="1" ht="12.75" x14ac:dyDescent="0.2">
      <c r="A401" s="15" t="s">
        <v>109</v>
      </c>
      <c r="B401" s="15" t="s">
        <v>110</v>
      </c>
      <c r="D401" s="15" t="s">
        <v>383</v>
      </c>
      <c r="E401" s="15" t="s">
        <v>112</v>
      </c>
      <c r="F401" s="15" t="s">
        <v>383</v>
      </c>
      <c r="G401" s="15" t="s">
        <v>113</v>
      </c>
      <c r="H401" s="15" t="s">
        <v>1045</v>
      </c>
      <c r="J401" s="16" t="s">
        <v>114</v>
      </c>
      <c r="U401" s="15" t="s">
        <v>17977</v>
      </c>
      <c r="W401" s="15">
        <v>1763</v>
      </c>
      <c r="X401" s="15">
        <v>411</v>
      </c>
      <c r="Y401" s="15" t="s">
        <v>160</v>
      </c>
      <c r="Z401" s="15" t="s">
        <v>161</v>
      </c>
      <c r="AA401" s="15" t="s">
        <v>162</v>
      </c>
      <c r="AB401" s="15" t="s">
        <v>9300</v>
      </c>
      <c r="AC401" s="15" t="s">
        <v>9300</v>
      </c>
      <c r="AD401" s="15" t="s">
        <v>9300</v>
      </c>
      <c r="AE401" s="15" t="s">
        <v>164</v>
      </c>
      <c r="AF401" s="15" t="s">
        <v>9300</v>
      </c>
      <c r="AG401" s="15" t="s">
        <v>9300</v>
      </c>
      <c r="AH401" s="20" t="s">
        <v>9301</v>
      </c>
      <c r="AL401" s="15" t="s">
        <v>9302</v>
      </c>
      <c r="AN401" s="15">
        <v>743</v>
      </c>
      <c r="AO401" s="15" t="s">
        <v>9303</v>
      </c>
      <c r="AQ401" s="15" t="s">
        <v>388</v>
      </c>
      <c r="AT401" s="15" t="s">
        <v>9304</v>
      </c>
      <c r="AU401" s="15" t="s">
        <v>9305</v>
      </c>
      <c r="AV401" s="15" t="s">
        <v>9305</v>
      </c>
      <c r="AW401" s="15" t="s">
        <v>9306</v>
      </c>
      <c r="AX401" s="15" t="s">
        <v>9307</v>
      </c>
      <c r="AY401" s="21">
        <f t="shared" si="6"/>
        <v>58</v>
      </c>
      <c r="AZ401" s="15" t="s">
        <v>393</v>
      </c>
      <c r="BA401" s="15" t="s">
        <v>174</v>
      </c>
      <c r="BB401" s="15" t="s">
        <v>5006</v>
      </c>
      <c r="BC401" s="15" t="s">
        <v>884</v>
      </c>
      <c r="BE401" s="15" t="s">
        <v>1123</v>
      </c>
      <c r="BJ401" s="15" t="s">
        <v>9308</v>
      </c>
      <c r="BK401" s="15" t="s">
        <v>487</v>
      </c>
      <c r="BN401" s="15" t="s">
        <v>179</v>
      </c>
      <c r="BP401" s="15" t="s">
        <v>138</v>
      </c>
      <c r="BS401" s="15" t="s">
        <v>9309</v>
      </c>
      <c r="DH401" s="15" t="s">
        <v>17982</v>
      </c>
      <c r="DI401" s="15" t="s">
        <v>17982</v>
      </c>
    </row>
    <row r="402" spans="1:113" s="15" customFormat="1" ht="12.75" x14ac:dyDescent="0.2">
      <c r="A402" s="15" t="s">
        <v>109</v>
      </c>
      <c r="B402" s="15" t="s">
        <v>110</v>
      </c>
      <c r="D402" s="15" t="s">
        <v>383</v>
      </c>
      <c r="E402" s="15" t="s">
        <v>112</v>
      </c>
      <c r="F402" s="15" t="s">
        <v>383</v>
      </c>
      <c r="G402" s="15" t="s">
        <v>113</v>
      </c>
      <c r="H402" s="15" t="s">
        <v>1045</v>
      </c>
      <c r="J402" s="16" t="s">
        <v>114</v>
      </c>
      <c r="U402" s="15" t="s">
        <v>17977</v>
      </c>
      <c r="W402" s="15">
        <v>1773</v>
      </c>
      <c r="X402" s="15">
        <v>412</v>
      </c>
      <c r="Y402" s="15" t="s">
        <v>160</v>
      </c>
      <c r="Z402" s="15" t="s">
        <v>161</v>
      </c>
      <c r="AA402" s="15" t="s">
        <v>162</v>
      </c>
      <c r="AB402" s="15" t="s">
        <v>9398</v>
      </c>
      <c r="AC402" s="15" t="s">
        <v>9398</v>
      </c>
      <c r="AD402" s="15" t="s">
        <v>9399</v>
      </c>
      <c r="AE402" s="15" t="s">
        <v>164</v>
      </c>
      <c r="AF402" s="15" t="s">
        <v>9399</v>
      </c>
      <c r="AG402" s="15" t="s">
        <v>9398</v>
      </c>
      <c r="AH402" s="20" t="s">
        <v>9400</v>
      </c>
      <c r="AL402" s="15" t="s">
        <v>9401</v>
      </c>
      <c r="AN402" s="15">
        <v>743</v>
      </c>
      <c r="AO402" s="15" t="s">
        <v>9402</v>
      </c>
      <c r="AQ402" s="15" t="s">
        <v>388</v>
      </c>
      <c r="AT402" s="15" t="s">
        <v>9403</v>
      </c>
      <c r="AU402" s="15" t="s">
        <v>9404</v>
      </c>
      <c r="AV402" s="15" t="s">
        <v>9404</v>
      </c>
      <c r="AW402" s="15" t="s">
        <v>9405</v>
      </c>
      <c r="AX402" s="15" t="s">
        <v>9406</v>
      </c>
      <c r="AY402" s="21">
        <f t="shared" si="6"/>
        <v>59</v>
      </c>
      <c r="AZ402" s="15" t="s">
        <v>393</v>
      </c>
      <c r="BA402" s="15" t="s">
        <v>174</v>
      </c>
      <c r="BB402" s="15" t="s">
        <v>5006</v>
      </c>
      <c r="BC402" s="15" t="s">
        <v>2007</v>
      </c>
      <c r="BE402" s="15" t="s">
        <v>1123</v>
      </c>
      <c r="BJ402" s="15" t="s">
        <v>9407</v>
      </c>
      <c r="BK402" s="15" t="s">
        <v>487</v>
      </c>
      <c r="BN402" s="15" t="s">
        <v>179</v>
      </c>
      <c r="BP402" s="15" t="s">
        <v>138</v>
      </c>
      <c r="BS402" s="15" t="s">
        <v>9408</v>
      </c>
      <c r="DH402" s="15" t="s">
        <v>17982</v>
      </c>
      <c r="DI402" s="15" t="s">
        <v>17982</v>
      </c>
    </row>
    <row r="403" spans="1:113" s="15" customFormat="1" ht="12.75" x14ac:dyDescent="0.2">
      <c r="A403" s="15" t="s">
        <v>109</v>
      </c>
      <c r="B403" s="15" t="s">
        <v>110</v>
      </c>
      <c r="D403" s="15" t="s">
        <v>383</v>
      </c>
      <c r="E403" s="15" t="s">
        <v>112</v>
      </c>
      <c r="F403" s="15" t="s">
        <v>383</v>
      </c>
      <c r="G403" s="15" t="s">
        <v>113</v>
      </c>
      <c r="H403" s="15" t="s">
        <v>1045</v>
      </c>
      <c r="J403" s="16" t="s">
        <v>114</v>
      </c>
      <c r="U403" s="15" t="s">
        <v>17977</v>
      </c>
      <c r="W403" s="15">
        <v>1776</v>
      </c>
      <c r="X403" s="15">
        <v>413</v>
      </c>
      <c r="Y403" s="15" t="s">
        <v>160</v>
      </c>
      <c r="Z403" s="15" t="s">
        <v>161</v>
      </c>
      <c r="AA403" s="15" t="s">
        <v>162</v>
      </c>
      <c r="AB403" s="15" t="s">
        <v>9430</v>
      </c>
      <c r="AC403" s="15" t="s">
        <v>9430</v>
      </c>
      <c r="AD403" s="15" t="s">
        <v>9430</v>
      </c>
      <c r="AE403" s="15" t="s">
        <v>164</v>
      </c>
      <c r="AF403" s="15" t="s">
        <v>9430</v>
      </c>
      <c r="AG403" s="15" t="s">
        <v>9430</v>
      </c>
      <c r="AH403" s="20" t="s">
        <v>9431</v>
      </c>
      <c r="AL403" s="15" t="s">
        <v>9432</v>
      </c>
      <c r="AN403" s="15">
        <v>743</v>
      </c>
      <c r="AO403" s="15" t="s">
        <v>9433</v>
      </c>
      <c r="AQ403" s="15" t="s">
        <v>388</v>
      </c>
      <c r="AT403" s="15" t="s">
        <v>9434</v>
      </c>
      <c r="AU403" s="15" t="s">
        <v>9435</v>
      </c>
      <c r="AV403" s="15" t="s">
        <v>9435</v>
      </c>
      <c r="AW403" s="15" t="s">
        <v>9436</v>
      </c>
      <c r="AX403" s="15" t="s">
        <v>9437</v>
      </c>
      <c r="AY403" s="21">
        <f t="shared" si="6"/>
        <v>56</v>
      </c>
      <c r="AZ403" s="15" t="s">
        <v>393</v>
      </c>
      <c r="BA403" s="15" t="s">
        <v>174</v>
      </c>
      <c r="BB403" s="15" t="s">
        <v>5006</v>
      </c>
      <c r="BC403" s="15" t="s">
        <v>9438</v>
      </c>
      <c r="BE403" s="15" t="s">
        <v>1123</v>
      </c>
      <c r="BJ403" s="15" t="s">
        <v>9439</v>
      </c>
      <c r="BK403" s="15" t="s">
        <v>487</v>
      </c>
      <c r="BN403" s="15" t="s">
        <v>179</v>
      </c>
      <c r="BP403" s="15" t="s">
        <v>138</v>
      </c>
      <c r="BS403" s="15" t="s">
        <v>9440</v>
      </c>
      <c r="DH403" s="15" t="s">
        <v>17982</v>
      </c>
      <c r="DI403" s="15" t="s">
        <v>17982</v>
      </c>
    </row>
    <row r="404" spans="1:113" s="15" customFormat="1" ht="12.75" x14ac:dyDescent="0.2">
      <c r="A404" s="15" t="s">
        <v>109</v>
      </c>
      <c r="B404" s="15" t="s">
        <v>110</v>
      </c>
      <c r="D404" s="15" t="s">
        <v>383</v>
      </c>
      <c r="E404" s="15" t="s">
        <v>112</v>
      </c>
      <c r="F404" s="15" t="s">
        <v>383</v>
      </c>
      <c r="G404" s="15" t="s">
        <v>113</v>
      </c>
      <c r="H404" s="15" t="s">
        <v>1045</v>
      </c>
      <c r="J404" s="16" t="s">
        <v>114</v>
      </c>
      <c r="U404" s="15" t="s">
        <v>17977</v>
      </c>
      <c r="W404" s="15">
        <v>2060</v>
      </c>
      <c r="X404" s="15">
        <v>414</v>
      </c>
      <c r="Y404" s="15" t="s">
        <v>160</v>
      </c>
      <c r="Z404" s="15" t="s">
        <v>161</v>
      </c>
      <c r="AA404" s="15" t="s">
        <v>162</v>
      </c>
      <c r="AB404" s="15" t="s">
        <v>10614</v>
      </c>
      <c r="AC404" s="15" t="s">
        <v>10614</v>
      </c>
      <c r="AD404" s="15" t="s">
        <v>10614</v>
      </c>
      <c r="AE404" s="15" t="s">
        <v>164</v>
      </c>
      <c r="AF404" s="15" t="s">
        <v>10614</v>
      </c>
      <c r="AG404" s="15" t="s">
        <v>10614</v>
      </c>
      <c r="AH404" s="20" t="s">
        <v>10615</v>
      </c>
      <c r="AL404" s="15" t="s">
        <v>10616</v>
      </c>
      <c r="AN404" s="15">
        <v>743</v>
      </c>
      <c r="AO404" s="15" t="s">
        <v>10617</v>
      </c>
      <c r="AQ404" s="15" t="s">
        <v>388</v>
      </c>
      <c r="AT404" s="15" t="s">
        <v>10618</v>
      </c>
      <c r="AU404" s="15" t="s">
        <v>10619</v>
      </c>
      <c r="AV404" s="15" t="s">
        <v>10619</v>
      </c>
      <c r="AW404" s="15" t="s">
        <v>10620</v>
      </c>
      <c r="AX404" s="15" t="s">
        <v>10620</v>
      </c>
      <c r="AY404" s="21">
        <f t="shared" ref="AY404:AY435" si="7">LEN(SUBSTITUTE(AX404,", "," "))</f>
        <v>51</v>
      </c>
      <c r="AZ404" s="15" t="s">
        <v>393</v>
      </c>
      <c r="BA404" s="15" t="s">
        <v>174</v>
      </c>
      <c r="BB404" s="15" t="s">
        <v>10621</v>
      </c>
      <c r="BE404" s="15" t="s">
        <v>1123</v>
      </c>
      <c r="BJ404" s="15" t="s">
        <v>10622</v>
      </c>
      <c r="BN404" s="15" t="s">
        <v>179</v>
      </c>
      <c r="BP404" s="15" t="s">
        <v>138</v>
      </c>
      <c r="BS404" s="15" t="s">
        <v>10623</v>
      </c>
      <c r="DH404" s="15" t="s">
        <v>17982</v>
      </c>
      <c r="DI404" s="15" t="s">
        <v>17982</v>
      </c>
    </row>
    <row r="405" spans="1:113" s="15" customFormat="1" ht="12.75" x14ac:dyDescent="0.2">
      <c r="A405" s="15" t="s">
        <v>109</v>
      </c>
      <c r="B405" s="15" t="s">
        <v>110</v>
      </c>
      <c r="D405" s="15" t="s">
        <v>383</v>
      </c>
      <c r="E405" s="15" t="s">
        <v>112</v>
      </c>
      <c r="F405" s="15" t="s">
        <v>383</v>
      </c>
      <c r="G405" s="15" t="s">
        <v>113</v>
      </c>
      <c r="H405" s="15" t="s">
        <v>1045</v>
      </c>
      <c r="J405" s="16" t="s">
        <v>114</v>
      </c>
      <c r="U405" s="15" t="s">
        <v>17977</v>
      </c>
      <c r="W405" s="15">
        <v>3251</v>
      </c>
      <c r="X405" s="15">
        <v>415</v>
      </c>
      <c r="Y405" s="15" t="s">
        <v>160</v>
      </c>
      <c r="Z405" s="15" t="s">
        <v>161</v>
      </c>
      <c r="AA405" s="15" t="s">
        <v>162</v>
      </c>
      <c r="AB405" s="15" t="s">
        <v>15689</v>
      </c>
      <c r="AC405" s="15" t="s">
        <v>15689</v>
      </c>
      <c r="AD405" s="15" t="s">
        <v>15689</v>
      </c>
      <c r="AE405" s="15" t="s">
        <v>164</v>
      </c>
      <c r="AF405" s="15" t="s">
        <v>15689</v>
      </c>
      <c r="AG405" s="15" t="s">
        <v>15689</v>
      </c>
      <c r="AH405" s="20" t="s">
        <v>15690</v>
      </c>
      <c r="AL405" s="15" t="s">
        <v>15691</v>
      </c>
      <c r="AN405" s="15">
        <v>743</v>
      </c>
      <c r="AO405" s="15" t="s">
        <v>15692</v>
      </c>
      <c r="AQ405" s="15" t="s">
        <v>388</v>
      </c>
      <c r="AT405" s="15" t="s">
        <v>15693</v>
      </c>
      <c r="AU405" s="15" t="s">
        <v>15694</v>
      </c>
      <c r="AV405" s="15" t="s">
        <v>15694</v>
      </c>
      <c r="AW405" s="15" t="s">
        <v>15695</v>
      </c>
      <c r="AX405" s="15" t="s">
        <v>15696</v>
      </c>
      <c r="AY405" s="21">
        <f t="shared" si="7"/>
        <v>58</v>
      </c>
      <c r="AZ405" s="15" t="s">
        <v>393</v>
      </c>
      <c r="BA405" s="15" t="s">
        <v>174</v>
      </c>
      <c r="BB405" s="15" t="s">
        <v>15686</v>
      </c>
      <c r="BE405" s="15" t="s">
        <v>348</v>
      </c>
      <c r="BJ405" s="15" t="s">
        <v>15697</v>
      </c>
      <c r="BN405" s="15" t="s">
        <v>179</v>
      </c>
      <c r="BP405" s="15" t="s">
        <v>138</v>
      </c>
      <c r="BS405" s="15" t="s">
        <v>15698</v>
      </c>
      <c r="DH405" s="15" t="s">
        <v>17982</v>
      </c>
      <c r="DI405" s="15" t="s">
        <v>17982</v>
      </c>
    </row>
    <row r="406" spans="1:113" s="15" customFormat="1" ht="12.75" x14ac:dyDescent="0.2">
      <c r="A406" s="15" t="s">
        <v>109</v>
      </c>
      <c r="B406" s="15" t="s">
        <v>110</v>
      </c>
      <c r="D406" s="15" t="s">
        <v>383</v>
      </c>
      <c r="E406" s="15" t="s">
        <v>112</v>
      </c>
      <c r="F406" s="15" t="s">
        <v>383</v>
      </c>
      <c r="G406" s="15" t="s">
        <v>113</v>
      </c>
      <c r="H406" s="15" t="s">
        <v>1045</v>
      </c>
      <c r="J406" s="16" t="s">
        <v>114</v>
      </c>
      <c r="U406" s="15" t="s">
        <v>17977</v>
      </c>
      <c r="W406" s="15">
        <v>1523</v>
      </c>
      <c r="X406" s="15">
        <v>416</v>
      </c>
      <c r="Y406" s="15" t="s">
        <v>160</v>
      </c>
      <c r="Z406" s="15" t="s">
        <v>161</v>
      </c>
      <c r="AA406" s="15" t="s">
        <v>162</v>
      </c>
      <c r="AB406" s="15" t="s">
        <v>7826</v>
      </c>
      <c r="AC406" s="15" t="s">
        <v>7826</v>
      </c>
      <c r="AD406" s="15" t="s">
        <v>7826</v>
      </c>
      <c r="AE406" s="15" t="s">
        <v>164</v>
      </c>
      <c r="AF406" s="15" t="s">
        <v>7826</v>
      </c>
      <c r="AG406" s="15" t="s">
        <v>7826</v>
      </c>
      <c r="AH406" s="20" t="s">
        <v>7827</v>
      </c>
      <c r="AL406" s="15" t="s">
        <v>7828</v>
      </c>
      <c r="AN406" s="15">
        <v>743</v>
      </c>
      <c r="AO406" s="15" t="s">
        <v>7829</v>
      </c>
      <c r="AQ406" s="15" t="s">
        <v>912</v>
      </c>
      <c r="AT406" s="15" t="s">
        <v>7830</v>
      </c>
      <c r="AU406" s="15" t="s">
        <v>7831</v>
      </c>
      <c r="AV406" s="15" t="s">
        <v>7831</v>
      </c>
      <c r="AW406" s="15" t="s">
        <v>7832</v>
      </c>
      <c r="AX406" s="15" t="s">
        <v>7833</v>
      </c>
      <c r="AY406" s="21">
        <f t="shared" si="7"/>
        <v>58</v>
      </c>
      <c r="AZ406" s="15" t="s">
        <v>917</v>
      </c>
      <c r="BA406" s="15" t="s">
        <v>174</v>
      </c>
      <c r="BB406" s="15" t="s">
        <v>7801</v>
      </c>
      <c r="BE406" s="15" t="s">
        <v>2041</v>
      </c>
      <c r="BF406" s="15" t="s">
        <v>7834</v>
      </c>
      <c r="BJ406" s="15" t="s">
        <v>7835</v>
      </c>
      <c r="BN406" s="15" t="s">
        <v>179</v>
      </c>
      <c r="BP406" s="15" t="s">
        <v>138</v>
      </c>
      <c r="BS406" s="15" t="s">
        <v>7836</v>
      </c>
      <c r="DH406" s="15" t="s">
        <v>17982</v>
      </c>
      <c r="DI406" s="15" t="s">
        <v>17982</v>
      </c>
    </row>
    <row r="407" spans="1:113" s="15" customFormat="1" ht="12.75" x14ac:dyDescent="0.2">
      <c r="A407" s="15" t="s">
        <v>109</v>
      </c>
      <c r="B407" s="15" t="s">
        <v>110</v>
      </c>
      <c r="D407" s="15" t="s">
        <v>383</v>
      </c>
      <c r="E407" s="15" t="s">
        <v>112</v>
      </c>
      <c r="F407" s="15" t="s">
        <v>383</v>
      </c>
      <c r="G407" s="15" t="s">
        <v>113</v>
      </c>
      <c r="H407" s="15" t="s">
        <v>1045</v>
      </c>
      <c r="J407" s="16" t="s">
        <v>114</v>
      </c>
      <c r="U407" s="15" t="s">
        <v>17977</v>
      </c>
      <c r="W407" s="15">
        <v>1644</v>
      </c>
      <c r="X407" s="15">
        <v>417</v>
      </c>
      <c r="Y407" s="15" t="s">
        <v>160</v>
      </c>
      <c r="Z407" s="15" t="s">
        <v>161</v>
      </c>
      <c r="AA407" s="15" t="s">
        <v>162</v>
      </c>
      <c r="AB407" s="15" t="s">
        <v>8403</v>
      </c>
      <c r="AC407" s="15" t="s">
        <v>8403</v>
      </c>
      <c r="AD407" s="15" t="s">
        <v>8403</v>
      </c>
      <c r="AE407" s="15" t="s">
        <v>164</v>
      </c>
      <c r="AF407" s="15" t="s">
        <v>8403</v>
      </c>
      <c r="AG407" s="15" t="s">
        <v>8403</v>
      </c>
      <c r="AH407" s="20" t="s">
        <v>8404</v>
      </c>
      <c r="AL407" s="15" t="s">
        <v>8405</v>
      </c>
      <c r="AN407" s="15">
        <v>743</v>
      </c>
      <c r="AO407" s="15" t="s">
        <v>8406</v>
      </c>
      <c r="AQ407" s="15" t="s">
        <v>168</v>
      </c>
      <c r="AT407" s="15" t="s">
        <v>8407</v>
      </c>
      <c r="AU407" s="15" t="s">
        <v>8408</v>
      </c>
      <c r="AV407" s="15" t="s">
        <v>8408</v>
      </c>
      <c r="AW407" s="15" t="s">
        <v>8409</v>
      </c>
      <c r="AX407" s="15" t="s">
        <v>8409</v>
      </c>
      <c r="AY407" s="21">
        <f t="shared" si="7"/>
        <v>49</v>
      </c>
      <c r="AZ407" s="15" t="s">
        <v>173</v>
      </c>
      <c r="BA407" s="15" t="s">
        <v>174</v>
      </c>
      <c r="BB407" s="15" t="s">
        <v>2006</v>
      </c>
      <c r="BE407" s="15" t="s">
        <v>264</v>
      </c>
      <c r="BJ407" s="15" t="s">
        <v>8410</v>
      </c>
      <c r="BK407" s="15" t="s">
        <v>487</v>
      </c>
      <c r="BS407" s="15" t="s">
        <v>8411</v>
      </c>
      <c r="DH407" s="15" t="s">
        <v>17982</v>
      </c>
      <c r="DI407" s="15" t="s">
        <v>17982</v>
      </c>
    </row>
    <row r="408" spans="1:113" s="15" customFormat="1" ht="12.75" x14ac:dyDescent="0.2">
      <c r="A408" s="15" t="s">
        <v>109</v>
      </c>
      <c r="B408" s="15" t="s">
        <v>110</v>
      </c>
      <c r="D408" s="15" t="s">
        <v>383</v>
      </c>
      <c r="E408" s="15" t="s">
        <v>112</v>
      </c>
      <c r="F408" s="15" t="s">
        <v>383</v>
      </c>
      <c r="G408" s="15" t="s">
        <v>113</v>
      </c>
      <c r="H408" s="15" t="s">
        <v>1045</v>
      </c>
      <c r="J408" s="16" t="s">
        <v>114</v>
      </c>
      <c r="U408" s="15" t="s">
        <v>17977</v>
      </c>
      <c r="W408" s="15">
        <v>1645</v>
      </c>
      <c r="X408" s="15">
        <v>418</v>
      </c>
      <c r="Y408" s="15" t="s">
        <v>160</v>
      </c>
      <c r="Z408" s="15" t="s">
        <v>161</v>
      </c>
      <c r="AA408" s="15" t="s">
        <v>162</v>
      </c>
      <c r="AB408" s="15" t="s">
        <v>8412</v>
      </c>
      <c r="AC408" s="15" t="s">
        <v>8412</v>
      </c>
      <c r="AD408" s="15" t="s">
        <v>8412</v>
      </c>
      <c r="AE408" s="15" t="s">
        <v>164</v>
      </c>
      <c r="AF408" s="15" t="s">
        <v>8412</v>
      </c>
      <c r="AG408" s="15" t="s">
        <v>8412</v>
      </c>
      <c r="AH408" s="20" t="s">
        <v>8413</v>
      </c>
      <c r="AL408" s="15" t="s">
        <v>8414</v>
      </c>
      <c r="AN408" s="15">
        <v>743</v>
      </c>
      <c r="AO408" s="15" t="s">
        <v>8415</v>
      </c>
      <c r="AQ408" s="15" t="s">
        <v>168</v>
      </c>
      <c r="AT408" s="15" t="s">
        <v>8416</v>
      </c>
      <c r="AU408" s="15" t="s">
        <v>8417</v>
      </c>
      <c r="AV408" s="15" t="s">
        <v>8417</v>
      </c>
      <c r="AW408" s="15" t="s">
        <v>8418</v>
      </c>
      <c r="AX408" s="15" t="s">
        <v>8418</v>
      </c>
      <c r="AY408" s="21">
        <f t="shared" si="7"/>
        <v>46</v>
      </c>
      <c r="AZ408" s="15" t="s">
        <v>173</v>
      </c>
      <c r="BA408" s="15" t="s">
        <v>174</v>
      </c>
      <c r="BB408" s="15" t="s">
        <v>229</v>
      </c>
      <c r="BC408" s="15" t="s">
        <v>8419</v>
      </c>
      <c r="BE408" s="15" t="s">
        <v>264</v>
      </c>
      <c r="BJ408" s="15" t="s">
        <v>8420</v>
      </c>
      <c r="BK408" s="15" t="s">
        <v>487</v>
      </c>
      <c r="BS408" s="15" t="s">
        <v>8421</v>
      </c>
      <c r="DH408" s="15" t="s">
        <v>17982</v>
      </c>
      <c r="DI408" s="15" t="s">
        <v>17982</v>
      </c>
    </row>
    <row r="409" spans="1:113" s="15" customFormat="1" ht="12.75" x14ac:dyDescent="0.2">
      <c r="A409" s="15" t="s">
        <v>109</v>
      </c>
      <c r="B409" s="15" t="s">
        <v>110</v>
      </c>
      <c r="D409" s="15" t="s">
        <v>383</v>
      </c>
      <c r="E409" s="15" t="s">
        <v>112</v>
      </c>
      <c r="F409" s="15" t="s">
        <v>383</v>
      </c>
      <c r="G409" s="15" t="s">
        <v>113</v>
      </c>
      <c r="H409" s="15" t="s">
        <v>1045</v>
      </c>
      <c r="J409" s="16" t="s">
        <v>114</v>
      </c>
      <c r="U409" s="15" t="s">
        <v>17977</v>
      </c>
      <c r="W409" s="15">
        <v>2288</v>
      </c>
      <c r="X409" s="15">
        <v>419</v>
      </c>
      <c r="Y409" s="15" t="s">
        <v>160</v>
      </c>
      <c r="Z409" s="15" t="s">
        <v>161</v>
      </c>
      <c r="AA409" s="15" t="s">
        <v>162</v>
      </c>
      <c r="AB409" s="15" t="s">
        <v>11379</v>
      </c>
      <c r="AC409" s="15" t="s">
        <v>11379</v>
      </c>
      <c r="AD409" s="15" t="s">
        <v>11379</v>
      </c>
      <c r="AE409" s="15" t="s">
        <v>164</v>
      </c>
      <c r="AF409" s="15" t="s">
        <v>11379</v>
      </c>
      <c r="AG409" s="15" t="s">
        <v>11379</v>
      </c>
      <c r="AH409" s="20" t="s">
        <v>11380</v>
      </c>
      <c r="AL409" s="15" t="s">
        <v>11381</v>
      </c>
      <c r="AN409" s="15">
        <v>743</v>
      </c>
      <c r="AO409" s="15" t="s">
        <v>11382</v>
      </c>
      <c r="AQ409" s="15" t="s">
        <v>168</v>
      </c>
      <c r="AT409" s="15" t="s">
        <v>11383</v>
      </c>
      <c r="AU409" s="15" t="s">
        <v>11384</v>
      </c>
      <c r="AV409" s="15" t="s">
        <v>11384</v>
      </c>
      <c r="AW409" s="15" t="s">
        <v>11385</v>
      </c>
      <c r="AX409" s="15" t="s">
        <v>11386</v>
      </c>
      <c r="AY409" s="21">
        <f t="shared" si="7"/>
        <v>56</v>
      </c>
      <c r="AZ409" s="15" t="s">
        <v>173</v>
      </c>
      <c r="BA409" s="15" t="s">
        <v>174</v>
      </c>
      <c r="BB409" s="15" t="s">
        <v>4730</v>
      </c>
      <c r="BC409" s="15" t="s">
        <v>646</v>
      </c>
      <c r="BE409" s="15" t="s">
        <v>395</v>
      </c>
      <c r="BJ409" s="15" t="s">
        <v>11377</v>
      </c>
      <c r="BK409" s="15" t="s">
        <v>487</v>
      </c>
      <c r="BS409" s="15" t="s">
        <v>11387</v>
      </c>
      <c r="DH409" s="15" t="s">
        <v>17982</v>
      </c>
      <c r="DI409" s="15" t="s">
        <v>17982</v>
      </c>
    </row>
    <row r="410" spans="1:113" s="15" customFormat="1" ht="12.75" x14ac:dyDescent="0.2">
      <c r="A410" s="15" t="s">
        <v>109</v>
      </c>
      <c r="B410" s="15" t="s">
        <v>110</v>
      </c>
      <c r="D410" s="15" t="s">
        <v>383</v>
      </c>
      <c r="E410" s="15" t="s">
        <v>112</v>
      </c>
      <c r="F410" s="15" t="s">
        <v>383</v>
      </c>
      <c r="G410" s="15" t="s">
        <v>113</v>
      </c>
      <c r="H410" s="15" t="s">
        <v>1045</v>
      </c>
      <c r="J410" s="16" t="s">
        <v>114</v>
      </c>
      <c r="U410" s="15" t="s">
        <v>17977</v>
      </c>
      <c r="W410" s="15">
        <v>2287</v>
      </c>
      <c r="X410" s="15">
        <v>420</v>
      </c>
      <c r="Y410" s="15" t="s">
        <v>160</v>
      </c>
      <c r="Z410" s="15" t="s">
        <v>161</v>
      </c>
      <c r="AA410" s="15" t="s">
        <v>162</v>
      </c>
      <c r="AB410" s="15" t="s">
        <v>11369</v>
      </c>
      <c r="AC410" s="15" t="s">
        <v>11369</v>
      </c>
      <c r="AD410" s="15" t="s">
        <v>11369</v>
      </c>
      <c r="AE410" s="15" t="s">
        <v>164</v>
      </c>
      <c r="AF410" s="15" t="s">
        <v>11369</v>
      </c>
      <c r="AG410" s="15" t="s">
        <v>11369</v>
      </c>
      <c r="AH410" s="20" t="s">
        <v>11370</v>
      </c>
      <c r="AL410" s="15" t="s">
        <v>11371</v>
      </c>
      <c r="AN410" s="15">
        <v>743</v>
      </c>
      <c r="AO410" s="15" t="s">
        <v>11372</v>
      </c>
      <c r="AQ410" s="15" t="s">
        <v>168</v>
      </c>
      <c r="AT410" s="15" t="s">
        <v>11373</v>
      </c>
      <c r="AU410" s="15" t="s">
        <v>11374</v>
      </c>
      <c r="AV410" s="15" t="s">
        <v>11374</v>
      </c>
      <c r="AW410" s="15" t="s">
        <v>11375</v>
      </c>
      <c r="AX410" s="15" t="s">
        <v>11376</v>
      </c>
      <c r="AY410" s="21">
        <f t="shared" si="7"/>
        <v>56</v>
      </c>
      <c r="AZ410" s="15" t="s">
        <v>173</v>
      </c>
      <c r="BA410" s="15" t="s">
        <v>174</v>
      </c>
      <c r="BB410" s="15" t="s">
        <v>4919</v>
      </c>
      <c r="BC410" s="15" t="s">
        <v>646</v>
      </c>
      <c r="BE410" s="15" t="s">
        <v>395</v>
      </c>
      <c r="BJ410" s="15" t="s">
        <v>11377</v>
      </c>
      <c r="BK410" s="15" t="s">
        <v>487</v>
      </c>
      <c r="BS410" s="15" t="s">
        <v>11378</v>
      </c>
      <c r="DH410" s="15" t="s">
        <v>17982</v>
      </c>
      <c r="DI410" s="15" t="s">
        <v>17982</v>
      </c>
    </row>
    <row r="411" spans="1:113" s="15" customFormat="1" ht="12.75" x14ac:dyDescent="0.2">
      <c r="A411" s="15" t="s">
        <v>109</v>
      </c>
      <c r="B411" s="15" t="s">
        <v>110</v>
      </c>
      <c r="D411" s="15" t="s">
        <v>383</v>
      </c>
      <c r="E411" s="15" t="s">
        <v>112</v>
      </c>
      <c r="F411" s="15" t="s">
        <v>383</v>
      </c>
      <c r="G411" s="15" t="s">
        <v>113</v>
      </c>
      <c r="H411" s="15" t="s">
        <v>1045</v>
      </c>
      <c r="J411" s="16" t="s">
        <v>114</v>
      </c>
      <c r="U411" s="15" t="s">
        <v>17977</v>
      </c>
      <c r="W411" s="15">
        <v>1106</v>
      </c>
      <c r="X411" s="15">
        <v>421</v>
      </c>
      <c r="Y411" s="15" t="s">
        <v>160</v>
      </c>
      <c r="Z411" s="15" t="s">
        <v>161</v>
      </c>
      <c r="AA411" s="15" t="s">
        <v>162</v>
      </c>
      <c r="AB411" s="15" t="s">
        <v>5835</v>
      </c>
      <c r="AC411" s="15" t="s">
        <v>5835</v>
      </c>
      <c r="AD411" s="15" t="s">
        <v>5835</v>
      </c>
      <c r="AE411" s="15" t="s">
        <v>164</v>
      </c>
      <c r="AF411" s="15" t="s">
        <v>5835</v>
      </c>
      <c r="AG411" s="15" t="s">
        <v>5835</v>
      </c>
      <c r="AH411" s="20" t="s">
        <v>5836</v>
      </c>
      <c r="AL411" s="15" t="s">
        <v>5837</v>
      </c>
      <c r="AN411" s="15">
        <v>743</v>
      </c>
      <c r="AO411" s="15" t="s">
        <v>5838</v>
      </c>
      <c r="AQ411" s="15" t="s">
        <v>168</v>
      </c>
      <c r="AT411" s="15" t="s">
        <v>5839</v>
      </c>
      <c r="AU411" s="15" t="s">
        <v>5840</v>
      </c>
      <c r="AV411" s="15" t="s">
        <v>5840</v>
      </c>
      <c r="AW411" s="15" t="s">
        <v>5841</v>
      </c>
      <c r="AX411" s="15" t="s">
        <v>5841</v>
      </c>
      <c r="AY411" s="21">
        <f t="shared" si="7"/>
        <v>46</v>
      </c>
      <c r="AZ411" s="15" t="s">
        <v>173</v>
      </c>
      <c r="BA411" s="15" t="s">
        <v>174</v>
      </c>
      <c r="BB411" s="15" t="s">
        <v>5831</v>
      </c>
      <c r="BC411" s="15" t="s">
        <v>5842</v>
      </c>
      <c r="BE411" s="15" t="s">
        <v>1123</v>
      </c>
      <c r="BJ411" s="15" t="s">
        <v>5843</v>
      </c>
      <c r="BK411" s="15" t="s">
        <v>487</v>
      </c>
      <c r="BS411" s="15" t="s">
        <v>5844</v>
      </c>
      <c r="BY411" s="17" t="s">
        <v>5845</v>
      </c>
      <c r="DH411" s="15" t="s">
        <v>17982</v>
      </c>
      <c r="DI411" s="15" t="s">
        <v>17982</v>
      </c>
    </row>
    <row r="412" spans="1:113" s="15" customFormat="1" ht="12.75" x14ac:dyDescent="0.2">
      <c r="A412" s="15" t="s">
        <v>109</v>
      </c>
      <c r="B412" s="15" t="s">
        <v>110</v>
      </c>
      <c r="D412" s="15" t="s">
        <v>383</v>
      </c>
      <c r="E412" s="15" t="s">
        <v>112</v>
      </c>
      <c r="F412" s="15" t="s">
        <v>383</v>
      </c>
      <c r="G412" s="15" t="s">
        <v>113</v>
      </c>
      <c r="H412" s="15" t="s">
        <v>1045</v>
      </c>
      <c r="J412" s="16" t="s">
        <v>114</v>
      </c>
      <c r="U412" s="15" t="s">
        <v>17977</v>
      </c>
      <c r="W412" s="15">
        <v>2298</v>
      </c>
      <c r="X412" s="15">
        <v>422</v>
      </c>
      <c r="Y412" s="15" t="s">
        <v>160</v>
      </c>
      <c r="Z412" s="15" t="s">
        <v>161</v>
      </c>
      <c r="AA412" s="15" t="s">
        <v>162</v>
      </c>
      <c r="AB412" s="15" t="s">
        <v>11450</v>
      </c>
      <c r="AC412" s="15" t="s">
        <v>11450</v>
      </c>
      <c r="AD412" s="15" t="s">
        <v>11450</v>
      </c>
      <c r="AE412" s="15" t="s">
        <v>164</v>
      </c>
      <c r="AF412" s="15" t="s">
        <v>11450</v>
      </c>
      <c r="AG412" s="15" t="s">
        <v>11450</v>
      </c>
      <c r="AH412" s="20" t="s">
        <v>11451</v>
      </c>
      <c r="AL412" s="15" t="s">
        <v>11452</v>
      </c>
      <c r="AN412" s="15">
        <v>743</v>
      </c>
      <c r="AO412" s="15" t="s">
        <v>11453</v>
      </c>
      <c r="AQ412" s="15" t="s">
        <v>168</v>
      </c>
      <c r="AT412" s="15" t="s">
        <v>11454</v>
      </c>
      <c r="AU412" s="15" t="s">
        <v>11455</v>
      </c>
      <c r="AV412" s="15" t="s">
        <v>11455</v>
      </c>
      <c r="AW412" s="15" t="s">
        <v>11456</v>
      </c>
      <c r="AX412" s="15" t="s">
        <v>11456</v>
      </c>
      <c r="AY412" s="21">
        <f t="shared" si="7"/>
        <v>53</v>
      </c>
      <c r="AZ412" s="15" t="s">
        <v>173</v>
      </c>
      <c r="BA412" s="15" t="s">
        <v>174</v>
      </c>
      <c r="BB412" s="15" t="s">
        <v>4730</v>
      </c>
      <c r="BC412" s="15" t="s">
        <v>646</v>
      </c>
      <c r="BE412" s="15" t="s">
        <v>1123</v>
      </c>
      <c r="BJ412" s="15" t="s">
        <v>11457</v>
      </c>
      <c r="BK412" s="15" t="s">
        <v>487</v>
      </c>
      <c r="BS412" s="15" t="s">
        <v>11458</v>
      </c>
      <c r="DH412" s="15" t="s">
        <v>17982</v>
      </c>
      <c r="DI412" s="15" t="s">
        <v>17982</v>
      </c>
    </row>
    <row r="413" spans="1:113" s="15" customFormat="1" ht="12.75" x14ac:dyDescent="0.2">
      <c r="A413" s="15" t="s">
        <v>109</v>
      </c>
      <c r="B413" s="15" t="s">
        <v>110</v>
      </c>
      <c r="D413" s="15" t="s">
        <v>383</v>
      </c>
      <c r="E413" s="15" t="s">
        <v>112</v>
      </c>
      <c r="F413" s="15" t="s">
        <v>383</v>
      </c>
      <c r="G413" s="15" t="s">
        <v>113</v>
      </c>
      <c r="H413" s="15" t="s">
        <v>1045</v>
      </c>
      <c r="J413" s="16" t="s">
        <v>114</v>
      </c>
      <c r="U413" s="15" t="s">
        <v>17977</v>
      </c>
      <c r="W413" s="15">
        <v>1524</v>
      </c>
      <c r="X413" s="15">
        <v>423</v>
      </c>
      <c r="Y413" s="15" t="s">
        <v>160</v>
      </c>
      <c r="Z413" s="15" t="s">
        <v>161</v>
      </c>
      <c r="AA413" s="15" t="s">
        <v>162</v>
      </c>
      <c r="AB413" s="15" t="s">
        <v>7837</v>
      </c>
      <c r="AC413" s="15" t="s">
        <v>7837</v>
      </c>
      <c r="AD413" s="15" t="s">
        <v>7837</v>
      </c>
      <c r="AE413" s="15" t="s">
        <v>164</v>
      </c>
      <c r="AF413" s="15" t="s">
        <v>7837</v>
      </c>
      <c r="AG413" s="15" t="s">
        <v>7837</v>
      </c>
      <c r="AH413" s="20" t="s">
        <v>7838</v>
      </c>
      <c r="AL413" s="15" t="s">
        <v>7839</v>
      </c>
      <c r="AN413" s="15">
        <v>743</v>
      </c>
      <c r="AO413" s="15" t="s">
        <v>7840</v>
      </c>
      <c r="AQ413" s="15" t="s">
        <v>912</v>
      </c>
      <c r="AT413" s="15" t="s">
        <v>7841</v>
      </c>
      <c r="AU413" s="15" t="s">
        <v>7842</v>
      </c>
      <c r="AV413" s="15" t="s">
        <v>7842</v>
      </c>
      <c r="AW413" s="15" t="s">
        <v>7843</v>
      </c>
      <c r="AX413" s="15" t="s">
        <v>7844</v>
      </c>
      <c r="AY413" s="21">
        <f t="shared" si="7"/>
        <v>58</v>
      </c>
      <c r="AZ413" s="15" t="s">
        <v>917</v>
      </c>
      <c r="BA413" s="15" t="s">
        <v>174</v>
      </c>
      <c r="BB413" s="15" t="s">
        <v>7801</v>
      </c>
      <c r="BE413" s="15" t="s">
        <v>2041</v>
      </c>
      <c r="BF413" s="15" t="s">
        <v>7845</v>
      </c>
      <c r="BJ413" s="15" t="s">
        <v>7835</v>
      </c>
      <c r="BN413" s="15" t="s">
        <v>179</v>
      </c>
      <c r="BP413" s="15" t="s">
        <v>138</v>
      </c>
      <c r="BS413" s="15" t="s">
        <v>7846</v>
      </c>
      <c r="DH413" s="15" t="s">
        <v>17982</v>
      </c>
      <c r="DI413" s="15" t="s">
        <v>17982</v>
      </c>
    </row>
    <row r="414" spans="1:113" s="15" customFormat="1" ht="12.75" x14ac:dyDescent="0.2">
      <c r="A414" s="15" t="s">
        <v>109</v>
      </c>
      <c r="B414" s="15" t="s">
        <v>110</v>
      </c>
      <c r="D414" s="15" t="s">
        <v>383</v>
      </c>
      <c r="E414" s="15" t="s">
        <v>112</v>
      </c>
      <c r="F414" s="15" t="s">
        <v>383</v>
      </c>
      <c r="G414" s="15" t="s">
        <v>113</v>
      </c>
      <c r="H414" s="15" t="s">
        <v>1045</v>
      </c>
      <c r="J414" s="16" t="s">
        <v>114</v>
      </c>
      <c r="U414" s="15" t="s">
        <v>17977</v>
      </c>
      <c r="W414" s="15">
        <v>1522</v>
      </c>
      <c r="X414" s="15">
        <v>424</v>
      </c>
      <c r="Y414" s="15" t="s">
        <v>160</v>
      </c>
      <c r="Z414" s="15" t="s">
        <v>161</v>
      </c>
      <c r="AA414" s="15" t="s">
        <v>162</v>
      </c>
      <c r="AB414" s="15" t="s">
        <v>7815</v>
      </c>
      <c r="AC414" s="15" t="s">
        <v>7815</v>
      </c>
      <c r="AD414" s="15" t="s">
        <v>7815</v>
      </c>
      <c r="AE414" s="15" t="s">
        <v>164</v>
      </c>
      <c r="AF414" s="15" t="s">
        <v>7815</v>
      </c>
      <c r="AG414" s="15" t="s">
        <v>7815</v>
      </c>
      <c r="AH414" s="20" t="s">
        <v>7816</v>
      </c>
      <c r="AL414" s="15" t="s">
        <v>7817</v>
      </c>
      <c r="AN414" s="15">
        <v>743</v>
      </c>
      <c r="AO414" s="15" t="s">
        <v>7818</v>
      </c>
      <c r="AQ414" s="15" t="s">
        <v>912</v>
      </c>
      <c r="AT414" s="15" t="s">
        <v>7819</v>
      </c>
      <c r="AU414" s="15" t="s">
        <v>7820</v>
      </c>
      <c r="AV414" s="15" t="s">
        <v>7820</v>
      </c>
      <c r="AW414" s="15" t="s">
        <v>7821</v>
      </c>
      <c r="AX414" s="15" t="s">
        <v>7821</v>
      </c>
      <c r="AY414" s="21">
        <f t="shared" si="7"/>
        <v>60</v>
      </c>
      <c r="AZ414" s="15" t="s">
        <v>917</v>
      </c>
      <c r="BA414" s="15" t="s">
        <v>174</v>
      </c>
      <c r="BB414" s="15" t="s">
        <v>7801</v>
      </c>
      <c r="BE414" s="15" t="s">
        <v>7822</v>
      </c>
      <c r="BF414" s="15" t="s">
        <v>7823</v>
      </c>
      <c r="BJ414" s="15" t="s">
        <v>7824</v>
      </c>
      <c r="BN414" s="15" t="s">
        <v>179</v>
      </c>
      <c r="BP414" s="15" t="s">
        <v>138</v>
      </c>
      <c r="BS414" s="15" t="s">
        <v>7825</v>
      </c>
      <c r="DH414" s="15" t="s">
        <v>17982</v>
      </c>
      <c r="DI414" s="15" t="s">
        <v>17982</v>
      </c>
    </row>
    <row r="415" spans="1:113" s="15" customFormat="1" ht="12.75" x14ac:dyDescent="0.2">
      <c r="A415" s="15" t="s">
        <v>109</v>
      </c>
      <c r="B415" s="15" t="s">
        <v>110</v>
      </c>
      <c r="D415" s="15" t="s">
        <v>383</v>
      </c>
      <c r="E415" s="15" t="s">
        <v>112</v>
      </c>
      <c r="F415" s="15" t="s">
        <v>383</v>
      </c>
      <c r="G415" s="15" t="s">
        <v>113</v>
      </c>
      <c r="H415" s="15" t="s">
        <v>1045</v>
      </c>
      <c r="J415" s="16" t="s">
        <v>114</v>
      </c>
      <c r="U415" s="15" t="s">
        <v>17977</v>
      </c>
      <c r="W415" s="15">
        <v>1526</v>
      </c>
      <c r="X415" s="15">
        <v>425</v>
      </c>
      <c r="Y415" s="15" t="s">
        <v>160</v>
      </c>
      <c r="Z415" s="15" t="s">
        <v>161</v>
      </c>
      <c r="AA415" s="15" t="s">
        <v>162</v>
      </c>
      <c r="AB415" s="15" t="s">
        <v>7857</v>
      </c>
      <c r="AC415" s="15" t="s">
        <v>7857</v>
      </c>
      <c r="AD415" s="15" t="s">
        <v>7857</v>
      </c>
      <c r="AE415" s="15" t="s">
        <v>164</v>
      </c>
      <c r="AF415" s="15" t="s">
        <v>7857</v>
      </c>
      <c r="AG415" s="15" t="s">
        <v>7857</v>
      </c>
      <c r="AH415" s="20" t="s">
        <v>7858</v>
      </c>
      <c r="AL415" s="15" t="s">
        <v>7859</v>
      </c>
      <c r="AN415" s="15">
        <v>743</v>
      </c>
      <c r="AO415" s="15" t="s">
        <v>7860</v>
      </c>
      <c r="AQ415" s="15" t="s">
        <v>912</v>
      </c>
      <c r="AT415" s="15" t="s">
        <v>7861</v>
      </c>
      <c r="AU415" s="15" t="s">
        <v>7862</v>
      </c>
      <c r="AV415" s="15" t="s">
        <v>7862</v>
      </c>
      <c r="AW415" s="15" t="s">
        <v>7863</v>
      </c>
      <c r="AX415" s="15" t="s">
        <v>7864</v>
      </c>
      <c r="AY415" s="21">
        <f t="shared" si="7"/>
        <v>57</v>
      </c>
      <c r="AZ415" s="15" t="s">
        <v>917</v>
      </c>
      <c r="BA415" s="15" t="s">
        <v>174</v>
      </c>
      <c r="BB415" s="15" t="s">
        <v>7865</v>
      </c>
      <c r="BE415" s="15" t="s">
        <v>7822</v>
      </c>
      <c r="BF415" s="15" t="s">
        <v>7866</v>
      </c>
      <c r="BJ415" s="15" t="s">
        <v>7867</v>
      </c>
      <c r="BN415" s="15" t="s">
        <v>179</v>
      </c>
      <c r="BP415" s="15" t="s">
        <v>138</v>
      </c>
      <c r="BS415" s="15" t="s">
        <v>7868</v>
      </c>
      <c r="DH415" s="15" t="s">
        <v>17982</v>
      </c>
      <c r="DI415" s="15" t="s">
        <v>17982</v>
      </c>
    </row>
    <row r="416" spans="1:113" s="15" customFormat="1" ht="12.75" x14ac:dyDescent="0.2">
      <c r="A416" s="15" t="s">
        <v>109</v>
      </c>
      <c r="B416" s="15" t="s">
        <v>110</v>
      </c>
      <c r="D416" s="15" t="s">
        <v>383</v>
      </c>
      <c r="E416" s="15" t="s">
        <v>112</v>
      </c>
      <c r="F416" s="15" t="s">
        <v>383</v>
      </c>
      <c r="G416" s="15" t="s">
        <v>113</v>
      </c>
      <c r="H416" s="15" t="s">
        <v>1045</v>
      </c>
      <c r="J416" s="16" t="s">
        <v>114</v>
      </c>
      <c r="U416" s="15" t="s">
        <v>17977</v>
      </c>
      <c r="W416" s="15">
        <v>2935</v>
      </c>
      <c r="X416" s="15">
        <v>426</v>
      </c>
      <c r="Y416" s="15" t="s">
        <v>160</v>
      </c>
      <c r="Z416" s="15" t="s">
        <v>161</v>
      </c>
      <c r="AA416" s="15" t="s">
        <v>162</v>
      </c>
      <c r="AB416" s="15" t="s">
        <v>14406</v>
      </c>
      <c r="AC416" s="15" t="s">
        <v>14406</v>
      </c>
      <c r="AD416" s="15" t="s">
        <v>14406</v>
      </c>
      <c r="AE416" s="15" t="s">
        <v>164</v>
      </c>
      <c r="AF416" s="15" t="s">
        <v>14406</v>
      </c>
      <c r="AG416" s="15" t="s">
        <v>14406</v>
      </c>
      <c r="AH416" s="20" t="s">
        <v>14407</v>
      </c>
      <c r="AL416" s="15" t="s">
        <v>14408</v>
      </c>
      <c r="AN416" s="15">
        <v>743</v>
      </c>
      <c r="AO416" s="15" t="s">
        <v>14409</v>
      </c>
      <c r="AQ416" s="15" t="s">
        <v>168</v>
      </c>
      <c r="AT416" s="15" t="s">
        <v>14410</v>
      </c>
      <c r="AU416" s="15" t="s">
        <v>14411</v>
      </c>
      <c r="AV416" s="15" t="s">
        <v>14411</v>
      </c>
      <c r="AW416" s="15" t="s">
        <v>14412</v>
      </c>
      <c r="AX416" s="15" t="s">
        <v>14412</v>
      </c>
      <c r="AY416" s="21">
        <f t="shared" si="7"/>
        <v>59</v>
      </c>
      <c r="AZ416" s="15" t="s">
        <v>604</v>
      </c>
      <c r="BA416" s="15" t="s">
        <v>174</v>
      </c>
      <c r="BB416" s="15" t="s">
        <v>7613</v>
      </c>
      <c r="BC416" s="15" t="s">
        <v>669</v>
      </c>
      <c r="BI416" s="15" t="s">
        <v>670</v>
      </c>
      <c r="BJ416" s="15" t="s">
        <v>14413</v>
      </c>
      <c r="BM416" s="15" t="s">
        <v>672</v>
      </c>
      <c r="BN416" s="15" t="s">
        <v>179</v>
      </c>
      <c r="BP416" s="15" t="s">
        <v>138</v>
      </c>
      <c r="BS416" s="15" t="s">
        <v>14414</v>
      </c>
      <c r="DH416" s="15" t="s">
        <v>17982</v>
      </c>
      <c r="DI416" s="15" t="s">
        <v>17982</v>
      </c>
    </row>
    <row r="417" spans="1:113" s="15" customFormat="1" ht="12.75" x14ac:dyDescent="0.2">
      <c r="A417" s="15" t="s">
        <v>109</v>
      </c>
      <c r="B417" s="15" t="s">
        <v>110</v>
      </c>
      <c r="D417" s="15" t="s">
        <v>383</v>
      </c>
      <c r="E417" s="15" t="s">
        <v>112</v>
      </c>
      <c r="F417" s="15" t="s">
        <v>383</v>
      </c>
      <c r="G417" s="15" t="s">
        <v>113</v>
      </c>
      <c r="H417" s="15" t="s">
        <v>1045</v>
      </c>
      <c r="J417" s="16" t="s">
        <v>114</v>
      </c>
      <c r="U417" s="15" t="s">
        <v>17977</v>
      </c>
      <c r="W417" s="15">
        <v>2943</v>
      </c>
      <c r="X417" s="15">
        <v>427</v>
      </c>
      <c r="Y417" s="15" t="s">
        <v>160</v>
      </c>
      <c r="Z417" s="15" t="s">
        <v>161</v>
      </c>
      <c r="AA417" s="15" t="s">
        <v>162</v>
      </c>
      <c r="AB417" s="15" t="s">
        <v>14471</v>
      </c>
      <c r="AC417" s="15" t="s">
        <v>14471</v>
      </c>
      <c r="AD417" s="15" t="s">
        <v>14471</v>
      </c>
      <c r="AE417" s="15" t="s">
        <v>164</v>
      </c>
      <c r="AF417" s="15" t="s">
        <v>14471</v>
      </c>
      <c r="AG417" s="15" t="s">
        <v>14471</v>
      </c>
      <c r="AH417" s="20" t="s">
        <v>14472</v>
      </c>
      <c r="AL417" s="15" t="s">
        <v>14473</v>
      </c>
      <c r="AN417" s="15">
        <v>743</v>
      </c>
      <c r="AO417" s="15" t="s">
        <v>14474</v>
      </c>
      <c r="AQ417" s="15" t="s">
        <v>168</v>
      </c>
      <c r="AT417" s="15" t="s">
        <v>14449</v>
      </c>
      <c r="AU417" s="15" t="s">
        <v>14450</v>
      </c>
      <c r="AV417" s="15" t="s">
        <v>14475</v>
      </c>
      <c r="AW417" s="15" t="s">
        <v>14451</v>
      </c>
      <c r="AX417" s="15" t="s">
        <v>14476</v>
      </c>
      <c r="AY417" s="21">
        <f t="shared" si="7"/>
        <v>57</v>
      </c>
      <c r="AZ417" s="15" t="s">
        <v>604</v>
      </c>
      <c r="BA417" s="15" t="s">
        <v>174</v>
      </c>
      <c r="BB417" s="15" t="s">
        <v>7613</v>
      </c>
      <c r="BC417" s="15" t="s">
        <v>669</v>
      </c>
      <c r="BI417" s="15" t="s">
        <v>746</v>
      </c>
      <c r="BJ417" s="15" t="s">
        <v>14413</v>
      </c>
      <c r="BM417" s="15" t="s">
        <v>672</v>
      </c>
      <c r="BN417" s="15" t="s">
        <v>179</v>
      </c>
      <c r="BP417" s="15" t="s">
        <v>138</v>
      </c>
      <c r="BS417" s="15" t="s">
        <v>14477</v>
      </c>
      <c r="BV417" s="15" t="s">
        <v>14425</v>
      </c>
      <c r="DH417" s="15" t="s">
        <v>17982</v>
      </c>
      <c r="DI417" s="15" t="s">
        <v>17982</v>
      </c>
    </row>
    <row r="418" spans="1:113" s="15" customFormat="1" ht="12.75" x14ac:dyDescent="0.2">
      <c r="A418" s="15" t="s">
        <v>109</v>
      </c>
      <c r="B418" s="15" t="s">
        <v>110</v>
      </c>
      <c r="D418" s="15" t="s">
        <v>383</v>
      </c>
      <c r="E418" s="15" t="s">
        <v>112</v>
      </c>
      <c r="F418" s="15" t="s">
        <v>383</v>
      </c>
      <c r="G418" s="15" t="s">
        <v>113</v>
      </c>
      <c r="H418" s="15" t="s">
        <v>1045</v>
      </c>
      <c r="J418" s="16" t="s">
        <v>114</v>
      </c>
      <c r="U418" s="15" t="s">
        <v>17977</v>
      </c>
      <c r="W418" s="15">
        <v>2940</v>
      </c>
      <c r="X418" s="15">
        <v>428</v>
      </c>
      <c r="Y418" s="15" t="s">
        <v>160</v>
      </c>
      <c r="Z418" s="15" t="s">
        <v>161</v>
      </c>
      <c r="AA418" s="15" t="s">
        <v>162</v>
      </c>
      <c r="AB418" s="15" t="s">
        <v>14445</v>
      </c>
      <c r="AC418" s="15" t="s">
        <v>14445</v>
      </c>
      <c r="AD418" s="15" t="s">
        <v>14445</v>
      </c>
      <c r="AE418" s="15" t="s">
        <v>164</v>
      </c>
      <c r="AF418" s="15" t="s">
        <v>14445</v>
      </c>
      <c r="AG418" s="15" t="s">
        <v>14445</v>
      </c>
      <c r="AH418" s="20" t="s">
        <v>14446</v>
      </c>
      <c r="AL418" s="15" t="s">
        <v>14447</v>
      </c>
      <c r="AN418" s="15">
        <v>743</v>
      </c>
      <c r="AO418" s="15" t="s">
        <v>14448</v>
      </c>
      <c r="AQ418" s="15" t="s">
        <v>168</v>
      </c>
      <c r="AT418" s="15" t="s">
        <v>14449</v>
      </c>
      <c r="AU418" s="15" t="s">
        <v>14450</v>
      </c>
      <c r="AV418" s="15" t="s">
        <v>14450</v>
      </c>
      <c r="AW418" s="15" t="s">
        <v>14451</v>
      </c>
      <c r="AX418" s="15" t="s">
        <v>14451</v>
      </c>
      <c r="AY418" s="21">
        <f t="shared" si="7"/>
        <v>60</v>
      </c>
      <c r="AZ418" s="15" t="s">
        <v>604</v>
      </c>
      <c r="BA418" s="15" t="s">
        <v>174</v>
      </c>
      <c r="BB418" s="15" t="s">
        <v>7613</v>
      </c>
      <c r="BC418" s="15" t="s">
        <v>669</v>
      </c>
      <c r="BI418" s="15" t="s">
        <v>746</v>
      </c>
      <c r="BJ418" s="15" t="s">
        <v>14413</v>
      </c>
      <c r="BM418" s="15" t="s">
        <v>672</v>
      </c>
      <c r="BN418" s="15" t="s">
        <v>179</v>
      </c>
      <c r="BP418" s="15" t="s">
        <v>138</v>
      </c>
      <c r="BS418" s="15" t="s">
        <v>14452</v>
      </c>
      <c r="DH418" s="15" t="s">
        <v>17982</v>
      </c>
      <c r="DI418" s="15" t="s">
        <v>17982</v>
      </c>
    </row>
    <row r="419" spans="1:113" s="15" customFormat="1" ht="12.75" x14ac:dyDescent="0.2">
      <c r="A419" s="15" t="s">
        <v>109</v>
      </c>
      <c r="B419" s="15" t="s">
        <v>110</v>
      </c>
      <c r="D419" s="15" t="s">
        <v>383</v>
      </c>
      <c r="E419" s="15" t="s">
        <v>112</v>
      </c>
      <c r="F419" s="15" t="s">
        <v>383</v>
      </c>
      <c r="G419" s="15" t="s">
        <v>113</v>
      </c>
      <c r="H419" s="15" t="s">
        <v>1045</v>
      </c>
      <c r="J419" s="16" t="s">
        <v>114</v>
      </c>
      <c r="U419" s="15" t="s">
        <v>17977</v>
      </c>
      <c r="W419" s="15">
        <v>2936</v>
      </c>
      <c r="X419" s="15">
        <v>429</v>
      </c>
      <c r="Y419" s="15" t="s">
        <v>160</v>
      </c>
      <c r="Z419" s="15" t="s">
        <v>161</v>
      </c>
      <c r="AA419" s="15" t="s">
        <v>162</v>
      </c>
      <c r="AB419" s="15" t="s">
        <v>14415</v>
      </c>
      <c r="AC419" s="15" t="s">
        <v>14415</v>
      </c>
      <c r="AD419" s="15" t="s">
        <v>14415</v>
      </c>
      <c r="AE419" s="15" t="s">
        <v>164</v>
      </c>
      <c r="AF419" s="15" t="s">
        <v>14415</v>
      </c>
      <c r="AG419" s="15" t="s">
        <v>14415</v>
      </c>
      <c r="AH419" s="20" t="s">
        <v>14416</v>
      </c>
      <c r="AL419" s="15" t="s">
        <v>14417</v>
      </c>
      <c r="AN419" s="15">
        <v>743</v>
      </c>
      <c r="AO419" s="15" t="s">
        <v>14418</v>
      </c>
      <c r="AQ419" s="15" t="s">
        <v>168</v>
      </c>
      <c r="AT419" s="15" t="s">
        <v>14419</v>
      </c>
      <c r="AU419" s="15" t="s">
        <v>14420</v>
      </c>
      <c r="AV419" s="15" t="s">
        <v>14421</v>
      </c>
      <c r="AW419" s="15" t="s">
        <v>14422</v>
      </c>
      <c r="AX419" s="15" t="s">
        <v>14423</v>
      </c>
      <c r="AY419" s="21">
        <f t="shared" si="7"/>
        <v>58</v>
      </c>
      <c r="AZ419" s="15" t="s">
        <v>604</v>
      </c>
      <c r="BA419" s="15" t="s">
        <v>174</v>
      </c>
      <c r="BB419" s="15" t="s">
        <v>7613</v>
      </c>
      <c r="BC419" s="15" t="s">
        <v>682</v>
      </c>
      <c r="BI419" s="15" t="s">
        <v>670</v>
      </c>
      <c r="BJ419" s="15" t="s">
        <v>14413</v>
      </c>
      <c r="BM419" s="15" t="s">
        <v>672</v>
      </c>
      <c r="BN419" s="15" t="s">
        <v>179</v>
      </c>
      <c r="BP419" s="15" t="s">
        <v>138</v>
      </c>
      <c r="BS419" s="15" t="s">
        <v>14424</v>
      </c>
      <c r="BV419" s="15" t="s">
        <v>14425</v>
      </c>
      <c r="DH419" s="15" t="s">
        <v>17982</v>
      </c>
      <c r="DI419" s="15" t="s">
        <v>17982</v>
      </c>
    </row>
    <row r="420" spans="1:113" s="15" customFormat="1" ht="12.75" x14ac:dyDescent="0.2">
      <c r="A420" s="15" t="s">
        <v>109</v>
      </c>
      <c r="B420" s="15" t="s">
        <v>110</v>
      </c>
      <c r="D420" s="15" t="s">
        <v>383</v>
      </c>
      <c r="E420" s="15" t="s">
        <v>112</v>
      </c>
      <c r="F420" s="15" t="s">
        <v>383</v>
      </c>
      <c r="G420" s="15" t="s">
        <v>113</v>
      </c>
      <c r="H420" s="15" t="s">
        <v>1045</v>
      </c>
      <c r="J420" s="16" t="s">
        <v>114</v>
      </c>
      <c r="U420" s="15" t="s">
        <v>17977</v>
      </c>
      <c r="W420" s="15">
        <v>2937</v>
      </c>
      <c r="X420" s="15">
        <v>430</v>
      </c>
      <c r="Y420" s="15" t="s">
        <v>160</v>
      </c>
      <c r="Z420" s="15" t="s">
        <v>161</v>
      </c>
      <c r="AA420" s="15" t="s">
        <v>162</v>
      </c>
      <c r="AB420" s="15" t="s">
        <v>14426</v>
      </c>
      <c r="AC420" s="15" t="s">
        <v>14426</v>
      </c>
      <c r="AD420" s="15" t="s">
        <v>14426</v>
      </c>
      <c r="AE420" s="15" t="s">
        <v>164</v>
      </c>
      <c r="AF420" s="15" t="s">
        <v>14426</v>
      </c>
      <c r="AG420" s="15" t="s">
        <v>14426</v>
      </c>
      <c r="AH420" s="20" t="s">
        <v>14427</v>
      </c>
      <c r="AL420" s="15" t="s">
        <v>14417</v>
      </c>
      <c r="AN420" s="15">
        <v>743</v>
      </c>
      <c r="AO420" s="15" t="s">
        <v>14428</v>
      </c>
      <c r="AQ420" s="15" t="s">
        <v>168</v>
      </c>
      <c r="AT420" s="15" t="s">
        <v>14419</v>
      </c>
      <c r="AU420" s="15" t="s">
        <v>14420</v>
      </c>
      <c r="AV420" s="15" t="s">
        <v>14420</v>
      </c>
      <c r="AW420" s="15" t="s">
        <v>14422</v>
      </c>
      <c r="AX420" s="15" t="s">
        <v>14429</v>
      </c>
      <c r="AY420" s="21">
        <f t="shared" si="7"/>
        <v>57</v>
      </c>
      <c r="AZ420" s="15" t="s">
        <v>604</v>
      </c>
      <c r="BA420" s="15" t="s">
        <v>174</v>
      </c>
      <c r="BB420" s="15" t="s">
        <v>7613</v>
      </c>
      <c r="BC420" s="15" t="s">
        <v>682</v>
      </c>
      <c r="BI420" s="15" t="s">
        <v>670</v>
      </c>
      <c r="BJ420" s="15" t="s">
        <v>14413</v>
      </c>
      <c r="BM420" s="15" t="s">
        <v>672</v>
      </c>
      <c r="BN420" s="15" t="s">
        <v>179</v>
      </c>
      <c r="BP420" s="15" t="s">
        <v>138</v>
      </c>
      <c r="BS420" s="15" t="s">
        <v>14430</v>
      </c>
      <c r="DH420" s="15" t="s">
        <v>17982</v>
      </c>
      <c r="DI420" s="15" t="s">
        <v>17982</v>
      </c>
    </row>
    <row r="421" spans="1:113" s="15" customFormat="1" ht="12.75" x14ac:dyDescent="0.2">
      <c r="A421" s="15" t="s">
        <v>109</v>
      </c>
      <c r="B421" s="15" t="s">
        <v>110</v>
      </c>
      <c r="D421" s="15" t="s">
        <v>383</v>
      </c>
      <c r="E421" s="15" t="s">
        <v>112</v>
      </c>
      <c r="F421" s="15" t="s">
        <v>383</v>
      </c>
      <c r="G421" s="15" t="s">
        <v>113</v>
      </c>
      <c r="H421" s="15" t="s">
        <v>1045</v>
      </c>
      <c r="J421" s="16" t="s">
        <v>114</v>
      </c>
      <c r="U421" s="15" t="s">
        <v>17977</v>
      </c>
      <c r="W421" s="15">
        <v>2944</v>
      </c>
      <c r="X421" s="15">
        <v>431</v>
      </c>
      <c r="Y421" s="15" t="s">
        <v>160</v>
      </c>
      <c r="Z421" s="15" t="s">
        <v>161</v>
      </c>
      <c r="AA421" s="15" t="s">
        <v>162</v>
      </c>
      <c r="AB421" s="15" t="s">
        <v>14478</v>
      </c>
      <c r="AC421" s="15" t="s">
        <v>14478</v>
      </c>
      <c r="AD421" s="15" t="s">
        <v>14478</v>
      </c>
      <c r="AE421" s="15" t="s">
        <v>164</v>
      </c>
      <c r="AF421" s="15" t="s">
        <v>14478</v>
      </c>
      <c r="AG421" s="15" t="s">
        <v>14478</v>
      </c>
      <c r="AH421" s="20" t="s">
        <v>14479</v>
      </c>
      <c r="AL421" s="15" t="s">
        <v>14473</v>
      </c>
      <c r="AN421" s="15">
        <v>743</v>
      </c>
      <c r="AO421" s="15" t="s">
        <v>14480</v>
      </c>
      <c r="AQ421" s="15" t="s">
        <v>168</v>
      </c>
      <c r="AT421" s="15" t="s">
        <v>14457</v>
      </c>
      <c r="AU421" s="15" t="s">
        <v>14458</v>
      </c>
      <c r="AV421" s="15" t="s">
        <v>14481</v>
      </c>
      <c r="AW421" s="15" t="s">
        <v>14459</v>
      </c>
      <c r="AX421" s="15" t="s">
        <v>14482</v>
      </c>
      <c r="AY421" s="21">
        <f t="shared" si="7"/>
        <v>59</v>
      </c>
      <c r="AZ421" s="15" t="s">
        <v>604</v>
      </c>
      <c r="BA421" s="15" t="s">
        <v>174</v>
      </c>
      <c r="BB421" s="15" t="s">
        <v>7613</v>
      </c>
      <c r="BC421" s="15" t="s">
        <v>682</v>
      </c>
      <c r="BI421" s="15" t="s">
        <v>746</v>
      </c>
      <c r="BJ421" s="15" t="s">
        <v>14413</v>
      </c>
      <c r="BM421" s="15" t="s">
        <v>672</v>
      </c>
      <c r="BN421" s="15" t="s">
        <v>179</v>
      </c>
      <c r="BP421" s="15" t="s">
        <v>138</v>
      </c>
      <c r="BS421" s="15" t="s">
        <v>14483</v>
      </c>
      <c r="BV421" s="15" t="s">
        <v>14425</v>
      </c>
      <c r="DH421" s="15" t="s">
        <v>17982</v>
      </c>
      <c r="DI421" s="15" t="s">
        <v>17982</v>
      </c>
    </row>
    <row r="422" spans="1:113" s="15" customFormat="1" ht="12.75" x14ac:dyDescent="0.2">
      <c r="A422" s="15" t="s">
        <v>109</v>
      </c>
      <c r="B422" s="15" t="s">
        <v>110</v>
      </c>
      <c r="D422" s="15" t="s">
        <v>383</v>
      </c>
      <c r="E422" s="15" t="s">
        <v>112</v>
      </c>
      <c r="F422" s="15" t="s">
        <v>383</v>
      </c>
      <c r="G422" s="15" t="s">
        <v>113</v>
      </c>
      <c r="H422" s="15" t="s">
        <v>1045</v>
      </c>
      <c r="J422" s="16" t="s">
        <v>114</v>
      </c>
      <c r="U422" s="15" t="s">
        <v>17977</v>
      </c>
      <c r="W422" s="15">
        <v>2941</v>
      </c>
      <c r="X422" s="15">
        <v>432</v>
      </c>
      <c r="Y422" s="15" t="s">
        <v>160</v>
      </c>
      <c r="Z422" s="15" t="s">
        <v>161</v>
      </c>
      <c r="AA422" s="15" t="s">
        <v>162</v>
      </c>
      <c r="AB422" s="15" t="s">
        <v>14453</v>
      </c>
      <c r="AC422" s="15" t="s">
        <v>14453</v>
      </c>
      <c r="AD422" s="15" t="s">
        <v>14453</v>
      </c>
      <c r="AE422" s="15" t="s">
        <v>164</v>
      </c>
      <c r="AF422" s="15" t="s">
        <v>14453</v>
      </c>
      <c r="AG422" s="15" t="s">
        <v>14453</v>
      </c>
      <c r="AH422" s="20" t="s">
        <v>14454</v>
      </c>
      <c r="AL422" s="15" t="s">
        <v>14455</v>
      </c>
      <c r="AN422" s="15">
        <v>743</v>
      </c>
      <c r="AO422" s="15" t="s">
        <v>14456</v>
      </c>
      <c r="AQ422" s="15" t="s">
        <v>168</v>
      </c>
      <c r="AT422" s="15" t="s">
        <v>14457</v>
      </c>
      <c r="AU422" s="15" t="s">
        <v>14458</v>
      </c>
      <c r="AV422" s="15" t="s">
        <v>14458</v>
      </c>
      <c r="AW422" s="15" t="s">
        <v>14459</v>
      </c>
      <c r="AX422" s="15" t="s">
        <v>14460</v>
      </c>
      <c r="AY422" s="21">
        <f t="shared" si="7"/>
        <v>58</v>
      </c>
      <c r="AZ422" s="15" t="s">
        <v>604</v>
      </c>
      <c r="BA422" s="15" t="s">
        <v>174</v>
      </c>
      <c r="BB422" s="15" t="s">
        <v>7613</v>
      </c>
      <c r="BC422" s="15" t="s">
        <v>682</v>
      </c>
      <c r="BI422" s="15" t="s">
        <v>746</v>
      </c>
      <c r="BJ422" s="15" t="s">
        <v>14413</v>
      </c>
      <c r="BM422" s="15" t="s">
        <v>672</v>
      </c>
      <c r="BN422" s="15" t="s">
        <v>179</v>
      </c>
      <c r="BP422" s="15" t="s">
        <v>138</v>
      </c>
      <c r="BS422" s="15" t="s">
        <v>14461</v>
      </c>
      <c r="DH422" s="15" t="s">
        <v>17982</v>
      </c>
      <c r="DI422" s="15" t="s">
        <v>17982</v>
      </c>
    </row>
    <row r="423" spans="1:113" s="15" customFormat="1" ht="12.75" x14ac:dyDescent="0.2">
      <c r="A423" s="15" t="s">
        <v>109</v>
      </c>
      <c r="B423" s="15" t="s">
        <v>110</v>
      </c>
      <c r="D423" s="15" t="s">
        <v>383</v>
      </c>
      <c r="E423" s="15" t="s">
        <v>112</v>
      </c>
      <c r="F423" s="15" t="s">
        <v>383</v>
      </c>
      <c r="G423" s="15" t="s">
        <v>113</v>
      </c>
      <c r="H423" s="15" t="s">
        <v>1045</v>
      </c>
      <c r="J423" s="16" t="s">
        <v>114</v>
      </c>
      <c r="U423" s="15" t="s">
        <v>17977</v>
      </c>
      <c r="W423" s="15">
        <v>2938</v>
      </c>
      <c r="X423" s="15">
        <v>433</v>
      </c>
      <c r="Y423" s="15" t="s">
        <v>160</v>
      </c>
      <c r="Z423" s="15" t="s">
        <v>161</v>
      </c>
      <c r="AA423" s="15" t="s">
        <v>162</v>
      </c>
      <c r="AB423" s="15" t="s">
        <v>14431</v>
      </c>
      <c r="AC423" s="15" t="s">
        <v>14431</v>
      </c>
      <c r="AD423" s="15" t="s">
        <v>14431</v>
      </c>
      <c r="AE423" s="15" t="s">
        <v>164</v>
      </c>
      <c r="AF423" s="15" t="s">
        <v>14431</v>
      </c>
      <c r="AG423" s="15" t="s">
        <v>14431</v>
      </c>
      <c r="AH423" s="20" t="s">
        <v>14432</v>
      </c>
      <c r="AL423" s="15" t="s">
        <v>14433</v>
      </c>
      <c r="AN423" s="15">
        <v>743</v>
      </c>
      <c r="AO423" s="15" t="s">
        <v>14434</v>
      </c>
      <c r="AQ423" s="15" t="s">
        <v>168</v>
      </c>
      <c r="AT423" s="15" t="s">
        <v>14435</v>
      </c>
      <c r="AU423" s="15" t="s">
        <v>14436</v>
      </c>
      <c r="AV423" s="15" t="s">
        <v>14437</v>
      </c>
      <c r="AW423" s="15" t="s">
        <v>14438</v>
      </c>
      <c r="AX423" s="15" t="s">
        <v>14439</v>
      </c>
      <c r="AY423" s="21">
        <f t="shared" si="7"/>
        <v>57</v>
      </c>
      <c r="AZ423" s="15" t="s">
        <v>604</v>
      </c>
      <c r="BA423" s="15" t="s">
        <v>174</v>
      </c>
      <c r="BB423" s="15" t="s">
        <v>7613</v>
      </c>
      <c r="BC423" s="15" t="s">
        <v>692</v>
      </c>
      <c r="BI423" s="15" t="s">
        <v>670</v>
      </c>
      <c r="BJ423" s="15" t="s">
        <v>14413</v>
      </c>
      <c r="BM423" s="15" t="s">
        <v>672</v>
      </c>
      <c r="BN423" s="15" t="s">
        <v>179</v>
      </c>
      <c r="BP423" s="15" t="s">
        <v>138</v>
      </c>
      <c r="BS423" s="15" t="s">
        <v>14440</v>
      </c>
      <c r="BV423" s="15" t="s">
        <v>14425</v>
      </c>
      <c r="DH423" s="15" t="s">
        <v>17982</v>
      </c>
      <c r="DI423" s="15" t="s">
        <v>17982</v>
      </c>
    </row>
    <row r="424" spans="1:113" s="15" customFormat="1" ht="12.75" x14ac:dyDescent="0.2">
      <c r="A424" s="15" t="s">
        <v>109</v>
      </c>
      <c r="B424" s="15" t="s">
        <v>110</v>
      </c>
      <c r="D424" s="15" t="s">
        <v>383</v>
      </c>
      <c r="E424" s="15" t="s">
        <v>112</v>
      </c>
      <c r="F424" s="15" t="s">
        <v>383</v>
      </c>
      <c r="G424" s="15" t="s">
        <v>113</v>
      </c>
      <c r="H424" s="15" t="s">
        <v>1045</v>
      </c>
      <c r="J424" s="16" t="s">
        <v>114</v>
      </c>
      <c r="U424" s="15" t="s">
        <v>17977</v>
      </c>
      <c r="W424" s="15">
        <v>2939</v>
      </c>
      <c r="X424" s="15">
        <v>434</v>
      </c>
      <c r="Y424" s="15" t="s">
        <v>160</v>
      </c>
      <c r="Z424" s="15" t="s">
        <v>161</v>
      </c>
      <c r="AA424" s="15" t="s">
        <v>162</v>
      </c>
      <c r="AB424" s="15" t="s">
        <v>14441</v>
      </c>
      <c r="AC424" s="15" t="s">
        <v>14441</v>
      </c>
      <c r="AD424" s="15" t="s">
        <v>14441</v>
      </c>
      <c r="AE424" s="15" t="s">
        <v>164</v>
      </c>
      <c r="AF424" s="15" t="s">
        <v>14441</v>
      </c>
      <c r="AG424" s="15" t="s">
        <v>14441</v>
      </c>
      <c r="AH424" s="20" t="s">
        <v>14442</v>
      </c>
      <c r="AL424" s="15" t="s">
        <v>14433</v>
      </c>
      <c r="AN424" s="15">
        <v>743</v>
      </c>
      <c r="AO424" s="15" t="s">
        <v>14443</v>
      </c>
      <c r="AQ424" s="15" t="s">
        <v>168</v>
      </c>
      <c r="AT424" s="15" t="s">
        <v>14435</v>
      </c>
      <c r="AU424" s="15" t="s">
        <v>14436</v>
      </c>
      <c r="AV424" s="15" t="s">
        <v>14436</v>
      </c>
      <c r="AW424" s="15" t="s">
        <v>14438</v>
      </c>
      <c r="AX424" s="15" t="s">
        <v>14438</v>
      </c>
      <c r="AY424" s="21">
        <f t="shared" si="7"/>
        <v>60</v>
      </c>
      <c r="AZ424" s="15" t="s">
        <v>604</v>
      </c>
      <c r="BA424" s="15" t="s">
        <v>174</v>
      </c>
      <c r="BB424" s="15" t="s">
        <v>7613</v>
      </c>
      <c r="BC424" s="15" t="s">
        <v>692</v>
      </c>
      <c r="BI424" s="15" t="s">
        <v>670</v>
      </c>
      <c r="BJ424" s="15" t="s">
        <v>14413</v>
      </c>
      <c r="BM424" s="15" t="s">
        <v>672</v>
      </c>
      <c r="BN424" s="15" t="s">
        <v>179</v>
      </c>
      <c r="BP424" s="15" t="s">
        <v>138</v>
      </c>
      <c r="BS424" s="15" t="s">
        <v>14444</v>
      </c>
      <c r="DH424" s="15" t="s">
        <v>17982</v>
      </c>
      <c r="DI424" s="15" t="s">
        <v>17982</v>
      </c>
    </row>
    <row r="425" spans="1:113" s="15" customFormat="1" ht="12.75" x14ac:dyDescent="0.2">
      <c r="A425" s="15" t="s">
        <v>109</v>
      </c>
      <c r="B425" s="15" t="s">
        <v>110</v>
      </c>
      <c r="D425" s="15" t="s">
        <v>383</v>
      </c>
      <c r="E425" s="15" t="s">
        <v>112</v>
      </c>
      <c r="F425" s="15" t="s">
        <v>383</v>
      </c>
      <c r="G425" s="15" t="s">
        <v>113</v>
      </c>
      <c r="H425" s="15" t="s">
        <v>1045</v>
      </c>
      <c r="J425" s="16" t="s">
        <v>114</v>
      </c>
      <c r="U425" s="15" t="s">
        <v>17977</v>
      </c>
      <c r="W425" s="15">
        <v>3384</v>
      </c>
      <c r="X425" s="15">
        <v>435</v>
      </c>
      <c r="Y425" s="15" t="s">
        <v>160</v>
      </c>
      <c r="Z425" s="15" t="s">
        <v>161</v>
      </c>
      <c r="AA425" s="15" t="s">
        <v>162</v>
      </c>
      <c r="AB425" s="15" t="s">
        <v>16410</v>
      </c>
      <c r="AC425" s="15" t="s">
        <v>16410</v>
      </c>
      <c r="AD425" s="15" t="s">
        <v>16410</v>
      </c>
      <c r="AE425" s="15" t="s">
        <v>164</v>
      </c>
      <c r="AF425" s="15" t="s">
        <v>16410</v>
      </c>
      <c r="AG425" s="15" t="s">
        <v>16410</v>
      </c>
      <c r="AH425" s="20" t="s">
        <v>16411</v>
      </c>
      <c r="AL425" s="15" t="s">
        <v>16412</v>
      </c>
      <c r="AN425" s="15">
        <v>743</v>
      </c>
      <c r="AO425" s="15" t="s">
        <v>16413</v>
      </c>
      <c r="AQ425" s="15" t="s">
        <v>912</v>
      </c>
      <c r="AT425" s="15" t="s">
        <v>16414</v>
      </c>
      <c r="AU425" s="15" t="s">
        <v>16415</v>
      </c>
      <c r="AV425" s="15" t="s">
        <v>16415</v>
      </c>
      <c r="AW425" s="15" t="s">
        <v>16416</v>
      </c>
      <c r="AX425" s="15" t="s">
        <v>16417</v>
      </c>
      <c r="AY425" s="21">
        <f t="shared" si="7"/>
        <v>59</v>
      </c>
      <c r="AZ425" s="15" t="s">
        <v>917</v>
      </c>
      <c r="BA425" s="15" t="s">
        <v>174</v>
      </c>
      <c r="BB425" s="15" t="s">
        <v>16418</v>
      </c>
      <c r="BE425" s="15" t="s">
        <v>1082</v>
      </c>
      <c r="BF425" s="15" t="s">
        <v>16419</v>
      </c>
      <c r="BI425" s="15" t="s">
        <v>1083</v>
      </c>
      <c r="BJ425" s="15" t="s">
        <v>16420</v>
      </c>
      <c r="BN425" s="15" t="s">
        <v>179</v>
      </c>
      <c r="BP425" s="15" t="s">
        <v>138</v>
      </c>
      <c r="BS425" s="15" t="s">
        <v>16421</v>
      </c>
      <c r="DH425" s="15" t="s">
        <v>17982</v>
      </c>
      <c r="DI425" s="15" t="s">
        <v>17982</v>
      </c>
    </row>
    <row r="426" spans="1:113" s="15" customFormat="1" ht="12.75" x14ac:dyDescent="0.2">
      <c r="A426" s="15" t="s">
        <v>109</v>
      </c>
      <c r="B426" s="15" t="s">
        <v>110</v>
      </c>
      <c r="D426" s="15" t="s">
        <v>383</v>
      </c>
      <c r="E426" s="15" t="s">
        <v>112</v>
      </c>
      <c r="F426" s="15" t="s">
        <v>383</v>
      </c>
      <c r="G426" s="15" t="s">
        <v>113</v>
      </c>
      <c r="H426" s="15" t="s">
        <v>1045</v>
      </c>
      <c r="J426" s="16" t="s">
        <v>114</v>
      </c>
      <c r="U426" s="15" t="s">
        <v>17977</v>
      </c>
      <c r="W426" s="15">
        <v>2945</v>
      </c>
      <c r="X426" s="15">
        <v>436</v>
      </c>
      <c r="Y426" s="15" t="s">
        <v>160</v>
      </c>
      <c r="Z426" s="15" t="s">
        <v>161</v>
      </c>
      <c r="AA426" s="15" t="s">
        <v>162</v>
      </c>
      <c r="AB426" s="15" t="s">
        <v>14484</v>
      </c>
      <c r="AC426" s="15" t="s">
        <v>14484</v>
      </c>
      <c r="AD426" s="15" t="s">
        <v>14484</v>
      </c>
      <c r="AE426" s="15" t="s">
        <v>164</v>
      </c>
      <c r="AF426" s="15" t="s">
        <v>14484</v>
      </c>
      <c r="AG426" s="15" t="s">
        <v>14484</v>
      </c>
      <c r="AH426" s="20" t="s">
        <v>14485</v>
      </c>
      <c r="AL426" s="15" t="s">
        <v>14473</v>
      </c>
      <c r="AN426" s="15">
        <v>743</v>
      </c>
      <c r="AO426" s="15" t="s">
        <v>14486</v>
      </c>
      <c r="AQ426" s="15" t="s">
        <v>168</v>
      </c>
      <c r="AT426" s="15" t="s">
        <v>14466</v>
      </c>
      <c r="AU426" s="15" t="s">
        <v>14467</v>
      </c>
      <c r="AV426" s="15" t="s">
        <v>14487</v>
      </c>
      <c r="AW426" s="15" t="s">
        <v>14468</v>
      </c>
      <c r="AX426" s="15" t="s">
        <v>14488</v>
      </c>
      <c r="AY426" s="21">
        <f t="shared" si="7"/>
        <v>58</v>
      </c>
      <c r="AZ426" s="15" t="s">
        <v>604</v>
      </c>
      <c r="BA426" s="15" t="s">
        <v>174</v>
      </c>
      <c r="BB426" s="15" t="s">
        <v>7613</v>
      </c>
      <c r="BC426" s="15" t="s">
        <v>692</v>
      </c>
      <c r="BI426" s="15" t="s">
        <v>746</v>
      </c>
      <c r="BJ426" s="15" t="s">
        <v>14489</v>
      </c>
      <c r="BM426" s="15" t="s">
        <v>672</v>
      </c>
      <c r="BN426" s="15" t="s">
        <v>179</v>
      </c>
      <c r="BP426" s="15" t="s">
        <v>138</v>
      </c>
      <c r="BS426" s="15" t="s">
        <v>14490</v>
      </c>
      <c r="BV426" s="15" t="s">
        <v>14425</v>
      </c>
      <c r="DH426" s="15" t="s">
        <v>17982</v>
      </c>
      <c r="DI426" s="15" t="s">
        <v>17982</v>
      </c>
    </row>
    <row r="427" spans="1:113" s="15" customFormat="1" ht="12.75" x14ac:dyDescent="0.2">
      <c r="A427" s="15" t="s">
        <v>109</v>
      </c>
      <c r="B427" s="15" t="s">
        <v>110</v>
      </c>
      <c r="D427" s="15" t="s">
        <v>383</v>
      </c>
      <c r="E427" s="15" t="s">
        <v>112</v>
      </c>
      <c r="F427" s="15" t="s">
        <v>383</v>
      </c>
      <c r="G427" s="15" t="s">
        <v>113</v>
      </c>
      <c r="H427" s="15" t="s">
        <v>1045</v>
      </c>
      <c r="J427" s="16" t="s">
        <v>114</v>
      </c>
      <c r="U427" s="15" t="s">
        <v>17977</v>
      </c>
      <c r="W427" s="15">
        <v>2942</v>
      </c>
      <c r="X427" s="15">
        <v>437</v>
      </c>
      <c r="Y427" s="15" t="s">
        <v>160</v>
      </c>
      <c r="Z427" s="15" t="s">
        <v>161</v>
      </c>
      <c r="AA427" s="15" t="s">
        <v>162</v>
      </c>
      <c r="AB427" s="15" t="s">
        <v>14462</v>
      </c>
      <c r="AC427" s="15" t="s">
        <v>14462</v>
      </c>
      <c r="AD427" s="15" t="s">
        <v>14462</v>
      </c>
      <c r="AE427" s="15" t="s">
        <v>164</v>
      </c>
      <c r="AF427" s="15" t="s">
        <v>14462</v>
      </c>
      <c r="AG427" s="15" t="s">
        <v>14462</v>
      </c>
      <c r="AH427" s="20" t="s">
        <v>14463</v>
      </c>
      <c r="AL427" s="15" t="s">
        <v>14464</v>
      </c>
      <c r="AN427" s="15">
        <v>743</v>
      </c>
      <c r="AO427" s="15" t="s">
        <v>14465</v>
      </c>
      <c r="AQ427" s="15" t="s">
        <v>168</v>
      </c>
      <c r="AT427" s="15" t="s">
        <v>14466</v>
      </c>
      <c r="AU427" s="15" t="s">
        <v>14467</v>
      </c>
      <c r="AV427" s="15" t="s">
        <v>14467</v>
      </c>
      <c r="AW427" s="15" t="s">
        <v>14468</v>
      </c>
      <c r="AX427" s="15" t="s">
        <v>14469</v>
      </c>
      <c r="AY427" s="21">
        <f t="shared" si="7"/>
        <v>57</v>
      </c>
      <c r="AZ427" s="15" t="s">
        <v>604</v>
      </c>
      <c r="BA427" s="15" t="s">
        <v>174</v>
      </c>
      <c r="BB427" s="15" t="s">
        <v>7613</v>
      </c>
      <c r="BC427" s="15" t="s">
        <v>692</v>
      </c>
      <c r="BI427" s="15" t="s">
        <v>746</v>
      </c>
      <c r="BJ427" s="15" t="s">
        <v>14413</v>
      </c>
      <c r="BM427" s="15" t="s">
        <v>672</v>
      </c>
      <c r="BN427" s="15" t="s">
        <v>179</v>
      </c>
      <c r="BP427" s="15" t="s">
        <v>138</v>
      </c>
      <c r="BS427" s="15" t="s">
        <v>14470</v>
      </c>
      <c r="DH427" s="15" t="s">
        <v>17982</v>
      </c>
      <c r="DI427" s="15" t="s">
        <v>17982</v>
      </c>
    </row>
    <row r="428" spans="1:113" s="15" customFormat="1" ht="12.75" x14ac:dyDescent="0.2">
      <c r="A428" s="15" t="s">
        <v>109</v>
      </c>
      <c r="B428" s="15" t="s">
        <v>110</v>
      </c>
      <c r="D428" s="15" t="s">
        <v>383</v>
      </c>
      <c r="E428" s="15" t="s">
        <v>112</v>
      </c>
      <c r="F428" s="15" t="s">
        <v>383</v>
      </c>
      <c r="G428" s="15" t="s">
        <v>113</v>
      </c>
      <c r="H428" s="15" t="s">
        <v>1045</v>
      </c>
      <c r="J428" s="16" t="s">
        <v>114</v>
      </c>
      <c r="U428" s="15" t="s">
        <v>17977</v>
      </c>
      <c r="W428" s="15">
        <v>1132</v>
      </c>
      <c r="X428" s="15">
        <v>438</v>
      </c>
      <c r="Y428" s="15" t="s">
        <v>160</v>
      </c>
      <c r="Z428" s="15" t="s">
        <v>161</v>
      </c>
      <c r="AA428" s="15" t="s">
        <v>162</v>
      </c>
      <c r="AB428" s="15" t="s">
        <v>5994</v>
      </c>
      <c r="AC428" s="15" t="s">
        <v>5994</v>
      </c>
      <c r="AD428" s="15" t="s">
        <v>5994</v>
      </c>
      <c r="AE428" s="15" t="s">
        <v>164</v>
      </c>
      <c r="AF428" s="15" t="s">
        <v>5994</v>
      </c>
      <c r="AG428" s="15" t="s">
        <v>5994</v>
      </c>
      <c r="AH428" s="20" t="s">
        <v>5995</v>
      </c>
      <c r="AL428" s="15" t="s">
        <v>5996</v>
      </c>
      <c r="AN428" s="15">
        <v>743</v>
      </c>
      <c r="AO428" s="15" t="s">
        <v>5997</v>
      </c>
      <c r="AQ428" s="15" t="s">
        <v>168</v>
      </c>
      <c r="AT428" s="15" t="s">
        <v>5998</v>
      </c>
      <c r="AU428" s="15" t="s">
        <v>5999</v>
      </c>
      <c r="AV428" s="15" t="s">
        <v>5999</v>
      </c>
      <c r="AW428" s="15" t="s">
        <v>6000</v>
      </c>
      <c r="AX428" s="15" t="s">
        <v>6001</v>
      </c>
      <c r="AY428" s="21">
        <f t="shared" si="7"/>
        <v>58</v>
      </c>
      <c r="AZ428" s="15" t="s">
        <v>604</v>
      </c>
      <c r="BA428" s="15" t="s">
        <v>174</v>
      </c>
      <c r="BB428" s="15" t="s">
        <v>6002</v>
      </c>
      <c r="BC428" s="15" t="s">
        <v>669</v>
      </c>
      <c r="BI428" s="15" t="s">
        <v>670</v>
      </c>
      <c r="BJ428" s="15" t="s">
        <v>6003</v>
      </c>
      <c r="BN428" s="15" t="s">
        <v>179</v>
      </c>
      <c r="BP428" s="15" t="s">
        <v>138</v>
      </c>
      <c r="BS428" s="15" t="s">
        <v>6004</v>
      </c>
      <c r="DH428" s="15" t="s">
        <v>17982</v>
      </c>
      <c r="DI428" s="15" t="s">
        <v>17982</v>
      </c>
    </row>
    <row r="429" spans="1:113" s="15" customFormat="1" ht="12.75" x14ac:dyDescent="0.2">
      <c r="A429" s="15" t="s">
        <v>109</v>
      </c>
      <c r="B429" s="15" t="s">
        <v>110</v>
      </c>
      <c r="D429" s="15" t="s">
        <v>383</v>
      </c>
      <c r="E429" s="15" t="s">
        <v>112</v>
      </c>
      <c r="F429" s="15" t="s">
        <v>383</v>
      </c>
      <c r="G429" s="15" t="s">
        <v>113</v>
      </c>
      <c r="H429" s="15" t="s">
        <v>1045</v>
      </c>
      <c r="J429" s="16" t="s">
        <v>114</v>
      </c>
      <c r="U429" s="15" t="s">
        <v>17977</v>
      </c>
      <c r="W429" s="15">
        <v>1582</v>
      </c>
      <c r="X429" s="15">
        <v>439</v>
      </c>
      <c r="Y429" s="15" t="s">
        <v>160</v>
      </c>
      <c r="Z429" s="15" t="s">
        <v>161</v>
      </c>
      <c r="AA429" s="15" t="s">
        <v>162</v>
      </c>
      <c r="AB429" s="15" t="s">
        <v>8319</v>
      </c>
      <c r="AC429" s="15" t="s">
        <v>8319</v>
      </c>
      <c r="AD429" s="15" t="s">
        <v>8319</v>
      </c>
      <c r="AE429" s="15" t="s">
        <v>164</v>
      </c>
      <c r="AF429" s="15" t="s">
        <v>8319</v>
      </c>
      <c r="AG429" s="15" t="s">
        <v>8319</v>
      </c>
      <c r="AH429" s="20" t="s">
        <v>8320</v>
      </c>
      <c r="AL429" s="15" t="s">
        <v>8321</v>
      </c>
      <c r="AN429" s="15">
        <v>743</v>
      </c>
      <c r="AO429" s="15" t="s">
        <v>8322</v>
      </c>
      <c r="AQ429" s="15" t="s">
        <v>912</v>
      </c>
      <c r="AT429" s="15" t="s">
        <v>8323</v>
      </c>
      <c r="AU429" s="15" t="s">
        <v>8324</v>
      </c>
      <c r="AV429" s="15" t="s">
        <v>8324</v>
      </c>
      <c r="AW429" s="15" t="s">
        <v>8325</v>
      </c>
      <c r="AX429" s="15" t="s">
        <v>8326</v>
      </c>
      <c r="AY429" s="21">
        <f t="shared" si="7"/>
        <v>59</v>
      </c>
      <c r="AZ429" s="15" t="s">
        <v>917</v>
      </c>
      <c r="BA429" s="15" t="s">
        <v>174</v>
      </c>
      <c r="BB429" s="15" t="s">
        <v>8327</v>
      </c>
      <c r="BE429" s="15" t="s">
        <v>1081</v>
      </c>
      <c r="BJ429" s="15" t="s">
        <v>8328</v>
      </c>
      <c r="BN429" s="15" t="s">
        <v>179</v>
      </c>
      <c r="BP429" s="15" t="s">
        <v>138</v>
      </c>
      <c r="BS429" s="15" t="s">
        <v>8329</v>
      </c>
      <c r="DH429" s="15" t="s">
        <v>17982</v>
      </c>
      <c r="DI429" s="15" t="s">
        <v>17982</v>
      </c>
    </row>
    <row r="430" spans="1:113" s="15" customFormat="1" ht="12.75" x14ac:dyDescent="0.2">
      <c r="A430" s="15" t="s">
        <v>109</v>
      </c>
      <c r="B430" s="15" t="s">
        <v>110</v>
      </c>
      <c r="D430" s="15" t="s">
        <v>383</v>
      </c>
      <c r="E430" s="15" t="s">
        <v>112</v>
      </c>
      <c r="F430" s="15" t="s">
        <v>383</v>
      </c>
      <c r="G430" s="15" t="s">
        <v>113</v>
      </c>
      <c r="H430" s="15" t="s">
        <v>383</v>
      </c>
      <c r="J430" s="16" t="s">
        <v>114</v>
      </c>
      <c r="U430" s="15" t="s">
        <v>17977</v>
      </c>
      <c r="W430" s="15">
        <v>2507</v>
      </c>
      <c r="X430" s="15">
        <v>440</v>
      </c>
      <c r="Y430" s="15" t="s">
        <v>160</v>
      </c>
      <c r="Z430" s="15" t="s">
        <v>161</v>
      </c>
      <c r="AA430" s="15" t="s">
        <v>162</v>
      </c>
      <c r="AB430" s="15" t="s">
        <v>12292</v>
      </c>
      <c r="AC430" s="15" t="s">
        <v>12292</v>
      </c>
      <c r="AD430" s="15" t="s">
        <v>12292</v>
      </c>
      <c r="AE430" s="15" t="s">
        <v>164</v>
      </c>
      <c r="AF430" s="15" t="s">
        <v>12292</v>
      </c>
      <c r="AG430" s="15" t="s">
        <v>12292</v>
      </c>
      <c r="AH430" s="20" t="s">
        <v>12293</v>
      </c>
      <c r="AL430" s="15" t="s">
        <v>12294</v>
      </c>
      <c r="AN430" s="15">
        <v>743</v>
      </c>
      <c r="AO430" s="15" t="s">
        <v>12295</v>
      </c>
      <c r="AQ430" s="15" t="s">
        <v>843</v>
      </c>
      <c r="AT430" s="15" t="s">
        <v>12296</v>
      </c>
      <c r="AU430" s="15" t="s">
        <v>12297</v>
      </c>
      <c r="AV430" s="15" t="s">
        <v>12297</v>
      </c>
      <c r="AW430" s="15" t="s">
        <v>12298</v>
      </c>
      <c r="AX430" s="15" t="s">
        <v>12299</v>
      </c>
      <c r="AY430" s="21">
        <f t="shared" si="7"/>
        <v>60</v>
      </c>
      <c r="AZ430" s="15" t="s">
        <v>848</v>
      </c>
      <c r="BA430" s="15" t="s">
        <v>174</v>
      </c>
      <c r="BB430" s="15" t="s">
        <v>12288</v>
      </c>
      <c r="BE430" s="15" t="s">
        <v>12300</v>
      </c>
      <c r="BF430" s="15" t="s">
        <v>12301</v>
      </c>
      <c r="BI430" s="15" t="s">
        <v>1768</v>
      </c>
      <c r="BJ430" s="15" t="s">
        <v>3850</v>
      </c>
      <c r="BN430" s="15" t="s">
        <v>179</v>
      </c>
      <c r="BP430" s="15" t="s">
        <v>138</v>
      </c>
      <c r="BS430" s="15" t="s">
        <v>12302</v>
      </c>
      <c r="DH430" s="15" t="s">
        <v>17982</v>
      </c>
      <c r="DI430" s="15" t="s">
        <v>17982</v>
      </c>
    </row>
    <row r="431" spans="1:113" s="15" customFormat="1" ht="12.75" x14ac:dyDescent="0.2">
      <c r="A431" s="15" t="s">
        <v>109</v>
      </c>
      <c r="B431" s="15" t="s">
        <v>110</v>
      </c>
      <c r="D431" s="15" t="s">
        <v>383</v>
      </c>
      <c r="E431" s="15" t="s">
        <v>112</v>
      </c>
      <c r="F431" s="15" t="s">
        <v>383</v>
      </c>
      <c r="G431" s="15" t="s">
        <v>113</v>
      </c>
      <c r="H431" s="15" t="s">
        <v>383</v>
      </c>
      <c r="J431" s="16" t="s">
        <v>114</v>
      </c>
      <c r="U431" s="15" t="s">
        <v>17977</v>
      </c>
      <c r="W431" s="15">
        <v>90</v>
      </c>
      <c r="X431" s="15">
        <v>441</v>
      </c>
      <c r="Y431" s="15" t="s">
        <v>160</v>
      </c>
      <c r="Z431" s="15" t="s">
        <v>161</v>
      </c>
      <c r="AA431" s="15" t="s">
        <v>162</v>
      </c>
      <c r="AB431" s="15" t="s">
        <v>660</v>
      </c>
      <c r="AC431" s="15" t="s">
        <v>660</v>
      </c>
      <c r="AD431" s="15" t="s">
        <v>660</v>
      </c>
      <c r="AE431" s="15" t="s">
        <v>164</v>
      </c>
      <c r="AF431" s="15" t="s">
        <v>660</v>
      </c>
      <c r="AG431" s="15" t="s">
        <v>660</v>
      </c>
      <c r="AH431" s="20" t="s">
        <v>661</v>
      </c>
      <c r="AL431" s="15" t="s">
        <v>662</v>
      </c>
      <c r="AN431" s="15">
        <v>743</v>
      </c>
      <c r="AO431" s="15" t="s">
        <v>663</v>
      </c>
      <c r="AQ431" s="15" t="s">
        <v>168</v>
      </c>
      <c r="AT431" s="15" t="s">
        <v>664</v>
      </c>
      <c r="AU431" s="15" t="s">
        <v>665</v>
      </c>
      <c r="AV431" s="15" t="s">
        <v>665</v>
      </c>
      <c r="AW431" s="15" t="s">
        <v>666</v>
      </c>
      <c r="AX431" s="15" t="s">
        <v>667</v>
      </c>
      <c r="AY431" s="21">
        <f t="shared" si="7"/>
        <v>59</v>
      </c>
      <c r="AZ431" s="15" t="s">
        <v>604</v>
      </c>
      <c r="BA431" s="15" t="s">
        <v>174</v>
      </c>
      <c r="BB431" s="15" t="s">
        <v>668</v>
      </c>
      <c r="BC431" s="15" t="s">
        <v>669</v>
      </c>
      <c r="BI431" s="15" t="s">
        <v>670</v>
      </c>
      <c r="BJ431" s="15" t="s">
        <v>671</v>
      </c>
      <c r="BK431" s="15" t="s">
        <v>487</v>
      </c>
      <c r="BM431" s="15" t="s">
        <v>672</v>
      </c>
      <c r="BN431" s="15" t="s">
        <v>179</v>
      </c>
      <c r="BP431" s="15" t="s">
        <v>138</v>
      </c>
      <c r="BS431" s="15" t="s">
        <v>673</v>
      </c>
      <c r="DH431" s="15" t="s">
        <v>17982</v>
      </c>
      <c r="DI431" s="15" t="s">
        <v>17982</v>
      </c>
    </row>
    <row r="432" spans="1:113" s="15" customFormat="1" ht="12.75" x14ac:dyDescent="0.2">
      <c r="A432" s="15" t="s">
        <v>109</v>
      </c>
      <c r="B432" s="15" t="s">
        <v>110</v>
      </c>
      <c r="D432" s="15" t="s">
        <v>383</v>
      </c>
      <c r="E432" s="15" t="s">
        <v>112</v>
      </c>
      <c r="F432" s="15" t="s">
        <v>383</v>
      </c>
      <c r="G432" s="15" t="s">
        <v>113</v>
      </c>
      <c r="H432" s="15" t="s">
        <v>383</v>
      </c>
      <c r="J432" s="16" t="s">
        <v>114</v>
      </c>
      <c r="U432" s="15" t="s">
        <v>17977</v>
      </c>
      <c r="W432" s="15">
        <v>99</v>
      </c>
      <c r="X432" s="15">
        <v>442</v>
      </c>
      <c r="Y432" s="15" t="s">
        <v>160</v>
      </c>
      <c r="Z432" s="15" t="s">
        <v>161</v>
      </c>
      <c r="AA432" s="15" t="s">
        <v>162</v>
      </c>
      <c r="AB432" s="15" t="s">
        <v>748</v>
      </c>
      <c r="AC432" s="15" t="s">
        <v>748</v>
      </c>
      <c r="AD432" s="15" t="s">
        <v>748</v>
      </c>
      <c r="AE432" s="15" t="s">
        <v>164</v>
      </c>
      <c r="AF432" s="15" t="s">
        <v>748</v>
      </c>
      <c r="AG432" s="15" t="s">
        <v>748</v>
      </c>
      <c r="AH432" s="20" t="s">
        <v>749</v>
      </c>
      <c r="AL432" s="15" t="s">
        <v>750</v>
      </c>
      <c r="AN432" s="15">
        <v>743</v>
      </c>
      <c r="AO432" s="15" t="s">
        <v>751</v>
      </c>
      <c r="AQ432" s="15" t="s">
        <v>168</v>
      </c>
      <c r="AT432" s="15" t="s">
        <v>752</v>
      </c>
      <c r="AU432" s="15" t="s">
        <v>753</v>
      </c>
      <c r="AV432" s="15" t="s">
        <v>753</v>
      </c>
      <c r="AW432" s="15" t="s">
        <v>754</v>
      </c>
      <c r="AX432" s="15" t="s">
        <v>755</v>
      </c>
      <c r="AY432" s="21">
        <f t="shared" si="7"/>
        <v>56</v>
      </c>
      <c r="AZ432" s="15" t="s">
        <v>604</v>
      </c>
      <c r="BA432" s="15" t="s">
        <v>174</v>
      </c>
      <c r="BB432" s="15" t="s">
        <v>668</v>
      </c>
      <c r="BC432" s="15" t="s">
        <v>669</v>
      </c>
      <c r="BI432" s="15" t="s">
        <v>746</v>
      </c>
      <c r="BJ432" s="15" t="s">
        <v>702</v>
      </c>
      <c r="BK432" s="15" t="s">
        <v>487</v>
      </c>
      <c r="BM432" s="15" t="s">
        <v>672</v>
      </c>
      <c r="BN432" s="15" t="s">
        <v>179</v>
      </c>
      <c r="BP432" s="15" t="s">
        <v>138</v>
      </c>
      <c r="BS432" s="15" t="s">
        <v>756</v>
      </c>
      <c r="DH432" s="15" t="s">
        <v>17982</v>
      </c>
      <c r="DI432" s="15" t="s">
        <v>17982</v>
      </c>
    </row>
    <row r="433" spans="1:113" s="15" customFormat="1" ht="12.75" x14ac:dyDescent="0.2">
      <c r="A433" s="15" t="s">
        <v>109</v>
      </c>
      <c r="B433" s="15" t="s">
        <v>110</v>
      </c>
      <c r="D433" s="15" t="s">
        <v>383</v>
      </c>
      <c r="E433" s="15" t="s">
        <v>112</v>
      </c>
      <c r="F433" s="15" t="s">
        <v>383</v>
      </c>
      <c r="G433" s="15" t="s">
        <v>113</v>
      </c>
      <c r="H433" s="15" t="s">
        <v>383</v>
      </c>
      <c r="J433" s="16" t="s">
        <v>114</v>
      </c>
      <c r="U433" s="15" t="s">
        <v>17977</v>
      </c>
      <c r="W433" s="15">
        <v>93</v>
      </c>
      <c r="X433" s="15">
        <v>443</v>
      </c>
      <c r="Y433" s="15" t="s">
        <v>160</v>
      </c>
      <c r="Z433" s="15" t="s">
        <v>161</v>
      </c>
      <c r="AA433" s="15" t="s">
        <v>162</v>
      </c>
      <c r="AB433" s="15" t="s">
        <v>694</v>
      </c>
      <c r="AC433" s="15" t="s">
        <v>694</v>
      </c>
      <c r="AD433" s="15" t="s">
        <v>694</v>
      </c>
      <c r="AE433" s="15" t="s">
        <v>164</v>
      </c>
      <c r="AF433" s="15" t="s">
        <v>694</v>
      </c>
      <c r="AG433" s="15" t="s">
        <v>694</v>
      </c>
      <c r="AH433" s="20" t="s">
        <v>695</v>
      </c>
      <c r="AL433" s="15" t="s">
        <v>696</v>
      </c>
      <c r="AN433" s="15">
        <v>743</v>
      </c>
      <c r="AO433" s="15" t="s">
        <v>697</v>
      </c>
      <c r="AQ433" s="15" t="s">
        <v>168</v>
      </c>
      <c r="AT433" s="15" t="s">
        <v>698</v>
      </c>
      <c r="AU433" s="15" t="s">
        <v>699</v>
      </c>
      <c r="AV433" s="15" t="s">
        <v>699</v>
      </c>
      <c r="AW433" s="15" t="s">
        <v>700</v>
      </c>
      <c r="AX433" s="15" t="s">
        <v>701</v>
      </c>
      <c r="AY433" s="21">
        <f t="shared" si="7"/>
        <v>57</v>
      </c>
      <c r="AZ433" s="15" t="s">
        <v>604</v>
      </c>
      <c r="BA433" s="15" t="s">
        <v>174</v>
      </c>
      <c r="BB433" s="15" t="s">
        <v>668</v>
      </c>
      <c r="BC433" s="15" t="s">
        <v>682</v>
      </c>
      <c r="BI433" s="15" t="s">
        <v>670</v>
      </c>
      <c r="BJ433" s="15" t="s">
        <v>702</v>
      </c>
      <c r="BK433" s="15" t="s">
        <v>487</v>
      </c>
      <c r="BM433" s="15" t="s">
        <v>672</v>
      </c>
      <c r="BN433" s="15" t="s">
        <v>179</v>
      </c>
      <c r="BP433" s="15" t="s">
        <v>138</v>
      </c>
      <c r="BS433" s="15" t="s">
        <v>703</v>
      </c>
      <c r="DH433" s="15" t="s">
        <v>17982</v>
      </c>
      <c r="DI433" s="15" t="s">
        <v>17982</v>
      </c>
    </row>
    <row r="434" spans="1:113" s="15" customFormat="1" ht="12.75" x14ac:dyDescent="0.2">
      <c r="A434" s="15" t="s">
        <v>109</v>
      </c>
      <c r="B434" s="15" t="s">
        <v>110</v>
      </c>
      <c r="D434" s="15" t="s">
        <v>383</v>
      </c>
      <c r="E434" s="15" t="s">
        <v>112</v>
      </c>
      <c r="F434" s="15" t="s">
        <v>383</v>
      </c>
      <c r="G434" s="15" t="s">
        <v>113</v>
      </c>
      <c r="H434" s="15" t="s">
        <v>383</v>
      </c>
      <c r="J434" s="16" t="s">
        <v>114</v>
      </c>
      <c r="U434" s="15" t="s">
        <v>17977</v>
      </c>
      <c r="W434" s="15">
        <v>91</v>
      </c>
      <c r="X434" s="15">
        <v>444</v>
      </c>
      <c r="Y434" s="15" t="s">
        <v>160</v>
      </c>
      <c r="Z434" s="15" t="s">
        <v>161</v>
      </c>
      <c r="AA434" s="15" t="s">
        <v>162</v>
      </c>
      <c r="AB434" s="15" t="s">
        <v>674</v>
      </c>
      <c r="AC434" s="15" t="s">
        <v>674</v>
      </c>
      <c r="AD434" s="15" t="s">
        <v>674</v>
      </c>
      <c r="AE434" s="15" t="s">
        <v>164</v>
      </c>
      <c r="AF434" s="15" t="s">
        <v>674</v>
      </c>
      <c r="AG434" s="15" t="s">
        <v>674</v>
      </c>
      <c r="AH434" s="20" t="s">
        <v>675</v>
      </c>
      <c r="AL434" s="15" t="s">
        <v>676</v>
      </c>
      <c r="AN434" s="15">
        <v>743</v>
      </c>
      <c r="AO434" s="15" t="s">
        <v>677</v>
      </c>
      <c r="AQ434" s="15" t="s">
        <v>168</v>
      </c>
      <c r="AT434" s="15" t="s">
        <v>678</v>
      </c>
      <c r="AU434" s="15" t="s">
        <v>679</v>
      </c>
      <c r="AV434" s="15" t="s">
        <v>679</v>
      </c>
      <c r="AW434" s="15" t="s">
        <v>680</v>
      </c>
      <c r="AX434" s="15" t="s">
        <v>681</v>
      </c>
      <c r="AY434" s="21">
        <f t="shared" si="7"/>
        <v>58</v>
      </c>
      <c r="AZ434" s="15" t="s">
        <v>604</v>
      </c>
      <c r="BA434" s="15" t="s">
        <v>174</v>
      </c>
      <c r="BB434" s="15" t="s">
        <v>668</v>
      </c>
      <c r="BC434" s="15" t="s">
        <v>682</v>
      </c>
      <c r="BI434" s="15" t="s">
        <v>670</v>
      </c>
      <c r="BJ434" s="15" t="s">
        <v>671</v>
      </c>
      <c r="BK434" s="15" t="s">
        <v>487</v>
      </c>
      <c r="BM434" s="15" t="s">
        <v>672</v>
      </c>
      <c r="BN434" s="15" t="s">
        <v>179</v>
      </c>
      <c r="BP434" s="15" t="s">
        <v>138</v>
      </c>
      <c r="BS434" s="15" t="s">
        <v>683</v>
      </c>
      <c r="DH434" s="15" t="s">
        <v>17982</v>
      </c>
      <c r="DI434" s="15" t="s">
        <v>17982</v>
      </c>
    </row>
    <row r="435" spans="1:113" s="15" customFormat="1" ht="12.75" x14ac:dyDescent="0.2">
      <c r="A435" s="15" t="s">
        <v>109</v>
      </c>
      <c r="B435" s="15" t="s">
        <v>110</v>
      </c>
      <c r="D435" s="15" t="s">
        <v>383</v>
      </c>
      <c r="E435" s="15" t="s">
        <v>112</v>
      </c>
      <c r="F435" s="15" t="s">
        <v>383</v>
      </c>
      <c r="G435" s="15" t="s">
        <v>113</v>
      </c>
      <c r="H435" s="15" t="s">
        <v>383</v>
      </c>
      <c r="J435" s="16" t="s">
        <v>114</v>
      </c>
      <c r="U435" s="15" t="s">
        <v>17977</v>
      </c>
      <c r="W435" s="15">
        <v>100</v>
      </c>
      <c r="X435" s="15">
        <v>445</v>
      </c>
      <c r="Y435" s="15" t="s">
        <v>160</v>
      </c>
      <c r="Z435" s="15" t="s">
        <v>161</v>
      </c>
      <c r="AA435" s="15" t="s">
        <v>162</v>
      </c>
      <c r="AB435" s="15" t="s">
        <v>757</v>
      </c>
      <c r="AC435" s="15" t="s">
        <v>757</v>
      </c>
      <c r="AD435" s="15" t="s">
        <v>757</v>
      </c>
      <c r="AE435" s="15" t="s">
        <v>164</v>
      </c>
      <c r="AF435" s="15" t="s">
        <v>757</v>
      </c>
      <c r="AG435" s="15" t="s">
        <v>757</v>
      </c>
      <c r="AH435" s="20" t="s">
        <v>758</v>
      </c>
      <c r="AL435" s="15" t="s">
        <v>759</v>
      </c>
      <c r="AN435" s="15">
        <v>743</v>
      </c>
      <c r="AO435" s="15" t="s">
        <v>760</v>
      </c>
      <c r="AQ435" s="15" t="s">
        <v>168</v>
      </c>
      <c r="AT435" s="15" t="s">
        <v>761</v>
      </c>
      <c r="AU435" s="15" t="s">
        <v>762</v>
      </c>
      <c r="AV435" s="15" t="s">
        <v>762</v>
      </c>
      <c r="AW435" s="15" t="s">
        <v>763</v>
      </c>
      <c r="AX435" s="15" t="s">
        <v>764</v>
      </c>
      <c r="AY435" s="21">
        <f t="shared" si="7"/>
        <v>58</v>
      </c>
      <c r="AZ435" s="15" t="s">
        <v>604</v>
      </c>
      <c r="BA435" s="15" t="s">
        <v>174</v>
      </c>
      <c r="BB435" s="15" t="s">
        <v>668</v>
      </c>
      <c r="BC435" s="15" t="s">
        <v>682</v>
      </c>
      <c r="BI435" s="15" t="s">
        <v>746</v>
      </c>
      <c r="BJ435" s="15" t="s">
        <v>702</v>
      </c>
      <c r="BK435" s="15" t="s">
        <v>487</v>
      </c>
      <c r="BM435" s="15" t="s">
        <v>672</v>
      </c>
      <c r="BN435" s="15" t="s">
        <v>179</v>
      </c>
      <c r="BP435" s="15" t="s">
        <v>138</v>
      </c>
      <c r="BS435" s="15" t="s">
        <v>765</v>
      </c>
      <c r="DH435" s="15" t="s">
        <v>17982</v>
      </c>
      <c r="DI435" s="15" t="s">
        <v>17982</v>
      </c>
    </row>
    <row r="436" spans="1:113" s="15" customFormat="1" ht="12.75" x14ac:dyDescent="0.2">
      <c r="A436" s="15" t="s">
        <v>109</v>
      </c>
      <c r="B436" s="15" t="s">
        <v>110</v>
      </c>
      <c r="D436" s="15" t="s">
        <v>383</v>
      </c>
      <c r="E436" s="15" t="s">
        <v>112</v>
      </c>
      <c r="F436" s="15" t="s">
        <v>383</v>
      </c>
      <c r="G436" s="15" t="s">
        <v>113</v>
      </c>
      <c r="H436" s="15" t="s">
        <v>383</v>
      </c>
      <c r="J436" s="16" t="s">
        <v>114</v>
      </c>
      <c r="U436" s="15" t="s">
        <v>17977</v>
      </c>
      <c r="W436" s="15">
        <v>101</v>
      </c>
      <c r="X436" s="15">
        <v>446</v>
      </c>
      <c r="Y436" s="15" t="s">
        <v>160</v>
      </c>
      <c r="Z436" s="15" t="s">
        <v>161</v>
      </c>
      <c r="AA436" s="15" t="s">
        <v>162</v>
      </c>
      <c r="AB436" s="15" t="s">
        <v>766</v>
      </c>
      <c r="AC436" s="15" t="s">
        <v>766</v>
      </c>
      <c r="AD436" s="15" t="s">
        <v>766</v>
      </c>
      <c r="AE436" s="15" t="s">
        <v>164</v>
      </c>
      <c r="AF436" s="15" t="s">
        <v>766</v>
      </c>
      <c r="AG436" s="15" t="s">
        <v>766</v>
      </c>
      <c r="AH436" s="20" t="s">
        <v>767</v>
      </c>
      <c r="AL436" s="15" t="s">
        <v>759</v>
      </c>
      <c r="AN436" s="15">
        <v>743</v>
      </c>
      <c r="AO436" s="15" t="s">
        <v>768</v>
      </c>
      <c r="AQ436" s="15" t="s">
        <v>168</v>
      </c>
      <c r="AT436" s="15" t="s">
        <v>769</v>
      </c>
      <c r="AU436" s="15" t="s">
        <v>770</v>
      </c>
      <c r="AV436" s="15" t="s">
        <v>770</v>
      </c>
      <c r="AW436" s="15" t="s">
        <v>771</v>
      </c>
      <c r="AX436" s="15" t="s">
        <v>772</v>
      </c>
      <c r="AY436" s="21">
        <f t="shared" ref="AY436:AY467" si="8">LEN(SUBSTITUTE(AX436,", "," "))</f>
        <v>59</v>
      </c>
      <c r="AZ436" s="15" t="s">
        <v>604</v>
      </c>
      <c r="BA436" s="15" t="s">
        <v>174</v>
      </c>
      <c r="BB436" s="15" t="s">
        <v>668</v>
      </c>
      <c r="BC436" s="15" t="s">
        <v>682</v>
      </c>
      <c r="BI436" s="15" t="s">
        <v>746</v>
      </c>
      <c r="BJ436" s="15" t="s">
        <v>671</v>
      </c>
      <c r="BK436" s="15" t="s">
        <v>487</v>
      </c>
      <c r="BM436" s="15" t="s">
        <v>672</v>
      </c>
      <c r="BN436" s="15" t="s">
        <v>179</v>
      </c>
      <c r="BP436" s="15" t="s">
        <v>138</v>
      </c>
      <c r="BS436" s="15" t="s">
        <v>773</v>
      </c>
      <c r="DH436" s="15" t="s">
        <v>17982</v>
      </c>
      <c r="DI436" s="15" t="s">
        <v>17982</v>
      </c>
    </row>
    <row r="437" spans="1:113" s="15" customFormat="1" ht="12.75" x14ac:dyDescent="0.2">
      <c r="A437" s="15" t="s">
        <v>109</v>
      </c>
      <c r="B437" s="15" t="s">
        <v>110</v>
      </c>
      <c r="D437" s="15" t="s">
        <v>383</v>
      </c>
      <c r="E437" s="15" t="s">
        <v>112</v>
      </c>
      <c r="F437" s="15" t="s">
        <v>383</v>
      </c>
      <c r="G437" s="15" t="s">
        <v>113</v>
      </c>
      <c r="H437" s="15" t="s">
        <v>383</v>
      </c>
      <c r="J437" s="16" t="s">
        <v>114</v>
      </c>
      <c r="U437" s="15" t="s">
        <v>17977</v>
      </c>
      <c r="W437" s="15">
        <v>94</v>
      </c>
      <c r="X437" s="15">
        <v>447</v>
      </c>
      <c r="Y437" s="15" t="s">
        <v>160</v>
      </c>
      <c r="Z437" s="15" t="s">
        <v>161</v>
      </c>
      <c r="AA437" s="15" t="s">
        <v>162</v>
      </c>
      <c r="AB437" s="15" t="s">
        <v>704</v>
      </c>
      <c r="AC437" s="15" t="s">
        <v>704</v>
      </c>
      <c r="AD437" s="15" t="s">
        <v>704</v>
      </c>
      <c r="AE437" s="15" t="s">
        <v>164</v>
      </c>
      <c r="AF437" s="15" t="s">
        <v>704</v>
      </c>
      <c r="AG437" s="15" t="s">
        <v>704</v>
      </c>
      <c r="AH437" s="20" t="s">
        <v>705</v>
      </c>
      <c r="AL437" s="15" t="s">
        <v>696</v>
      </c>
      <c r="AN437" s="15">
        <v>743</v>
      </c>
      <c r="AO437" s="15" t="s">
        <v>706</v>
      </c>
      <c r="AQ437" s="15" t="s">
        <v>168</v>
      </c>
      <c r="AT437" s="15" t="s">
        <v>707</v>
      </c>
      <c r="AU437" s="15" t="s">
        <v>708</v>
      </c>
      <c r="AV437" s="15" t="s">
        <v>708</v>
      </c>
      <c r="AW437" s="15" t="s">
        <v>709</v>
      </c>
      <c r="AX437" s="15" t="s">
        <v>710</v>
      </c>
      <c r="AY437" s="21">
        <f t="shared" si="8"/>
        <v>56</v>
      </c>
      <c r="AZ437" s="15" t="s">
        <v>604</v>
      </c>
      <c r="BA437" s="15" t="s">
        <v>174</v>
      </c>
      <c r="BB437" s="15" t="s">
        <v>668</v>
      </c>
      <c r="BC437" s="15" t="s">
        <v>682</v>
      </c>
      <c r="BI437" s="15" t="s">
        <v>670</v>
      </c>
      <c r="BJ437" s="15" t="s">
        <v>711</v>
      </c>
      <c r="BK437" s="15" t="s">
        <v>487</v>
      </c>
      <c r="BM437" s="15" t="s">
        <v>672</v>
      </c>
      <c r="BN437" s="15" t="s">
        <v>179</v>
      </c>
      <c r="BP437" s="15" t="s">
        <v>138</v>
      </c>
      <c r="BS437" s="15" t="s">
        <v>712</v>
      </c>
      <c r="DH437" s="15" t="s">
        <v>17982</v>
      </c>
      <c r="DI437" s="15" t="s">
        <v>17982</v>
      </c>
    </row>
    <row r="438" spans="1:113" s="15" customFormat="1" ht="12.75" x14ac:dyDescent="0.2">
      <c r="A438" s="15" t="s">
        <v>109</v>
      </c>
      <c r="B438" s="15" t="s">
        <v>110</v>
      </c>
      <c r="D438" s="15" t="s">
        <v>383</v>
      </c>
      <c r="E438" s="15" t="s">
        <v>112</v>
      </c>
      <c r="F438" s="15" t="s">
        <v>383</v>
      </c>
      <c r="G438" s="15" t="s">
        <v>113</v>
      </c>
      <c r="H438" s="15" t="s">
        <v>383</v>
      </c>
      <c r="J438" s="16" t="s">
        <v>114</v>
      </c>
      <c r="U438" s="15" t="s">
        <v>17977</v>
      </c>
      <c r="W438" s="15">
        <v>95</v>
      </c>
      <c r="X438" s="15">
        <v>448</v>
      </c>
      <c r="Y438" s="15" t="s">
        <v>160</v>
      </c>
      <c r="Z438" s="15" t="s">
        <v>161</v>
      </c>
      <c r="AA438" s="15" t="s">
        <v>162</v>
      </c>
      <c r="AB438" s="15" t="s">
        <v>713</v>
      </c>
      <c r="AC438" s="15" t="s">
        <v>713</v>
      </c>
      <c r="AD438" s="15" t="s">
        <v>713</v>
      </c>
      <c r="AE438" s="15" t="s">
        <v>164</v>
      </c>
      <c r="AF438" s="15" t="s">
        <v>713</v>
      </c>
      <c r="AG438" s="15" t="s">
        <v>713</v>
      </c>
      <c r="AH438" s="20" t="s">
        <v>714</v>
      </c>
      <c r="AL438" s="15" t="s">
        <v>696</v>
      </c>
      <c r="AN438" s="15">
        <v>743</v>
      </c>
      <c r="AO438" s="15" t="s">
        <v>715</v>
      </c>
      <c r="AQ438" s="15" t="s">
        <v>168</v>
      </c>
      <c r="AT438" s="15" t="s">
        <v>716</v>
      </c>
      <c r="AU438" s="15" t="s">
        <v>717</v>
      </c>
      <c r="AV438" s="15" t="s">
        <v>717</v>
      </c>
      <c r="AW438" s="15" t="s">
        <v>718</v>
      </c>
      <c r="AX438" s="15" t="s">
        <v>719</v>
      </c>
      <c r="AY438" s="21">
        <f t="shared" si="8"/>
        <v>60</v>
      </c>
      <c r="AZ438" s="15" t="s">
        <v>604</v>
      </c>
      <c r="BA438" s="15" t="s">
        <v>174</v>
      </c>
      <c r="BB438" s="15" t="s">
        <v>668</v>
      </c>
      <c r="BC438" s="15" t="s">
        <v>682</v>
      </c>
      <c r="BI438" s="15" t="s">
        <v>670</v>
      </c>
      <c r="BJ438" s="15" t="s">
        <v>720</v>
      </c>
      <c r="BK438" s="15" t="s">
        <v>487</v>
      </c>
      <c r="BM438" s="15" t="s">
        <v>672</v>
      </c>
      <c r="BN438" s="15" t="s">
        <v>179</v>
      </c>
      <c r="BP438" s="15" t="s">
        <v>138</v>
      </c>
      <c r="BS438" s="15" t="s">
        <v>721</v>
      </c>
      <c r="DH438" s="15" t="s">
        <v>17982</v>
      </c>
      <c r="DI438" s="15" t="s">
        <v>17982</v>
      </c>
    </row>
    <row r="439" spans="1:113" s="15" customFormat="1" ht="12.75" x14ac:dyDescent="0.2">
      <c r="A439" s="15" t="s">
        <v>109</v>
      </c>
      <c r="B439" s="15" t="s">
        <v>110</v>
      </c>
      <c r="D439" s="15" t="s">
        <v>383</v>
      </c>
      <c r="E439" s="15" t="s">
        <v>112</v>
      </c>
      <c r="F439" s="15" t="s">
        <v>383</v>
      </c>
      <c r="G439" s="15" t="s">
        <v>113</v>
      </c>
      <c r="H439" s="15" t="s">
        <v>383</v>
      </c>
      <c r="J439" s="16" t="s">
        <v>114</v>
      </c>
      <c r="U439" s="15" t="s">
        <v>17977</v>
      </c>
      <c r="W439" s="15">
        <v>96</v>
      </c>
      <c r="X439" s="15">
        <v>449</v>
      </c>
      <c r="Y439" s="15" t="s">
        <v>160</v>
      </c>
      <c r="Z439" s="15" t="s">
        <v>161</v>
      </c>
      <c r="AA439" s="15" t="s">
        <v>162</v>
      </c>
      <c r="AB439" s="15" t="s">
        <v>722</v>
      </c>
      <c r="AC439" s="15" t="s">
        <v>722</v>
      </c>
      <c r="AD439" s="15" t="s">
        <v>722</v>
      </c>
      <c r="AE439" s="15" t="s">
        <v>164</v>
      </c>
      <c r="AF439" s="15" t="s">
        <v>722</v>
      </c>
      <c r="AG439" s="15" t="s">
        <v>722</v>
      </c>
      <c r="AH439" s="20" t="s">
        <v>723</v>
      </c>
      <c r="AL439" s="15" t="s">
        <v>724</v>
      </c>
      <c r="AN439" s="15">
        <v>743</v>
      </c>
      <c r="AO439" s="15" t="s">
        <v>725</v>
      </c>
      <c r="AQ439" s="15" t="s">
        <v>168</v>
      </c>
      <c r="AT439" s="15" t="s">
        <v>726</v>
      </c>
      <c r="AU439" s="15" t="s">
        <v>727</v>
      </c>
      <c r="AV439" s="15" t="s">
        <v>727</v>
      </c>
      <c r="AW439" s="15" t="s">
        <v>728</v>
      </c>
      <c r="AX439" s="15" t="s">
        <v>729</v>
      </c>
      <c r="AY439" s="21">
        <f t="shared" si="8"/>
        <v>56</v>
      </c>
      <c r="AZ439" s="15" t="s">
        <v>604</v>
      </c>
      <c r="BA439" s="15" t="s">
        <v>174</v>
      </c>
      <c r="BB439" s="15" t="s">
        <v>668</v>
      </c>
      <c r="BC439" s="15" t="s">
        <v>692</v>
      </c>
      <c r="BI439" s="15" t="s">
        <v>670</v>
      </c>
      <c r="BJ439" s="15" t="s">
        <v>702</v>
      </c>
      <c r="BK439" s="15" t="s">
        <v>487</v>
      </c>
      <c r="BM439" s="15" t="s">
        <v>672</v>
      </c>
      <c r="BN439" s="15" t="s">
        <v>179</v>
      </c>
      <c r="BP439" s="15" t="s">
        <v>138</v>
      </c>
      <c r="BS439" s="15" t="s">
        <v>730</v>
      </c>
      <c r="DH439" s="15" t="s">
        <v>17982</v>
      </c>
      <c r="DI439" s="15" t="s">
        <v>17982</v>
      </c>
    </row>
    <row r="440" spans="1:113" s="15" customFormat="1" ht="12.75" x14ac:dyDescent="0.2">
      <c r="A440" s="15" t="s">
        <v>109</v>
      </c>
      <c r="B440" s="15" t="s">
        <v>110</v>
      </c>
      <c r="D440" s="15" t="s">
        <v>383</v>
      </c>
      <c r="E440" s="15" t="s">
        <v>112</v>
      </c>
      <c r="F440" s="15" t="s">
        <v>383</v>
      </c>
      <c r="G440" s="15" t="s">
        <v>113</v>
      </c>
      <c r="H440" s="15" t="s">
        <v>383</v>
      </c>
      <c r="J440" s="16" t="s">
        <v>114</v>
      </c>
      <c r="U440" s="15" t="s">
        <v>17977</v>
      </c>
      <c r="W440" s="15">
        <v>92</v>
      </c>
      <c r="X440" s="15">
        <v>450</v>
      </c>
      <c r="Y440" s="15" t="s">
        <v>160</v>
      </c>
      <c r="Z440" s="15" t="s">
        <v>161</v>
      </c>
      <c r="AA440" s="15" t="s">
        <v>162</v>
      </c>
      <c r="AB440" s="15" t="s">
        <v>684</v>
      </c>
      <c r="AC440" s="15" t="s">
        <v>684</v>
      </c>
      <c r="AD440" s="15" t="s">
        <v>684</v>
      </c>
      <c r="AE440" s="15" t="s">
        <v>164</v>
      </c>
      <c r="AF440" s="15" t="s">
        <v>684</v>
      </c>
      <c r="AG440" s="15" t="s">
        <v>684</v>
      </c>
      <c r="AH440" s="20" t="s">
        <v>685</v>
      </c>
      <c r="AL440" s="15" t="s">
        <v>686</v>
      </c>
      <c r="AN440" s="15">
        <v>743</v>
      </c>
      <c r="AO440" s="15" t="s">
        <v>687</v>
      </c>
      <c r="AQ440" s="15" t="s">
        <v>168</v>
      </c>
      <c r="AT440" s="15" t="s">
        <v>688</v>
      </c>
      <c r="AU440" s="15" t="s">
        <v>689</v>
      </c>
      <c r="AV440" s="15" t="s">
        <v>689</v>
      </c>
      <c r="AW440" s="15" t="s">
        <v>690</v>
      </c>
      <c r="AX440" s="15" t="s">
        <v>691</v>
      </c>
      <c r="AY440" s="21">
        <f t="shared" si="8"/>
        <v>60</v>
      </c>
      <c r="AZ440" s="15" t="s">
        <v>604</v>
      </c>
      <c r="BA440" s="15" t="s">
        <v>174</v>
      </c>
      <c r="BB440" s="15" t="s">
        <v>668</v>
      </c>
      <c r="BC440" s="15" t="s">
        <v>692</v>
      </c>
      <c r="BI440" s="15" t="s">
        <v>670</v>
      </c>
      <c r="BJ440" s="15" t="s">
        <v>671</v>
      </c>
      <c r="BK440" s="15" t="s">
        <v>487</v>
      </c>
      <c r="BM440" s="15" t="s">
        <v>672</v>
      </c>
      <c r="BN440" s="15" t="s">
        <v>179</v>
      </c>
      <c r="BP440" s="15" t="s">
        <v>138</v>
      </c>
      <c r="BS440" s="15" t="s">
        <v>693</v>
      </c>
      <c r="DH440" s="15" t="s">
        <v>17982</v>
      </c>
      <c r="DI440" s="15" t="s">
        <v>17982</v>
      </c>
    </row>
    <row r="441" spans="1:113" s="15" customFormat="1" ht="12.75" x14ac:dyDescent="0.2">
      <c r="A441" s="15" t="s">
        <v>109</v>
      </c>
      <c r="B441" s="15" t="s">
        <v>110</v>
      </c>
      <c r="D441" s="15" t="s">
        <v>383</v>
      </c>
      <c r="E441" s="15" t="s">
        <v>112</v>
      </c>
      <c r="F441" s="15" t="s">
        <v>383</v>
      </c>
      <c r="G441" s="15" t="s">
        <v>113</v>
      </c>
      <c r="H441" s="15" t="s">
        <v>383</v>
      </c>
      <c r="J441" s="16" t="s">
        <v>114</v>
      </c>
      <c r="U441" s="15" t="s">
        <v>17977</v>
      </c>
      <c r="W441" s="15">
        <v>102</v>
      </c>
      <c r="X441" s="15">
        <v>451</v>
      </c>
      <c r="Y441" s="15" t="s">
        <v>160</v>
      </c>
      <c r="Z441" s="15" t="s">
        <v>161</v>
      </c>
      <c r="AA441" s="15" t="s">
        <v>162</v>
      </c>
      <c r="AB441" s="15" t="s">
        <v>774</v>
      </c>
      <c r="AC441" s="15" t="s">
        <v>774</v>
      </c>
      <c r="AD441" s="15" t="s">
        <v>774</v>
      </c>
      <c r="AE441" s="15" t="s">
        <v>164</v>
      </c>
      <c r="AF441" s="15" t="s">
        <v>774</v>
      </c>
      <c r="AG441" s="15" t="s">
        <v>774</v>
      </c>
      <c r="AH441" s="20" t="s">
        <v>775</v>
      </c>
      <c r="AL441" s="15" t="s">
        <v>776</v>
      </c>
      <c r="AN441" s="15">
        <v>743</v>
      </c>
      <c r="AO441" s="15" t="s">
        <v>777</v>
      </c>
      <c r="AQ441" s="15" t="s">
        <v>168</v>
      </c>
      <c r="AT441" s="15" t="s">
        <v>778</v>
      </c>
      <c r="AU441" s="15" t="s">
        <v>779</v>
      </c>
      <c r="AV441" s="15" t="s">
        <v>779</v>
      </c>
      <c r="AW441" s="15" t="s">
        <v>780</v>
      </c>
      <c r="AX441" s="15" t="s">
        <v>781</v>
      </c>
      <c r="AY441" s="21">
        <f t="shared" si="8"/>
        <v>57</v>
      </c>
      <c r="AZ441" s="15" t="s">
        <v>604</v>
      </c>
      <c r="BA441" s="15" t="s">
        <v>174</v>
      </c>
      <c r="BB441" s="15" t="s">
        <v>668</v>
      </c>
      <c r="BC441" s="15" t="s">
        <v>692</v>
      </c>
      <c r="BI441" s="15" t="s">
        <v>746</v>
      </c>
      <c r="BJ441" s="15" t="s">
        <v>702</v>
      </c>
      <c r="BK441" s="15" t="s">
        <v>487</v>
      </c>
      <c r="BM441" s="15" t="s">
        <v>672</v>
      </c>
      <c r="BN441" s="15" t="s">
        <v>179</v>
      </c>
      <c r="BP441" s="15" t="s">
        <v>138</v>
      </c>
      <c r="BS441" s="15" t="s">
        <v>782</v>
      </c>
      <c r="DH441" s="15" t="s">
        <v>17982</v>
      </c>
      <c r="DI441" s="15" t="s">
        <v>17982</v>
      </c>
    </row>
    <row r="442" spans="1:113" s="15" customFormat="1" ht="12.75" x14ac:dyDescent="0.2">
      <c r="A442" s="15" t="s">
        <v>109</v>
      </c>
      <c r="B442" s="15" t="s">
        <v>110</v>
      </c>
      <c r="D442" s="15" t="s">
        <v>383</v>
      </c>
      <c r="E442" s="15" t="s">
        <v>112</v>
      </c>
      <c r="F442" s="15" t="s">
        <v>383</v>
      </c>
      <c r="G442" s="15" t="s">
        <v>113</v>
      </c>
      <c r="H442" s="15" t="s">
        <v>383</v>
      </c>
      <c r="J442" s="16" t="s">
        <v>114</v>
      </c>
      <c r="U442" s="15" t="s">
        <v>17977</v>
      </c>
      <c r="W442" s="15">
        <v>103</v>
      </c>
      <c r="X442" s="15">
        <v>452</v>
      </c>
      <c r="Y442" s="15" t="s">
        <v>160</v>
      </c>
      <c r="Z442" s="15" t="s">
        <v>161</v>
      </c>
      <c r="AA442" s="15" t="s">
        <v>162</v>
      </c>
      <c r="AB442" s="15" t="s">
        <v>783</v>
      </c>
      <c r="AC442" s="15" t="s">
        <v>783</v>
      </c>
      <c r="AD442" s="15" t="s">
        <v>783</v>
      </c>
      <c r="AE442" s="15" t="s">
        <v>164</v>
      </c>
      <c r="AF442" s="15" t="s">
        <v>783</v>
      </c>
      <c r="AG442" s="15" t="s">
        <v>783</v>
      </c>
      <c r="AH442" s="20" t="s">
        <v>784</v>
      </c>
      <c r="AL442" s="15" t="s">
        <v>776</v>
      </c>
      <c r="AN442" s="15">
        <v>743</v>
      </c>
      <c r="AO442" s="15" t="s">
        <v>785</v>
      </c>
      <c r="AQ442" s="15" t="s">
        <v>168</v>
      </c>
      <c r="AT442" s="15" t="s">
        <v>786</v>
      </c>
      <c r="AU442" s="15" t="s">
        <v>787</v>
      </c>
      <c r="AV442" s="15" t="s">
        <v>787</v>
      </c>
      <c r="AW442" s="15" t="s">
        <v>788</v>
      </c>
      <c r="AX442" s="15" t="s">
        <v>789</v>
      </c>
      <c r="AY442" s="21">
        <f t="shared" si="8"/>
        <v>58</v>
      </c>
      <c r="AZ442" s="15" t="s">
        <v>604</v>
      </c>
      <c r="BA442" s="15" t="s">
        <v>174</v>
      </c>
      <c r="BB442" s="15" t="s">
        <v>668</v>
      </c>
      <c r="BC442" s="15" t="s">
        <v>692</v>
      </c>
      <c r="BI442" s="15" t="s">
        <v>746</v>
      </c>
      <c r="BJ442" s="15" t="s">
        <v>671</v>
      </c>
      <c r="BK442" s="15" t="s">
        <v>487</v>
      </c>
      <c r="BM442" s="15" t="s">
        <v>672</v>
      </c>
      <c r="BN442" s="15" t="s">
        <v>179</v>
      </c>
      <c r="BP442" s="15" t="s">
        <v>138</v>
      </c>
      <c r="BS442" s="15" t="s">
        <v>790</v>
      </c>
      <c r="DH442" s="15" t="s">
        <v>17982</v>
      </c>
      <c r="DI442" s="15" t="s">
        <v>17982</v>
      </c>
    </row>
    <row r="443" spans="1:113" s="15" customFormat="1" ht="12.75" x14ac:dyDescent="0.2">
      <c r="A443" s="15" t="s">
        <v>109</v>
      </c>
      <c r="B443" s="15" t="s">
        <v>110</v>
      </c>
      <c r="D443" s="15" t="s">
        <v>383</v>
      </c>
      <c r="E443" s="15" t="s">
        <v>112</v>
      </c>
      <c r="F443" s="15" t="s">
        <v>383</v>
      </c>
      <c r="G443" s="15" t="s">
        <v>113</v>
      </c>
      <c r="H443" s="15" t="s">
        <v>383</v>
      </c>
      <c r="J443" s="16" t="s">
        <v>114</v>
      </c>
      <c r="U443" s="15" t="s">
        <v>17977</v>
      </c>
      <c r="W443" s="15">
        <v>97</v>
      </c>
      <c r="X443" s="15">
        <v>453</v>
      </c>
      <c r="Y443" s="15" t="s">
        <v>160</v>
      </c>
      <c r="Z443" s="15" t="s">
        <v>161</v>
      </c>
      <c r="AA443" s="15" t="s">
        <v>162</v>
      </c>
      <c r="AB443" s="15" t="s">
        <v>731</v>
      </c>
      <c r="AC443" s="15" t="s">
        <v>731</v>
      </c>
      <c r="AD443" s="15" t="s">
        <v>731</v>
      </c>
      <c r="AE443" s="15" t="s">
        <v>164</v>
      </c>
      <c r="AF443" s="15" t="s">
        <v>731</v>
      </c>
      <c r="AG443" s="15" t="s">
        <v>731</v>
      </c>
      <c r="AH443" s="20" t="s">
        <v>732</v>
      </c>
      <c r="AL443" s="15" t="s">
        <v>724</v>
      </c>
      <c r="AN443" s="15">
        <v>743</v>
      </c>
      <c r="AO443" s="15" t="s">
        <v>733</v>
      </c>
      <c r="AQ443" s="15" t="s">
        <v>168</v>
      </c>
      <c r="AT443" s="15" t="s">
        <v>734</v>
      </c>
      <c r="AU443" s="15" t="s">
        <v>735</v>
      </c>
      <c r="AV443" s="15" t="s">
        <v>735</v>
      </c>
      <c r="AW443" s="15" t="s">
        <v>736</v>
      </c>
      <c r="AX443" s="15" t="s">
        <v>737</v>
      </c>
      <c r="AY443" s="21">
        <f t="shared" si="8"/>
        <v>55</v>
      </c>
      <c r="AZ443" s="15" t="s">
        <v>604</v>
      </c>
      <c r="BA443" s="15" t="s">
        <v>174</v>
      </c>
      <c r="BB443" s="15" t="s">
        <v>668</v>
      </c>
      <c r="BC443" s="15" t="s">
        <v>692</v>
      </c>
      <c r="BI443" s="15" t="s">
        <v>670</v>
      </c>
      <c r="BJ443" s="15" t="s">
        <v>711</v>
      </c>
      <c r="BK443" s="15" t="s">
        <v>487</v>
      </c>
      <c r="BM443" s="15" t="s">
        <v>672</v>
      </c>
      <c r="BN443" s="15" t="s">
        <v>179</v>
      </c>
      <c r="BP443" s="15" t="s">
        <v>138</v>
      </c>
      <c r="BS443" s="15" t="s">
        <v>738</v>
      </c>
      <c r="DH443" s="15" t="s">
        <v>17982</v>
      </c>
      <c r="DI443" s="15" t="s">
        <v>17982</v>
      </c>
    </row>
    <row r="444" spans="1:113" s="15" customFormat="1" ht="12.75" x14ac:dyDescent="0.2">
      <c r="A444" s="15" t="s">
        <v>109</v>
      </c>
      <c r="B444" s="15" t="s">
        <v>110</v>
      </c>
      <c r="D444" s="15" t="s">
        <v>383</v>
      </c>
      <c r="E444" s="15" t="s">
        <v>112</v>
      </c>
      <c r="F444" s="15" t="s">
        <v>383</v>
      </c>
      <c r="G444" s="15" t="s">
        <v>113</v>
      </c>
      <c r="H444" s="15" t="s">
        <v>383</v>
      </c>
      <c r="J444" s="16" t="s">
        <v>114</v>
      </c>
      <c r="U444" s="15" t="s">
        <v>17977</v>
      </c>
      <c r="W444" s="15">
        <v>98</v>
      </c>
      <c r="X444" s="15">
        <v>454</v>
      </c>
      <c r="Y444" s="15" t="s">
        <v>160</v>
      </c>
      <c r="Z444" s="15" t="s">
        <v>161</v>
      </c>
      <c r="AA444" s="15" t="s">
        <v>162</v>
      </c>
      <c r="AB444" s="15" t="s">
        <v>739</v>
      </c>
      <c r="AC444" s="15" t="s">
        <v>739</v>
      </c>
      <c r="AD444" s="15" t="s">
        <v>739</v>
      </c>
      <c r="AE444" s="15" t="s">
        <v>164</v>
      </c>
      <c r="AF444" s="15" t="s">
        <v>739</v>
      </c>
      <c r="AG444" s="15" t="s">
        <v>739</v>
      </c>
      <c r="AH444" s="20" t="s">
        <v>740</v>
      </c>
      <c r="AL444" s="15" t="s">
        <v>724</v>
      </c>
      <c r="AN444" s="15">
        <v>743</v>
      </c>
      <c r="AO444" s="15" t="s">
        <v>741</v>
      </c>
      <c r="AQ444" s="15" t="s">
        <v>168</v>
      </c>
      <c r="AT444" s="15" t="s">
        <v>742</v>
      </c>
      <c r="AU444" s="15" t="s">
        <v>743</v>
      </c>
      <c r="AV444" s="15" t="s">
        <v>743</v>
      </c>
      <c r="AW444" s="15" t="s">
        <v>744</v>
      </c>
      <c r="AX444" s="15" t="s">
        <v>745</v>
      </c>
      <c r="AY444" s="21">
        <f t="shared" si="8"/>
        <v>60</v>
      </c>
      <c r="AZ444" s="15" t="s">
        <v>604</v>
      </c>
      <c r="BA444" s="15" t="s">
        <v>174</v>
      </c>
      <c r="BB444" s="15" t="s">
        <v>668</v>
      </c>
      <c r="BC444" s="15" t="s">
        <v>692</v>
      </c>
      <c r="BI444" s="15" t="s">
        <v>746</v>
      </c>
      <c r="BJ444" s="15" t="s">
        <v>720</v>
      </c>
      <c r="BK444" s="15" t="s">
        <v>487</v>
      </c>
      <c r="BM444" s="15" t="s">
        <v>672</v>
      </c>
      <c r="BN444" s="15" t="s">
        <v>179</v>
      </c>
      <c r="BP444" s="15" t="s">
        <v>138</v>
      </c>
      <c r="BS444" s="15" t="s">
        <v>747</v>
      </c>
      <c r="DH444" s="15" t="s">
        <v>17982</v>
      </c>
      <c r="DI444" s="15" t="s">
        <v>17982</v>
      </c>
    </row>
    <row r="445" spans="1:113" s="15" customFormat="1" ht="12.75" x14ac:dyDescent="0.2">
      <c r="A445" s="15" t="s">
        <v>109</v>
      </c>
      <c r="B445" s="15" t="s">
        <v>110</v>
      </c>
      <c r="D445" s="15" t="s">
        <v>383</v>
      </c>
      <c r="E445" s="15" t="s">
        <v>112</v>
      </c>
      <c r="F445" s="15" t="s">
        <v>383</v>
      </c>
      <c r="G445" s="15" t="s">
        <v>113</v>
      </c>
      <c r="H445" s="15" t="s">
        <v>383</v>
      </c>
      <c r="J445" s="16" t="s">
        <v>114</v>
      </c>
      <c r="U445" s="15" t="s">
        <v>17977</v>
      </c>
      <c r="W445" s="15">
        <v>1250</v>
      </c>
      <c r="X445" s="15">
        <v>455</v>
      </c>
      <c r="Y445" s="15" t="s">
        <v>160</v>
      </c>
      <c r="Z445" s="15" t="s">
        <v>161</v>
      </c>
      <c r="AA445" s="15" t="s">
        <v>162</v>
      </c>
      <c r="AB445" s="15" t="s">
        <v>6386</v>
      </c>
      <c r="AC445" s="15" t="s">
        <v>6386</v>
      </c>
      <c r="AD445" s="15" t="s">
        <v>6387</v>
      </c>
      <c r="AE445" s="15" t="s">
        <v>164</v>
      </c>
      <c r="AF445" s="15" t="s">
        <v>6387</v>
      </c>
      <c r="AG445" s="15" t="s">
        <v>6386</v>
      </c>
      <c r="AH445" s="20" t="s">
        <v>6388</v>
      </c>
      <c r="AL445" s="15" t="s">
        <v>6389</v>
      </c>
      <c r="AN445" s="15">
        <v>743</v>
      </c>
      <c r="AO445" s="15" t="s">
        <v>6390</v>
      </c>
      <c r="AQ445" s="15" t="s">
        <v>1735</v>
      </c>
      <c r="AT445" s="15" t="s">
        <v>6391</v>
      </c>
      <c r="AU445" s="15" t="s">
        <v>6392</v>
      </c>
      <c r="AV445" s="15" t="s">
        <v>6392</v>
      </c>
      <c r="AW445" s="15" t="s">
        <v>6393</v>
      </c>
      <c r="AX445" s="15" t="s">
        <v>6394</v>
      </c>
      <c r="AY445" s="21">
        <f t="shared" si="8"/>
        <v>56</v>
      </c>
      <c r="AZ445" s="15" t="s">
        <v>1740</v>
      </c>
      <c r="BA445" s="15" t="s">
        <v>174</v>
      </c>
      <c r="BB445" s="15" t="s">
        <v>6395</v>
      </c>
      <c r="BC445" s="15" t="s">
        <v>1055</v>
      </c>
      <c r="BD445" s="15" t="s">
        <v>3021</v>
      </c>
      <c r="BF445" s="15" t="s">
        <v>6396</v>
      </c>
      <c r="BI445" s="15" t="s">
        <v>1083</v>
      </c>
      <c r="BJ445" s="15" t="s">
        <v>6397</v>
      </c>
      <c r="BN445" s="15" t="s">
        <v>179</v>
      </c>
      <c r="BP445" s="15" t="s">
        <v>138</v>
      </c>
      <c r="BS445" s="15" t="s">
        <v>6398</v>
      </c>
      <c r="DH445" s="15" t="s">
        <v>17982</v>
      </c>
      <c r="DI445" s="15" t="s">
        <v>17982</v>
      </c>
    </row>
    <row r="446" spans="1:113" s="15" customFormat="1" ht="12.75" x14ac:dyDescent="0.2">
      <c r="A446" s="15" t="s">
        <v>109</v>
      </c>
      <c r="B446" s="15" t="s">
        <v>110</v>
      </c>
      <c r="D446" s="15" t="s">
        <v>383</v>
      </c>
      <c r="E446" s="15" t="s">
        <v>112</v>
      </c>
      <c r="F446" s="15" t="s">
        <v>383</v>
      </c>
      <c r="G446" s="15" t="s">
        <v>113</v>
      </c>
      <c r="H446" s="15" t="s">
        <v>383</v>
      </c>
      <c r="J446" s="16" t="s">
        <v>114</v>
      </c>
      <c r="U446" s="15" t="s">
        <v>17977</v>
      </c>
      <c r="W446" s="15">
        <v>1251</v>
      </c>
      <c r="X446" s="15">
        <v>456</v>
      </c>
      <c r="Y446" s="15" t="s">
        <v>160</v>
      </c>
      <c r="Z446" s="15" t="s">
        <v>161</v>
      </c>
      <c r="AA446" s="15" t="s">
        <v>162</v>
      </c>
      <c r="AB446" s="15" t="s">
        <v>6399</v>
      </c>
      <c r="AC446" s="15" t="s">
        <v>6399</v>
      </c>
      <c r="AD446" s="15" t="s">
        <v>6400</v>
      </c>
      <c r="AE446" s="15" t="s">
        <v>164</v>
      </c>
      <c r="AF446" s="15" t="s">
        <v>6400</v>
      </c>
      <c r="AG446" s="15" t="s">
        <v>6399</v>
      </c>
      <c r="AH446" s="20" t="s">
        <v>6401</v>
      </c>
      <c r="AL446" s="15" t="s">
        <v>6402</v>
      </c>
      <c r="AN446" s="15">
        <v>743</v>
      </c>
      <c r="AO446" s="15" t="s">
        <v>6403</v>
      </c>
      <c r="AQ446" s="15" t="s">
        <v>1735</v>
      </c>
      <c r="AT446" s="15" t="s">
        <v>6404</v>
      </c>
      <c r="AU446" s="15" t="s">
        <v>6405</v>
      </c>
      <c r="AV446" s="15" t="s">
        <v>6405</v>
      </c>
      <c r="AW446" s="15" t="s">
        <v>6406</v>
      </c>
      <c r="AX446" s="15" t="s">
        <v>6407</v>
      </c>
      <c r="AY446" s="21">
        <f t="shared" si="8"/>
        <v>60</v>
      </c>
      <c r="AZ446" s="15" t="s">
        <v>1740</v>
      </c>
      <c r="BA446" s="15" t="s">
        <v>174</v>
      </c>
      <c r="BB446" s="15" t="s">
        <v>6395</v>
      </c>
      <c r="BD446" s="15" t="s">
        <v>3045</v>
      </c>
      <c r="BF446" s="15" t="s">
        <v>6408</v>
      </c>
      <c r="BI446" s="15" t="s">
        <v>1083</v>
      </c>
      <c r="BJ446" s="15" t="s">
        <v>6397</v>
      </c>
      <c r="BN446" s="15" t="s">
        <v>179</v>
      </c>
      <c r="BP446" s="15" t="s">
        <v>138</v>
      </c>
      <c r="BS446" s="15" t="s">
        <v>6409</v>
      </c>
      <c r="DH446" s="15" t="s">
        <v>17982</v>
      </c>
      <c r="DI446" s="15" t="s">
        <v>17982</v>
      </c>
    </row>
    <row r="447" spans="1:113" s="15" customFormat="1" ht="12.75" x14ac:dyDescent="0.2">
      <c r="A447" s="15" t="s">
        <v>109</v>
      </c>
      <c r="B447" s="15" t="s">
        <v>110</v>
      </c>
      <c r="D447" s="15" t="s">
        <v>383</v>
      </c>
      <c r="E447" s="15" t="s">
        <v>112</v>
      </c>
      <c r="F447" s="15" t="s">
        <v>383</v>
      </c>
      <c r="G447" s="15" t="s">
        <v>113</v>
      </c>
      <c r="H447" s="15" t="s">
        <v>383</v>
      </c>
      <c r="J447" s="16" t="s">
        <v>114</v>
      </c>
      <c r="U447" s="15" t="s">
        <v>17977</v>
      </c>
      <c r="W447" s="15">
        <v>1252</v>
      </c>
      <c r="X447" s="15">
        <v>457</v>
      </c>
      <c r="Y447" s="15" t="s">
        <v>160</v>
      </c>
      <c r="Z447" s="15" t="s">
        <v>161</v>
      </c>
      <c r="AA447" s="15" t="s">
        <v>162</v>
      </c>
      <c r="AB447" s="15" t="s">
        <v>6410</v>
      </c>
      <c r="AC447" s="15" t="s">
        <v>6410</v>
      </c>
      <c r="AD447" s="15" t="s">
        <v>6410</v>
      </c>
      <c r="AE447" s="15" t="s">
        <v>164</v>
      </c>
      <c r="AF447" s="15" t="s">
        <v>6410</v>
      </c>
      <c r="AG447" s="15" t="s">
        <v>6410</v>
      </c>
      <c r="AH447" s="20" t="s">
        <v>6411</v>
      </c>
      <c r="AL447" s="15" t="s">
        <v>6412</v>
      </c>
      <c r="AN447" s="15">
        <v>743</v>
      </c>
      <c r="AO447" s="15" t="s">
        <v>6413</v>
      </c>
      <c r="AQ447" s="15" t="s">
        <v>1735</v>
      </c>
      <c r="AT447" s="15" t="s">
        <v>6414</v>
      </c>
      <c r="AU447" s="15" t="s">
        <v>6415</v>
      </c>
      <c r="AV447" s="15" t="s">
        <v>6415</v>
      </c>
      <c r="AW447" s="15" t="s">
        <v>6416</v>
      </c>
      <c r="AX447" s="15" t="s">
        <v>6417</v>
      </c>
      <c r="AY447" s="21">
        <f t="shared" si="8"/>
        <v>58</v>
      </c>
      <c r="AZ447" s="15" t="s">
        <v>1740</v>
      </c>
      <c r="BA447" s="15" t="s">
        <v>174</v>
      </c>
      <c r="BB447" s="15" t="s">
        <v>6395</v>
      </c>
      <c r="BD447" s="15" t="s">
        <v>3045</v>
      </c>
      <c r="BF447" s="15" t="s">
        <v>6418</v>
      </c>
      <c r="BI447" s="15" t="s">
        <v>1083</v>
      </c>
      <c r="BJ447" s="15" t="s">
        <v>6419</v>
      </c>
      <c r="BK447" s="15" t="s">
        <v>3024</v>
      </c>
      <c r="BN447" s="15" t="s">
        <v>179</v>
      </c>
      <c r="BP447" s="15" t="s">
        <v>138</v>
      </c>
      <c r="BS447" s="15" t="s">
        <v>6420</v>
      </c>
      <c r="DH447" s="15" t="s">
        <v>17982</v>
      </c>
      <c r="DI447" s="15" t="s">
        <v>17982</v>
      </c>
    </row>
    <row r="448" spans="1:113" s="15" customFormat="1" ht="12.75" x14ac:dyDescent="0.2">
      <c r="A448" s="15" t="s">
        <v>109</v>
      </c>
      <c r="B448" s="15" t="s">
        <v>110</v>
      </c>
      <c r="D448" s="15" t="s">
        <v>383</v>
      </c>
      <c r="E448" s="15" t="s">
        <v>112</v>
      </c>
      <c r="F448" s="15" t="s">
        <v>383</v>
      </c>
      <c r="G448" s="15" t="s">
        <v>113</v>
      </c>
      <c r="H448" s="15" t="s">
        <v>383</v>
      </c>
      <c r="J448" s="16" t="s">
        <v>114</v>
      </c>
      <c r="U448" s="15" t="s">
        <v>17977</v>
      </c>
      <c r="W448" s="15">
        <v>1254</v>
      </c>
      <c r="X448" s="15">
        <v>458</v>
      </c>
      <c r="Y448" s="15" t="s">
        <v>160</v>
      </c>
      <c r="Z448" s="15" t="s">
        <v>161</v>
      </c>
      <c r="AA448" s="15" t="s">
        <v>162</v>
      </c>
      <c r="AB448" s="15" t="s">
        <v>6431</v>
      </c>
      <c r="AC448" s="15" t="s">
        <v>6431</v>
      </c>
      <c r="AD448" s="15" t="s">
        <v>6432</v>
      </c>
      <c r="AE448" s="15" t="s">
        <v>164</v>
      </c>
      <c r="AF448" s="15" t="s">
        <v>6432</v>
      </c>
      <c r="AG448" s="15" t="s">
        <v>6431</v>
      </c>
      <c r="AH448" s="20" t="s">
        <v>6433</v>
      </c>
      <c r="AL448" s="15" t="s">
        <v>6434</v>
      </c>
      <c r="AN448" s="15">
        <v>743</v>
      </c>
      <c r="AO448" s="15" t="s">
        <v>6435</v>
      </c>
      <c r="AQ448" s="15" t="s">
        <v>1735</v>
      </c>
      <c r="AT448" s="15" t="s">
        <v>6436</v>
      </c>
      <c r="AU448" s="15" t="s">
        <v>6437</v>
      </c>
      <c r="AV448" s="15" t="s">
        <v>6437</v>
      </c>
      <c r="AW448" s="15" t="s">
        <v>6438</v>
      </c>
      <c r="AX448" s="15" t="s">
        <v>6439</v>
      </c>
      <c r="AY448" s="21">
        <f t="shared" si="8"/>
        <v>60</v>
      </c>
      <c r="AZ448" s="15" t="s">
        <v>1740</v>
      </c>
      <c r="BA448" s="15" t="s">
        <v>174</v>
      </c>
      <c r="BB448" s="15" t="s">
        <v>6395</v>
      </c>
      <c r="BC448" s="15" t="s">
        <v>4343</v>
      </c>
      <c r="BF448" s="15" t="s">
        <v>6440</v>
      </c>
      <c r="BI448" s="15" t="s">
        <v>1083</v>
      </c>
      <c r="BJ448" s="15" t="s">
        <v>6397</v>
      </c>
      <c r="BN448" s="15" t="s">
        <v>179</v>
      </c>
      <c r="BP448" s="15" t="s">
        <v>138</v>
      </c>
      <c r="BS448" s="15" t="s">
        <v>6441</v>
      </c>
      <c r="DH448" s="15" t="s">
        <v>17982</v>
      </c>
      <c r="DI448" s="15" t="s">
        <v>17982</v>
      </c>
    </row>
    <row r="449" spans="1:113" s="15" customFormat="1" ht="12.75" x14ac:dyDescent="0.2">
      <c r="A449" s="15" t="s">
        <v>109</v>
      </c>
      <c r="B449" s="15" t="s">
        <v>110</v>
      </c>
      <c r="D449" s="15" t="s">
        <v>383</v>
      </c>
      <c r="E449" s="15" t="s">
        <v>112</v>
      </c>
      <c r="F449" s="15" t="s">
        <v>383</v>
      </c>
      <c r="G449" s="15" t="s">
        <v>113</v>
      </c>
      <c r="H449" s="15" t="s">
        <v>383</v>
      </c>
      <c r="J449" s="16" t="s">
        <v>114</v>
      </c>
      <c r="U449" s="15" t="s">
        <v>17977</v>
      </c>
      <c r="W449" s="15">
        <v>1253</v>
      </c>
      <c r="X449" s="15">
        <v>459</v>
      </c>
      <c r="Y449" s="15" t="s">
        <v>160</v>
      </c>
      <c r="Z449" s="15" t="s">
        <v>161</v>
      </c>
      <c r="AA449" s="15" t="s">
        <v>162</v>
      </c>
      <c r="AB449" s="15" t="s">
        <v>6421</v>
      </c>
      <c r="AC449" s="15" t="s">
        <v>6421</v>
      </c>
      <c r="AD449" s="15" t="s">
        <v>6421</v>
      </c>
      <c r="AE449" s="15" t="s">
        <v>164</v>
      </c>
      <c r="AF449" s="15" t="s">
        <v>6421</v>
      </c>
      <c r="AG449" s="15" t="s">
        <v>6421</v>
      </c>
      <c r="AH449" s="20" t="s">
        <v>6422</v>
      </c>
      <c r="AL449" s="15" t="s">
        <v>6423</v>
      </c>
      <c r="AN449" s="15">
        <v>743</v>
      </c>
      <c r="AO449" s="15" t="s">
        <v>6424</v>
      </c>
      <c r="AQ449" s="15" t="s">
        <v>1735</v>
      </c>
      <c r="AT449" s="15" t="s">
        <v>6425</v>
      </c>
      <c r="AU449" s="15" t="s">
        <v>6426</v>
      </c>
      <c r="AV449" s="15" t="s">
        <v>6426</v>
      </c>
      <c r="AW449" s="15" t="s">
        <v>6427</v>
      </c>
      <c r="AX449" s="15" t="s">
        <v>6428</v>
      </c>
      <c r="AY449" s="21">
        <f t="shared" si="8"/>
        <v>57</v>
      </c>
      <c r="AZ449" s="15" t="s">
        <v>1740</v>
      </c>
      <c r="BA449" s="15" t="s">
        <v>174</v>
      </c>
      <c r="BB449" s="15" t="s">
        <v>6395</v>
      </c>
      <c r="BC449" s="15" t="s">
        <v>4343</v>
      </c>
      <c r="BF449" s="15" t="s">
        <v>6429</v>
      </c>
      <c r="BI449" s="15" t="s">
        <v>1083</v>
      </c>
      <c r="BJ449" s="15" t="s">
        <v>6419</v>
      </c>
      <c r="BK449" s="15" t="s">
        <v>3024</v>
      </c>
      <c r="BN449" s="15" t="s">
        <v>179</v>
      </c>
      <c r="BP449" s="15" t="s">
        <v>138</v>
      </c>
      <c r="BS449" s="15" t="s">
        <v>6430</v>
      </c>
      <c r="DH449" s="15" t="s">
        <v>17982</v>
      </c>
      <c r="DI449" s="15" t="s">
        <v>17982</v>
      </c>
    </row>
    <row r="450" spans="1:113" s="15" customFormat="1" ht="12.75" x14ac:dyDescent="0.2">
      <c r="A450" s="15" t="s">
        <v>109</v>
      </c>
      <c r="B450" s="15" t="s">
        <v>110</v>
      </c>
      <c r="D450" s="15" t="s">
        <v>383</v>
      </c>
      <c r="E450" s="15" t="s">
        <v>112</v>
      </c>
      <c r="F450" s="15" t="s">
        <v>383</v>
      </c>
      <c r="G450" s="15" t="s">
        <v>113</v>
      </c>
      <c r="H450" s="15" t="s">
        <v>383</v>
      </c>
      <c r="J450" s="16" t="s">
        <v>114</v>
      </c>
      <c r="U450" s="15" t="s">
        <v>17977</v>
      </c>
      <c r="W450" s="15">
        <v>1516</v>
      </c>
      <c r="X450" s="15">
        <v>460</v>
      </c>
      <c r="Y450" s="15" t="s">
        <v>160</v>
      </c>
      <c r="Z450" s="15" t="s">
        <v>161</v>
      </c>
      <c r="AA450" s="15" t="s">
        <v>162</v>
      </c>
      <c r="AB450" s="15" t="s">
        <v>7780</v>
      </c>
      <c r="AC450" s="15" t="s">
        <v>7780</v>
      </c>
      <c r="AD450" s="15" t="s">
        <v>7781</v>
      </c>
      <c r="AE450" s="15" t="s">
        <v>164</v>
      </c>
      <c r="AF450" s="15" t="s">
        <v>7781</v>
      </c>
      <c r="AG450" s="15" t="s">
        <v>7780</v>
      </c>
      <c r="AH450" s="20" t="s">
        <v>7782</v>
      </c>
      <c r="AL450" s="15" t="s">
        <v>7783</v>
      </c>
      <c r="AN450" s="15">
        <v>743</v>
      </c>
      <c r="AO450" s="15" t="s">
        <v>7784</v>
      </c>
      <c r="AQ450" s="15" t="s">
        <v>1735</v>
      </c>
      <c r="AT450" s="15" t="s">
        <v>7785</v>
      </c>
      <c r="AU450" s="15" t="s">
        <v>7786</v>
      </c>
      <c r="AV450" s="15" t="s">
        <v>7786</v>
      </c>
      <c r="AW450" s="15" t="s">
        <v>7787</v>
      </c>
      <c r="AX450" s="15" t="s">
        <v>7788</v>
      </c>
      <c r="AY450" s="21">
        <f t="shared" si="8"/>
        <v>59</v>
      </c>
      <c r="AZ450" s="15" t="s">
        <v>1740</v>
      </c>
      <c r="BA450" s="15" t="s">
        <v>174</v>
      </c>
      <c r="BB450" s="15" t="s">
        <v>7738</v>
      </c>
      <c r="BF450" s="15" t="s">
        <v>7789</v>
      </c>
      <c r="BI450" s="15" t="s">
        <v>1083</v>
      </c>
      <c r="BJ450" s="15" t="s">
        <v>7790</v>
      </c>
      <c r="BN450" s="15" t="s">
        <v>179</v>
      </c>
      <c r="BP450" s="15" t="s">
        <v>138</v>
      </c>
      <c r="BR450" s="15" t="s">
        <v>7791</v>
      </c>
      <c r="BS450" s="15" t="s">
        <v>7792</v>
      </c>
      <c r="DH450" s="15" t="s">
        <v>17982</v>
      </c>
      <c r="DI450" s="15" t="s">
        <v>17982</v>
      </c>
    </row>
    <row r="451" spans="1:113" s="15" customFormat="1" ht="12.75" x14ac:dyDescent="0.2">
      <c r="A451" s="15" t="s">
        <v>109</v>
      </c>
      <c r="B451" s="15" t="s">
        <v>110</v>
      </c>
      <c r="D451" s="15" t="s">
        <v>383</v>
      </c>
      <c r="E451" s="15" t="s">
        <v>112</v>
      </c>
      <c r="F451" s="15" t="s">
        <v>383</v>
      </c>
      <c r="G451" s="15" t="s">
        <v>113</v>
      </c>
      <c r="H451" s="15" t="s">
        <v>383</v>
      </c>
      <c r="J451" s="16" t="s">
        <v>114</v>
      </c>
      <c r="U451" s="15" t="s">
        <v>17977</v>
      </c>
      <c r="W451" s="15">
        <v>447</v>
      </c>
      <c r="X451" s="15">
        <v>461</v>
      </c>
      <c r="Y451" s="15" t="s">
        <v>160</v>
      </c>
      <c r="Z451" s="15" t="s">
        <v>161</v>
      </c>
      <c r="AA451" s="15" t="s">
        <v>162</v>
      </c>
      <c r="AB451" s="15" t="s">
        <v>1730</v>
      </c>
      <c r="AC451" s="15" t="s">
        <v>1730</v>
      </c>
      <c r="AD451" s="15" t="s">
        <v>1731</v>
      </c>
      <c r="AE451" s="15" t="s">
        <v>164</v>
      </c>
      <c r="AF451" s="15" t="s">
        <v>1731</v>
      </c>
      <c r="AG451" s="15" t="s">
        <v>1730</v>
      </c>
      <c r="AH451" s="20" t="s">
        <v>1732</v>
      </c>
      <c r="AL451" s="15" t="s">
        <v>1733</v>
      </c>
      <c r="AN451" s="15">
        <v>743</v>
      </c>
      <c r="AO451" s="15" t="s">
        <v>1734</v>
      </c>
      <c r="AQ451" s="15" t="s">
        <v>1735</v>
      </c>
      <c r="AT451" s="15" t="s">
        <v>1736</v>
      </c>
      <c r="AU451" s="15" t="s">
        <v>1737</v>
      </c>
      <c r="AV451" s="15" t="s">
        <v>1737</v>
      </c>
      <c r="AW451" s="15" t="s">
        <v>1738</v>
      </c>
      <c r="AX451" s="15" t="s">
        <v>1739</v>
      </c>
      <c r="AY451" s="21">
        <f t="shared" si="8"/>
        <v>57</v>
      </c>
      <c r="AZ451" s="15" t="s">
        <v>1740</v>
      </c>
      <c r="BA451" s="15" t="s">
        <v>174</v>
      </c>
      <c r="BB451" s="15" t="s">
        <v>1741</v>
      </c>
      <c r="BF451" s="15" t="s">
        <v>1742</v>
      </c>
      <c r="BI451" s="15" t="s">
        <v>1083</v>
      </c>
      <c r="BJ451" s="15" t="s">
        <v>1743</v>
      </c>
      <c r="BN451" s="15" t="s">
        <v>179</v>
      </c>
      <c r="BP451" s="15" t="s">
        <v>138</v>
      </c>
      <c r="BS451" s="15" t="s">
        <v>1744</v>
      </c>
      <c r="DH451" s="15" t="s">
        <v>17982</v>
      </c>
      <c r="DI451" s="15" t="s">
        <v>17982</v>
      </c>
    </row>
    <row r="452" spans="1:113" s="15" customFormat="1" ht="12.75" x14ac:dyDescent="0.2">
      <c r="A452" s="15" t="s">
        <v>109</v>
      </c>
      <c r="B452" s="15" t="s">
        <v>110</v>
      </c>
      <c r="D452" s="15" t="s">
        <v>383</v>
      </c>
      <c r="E452" s="15" t="s">
        <v>112</v>
      </c>
      <c r="F452" s="15" t="s">
        <v>383</v>
      </c>
      <c r="G452" s="15" t="s">
        <v>113</v>
      </c>
      <c r="H452" s="15" t="s">
        <v>383</v>
      </c>
      <c r="J452" s="16" t="s">
        <v>114</v>
      </c>
      <c r="U452" s="15" t="s">
        <v>17977</v>
      </c>
      <c r="W452" s="15">
        <v>732</v>
      </c>
      <c r="X452" s="15">
        <v>462</v>
      </c>
      <c r="Y452" s="15" t="s">
        <v>160</v>
      </c>
      <c r="Z452" s="15" t="s">
        <v>161</v>
      </c>
      <c r="AA452" s="15" t="s">
        <v>162</v>
      </c>
      <c r="AB452" s="15" t="s">
        <v>3026</v>
      </c>
      <c r="AC452" s="15" t="s">
        <v>3026</v>
      </c>
      <c r="AD452" s="15" t="s">
        <v>3026</v>
      </c>
      <c r="AE452" s="15" t="s">
        <v>164</v>
      </c>
      <c r="AF452" s="15" t="s">
        <v>3026</v>
      </c>
      <c r="AG452" s="15" t="s">
        <v>3026</v>
      </c>
      <c r="AH452" s="20" t="s">
        <v>3027</v>
      </c>
      <c r="AL452" s="15" t="s">
        <v>3028</v>
      </c>
      <c r="AN452" s="15">
        <v>743</v>
      </c>
      <c r="AO452" s="15" t="s">
        <v>3029</v>
      </c>
      <c r="AQ452" s="15" t="s">
        <v>912</v>
      </c>
      <c r="AT452" s="15" t="s">
        <v>3030</v>
      </c>
      <c r="AU452" s="15" t="s">
        <v>3031</v>
      </c>
      <c r="AV452" s="15" t="s">
        <v>3031</v>
      </c>
      <c r="AW452" s="15" t="s">
        <v>3032</v>
      </c>
      <c r="AX452" s="15" t="s">
        <v>3033</v>
      </c>
      <c r="AY452" s="21">
        <f t="shared" si="8"/>
        <v>57</v>
      </c>
      <c r="AZ452" s="15" t="s">
        <v>917</v>
      </c>
      <c r="BA452" s="15" t="s">
        <v>174</v>
      </c>
      <c r="BB452" s="15" t="s">
        <v>2370</v>
      </c>
      <c r="BD452" s="15" t="s">
        <v>3021</v>
      </c>
      <c r="BF452" s="15" t="s">
        <v>3034</v>
      </c>
      <c r="BI452" s="15" t="s">
        <v>1083</v>
      </c>
      <c r="BJ452" s="15" t="s">
        <v>3023</v>
      </c>
      <c r="BK452" s="15" t="s">
        <v>3024</v>
      </c>
      <c r="BN452" s="15" t="s">
        <v>179</v>
      </c>
      <c r="BP452" s="15" t="s">
        <v>138</v>
      </c>
      <c r="BS452" s="15" t="s">
        <v>3035</v>
      </c>
      <c r="DH452" s="15" t="s">
        <v>17982</v>
      </c>
      <c r="DI452" s="15" t="s">
        <v>17982</v>
      </c>
    </row>
    <row r="453" spans="1:113" s="15" customFormat="1" ht="12.75" x14ac:dyDescent="0.2">
      <c r="A453" s="15" t="s">
        <v>109</v>
      </c>
      <c r="B453" s="15" t="s">
        <v>110</v>
      </c>
      <c r="D453" s="15" t="s">
        <v>383</v>
      </c>
      <c r="E453" s="15" t="s">
        <v>112</v>
      </c>
      <c r="F453" s="15" t="s">
        <v>383</v>
      </c>
      <c r="G453" s="15" t="s">
        <v>113</v>
      </c>
      <c r="H453" s="15" t="s">
        <v>383</v>
      </c>
      <c r="J453" s="16" t="s">
        <v>114</v>
      </c>
      <c r="U453" s="15" t="s">
        <v>17977</v>
      </c>
      <c r="W453" s="15">
        <v>731</v>
      </c>
      <c r="X453" s="15">
        <v>463</v>
      </c>
      <c r="Y453" s="15" t="s">
        <v>160</v>
      </c>
      <c r="Z453" s="15" t="s">
        <v>161</v>
      </c>
      <c r="AA453" s="15" t="s">
        <v>162</v>
      </c>
      <c r="AB453" s="15" t="s">
        <v>3013</v>
      </c>
      <c r="AC453" s="15" t="s">
        <v>3013</v>
      </c>
      <c r="AD453" s="15" t="s">
        <v>3013</v>
      </c>
      <c r="AE453" s="15" t="s">
        <v>164</v>
      </c>
      <c r="AF453" s="15" t="s">
        <v>3013</v>
      </c>
      <c r="AG453" s="15" t="s">
        <v>3013</v>
      </c>
      <c r="AH453" s="20" t="s">
        <v>3014</v>
      </c>
      <c r="AL453" s="15" t="s">
        <v>3015</v>
      </c>
      <c r="AN453" s="15">
        <v>743</v>
      </c>
      <c r="AO453" s="15" t="s">
        <v>3016</v>
      </c>
      <c r="AQ453" s="15" t="s">
        <v>912</v>
      </c>
      <c r="AT453" s="15" t="s">
        <v>3017</v>
      </c>
      <c r="AU453" s="15" t="s">
        <v>3018</v>
      </c>
      <c r="AV453" s="15" t="s">
        <v>3018</v>
      </c>
      <c r="AW453" s="15" t="s">
        <v>3019</v>
      </c>
      <c r="AX453" s="15" t="s">
        <v>3020</v>
      </c>
      <c r="AY453" s="21">
        <f t="shared" si="8"/>
        <v>57</v>
      </c>
      <c r="AZ453" s="15" t="s">
        <v>917</v>
      </c>
      <c r="BA453" s="15" t="s">
        <v>174</v>
      </c>
      <c r="BB453" s="15" t="s">
        <v>2370</v>
      </c>
      <c r="BD453" s="15" t="s">
        <v>3021</v>
      </c>
      <c r="BF453" s="15" t="s">
        <v>3022</v>
      </c>
      <c r="BI453" s="15" t="s">
        <v>1083</v>
      </c>
      <c r="BJ453" s="15" t="s">
        <v>3023</v>
      </c>
      <c r="BK453" s="15" t="s">
        <v>3024</v>
      </c>
      <c r="BN453" s="15" t="s">
        <v>179</v>
      </c>
      <c r="BP453" s="15" t="s">
        <v>138</v>
      </c>
      <c r="BS453" s="15" t="s">
        <v>3025</v>
      </c>
      <c r="DH453" s="15" t="s">
        <v>17982</v>
      </c>
      <c r="DI453" s="15" t="s">
        <v>17982</v>
      </c>
    </row>
    <row r="454" spans="1:113" s="15" customFormat="1" ht="12.75" x14ac:dyDescent="0.2">
      <c r="A454" s="15" t="s">
        <v>109</v>
      </c>
      <c r="B454" s="15" t="s">
        <v>110</v>
      </c>
      <c r="D454" s="15" t="s">
        <v>383</v>
      </c>
      <c r="E454" s="15" t="s">
        <v>112</v>
      </c>
      <c r="F454" s="15" t="s">
        <v>383</v>
      </c>
      <c r="G454" s="15" t="s">
        <v>113</v>
      </c>
      <c r="H454" s="15" t="s">
        <v>383</v>
      </c>
      <c r="J454" s="16" t="s">
        <v>114</v>
      </c>
      <c r="U454" s="15" t="s">
        <v>17977</v>
      </c>
      <c r="W454" s="15">
        <v>3635</v>
      </c>
      <c r="X454" s="15">
        <v>464</v>
      </c>
      <c r="Y454" s="15" t="s">
        <v>160</v>
      </c>
      <c r="Z454" s="15" t="s">
        <v>161</v>
      </c>
      <c r="AA454" s="15" t="s">
        <v>162</v>
      </c>
      <c r="AB454" s="15" t="s">
        <v>17523</v>
      </c>
      <c r="AC454" s="15" t="s">
        <v>17523</v>
      </c>
      <c r="AD454" s="15" t="s">
        <v>17523</v>
      </c>
      <c r="AE454" s="15" t="s">
        <v>164</v>
      </c>
      <c r="AF454" s="15" t="s">
        <v>17523</v>
      </c>
      <c r="AG454" s="15" t="s">
        <v>17523</v>
      </c>
      <c r="AH454" s="20" t="s">
        <v>17524</v>
      </c>
      <c r="AL454" s="15" t="s">
        <v>17525</v>
      </c>
      <c r="AN454" s="15">
        <v>743</v>
      </c>
      <c r="AO454" s="15" t="s">
        <v>17526</v>
      </c>
      <c r="AQ454" s="15" t="s">
        <v>1735</v>
      </c>
      <c r="AT454" s="15" t="s">
        <v>17527</v>
      </c>
      <c r="AU454" s="15" t="s">
        <v>17528</v>
      </c>
      <c r="AV454" s="15" t="s">
        <v>17528</v>
      </c>
      <c r="AW454" s="15" t="s">
        <v>17529</v>
      </c>
      <c r="AX454" s="15" t="s">
        <v>17530</v>
      </c>
      <c r="AY454" s="21">
        <f t="shared" si="8"/>
        <v>57</v>
      </c>
      <c r="AZ454" s="15" t="s">
        <v>1740</v>
      </c>
      <c r="BA454" s="15" t="s">
        <v>174</v>
      </c>
      <c r="BB454" s="15" t="s">
        <v>17531</v>
      </c>
      <c r="BD454" s="15" t="s">
        <v>3021</v>
      </c>
      <c r="BF454" s="15" t="s">
        <v>17532</v>
      </c>
      <c r="BI454" s="15" t="s">
        <v>1083</v>
      </c>
      <c r="BJ454" s="15" t="s">
        <v>17382</v>
      </c>
      <c r="BK454" s="15" t="s">
        <v>3024</v>
      </c>
      <c r="BN454" s="15" t="s">
        <v>179</v>
      </c>
      <c r="BP454" s="15" t="s">
        <v>138</v>
      </c>
      <c r="BS454" s="15" t="s">
        <v>17533</v>
      </c>
      <c r="DH454" s="15" t="s">
        <v>17982</v>
      </c>
      <c r="DI454" s="15" t="s">
        <v>17982</v>
      </c>
    </row>
    <row r="455" spans="1:113" s="15" customFormat="1" ht="12.75" x14ac:dyDescent="0.2">
      <c r="A455" s="15" t="s">
        <v>109</v>
      </c>
      <c r="B455" s="15" t="s">
        <v>110</v>
      </c>
      <c r="D455" s="15" t="s">
        <v>383</v>
      </c>
      <c r="E455" s="15" t="s">
        <v>112</v>
      </c>
      <c r="F455" s="15" t="s">
        <v>383</v>
      </c>
      <c r="G455" s="15" t="s">
        <v>113</v>
      </c>
      <c r="H455" s="15" t="s">
        <v>383</v>
      </c>
      <c r="J455" s="16" t="s">
        <v>114</v>
      </c>
      <c r="U455" s="15" t="s">
        <v>17977</v>
      </c>
      <c r="W455" s="15">
        <v>1255</v>
      </c>
      <c r="X455" s="15">
        <v>465</v>
      </c>
      <c r="Y455" s="15" t="s">
        <v>160</v>
      </c>
      <c r="Z455" s="15" t="s">
        <v>161</v>
      </c>
      <c r="AA455" s="15" t="s">
        <v>162</v>
      </c>
      <c r="AB455" s="15" t="s">
        <v>6442</v>
      </c>
      <c r="AC455" s="15" t="s">
        <v>6442</v>
      </c>
      <c r="AD455" s="15" t="s">
        <v>6442</v>
      </c>
      <c r="AE455" s="15" t="s">
        <v>164</v>
      </c>
      <c r="AF455" s="15" t="s">
        <v>6442</v>
      </c>
      <c r="AG455" s="15" t="s">
        <v>6442</v>
      </c>
      <c r="AH455" s="20" t="s">
        <v>6443</v>
      </c>
      <c r="AL455" s="15" t="s">
        <v>6444</v>
      </c>
      <c r="AN455" s="15">
        <v>743</v>
      </c>
      <c r="AO455" s="15" t="s">
        <v>6445</v>
      </c>
      <c r="AQ455" s="15" t="s">
        <v>1735</v>
      </c>
      <c r="AT455" s="15" t="s">
        <v>6446</v>
      </c>
      <c r="AU455" s="15" t="s">
        <v>6447</v>
      </c>
      <c r="AV455" s="15" t="s">
        <v>6447</v>
      </c>
      <c r="AW455" s="15" t="s">
        <v>6448</v>
      </c>
      <c r="AX455" s="15" t="s">
        <v>6449</v>
      </c>
      <c r="AY455" s="21">
        <f t="shared" si="8"/>
        <v>60</v>
      </c>
      <c r="AZ455" s="15" t="s">
        <v>1740</v>
      </c>
      <c r="BA455" s="15" t="s">
        <v>174</v>
      </c>
      <c r="BB455" s="15" t="s">
        <v>6395</v>
      </c>
      <c r="BD455" s="15" t="s">
        <v>3021</v>
      </c>
      <c r="BF455" s="15" t="s">
        <v>6450</v>
      </c>
      <c r="BI455" s="15" t="s">
        <v>1083</v>
      </c>
      <c r="BJ455" s="15" t="s">
        <v>3023</v>
      </c>
      <c r="BK455" s="15" t="s">
        <v>3024</v>
      </c>
      <c r="BN455" s="15" t="s">
        <v>179</v>
      </c>
      <c r="BP455" s="15" t="s">
        <v>138</v>
      </c>
      <c r="BS455" s="15" t="s">
        <v>6451</v>
      </c>
      <c r="DH455" s="15" t="s">
        <v>17982</v>
      </c>
      <c r="DI455" s="15" t="s">
        <v>17982</v>
      </c>
    </row>
    <row r="456" spans="1:113" s="15" customFormat="1" ht="12.75" x14ac:dyDescent="0.2">
      <c r="A456" s="15" t="s">
        <v>109</v>
      </c>
      <c r="B456" s="15" t="s">
        <v>110</v>
      </c>
      <c r="D456" s="15" t="s">
        <v>383</v>
      </c>
      <c r="E456" s="15" t="s">
        <v>112</v>
      </c>
      <c r="F456" s="15" t="s">
        <v>383</v>
      </c>
      <c r="G456" s="15" t="s">
        <v>113</v>
      </c>
      <c r="H456" s="15" t="s">
        <v>383</v>
      </c>
      <c r="J456" s="16" t="s">
        <v>114</v>
      </c>
      <c r="U456" s="15" t="s">
        <v>17977</v>
      </c>
      <c r="W456" s="15">
        <v>1256</v>
      </c>
      <c r="X456" s="15">
        <v>466</v>
      </c>
      <c r="Y456" s="15" t="s">
        <v>160</v>
      </c>
      <c r="Z456" s="15" t="s">
        <v>161</v>
      </c>
      <c r="AA456" s="15" t="s">
        <v>162</v>
      </c>
      <c r="AB456" s="15" t="s">
        <v>6452</v>
      </c>
      <c r="AC456" s="15" t="s">
        <v>6452</v>
      </c>
      <c r="AD456" s="15" t="s">
        <v>6452</v>
      </c>
      <c r="AE456" s="15" t="s">
        <v>164</v>
      </c>
      <c r="AF456" s="15" t="s">
        <v>6452</v>
      </c>
      <c r="AG456" s="15" t="s">
        <v>6452</v>
      </c>
      <c r="AH456" s="20" t="s">
        <v>6453</v>
      </c>
      <c r="AL456" s="15" t="s">
        <v>6454</v>
      </c>
      <c r="AN456" s="15">
        <v>743</v>
      </c>
      <c r="AO456" s="15" t="s">
        <v>6455</v>
      </c>
      <c r="AQ456" s="15" t="s">
        <v>1735</v>
      </c>
      <c r="AT456" s="15" t="s">
        <v>6456</v>
      </c>
      <c r="AU456" s="15" t="s">
        <v>6457</v>
      </c>
      <c r="AV456" s="15" t="s">
        <v>6457</v>
      </c>
      <c r="AW456" s="15" t="s">
        <v>6458</v>
      </c>
      <c r="AX456" s="15" t="s">
        <v>6459</v>
      </c>
      <c r="AY456" s="21">
        <f t="shared" si="8"/>
        <v>60</v>
      </c>
      <c r="AZ456" s="15" t="s">
        <v>1740</v>
      </c>
      <c r="BA456" s="15" t="s">
        <v>174</v>
      </c>
      <c r="BB456" s="15" t="s">
        <v>6395</v>
      </c>
      <c r="BD456" s="15" t="s">
        <v>3021</v>
      </c>
      <c r="BF456" s="15" t="s">
        <v>6460</v>
      </c>
      <c r="BI456" s="15" t="s">
        <v>1083</v>
      </c>
      <c r="BJ456" s="15" t="s">
        <v>3023</v>
      </c>
      <c r="BK456" s="15" t="s">
        <v>3024</v>
      </c>
      <c r="BN456" s="15" t="s">
        <v>179</v>
      </c>
      <c r="BP456" s="15" t="s">
        <v>138</v>
      </c>
      <c r="BS456" s="15" t="s">
        <v>6461</v>
      </c>
      <c r="DH456" s="15" t="s">
        <v>17982</v>
      </c>
      <c r="DI456" s="15" t="s">
        <v>17982</v>
      </c>
    </row>
    <row r="457" spans="1:113" s="15" customFormat="1" ht="12.75" x14ac:dyDescent="0.2">
      <c r="A457" s="15" t="s">
        <v>109</v>
      </c>
      <c r="B457" s="15" t="s">
        <v>110</v>
      </c>
      <c r="D457" s="15" t="s">
        <v>383</v>
      </c>
      <c r="E457" s="15" t="s">
        <v>112</v>
      </c>
      <c r="F457" s="15" t="s">
        <v>383</v>
      </c>
      <c r="G457" s="15" t="s">
        <v>113</v>
      </c>
      <c r="H457" s="15" t="s">
        <v>383</v>
      </c>
      <c r="J457" s="16" t="s">
        <v>114</v>
      </c>
      <c r="U457" s="15" t="s">
        <v>17977</v>
      </c>
      <c r="W457" s="15">
        <v>3595</v>
      </c>
      <c r="X457" s="15">
        <v>467</v>
      </c>
      <c r="Y457" s="15" t="s">
        <v>160</v>
      </c>
      <c r="Z457" s="15" t="s">
        <v>161</v>
      </c>
      <c r="AA457" s="15" t="s">
        <v>162</v>
      </c>
      <c r="AB457" s="15" t="s">
        <v>17372</v>
      </c>
      <c r="AC457" s="15" t="s">
        <v>17372</v>
      </c>
      <c r="AD457" s="15" t="s">
        <v>17372</v>
      </c>
      <c r="AE457" s="15" t="s">
        <v>164</v>
      </c>
      <c r="AF457" s="15" t="s">
        <v>17372</v>
      </c>
      <c r="AG457" s="15" t="s">
        <v>17372</v>
      </c>
      <c r="AH457" s="20" t="s">
        <v>17373</v>
      </c>
      <c r="AL457" s="15" t="s">
        <v>17374</v>
      </c>
      <c r="AN457" s="15">
        <v>743</v>
      </c>
      <c r="AO457" s="15" t="s">
        <v>17375</v>
      </c>
      <c r="AQ457" s="15" t="s">
        <v>1735</v>
      </c>
      <c r="AT457" s="15" t="s">
        <v>17376</v>
      </c>
      <c r="AU457" s="15" t="s">
        <v>17377</v>
      </c>
      <c r="AV457" s="15" t="s">
        <v>17377</v>
      </c>
      <c r="AW457" s="15" t="s">
        <v>17378</v>
      </c>
      <c r="AX457" s="15" t="s">
        <v>17379</v>
      </c>
      <c r="AY457" s="21">
        <f t="shared" si="8"/>
        <v>58</v>
      </c>
      <c r="AZ457" s="15" t="s">
        <v>1740</v>
      </c>
      <c r="BA457" s="15" t="s">
        <v>174</v>
      </c>
      <c r="BB457" s="15" t="s">
        <v>17380</v>
      </c>
      <c r="BD457" s="15" t="s">
        <v>3021</v>
      </c>
      <c r="BF457" s="15" t="s">
        <v>17381</v>
      </c>
      <c r="BI457" s="15" t="s">
        <v>1083</v>
      </c>
      <c r="BJ457" s="15" t="s">
        <v>17382</v>
      </c>
      <c r="BK457" s="15" t="s">
        <v>3024</v>
      </c>
      <c r="BN457" s="15" t="s">
        <v>179</v>
      </c>
      <c r="BP457" s="15" t="s">
        <v>138</v>
      </c>
      <c r="BS457" s="15" t="s">
        <v>17383</v>
      </c>
      <c r="DH457" s="15" t="s">
        <v>17982</v>
      </c>
      <c r="DI457" s="15" t="s">
        <v>17982</v>
      </c>
    </row>
    <row r="458" spans="1:113" s="15" customFormat="1" ht="12.75" x14ac:dyDescent="0.2">
      <c r="A458" s="15" t="s">
        <v>109</v>
      </c>
      <c r="B458" s="15" t="s">
        <v>110</v>
      </c>
      <c r="D458" s="15" t="s">
        <v>383</v>
      </c>
      <c r="E458" s="15" t="s">
        <v>112</v>
      </c>
      <c r="F458" s="15" t="s">
        <v>383</v>
      </c>
      <c r="G458" s="15" t="s">
        <v>113</v>
      </c>
      <c r="H458" s="15" t="s">
        <v>383</v>
      </c>
      <c r="J458" s="16" t="s">
        <v>114</v>
      </c>
      <c r="U458" s="15" t="s">
        <v>17977</v>
      </c>
      <c r="W458" s="15">
        <v>733</v>
      </c>
      <c r="X458" s="15">
        <v>468</v>
      </c>
      <c r="Y458" s="15" t="s">
        <v>160</v>
      </c>
      <c r="Z458" s="15" t="s">
        <v>161</v>
      </c>
      <c r="AA458" s="15" t="s">
        <v>162</v>
      </c>
      <c r="AB458" s="15" t="s">
        <v>3036</v>
      </c>
      <c r="AC458" s="15" t="s">
        <v>3036</v>
      </c>
      <c r="AD458" s="15" t="s">
        <v>3037</v>
      </c>
      <c r="AE458" s="15" t="s">
        <v>164</v>
      </c>
      <c r="AF458" s="15" t="s">
        <v>3037</v>
      </c>
      <c r="AG458" s="15" t="s">
        <v>3036</v>
      </c>
      <c r="AH458" s="20" t="s">
        <v>3038</v>
      </c>
      <c r="AL458" s="15" t="s">
        <v>3039</v>
      </c>
      <c r="AN458" s="15">
        <v>743</v>
      </c>
      <c r="AO458" s="15" t="s">
        <v>3040</v>
      </c>
      <c r="AQ458" s="15" t="s">
        <v>912</v>
      </c>
      <c r="AT458" s="15" t="s">
        <v>3041</v>
      </c>
      <c r="AU458" s="15" t="s">
        <v>3042</v>
      </c>
      <c r="AV458" s="15" t="s">
        <v>3042</v>
      </c>
      <c r="AW458" s="15" t="s">
        <v>3043</v>
      </c>
      <c r="AX458" s="15" t="s">
        <v>3044</v>
      </c>
      <c r="AY458" s="21">
        <f t="shared" si="8"/>
        <v>58</v>
      </c>
      <c r="AZ458" s="15" t="s">
        <v>917</v>
      </c>
      <c r="BA458" s="15" t="s">
        <v>174</v>
      </c>
      <c r="BB458" s="15" t="s">
        <v>2370</v>
      </c>
      <c r="BD458" s="15" t="s">
        <v>3045</v>
      </c>
      <c r="BF458" s="15" t="s">
        <v>3046</v>
      </c>
      <c r="BI458" s="15" t="s">
        <v>2844</v>
      </c>
      <c r="BJ458" s="15" t="s">
        <v>3023</v>
      </c>
      <c r="BK458" s="15" t="s">
        <v>487</v>
      </c>
      <c r="BN458" s="15" t="s">
        <v>179</v>
      </c>
      <c r="BP458" s="15" t="s">
        <v>138</v>
      </c>
      <c r="BS458" s="15" t="s">
        <v>3047</v>
      </c>
      <c r="DH458" s="15" t="s">
        <v>17982</v>
      </c>
      <c r="DI458" s="15" t="s">
        <v>17982</v>
      </c>
    </row>
    <row r="459" spans="1:113" s="15" customFormat="1" ht="12.75" x14ac:dyDescent="0.2">
      <c r="A459" s="15" t="s">
        <v>109</v>
      </c>
      <c r="B459" s="15" t="s">
        <v>110</v>
      </c>
      <c r="D459" s="15" t="s">
        <v>383</v>
      </c>
      <c r="E459" s="15" t="s">
        <v>112</v>
      </c>
      <c r="F459" s="15" t="s">
        <v>383</v>
      </c>
      <c r="G459" s="15" t="s">
        <v>113</v>
      </c>
      <c r="H459" s="15" t="s">
        <v>383</v>
      </c>
      <c r="J459" s="16" t="s">
        <v>114</v>
      </c>
      <c r="U459" s="15" t="s">
        <v>17977</v>
      </c>
      <c r="W459" s="15">
        <v>734</v>
      </c>
      <c r="X459" s="15">
        <v>469</v>
      </c>
      <c r="Y459" s="15" t="s">
        <v>160</v>
      </c>
      <c r="Z459" s="15" t="s">
        <v>161</v>
      </c>
      <c r="AA459" s="15" t="s">
        <v>162</v>
      </c>
      <c r="AB459" s="15" t="s">
        <v>3048</v>
      </c>
      <c r="AC459" s="15" t="s">
        <v>3048</v>
      </c>
      <c r="AD459" s="15" t="s">
        <v>3049</v>
      </c>
      <c r="AE459" s="15" t="s">
        <v>164</v>
      </c>
      <c r="AF459" s="15" t="s">
        <v>3049</v>
      </c>
      <c r="AG459" s="15" t="s">
        <v>3048</v>
      </c>
      <c r="AH459" s="20" t="s">
        <v>3050</v>
      </c>
      <c r="AL459" s="15" t="s">
        <v>3051</v>
      </c>
      <c r="AN459" s="15">
        <v>743</v>
      </c>
      <c r="AO459" s="15" t="s">
        <v>3052</v>
      </c>
      <c r="AQ459" s="15" t="s">
        <v>912</v>
      </c>
      <c r="AT459" s="15" t="s">
        <v>3053</v>
      </c>
      <c r="AU459" s="15" t="s">
        <v>3054</v>
      </c>
      <c r="AV459" s="15" t="s">
        <v>3054</v>
      </c>
      <c r="AW459" s="15" t="s">
        <v>3055</v>
      </c>
      <c r="AX459" s="15" t="s">
        <v>3056</v>
      </c>
      <c r="AY459" s="21">
        <f t="shared" si="8"/>
        <v>58</v>
      </c>
      <c r="AZ459" s="15" t="s">
        <v>917</v>
      </c>
      <c r="BA459" s="15" t="s">
        <v>174</v>
      </c>
      <c r="BB459" s="15" t="s">
        <v>2370</v>
      </c>
      <c r="BD459" s="15" t="s">
        <v>3057</v>
      </c>
      <c r="BF459" s="15" t="s">
        <v>3058</v>
      </c>
      <c r="BI459" s="15" t="s">
        <v>2844</v>
      </c>
      <c r="BJ459" s="15" t="s">
        <v>3023</v>
      </c>
      <c r="BK459" s="15" t="s">
        <v>487</v>
      </c>
      <c r="BN459" s="15" t="s">
        <v>179</v>
      </c>
      <c r="BP459" s="15" t="s">
        <v>138</v>
      </c>
      <c r="BS459" s="15" t="s">
        <v>3059</v>
      </c>
      <c r="DH459" s="15" t="s">
        <v>17982</v>
      </c>
      <c r="DI459" s="15" t="s">
        <v>17982</v>
      </c>
    </row>
    <row r="460" spans="1:113" s="15" customFormat="1" ht="12.75" x14ac:dyDescent="0.2">
      <c r="A460" s="15" t="s">
        <v>109</v>
      </c>
      <c r="B460" s="15" t="s">
        <v>110</v>
      </c>
      <c r="D460" s="15" t="s">
        <v>383</v>
      </c>
      <c r="E460" s="15" t="s">
        <v>112</v>
      </c>
      <c r="F460" s="15" t="s">
        <v>383</v>
      </c>
      <c r="G460" s="15" t="s">
        <v>113</v>
      </c>
      <c r="H460" s="15" t="s">
        <v>383</v>
      </c>
      <c r="J460" s="16" t="s">
        <v>114</v>
      </c>
      <c r="U460" s="15" t="s">
        <v>17977</v>
      </c>
      <c r="W460" s="15">
        <v>737</v>
      </c>
      <c r="X460" s="15">
        <v>470</v>
      </c>
      <c r="Y460" s="15" t="s">
        <v>160</v>
      </c>
      <c r="Z460" s="15" t="s">
        <v>161</v>
      </c>
      <c r="AA460" s="15" t="s">
        <v>162</v>
      </c>
      <c r="AB460" s="15" t="s">
        <v>3082</v>
      </c>
      <c r="AC460" s="15" t="s">
        <v>3082</v>
      </c>
      <c r="AD460" s="15" t="s">
        <v>3082</v>
      </c>
      <c r="AE460" s="15" t="s">
        <v>164</v>
      </c>
      <c r="AF460" s="15" t="s">
        <v>3082</v>
      </c>
      <c r="AG460" s="15" t="s">
        <v>3082</v>
      </c>
      <c r="AH460" s="20" t="s">
        <v>3083</v>
      </c>
      <c r="AL460" s="15" t="s">
        <v>3084</v>
      </c>
      <c r="AN460" s="15">
        <v>743</v>
      </c>
      <c r="AO460" s="15" t="s">
        <v>3085</v>
      </c>
      <c r="AQ460" s="15" t="s">
        <v>912</v>
      </c>
      <c r="AT460" s="15" t="s">
        <v>3086</v>
      </c>
      <c r="AU460" s="15" t="s">
        <v>3087</v>
      </c>
      <c r="AV460" s="15" t="s">
        <v>3087</v>
      </c>
      <c r="AW460" s="15" t="s">
        <v>3088</v>
      </c>
      <c r="AX460" s="15" t="s">
        <v>3089</v>
      </c>
      <c r="AY460" s="21">
        <f t="shared" si="8"/>
        <v>58</v>
      </c>
      <c r="AZ460" s="15" t="s">
        <v>917</v>
      </c>
      <c r="BA460" s="15" t="s">
        <v>174</v>
      </c>
      <c r="BB460" s="15" t="s">
        <v>2370</v>
      </c>
      <c r="BD460" s="15" t="s">
        <v>3021</v>
      </c>
      <c r="BF460" s="15" t="s">
        <v>3090</v>
      </c>
      <c r="BI460" s="15" t="s">
        <v>2844</v>
      </c>
      <c r="BJ460" s="15" t="s">
        <v>3023</v>
      </c>
      <c r="BK460" s="15" t="s">
        <v>3024</v>
      </c>
      <c r="BN460" s="15" t="s">
        <v>179</v>
      </c>
      <c r="BP460" s="15" t="s">
        <v>138</v>
      </c>
      <c r="BS460" s="15" t="s">
        <v>3091</v>
      </c>
      <c r="DH460" s="15" t="s">
        <v>17982</v>
      </c>
      <c r="DI460" s="15" t="s">
        <v>17982</v>
      </c>
    </row>
    <row r="461" spans="1:113" s="15" customFormat="1" ht="12.75" x14ac:dyDescent="0.2">
      <c r="A461" s="15" t="s">
        <v>109</v>
      </c>
      <c r="B461" s="15" t="s">
        <v>110</v>
      </c>
      <c r="D461" s="15" t="s">
        <v>383</v>
      </c>
      <c r="E461" s="15" t="s">
        <v>112</v>
      </c>
      <c r="F461" s="15" t="s">
        <v>383</v>
      </c>
      <c r="G461" s="15" t="s">
        <v>113</v>
      </c>
      <c r="H461" s="15" t="s">
        <v>383</v>
      </c>
      <c r="J461" s="16" t="s">
        <v>114</v>
      </c>
      <c r="U461" s="15" t="s">
        <v>17977</v>
      </c>
      <c r="W461" s="15">
        <v>735</v>
      </c>
      <c r="X461" s="15">
        <v>471</v>
      </c>
      <c r="Y461" s="15" t="s">
        <v>160</v>
      </c>
      <c r="Z461" s="15" t="s">
        <v>161</v>
      </c>
      <c r="AA461" s="15" t="s">
        <v>162</v>
      </c>
      <c r="AB461" s="15" t="s">
        <v>3060</v>
      </c>
      <c r="AC461" s="15" t="s">
        <v>3060</v>
      </c>
      <c r="AD461" s="15" t="s">
        <v>3060</v>
      </c>
      <c r="AE461" s="15" t="s">
        <v>164</v>
      </c>
      <c r="AF461" s="15" t="s">
        <v>3060</v>
      </c>
      <c r="AG461" s="15" t="s">
        <v>3060</v>
      </c>
      <c r="AH461" s="20" t="s">
        <v>3061</v>
      </c>
      <c r="AL461" s="15" t="s">
        <v>3062</v>
      </c>
      <c r="AN461" s="15">
        <v>743</v>
      </c>
      <c r="AO461" s="15" t="s">
        <v>3063</v>
      </c>
      <c r="AQ461" s="15" t="s">
        <v>912</v>
      </c>
      <c r="AT461" s="15" t="s">
        <v>3064</v>
      </c>
      <c r="AU461" s="15" t="s">
        <v>3065</v>
      </c>
      <c r="AV461" s="15" t="s">
        <v>3065</v>
      </c>
      <c r="AW461" s="15" t="s">
        <v>3066</v>
      </c>
      <c r="AX461" s="15" t="s">
        <v>3067</v>
      </c>
      <c r="AY461" s="21">
        <f t="shared" si="8"/>
        <v>54</v>
      </c>
      <c r="AZ461" s="15" t="s">
        <v>917</v>
      </c>
      <c r="BA461" s="15" t="s">
        <v>174</v>
      </c>
      <c r="BB461" s="15" t="s">
        <v>2370</v>
      </c>
      <c r="BD461" s="15" t="s">
        <v>3068</v>
      </c>
      <c r="BF461" s="15" t="s">
        <v>3069</v>
      </c>
      <c r="BI461" s="15" t="s">
        <v>2844</v>
      </c>
      <c r="BJ461" s="15" t="s">
        <v>3023</v>
      </c>
      <c r="BK461" s="15" t="s">
        <v>3024</v>
      </c>
      <c r="BN461" s="15" t="s">
        <v>179</v>
      </c>
      <c r="BP461" s="15" t="s">
        <v>138</v>
      </c>
      <c r="BS461" s="15" t="s">
        <v>3070</v>
      </c>
      <c r="DH461" s="15" t="s">
        <v>17982</v>
      </c>
      <c r="DI461" s="15" t="s">
        <v>17982</v>
      </c>
    </row>
    <row r="462" spans="1:113" s="15" customFormat="1" ht="12.75" x14ac:dyDescent="0.2">
      <c r="A462" s="15" t="s">
        <v>109</v>
      </c>
      <c r="B462" s="15" t="s">
        <v>110</v>
      </c>
      <c r="D462" s="15" t="s">
        <v>383</v>
      </c>
      <c r="E462" s="15" t="s">
        <v>112</v>
      </c>
      <c r="F462" s="15" t="s">
        <v>383</v>
      </c>
      <c r="G462" s="15" t="s">
        <v>113</v>
      </c>
      <c r="H462" s="15" t="s">
        <v>383</v>
      </c>
      <c r="J462" s="16" t="s">
        <v>114</v>
      </c>
      <c r="U462" s="15" t="s">
        <v>17977</v>
      </c>
      <c r="W462" s="15">
        <v>736</v>
      </c>
      <c r="X462" s="15">
        <v>472</v>
      </c>
      <c r="Y462" s="15" t="s">
        <v>160</v>
      </c>
      <c r="Z462" s="15" t="s">
        <v>161</v>
      </c>
      <c r="AA462" s="15" t="s">
        <v>162</v>
      </c>
      <c r="AB462" s="15" t="s">
        <v>3071</v>
      </c>
      <c r="AC462" s="15" t="s">
        <v>3071</v>
      </c>
      <c r="AD462" s="15" t="s">
        <v>3071</v>
      </c>
      <c r="AE462" s="15" t="s">
        <v>164</v>
      </c>
      <c r="AF462" s="15" t="s">
        <v>3071</v>
      </c>
      <c r="AG462" s="15" t="s">
        <v>3071</v>
      </c>
      <c r="AH462" s="20" t="s">
        <v>3072</v>
      </c>
      <c r="AL462" s="15" t="s">
        <v>3073</v>
      </c>
      <c r="AN462" s="15">
        <v>743</v>
      </c>
      <c r="AO462" s="15" t="s">
        <v>3074</v>
      </c>
      <c r="AQ462" s="15" t="s">
        <v>912</v>
      </c>
      <c r="AT462" s="15" t="s">
        <v>3075</v>
      </c>
      <c r="AU462" s="15" t="s">
        <v>3076</v>
      </c>
      <c r="AV462" s="15" t="s">
        <v>3076</v>
      </c>
      <c r="AW462" s="15" t="s">
        <v>3077</v>
      </c>
      <c r="AX462" s="15" t="s">
        <v>3078</v>
      </c>
      <c r="AY462" s="21">
        <f t="shared" si="8"/>
        <v>57</v>
      </c>
      <c r="AZ462" s="15" t="s">
        <v>917</v>
      </c>
      <c r="BA462" s="15" t="s">
        <v>174</v>
      </c>
      <c r="BB462" s="15" t="s">
        <v>2370</v>
      </c>
      <c r="BC462" s="15" t="s">
        <v>1055</v>
      </c>
      <c r="BD462" s="15" t="s">
        <v>3021</v>
      </c>
      <c r="BF462" s="15" t="s">
        <v>3079</v>
      </c>
      <c r="BI462" s="15" t="s">
        <v>2844</v>
      </c>
      <c r="BJ462" s="15" t="s">
        <v>3080</v>
      </c>
      <c r="BN462" s="15" t="s">
        <v>179</v>
      </c>
      <c r="BP462" s="15" t="s">
        <v>138</v>
      </c>
      <c r="BS462" s="15" t="s">
        <v>3081</v>
      </c>
      <c r="DH462" s="15" t="s">
        <v>17982</v>
      </c>
      <c r="DI462" s="15" t="s">
        <v>17982</v>
      </c>
    </row>
    <row r="463" spans="1:113" s="15" customFormat="1" ht="12.75" x14ac:dyDescent="0.2">
      <c r="A463" s="15" t="s">
        <v>109</v>
      </c>
      <c r="B463" s="15" t="s">
        <v>110</v>
      </c>
      <c r="D463" s="15" t="s">
        <v>383</v>
      </c>
      <c r="E463" s="15" t="s">
        <v>112</v>
      </c>
      <c r="F463" s="15" t="s">
        <v>383</v>
      </c>
      <c r="G463" s="15" t="s">
        <v>113</v>
      </c>
      <c r="H463" s="15" t="s">
        <v>383</v>
      </c>
      <c r="J463" s="16" t="s">
        <v>114</v>
      </c>
      <c r="U463" s="15" t="s">
        <v>17977</v>
      </c>
      <c r="W463" s="15">
        <v>3276</v>
      </c>
      <c r="X463" s="15">
        <v>473</v>
      </c>
      <c r="Y463" s="15" t="s">
        <v>160</v>
      </c>
      <c r="Z463" s="15" t="s">
        <v>161</v>
      </c>
      <c r="AA463" s="15" t="s">
        <v>162</v>
      </c>
      <c r="AB463" s="15" t="s">
        <v>15743</v>
      </c>
      <c r="AC463" s="15" t="s">
        <v>15743</v>
      </c>
      <c r="AD463" s="15" t="s">
        <v>15743</v>
      </c>
      <c r="AE463" s="15" t="s">
        <v>164</v>
      </c>
      <c r="AF463" s="15" t="s">
        <v>15743</v>
      </c>
      <c r="AG463" s="15" t="s">
        <v>15743</v>
      </c>
      <c r="AH463" s="20" t="s">
        <v>15744</v>
      </c>
      <c r="AL463" s="15" t="s">
        <v>15745</v>
      </c>
      <c r="AN463" s="15">
        <v>743</v>
      </c>
      <c r="AO463" s="15" t="s">
        <v>15746</v>
      </c>
      <c r="AQ463" s="15" t="s">
        <v>912</v>
      </c>
      <c r="AT463" s="15" t="s">
        <v>15747</v>
      </c>
      <c r="AU463" s="15" t="s">
        <v>15748</v>
      </c>
      <c r="AV463" s="15" t="s">
        <v>15748</v>
      </c>
      <c r="AW463" s="15" t="s">
        <v>15749</v>
      </c>
      <c r="AX463" s="15" t="s">
        <v>15750</v>
      </c>
      <c r="AY463" s="21">
        <f t="shared" si="8"/>
        <v>57</v>
      </c>
      <c r="AZ463" s="15" t="s">
        <v>917</v>
      </c>
      <c r="BA463" s="15" t="s">
        <v>174</v>
      </c>
      <c r="BB463" s="15" t="s">
        <v>15751</v>
      </c>
      <c r="BF463" s="15" t="s">
        <v>15752</v>
      </c>
      <c r="BI463" s="15" t="s">
        <v>2844</v>
      </c>
      <c r="BJ463" s="15" t="s">
        <v>15753</v>
      </c>
      <c r="BK463" s="15" t="s">
        <v>1714</v>
      </c>
      <c r="BN463" s="15" t="s">
        <v>179</v>
      </c>
      <c r="BP463" s="15" t="s">
        <v>138</v>
      </c>
      <c r="BS463" s="15" t="s">
        <v>15754</v>
      </c>
      <c r="DH463" s="15" t="s">
        <v>17982</v>
      </c>
      <c r="DI463" s="15" t="s">
        <v>17982</v>
      </c>
    </row>
    <row r="464" spans="1:113" s="15" customFormat="1" ht="12.75" x14ac:dyDescent="0.2">
      <c r="A464" s="15" t="s">
        <v>109</v>
      </c>
      <c r="B464" s="15" t="s">
        <v>110</v>
      </c>
      <c r="D464" s="15" t="s">
        <v>383</v>
      </c>
      <c r="E464" s="15" t="s">
        <v>112</v>
      </c>
      <c r="F464" s="15" t="s">
        <v>383</v>
      </c>
      <c r="G464" s="15" t="s">
        <v>113</v>
      </c>
      <c r="H464" s="15" t="s">
        <v>383</v>
      </c>
      <c r="J464" s="16" t="s">
        <v>114</v>
      </c>
      <c r="U464" s="15" t="s">
        <v>17977</v>
      </c>
      <c r="W464" s="15">
        <v>3291</v>
      </c>
      <c r="X464" s="15">
        <v>474</v>
      </c>
      <c r="Y464" s="15" t="s">
        <v>160</v>
      </c>
      <c r="Z464" s="15" t="s">
        <v>161</v>
      </c>
      <c r="AA464" s="15" t="s">
        <v>162</v>
      </c>
      <c r="AB464" s="15" t="s">
        <v>15880</v>
      </c>
      <c r="AC464" s="15" t="s">
        <v>15880</v>
      </c>
      <c r="AD464" s="15" t="s">
        <v>15881</v>
      </c>
      <c r="AE464" s="15" t="s">
        <v>164</v>
      </c>
      <c r="AF464" s="15" t="s">
        <v>15881</v>
      </c>
      <c r="AG464" s="15" t="s">
        <v>15880</v>
      </c>
      <c r="AH464" s="20" t="s">
        <v>15882</v>
      </c>
      <c r="AL464" s="15" t="s">
        <v>15883</v>
      </c>
      <c r="AN464" s="15">
        <v>743</v>
      </c>
      <c r="AO464" s="15" t="s">
        <v>15884</v>
      </c>
      <c r="AQ464" s="15" t="s">
        <v>912</v>
      </c>
      <c r="AT464" s="15" t="s">
        <v>15885</v>
      </c>
      <c r="AU464" s="15" t="s">
        <v>15886</v>
      </c>
      <c r="AV464" s="15" t="s">
        <v>15886</v>
      </c>
      <c r="AW464" s="15" t="s">
        <v>15887</v>
      </c>
      <c r="AX464" s="15" t="s">
        <v>15888</v>
      </c>
      <c r="AY464" s="21">
        <f t="shared" si="8"/>
        <v>57</v>
      </c>
      <c r="AZ464" s="15" t="s">
        <v>917</v>
      </c>
      <c r="BA464" s="15" t="s">
        <v>174</v>
      </c>
      <c r="BB464" s="15" t="s">
        <v>15751</v>
      </c>
      <c r="BF464" s="15" t="s">
        <v>15889</v>
      </c>
      <c r="BI464" s="15" t="s">
        <v>2844</v>
      </c>
      <c r="BJ464" s="15" t="s">
        <v>15753</v>
      </c>
      <c r="BK464" s="15" t="s">
        <v>1714</v>
      </c>
      <c r="BN464" s="15" t="s">
        <v>179</v>
      </c>
      <c r="BP464" s="15" t="s">
        <v>138</v>
      </c>
      <c r="BS464" s="15" t="s">
        <v>15890</v>
      </c>
      <c r="DH464" s="15" t="s">
        <v>17982</v>
      </c>
      <c r="DI464" s="15" t="s">
        <v>17982</v>
      </c>
    </row>
    <row r="465" spans="1:113" s="15" customFormat="1" ht="12.75" x14ac:dyDescent="0.2">
      <c r="A465" s="15" t="s">
        <v>109</v>
      </c>
      <c r="B465" s="15" t="s">
        <v>110</v>
      </c>
      <c r="D465" s="15" t="s">
        <v>383</v>
      </c>
      <c r="E465" s="15" t="s">
        <v>112</v>
      </c>
      <c r="F465" s="15" t="s">
        <v>383</v>
      </c>
      <c r="G465" s="15" t="s">
        <v>113</v>
      </c>
      <c r="H465" s="15" t="s">
        <v>383</v>
      </c>
      <c r="J465" s="16" t="s">
        <v>114</v>
      </c>
      <c r="U465" s="15" t="s">
        <v>17977</v>
      </c>
      <c r="W465" s="15">
        <v>2397</v>
      </c>
      <c r="X465" s="15">
        <v>475</v>
      </c>
      <c r="Y465" s="15" t="s">
        <v>160</v>
      </c>
      <c r="Z465" s="15" t="s">
        <v>161</v>
      </c>
      <c r="AA465" s="15" t="s">
        <v>162</v>
      </c>
      <c r="AB465" s="15" t="s">
        <v>11788</v>
      </c>
      <c r="AC465" s="15" t="s">
        <v>11788</v>
      </c>
      <c r="AD465" s="15" t="s">
        <v>11788</v>
      </c>
      <c r="AE465" s="15" t="s">
        <v>164</v>
      </c>
      <c r="AF465" s="15" t="s">
        <v>11788</v>
      </c>
      <c r="AG465" s="15" t="s">
        <v>11788</v>
      </c>
      <c r="AH465" s="20" t="s">
        <v>11789</v>
      </c>
      <c r="AL465" s="15" t="s">
        <v>11790</v>
      </c>
      <c r="AN465" s="15">
        <v>743</v>
      </c>
      <c r="AO465" s="15" t="s">
        <v>11791</v>
      </c>
      <c r="AQ465" s="15" t="s">
        <v>11792</v>
      </c>
      <c r="AT465" s="15" t="s">
        <v>11793</v>
      </c>
      <c r="AU465" s="15" t="s">
        <v>11794</v>
      </c>
      <c r="AV465" s="15" t="s">
        <v>11794</v>
      </c>
      <c r="AW465" s="15" t="s">
        <v>11795</v>
      </c>
      <c r="AX465" s="15" t="s">
        <v>11796</v>
      </c>
      <c r="AY465" s="21">
        <f t="shared" si="8"/>
        <v>59</v>
      </c>
      <c r="AZ465" s="15" t="s">
        <v>11797</v>
      </c>
      <c r="BA465" s="15" t="s">
        <v>174</v>
      </c>
      <c r="BB465" s="15" t="s">
        <v>11798</v>
      </c>
      <c r="BC465" s="15" t="s">
        <v>11799</v>
      </c>
      <c r="BE465" s="15" t="s">
        <v>1701</v>
      </c>
      <c r="BJ465" s="15" t="s">
        <v>11800</v>
      </c>
      <c r="BN465" s="15" t="s">
        <v>179</v>
      </c>
      <c r="BP465" s="15" t="s">
        <v>138</v>
      </c>
      <c r="BS465" s="15" t="s">
        <v>11801</v>
      </c>
      <c r="DH465" s="15" t="s">
        <v>17982</v>
      </c>
      <c r="DI465" s="15" t="s">
        <v>17982</v>
      </c>
    </row>
    <row r="466" spans="1:113" s="15" customFormat="1" ht="12.75" x14ac:dyDescent="0.2">
      <c r="A466" s="15" t="s">
        <v>109</v>
      </c>
      <c r="B466" s="15" t="s">
        <v>110</v>
      </c>
      <c r="D466" s="15" t="s">
        <v>383</v>
      </c>
      <c r="E466" s="15" t="s">
        <v>112</v>
      </c>
      <c r="F466" s="15" t="s">
        <v>383</v>
      </c>
      <c r="G466" s="15" t="s">
        <v>113</v>
      </c>
      <c r="H466" s="15" t="s">
        <v>383</v>
      </c>
      <c r="J466" s="16" t="s">
        <v>114</v>
      </c>
      <c r="U466" s="15" t="s">
        <v>17977</v>
      </c>
      <c r="W466" s="15">
        <v>2506</v>
      </c>
      <c r="X466" s="15">
        <v>476</v>
      </c>
      <c r="Y466" s="15" t="s">
        <v>160</v>
      </c>
      <c r="Z466" s="15" t="s">
        <v>161</v>
      </c>
      <c r="AA466" s="15" t="s">
        <v>162</v>
      </c>
      <c r="AB466" s="15" t="s">
        <v>12280</v>
      </c>
      <c r="AC466" s="15" t="s">
        <v>12280</v>
      </c>
      <c r="AD466" s="15" t="s">
        <v>12280</v>
      </c>
      <c r="AE466" s="15" t="s">
        <v>164</v>
      </c>
      <c r="AF466" s="15" t="s">
        <v>12280</v>
      </c>
      <c r="AG466" s="15" t="s">
        <v>12280</v>
      </c>
      <c r="AH466" s="20" t="s">
        <v>12281</v>
      </c>
      <c r="AL466" s="15" t="s">
        <v>12282</v>
      </c>
      <c r="AN466" s="15">
        <v>743</v>
      </c>
      <c r="AO466" s="15" t="s">
        <v>12283</v>
      </c>
      <c r="AQ466" s="15" t="s">
        <v>843</v>
      </c>
      <c r="AT466" s="15" t="s">
        <v>12284</v>
      </c>
      <c r="AU466" s="15" t="s">
        <v>12285</v>
      </c>
      <c r="AV466" s="15" t="s">
        <v>12285</v>
      </c>
      <c r="AW466" s="15" t="s">
        <v>12286</v>
      </c>
      <c r="AX466" s="15" t="s">
        <v>12287</v>
      </c>
      <c r="AY466" s="21">
        <f t="shared" si="8"/>
        <v>58</v>
      </c>
      <c r="AZ466" s="15" t="s">
        <v>848</v>
      </c>
      <c r="BA466" s="15" t="s">
        <v>174</v>
      </c>
      <c r="BB466" s="15" t="s">
        <v>12288</v>
      </c>
      <c r="BE466" s="15" t="s">
        <v>7137</v>
      </c>
      <c r="BF466" s="15" t="s">
        <v>12289</v>
      </c>
      <c r="BI466" s="15" t="s">
        <v>1768</v>
      </c>
      <c r="BJ466" s="15" t="s">
        <v>12290</v>
      </c>
      <c r="BN466" s="15" t="s">
        <v>179</v>
      </c>
      <c r="BP466" s="15" t="s">
        <v>138</v>
      </c>
      <c r="BS466" s="15" t="s">
        <v>12291</v>
      </c>
      <c r="DH466" s="15" t="s">
        <v>17982</v>
      </c>
      <c r="DI466" s="15" t="s">
        <v>17982</v>
      </c>
    </row>
    <row r="467" spans="1:113" s="15" customFormat="1" ht="12.75" x14ac:dyDescent="0.2">
      <c r="A467" s="15" t="s">
        <v>109</v>
      </c>
      <c r="B467" s="15" t="s">
        <v>110</v>
      </c>
      <c r="D467" s="15" t="s">
        <v>383</v>
      </c>
      <c r="E467" s="15" t="s">
        <v>112</v>
      </c>
      <c r="F467" s="15" t="s">
        <v>383</v>
      </c>
      <c r="G467" s="15" t="s">
        <v>113</v>
      </c>
      <c r="H467" s="15" t="s">
        <v>383</v>
      </c>
      <c r="J467" s="16" t="s">
        <v>114</v>
      </c>
      <c r="U467" s="15" t="s">
        <v>17977</v>
      </c>
      <c r="W467" s="15">
        <v>2294</v>
      </c>
      <c r="X467" s="15">
        <v>477</v>
      </c>
      <c r="Y467" s="15" t="s">
        <v>160</v>
      </c>
      <c r="Z467" s="15" t="s">
        <v>161</v>
      </c>
      <c r="AA467" s="15" t="s">
        <v>162</v>
      </c>
      <c r="AB467" s="15" t="s">
        <v>11440</v>
      </c>
      <c r="AC467" s="15" t="s">
        <v>11440</v>
      </c>
      <c r="AD467" s="15" t="s">
        <v>11440</v>
      </c>
      <c r="AE467" s="15" t="s">
        <v>164</v>
      </c>
      <c r="AF467" s="15" t="s">
        <v>11440</v>
      </c>
      <c r="AG467" s="15" t="s">
        <v>11440</v>
      </c>
      <c r="AH467" s="20" t="s">
        <v>11441</v>
      </c>
      <c r="AL467" s="15" t="s">
        <v>11442</v>
      </c>
      <c r="AN467" s="15">
        <v>743</v>
      </c>
      <c r="AO467" s="15" t="s">
        <v>11443</v>
      </c>
      <c r="AQ467" s="15" t="s">
        <v>3598</v>
      </c>
      <c r="AT467" s="15" t="s">
        <v>11444</v>
      </c>
      <c r="AU467" s="15" t="s">
        <v>11445</v>
      </c>
      <c r="AV467" s="15" t="s">
        <v>11445</v>
      </c>
      <c r="AW467" s="15" t="s">
        <v>11446</v>
      </c>
      <c r="AX467" s="15" t="s">
        <v>11447</v>
      </c>
      <c r="AY467" s="21">
        <f t="shared" si="8"/>
        <v>59</v>
      </c>
      <c r="AZ467" s="15" t="s">
        <v>3603</v>
      </c>
      <c r="BA467" s="15" t="s">
        <v>214</v>
      </c>
      <c r="BB467" s="15" t="s">
        <v>5414</v>
      </c>
      <c r="BC467" s="15" t="s">
        <v>11448</v>
      </c>
      <c r="BE467" s="15" t="s">
        <v>7550</v>
      </c>
      <c r="BF467" s="15" t="s">
        <v>7969</v>
      </c>
      <c r="BJ467" s="15" t="s">
        <v>11428</v>
      </c>
      <c r="BK467" s="15" t="s">
        <v>487</v>
      </c>
      <c r="BS467" s="15" t="s">
        <v>11449</v>
      </c>
      <c r="DH467" s="15" t="s">
        <v>17982</v>
      </c>
      <c r="DI467" s="15" t="s">
        <v>17982</v>
      </c>
    </row>
    <row r="468" spans="1:113" s="15" customFormat="1" ht="12.75" x14ac:dyDescent="0.2">
      <c r="A468" s="15" t="s">
        <v>109</v>
      </c>
      <c r="B468" s="15" t="s">
        <v>110</v>
      </c>
      <c r="D468" s="15" t="s">
        <v>383</v>
      </c>
      <c r="E468" s="15" t="s">
        <v>112</v>
      </c>
      <c r="F468" s="15" t="s">
        <v>383</v>
      </c>
      <c r="G468" s="15" t="s">
        <v>113</v>
      </c>
      <c r="H468" s="15" t="s">
        <v>383</v>
      </c>
      <c r="J468" s="16" t="s">
        <v>114</v>
      </c>
      <c r="U468" s="15" t="s">
        <v>17977</v>
      </c>
      <c r="W468" s="15">
        <v>2292</v>
      </c>
      <c r="X468" s="15">
        <v>478</v>
      </c>
      <c r="Y468" s="15" t="s">
        <v>160</v>
      </c>
      <c r="Z468" s="15" t="s">
        <v>161</v>
      </c>
      <c r="AA468" s="15" t="s">
        <v>162</v>
      </c>
      <c r="AB468" s="15" t="s">
        <v>11419</v>
      </c>
      <c r="AC468" s="15" t="s">
        <v>11419</v>
      </c>
      <c r="AD468" s="15" t="s">
        <v>11419</v>
      </c>
      <c r="AE468" s="15" t="s">
        <v>164</v>
      </c>
      <c r="AF468" s="15" t="s">
        <v>11419</v>
      </c>
      <c r="AG468" s="15" t="s">
        <v>11419</v>
      </c>
      <c r="AH468" s="20" t="s">
        <v>11420</v>
      </c>
      <c r="AL468" s="15" t="s">
        <v>11421</v>
      </c>
      <c r="AN468" s="15">
        <v>743</v>
      </c>
      <c r="AO468" s="15" t="s">
        <v>11422</v>
      </c>
      <c r="AQ468" s="15" t="s">
        <v>3598</v>
      </c>
      <c r="AT468" s="15" t="s">
        <v>11423</v>
      </c>
      <c r="AU468" s="15" t="s">
        <v>11424</v>
      </c>
      <c r="AV468" s="15" t="s">
        <v>11424</v>
      </c>
      <c r="AW468" s="15" t="s">
        <v>11425</v>
      </c>
      <c r="AX468" s="15" t="s">
        <v>11426</v>
      </c>
      <c r="AY468" s="21">
        <f t="shared" ref="AY468:AY487" si="9">LEN(SUBSTITUTE(AX468,", "," "))</f>
        <v>60</v>
      </c>
      <c r="AZ468" s="15" t="s">
        <v>3603</v>
      </c>
      <c r="BA468" s="15" t="s">
        <v>214</v>
      </c>
      <c r="BB468" s="15" t="s">
        <v>5414</v>
      </c>
      <c r="BC468" s="15" t="s">
        <v>11397</v>
      </c>
      <c r="BE468" s="15" t="s">
        <v>11427</v>
      </c>
      <c r="BF468" s="15" t="s">
        <v>1467</v>
      </c>
      <c r="BJ468" s="15" t="s">
        <v>11428</v>
      </c>
      <c r="BK468" s="15" t="s">
        <v>487</v>
      </c>
      <c r="BS468" s="15" t="s">
        <v>11429</v>
      </c>
      <c r="DH468" s="15" t="s">
        <v>17982</v>
      </c>
      <c r="DI468" s="15" t="s">
        <v>17982</v>
      </c>
    </row>
    <row r="469" spans="1:113" s="15" customFormat="1" ht="12.75" x14ac:dyDescent="0.2">
      <c r="A469" s="15" t="s">
        <v>109</v>
      </c>
      <c r="B469" s="15" t="s">
        <v>110</v>
      </c>
      <c r="D469" s="15" t="s">
        <v>383</v>
      </c>
      <c r="E469" s="15" t="s">
        <v>112</v>
      </c>
      <c r="F469" s="15" t="s">
        <v>383</v>
      </c>
      <c r="G469" s="15" t="s">
        <v>113</v>
      </c>
      <c r="H469" s="15" t="s">
        <v>383</v>
      </c>
      <c r="J469" s="16" t="s">
        <v>114</v>
      </c>
      <c r="U469" s="15" t="s">
        <v>17977</v>
      </c>
      <c r="W469" s="15">
        <v>2289</v>
      </c>
      <c r="X469" s="15">
        <v>479</v>
      </c>
      <c r="Y469" s="15" t="s">
        <v>160</v>
      </c>
      <c r="Z469" s="15" t="s">
        <v>161</v>
      </c>
      <c r="AA469" s="15" t="s">
        <v>162</v>
      </c>
      <c r="AB469" s="15" t="s">
        <v>11388</v>
      </c>
      <c r="AC469" s="15" t="s">
        <v>11388</v>
      </c>
      <c r="AD469" s="15" t="s">
        <v>11389</v>
      </c>
      <c r="AE469" s="15" t="s">
        <v>164</v>
      </c>
      <c r="AF469" s="15" t="s">
        <v>11389</v>
      </c>
      <c r="AG469" s="15" t="s">
        <v>11388</v>
      </c>
      <c r="AH469" s="20" t="s">
        <v>11390</v>
      </c>
      <c r="AL469" s="15" t="s">
        <v>11391</v>
      </c>
      <c r="AN469" s="15">
        <v>743</v>
      </c>
      <c r="AO469" s="15" t="s">
        <v>11392</v>
      </c>
      <c r="AQ469" s="15" t="s">
        <v>3598</v>
      </c>
      <c r="AT469" s="15" t="s">
        <v>11393</v>
      </c>
      <c r="AU469" s="15" t="s">
        <v>11394</v>
      </c>
      <c r="AV469" s="15" t="s">
        <v>11394</v>
      </c>
      <c r="AW469" s="15" t="s">
        <v>11395</v>
      </c>
      <c r="AX469" s="15" t="s">
        <v>11396</v>
      </c>
      <c r="AY469" s="21">
        <f t="shared" si="9"/>
        <v>57</v>
      </c>
      <c r="AZ469" s="15" t="s">
        <v>3603</v>
      </c>
      <c r="BA469" s="15" t="s">
        <v>214</v>
      </c>
      <c r="BB469" s="15" t="s">
        <v>5414</v>
      </c>
      <c r="BC469" s="15" t="s">
        <v>11397</v>
      </c>
      <c r="BE469" s="15" t="s">
        <v>395</v>
      </c>
      <c r="BF469" s="15" t="s">
        <v>1467</v>
      </c>
      <c r="BJ469" s="15" t="s">
        <v>11398</v>
      </c>
      <c r="BK469" s="15" t="s">
        <v>487</v>
      </c>
      <c r="BS469" s="15" t="s">
        <v>11399</v>
      </c>
      <c r="DH469" s="15" t="s">
        <v>17982</v>
      </c>
      <c r="DI469" s="15" t="s">
        <v>17982</v>
      </c>
    </row>
    <row r="470" spans="1:113" s="15" customFormat="1" ht="12.75" x14ac:dyDescent="0.2">
      <c r="A470" s="15" t="s">
        <v>109</v>
      </c>
      <c r="B470" s="15" t="s">
        <v>110</v>
      </c>
      <c r="D470" s="15" t="s">
        <v>383</v>
      </c>
      <c r="E470" s="15" t="s">
        <v>112</v>
      </c>
      <c r="F470" s="15" t="s">
        <v>383</v>
      </c>
      <c r="G470" s="15" t="s">
        <v>113</v>
      </c>
      <c r="H470" s="15" t="s">
        <v>383</v>
      </c>
      <c r="J470" s="16" t="s">
        <v>114</v>
      </c>
      <c r="U470" s="15" t="s">
        <v>17977</v>
      </c>
      <c r="W470" s="15">
        <v>2290</v>
      </c>
      <c r="X470" s="15">
        <v>480</v>
      </c>
      <c r="Y470" s="15" t="s">
        <v>160</v>
      </c>
      <c r="Z470" s="15" t="s">
        <v>161</v>
      </c>
      <c r="AA470" s="15" t="s">
        <v>162</v>
      </c>
      <c r="AB470" s="15" t="s">
        <v>11400</v>
      </c>
      <c r="AC470" s="15" t="s">
        <v>11400</v>
      </c>
      <c r="AD470" s="15" t="s">
        <v>11401</v>
      </c>
      <c r="AE470" s="15" t="s">
        <v>164</v>
      </c>
      <c r="AF470" s="15" t="s">
        <v>11401</v>
      </c>
      <c r="AG470" s="15" t="s">
        <v>11400</v>
      </c>
      <c r="AH470" s="20" t="s">
        <v>11402</v>
      </c>
      <c r="AL470" s="15" t="s">
        <v>11391</v>
      </c>
      <c r="AN470" s="15">
        <v>743</v>
      </c>
      <c r="AO470" s="15" t="s">
        <v>11403</v>
      </c>
      <c r="AQ470" s="15" t="s">
        <v>3598</v>
      </c>
      <c r="AT470" s="15" t="s">
        <v>11404</v>
      </c>
      <c r="AU470" s="15" t="s">
        <v>11405</v>
      </c>
      <c r="AV470" s="15" t="s">
        <v>11405</v>
      </c>
      <c r="AW470" s="15" t="s">
        <v>11406</v>
      </c>
      <c r="AX470" s="15" t="s">
        <v>11407</v>
      </c>
      <c r="AY470" s="21">
        <f t="shared" si="9"/>
        <v>58</v>
      </c>
      <c r="AZ470" s="15" t="s">
        <v>3603</v>
      </c>
      <c r="BA470" s="15" t="s">
        <v>214</v>
      </c>
      <c r="BB470" s="15" t="s">
        <v>5414</v>
      </c>
      <c r="BC470" s="15" t="s">
        <v>11397</v>
      </c>
      <c r="BE470" s="15" t="s">
        <v>1123</v>
      </c>
      <c r="BF470" s="15" t="s">
        <v>1467</v>
      </c>
      <c r="BJ470" s="15" t="s">
        <v>11398</v>
      </c>
      <c r="BK470" s="15" t="s">
        <v>487</v>
      </c>
      <c r="BS470" s="15" t="s">
        <v>11408</v>
      </c>
      <c r="DH470" s="15" t="s">
        <v>17982</v>
      </c>
      <c r="DI470" s="15" t="s">
        <v>17982</v>
      </c>
    </row>
    <row r="471" spans="1:113" s="15" customFormat="1" ht="12.75" x14ac:dyDescent="0.2">
      <c r="A471" s="15" t="s">
        <v>109</v>
      </c>
      <c r="B471" s="15" t="s">
        <v>110</v>
      </c>
      <c r="D471" s="15" t="s">
        <v>383</v>
      </c>
      <c r="E471" s="15" t="s">
        <v>112</v>
      </c>
      <c r="F471" s="15" t="s">
        <v>383</v>
      </c>
      <c r="G471" s="15" t="s">
        <v>113</v>
      </c>
      <c r="H471" s="15" t="s">
        <v>383</v>
      </c>
      <c r="J471" s="16" t="s">
        <v>114</v>
      </c>
      <c r="U471" s="15" t="s">
        <v>17977</v>
      </c>
      <c r="W471" s="15">
        <v>2293</v>
      </c>
      <c r="X471" s="15">
        <v>481</v>
      </c>
      <c r="Y471" s="15" t="s">
        <v>160</v>
      </c>
      <c r="Z471" s="15" t="s">
        <v>161</v>
      </c>
      <c r="AA471" s="15" t="s">
        <v>162</v>
      </c>
      <c r="AB471" s="15" t="s">
        <v>11430</v>
      </c>
      <c r="AC471" s="15" t="s">
        <v>11430</v>
      </c>
      <c r="AD471" s="15" t="s">
        <v>11431</v>
      </c>
      <c r="AE471" s="15" t="s">
        <v>164</v>
      </c>
      <c r="AF471" s="15" t="s">
        <v>11431</v>
      </c>
      <c r="AG471" s="15" t="s">
        <v>11430</v>
      </c>
      <c r="AH471" s="20" t="s">
        <v>11432</v>
      </c>
      <c r="AL471" s="15" t="s">
        <v>11433</v>
      </c>
      <c r="AN471" s="15">
        <v>743</v>
      </c>
      <c r="AO471" s="15" t="s">
        <v>11434</v>
      </c>
      <c r="AQ471" s="15" t="s">
        <v>3598</v>
      </c>
      <c r="AT471" s="15" t="s">
        <v>11435</v>
      </c>
      <c r="AU471" s="15" t="s">
        <v>11436</v>
      </c>
      <c r="AV471" s="15" t="s">
        <v>11436</v>
      </c>
      <c r="AW471" s="15" t="s">
        <v>11437</v>
      </c>
      <c r="AX471" s="15" t="s">
        <v>11438</v>
      </c>
      <c r="AY471" s="21">
        <f t="shared" si="9"/>
        <v>59</v>
      </c>
      <c r="AZ471" s="15" t="s">
        <v>3603</v>
      </c>
      <c r="BA471" s="15" t="s">
        <v>214</v>
      </c>
      <c r="BB471" s="15" t="s">
        <v>4855</v>
      </c>
      <c r="BC471" s="15" t="s">
        <v>11397</v>
      </c>
      <c r="BE471" s="15" t="s">
        <v>1123</v>
      </c>
      <c r="BF471" s="15" t="s">
        <v>1467</v>
      </c>
      <c r="BJ471" s="15" t="s">
        <v>11428</v>
      </c>
      <c r="BK471" s="15" t="s">
        <v>487</v>
      </c>
      <c r="BS471" s="15" t="s">
        <v>11439</v>
      </c>
      <c r="DH471" s="15" t="s">
        <v>17982</v>
      </c>
      <c r="DI471" s="15" t="s">
        <v>17982</v>
      </c>
    </row>
    <row r="472" spans="1:113" s="15" customFormat="1" ht="12.75" x14ac:dyDescent="0.2">
      <c r="A472" s="15" t="s">
        <v>109</v>
      </c>
      <c r="B472" s="15" t="s">
        <v>110</v>
      </c>
      <c r="D472" s="15" t="s">
        <v>383</v>
      </c>
      <c r="E472" s="15" t="s">
        <v>112</v>
      </c>
      <c r="F472" s="15" t="s">
        <v>383</v>
      </c>
      <c r="G472" s="15" t="s">
        <v>113</v>
      </c>
      <c r="H472" s="15" t="s">
        <v>383</v>
      </c>
      <c r="J472" s="16" t="s">
        <v>114</v>
      </c>
      <c r="U472" s="15" t="s">
        <v>17977</v>
      </c>
      <c r="W472" s="15">
        <v>2291</v>
      </c>
      <c r="X472" s="15">
        <v>482</v>
      </c>
      <c r="Y472" s="15" t="s">
        <v>160</v>
      </c>
      <c r="Z472" s="15" t="s">
        <v>161</v>
      </c>
      <c r="AA472" s="15" t="s">
        <v>162</v>
      </c>
      <c r="AB472" s="15" t="s">
        <v>11409</v>
      </c>
      <c r="AC472" s="15" t="s">
        <v>11409</v>
      </c>
      <c r="AD472" s="15" t="s">
        <v>11410</v>
      </c>
      <c r="AE472" s="15" t="s">
        <v>164</v>
      </c>
      <c r="AF472" s="15" t="s">
        <v>11410</v>
      </c>
      <c r="AG472" s="15" t="s">
        <v>11409</v>
      </c>
      <c r="AH472" s="20" t="s">
        <v>11411</v>
      </c>
      <c r="AL472" s="15" t="s">
        <v>11412</v>
      </c>
      <c r="AN472" s="15">
        <v>743</v>
      </c>
      <c r="AO472" s="15" t="s">
        <v>11413</v>
      </c>
      <c r="AQ472" s="15" t="s">
        <v>3598</v>
      </c>
      <c r="AT472" s="15" t="s">
        <v>11414</v>
      </c>
      <c r="AU472" s="15" t="s">
        <v>11415</v>
      </c>
      <c r="AV472" s="15" t="s">
        <v>11415</v>
      </c>
      <c r="AW472" s="15" t="s">
        <v>11416</v>
      </c>
      <c r="AX472" s="15" t="s">
        <v>11417</v>
      </c>
      <c r="AY472" s="21">
        <f t="shared" si="9"/>
        <v>58</v>
      </c>
      <c r="AZ472" s="15" t="s">
        <v>3603</v>
      </c>
      <c r="BA472" s="15" t="s">
        <v>214</v>
      </c>
      <c r="BB472" s="15" t="s">
        <v>4855</v>
      </c>
      <c r="BC472" s="15" t="s">
        <v>11397</v>
      </c>
      <c r="BE472" s="15" t="s">
        <v>1123</v>
      </c>
      <c r="BF472" s="15" t="s">
        <v>1467</v>
      </c>
      <c r="BJ472" s="15" t="s">
        <v>11398</v>
      </c>
      <c r="BK472" s="15" t="s">
        <v>487</v>
      </c>
      <c r="BS472" s="15" t="s">
        <v>11418</v>
      </c>
      <c r="DH472" s="15" t="s">
        <v>17982</v>
      </c>
      <c r="DI472" s="15" t="s">
        <v>17982</v>
      </c>
    </row>
    <row r="473" spans="1:113" s="15" customFormat="1" ht="12.75" x14ac:dyDescent="0.2">
      <c r="A473" s="15" t="s">
        <v>109</v>
      </c>
      <c r="B473" s="15" t="s">
        <v>110</v>
      </c>
      <c r="D473" s="15" t="s">
        <v>383</v>
      </c>
      <c r="E473" s="15" t="s">
        <v>112</v>
      </c>
      <c r="F473" s="15" t="s">
        <v>383</v>
      </c>
      <c r="G473" s="15" t="s">
        <v>113</v>
      </c>
      <c r="H473" s="15" t="s">
        <v>383</v>
      </c>
      <c r="J473" s="16" t="s">
        <v>114</v>
      </c>
      <c r="U473" s="15" t="s">
        <v>17977</v>
      </c>
      <c r="W473" s="15">
        <v>1492</v>
      </c>
      <c r="X473" s="15">
        <v>483</v>
      </c>
      <c r="Y473" s="15" t="s">
        <v>160</v>
      </c>
      <c r="Z473" s="15" t="s">
        <v>161</v>
      </c>
      <c r="AA473" s="15" t="s">
        <v>162</v>
      </c>
      <c r="AB473" s="15" t="s">
        <v>7605</v>
      </c>
      <c r="AC473" s="15" t="s">
        <v>7605</v>
      </c>
      <c r="AD473" s="15" t="s">
        <v>7605</v>
      </c>
      <c r="AE473" s="15" t="s">
        <v>164</v>
      </c>
      <c r="AF473" s="15" t="s">
        <v>7605</v>
      </c>
      <c r="AG473" s="15" t="s">
        <v>7605</v>
      </c>
      <c r="AH473" s="20" t="s">
        <v>7606</v>
      </c>
      <c r="AL473" s="15" t="s">
        <v>7607</v>
      </c>
      <c r="AN473" s="15">
        <v>743</v>
      </c>
      <c r="AO473" s="15" t="s">
        <v>7608</v>
      </c>
      <c r="AQ473" s="15" t="s">
        <v>168</v>
      </c>
      <c r="AT473" s="15" t="s">
        <v>7609</v>
      </c>
      <c r="AU473" s="15" t="s">
        <v>7610</v>
      </c>
      <c r="AV473" s="15" t="s">
        <v>7610</v>
      </c>
      <c r="AW473" s="15" t="s">
        <v>7611</v>
      </c>
      <c r="AX473" s="15" t="s">
        <v>7612</v>
      </c>
      <c r="AY473" s="21">
        <f t="shared" si="9"/>
        <v>58</v>
      </c>
      <c r="AZ473" s="15" t="s">
        <v>604</v>
      </c>
      <c r="BA473" s="15" t="s">
        <v>174</v>
      </c>
      <c r="BB473" s="15" t="s">
        <v>7613</v>
      </c>
      <c r="BC473" s="15" t="s">
        <v>7614</v>
      </c>
      <c r="BJ473" s="15" t="s">
        <v>7615</v>
      </c>
      <c r="BN473" s="15" t="s">
        <v>179</v>
      </c>
      <c r="BP473" s="15" t="s">
        <v>138</v>
      </c>
      <c r="BR473" s="15" t="s">
        <v>7616</v>
      </c>
      <c r="BS473" s="15" t="s">
        <v>7617</v>
      </c>
      <c r="DH473" s="15" t="s">
        <v>17982</v>
      </c>
      <c r="DI473" s="15" t="s">
        <v>17982</v>
      </c>
    </row>
    <row r="474" spans="1:113" s="15" customFormat="1" ht="12.75" x14ac:dyDescent="0.2">
      <c r="A474" s="15" t="s">
        <v>109</v>
      </c>
      <c r="B474" s="15" t="s">
        <v>110</v>
      </c>
      <c r="D474" s="15" t="s">
        <v>383</v>
      </c>
      <c r="E474" s="15" t="s">
        <v>112</v>
      </c>
      <c r="F474" s="15" t="s">
        <v>383</v>
      </c>
      <c r="G474" s="15" t="s">
        <v>113</v>
      </c>
      <c r="H474" s="15" t="s">
        <v>383</v>
      </c>
      <c r="J474" s="16" t="s">
        <v>114</v>
      </c>
      <c r="U474" s="15" t="s">
        <v>17977</v>
      </c>
      <c r="W474" s="15">
        <v>2600</v>
      </c>
      <c r="X474" s="15">
        <v>484</v>
      </c>
      <c r="Y474" s="15" t="s">
        <v>160</v>
      </c>
      <c r="Z474" s="15" t="s">
        <v>161</v>
      </c>
      <c r="AA474" s="15" t="s">
        <v>162</v>
      </c>
      <c r="AB474" s="15" t="s">
        <v>12622</v>
      </c>
      <c r="AC474" s="15" t="s">
        <v>12622</v>
      </c>
      <c r="AD474" s="15" t="s">
        <v>12622</v>
      </c>
      <c r="AE474" s="15" t="s">
        <v>164</v>
      </c>
      <c r="AF474" s="15" t="s">
        <v>12622</v>
      </c>
      <c r="AG474" s="15" t="s">
        <v>12622</v>
      </c>
      <c r="AH474" s="20" t="s">
        <v>12623</v>
      </c>
      <c r="AL474" s="15" t="s">
        <v>12624</v>
      </c>
      <c r="AN474" s="15">
        <v>743</v>
      </c>
      <c r="AO474" s="15" t="s">
        <v>12625</v>
      </c>
      <c r="AQ474" s="15" t="s">
        <v>388</v>
      </c>
      <c r="AT474" s="15" t="s">
        <v>12626</v>
      </c>
      <c r="AU474" s="15" t="s">
        <v>12627</v>
      </c>
      <c r="AV474" s="15" t="s">
        <v>12627</v>
      </c>
      <c r="AW474" s="15" t="s">
        <v>12628</v>
      </c>
      <c r="AX474" s="15" t="s">
        <v>12628</v>
      </c>
      <c r="AY474" s="21">
        <f t="shared" si="9"/>
        <v>57</v>
      </c>
      <c r="AZ474" s="15" t="s">
        <v>393</v>
      </c>
      <c r="BA474" s="15" t="s">
        <v>174</v>
      </c>
      <c r="BB474" s="15" t="s">
        <v>12619</v>
      </c>
      <c r="BC474" s="15" t="s">
        <v>801</v>
      </c>
      <c r="BE474" s="15" t="s">
        <v>1123</v>
      </c>
      <c r="BF474" s="15" t="s">
        <v>1767</v>
      </c>
      <c r="BJ474" s="15" t="s">
        <v>12629</v>
      </c>
      <c r="BN474" s="15" t="s">
        <v>179</v>
      </c>
      <c r="BS474" s="15" t="s">
        <v>12630</v>
      </c>
      <c r="DH474" s="15" t="s">
        <v>17982</v>
      </c>
      <c r="DI474" s="15" t="s">
        <v>17982</v>
      </c>
    </row>
    <row r="475" spans="1:113" s="15" customFormat="1" ht="12.75" x14ac:dyDescent="0.2">
      <c r="A475" s="15" t="s">
        <v>109</v>
      </c>
      <c r="B475" s="15" t="s">
        <v>110</v>
      </c>
      <c r="D475" s="15" t="s">
        <v>383</v>
      </c>
      <c r="E475" s="15" t="s">
        <v>112</v>
      </c>
      <c r="F475" s="15" t="s">
        <v>383</v>
      </c>
      <c r="G475" s="15" t="s">
        <v>113</v>
      </c>
      <c r="H475" s="15" t="s">
        <v>383</v>
      </c>
      <c r="J475" s="16" t="s">
        <v>114</v>
      </c>
      <c r="U475" s="15" t="s">
        <v>17977</v>
      </c>
      <c r="W475" s="15">
        <v>32</v>
      </c>
      <c r="X475" s="15">
        <v>485</v>
      </c>
      <c r="Y475" s="15" t="s">
        <v>160</v>
      </c>
      <c r="Z475" s="15" t="s">
        <v>161</v>
      </c>
      <c r="AA475" s="15" t="s">
        <v>162</v>
      </c>
      <c r="AB475" s="15" t="s">
        <v>384</v>
      </c>
      <c r="AC475" s="15" t="s">
        <v>384</v>
      </c>
      <c r="AD475" s="15" t="s">
        <v>384</v>
      </c>
      <c r="AE475" s="15" t="s">
        <v>164</v>
      </c>
      <c r="AF475" s="15" t="s">
        <v>384</v>
      </c>
      <c r="AG475" s="15" t="s">
        <v>384</v>
      </c>
      <c r="AH475" s="20" t="s">
        <v>385</v>
      </c>
      <c r="AL475" s="15" t="s">
        <v>386</v>
      </c>
      <c r="AN475" s="15">
        <v>743</v>
      </c>
      <c r="AO475" s="15" t="s">
        <v>387</v>
      </c>
      <c r="AQ475" s="15" t="s">
        <v>388</v>
      </c>
      <c r="AT475" s="15" t="s">
        <v>389</v>
      </c>
      <c r="AU475" s="15" t="s">
        <v>390</v>
      </c>
      <c r="AV475" s="15" t="s">
        <v>390</v>
      </c>
      <c r="AW475" s="15" t="s">
        <v>391</v>
      </c>
      <c r="AX475" s="15" t="s">
        <v>392</v>
      </c>
      <c r="AY475" s="21">
        <f t="shared" si="9"/>
        <v>60</v>
      </c>
      <c r="AZ475" s="15" t="s">
        <v>393</v>
      </c>
      <c r="BA475" s="15" t="s">
        <v>174</v>
      </c>
      <c r="BB475" s="15" t="s">
        <v>394</v>
      </c>
      <c r="BE475" s="15" t="s">
        <v>395</v>
      </c>
      <c r="BF475" s="15" t="s">
        <v>396</v>
      </c>
      <c r="BJ475" s="15" t="s">
        <v>397</v>
      </c>
      <c r="BS475" s="15" t="s">
        <v>398</v>
      </c>
      <c r="DH475" s="15" t="s">
        <v>17982</v>
      </c>
      <c r="DI475" s="15" t="s">
        <v>17982</v>
      </c>
    </row>
    <row r="476" spans="1:113" s="15" customFormat="1" ht="12.75" x14ac:dyDescent="0.2">
      <c r="A476" s="15" t="s">
        <v>109</v>
      </c>
      <c r="B476" s="15" t="s">
        <v>110</v>
      </c>
      <c r="D476" s="15" t="s">
        <v>383</v>
      </c>
      <c r="E476" s="15" t="s">
        <v>112</v>
      </c>
      <c r="F476" s="15" t="s">
        <v>383</v>
      </c>
      <c r="G476" s="15" t="s">
        <v>113</v>
      </c>
      <c r="H476" s="15" t="s">
        <v>383</v>
      </c>
      <c r="J476" s="16" t="s">
        <v>114</v>
      </c>
      <c r="U476" s="15" t="s">
        <v>17977</v>
      </c>
      <c r="W476" s="15">
        <v>34</v>
      </c>
      <c r="X476" s="15">
        <v>486</v>
      </c>
      <c r="Y476" s="15" t="s">
        <v>160</v>
      </c>
      <c r="Z476" s="15" t="s">
        <v>161</v>
      </c>
      <c r="AA476" s="15" t="s">
        <v>162</v>
      </c>
      <c r="AB476" s="15" t="s">
        <v>410</v>
      </c>
      <c r="AC476" s="15" t="s">
        <v>410</v>
      </c>
      <c r="AD476" s="15" t="s">
        <v>410</v>
      </c>
      <c r="AE476" s="15" t="s">
        <v>164</v>
      </c>
      <c r="AF476" s="15" t="s">
        <v>410</v>
      </c>
      <c r="AG476" s="15" t="s">
        <v>410</v>
      </c>
      <c r="AH476" s="20" t="s">
        <v>411</v>
      </c>
      <c r="AL476" s="15" t="s">
        <v>412</v>
      </c>
      <c r="AN476" s="15">
        <v>743</v>
      </c>
      <c r="AO476" s="15" t="s">
        <v>413</v>
      </c>
      <c r="AQ476" s="15" t="s">
        <v>388</v>
      </c>
      <c r="AT476" s="15" t="s">
        <v>414</v>
      </c>
      <c r="AU476" s="15" t="s">
        <v>415</v>
      </c>
      <c r="AV476" s="15" t="s">
        <v>415</v>
      </c>
      <c r="AW476" s="15" t="s">
        <v>416</v>
      </c>
      <c r="AX476" s="15" t="s">
        <v>417</v>
      </c>
      <c r="AY476" s="21">
        <f t="shared" si="9"/>
        <v>59</v>
      </c>
      <c r="AZ476" s="15" t="s">
        <v>393</v>
      </c>
      <c r="BA476" s="15" t="s">
        <v>174</v>
      </c>
      <c r="BB476" s="15" t="s">
        <v>394</v>
      </c>
      <c r="BE476" s="15" t="s">
        <v>395</v>
      </c>
      <c r="BF476" s="15" t="s">
        <v>418</v>
      </c>
      <c r="BJ476" s="15" t="s">
        <v>419</v>
      </c>
      <c r="BS476" s="15" t="s">
        <v>420</v>
      </c>
      <c r="DH476" s="15" t="s">
        <v>17982</v>
      </c>
      <c r="DI476" s="15" t="s">
        <v>17982</v>
      </c>
    </row>
    <row r="477" spans="1:113" s="15" customFormat="1" ht="12.75" x14ac:dyDescent="0.2">
      <c r="A477" s="15" t="s">
        <v>109</v>
      </c>
      <c r="B477" s="15" t="s">
        <v>110</v>
      </c>
      <c r="D477" s="15" t="s">
        <v>383</v>
      </c>
      <c r="E477" s="15" t="s">
        <v>112</v>
      </c>
      <c r="F477" s="15" t="s">
        <v>383</v>
      </c>
      <c r="G477" s="15" t="s">
        <v>113</v>
      </c>
      <c r="H477" s="15" t="s">
        <v>383</v>
      </c>
      <c r="J477" s="16" t="s">
        <v>114</v>
      </c>
      <c r="U477" s="15" t="s">
        <v>17977</v>
      </c>
      <c r="W477" s="15">
        <v>33</v>
      </c>
      <c r="X477" s="15">
        <v>487</v>
      </c>
      <c r="Y477" s="15" t="s">
        <v>160</v>
      </c>
      <c r="Z477" s="15" t="s">
        <v>161</v>
      </c>
      <c r="AA477" s="15" t="s">
        <v>162</v>
      </c>
      <c r="AB477" s="15" t="s">
        <v>399</v>
      </c>
      <c r="AC477" s="15" t="s">
        <v>399</v>
      </c>
      <c r="AD477" s="15" t="s">
        <v>399</v>
      </c>
      <c r="AE477" s="15" t="s">
        <v>164</v>
      </c>
      <c r="AF477" s="15" t="s">
        <v>399</v>
      </c>
      <c r="AG477" s="15" t="s">
        <v>399</v>
      </c>
      <c r="AH477" s="20" t="s">
        <v>400</v>
      </c>
      <c r="AL477" s="15" t="s">
        <v>401</v>
      </c>
      <c r="AN477" s="15">
        <v>743</v>
      </c>
      <c r="AO477" s="15" t="s">
        <v>402</v>
      </c>
      <c r="AQ477" s="15" t="s">
        <v>388</v>
      </c>
      <c r="AT477" s="15" t="s">
        <v>403</v>
      </c>
      <c r="AU477" s="15" t="s">
        <v>404</v>
      </c>
      <c r="AV477" s="15" t="s">
        <v>404</v>
      </c>
      <c r="AW477" s="15" t="s">
        <v>405</v>
      </c>
      <c r="AX477" s="15" t="s">
        <v>406</v>
      </c>
      <c r="AY477" s="21">
        <f t="shared" si="9"/>
        <v>60</v>
      </c>
      <c r="AZ477" s="15" t="s">
        <v>393</v>
      </c>
      <c r="BA477" s="15" t="s">
        <v>174</v>
      </c>
      <c r="BB477" s="15" t="s">
        <v>394</v>
      </c>
      <c r="BE477" s="15" t="s">
        <v>395</v>
      </c>
      <c r="BF477" s="15" t="s">
        <v>407</v>
      </c>
      <c r="BJ477" s="15" t="s">
        <v>408</v>
      </c>
      <c r="BS477" s="15" t="s">
        <v>409</v>
      </c>
      <c r="DH477" s="15" t="s">
        <v>17982</v>
      </c>
      <c r="DI477" s="15" t="s">
        <v>17982</v>
      </c>
    </row>
    <row r="478" spans="1:113" s="15" customFormat="1" ht="12.75" x14ac:dyDescent="0.2">
      <c r="A478" s="15" t="s">
        <v>109</v>
      </c>
      <c r="B478" s="15" t="s">
        <v>110</v>
      </c>
      <c r="D478" s="15" t="s">
        <v>383</v>
      </c>
      <c r="E478" s="15" t="s">
        <v>112</v>
      </c>
      <c r="F478" s="15" t="s">
        <v>383</v>
      </c>
      <c r="G478" s="15" t="s">
        <v>113</v>
      </c>
      <c r="H478" s="15" t="s">
        <v>383</v>
      </c>
      <c r="J478" s="16" t="s">
        <v>114</v>
      </c>
      <c r="U478" s="15" t="s">
        <v>17977</v>
      </c>
      <c r="W478" s="15">
        <v>1114</v>
      </c>
      <c r="X478" s="15">
        <v>488</v>
      </c>
      <c r="Y478" s="15" t="s">
        <v>160</v>
      </c>
      <c r="Z478" s="15" t="s">
        <v>161</v>
      </c>
      <c r="AA478" s="15" t="s">
        <v>162</v>
      </c>
      <c r="AB478" s="15" t="s">
        <v>5857</v>
      </c>
      <c r="AC478" s="15" t="s">
        <v>5857</v>
      </c>
      <c r="AD478" s="15" t="s">
        <v>5857</v>
      </c>
      <c r="AE478" s="15" t="s">
        <v>164</v>
      </c>
      <c r="AF478" s="15" t="s">
        <v>5857</v>
      </c>
      <c r="AG478" s="15" t="s">
        <v>5857</v>
      </c>
      <c r="AH478" s="20" t="s">
        <v>5858</v>
      </c>
      <c r="AL478" s="15" t="s">
        <v>5859</v>
      </c>
      <c r="AN478" s="15">
        <v>743</v>
      </c>
      <c r="AO478" s="15" t="s">
        <v>5860</v>
      </c>
      <c r="AQ478" s="15" t="s">
        <v>388</v>
      </c>
      <c r="AT478" s="15" t="s">
        <v>5861</v>
      </c>
      <c r="AU478" s="15" t="s">
        <v>5862</v>
      </c>
      <c r="AV478" s="15" t="s">
        <v>5862</v>
      </c>
      <c r="AW478" s="15" t="s">
        <v>5863</v>
      </c>
      <c r="AX478" s="15" t="s">
        <v>5864</v>
      </c>
      <c r="AY478" s="21">
        <f t="shared" si="9"/>
        <v>57</v>
      </c>
      <c r="AZ478" s="15" t="s">
        <v>393</v>
      </c>
      <c r="BA478" s="15" t="s">
        <v>174</v>
      </c>
      <c r="BB478" s="15" t="s">
        <v>5865</v>
      </c>
      <c r="BE478" s="15" t="s">
        <v>5866</v>
      </c>
      <c r="BF478" s="15" t="s">
        <v>396</v>
      </c>
      <c r="BJ478" s="15" t="s">
        <v>5867</v>
      </c>
      <c r="BN478" s="15" t="s">
        <v>179</v>
      </c>
      <c r="BP478" s="15" t="s">
        <v>138</v>
      </c>
      <c r="BS478" s="15" t="s">
        <v>5868</v>
      </c>
      <c r="DH478" s="15" t="s">
        <v>17982</v>
      </c>
      <c r="DI478" s="15" t="s">
        <v>17982</v>
      </c>
    </row>
    <row r="479" spans="1:113" s="15" customFormat="1" ht="12.75" x14ac:dyDescent="0.2">
      <c r="A479" s="15" t="s">
        <v>109</v>
      </c>
      <c r="B479" s="15" t="s">
        <v>110</v>
      </c>
      <c r="D479" s="15" t="s">
        <v>383</v>
      </c>
      <c r="E479" s="15" t="s">
        <v>112</v>
      </c>
      <c r="F479" s="15" t="s">
        <v>383</v>
      </c>
      <c r="G479" s="15" t="s">
        <v>113</v>
      </c>
      <c r="H479" s="15" t="s">
        <v>383</v>
      </c>
      <c r="J479" s="16" t="s">
        <v>114</v>
      </c>
      <c r="U479" s="15" t="s">
        <v>17977</v>
      </c>
      <c r="W479" s="15">
        <v>1116</v>
      </c>
      <c r="X479" s="15">
        <v>489</v>
      </c>
      <c r="Y479" s="15" t="s">
        <v>160</v>
      </c>
      <c r="Z479" s="15" t="s">
        <v>161</v>
      </c>
      <c r="AA479" s="15" t="s">
        <v>162</v>
      </c>
      <c r="AB479" s="15" t="s">
        <v>5879</v>
      </c>
      <c r="AC479" s="15" t="s">
        <v>5879</v>
      </c>
      <c r="AD479" s="15" t="s">
        <v>5879</v>
      </c>
      <c r="AE479" s="15" t="s">
        <v>164</v>
      </c>
      <c r="AF479" s="15" t="s">
        <v>5879</v>
      </c>
      <c r="AG479" s="15" t="s">
        <v>5879</v>
      </c>
      <c r="AH479" s="20" t="s">
        <v>5880</v>
      </c>
      <c r="AL479" s="15" t="s">
        <v>5881</v>
      </c>
      <c r="AN479" s="15">
        <v>743</v>
      </c>
      <c r="AO479" s="15" t="s">
        <v>5882</v>
      </c>
      <c r="AQ479" s="15" t="s">
        <v>388</v>
      </c>
      <c r="AT479" s="15" t="s">
        <v>5883</v>
      </c>
      <c r="AU479" s="15" t="s">
        <v>5884</v>
      </c>
      <c r="AV479" s="15" t="s">
        <v>5884</v>
      </c>
      <c r="AW479" s="15" t="s">
        <v>5885</v>
      </c>
      <c r="AX479" s="15" t="s">
        <v>5886</v>
      </c>
      <c r="AY479" s="21">
        <f t="shared" si="9"/>
        <v>57</v>
      </c>
      <c r="AZ479" s="15" t="s">
        <v>393</v>
      </c>
      <c r="BA479" s="15" t="s">
        <v>174</v>
      </c>
      <c r="BB479" s="15" t="s">
        <v>5865</v>
      </c>
      <c r="BE479" s="15" t="s">
        <v>395</v>
      </c>
      <c r="BF479" s="15" t="s">
        <v>396</v>
      </c>
      <c r="BJ479" s="15" t="s">
        <v>5867</v>
      </c>
      <c r="BN479" s="15" t="s">
        <v>179</v>
      </c>
      <c r="BP479" s="15" t="s">
        <v>138</v>
      </c>
      <c r="BS479" s="15" t="s">
        <v>5887</v>
      </c>
      <c r="DH479" s="15" t="s">
        <v>17982</v>
      </c>
      <c r="DI479" s="15" t="s">
        <v>17982</v>
      </c>
    </row>
    <row r="480" spans="1:113" s="15" customFormat="1" ht="12.75" x14ac:dyDescent="0.2">
      <c r="A480" s="15" t="s">
        <v>109</v>
      </c>
      <c r="B480" s="15" t="s">
        <v>110</v>
      </c>
      <c r="D480" s="15" t="s">
        <v>383</v>
      </c>
      <c r="E480" s="15" t="s">
        <v>112</v>
      </c>
      <c r="F480" s="15" t="s">
        <v>383</v>
      </c>
      <c r="G480" s="15" t="s">
        <v>113</v>
      </c>
      <c r="H480" s="15" t="s">
        <v>383</v>
      </c>
      <c r="J480" s="16" t="s">
        <v>114</v>
      </c>
      <c r="U480" s="15" t="s">
        <v>17977</v>
      </c>
      <c r="W480" s="15">
        <v>1491</v>
      </c>
      <c r="X480" s="15">
        <v>490</v>
      </c>
      <c r="Y480" s="15" t="s">
        <v>160</v>
      </c>
      <c r="Z480" s="15" t="s">
        <v>161</v>
      </c>
      <c r="AA480" s="15" t="s">
        <v>162</v>
      </c>
      <c r="AB480" s="15" t="s">
        <v>7595</v>
      </c>
      <c r="AC480" s="15" t="s">
        <v>7595</v>
      </c>
      <c r="AD480" s="15" t="s">
        <v>7595</v>
      </c>
      <c r="AE480" s="15" t="s">
        <v>164</v>
      </c>
      <c r="AF480" s="15" t="s">
        <v>7595</v>
      </c>
      <c r="AG480" s="15" t="s">
        <v>7595</v>
      </c>
      <c r="AH480" s="20" t="s">
        <v>7596</v>
      </c>
      <c r="AL480" s="15" t="s">
        <v>7597</v>
      </c>
      <c r="AN480" s="15">
        <v>743</v>
      </c>
      <c r="AO480" s="15" t="s">
        <v>7598</v>
      </c>
      <c r="AQ480" s="15" t="s">
        <v>168</v>
      </c>
      <c r="AT480" s="15" t="s">
        <v>7599</v>
      </c>
      <c r="AU480" s="15" t="s">
        <v>7600</v>
      </c>
      <c r="AV480" s="15" t="s">
        <v>7600</v>
      </c>
      <c r="AW480" s="15" t="s">
        <v>7601</v>
      </c>
      <c r="AX480" s="15" t="s">
        <v>7602</v>
      </c>
      <c r="AY480" s="21">
        <f t="shared" si="9"/>
        <v>60</v>
      </c>
      <c r="AZ480" s="15" t="s">
        <v>604</v>
      </c>
      <c r="BA480" s="15" t="s">
        <v>174</v>
      </c>
      <c r="BB480" s="15" t="s">
        <v>668</v>
      </c>
      <c r="BC480" s="15" t="s">
        <v>7592</v>
      </c>
      <c r="BJ480" s="15" t="s">
        <v>7603</v>
      </c>
      <c r="BK480" s="15" t="s">
        <v>487</v>
      </c>
      <c r="BN480" s="15" t="s">
        <v>179</v>
      </c>
      <c r="BP480" s="15" t="s">
        <v>138</v>
      </c>
      <c r="BS480" s="15" t="s">
        <v>7604</v>
      </c>
      <c r="DH480" s="15" t="s">
        <v>17982</v>
      </c>
      <c r="DI480" s="15" t="s">
        <v>17982</v>
      </c>
    </row>
    <row r="481" spans="1:113" s="15" customFormat="1" ht="12.75" x14ac:dyDescent="0.2">
      <c r="A481" s="15" t="s">
        <v>109</v>
      </c>
      <c r="B481" s="15" t="s">
        <v>110</v>
      </c>
      <c r="D481" s="15" t="s">
        <v>383</v>
      </c>
      <c r="E481" s="15" t="s">
        <v>112</v>
      </c>
      <c r="F481" s="15" t="s">
        <v>383</v>
      </c>
      <c r="G481" s="15" t="s">
        <v>113</v>
      </c>
      <c r="H481" s="15" t="s">
        <v>383</v>
      </c>
      <c r="J481" s="16" t="s">
        <v>114</v>
      </c>
      <c r="U481" s="15" t="s">
        <v>17977</v>
      </c>
      <c r="W481" s="15">
        <v>1490</v>
      </c>
      <c r="X481" s="15">
        <v>491</v>
      </c>
      <c r="Y481" s="15" t="s">
        <v>160</v>
      </c>
      <c r="Z481" s="15" t="s">
        <v>161</v>
      </c>
      <c r="AA481" s="15" t="s">
        <v>162</v>
      </c>
      <c r="AB481" s="15" t="s">
        <v>7584</v>
      </c>
      <c r="AC481" s="15" t="s">
        <v>7584</v>
      </c>
      <c r="AD481" s="15" t="s">
        <v>7584</v>
      </c>
      <c r="AE481" s="15" t="s">
        <v>164</v>
      </c>
      <c r="AF481" s="15" t="s">
        <v>7584</v>
      </c>
      <c r="AG481" s="15" t="s">
        <v>7584</v>
      </c>
      <c r="AH481" s="20" t="s">
        <v>7585</v>
      </c>
      <c r="AL481" s="15" t="s">
        <v>7586</v>
      </c>
      <c r="AN481" s="15">
        <v>743</v>
      </c>
      <c r="AO481" s="15" t="s">
        <v>7587</v>
      </c>
      <c r="AQ481" s="15" t="s">
        <v>168</v>
      </c>
      <c r="AT481" s="15" t="s">
        <v>7588</v>
      </c>
      <c r="AU481" s="15" t="s">
        <v>7589</v>
      </c>
      <c r="AV481" s="15" t="s">
        <v>7589</v>
      </c>
      <c r="AW481" s="15" t="s">
        <v>7590</v>
      </c>
      <c r="AX481" s="15" t="s">
        <v>7591</v>
      </c>
      <c r="AY481" s="21">
        <f t="shared" si="9"/>
        <v>60</v>
      </c>
      <c r="AZ481" s="15" t="s">
        <v>604</v>
      </c>
      <c r="BA481" s="15" t="s">
        <v>174</v>
      </c>
      <c r="BB481" s="15" t="s">
        <v>668</v>
      </c>
      <c r="BC481" s="15" t="s">
        <v>7592</v>
      </c>
      <c r="BJ481" s="15" t="s">
        <v>7593</v>
      </c>
      <c r="BK481" s="15" t="s">
        <v>487</v>
      </c>
      <c r="BN481" s="15" t="s">
        <v>179</v>
      </c>
      <c r="BP481" s="15" t="s">
        <v>138</v>
      </c>
      <c r="BS481" s="15" t="s">
        <v>7594</v>
      </c>
      <c r="DH481" s="15" t="s">
        <v>17982</v>
      </c>
      <c r="DI481" s="15" t="s">
        <v>17982</v>
      </c>
    </row>
    <row r="482" spans="1:113" s="15" customFormat="1" ht="12.75" x14ac:dyDescent="0.2">
      <c r="A482" s="15" t="s">
        <v>109</v>
      </c>
      <c r="B482" s="15" t="s">
        <v>110</v>
      </c>
      <c r="D482" s="15" t="s">
        <v>383</v>
      </c>
      <c r="E482" s="15" t="s">
        <v>112</v>
      </c>
      <c r="F482" s="15" t="s">
        <v>383</v>
      </c>
      <c r="G482" s="15" t="s">
        <v>113</v>
      </c>
      <c r="H482" s="15" t="s">
        <v>383</v>
      </c>
      <c r="J482" s="16" t="s">
        <v>114</v>
      </c>
      <c r="U482" s="15" t="s">
        <v>17977</v>
      </c>
      <c r="W482" s="15">
        <v>1493</v>
      </c>
      <c r="X482" s="15">
        <v>492</v>
      </c>
      <c r="Y482" s="15" t="s">
        <v>160</v>
      </c>
      <c r="Z482" s="15" t="s">
        <v>161</v>
      </c>
      <c r="AA482" s="15" t="s">
        <v>162</v>
      </c>
      <c r="AB482" s="15" t="s">
        <v>7618</v>
      </c>
      <c r="AC482" s="15" t="s">
        <v>7618</v>
      </c>
      <c r="AD482" s="15" t="s">
        <v>7618</v>
      </c>
      <c r="AE482" s="15" t="s">
        <v>164</v>
      </c>
      <c r="AF482" s="15" t="s">
        <v>7618</v>
      </c>
      <c r="AG482" s="15" t="s">
        <v>7618</v>
      </c>
      <c r="AH482" s="20" t="s">
        <v>7619</v>
      </c>
      <c r="AL482" s="15" t="s">
        <v>7620</v>
      </c>
      <c r="AN482" s="15">
        <v>743</v>
      </c>
      <c r="AO482" s="15" t="s">
        <v>7621</v>
      </c>
      <c r="AQ482" s="15" t="s">
        <v>168</v>
      </c>
      <c r="AT482" s="15" t="s">
        <v>7622</v>
      </c>
      <c r="AU482" s="15" t="s">
        <v>7623</v>
      </c>
      <c r="AV482" s="15" t="s">
        <v>7623</v>
      </c>
      <c r="AW482" s="15" t="s">
        <v>7624</v>
      </c>
      <c r="AX482" s="15" t="s">
        <v>7625</v>
      </c>
      <c r="AY482" s="21">
        <f t="shared" si="9"/>
        <v>59</v>
      </c>
      <c r="AZ482" s="15" t="s">
        <v>604</v>
      </c>
      <c r="BA482" s="15" t="s">
        <v>174</v>
      </c>
      <c r="BB482" s="15" t="s">
        <v>7613</v>
      </c>
      <c r="BC482" s="15" t="s">
        <v>7592</v>
      </c>
      <c r="BJ482" s="15" t="s">
        <v>7615</v>
      </c>
      <c r="BK482" s="15" t="s">
        <v>487</v>
      </c>
      <c r="BM482" s="15" t="s">
        <v>672</v>
      </c>
      <c r="BN482" s="15" t="s">
        <v>179</v>
      </c>
      <c r="BP482" s="15" t="s">
        <v>138</v>
      </c>
      <c r="BS482" s="15" t="s">
        <v>7626</v>
      </c>
      <c r="DH482" s="15" t="s">
        <v>17982</v>
      </c>
      <c r="DI482" s="15" t="s">
        <v>17982</v>
      </c>
    </row>
    <row r="483" spans="1:113" s="15" customFormat="1" ht="12.75" x14ac:dyDescent="0.2">
      <c r="A483" s="15" t="s">
        <v>109</v>
      </c>
      <c r="B483" s="15" t="s">
        <v>110</v>
      </c>
      <c r="D483" s="15" t="s">
        <v>383</v>
      </c>
      <c r="E483" s="15" t="s">
        <v>112</v>
      </c>
      <c r="F483" s="15" t="s">
        <v>383</v>
      </c>
      <c r="G483" s="15" t="s">
        <v>113</v>
      </c>
      <c r="H483" s="15" t="s">
        <v>383</v>
      </c>
      <c r="J483" s="16" t="s">
        <v>114</v>
      </c>
      <c r="U483" s="15" t="s">
        <v>17977</v>
      </c>
      <c r="W483" s="15">
        <v>1835</v>
      </c>
      <c r="X483" s="15">
        <v>493</v>
      </c>
      <c r="Y483" s="15" t="s">
        <v>160</v>
      </c>
      <c r="Z483" s="15" t="s">
        <v>161</v>
      </c>
      <c r="AA483" s="15" t="s">
        <v>162</v>
      </c>
      <c r="AB483" s="15" t="s">
        <v>9851</v>
      </c>
      <c r="AC483" s="15" t="s">
        <v>9851</v>
      </c>
      <c r="AD483" s="15" t="s">
        <v>9851</v>
      </c>
      <c r="AE483" s="15" t="s">
        <v>164</v>
      </c>
      <c r="AF483" s="15" t="s">
        <v>9851</v>
      </c>
      <c r="AG483" s="15" t="s">
        <v>9851</v>
      </c>
      <c r="AH483" s="20" t="s">
        <v>9852</v>
      </c>
      <c r="AL483" s="15" t="s">
        <v>9853</v>
      </c>
      <c r="AN483" s="15">
        <v>743</v>
      </c>
      <c r="AO483" s="15" t="s">
        <v>9854</v>
      </c>
      <c r="AQ483" s="15" t="s">
        <v>168</v>
      </c>
      <c r="AT483" s="15" t="s">
        <v>9855</v>
      </c>
      <c r="AU483" s="15" t="s">
        <v>9856</v>
      </c>
      <c r="AV483" s="15" t="s">
        <v>9856</v>
      </c>
      <c r="AW483" s="15" t="s">
        <v>9857</v>
      </c>
      <c r="AX483" s="15" t="s">
        <v>9858</v>
      </c>
      <c r="AY483" s="21">
        <f t="shared" si="9"/>
        <v>57</v>
      </c>
      <c r="AZ483" s="15" t="s">
        <v>173</v>
      </c>
      <c r="BA483" s="15" t="s">
        <v>174</v>
      </c>
      <c r="BB483" s="15" t="s">
        <v>9817</v>
      </c>
      <c r="BC483" s="15" t="s">
        <v>9818</v>
      </c>
      <c r="BE483" s="15" t="s">
        <v>264</v>
      </c>
      <c r="BF483" s="15" t="s">
        <v>1479</v>
      </c>
      <c r="BJ483" s="15" t="s">
        <v>9819</v>
      </c>
      <c r="BN483" s="15" t="s">
        <v>179</v>
      </c>
      <c r="BS483" s="15" t="s">
        <v>9859</v>
      </c>
      <c r="DH483" s="15" t="s">
        <v>17982</v>
      </c>
      <c r="DI483" s="15" t="s">
        <v>17982</v>
      </c>
    </row>
    <row r="484" spans="1:113" s="15" customFormat="1" ht="12.75" x14ac:dyDescent="0.2">
      <c r="A484" s="15" t="s">
        <v>109</v>
      </c>
      <c r="B484" s="15" t="s">
        <v>110</v>
      </c>
      <c r="D484" s="15" t="s">
        <v>383</v>
      </c>
      <c r="E484" s="15" t="s">
        <v>112</v>
      </c>
      <c r="F484" s="15" t="s">
        <v>383</v>
      </c>
      <c r="G484" s="15" t="s">
        <v>113</v>
      </c>
      <c r="H484" s="15" t="s">
        <v>383</v>
      </c>
      <c r="J484" s="16" t="s">
        <v>114</v>
      </c>
      <c r="U484" s="15" t="s">
        <v>17977</v>
      </c>
      <c r="W484" s="15">
        <v>1829</v>
      </c>
      <c r="X484" s="15">
        <v>494</v>
      </c>
      <c r="Y484" s="15" t="s">
        <v>160</v>
      </c>
      <c r="Z484" s="15" t="s">
        <v>161</v>
      </c>
      <c r="AA484" s="15" t="s">
        <v>162</v>
      </c>
      <c r="AB484" s="15" t="s">
        <v>9809</v>
      </c>
      <c r="AC484" s="15" t="s">
        <v>9809</v>
      </c>
      <c r="AD484" s="15" t="s">
        <v>9809</v>
      </c>
      <c r="AE484" s="15" t="s">
        <v>164</v>
      </c>
      <c r="AF484" s="15" t="s">
        <v>9809</v>
      </c>
      <c r="AG484" s="15" t="s">
        <v>9809</v>
      </c>
      <c r="AH484" s="20" t="s">
        <v>9810</v>
      </c>
      <c r="AL484" s="15" t="s">
        <v>9811</v>
      </c>
      <c r="AN484" s="15">
        <v>743</v>
      </c>
      <c r="AO484" s="15" t="s">
        <v>9812</v>
      </c>
      <c r="AQ484" s="15" t="s">
        <v>168</v>
      </c>
      <c r="AT484" s="15" t="s">
        <v>9813</v>
      </c>
      <c r="AU484" s="15" t="s">
        <v>9814</v>
      </c>
      <c r="AV484" s="15" t="s">
        <v>9814</v>
      </c>
      <c r="AW484" s="15" t="s">
        <v>9815</v>
      </c>
      <c r="AX484" s="15" t="s">
        <v>9816</v>
      </c>
      <c r="AY484" s="21">
        <f t="shared" si="9"/>
        <v>58</v>
      </c>
      <c r="AZ484" s="15" t="s">
        <v>173</v>
      </c>
      <c r="BA484" s="15" t="s">
        <v>174</v>
      </c>
      <c r="BB484" s="15" t="s">
        <v>9817</v>
      </c>
      <c r="BC484" s="15" t="s">
        <v>9818</v>
      </c>
      <c r="BE484" s="15" t="s">
        <v>5866</v>
      </c>
      <c r="BF484" s="15" t="s">
        <v>1479</v>
      </c>
      <c r="BJ484" s="15" t="s">
        <v>9819</v>
      </c>
      <c r="BN484" s="15" t="s">
        <v>179</v>
      </c>
      <c r="BS484" s="15" t="s">
        <v>9820</v>
      </c>
      <c r="DH484" s="15" t="s">
        <v>17982</v>
      </c>
      <c r="DI484" s="15" t="s">
        <v>17982</v>
      </c>
    </row>
    <row r="485" spans="1:113" s="15" customFormat="1" ht="12.75" x14ac:dyDescent="0.2">
      <c r="A485" s="15" t="s">
        <v>109</v>
      </c>
      <c r="B485" s="15" t="s">
        <v>110</v>
      </c>
      <c r="D485" s="15" t="s">
        <v>383</v>
      </c>
      <c r="E485" s="15" t="s">
        <v>112</v>
      </c>
      <c r="F485" s="15" t="s">
        <v>383</v>
      </c>
      <c r="G485" s="15" t="s">
        <v>113</v>
      </c>
      <c r="H485" s="15" t="s">
        <v>383</v>
      </c>
      <c r="J485" s="16" t="s">
        <v>114</v>
      </c>
      <c r="U485" s="15" t="s">
        <v>17977</v>
      </c>
      <c r="W485" s="15">
        <v>1837</v>
      </c>
      <c r="X485" s="15">
        <v>495</v>
      </c>
      <c r="Y485" s="15" t="s">
        <v>160</v>
      </c>
      <c r="Z485" s="15" t="s">
        <v>161</v>
      </c>
      <c r="AA485" s="15" t="s">
        <v>162</v>
      </c>
      <c r="AB485" s="15" t="s">
        <v>9868</v>
      </c>
      <c r="AC485" s="15" t="s">
        <v>9868</v>
      </c>
      <c r="AD485" s="15" t="s">
        <v>9868</v>
      </c>
      <c r="AE485" s="15" t="s">
        <v>164</v>
      </c>
      <c r="AF485" s="15" t="s">
        <v>9868</v>
      </c>
      <c r="AG485" s="15" t="s">
        <v>9868</v>
      </c>
      <c r="AH485" s="20" t="s">
        <v>9869</v>
      </c>
      <c r="AL485" s="15" t="s">
        <v>9870</v>
      </c>
      <c r="AN485" s="15">
        <v>743</v>
      </c>
      <c r="AO485" s="15" t="s">
        <v>9871</v>
      </c>
      <c r="AQ485" s="15" t="s">
        <v>168</v>
      </c>
      <c r="AT485" s="15" t="s">
        <v>9872</v>
      </c>
      <c r="AU485" s="15" t="s">
        <v>9873</v>
      </c>
      <c r="AV485" s="15" t="s">
        <v>9873</v>
      </c>
      <c r="AW485" s="15" t="s">
        <v>9874</v>
      </c>
      <c r="AX485" s="15" t="s">
        <v>9875</v>
      </c>
      <c r="AY485" s="21">
        <f t="shared" si="9"/>
        <v>60</v>
      </c>
      <c r="AZ485" s="15" t="s">
        <v>173</v>
      </c>
      <c r="BA485" s="15" t="s">
        <v>174</v>
      </c>
      <c r="BB485" s="15" t="s">
        <v>9817</v>
      </c>
      <c r="BC485" s="15" t="s">
        <v>5832</v>
      </c>
      <c r="BE485" s="15" t="s">
        <v>5789</v>
      </c>
      <c r="BF485" s="15" t="s">
        <v>1479</v>
      </c>
      <c r="BJ485" s="15" t="s">
        <v>9876</v>
      </c>
      <c r="BS485" s="15" t="s">
        <v>9877</v>
      </c>
      <c r="DH485" s="15" t="s">
        <v>17982</v>
      </c>
      <c r="DI485" s="15" t="s">
        <v>17982</v>
      </c>
    </row>
    <row r="486" spans="1:113" s="15" customFormat="1" ht="12.75" x14ac:dyDescent="0.2">
      <c r="A486" s="15" t="s">
        <v>109</v>
      </c>
      <c r="B486" s="15" t="s">
        <v>110</v>
      </c>
      <c r="D486" s="15" t="s">
        <v>383</v>
      </c>
      <c r="E486" s="15" t="s">
        <v>112</v>
      </c>
      <c r="F486" s="15" t="s">
        <v>383</v>
      </c>
      <c r="G486" s="15" t="s">
        <v>113</v>
      </c>
      <c r="H486" s="15" t="s">
        <v>383</v>
      </c>
      <c r="J486" s="16" t="s">
        <v>114</v>
      </c>
      <c r="U486" s="15" t="s">
        <v>17977</v>
      </c>
      <c r="W486" s="15">
        <v>1838</v>
      </c>
      <c r="X486" s="15">
        <v>496</v>
      </c>
      <c r="Y486" s="15" t="s">
        <v>160</v>
      </c>
      <c r="Z486" s="15" t="s">
        <v>161</v>
      </c>
      <c r="AA486" s="15" t="s">
        <v>162</v>
      </c>
      <c r="AB486" s="15" t="s">
        <v>9878</v>
      </c>
      <c r="AC486" s="15" t="s">
        <v>9878</v>
      </c>
      <c r="AD486" s="15" t="s">
        <v>9878</v>
      </c>
      <c r="AE486" s="15" t="s">
        <v>164</v>
      </c>
      <c r="AF486" s="15" t="s">
        <v>9878</v>
      </c>
      <c r="AG486" s="15" t="s">
        <v>9878</v>
      </c>
      <c r="AH486" s="20" t="s">
        <v>9879</v>
      </c>
      <c r="AL486" s="15" t="s">
        <v>9870</v>
      </c>
      <c r="AN486" s="15">
        <v>743</v>
      </c>
      <c r="AO486" s="15" t="s">
        <v>9880</v>
      </c>
      <c r="AQ486" s="15" t="s">
        <v>168</v>
      </c>
      <c r="AT486" s="15" t="s">
        <v>9881</v>
      </c>
      <c r="AU486" s="15" t="s">
        <v>9882</v>
      </c>
      <c r="AV486" s="15" t="s">
        <v>9882</v>
      </c>
      <c r="AW486" s="15" t="s">
        <v>9883</v>
      </c>
      <c r="AX486" s="15" t="s">
        <v>9884</v>
      </c>
      <c r="AY486" s="21">
        <f t="shared" si="9"/>
        <v>60</v>
      </c>
      <c r="AZ486" s="15" t="s">
        <v>173</v>
      </c>
      <c r="BA486" s="15" t="s">
        <v>174</v>
      </c>
      <c r="BB486" s="15" t="s">
        <v>9817</v>
      </c>
      <c r="BC486" s="15" t="s">
        <v>9885</v>
      </c>
      <c r="BE486" s="15" t="s">
        <v>5789</v>
      </c>
      <c r="BF486" s="15" t="s">
        <v>1479</v>
      </c>
      <c r="BJ486" s="15" t="s">
        <v>9876</v>
      </c>
      <c r="BS486" s="15" t="s">
        <v>9886</v>
      </c>
      <c r="DH486" s="15" t="s">
        <v>17982</v>
      </c>
      <c r="DI486" s="15" t="s">
        <v>17982</v>
      </c>
    </row>
    <row r="487" spans="1:113" s="15" customFormat="1" ht="12.75" x14ac:dyDescent="0.2">
      <c r="A487" s="15" t="s">
        <v>109</v>
      </c>
      <c r="B487" s="15" t="s">
        <v>110</v>
      </c>
      <c r="D487" s="15" t="s">
        <v>383</v>
      </c>
      <c r="E487" s="15" t="s">
        <v>112</v>
      </c>
      <c r="F487" s="15" t="s">
        <v>383</v>
      </c>
      <c r="G487" s="15" t="s">
        <v>113</v>
      </c>
      <c r="H487" s="15" t="s">
        <v>383</v>
      </c>
      <c r="J487" s="16" t="s">
        <v>114</v>
      </c>
      <c r="U487" s="15" t="s">
        <v>17977</v>
      </c>
      <c r="W487" s="15">
        <v>1105</v>
      </c>
      <c r="X487" s="15">
        <v>497</v>
      </c>
      <c r="Y487" s="15" t="s">
        <v>160</v>
      </c>
      <c r="Z487" s="15" t="s">
        <v>161</v>
      </c>
      <c r="AA487" s="15" t="s">
        <v>162</v>
      </c>
      <c r="AB487" s="15" t="s">
        <v>5823</v>
      </c>
      <c r="AC487" s="15" t="s">
        <v>5823</v>
      </c>
      <c r="AD487" s="15" t="s">
        <v>5823</v>
      </c>
      <c r="AE487" s="15" t="s">
        <v>164</v>
      </c>
      <c r="AF487" s="15" t="s">
        <v>5823</v>
      </c>
      <c r="AG487" s="15" t="s">
        <v>5823</v>
      </c>
      <c r="AH487" s="20" t="s">
        <v>5824</v>
      </c>
      <c r="AL487" s="15" t="s">
        <v>5825</v>
      </c>
      <c r="AN487" s="15">
        <v>743</v>
      </c>
      <c r="AO487" s="15" t="s">
        <v>5826</v>
      </c>
      <c r="AQ487" s="15" t="s">
        <v>168</v>
      </c>
      <c r="AT487" s="15" t="s">
        <v>5827</v>
      </c>
      <c r="AU487" s="15" t="s">
        <v>5828</v>
      </c>
      <c r="AV487" s="15" t="s">
        <v>5828</v>
      </c>
      <c r="AW487" s="15" t="s">
        <v>5829</v>
      </c>
      <c r="AX487" s="15" t="s">
        <v>5830</v>
      </c>
      <c r="AY487" s="21">
        <f t="shared" si="9"/>
        <v>57</v>
      </c>
      <c r="AZ487" s="15" t="s">
        <v>173</v>
      </c>
      <c r="BA487" s="15" t="s">
        <v>174</v>
      </c>
      <c r="BB487" s="15" t="s">
        <v>5831</v>
      </c>
      <c r="BC487" s="15" t="s">
        <v>5832</v>
      </c>
      <c r="BE487" s="15" t="s">
        <v>5789</v>
      </c>
      <c r="BJ487" s="15" t="s">
        <v>5833</v>
      </c>
      <c r="BK487" s="15" t="s">
        <v>487</v>
      </c>
      <c r="BS487" s="15" t="s">
        <v>5834</v>
      </c>
      <c r="DH487" s="15" t="s">
        <v>17982</v>
      </c>
      <c r="DI487" s="15" t="s">
        <v>17982</v>
      </c>
    </row>
    <row r="488" spans="1:113" s="15" customFormat="1" ht="12.75" x14ac:dyDescent="0.2">
      <c r="A488" s="15" t="s">
        <v>109</v>
      </c>
      <c r="B488" s="15" t="s">
        <v>110</v>
      </c>
      <c r="D488" s="15" t="s">
        <v>159</v>
      </c>
      <c r="E488" s="15" t="s">
        <v>112</v>
      </c>
      <c r="F488" s="15" t="s">
        <v>159</v>
      </c>
      <c r="G488" s="15" t="s">
        <v>113</v>
      </c>
      <c r="H488" s="15" t="s">
        <v>383</v>
      </c>
      <c r="J488" s="16" t="s">
        <v>114</v>
      </c>
      <c r="U488" s="15" t="s">
        <v>17977</v>
      </c>
      <c r="W488" s="15">
        <v>1834</v>
      </c>
      <c r="X488" s="15">
        <v>498</v>
      </c>
      <c r="Y488" s="15" t="s">
        <v>160</v>
      </c>
      <c r="Z488" s="15" t="s">
        <v>161</v>
      </c>
      <c r="AA488" s="15" t="s">
        <v>162</v>
      </c>
      <c r="AB488" s="15" t="s">
        <v>9841</v>
      </c>
      <c r="AC488" s="15" t="s">
        <v>9841</v>
      </c>
      <c r="AD488" s="15" t="s">
        <v>9841</v>
      </c>
      <c r="AE488" s="15" t="s">
        <v>164</v>
      </c>
      <c r="AF488" s="15" t="s">
        <v>9841</v>
      </c>
      <c r="AG488" s="15" t="s">
        <v>9841</v>
      </c>
      <c r="AH488" s="15" t="s">
        <v>9842</v>
      </c>
      <c r="AL488" s="15" t="s">
        <v>9843</v>
      </c>
      <c r="AN488" s="15">
        <v>743</v>
      </c>
      <c r="AO488" s="15" t="s">
        <v>9844</v>
      </c>
      <c r="AQ488" s="17" t="s">
        <v>168</v>
      </c>
      <c r="AT488" s="15" t="s">
        <v>9845</v>
      </c>
      <c r="AU488" s="18" t="s">
        <v>9846</v>
      </c>
      <c r="AV488" s="18" t="s">
        <v>9846</v>
      </c>
      <c r="AW488" s="15" t="s">
        <v>9847</v>
      </c>
      <c r="AX488" s="15" t="s">
        <v>9848</v>
      </c>
      <c r="AY488" s="15">
        <f t="shared" ref="AY488:AY551" si="10">LEN(SUBSTITUTE(AX488, ", "," "))</f>
        <v>57</v>
      </c>
      <c r="AZ488" s="18" t="s">
        <v>173</v>
      </c>
      <c r="BA488" s="18" t="s">
        <v>174</v>
      </c>
      <c r="BB488" s="18" t="s">
        <v>9817</v>
      </c>
      <c r="BC488" s="26" t="s">
        <v>5799</v>
      </c>
      <c r="BE488" s="18" t="s">
        <v>9829</v>
      </c>
      <c r="BJ488" s="18" t="s">
        <v>9849</v>
      </c>
      <c r="BS488" s="15" t="s">
        <v>9850</v>
      </c>
      <c r="DH488" s="15" t="s">
        <v>17982</v>
      </c>
      <c r="DI488" s="15" t="s">
        <v>17982</v>
      </c>
    </row>
    <row r="489" spans="1:113" s="15" customFormat="1" ht="12.75" x14ac:dyDescent="0.2">
      <c r="A489" s="15" t="s">
        <v>109</v>
      </c>
      <c r="B489" s="15" t="s">
        <v>110</v>
      </c>
      <c r="D489" s="15" t="s">
        <v>159</v>
      </c>
      <c r="E489" s="15" t="s">
        <v>112</v>
      </c>
      <c r="F489" s="15" t="s">
        <v>159</v>
      </c>
      <c r="G489" s="15" t="s">
        <v>113</v>
      </c>
      <c r="H489" s="15" t="s">
        <v>383</v>
      </c>
      <c r="J489" s="16" t="s">
        <v>114</v>
      </c>
      <c r="U489" s="15" t="s">
        <v>17977</v>
      </c>
      <c r="W489" s="15">
        <v>1102</v>
      </c>
      <c r="X489" s="15">
        <v>499</v>
      </c>
      <c r="Y489" s="15" t="s">
        <v>160</v>
      </c>
      <c r="Z489" s="15" t="s">
        <v>161</v>
      </c>
      <c r="AA489" s="15" t="s">
        <v>162</v>
      </c>
      <c r="AB489" s="15" t="s">
        <v>5792</v>
      </c>
      <c r="AC489" s="15" t="s">
        <v>5792</v>
      </c>
      <c r="AD489" s="15" t="s">
        <v>5792</v>
      </c>
      <c r="AE489" s="15" t="s">
        <v>164</v>
      </c>
      <c r="AF489" s="15" t="s">
        <v>5792</v>
      </c>
      <c r="AG489" s="15" t="s">
        <v>5792</v>
      </c>
      <c r="AH489" s="15" t="s">
        <v>5793</v>
      </c>
      <c r="AL489" s="15" t="s">
        <v>5794</v>
      </c>
      <c r="AN489" s="15">
        <v>743</v>
      </c>
      <c r="AO489" s="15" t="s">
        <v>5795</v>
      </c>
      <c r="AQ489" s="17" t="s">
        <v>168</v>
      </c>
      <c r="AT489" s="15" t="s">
        <v>5796</v>
      </c>
      <c r="AU489" s="18" t="s">
        <v>5797</v>
      </c>
      <c r="AV489" s="18" t="s">
        <v>5797</v>
      </c>
      <c r="AW489" s="15" t="s">
        <v>5798</v>
      </c>
      <c r="AX489" s="15" t="s">
        <v>5798</v>
      </c>
      <c r="AY489" s="15">
        <f t="shared" si="10"/>
        <v>51</v>
      </c>
      <c r="AZ489" s="18" t="s">
        <v>173</v>
      </c>
      <c r="BA489" s="18" t="s">
        <v>174</v>
      </c>
      <c r="BC489" s="26" t="s">
        <v>5799</v>
      </c>
      <c r="BE489" s="18" t="s">
        <v>5789</v>
      </c>
      <c r="BJ489" s="18" t="s">
        <v>5790</v>
      </c>
      <c r="BK489" s="18" t="s">
        <v>487</v>
      </c>
      <c r="BS489" s="15" t="s">
        <v>5800</v>
      </c>
      <c r="DH489" s="15" t="s">
        <v>17982</v>
      </c>
      <c r="DI489" s="15" t="s">
        <v>17982</v>
      </c>
    </row>
    <row r="490" spans="1:113" s="15" customFormat="1" ht="12.75" x14ac:dyDescent="0.2">
      <c r="A490" s="15" t="s">
        <v>109</v>
      </c>
      <c r="B490" s="15" t="s">
        <v>110</v>
      </c>
      <c r="D490" s="15" t="s">
        <v>159</v>
      </c>
      <c r="E490" s="15" t="s">
        <v>112</v>
      </c>
      <c r="F490" s="15" t="s">
        <v>159</v>
      </c>
      <c r="G490" s="15" t="s">
        <v>113</v>
      </c>
      <c r="H490" s="15" t="s">
        <v>383</v>
      </c>
      <c r="J490" s="16" t="s">
        <v>114</v>
      </c>
      <c r="U490" s="15" t="s">
        <v>17977</v>
      </c>
      <c r="W490" s="15">
        <v>1101</v>
      </c>
      <c r="X490" s="15">
        <v>500</v>
      </c>
      <c r="Y490" s="15" t="s">
        <v>160</v>
      </c>
      <c r="Z490" s="15" t="s">
        <v>161</v>
      </c>
      <c r="AA490" s="15" t="s">
        <v>162</v>
      </c>
      <c r="AB490" s="15" t="s">
        <v>5781</v>
      </c>
      <c r="AC490" s="15" t="s">
        <v>5781</v>
      </c>
      <c r="AD490" s="15" t="s">
        <v>5781</v>
      </c>
      <c r="AE490" s="15" t="s">
        <v>164</v>
      </c>
      <c r="AF490" s="15" t="s">
        <v>5781</v>
      </c>
      <c r="AG490" s="15" t="s">
        <v>5781</v>
      </c>
      <c r="AH490" s="15" t="s">
        <v>5782</v>
      </c>
      <c r="AL490" s="15" t="s">
        <v>5783</v>
      </c>
      <c r="AN490" s="15">
        <v>743</v>
      </c>
      <c r="AO490" s="15" t="s">
        <v>5784</v>
      </c>
      <c r="AQ490" s="17" t="s">
        <v>168</v>
      </c>
      <c r="AT490" s="15" t="s">
        <v>5785</v>
      </c>
      <c r="AU490" s="18" t="s">
        <v>5786</v>
      </c>
      <c r="AV490" s="18" t="s">
        <v>5786</v>
      </c>
      <c r="AW490" s="15" t="s">
        <v>5787</v>
      </c>
      <c r="AX490" s="15" t="s">
        <v>5787</v>
      </c>
      <c r="AY490" s="15">
        <f t="shared" si="10"/>
        <v>51</v>
      </c>
      <c r="AZ490" s="18" t="s">
        <v>173</v>
      </c>
      <c r="BA490" s="18" t="s">
        <v>174</v>
      </c>
      <c r="BC490" s="26" t="s">
        <v>5788</v>
      </c>
      <c r="BE490" s="18" t="s">
        <v>5789</v>
      </c>
      <c r="BJ490" s="18" t="s">
        <v>5790</v>
      </c>
      <c r="BK490" s="18" t="s">
        <v>487</v>
      </c>
      <c r="BS490" s="15" t="s">
        <v>5791</v>
      </c>
      <c r="DH490" s="15" t="s">
        <v>17982</v>
      </c>
      <c r="DI490" s="15" t="s">
        <v>17982</v>
      </c>
    </row>
    <row r="491" spans="1:113" s="15" customFormat="1" ht="12.75" x14ac:dyDescent="0.2">
      <c r="A491" s="15" t="s">
        <v>109</v>
      </c>
      <c r="B491" s="15" t="s">
        <v>110</v>
      </c>
      <c r="D491" s="15" t="s">
        <v>159</v>
      </c>
      <c r="E491" s="15" t="s">
        <v>112</v>
      </c>
      <c r="F491" s="15" t="s">
        <v>159</v>
      </c>
      <c r="G491" s="15" t="s">
        <v>113</v>
      </c>
      <c r="H491" s="15" t="s">
        <v>383</v>
      </c>
      <c r="J491" s="16" t="s">
        <v>114</v>
      </c>
      <c r="U491" s="15" t="s">
        <v>17977</v>
      </c>
      <c r="W491" s="15">
        <v>1832</v>
      </c>
      <c r="X491" s="15">
        <v>501</v>
      </c>
      <c r="Y491" s="15" t="s">
        <v>160</v>
      </c>
      <c r="Z491" s="15" t="s">
        <v>161</v>
      </c>
      <c r="AA491" s="15" t="s">
        <v>162</v>
      </c>
      <c r="AB491" s="15" t="s">
        <v>9821</v>
      </c>
      <c r="AC491" s="15" t="s">
        <v>9821</v>
      </c>
      <c r="AD491" s="15" t="s">
        <v>9821</v>
      </c>
      <c r="AE491" s="15" t="s">
        <v>164</v>
      </c>
      <c r="AF491" s="15" t="s">
        <v>9821</v>
      </c>
      <c r="AG491" s="15" t="s">
        <v>9821</v>
      </c>
      <c r="AH491" s="15" t="s">
        <v>9822</v>
      </c>
      <c r="AL491" s="15" t="s">
        <v>9823</v>
      </c>
      <c r="AN491" s="15">
        <v>743</v>
      </c>
      <c r="AO491" s="15" t="s">
        <v>9824</v>
      </c>
      <c r="AQ491" s="17" t="s">
        <v>168</v>
      </c>
      <c r="AT491" s="15" t="s">
        <v>9825</v>
      </c>
      <c r="AU491" s="18" t="s">
        <v>9826</v>
      </c>
      <c r="AV491" s="18" t="s">
        <v>9826</v>
      </c>
      <c r="AW491" s="15" t="s">
        <v>9827</v>
      </c>
      <c r="AX491" s="15" t="s">
        <v>9828</v>
      </c>
      <c r="AY491" s="15">
        <f t="shared" si="10"/>
        <v>57</v>
      </c>
      <c r="AZ491" s="18" t="s">
        <v>173</v>
      </c>
      <c r="BA491" s="18" t="s">
        <v>174</v>
      </c>
      <c r="BB491" s="18" t="s">
        <v>9817</v>
      </c>
      <c r="BC491" s="26" t="s">
        <v>5799</v>
      </c>
      <c r="BE491" s="18" t="s">
        <v>9829</v>
      </c>
      <c r="BJ491" s="18" t="s">
        <v>9830</v>
      </c>
      <c r="BS491" s="15" t="s">
        <v>9831</v>
      </c>
      <c r="DH491" s="15" t="s">
        <v>17982</v>
      </c>
      <c r="DI491" s="15" t="s">
        <v>17982</v>
      </c>
    </row>
    <row r="492" spans="1:113" s="15" customFormat="1" ht="12.75" x14ac:dyDescent="0.2">
      <c r="A492" s="15" t="s">
        <v>109</v>
      </c>
      <c r="B492" s="15" t="s">
        <v>110</v>
      </c>
      <c r="D492" s="15" t="s">
        <v>159</v>
      </c>
      <c r="E492" s="15" t="s">
        <v>112</v>
      </c>
      <c r="F492" s="15" t="s">
        <v>159</v>
      </c>
      <c r="G492" s="15" t="s">
        <v>113</v>
      </c>
      <c r="H492" s="15" t="s">
        <v>383</v>
      </c>
      <c r="J492" s="16" t="s">
        <v>114</v>
      </c>
      <c r="U492" s="15" t="s">
        <v>17977</v>
      </c>
      <c r="W492" s="15">
        <v>2583</v>
      </c>
      <c r="X492" s="15">
        <v>502</v>
      </c>
      <c r="Y492" s="15" t="s">
        <v>160</v>
      </c>
      <c r="Z492" s="15" t="s">
        <v>161</v>
      </c>
      <c r="AA492" s="15" t="s">
        <v>162</v>
      </c>
      <c r="AB492" s="15" t="s">
        <v>12602</v>
      </c>
      <c r="AC492" s="15" t="s">
        <v>12602</v>
      </c>
      <c r="AD492" s="15" t="s">
        <v>12602</v>
      </c>
      <c r="AE492" s="15" t="s">
        <v>164</v>
      </c>
      <c r="AF492" s="15" t="s">
        <v>12602</v>
      </c>
      <c r="AG492" s="15" t="s">
        <v>12602</v>
      </c>
      <c r="AH492" s="47" t="s">
        <v>12603</v>
      </c>
      <c r="AL492" s="15" t="s">
        <v>12604</v>
      </c>
      <c r="AN492" s="15">
        <v>743</v>
      </c>
      <c r="AO492" s="15" t="s">
        <v>12605</v>
      </c>
      <c r="AQ492" s="17" t="s">
        <v>168</v>
      </c>
      <c r="AT492" s="15" t="s">
        <v>12606</v>
      </c>
      <c r="AU492" s="18" t="s">
        <v>12607</v>
      </c>
      <c r="AV492" s="18" t="s">
        <v>12607</v>
      </c>
      <c r="AW492" s="15" t="s">
        <v>12608</v>
      </c>
      <c r="AX492" s="15" t="s">
        <v>12609</v>
      </c>
      <c r="AY492" s="15">
        <f t="shared" si="10"/>
        <v>59</v>
      </c>
      <c r="AZ492" s="18" t="s">
        <v>173</v>
      </c>
      <c r="BA492" s="18" t="s">
        <v>174</v>
      </c>
      <c r="BB492" s="18" t="s">
        <v>9817</v>
      </c>
      <c r="BC492" s="26" t="s">
        <v>5799</v>
      </c>
      <c r="BE492" s="18" t="s">
        <v>9829</v>
      </c>
      <c r="BJ492" s="18" t="s">
        <v>12610</v>
      </c>
      <c r="BS492" s="15" t="s">
        <v>12611</v>
      </c>
      <c r="DH492" s="15" t="s">
        <v>17982</v>
      </c>
      <c r="DI492" s="15" t="s">
        <v>17982</v>
      </c>
    </row>
    <row r="493" spans="1:113" s="15" customFormat="1" ht="12.75" x14ac:dyDescent="0.2">
      <c r="A493" s="15" t="s">
        <v>109</v>
      </c>
      <c r="B493" s="15" t="s">
        <v>110</v>
      </c>
      <c r="D493" s="15" t="s">
        <v>159</v>
      </c>
      <c r="E493" s="15" t="s">
        <v>112</v>
      </c>
      <c r="F493" s="15" t="s">
        <v>159</v>
      </c>
      <c r="G493" s="15" t="s">
        <v>113</v>
      </c>
      <c r="H493" s="15" t="s">
        <v>383</v>
      </c>
      <c r="J493" s="16" t="s">
        <v>114</v>
      </c>
      <c r="U493" s="15" t="s">
        <v>17977</v>
      </c>
      <c r="W493" s="15">
        <v>1836</v>
      </c>
      <c r="X493" s="15">
        <v>503</v>
      </c>
      <c r="Y493" s="15" t="s">
        <v>160</v>
      </c>
      <c r="Z493" s="15" t="s">
        <v>161</v>
      </c>
      <c r="AA493" s="15" t="s">
        <v>162</v>
      </c>
      <c r="AB493" s="15" t="s">
        <v>9860</v>
      </c>
      <c r="AC493" s="15" t="s">
        <v>9860</v>
      </c>
      <c r="AD493" s="15" t="s">
        <v>9860</v>
      </c>
      <c r="AE493" s="15" t="s">
        <v>164</v>
      </c>
      <c r="AF493" s="15" t="s">
        <v>9860</v>
      </c>
      <c r="AG493" s="15" t="s">
        <v>9860</v>
      </c>
      <c r="AH493" s="15" t="s">
        <v>9861</v>
      </c>
      <c r="AL493" s="15" t="s">
        <v>9853</v>
      </c>
      <c r="AN493" s="15">
        <v>743</v>
      </c>
      <c r="AO493" s="15" t="s">
        <v>9862</v>
      </c>
      <c r="AQ493" s="17" t="s">
        <v>168</v>
      </c>
      <c r="AT493" s="15" t="s">
        <v>9863</v>
      </c>
      <c r="AU493" s="18" t="s">
        <v>9864</v>
      </c>
      <c r="AV493" s="18" t="s">
        <v>9864</v>
      </c>
      <c r="AW493" s="15" t="s">
        <v>9865</v>
      </c>
      <c r="AX493" s="15" t="s">
        <v>9866</v>
      </c>
      <c r="AY493" s="15">
        <f t="shared" si="10"/>
        <v>57</v>
      </c>
      <c r="AZ493" s="18" t="s">
        <v>173</v>
      </c>
      <c r="BA493" s="18" t="s">
        <v>174</v>
      </c>
      <c r="BB493" s="18" t="s">
        <v>9817</v>
      </c>
      <c r="BC493" s="26" t="s">
        <v>5799</v>
      </c>
      <c r="BE493" s="18" t="s">
        <v>9839</v>
      </c>
      <c r="BJ493" s="18" t="s">
        <v>9849</v>
      </c>
      <c r="BS493" s="15" t="s">
        <v>9867</v>
      </c>
      <c r="DH493" s="15" t="s">
        <v>17982</v>
      </c>
      <c r="DI493" s="15" t="s">
        <v>17982</v>
      </c>
    </row>
    <row r="494" spans="1:113" s="15" customFormat="1" ht="12.75" x14ac:dyDescent="0.2">
      <c r="A494" s="15" t="s">
        <v>109</v>
      </c>
      <c r="B494" s="15" t="s">
        <v>110</v>
      </c>
      <c r="D494" s="15" t="s">
        <v>159</v>
      </c>
      <c r="E494" s="15" t="s">
        <v>112</v>
      </c>
      <c r="F494" s="15" t="s">
        <v>159</v>
      </c>
      <c r="G494" s="15" t="s">
        <v>113</v>
      </c>
      <c r="H494" s="15" t="s">
        <v>383</v>
      </c>
      <c r="J494" s="16" t="s">
        <v>114</v>
      </c>
      <c r="U494" s="15" t="s">
        <v>17977</v>
      </c>
      <c r="W494" s="15">
        <v>1833</v>
      </c>
      <c r="X494" s="15">
        <v>504</v>
      </c>
      <c r="Y494" s="15" t="s">
        <v>160</v>
      </c>
      <c r="Z494" s="15" t="s">
        <v>161</v>
      </c>
      <c r="AA494" s="15" t="s">
        <v>162</v>
      </c>
      <c r="AB494" s="15" t="s">
        <v>9832</v>
      </c>
      <c r="AC494" s="15" t="s">
        <v>9832</v>
      </c>
      <c r="AD494" s="15" t="s">
        <v>9832</v>
      </c>
      <c r="AE494" s="15" t="s">
        <v>164</v>
      </c>
      <c r="AF494" s="15" t="s">
        <v>9832</v>
      </c>
      <c r="AG494" s="15" t="s">
        <v>9832</v>
      </c>
      <c r="AH494" s="15" t="s">
        <v>9833</v>
      </c>
      <c r="AL494" s="15" t="s">
        <v>9823</v>
      </c>
      <c r="AN494" s="15">
        <v>743</v>
      </c>
      <c r="AO494" s="15" t="s">
        <v>9834</v>
      </c>
      <c r="AQ494" s="17" t="s">
        <v>168</v>
      </c>
      <c r="AT494" s="15" t="s">
        <v>9835</v>
      </c>
      <c r="AU494" s="18" t="s">
        <v>9836</v>
      </c>
      <c r="AV494" s="18" t="s">
        <v>9836</v>
      </c>
      <c r="AW494" s="15" t="s">
        <v>9837</v>
      </c>
      <c r="AX494" s="15" t="s">
        <v>9838</v>
      </c>
      <c r="AY494" s="15">
        <f t="shared" si="10"/>
        <v>57</v>
      </c>
      <c r="AZ494" s="18" t="s">
        <v>173</v>
      </c>
      <c r="BA494" s="18" t="s">
        <v>174</v>
      </c>
      <c r="BB494" s="18" t="s">
        <v>9817</v>
      </c>
      <c r="BC494" s="26" t="s">
        <v>5799</v>
      </c>
      <c r="BE494" s="18" t="s">
        <v>9839</v>
      </c>
      <c r="BJ494" s="18" t="s">
        <v>9830</v>
      </c>
      <c r="BS494" s="15" t="s">
        <v>9840</v>
      </c>
      <c r="DH494" s="15" t="s">
        <v>17982</v>
      </c>
      <c r="DI494" s="15" t="s">
        <v>17982</v>
      </c>
    </row>
    <row r="495" spans="1:113" s="15" customFormat="1" ht="12.75" x14ac:dyDescent="0.2">
      <c r="A495" s="15" t="s">
        <v>109</v>
      </c>
      <c r="B495" s="15" t="s">
        <v>110</v>
      </c>
      <c r="D495" s="15" t="s">
        <v>159</v>
      </c>
      <c r="E495" s="15" t="s">
        <v>112</v>
      </c>
      <c r="F495" s="15" t="s">
        <v>159</v>
      </c>
      <c r="G495" s="15" t="s">
        <v>113</v>
      </c>
      <c r="H495" s="15" t="s">
        <v>383</v>
      </c>
      <c r="J495" s="16" t="s">
        <v>114</v>
      </c>
      <c r="U495" s="15" t="s">
        <v>17977</v>
      </c>
      <c r="W495" s="15">
        <v>575</v>
      </c>
      <c r="X495" s="15">
        <v>505</v>
      </c>
      <c r="Y495" s="15" t="s">
        <v>160</v>
      </c>
      <c r="Z495" s="15" t="s">
        <v>161</v>
      </c>
      <c r="AA495" s="15" t="s">
        <v>162</v>
      </c>
      <c r="AB495" s="15" t="s">
        <v>2145</v>
      </c>
      <c r="AC495" s="15" t="s">
        <v>2145</v>
      </c>
      <c r="AD495" s="15" t="s">
        <v>2145</v>
      </c>
      <c r="AE495" s="15" t="s">
        <v>164</v>
      </c>
      <c r="AF495" s="15" t="s">
        <v>2145</v>
      </c>
      <c r="AG495" s="15" t="s">
        <v>2145</v>
      </c>
      <c r="AH495" s="15" t="s">
        <v>2146</v>
      </c>
      <c r="AL495" s="15" t="s">
        <v>2147</v>
      </c>
      <c r="AN495" s="15">
        <v>743</v>
      </c>
      <c r="AO495" s="15" t="s">
        <v>2148</v>
      </c>
      <c r="AQ495" s="17" t="s">
        <v>168</v>
      </c>
      <c r="AT495" s="15" t="s">
        <v>2149</v>
      </c>
      <c r="AU495" s="18" t="s">
        <v>2150</v>
      </c>
      <c r="AV495" s="18" t="s">
        <v>2150</v>
      </c>
      <c r="AW495" s="15" t="s">
        <v>2151</v>
      </c>
      <c r="AX495" s="15" t="s">
        <v>2152</v>
      </c>
      <c r="AY495" s="15">
        <f t="shared" si="10"/>
        <v>58</v>
      </c>
      <c r="AZ495" s="18" t="s">
        <v>173</v>
      </c>
      <c r="BA495" s="18" t="s">
        <v>174</v>
      </c>
      <c r="BE495" s="18" t="s">
        <v>395</v>
      </c>
      <c r="BF495" s="26" t="s">
        <v>2153</v>
      </c>
      <c r="BJ495" s="18" t="s">
        <v>2154</v>
      </c>
      <c r="BN495" s="18" t="s">
        <v>179</v>
      </c>
      <c r="BP495" s="18" t="s">
        <v>138</v>
      </c>
      <c r="BS495" s="15" t="s">
        <v>2155</v>
      </c>
      <c r="DH495" s="15" t="s">
        <v>17982</v>
      </c>
      <c r="DI495" s="15" t="s">
        <v>17982</v>
      </c>
    </row>
    <row r="496" spans="1:113" s="15" customFormat="1" ht="12.75" x14ac:dyDescent="0.2">
      <c r="A496" s="15" t="s">
        <v>109</v>
      </c>
      <c r="B496" s="15" t="s">
        <v>110</v>
      </c>
      <c r="D496" s="15" t="s">
        <v>159</v>
      </c>
      <c r="E496" s="15" t="s">
        <v>112</v>
      </c>
      <c r="F496" s="15" t="s">
        <v>159</v>
      </c>
      <c r="G496" s="15" t="s">
        <v>113</v>
      </c>
      <c r="H496" s="15" t="s">
        <v>383</v>
      </c>
      <c r="J496" s="16" t="s">
        <v>114</v>
      </c>
      <c r="U496" s="15" t="s">
        <v>17977</v>
      </c>
      <c r="W496" s="15">
        <v>577</v>
      </c>
      <c r="X496" s="15">
        <v>506</v>
      </c>
      <c r="Y496" s="15" t="s">
        <v>160</v>
      </c>
      <c r="Z496" s="15" t="s">
        <v>161</v>
      </c>
      <c r="AA496" s="15" t="s">
        <v>162</v>
      </c>
      <c r="AB496" s="15" t="s">
        <v>2167</v>
      </c>
      <c r="AC496" s="15" t="s">
        <v>2167</v>
      </c>
      <c r="AD496" s="15" t="s">
        <v>2167</v>
      </c>
      <c r="AE496" s="15" t="s">
        <v>164</v>
      </c>
      <c r="AF496" s="15" t="s">
        <v>2167</v>
      </c>
      <c r="AG496" s="15" t="s">
        <v>2167</v>
      </c>
      <c r="AH496" s="15" t="s">
        <v>2168</v>
      </c>
      <c r="AL496" s="15" t="s">
        <v>2169</v>
      </c>
      <c r="AN496" s="15">
        <v>743</v>
      </c>
      <c r="AO496" s="15" t="s">
        <v>2170</v>
      </c>
      <c r="AQ496" s="17" t="s">
        <v>168</v>
      </c>
      <c r="AT496" s="15" t="s">
        <v>2171</v>
      </c>
      <c r="AU496" s="18" t="s">
        <v>2172</v>
      </c>
      <c r="AV496" s="18" t="s">
        <v>2172</v>
      </c>
      <c r="AW496" s="15" t="s">
        <v>2173</v>
      </c>
      <c r="AX496" s="15" t="s">
        <v>2174</v>
      </c>
      <c r="AY496" s="15">
        <f t="shared" si="10"/>
        <v>59</v>
      </c>
      <c r="AZ496" s="18" t="s">
        <v>173</v>
      </c>
      <c r="BA496" s="18" t="s">
        <v>174</v>
      </c>
      <c r="BE496" s="18" t="s">
        <v>1754</v>
      </c>
      <c r="BF496" s="26" t="s">
        <v>2164</v>
      </c>
      <c r="BJ496" s="18" t="s">
        <v>2175</v>
      </c>
      <c r="BS496" s="15" t="s">
        <v>2176</v>
      </c>
      <c r="DH496" s="15" t="s">
        <v>17982</v>
      </c>
      <c r="DI496" s="15" t="s">
        <v>17982</v>
      </c>
    </row>
    <row r="497" spans="1:113" s="15" customFormat="1" ht="12.75" x14ac:dyDescent="0.2">
      <c r="A497" s="15" t="s">
        <v>109</v>
      </c>
      <c r="B497" s="15" t="s">
        <v>110</v>
      </c>
      <c r="D497" s="15" t="s">
        <v>159</v>
      </c>
      <c r="E497" s="15" t="s">
        <v>112</v>
      </c>
      <c r="F497" s="15" t="s">
        <v>159</v>
      </c>
      <c r="G497" s="15" t="s">
        <v>113</v>
      </c>
      <c r="H497" s="15" t="s">
        <v>383</v>
      </c>
      <c r="J497" s="16" t="s">
        <v>114</v>
      </c>
      <c r="U497" s="15" t="s">
        <v>17977</v>
      </c>
      <c r="W497" s="15">
        <v>576</v>
      </c>
      <c r="X497" s="15">
        <v>507</v>
      </c>
      <c r="Y497" s="15" t="s">
        <v>160</v>
      </c>
      <c r="Z497" s="15" t="s">
        <v>161</v>
      </c>
      <c r="AA497" s="15" t="s">
        <v>162</v>
      </c>
      <c r="AB497" s="15" t="s">
        <v>2156</v>
      </c>
      <c r="AC497" s="15" t="s">
        <v>2156</v>
      </c>
      <c r="AD497" s="15" t="s">
        <v>2156</v>
      </c>
      <c r="AE497" s="15" t="s">
        <v>164</v>
      </c>
      <c r="AF497" s="15" t="s">
        <v>2156</v>
      </c>
      <c r="AG497" s="15" t="s">
        <v>2156</v>
      </c>
      <c r="AH497" s="15" t="s">
        <v>2157</v>
      </c>
      <c r="AL497" s="15" t="s">
        <v>2158</v>
      </c>
      <c r="AN497" s="15">
        <v>743</v>
      </c>
      <c r="AO497" s="15" t="s">
        <v>2159</v>
      </c>
      <c r="AQ497" s="17" t="s">
        <v>168</v>
      </c>
      <c r="AT497" s="15" t="s">
        <v>2160</v>
      </c>
      <c r="AU497" s="18" t="s">
        <v>2161</v>
      </c>
      <c r="AV497" s="18" t="s">
        <v>2161</v>
      </c>
      <c r="AW497" s="15" t="s">
        <v>2162</v>
      </c>
      <c r="AX497" s="15" t="s">
        <v>2163</v>
      </c>
      <c r="AY497" s="15">
        <f t="shared" si="10"/>
        <v>59</v>
      </c>
      <c r="AZ497" s="18" t="s">
        <v>173</v>
      </c>
      <c r="BA497" s="18" t="s">
        <v>174</v>
      </c>
      <c r="BE497" s="18" t="s">
        <v>1754</v>
      </c>
      <c r="BF497" s="26" t="s">
        <v>2164</v>
      </c>
      <c r="BJ497" s="18" t="s">
        <v>2165</v>
      </c>
      <c r="BS497" s="15" t="s">
        <v>2166</v>
      </c>
      <c r="DH497" s="15" t="s">
        <v>17982</v>
      </c>
      <c r="DI497" s="15" t="s">
        <v>17982</v>
      </c>
    </row>
    <row r="498" spans="1:113" s="15" customFormat="1" ht="12.75" x14ac:dyDescent="0.2">
      <c r="A498" s="15" t="s">
        <v>109</v>
      </c>
      <c r="B498" s="15" t="s">
        <v>110</v>
      </c>
      <c r="D498" s="15" t="s">
        <v>159</v>
      </c>
      <c r="E498" s="15" t="s">
        <v>112</v>
      </c>
      <c r="F498" s="15" t="s">
        <v>159</v>
      </c>
      <c r="G498" s="15" t="s">
        <v>113</v>
      </c>
      <c r="H498" s="15" t="s">
        <v>383</v>
      </c>
      <c r="J498" s="16" t="s">
        <v>114</v>
      </c>
      <c r="U498" s="15" t="s">
        <v>17977</v>
      </c>
      <c r="W498" s="15">
        <v>1104</v>
      </c>
      <c r="X498" s="15">
        <v>508</v>
      </c>
      <c r="Y498" s="15" t="s">
        <v>160</v>
      </c>
      <c r="Z498" s="15" t="s">
        <v>161</v>
      </c>
      <c r="AA498" s="15" t="s">
        <v>162</v>
      </c>
      <c r="AB498" s="15" t="s">
        <v>5813</v>
      </c>
      <c r="AC498" s="15" t="s">
        <v>5813</v>
      </c>
      <c r="AD498" s="15" t="s">
        <v>5813</v>
      </c>
      <c r="AE498" s="15" t="s">
        <v>164</v>
      </c>
      <c r="AF498" s="15" t="s">
        <v>5813</v>
      </c>
      <c r="AG498" s="15" t="s">
        <v>5813</v>
      </c>
      <c r="AH498" s="15" t="s">
        <v>5814</v>
      </c>
      <c r="AL498" s="15" t="s">
        <v>5815</v>
      </c>
      <c r="AN498" s="15">
        <v>743</v>
      </c>
      <c r="AO498" s="15" t="s">
        <v>5816</v>
      </c>
      <c r="AQ498" s="17" t="s">
        <v>168</v>
      </c>
      <c r="AT498" s="15" t="s">
        <v>5817</v>
      </c>
      <c r="AU498" s="18" t="s">
        <v>5818</v>
      </c>
      <c r="AV498" s="18" t="s">
        <v>5818</v>
      </c>
      <c r="AW498" s="15" t="s">
        <v>5819</v>
      </c>
      <c r="AX498" s="15" t="s">
        <v>5820</v>
      </c>
      <c r="AY498" s="15">
        <f t="shared" si="10"/>
        <v>57</v>
      </c>
      <c r="AZ498" s="18" t="s">
        <v>173</v>
      </c>
      <c r="BA498" s="18" t="s">
        <v>174</v>
      </c>
      <c r="BC498" s="18" t="s">
        <v>5821</v>
      </c>
      <c r="BE498" s="18" t="s">
        <v>5810</v>
      </c>
      <c r="BJ498" s="18" t="s">
        <v>5811</v>
      </c>
      <c r="BK498" s="18" t="s">
        <v>487</v>
      </c>
      <c r="BS498" s="15" t="s">
        <v>5822</v>
      </c>
      <c r="DH498" s="15" t="s">
        <v>17982</v>
      </c>
      <c r="DI498" s="15" t="s">
        <v>17982</v>
      </c>
    </row>
    <row r="499" spans="1:113" s="15" customFormat="1" ht="12.75" x14ac:dyDescent="0.2">
      <c r="A499" s="15" t="s">
        <v>109</v>
      </c>
      <c r="B499" s="15" t="s">
        <v>110</v>
      </c>
      <c r="D499" s="15" t="s">
        <v>159</v>
      </c>
      <c r="E499" s="15" t="s">
        <v>112</v>
      </c>
      <c r="F499" s="15" t="s">
        <v>159</v>
      </c>
      <c r="G499" s="15" t="s">
        <v>113</v>
      </c>
      <c r="H499" s="15" t="s">
        <v>383</v>
      </c>
      <c r="J499" s="16" t="s">
        <v>114</v>
      </c>
      <c r="U499" s="15" t="s">
        <v>17977</v>
      </c>
      <c r="W499" s="15">
        <v>1103</v>
      </c>
      <c r="X499" s="15">
        <v>509</v>
      </c>
      <c r="Y499" s="15" t="s">
        <v>160</v>
      </c>
      <c r="Z499" s="15" t="s">
        <v>161</v>
      </c>
      <c r="AA499" s="15" t="s">
        <v>162</v>
      </c>
      <c r="AB499" s="15" t="s">
        <v>5801</v>
      </c>
      <c r="AC499" s="15" t="s">
        <v>5801</v>
      </c>
      <c r="AD499" s="15" t="s">
        <v>5801</v>
      </c>
      <c r="AE499" s="15" t="s">
        <v>164</v>
      </c>
      <c r="AF499" s="15" t="s">
        <v>5801</v>
      </c>
      <c r="AG499" s="15" t="s">
        <v>5801</v>
      </c>
      <c r="AH499" s="15" t="s">
        <v>5802</v>
      </c>
      <c r="AL499" s="15" t="s">
        <v>5803</v>
      </c>
      <c r="AN499" s="15">
        <v>743</v>
      </c>
      <c r="AO499" s="15" t="s">
        <v>5804</v>
      </c>
      <c r="AQ499" s="17" t="s">
        <v>168</v>
      </c>
      <c r="AT499" s="15" t="s">
        <v>5805</v>
      </c>
      <c r="AU499" s="18" t="s">
        <v>5806</v>
      </c>
      <c r="AV499" s="18" t="s">
        <v>5806</v>
      </c>
      <c r="AW499" s="15" t="s">
        <v>5807</v>
      </c>
      <c r="AX499" s="15" t="s">
        <v>5808</v>
      </c>
      <c r="AY499" s="15">
        <f t="shared" si="10"/>
        <v>57</v>
      </c>
      <c r="AZ499" s="18" t="s">
        <v>173</v>
      </c>
      <c r="BA499" s="18" t="s">
        <v>174</v>
      </c>
      <c r="BC499" s="18" t="s">
        <v>5809</v>
      </c>
      <c r="BE499" s="18" t="s">
        <v>5810</v>
      </c>
      <c r="BJ499" s="18" t="s">
        <v>5811</v>
      </c>
      <c r="BK499" s="18" t="s">
        <v>487</v>
      </c>
      <c r="BS499" s="15" t="s">
        <v>5812</v>
      </c>
      <c r="DH499" s="15" t="s">
        <v>17982</v>
      </c>
      <c r="DI499" s="15" t="s">
        <v>17982</v>
      </c>
    </row>
    <row r="500" spans="1:113" s="15" customFormat="1" ht="12.75" x14ac:dyDescent="0.2">
      <c r="A500" s="15" t="s">
        <v>109</v>
      </c>
      <c r="B500" s="15" t="s">
        <v>110</v>
      </c>
      <c r="D500" s="15" t="s">
        <v>159</v>
      </c>
      <c r="E500" s="15" t="s">
        <v>112</v>
      </c>
      <c r="F500" s="15" t="s">
        <v>159</v>
      </c>
      <c r="G500" s="15" t="s">
        <v>113</v>
      </c>
      <c r="H500" s="15" t="s">
        <v>383</v>
      </c>
      <c r="J500" s="16" t="s">
        <v>114</v>
      </c>
      <c r="U500" s="15" t="s">
        <v>17977</v>
      </c>
      <c r="W500" s="15">
        <v>2273</v>
      </c>
      <c r="X500" s="15">
        <v>510</v>
      </c>
      <c r="Y500" s="15" t="s">
        <v>160</v>
      </c>
      <c r="Z500" s="15" t="s">
        <v>161</v>
      </c>
      <c r="AA500" s="15" t="s">
        <v>162</v>
      </c>
      <c r="AB500" s="15" t="s">
        <v>11289</v>
      </c>
      <c r="AC500" s="15" t="s">
        <v>11289</v>
      </c>
      <c r="AD500" s="15" t="s">
        <v>11289</v>
      </c>
      <c r="AE500" s="15" t="s">
        <v>164</v>
      </c>
      <c r="AF500" s="15" t="s">
        <v>11289</v>
      </c>
      <c r="AG500" s="15" t="s">
        <v>11289</v>
      </c>
      <c r="AH500" s="15" t="s">
        <v>11290</v>
      </c>
      <c r="AL500" s="15" t="s">
        <v>11291</v>
      </c>
      <c r="AN500" s="15">
        <v>743</v>
      </c>
      <c r="AO500" s="15" t="s">
        <v>11292</v>
      </c>
      <c r="AQ500" s="17" t="s">
        <v>168</v>
      </c>
      <c r="AT500" s="15" t="s">
        <v>11293</v>
      </c>
      <c r="AU500" s="18" t="s">
        <v>11294</v>
      </c>
      <c r="AV500" s="18" t="s">
        <v>11294</v>
      </c>
      <c r="AW500" s="15" t="s">
        <v>11295</v>
      </c>
      <c r="AX500" s="15" t="s">
        <v>11296</v>
      </c>
      <c r="AY500" s="15">
        <f t="shared" si="10"/>
        <v>59</v>
      </c>
      <c r="AZ500" s="18" t="s">
        <v>173</v>
      </c>
      <c r="BA500" s="18" t="s">
        <v>174</v>
      </c>
      <c r="BC500" s="26" t="s">
        <v>5799</v>
      </c>
      <c r="BE500" s="18" t="s">
        <v>395</v>
      </c>
      <c r="BJ500" s="18" t="s">
        <v>11297</v>
      </c>
      <c r="BK500" s="18" t="s">
        <v>487</v>
      </c>
      <c r="BS500" s="15" t="s">
        <v>11298</v>
      </c>
      <c r="DH500" s="15" t="s">
        <v>17982</v>
      </c>
      <c r="DI500" s="15" t="s">
        <v>17982</v>
      </c>
    </row>
    <row r="501" spans="1:113" s="15" customFormat="1" ht="12.75" x14ac:dyDescent="0.2">
      <c r="A501" s="15" t="s">
        <v>109</v>
      </c>
      <c r="B501" s="15" t="s">
        <v>110</v>
      </c>
      <c r="D501" s="15" t="s">
        <v>159</v>
      </c>
      <c r="E501" s="15" t="s">
        <v>112</v>
      </c>
      <c r="F501" s="15" t="s">
        <v>159</v>
      </c>
      <c r="G501" s="15" t="s">
        <v>113</v>
      </c>
      <c r="H501" s="15" t="s">
        <v>383</v>
      </c>
      <c r="J501" s="16" t="s">
        <v>114</v>
      </c>
      <c r="U501" s="15" t="s">
        <v>17977</v>
      </c>
      <c r="W501" s="15">
        <v>1117</v>
      </c>
      <c r="X501" s="15">
        <v>511</v>
      </c>
      <c r="Y501" s="15" t="s">
        <v>160</v>
      </c>
      <c r="Z501" s="15" t="s">
        <v>161</v>
      </c>
      <c r="AA501" s="15" t="s">
        <v>162</v>
      </c>
      <c r="AB501" s="15" t="s">
        <v>5888</v>
      </c>
      <c r="AC501" s="15" t="s">
        <v>5888</v>
      </c>
      <c r="AD501" s="15" t="s">
        <v>5888</v>
      </c>
      <c r="AE501" s="15" t="s">
        <v>164</v>
      </c>
      <c r="AF501" s="15" t="s">
        <v>5888</v>
      </c>
      <c r="AG501" s="15" t="s">
        <v>5888</v>
      </c>
      <c r="AH501" s="15" t="s">
        <v>5889</v>
      </c>
      <c r="AL501" s="15" t="s">
        <v>5890</v>
      </c>
      <c r="AN501" s="15">
        <v>743</v>
      </c>
      <c r="AO501" s="15" t="s">
        <v>5891</v>
      </c>
      <c r="AQ501" s="17" t="s">
        <v>388</v>
      </c>
      <c r="AT501" s="15" t="s">
        <v>5873</v>
      </c>
      <c r="AU501" s="18" t="s">
        <v>5892</v>
      </c>
      <c r="AV501" s="18" t="s">
        <v>5892</v>
      </c>
      <c r="AW501" s="15" t="s">
        <v>5893</v>
      </c>
      <c r="AX501" s="15" t="s">
        <v>5894</v>
      </c>
      <c r="AY501" s="15">
        <f t="shared" si="10"/>
        <v>59</v>
      </c>
      <c r="AZ501" s="18" t="s">
        <v>393</v>
      </c>
      <c r="BA501" s="18" t="s">
        <v>174</v>
      </c>
      <c r="BE501" s="18" t="s">
        <v>395</v>
      </c>
      <c r="BF501" s="18" t="s">
        <v>1479</v>
      </c>
      <c r="BJ501" s="18" t="s">
        <v>5895</v>
      </c>
      <c r="BN501" s="18" t="s">
        <v>179</v>
      </c>
      <c r="BP501" s="18" t="s">
        <v>138</v>
      </c>
      <c r="BS501" s="15" t="s">
        <v>5896</v>
      </c>
      <c r="DH501" s="15" t="s">
        <v>17982</v>
      </c>
      <c r="DI501" s="15" t="s">
        <v>17982</v>
      </c>
    </row>
    <row r="502" spans="1:113" s="15" customFormat="1" ht="12.75" x14ac:dyDescent="0.2">
      <c r="A502" s="15" t="s">
        <v>109</v>
      </c>
      <c r="B502" s="15" t="s">
        <v>110</v>
      </c>
      <c r="D502" s="15" t="s">
        <v>159</v>
      </c>
      <c r="E502" s="15" t="s">
        <v>112</v>
      </c>
      <c r="F502" s="15" t="s">
        <v>159</v>
      </c>
      <c r="G502" s="15" t="s">
        <v>113</v>
      </c>
      <c r="H502" s="15" t="s">
        <v>383</v>
      </c>
      <c r="J502" s="16" t="s">
        <v>114</v>
      </c>
      <c r="U502" s="15" t="s">
        <v>17977</v>
      </c>
      <c r="W502" s="15">
        <v>1115</v>
      </c>
      <c r="X502" s="15">
        <v>512</v>
      </c>
      <c r="Y502" s="15" t="s">
        <v>160</v>
      </c>
      <c r="Z502" s="15" t="s">
        <v>161</v>
      </c>
      <c r="AA502" s="15" t="s">
        <v>162</v>
      </c>
      <c r="AB502" s="15" t="s">
        <v>5869</v>
      </c>
      <c r="AC502" s="15" t="s">
        <v>5869</v>
      </c>
      <c r="AD502" s="15" t="s">
        <v>5869</v>
      </c>
      <c r="AE502" s="15" t="s">
        <v>164</v>
      </c>
      <c r="AF502" s="15" t="s">
        <v>5869</v>
      </c>
      <c r="AG502" s="15" t="s">
        <v>5869</v>
      </c>
      <c r="AH502" s="15" t="s">
        <v>5870</v>
      </c>
      <c r="AL502" s="15" t="s">
        <v>5871</v>
      </c>
      <c r="AN502" s="15">
        <v>743</v>
      </c>
      <c r="AO502" s="15" t="s">
        <v>5872</v>
      </c>
      <c r="AQ502" s="17" t="s">
        <v>388</v>
      </c>
      <c r="AT502" s="15" t="s">
        <v>5873</v>
      </c>
      <c r="AU502" s="18" t="s">
        <v>5874</v>
      </c>
      <c r="AV502" s="18" t="s">
        <v>5874</v>
      </c>
      <c r="AW502" s="15" t="s">
        <v>5875</v>
      </c>
      <c r="AX502" s="15" t="s">
        <v>5876</v>
      </c>
      <c r="AY502" s="15">
        <f t="shared" si="10"/>
        <v>59</v>
      </c>
      <c r="AZ502" s="18" t="s">
        <v>393</v>
      </c>
      <c r="BA502" s="18" t="s">
        <v>174</v>
      </c>
      <c r="BE502" s="18" t="s">
        <v>395</v>
      </c>
      <c r="BF502" s="18" t="s">
        <v>1479</v>
      </c>
      <c r="BJ502" s="18" t="s">
        <v>5877</v>
      </c>
      <c r="BN502" s="18" t="s">
        <v>179</v>
      </c>
      <c r="BP502" s="18" t="s">
        <v>138</v>
      </c>
      <c r="BS502" s="15" t="s">
        <v>5878</v>
      </c>
      <c r="DH502" s="15" t="s">
        <v>17982</v>
      </c>
      <c r="DI502" s="15" t="s">
        <v>17982</v>
      </c>
    </row>
    <row r="503" spans="1:113" s="15" customFormat="1" ht="12.75" x14ac:dyDescent="0.2">
      <c r="A503" s="15" t="s">
        <v>109</v>
      </c>
      <c r="B503" s="15" t="s">
        <v>110</v>
      </c>
      <c r="D503" s="15" t="s">
        <v>159</v>
      </c>
      <c r="E503" s="15" t="s">
        <v>112</v>
      </c>
      <c r="F503" s="15" t="s">
        <v>159</v>
      </c>
      <c r="G503" s="15" t="s">
        <v>113</v>
      </c>
      <c r="H503" s="15" t="s">
        <v>383</v>
      </c>
      <c r="J503" s="16" t="s">
        <v>114</v>
      </c>
      <c r="U503" s="15" t="s">
        <v>17977</v>
      </c>
      <c r="W503" s="15">
        <v>3438</v>
      </c>
      <c r="X503" s="15">
        <v>513</v>
      </c>
      <c r="Y503" s="15" t="s">
        <v>160</v>
      </c>
      <c r="Z503" s="15" t="s">
        <v>161</v>
      </c>
      <c r="AA503" s="15" t="s">
        <v>162</v>
      </c>
      <c r="AB503" s="15" t="s">
        <v>16550</v>
      </c>
      <c r="AC503" s="15" t="s">
        <v>16550</v>
      </c>
      <c r="AD503" s="15" t="s">
        <v>16550</v>
      </c>
      <c r="AE503" s="15" t="s">
        <v>164</v>
      </c>
      <c r="AF503" s="15" t="s">
        <v>16550</v>
      </c>
      <c r="AG503" s="15" t="s">
        <v>16550</v>
      </c>
      <c r="AH503" s="15" t="s">
        <v>16551</v>
      </c>
      <c r="AL503" s="15" t="s">
        <v>16552</v>
      </c>
      <c r="AN503" s="15">
        <v>743</v>
      </c>
      <c r="AO503" s="15" t="s">
        <v>16553</v>
      </c>
      <c r="AQ503" s="17" t="s">
        <v>168</v>
      </c>
      <c r="AT503" s="15" t="s">
        <v>16554</v>
      </c>
      <c r="AU503" s="18" t="s">
        <v>16555</v>
      </c>
      <c r="AV503" s="18" t="s">
        <v>16555</v>
      </c>
      <c r="AW503" s="15" t="s">
        <v>16556</v>
      </c>
      <c r="AX503" s="15" t="s">
        <v>16557</v>
      </c>
      <c r="AY503" s="15">
        <f t="shared" si="10"/>
        <v>57</v>
      </c>
      <c r="AZ503" s="18" t="s">
        <v>173</v>
      </c>
      <c r="BA503" s="18" t="s">
        <v>174</v>
      </c>
      <c r="BB503" s="18" t="s">
        <v>16558</v>
      </c>
      <c r="BC503" s="18" t="s">
        <v>16559</v>
      </c>
      <c r="BE503" s="18" t="s">
        <v>1597</v>
      </c>
      <c r="BJ503" s="18" t="s">
        <v>16560</v>
      </c>
      <c r="BK503" s="18"/>
      <c r="BS503" s="15" t="s">
        <v>16561</v>
      </c>
      <c r="DH503" s="15" t="s">
        <v>17982</v>
      </c>
      <c r="DI503" s="15" t="s">
        <v>17982</v>
      </c>
    </row>
    <row r="504" spans="1:113" s="15" customFormat="1" ht="12.75" x14ac:dyDescent="0.2">
      <c r="A504" s="15" t="s">
        <v>109</v>
      </c>
      <c r="B504" s="15" t="s">
        <v>110</v>
      </c>
      <c r="D504" s="15" t="s">
        <v>159</v>
      </c>
      <c r="E504" s="15" t="s">
        <v>112</v>
      </c>
      <c r="F504" s="15" t="s">
        <v>159</v>
      </c>
      <c r="G504" s="15" t="s">
        <v>113</v>
      </c>
      <c r="H504" s="15" t="s">
        <v>383</v>
      </c>
      <c r="J504" s="16" t="s">
        <v>114</v>
      </c>
      <c r="U504" s="15" t="s">
        <v>17977</v>
      </c>
      <c r="W504" s="15">
        <v>152</v>
      </c>
      <c r="X504" s="15">
        <v>514</v>
      </c>
      <c r="Y504" s="15" t="s">
        <v>160</v>
      </c>
      <c r="Z504" s="15" t="s">
        <v>161</v>
      </c>
      <c r="AA504" s="15" t="s">
        <v>162</v>
      </c>
      <c r="AB504" s="15" t="s">
        <v>1072</v>
      </c>
      <c r="AC504" s="15" t="s">
        <v>1072</v>
      </c>
      <c r="AD504" s="15" t="s">
        <v>1072</v>
      </c>
      <c r="AE504" s="15" t="s">
        <v>164</v>
      </c>
      <c r="AF504" s="15" t="s">
        <v>1072</v>
      </c>
      <c r="AG504" s="15" t="s">
        <v>1072</v>
      </c>
      <c r="AH504" s="15" t="s">
        <v>1073</v>
      </c>
      <c r="AL504" s="15" t="s">
        <v>1074</v>
      </c>
      <c r="AN504" s="15">
        <v>743</v>
      </c>
      <c r="AO504" s="15" t="s">
        <v>1075</v>
      </c>
      <c r="AQ504" s="17" t="s">
        <v>912</v>
      </c>
      <c r="AT504" s="15" t="s">
        <v>1076</v>
      </c>
      <c r="AU504" s="18" t="s">
        <v>1077</v>
      </c>
      <c r="AV504" s="18" t="s">
        <v>1077</v>
      </c>
      <c r="AW504" s="15" t="s">
        <v>1078</v>
      </c>
      <c r="AX504" s="15" t="s">
        <v>1079</v>
      </c>
      <c r="AY504" s="15">
        <f t="shared" si="10"/>
        <v>59</v>
      </c>
      <c r="AZ504" s="18" t="s">
        <v>917</v>
      </c>
      <c r="BA504" s="18" t="s">
        <v>174</v>
      </c>
      <c r="BB504" s="18" t="s">
        <v>1080</v>
      </c>
      <c r="BE504" s="18" t="s">
        <v>1081</v>
      </c>
      <c r="BF504" s="18" t="s">
        <v>1082</v>
      </c>
      <c r="BI504" s="18" t="s">
        <v>1083</v>
      </c>
      <c r="BJ504" s="18" t="s">
        <v>1084</v>
      </c>
      <c r="BN504" s="18" t="s">
        <v>179</v>
      </c>
      <c r="BP504" s="18" t="s">
        <v>138</v>
      </c>
      <c r="BS504" s="15" t="s">
        <v>1085</v>
      </c>
      <c r="DH504" s="15" t="s">
        <v>17982</v>
      </c>
      <c r="DI504" s="15" t="s">
        <v>17982</v>
      </c>
    </row>
    <row r="505" spans="1:113" s="15" customFormat="1" ht="12.75" x14ac:dyDescent="0.2">
      <c r="A505" s="15" t="s">
        <v>109</v>
      </c>
      <c r="B505" s="15" t="s">
        <v>110</v>
      </c>
      <c r="D505" s="15" t="s">
        <v>159</v>
      </c>
      <c r="E505" s="15" t="s">
        <v>112</v>
      </c>
      <c r="F505" s="15" t="s">
        <v>159</v>
      </c>
      <c r="G505" s="15" t="s">
        <v>113</v>
      </c>
      <c r="H505" s="15" t="s">
        <v>383</v>
      </c>
      <c r="J505" s="16" t="s">
        <v>114</v>
      </c>
      <c r="U505" s="15" t="s">
        <v>17977</v>
      </c>
      <c r="W505" s="15">
        <v>451</v>
      </c>
      <c r="X505" s="15">
        <v>515</v>
      </c>
      <c r="Y505" s="15" t="s">
        <v>160</v>
      </c>
      <c r="Z505" s="15" t="s">
        <v>161</v>
      </c>
      <c r="AA505" s="15" t="s">
        <v>162</v>
      </c>
      <c r="AB505" s="15" t="s">
        <v>1758</v>
      </c>
      <c r="AC505" s="15" t="s">
        <v>1758</v>
      </c>
      <c r="AD505" s="15" t="s">
        <v>1758</v>
      </c>
      <c r="AE505" s="15" t="s">
        <v>164</v>
      </c>
      <c r="AF505" s="15" t="s">
        <v>1758</v>
      </c>
      <c r="AG505" s="15" t="s">
        <v>1758</v>
      </c>
      <c r="AH505" s="15" t="s">
        <v>1759</v>
      </c>
      <c r="AL505" s="15" t="s">
        <v>1760</v>
      </c>
      <c r="AN505" s="15">
        <v>743</v>
      </c>
      <c r="AO505" s="15" t="s">
        <v>1761</v>
      </c>
      <c r="AQ505" s="17" t="s">
        <v>843</v>
      </c>
      <c r="AT505" s="15" t="s">
        <v>1762</v>
      </c>
      <c r="AU505" s="18" t="s">
        <v>1763</v>
      </c>
      <c r="AV505" s="18" t="s">
        <v>1763</v>
      </c>
      <c r="AW505" s="15" t="s">
        <v>1764</v>
      </c>
      <c r="AX505" s="15" t="s">
        <v>1765</v>
      </c>
      <c r="AY505" s="15">
        <f t="shared" si="10"/>
        <v>58</v>
      </c>
      <c r="AZ505" s="18" t="s">
        <v>848</v>
      </c>
      <c r="BA505" s="18" t="s">
        <v>174</v>
      </c>
      <c r="BB505" s="18" t="s">
        <v>1766</v>
      </c>
      <c r="BE505" s="18" t="s">
        <v>1701</v>
      </c>
      <c r="BF505" s="18" t="s">
        <v>1767</v>
      </c>
      <c r="BI505" s="18" t="s">
        <v>1768</v>
      </c>
      <c r="BJ505" s="18" t="s">
        <v>1769</v>
      </c>
      <c r="BN505" s="18" t="s">
        <v>179</v>
      </c>
      <c r="BP505" s="18" t="s">
        <v>138</v>
      </c>
      <c r="BS505" s="15" t="s">
        <v>1770</v>
      </c>
      <c r="DH505" s="15" t="s">
        <v>17982</v>
      </c>
      <c r="DI505" s="15" t="s">
        <v>17982</v>
      </c>
    </row>
    <row r="506" spans="1:113" s="15" customFormat="1" ht="12.75" x14ac:dyDescent="0.2">
      <c r="A506" s="15" t="s">
        <v>109</v>
      </c>
      <c r="B506" s="15" t="s">
        <v>110</v>
      </c>
      <c r="D506" s="15" t="s">
        <v>159</v>
      </c>
      <c r="E506" s="15" t="s">
        <v>112</v>
      </c>
      <c r="F506" s="15" t="s">
        <v>159</v>
      </c>
      <c r="G506" s="15" t="s">
        <v>113</v>
      </c>
      <c r="H506" s="15" t="s">
        <v>383</v>
      </c>
      <c r="J506" s="16" t="s">
        <v>114</v>
      </c>
      <c r="U506" s="15" t="s">
        <v>17977</v>
      </c>
      <c r="W506" s="15">
        <v>2180</v>
      </c>
      <c r="X506" s="15">
        <v>516</v>
      </c>
      <c r="Y506" s="15" t="s">
        <v>160</v>
      </c>
      <c r="Z506" s="15" t="s">
        <v>161</v>
      </c>
      <c r="AA506" s="15" t="s">
        <v>162</v>
      </c>
      <c r="AB506" s="15" t="s">
        <v>10996</v>
      </c>
      <c r="AC506" s="15" t="s">
        <v>10996</v>
      </c>
      <c r="AD506" s="15" t="s">
        <v>10996</v>
      </c>
      <c r="AE506" s="15" t="s">
        <v>164</v>
      </c>
      <c r="AF506" s="15" t="s">
        <v>10996</v>
      </c>
      <c r="AG506" s="15" t="s">
        <v>10996</v>
      </c>
      <c r="AH506" s="15" t="s">
        <v>10997</v>
      </c>
      <c r="AL506" s="15" t="s">
        <v>10998</v>
      </c>
      <c r="AN506" s="15">
        <v>743</v>
      </c>
      <c r="AO506" s="15" t="s">
        <v>10999</v>
      </c>
      <c r="AQ506" s="17" t="s">
        <v>168</v>
      </c>
      <c r="AT506" s="15" t="s">
        <v>11000</v>
      </c>
      <c r="AU506" s="18" t="s">
        <v>11001</v>
      </c>
      <c r="AV506" s="18" t="s">
        <v>11001</v>
      </c>
      <c r="AW506" s="15" t="s">
        <v>11002</v>
      </c>
      <c r="AX506" s="15" t="s">
        <v>11003</v>
      </c>
      <c r="AY506" s="15">
        <f t="shared" si="10"/>
        <v>57</v>
      </c>
      <c r="AZ506" s="18" t="s">
        <v>173</v>
      </c>
      <c r="BA506" s="18" t="s">
        <v>174</v>
      </c>
      <c r="BB506" s="18" t="s">
        <v>11004</v>
      </c>
      <c r="BE506" s="18" t="s">
        <v>585</v>
      </c>
      <c r="BJ506" s="18" t="s">
        <v>11005</v>
      </c>
      <c r="BK506" s="18" t="s">
        <v>189</v>
      </c>
      <c r="BN506" s="18" t="s">
        <v>179</v>
      </c>
      <c r="BP506" s="18" t="s">
        <v>138</v>
      </c>
      <c r="BS506" s="15" t="s">
        <v>11006</v>
      </c>
      <c r="DH506" s="15" t="s">
        <v>17982</v>
      </c>
      <c r="DI506" s="15" t="s">
        <v>17982</v>
      </c>
    </row>
    <row r="507" spans="1:113" s="15" customFormat="1" ht="12.75" x14ac:dyDescent="0.2">
      <c r="A507" s="15" t="s">
        <v>109</v>
      </c>
      <c r="B507" s="15" t="s">
        <v>110</v>
      </c>
      <c r="D507" s="15" t="s">
        <v>159</v>
      </c>
      <c r="E507" s="15" t="s">
        <v>112</v>
      </c>
      <c r="F507" s="15" t="s">
        <v>159</v>
      </c>
      <c r="G507" s="15" t="s">
        <v>113</v>
      </c>
      <c r="H507" s="15" t="s">
        <v>383</v>
      </c>
      <c r="J507" s="16" t="s">
        <v>114</v>
      </c>
      <c r="U507" s="15" t="s">
        <v>17977</v>
      </c>
      <c r="W507" s="15">
        <v>59</v>
      </c>
      <c r="X507" s="15">
        <v>517</v>
      </c>
      <c r="Y507" s="15" t="s">
        <v>160</v>
      </c>
      <c r="Z507" s="15" t="s">
        <v>161</v>
      </c>
      <c r="AA507" s="15" t="s">
        <v>162</v>
      </c>
      <c r="AB507" s="15" t="s">
        <v>555</v>
      </c>
      <c r="AC507" s="15" t="s">
        <v>555</v>
      </c>
      <c r="AD507" s="15" t="s">
        <v>556</v>
      </c>
      <c r="AE507" s="15" t="s">
        <v>164</v>
      </c>
      <c r="AF507" s="15" t="s">
        <v>556</v>
      </c>
      <c r="AG507" s="15" t="s">
        <v>555</v>
      </c>
      <c r="AH507" s="15" t="s">
        <v>557</v>
      </c>
      <c r="AL507" s="15" t="s">
        <v>558</v>
      </c>
      <c r="AN507" s="15">
        <v>743</v>
      </c>
      <c r="AO507" s="15" t="s">
        <v>559</v>
      </c>
      <c r="AQ507" s="17" t="s">
        <v>168</v>
      </c>
      <c r="AT507" s="15" t="s">
        <v>560</v>
      </c>
      <c r="AU507" s="18" t="s">
        <v>561</v>
      </c>
      <c r="AV507" s="18" t="s">
        <v>561</v>
      </c>
      <c r="AW507" s="15" t="s">
        <v>562</v>
      </c>
      <c r="AX507" s="15" t="s">
        <v>563</v>
      </c>
      <c r="AY507" s="15">
        <f t="shared" si="10"/>
        <v>59</v>
      </c>
      <c r="AZ507" s="18" t="s">
        <v>173</v>
      </c>
      <c r="BA507" s="18" t="s">
        <v>174</v>
      </c>
      <c r="BB507" s="18" t="s">
        <v>511</v>
      </c>
      <c r="BE507" s="18" t="s">
        <v>564</v>
      </c>
      <c r="BJ507" s="18" t="s">
        <v>565</v>
      </c>
      <c r="BK507" s="18" t="s">
        <v>178</v>
      </c>
      <c r="BN507" s="18" t="s">
        <v>179</v>
      </c>
      <c r="BP507" s="18" t="s">
        <v>138</v>
      </c>
      <c r="BS507" s="15" t="s">
        <v>566</v>
      </c>
      <c r="DH507" s="15" t="s">
        <v>17982</v>
      </c>
      <c r="DI507" s="15" t="s">
        <v>17982</v>
      </c>
    </row>
    <row r="508" spans="1:113" s="15" customFormat="1" ht="12.75" x14ac:dyDescent="0.2">
      <c r="A508" s="15" t="s">
        <v>109</v>
      </c>
      <c r="B508" s="15" t="s">
        <v>110</v>
      </c>
      <c r="D508" s="15" t="s">
        <v>159</v>
      </c>
      <c r="E508" s="15" t="s">
        <v>112</v>
      </c>
      <c r="F508" s="15" t="s">
        <v>159</v>
      </c>
      <c r="G508" s="15" t="s">
        <v>113</v>
      </c>
      <c r="H508" s="15" t="s">
        <v>383</v>
      </c>
      <c r="J508" s="16" t="s">
        <v>114</v>
      </c>
      <c r="U508" s="15" t="s">
        <v>17977</v>
      </c>
      <c r="W508" s="15">
        <v>62</v>
      </c>
      <c r="X508" s="15">
        <v>518</v>
      </c>
      <c r="Y508" s="15" t="s">
        <v>160</v>
      </c>
      <c r="Z508" s="15" t="s">
        <v>161</v>
      </c>
      <c r="AA508" s="15" t="s">
        <v>162</v>
      </c>
      <c r="AB508" s="15" t="s">
        <v>577</v>
      </c>
      <c r="AC508" s="15" t="s">
        <v>577</v>
      </c>
      <c r="AD508" s="15" t="s">
        <v>577</v>
      </c>
      <c r="AE508" s="15" t="s">
        <v>164</v>
      </c>
      <c r="AF508" s="15" t="s">
        <v>577</v>
      </c>
      <c r="AG508" s="15" t="s">
        <v>577</v>
      </c>
      <c r="AH508" s="15" t="s">
        <v>578</v>
      </c>
      <c r="AL508" s="15" t="s">
        <v>579</v>
      </c>
      <c r="AN508" s="15">
        <v>743</v>
      </c>
      <c r="AO508" s="15" t="s">
        <v>580</v>
      </c>
      <c r="AQ508" s="17" t="s">
        <v>168</v>
      </c>
      <c r="AT508" s="15" t="s">
        <v>581</v>
      </c>
      <c r="AU508" s="18" t="s">
        <v>582</v>
      </c>
      <c r="AV508" s="18" t="s">
        <v>582</v>
      </c>
      <c r="AW508" s="15" t="s">
        <v>583</v>
      </c>
      <c r="AX508" s="15" t="s">
        <v>584</v>
      </c>
      <c r="AY508" s="15">
        <f t="shared" si="10"/>
        <v>59</v>
      </c>
      <c r="AZ508" s="18" t="s">
        <v>173</v>
      </c>
      <c r="BA508" s="18" t="s">
        <v>174</v>
      </c>
      <c r="BB508" s="18" t="s">
        <v>511</v>
      </c>
      <c r="BE508" s="18" t="s">
        <v>585</v>
      </c>
      <c r="BJ508" s="18" t="s">
        <v>177</v>
      </c>
      <c r="BK508" s="18" t="s">
        <v>178</v>
      </c>
      <c r="BN508" s="18" t="s">
        <v>179</v>
      </c>
      <c r="BP508" s="18" t="s">
        <v>138</v>
      </c>
      <c r="BS508" s="15" t="s">
        <v>586</v>
      </c>
      <c r="DH508" s="15" t="s">
        <v>17982</v>
      </c>
      <c r="DI508" s="15" t="s">
        <v>17982</v>
      </c>
    </row>
    <row r="509" spans="1:113" s="15" customFormat="1" ht="12.75" x14ac:dyDescent="0.2">
      <c r="A509" s="15" t="s">
        <v>109</v>
      </c>
      <c r="B509" s="15" t="s">
        <v>110</v>
      </c>
      <c r="D509" s="15" t="s">
        <v>159</v>
      </c>
      <c r="E509" s="15" t="s">
        <v>112</v>
      </c>
      <c r="F509" s="15" t="s">
        <v>159</v>
      </c>
      <c r="G509" s="15" t="s">
        <v>113</v>
      </c>
      <c r="H509" s="15" t="s">
        <v>383</v>
      </c>
      <c r="J509" s="16" t="s">
        <v>114</v>
      </c>
      <c r="U509" s="15" t="s">
        <v>17977</v>
      </c>
      <c r="W509" s="15">
        <v>6</v>
      </c>
      <c r="X509" s="15">
        <v>519</v>
      </c>
      <c r="Y509" s="15" t="s">
        <v>160</v>
      </c>
      <c r="Z509" s="15" t="s">
        <v>161</v>
      </c>
      <c r="AA509" s="15" t="s">
        <v>162</v>
      </c>
      <c r="AB509" s="15" t="s">
        <v>163</v>
      </c>
      <c r="AC509" s="15" t="s">
        <v>163</v>
      </c>
      <c r="AD509" s="15" t="s">
        <v>163</v>
      </c>
      <c r="AE509" s="15" t="s">
        <v>164</v>
      </c>
      <c r="AF509" s="15" t="s">
        <v>163</v>
      </c>
      <c r="AG509" s="15" t="s">
        <v>163</v>
      </c>
      <c r="AH509" s="15" t="s">
        <v>165</v>
      </c>
      <c r="AL509" s="15" t="s">
        <v>166</v>
      </c>
      <c r="AN509" s="15">
        <v>743</v>
      </c>
      <c r="AO509" s="15" t="s">
        <v>167</v>
      </c>
      <c r="AQ509" s="17" t="s">
        <v>168</v>
      </c>
      <c r="AT509" s="15" t="s">
        <v>169</v>
      </c>
      <c r="AU509" s="18" t="s">
        <v>170</v>
      </c>
      <c r="AV509" s="18" t="s">
        <v>170</v>
      </c>
      <c r="AW509" s="15" t="s">
        <v>171</v>
      </c>
      <c r="AX509" s="15" t="s">
        <v>172</v>
      </c>
      <c r="AY509" s="15">
        <f t="shared" si="10"/>
        <v>58</v>
      </c>
      <c r="AZ509" s="18" t="s">
        <v>173</v>
      </c>
      <c r="BA509" s="18" t="s">
        <v>174</v>
      </c>
      <c r="BB509" s="18" t="s">
        <v>175</v>
      </c>
      <c r="BE509" s="18" t="s">
        <v>176</v>
      </c>
      <c r="BJ509" s="18" t="s">
        <v>177</v>
      </c>
      <c r="BK509" s="18" t="s">
        <v>178</v>
      </c>
      <c r="BN509" s="18" t="s">
        <v>179</v>
      </c>
      <c r="BP509" s="18" t="s">
        <v>138</v>
      </c>
      <c r="BS509" s="15" t="s">
        <v>180</v>
      </c>
      <c r="DH509" s="15" t="s">
        <v>17982</v>
      </c>
      <c r="DI509" s="15" t="s">
        <v>17982</v>
      </c>
    </row>
    <row r="510" spans="1:113" s="15" customFormat="1" ht="12.75" x14ac:dyDescent="0.2">
      <c r="A510" s="15" t="s">
        <v>109</v>
      </c>
      <c r="B510" s="15" t="s">
        <v>110</v>
      </c>
      <c r="D510" s="15" t="s">
        <v>159</v>
      </c>
      <c r="E510" s="15" t="s">
        <v>112</v>
      </c>
      <c r="F510" s="15" t="s">
        <v>159</v>
      </c>
      <c r="G510" s="15" t="s">
        <v>113</v>
      </c>
      <c r="H510" s="15" t="s">
        <v>383</v>
      </c>
      <c r="J510" s="16" t="s">
        <v>114</v>
      </c>
      <c r="U510" s="15" t="s">
        <v>17977</v>
      </c>
      <c r="W510" s="15">
        <v>63</v>
      </c>
      <c r="X510" s="15">
        <v>520</v>
      </c>
      <c r="Y510" s="15" t="s">
        <v>160</v>
      </c>
      <c r="Z510" s="15" t="s">
        <v>161</v>
      </c>
      <c r="AA510" s="15" t="s">
        <v>162</v>
      </c>
      <c r="AB510" s="15" t="s">
        <v>587</v>
      </c>
      <c r="AC510" s="15" t="s">
        <v>587</v>
      </c>
      <c r="AD510" s="15" t="s">
        <v>587</v>
      </c>
      <c r="AE510" s="15" t="s">
        <v>164</v>
      </c>
      <c r="AF510" s="15" t="s">
        <v>587</v>
      </c>
      <c r="AG510" s="15" t="s">
        <v>587</v>
      </c>
      <c r="AH510" s="15" t="s">
        <v>588</v>
      </c>
      <c r="AL510" s="15" t="s">
        <v>589</v>
      </c>
      <c r="AN510" s="15">
        <v>743</v>
      </c>
      <c r="AO510" s="15" t="s">
        <v>590</v>
      </c>
      <c r="AQ510" s="17" t="s">
        <v>168</v>
      </c>
      <c r="AT510" s="15" t="s">
        <v>591</v>
      </c>
      <c r="AU510" s="18" t="s">
        <v>592</v>
      </c>
      <c r="AV510" s="18" t="s">
        <v>592</v>
      </c>
      <c r="AW510" s="15" t="s">
        <v>593</v>
      </c>
      <c r="AX510" s="15" t="s">
        <v>594</v>
      </c>
      <c r="AY510" s="15">
        <f t="shared" si="10"/>
        <v>59</v>
      </c>
      <c r="AZ510" s="18" t="s">
        <v>173</v>
      </c>
      <c r="BA510" s="18" t="s">
        <v>174</v>
      </c>
      <c r="BB510" s="18" t="s">
        <v>511</v>
      </c>
      <c r="BE510" s="18" t="s">
        <v>595</v>
      </c>
      <c r="BJ510" s="18" t="s">
        <v>177</v>
      </c>
      <c r="BK510" s="18" t="s">
        <v>178</v>
      </c>
      <c r="BN510" s="18" t="s">
        <v>179</v>
      </c>
      <c r="BP510" s="18" t="s">
        <v>138</v>
      </c>
      <c r="BS510" s="15" t="s">
        <v>596</v>
      </c>
      <c r="DH510" s="15" t="s">
        <v>17982</v>
      </c>
      <c r="DI510" s="15" t="s">
        <v>17982</v>
      </c>
    </row>
    <row r="511" spans="1:113" s="15" customFormat="1" ht="12.75" x14ac:dyDescent="0.2">
      <c r="A511" s="15" t="s">
        <v>109</v>
      </c>
      <c r="B511" s="15" t="s">
        <v>110</v>
      </c>
      <c r="D511" s="15" t="s">
        <v>159</v>
      </c>
      <c r="E511" s="15" t="s">
        <v>112</v>
      </c>
      <c r="F511" s="15" t="s">
        <v>159</v>
      </c>
      <c r="G511" s="15" t="s">
        <v>113</v>
      </c>
      <c r="H511" s="15" t="s">
        <v>383</v>
      </c>
      <c r="J511" s="16" t="s">
        <v>114</v>
      </c>
      <c r="U511" s="15" t="s">
        <v>17977</v>
      </c>
      <c r="W511" s="15">
        <v>2092</v>
      </c>
      <c r="X511" s="15">
        <v>521</v>
      </c>
      <c r="Y511" s="15" t="s">
        <v>160</v>
      </c>
      <c r="Z511" s="15" t="s">
        <v>161</v>
      </c>
      <c r="AA511" s="15" t="s">
        <v>162</v>
      </c>
      <c r="AB511" s="15" t="s">
        <v>10739</v>
      </c>
      <c r="AC511" s="15" t="s">
        <v>10739</v>
      </c>
      <c r="AD511" s="15" t="s">
        <v>10739</v>
      </c>
      <c r="AE511" s="15" t="s">
        <v>164</v>
      </c>
      <c r="AF511" s="15" t="s">
        <v>10739</v>
      </c>
      <c r="AG511" s="15" t="s">
        <v>10739</v>
      </c>
      <c r="AH511" s="15" t="s">
        <v>10740</v>
      </c>
      <c r="AL511" s="15" t="s">
        <v>10741</v>
      </c>
      <c r="AN511" s="15">
        <v>743</v>
      </c>
      <c r="AO511" s="15" t="s">
        <v>10742</v>
      </c>
      <c r="AQ511" s="17" t="s">
        <v>168</v>
      </c>
      <c r="AT511" s="15" t="s">
        <v>10743</v>
      </c>
      <c r="AU511" s="18" t="s">
        <v>10744</v>
      </c>
      <c r="AV511" s="18" t="s">
        <v>10744</v>
      </c>
      <c r="AW511" s="15" t="s">
        <v>10745</v>
      </c>
      <c r="AX511" s="15" t="s">
        <v>10746</v>
      </c>
      <c r="AY511" s="15">
        <f t="shared" si="10"/>
        <v>60</v>
      </c>
      <c r="AZ511" s="18" t="s">
        <v>173</v>
      </c>
      <c r="BA511" s="18" t="s">
        <v>174</v>
      </c>
      <c r="BB511" s="18" t="s">
        <v>10747</v>
      </c>
      <c r="BE511" s="39" t="s">
        <v>5685</v>
      </c>
      <c r="BF511" s="18" t="s">
        <v>10748</v>
      </c>
      <c r="BJ511" s="18" t="s">
        <v>10749</v>
      </c>
      <c r="BN511" s="18" t="s">
        <v>179</v>
      </c>
      <c r="BP511" s="18" t="s">
        <v>138</v>
      </c>
      <c r="BS511" s="15" t="s">
        <v>10750</v>
      </c>
      <c r="DH511" s="15" t="s">
        <v>17982</v>
      </c>
      <c r="DI511" s="15" t="s">
        <v>17982</v>
      </c>
    </row>
    <row r="512" spans="1:113" s="15" customFormat="1" ht="12.75" x14ac:dyDescent="0.2">
      <c r="A512" s="15" t="s">
        <v>109</v>
      </c>
      <c r="B512" s="15" t="s">
        <v>110</v>
      </c>
      <c r="D512" s="15" t="s">
        <v>159</v>
      </c>
      <c r="E512" s="15" t="s">
        <v>112</v>
      </c>
      <c r="F512" s="15" t="s">
        <v>159</v>
      </c>
      <c r="G512" s="15" t="s">
        <v>113</v>
      </c>
      <c r="H512" s="15" t="s">
        <v>383</v>
      </c>
      <c r="J512" s="16" t="s">
        <v>114</v>
      </c>
      <c r="U512" s="15" t="s">
        <v>17977</v>
      </c>
      <c r="W512" s="15">
        <v>2872</v>
      </c>
      <c r="X512" s="15">
        <v>522</v>
      </c>
      <c r="Y512" s="15" t="s">
        <v>160</v>
      </c>
      <c r="Z512" s="15" t="s">
        <v>161</v>
      </c>
      <c r="AA512" s="15" t="s">
        <v>162</v>
      </c>
      <c r="AB512" s="15" t="s">
        <v>14015</v>
      </c>
      <c r="AC512" s="15" t="s">
        <v>14015</v>
      </c>
      <c r="AD512" s="15" t="s">
        <v>14015</v>
      </c>
      <c r="AE512" s="15" t="s">
        <v>164</v>
      </c>
      <c r="AF512" s="15" t="s">
        <v>14015</v>
      </c>
      <c r="AG512" s="15" t="s">
        <v>14015</v>
      </c>
      <c r="AH512" s="47" t="s">
        <v>14016</v>
      </c>
      <c r="AL512" s="15" t="s">
        <v>14017</v>
      </c>
      <c r="AN512" s="15">
        <v>743</v>
      </c>
      <c r="AO512" s="15" t="s">
        <v>14018</v>
      </c>
      <c r="AQ512" s="17" t="s">
        <v>843</v>
      </c>
      <c r="AT512" s="15" t="s">
        <v>14019</v>
      </c>
      <c r="AU512" s="18" t="s">
        <v>14020</v>
      </c>
      <c r="AV512" s="18" t="s">
        <v>14020</v>
      </c>
      <c r="AW512" s="15" t="s">
        <v>14021</v>
      </c>
      <c r="AX512" s="15" t="s">
        <v>14022</v>
      </c>
      <c r="AY512" s="15">
        <f t="shared" si="10"/>
        <v>57</v>
      </c>
      <c r="AZ512" s="18" t="s">
        <v>848</v>
      </c>
      <c r="BA512" s="18" t="s">
        <v>174</v>
      </c>
      <c r="BB512" s="18" t="s">
        <v>14023</v>
      </c>
      <c r="BE512" s="18" t="s">
        <v>199</v>
      </c>
      <c r="BF512" s="18" t="s">
        <v>5758</v>
      </c>
      <c r="BI512" s="18" t="s">
        <v>1768</v>
      </c>
      <c r="BJ512" s="18" t="s">
        <v>14024</v>
      </c>
      <c r="BN512" s="18" t="s">
        <v>179</v>
      </c>
      <c r="BP512" s="18" t="s">
        <v>138</v>
      </c>
      <c r="BS512" s="15" t="s">
        <v>14025</v>
      </c>
      <c r="DH512" s="15" t="s">
        <v>17982</v>
      </c>
      <c r="DI512" s="15" t="s">
        <v>17982</v>
      </c>
    </row>
    <row r="513" spans="1:113" s="15" customFormat="1" ht="12.75" x14ac:dyDescent="0.2">
      <c r="A513" s="15" t="s">
        <v>109</v>
      </c>
      <c r="B513" s="15" t="s">
        <v>110</v>
      </c>
      <c r="D513" s="15" t="s">
        <v>159</v>
      </c>
      <c r="E513" s="15" t="s">
        <v>112</v>
      </c>
      <c r="F513" s="15" t="s">
        <v>159</v>
      </c>
      <c r="G513" s="15" t="s">
        <v>113</v>
      </c>
      <c r="H513" s="15" t="s">
        <v>383</v>
      </c>
      <c r="J513" s="16" t="s">
        <v>114</v>
      </c>
      <c r="U513" s="15" t="s">
        <v>17977</v>
      </c>
      <c r="W513" s="15">
        <v>2823</v>
      </c>
      <c r="X513" s="15">
        <v>523</v>
      </c>
      <c r="Y513" s="15" t="s">
        <v>160</v>
      </c>
      <c r="Z513" s="15" t="s">
        <v>161</v>
      </c>
      <c r="AA513" s="15" t="s">
        <v>162</v>
      </c>
      <c r="AB513" s="15" t="s">
        <v>13715</v>
      </c>
      <c r="AC513" s="15" t="s">
        <v>13715</v>
      </c>
      <c r="AD513" s="15" t="s">
        <v>13715</v>
      </c>
      <c r="AE513" s="15" t="s">
        <v>164</v>
      </c>
      <c r="AF513" s="15" t="s">
        <v>13715</v>
      </c>
      <c r="AG513" s="15" t="s">
        <v>13715</v>
      </c>
      <c r="AH513" s="47" t="s">
        <v>13716</v>
      </c>
      <c r="AL513" s="15" t="s">
        <v>13717</v>
      </c>
      <c r="AN513" s="15">
        <v>743</v>
      </c>
      <c r="AO513" s="15" t="s">
        <v>13718</v>
      </c>
      <c r="AQ513" s="17" t="s">
        <v>168</v>
      </c>
      <c r="AT513" s="15" t="s">
        <v>13719</v>
      </c>
      <c r="AU513" s="18" t="s">
        <v>13720</v>
      </c>
      <c r="AV513" s="18" t="s">
        <v>13720</v>
      </c>
      <c r="AW513" s="15" t="s">
        <v>13721</v>
      </c>
      <c r="AX513" s="15" t="s">
        <v>13722</v>
      </c>
      <c r="AY513" s="15">
        <f t="shared" si="10"/>
        <v>57</v>
      </c>
      <c r="AZ513" s="18" t="s">
        <v>173</v>
      </c>
      <c r="BA513" s="18" t="s">
        <v>174</v>
      </c>
      <c r="BB513" s="18" t="s">
        <v>13723</v>
      </c>
      <c r="BE513" s="18" t="s">
        <v>1032</v>
      </c>
      <c r="BF513" s="18" t="s">
        <v>13724</v>
      </c>
      <c r="BI513" s="18" t="s">
        <v>13725</v>
      </c>
      <c r="BJ513" s="18" t="s">
        <v>13726</v>
      </c>
      <c r="BN513" s="18" t="s">
        <v>179</v>
      </c>
      <c r="BP513" s="18" t="s">
        <v>138</v>
      </c>
      <c r="BR513" s="18" t="s">
        <v>4919</v>
      </c>
      <c r="BS513" s="15" t="s">
        <v>13727</v>
      </c>
      <c r="DH513" s="15" t="s">
        <v>17982</v>
      </c>
      <c r="DI513" s="15" t="s">
        <v>17982</v>
      </c>
    </row>
    <row r="514" spans="1:113" s="15" customFormat="1" ht="12.75" x14ac:dyDescent="0.2">
      <c r="A514" s="15" t="s">
        <v>109</v>
      </c>
      <c r="B514" s="15" t="s">
        <v>110</v>
      </c>
      <c r="D514" s="15" t="s">
        <v>159</v>
      </c>
      <c r="E514" s="15" t="s">
        <v>112</v>
      </c>
      <c r="F514" s="15" t="s">
        <v>159</v>
      </c>
      <c r="G514" s="15" t="s">
        <v>113</v>
      </c>
      <c r="H514" s="15" t="s">
        <v>383</v>
      </c>
      <c r="J514" s="16" t="s">
        <v>114</v>
      </c>
      <c r="U514" s="15" t="s">
        <v>17977</v>
      </c>
      <c r="W514" s="15">
        <v>2824</v>
      </c>
      <c r="X514" s="15">
        <v>524</v>
      </c>
      <c r="Y514" s="15" t="s">
        <v>160</v>
      </c>
      <c r="Z514" s="15" t="s">
        <v>161</v>
      </c>
      <c r="AA514" s="15" t="s">
        <v>162</v>
      </c>
      <c r="AB514" s="15" t="s">
        <v>13728</v>
      </c>
      <c r="AC514" s="15" t="s">
        <v>13728</v>
      </c>
      <c r="AD514" s="15" t="s">
        <v>13728</v>
      </c>
      <c r="AE514" s="15" t="s">
        <v>164</v>
      </c>
      <c r="AF514" s="15" t="s">
        <v>13728</v>
      </c>
      <c r="AG514" s="15" t="s">
        <v>13728</v>
      </c>
      <c r="AH514" s="47" t="s">
        <v>13729</v>
      </c>
      <c r="AL514" s="15" t="s">
        <v>13717</v>
      </c>
      <c r="AN514" s="15">
        <v>743</v>
      </c>
      <c r="AO514" s="15" t="s">
        <v>13730</v>
      </c>
      <c r="AQ514" s="20" t="s">
        <v>168</v>
      </c>
      <c r="AT514" s="15" t="s">
        <v>13731</v>
      </c>
      <c r="AU514" s="18" t="s">
        <v>13732</v>
      </c>
      <c r="AV514" s="18" t="s">
        <v>13732</v>
      </c>
      <c r="AW514" s="15" t="s">
        <v>13733</v>
      </c>
      <c r="AX514" s="15" t="s">
        <v>13734</v>
      </c>
      <c r="AY514" s="15">
        <f t="shared" si="10"/>
        <v>57</v>
      </c>
      <c r="AZ514" s="18" t="s">
        <v>173</v>
      </c>
      <c r="BA514" s="18" t="s">
        <v>174</v>
      </c>
      <c r="BB514" s="18" t="s">
        <v>13723</v>
      </c>
      <c r="BE514" s="18" t="s">
        <v>1032</v>
      </c>
      <c r="BF514" s="18" t="s">
        <v>13724</v>
      </c>
      <c r="BI514" s="18" t="s">
        <v>13725</v>
      </c>
      <c r="BJ514" s="18" t="s">
        <v>13735</v>
      </c>
      <c r="BN514" s="18" t="s">
        <v>179</v>
      </c>
      <c r="BP514" s="18" t="s">
        <v>138</v>
      </c>
      <c r="BS514" s="15" t="s">
        <v>13736</v>
      </c>
      <c r="DH514" s="15" t="s">
        <v>17982</v>
      </c>
      <c r="DI514" s="15" t="s">
        <v>17982</v>
      </c>
    </row>
    <row r="515" spans="1:113" s="15" customFormat="1" ht="12.75" x14ac:dyDescent="0.2">
      <c r="A515" s="15" t="s">
        <v>109</v>
      </c>
      <c r="B515" s="15" t="s">
        <v>110</v>
      </c>
      <c r="D515" s="15" t="s">
        <v>159</v>
      </c>
      <c r="E515" s="15" t="s">
        <v>112</v>
      </c>
      <c r="F515" s="15" t="s">
        <v>159</v>
      </c>
      <c r="G515" s="15" t="s">
        <v>113</v>
      </c>
      <c r="H515" s="15" t="s">
        <v>383</v>
      </c>
      <c r="J515" s="16" t="s">
        <v>114</v>
      </c>
      <c r="U515" s="15" t="s">
        <v>17977</v>
      </c>
      <c r="W515" s="15">
        <v>806</v>
      </c>
      <c r="X515" s="15">
        <v>525</v>
      </c>
      <c r="Y515" s="15" t="s">
        <v>160</v>
      </c>
      <c r="Z515" s="15" t="s">
        <v>161</v>
      </c>
      <c r="AA515" s="15" t="s">
        <v>162</v>
      </c>
      <c r="AB515" s="15" t="s">
        <v>3445</v>
      </c>
      <c r="AC515" s="15" t="s">
        <v>3445</v>
      </c>
      <c r="AD515" s="15" t="s">
        <v>3445</v>
      </c>
      <c r="AE515" s="15" t="s">
        <v>164</v>
      </c>
      <c r="AF515" s="15" t="s">
        <v>3445</v>
      </c>
      <c r="AG515" s="15" t="s">
        <v>3445</v>
      </c>
      <c r="AH515" s="15" t="s">
        <v>3446</v>
      </c>
      <c r="AL515" s="15" t="s">
        <v>3447</v>
      </c>
      <c r="AN515" s="15">
        <v>743</v>
      </c>
      <c r="AO515" s="15" t="s">
        <v>3448</v>
      </c>
      <c r="AQ515" s="17" t="s">
        <v>168</v>
      </c>
      <c r="AT515" s="15" t="s">
        <v>3449</v>
      </c>
      <c r="AU515" s="18" t="s">
        <v>3450</v>
      </c>
      <c r="AV515" s="18" t="s">
        <v>3450</v>
      </c>
      <c r="AW515" s="15" t="s">
        <v>3451</v>
      </c>
      <c r="AX515" s="15" t="s">
        <v>3451</v>
      </c>
      <c r="AY515" s="15">
        <f t="shared" si="10"/>
        <v>50</v>
      </c>
      <c r="AZ515" s="18" t="s">
        <v>604</v>
      </c>
      <c r="BA515" s="18" t="s">
        <v>174</v>
      </c>
      <c r="BB515" s="18" t="s">
        <v>3452</v>
      </c>
      <c r="BE515" s="18" t="s">
        <v>367</v>
      </c>
      <c r="BJ515" s="18" t="s">
        <v>3453</v>
      </c>
      <c r="BN515" s="18" t="s">
        <v>179</v>
      </c>
      <c r="BP515" s="18" t="s">
        <v>138</v>
      </c>
      <c r="BS515" s="15" t="s">
        <v>3454</v>
      </c>
      <c r="DH515" s="15" t="s">
        <v>17982</v>
      </c>
      <c r="DI515" s="15" t="s">
        <v>17982</v>
      </c>
    </row>
    <row r="516" spans="1:113" s="15" customFormat="1" ht="12.75" x14ac:dyDescent="0.2">
      <c r="A516" s="15" t="s">
        <v>109</v>
      </c>
      <c r="B516" s="15" t="s">
        <v>110</v>
      </c>
      <c r="D516" s="15" t="s">
        <v>159</v>
      </c>
      <c r="E516" s="15" t="s">
        <v>112</v>
      </c>
      <c r="F516" s="15" t="s">
        <v>159</v>
      </c>
      <c r="G516" s="15" t="s">
        <v>113</v>
      </c>
      <c r="H516" s="15" t="s">
        <v>383</v>
      </c>
      <c r="J516" s="16" t="s">
        <v>114</v>
      </c>
      <c r="U516" s="15" t="s">
        <v>17977</v>
      </c>
      <c r="W516" s="15">
        <v>807</v>
      </c>
      <c r="X516" s="15">
        <v>526</v>
      </c>
      <c r="Y516" s="15" t="s">
        <v>160</v>
      </c>
      <c r="Z516" s="15" t="s">
        <v>161</v>
      </c>
      <c r="AA516" s="15" t="s">
        <v>162</v>
      </c>
      <c r="AB516" s="15" t="s">
        <v>3455</v>
      </c>
      <c r="AC516" s="15" t="s">
        <v>3455</v>
      </c>
      <c r="AD516" s="15" t="s">
        <v>3455</v>
      </c>
      <c r="AE516" s="15" t="s">
        <v>164</v>
      </c>
      <c r="AF516" s="15" t="s">
        <v>3455</v>
      </c>
      <c r="AG516" s="15" t="s">
        <v>3455</v>
      </c>
      <c r="AH516" s="15" t="s">
        <v>3456</v>
      </c>
      <c r="AL516" s="15" t="s">
        <v>3457</v>
      </c>
      <c r="AN516" s="15">
        <v>743</v>
      </c>
      <c r="AO516" s="15" t="s">
        <v>3458</v>
      </c>
      <c r="AQ516" s="17" t="s">
        <v>168</v>
      </c>
      <c r="AT516" s="15" t="s">
        <v>3449</v>
      </c>
      <c r="AU516" s="18" t="s">
        <v>3459</v>
      </c>
      <c r="AV516" s="18" t="s">
        <v>3459</v>
      </c>
      <c r="AW516" s="15" t="s">
        <v>3460</v>
      </c>
      <c r="AX516" s="15" t="s">
        <v>3460</v>
      </c>
      <c r="AY516" s="15">
        <f t="shared" si="10"/>
        <v>49</v>
      </c>
      <c r="AZ516" s="18" t="s">
        <v>604</v>
      </c>
      <c r="BA516" s="18" t="s">
        <v>174</v>
      </c>
      <c r="BB516" s="18" t="s">
        <v>3452</v>
      </c>
      <c r="BE516" s="18" t="s">
        <v>1032</v>
      </c>
      <c r="BJ516" s="18" t="s">
        <v>3453</v>
      </c>
      <c r="BN516" s="18" t="s">
        <v>179</v>
      </c>
      <c r="BP516" s="18" t="s">
        <v>138</v>
      </c>
      <c r="BS516" s="15" t="s">
        <v>3461</v>
      </c>
      <c r="DH516" s="15" t="s">
        <v>17982</v>
      </c>
      <c r="DI516" s="15" t="s">
        <v>17982</v>
      </c>
    </row>
    <row r="517" spans="1:113" s="15" customFormat="1" ht="12.75" x14ac:dyDescent="0.2">
      <c r="A517" s="15" t="s">
        <v>109</v>
      </c>
      <c r="B517" s="15" t="s">
        <v>110</v>
      </c>
      <c r="D517" s="15" t="s">
        <v>159</v>
      </c>
      <c r="E517" s="15" t="s">
        <v>112</v>
      </c>
      <c r="F517" s="15" t="s">
        <v>159</v>
      </c>
      <c r="G517" s="15" t="s">
        <v>113</v>
      </c>
      <c r="H517" s="15" t="s">
        <v>383</v>
      </c>
      <c r="J517" s="16" t="s">
        <v>114</v>
      </c>
      <c r="U517" s="15" t="s">
        <v>17977</v>
      </c>
      <c r="W517" s="15">
        <v>826</v>
      </c>
      <c r="X517" s="15">
        <v>527</v>
      </c>
      <c r="Y517" s="15" t="s">
        <v>160</v>
      </c>
      <c r="Z517" s="15" t="s">
        <v>161</v>
      </c>
      <c r="AA517" s="15" t="s">
        <v>162</v>
      </c>
      <c r="AB517" s="15" t="s">
        <v>3482</v>
      </c>
      <c r="AC517" s="15" t="s">
        <v>3482</v>
      </c>
      <c r="AD517" s="15" t="s">
        <v>3482</v>
      </c>
      <c r="AE517" s="15" t="s">
        <v>164</v>
      </c>
      <c r="AF517" s="15" t="s">
        <v>3482</v>
      </c>
      <c r="AG517" s="15" t="s">
        <v>3482</v>
      </c>
      <c r="AH517" s="15" t="s">
        <v>3483</v>
      </c>
      <c r="AL517" s="15" t="s">
        <v>3484</v>
      </c>
      <c r="AN517" s="15">
        <v>743</v>
      </c>
      <c r="AO517" s="15" t="s">
        <v>3485</v>
      </c>
      <c r="AQ517" s="17" t="s">
        <v>168</v>
      </c>
      <c r="AT517" s="15" t="s">
        <v>3486</v>
      </c>
      <c r="AU517" s="18" t="s">
        <v>3487</v>
      </c>
      <c r="AV517" s="18" t="s">
        <v>3487</v>
      </c>
      <c r="AW517" s="15" t="s">
        <v>3488</v>
      </c>
      <c r="AX517" s="15" t="s">
        <v>3488</v>
      </c>
      <c r="AY517" s="15">
        <f t="shared" si="10"/>
        <v>60</v>
      </c>
      <c r="AZ517" s="18" t="s">
        <v>604</v>
      </c>
      <c r="BA517" s="18" t="s">
        <v>174</v>
      </c>
      <c r="BB517" s="18" t="s">
        <v>3489</v>
      </c>
      <c r="BE517" s="18" t="s">
        <v>199</v>
      </c>
      <c r="BF517" s="18" t="s">
        <v>2776</v>
      </c>
      <c r="BJ517" s="18" t="s">
        <v>3490</v>
      </c>
      <c r="BN517" s="18" t="s">
        <v>179</v>
      </c>
      <c r="BP517" s="18" t="s">
        <v>138</v>
      </c>
      <c r="BS517" s="15" t="s">
        <v>3491</v>
      </c>
      <c r="DH517" s="15" t="s">
        <v>17982</v>
      </c>
      <c r="DI517" s="15" t="s">
        <v>17982</v>
      </c>
    </row>
    <row r="518" spans="1:113" s="15" customFormat="1" ht="12.75" x14ac:dyDescent="0.2">
      <c r="A518" s="15" t="s">
        <v>109</v>
      </c>
      <c r="B518" s="15" t="s">
        <v>110</v>
      </c>
      <c r="D518" s="15" t="s">
        <v>159</v>
      </c>
      <c r="E518" s="15" t="s">
        <v>112</v>
      </c>
      <c r="F518" s="15" t="s">
        <v>159</v>
      </c>
      <c r="G518" s="15" t="s">
        <v>113</v>
      </c>
      <c r="H518" s="15" t="s">
        <v>383</v>
      </c>
      <c r="J518" s="16" t="s">
        <v>114</v>
      </c>
      <c r="U518" s="15" t="s">
        <v>17977</v>
      </c>
      <c r="W518" s="15">
        <v>2808</v>
      </c>
      <c r="X518" s="15">
        <v>528</v>
      </c>
      <c r="Y518" s="15" t="s">
        <v>160</v>
      </c>
      <c r="Z518" s="15" t="s">
        <v>161</v>
      </c>
      <c r="AA518" s="15" t="s">
        <v>162</v>
      </c>
      <c r="AB518" s="15" t="s">
        <v>13636</v>
      </c>
      <c r="AC518" s="15" t="s">
        <v>13636</v>
      </c>
      <c r="AD518" s="15" t="s">
        <v>13636</v>
      </c>
      <c r="AE518" s="15" t="s">
        <v>164</v>
      </c>
      <c r="AF518" s="15" t="s">
        <v>13636</v>
      </c>
      <c r="AG518" s="15" t="s">
        <v>13636</v>
      </c>
      <c r="AH518" s="47" t="s">
        <v>13637</v>
      </c>
      <c r="AL518" s="15" t="s">
        <v>13638</v>
      </c>
      <c r="AN518" s="15">
        <v>743</v>
      </c>
      <c r="AO518" s="15" t="s">
        <v>13639</v>
      </c>
      <c r="AQ518" s="17" t="s">
        <v>168</v>
      </c>
      <c r="AT518" s="15" t="s">
        <v>13640</v>
      </c>
      <c r="AU518" s="18" t="s">
        <v>13641</v>
      </c>
      <c r="AV518" s="18" t="s">
        <v>13641</v>
      </c>
      <c r="AW518" s="15" t="s">
        <v>13642</v>
      </c>
      <c r="AX518" s="15" t="s">
        <v>13642</v>
      </c>
      <c r="AY518" s="15">
        <f t="shared" si="10"/>
        <v>57</v>
      </c>
      <c r="AZ518" s="18" t="s">
        <v>173</v>
      </c>
      <c r="BA518" s="18" t="s">
        <v>174</v>
      </c>
      <c r="BB518" s="18" t="s">
        <v>13632</v>
      </c>
      <c r="BE518" s="18" t="s">
        <v>1032</v>
      </c>
      <c r="BI518" s="18" t="s">
        <v>13633</v>
      </c>
      <c r="BJ518" s="18" t="s">
        <v>4675</v>
      </c>
      <c r="BN518" s="18" t="s">
        <v>179</v>
      </c>
      <c r="BP518" s="18" t="s">
        <v>138</v>
      </c>
      <c r="BS518" s="15" t="s">
        <v>13643</v>
      </c>
      <c r="DH518" s="15" t="s">
        <v>17982</v>
      </c>
      <c r="DI518" s="15" t="s">
        <v>17982</v>
      </c>
    </row>
    <row r="519" spans="1:113" s="15" customFormat="1" ht="12.75" x14ac:dyDescent="0.2">
      <c r="A519" s="15" t="s">
        <v>109</v>
      </c>
      <c r="B519" s="15" t="s">
        <v>110</v>
      </c>
      <c r="D519" s="15" t="s">
        <v>159</v>
      </c>
      <c r="E519" s="15" t="s">
        <v>112</v>
      </c>
      <c r="F519" s="15" t="s">
        <v>159</v>
      </c>
      <c r="G519" s="15" t="s">
        <v>113</v>
      </c>
      <c r="H519" s="15" t="s">
        <v>383</v>
      </c>
      <c r="J519" s="16" t="s">
        <v>114</v>
      </c>
      <c r="U519" s="15" t="s">
        <v>17977</v>
      </c>
      <c r="W519" s="15">
        <v>2807</v>
      </c>
      <c r="X519" s="15">
        <v>529</v>
      </c>
      <c r="Y519" s="15" t="s">
        <v>160</v>
      </c>
      <c r="Z519" s="15" t="s">
        <v>161</v>
      </c>
      <c r="AA519" s="15" t="s">
        <v>162</v>
      </c>
      <c r="AB519" s="15" t="s">
        <v>13625</v>
      </c>
      <c r="AC519" s="15" t="s">
        <v>13625</v>
      </c>
      <c r="AD519" s="15" t="s">
        <v>13625</v>
      </c>
      <c r="AE519" s="15" t="s">
        <v>164</v>
      </c>
      <c r="AF519" s="15" t="s">
        <v>13625</v>
      </c>
      <c r="AG519" s="15" t="s">
        <v>13625</v>
      </c>
      <c r="AH519" s="47" t="s">
        <v>13626</v>
      </c>
      <c r="AL519" s="15" t="s">
        <v>13627</v>
      </c>
      <c r="AN519" s="15">
        <v>743</v>
      </c>
      <c r="AO519" s="15" t="s">
        <v>13628</v>
      </c>
      <c r="AQ519" s="17" t="s">
        <v>168</v>
      </c>
      <c r="AT519" s="15" t="s">
        <v>13629</v>
      </c>
      <c r="AU519" s="18" t="s">
        <v>13630</v>
      </c>
      <c r="AV519" s="18" t="s">
        <v>13630</v>
      </c>
      <c r="AW519" s="15" t="s">
        <v>13631</v>
      </c>
      <c r="AX519" s="15" t="s">
        <v>13631</v>
      </c>
      <c r="AY519" s="15">
        <f t="shared" si="10"/>
        <v>54</v>
      </c>
      <c r="AZ519" s="18" t="s">
        <v>173</v>
      </c>
      <c r="BA519" s="18" t="s">
        <v>174</v>
      </c>
      <c r="BB519" s="18" t="s">
        <v>13632</v>
      </c>
      <c r="BE519" s="18" t="s">
        <v>1701</v>
      </c>
      <c r="BI519" s="18" t="s">
        <v>13633</v>
      </c>
      <c r="BJ519" s="18" t="s">
        <v>13634</v>
      </c>
      <c r="BN519" s="18" t="s">
        <v>179</v>
      </c>
      <c r="BP519" s="18" t="s">
        <v>138</v>
      </c>
      <c r="BS519" s="15" t="s">
        <v>13635</v>
      </c>
      <c r="DH519" s="15" t="s">
        <v>17982</v>
      </c>
      <c r="DI519" s="15" t="s">
        <v>17982</v>
      </c>
    </row>
    <row r="520" spans="1:113" s="15" customFormat="1" ht="12.75" x14ac:dyDescent="0.2">
      <c r="A520" s="15" t="s">
        <v>109</v>
      </c>
      <c r="B520" s="15" t="s">
        <v>110</v>
      </c>
      <c r="D520" s="15" t="s">
        <v>159</v>
      </c>
      <c r="E520" s="15" t="s">
        <v>112</v>
      </c>
      <c r="F520" s="15" t="s">
        <v>159</v>
      </c>
      <c r="G520" s="15" t="s">
        <v>113</v>
      </c>
      <c r="H520" s="15" t="s">
        <v>383</v>
      </c>
      <c r="J520" s="16" t="s">
        <v>114</v>
      </c>
      <c r="U520" s="15" t="s">
        <v>17977</v>
      </c>
      <c r="W520" s="15">
        <v>3640</v>
      </c>
      <c r="X520" s="15">
        <v>530</v>
      </c>
      <c r="Y520" s="15" t="s">
        <v>160</v>
      </c>
      <c r="Z520" s="15" t="s">
        <v>161</v>
      </c>
      <c r="AA520" s="15" t="s">
        <v>162</v>
      </c>
      <c r="AB520" s="15" t="s">
        <v>17559</v>
      </c>
      <c r="AC520" s="15" t="s">
        <v>17559</v>
      </c>
      <c r="AD520" s="15" t="s">
        <v>17559</v>
      </c>
      <c r="AE520" s="15" t="s">
        <v>164</v>
      </c>
      <c r="AF520" s="15" t="s">
        <v>17559</v>
      </c>
      <c r="AG520" s="15" t="s">
        <v>17559</v>
      </c>
      <c r="AH520" s="15" t="s">
        <v>17560</v>
      </c>
      <c r="AL520" s="15" t="s">
        <v>17561</v>
      </c>
      <c r="AN520" s="15">
        <v>743</v>
      </c>
      <c r="AO520" s="15" t="s">
        <v>17562</v>
      </c>
      <c r="AQ520" s="17" t="s">
        <v>168</v>
      </c>
      <c r="AT520" s="15" t="s">
        <v>17563</v>
      </c>
      <c r="AU520" s="18" t="s">
        <v>17564</v>
      </c>
      <c r="AV520" s="18" t="s">
        <v>17564</v>
      </c>
      <c r="AW520" s="15" t="s">
        <v>17565</v>
      </c>
      <c r="AX520" s="15" t="s">
        <v>17566</v>
      </c>
      <c r="AY520" s="15">
        <f t="shared" si="10"/>
        <v>58</v>
      </c>
      <c r="AZ520" s="18" t="s">
        <v>173</v>
      </c>
      <c r="BA520" s="18" t="s">
        <v>174</v>
      </c>
      <c r="BB520" s="18" t="s">
        <v>17567</v>
      </c>
      <c r="BE520" s="18" t="s">
        <v>3686</v>
      </c>
      <c r="BF520" s="18" t="s">
        <v>17568</v>
      </c>
      <c r="BI520" s="18" t="s">
        <v>13633</v>
      </c>
      <c r="BJ520" s="18" t="s">
        <v>4675</v>
      </c>
      <c r="BN520" s="18" t="s">
        <v>179</v>
      </c>
      <c r="BP520" s="18" t="s">
        <v>138</v>
      </c>
      <c r="BS520" s="15" t="s">
        <v>17569</v>
      </c>
      <c r="DH520" s="15" t="s">
        <v>17982</v>
      </c>
      <c r="DI520" s="15" t="s">
        <v>17982</v>
      </c>
    </row>
    <row r="521" spans="1:113" s="15" customFormat="1" ht="12.75" x14ac:dyDescent="0.2">
      <c r="A521" s="15" t="s">
        <v>109</v>
      </c>
      <c r="B521" s="15" t="s">
        <v>110</v>
      </c>
      <c r="D521" s="15" t="s">
        <v>159</v>
      </c>
      <c r="E521" s="15" t="s">
        <v>112</v>
      </c>
      <c r="F521" s="15" t="s">
        <v>159</v>
      </c>
      <c r="G521" s="15" t="s">
        <v>113</v>
      </c>
      <c r="H521" s="15" t="s">
        <v>383</v>
      </c>
      <c r="J521" s="16" t="s">
        <v>114</v>
      </c>
      <c r="U521" s="15" t="s">
        <v>17977</v>
      </c>
      <c r="W521" s="15">
        <v>1875</v>
      </c>
      <c r="X521" s="15">
        <v>531</v>
      </c>
      <c r="Y521" s="15" t="s">
        <v>160</v>
      </c>
      <c r="Z521" s="15" t="s">
        <v>161</v>
      </c>
      <c r="AA521" s="15" t="s">
        <v>162</v>
      </c>
      <c r="AB521" s="15" t="s">
        <v>10113</v>
      </c>
      <c r="AC521" s="15" t="s">
        <v>10113</v>
      </c>
      <c r="AD521" s="15" t="s">
        <v>10114</v>
      </c>
      <c r="AE521" s="15" t="s">
        <v>164</v>
      </c>
      <c r="AF521" s="15" t="s">
        <v>10114</v>
      </c>
      <c r="AG521" s="15" t="s">
        <v>10113</v>
      </c>
      <c r="AH521" s="15" t="s">
        <v>10115</v>
      </c>
      <c r="AL521" s="15" t="s">
        <v>10116</v>
      </c>
      <c r="AN521" s="15">
        <v>743</v>
      </c>
      <c r="AO521" s="15" t="s">
        <v>10117</v>
      </c>
      <c r="AQ521" s="17" t="s">
        <v>168</v>
      </c>
      <c r="AT521" s="15" t="s">
        <v>10118</v>
      </c>
      <c r="AU521" s="18" t="s">
        <v>10119</v>
      </c>
      <c r="AV521" s="18" t="s">
        <v>10119</v>
      </c>
      <c r="AW521" s="15" t="s">
        <v>10120</v>
      </c>
      <c r="AX521" s="15" t="s">
        <v>10121</v>
      </c>
      <c r="AY521" s="15">
        <f t="shared" si="10"/>
        <v>58</v>
      </c>
      <c r="AZ521" s="18" t="s">
        <v>604</v>
      </c>
      <c r="BA521" s="18" t="s">
        <v>174</v>
      </c>
      <c r="BB521" s="18" t="s">
        <v>10091</v>
      </c>
      <c r="BE521" s="18" t="s">
        <v>606</v>
      </c>
      <c r="BI521" s="18" t="s">
        <v>6470</v>
      </c>
      <c r="BJ521" s="18" t="s">
        <v>10122</v>
      </c>
      <c r="BN521" s="18" t="s">
        <v>179</v>
      </c>
      <c r="BP521" s="18" t="s">
        <v>138</v>
      </c>
      <c r="BS521" s="15" t="s">
        <v>10123</v>
      </c>
      <c r="DH521" s="15" t="s">
        <v>17982</v>
      </c>
      <c r="DI521" s="15" t="s">
        <v>17982</v>
      </c>
    </row>
    <row r="522" spans="1:113" s="15" customFormat="1" ht="12.75" x14ac:dyDescent="0.2">
      <c r="A522" s="15" t="s">
        <v>109</v>
      </c>
      <c r="B522" s="15" t="s">
        <v>110</v>
      </c>
      <c r="D522" s="15" t="s">
        <v>159</v>
      </c>
      <c r="E522" s="15" t="s">
        <v>112</v>
      </c>
      <c r="F522" s="15" t="s">
        <v>159</v>
      </c>
      <c r="G522" s="15" t="s">
        <v>113</v>
      </c>
      <c r="H522" s="15" t="s">
        <v>383</v>
      </c>
      <c r="J522" s="16" t="s">
        <v>114</v>
      </c>
      <c r="U522" s="15" t="s">
        <v>17977</v>
      </c>
      <c r="W522" s="15">
        <v>1878</v>
      </c>
      <c r="X522" s="15">
        <v>532</v>
      </c>
      <c r="Y522" s="15" t="s">
        <v>160</v>
      </c>
      <c r="Z522" s="15" t="s">
        <v>161</v>
      </c>
      <c r="AA522" s="15" t="s">
        <v>162</v>
      </c>
      <c r="AB522" s="15" t="s">
        <v>10142</v>
      </c>
      <c r="AC522" s="15" t="s">
        <v>10142</v>
      </c>
      <c r="AD522" s="15" t="s">
        <v>10142</v>
      </c>
      <c r="AE522" s="15" t="s">
        <v>164</v>
      </c>
      <c r="AF522" s="15" t="s">
        <v>10142</v>
      </c>
      <c r="AG522" s="15" t="s">
        <v>10142</v>
      </c>
      <c r="AH522" s="15" t="s">
        <v>10143</v>
      </c>
      <c r="AL522" s="15" t="s">
        <v>10144</v>
      </c>
      <c r="AN522" s="15">
        <v>743</v>
      </c>
      <c r="AO522" s="15" t="s">
        <v>10145</v>
      </c>
      <c r="AQ522" s="17" t="s">
        <v>168</v>
      </c>
      <c r="AT522" s="15" t="s">
        <v>10118</v>
      </c>
      <c r="AU522" s="18" t="s">
        <v>10146</v>
      </c>
      <c r="AV522" s="18" t="s">
        <v>10146</v>
      </c>
      <c r="AW522" s="15" t="s">
        <v>10147</v>
      </c>
      <c r="AX522" s="15" t="s">
        <v>10148</v>
      </c>
      <c r="AY522" s="15">
        <f t="shared" si="10"/>
        <v>58</v>
      </c>
      <c r="AZ522" s="18" t="s">
        <v>604</v>
      </c>
      <c r="BA522" s="18" t="s">
        <v>174</v>
      </c>
      <c r="BB522" s="18" t="s">
        <v>10091</v>
      </c>
      <c r="BE522" s="18" t="s">
        <v>2427</v>
      </c>
      <c r="BI522" s="18" t="s">
        <v>6470</v>
      </c>
      <c r="BJ522" s="18" t="s">
        <v>10122</v>
      </c>
      <c r="BN522" s="18" t="s">
        <v>179</v>
      </c>
      <c r="BP522" s="18" t="s">
        <v>138</v>
      </c>
      <c r="BS522" s="15" t="s">
        <v>10149</v>
      </c>
      <c r="DH522" s="15" t="s">
        <v>17982</v>
      </c>
      <c r="DI522" s="15" t="s">
        <v>17982</v>
      </c>
    </row>
    <row r="523" spans="1:113" s="15" customFormat="1" ht="12.75" x14ac:dyDescent="0.2">
      <c r="A523" s="15" t="s">
        <v>109</v>
      </c>
      <c r="B523" s="15" t="s">
        <v>110</v>
      </c>
      <c r="D523" s="15" t="s">
        <v>159</v>
      </c>
      <c r="E523" s="15" t="s">
        <v>112</v>
      </c>
      <c r="F523" s="15" t="s">
        <v>159</v>
      </c>
      <c r="G523" s="15" t="s">
        <v>113</v>
      </c>
      <c r="H523" s="15" t="s">
        <v>383</v>
      </c>
      <c r="J523" s="16" t="s">
        <v>114</v>
      </c>
      <c r="U523" s="15" t="s">
        <v>17977</v>
      </c>
      <c r="W523" s="15">
        <v>383</v>
      </c>
      <c r="X523" s="15">
        <v>533</v>
      </c>
      <c r="Y523" s="15" t="s">
        <v>160</v>
      </c>
      <c r="Z523" s="15" t="s">
        <v>161</v>
      </c>
      <c r="AA523" s="15" t="s">
        <v>162</v>
      </c>
      <c r="AB523" s="15" t="s">
        <v>1574</v>
      </c>
      <c r="AC523" s="15" t="s">
        <v>1574</v>
      </c>
      <c r="AD523" s="15" t="s">
        <v>1574</v>
      </c>
      <c r="AE523" s="15" t="s">
        <v>164</v>
      </c>
      <c r="AF523" s="15" t="s">
        <v>1574</v>
      </c>
      <c r="AG523" s="15" t="s">
        <v>1574</v>
      </c>
      <c r="AH523" s="15" t="s">
        <v>1575</v>
      </c>
      <c r="AL523" s="15" t="s">
        <v>1576</v>
      </c>
      <c r="AN523" s="15">
        <v>743</v>
      </c>
      <c r="AO523" s="15" t="s">
        <v>1577</v>
      </c>
      <c r="AQ523" s="17" t="s">
        <v>168</v>
      </c>
      <c r="AT523" s="15" t="s">
        <v>1578</v>
      </c>
      <c r="AU523" s="18" t="s">
        <v>1579</v>
      </c>
      <c r="AV523" s="18" t="s">
        <v>1579</v>
      </c>
      <c r="AW523" s="15" t="s">
        <v>1580</v>
      </c>
      <c r="AX523" s="15" t="s">
        <v>1581</v>
      </c>
      <c r="AY523" s="15">
        <f t="shared" si="10"/>
        <v>58</v>
      </c>
      <c r="AZ523" s="18" t="s">
        <v>173</v>
      </c>
      <c r="BA523" s="18" t="s">
        <v>174</v>
      </c>
      <c r="BB523" s="18" t="s">
        <v>1571</v>
      </c>
      <c r="BE523" s="18" t="s">
        <v>1582</v>
      </c>
      <c r="BF523" s="18" t="s">
        <v>1583</v>
      </c>
      <c r="BJ523" s="18" t="s">
        <v>1584</v>
      </c>
      <c r="BK523" s="18" t="s">
        <v>1585</v>
      </c>
      <c r="BN523" s="18" t="s">
        <v>179</v>
      </c>
      <c r="BP523" s="18" t="s">
        <v>138</v>
      </c>
      <c r="BS523" s="15" t="s">
        <v>1586</v>
      </c>
      <c r="DH523" s="15" t="s">
        <v>17982</v>
      </c>
      <c r="DI523" s="15" t="s">
        <v>17982</v>
      </c>
    </row>
    <row r="524" spans="1:113" s="15" customFormat="1" ht="12.75" x14ac:dyDescent="0.2">
      <c r="A524" s="15" t="s">
        <v>109</v>
      </c>
      <c r="B524" s="15" t="s">
        <v>110</v>
      </c>
      <c r="D524" s="15" t="s">
        <v>159</v>
      </c>
      <c r="E524" s="15" t="s">
        <v>112</v>
      </c>
      <c r="F524" s="15" t="s">
        <v>159</v>
      </c>
      <c r="G524" s="15" t="s">
        <v>113</v>
      </c>
      <c r="H524" s="15" t="s">
        <v>383</v>
      </c>
      <c r="J524" s="16" t="s">
        <v>114</v>
      </c>
      <c r="U524" s="15" t="s">
        <v>17977</v>
      </c>
      <c r="W524" s="15">
        <v>2313</v>
      </c>
      <c r="X524" s="15">
        <v>534</v>
      </c>
      <c r="Y524" s="15" t="s">
        <v>160</v>
      </c>
      <c r="Z524" s="15" t="s">
        <v>161</v>
      </c>
      <c r="AA524" s="15" t="s">
        <v>162</v>
      </c>
      <c r="AB524" s="15" t="s">
        <v>11561</v>
      </c>
      <c r="AC524" s="15" t="s">
        <v>11561</v>
      </c>
      <c r="AD524" s="15" t="s">
        <v>11561</v>
      </c>
      <c r="AE524" s="15" t="s">
        <v>164</v>
      </c>
      <c r="AF524" s="15" t="s">
        <v>11561</v>
      </c>
      <c r="AG524" s="15" t="s">
        <v>11561</v>
      </c>
      <c r="AH524" s="15" t="s">
        <v>11562</v>
      </c>
      <c r="AL524" s="15" t="s">
        <v>11563</v>
      </c>
      <c r="AN524" s="15">
        <v>743</v>
      </c>
      <c r="AO524" s="15" t="s">
        <v>11564</v>
      </c>
      <c r="AQ524" s="17" t="s">
        <v>168</v>
      </c>
      <c r="AT524" s="15" t="s">
        <v>11565</v>
      </c>
      <c r="AU524" s="18" t="s">
        <v>11566</v>
      </c>
      <c r="AV524" s="18" t="s">
        <v>11566</v>
      </c>
      <c r="AW524" s="15" t="s">
        <v>11567</v>
      </c>
      <c r="AX524" s="15" t="s">
        <v>11568</v>
      </c>
      <c r="AY524" s="15">
        <f t="shared" si="10"/>
        <v>58</v>
      </c>
      <c r="AZ524" s="18" t="s">
        <v>173</v>
      </c>
      <c r="BA524" s="18" t="s">
        <v>174</v>
      </c>
      <c r="BB524" s="18" t="s">
        <v>11526</v>
      </c>
      <c r="BE524" s="18" t="s">
        <v>10912</v>
      </c>
      <c r="BJ524" s="18" t="s">
        <v>11569</v>
      </c>
      <c r="BK524" s="18" t="s">
        <v>487</v>
      </c>
      <c r="BN524" s="18" t="s">
        <v>179</v>
      </c>
      <c r="BP524" s="18" t="s">
        <v>138</v>
      </c>
      <c r="BS524" s="15" t="s">
        <v>11570</v>
      </c>
      <c r="DH524" s="15" t="s">
        <v>17982</v>
      </c>
      <c r="DI524" s="15" t="s">
        <v>17982</v>
      </c>
    </row>
    <row r="525" spans="1:113" s="15" customFormat="1" ht="12.75" x14ac:dyDescent="0.2">
      <c r="A525" s="15" t="s">
        <v>109</v>
      </c>
      <c r="B525" s="15" t="s">
        <v>110</v>
      </c>
      <c r="D525" s="15" t="s">
        <v>159</v>
      </c>
      <c r="E525" s="15" t="s">
        <v>112</v>
      </c>
      <c r="F525" s="15" t="s">
        <v>159</v>
      </c>
      <c r="G525" s="15" t="s">
        <v>113</v>
      </c>
      <c r="H525" s="15" t="s">
        <v>383</v>
      </c>
      <c r="J525" s="16" t="s">
        <v>114</v>
      </c>
      <c r="U525" s="15" t="s">
        <v>17977</v>
      </c>
      <c r="W525" s="15">
        <v>382</v>
      </c>
      <c r="X525" s="15">
        <v>535</v>
      </c>
      <c r="Y525" s="15" t="s">
        <v>160</v>
      </c>
      <c r="Z525" s="15" t="s">
        <v>161</v>
      </c>
      <c r="AA525" s="15" t="s">
        <v>162</v>
      </c>
      <c r="AB525" s="15" t="s">
        <v>1563</v>
      </c>
      <c r="AC525" s="15" t="s">
        <v>1563</v>
      </c>
      <c r="AD525" s="15" t="s">
        <v>1563</v>
      </c>
      <c r="AE525" s="15" t="s">
        <v>164</v>
      </c>
      <c r="AF525" s="15" t="s">
        <v>1563</v>
      </c>
      <c r="AG525" s="15" t="s">
        <v>1563</v>
      </c>
      <c r="AH525" s="15" t="s">
        <v>1564</v>
      </c>
      <c r="AL525" s="15" t="s">
        <v>1565</v>
      </c>
      <c r="AN525" s="15">
        <v>743</v>
      </c>
      <c r="AO525" s="15" t="s">
        <v>1566</v>
      </c>
      <c r="AQ525" s="17" t="s">
        <v>168</v>
      </c>
      <c r="AT525" s="15" t="s">
        <v>1567</v>
      </c>
      <c r="AU525" s="18" t="s">
        <v>1568</v>
      </c>
      <c r="AV525" s="18" t="s">
        <v>1568</v>
      </c>
      <c r="AW525" s="15" t="s">
        <v>1569</v>
      </c>
      <c r="AX525" s="15" t="s">
        <v>1570</v>
      </c>
      <c r="AY525" s="15">
        <f t="shared" si="10"/>
        <v>60</v>
      </c>
      <c r="AZ525" s="18" t="s">
        <v>173</v>
      </c>
      <c r="BA525" s="18" t="s">
        <v>174</v>
      </c>
      <c r="BB525" s="18" t="s">
        <v>1571</v>
      </c>
      <c r="BE525" s="18" t="s">
        <v>595</v>
      </c>
      <c r="BJ525" s="18" t="s">
        <v>1572</v>
      </c>
      <c r="BN525" s="18" t="s">
        <v>179</v>
      </c>
      <c r="BP525" s="18" t="s">
        <v>138</v>
      </c>
      <c r="BS525" s="15" t="s">
        <v>1573</v>
      </c>
      <c r="DH525" s="15" t="s">
        <v>17982</v>
      </c>
      <c r="DI525" s="15" t="s">
        <v>17982</v>
      </c>
    </row>
    <row r="526" spans="1:113" s="15" customFormat="1" ht="12.75" x14ac:dyDescent="0.2">
      <c r="A526" s="15" t="s">
        <v>109</v>
      </c>
      <c r="B526" s="15" t="s">
        <v>110</v>
      </c>
      <c r="D526" s="15" t="s">
        <v>159</v>
      </c>
      <c r="E526" s="15" t="s">
        <v>112</v>
      </c>
      <c r="F526" s="15" t="s">
        <v>159</v>
      </c>
      <c r="G526" s="15" t="s">
        <v>113</v>
      </c>
      <c r="H526" s="15" t="s">
        <v>383</v>
      </c>
      <c r="J526" s="16" t="s">
        <v>114</v>
      </c>
      <c r="U526" s="15" t="s">
        <v>17977</v>
      </c>
      <c r="W526" s="15">
        <v>2312</v>
      </c>
      <c r="X526" s="15">
        <v>536</v>
      </c>
      <c r="Y526" s="15" t="s">
        <v>160</v>
      </c>
      <c r="Z526" s="15" t="s">
        <v>161</v>
      </c>
      <c r="AA526" s="15" t="s">
        <v>162</v>
      </c>
      <c r="AB526" s="15" t="s">
        <v>11550</v>
      </c>
      <c r="AC526" s="15" t="s">
        <v>11550</v>
      </c>
      <c r="AD526" s="15" t="s">
        <v>11551</v>
      </c>
      <c r="AE526" s="15" t="s">
        <v>164</v>
      </c>
      <c r="AF526" s="15" t="s">
        <v>11551</v>
      </c>
      <c r="AG526" s="15" t="s">
        <v>11550</v>
      </c>
      <c r="AH526" s="15" t="s">
        <v>11552</v>
      </c>
      <c r="AL526" s="15" t="s">
        <v>11553</v>
      </c>
      <c r="AN526" s="15">
        <v>743</v>
      </c>
      <c r="AO526" s="15" t="s">
        <v>11554</v>
      </c>
      <c r="AQ526" s="17" t="s">
        <v>168</v>
      </c>
      <c r="AT526" s="15" t="s">
        <v>11555</v>
      </c>
      <c r="AU526" s="18" t="s">
        <v>11556</v>
      </c>
      <c r="AV526" s="18" t="s">
        <v>11556</v>
      </c>
      <c r="AW526" s="15" t="s">
        <v>11557</v>
      </c>
      <c r="AX526" s="15" t="s">
        <v>11558</v>
      </c>
      <c r="AY526" s="15">
        <f t="shared" si="10"/>
        <v>58</v>
      </c>
      <c r="AZ526" s="18" t="s">
        <v>173</v>
      </c>
      <c r="BA526" s="18" t="s">
        <v>174</v>
      </c>
      <c r="BB526" s="18" t="s">
        <v>11526</v>
      </c>
      <c r="BE526" s="18" t="s">
        <v>585</v>
      </c>
      <c r="BI526" s="18" t="s">
        <v>6470</v>
      </c>
      <c r="BJ526" s="18" t="s">
        <v>11559</v>
      </c>
      <c r="BK526" s="18" t="s">
        <v>487</v>
      </c>
      <c r="BN526" s="18" t="s">
        <v>179</v>
      </c>
      <c r="BP526" s="18" t="s">
        <v>138</v>
      </c>
      <c r="BS526" s="15" t="s">
        <v>11560</v>
      </c>
      <c r="DH526" s="15" t="s">
        <v>17982</v>
      </c>
      <c r="DI526" s="15" t="s">
        <v>17982</v>
      </c>
    </row>
    <row r="527" spans="1:113" s="15" customFormat="1" ht="12.75" x14ac:dyDescent="0.2">
      <c r="A527" s="15" t="s">
        <v>109</v>
      </c>
      <c r="B527" s="15" t="s">
        <v>110</v>
      </c>
      <c r="D527" s="15" t="s">
        <v>159</v>
      </c>
      <c r="E527" s="15" t="s">
        <v>112</v>
      </c>
      <c r="F527" s="15" t="s">
        <v>159</v>
      </c>
      <c r="G527" s="15" t="s">
        <v>113</v>
      </c>
      <c r="H527" s="15" t="s">
        <v>383</v>
      </c>
      <c r="J527" s="16" t="s">
        <v>114</v>
      </c>
      <c r="U527" s="15" t="s">
        <v>17977</v>
      </c>
      <c r="W527" s="15">
        <v>2321</v>
      </c>
      <c r="X527" s="15">
        <v>537</v>
      </c>
      <c r="Y527" s="15" t="s">
        <v>160</v>
      </c>
      <c r="Z527" s="15" t="s">
        <v>161</v>
      </c>
      <c r="AA527" s="15" t="s">
        <v>162</v>
      </c>
      <c r="AB527" s="15" t="s">
        <v>11629</v>
      </c>
      <c r="AC527" s="15" t="s">
        <v>11629</v>
      </c>
      <c r="AD527" s="15" t="s">
        <v>11630</v>
      </c>
      <c r="AE527" s="15" t="s">
        <v>164</v>
      </c>
      <c r="AF527" s="15" t="s">
        <v>11630</v>
      </c>
      <c r="AG527" s="15" t="s">
        <v>11629</v>
      </c>
      <c r="AH527" s="15" t="s">
        <v>11631</v>
      </c>
      <c r="AL527" s="15" t="s">
        <v>11632</v>
      </c>
      <c r="AN527" s="15">
        <v>743</v>
      </c>
      <c r="AO527" s="15" t="s">
        <v>11633</v>
      </c>
      <c r="AQ527" s="17" t="s">
        <v>168</v>
      </c>
      <c r="AT527" s="15" t="s">
        <v>11634</v>
      </c>
      <c r="AU527" s="18" t="s">
        <v>11635</v>
      </c>
      <c r="AV527" s="18" t="s">
        <v>11635</v>
      </c>
      <c r="AW527" s="15" t="s">
        <v>11636</v>
      </c>
      <c r="AX527" s="15" t="s">
        <v>11637</v>
      </c>
      <c r="AY527" s="15">
        <f t="shared" si="10"/>
        <v>58</v>
      </c>
      <c r="AZ527" s="18" t="s">
        <v>173</v>
      </c>
      <c r="BA527" s="18" t="s">
        <v>174</v>
      </c>
      <c r="BB527" s="18" t="s">
        <v>11526</v>
      </c>
      <c r="BE527" s="18" t="s">
        <v>6616</v>
      </c>
      <c r="BI527" s="18" t="s">
        <v>6470</v>
      </c>
      <c r="BJ527" s="18" t="s">
        <v>11559</v>
      </c>
      <c r="BK527" s="18" t="s">
        <v>487</v>
      </c>
      <c r="BN527" s="18" t="s">
        <v>179</v>
      </c>
      <c r="BP527" s="18" t="s">
        <v>138</v>
      </c>
      <c r="BS527" s="15" t="s">
        <v>11638</v>
      </c>
      <c r="DH527" s="15" t="s">
        <v>17982</v>
      </c>
      <c r="DI527" s="15" t="s">
        <v>17982</v>
      </c>
    </row>
    <row r="528" spans="1:113" s="15" customFormat="1" ht="12.75" x14ac:dyDescent="0.2">
      <c r="A528" s="15" t="s">
        <v>109</v>
      </c>
      <c r="B528" s="15" t="s">
        <v>110</v>
      </c>
      <c r="D528" s="15" t="s">
        <v>159</v>
      </c>
      <c r="E528" s="15" t="s">
        <v>112</v>
      </c>
      <c r="F528" s="15" t="s">
        <v>159</v>
      </c>
      <c r="G528" s="15" t="s">
        <v>113</v>
      </c>
      <c r="H528" s="15" t="s">
        <v>383</v>
      </c>
      <c r="J528" s="16" t="s">
        <v>114</v>
      </c>
      <c r="U528" s="15" t="s">
        <v>17977</v>
      </c>
      <c r="W528" s="15">
        <v>1521</v>
      </c>
      <c r="X528" s="15">
        <v>538</v>
      </c>
      <c r="Y528" s="15" t="s">
        <v>160</v>
      </c>
      <c r="Z528" s="15" t="s">
        <v>161</v>
      </c>
      <c r="AA528" s="15" t="s">
        <v>162</v>
      </c>
      <c r="AB528" s="15" t="s">
        <v>7805</v>
      </c>
      <c r="AC528" s="15" t="s">
        <v>7805</v>
      </c>
      <c r="AD528" s="15" t="s">
        <v>7805</v>
      </c>
      <c r="AE528" s="15" t="s">
        <v>164</v>
      </c>
      <c r="AF528" s="15" t="s">
        <v>7805</v>
      </c>
      <c r="AG528" s="15" t="s">
        <v>7805</v>
      </c>
      <c r="AH528" s="47" t="s">
        <v>7806</v>
      </c>
      <c r="AL528" s="15" t="s">
        <v>7807</v>
      </c>
      <c r="AN528" s="15">
        <v>743</v>
      </c>
      <c r="AO528" s="15" t="s">
        <v>7808</v>
      </c>
      <c r="AQ528" s="17" t="s">
        <v>168</v>
      </c>
      <c r="AT528" s="15" t="s">
        <v>7809</v>
      </c>
      <c r="AU528" s="18" t="s">
        <v>7810</v>
      </c>
      <c r="AV528" s="18" t="s">
        <v>7810</v>
      </c>
      <c r="AW528" s="15" t="s">
        <v>7811</v>
      </c>
      <c r="AX528" s="15" t="s">
        <v>7812</v>
      </c>
      <c r="AY528" s="15">
        <f t="shared" si="10"/>
        <v>58</v>
      </c>
      <c r="AZ528" s="18" t="s">
        <v>173</v>
      </c>
      <c r="BA528" s="18" t="s">
        <v>174</v>
      </c>
      <c r="BB528" s="18" t="s">
        <v>7801</v>
      </c>
      <c r="BE528" s="18" t="s">
        <v>2041</v>
      </c>
      <c r="BF528" s="18" t="s">
        <v>2785</v>
      </c>
      <c r="BJ528" s="18" t="s">
        <v>7813</v>
      </c>
      <c r="BN528" s="18" t="s">
        <v>179</v>
      </c>
      <c r="BP528" s="18" t="s">
        <v>138</v>
      </c>
      <c r="BS528" s="15" t="s">
        <v>7814</v>
      </c>
      <c r="DH528" s="15" t="s">
        <v>17982</v>
      </c>
      <c r="DI528" s="15" t="s">
        <v>17982</v>
      </c>
    </row>
    <row r="529" spans="1:113" s="15" customFormat="1" ht="12.75" x14ac:dyDescent="0.2">
      <c r="A529" s="15" t="s">
        <v>109</v>
      </c>
      <c r="B529" s="15" t="s">
        <v>110</v>
      </c>
      <c r="D529" s="15" t="s">
        <v>159</v>
      </c>
      <c r="E529" s="15" t="s">
        <v>112</v>
      </c>
      <c r="F529" s="15" t="s">
        <v>159</v>
      </c>
      <c r="G529" s="15" t="s">
        <v>113</v>
      </c>
      <c r="H529" s="15" t="s">
        <v>383</v>
      </c>
      <c r="J529" s="16" t="s">
        <v>114</v>
      </c>
      <c r="U529" s="15" t="s">
        <v>17977</v>
      </c>
      <c r="W529" s="15">
        <v>1520</v>
      </c>
      <c r="X529" s="15">
        <v>539</v>
      </c>
      <c r="Y529" s="15" t="s">
        <v>160</v>
      </c>
      <c r="Z529" s="15" t="s">
        <v>161</v>
      </c>
      <c r="AA529" s="15" t="s">
        <v>162</v>
      </c>
      <c r="AB529" s="15" t="s">
        <v>7793</v>
      </c>
      <c r="AC529" s="15" t="s">
        <v>7793</v>
      </c>
      <c r="AD529" s="15" t="s">
        <v>7793</v>
      </c>
      <c r="AE529" s="15" t="s">
        <v>164</v>
      </c>
      <c r="AF529" s="15" t="s">
        <v>7793</v>
      </c>
      <c r="AG529" s="15" t="s">
        <v>7793</v>
      </c>
      <c r="AH529" s="47" t="s">
        <v>7794</v>
      </c>
      <c r="AL529" s="15" t="s">
        <v>7795</v>
      </c>
      <c r="AN529" s="15">
        <v>743</v>
      </c>
      <c r="AO529" s="15" t="s">
        <v>7796</v>
      </c>
      <c r="AQ529" s="17" t="s">
        <v>168</v>
      </c>
      <c r="AT529" s="15" t="s">
        <v>7797</v>
      </c>
      <c r="AU529" s="18" t="s">
        <v>7798</v>
      </c>
      <c r="AV529" s="18" t="s">
        <v>7798</v>
      </c>
      <c r="AW529" s="15" t="s">
        <v>7799</v>
      </c>
      <c r="AX529" s="15" t="s">
        <v>7800</v>
      </c>
      <c r="AY529" s="15">
        <f t="shared" si="10"/>
        <v>58</v>
      </c>
      <c r="AZ529" s="18" t="s">
        <v>173</v>
      </c>
      <c r="BA529" s="18" t="s">
        <v>174</v>
      </c>
      <c r="BB529" s="18" t="s">
        <v>7801</v>
      </c>
      <c r="BE529" s="18" t="s">
        <v>1528</v>
      </c>
      <c r="BF529" s="18" t="s">
        <v>7802</v>
      </c>
      <c r="BJ529" s="18" t="s">
        <v>7803</v>
      </c>
      <c r="BN529" s="18" t="s">
        <v>179</v>
      </c>
      <c r="BP529" s="18" t="s">
        <v>138</v>
      </c>
      <c r="BS529" s="15" t="s">
        <v>7804</v>
      </c>
      <c r="DH529" s="15" t="s">
        <v>17982</v>
      </c>
      <c r="DI529" s="15" t="s">
        <v>17982</v>
      </c>
    </row>
    <row r="530" spans="1:113" s="15" customFormat="1" ht="12.75" x14ac:dyDescent="0.2">
      <c r="A530" s="15" t="s">
        <v>109</v>
      </c>
      <c r="B530" s="15" t="s">
        <v>110</v>
      </c>
      <c r="D530" s="15" t="s">
        <v>159</v>
      </c>
      <c r="E530" s="15" t="s">
        <v>112</v>
      </c>
      <c r="F530" s="15" t="s">
        <v>159</v>
      </c>
      <c r="G530" s="15" t="s">
        <v>113</v>
      </c>
      <c r="H530" s="15" t="s">
        <v>383</v>
      </c>
      <c r="J530" s="16" t="s">
        <v>114</v>
      </c>
      <c r="U530" s="15" t="s">
        <v>17977</v>
      </c>
      <c r="W530" s="15">
        <v>1525</v>
      </c>
      <c r="X530" s="15">
        <v>540</v>
      </c>
      <c r="Y530" s="15" t="s">
        <v>160</v>
      </c>
      <c r="Z530" s="15" t="s">
        <v>161</v>
      </c>
      <c r="AA530" s="15" t="s">
        <v>162</v>
      </c>
      <c r="AB530" s="15" t="s">
        <v>7847</v>
      </c>
      <c r="AC530" s="15" t="s">
        <v>7847</v>
      </c>
      <c r="AD530" s="15" t="s">
        <v>7847</v>
      </c>
      <c r="AE530" s="15" t="s">
        <v>164</v>
      </c>
      <c r="AF530" s="15" t="s">
        <v>7847</v>
      </c>
      <c r="AG530" s="15" t="s">
        <v>7847</v>
      </c>
      <c r="AH530" s="47" t="s">
        <v>7848</v>
      </c>
      <c r="AL530" s="15" t="s">
        <v>7849</v>
      </c>
      <c r="AN530" s="15">
        <v>743</v>
      </c>
      <c r="AO530" s="15" t="s">
        <v>7850</v>
      </c>
      <c r="AQ530" s="17" t="s">
        <v>168</v>
      </c>
      <c r="AT530" s="15" t="s">
        <v>7851</v>
      </c>
      <c r="AU530" s="18" t="s">
        <v>7852</v>
      </c>
      <c r="AV530" s="18" t="s">
        <v>7852</v>
      </c>
      <c r="AW530" s="15" t="s">
        <v>7853</v>
      </c>
      <c r="AX530" s="15" t="s">
        <v>7854</v>
      </c>
      <c r="AY530" s="15">
        <f t="shared" si="10"/>
        <v>60</v>
      </c>
      <c r="AZ530" s="18" t="s">
        <v>173</v>
      </c>
      <c r="BA530" s="18" t="s">
        <v>174</v>
      </c>
      <c r="BB530" s="18" t="s">
        <v>7855</v>
      </c>
      <c r="BE530" s="18" t="s">
        <v>2041</v>
      </c>
      <c r="BJ530" s="18" t="s">
        <v>7803</v>
      </c>
      <c r="BN530" s="18" t="s">
        <v>179</v>
      </c>
      <c r="BP530" s="18" t="s">
        <v>138</v>
      </c>
      <c r="BS530" s="15" t="s">
        <v>7856</v>
      </c>
      <c r="DH530" s="15" t="s">
        <v>17982</v>
      </c>
      <c r="DI530" s="15" t="s">
        <v>17982</v>
      </c>
    </row>
    <row r="531" spans="1:113" s="15" customFormat="1" ht="12.75" x14ac:dyDescent="0.2">
      <c r="A531" s="15" t="s">
        <v>109</v>
      </c>
      <c r="B531" s="15" t="s">
        <v>110</v>
      </c>
      <c r="D531" s="15" t="s">
        <v>159</v>
      </c>
      <c r="E531" s="15" t="s">
        <v>112</v>
      </c>
      <c r="F531" s="15" t="s">
        <v>159</v>
      </c>
      <c r="G531" s="15" t="s">
        <v>113</v>
      </c>
      <c r="H531" s="15" t="s">
        <v>383</v>
      </c>
      <c r="J531" s="16" t="s">
        <v>114</v>
      </c>
      <c r="U531" s="15" t="s">
        <v>17977</v>
      </c>
      <c r="W531" s="15">
        <v>1257</v>
      </c>
      <c r="X531" s="15">
        <v>541</v>
      </c>
      <c r="Y531" s="15" t="s">
        <v>160</v>
      </c>
      <c r="Z531" s="15" t="s">
        <v>161</v>
      </c>
      <c r="AA531" s="15" t="s">
        <v>162</v>
      </c>
      <c r="AB531" s="15" t="s">
        <v>6462</v>
      </c>
      <c r="AC531" s="15" t="s">
        <v>6462</v>
      </c>
      <c r="AD531" s="15" t="s">
        <v>6462</v>
      </c>
      <c r="AE531" s="15" t="s">
        <v>164</v>
      </c>
      <c r="AF531" s="15" t="s">
        <v>6462</v>
      </c>
      <c r="AG531" s="15" t="s">
        <v>6462</v>
      </c>
      <c r="AH531" s="15" t="s">
        <v>6463</v>
      </c>
      <c r="AL531" s="15" t="s">
        <v>6464</v>
      </c>
      <c r="AN531" s="15">
        <v>743</v>
      </c>
      <c r="AO531" s="15" t="s">
        <v>6465</v>
      </c>
      <c r="AQ531" s="17" t="s">
        <v>168</v>
      </c>
      <c r="AT531" s="15" t="s">
        <v>6466</v>
      </c>
      <c r="AU531" s="18" t="s">
        <v>6467</v>
      </c>
      <c r="AV531" s="18" t="s">
        <v>6467</v>
      </c>
      <c r="AW531" s="15" t="s">
        <v>6468</v>
      </c>
      <c r="AX531" s="15" t="s">
        <v>6469</v>
      </c>
      <c r="AY531" s="15">
        <f t="shared" si="10"/>
        <v>59</v>
      </c>
      <c r="AZ531" s="18" t="s">
        <v>173</v>
      </c>
      <c r="BA531" s="18" t="s">
        <v>174</v>
      </c>
      <c r="BB531" s="18" t="s">
        <v>6395</v>
      </c>
      <c r="BE531" s="18" t="s">
        <v>1056</v>
      </c>
      <c r="BI531" s="18" t="s">
        <v>6470</v>
      </c>
      <c r="BJ531" s="18" t="s">
        <v>6471</v>
      </c>
      <c r="BN531" s="18" t="s">
        <v>179</v>
      </c>
      <c r="BP531" s="18" t="s">
        <v>138</v>
      </c>
      <c r="BS531" s="15" t="s">
        <v>6472</v>
      </c>
      <c r="DH531" s="15" t="s">
        <v>17982</v>
      </c>
      <c r="DI531" s="15" t="s">
        <v>17982</v>
      </c>
    </row>
    <row r="532" spans="1:113" s="15" customFormat="1" ht="12.75" x14ac:dyDescent="0.2">
      <c r="A532" s="15" t="s">
        <v>109</v>
      </c>
      <c r="B532" s="15" t="s">
        <v>110</v>
      </c>
      <c r="D532" s="15" t="s">
        <v>159</v>
      </c>
      <c r="E532" s="15" t="s">
        <v>112</v>
      </c>
      <c r="F532" s="15" t="s">
        <v>159</v>
      </c>
      <c r="G532" s="15" t="s">
        <v>113</v>
      </c>
      <c r="H532" s="15" t="s">
        <v>383</v>
      </c>
      <c r="J532" s="16" t="s">
        <v>114</v>
      </c>
      <c r="U532" s="15" t="s">
        <v>17977</v>
      </c>
      <c r="W532" s="15">
        <v>2887</v>
      </c>
      <c r="X532" s="15">
        <v>542</v>
      </c>
      <c r="Y532" s="15" t="s">
        <v>160</v>
      </c>
      <c r="Z532" s="15" t="s">
        <v>161</v>
      </c>
      <c r="AA532" s="15" t="s">
        <v>162</v>
      </c>
      <c r="AB532" s="15" t="s">
        <v>14116</v>
      </c>
      <c r="AC532" s="15" t="s">
        <v>14116</v>
      </c>
      <c r="AD532" s="15" t="s">
        <v>14116</v>
      </c>
      <c r="AE532" s="15" t="s">
        <v>164</v>
      </c>
      <c r="AF532" s="15" t="s">
        <v>14116</v>
      </c>
      <c r="AG532" s="15" t="s">
        <v>14116</v>
      </c>
      <c r="AH532" s="47" t="s">
        <v>14117</v>
      </c>
      <c r="AL532" s="15" t="s">
        <v>14118</v>
      </c>
      <c r="AN532" s="15">
        <v>743</v>
      </c>
      <c r="AO532" s="15" t="s">
        <v>14119</v>
      </c>
      <c r="AQ532" s="17" t="s">
        <v>168</v>
      </c>
      <c r="AT532" s="15" t="s">
        <v>14120</v>
      </c>
      <c r="AU532" s="18" t="s">
        <v>14121</v>
      </c>
      <c r="AV532" s="18" t="s">
        <v>14121</v>
      </c>
      <c r="AW532" s="15" t="s">
        <v>14122</v>
      </c>
      <c r="AX532" s="15" t="s">
        <v>14123</v>
      </c>
      <c r="AY532" s="15">
        <f t="shared" si="10"/>
        <v>59</v>
      </c>
      <c r="AZ532" s="18" t="s">
        <v>173</v>
      </c>
      <c r="BA532" s="18" t="s">
        <v>174</v>
      </c>
      <c r="BB532" s="18" t="s">
        <v>14124</v>
      </c>
      <c r="BE532" s="18" t="s">
        <v>1032</v>
      </c>
      <c r="BJ532" s="18" t="s">
        <v>14125</v>
      </c>
      <c r="BN532" s="18" t="s">
        <v>179</v>
      </c>
      <c r="BP532" s="18" t="s">
        <v>138</v>
      </c>
      <c r="BS532" s="15" t="s">
        <v>14126</v>
      </c>
      <c r="DH532" s="15" t="s">
        <v>17982</v>
      </c>
      <c r="DI532" s="15" t="s">
        <v>17982</v>
      </c>
    </row>
    <row r="533" spans="1:113" s="15" customFormat="1" ht="12.75" x14ac:dyDescent="0.2">
      <c r="A533" s="15" t="s">
        <v>109</v>
      </c>
      <c r="B533" s="15" t="s">
        <v>110</v>
      </c>
      <c r="D533" s="15" t="s">
        <v>159</v>
      </c>
      <c r="E533" s="15" t="s">
        <v>112</v>
      </c>
      <c r="F533" s="15" t="s">
        <v>159</v>
      </c>
      <c r="G533" s="15" t="s">
        <v>113</v>
      </c>
      <c r="H533" s="15" t="s">
        <v>383</v>
      </c>
      <c r="J533" s="16" t="s">
        <v>114</v>
      </c>
      <c r="U533" s="15" t="s">
        <v>17977</v>
      </c>
      <c r="W533" s="15">
        <v>3497</v>
      </c>
      <c r="X533" s="15">
        <v>543</v>
      </c>
      <c r="Y533" s="15" t="s">
        <v>160</v>
      </c>
      <c r="Z533" s="15" t="s">
        <v>161</v>
      </c>
      <c r="AA533" s="15" t="s">
        <v>162</v>
      </c>
      <c r="AB533" s="15" t="s">
        <v>16907</v>
      </c>
      <c r="AC533" s="15" t="s">
        <v>16907</v>
      </c>
      <c r="AD533" s="15" t="s">
        <v>16908</v>
      </c>
      <c r="AE533" s="15" t="s">
        <v>164</v>
      </c>
      <c r="AF533" s="15" t="s">
        <v>16908</v>
      </c>
      <c r="AG533" s="15" t="s">
        <v>16907</v>
      </c>
      <c r="AH533" s="15" t="s">
        <v>16909</v>
      </c>
      <c r="AL533" s="15" t="s">
        <v>16910</v>
      </c>
      <c r="AN533" s="15">
        <v>743</v>
      </c>
      <c r="AO533" s="15" t="s">
        <v>16911</v>
      </c>
      <c r="AQ533" s="17" t="s">
        <v>388</v>
      </c>
      <c r="AT533" s="15" t="s">
        <v>16839</v>
      </c>
      <c r="AU533" s="18" t="s">
        <v>16912</v>
      </c>
      <c r="AV533" s="18" t="s">
        <v>16912</v>
      </c>
      <c r="AW533" s="15" t="s">
        <v>16913</v>
      </c>
      <c r="AX533" s="15" t="s">
        <v>16914</v>
      </c>
      <c r="AY533" s="15">
        <f t="shared" si="10"/>
        <v>60</v>
      </c>
      <c r="AZ533" s="18" t="s">
        <v>393</v>
      </c>
      <c r="BA533" s="18" t="s">
        <v>174</v>
      </c>
      <c r="BB533" s="18" t="s">
        <v>3627</v>
      </c>
      <c r="BE533" s="18" t="s">
        <v>176</v>
      </c>
      <c r="BJ533" s="18" t="s">
        <v>16915</v>
      </c>
      <c r="BK533" s="18" t="s">
        <v>16813</v>
      </c>
      <c r="BN533" s="18" t="s">
        <v>179</v>
      </c>
      <c r="BO533" s="18" t="s">
        <v>16602</v>
      </c>
      <c r="BP533" s="18" t="s">
        <v>138</v>
      </c>
      <c r="BS533" s="15" t="s">
        <v>16916</v>
      </c>
      <c r="DH533" s="15" t="s">
        <v>17982</v>
      </c>
      <c r="DI533" s="15" t="s">
        <v>17982</v>
      </c>
    </row>
    <row r="534" spans="1:113" s="15" customFormat="1" ht="12.75" x14ac:dyDescent="0.2">
      <c r="A534" s="15" t="s">
        <v>109</v>
      </c>
      <c r="B534" s="15" t="s">
        <v>110</v>
      </c>
      <c r="D534" s="15" t="s">
        <v>159</v>
      </c>
      <c r="E534" s="15" t="s">
        <v>112</v>
      </c>
      <c r="F534" s="15" t="s">
        <v>159</v>
      </c>
      <c r="G534" s="15" t="s">
        <v>113</v>
      </c>
      <c r="H534" s="15" t="s">
        <v>383</v>
      </c>
      <c r="J534" s="16" t="s">
        <v>114</v>
      </c>
      <c r="U534" s="15" t="s">
        <v>17977</v>
      </c>
      <c r="W534" s="15">
        <v>3494</v>
      </c>
      <c r="X534" s="15">
        <v>544</v>
      </c>
      <c r="Y534" s="15" t="s">
        <v>160</v>
      </c>
      <c r="Z534" s="15" t="s">
        <v>161</v>
      </c>
      <c r="AA534" s="15" t="s">
        <v>162</v>
      </c>
      <c r="AB534" s="15" t="s">
        <v>16879</v>
      </c>
      <c r="AC534" s="15" t="s">
        <v>16879</v>
      </c>
      <c r="AD534" s="15" t="s">
        <v>16880</v>
      </c>
      <c r="AE534" s="15" t="s">
        <v>164</v>
      </c>
      <c r="AF534" s="15" t="s">
        <v>16880</v>
      </c>
      <c r="AG534" s="15" t="s">
        <v>16879</v>
      </c>
      <c r="AH534" s="15" t="s">
        <v>16881</v>
      </c>
      <c r="AL534" s="15" t="s">
        <v>16882</v>
      </c>
      <c r="AN534" s="15">
        <v>743</v>
      </c>
      <c r="AO534" s="15" t="s">
        <v>16883</v>
      </c>
      <c r="AQ534" s="17" t="s">
        <v>388</v>
      </c>
      <c r="AT534" s="15" t="s">
        <v>16839</v>
      </c>
      <c r="AU534" s="18" t="s">
        <v>16884</v>
      </c>
      <c r="AV534" s="18" t="s">
        <v>16884</v>
      </c>
      <c r="AW534" s="15" t="s">
        <v>16885</v>
      </c>
      <c r="AX534" s="15" t="s">
        <v>16886</v>
      </c>
      <c r="AY534" s="15">
        <f t="shared" si="10"/>
        <v>59</v>
      </c>
      <c r="AZ534" s="18" t="s">
        <v>393</v>
      </c>
      <c r="BA534" s="18" t="s">
        <v>174</v>
      </c>
      <c r="BB534" s="18" t="s">
        <v>3627</v>
      </c>
      <c r="BE534" s="18" t="s">
        <v>1701</v>
      </c>
      <c r="BJ534" s="18" t="s">
        <v>16887</v>
      </c>
      <c r="BK534" s="18" t="s">
        <v>16813</v>
      </c>
      <c r="BN534" s="18" t="s">
        <v>179</v>
      </c>
      <c r="BO534" s="18" t="s">
        <v>16602</v>
      </c>
      <c r="BP534" s="18" t="s">
        <v>138</v>
      </c>
      <c r="BS534" s="15" t="s">
        <v>16888</v>
      </c>
      <c r="DH534" s="15" t="s">
        <v>17982</v>
      </c>
      <c r="DI534" s="15" t="s">
        <v>17982</v>
      </c>
    </row>
    <row r="535" spans="1:113" s="15" customFormat="1" ht="12.75" x14ac:dyDescent="0.2">
      <c r="A535" s="15" t="s">
        <v>109</v>
      </c>
      <c r="B535" s="15" t="s">
        <v>110</v>
      </c>
      <c r="D535" s="15" t="s">
        <v>159</v>
      </c>
      <c r="E535" s="15" t="s">
        <v>112</v>
      </c>
      <c r="F535" s="15" t="s">
        <v>159</v>
      </c>
      <c r="G535" s="15" t="s">
        <v>113</v>
      </c>
      <c r="H535" s="15" t="s">
        <v>383</v>
      </c>
      <c r="J535" s="16" t="s">
        <v>114</v>
      </c>
      <c r="U535" s="15" t="s">
        <v>17977</v>
      </c>
      <c r="W535" s="15">
        <v>3498</v>
      </c>
      <c r="X535" s="15">
        <v>545</v>
      </c>
      <c r="Y535" s="15" t="s">
        <v>160</v>
      </c>
      <c r="Z535" s="15" t="s">
        <v>161</v>
      </c>
      <c r="AA535" s="15" t="s">
        <v>162</v>
      </c>
      <c r="AB535" s="15" t="s">
        <v>16917</v>
      </c>
      <c r="AC535" s="15" t="s">
        <v>16917</v>
      </c>
      <c r="AD535" s="15" t="s">
        <v>16918</v>
      </c>
      <c r="AE535" s="15" t="s">
        <v>164</v>
      </c>
      <c r="AF535" s="15" t="s">
        <v>16918</v>
      </c>
      <c r="AG535" s="15" t="s">
        <v>16917</v>
      </c>
      <c r="AH535" s="15" t="s">
        <v>16919</v>
      </c>
      <c r="AL535" s="15" t="s">
        <v>16920</v>
      </c>
      <c r="AN535" s="15">
        <v>743</v>
      </c>
      <c r="AO535" s="15" t="s">
        <v>16921</v>
      </c>
      <c r="AQ535" s="17" t="s">
        <v>388</v>
      </c>
      <c r="AT535" s="15" t="s">
        <v>16839</v>
      </c>
      <c r="AU535" s="18" t="s">
        <v>16922</v>
      </c>
      <c r="AV535" s="18" t="s">
        <v>16922</v>
      </c>
      <c r="AW535" s="15" t="s">
        <v>16923</v>
      </c>
      <c r="AX535" s="15" t="s">
        <v>16924</v>
      </c>
      <c r="AY535" s="15">
        <f t="shared" si="10"/>
        <v>59</v>
      </c>
      <c r="AZ535" s="18" t="s">
        <v>393</v>
      </c>
      <c r="BA535" s="18" t="s">
        <v>174</v>
      </c>
      <c r="BB535" s="18" t="s">
        <v>3627</v>
      </c>
      <c r="BE535" s="18" t="s">
        <v>1701</v>
      </c>
      <c r="BJ535" s="18" t="s">
        <v>16925</v>
      </c>
      <c r="BK535" s="18" t="s">
        <v>16813</v>
      </c>
      <c r="BN535" s="18" t="s">
        <v>179</v>
      </c>
      <c r="BO535" s="18" t="s">
        <v>16602</v>
      </c>
      <c r="BP535" s="18" t="s">
        <v>138</v>
      </c>
      <c r="BS535" s="15" t="s">
        <v>16926</v>
      </c>
      <c r="DH535" s="15" t="s">
        <v>17982</v>
      </c>
      <c r="DI535" s="15" t="s">
        <v>17982</v>
      </c>
    </row>
    <row r="536" spans="1:113" s="15" customFormat="1" ht="12.75" x14ac:dyDescent="0.2">
      <c r="A536" s="15" t="s">
        <v>109</v>
      </c>
      <c r="B536" s="15" t="s">
        <v>110</v>
      </c>
      <c r="D536" s="15" t="s">
        <v>159</v>
      </c>
      <c r="E536" s="15" t="s">
        <v>112</v>
      </c>
      <c r="F536" s="15" t="s">
        <v>159</v>
      </c>
      <c r="G536" s="15" t="s">
        <v>113</v>
      </c>
      <c r="H536" s="15" t="s">
        <v>383</v>
      </c>
      <c r="J536" s="16" t="s">
        <v>114</v>
      </c>
      <c r="U536" s="15" t="s">
        <v>17977</v>
      </c>
      <c r="W536" s="15">
        <v>3495</v>
      </c>
      <c r="X536" s="15">
        <v>546</v>
      </c>
      <c r="Y536" s="15" t="s">
        <v>160</v>
      </c>
      <c r="Z536" s="15" t="s">
        <v>161</v>
      </c>
      <c r="AA536" s="15" t="s">
        <v>162</v>
      </c>
      <c r="AB536" s="15" t="s">
        <v>16889</v>
      </c>
      <c r="AC536" s="15" t="s">
        <v>16889</v>
      </c>
      <c r="AD536" s="15" t="s">
        <v>16890</v>
      </c>
      <c r="AE536" s="15" t="s">
        <v>164</v>
      </c>
      <c r="AF536" s="15" t="s">
        <v>16890</v>
      </c>
      <c r="AG536" s="15" t="s">
        <v>16889</v>
      </c>
      <c r="AH536" s="15" t="s">
        <v>16891</v>
      </c>
      <c r="AL536" s="15" t="s">
        <v>16892</v>
      </c>
      <c r="AN536" s="15">
        <v>743</v>
      </c>
      <c r="AO536" s="15" t="s">
        <v>16893</v>
      </c>
      <c r="AQ536" s="17" t="s">
        <v>388</v>
      </c>
      <c r="AT536" s="15" t="s">
        <v>16839</v>
      </c>
      <c r="AU536" s="18" t="s">
        <v>16894</v>
      </c>
      <c r="AV536" s="18" t="s">
        <v>16894</v>
      </c>
      <c r="AW536" s="15" t="s">
        <v>16895</v>
      </c>
      <c r="AX536" s="15" t="s">
        <v>16896</v>
      </c>
      <c r="AY536" s="15">
        <f t="shared" si="10"/>
        <v>59</v>
      </c>
      <c r="AZ536" s="18" t="s">
        <v>393</v>
      </c>
      <c r="BA536" s="18" t="s">
        <v>174</v>
      </c>
      <c r="BB536" s="18" t="s">
        <v>3627</v>
      </c>
      <c r="BE536" s="18" t="s">
        <v>1701</v>
      </c>
      <c r="BJ536" s="18" t="s">
        <v>16897</v>
      </c>
      <c r="BK536" s="18" t="s">
        <v>16813</v>
      </c>
      <c r="BN536" s="18" t="s">
        <v>179</v>
      </c>
      <c r="BO536" s="18" t="s">
        <v>16602</v>
      </c>
      <c r="BP536" s="18" t="s">
        <v>138</v>
      </c>
      <c r="BS536" s="15" t="s">
        <v>16898</v>
      </c>
      <c r="DH536" s="15" t="s">
        <v>17982</v>
      </c>
      <c r="DI536" s="15" t="s">
        <v>17982</v>
      </c>
    </row>
    <row r="537" spans="1:113" s="15" customFormat="1" ht="12.75" x14ac:dyDescent="0.2">
      <c r="A537" s="15" t="s">
        <v>109</v>
      </c>
      <c r="B537" s="15" t="s">
        <v>110</v>
      </c>
      <c r="D537" s="15" t="s">
        <v>159</v>
      </c>
      <c r="E537" s="15" t="s">
        <v>112</v>
      </c>
      <c r="F537" s="15" t="s">
        <v>159</v>
      </c>
      <c r="G537" s="15" t="s">
        <v>113</v>
      </c>
      <c r="H537" s="15" t="s">
        <v>383</v>
      </c>
      <c r="J537" s="16" t="s">
        <v>114</v>
      </c>
      <c r="U537" s="15" t="s">
        <v>17977</v>
      </c>
      <c r="W537" s="15">
        <v>3496</v>
      </c>
      <c r="X537" s="15">
        <v>547</v>
      </c>
      <c r="Y537" s="15" t="s">
        <v>160</v>
      </c>
      <c r="Z537" s="15" t="s">
        <v>161</v>
      </c>
      <c r="AA537" s="15" t="s">
        <v>162</v>
      </c>
      <c r="AB537" s="15" t="s">
        <v>16899</v>
      </c>
      <c r="AC537" s="15" t="s">
        <v>16899</v>
      </c>
      <c r="AD537" s="15" t="s">
        <v>16899</v>
      </c>
      <c r="AE537" s="15" t="s">
        <v>164</v>
      </c>
      <c r="AF537" s="15" t="s">
        <v>16899</v>
      </c>
      <c r="AG537" s="15" t="s">
        <v>16899</v>
      </c>
      <c r="AH537" s="15" t="s">
        <v>16900</v>
      </c>
      <c r="AL537" s="15" t="s">
        <v>16901</v>
      </c>
      <c r="AN537" s="15">
        <v>743</v>
      </c>
      <c r="AO537" s="15" t="s">
        <v>16902</v>
      </c>
      <c r="AQ537" s="17" t="s">
        <v>388</v>
      </c>
      <c r="AT537" s="15" t="s">
        <v>16839</v>
      </c>
      <c r="AU537" s="18" t="s">
        <v>16903</v>
      </c>
      <c r="AV537" s="18" t="s">
        <v>16903</v>
      </c>
      <c r="AW537" s="15" t="s">
        <v>16904</v>
      </c>
      <c r="AX537" s="15" t="s">
        <v>16905</v>
      </c>
      <c r="AY537" s="15">
        <f t="shared" si="10"/>
        <v>59</v>
      </c>
      <c r="AZ537" s="18" t="s">
        <v>393</v>
      </c>
      <c r="BA537" s="18" t="s">
        <v>174</v>
      </c>
      <c r="BB537" s="18" t="s">
        <v>3627</v>
      </c>
      <c r="BE537" s="18" t="s">
        <v>1528</v>
      </c>
      <c r="BJ537" s="18" t="s">
        <v>16843</v>
      </c>
      <c r="BK537" s="18" t="s">
        <v>16844</v>
      </c>
      <c r="BN537" s="18" t="s">
        <v>179</v>
      </c>
      <c r="BO537" s="18" t="s">
        <v>16602</v>
      </c>
      <c r="BP537" s="18" t="s">
        <v>138</v>
      </c>
      <c r="BS537" s="15" t="s">
        <v>16906</v>
      </c>
      <c r="DH537" s="15" t="s">
        <v>17982</v>
      </c>
      <c r="DI537" s="15" t="s">
        <v>17982</v>
      </c>
    </row>
    <row r="538" spans="1:113" s="15" customFormat="1" ht="12.75" x14ac:dyDescent="0.2">
      <c r="A538" s="15" t="s">
        <v>109</v>
      </c>
      <c r="B538" s="15" t="s">
        <v>110</v>
      </c>
      <c r="D538" s="15" t="s">
        <v>159</v>
      </c>
      <c r="E538" s="15" t="s">
        <v>112</v>
      </c>
      <c r="F538" s="15" t="s">
        <v>159</v>
      </c>
      <c r="G538" s="15" t="s">
        <v>113</v>
      </c>
      <c r="H538" s="15" t="s">
        <v>383</v>
      </c>
      <c r="J538" s="16" t="s">
        <v>114</v>
      </c>
      <c r="U538" s="15" t="s">
        <v>17977</v>
      </c>
      <c r="W538" s="15">
        <v>3487</v>
      </c>
      <c r="X538" s="15">
        <v>548</v>
      </c>
      <c r="Y538" s="15" t="s">
        <v>160</v>
      </c>
      <c r="Z538" s="15" t="s">
        <v>161</v>
      </c>
      <c r="AA538" s="15" t="s">
        <v>162</v>
      </c>
      <c r="AB538" s="15" t="s">
        <v>16835</v>
      </c>
      <c r="AC538" s="15" t="s">
        <v>16835</v>
      </c>
      <c r="AD538" s="15" t="s">
        <v>16835</v>
      </c>
      <c r="AE538" s="15" t="s">
        <v>164</v>
      </c>
      <c r="AF538" s="15" t="s">
        <v>16835</v>
      </c>
      <c r="AG538" s="15" t="s">
        <v>16835</v>
      </c>
      <c r="AH538" s="15" t="s">
        <v>16836</v>
      </c>
      <c r="AL538" s="15" t="s">
        <v>16837</v>
      </c>
      <c r="AN538" s="15">
        <v>743</v>
      </c>
      <c r="AO538" s="15" t="s">
        <v>16838</v>
      </c>
      <c r="AQ538" s="17" t="s">
        <v>388</v>
      </c>
      <c r="AT538" s="15" t="s">
        <v>16839</v>
      </c>
      <c r="AU538" s="18" t="s">
        <v>16840</v>
      </c>
      <c r="AV538" s="18" t="s">
        <v>16840</v>
      </c>
      <c r="AW538" s="15" t="s">
        <v>16841</v>
      </c>
      <c r="AX538" s="15" t="s">
        <v>16842</v>
      </c>
      <c r="AY538" s="15">
        <f t="shared" si="10"/>
        <v>57</v>
      </c>
      <c r="AZ538" s="18" t="s">
        <v>393</v>
      </c>
      <c r="BA538" s="18" t="s">
        <v>174</v>
      </c>
      <c r="BB538" s="18" t="s">
        <v>3627</v>
      </c>
      <c r="BE538" s="18" t="s">
        <v>7822</v>
      </c>
      <c r="BJ538" s="18" t="s">
        <v>16843</v>
      </c>
      <c r="BK538" s="18" t="s">
        <v>16844</v>
      </c>
      <c r="BN538" s="18" t="s">
        <v>179</v>
      </c>
      <c r="BO538" s="18" t="s">
        <v>16602</v>
      </c>
      <c r="BP538" s="18" t="s">
        <v>138</v>
      </c>
      <c r="BS538" s="15" t="s">
        <v>16845</v>
      </c>
      <c r="DH538" s="15" t="s">
        <v>17982</v>
      </c>
      <c r="DI538" s="15" t="s">
        <v>17982</v>
      </c>
    </row>
    <row r="539" spans="1:113" s="15" customFormat="1" ht="12.75" x14ac:dyDescent="0.2">
      <c r="A539" s="15" t="s">
        <v>109</v>
      </c>
      <c r="B539" s="15" t="s">
        <v>110</v>
      </c>
      <c r="D539" s="15" t="s">
        <v>159</v>
      </c>
      <c r="E539" s="15" t="s">
        <v>112</v>
      </c>
      <c r="F539" s="15" t="s">
        <v>159</v>
      </c>
      <c r="G539" s="15" t="s">
        <v>113</v>
      </c>
      <c r="H539" s="15" t="s">
        <v>383</v>
      </c>
      <c r="J539" s="16" t="s">
        <v>114</v>
      </c>
      <c r="U539" s="15" t="s">
        <v>17977</v>
      </c>
      <c r="W539" s="15">
        <v>3509</v>
      </c>
      <c r="X539" s="15">
        <v>549</v>
      </c>
      <c r="Y539" s="15" t="s">
        <v>160</v>
      </c>
      <c r="Z539" s="15" t="s">
        <v>161</v>
      </c>
      <c r="AA539" s="15" t="s">
        <v>162</v>
      </c>
      <c r="AB539" s="15" t="s">
        <v>17018</v>
      </c>
      <c r="AC539" s="15" t="s">
        <v>17018</v>
      </c>
      <c r="AD539" s="15" t="s">
        <v>17018</v>
      </c>
      <c r="AE539" s="15" t="s">
        <v>164</v>
      </c>
      <c r="AF539" s="15" t="s">
        <v>17018</v>
      </c>
      <c r="AG539" s="15" t="s">
        <v>17018</v>
      </c>
      <c r="AH539" s="15" t="s">
        <v>17019</v>
      </c>
      <c r="AL539" s="15" t="s">
        <v>17020</v>
      </c>
      <c r="AN539" s="15">
        <v>743</v>
      </c>
      <c r="AO539" s="15" t="s">
        <v>17021</v>
      </c>
      <c r="AQ539" s="17" t="s">
        <v>388</v>
      </c>
      <c r="AT539" s="15" t="s">
        <v>17013</v>
      </c>
      <c r="AU539" s="18" t="s">
        <v>17022</v>
      </c>
      <c r="AV539" s="18" t="s">
        <v>17022</v>
      </c>
      <c r="AW539" s="15" t="s">
        <v>17023</v>
      </c>
      <c r="AX539" s="15" t="s">
        <v>17024</v>
      </c>
      <c r="AY539" s="15">
        <f t="shared" si="10"/>
        <v>59</v>
      </c>
      <c r="AZ539" s="18" t="s">
        <v>393</v>
      </c>
      <c r="BA539" s="18" t="s">
        <v>174</v>
      </c>
      <c r="BB539" s="18" t="s">
        <v>11740</v>
      </c>
      <c r="BE539" s="18" t="s">
        <v>1582</v>
      </c>
      <c r="BJ539" s="18" t="s">
        <v>17025</v>
      </c>
      <c r="BK539" s="18" t="s">
        <v>16813</v>
      </c>
      <c r="BN539" s="18" t="s">
        <v>179</v>
      </c>
      <c r="BO539" s="18" t="s">
        <v>16602</v>
      </c>
      <c r="BP539" s="18" t="s">
        <v>138</v>
      </c>
      <c r="BS539" s="15" t="s">
        <v>17026</v>
      </c>
      <c r="DH539" s="15" t="s">
        <v>17982</v>
      </c>
      <c r="DI539" s="15" t="s">
        <v>17982</v>
      </c>
    </row>
    <row r="540" spans="1:113" s="15" customFormat="1" ht="12.75" x14ac:dyDescent="0.2">
      <c r="A540" s="15" t="s">
        <v>109</v>
      </c>
      <c r="B540" s="15" t="s">
        <v>110</v>
      </c>
      <c r="D540" s="15" t="s">
        <v>159</v>
      </c>
      <c r="E540" s="15" t="s">
        <v>112</v>
      </c>
      <c r="F540" s="15" t="s">
        <v>159</v>
      </c>
      <c r="G540" s="15" t="s">
        <v>113</v>
      </c>
      <c r="H540" s="15" t="s">
        <v>383</v>
      </c>
      <c r="J540" s="16" t="s">
        <v>114</v>
      </c>
      <c r="U540" s="15" t="s">
        <v>17977</v>
      </c>
      <c r="W540" s="15">
        <v>3508</v>
      </c>
      <c r="X540" s="15">
        <v>550</v>
      </c>
      <c r="Y540" s="15" t="s">
        <v>160</v>
      </c>
      <c r="Z540" s="15" t="s">
        <v>161</v>
      </c>
      <c r="AA540" s="15" t="s">
        <v>162</v>
      </c>
      <c r="AB540" s="15" t="s">
        <v>17008</v>
      </c>
      <c r="AC540" s="15" t="s">
        <v>17008</v>
      </c>
      <c r="AD540" s="15" t="s">
        <v>17009</v>
      </c>
      <c r="AE540" s="15" t="s">
        <v>164</v>
      </c>
      <c r="AF540" s="15" t="s">
        <v>17009</v>
      </c>
      <c r="AG540" s="15" t="s">
        <v>17008</v>
      </c>
      <c r="AH540" s="15" t="s">
        <v>17010</v>
      </c>
      <c r="AL540" s="15" t="s">
        <v>17011</v>
      </c>
      <c r="AN540" s="15">
        <v>743</v>
      </c>
      <c r="AO540" s="15" t="s">
        <v>17012</v>
      </c>
      <c r="AQ540" s="17" t="s">
        <v>388</v>
      </c>
      <c r="AT540" s="15" t="s">
        <v>17013</v>
      </c>
      <c r="AU540" s="18" t="s">
        <v>17014</v>
      </c>
      <c r="AV540" s="18" t="s">
        <v>17014</v>
      </c>
      <c r="AW540" s="15" t="s">
        <v>17015</v>
      </c>
      <c r="AX540" s="15" t="s">
        <v>17016</v>
      </c>
      <c r="AY540" s="15">
        <f t="shared" si="10"/>
        <v>59</v>
      </c>
      <c r="AZ540" s="18" t="s">
        <v>393</v>
      </c>
      <c r="BA540" s="18" t="s">
        <v>174</v>
      </c>
      <c r="BB540" s="18" t="s">
        <v>11740</v>
      </c>
      <c r="BE540" s="18" t="s">
        <v>1582</v>
      </c>
      <c r="BJ540" s="18" t="s">
        <v>16915</v>
      </c>
      <c r="BK540" s="18" t="s">
        <v>16813</v>
      </c>
      <c r="BN540" s="18" t="s">
        <v>179</v>
      </c>
      <c r="BO540" s="18" t="s">
        <v>16602</v>
      </c>
      <c r="BP540" s="18" t="s">
        <v>138</v>
      </c>
      <c r="BS540" s="15" t="s">
        <v>17017</v>
      </c>
      <c r="DH540" s="15" t="s">
        <v>17982</v>
      </c>
      <c r="DI540" s="15" t="s">
        <v>17982</v>
      </c>
    </row>
    <row r="541" spans="1:113" s="15" customFormat="1" ht="12.75" x14ac:dyDescent="0.2">
      <c r="A541" s="15" t="s">
        <v>109</v>
      </c>
      <c r="B541" s="15" t="s">
        <v>110</v>
      </c>
      <c r="D541" s="15" t="s">
        <v>159</v>
      </c>
      <c r="E541" s="15" t="s">
        <v>112</v>
      </c>
      <c r="F541" s="15" t="s">
        <v>159</v>
      </c>
      <c r="G541" s="15" t="s">
        <v>113</v>
      </c>
      <c r="H541" s="15" t="s">
        <v>383</v>
      </c>
      <c r="J541" s="16" t="s">
        <v>114</v>
      </c>
      <c r="U541" s="15" t="s">
        <v>17977</v>
      </c>
      <c r="W541" s="15">
        <v>2381</v>
      </c>
      <c r="X541" s="15">
        <v>551</v>
      </c>
      <c r="Y541" s="15" t="s">
        <v>160</v>
      </c>
      <c r="Z541" s="15" t="s">
        <v>161</v>
      </c>
      <c r="AA541" s="15" t="s">
        <v>162</v>
      </c>
      <c r="AB541" s="15" t="s">
        <v>11751</v>
      </c>
      <c r="AC541" s="15" t="s">
        <v>11751</v>
      </c>
      <c r="AD541" s="15" t="s">
        <v>11752</v>
      </c>
      <c r="AE541" s="15" t="s">
        <v>164</v>
      </c>
      <c r="AF541" s="15" t="s">
        <v>11752</v>
      </c>
      <c r="AG541" s="15" t="s">
        <v>11751</v>
      </c>
      <c r="AH541" s="47" t="s">
        <v>11753</v>
      </c>
      <c r="AL541" s="15" t="s">
        <v>11754</v>
      </c>
      <c r="AN541" s="15">
        <v>743</v>
      </c>
      <c r="AO541" s="15" t="s">
        <v>11755</v>
      </c>
      <c r="AQ541" s="17" t="s">
        <v>388</v>
      </c>
      <c r="AT541" s="15" t="s">
        <v>11756</v>
      </c>
      <c r="AU541" s="18" t="s">
        <v>11757</v>
      </c>
      <c r="AV541" s="18" t="s">
        <v>11757</v>
      </c>
      <c r="AW541" s="15" t="s">
        <v>11758</v>
      </c>
      <c r="AX541" s="15" t="s">
        <v>11759</v>
      </c>
      <c r="AY541" s="15">
        <f t="shared" si="10"/>
        <v>60</v>
      </c>
      <c r="AZ541" s="18" t="s">
        <v>393</v>
      </c>
      <c r="BA541" s="18" t="s">
        <v>174</v>
      </c>
      <c r="BB541" s="18" t="s">
        <v>11760</v>
      </c>
      <c r="BE541" s="18" t="s">
        <v>8970</v>
      </c>
      <c r="BJ541" s="18" t="s">
        <v>11761</v>
      </c>
      <c r="BN541" s="18" t="s">
        <v>179</v>
      </c>
      <c r="BP541" s="18" t="s">
        <v>138</v>
      </c>
      <c r="BS541" s="15" t="s">
        <v>11762</v>
      </c>
      <c r="DH541" s="15" t="s">
        <v>17982</v>
      </c>
      <c r="DI541" s="15" t="s">
        <v>17982</v>
      </c>
    </row>
    <row r="542" spans="1:113" s="15" customFormat="1" ht="12.75" x14ac:dyDescent="0.2">
      <c r="A542" s="15" t="s">
        <v>109</v>
      </c>
      <c r="B542" s="15" t="s">
        <v>110</v>
      </c>
      <c r="D542" s="15" t="s">
        <v>159</v>
      </c>
      <c r="E542" s="15" t="s">
        <v>112</v>
      </c>
      <c r="F542" s="15" t="s">
        <v>159</v>
      </c>
      <c r="G542" s="15" t="s">
        <v>113</v>
      </c>
      <c r="H542" s="15" t="s">
        <v>383</v>
      </c>
      <c r="J542" s="16" t="s">
        <v>114</v>
      </c>
      <c r="U542" s="15" t="s">
        <v>17977</v>
      </c>
      <c r="W542" s="15">
        <v>2379</v>
      </c>
      <c r="X542" s="15">
        <v>552</v>
      </c>
      <c r="Y542" s="15" t="s">
        <v>160</v>
      </c>
      <c r="Z542" s="15" t="s">
        <v>161</v>
      </c>
      <c r="AA542" s="15" t="s">
        <v>162</v>
      </c>
      <c r="AB542" s="15" t="s">
        <v>11733</v>
      </c>
      <c r="AC542" s="15" t="s">
        <v>11733</v>
      </c>
      <c r="AD542" s="15" t="s">
        <v>11733</v>
      </c>
      <c r="AE542" s="15" t="s">
        <v>164</v>
      </c>
      <c r="AF542" s="15" t="s">
        <v>11733</v>
      </c>
      <c r="AG542" s="15" t="s">
        <v>11733</v>
      </c>
      <c r="AH542" s="15" t="s">
        <v>11734</v>
      </c>
      <c r="AL542" s="15" t="s">
        <v>11735</v>
      </c>
      <c r="AN542" s="15">
        <v>743</v>
      </c>
      <c r="AO542" s="15" t="s">
        <v>11736</v>
      </c>
      <c r="AQ542" s="17" t="s">
        <v>388</v>
      </c>
      <c r="AT542" s="15" t="s">
        <v>11737</v>
      </c>
      <c r="AU542" s="18" t="s">
        <v>11738</v>
      </c>
      <c r="AV542" s="18" t="s">
        <v>11738</v>
      </c>
      <c r="AW542" s="15" t="s">
        <v>11739</v>
      </c>
      <c r="AX542" s="15" t="s">
        <v>11739</v>
      </c>
      <c r="AY542" s="15">
        <f t="shared" si="10"/>
        <v>60</v>
      </c>
      <c r="AZ542" s="18" t="s">
        <v>393</v>
      </c>
      <c r="BA542" s="18" t="s">
        <v>174</v>
      </c>
      <c r="BB542" s="18" t="s">
        <v>11740</v>
      </c>
      <c r="BE542" s="18" t="s">
        <v>564</v>
      </c>
      <c r="BJ542" s="18" t="s">
        <v>11741</v>
      </c>
      <c r="BN542" s="18" t="s">
        <v>179</v>
      </c>
      <c r="BP542" s="18" t="s">
        <v>138</v>
      </c>
      <c r="BS542" s="15" t="s">
        <v>11742</v>
      </c>
      <c r="DH542" s="15" t="s">
        <v>17982</v>
      </c>
      <c r="DI542" s="15" t="s">
        <v>17982</v>
      </c>
    </row>
    <row r="543" spans="1:113" s="15" customFormat="1" ht="12.75" x14ac:dyDescent="0.2">
      <c r="A543" s="15" t="s">
        <v>109</v>
      </c>
      <c r="B543" s="15" t="s">
        <v>110</v>
      </c>
      <c r="D543" s="15" t="s">
        <v>159</v>
      </c>
      <c r="E543" s="15" t="s">
        <v>112</v>
      </c>
      <c r="F543" s="15" t="s">
        <v>159</v>
      </c>
      <c r="G543" s="15" t="s">
        <v>113</v>
      </c>
      <c r="H543" s="15" t="s">
        <v>383</v>
      </c>
      <c r="J543" s="16" t="s">
        <v>114</v>
      </c>
      <c r="U543" s="15" t="s">
        <v>17977</v>
      </c>
      <c r="W543" s="15">
        <v>2380</v>
      </c>
      <c r="X543" s="15">
        <v>553</v>
      </c>
      <c r="Y543" s="15" t="s">
        <v>160</v>
      </c>
      <c r="Z543" s="15" t="s">
        <v>161</v>
      </c>
      <c r="AA543" s="15" t="s">
        <v>162</v>
      </c>
      <c r="AB543" s="15" t="s">
        <v>11743</v>
      </c>
      <c r="AC543" s="15" t="s">
        <v>11743</v>
      </c>
      <c r="AD543" s="15" t="s">
        <v>11743</v>
      </c>
      <c r="AE543" s="15" t="s">
        <v>164</v>
      </c>
      <c r="AF543" s="15" t="s">
        <v>11743</v>
      </c>
      <c r="AG543" s="15" t="s">
        <v>11743</v>
      </c>
      <c r="AH543" s="47" t="s">
        <v>11744</v>
      </c>
      <c r="AL543" s="15" t="s">
        <v>11745</v>
      </c>
      <c r="AN543" s="15">
        <v>743</v>
      </c>
      <c r="AO543" s="15" t="s">
        <v>11746</v>
      </c>
      <c r="AQ543" s="17" t="s">
        <v>388</v>
      </c>
      <c r="AT543" s="15" t="s">
        <v>11737</v>
      </c>
      <c r="AU543" s="18" t="s">
        <v>11747</v>
      </c>
      <c r="AV543" s="18" t="s">
        <v>11747</v>
      </c>
      <c r="AW543" s="15" t="s">
        <v>11748</v>
      </c>
      <c r="AX543" s="15" t="s">
        <v>11749</v>
      </c>
      <c r="AY543" s="15">
        <f t="shared" si="10"/>
        <v>59</v>
      </c>
      <c r="AZ543" s="18" t="s">
        <v>393</v>
      </c>
      <c r="BA543" s="18" t="s">
        <v>174</v>
      </c>
      <c r="BB543" s="18" t="s">
        <v>11740</v>
      </c>
      <c r="BE543" s="18" t="s">
        <v>3332</v>
      </c>
      <c r="BJ543" s="18" t="s">
        <v>11741</v>
      </c>
      <c r="BN543" s="18" t="s">
        <v>179</v>
      </c>
      <c r="BP543" s="18" t="s">
        <v>138</v>
      </c>
      <c r="BS543" s="15" t="s">
        <v>11750</v>
      </c>
      <c r="DH543" s="15" t="s">
        <v>17982</v>
      </c>
      <c r="DI543" s="15" t="s">
        <v>17982</v>
      </c>
    </row>
    <row r="544" spans="1:113" s="15" customFormat="1" ht="12.75" x14ac:dyDescent="0.2">
      <c r="A544" s="15" t="s">
        <v>109</v>
      </c>
      <c r="B544" s="15" t="s">
        <v>110</v>
      </c>
      <c r="D544" s="15" t="s">
        <v>159</v>
      </c>
      <c r="E544" s="15" t="s">
        <v>112</v>
      </c>
      <c r="F544" s="15" t="s">
        <v>159</v>
      </c>
      <c r="G544" s="15" t="s">
        <v>113</v>
      </c>
      <c r="H544" s="15" t="s">
        <v>383</v>
      </c>
      <c r="J544" s="16" t="s">
        <v>114</v>
      </c>
      <c r="U544" s="15" t="s">
        <v>17977</v>
      </c>
      <c r="W544" s="15">
        <v>2254</v>
      </c>
      <c r="X544" s="15">
        <v>554</v>
      </c>
      <c r="Y544" s="15" t="s">
        <v>160</v>
      </c>
      <c r="Z544" s="15" t="s">
        <v>161</v>
      </c>
      <c r="AA544" s="15" t="s">
        <v>162</v>
      </c>
      <c r="AB544" s="15" t="s">
        <v>11218</v>
      </c>
      <c r="AC544" s="15" t="s">
        <v>11218</v>
      </c>
      <c r="AD544" s="15" t="s">
        <v>11218</v>
      </c>
      <c r="AE544" s="15" t="s">
        <v>164</v>
      </c>
      <c r="AF544" s="15" t="s">
        <v>11218</v>
      </c>
      <c r="AG544" s="15" t="s">
        <v>11218</v>
      </c>
      <c r="AH544" s="15" t="s">
        <v>11219</v>
      </c>
      <c r="AL544" s="15" t="s">
        <v>11220</v>
      </c>
      <c r="AN544" s="15">
        <v>743</v>
      </c>
      <c r="AO544" s="15" t="s">
        <v>11221</v>
      </c>
      <c r="AQ544" s="17" t="s">
        <v>388</v>
      </c>
      <c r="AT544" s="15" t="s">
        <v>11172</v>
      </c>
      <c r="AU544" s="18" t="s">
        <v>11222</v>
      </c>
      <c r="AV544" s="18" t="s">
        <v>11222</v>
      </c>
      <c r="AW544" s="15" t="s">
        <v>11223</v>
      </c>
      <c r="AX544" s="15" t="s">
        <v>11224</v>
      </c>
      <c r="AY544" s="15">
        <f t="shared" si="10"/>
        <v>58</v>
      </c>
      <c r="AZ544" s="18" t="s">
        <v>393</v>
      </c>
      <c r="BA544" s="18" t="s">
        <v>174</v>
      </c>
      <c r="BB544" s="18" t="s">
        <v>3627</v>
      </c>
      <c r="BE544" s="18" t="s">
        <v>11225</v>
      </c>
      <c r="BJ544" s="18" t="s">
        <v>11216</v>
      </c>
      <c r="BN544" s="18" t="s">
        <v>179</v>
      </c>
      <c r="BP544" s="18" t="s">
        <v>138</v>
      </c>
      <c r="BS544" s="15" t="s">
        <v>11226</v>
      </c>
      <c r="DH544" s="15" t="s">
        <v>17982</v>
      </c>
      <c r="DI544" s="15" t="s">
        <v>17982</v>
      </c>
    </row>
    <row r="545" spans="1:113" s="15" customFormat="1" ht="12.75" x14ac:dyDescent="0.2">
      <c r="A545" s="15" t="s">
        <v>109</v>
      </c>
      <c r="B545" s="15" t="s">
        <v>110</v>
      </c>
      <c r="D545" s="15" t="s">
        <v>159</v>
      </c>
      <c r="E545" s="15" t="s">
        <v>112</v>
      </c>
      <c r="F545" s="15" t="s">
        <v>159</v>
      </c>
      <c r="G545" s="15" t="s">
        <v>113</v>
      </c>
      <c r="H545" s="15" t="s">
        <v>383</v>
      </c>
      <c r="J545" s="16" t="s">
        <v>114</v>
      </c>
      <c r="U545" s="15" t="s">
        <v>17977</v>
      </c>
      <c r="W545" s="15">
        <v>2253</v>
      </c>
      <c r="X545" s="15">
        <v>555</v>
      </c>
      <c r="Y545" s="15" t="s">
        <v>160</v>
      </c>
      <c r="Z545" s="15" t="s">
        <v>161</v>
      </c>
      <c r="AA545" s="15" t="s">
        <v>162</v>
      </c>
      <c r="AB545" s="15" t="s">
        <v>11208</v>
      </c>
      <c r="AC545" s="15" t="s">
        <v>11208</v>
      </c>
      <c r="AD545" s="15" t="s">
        <v>11208</v>
      </c>
      <c r="AE545" s="15" t="s">
        <v>164</v>
      </c>
      <c r="AF545" s="15" t="s">
        <v>11208</v>
      </c>
      <c r="AG545" s="15" t="s">
        <v>11208</v>
      </c>
      <c r="AH545" s="15" t="s">
        <v>11209</v>
      </c>
      <c r="AI545" s="15">
        <v>42291614</v>
      </c>
      <c r="AK545" s="15" t="s">
        <v>11210</v>
      </c>
      <c r="AL545" s="15" t="s">
        <v>11211</v>
      </c>
      <c r="AN545" s="15">
        <v>743</v>
      </c>
      <c r="AO545" s="15" t="s">
        <v>11212</v>
      </c>
      <c r="AQ545" s="17" t="s">
        <v>388</v>
      </c>
      <c r="AT545" s="15" t="s">
        <v>11172</v>
      </c>
      <c r="AU545" s="18" t="s">
        <v>11213</v>
      </c>
      <c r="AV545" s="18" t="s">
        <v>11213</v>
      </c>
      <c r="AW545" s="15" t="s">
        <v>11214</v>
      </c>
      <c r="AX545" s="15" t="s">
        <v>11215</v>
      </c>
      <c r="AY545" s="15">
        <f t="shared" si="10"/>
        <v>58</v>
      </c>
      <c r="AZ545" s="18" t="s">
        <v>393</v>
      </c>
      <c r="BA545" s="18" t="s">
        <v>174</v>
      </c>
      <c r="BB545" s="18" t="s">
        <v>3627</v>
      </c>
      <c r="BE545" s="18" t="s">
        <v>275</v>
      </c>
      <c r="BJ545" s="18" t="s">
        <v>11216</v>
      </c>
      <c r="BN545" s="18" t="s">
        <v>179</v>
      </c>
      <c r="BP545" s="18" t="s">
        <v>138</v>
      </c>
      <c r="BS545" s="15" t="s">
        <v>11217</v>
      </c>
      <c r="DH545" s="15" t="s">
        <v>17982</v>
      </c>
      <c r="DI545" s="15" t="s">
        <v>17982</v>
      </c>
    </row>
    <row r="546" spans="1:113" s="15" customFormat="1" ht="12.75" x14ac:dyDescent="0.2">
      <c r="A546" s="15" t="s">
        <v>109</v>
      </c>
      <c r="B546" s="15" t="s">
        <v>110</v>
      </c>
      <c r="D546" s="15" t="s">
        <v>159</v>
      </c>
      <c r="E546" s="15" t="s">
        <v>112</v>
      </c>
      <c r="F546" s="15" t="s">
        <v>159</v>
      </c>
      <c r="G546" s="15" t="s">
        <v>113</v>
      </c>
      <c r="H546" s="15" t="s">
        <v>383</v>
      </c>
      <c r="J546" s="16" t="s">
        <v>114</v>
      </c>
      <c r="U546" s="15" t="s">
        <v>17977</v>
      </c>
      <c r="W546" s="15">
        <v>2248</v>
      </c>
      <c r="X546" s="15">
        <v>556</v>
      </c>
      <c r="Y546" s="15" t="s">
        <v>160</v>
      </c>
      <c r="Z546" s="15" t="s">
        <v>161</v>
      </c>
      <c r="AA546" s="15" t="s">
        <v>162</v>
      </c>
      <c r="AB546" s="15" t="s">
        <v>11167</v>
      </c>
      <c r="AC546" s="15" t="s">
        <v>11167</v>
      </c>
      <c r="AD546" s="15" t="s">
        <v>11168</v>
      </c>
      <c r="AE546" s="15" t="s">
        <v>164</v>
      </c>
      <c r="AF546" s="15" t="s">
        <v>11168</v>
      </c>
      <c r="AG546" s="15" t="s">
        <v>11167</v>
      </c>
      <c r="AH546" s="15" t="s">
        <v>11169</v>
      </c>
      <c r="AL546" s="15" t="s">
        <v>11170</v>
      </c>
      <c r="AN546" s="15">
        <v>743</v>
      </c>
      <c r="AO546" s="15" t="s">
        <v>11171</v>
      </c>
      <c r="AQ546" s="17" t="s">
        <v>388</v>
      </c>
      <c r="AT546" s="15" t="s">
        <v>11172</v>
      </c>
      <c r="AU546" s="18" t="s">
        <v>11173</v>
      </c>
      <c r="AV546" s="18" t="s">
        <v>11173</v>
      </c>
      <c r="AW546" s="15" t="s">
        <v>11174</v>
      </c>
      <c r="AX546" s="15" t="s">
        <v>11175</v>
      </c>
      <c r="AY546" s="15">
        <f t="shared" si="10"/>
        <v>56</v>
      </c>
      <c r="AZ546" s="18" t="s">
        <v>393</v>
      </c>
      <c r="BA546" s="18" t="s">
        <v>174</v>
      </c>
      <c r="BB546" s="18" t="s">
        <v>3627</v>
      </c>
      <c r="BE546" s="18" t="s">
        <v>275</v>
      </c>
      <c r="BF546" s="18" t="s">
        <v>11176</v>
      </c>
      <c r="BJ546" s="18" t="s">
        <v>11177</v>
      </c>
      <c r="BN546" s="18" t="s">
        <v>179</v>
      </c>
      <c r="BP546" s="18" t="s">
        <v>138</v>
      </c>
      <c r="BS546" s="15" t="s">
        <v>11178</v>
      </c>
      <c r="DH546" s="15" t="s">
        <v>17982</v>
      </c>
      <c r="DI546" s="15" t="s">
        <v>17982</v>
      </c>
    </row>
    <row r="547" spans="1:113" s="15" customFormat="1" ht="12.75" x14ac:dyDescent="0.2">
      <c r="A547" s="15" t="s">
        <v>109</v>
      </c>
      <c r="B547" s="15" t="s">
        <v>110</v>
      </c>
      <c r="D547" s="15" t="s">
        <v>159</v>
      </c>
      <c r="E547" s="15" t="s">
        <v>112</v>
      </c>
      <c r="F547" s="15" t="s">
        <v>159</v>
      </c>
      <c r="G547" s="15" t="s">
        <v>113</v>
      </c>
      <c r="H547" s="15" t="s">
        <v>383</v>
      </c>
      <c r="J547" s="16" t="s">
        <v>114</v>
      </c>
      <c r="U547" s="15" t="s">
        <v>17977</v>
      </c>
      <c r="W547" s="15">
        <v>3135</v>
      </c>
      <c r="X547" s="15">
        <v>557</v>
      </c>
      <c r="Y547" s="15" t="s">
        <v>160</v>
      </c>
      <c r="Z547" s="15" t="s">
        <v>161</v>
      </c>
      <c r="AA547" s="15" t="s">
        <v>162</v>
      </c>
      <c r="AB547" s="15" t="s">
        <v>15091</v>
      </c>
      <c r="AC547" s="15" t="s">
        <v>15091</v>
      </c>
      <c r="AD547" s="15" t="s">
        <v>15092</v>
      </c>
      <c r="AE547" s="15" t="s">
        <v>164</v>
      </c>
      <c r="AF547" s="15" t="s">
        <v>15092</v>
      </c>
      <c r="AG547" s="15" t="s">
        <v>15091</v>
      </c>
      <c r="AH547" s="15" t="s">
        <v>15093</v>
      </c>
      <c r="AI547" s="15">
        <v>42291614</v>
      </c>
      <c r="AK547" s="15" t="s">
        <v>11210</v>
      </c>
      <c r="AL547" s="15" t="s">
        <v>15094</v>
      </c>
      <c r="AN547" s="15">
        <v>743</v>
      </c>
      <c r="AO547" s="15" t="s">
        <v>15095</v>
      </c>
      <c r="AQ547" s="17" t="s">
        <v>388</v>
      </c>
      <c r="AT547" s="15" t="s">
        <v>15096</v>
      </c>
      <c r="AU547" s="18" t="s">
        <v>15097</v>
      </c>
      <c r="AV547" s="18" t="s">
        <v>15097</v>
      </c>
      <c r="AW547" s="15" t="s">
        <v>15098</v>
      </c>
      <c r="AX547" s="15" t="s">
        <v>15099</v>
      </c>
      <c r="AY547" s="15">
        <f t="shared" si="10"/>
        <v>59</v>
      </c>
      <c r="AZ547" s="18" t="s">
        <v>393</v>
      </c>
      <c r="BA547" s="18" t="s">
        <v>174</v>
      </c>
      <c r="BB547" s="18" t="s">
        <v>15100</v>
      </c>
      <c r="BE547" s="18" t="s">
        <v>1754</v>
      </c>
      <c r="BJ547" s="18" t="s">
        <v>15101</v>
      </c>
      <c r="BN547" s="18" t="s">
        <v>179</v>
      </c>
      <c r="BP547" s="18" t="s">
        <v>138</v>
      </c>
      <c r="BS547" s="15" t="s">
        <v>15102</v>
      </c>
      <c r="DH547" s="15" t="s">
        <v>17982</v>
      </c>
      <c r="DI547" s="15" t="s">
        <v>17982</v>
      </c>
    </row>
    <row r="548" spans="1:113" s="15" customFormat="1" ht="12.75" x14ac:dyDescent="0.2">
      <c r="A548" s="15" t="s">
        <v>109</v>
      </c>
      <c r="B548" s="15" t="s">
        <v>110</v>
      </c>
      <c r="D548" s="15" t="s">
        <v>159</v>
      </c>
      <c r="E548" s="15" t="s">
        <v>112</v>
      </c>
      <c r="F548" s="15" t="s">
        <v>159</v>
      </c>
      <c r="G548" s="15" t="s">
        <v>113</v>
      </c>
      <c r="H548" s="15" t="s">
        <v>383</v>
      </c>
      <c r="J548" s="16" t="s">
        <v>114</v>
      </c>
      <c r="U548" s="15" t="s">
        <v>17977</v>
      </c>
      <c r="W548" s="15">
        <v>808</v>
      </c>
      <c r="X548" s="15">
        <v>558</v>
      </c>
      <c r="Y548" s="15" t="s">
        <v>160</v>
      </c>
      <c r="Z548" s="15" t="s">
        <v>161</v>
      </c>
      <c r="AA548" s="15" t="s">
        <v>162</v>
      </c>
      <c r="AB548" s="15" t="s">
        <v>3462</v>
      </c>
      <c r="AC548" s="15" t="s">
        <v>3462</v>
      </c>
      <c r="AD548" s="15" t="s">
        <v>3462</v>
      </c>
      <c r="AE548" s="15" t="s">
        <v>164</v>
      </c>
      <c r="AF548" s="15" t="s">
        <v>3462</v>
      </c>
      <c r="AG548" s="15" t="s">
        <v>3462</v>
      </c>
      <c r="AH548" s="15" t="s">
        <v>3463</v>
      </c>
      <c r="AL548" s="15" t="s">
        <v>3464</v>
      </c>
      <c r="AN548" s="15">
        <v>743</v>
      </c>
      <c r="AO548" s="15" t="s">
        <v>3465</v>
      </c>
      <c r="AQ548" s="17" t="s">
        <v>388</v>
      </c>
      <c r="AT548" s="15" t="s">
        <v>3466</v>
      </c>
      <c r="AU548" s="18" t="s">
        <v>3467</v>
      </c>
      <c r="AV548" s="18" t="s">
        <v>3467</v>
      </c>
      <c r="AW548" s="15" t="s">
        <v>3468</v>
      </c>
      <c r="AX548" s="15" t="s">
        <v>3469</v>
      </c>
      <c r="AY548" s="15">
        <f t="shared" si="10"/>
        <v>60</v>
      </c>
      <c r="AZ548" s="18" t="s">
        <v>393</v>
      </c>
      <c r="BA548" s="18" t="s">
        <v>174</v>
      </c>
      <c r="BB548" s="18" t="s">
        <v>3430</v>
      </c>
      <c r="BE548" s="18" t="s">
        <v>1528</v>
      </c>
      <c r="BJ548" s="18" t="s">
        <v>3470</v>
      </c>
      <c r="BN548" s="18" t="s">
        <v>179</v>
      </c>
      <c r="BP548" s="18" t="s">
        <v>138</v>
      </c>
      <c r="BS548" s="15" t="s">
        <v>3471</v>
      </c>
      <c r="DH548" s="15" t="s">
        <v>17982</v>
      </c>
      <c r="DI548" s="15" t="s">
        <v>17982</v>
      </c>
    </row>
    <row r="549" spans="1:113" s="15" customFormat="1" ht="12.75" x14ac:dyDescent="0.2">
      <c r="A549" s="15" t="s">
        <v>109</v>
      </c>
      <c r="B549" s="15" t="s">
        <v>110</v>
      </c>
      <c r="D549" s="15" t="s">
        <v>159</v>
      </c>
      <c r="E549" s="15" t="s">
        <v>112</v>
      </c>
      <c r="F549" s="15" t="s">
        <v>159</v>
      </c>
      <c r="G549" s="15" t="s">
        <v>113</v>
      </c>
      <c r="H549" s="15" t="s">
        <v>383</v>
      </c>
      <c r="J549" s="16" t="s">
        <v>114</v>
      </c>
      <c r="U549" s="15" t="s">
        <v>17977</v>
      </c>
      <c r="W549" s="15">
        <v>3154</v>
      </c>
      <c r="X549" s="15">
        <v>559</v>
      </c>
      <c r="Y549" s="15" t="s">
        <v>160</v>
      </c>
      <c r="Z549" s="15" t="s">
        <v>161</v>
      </c>
      <c r="AA549" s="15" t="s">
        <v>162</v>
      </c>
      <c r="AB549" s="15" t="s">
        <v>15185</v>
      </c>
      <c r="AC549" s="15" t="s">
        <v>15185</v>
      </c>
      <c r="AD549" s="15" t="s">
        <v>15185</v>
      </c>
      <c r="AE549" s="15" t="s">
        <v>164</v>
      </c>
      <c r="AF549" s="15" t="s">
        <v>15185</v>
      </c>
      <c r="AG549" s="15" t="s">
        <v>15185</v>
      </c>
      <c r="AH549" s="15" t="s">
        <v>15186</v>
      </c>
      <c r="AL549" s="15" t="s">
        <v>15187</v>
      </c>
      <c r="AN549" s="15">
        <v>743</v>
      </c>
      <c r="AO549" s="15" t="s">
        <v>15188</v>
      </c>
      <c r="AQ549" s="17" t="s">
        <v>388</v>
      </c>
      <c r="AT549" s="15" t="s">
        <v>15189</v>
      </c>
      <c r="AU549" s="18" t="s">
        <v>15190</v>
      </c>
      <c r="AV549" s="18" t="s">
        <v>15190</v>
      </c>
      <c r="AW549" s="15" t="s">
        <v>15191</v>
      </c>
      <c r="AX549" s="15" t="s">
        <v>15192</v>
      </c>
      <c r="AY549" s="15">
        <f t="shared" si="10"/>
        <v>57</v>
      </c>
      <c r="AZ549" s="18" t="s">
        <v>393</v>
      </c>
      <c r="BA549" s="18" t="s">
        <v>174</v>
      </c>
      <c r="BB549" s="18" t="s">
        <v>15193</v>
      </c>
      <c r="BE549" s="18" t="s">
        <v>348</v>
      </c>
      <c r="BI549" s="18" t="s">
        <v>15194</v>
      </c>
      <c r="BJ549" s="18" t="s">
        <v>15195</v>
      </c>
      <c r="BN549" s="18" t="s">
        <v>179</v>
      </c>
      <c r="BP549" s="18" t="s">
        <v>138</v>
      </c>
      <c r="BS549" s="15" t="s">
        <v>15196</v>
      </c>
      <c r="DH549" s="15" t="s">
        <v>17982</v>
      </c>
      <c r="DI549" s="15" t="s">
        <v>17982</v>
      </c>
    </row>
    <row r="550" spans="1:113" s="15" customFormat="1" ht="12.75" x14ac:dyDescent="0.2">
      <c r="A550" s="15" t="s">
        <v>109</v>
      </c>
      <c r="B550" s="15" t="s">
        <v>110</v>
      </c>
      <c r="D550" s="15" t="s">
        <v>159</v>
      </c>
      <c r="E550" s="15" t="s">
        <v>112</v>
      </c>
      <c r="F550" s="15" t="s">
        <v>159</v>
      </c>
      <c r="G550" s="15" t="s">
        <v>113</v>
      </c>
      <c r="H550" s="15" t="s">
        <v>383</v>
      </c>
      <c r="J550" s="16" t="s">
        <v>114</v>
      </c>
      <c r="U550" s="15" t="s">
        <v>17977</v>
      </c>
      <c r="W550" s="15">
        <v>2171</v>
      </c>
      <c r="X550" s="15">
        <v>560</v>
      </c>
      <c r="Y550" s="15" t="s">
        <v>160</v>
      </c>
      <c r="Z550" s="15" t="s">
        <v>161</v>
      </c>
      <c r="AA550" s="15" t="s">
        <v>162</v>
      </c>
      <c r="AB550" s="15" t="s">
        <v>10985</v>
      </c>
      <c r="AC550" s="15" t="s">
        <v>10985</v>
      </c>
      <c r="AD550" s="15" t="s">
        <v>10985</v>
      </c>
      <c r="AE550" s="15" t="s">
        <v>164</v>
      </c>
      <c r="AF550" s="15" t="s">
        <v>10985</v>
      </c>
      <c r="AG550" s="15" t="s">
        <v>10985</v>
      </c>
      <c r="AH550" s="15" t="s">
        <v>10986</v>
      </c>
      <c r="AL550" s="15" t="s">
        <v>10987</v>
      </c>
      <c r="AN550" s="15">
        <v>743</v>
      </c>
      <c r="AO550" s="15" t="s">
        <v>10988</v>
      </c>
      <c r="AQ550" s="17" t="s">
        <v>388</v>
      </c>
      <c r="AT550" s="15" t="s">
        <v>10989</v>
      </c>
      <c r="AU550" s="18" t="s">
        <v>10990</v>
      </c>
      <c r="AV550" s="18" t="s">
        <v>10990</v>
      </c>
      <c r="AW550" s="15" t="s">
        <v>10991</v>
      </c>
      <c r="AX550" s="15" t="s">
        <v>10992</v>
      </c>
      <c r="AY550" s="15">
        <f t="shared" si="10"/>
        <v>59</v>
      </c>
      <c r="AZ550" s="18" t="s">
        <v>393</v>
      </c>
      <c r="BA550" s="18" t="s">
        <v>174</v>
      </c>
      <c r="BB550" s="18" t="s">
        <v>10993</v>
      </c>
      <c r="BE550" s="18" t="s">
        <v>1582</v>
      </c>
      <c r="BJ550" s="18" t="s">
        <v>10994</v>
      </c>
      <c r="BN550" s="18" t="s">
        <v>179</v>
      </c>
      <c r="BP550" s="18" t="s">
        <v>138</v>
      </c>
      <c r="BS550" s="15" t="s">
        <v>10995</v>
      </c>
      <c r="DH550" s="15" t="s">
        <v>17982</v>
      </c>
      <c r="DI550" s="15" t="s">
        <v>17982</v>
      </c>
    </row>
    <row r="551" spans="1:113" s="15" customFormat="1" ht="12.75" x14ac:dyDescent="0.2">
      <c r="A551" s="15" t="s">
        <v>109</v>
      </c>
      <c r="B551" s="15" t="s">
        <v>110</v>
      </c>
      <c r="D551" s="15" t="s">
        <v>159</v>
      </c>
      <c r="E551" s="15" t="s">
        <v>112</v>
      </c>
      <c r="F551" s="15" t="s">
        <v>159</v>
      </c>
      <c r="G551" s="15" t="s">
        <v>113</v>
      </c>
      <c r="H551" s="15" t="s">
        <v>383</v>
      </c>
      <c r="J551" s="16" t="s">
        <v>114</v>
      </c>
      <c r="U551" s="15" t="s">
        <v>17977</v>
      </c>
      <c r="W551" s="15">
        <v>3481</v>
      </c>
      <c r="X551" s="15">
        <v>561</v>
      </c>
      <c r="Y551" s="15" t="s">
        <v>160</v>
      </c>
      <c r="Z551" s="15" t="s">
        <v>161</v>
      </c>
      <c r="AA551" s="15" t="s">
        <v>162</v>
      </c>
      <c r="AB551" s="15" t="s">
        <v>16804</v>
      </c>
      <c r="AC551" s="15" t="s">
        <v>16804</v>
      </c>
      <c r="AD551" s="15" t="s">
        <v>16804</v>
      </c>
      <c r="AE551" s="15" t="s">
        <v>164</v>
      </c>
      <c r="AF551" s="15" t="s">
        <v>16804</v>
      </c>
      <c r="AG551" s="15" t="s">
        <v>16804</v>
      </c>
      <c r="AH551" s="15" t="s">
        <v>16805</v>
      </c>
      <c r="AL551" s="15" t="s">
        <v>16806</v>
      </c>
      <c r="AN551" s="15">
        <v>743</v>
      </c>
      <c r="AO551" s="15" t="s">
        <v>16807</v>
      </c>
      <c r="AQ551" s="17" t="s">
        <v>388</v>
      </c>
      <c r="AT551" s="15" t="s">
        <v>16808</v>
      </c>
      <c r="AU551" s="18" t="s">
        <v>16809</v>
      </c>
      <c r="AV551" s="18" t="s">
        <v>16809</v>
      </c>
      <c r="AW551" s="15" t="s">
        <v>16810</v>
      </c>
      <c r="AX551" s="15" t="s">
        <v>16811</v>
      </c>
      <c r="AY551" s="15">
        <f t="shared" si="10"/>
        <v>58</v>
      </c>
      <c r="AZ551" s="18" t="s">
        <v>393</v>
      </c>
      <c r="BA551" s="18" t="s">
        <v>174</v>
      </c>
      <c r="BB551" s="18" t="s">
        <v>15112</v>
      </c>
      <c r="BE551" s="18" t="s">
        <v>176</v>
      </c>
      <c r="BJ551" s="18" t="s">
        <v>16812</v>
      </c>
      <c r="BK551" s="18" t="s">
        <v>16813</v>
      </c>
      <c r="BN551" s="18" t="s">
        <v>179</v>
      </c>
      <c r="BO551" s="18" t="s">
        <v>16602</v>
      </c>
      <c r="BP551" s="18" t="s">
        <v>138</v>
      </c>
      <c r="BS551" s="15" t="s">
        <v>16814</v>
      </c>
      <c r="DH551" s="15" t="s">
        <v>17982</v>
      </c>
      <c r="DI551" s="15" t="s">
        <v>17982</v>
      </c>
    </row>
    <row r="552" spans="1:113" s="15" customFormat="1" ht="12.75" x14ac:dyDescent="0.2">
      <c r="A552" s="15" t="s">
        <v>109</v>
      </c>
      <c r="B552" s="15" t="s">
        <v>110</v>
      </c>
      <c r="D552" s="15" t="s">
        <v>159</v>
      </c>
      <c r="E552" s="15" t="s">
        <v>112</v>
      </c>
      <c r="F552" s="15" t="s">
        <v>159</v>
      </c>
      <c r="G552" s="15" t="s">
        <v>113</v>
      </c>
      <c r="H552" s="15" t="s">
        <v>383</v>
      </c>
      <c r="J552" s="16" t="s">
        <v>114</v>
      </c>
      <c r="U552" s="15" t="s">
        <v>17977</v>
      </c>
      <c r="W552" s="15">
        <v>3137</v>
      </c>
      <c r="X552" s="15">
        <v>562</v>
      </c>
      <c r="Y552" s="15" t="s">
        <v>160</v>
      </c>
      <c r="Z552" s="15" t="s">
        <v>161</v>
      </c>
      <c r="AA552" s="15" t="s">
        <v>162</v>
      </c>
      <c r="AB552" s="15" t="s">
        <v>15115</v>
      </c>
      <c r="AC552" s="15" t="s">
        <v>15115</v>
      </c>
      <c r="AD552" s="15" t="s">
        <v>15116</v>
      </c>
      <c r="AE552" s="15" t="s">
        <v>164</v>
      </c>
      <c r="AF552" s="15" t="s">
        <v>15116</v>
      </c>
      <c r="AG552" s="15" t="s">
        <v>15115</v>
      </c>
      <c r="AH552" s="15" t="s">
        <v>15117</v>
      </c>
      <c r="AL552" s="15" t="s">
        <v>15118</v>
      </c>
      <c r="AN552" s="15">
        <v>743</v>
      </c>
      <c r="AO552" s="15" t="s">
        <v>15119</v>
      </c>
      <c r="AQ552" s="17" t="s">
        <v>388</v>
      </c>
      <c r="AT552" s="15" t="s">
        <v>15108</v>
      </c>
      <c r="AU552" s="18" t="s">
        <v>15120</v>
      </c>
      <c r="AV552" s="18" t="s">
        <v>15120</v>
      </c>
      <c r="AW552" s="15" t="s">
        <v>15121</v>
      </c>
      <c r="AX552" s="15" t="s">
        <v>15122</v>
      </c>
      <c r="AY552" s="15">
        <f t="shared" ref="AY552:AY615" si="11">LEN(SUBSTITUTE(AX552, ", "," "))</f>
        <v>60</v>
      </c>
      <c r="AZ552" s="18" t="s">
        <v>393</v>
      </c>
      <c r="BA552" s="18" t="s">
        <v>174</v>
      </c>
      <c r="BB552" s="18" t="s">
        <v>15112</v>
      </c>
      <c r="BE552" s="18" t="s">
        <v>176</v>
      </c>
      <c r="BJ552" s="18" t="s">
        <v>15123</v>
      </c>
      <c r="BN552" s="18" t="s">
        <v>179</v>
      </c>
      <c r="BP552" s="18" t="s">
        <v>138</v>
      </c>
      <c r="BS552" s="15" t="s">
        <v>15124</v>
      </c>
      <c r="DH552" s="15" t="s">
        <v>17982</v>
      </c>
      <c r="DI552" s="15" t="s">
        <v>17982</v>
      </c>
    </row>
    <row r="553" spans="1:113" s="15" customFormat="1" ht="12.75" x14ac:dyDescent="0.2">
      <c r="A553" s="15" t="s">
        <v>109</v>
      </c>
      <c r="B553" s="15" t="s">
        <v>110</v>
      </c>
      <c r="D553" s="15" t="s">
        <v>159</v>
      </c>
      <c r="E553" s="15" t="s">
        <v>112</v>
      </c>
      <c r="F553" s="15" t="s">
        <v>159</v>
      </c>
      <c r="G553" s="15" t="s">
        <v>113</v>
      </c>
      <c r="H553" s="15" t="s">
        <v>383</v>
      </c>
      <c r="J553" s="16" t="s">
        <v>114</v>
      </c>
      <c r="U553" s="15" t="s">
        <v>17977</v>
      </c>
      <c r="W553" s="15">
        <v>3136</v>
      </c>
      <c r="X553" s="15">
        <v>563</v>
      </c>
      <c r="Y553" s="15" t="s">
        <v>160</v>
      </c>
      <c r="Z553" s="15" t="s">
        <v>161</v>
      </c>
      <c r="AA553" s="15" t="s">
        <v>162</v>
      </c>
      <c r="AB553" s="15" t="s">
        <v>15103</v>
      </c>
      <c r="AC553" s="15" t="s">
        <v>15103</v>
      </c>
      <c r="AD553" s="15" t="s">
        <v>15104</v>
      </c>
      <c r="AE553" s="15" t="s">
        <v>164</v>
      </c>
      <c r="AF553" s="15" t="s">
        <v>15104</v>
      </c>
      <c r="AG553" s="15" t="s">
        <v>15103</v>
      </c>
      <c r="AH553" s="15" t="s">
        <v>15105</v>
      </c>
      <c r="AL553" s="15" t="s">
        <v>15106</v>
      </c>
      <c r="AN553" s="15">
        <v>743</v>
      </c>
      <c r="AO553" s="15" t="s">
        <v>15107</v>
      </c>
      <c r="AQ553" s="17" t="s">
        <v>388</v>
      </c>
      <c r="AT553" s="15" t="s">
        <v>15108</v>
      </c>
      <c r="AU553" s="18" t="s">
        <v>15109</v>
      </c>
      <c r="AV553" s="18" t="s">
        <v>15109</v>
      </c>
      <c r="AW553" s="15" t="s">
        <v>15110</v>
      </c>
      <c r="AX553" s="15" t="s">
        <v>15111</v>
      </c>
      <c r="AY553" s="15">
        <f t="shared" si="11"/>
        <v>60</v>
      </c>
      <c r="AZ553" s="18" t="s">
        <v>393</v>
      </c>
      <c r="BA553" s="18" t="s">
        <v>174</v>
      </c>
      <c r="BB553" s="18" t="s">
        <v>15112</v>
      </c>
      <c r="BE553" s="18" t="s">
        <v>176</v>
      </c>
      <c r="BJ553" s="18" t="s">
        <v>15113</v>
      </c>
      <c r="BN553" s="18" t="s">
        <v>179</v>
      </c>
      <c r="BP553" s="18" t="s">
        <v>138</v>
      </c>
      <c r="BS553" s="15" t="s">
        <v>15114</v>
      </c>
      <c r="DH553" s="15" t="s">
        <v>17982</v>
      </c>
      <c r="DI553" s="15" t="s">
        <v>17982</v>
      </c>
    </row>
    <row r="554" spans="1:113" s="15" customFormat="1" ht="12.75" x14ac:dyDescent="0.2">
      <c r="A554" s="15" t="s">
        <v>109</v>
      </c>
      <c r="B554" s="15" t="s">
        <v>110</v>
      </c>
      <c r="D554" s="15" t="s">
        <v>159</v>
      </c>
      <c r="E554" s="15" t="s">
        <v>112</v>
      </c>
      <c r="F554" s="15" t="s">
        <v>159</v>
      </c>
      <c r="G554" s="15" t="s">
        <v>113</v>
      </c>
      <c r="H554" s="15" t="s">
        <v>383</v>
      </c>
      <c r="J554" s="16" t="s">
        <v>114</v>
      </c>
      <c r="U554" s="15" t="s">
        <v>17977</v>
      </c>
      <c r="W554" s="15">
        <v>3483</v>
      </c>
      <c r="X554" s="15">
        <v>564</v>
      </c>
      <c r="Y554" s="15" t="s">
        <v>160</v>
      </c>
      <c r="Z554" s="15" t="s">
        <v>161</v>
      </c>
      <c r="AA554" s="15" t="s">
        <v>162</v>
      </c>
      <c r="AB554" s="15" t="s">
        <v>16826</v>
      </c>
      <c r="AC554" s="15" t="s">
        <v>16826</v>
      </c>
      <c r="AD554" s="15" t="s">
        <v>16826</v>
      </c>
      <c r="AE554" s="15" t="s">
        <v>164</v>
      </c>
      <c r="AF554" s="15" t="s">
        <v>16826</v>
      </c>
      <c r="AG554" s="15" t="s">
        <v>16826</v>
      </c>
      <c r="AH554" s="15" t="s">
        <v>16827</v>
      </c>
      <c r="AL554" s="15" t="s">
        <v>16828</v>
      </c>
      <c r="AN554" s="15">
        <v>743</v>
      </c>
      <c r="AO554" s="15" t="s">
        <v>16829</v>
      </c>
      <c r="AQ554" s="17" t="s">
        <v>388</v>
      </c>
      <c r="AT554" s="15" t="s">
        <v>16808</v>
      </c>
      <c r="AU554" s="18" t="s">
        <v>16830</v>
      </c>
      <c r="AV554" s="18" t="s">
        <v>16830</v>
      </c>
      <c r="AW554" s="15" t="s">
        <v>16831</v>
      </c>
      <c r="AX554" s="15" t="s">
        <v>16832</v>
      </c>
      <c r="AY554" s="15">
        <f t="shared" si="11"/>
        <v>59</v>
      </c>
      <c r="AZ554" s="18" t="s">
        <v>393</v>
      </c>
      <c r="BA554" s="18" t="s">
        <v>174</v>
      </c>
      <c r="BB554" s="18" t="s">
        <v>15112</v>
      </c>
      <c r="BE554" s="18" t="s">
        <v>585</v>
      </c>
      <c r="BJ554" s="18" t="s">
        <v>16833</v>
      </c>
      <c r="BK554" s="18" t="s">
        <v>16813</v>
      </c>
      <c r="BN554" s="18" t="s">
        <v>179</v>
      </c>
      <c r="BO554" s="18" t="s">
        <v>16602</v>
      </c>
      <c r="BP554" s="18" t="s">
        <v>138</v>
      </c>
      <c r="BS554" s="15" t="s">
        <v>16834</v>
      </c>
      <c r="DH554" s="15" t="s">
        <v>17982</v>
      </c>
      <c r="DI554" s="15" t="s">
        <v>17982</v>
      </c>
    </row>
    <row r="555" spans="1:113" s="15" customFormat="1" ht="12.75" x14ac:dyDescent="0.2">
      <c r="A555" s="15" t="s">
        <v>109</v>
      </c>
      <c r="B555" s="15" t="s">
        <v>110</v>
      </c>
      <c r="D555" s="15" t="s">
        <v>159</v>
      </c>
      <c r="E555" s="15" t="s">
        <v>112</v>
      </c>
      <c r="F555" s="15" t="s">
        <v>159</v>
      </c>
      <c r="G555" s="15" t="s">
        <v>113</v>
      </c>
      <c r="H555" s="15" t="s">
        <v>383</v>
      </c>
      <c r="J555" s="16" t="s">
        <v>114</v>
      </c>
      <c r="U555" s="15" t="s">
        <v>17977</v>
      </c>
      <c r="W555" s="15">
        <v>570</v>
      </c>
      <c r="X555" s="15">
        <v>565</v>
      </c>
      <c r="Y555" s="15" t="s">
        <v>160</v>
      </c>
      <c r="Z555" s="15" t="s">
        <v>161</v>
      </c>
      <c r="AA555" s="15" t="s">
        <v>162</v>
      </c>
      <c r="AB555" s="15" t="s">
        <v>2136</v>
      </c>
      <c r="AC555" s="15" t="s">
        <v>2136</v>
      </c>
      <c r="AD555" s="15" t="s">
        <v>2136</v>
      </c>
      <c r="AE555" s="15" t="s">
        <v>164</v>
      </c>
      <c r="AF555" s="15" t="s">
        <v>2136</v>
      </c>
      <c r="AG555" s="15" t="s">
        <v>2136</v>
      </c>
      <c r="AH555" s="15" t="s">
        <v>2137</v>
      </c>
      <c r="AL555" s="15" t="s">
        <v>2138</v>
      </c>
      <c r="AN555" s="15">
        <v>743</v>
      </c>
      <c r="AO555" s="15" t="s">
        <v>2139</v>
      </c>
      <c r="AQ555" s="17" t="s">
        <v>388</v>
      </c>
      <c r="AT555" s="15" t="s">
        <v>2129</v>
      </c>
      <c r="AU555" s="18" t="s">
        <v>2140</v>
      </c>
      <c r="AV555" s="18" t="s">
        <v>2140</v>
      </c>
      <c r="AW555" s="15" t="s">
        <v>2141</v>
      </c>
      <c r="AX555" s="15" t="s">
        <v>2142</v>
      </c>
      <c r="AY555" s="15">
        <f t="shared" si="11"/>
        <v>57</v>
      </c>
      <c r="AZ555" s="18" t="s">
        <v>393</v>
      </c>
      <c r="BA555" s="18" t="s">
        <v>174</v>
      </c>
      <c r="BB555" s="18" t="s">
        <v>2133</v>
      </c>
      <c r="BC555" s="18" t="s">
        <v>379</v>
      </c>
      <c r="BE555" s="18" t="s">
        <v>2054</v>
      </c>
      <c r="BJ555" s="18" t="s">
        <v>2143</v>
      </c>
      <c r="BN555" s="18" t="s">
        <v>179</v>
      </c>
      <c r="BP555" s="18" t="s">
        <v>138</v>
      </c>
      <c r="BS555" s="15" t="s">
        <v>2144</v>
      </c>
      <c r="DH555" s="15" t="s">
        <v>17982</v>
      </c>
      <c r="DI555" s="15" t="s">
        <v>17982</v>
      </c>
    </row>
    <row r="556" spans="1:113" s="15" customFormat="1" ht="12.75" x14ac:dyDescent="0.2">
      <c r="A556" s="15" t="s">
        <v>109</v>
      </c>
      <c r="B556" s="15" t="s">
        <v>110</v>
      </c>
      <c r="D556" s="15" t="s">
        <v>159</v>
      </c>
      <c r="E556" s="15" t="s">
        <v>112</v>
      </c>
      <c r="F556" s="15" t="s">
        <v>159</v>
      </c>
      <c r="G556" s="15" t="s">
        <v>113</v>
      </c>
      <c r="H556" s="15" t="s">
        <v>383</v>
      </c>
      <c r="J556" s="16" t="s">
        <v>114</v>
      </c>
      <c r="U556" s="15" t="s">
        <v>17977</v>
      </c>
      <c r="W556" s="15">
        <v>569</v>
      </c>
      <c r="X556" s="15">
        <v>566</v>
      </c>
      <c r="Y556" s="15" t="s">
        <v>160</v>
      </c>
      <c r="Z556" s="15" t="s">
        <v>161</v>
      </c>
      <c r="AA556" s="15" t="s">
        <v>162</v>
      </c>
      <c r="AB556" s="15" t="s">
        <v>2125</v>
      </c>
      <c r="AC556" s="15" t="s">
        <v>2125</v>
      </c>
      <c r="AD556" s="15" t="s">
        <v>2125</v>
      </c>
      <c r="AE556" s="15" t="s">
        <v>164</v>
      </c>
      <c r="AF556" s="15" t="s">
        <v>2125</v>
      </c>
      <c r="AG556" s="15" t="s">
        <v>2125</v>
      </c>
      <c r="AH556" s="15" t="s">
        <v>2126</v>
      </c>
      <c r="AL556" s="15" t="s">
        <v>2127</v>
      </c>
      <c r="AN556" s="15">
        <v>743</v>
      </c>
      <c r="AO556" s="15" t="s">
        <v>2128</v>
      </c>
      <c r="AQ556" s="17" t="s">
        <v>388</v>
      </c>
      <c r="AT556" s="15" t="s">
        <v>2129</v>
      </c>
      <c r="AU556" s="18" t="s">
        <v>2130</v>
      </c>
      <c r="AV556" s="18" t="s">
        <v>2130</v>
      </c>
      <c r="AW556" s="15" t="s">
        <v>2131</v>
      </c>
      <c r="AX556" s="15" t="s">
        <v>2132</v>
      </c>
      <c r="AY556" s="15">
        <f t="shared" si="11"/>
        <v>59</v>
      </c>
      <c r="AZ556" s="18" t="s">
        <v>393</v>
      </c>
      <c r="BA556" s="18" t="s">
        <v>174</v>
      </c>
      <c r="BB556" s="18" t="s">
        <v>2133</v>
      </c>
      <c r="BC556" s="18" t="s">
        <v>379</v>
      </c>
      <c r="BE556" s="18" t="s">
        <v>564</v>
      </c>
      <c r="BJ556" s="18" t="s">
        <v>2134</v>
      </c>
      <c r="BN556" s="18" t="s">
        <v>179</v>
      </c>
      <c r="BP556" s="18" t="s">
        <v>138</v>
      </c>
      <c r="BS556" s="15" t="s">
        <v>2135</v>
      </c>
      <c r="DH556" s="15" t="s">
        <v>17982</v>
      </c>
      <c r="DI556" s="15" t="s">
        <v>17982</v>
      </c>
    </row>
    <row r="557" spans="1:113" s="15" customFormat="1" ht="12.75" x14ac:dyDescent="0.2">
      <c r="A557" s="15" t="s">
        <v>109</v>
      </c>
      <c r="B557" s="15" t="s">
        <v>110</v>
      </c>
      <c r="D557" s="15" t="s">
        <v>159</v>
      </c>
      <c r="E557" s="15" t="s">
        <v>112</v>
      </c>
      <c r="F557" s="15" t="s">
        <v>159</v>
      </c>
      <c r="G557" s="15" t="s">
        <v>113</v>
      </c>
      <c r="H557" s="15" t="s">
        <v>383</v>
      </c>
      <c r="J557" s="16" t="s">
        <v>114</v>
      </c>
      <c r="U557" s="15" t="s">
        <v>17977</v>
      </c>
      <c r="W557" s="15">
        <v>3101</v>
      </c>
      <c r="X557" s="15">
        <v>567</v>
      </c>
      <c r="Y557" s="15" t="s">
        <v>160</v>
      </c>
      <c r="Z557" s="15" t="s">
        <v>161</v>
      </c>
      <c r="AA557" s="15" t="s">
        <v>162</v>
      </c>
      <c r="AB557" s="15" t="s">
        <v>14949</v>
      </c>
      <c r="AC557" s="15" t="s">
        <v>14949</v>
      </c>
      <c r="AD557" s="15" t="s">
        <v>14949</v>
      </c>
      <c r="AE557" s="15" t="s">
        <v>164</v>
      </c>
      <c r="AF557" s="15" t="s">
        <v>14949</v>
      </c>
      <c r="AG557" s="15" t="s">
        <v>14949</v>
      </c>
      <c r="AH557" s="15" t="s">
        <v>14950</v>
      </c>
      <c r="AL557" s="15" t="s">
        <v>14951</v>
      </c>
      <c r="AN557" s="15">
        <v>743</v>
      </c>
      <c r="AO557" s="15" t="s">
        <v>14952</v>
      </c>
      <c r="AQ557" s="17" t="s">
        <v>3598</v>
      </c>
      <c r="AT557" s="15" t="s">
        <v>14953</v>
      </c>
      <c r="AU557" s="18" t="s">
        <v>14954</v>
      </c>
      <c r="AV557" s="18" t="s">
        <v>14954</v>
      </c>
      <c r="AW557" s="15" t="s">
        <v>14955</v>
      </c>
      <c r="AX557" s="15" t="s">
        <v>14955</v>
      </c>
      <c r="AY557" s="15">
        <f t="shared" si="11"/>
        <v>45</v>
      </c>
      <c r="AZ557" s="18" t="s">
        <v>3603</v>
      </c>
      <c r="BA557" s="18" t="s">
        <v>214</v>
      </c>
      <c r="BB557" s="18" t="s">
        <v>14956</v>
      </c>
      <c r="BE557" s="18" t="s">
        <v>1081</v>
      </c>
      <c r="BI557" s="18" t="s">
        <v>1905</v>
      </c>
      <c r="BJ557" s="18" t="s">
        <v>14957</v>
      </c>
      <c r="BN557" s="18" t="s">
        <v>179</v>
      </c>
      <c r="BP557" s="18" t="s">
        <v>138</v>
      </c>
      <c r="BS557" s="15" t="s">
        <v>14958</v>
      </c>
      <c r="DH557" s="15" t="s">
        <v>17982</v>
      </c>
      <c r="DI557" s="15" t="s">
        <v>17982</v>
      </c>
    </row>
    <row r="558" spans="1:113" s="15" customFormat="1" ht="12.75" x14ac:dyDescent="0.2">
      <c r="A558" s="15" t="s">
        <v>109</v>
      </c>
      <c r="B558" s="15" t="s">
        <v>110</v>
      </c>
      <c r="D558" s="15" t="s">
        <v>159</v>
      </c>
      <c r="E558" s="15" t="s">
        <v>112</v>
      </c>
      <c r="F558" s="15" t="s">
        <v>159</v>
      </c>
      <c r="G558" s="15" t="s">
        <v>113</v>
      </c>
      <c r="H558" s="15" t="s">
        <v>383</v>
      </c>
      <c r="J558" s="16" t="s">
        <v>114</v>
      </c>
      <c r="U558" s="15" t="s">
        <v>17977</v>
      </c>
      <c r="W558" s="15">
        <v>3452</v>
      </c>
      <c r="X558" s="15">
        <v>568</v>
      </c>
      <c r="Y558" s="15" t="s">
        <v>160</v>
      </c>
      <c r="Z558" s="15" t="s">
        <v>161</v>
      </c>
      <c r="AA558" s="15" t="s">
        <v>162</v>
      </c>
      <c r="AB558" s="15" t="s">
        <v>16650</v>
      </c>
      <c r="AC558" s="15" t="s">
        <v>16650</v>
      </c>
      <c r="AD558" s="15" t="s">
        <v>16650</v>
      </c>
      <c r="AE558" s="15" t="s">
        <v>164</v>
      </c>
      <c r="AF558" s="15" t="s">
        <v>16650</v>
      </c>
      <c r="AG558" s="15" t="s">
        <v>16650</v>
      </c>
      <c r="AH558" s="15" t="s">
        <v>16651</v>
      </c>
      <c r="AL558" s="15" t="s">
        <v>16652</v>
      </c>
      <c r="AN558" s="15">
        <v>743</v>
      </c>
      <c r="AO558" s="15" t="s">
        <v>16653</v>
      </c>
      <c r="AQ558" s="17" t="s">
        <v>3598</v>
      </c>
      <c r="AT558" s="15" t="s">
        <v>16609</v>
      </c>
      <c r="AU558" s="18" t="s">
        <v>16654</v>
      </c>
      <c r="AV558" s="18" t="s">
        <v>16654</v>
      </c>
      <c r="AW558" s="15" t="s">
        <v>16655</v>
      </c>
      <c r="AX558" s="15" t="s">
        <v>16656</v>
      </c>
      <c r="AY558" s="15">
        <f t="shared" si="11"/>
        <v>58</v>
      </c>
      <c r="AZ558" s="18" t="s">
        <v>3603</v>
      </c>
      <c r="BA558" s="18" t="s">
        <v>214</v>
      </c>
      <c r="BB558" s="18" t="s">
        <v>2370</v>
      </c>
      <c r="BC558" s="18"/>
      <c r="BE558" s="18" t="s">
        <v>606</v>
      </c>
      <c r="BI558" s="18" t="s">
        <v>11502</v>
      </c>
      <c r="BJ558" s="18" t="s">
        <v>16631</v>
      </c>
      <c r="BK558" s="18"/>
      <c r="BN558" s="18" t="s">
        <v>179</v>
      </c>
      <c r="BO558" s="18" t="s">
        <v>16602</v>
      </c>
      <c r="BP558" s="18" t="s">
        <v>138</v>
      </c>
      <c r="BS558" s="15" t="s">
        <v>16657</v>
      </c>
      <c r="DH558" s="15" t="s">
        <v>17982</v>
      </c>
      <c r="DI558" s="15" t="s">
        <v>17982</v>
      </c>
    </row>
    <row r="559" spans="1:113" s="15" customFormat="1" ht="12.75" x14ac:dyDescent="0.2">
      <c r="A559" s="15" t="s">
        <v>109</v>
      </c>
      <c r="B559" s="15" t="s">
        <v>110</v>
      </c>
      <c r="D559" s="15" t="s">
        <v>159</v>
      </c>
      <c r="E559" s="15" t="s">
        <v>112</v>
      </c>
      <c r="F559" s="15" t="s">
        <v>159</v>
      </c>
      <c r="G559" s="15" t="s">
        <v>113</v>
      </c>
      <c r="H559" s="15" t="s">
        <v>383</v>
      </c>
      <c r="J559" s="16" t="s">
        <v>114</v>
      </c>
      <c r="U559" s="15" t="s">
        <v>17977</v>
      </c>
      <c r="W559" s="15">
        <v>3448</v>
      </c>
      <c r="X559" s="15">
        <v>569</v>
      </c>
      <c r="Y559" s="15" t="s">
        <v>160</v>
      </c>
      <c r="Z559" s="15" t="s">
        <v>161</v>
      </c>
      <c r="AA559" s="15" t="s">
        <v>162</v>
      </c>
      <c r="AB559" s="15" t="s">
        <v>16615</v>
      </c>
      <c r="AC559" s="15" t="s">
        <v>16615</v>
      </c>
      <c r="AD559" s="15" t="s">
        <v>16616</v>
      </c>
      <c r="AE559" s="15" t="s">
        <v>164</v>
      </c>
      <c r="AF559" s="15" t="s">
        <v>16616</v>
      </c>
      <c r="AG559" s="15" t="s">
        <v>16615</v>
      </c>
      <c r="AH559" s="15" t="s">
        <v>16617</v>
      </c>
      <c r="AL559" s="15" t="s">
        <v>16618</v>
      </c>
      <c r="AN559" s="15">
        <v>743</v>
      </c>
      <c r="AO559" s="15" t="s">
        <v>16619</v>
      </c>
      <c r="AQ559" s="17" t="s">
        <v>3598</v>
      </c>
      <c r="AT559" s="15" t="s">
        <v>16609</v>
      </c>
      <c r="AU559" s="18" t="s">
        <v>16620</v>
      </c>
      <c r="AV559" s="18" t="s">
        <v>16620</v>
      </c>
      <c r="AW559" s="15" t="s">
        <v>16621</v>
      </c>
      <c r="AX559" s="15" t="s">
        <v>16622</v>
      </c>
      <c r="AY559" s="15">
        <f t="shared" si="11"/>
        <v>60</v>
      </c>
      <c r="AZ559" s="18" t="s">
        <v>3603</v>
      </c>
      <c r="BA559" s="18" t="s">
        <v>214</v>
      </c>
      <c r="BB559" s="18" t="s">
        <v>2370</v>
      </c>
      <c r="BC559" s="18"/>
      <c r="BE559" s="18" t="s">
        <v>606</v>
      </c>
      <c r="BI559" s="18" t="s">
        <v>11502</v>
      </c>
      <c r="BJ559" s="18" t="s">
        <v>16613</v>
      </c>
      <c r="BK559" s="18"/>
      <c r="BN559" s="18" t="s">
        <v>179</v>
      </c>
      <c r="BO559" s="18" t="s">
        <v>16602</v>
      </c>
      <c r="BP559" s="18" t="s">
        <v>138</v>
      </c>
      <c r="BS559" s="15" t="s">
        <v>16623</v>
      </c>
      <c r="DH559" s="15" t="s">
        <v>17982</v>
      </c>
      <c r="DI559" s="15" t="s">
        <v>17982</v>
      </c>
    </row>
    <row r="560" spans="1:113" s="15" customFormat="1" ht="12.75" x14ac:dyDescent="0.2">
      <c r="A560" s="15" t="s">
        <v>109</v>
      </c>
      <c r="B560" s="15" t="s">
        <v>110</v>
      </c>
      <c r="D560" s="15" t="s">
        <v>159</v>
      </c>
      <c r="E560" s="15" t="s">
        <v>112</v>
      </c>
      <c r="F560" s="15" t="s">
        <v>159</v>
      </c>
      <c r="G560" s="15" t="s">
        <v>113</v>
      </c>
      <c r="H560" s="15" t="s">
        <v>383</v>
      </c>
      <c r="J560" s="16" t="s">
        <v>114</v>
      </c>
      <c r="U560" s="15" t="s">
        <v>17977</v>
      </c>
      <c r="W560" s="15">
        <v>3451</v>
      </c>
      <c r="X560" s="15">
        <v>570</v>
      </c>
      <c r="Y560" s="15" t="s">
        <v>160</v>
      </c>
      <c r="Z560" s="15" t="s">
        <v>161</v>
      </c>
      <c r="AA560" s="15" t="s">
        <v>162</v>
      </c>
      <c r="AB560" s="15" t="s">
        <v>16642</v>
      </c>
      <c r="AC560" s="15" t="s">
        <v>16642</v>
      </c>
      <c r="AD560" s="15" t="s">
        <v>16642</v>
      </c>
      <c r="AE560" s="15" t="s">
        <v>164</v>
      </c>
      <c r="AF560" s="15" t="s">
        <v>16642</v>
      </c>
      <c r="AG560" s="15" t="s">
        <v>16642</v>
      </c>
      <c r="AH560" s="15" t="s">
        <v>16643</v>
      </c>
      <c r="AL560" s="15" t="s">
        <v>16644</v>
      </c>
      <c r="AN560" s="15">
        <v>743</v>
      </c>
      <c r="AO560" s="15" t="s">
        <v>16645</v>
      </c>
      <c r="AQ560" s="17" t="s">
        <v>3598</v>
      </c>
      <c r="AT560" s="15" t="s">
        <v>16609</v>
      </c>
      <c r="AU560" s="18" t="s">
        <v>16646</v>
      </c>
      <c r="AV560" s="18" t="s">
        <v>16646</v>
      </c>
      <c r="AW560" s="15" t="s">
        <v>16647</v>
      </c>
      <c r="AX560" s="15" t="s">
        <v>16648</v>
      </c>
      <c r="AY560" s="15">
        <f t="shared" si="11"/>
        <v>58</v>
      </c>
      <c r="AZ560" s="18" t="s">
        <v>3603</v>
      </c>
      <c r="BA560" s="18" t="s">
        <v>214</v>
      </c>
      <c r="BB560" s="18" t="s">
        <v>2370</v>
      </c>
      <c r="BC560" s="18"/>
      <c r="BE560" s="18" t="s">
        <v>2054</v>
      </c>
      <c r="BI560" s="18" t="s">
        <v>11502</v>
      </c>
      <c r="BJ560" s="18" t="s">
        <v>16631</v>
      </c>
      <c r="BK560" s="18"/>
      <c r="BN560" s="18" t="s">
        <v>179</v>
      </c>
      <c r="BO560" s="18" t="s">
        <v>16602</v>
      </c>
      <c r="BP560" s="18" t="s">
        <v>138</v>
      </c>
      <c r="BS560" s="15" t="s">
        <v>16649</v>
      </c>
      <c r="DH560" s="15" t="s">
        <v>17982</v>
      </c>
      <c r="DI560" s="15" t="s">
        <v>17982</v>
      </c>
    </row>
    <row r="561" spans="1:113" s="15" customFormat="1" ht="12.75" x14ac:dyDescent="0.2">
      <c r="A561" s="15" t="s">
        <v>109</v>
      </c>
      <c r="B561" s="15" t="s">
        <v>110</v>
      </c>
      <c r="D561" s="15" t="s">
        <v>159</v>
      </c>
      <c r="E561" s="15" t="s">
        <v>112</v>
      </c>
      <c r="F561" s="15" t="s">
        <v>159</v>
      </c>
      <c r="G561" s="15" t="s">
        <v>113</v>
      </c>
      <c r="H561" s="15" t="s">
        <v>383</v>
      </c>
      <c r="J561" s="16" t="s">
        <v>114</v>
      </c>
      <c r="U561" s="15" t="s">
        <v>17977</v>
      </c>
      <c r="W561" s="15">
        <v>3447</v>
      </c>
      <c r="X561" s="15">
        <v>571</v>
      </c>
      <c r="Y561" s="15" t="s">
        <v>160</v>
      </c>
      <c r="Z561" s="15" t="s">
        <v>161</v>
      </c>
      <c r="AA561" s="15" t="s">
        <v>162</v>
      </c>
      <c r="AB561" s="15" t="s">
        <v>16604</v>
      </c>
      <c r="AC561" s="15" t="s">
        <v>16604</v>
      </c>
      <c r="AD561" s="15" t="s">
        <v>16605</v>
      </c>
      <c r="AE561" s="15" t="s">
        <v>164</v>
      </c>
      <c r="AF561" s="15" t="s">
        <v>16605</v>
      </c>
      <c r="AG561" s="15" t="s">
        <v>16604</v>
      </c>
      <c r="AH561" s="15" t="s">
        <v>16606</v>
      </c>
      <c r="AL561" s="15" t="s">
        <v>16607</v>
      </c>
      <c r="AN561" s="15">
        <v>743</v>
      </c>
      <c r="AO561" s="15" t="s">
        <v>16608</v>
      </c>
      <c r="AQ561" s="17" t="s">
        <v>3598</v>
      </c>
      <c r="AT561" s="15" t="s">
        <v>16609</v>
      </c>
      <c r="AU561" s="18" t="s">
        <v>16610</v>
      </c>
      <c r="AV561" s="18" t="s">
        <v>16610</v>
      </c>
      <c r="AW561" s="15" t="s">
        <v>16611</v>
      </c>
      <c r="AX561" s="15" t="s">
        <v>16612</v>
      </c>
      <c r="AY561" s="15">
        <f t="shared" si="11"/>
        <v>60</v>
      </c>
      <c r="AZ561" s="18" t="s">
        <v>3603</v>
      </c>
      <c r="BA561" s="18" t="s">
        <v>214</v>
      </c>
      <c r="BB561" s="18" t="s">
        <v>2370</v>
      </c>
      <c r="BC561" s="18"/>
      <c r="BE561" s="18" t="s">
        <v>2054</v>
      </c>
      <c r="BI561" s="18" t="s">
        <v>11502</v>
      </c>
      <c r="BJ561" s="18" t="s">
        <v>16613</v>
      </c>
      <c r="BK561" s="18"/>
      <c r="BN561" s="18" t="s">
        <v>179</v>
      </c>
      <c r="BO561" s="18" t="s">
        <v>16602</v>
      </c>
      <c r="BP561" s="18" t="s">
        <v>138</v>
      </c>
      <c r="BS561" s="15" t="s">
        <v>16614</v>
      </c>
      <c r="DH561" s="15" t="s">
        <v>17982</v>
      </c>
      <c r="DI561" s="15" t="s">
        <v>17982</v>
      </c>
    </row>
    <row r="562" spans="1:113" s="15" customFormat="1" ht="12.75" x14ac:dyDescent="0.2">
      <c r="A562" s="15" t="s">
        <v>109</v>
      </c>
      <c r="B562" s="15" t="s">
        <v>110</v>
      </c>
      <c r="D562" s="15" t="s">
        <v>159</v>
      </c>
      <c r="E562" s="15" t="s">
        <v>112</v>
      </c>
      <c r="F562" s="15" t="s">
        <v>159</v>
      </c>
      <c r="G562" s="15" t="s">
        <v>113</v>
      </c>
      <c r="H562" s="15" t="s">
        <v>383</v>
      </c>
      <c r="J562" s="16" t="s">
        <v>114</v>
      </c>
      <c r="U562" s="15" t="s">
        <v>17977</v>
      </c>
      <c r="W562" s="15">
        <v>3449</v>
      </c>
      <c r="X562" s="15">
        <v>572</v>
      </c>
      <c r="Y562" s="15" t="s">
        <v>160</v>
      </c>
      <c r="Z562" s="15" t="s">
        <v>161</v>
      </c>
      <c r="AA562" s="15" t="s">
        <v>162</v>
      </c>
      <c r="AB562" s="15" t="s">
        <v>16624</v>
      </c>
      <c r="AC562" s="15" t="s">
        <v>16624</v>
      </c>
      <c r="AD562" s="15" t="s">
        <v>16624</v>
      </c>
      <c r="AE562" s="15" t="s">
        <v>164</v>
      </c>
      <c r="AF562" s="15" t="s">
        <v>16624</v>
      </c>
      <c r="AG562" s="15" t="s">
        <v>16624</v>
      </c>
      <c r="AH562" s="15" t="s">
        <v>16625</v>
      </c>
      <c r="AL562" s="15" t="s">
        <v>16626</v>
      </c>
      <c r="AN562" s="15">
        <v>743</v>
      </c>
      <c r="AO562" s="15" t="s">
        <v>16627</v>
      </c>
      <c r="AQ562" s="17" t="s">
        <v>3598</v>
      </c>
      <c r="AT562" s="15" t="s">
        <v>16609</v>
      </c>
      <c r="AU562" s="18" t="s">
        <v>16628</v>
      </c>
      <c r="AV562" s="18" t="s">
        <v>16628</v>
      </c>
      <c r="AW562" s="15" t="s">
        <v>16629</v>
      </c>
      <c r="AX562" s="15" t="s">
        <v>16630</v>
      </c>
      <c r="AY562" s="15">
        <f t="shared" si="11"/>
        <v>59</v>
      </c>
      <c r="AZ562" s="18" t="s">
        <v>3603</v>
      </c>
      <c r="BA562" s="18" t="s">
        <v>214</v>
      </c>
      <c r="BB562" s="18" t="s">
        <v>2370</v>
      </c>
      <c r="BC562" s="18"/>
      <c r="BE562" s="18" t="s">
        <v>275</v>
      </c>
      <c r="BI562" s="18" t="s">
        <v>11502</v>
      </c>
      <c r="BJ562" s="18" t="s">
        <v>16631</v>
      </c>
      <c r="BK562" s="18"/>
      <c r="BN562" s="18" t="s">
        <v>179</v>
      </c>
      <c r="BO562" s="18" t="s">
        <v>16602</v>
      </c>
      <c r="BP562" s="18" t="s">
        <v>138</v>
      </c>
      <c r="BR562" s="15" t="s">
        <v>16632</v>
      </c>
      <c r="BS562" s="15" t="s">
        <v>16633</v>
      </c>
      <c r="DH562" s="15" t="s">
        <v>17982</v>
      </c>
      <c r="DI562" s="15" t="s">
        <v>17982</v>
      </c>
    </row>
    <row r="563" spans="1:113" s="15" customFormat="1" ht="12.75" x14ac:dyDescent="0.2">
      <c r="A563" s="15" t="s">
        <v>109</v>
      </c>
      <c r="B563" s="15" t="s">
        <v>110</v>
      </c>
      <c r="D563" s="15" t="s">
        <v>159</v>
      </c>
      <c r="E563" s="15" t="s">
        <v>112</v>
      </c>
      <c r="F563" s="15" t="s">
        <v>159</v>
      </c>
      <c r="G563" s="15" t="s">
        <v>113</v>
      </c>
      <c r="H563" s="15" t="s">
        <v>383</v>
      </c>
      <c r="J563" s="16" t="s">
        <v>114</v>
      </c>
      <c r="U563" s="15" t="s">
        <v>17977</v>
      </c>
      <c r="W563" s="15">
        <v>3450</v>
      </c>
      <c r="X563" s="15">
        <v>573</v>
      </c>
      <c r="Y563" s="15" t="s">
        <v>160</v>
      </c>
      <c r="Z563" s="15" t="s">
        <v>161</v>
      </c>
      <c r="AA563" s="15" t="s">
        <v>162</v>
      </c>
      <c r="AB563" s="15" t="s">
        <v>16634</v>
      </c>
      <c r="AC563" s="15" t="s">
        <v>16634</v>
      </c>
      <c r="AD563" s="15" t="s">
        <v>16635</v>
      </c>
      <c r="AE563" s="15" t="s">
        <v>164</v>
      </c>
      <c r="AF563" s="15" t="s">
        <v>16635</v>
      </c>
      <c r="AG563" s="15" t="s">
        <v>16634</v>
      </c>
      <c r="AH563" s="15" t="s">
        <v>16636</v>
      </c>
      <c r="AL563" s="15" t="s">
        <v>16626</v>
      </c>
      <c r="AN563" s="15">
        <v>743</v>
      </c>
      <c r="AO563" s="15" t="s">
        <v>16637</v>
      </c>
      <c r="AQ563" s="17" t="s">
        <v>3598</v>
      </c>
      <c r="AT563" s="15" t="s">
        <v>16609</v>
      </c>
      <c r="AU563" s="18" t="s">
        <v>16638</v>
      </c>
      <c r="AV563" s="18" t="s">
        <v>16638</v>
      </c>
      <c r="AW563" s="15" t="s">
        <v>16639</v>
      </c>
      <c r="AX563" s="15" t="s">
        <v>16640</v>
      </c>
      <c r="AY563" s="15">
        <f t="shared" si="11"/>
        <v>58</v>
      </c>
      <c r="AZ563" s="18" t="s">
        <v>3603</v>
      </c>
      <c r="BA563" s="18" t="s">
        <v>214</v>
      </c>
      <c r="BB563" s="18" t="s">
        <v>2370</v>
      </c>
      <c r="BC563" s="18"/>
      <c r="BE563" s="18" t="s">
        <v>275</v>
      </c>
      <c r="BI563" s="18" t="s">
        <v>11502</v>
      </c>
      <c r="BJ563" s="18" t="s">
        <v>16613</v>
      </c>
      <c r="BK563" s="18"/>
      <c r="BN563" s="18" t="s">
        <v>179</v>
      </c>
      <c r="BO563" s="18" t="s">
        <v>16602</v>
      </c>
      <c r="BP563" s="18" t="s">
        <v>138</v>
      </c>
      <c r="BS563" s="15" t="s">
        <v>16641</v>
      </c>
      <c r="DH563" s="15" t="s">
        <v>17982</v>
      </c>
      <c r="DI563" s="15" t="s">
        <v>17982</v>
      </c>
    </row>
    <row r="564" spans="1:113" s="15" customFormat="1" ht="12.75" x14ac:dyDescent="0.2">
      <c r="A564" s="15" t="s">
        <v>109</v>
      </c>
      <c r="B564" s="15" t="s">
        <v>110</v>
      </c>
      <c r="D564" s="15" t="s">
        <v>159</v>
      </c>
      <c r="E564" s="15" t="s">
        <v>112</v>
      </c>
      <c r="F564" s="15" t="s">
        <v>159</v>
      </c>
      <c r="G564" s="15" t="s">
        <v>113</v>
      </c>
      <c r="H564" s="15" t="s">
        <v>383</v>
      </c>
      <c r="J564" s="16" t="s">
        <v>114</v>
      </c>
      <c r="U564" s="15" t="s">
        <v>17977</v>
      </c>
      <c r="W564" s="15">
        <v>2826</v>
      </c>
      <c r="X564" s="15">
        <v>574</v>
      </c>
      <c r="Y564" s="15" t="s">
        <v>160</v>
      </c>
      <c r="Z564" s="15" t="s">
        <v>161</v>
      </c>
      <c r="AA564" s="15" t="s">
        <v>162</v>
      </c>
      <c r="AB564" s="15" t="s">
        <v>13748</v>
      </c>
      <c r="AC564" s="15" t="s">
        <v>13748</v>
      </c>
      <c r="AD564" s="15" t="s">
        <v>13748</v>
      </c>
      <c r="AE564" s="15" t="s">
        <v>164</v>
      </c>
      <c r="AF564" s="15" t="s">
        <v>13748</v>
      </c>
      <c r="AG564" s="15" t="s">
        <v>13748</v>
      </c>
      <c r="AH564" s="47" t="s">
        <v>13749</v>
      </c>
      <c r="AL564" s="15" t="s">
        <v>13750</v>
      </c>
      <c r="AN564" s="15">
        <v>743</v>
      </c>
      <c r="AO564" s="15" t="s">
        <v>13751</v>
      </c>
      <c r="AQ564" s="17" t="s">
        <v>3598</v>
      </c>
      <c r="AT564" s="15" t="s">
        <v>13752</v>
      </c>
      <c r="AU564" s="18" t="s">
        <v>13753</v>
      </c>
      <c r="AV564" s="18" t="s">
        <v>13753</v>
      </c>
      <c r="AW564" s="15" t="s">
        <v>13754</v>
      </c>
      <c r="AX564" s="15" t="s">
        <v>13754</v>
      </c>
      <c r="AY564" s="15">
        <f t="shared" si="11"/>
        <v>55</v>
      </c>
      <c r="AZ564" s="18" t="s">
        <v>3603</v>
      </c>
      <c r="BA564" s="18" t="s">
        <v>214</v>
      </c>
      <c r="BB564" s="18" t="s">
        <v>13723</v>
      </c>
      <c r="BE564" s="18" t="s">
        <v>12677</v>
      </c>
      <c r="BJ564" s="18" t="s">
        <v>13755</v>
      </c>
      <c r="BN564" s="18" t="s">
        <v>179</v>
      </c>
      <c r="BP564" s="18" t="s">
        <v>138</v>
      </c>
      <c r="BS564" s="15" t="s">
        <v>13756</v>
      </c>
      <c r="DH564" s="15" t="s">
        <v>17982</v>
      </c>
      <c r="DI564" s="15" t="s">
        <v>17982</v>
      </c>
    </row>
    <row r="565" spans="1:113" s="15" customFormat="1" ht="12.75" x14ac:dyDescent="0.2">
      <c r="A565" s="15" t="s">
        <v>109</v>
      </c>
      <c r="B565" s="15" t="s">
        <v>110</v>
      </c>
      <c r="D565" s="15" t="s">
        <v>159</v>
      </c>
      <c r="E565" s="15" t="s">
        <v>112</v>
      </c>
      <c r="F565" s="15" t="s">
        <v>159</v>
      </c>
      <c r="G565" s="15" t="s">
        <v>113</v>
      </c>
      <c r="H565" s="15" t="s">
        <v>383</v>
      </c>
      <c r="J565" s="16" t="s">
        <v>114</v>
      </c>
      <c r="U565" s="15" t="s">
        <v>17977</v>
      </c>
      <c r="W565" s="15">
        <v>3525</v>
      </c>
      <c r="X565" s="15">
        <v>575</v>
      </c>
      <c r="Y565" s="15" t="s">
        <v>160</v>
      </c>
      <c r="Z565" s="15" t="s">
        <v>161</v>
      </c>
      <c r="AA565" s="15" t="s">
        <v>162</v>
      </c>
      <c r="AB565" s="15" t="s">
        <v>17119</v>
      </c>
      <c r="AC565" s="15" t="s">
        <v>17119</v>
      </c>
      <c r="AD565" s="15" t="s">
        <v>17119</v>
      </c>
      <c r="AE565" s="15" t="s">
        <v>164</v>
      </c>
      <c r="AF565" s="15" t="s">
        <v>17119</v>
      </c>
      <c r="AG565" s="15" t="s">
        <v>17119</v>
      </c>
      <c r="AH565" s="15" t="s">
        <v>17120</v>
      </c>
      <c r="AL565" s="15" t="s">
        <v>17121</v>
      </c>
      <c r="AN565" s="15">
        <v>743</v>
      </c>
      <c r="AO565" s="15" t="s">
        <v>17122</v>
      </c>
      <c r="AQ565" s="17" t="s">
        <v>3598</v>
      </c>
      <c r="AT565" s="15" t="s">
        <v>17123</v>
      </c>
      <c r="AU565" s="18" t="s">
        <v>17124</v>
      </c>
      <c r="AV565" s="18" t="s">
        <v>17124</v>
      </c>
      <c r="AW565" s="15" t="s">
        <v>17125</v>
      </c>
      <c r="AX565" s="15" t="s">
        <v>17126</v>
      </c>
      <c r="AY565" s="15">
        <f t="shared" si="11"/>
        <v>59</v>
      </c>
      <c r="AZ565" s="18" t="s">
        <v>3603</v>
      </c>
      <c r="BA565" s="18" t="s">
        <v>214</v>
      </c>
      <c r="BB565" s="18" t="s">
        <v>13723</v>
      </c>
      <c r="BE565" s="18" t="s">
        <v>15297</v>
      </c>
      <c r="BJ565" s="18" t="s">
        <v>13755</v>
      </c>
      <c r="BN565" s="18" t="s">
        <v>179</v>
      </c>
      <c r="BO565" s="18" t="s">
        <v>16602</v>
      </c>
      <c r="BP565" s="18" t="s">
        <v>138</v>
      </c>
      <c r="BS565" s="15" t="s">
        <v>17127</v>
      </c>
      <c r="DH565" s="15" t="s">
        <v>17982</v>
      </c>
      <c r="DI565" s="15" t="s">
        <v>17982</v>
      </c>
    </row>
    <row r="566" spans="1:113" s="15" customFormat="1" ht="12.75" x14ac:dyDescent="0.2">
      <c r="A566" s="15" t="s">
        <v>109</v>
      </c>
      <c r="B566" s="15" t="s">
        <v>110</v>
      </c>
      <c r="D566" s="15" t="s">
        <v>159</v>
      </c>
      <c r="E566" s="15" t="s">
        <v>112</v>
      </c>
      <c r="F566" s="15" t="s">
        <v>159</v>
      </c>
      <c r="G566" s="15" t="s">
        <v>113</v>
      </c>
      <c r="H566" s="15" t="s">
        <v>383</v>
      </c>
      <c r="J566" s="16" t="s">
        <v>114</v>
      </c>
      <c r="U566" s="15" t="s">
        <v>17977</v>
      </c>
      <c r="W566" s="15">
        <v>3478</v>
      </c>
      <c r="X566" s="15">
        <v>576</v>
      </c>
      <c r="Y566" s="15" t="s">
        <v>160</v>
      </c>
      <c r="Z566" s="15" t="s">
        <v>161</v>
      </c>
      <c r="AA566" s="15" t="s">
        <v>162</v>
      </c>
      <c r="AB566" s="15" t="s">
        <v>16795</v>
      </c>
      <c r="AC566" s="15" t="s">
        <v>16795</v>
      </c>
      <c r="AD566" s="15" t="s">
        <v>16795</v>
      </c>
      <c r="AE566" s="15" t="s">
        <v>164</v>
      </c>
      <c r="AF566" s="15" t="s">
        <v>16795</v>
      </c>
      <c r="AG566" s="15" t="s">
        <v>16795</v>
      </c>
      <c r="AH566" s="15" t="s">
        <v>16796</v>
      </c>
      <c r="AL566" s="15" t="s">
        <v>16797</v>
      </c>
      <c r="AN566" s="15">
        <v>743</v>
      </c>
      <c r="AO566" s="15" t="s">
        <v>16798</v>
      </c>
      <c r="AQ566" s="17" t="s">
        <v>3598</v>
      </c>
      <c r="AT566" s="15" t="s">
        <v>16799</v>
      </c>
      <c r="AU566" s="18" t="s">
        <v>16800</v>
      </c>
      <c r="AV566" s="18" t="s">
        <v>16800</v>
      </c>
      <c r="AW566" s="15" t="s">
        <v>16801</v>
      </c>
      <c r="AX566" s="15" t="s">
        <v>16801</v>
      </c>
      <c r="AY566" s="15">
        <f t="shared" si="11"/>
        <v>43</v>
      </c>
      <c r="AZ566" s="18" t="s">
        <v>3603</v>
      </c>
      <c r="BA566" s="18" t="s">
        <v>214</v>
      </c>
      <c r="BB566" s="18" t="s">
        <v>16793</v>
      </c>
      <c r="BE566" s="18" t="s">
        <v>275</v>
      </c>
      <c r="BJ566" s="18" t="s">
        <v>16802</v>
      </c>
      <c r="BN566" s="18" t="s">
        <v>179</v>
      </c>
      <c r="BO566" s="18" t="s">
        <v>16602</v>
      </c>
      <c r="BP566" s="18" t="s">
        <v>138</v>
      </c>
      <c r="BS566" s="15" t="s">
        <v>16803</v>
      </c>
      <c r="DH566" s="15" t="s">
        <v>17982</v>
      </c>
      <c r="DI566" s="15" t="s">
        <v>17982</v>
      </c>
    </row>
    <row r="567" spans="1:113" s="15" customFormat="1" ht="12.75" x14ac:dyDescent="0.2">
      <c r="A567" s="15" t="s">
        <v>109</v>
      </c>
      <c r="B567" s="15" t="s">
        <v>110</v>
      </c>
      <c r="D567" s="15" t="s">
        <v>159</v>
      </c>
      <c r="E567" s="15" t="s">
        <v>112</v>
      </c>
      <c r="F567" s="15" t="s">
        <v>159</v>
      </c>
      <c r="G567" s="15" t="s">
        <v>113</v>
      </c>
      <c r="H567" s="15" t="s">
        <v>383</v>
      </c>
      <c r="J567" s="16" t="s">
        <v>114</v>
      </c>
      <c r="U567" s="15" t="s">
        <v>17977</v>
      </c>
      <c r="W567" s="15">
        <v>3477</v>
      </c>
      <c r="X567" s="15">
        <v>577</v>
      </c>
      <c r="Y567" s="15" t="s">
        <v>160</v>
      </c>
      <c r="Z567" s="15" t="s">
        <v>161</v>
      </c>
      <c r="AA567" s="15" t="s">
        <v>162</v>
      </c>
      <c r="AB567" s="15" t="s">
        <v>16786</v>
      </c>
      <c r="AC567" s="15" t="s">
        <v>16786</v>
      </c>
      <c r="AD567" s="15" t="s">
        <v>16786</v>
      </c>
      <c r="AE567" s="15" t="s">
        <v>164</v>
      </c>
      <c r="AF567" s="15" t="s">
        <v>16786</v>
      </c>
      <c r="AG567" s="15" t="s">
        <v>16786</v>
      </c>
      <c r="AH567" s="15" t="s">
        <v>16787</v>
      </c>
      <c r="AL567" s="15" t="s">
        <v>16788</v>
      </c>
      <c r="AN567" s="15">
        <v>743</v>
      </c>
      <c r="AO567" s="15" t="s">
        <v>16789</v>
      </c>
      <c r="AQ567" s="17" t="s">
        <v>3598</v>
      </c>
      <c r="AT567" s="15" t="s">
        <v>16790</v>
      </c>
      <c r="AU567" s="18" t="s">
        <v>16791</v>
      </c>
      <c r="AV567" s="18" t="s">
        <v>16791</v>
      </c>
      <c r="AW567" s="15" t="s">
        <v>16792</v>
      </c>
      <c r="AX567" s="15" t="s">
        <v>16792</v>
      </c>
      <c r="AY567" s="15">
        <f t="shared" si="11"/>
        <v>43</v>
      </c>
      <c r="AZ567" s="18" t="s">
        <v>3603</v>
      </c>
      <c r="BA567" s="18" t="s">
        <v>214</v>
      </c>
      <c r="BB567" s="18" t="s">
        <v>16793</v>
      </c>
      <c r="BE567" s="18" t="s">
        <v>275</v>
      </c>
      <c r="BJ567" s="18" t="s">
        <v>3453</v>
      </c>
      <c r="BN567" s="18" t="s">
        <v>179</v>
      </c>
      <c r="BO567" s="18" t="s">
        <v>16602</v>
      </c>
      <c r="BP567" s="18" t="s">
        <v>138</v>
      </c>
      <c r="BS567" s="15" t="s">
        <v>16794</v>
      </c>
      <c r="DH567" s="15" t="s">
        <v>17982</v>
      </c>
      <c r="DI567" s="15" t="s">
        <v>17982</v>
      </c>
    </row>
    <row r="568" spans="1:113" s="15" customFormat="1" ht="12.75" x14ac:dyDescent="0.2">
      <c r="A568" s="15" t="s">
        <v>109</v>
      </c>
      <c r="B568" s="15" t="s">
        <v>110</v>
      </c>
      <c r="D568" s="15" t="s">
        <v>159</v>
      </c>
      <c r="E568" s="15" t="s">
        <v>112</v>
      </c>
      <c r="F568" s="15" t="s">
        <v>159</v>
      </c>
      <c r="G568" s="15" t="s">
        <v>113</v>
      </c>
      <c r="H568" s="15" t="s">
        <v>383</v>
      </c>
      <c r="J568" s="16" t="s">
        <v>114</v>
      </c>
      <c r="U568" s="15" t="s">
        <v>17977</v>
      </c>
      <c r="W568" s="15">
        <v>3454</v>
      </c>
      <c r="X568" s="15">
        <v>578</v>
      </c>
      <c r="Y568" s="15" t="s">
        <v>160</v>
      </c>
      <c r="Z568" s="15" t="s">
        <v>161</v>
      </c>
      <c r="AA568" s="15" t="s">
        <v>162</v>
      </c>
      <c r="AB568" s="15" t="s">
        <v>16658</v>
      </c>
      <c r="AC568" s="15" t="s">
        <v>16658</v>
      </c>
      <c r="AD568" s="15" t="s">
        <v>16658</v>
      </c>
      <c r="AE568" s="15" t="s">
        <v>164</v>
      </c>
      <c r="AF568" s="15" t="s">
        <v>16658</v>
      </c>
      <c r="AG568" s="15" t="s">
        <v>16658</v>
      </c>
      <c r="AH568" s="15" t="s">
        <v>16659</v>
      </c>
      <c r="AL568" s="15" t="s">
        <v>16660</v>
      </c>
      <c r="AN568" s="15">
        <v>743</v>
      </c>
      <c r="AO568" s="15" t="s">
        <v>16661</v>
      </c>
      <c r="AQ568" s="17" t="s">
        <v>3598</v>
      </c>
      <c r="AT568" s="15" t="s">
        <v>16662</v>
      </c>
      <c r="AU568" s="18" t="s">
        <v>16663</v>
      </c>
      <c r="AV568" s="18" t="s">
        <v>16663</v>
      </c>
      <c r="AW568" s="15" t="s">
        <v>16664</v>
      </c>
      <c r="AX568" s="15" t="s">
        <v>16664</v>
      </c>
      <c r="AY568" s="15">
        <f t="shared" si="11"/>
        <v>43</v>
      </c>
      <c r="AZ568" s="18" t="s">
        <v>3603</v>
      </c>
      <c r="BA568" s="18" t="s">
        <v>214</v>
      </c>
      <c r="BB568" s="18" t="s">
        <v>15239</v>
      </c>
      <c r="BE568" s="18" t="s">
        <v>241</v>
      </c>
      <c r="BJ568" s="18" t="s">
        <v>4919</v>
      </c>
      <c r="BN568" s="18" t="s">
        <v>179</v>
      </c>
      <c r="BO568" s="18" t="s">
        <v>16602</v>
      </c>
      <c r="BP568" s="18" t="s">
        <v>138</v>
      </c>
      <c r="BS568" s="15" t="s">
        <v>16665</v>
      </c>
      <c r="DH568" s="15" t="s">
        <v>17982</v>
      </c>
      <c r="DI568" s="15" t="s">
        <v>17982</v>
      </c>
    </row>
    <row r="569" spans="1:113" s="15" customFormat="1" ht="12.75" x14ac:dyDescent="0.2">
      <c r="A569" s="15" t="s">
        <v>109</v>
      </c>
      <c r="B569" s="15" t="s">
        <v>110</v>
      </c>
      <c r="D569" s="15" t="s">
        <v>159</v>
      </c>
      <c r="E569" s="15" t="s">
        <v>112</v>
      </c>
      <c r="F569" s="15" t="s">
        <v>159</v>
      </c>
      <c r="G569" s="15" t="s">
        <v>113</v>
      </c>
      <c r="H569" s="15" t="s">
        <v>383</v>
      </c>
      <c r="J569" s="16" t="s">
        <v>114</v>
      </c>
      <c r="U569" s="15" t="s">
        <v>17977</v>
      </c>
      <c r="W569" s="15">
        <v>3455</v>
      </c>
      <c r="X569" s="15">
        <v>579</v>
      </c>
      <c r="Y569" s="15" t="s">
        <v>160</v>
      </c>
      <c r="Z569" s="15" t="s">
        <v>161</v>
      </c>
      <c r="AA569" s="15" t="s">
        <v>162</v>
      </c>
      <c r="AB569" s="15" t="s">
        <v>16666</v>
      </c>
      <c r="AC569" s="15" t="s">
        <v>16666</v>
      </c>
      <c r="AD569" s="15" t="s">
        <v>16666</v>
      </c>
      <c r="AE569" s="15" t="s">
        <v>164</v>
      </c>
      <c r="AF569" s="15" t="s">
        <v>16666</v>
      </c>
      <c r="AG569" s="15" t="s">
        <v>16666</v>
      </c>
      <c r="AH569" s="15" t="s">
        <v>16667</v>
      </c>
      <c r="AL569" s="15" t="s">
        <v>16668</v>
      </c>
      <c r="AN569" s="15">
        <v>743</v>
      </c>
      <c r="AO569" s="15" t="s">
        <v>16669</v>
      </c>
      <c r="AQ569" s="17" t="s">
        <v>3598</v>
      </c>
      <c r="AT569" s="15" t="s">
        <v>16662</v>
      </c>
      <c r="AU569" s="18" t="s">
        <v>16670</v>
      </c>
      <c r="AV569" s="18" t="s">
        <v>16670</v>
      </c>
      <c r="AW569" s="15" t="s">
        <v>16671</v>
      </c>
      <c r="AX569" s="15" t="s">
        <v>16671</v>
      </c>
      <c r="AY569" s="15">
        <f t="shared" si="11"/>
        <v>42</v>
      </c>
      <c r="AZ569" s="18" t="s">
        <v>3603</v>
      </c>
      <c r="BA569" s="18" t="s">
        <v>214</v>
      </c>
      <c r="BB569" s="18" t="s">
        <v>15239</v>
      </c>
      <c r="BE569" s="18" t="s">
        <v>1701</v>
      </c>
      <c r="BJ569" s="18" t="s">
        <v>4919</v>
      </c>
      <c r="BN569" s="18" t="s">
        <v>179</v>
      </c>
      <c r="BO569" s="18" t="s">
        <v>16602</v>
      </c>
      <c r="BP569" s="18" t="s">
        <v>138</v>
      </c>
      <c r="BS569" s="15" t="s">
        <v>16672</v>
      </c>
      <c r="DH569" s="15" t="s">
        <v>17982</v>
      </c>
      <c r="DI569" s="15" t="s">
        <v>17982</v>
      </c>
    </row>
    <row r="570" spans="1:113" s="15" customFormat="1" ht="12.75" x14ac:dyDescent="0.2">
      <c r="A570" s="15" t="s">
        <v>109</v>
      </c>
      <c r="B570" s="15" t="s">
        <v>110</v>
      </c>
      <c r="D570" s="15" t="s">
        <v>159</v>
      </c>
      <c r="E570" s="15" t="s">
        <v>112</v>
      </c>
      <c r="F570" s="15" t="s">
        <v>159</v>
      </c>
      <c r="G570" s="15" t="s">
        <v>113</v>
      </c>
      <c r="H570" s="15" t="s">
        <v>383</v>
      </c>
      <c r="J570" s="16" t="s">
        <v>114</v>
      </c>
      <c r="U570" s="15" t="s">
        <v>17977</v>
      </c>
      <c r="W570" s="15">
        <v>3456</v>
      </c>
      <c r="X570" s="15">
        <v>580</v>
      </c>
      <c r="Y570" s="15" t="s">
        <v>160</v>
      </c>
      <c r="Z570" s="15" t="s">
        <v>161</v>
      </c>
      <c r="AA570" s="15" t="s">
        <v>162</v>
      </c>
      <c r="AB570" s="15" t="s">
        <v>16673</v>
      </c>
      <c r="AC570" s="15" t="s">
        <v>16673</v>
      </c>
      <c r="AD570" s="15" t="s">
        <v>16674</v>
      </c>
      <c r="AE570" s="15" t="s">
        <v>164</v>
      </c>
      <c r="AF570" s="15" t="s">
        <v>16674</v>
      </c>
      <c r="AG570" s="15" t="s">
        <v>16673</v>
      </c>
      <c r="AH570" s="15" t="s">
        <v>16675</v>
      </c>
      <c r="AL570" s="15" t="s">
        <v>16676</v>
      </c>
      <c r="AN570" s="15">
        <v>743</v>
      </c>
      <c r="AO570" s="15" t="s">
        <v>16677</v>
      </c>
      <c r="AQ570" s="17" t="s">
        <v>3598</v>
      </c>
      <c r="AT570" s="15" t="s">
        <v>16678</v>
      </c>
      <c r="AU570" s="18" t="s">
        <v>16679</v>
      </c>
      <c r="AV570" s="18" t="s">
        <v>16679</v>
      </c>
      <c r="AW570" s="15" t="s">
        <v>16680</v>
      </c>
      <c r="AX570" s="15" t="s">
        <v>16680</v>
      </c>
      <c r="AY570" s="15">
        <f t="shared" si="11"/>
        <v>45</v>
      </c>
      <c r="AZ570" s="18" t="s">
        <v>3603</v>
      </c>
      <c r="BA570" s="18" t="s">
        <v>214</v>
      </c>
      <c r="BB570" s="18" t="s">
        <v>15239</v>
      </c>
      <c r="BE570" s="18" t="s">
        <v>1701</v>
      </c>
      <c r="BJ570" s="18" t="s">
        <v>3604</v>
      </c>
      <c r="BN570" s="18" t="s">
        <v>179</v>
      </c>
      <c r="BO570" s="18" t="s">
        <v>16602</v>
      </c>
      <c r="BP570" s="18" t="s">
        <v>138</v>
      </c>
      <c r="BS570" s="15" t="s">
        <v>16681</v>
      </c>
      <c r="DH570" s="15" t="s">
        <v>17982</v>
      </c>
      <c r="DI570" s="15" t="s">
        <v>17982</v>
      </c>
    </row>
    <row r="571" spans="1:113" s="15" customFormat="1" ht="12.75" x14ac:dyDescent="0.2">
      <c r="A571" s="15" t="s">
        <v>109</v>
      </c>
      <c r="B571" s="15" t="s">
        <v>110</v>
      </c>
      <c r="D571" s="15" t="s">
        <v>159</v>
      </c>
      <c r="E571" s="15" t="s">
        <v>112</v>
      </c>
      <c r="F571" s="15" t="s">
        <v>159</v>
      </c>
      <c r="G571" s="15" t="s">
        <v>113</v>
      </c>
      <c r="H571" s="15" t="s">
        <v>383</v>
      </c>
      <c r="J571" s="16" t="s">
        <v>114</v>
      </c>
      <c r="U571" s="15" t="s">
        <v>17977</v>
      </c>
      <c r="W571" s="15">
        <v>3457</v>
      </c>
      <c r="X571" s="15">
        <v>581</v>
      </c>
      <c r="Y571" s="15" t="s">
        <v>160</v>
      </c>
      <c r="Z571" s="15" t="s">
        <v>161</v>
      </c>
      <c r="AA571" s="15" t="s">
        <v>162</v>
      </c>
      <c r="AB571" s="15" t="s">
        <v>16682</v>
      </c>
      <c r="AC571" s="15" t="s">
        <v>16682</v>
      </c>
      <c r="AD571" s="15" t="s">
        <v>16682</v>
      </c>
      <c r="AE571" s="15" t="s">
        <v>164</v>
      </c>
      <c r="AF571" s="15" t="s">
        <v>16682</v>
      </c>
      <c r="AG571" s="15" t="s">
        <v>16682</v>
      </c>
      <c r="AH571" s="15" t="s">
        <v>16683</v>
      </c>
      <c r="AL571" s="15" t="s">
        <v>16684</v>
      </c>
      <c r="AN571" s="15">
        <v>743</v>
      </c>
      <c r="AO571" s="15" t="s">
        <v>16685</v>
      </c>
      <c r="AQ571" s="17" t="s">
        <v>3598</v>
      </c>
      <c r="AT571" s="15" t="s">
        <v>16686</v>
      </c>
      <c r="AU571" s="18" t="s">
        <v>16687</v>
      </c>
      <c r="AV571" s="18" t="s">
        <v>16687</v>
      </c>
      <c r="AW571" s="15" t="s">
        <v>16688</v>
      </c>
      <c r="AX571" s="15" t="s">
        <v>16689</v>
      </c>
      <c r="AY571" s="15">
        <f t="shared" si="11"/>
        <v>59</v>
      </c>
      <c r="AZ571" s="18" t="s">
        <v>3603</v>
      </c>
      <c r="BA571" s="18" t="s">
        <v>214</v>
      </c>
      <c r="BB571" s="18" t="s">
        <v>15239</v>
      </c>
      <c r="BE571" s="18" t="s">
        <v>585</v>
      </c>
      <c r="BJ571" s="18" t="s">
        <v>16690</v>
      </c>
      <c r="BK571" s="18"/>
      <c r="BN571" s="18" t="s">
        <v>179</v>
      </c>
      <c r="BO571" s="18" t="s">
        <v>16602</v>
      </c>
      <c r="BP571" s="18" t="s">
        <v>138</v>
      </c>
      <c r="BS571" s="15" t="s">
        <v>16691</v>
      </c>
      <c r="DH571" s="15" t="s">
        <v>17982</v>
      </c>
      <c r="DI571" s="15" t="s">
        <v>17982</v>
      </c>
    </row>
    <row r="572" spans="1:113" s="15" customFormat="1" ht="12.75" x14ac:dyDescent="0.2">
      <c r="A572" s="15" t="s">
        <v>109</v>
      </c>
      <c r="B572" s="15" t="s">
        <v>110</v>
      </c>
      <c r="D572" s="15" t="s">
        <v>159</v>
      </c>
      <c r="E572" s="15" t="s">
        <v>112</v>
      </c>
      <c r="F572" s="15" t="s">
        <v>159</v>
      </c>
      <c r="G572" s="15" t="s">
        <v>113</v>
      </c>
      <c r="H572" s="15" t="s">
        <v>383</v>
      </c>
      <c r="J572" s="16" t="s">
        <v>114</v>
      </c>
      <c r="U572" s="15" t="s">
        <v>17977</v>
      </c>
      <c r="W572" s="15">
        <v>3575</v>
      </c>
      <c r="X572" s="15">
        <v>582</v>
      </c>
      <c r="Y572" s="15" t="s">
        <v>160</v>
      </c>
      <c r="Z572" s="15" t="s">
        <v>161</v>
      </c>
      <c r="AA572" s="15" t="s">
        <v>162</v>
      </c>
      <c r="AB572" s="15" t="s">
        <v>17292</v>
      </c>
      <c r="AC572" s="15" t="s">
        <v>17292</v>
      </c>
      <c r="AD572" s="15" t="s">
        <v>17292</v>
      </c>
      <c r="AE572" s="15" t="s">
        <v>164</v>
      </c>
      <c r="AF572" s="15" t="s">
        <v>17292</v>
      </c>
      <c r="AG572" s="15" t="s">
        <v>17292</v>
      </c>
      <c r="AH572" s="15" t="s">
        <v>17293</v>
      </c>
      <c r="AL572" s="15" t="s">
        <v>17294</v>
      </c>
      <c r="AN572" s="15">
        <v>743</v>
      </c>
      <c r="AO572" s="15" t="s">
        <v>17295</v>
      </c>
      <c r="AQ572" s="17" t="s">
        <v>3598</v>
      </c>
      <c r="AT572" s="15" t="s">
        <v>17296</v>
      </c>
      <c r="AU572" s="18" t="s">
        <v>17297</v>
      </c>
      <c r="AV572" s="18" t="s">
        <v>17297</v>
      </c>
      <c r="AW572" s="15" t="s">
        <v>17298</v>
      </c>
      <c r="AX572" s="15" t="s">
        <v>17298</v>
      </c>
      <c r="AY572" s="15">
        <f t="shared" si="11"/>
        <v>52</v>
      </c>
      <c r="AZ572" s="18" t="s">
        <v>3603</v>
      </c>
      <c r="BA572" s="18" t="s">
        <v>214</v>
      </c>
      <c r="BB572" s="18" t="s">
        <v>17188</v>
      </c>
      <c r="BE572" s="18" t="s">
        <v>2427</v>
      </c>
      <c r="BJ572" s="18" t="s">
        <v>5016</v>
      </c>
      <c r="BN572" s="18" t="s">
        <v>179</v>
      </c>
      <c r="BO572" s="18" t="s">
        <v>16602</v>
      </c>
      <c r="BP572" s="18" t="s">
        <v>138</v>
      </c>
      <c r="BS572" s="15" t="s">
        <v>17299</v>
      </c>
      <c r="DH572" s="15" t="s">
        <v>17982</v>
      </c>
      <c r="DI572" s="15" t="s">
        <v>17982</v>
      </c>
    </row>
    <row r="573" spans="1:113" s="15" customFormat="1" ht="12.75" x14ac:dyDescent="0.2">
      <c r="A573" s="15" t="s">
        <v>109</v>
      </c>
      <c r="B573" s="15" t="s">
        <v>110</v>
      </c>
      <c r="D573" s="15" t="s">
        <v>159</v>
      </c>
      <c r="E573" s="15" t="s">
        <v>112</v>
      </c>
      <c r="F573" s="15" t="s">
        <v>159</v>
      </c>
      <c r="G573" s="15" t="s">
        <v>113</v>
      </c>
      <c r="H573" s="15" t="s">
        <v>383</v>
      </c>
      <c r="J573" s="16" t="s">
        <v>114</v>
      </c>
      <c r="U573" s="15" t="s">
        <v>17977</v>
      </c>
      <c r="W573" s="15">
        <v>3534</v>
      </c>
      <c r="X573" s="15">
        <v>583</v>
      </c>
      <c r="Y573" s="15" t="s">
        <v>160</v>
      </c>
      <c r="Z573" s="15" t="s">
        <v>161</v>
      </c>
      <c r="AA573" s="15" t="s">
        <v>162</v>
      </c>
      <c r="AB573" s="15" t="s">
        <v>17180</v>
      </c>
      <c r="AC573" s="15" t="s">
        <v>17180</v>
      </c>
      <c r="AD573" s="15" t="s">
        <v>17180</v>
      </c>
      <c r="AE573" s="15" t="s">
        <v>164</v>
      </c>
      <c r="AF573" s="15" t="s">
        <v>17180</v>
      </c>
      <c r="AG573" s="15" t="s">
        <v>17180</v>
      </c>
      <c r="AH573" s="15" t="s">
        <v>17181</v>
      </c>
      <c r="AL573" s="15" t="s">
        <v>17182</v>
      </c>
      <c r="AN573" s="15">
        <v>743</v>
      </c>
      <c r="AO573" s="15" t="s">
        <v>17183</v>
      </c>
      <c r="AQ573" s="17" t="s">
        <v>3598</v>
      </c>
      <c r="AT573" s="15" t="s">
        <v>17184</v>
      </c>
      <c r="AU573" s="18" t="s">
        <v>17185</v>
      </c>
      <c r="AV573" s="18" t="s">
        <v>17185</v>
      </c>
      <c r="AW573" s="15" t="s">
        <v>17186</v>
      </c>
      <c r="AX573" s="15" t="s">
        <v>17187</v>
      </c>
      <c r="AY573" s="15">
        <f t="shared" si="11"/>
        <v>59</v>
      </c>
      <c r="AZ573" s="18" t="s">
        <v>3603</v>
      </c>
      <c r="BA573" s="18" t="s">
        <v>214</v>
      </c>
      <c r="BB573" s="18" t="s">
        <v>17188</v>
      </c>
      <c r="BE573" s="18" t="s">
        <v>2427</v>
      </c>
      <c r="BJ573" s="18" t="s">
        <v>16824</v>
      </c>
      <c r="BK573" s="18"/>
      <c r="BN573" s="18" t="s">
        <v>179</v>
      </c>
      <c r="BO573" s="18" t="s">
        <v>16602</v>
      </c>
      <c r="BP573" s="18" t="s">
        <v>138</v>
      </c>
      <c r="BS573" s="15" t="s">
        <v>17189</v>
      </c>
      <c r="DH573" s="15" t="s">
        <v>17982</v>
      </c>
      <c r="DI573" s="15" t="s">
        <v>17982</v>
      </c>
    </row>
    <row r="574" spans="1:113" s="15" customFormat="1" ht="12.75" x14ac:dyDescent="0.2">
      <c r="A574" s="15" t="s">
        <v>109</v>
      </c>
      <c r="B574" s="15" t="s">
        <v>110</v>
      </c>
      <c r="D574" s="15" t="s">
        <v>159</v>
      </c>
      <c r="E574" s="15" t="s">
        <v>112</v>
      </c>
      <c r="F574" s="15" t="s">
        <v>159</v>
      </c>
      <c r="G574" s="15" t="s">
        <v>113</v>
      </c>
      <c r="H574" s="15" t="s">
        <v>383</v>
      </c>
      <c r="J574" s="16" t="s">
        <v>114</v>
      </c>
      <c r="U574" s="15" t="s">
        <v>17977</v>
      </c>
      <c r="W574" s="15">
        <v>3482</v>
      </c>
      <c r="X574" s="15">
        <v>584</v>
      </c>
      <c r="Y574" s="15" t="s">
        <v>160</v>
      </c>
      <c r="Z574" s="15" t="s">
        <v>161</v>
      </c>
      <c r="AA574" s="15" t="s">
        <v>162</v>
      </c>
      <c r="AB574" s="15" t="s">
        <v>16815</v>
      </c>
      <c r="AC574" s="15" t="s">
        <v>16815</v>
      </c>
      <c r="AD574" s="15" t="s">
        <v>16815</v>
      </c>
      <c r="AE574" s="15" t="s">
        <v>164</v>
      </c>
      <c r="AF574" s="15" t="s">
        <v>16815</v>
      </c>
      <c r="AG574" s="15" t="s">
        <v>16815</v>
      </c>
      <c r="AH574" s="15" t="s">
        <v>16816</v>
      </c>
      <c r="AL574" s="15" t="s">
        <v>16817</v>
      </c>
      <c r="AN574" s="15">
        <v>743</v>
      </c>
      <c r="AO574" s="15" t="s">
        <v>16818</v>
      </c>
      <c r="AQ574" s="17" t="s">
        <v>3598</v>
      </c>
      <c r="AT574" s="15" t="s">
        <v>16819</v>
      </c>
      <c r="AU574" s="18" t="s">
        <v>16820</v>
      </c>
      <c r="AV574" s="18" t="s">
        <v>16820</v>
      </c>
      <c r="AW574" s="15" t="s">
        <v>16821</v>
      </c>
      <c r="AX574" s="15" t="s">
        <v>16822</v>
      </c>
      <c r="AY574" s="15">
        <f t="shared" si="11"/>
        <v>60</v>
      </c>
      <c r="AZ574" s="18" t="s">
        <v>3603</v>
      </c>
      <c r="BA574" s="18" t="s">
        <v>214</v>
      </c>
      <c r="BB574" s="18" t="s">
        <v>16823</v>
      </c>
      <c r="BE574" s="18" t="s">
        <v>595</v>
      </c>
      <c r="BJ574" s="18" t="s">
        <v>16824</v>
      </c>
      <c r="BK574" s="18"/>
      <c r="BN574" s="18" t="s">
        <v>179</v>
      </c>
      <c r="BO574" s="18" t="s">
        <v>16602</v>
      </c>
      <c r="BP574" s="18" t="s">
        <v>138</v>
      </c>
      <c r="BS574" s="15" t="s">
        <v>16825</v>
      </c>
      <c r="DH574" s="15" t="s">
        <v>17982</v>
      </c>
      <c r="DI574" s="15" t="s">
        <v>17982</v>
      </c>
    </row>
    <row r="575" spans="1:113" s="15" customFormat="1" ht="12.75" x14ac:dyDescent="0.2">
      <c r="A575" s="15" t="s">
        <v>109</v>
      </c>
      <c r="B575" s="15" t="s">
        <v>110</v>
      </c>
      <c r="D575" s="15" t="s">
        <v>159</v>
      </c>
      <c r="E575" s="15" t="s">
        <v>112</v>
      </c>
      <c r="F575" s="15" t="s">
        <v>159</v>
      </c>
      <c r="G575" s="15" t="s">
        <v>113</v>
      </c>
      <c r="H575" s="15" t="s">
        <v>383</v>
      </c>
      <c r="J575" s="16" t="s">
        <v>114</v>
      </c>
      <c r="U575" s="15" t="s">
        <v>17977</v>
      </c>
      <c r="W575" s="15">
        <v>2132</v>
      </c>
      <c r="X575" s="15">
        <v>585</v>
      </c>
      <c r="Y575" s="15" t="s">
        <v>160</v>
      </c>
      <c r="Z575" s="15" t="s">
        <v>161</v>
      </c>
      <c r="AA575" s="15" t="s">
        <v>162</v>
      </c>
      <c r="AB575" s="15" t="s">
        <v>10904</v>
      </c>
      <c r="AC575" s="15" t="s">
        <v>10904</v>
      </c>
      <c r="AD575" s="15" t="s">
        <v>10904</v>
      </c>
      <c r="AE575" s="15" t="s">
        <v>164</v>
      </c>
      <c r="AF575" s="15" t="s">
        <v>10904</v>
      </c>
      <c r="AG575" s="15" t="s">
        <v>10904</v>
      </c>
      <c r="AH575" s="15" t="s">
        <v>10905</v>
      </c>
      <c r="AL575" s="15" t="s">
        <v>10906</v>
      </c>
      <c r="AN575" s="15">
        <v>743</v>
      </c>
      <c r="AO575" s="15" t="s">
        <v>10907</v>
      </c>
      <c r="AQ575" s="17" t="s">
        <v>3598</v>
      </c>
      <c r="AT575" s="15" t="s">
        <v>10908</v>
      </c>
      <c r="AU575" s="18" t="s">
        <v>10909</v>
      </c>
      <c r="AV575" s="18" t="s">
        <v>10909</v>
      </c>
      <c r="AW575" s="15" t="s">
        <v>10910</v>
      </c>
      <c r="AX575" s="15" t="s">
        <v>10910</v>
      </c>
      <c r="AY575" s="15">
        <f t="shared" si="11"/>
        <v>40</v>
      </c>
      <c r="AZ575" s="18" t="s">
        <v>3603</v>
      </c>
      <c r="BA575" s="18" t="s">
        <v>214</v>
      </c>
      <c r="BB575" s="18" t="s">
        <v>10911</v>
      </c>
      <c r="BE575" s="18" t="s">
        <v>10912</v>
      </c>
      <c r="BJ575" s="18" t="s">
        <v>10913</v>
      </c>
      <c r="BN575" s="18" t="s">
        <v>179</v>
      </c>
      <c r="BP575" s="18" t="s">
        <v>138</v>
      </c>
      <c r="BS575" s="15" t="s">
        <v>10914</v>
      </c>
      <c r="DH575" s="15" t="s">
        <v>17982</v>
      </c>
      <c r="DI575" s="15" t="s">
        <v>17982</v>
      </c>
    </row>
    <row r="576" spans="1:113" s="15" customFormat="1" ht="12.75" x14ac:dyDescent="0.2">
      <c r="A576" s="15" t="s">
        <v>109</v>
      </c>
      <c r="B576" s="15" t="s">
        <v>110</v>
      </c>
      <c r="D576" s="15" t="s">
        <v>159</v>
      </c>
      <c r="E576" s="15" t="s">
        <v>112</v>
      </c>
      <c r="F576" s="15" t="s">
        <v>159</v>
      </c>
      <c r="G576" s="15" t="s">
        <v>113</v>
      </c>
      <c r="H576" s="15" t="s">
        <v>383</v>
      </c>
      <c r="J576" s="16" t="s">
        <v>114</v>
      </c>
      <c r="U576" s="15" t="s">
        <v>17977</v>
      </c>
      <c r="W576" s="15">
        <v>3504</v>
      </c>
      <c r="X576" s="15">
        <v>586</v>
      </c>
      <c r="Y576" s="15" t="s">
        <v>160</v>
      </c>
      <c r="Z576" s="15" t="s">
        <v>161</v>
      </c>
      <c r="AA576" s="15" t="s">
        <v>162</v>
      </c>
      <c r="AB576" s="15" t="s">
        <v>16974</v>
      </c>
      <c r="AC576" s="15" t="s">
        <v>16974</v>
      </c>
      <c r="AD576" s="15" t="s">
        <v>16974</v>
      </c>
      <c r="AE576" s="15" t="s">
        <v>164</v>
      </c>
      <c r="AF576" s="15" t="s">
        <v>16974</v>
      </c>
      <c r="AG576" s="15" t="s">
        <v>16974</v>
      </c>
      <c r="AH576" s="15" t="s">
        <v>16975</v>
      </c>
      <c r="AL576" s="15" t="s">
        <v>16976</v>
      </c>
      <c r="AN576" s="15">
        <v>743</v>
      </c>
      <c r="AO576" s="15" t="s">
        <v>16977</v>
      </c>
      <c r="AQ576" s="17" t="s">
        <v>3598</v>
      </c>
      <c r="AT576" s="15" t="s">
        <v>16968</v>
      </c>
      <c r="AU576" s="18" t="s">
        <v>16978</v>
      </c>
      <c r="AV576" s="18" t="s">
        <v>16978</v>
      </c>
      <c r="AW576" s="15" t="s">
        <v>16979</v>
      </c>
      <c r="AX576" s="15" t="s">
        <v>16980</v>
      </c>
      <c r="AY576" s="15">
        <f t="shared" si="11"/>
        <v>59</v>
      </c>
      <c r="AZ576" s="18" t="s">
        <v>3603</v>
      </c>
      <c r="BA576" s="18" t="s">
        <v>214</v>
      </c>
      <c r="BC576" s="18"/>
      <c r="BE576" s="18" t="s">
        <v>241</v>
      </c>
      <c r="BI576" s="18" t="s">
        <v>11502</v>
      </c>
      <c r="BJ576" s="18" t="s">
        <v>16972</v>
      </c>
      <c r="BK576" s="18"/>
      <c r="BN576" s="18" t="s">
        <v>179</v>
      </c>
      <c r="BO576" s="18" t="s">
        <v>16602</v>
      </c>
      <c r="BP576" s="18" t="s">
        <v>138</v>
      </c>
      <c r="BS576" s="15" t="s">
        <v>16981</v>
      </c>
      <c r="DH576" s="15" t="s">
        <v>17982</v>
      </c>
      <c r="DI576" s="15" t="s">
        <v>17982</v>
      </c>
    </row>
    <row r="577" spans="1:113" s="15" customFormat="1" ht="12.75" x14ac:dyDescent="0.2">
      <c r="A577" s="15" t="s">
        <v>109</v>
      </c>
      <c r="B577" s="15" t="s">
        <v>110</v>
      </c>
      <c r="D577" s="15" t="s">
        <v>159</v>
      </c>
      <c r="E577" s="15" t="s">
        <v>112</v>
      </c>
      <c r="F577" s="15" t="s">
        <v>159</v>
      </c>
      <c r="G577" s="15" t="s">
        <v>113</v>
      </c>
      <c r="H577" s="15" t="s">
        <v>383</v>
      </c>
      <c r="J577" s="16" t="s">
        <v>114</v>
      </c>
      <c r="U577" s="15" t="s">
        <v>17977</v>
      </c>
      <c r="W577" s="15">
        <v>3505</v>
      </c>
      <c r="X577" s="15">
        <v>587</v>
      </c>
      <c r="Y577" s="15" t="s">
        <v>160</v>
      </c>
      <c r="Z577" s="15" t="s">
        <v>161</v>
      </c>
      <c r="AA577" s="15" t="s">
        <v>162</v>
      </c>
      <c r="AB577" s="15" t="s">
        <v>16982</v>
      </c>
      <c r="AC577" s="15" t="s">
        <v>16982</v>
      </c>
      <c r="AD577" s="15" t="s">
        <v>16982</v>
      </c>
      <c r="AE577" s="15" t="s">
        <v>164</v>
      </c>
      <c r="AF577" s="15" t="s">
        <v>16982</v>
      </c>
      <c r="AG577" s="15" t="s">
        <v>16982</v>
      </c>
      <c r="AH577" s="15" t="s">
        <v>16983</v>
      </c>
      <c r="AL577" s="15" t="s">
        <v>16984</v>
      </c>
      <c r="AN577" s="15">
        <v>743</v>
      </c>
      <c r="AO577" s="15" t="s">
        <v>16985</v>
      </c>
      <c r="AQ577" s="17" t="s">
        <v>3598</v>
      </c>
      <c r="AT577" s="15" t="s">
        <v>16968</v>
      </c>
      <c r="AU577" s="18" t="s">
        <v>16986</v>
      </c>
      <c r="AV577" s="18" t="s">
        <v>16986</v>
      </c>
      <c r="AW577" s="15" t="s">
        <v>16987</v>
      </c>
      <c r="AX577" s="15" t="s">
        <v>16988</v>
      </c>
      <c r="AY577" s="15">
        <f t="shared" si="11"/>
        <v>55</v>
      </c>
      <c r="AZ577" s="18" t="s">
        <v>3603</v>
      </c>
      <c r="BA577" s="18" t="s">
        <v>214</v>
      </c>
      <c r="BC577" s="18"/>
      <c r="BE577" s="18" t="s">
        <v>275</v>
      </c>
      <c r="BI577" s="18" t="s">
        <v>11502</v>
      </c>
      <c r="BJ577" s="18" t="s">
        <v>16972</v>
      </c>
      <c r="BK577" s="18"/>
      <c r="BN577" s="18" t="s">
        <v>179</v>
      </c>
      <c r="BO577" s="18" t="s">
        <v>16602</v>
      </c>
      <c r="BP577" s="18" t="s">
        <v>138</v>
      </c>
      <c r="BS577" s="15" t="s">
        <v>16989</v>
      </c>
      <c r="DH577" s="15" t="s">
        <v>17982</v>
      </c>
      <c r="DI577" s="15" t="s">
        <v>17982</v>
      </c>
    </row>
    <row r="578" spans="1:113" s="15" customFormat="1" ht="12.75" x14ac:dyDescent="0.2">
      <c r="A578" s="15" t="s">
        <v>109</v>
      </c>
      <c r="B578" s="15" t="s">
        <v>110</v>
      </c>
      <c r="D578" s="15" t="s">
        <v>159</v>
      </c>
      <c r="E578" s="15" t="s">
        <v>112</v>
      </c>
      <c r="F578" s="15" t="s">
        <v>159</v>
      </c>
      <c r="G578" s="15" t="s">
        <v>113</v>
      </c>
      <c r="H578" s="15" t="s">
        <v>383</v>
      </c>
      <c r="J578" s="16" t="s">
        <v>114</v>
      </c>
      <c r="U578" s="15" t="s">
        <v>17977</v>
      </c>
      <c r="W578" s="15">
        <v>3506</v>
      </c>
      <c r="X578" s="15">
        <v>588</v>
      </c>
      <c r="Y578" s="15" t="s">
        <v>160</v>
      </c>
      <c r="Z578" s="15" t="s">
        <v>161</v>
      </c>
      <c r="AA578" s="15" t="s">
        <v>162</v>
      </c>
      <c r="AB578" s="15" t="s">
        <v>16990</v>
      </c>
      <c r="AC578" s="15" t="s">
        <v>16990</v>
      </c>
      <c r="AD578" s="15" t="s">
        <v>16990</v>
      </c>
      <c r="AE578" s="15" t="s">
        <v>164</v>
      </c>
      <c r="AF578" s="15" t="s">
        <v>16990</v>
      </c>
      <c r="AG578" s="15" t="s">
        <v>16990</v>
      </c>
      <c r="AH578" s="15" t="s">
        <v>16991</v>
      </c>
      <c r="AL578" s="15" t="s">
        <v>16992</v>
      </c>
      <c r="AN578" s="15">
        <v>743</v>
      </c>
      <c r="AO578" s="15" t="s">
        <v>16993</v>
      </c>
      <c r="AQ578" s="17" t="s">
        <v>3598</v>
      </c>
      <c r="AT578" s="15" t="s">
        <v>16968</v>
      </c>
      <c r="AU578" s="18" t="s">
        <v>16994</v>
      </c>
      <c r="AV578" s="18" t="s">
        <v>16994</v>
      </c>
      <c r="AW578" s="15" t="s">
        <v>16995</v>
      </c>
      <c r="AX578" s="15" t="s">
        <v>16996</v>
      </c>
      <c r="AY578" s="15">
        <f t="shared" si="11"/>
        <v>55</v>
      </c>
      <c r="AZ578" s="18" t="s">
        <v>3603</v>
      </c>
      <c r="BA578" s="18" t="s">
        <v>214</v>
      </c>
      <c r="BC578" s="18"/>
      <c r="BE578" s="18" t="s">
        <v>176</v>
      </c>
      <c r="BI578" s="18" t="s">
        <v>11502</v>
      </c>
      <c r="BJ578" s="18" t="s">
        <v>16972</v>
      </c>
      <c r="BK578" s="18"/>
      <c r="BN578" s="18" t="s">
        <v>179</v>
      </c>
      <c r="BO578" s="18" t="s">
        <v>16602</v>
      </c>
      <c r="BP578" s="18" t="s">
        <v>138</v>
      </c>
      <c r="BS578" s="15" t="s">
        <v>16997</v>
      </c>
      <c r="DH578" s="15" t="s">
        <v>17982</v>
      </c>
      <c r="DI578" s="15" t="s">
        <v>17982</v>
      </c>
    </row>
    <row r="579" spans="1:113" s="15" customFormat="1" ht="12.75" x14ac:dyDescent="0.2">
      <c r="A579" s="15" t="s">
        <v>109</v>
      </c>
      <c r="B579" s="15" t="s">
        <v>110</v>
      </c>
      <c r="D579" s="15" t="s">
        <v>159</v>
      </c>
      <c r="E579" s="15" t="s">
        <v>112</v>
      </c>
      <c r="F579" s="15" t="s">
        <v>159</v>
      </c>
      <c r="G579" s="15" t="s">
        <v>113</v>
      </c>
      <c r="H579" s="15" t="s">
        <v>383</v>
      </c>
      <c r="J579" s="16" t="s">
        <v>114</v>
      </c>
      <c r="U579" s="15" t="s">
        <v>17977</v>
      </c>
      <c r="W579" s="15">
        <v>3503</v>
      </c>
      <c r="X579" s="15">
        <v>589</v>
      </c>
      <c r="Y579" s="15" t="s">
        <v>160</v>
      </c>
      <c r="Z579" s="15" t="s">
        <v>161</v>
      </c>
      <c r="AA579" s="15" t="s">
        <v>162</v>
      </c>
      <c r="AB579" s="15" t="s">
        <v>16964</v>
      </c>
      <c r="AC579" s="15" t="s">
        <v>16964</v>
      </c>
      <c r="AD579" s="15" t="s">
        <v>16964</v>
      </c>
      <c r="AE579" s="15" t="s">
        <v>164</v>
      </c>
      <c r="AF579" s="15" t="s">
        <v>16964</v>
      </c>
      <c r="AG579" s="15" t="s">
        <v>16964</v>
      </c>
      <c r="AH579" s="15" t="s">
        <v>16965</v>
      </c>
      <c r="AL579" s="15" t="s">
        <v>16966</v>
      </c>
      <c r="AN579" s="15">
        <v>743</v>
      </c>
      <c r="AO579" s="15" t="s">
        <v>16967</v>
      </c>
      <c r="AQ579" s="17" t="s">
        <v>3598</v>
      </c>
      <c r="AT579" s="15" t="s">
        <v>16968</v>
      </c>
      <c r="AU579" s="18" t="s">
        <v>16969</v>
      </c>
      <c r="AV579" s="18" t="s">
        <v>16969</v>
      </c>
      <c r="AW579" s="15" t="s">
        <v>16970</v>
      </c>
      <c r="AX579" s="15" t="s">
        <v>16971</v>
      </c>
      <c r="AY579" s="15">
        <f t="shared" si="11"/>
        <v>59</v>
      </c>
      <c r="AZ579" s="18" t="s">
        <v>3603</v>
      </c>
      <c r="BA579" s="18" t="s">
        <v>214</v>
      </c>
      <c r="BC579" s="18"/>
      <c r="BE579" s="18" t="s">
        <v>12677</v>
      </c>
      <c r="BI579" s="18" t="s">
        <v>11502</v>
      </c>
      <c r="BJ579" s="18" t="s">
        <v>16972</v>
      </c>
      <c r="BK579" s="18"/>
      <c r="BN579" s="18" t="s">
        <v>179</v>
      </c>
      <c r="BO579" s="18" t="s">
        <v>16602</v>
      </c>
      <c r="BP579" s="18" t="s">
        <v>138</v>
      </c>
      <c r="BS579" s="15" t="s">
        <v>16973</v>
      </c>
      <c r="DH579" s="15" t="s">
        <v>17982</v>
      </c>
      <c r="DI579" s="15" t="s">
        <v>17982</v>
      </c>
    </row>
    <row r="580" spans="1:113" s="15" customFormat="1" ht="12.75" x14ac:dyDescent="0.2">
      <c r="A580" s="15" t="s">
        <v>109</v>
      </c>
      <c r="B580" s="15" t="s">
        <v>110</v>
      </c>
      <c r="D580" s="15" t="s">
        <v>159</v>
      </c>
      <c r="E580" s="15" t="s">
        <v>112</v>
      </c>
      <c r="F580" s="15" t="s">
        <v>159</v>
      </c>
      <c r="G580" s="15" t="s">
        <v>113</v>
      </c>
      <c r="H580" s="15" t="s">
        <v>383</v>
      </c>
      <c r="J580" s="16" t="s">
        <v>114</v>
      </c>
      <c r="U580" s="15" t="s">
        <v>17977</v>
      </c>
      <c r="W580" s="15">
        <v>3500</v>
      </c>
      <c r="X580" s="15">
        <v>590</v>
      </c>
      <c r="Y580" s="15" t="s">
        <v>160</v>
      </c>
      <c r="Z580" s="15" t="s">
        <v>161</v>
      </c>
      <c r="AA580" s="15" t="s">
        <v>162</v>
      </c>
      <c r="AB580" s="15" t="s">
        <v>16937</v>
      </c>
      <c r="AC580" s="15" t="s">
        <v>16937</v>
      </c>
      <c r="AD580" s="15" t="s">
        <v>16937</v>
      </c>
      <c r="AE580" s="15" t="s">
        <v>164</v>
      </c>
      <c r="AF580" s="15" t="s">
        <v>16937</v>
      </c>
      <c r="AG580" s="15" t="s">
        <v>16937</v>
      </c>
      <c r="AH580" s="15" t="s">
        <v>16938</v>
      </c>
      <c r="AL580" s="15" t="s">
        <v>16939</v>
      </c>
      <c r="AN580" s="15">
        <v>743</v>
      </c>
      <c r="AO580" s="15" t="s">
        <v>16940</v>
      </c>
      <c r="AQ580" s="17" t="s">
        <v>3598</v>
      </c>
      <c r="AT580" s="15" t="s">
        <v>16941</v>
      </c>
      <c r="AU580" s="18" t="s">
        <v>16942</v>
      </c>
      <c r="AV580" s="18" t="s">
        <v>16942</v>
      </c>
      <c r="AW580" s="15" t="s">
        <v>16943</v>
      </c>
      <c r="AX580" s="15" t="s">
        <v>16944</v>
      </c>
      <c r="AY580" s="15">
        <f t="shared" si="11"/>
        <v>57</v>
      </c>
      <c r="AZ580" s="18" t="s">
        <v>3603</v>
      </c>
      <c r="BA580" s="18" t="s">
        <v>214</v>
      </c>
      <c r="BE580" s="18" t="s">
        <v>7507</v>
      </c>
      <c r="BJ580" s="18" t="s">
        <v>16945</v>
      </c>
      <c r="BK580" s="18"/>
      <c r="BN580" s="18" t="s">
        <v>179</v>
      </c>
      <c r="BO580" s="18" t="s">
        <v>16602</v>
      </c>
      <c r="BP580" s="18" t="s">
        <v>138</v>
      </c>
      <c r="BS580" s="15" t="s">
        <v>16946</v>
      </c>
      <c r="DH580" s="15" t="s">
        <v>17982</v>
      </c>
      <c r="DI580" s="15" t="s">
        <v>17982</v>
      </c>
    </row>
    <row r="581" spans="1:113" s="15" customFormat="1" ht="12.75" x14ac:dyDescent="0.2">
      <c r="A581" s="15" t="s">
        <v>109</v>
      </c>
      <c r="B581" s="15" t="s">
        <v>110</v>
      </c>
      <c r="D581" s="15" t="s">
        <v>159</v>
      </c>
      <c r="E581" s="15" t="s">
        <v>112</v>
      </c>
      <c r="F581" s="15" t="s">
        <v>159</v>
      </c>
      <c r="G581" s="15" t="s">
        <v>113</v>
      </c>
      <c r="H581" s="15" t="s">
        <v>383</v>
      </c>
      <c r="J581" s="16" t="s">
        <v>114</v>
      </c>
      <c r="U581" s="15" t="s">
        <v>17977</v>
      </c>
      <c r="W581" s="15">
        <v>3501</v>
      </c>
      <c r="X581" s="15">
        <v>591</v>
      </c>
      <c r="Y581" s="15" t="s">
        <v>160</v>
      </c>
      <c r="Z581" s="15" t="s">
        <v>161</v>
      </c>
      <c r="AA581" s="15" t="s">
        <v>162</v>
      </c>
      <c r="AB581" s="15" t="s">
        <v>16947</v>
      </c>
      <c r="AC581" s="15" t="s">
        <v>16947</v>
      </c>
      <c r="AD581" s="15" t="s">
        <v>16947</v>
      </c>
      <c r="AE581" s="15" t="s">
        <v>164</v>
      </c>
      <c r="AF581" s="15" t="s">
        <v>16947</v>
      </c>
      <c r="AG581" s="15" t="s">
        <v>16947</v>
      </c>
      <c r="AH581" s="15" t="s">
        <v>16948</v>
      </c>
      <c r="AL581" s="15" t="s">
        <v>16949</v>
      </c>
      <c r="AN581" s="15">
        <v>743</v>
      </c>
      <c r="AO581" s="15" t="s">
        <v>16950</v>
      </c>
      <c r="AQ581" s="17" t="s">
        <v>3598</v>
      </c>
      <c r="AT581" s="15" t="s">
        <v>16941</v>
      </c>
      <c r="AU581" s="18" t="s">
        <v>16951</v>
      </c>
      <c r="AV581" s="18" t="s">
        <v>16951</v>
      </c>
      <c r="AW581" s="15" t="s">
        <v>16952</v>
      </c>
      <c r="AX581" s="15" t="s">
        <v>16953</v>
      </c>
      <c r="AY581" s="15">
        <f t="shared" si="11"/>
        <v>56</v>
      </c>
      <c r="AZ581" s="18" t="s">
        <v>3603</v>
      </c>
      <c r="BA581" s="18" t="s">
        <v>214</v>
      </c>
      <c r="BE581" s="18" t="s">
        <v>1688</v>
      </c>
      <c r="BJ581" s="18" t="s">
        <v>16954</v>
      </c>
      <c r="BK581" s="18"/>
      <c r="BN581" s="18" t="s">
        <v>179</v>
      </c>
      <c r="BO581" s="18" t="s">
        <v>16602</v>
      </c>
      <c r="BP581" s="18" t="s">
        <v>138</v>
      </c>
      <c r="BS581" s="15" t="s">
        <v>16955</v>
      </c>
      <c r="DH581" s="15" t="s">
        <v>17982</v>
      </c>
      <c r="DI581" s="15" t="s">
        <v>17982</v>
      </c>
    </row>
    <row r="582" spans="1:113" s="15" customFormat="1" ht="12.75" x14ac:dyDescent="0.2">
      <c r="A582" s="15" t="s">
        <v>109</v>
      </c>
      <c r="B582" s="15" t="s">
        <v>110</v>
      </c>
      <c r="D582" s="15" t="s">
        <v>159</v>
      </c>
      <c r="E582" s="15" t="s">
        <v>112</v>
      </c>
      <c r="F582" s="15" t="s">
        <v>159</v>
      </c>
      <c r="G582" s="15" t="s">
        <v>113</v>
      </c>
      <c r="H582" s="15" t="s">
        <v>383</v>
      </c>
      <c r="J582" s="16" t="s">
        <v>114</v>
      </c>
      <c r="U582" s="15" t="s">
        <v>17977</v>
      </c>
      <c r="W582" s="15">
        <v>3502</v>
      </c>
      <c r="X582" s="15">
        <v>592</v>
      </c>
      <c r="Y582" s="15" t="s">
        <v>160</v>
      </c>
      <c r="Z582" s="15" t="s">
        <v>161</v>
      </c>
      <c r="AA582" s="15" t="s">
        <v>162</v>
      </c>
      <c r="AB582" s="15" t="s">
        <v>16956</v>
      </c>
      <c r="AC582" s="15" t="s">
        <v>16956</v>
      </c>
      <c r="AD582" s="15" t="s">
        <v>16956</v>
      </c>
      <c r="AE582" s="15" t="s">
        <v>164</v>
      </c>
      <c r="AF582" s="15" t="s">
        <v>16956</v>
      </c>
      <c r="AG582" s="15" t="s">
        <v>16956</v>
      </c>
      <c r="AH582" s="15" t="s">
        <v>16957</v>
      </c>
      <c r="AL582" s="15" t="s">
        <v>16949</v>
      </c>
      <c r="AN582" s="15">
        <v>743</v>
      </c>
      <c r="AO582" s="15" t="s">
        <v>16958</v>
      </c>
      <c r="AQ582" s="17" t="s">
        <v>3598</v>
      </c>
      <c r="AT582" s="15" t="s">
        <v>16941</v>
      </c>
      <c r="AU582" s="18" t="s">
        <v>16959</v>
      </c>
      <c r="AV582" s="18" t="s">
        <v>16959</v>
      </c>
      <c r="AW582" s="15" t="s">
        <v>16960</v>
      </c>
      <c r="AX582" s="15" t="s">
        <v>16961</v>
      </c>
      <c r="AY582" s="15">
        <f t="shared" si="11"/>
        <v>55</v>
      </c>
      <c r="AZ582" s="18" t="s">
        <v>3603</v>
      </c>
      <c r="BA582" s="18" t="s">
        <v>214</v>
      </c>
      <c r="BE582" s="18" t="s">
        <v>1688</v>
      </c>
      <c r="BJ582" s="18" t="s">
        <v>16962</v>
      </c>
      <c r="BK582" s="18"/>
      <c r="BN582" s="18" t="s">
        <v>179</v>
      </c>
      <c r="BO582" s="18" t="s">
        <v>16602</v>
      </c>
      <c r="BP582" s="18" t="s">
        <v>138</v>
      </c>
      <c r="BS582" s="15" t="s">
        <v>16963</v>
      </c>
      <c r="DH582" s="15" t="s">
        <v>17982</v>
      </c>
      <c r="DI582" s="15" t="s">
        <v>17982</v>
      </c>
    </row>
    <row r="583" spans="1:113" s="15" customFormat="1" ht="12.75" x14ac:dyDescent="0.2">
      <c r="A583" s="15" t="s">
        <v>109</v>
      </c>
      <c r="B583" s="15" t="s">
        <v>110</v>
      </c>
      <c r="D583" s="15" t="s">
        <v>159</v>
      </c>
      <c r="E583" s="15" t="s">
        <v>112</v>
      </c>
      <c r="F583" s="15" t="s">
        <v>159</v>
      </c>
      <c r="G583" s="15" t="s">
        <v>113</v>
      </c>
      <c r="H583" s="15" t="s">
        <v>383</v>
      </c>
      <c r="J583" s="16" t="s">
        <v>114</v>
      </c>
      <c r="U583" s="15" t="s">
        <v>17977</v>
      </c>
      <c r="W583" s="15">
        <v>3465</v>
      </c>
      <c r="X583" s="15">
        <v>593</v>
      </c>
      <c r="Y583" s="15" t="s">
        <v>160</v>
      </c>
      <c r="Z583" s="15" t="s">
        <v>161</v>
      </c>
      <c r="AA583" s="15" t="s">
        <v>162</v>
      </c>
      <c r="AB583" s="15" t="s">
        <v>16740</v>
      </c>
      <c r="AC583" s="15" t="s">
        <v>16740</v>
      </c>
      <c r="AD583" s="15" t="s">
        <v>16740</v>
      </c>
      <c r="AE583" s="15" t="s">
        <v>164</v>
      </c>
      <c r="AF583" s="15" t="s">
        <v>16740</v>
      </c>
      <c r="AG583" s="15" t="s">
        <v>16740</v>
      </c>
      <c r="AH583" s="15" t="s">
        <v>16741</v>
      </c>
      <c r="AL583" s="15" t="s">
        <v>16742</v>
      </c>
      <c r="AN583" s="15">
        <v>743</v>
      </c>
      <c r="AO583" s="15" t="s">
        <v>16743</v>
      </c>
      <c r="AQ583" s="17" t="s">
        <v>3598</v>
      </c>
      <c r="AT583" s="15" t="s">
        <v>16734</v>
      </c>
      <c r="AU583" s="18" t="s">
        <v>16744</v>
      </c>
      <c r="AV583" s="18" t="s">
        <v>16744</v>
      </c>
      <c r="AW583" s="15" t="s">
        <v>16745</v>
      </c>
      <c r="AX583" s="15" t="s">
        <v>16746</v>
      </c>
      <c r="AY583" s="15">
        <f t="shared" si="11"/>
        <v>58</v>
      </c>
      <c r="AZ583" s="18" t="s">
        <v>3603</v>
      </c>
      <c r="BA583" s="18" t="s">
        <v>214</v>
      </c>
      <c r="BB583" s="18" t="s">
        <v>6395</v>
      </c>
      <c r="BE583" s="18" t="s">
        <v>275</v>
      </c>
      <c r="BJ583" s="18" t="s">
        <v>16738</v>
      </c>
      <c r="BK583" s="18"/>
      <c r="BN583" s="18" t="s">
        <v>179</v>
      </c>
      <c r="BO583" s="18" t="s">
        <v>16602</v>
      </c>
      <c r="BP583" s="18" t="s">
        <v>138</v>
      </c>
      <c r="BS583" s="15" t="s">
        <v>16747</v>
      </c>
      <c r="DH583" s="15" t="s">
        <v>17982</v>
      </c>
      <c r="DI583" s="15" t="s">
        <v>17982</v>
      </c>
    </row>
    <row r="584" spans="1:113" s="15" customFormat="1" ht="12.75" x14ac:dyDescent="0.2">
      <c r="A584" s="15" t="s">
        <v>109</v>
      </c>
      <c r="B584" s="15" t="s">
        <v>110</v>
      </c>
      <c r="D584" s="15" t="s">
        <v>159</v>
      </c>
      <c r="E584" s="15" t="s">
        <v>112</v>
      </c>
      <c r="F584" s="15" t="s">
        <v>159</v>
      </c>
      <c r="G584" s="15" t="s">
        <v>113</v>
      </c>
      <c r="H584" s="15" t="s">
        <v>383</v>
      </c>
      <c r="J584" s="16" t="s">
        <v>114</v>
      </c>
      <c r="U584" s="15" t="s">
        <v>17977</v>
      </c>
      <c r="W584" s="15">
        <v>3464</v>
      </c>
      <c r="X584" s="15">
        <v>594</v>
      </c>
      <c r="Y584" s="15" t="s">
        <v>160</v>
      </c>
      <c r="Z584" s="15" t="s">
        <v>161</v>
      </c>
      <c r="AA584" s="15" t="s">
        <v>162</v>
      </c>
      <c r="AB584" s="15" t="s">
        <v>16730</v>
      </c>
      <c r="AC584" s="15" t="s">
        <v>16730</v>
      </c>
      <c r="AD584" s="15" t="s">
        <v>16730</v>
      </c>
      <c r="AE584" s="15" t="s">
        <v>164</v>
      </c>
      <c r="AF584" s="15" t="s">
        <v>16730</v>
      </c>
      <c r="AG584" s="15" t="s">
        <v>16730</v>
      </c>
      <c r="AH584" s="15" t="s">
        <v>16731</v>
      </c>
      <c r="AL584" s="15" t="s">
        <v>16732</v>
      </c>
      <c r="AN584" s="15">
        <v>743</v>
      </c>
      <c r="AO584" s="15" t="s">
        <v>16733</v>
      </c>
      <c r="AQ584" s="17" t="s">
        <v>3598</v>
      </c>
      <c r="AT584" s="15" t="s">
        <v>16734</v>
      </c>
      <c r="AU584" s="18" t="s">
        <v>16735</v>
      </c>
      <c r="AV584" s="18" t="s">
        <v>16735</v>
      </c>
      <c r="AW584" s="15" t="s">
        <v>16736</v>
      </c>
      <c r="AX584" s="15" t="s">
        <v>16737</v>
      </c>
      <c r="AY584" s="15">
        <f t="shared" si="11"/>
        <v>60</v>
      </c>
      <c r="AZ584" s="18" t="s">
        <v>3603</v>
      </c>
      <c r="BA584" s="18" t="s">
        <v>214</v>
      </c>
      <c r="BB584" s="18" t="s">
        <v>6395</v>
      </c>
      <c r="BE584" s="18" t="s">
        <v>10912</v>
      </c>
      <c r="BJ584" s="18" t="s">
        <v>16738</v>
      </c>
      <c r="BK584" s="18"/>
      <c r="BN584" s="18" t="s">
        <v>179</v>
      </c>
      <c r="BO584" s="18" t="s">
        <v>16602</v>
      </c>
      <c r="BP584" s="18" t="s">
        <v>138</v>
      </c>
      <c r="BS584" s="15" t="s">
        <v>16739</v>
      </c>
      <c r="DH584" s="15" t="s">
        <v>17982</v>
      </c>
      <c r="DI584" s="15" t="s">
        <v>17982</v>
      </c>
    </row>
    <row r="585" spans="1:113" s="15" customFormat="1" ht="12.75" x14ac:dyDescent="0.2">
      <c r="A585" s="15" t="s">
        <v>109</v>
      </c>
      <c r="B585" s="15" t="s">
        <v>110</v>
      </c>
      <c r="D585" s="15" t="s">
        <v>159</v>
      </c>
      <c r="E585" s="15" t="s">
        <v>112</v>
      </c>
      <c r="F585" s="15" t="s">
        <v>159</v>
      </c>
      <c r="G585" s="15" t="s">
        <v>113</v>
      </c>
      <c r="H585" s="15" t="s">
        <v>383</v>
      </c>
      <c r="J585" s="16" t="s">
        <v>114</v>
      </c>
      <c r="U585" s="15" t="s">
        <v>17977</v>
      </c>
      <c r="W585" s="15">
        <v>3446</v>
      </c>
      <c r="X585" s="15">
        <v>595</v>
      </c>
      <c r="Y585" s="15" t="s">
        <v>160</v>
      </c>
      <c r="Z585" s="15" t="s">
        <v>161</v>
      </c>
      <c r="AA585" s="15" t="s">
        <v>162</v>
      </c>
      <c r="AB585" s="15" t="s">
        <v>16593</v>
      </c>
      <c r="AC585" s="15" t="s">
        <v>16593</v>
      </c>
      <c r="AD585" s="15" t="s">
        <v>16593</v>
      </c>
      <c r="AE585" s="15" t="s">
        <v>164</v>
      </c>
      <c r="AF585" s="15" t="s">
        <v>16593</v>
      </c>
      <c r="AG585" s="15" t="s">
        <v>16593</v>
      </c>
      <c r="AH585" s="15" t="s">
        <v>16594</v>
      </c>
      <c r="AL585" s="15" t="s">
        <v>16595</v>
      </c>
      <c r="AN585" s="15">
        <v>743</v>
      </c>
      <c r="AO585" s="15" t="s">
        <v>16596</v>
      </c>
      <c r="AQ585" s="17" t="s">
        <v>3598</v>
      </c>
      <c r="AT585" s="15" t="s">
        <v>16597</v>
      </c>
      <c r="AU585" s="18" t="s">
        <v>16598</v>
      </c>
      <c r="AV585" s="18" t="s">
        <v>16598</v>
      </c>
      <c r="AW585" s="15" t="s">
        <v>16599</v>
      </c>
      <c r="AX585" s="15" t="s">
        <v>16600</v>
      </c>
      <c r="AY585" s="15">
        <f t="shared" si="11"/>
        <v>55</v>
      </c>
      <c r="AZ585" s="18" t="s">
        <v>3603</v>
      </c>
      <c r="BA585" s="18" t="s">
        <v>214</v>
      </c>
      <c r="BB585" s="18" t="s">
        <v>2370</v>
      </c>
      <c r="BE585" s="18" t="s">
        <v>1123</v>
      </c>
      <c r="BI585" s="18" t="s">
        <v>2755</v>
      </c>
      <c r="BJ585" s="18" t="s">
        <v>16601</v>
      </c>
      <c r="BK585" s="18"/>
      <c r="BN585" s="18" t="s">
        <v>179</v>
      </c>
      <c r="BO585" s="18" t="s">
        <v>16602</v>
      </c>
      <c r="BP585" s="18" t="s">
        <v>138</v>
      </c>
      <c r="BS585" s="15" t="s">
        <v>16603</v>
      </c>
      <c r="DH585" s="15" t="s">
        <v>17982</v>
      </c>
      <c r="DI585" s="15" t="s">
        <v>17982</v>
      </c>
    </row>
    <row r="586" spans="1:113" s="15" customFormat="1" ht="12.75" x14ac:dyDescent="0.2">
      <c r="A586" s="15" t="s">
        <v>109</v>
      </c>
      <c r="B586" s="15" t="s">
        <v>110</v>
      </c>
      <c r="D586" s="15" t="s">
        <v>159</v>
      </c>
      <c r="E586" s="15" t="s">
        <v>112</v>
      </c>
      <c r="F586" s="15" t="s">
        <v>159</v>
      </c>
      <c r="G586" s="15" t="s">
        <v>113</v>
      </c>
      <c r="H586" s="15" t="s">
        <v>383</v>
      </c>
      <c r="J586" s="16" t="s">
        <v>114</v>
      </c>
      <c r="U586" s="15" t="s">
        <v>17977</v>
      </c>
      <c r="W586" s="15">
        <v>3522</v>
      </c>
      <c r="X586" s="15">
        <v>596</v>
      </c>
      <c r="Y586" s="15" t="s">
        <v>160</v>
      </c>
      <c r="Z586" s="15" t="s">
        <v>161</v>
      </c>
      <c r="AA586" s="15" t="s">
        <v>162</v>
      </c>
      <c r="AB586" s="15" t="s">
        <v>17094</v>
      </c>
      <c r="AC586" s="15" t="s">
        <v>17094</v>
      </c>
      <c r="AD586" s="15" t="s">
        <v>17094</v>
      </c>
      <c r="AE586" s="15" t="s">
        <v>164</v>
      </c>
      <c r="AF586" s="15" t="s">
        <v>17094</v>
      </c>
      <c r="AG586" s="15" t="s">
        <v>17094</v>
      </c>
      <c r="AH586" s="15" t="s">
        <v>17095</v>
      </c>
      <c r="AL586" s="15" t="s">
        <v>17096</v>
      </c>
      <c r="AN586" s="15">
        <v>743</v>
      </c>
      <c r="AO586" s="15" t="s">
        <v>17097</v>
      </c>
      <c r="AQ586" s="17" t="s">
        <v>3598</v>
      </c>
      <c r="AT586" s="15" t="s">
        <v>17087</v>
      </c>
      <c r="AU586" s="18" t="s">
        <v>17098</v>
      </c>
      <c r="AV586" s="18" t="s">
        <v>17098</v>
      </c>
      <c r="AW586" s="15" t="s">
        <v>17099</v>
      </c>
      <c r="AX586" s="15" t="s">
        <v>17100</v>
      </c>
      <c r="AY586" s="15">
        <f t="shared" si="11"/>
        <v>59</v>
      </c>
      <c r="AZ586" s="18" t="s">
        <v>3603</v>
      </c>
      <c r="BA586" s="18" t="s">
        <v>214</v>
      </c>
      <c r="BB586" s="18" t="s">
        <v>15406</v>
      </c>
      <c r="BE586" s="18" t="s">
        <v>1123</v>
      </c>
      <c r="BJ586" s="18" t="s">
        <v>17101</v>
      </c>
      <c r="BK586" s="18" t="s">
        <v>17092</v>
      </c>
      <c r="BN586" s="18" t="s">
        <v>179</v>
      </c>
      <c r="BO586" s="18" t="s">
        <v>16602</v>
      </c>
      <c r="BP586" s="18" t="s">
        <v>138</v>
      </c>
      <c r="BS586" s="15" t="s">
        <v>17102</v>
      </c>
      <c r="DH586" s="15" t="s">
        <v>17982</v>
      </c>
      <c r="DI586" s="15" t="s">
        <v>17982</v>
      </c>
    </row>
    <row r="587" spans="1:113" s="15" customFormat="1" ht="12.75" x14ac:dyDescent="0.2">
      <c r="A587" s="15" t="s">
        <v>109</v>
      </c>
      <c r="B587" s="15" t="s">
        <v>110</v>
      </c>
      <c r="D587" s="15" t="s">
        <v>159</v>
      </c>
      <c r="E587" s="15" t="s">
        <v>112</v>
      </c>
      <c r="F587" s="15" t="s">
        <v>159</v>
      </c>
      <c r="G587" s="15" t="s">
        <v>113</v>
      </c>
      <c r="H587" s="15" t="s">
        <v>383</v>
      </c>
      <c r="J587" s="16" t="s">
        <v>114</v>
      </c>
      <c r="U587" s="15" t="s">
        <v>17977</v>
      </c>
      <c r="W587" s="15">
        <v>3523</v>
      </c>
      <c r="X587" s="15">
        <v>597</v>
      </c>
      <c r="Y587" s="15" t="s">
        <v>160</v>
      </c>
      <c r="Z587" s="15" t="s">
        <v>161</v>
      </c>
      <c r="AA587" s="15" t="s">
        <v>162</v>
      </c>
      <c r="AB587" s="15" t="s">
        <v>17103</v>
      </c>
      <c r="AC587" s="15" t="s">
        <v>17103</v>
      </c>
      <c r="AD587" s="15" t="s">
        <v>17103</v>
      </c>
      <c r="AE587" s="15" t="s">
        <v>164</v>
      </c>
      <c r="AF587" s="15" t="s">
        <v>17103</v>
      </c>
      <c r="AG587" s="15" t="s">
        <v>17103</v>
      </c>
      <c r="AH587" s="15" t="s">
        <v>17104</v>
      </c>
      <c r="AL587" s="15" t="s">
        <v>17105</v>
      </c>
      <c r="AN587" s="15">
        <v>743</v>
      </c>
      <c r="AO587" s="15" t="s">
        <v>17106</v>
      </c>
      <c r="AQ587" s="17" t="s">
        <v>3598</v>
      </c>
      <c r="AT587" s="15" t="s">
        <v>17087</v>
      </c>
      <c r="AU587" s="18" t="s">
        <v>17107</v>
      </c>
      <c r="AV587" s="18" t="s">
        <v>17107</v>
      </c>
      <c r="AW587" s="15" t="s">
        <v>17108</v>
      </c>
      <c r="AX587" s="15" t="s">
        <v>17109</v>
      </c>
      <c r="AY587" s="15">
        <f t="shared" si="11"/>
        <v>59</v>
      </c>
      <c r="AZ587" s="18" t="s">
        <v>3603</v>
      </c>
      <c r="BA587" s="18" t="s">
        <v>214</v>
      </c>
      <c r="BB587" s="18" t="s">
        <v>15406</v>
      </c>
      <c r="BE587" s="18" t="s">
        <v>275</v>
      </c>
      <c r="BJ587" s="18" t="s">
        <v>17101</v>
      </c>
      <c r="BK587" s="18" t="s">
        <v>17092</v>
      </c>
      <c r="BN587" s="18" t="s">
        <v>179</v>
      </c>
      <c r="BO587" s="18" t="s">
        <v>16602</v>
      </c>
      <c r="BP587" s="18" t="s">
        <v>138</v>
      </c>
      <c r="BS587" s="15" t="s">
        <v>17110</v>
      </c>
      <c r="DH587" s="15" t="s">
        <v>17982</v>
      </c>
      <c r="DI587" s="15" t="s">
        <v>17982</v>
      </c>
    </row>
    <row r="588" spans="1:113" s="15" customFormat="1" ht="12.75" x14ac:dyDescent="0.2">
      <c r="A588" s="15" t="s">
        <v>109</v>
      </c>
      <c r="B588" s="15" t="s">
        <v>110</v>
      </c>
      <c r="D588" s="15" t="s">
        <v>159</v>
      </c>
      <c r="E588" s="15" t="s">
        <v>112</v>
      </c>
      <c r="F588" s="15" t="s">
        <v>159</v>
      </c>
      <c r="G588" s="15" t="s">
        <v>113</v>
      </c>
      <c r="H588" s="15" t="s">
        <v>383</v>
      </c>
      <c r="J588" s="16" t="s">
        <v>114</v>
      </c>
      <c r="U588" s="15" t="s">
        <v>17977</v>
      </c>
      <c r="W588" s="15">
        <v>3524</v>
      </c>
      <c r="X588" s="15">
        <v>598</v>
      </c>
      <c r="Y588" s="15" t="s">
        <v>160</v>
      </c>
      <c r="Z588" s="15" t="s">
        <v>161</v>
      </c>
      <c r="AA588" s="15" t="s">
        <v>162</v>
      </c>
      <c r="AB588" s="15" t="s">
        <v>17111</v>
      </c>
      <c r="AC588" s="15" t="s">
        <v>17111</v>
      </c>
      <c r="AD588" s="15" t="s">
        <v>17111</v>
      </c>
      <c r="AE588" s="15" t="s">
        <v>164</v>
      </c>
      <c r="AF588" s="15" t="s">
        <v>17111</v>
      </c>
      <c r="AG588" s="15" t="s">
        <v>17111</v>
      </c>
      <c r="AH588" s="15" t="s">
        <v>17112</v>
      </c>
      <c r="AL588" s="15" t="s">
        <v>17113</v>
      </c>
      <c r="AN588" s="15">
        <v>743</v>
      </c>
      <c r="AO588" s="15" t="s">
        <v>17114</v>
      </c>
      <c r="AQ588" s="17" t="s">
        <v>3598</v>
      </c>
      <c r="AT588" s="15" t="s">
        <v>17087</v>
      </c>
      <c r="AU588" s="18" t="s">
        <v>17115</v>
      </c>
      <c r="AV588" s="18" t="s">
        <v>17115</v>
      </c>
      <c r="AW588" s="15" t="s">
        <v>17116</v>
      </c>
      <c r="AX588" s="15" t="s">
        <v>17117</v>
      </c>
      <c r="AY588" s="15">
        <f t="shared" si="11"/>
        <v>59</v>
      </c>
      <c r="AZ588" s="18" t="s">
        <v>3603</v>
      </c>
      <c r="BA588" s="18" t="s">
        <v>214</v>
      </c>
      <c r="BB588" s="18" t="s">
        <v>15406</v>
      </c>
      <c r="BE588" s="18" t="s">
        <v>176</v>
      </c>
      <c r="BJ588" s="18" t="s">
        <v>17101</v>
      </c>
      <c r="BK588" s="18" t="s">
        <v>17092</v>
      </c>
      <c r="BN588" s="18" t="s">
        <v>179</v>
      </c>
      <c r="BO588" s="18" t="s">
        <v>16602</v>
      </c>
      <c r="BP588" s="18" t="s">
        <v>138</v>
      </c>
      <c r="BS588" s="15" t="s">
        <v>17118</v>
      </c>
      <c r="DH588" s="15" t="s">
        <v>17982</v>
      </c>
      <c r="DI588" s="15" t="s">
        <v>17982</v>
      </c>
    </row>
    <row r="589" spans="1:113" s="15" customFormat="1" ht="12.75" x14ac:dyDescent="0.2">
      <c r="A589" s="15" t="s">
        <v>109</v>
      </c>
      <c r="B589" s="15" t="s">
        <v>110</v>
      </c>
      <c r="D589" s="15" t="s">
        <v>159</v>
      </c>
      <c r="E589" s="15" t="s">
        <v>112</v>
      </c>
      <c r="F589" s="15" t="s">
        <v>159</v>
      </c>
      <c r="G589" s="15" t="s">
        <v>113</v>
      </c>
      <c r="H589" s="15" t="s">
        <v>383</v>
      </c>
      <c r="J589" s="16" t="s">
        <v>114</v>
      </c>
      <c r="U589" s="15" t="s">
        <v>17977</v>
      </c>
      <c r="W589" s="15">
        <v>3521</v>
      </c>
      <c r="X589" s="15">
        <v>599</v>
      </c>
      <c r="Y589" s="15" t="s">
        <v>160</v>
      </c>
      <c r="Z589" s="15" t="s">
        <v>161</v>
      </c>
      <c r="AA589" s="15" t="s">
        <v>162</v>
      </c>
      <c r="AB589" s="15" t="s">
        <v>17083</v>
      </c>
      <c r="AC589" s="15" t="s">
        <v>17083</v>
      </c>
      <c r="AD589" s="15" t="s">
        <v>17083</v>
      </c>
      <c r="AE589" s="15" t="s">
        <v>164</v>
      </c>
      <c r="AF589" s="15" t="s">
        <v>17083</v>
      </c>
      <c r="AG589" s="15" t="s">
        <v>17083</v>
      </c>
      <c r="AH589" s="15" t="s">
        <v>17084</v>
      </c>
      <c r="AL589" s="15" t="s">
        <v>17085</v>
      </c>
      <c r="AN589" s="15">
        <v>743</v>
      </c>
      <c r="AO589" s="15" t="s">
        <v>17086</v>
      </c>
      <c r="AQ589" s="17" t="s">
        <v>3598</v>
      </c>
      <c r="AT589" s="15" t="s">
        <v>17087</v>
      </c>
      <c r="AU589" s="18" t="s">
        <v>17088</v>
      </c>
      <c r="AV589" s="18" t="s">
        <v>17088</v>
      </c>
      <c r="AW589" s="15" t="s">
        <v>17089</v>
      </c>
      <c r="AX589" s="15" t="s">
        <v>17090</v>
      </c>
      <c r="AY589" s="15">
        <f t="shared" si="11"/>
        <v>58</v>
      </c>
      <c r="AZ589" s="18" t="s">
        <v>3603</v>
      </c>
      <c r="BA589" s="18" t="s">
        <v>214</v>
      </c>
      <c r="BB589" s="18" t="s">
        <v>15406</v>
      </c>
      <c r="BE589" s="18" t="s">
        <v>275</v>
      </c>
      <c r="BJ589" s="18" t="s">
        <v>17091</v>
      </c>
      <c r="BK589" s="18" t="s">
        <v>17092</v>
      </c>
      <c r="BN589" s="18" t="s">
        <v>179</v>
      </c>
      <c r="BO589" s="18" t="s">
        <v>16602</v>
      </c>
      <c r="BP589" s="18" t="s">
        <v>138</v>
      </c>
      <c r="BS589" s="15" t="s">
        <v>17093</v>
      </c>
      <c r="DH589" s="15" t="s">
        <v>17982</v>
      </c>
      <c r="DI589" s="15" t="s">
        <v>17982</v>
      </c>
    </row>
    <row r="590" spans="1:113" s="15" customFormat="1" ht="12.75" x14ac:dyDescent="0.2">
      <c r="A590" s="15" t="s">
        <v>109</v>
      </c>
      <c r="B590" s="15" t="s">
        <v>110</v>
      </c>
      <c r="D590" s="15" t="s">
        <v>159</v>
      </c>
      <c r="E590" s="15" t="s">
        <v>112</v>
      </c>
      <c r="F590" s="15" t="s">
        <v>159</v>
      </c>
      <c r="G590" s="15" t="s">
        <v>113</v>
      </c>
      <c r="H590" s="15" t="s">
        <v>383</v>
      </c>
      <c r="J590" s="16" t="s">
        <v>114</v>
      </c>
      <c r="U590" s="15" t="s">
        <v>17977</v>
      </c>
      <c r="W590" s="15">
        <v>3520</v>
      </c>
      <c r="X590" s="15">
        <v>600</v>
      </c>
      <c r="Y590" s="15" t="s">
        <v>160</v>
      </c>
      <c r="Z590" s="15" t="s">
        <v>161</v>
      </c>
      <c r="AA590" s="15" t="s">
        <v>162</v>
      </c>
      <c r="AB590" s="15" t="s">
        <v>17070</v>
      </c>
      <c r="AC590" s="15" t="s">
        <v>17070</v>
      </c>
      <c r="AD590" s="15" t="s">
        <v>17070</v>
      </c>
      <c r="AE590" s="15" t="s">
        <v>164</v>
      </c>
      <c r="AF590" s="15" t="s">
        <v>17070</v>
      </c>
      <c r="AG590" s="15" t="s">
        <v>17070</v>
      </c>
      <c r="AH590" s="15" t="s">
        <v>17071</v>
      </c>
      <c r="AL590" s="15" t="s">
        <v>17072</v>
      </c>
      <c r="AN590" s="15">
        <v>743</v>
      </c>
      <c r="AO590" s="15" t="s">
        <v>17073</v>
      </c>
      <c r="AQ590" s="17" t="s">
        <v>17074</v>
      </c>
      <c r="AT590" s="15" t="s">
        <v>17075</v>
      </c>
      <c r="AU590" s="18" t="s">
        <v>17076</v>
      </c>
      <c r="AV590" s="18" t="s">
        <v>17076</v>
      </c>
      <c r="AW590" s="15" t="s">
        <v>17077</v>
      </c>
      <c r="AX590" s="15" t="s">
        <v>17078</v>
      </c>
      <c r="AY590" s="15">
        <f t="shared" si="11"/>
        <v>60</v>
      </c>
      <c r="AZ590" s="18" t="s">
        <v>17079</v>
      </c>
      <c r="BA590" s="18" t="s">
        <v>7086</v>
      </c>
      <c r="BB590" s="18" t="s">
        <v>17080</v>
      </c>
      <c r="BE590" s="18" t="s">
        <v>5789</v>
      </c>
      <c r="BJ590" s="18" t="s">
        <v>17081</v>
      </c>
      <c r="BN590" s="18" t="s">
        <v>179</v>
      </c>
      <c r="BO590" s="18" t="s">
        <v>16602</v>
      </c>
      <c r="BP590" s="18" t="s">
        <v>138</v>
      </c>
      <c r="BS590" s="15" t="s">
        <v>17082</v>
      </c>
      <c r="DH590" s="15" t="s">
        <v>17982</v>
      </c>
      <c r="DI590" s="15" t="s">
        <v>17982</v>
      </c>
    </row>
    <row r="591" spans="1:113" s="15" customFormat="1" ht="12.75" x14ac:dyDescent="0.2">
      <c r="A591" s="15" t="s">
        <v>109</v>
      </c>
      <c r="B591" s="15" t="s">
        <v>110</v>
      </c>
      <c r="D591" s="15" t="s">
        <v>159</v>
      </c>
      <c r="E591" s="15" t="s">
        <v>112</v>
      </c>
      <c r="F591" s="15" t="s">
        <v>159</v>
      </c>
      <c r="G591" s="15" t="s">
        <v>113</v>
      </c>
      <c r="H591" s="15" t="s">
        <v>383</v>
      </c>
      <c r="J591" s="16" t="s">
        <v>114</v>
      </c>
      <c r="U591" s="15" t="s">
        <v>17977</v>
      </c>
      <c r="W591" s="15">
        <v>1118</v>
      </c>
      <c r="X591" s="15">
        <v>601</v>
      </c>
      <c r="Y591" s="15" t="s">
        <v>160</v>
      </c>
      <c r="Z591" s="15" t="s">
        <v>161</v>
      </c>
      <c r="AA591" s="15" t="s">
        <v>162</v>
      </c>
      <c r="AB591" s="15" t="s">
        <v>5897</v>
      </c>
      <c r="AC591" s="15" t="s">
        <v>5897</v>
      </c>
      <c r="AD591" s="15" t="s">
        <v>5897</v>
      </c>
      <c r="AE591" s="15" t="s">
        <v>164</v>
      </c>
      <c r="AF591" s="15" t="s">
        <v>5897</v>
      </c>
      <c r="AG591" s="15" t="s">
        <v>5897</v>
      </c>
      <c r="AH591" s="15" t="s">
        <v>5898</v>
      </c>
      <c r="AL591" s="15" t="s">
        <v>5899</v>
      </c>
      <c r="AN591" s="15">
        <v>743</v>
      </c>
      <c r="AO591" s="15" t="s">
        <v>5900</v>
      </c>
      <c r="AQ591" s="17" t="s">
        <v>3412</v>
      </c>
      <c r="AT591" s="15" t="s">
        <v>5901</v>
      </c>
      <c r="AU591" s="18" t="s">
        <v>5902</v>
      </c>
      <c r="AV591" s="18" t="s">
        <v>5902</v>
      </c>
      <c r="AW591" s="15" t="s">
        <v>5903</v>
      </c>
      <c r="AX591" s="15" t="s">
        <v>5903</v>
      </c>
      <c r="AY591" s="15">
        <f t="shared" si="11"/>
        <v>34</v>
      </c>
      <c r="AZ591" s="18" t="s">
        <v>1725</v>
      </c>
      <c r="BA591" s="18" t="s">
        <v>174</v>
      </c>
      <c r="BE591" s="18" t="s">
        <v>1123</v>
      </c>
      <c r="BJ591" s="18" t="s">
        <v>3850</v>
      </c>
      <c r="BN591" s="18" t="s">
        <v>179</v>
      </c>
      <c r="BP591" s="18" t="s">
        <v>138</v>
      </c>
      <c r="BS591" s="15" t="s">
        <v>5904</v>
      </c>
      <c r="DH591" s="15" t="s">
        <v>17982</v>
      </c>
      <c r="DI591" s="15" t="s">
        <v>17982</v>
      </c>
    </row>
    <row r="592" spans="1:113" s="15" customFormat="1" ht="12.75" x14ac:dyDescent="0.2">
      <c r="A592" s="15" t="s">
        <v>109</v>
      </c>
      <c r="B592" s="15" t="s">
        <v>110</v>
      </c>
      <c r="D592" s="15" t="s">
        <v>159</v>
      </c>
      <c r="E592" s="15" t="s">
        <v>112</v>
      </c>
      <c r="F592" s="15" t="s">
        <v>159</v>
      </c>
      <c r="G592" s="15" t="s">
        <v>113</v>
      </c>
      <c r="H592" s="15" t="s">
        <v>383</v>
      </c>
      <c r="J592" s="16" t="s">
        <v>114</v>
      </c>
      <c r="U592" s="15" t="s">
        <v>17977</v>
      </c>
      <c r="W592" s="15">
        <v>825</v>
      </c>
      <c r="X592" s="15">
        <v>602</v>
      </c>
      <c r="Y592" s="15" t="s">
        <v>160</v>
      </c>
      <c r="Z592" s="15" t="s">
        <v>161</v>
      </c>
      <c r="AA592" s="15" t="s">
        <v>162</v>
      </c>
      <c r="AB592" s="15" t="s">
        <v>3472</v>
      </c>
      <c r="AC592" s="15" t="s">
        <v>3472</v>
      </c>
      <c r="AD592" s="15" t="s">
        <v>3472</v>
      </c>
      <c r="AE592" s="15" t="s">
        <v>164</v>
      </c>
      <c r="AF592" s="15" t="s">
        <v>3472</v>
      </c>
      <c r="AG592" s="15" t="s">
        <v>3472</v>
      </c>
      <c r="AH592" s="15" t="s">
        <v>3473</v>
      </c>
      <c r="AL592" s="15" t="s">
        <v>3474</v>
      </c>
      <c r="AN592" s="15">
        <v>743</v>
      </c>
      <c r="AO592" s="15" t="s">
        <v>3475</v>
      </c>
      <c r="AQ592" s="17" t="s">
        <v>225</v>
      </c>
      <c r="AT592" s="15" t="s">
        <v>3476</v>
      </c>
      <c r="AU592" s="18" t="s">
        <v>3477</v>
      </c>
      <c r="AV592" s="18" t="s">
        <v>3477</v>
      </c>
      <c r="AW592" s="15" t="s">
        <v>3478</v>
      </c>
      <c r="AX592" s="15" t="s">
        <v>3478</v>
      </c>
      <c r="AY592" s="15">
        <f t="shared" si="11"/>
        <v>55</v>
      </c>
      <c r="AZ592" s="18" t="s">
        <v>229</v>
      </c>
      <c r="BA592" s="18" t="s">
        <v>174</v>
      </c>
      <c r="BB592" s="18" t="s">
        <v>3479</v>
      </c>
      <c r="BE592" s="18" t="s">
        <v>2041</v>
      </c>
      <c r="BJ592" s="18" t="s">
        <v>3480</v>
      </c>
      <c r="BN592" s="18" t="s">
        <v>179</v>
      </c>
      <c r="BP592" s="18" t="s">
        <v>138</v>
      </c>
      <c r="BS592" s="15" t="s">
        <v>3481</v>
      </c>
      <c r="DH592" s="15" t="s">
        <v>17982</v>
      </c>
      <c r="DI592" s="15" t="s">
        <v>17982</v>
      </c>
    </row>
    <row r="593" spans="1:113" s="15" customFormat="1" ht="12.75" x14ac:dyDescent="0.2">
      <c r="A593" s="15" t="s">
        <v>109</v>
      </c>
      <c r="B593" s="15" t="s">
        <v>110</v>
      </c>
      <c r="D593" s="15" t="s">
        <v>159</v>
      </c>
      <c r="E593" s="15" t="s">
        <v>112</v>
      </c>
      <c r="F593" s="15" t="s">
        <v>159</v>
      </c>
      <c r="G593" s="15" t="s">
        <v>113</v>
      </c>
      <c r="H593" s="15" t="s">
        <v>383</v>
      </c>
      <c r="J593" s="16" t="s">
        <v>114</v>
      </c>
      <c r="U593" s="15" t="s">
        <v>17977</v>
      </c>
      <c r="W593" s="15">
        <v>3440</v>
      </c>
      <c r="X593" s="15">
        <v>603</v>
      </c>
      <c r="Y593" s="15" t="s">
        <v>160</v>
      </c>
      <c r="Z593" s="15" t="s">
        <v>161</v>
      </c>
      <c r="AA593" s="15" t="s">
        <v>162</v>
      </c>
      <c r="AB593" s="15" t="s">
        <v>16562</v>
      </c>
      <c r="AC593" s="15" t="s">
        <v>16562</v>
      </c>
      <c r="AD593" s="15" t="s">
        <v>16562</v>
      </c>
      <c r="AE593" s="15" t="s">
        <v>164</v>
      </c>
      <c r="AF593" s="15" t="s">
        <v>16562</v>
      </c>
      <c r="AG593" s="15" t="s">
        <v>16562</v>
      </c>
      <c r="AH593" s="15" t="s">
        <v>16563</v>
      </c>
      <c r="AL593" s="15" t="s">
        <v>16564</v>
      </c>
      <c r="AN593" s="15">
        <v>743</v>
      </c>
      <c r="AO593" s="15" t="s">
        <v>16565</v>
      </c>
      <c r="AQ593" s="17" t="s">
        <v>225</v>
      </c>
      <c r="AT593" s="15" t="s">
        <v>16566</v>
      </c>
      <c r="AU593" s="18" t="s">
        <v>16567</v>
      </c>
      <c r="AV593" s="18" t="s">
        <v>16567</v>
      </c>
      <c r="AW593" s="15" t="s">
        <v>16568</v>
      </c>
      <c r="AX593" s="15" t="s">
        <v>16568</v>
      </c>
      <c r="AY593" s="15">
        <f t="shared" si="11"/>
        <v>52</v>
      </c>
      <c r="AZ593" s="18" t="s">
        <v>229</v>
      </c>
      <c r="BA593" s="18" t="s">
        <v>174</v>
      </c>
      <c r="BB593" s="18" t="s">
        <v>16569</v>
      </c>
      <c r="BC593" s="18" t="s">
        <v>16570</v>
      </c>
      <c r="BE593" s="18" t="s">
        <v>1688</v>
      </c>
      <c r="BN593" s="18" t="s">
        <v>179</v>
      </c>
      <c r="BP593" s="18" t="s">
        <v>138</v>
      </c>
      <c r="BS593" s="15" t="s">
        <v>16571</v>
      </c>
      <c r="DH593" s="15" t="s">
        <v>17982</v>
      </c>
      <c r="DI593" s="15" t="s">
        <v>17982</v>
      </c>
    </row>
    <row r="594" spans="1:113" s="15" customFormat="1" ht="12.75" x14ac:dyDescent="0.2">
      <c r="A594" s="15" t="s">
        <v>109</v>
      </c>
      <c r="B594" s="15" t="s">
        <v>110</v>
      </c>
      <c r="D594" s="15" t="s">
        <v>159</v>
      </c>
      <c r="E594" s="15" t="s">
        <v>112</v>
      </c>
      <c r="F594" s="15" t="s">
        <v>159</v>
      </c>
      <c r="G594" s="15" t="s">
        <v>113</v>
      </c>
      <c r="H594" s="15" t="s">
        <v>383</v>
      </c>
      <c r="J594" s="16" t="s">
        <v>114</v>
      </c>
      <c r="U594" s="15" t="s">
        <v>17977</v>
      </c>
      <c r="W594" s="15">
        <v>3441</v>
      </c>
      <c r="X594" s="15">
        <v>604</v>
      </c>
      <c r="Y594" s="15" t="s">
        <v>160</v>
      </c>
      <c r="Z594" s="15" t="s">
        <v>161</v>
      </c>
      <c r="AA594" s="15" t="s">
        <v>162</v>
      </c>
      <c r="AB594" s="15" t="s">
        <v>16572</v>
      </c>
      <c r="AC594" s="15" t="s">
        <v>16572</v>
      </c>
      <c r="AD594" s="15" t="s">
        <v>16572</v>
      </c>
      <c r="AE594" s="15" t="s">
        <v>164</v>
      </c>
      <c r="AF594" s="15" t="s">
        <v>16572</v>
      </c>
      <c r="AG594" s="15" t="s">
        <v>16572</v>
      </c>
      <c r="AH594" s="15" t="s">
        <v>16573</v>
      </c>
      <c r="AL594" s="15" t="s">
        <v>16574</v>
      </c>
      <c r="AN594" s="15">
        <v>743</v>
      </c>
      <c r="AO594" s="15" t="s">
        <v>16575</v>
      </c>
      <c r="AQ594" s="17" t="s">
        <v>225</v>
      </c>
      <c r="AT594" s="15" t="s">
        <v>16566</v>
      </c>
      <c r="AU594" s="18" t="s">
        <v>16576</v>
      </c>
      <c r="AV594" s="18" t="s">
        <v>16576</v>
      </c>
      <c r="AW594" s="15" t="s">
        <v>16577</v>
      </c>
      <c r="AX594" s="15" t="s">
        <v>16577</v>
      </c>
      <c r="AY594" s="15">
        <f t="shared" si="11"/>
        <v>52</v>
      </c>
      <c r="AZ594" s="18" t="s">
        <v>229</v>
      </c>
      <c r="BA594" s="18" t="s">
        <v>174</v>
      </c>
      <c r="BB594" s="18" t="s">
        <v>16569</v>
      </c>
      <c r="BC594" s="18" t="s">
        <v>16578</v>
      </c>
      <c r="BE594" s="18" t="s">
        <v>1688</v>
      </c>
      <c r="BN594" s="18" t="s">
        <v>179</v>
      </c>
      <c r="BP594" s="18" t="s">
        <v>138</v>
      </c>
      <c r="BS594" s="15" t="s">
        <v>16579</v>
      </c>
      <c r="DH594" s="15" t="s">
        <v>17982</v>
      </c>
      <c r="DI594" s="15" t="s">
        <v>17982</v>
      </c>
    </row>
    <row r="595" spans="1:113" s="15" customFormat="1" ht="12.75" x14ac:dyDescent="0.2">
      <c r="A595" s="15" t="s">
        <v>109</v>
      </c>
      <c r="B595" s="15" t="s">
        <v>110</v>
      </c>
      <c r="D595" s="15" t="s">
        <v>159</v>
      </c>
      <c r="E595" s="15" t="s">
        <v>112</v>
      </c>
      <c r="F595" s="15" t="s">
        <v>159</v>
      </c>
      <c r="G595" s="15" t="s">
        <v>113</v>
      </c>
      <c r="H595" s="15" t="s">
        <v>383</v>
      </c>
      <c r="J595" s="16" t="s">
        <v>114</v>
      </c>
      <c r="U595" s="15" t="s">
        <v>17977</v>
      </c>
      <c r="W595" s="15">
        <v>2452</v>
      </c>
      <c r="X595" s="15">
        <v>605</v>
      </c>
      <c r="Y595" s="15" t="s">
        <v>160</v>
      </c>
      <c r="Z595" s="15" t="s">
        <v>161</v>
      </c>
      <c r="AA595" s="15" t="s">
        <v>162</v>
      </c>
      <c r="AB595" s="15" t="s">
        <v>12170</v>
      </c>
      <c r="AC595" s="15" t="s">
        <v>12170</v>
      </c>
      <c r="AD595" s="15" t="s">
        <v>12170</v>
      </c>
      <c r="AE595" s="15" t="s">
        <v>164</v>
      </c>
      <c r="AF595" s="15" t="s">
        <v>12170</v>
      </c>
      <c r="AG595" s="15" t="s">
        <v>12170</v>
      </c>
      <c r="AH595" s="47" t="s">
        <v>12171</v>
      </c>
      <c r="AL595" s="15" t="s">
        <v>12172</v>
      </c>
      <c r="AN595" s="15">
        <v>743</v>
      </c>
      <c r="AO595" s="15" t="s">
        <v>12173</v>
      </c>
      <c r="AQ595" s="17" t="s">
        <v>3412</v>
      </c>
      <c r="AT595" s="15" t="s">
        <v>12157</v>
      </c>
      <c r="AU595" s="18" t="s">
        <v>12174</v>
      </c>
      <c r="AV595" s="18" t="s">
        <v>12174</v>
      </c>
      <c r="AW595" s="15" t="s">
        <v>12175</v>
      </c>
      <c r="AX595" s="15" t="s">
        <v>12175</v>
      </c>
      <c r="AY595" s="15">
        <f t="shared" si="11"/>
        <v>54</v>
      </c>
      <c r="AZ595" s="18" t="s">
        <v>1725</v>
      </c>
      <c r="BA595" s="18" t="s">
        <v>174</v>
      </c>
      <c r="BB595" s="18" t="s">
        <v>12160</v>
      </c>
      <c r="BE595" s="18" t="s">
        <v>367</v>
      </c>
      <c r="BJ595" s="18" t="s">
        <v>12176</v>
      </c>
      <c r="BN595" s="18" t="s">
        <v>179</v>
      </c>
      <c r="BP595" s="18" t="s">
        <v>138</v>
      </c>
      <c r="BS595" s="15" t="s">
        <v>12177</v>
      </c>
      <c r="DH595" s="15" t="s">
        <v>17982</v>
      </c>
      <c r="DI595" s="15" t="s">
        <v>17982</v>
      </c>
    </row>
    <row r="596" spans="1:113" s="15" customFormat="1" ht="12.75" x14ac:dyDescent="0.2">
      <c r="A596" s="15" t="s">
        <v>109</v>
      </c>
      <c r="B596" s="15" t="s">
        <v>110</v>
      </c>
      <c r="D596" s="15" t="s">
        <v>159</v>
      </c>
      <c r="E596" s="15" t="s">
        <v>112</v>
      </c>
      <c r="F596" s="15" t="s">
        <v>159</v>
      </c>
      <c r="G596" s="15" t="s">
        <v>113</v>
      </c>
      <c r="H596" s="15" t="s">
        <v>383</v>
      </c>
      <c r="J596" s="16" t="s">
        <v>114</v>
      </c>
      <c r="U596" s="15" t="s">
        <v>17977</v>
      </c>
      <c r="W596" s="15">
        <v>2450</v>
      </c>
      <c r="X596" s="15">
        <v>606</v>
      </c>
      <c r="Y596" s="15" t="s">
        <v>160</v>
      </c>
      <c r="Z596" s="15" t="s">
        <v>161</v>
      </c>
      <c r="AA596" s="15" t="s">
        <v>162</v>
      </c>
      <c r="AB596" s="15" t="s">
        <v>12153</v>
      </c>
      <c r="AC596" s="15" t="s">
        <v>12153</v>
      </c>
      <c r="AD596" s="15" t="s">
        <v>12153</v>
      </c>
      <c r="AE596" s="15" t="s">
        <v>164</v>
      </c>
      <c r="AF596" s="15" t="s">
        <v>12153</v>
      </c>
      <c r="AG596" s="15" t="s">
        <v>12153</v>
      </c>
      <c r="AH596" s="47" t="s">
        <v>12154</v>
      </c>
      <c r="AL596" s="15" t="s">
        <v>12155</v>
      </c>
      <c r="AN596" s="15">
        <v>743</v>
      </c>
      <c r="AO596" s="15" t="s">
        <v>12156</v>
      </c>
      <c r="AQ596" s="17" t="s">
        <v>3412</v>
      </c>
      <c r="AT596" s="15" t="s">
        <v>12157</v>
      </c>
      <c r="AU596" s="18" t="s">
        <v>12158</v>
      </c>
      <c r="AV596" s="18" t="s">
        <v>12158</v>
      </c>
      <c r="AW596" s="15" t="s">
        <v>12159</v>
      </c>
      <c r="AX596" s="15" t="s">
        <v>12159</v>
      </c>
      <c r="AY596" s="15">
        <f t="shared" si="11"/>
        <v>52</v>
      </c>
      <c r="AZ596" s="18" t="s">
        <v>1725</v>
      </c>
      <c r="BA596" s="18" t="s">
        <v>174</v>
      </c>
      <c r="BB596" s="18" t="s">
        <v>12160</v>
      </c>
      <c r="BE596" s="18" t="s">
        <v>4059</v>
      </c>
      <c r="BJ596" s="18" t="s">
        <v>12161</v>
      </c>
      <c r="BN596" s="18" t="s">
        <v>179</v>
      </c>
      <c r="BP596" s="18" t="s">
        <v>138</v>
      </c>
      <c r="BS596" s="15" t="s">
        <v>12162</v>
      </c>
      <c r="DH596" s="15" t="s">
        <v>17982</v>
      </c>
      <c r="DI596" s="15" t="s">
        <v>17982</v>
      </c>
    </row>
    <row r="597" spans="1:113" s="15" customFormat="1" ht="12.75" x14ac:dyDescent="0.2">
      <c r="A597" s="15" t="s">
        <v>109</v>
      </c>
      <c r="B597" s="15" t="s">
        <v>110</v>
      </c>
      <c r="D597" s="15" t="s">
        <v>159</v>
      </c>
      <c r="E597" s="15" t="s">
        <v>112</v>
      </c>
      <c r="F597" s="15" t="s">
        <v>159</v>
      </c>
      <c r="G597" s="15" t="s">
        <v>113</v>
      </c>
      <c r="H597" s="15" t="s">
        <v>383</v>
      </c>
      <c r="J597" s="16" t="s">
        <v>114</v>
      </c>
      <c r="U597" s="15" t="s">
        <v>17977</v>
      </c>
      <c r="W597" s="15">
        <v>2451</v>
      </c>
      <c r="X597" s="15">
        <v>607</v>
      </c>
      <c r="Y597" s="15" t="s">
        <v>160</v>
      </c>
      <c r="Z597" s="15" t="s">
        <v>161</v>
      </c>
      <c r="AA597" s="15" t="s">
        <v>162</v>
      </c>
      <c r="AB597" s="15" t="s">
        <v>12163</v>
      </c>
      <c r="AC597" s="15" t="s">
        <v>12163</v>
      </c>
      <c r="AD597" s="15" t="s">
        <v>12163</v>
      </c>
      <c r="AE597" s="15" t="s">
        <v>164</v>
      </c>
      <c r="AF597" s="15" t="s">
        <v>12163</v>
      </c>
      <c r="AG597" s="15" t="s">
        <v>12163</v>
      </c>
      <c r="AH597" s="47" t="s">
        <v>12164</v>
      </c>
      <c r="AL597" s="15" t="s">
        <v>12165</v>
      </c>
      <c r="AN597" s="15">
        <v>743</v>
      </c>
      <c r="AO597" s="15" t="s">
        <v>12166</v>
      </c>
      <c r="AQ597" s="17" t="s">
        <v>3412</v>
      </c>
      <c r="AT597" s="15" t="s">
        <v>12157</v>
      </c>
      <c r="AU597" s="18" t="s">
        <v>12167</v>
      </c>
      <c r="AV597" s="18" t="s">
        <v>12167</v>
      </c>
      <c r="AW597" s="15" t="s">
        <v>12168</v>
      </c>
      <c r="AX597" s="15" t="s">
        <v>12168</v>
      </c>
      <c r="AY597" s="15">
        <f t="shared" si="11"/>
        <v>51</v>
      </c>
      <c r="AZ597" s="18" t="s">
        <v>1725</v>
      </c>
      <c r="BA597" s="18" t="s">
        <v>174</v>
      </c>
      <c r="BB597" s="18" t="s">
        <v>12160</v>
      </c>
      <c r="BE597" s="18" t="s">
        <v>1032</v>
      </c>
      <c r="BJ597" s="18" t="s">
        <v>12161</v>
      </c>
      <c r="BN597" s="18" t="s">
        <v>179</v>
      </c>
      <c r="BP597" s="18" t="s">
        <v>138</v>
      </c>
      <c r="BS597" s="15" t="s">
        <v>12169</v>
      </c>
      <c r="DH597" s="15" t="s">
        <v>17982</v>
      </c>
      <c r="DI597" s="15" t="s">
        <v>17982</v>
      </c>
    </row>
    <row r="598" spans="1:113" s="15" customFormat="1" ht="12.75" x14ac:dyDescent="0.2">
      <c r="A598" s="15" t="s">
        <v>109</v>
      </c>
      <c r="B598" s="15" t="s">
        <v>110</v>
      </c>
      <c r="D598" s="15" t="s">
        <v>159</v>
      </c>
      <c r="E598" s="15" t="s">
        <v>112</v>
      </c>
      <c r="F598" s="15" t="s">
        <v>159</v>
      </c>
      <c r="G598" s="15" t="s">
        <v>113</v>
      </c>
      <c r="H598" s="15" t="s">
        <v>383</v>
      </c>
      <c r="J598" s="16" t="s">
        <v>114</v>
      </c>
      <c r="U598" s="15" t="s">
        <v>17977</v>
      </c>
      <c r="W598" s="15">
        <v>2533</v>
      </c>
      <c r="X598" s="15">
        <v>608</v>
      </c>
      <c r="Y598" s="15" t="s">
        <v>160</v>
      </c>
      <c r="Z598" s="15" t="s">
        <v>161</v>
      </c>
      <c r="AA598" s="15" t="s">
        <v>162</v>
      </c>
      <c r="AB598" s="15" t="s">
        <v>12466</v>
      </c>
      <c r="AC598" s="15" t="s">
        <v>12466</v>
      </c>
      <c r="AD598" s="15" t="s">
        <v>12466</v>
      </c>
      <c r="AE598" s="15" t="s">
        <v>164</v>
      </c>
      <c r="AF598" s="15" t="s">
        <v>12466</v>
      </c>
      <c r="AG598" s="15" t="s">
        <v>12466</v>
      </c>
      <c r="AH598" s="47" t="s">
        <v>12467</v>
      </c>
      <c r="AL598" s="15" t="s">
        <v>12468</v>
      </c>
      <c r="AN598" s="15">
        <v>743</v>
      </c>
      <c r="AO598" s="15" t="s">
        <v>12469</v>
      </c>
      <c r="AQ598" s="17" t="s">
        <v>12470</v>
      </c>
      <c r="AT598" s="15" t="s">
        <v>12471</v>
      </c>
      <c r="AU598" s="18" t="s">
        <v>12472</v>
      </c>
      <c r="AV598" s="18" t="s">
        <v>12472</v>
      </c>
      <c r="AW598" s="15" t="s">
        <v>12473</v>
      </c>
      <c r="AX598" s="15" t="s">
        <v>12474</v>
      </c>
      <c r="AY598" s="15">
        <f t="shared" si="11"/>
        <v>59</v>
      </c>
      <c r="AZ598" s="18" t="s">
        <v>12475</v>
      </c>
      <c r="BA598" s="18" t="s">
        <v>174</v>
      </c>
      <c r="BB598" s="18" t="s">
        <v>12476</v>
      </c>
      <c r="BC598" s="18" t="s">
        <v>4343</v>
      </c>
      <c r="BE598" s="18" t="s">
        <v>12477</v>
      </c>
      <c r="BJ598" s="18" t="s">
        <v>12478</v>
      </c>
      <c r="BN598" s="18" t="s">
        <v>179</v>
      </c>
      <c r="BP598" s="18" t="s">
        <v>138</v>
      </c>
      <c r="BS598" s="15" t="s">
        <v>12479</v>
      </c>
      <c r="DH598" s="15" t="s">
        <v>17982</v>
      </c>
      <c r="DI598" s="15" t="s">
        <v>17982</v>
      </c>
    </row>
    <row r="599" spans="1:113" s="15" customFormat="1" ht="12.75" x14ac:dyDescent="0.2">
      <c r="A599" s="15" t="s">
        <v>109</v>
      </c>
      <c r="B599" s="15" t="s">
        <v>110</v>
      </c>
      <c r="D599" s="15" t="s">
        <v>159</v>
      </c>
      <c r="E599" s="15" t="s">
        <v>112</v>
      </c>
      <c r="F599" s="15" t="s">
        <v>159</v>
      </c>
      <c r="G599" s="15" t="s">
        <v>113</v>
      </c>
      <c r="H599" s="15" t="s">
        <v>383</v>
      </c>
      <c r="J599" s="16" t="s">
        <v>114</v>
      </c>
      <c r="U599" s="15" t="s">
        <v>17977</v>
      </c>
      <c r="W599" s="15">
        <v>2535</v>
      </c>
      <c r="X599" s="15">
        <v>609</v>
      </c>
      <c r="Y599" s="15" t="s">
        <v>160</v>
      </c>
      <c r="Z599" s="15" t="s">
        <v>161</v>
      </c>
      <c r="AA599" s="15" t="s">
        <v>162</v>
      </c>
      <c r="AB599" s="15" t="s">
        <v>12489</v>
      </c>
      <c r="AC599" s="15" t="s">
        <v>12489</v>
      </c>
      <c r="AD599" s="15" t="s">
        <v>12489</v>
      </c>
      <c r="AE599" s="15" t="s">
        <v>164</v>
      </c>
      <c r="AF599" s="15" t="s">
        <v>12489</v>
      </c>
      <c r="AG599" s="15" t="s">
        <v>12489</v>
      </c>
      <c r="AH599" s="47" t="s">
        <v>12490</v>
      </c>
      <c r="AL599" s="15" t="s">
        <v>12491</v>
      </c>
      <c r="AN599" s="15">
        <v>743</v>
      </c>
      <c r="AO599" s="15" t="s">
        <v>12492</v>
      </c>
      <c r="AQ599" s="17" t="s">
        <v>12470</v>
      </c>
      <c r="AT599" s="15" t="s">
        <v>12471</v>
      </c>
      <c r="AU599" s="18" t="s">
        <v>12493</v>
      </c>
      <c r="AV599" s="18" t="s">
        <v>12493</v>
      </c>
      <c r="AW599" s="15" t="s">
        <v>12494</v>
      </c>
      <c r="AX599" s="15" t="s">
        <v>12495</v>
      </c>
      <c r="AY599" s="15">
        <f t="shared" si="11"/>
        <v>57</v>
      </c>
      <c r="AZ599" s="18" t="s">
        <v>12475</v>
      </c>
      <c r="BA599" s="18" t="s">
        <v>174</v>
      </c>
      <c r="BB599" s="18" t="s">
        <v>12476</v>
      </c>
      <c r="BC599" s="18" t="s">
        <v>12496</v>
      </c>
      <c r="BE599" s="18" t="s">
        <v>12497</v>
      </c>
      <c r="BJ599" s="18" t="s">
        <v>12478</v>
      </c>
      <c r="BN599" s="18" t="s">
        <v>179</v>
      </c>
      <c r="BP599" s="18" t="s">
        <v>138</v>
      </c>
      <c r="BS599" s="15" t="s">
        <v>12498</v>
      </c>
      <c r="DH599" s="15" t="s">
        <v>17982</v>
      </c>
      <c r="DI599" s="15" t="s">
        <v>17982</v>
      </c>
    </row>
    <row r="600" spans="1:113" s="15" customFormat="1" ht="12.75" x14ac:dyDescent="0.2">
      <c r="A600" s="15" t="s">
        <v>109</v>
      </c>
      <c r="B600" s="15" t="s">
        <v>110</v>
      </c>
      <c r="D600" s="15" t="s">
        <v>159</v>
      </c>
      <c r="E600" s="15" t="s">
        <v>112</v>
      </c>
      <c r="F600" s="15" t="s">
        <v>159</v>
      </c>
      <c r="G600" s="15" t="s">
        <v>113</v>
      </c>
      <c r="H600" s="15" t="s">
        <v>383</v>
      </c>
      <c r="J600" s="16" t="s">
        <v>114</v>
      </c>
      <c r="U600" s="15" t="s">
        <v>17977</v>
      </c>
      <c r="W600" s="15">
        <v>2534</v>
      </c>
      <c r="X600" s="15">
        <v>610</v>
      </c>
      <c r="Y600" s="15" t="s">
        <v>160</v>
      </c>
      <c r="Z600" s="15" t="s">
        <v>161</v>
      </c>
      <c r="AA600" s="15" t="s">
        <v>162</v>
      </c>
      <c r="AB600" s="15" t="s">
        <v>12480</v>
      </c>
      <c r="AC600" s="15" t="s">
        <v>12480</v>
      </c>
      <c r="AD600" s="15" t="s">
        <v>12480</v>
      </c>
      <c r="AE600" s="15" t="s">
        <v>164</v>
      </c>
      <c r="AF600" s="15" t="s">
        <v>12480</v>
      </c>
      <c r="AG600" s="15" t="s">
        <v>12480</v>
      </c>
      <c r="AH600" s="47" t="s">
        <v>12481</v>
      </c>
      <c r="AL600" s="15" t="s">
        <v>12482</v>
      </c>
      <c r="AN600" s="15">
        <v>743</v>
      </c>
      <c r="AO600" s="15" t="s">
        <v>12483</v>
      </c>
      <c r="AQ600" s="17" t="s">
        <v>12470</v>
      </c>
      <c r="AT600" s="15" t="s">
        <v>12471</v>
      </c>
      <c r="AU600" s="18" t="s">
        <v>12484</v>
      </c>
      <c r="AV600" s="18" t="s">
        <v>12484</v>
      </c>
      <c r="AW600" s="15" t="s">
        <v>12485</v>
      </c>
      <c r="AX600" s="15" t="s">
        <v>12486</v>
      </c>
      <c r="AY600" s="15">
        <f t="shared" si="11"/>
        <v>57</v>
      </c>
      <c r="AZ600" s="18" t="s">
        <v>12475</v>
      </c>
      <c r="BA600" s="18" t="s">
        <v>174</v>
      </c>
      <c r="BB600" s="18" t="s">
        <v>12476</v>
      </c>
      <c r="BC600" s="18" t="s">
        <v>1199</v>
      </c>
      <c r="BE600" s="18" t="s">
        <v>12487</v>
      </c>
      <c r="BJ600" s="18" t="s">
        <v>12478</v>
      </c>
      <c r="BN600" s="18" t="s">
        <v>179</v>
      </c>
      <c r="BP600" s="18" t="s">
        <v>138</v>
      </c>
      <c r="BS600" s="15" t="s">
        <v>12488</v>
      </c>
      <c r="DH600" s="15" t="s">
        <v>17982</v>
      </c>
      <c r="DI600" s="15" t="s">
        <v>17982</v>
      </c>
    </row>
    <row r="601" spans="1:113" s="15" customFormat="1" ht="12.75" x14ac:dyDescent="0.2">
      <c r="A601" s="15" t="s">
        <v>109</v>
      </c>
      <c r="B601" s="15" t="s">
        <v>110</v>
      </c>
      <c r="D601" s="15" t="s">
        <v>159</v>
      </c>
      <c r="E601" s="15" t="s">
        <v>112</v>
      </c>
      <c r="F601" s="15" t="s">
        <v>159</v>
      </c>
      <c r="G601" s="15" t="s">
        <v>113</v>
      </c>
      <c r="H601" s="15" t="s">
        <v>383</v>
      </c>
      <c r="J601" s="16" t="s">
        <v>114</v>
      </c>
      <c r="U601" s="15" t="s">
        <v>17977</v>
      </c>
      <c r="W601" s="15">
        <v>2536</v>
      </c>
      <c r="X601" s="15">
        <v>611</v>
      </c>
      <c r="Y601" s="15" t="s">
        <v>160</v>
      </c>
      <c r="Z601" s="15" t="s">
        <v>161</v>
      </c>
      <c r="AA601" s="15" t="s">
        <v>162</v>
      </c>
      <c r="AB601" s="15" t="s">
        <v>12499</v>
      </c>
      <c r="AC601" s="15" t="s">
        <v>12499</v>
      </c>
      <c r="AD601" s="15" t="s">
        <v>12499</v>
      </c>
      <c r="AE601" s="15" t="s">
        <v>164</v>
      </c>
      <c r="AF601" s="15" t="s">
        <v>12499</v>
      </c>
      <c r="AG601" s="15" t="s">
        <v>12499</v>
      </c>
      <c r="AH601" s="47" t="s">
        <v>12500</v>
      </c>
      <c r="AL601" s="15" t="s">
        <v>12501</v>
      </c>
      <c r="AN601" s="15">
        <v>743</v>
      </c>
      <c r="AO601" s="15" t="s">
        <v>12502</v>
      </c>
      <c r="AQ601" s="17" t="s">
        <v>12470</v>
      </c>
      <c r="AT601" s="15" t="s">
        <v>12471</v>
      </c>
      <c r="AU601" s="18" t="s">
        <v>12503</v>
      </c>
      <c r="AV601" s="18" t="s">
        <v>12503</v>
      </c>
      <c r="AW601" s="15" t="s">
        <v>12504</v>
      </c>
      <c r="AX601" s="15" t="s">
        <v>12505</v>
      </c>
      <c r="AY601" s="15">
        <f t="shared" si="11"/>
        <v>60</v>
      </c>
      <c r="AZ601" s="18" t="s">
        <v>12475</v>
      </c>
      <c r="BA601" s="18" t="s">
        <v>174</v>
      </c>
      <c r="BB601" s="18" t="s">
        <v>12476</v>
      </c>
      <c r="BC601" s="18" t="s">
        <v>1055</v>
      </c>
      <c r="BE601" s="18" t="s">
        <v>12506</v>
      </c>
      <c r="BJ601" s="18" t="s">
        <v>12478</v>
      </c>
      <c r="BN601" s="18" t="s">
        <v>179</v>
      </c>
      <c r="BP601" s="18" t="s">
        <v>138</v>
      </c>
      <c r="BS601" s="15" t="s">
        <v>12507</v>
      </c>
      <c r="DH601" s="15" t="s">
        <v>17982</v>
      </c>
      <c r="DI601" s="15" t="s">
        <v>17982</v>
      </c>
    </row>
    <row r="602" spans="1:113" s="15" customFormat="1" ht="12.75" x14ac:dyDescent="0.2">
      <c r="A602" s="15" t="s">
        <v>109</v>
      </c>
      <c r="B602" s="15" t="s">
        <v>110</v>
      </c>
      <c r="D602" s="15" t="s">
        <v>159</v>
      </c>
      <c r="E602" s="15" t="s">
        <v>112</v>
      </c>
      <c r="F602" s="15" t="s">
        <v>159</v>
      </c>
      <c r="G602" s="15" t="s">
        <v>113</v>
      </c>
      <c r="H602" s="15" t="s">
        <v>383</v>
      </c>
      <c r="J602" s="16" t="s">
        <v>114</v>
      </c>
      <c r="U602" s="15" t="s">
        <v>17977</v>
      </c>
      <c r="W602" s="15">
        <v>2599</v>
      </c>
      <c r="X602" s="15">
        <v>612</v>
      </c>
      <c r="Y602" s="15" t="s">
        <v>160</v>
      </c>
      <c r="Z602" s="15" t="s">
        <v>161</v>
      </c>
      <c r="AA602" s="15" t="s">
        <v>162</v>
      </c>
      <c r="AB602" s="15" t="s">
        <v>12612</v>
      </c>
      <c r="AC602" s="15" t="s">
        <v>12612</v>
      </c>
      <c r="AD602" s="15" t="s">
        <v>12612</v>
      </c>
      <c r="AE602" s="15" t="s">
        <v>164</v>
      </c>
      <c r="AF602" s="15" t="s">
        <v>12612</v>
      </c>
      <c r="AG602" s="15" t="s">
        <v>12612</v>
      </c>
      <c r="AH602" s="47" t="s">
        <v>12613</v>
      </c>
      <c r="AL602" s="15" t="s">
        <v>12614</v>
      </c>
      <c r="AN602" s="15">
        <v>743</v>
      </c>
      <c r="AO602" s="15" t="s">
        <v>12615</v>
      </c>
      <c r="AQ602" s="17" t="s">
        <v>2723</v>
      </c>
      <c r="AT602" s="15" t="s">
        <v>12616</v>
      </c>
      <c r="AU602" s="18" t="s">
        <v>12617</v>
      </c>
      <c r="AV602" s="18" t="s">
        <v>12617</v>
      </c>
      <c r="AW602" s="15" t="s">
        <v>12618</v>
      </c>
      <c r="AX602" s="15" t="s">
        <v>12618</v>
      </c>
      <c r="AY602" s="15">
        <f t="shared" si="11"/>
        <v>58</v>
      </c>
      <c r="AZ602" s="18" t="s">
        <v>2727</v>
      </c>
      <c r="BA602" s="18" t="s">
        <v>174</v>
      </c>
      <c r="BB602" s="18" t="s">
        <v>12619</v>
      </c>
      <c r="BC602" s="18" t="s">
        <v>1069</v>
      </c>
      <c r="BD602" s="18" t="s">
        <v>9807</v>
      </c>
      <c r="BE602" s="18" t="s">
        <v>606</v>
      </c>
      <c r="BI602" s="18" t="s">
        <v>1083</v>
      </c>
      <c r="BJ602" s="18" t="s">
        <v>12620</v>
      </c>
      <c r="BN602" s="18" t="s">
        <v>179</v>
      </c>
      <c r="BP602" s="18" t="s">
        <v>138</v>
      </c>
      <c r="BS602" s="15" t="s">
        <v>12621</v>
      </c>
      <c r="DH602" s="15" t="s">
        <v>17982</v>
      </c>
      <c r="DI602" s="15" t="s">
        <v>17982</v>
      </c>
    </row>
    <row r="603" spans="1:113" s="15" customFormat="1" ht="12.75" x14ac:dyDescent="0.2">
      <c r="A603" s="15" t="s">
        <v>109</v>
      </c>
      <c r="B603" s="15" t="s">
        <v>110</v>
      </c>
      <c r="D603" s="15" t="s">
        <v>159</v>
      </c>
      <c r="E603" s="15" t="s">
        <v>112</v>
      </c>
      <c r="F603" s="15" t="s">
        <v>159</v>
      </c>
      <c r="G603" s="15" t="s">
        <v>113</v>
      </c>
      <c r="H603" s="15" t="s">
        <v>383</v>
      </c>
      <c r="J603" s="16" t="s">
        <v>114</v>
      </c>
      <c r="U603" s="15" t="s">
        <v>17977</v>
      </c>
      <c r="W603" s="15">
        <v>1431</v>
      </c>
      <c r="X603" s="15">
        <v>613</v>
      </c>
      <c r="Y603" s="15" t="s">
        <v>160</v>
      </c>
      <c r="Z603" s="15" t="s">
        <v>161</v>
      </c>
      <c r="AA603" s="15" t="s">
        <v>162</v>
      </c>
      <c r="AB603" s="15" t="s">
        <v>7272</v>
      </c>
      <c r="AC603" s="15" t="s">
        <v>7272</v>
      </c>
      <c r="AD603" s="15" t="s">
        <v>7272</v>
      </c>
      <c r="AE603" s="15" t="s">
        <v>164</v>
      </c>
      <c r="AF603" s="15" t="s">
        <v>7272</v>
      </c>
      <c r="AG603" s="15" t="s">
        <v>7272</v>
      </c>
      <c r="AH603" s="15" t="s">
        <v>7273</v>
      </c>
      <c r="AL603" s="15" t="s">
        <v>7274</v>
      </c>
      <c r="AN603" s="15">
        <v>743</v>
      </c>
      <c r="AO603" s="15" t="s">
        <v>7275</v>
      </c>
      <c r="AQ603" s="17" t="s">
        <v>2723</v>
      </c>
      <c r="AR603" s="47"/>
      <c r="AS603" s="47"/>
      <c r="AT603" s="15" t="s">
        <v>7276</v>
      </c>
      <c r="AU603" s="18" t="s">
        <v>7277</v>
      </c>
      <c r="AV603" s="18" t="s">
        <v>7277</v>
      </c>
      <c r="AW603" s="15" t="s">
        <v>7278</v>
      </c>
      <c r="AX603" s="15" t="s">
        <v>7278</v>
      </c>
      <c r="AY603" s="15">
        <f t="shared" si="11"/>
        <v>35</v>
      </c>
      <c r="AZ603" s="18" t="s">
        <v>2727</v>
      </c>
      <c r="BA603" s="18" t="s">
        <v>174</v>
      </c>
      <c r="BB603" s="18" t="s">
        <v>7279</v>
      </c>
      <c r="BE603" s="18" t="s">
        <v>4059</v>
      </c>
      <c r="BI603" s="18" t="s">
        <v>1083</v>
      </c>
      <c r="BN603" s="18" t="s">
        <v>179</v>
      </c>
      <c r="BP603" s="18" t="s">
        <v>138</v>
      </c>
      <c r="BS603" s="15" t="s">
        <v>7280</v>
      </c>
      <c r="DH603" s="15" t="s">
        <v>17982</v>
      </c>
      <c r="DI603" s="15" t="s">
        <v>17982</v>
      </c>
    </row>
    <row r="604" spans="1:113" s="15" customFormat="1" ht="12.75" x14ac:dyDescent="0.2">
      <c r="A604" s="15" t="s">
        <v>109</v>
      </c>
      <c r="B604" s="15" t="s">
        <v>110</v>
      </c>
      <c r="D604" s="15" t="s">
        <v>159</v>
      </c>
      <c r="E604" s="15" t="s">
        <v>112</v>
      </c>
      <c r="F604" s="15" t="s">
        <v>159</v>
      </c>
      <c r="G604" s="15" t="s">
        <v>113</v>
      </c>
      <c r="H604" s="15" t="s">
        <v>383</v>
      </c>
      <c r="J604" s="16" t="s">
        <v>114</v>
      </c>
      <c r="U604" s="15" t="s">
        <v>17977</v>
      </c>
      <c r="W604" s="15">
        <v>3122</v>
      </c>
      <c r="X604" s="15">
        <v>614</v>
      </c>
      <c r="Y604" s="15" t="s">
        <v>160</v>
      </c>
      <c r="Z604" s="15" t="s">
        <v>161</v>
      </c>
      <c r="AA604" s="15" t="s">
        <v>162</v>
      </c>
      <c r="AB604" s="15" t="s">
        <v>15049</v>
      </c>
      <c r="AC604" s="15" t="s">
        <v>15049</v>
      </c>
      <c r="AD604" s="15" t="s">
        <v>15049</v>
      </c>
      <c r="AE604" s="15" t="s">
        <v>164</v>
      </c>
      <c r="AF604" s="15" t="s">
        <v>15049</v>
      </c>
      <c r="AG604" s="15" t="s">
        <v>15049</v>
      </c>
      <c r="AH604" s="15" t="s">
        <v>15050</v>
      </c>
      <c r="AL604" s="15" t="s">
        <v>15051</v>
      </c>
      <c r="AN604" s="15">
        <v>743</v>
      </c>
      <c r="AO604" s="15" t="s">
        <v>15052</v>
      </c>
      <c r="AQ604" s="17" t="s">
        <v>2747</v>
      </c>
      <c r="AT604" s="15" t="s">
        <v>15053</v>
      </c>
      <c r="AU604" s="18" t="s">
        <v>15054</v>
      </c>
      <c r="AV604" s="18" t="s">
        <v>15054</v>
      </c>
      <c r="AW604" s="15" t="s">
        <v>15055</v>
      </c>
      <c r="AX604" s="15" t="s">
        <v>15055</v>
      </c>
      <c r="AY604" s="15">
        <f t="shared" si="11"/>
        <v>48</v>
      </c>
      <c r="AZ604" s="18" t="s">
        <v>2752</v>
      </c>
      <c r="BA604" s="18" t="s">
        <v>2753</v>
      </c>
      <c r="BC604" s="18" t="s">
        <v>15056</v>
      </c>
      <c r="BE604" s="18" t="s">
        <v>199</v>
      </c>
      <c r="BJ604" s="18" t="s">
        <v>15057</v>
      </c>
      <c r="BN604" s="18" t="s">
        <v>179</v>
      </c>
      <c r="BP604" s="18" t="s">
        <v>138</v>
      </c>
      <c r="BS604" s="15" t="s">
        <v>15058</v>
      </c>
      <c r="DH604" s="15" t="s">
        <v>17982</v>
      </c>
      <c r="DI604" s="15" t="s">
        <v>17982</v>
      </c>
    </row>
    <row r="605" spans="1:113" s="15" customFormat="1" ht="12.75" x14ac:dyDescent="0.2">
      <c r="A605" s="15" t="s">
        <v>109</v>
      </c>
      <c r="B605" s="15" t="s">
        <v>110</v>
      </c>
      <c r="D605" s="15" t="s">
        <v>159</v>
      </c>
      <c r="E605" s="15" t="s">
        <v>112</v>
      </c>
      <c r="F605" s="15" t="s">
        <v>159</v>
      </c>
      <c r="G605" s="15" t="s">
        <v>113</v>
      </c>
      <c r="H605" s="15" t="s">
        <v>383</v>
      </c>
      <c r="J605" s="16" t="s">
        <v>114</v>
      </c>
      <c r="U605" s="15" t="s">
        <v>17977</v>
      </c>
      <c r="W605" s="15">
        <v>3123</v>
      </c>
      <c r="X605" s="15">
        <v>615</v>
      </c>
      <c r="Y605" s="15" t="s">
        <v>160</v>
      </c>
      <c r="Z605" s="15" t="s">
        <v>161</v>
      </c>
      <c r="AA605" s="15" t="s">
        <v>162</v>
      </c>
      <c r="AB605" s="15" t="s">
        <v>15059</v>
      </c>
      <c r="AC605" s="15" t="s">
        <v>15059</v>
      </c>
      <c r="AD605" s="15" t="s">
        <v>15059</v>
      </c>
      <c r="AE605" s="15" t="s">
        <v>164</v>
      </c>
      <c r="AF605" s="15" t="s">
        <v>15059</v>
      </c>
      <c r="AG605" s="15" t="s">
        <v>15059</v>
      </c>
      <c r="AH605" s="15" t="s">
        <v>15060</v>
      </c>
      <c r="AL605" s="15" t="s">
        <v>15061</v>
      </c>
      <c r="AN605" s="15">
        <v>743</v>
      </c>
      <c r="AO605" s="15" t="s">
        <v>15062</v>
      </c>
      <c r="AQ605" s="17" t="s">
        <v>2747</v>
      </c>
      <c r="AT605" s="15" t="s">
        <v>15053</v>
      </c>
      <c r="AU605" s="18" t="s">
        <v>15063</v>
      </c>
      <c r="AV605" s="18" t="s">
        <v>15063</v>
      </c>
      <c r="AW605" s="15" t="s">
        <v>15064</v>
      </c>
      <c r="AX605" s="15" t="s">
        <v>15064</v>
      </c>
      <c r="AY605" s="15">
        <f t="shared" si="11"/>
        <v>54</v>
      </c>
      <c r="AZ605" s="18" t="s">
        <v>2752</v>
      </c>
      <c r="BA605" s="18" t="s">
        <v>2753</v>
      </c>
      <c r="BC605" s="18" t="s">
        <v>15065</v>
      </c>
      <c r="BE605" s="18" t="s">
        <v>199</v>
      </c>
      <c r="BJ605" s="18" t="s">
        <v>15066</v>
      </c>
      <c r="BN605" s="18" t="s">
        <v>179</v>
      </c>
      <c r="BP605" s="18" t="s">
        <v>138</v>
      </c>
      <c r="BS605" s="15" t="s">
        <v>15067</v>
      </c>
      <c r="DH605" s="15" t="s">
        <v>17982</v>
      </c>
      <c r="DI605" s="15" t="s">
        <v>17982</v>
      </c>
    </row>
    <row r="606" spans="1:113" s="15" customFormat="1" ht="12.75" x14ac:dyDescent="0.2">
      <c r="A606" s="15" t="s">
        <v>109</v>
      </c>
      <c r="B606" s="15" t="s">
        <v>110</v>
      </c>
      <c r="D606" s="15" t="s">
        <v>159</v>
      </c>
      <c r="E606" s="15" t="s">
        <v>112</v>
      </c>
      <c r="F606" s="15" t="s">
        <v>159</v>
      </c>
      <c r="G606" s="15" t="s">
        <v>113</v>
      </c>
      <c r="H606" s="15" t="s">
        <v>383</v>
      </c>
      <c r="J606" s="16" t="s">
        <v>114</v>
      </c>
      <c r="U606" s="15" t="s">
        <v>17977</v>
      </c>
      <c r="W606" s="15">
        <v>1736</v>
      </c>
      <c r="X606" s="15">
        <v>616</v>
      </c>
      <c r="Y606" s="15" t="s">
        <v>160</v>
      </c>
      <c r="Z606" s="15" t="s">
        <v>161</v>
      </c>
      <c r="AA606" s="15" t="s">
        <v>162</v>
      </c>
      <c r="AB606" s="15" t="s">
        <v>9104</v>
      </c>
      <c r="AC606" s="15" t="s">
        <v>9104</v>
      </c>
      <c r="AD606" s="15" t="s">
        <v>9104</v>
      </c>
      <c r="AE606" s="15" t="s">
        <v>164</v>
      </c>
      <c r="AF606" s="15" t="s">
        <v>9104</v>
      </c>
      <c r="AG606" s="15" t="s">
        <v>9104</v>
      </c>
      <c r="AH606" s="15" t="s">
        <v>9105</v>
      </c>
      <c r="AL606" s="15" t="s">
        <v>9106</v>
      </c>
      <c r="AN606" s="15">
        <v>743</v>
      </c>
      <c r="AO606" s="15" t="s">
        <v>9107</v>
      </c>
      <c r="AQ606" s="17" t="s">
        <v>9086</v>
      </c>
      <c r="AR606" s="15" t="s">
        <v>209</v>
      </c>
      <c r="AS606" s="15" t="s">
        <v>210</v>
      </c>
      <c r="AT606" s="15" t="s">
        <v>9087</v>
      </c>
      <c r="AU606" s="18" t="s">
        <v>9108</v>
      </c>
      <c r="AV606" s="18" t="s">
        <v>9108</v>
      </c>
      <c r="AW606" s="15" t="s">
        <v>9109</v>
      </c>
      <c r="AX606" s="15" t="s">
        <v>9110</v>
      </c>
      <c r="AY606" s="15">
        <f t="shared" si="11"/>
        <v>58</v>
      </c>
      <c r="AZ606" s="18" t="s">
        <v>214</v>
      </c>
      <c r="BA606" s="18" t="s">
        <v>9091</v>
      </c>
      <c r="BE606" s="18" t="s">
        <v>9092</v>
      </c>
      <c r="BJ606" s="18" t="s">
        <v>9111</v>
      </c>
      <c r="BK606" s="18" t="s">
        <v>487</v>
      </c>
      <c r="BN606" s="18" t="s">
        <v>179</v>
      </c>
      <c r="BP606" s="18" t="s">
        <v>138</v>
      </c>
      <c r="BS606" s="15" t="s">
        <v>9112</v>
      </c>
      <c r="DH606" s="15" t="s">
        <v>17982</v>
      </c>
      <c r="DI606" s="15" t="s">
        <v>17982</v>
      </c>
    </row>
    <row r="607" spans="1:113" s="15" customFormat="1" ht="12.75" x14ac:dyDescent="0.2">
      <c r="A607" s="15" t="s">
        <v>109</v>
      </c>
      <c r="B607" s="15" t="s">
        <v>110</v>
      </c>
      <c r="D607" s="15" t="s">
        <v>159</v>
      </c>
      <c r="E607" s="15" t="s">
        <v>112</v>
      </c>
      <c r="F607" s="15" t="s">
        <v>159</v>
      </c>
      <c r="G607" s="15" t="s">
        <v>113</v>
      </c>
      <c r="H607" s="15" t="s">
        <v>383</v>
      </c>
      <c r="J607" s="16" t="s">
        <v>114</v>
      </c>
      <c r="U607" s="15" t="s">
        <v>17977</v>
      </c>
      <c r="W607" s="15">
        <v>1737</v>
      </c>
      <c r="X607" s="15">
        <v>617</v>
      </c>
      <c r="Y607" s="15" t="s">
        <v>160</v>
      </c>
      <c r="Z607" s="15" t="s">
        <v>161</v>
      </c>
      <c r="AA607" s="15" t="s">
        <v>162</v>
      </c>
      <c r="AB607" s="15" t="s">
        <v>9113</v>
      </c>
      <c r="AC607" s="15" t="s">
        <v>9113</v>
      </c>
      <c r="AD607" s="15" t="s">
        <v>9113</v>
      </c>
      <c r="AE607" s="15" t="s">
        <v>164</v>
      </c>
      <c r="AF607" s="15" t="s">
        <v>9113</v>
      </c>
      <c r="AG607" s="15" t="s">
        <v>9113</v>
      </c>
      <c r="AH607" s="15" t="s">
        <v>9114</v>
      </c>
      <c r="AL607" s="15" t="s">
        <v>9115</v>
      </c>
      <c r="AN607" s="15">
        <v>743</v>
      </c>
      <c r="AO607" s="15" t="s">
        <v>9116</v>
      </c>
      <c r="AQ607" s="17" t="s">
        <v>9086</v>
      </c>
      <c r="AR607" s="15" t="s">
        <v>209</v>
      </c>
      <c r="AS607" s="15" t="s">
        <v>210</v>
      </c>
      <c r="AT607" s="15" t="s">
        <v>9087</v>
      </c>
      <c r="AU607" s="18" t="s">
        <v>9117</v>
      </c>
      <c r="AV607" s="18" t="s">
        <v>9117</v>
      </c>
      <c r="AW607" s="15" t="s">
        <v>9118</v>
      </c>
      <c r="AX607" s="15" t="s">
        <v>9119</v>
      </c>
      <c r="AY607" s="15">
        <f t="shared" si="11"/>
        <v>58</v>
      </c>
      <c r="AZ607" s="18" t="s">
        <v>214</v>
      </c>
      <c r="BA607" s="18" t="s">
        <v>9091</v>
      </c>
      <c r="BE607" s="18" t="s">
        <v>9102</v>
      </c>
      <c r="BJ607" s="18" t="s">
        <v>9111</v>
      </c>
      <c r="BK607" s="18" t="s">
        <v>487</v>
      </c>
      <c r="BN607" s="18" t="s">
        <v>179</v>
      </c>
      <c r="BP607" s="18" t="s">
        <v>138</v>
      </c>
      <c r="BS607" s="15" t="s">
        <v>9120</v>
      </c>
      <c r="DH607" s="15" t="s">
        <v>17982</v>
      </c>
      <c r="DI607" s="15" t="s">
        <v>17982</v>
      </c>
    </row>
    <row r="608" spans="1:113" s="15" customFormat="1" ht="12.75" x14ac:dyDescent="0.2">
      <c r="A608" s="15" t="s">
        <v>109</v>
      </c>
      <c r="B608" s="15" t="s">
        <v>110</v>
      </c>
      <c r="D608" s="15" t="s">
        <v>159</v>
      </c>
      <c r="E608" s="15" t="s">
        <v>112</v>
      </c>
      <c r="F608" s="15" t="s">
        <v>159</v>
      </c>
      <c r="G608" s="15" t="s">
        <v>113</v>
      </c>
      <c r="H608" s="15" t="s">
        <v>383</v>
      </c>
      <c r="J608" s="16" t="s">
        <v>114</v>
      </c>
      <c r="U608" s="15" t="s">
        <v>17977</v>
      </c>
      <c r="W608" s="15">
        <v>1734</v>
      </c>
      <c r="X608" s="15">
        <v>618</v>
      </c>
      <c r="Y608" s="15" t="s">
        <v>160</v>
      </c>
      <c r="Z608" s="15" t="s">
        <v>161</v>
      </c>
      <c r="AA608" s="15" t="s">
        <v>162</v>
      </c>
      <c r="AB608" s="15" t="s">
        <v>9082</v>
      </c>
      <c r="AC608" s="15" t="s">
        <v>9082</v>
      </c>
      <c r="AD608" s="15" t="s">
        <v>9082</v>
      </c>
      <c r="AE608" s="15" t="s">
        <v>164</v>
      </c>
      <c r="AF608" s="15" t="s">
        <v>9082</v>
      </c>
      <c r="AG608" s="15" t="s">
        <v>9082</v>
      </c>
      <c r="AH608" s="15" t="s">
        <v>9083</v>
      </c>
      <c r="AL608" s="15" t="s">
        <v>9084</v>
      </c>
      <c r="AN608" s="15">
        <v>743</v>
      </c>
      <c r="AO608" s="15" t="s">
        <v>9085</v>
      </c>
      <c r="AQ608" s="17" t="s">
        <v>9086</v>
      </c>
      <c r="AR608" s="15" t="s">
        <v>209</v>
      </c>
      <c r="AS608" s="15" t="s">
        <v>210</v>
      </c>
      <c r="AT608" s="15" t="s">
        <v>9087</v>
      </c>
      <c r="AU608" s="18" t="s">
        <v>9088</v>
      </c>
      <c r="AV608" s="18" t="s">
        <v>9088</v>
      </c>
      <c r="AW608" s="15" t="s">
        <v>9089</v>
      </c>
      <c r="AX608" s="15" t="s">
        <v>9090</v>
      </c>
      <c r="AY608" s="15">
        <f t="shared" si="11"/>
        <v>58</v>
      </c>
      <c r="AZ608" s="18" t="s">
        <v>214</v>
      </c>
      <c r="BA608" s="18" t="s">
        <v>9091</v>
      </c>
      <c r="BE608" s="18" t="s">
        <v>9092</v>
      </c>
      <c r="BJ608" s="18" t="s">
        <v>9093</v>
      </c>
      <c r="BK608" s="18" t="s">
        <v>487</v>
      </c>
      <c r="BN608" s="18" t="s">
        <v>179</v>
      </c>
      <c r="BP608" s="18" t="s">
        <v>138</v>
      </c>
      <c r="BS608" s="15" t="s">
        <v>9094</v>
      </c>
      <c r="DH608" s="15" t="s">
        <v>17982</v>
      </c>
      <c r="DI608" s="15" t="s">
        <v>17982</v>
      </c>
    </row>
    <row r="609" spans="1:113" s="15" customFormat="1" ht="12.75" x14ac:dyDescent="0.2">
      <c r="A609" s="15" t="s">
        <v>109</v>
      </c>
      <c r="B609" s="15" t="s">
        <v>110</v>
      </c>
      <c r="D609" s="15" t="s">
        <v>159</v>
      </c>
      <c r="E609" s="15" t="s">
        <v>112</v>
      </c>
      <c r="F609" s="15" t="s">
        <v>159</v>
      </c>
      <c r="G609" s="15" t="s">
        <v>113</v>
      </c>
      <c r="H609" s="15" t="s">
        <v>383</v>
      </c>
      <c r="J609" s="16" t="s">
        <v>114</v>
      </c>
      <c r="U609" s="15" t="s">
        <v>17977</v>
      </c>
      <c r="W609" s="15">
        <v>1735</v>
      </c>
      <c r="X609" s="15">
        <v>619</v>
      </c>
      <c r="Y609" s="15" t="s">
        <v>160</v>
      </c>
      <c r="Z609" s="15" t="s">
        <v>161</v>
      </c>
      <c r="AA609" s="15" t="s">
        <v>162</v>
      </c>
      <c r="AB609" s="15" t="s">
        <v>9095</v>
      </c>
      <c r="AC609" s="15" t="s">
        <v>9095</v>
      </c>
      <c r="AD609" s="15" t="s">
        <v>9095</v>
      </c>
      <c r="AE609" s="15" t="s">
        <v>164</v>
      </c>
      <c r="AF609" s="15" t="s">
        <v>9095</v>
      </c>
      <c r="AG609" s="15" t="s">
        <v>9095</v>
      </c>
      <c r="AH609" s="15" t="s">
        <v>9096</v>
      </c>
      <c r="AL609" s="15" t="s">
        <v>9097</v>
      </c>
      <c r="AN609" s="15">
        <v>743</v>
      </c>
      <c r="AO609" s="15" t="s">
        <v>9098</v>
      </c>
      <c r="AQ609" s="17" t="s">
        <v>9086</v>
      </c>
      <c r="AR609" s="15" t="s">
        <v>209</v>
      </c>
      <c r="AS609" s="15" t="s">
        <v>210</v>
      </c>
      <c r="AT609" s="15" t="s">
        <v>9087</v>
      </c>
      <c r="AU609" s="18" t="s">
        <v>9099</v>
      </c>
      <c r="AV609" s="18" t="s">
        <v>9099</v>
      </c>
      <c r="AW609" s="15" t="s">
        <v>9100</v>
      </c>
      <c r="AX609" s="15" t="s">
        <v>9101</v>
      </c>
      <c r="AY609" s="15">
        <f t="shared" si="11"/>
        <v>58</v>
      </c>
      <c r="AZ609" s="18" t="s">
        <v>214</v>
      </c>
      <c r="BA609" s="18" t="s">
        <v>9091</v>
      </c>
      <c r="BE609" s="18" t="s">
        <v>9102</v>
      </c>
      <c r="BJ609" s="18" t="s">
        <v>9093</v>
      </c>
      <c r="BK609" s="18" t="s">
        <v>487</v>
      </c>
      <c r="BN609" s="18" t="s">
        <v>179</v>
      </c>
      <c r="BP609" s="18" t="s">
        <v>138</v>
      </c>
      <c r="BS609" s="15" t="s">
        <v>9103</v>
      </c>
      <c r="DH609" s="15" t="s">
        <v>17982</v>
      </c>
      <c r="DI609" s="15" t="s">
        <v>17982</v>
      </c>
    </row>
    <row r="610" spans="1:113" s="15" customFormat="1" ht="12.75" x14ac:dyDescent="0.2">
      <c r="A610" s="15" t="s">
        <v>109</v>
      </c>
      <c r="B610" s="15" t="s">
        <v>110</v>
      </c>
      <c r="D610" s="15" t="s">
        <v>159</v>
      </c>
      <c r="E610" s="15" t="s">
        <v>112</v>
      </c>
      <c r="F610" s="15" t="s">
        <v>159</v>
      </c>
      <c r="G610" s="15" t="s">
        <v>113</v>
      </c>
      <c r="H610" s="15" t="s">
        <v>383</v>
      </c>
      <c r="J610" s="16" t="s">
        <v>114</v>
      </c>
      <c r="U610" s="15" t="s">
        <v>17977</v>
      </c>
      <c r="W610" s="15">
        <v>1138</v>
      </c>
      <c r="X610" s="15">
        <v>620</v>
      </c>
      <c r="Y610" s="15" t="s">
        <v>160</v>
      </c>
      <c r="Z610" s="15" t="s">
        <v>161</v>
      </c>
      <c r="AA610" s="15" t="s">
        <v>162</v>
      </c>
      <c r="AB610" s="15" t="s">
        <v>6015</v>
      </c>
      <c r="AC610" s="15" t="s">
        <v>6015</v>
      </c>
      <c r="AD610" s="15" t="s">
        <v>6015</v>
      </c>
      <c r="AE610" s="15" t="s">
        <v>164</v>
      </c>
      <c r="AF610" s="15" t="s">
        <v>6015</v>
      </c>
      <c r="AG610" s="15" t="s">
        <v>6015</v>
      </c>
      <c r="AH610" s="15" t="s">
        <v>6016</v>
      </c>
      <c r="AL610" s="15" t="s">
        <v>6017</v>
      </c>
      <c r="AN610" s="15">
        <v>743</v>
      </c>
      <c r="AO610" s="15" t="s">
        <v>6018</v>
      </c>
      <c r="AQ610" s="17" t="s">
        <v>843</v>
      </c>
      <c r="AT610" s="15" t="s">
        <v>6009</v>
      </c>
      <c r="AU610" s="18" t="s">
        <v>6019</v>
      </c>
      <c r="AV610" s="18" t="s">
        <v>6019</v>
      </c>
      <c r="AW610" s="15" t="s">
        <v>6020</v>
      </c>
      <c r="AX610" s="15" t="s">
        <v>6020</v>
      </c>
      <c r="AY610" s="15">
        <f t="shared" si="11"/>
        <v>57</v>
      </c>
      <c r="AZ610" s="18" t="s">
        <v>848</v>
      </c>
      <c r="BA610" s="18" t="s">
        <v>174</v>
      </c>
      <c r="BB610" s="18" t="s">
        <v>6012</v>
      </c>
      <c r="BE610" s="18" t="s">
        <v>1123</v>
      </c>
      <c r="BF610" s="18" t="s">
        <v>6013</v>
      </c>
      <c r="BI610" s="18" t="s">
        <v>218</v>
      </c>
      <c r="BJ610" s="18" t="s">
        <v>6021</v>
      </c>
      <c r="BN610" s="18" t="s">
        <v>179</v>
      </c>
      <c r="BP610" s="18" t="s">
        <v>138</v>
      </c>
      <c r="BS610" s="15" t="s">
        <v>6022</v>
      </c>
      <c r="DH610" s="15" t="s">
        <v>17982</v>
      </c>
      <c r="DI610" s="15" t="s">
        <v>17982</v>
      </c>
    </row>
    <row r="611" spans="1:113" s="15" customFormat="1" ht="12.75" x14ac:dyDescent="0.2">
      <c r="A611" s="15" t="s">
        <v>109</v>
      </c>
      <c r="B611" s="15" t="s">
        <v>110</v>
      </c>
      <c r="D611" s="15" t="s">
        <v>159</v>
      </c>
      <c r="E611" s="15" t="s">
        <v>112</v>
      </c>
      <c r="F611" s="15" t="s">
        <v>159</v>
      </c>
      <c r="G611" s="15" t="s">
        <v>113</v>
      </c>
      <c r="H611" s="15" t="s">
        <v>383</v>
      </c>
      <c r="J611" s="16" t="s">
        <v>114</v>
      </c>
      <c r="U611" s="15" t="s">
        <v>17977</v>
      </c>
      <c r="W611" s="15">
        <v>704</v>
      </c>
      <c r="X611" s="15">
        <v>621</v>
      </c>
      <c r="Y611" s="15" t="s">
        <v>160</v>
      </c>
      <c r="Z611" s="15" t="s">
        <v>161</v>
      </c>
      <c r="AA611" s="15" t="s">
        <v>162</v>
      </c>
      <c r="AB611" s="15" t="s">
        <v>2719</v>
      </c>
      <c r="AC611" s="15" t="s">
        <v>2719</v>
      </c>
      <c r="AD611" s="15" t="s">
        <v>2719</v>
      </c>
      <c r="AE611" s="15" t="s">
        <v>164</v>
      </c>
      <c r="AF611" s="15" t="s">
        <v>2719</v>
      </c>
      <c r="AG611" s="15" t="s">
        <v>2719</v>
      </c>
      <c r="AH611" s="15" t="s">
        <v>2720</v>
      </c>
      <c r="AL611" s="15" t="s">
        <v>2721</v>
      </c>
      <c r="AN611" s="15">
        <v>743</v>
      </c>
      <c r="AO611" s="15" t="s">
        <v>2722</v>
      </c>
      <c r="AQ611" s="17" t="s">
        <v>2723</v>
      </c>
      <c r="AT611" s="15" t="s">
        <v>2724</v>
      </c>
      <c r="AU611" s="18" t="s">
        <v>2725</v>
      </c>
      <c r="AV611" s="18" t="s">
        <v>2725</v>
      </c>
      <c r="AW611" s="15" t="s">
        <v>2726</v>
      </c>
      <c r="AX611" s="15" t="s">
        <v>2726</v>
      </c>
      <c r="AY611" s="15">
        <f t="shared" si="11"/>
        <v>52</v>
      </c>
      <c r="AZ611" s="18" t="s">
        <v>2727</v>
      </c>
      <c r="BA611" s="18" t="s">
        <v>174</v>
      </c>
      <c r="BB611" s="18" t="s">
        <v>2370</v>
      </c>
      <c r="BE611" s="18" t="s">
        <v>585</v>
      </c>
      <c r="BI611" s="18" t="s">
        <v>2728</v>
      </c>
      <c r="BJ611" s="18" t="s">
        <v>2729</v>
      </c>
      <c r="BN611" s="18" t="s">
        <v>179</v>
      </c>
      <c r="BP611" s="18" t="s">
        <v>138</v>
      </c>
      <c r="BS611" s="15" t="s">
        <v>2730</v>
      </c>
      <c r="DH611" s="15" t="s">
        <v>17982</v>
      </c>
      <c r="DI611" s="15" t="s">
        <v>17982</v>
      </c>
    </row>
    <row r="612" spans="1:113" s="15" customFormat="1" ht="12.75" x14ac:dyDescent="0.2">
      <c r="A612" s="15" t="s">
        <v>109</v>
      </c>
      <c r="B612" s="15" t="s">
        <v>110</v>
      </c>
      <c r="D612" s="15" t="s">
        <v>159</v>
      </c>
      <c r="E612" s="15" t="s">
        <v>112</v>
      </c>
      <c r="F612" s="15" t="s">
        <v>159</v>
      </c>
      <c r="G612" s="15" t="s">
        <v>113</v>
      </c>
      <c r="H612" s="15" t="s">
        <v>383</v>
      </c>
      <c r="J612" s="16" t="s">
        <v>114</v>
      </c>
      <c r="U612" s="15" t="s">
        <v>17977</v>
      </c>
      <c r="W612" s="15">
        <v>1137</v>
      </c>
      <c r="X612" s="15">
        <v>622</v>
      </c>
      <c r="Y612" s="15" t="s">
        <v>160</v>
      </c>
      <c r="Z612" s="15" t="s">
        <v>161</v>
      </c>
      <c r="AA612" s="15" t="s">
        <v>162</v>
      </c>
      <c r="AB612" s="15" t="s">
        <v>6005</v>
      </c>
      <c r="AC612" s="15" t="s">
        <v>6005</v>
      </c>
      <c r="AD612" s="15" t="s">
        <v>6005</v>
      </c>
      <c r="AE612" s="15" t="s">
        <v>164</v>
      </c>
      <c r="AF612" s="15" t="s">
        <v>6005</v>
      </c>
      <c r="AG612" s="15" t="s">
        <v>6005</v>
      </c>
      <c r="AH612" s="15" t="s">
        <v>6006</v>
      </c>
      <c r="AL612" s="15" t="s">
        <v>6007</v>
      </c>
      <c r="AN612" s="15">
        <v>743</v>
      </c>
      <c r="AO612" s="15" t="s">
        <v>6008</v>
      </c>
      <c r="AQ612" s="17" t="s">
        <v>843</v>
      </c>
      <c r="AT612" s="15" t="s">
        <v>6009</v>
      </c>
      <c r="AU612" s="18" t="s">
        <v>6010</v>
      </c>
      <c r="AV612" s="18" t="s">
        <v>6010</v>
      </c>
      <c r="AW612" s="15" t="s">
        <v>6011</v>
      </c>
      <c r="AX612" s="15" t="s">
        <v>6011</v>
      </c>
      <c r="AY612" s="15">
        <f t="shared" si="11"/>
        <v>48</v>
      </c>
      <c r="AZ612" s="18" t="s">
        <v>848</v>
      </c>
      <c r="BA612" s="18" t="s">
        <v>174</v>
      </c>
      <c r="BB612" s="18" t="s">
        <v>6012</v>
      </c>
      <c r="BE612" s="18" t="s">
        <v>1123</v>
      </c>
      <c r="BF612" s="18" t="s">
        <v>6013</v>
      </c>
      <c r="BJ612" s="18" t="s">
        <v>3976</v>
      </c>
      <c r="BN612" s="18" t="s">
        <v>179</v>
      </c>
      <c r="BP612" s="18" t="s">
        <v>138</v>
      </c>
      <c r="BS612" s="15" t="s">
        <v>6014</v>
      </c>
      <c r="DH612" s="15" t="s">
        <v>17982</v>
      </c>
      <c r="DI612" s="15" t="s">
        <v>17982</v>
      </c>
    </row>
    <row r="613" spans="1:113" s="15" customFormat="1" ht="12.75" x14ac:dyDescent="0.2">
      <c r="A613" s="15" t="s">
        <v>109</v>
      </c>
      <c r="B613" s="15" t="s">
        <v>110</v>
      </c>
      <c r="D613" s="15" t="s">
        <v>159</v>
      </c>
      <c r="E613" s="15" t="s">
        <v>112</v>
      </c>
      <c r="F613" s="15" t="s">
        <v>159</v>
      </c>
      <c r="G613" s="15" t="s">
        <v>113</v>
      </c>
      <c r="H613" s="15" t="s">
        <v>383</v>
      </c>
      <c r="J613" s="16" t="s">
        <v>114</v>
      </c>
      <c r="U613" s="15" t="s">
        <v>17977</v>
      </c>
      <c r="W613" s="15">
        <v>765</v>
      </c>
      <c r="X613" s="15">
        <v>623</v>
      </c>
      <c r="Y613" s="15" t="s">
        <v>160</v>
      </c>
      <c r="Z613" s="15" t="s">
        <v>161</v>
      </c>
      <c r="AA613" s="15" t="s">
        <v>162</v>
      </c>
      <c r="AB613" s="15" t="s">
        <v>3335</v>
      </c>
      <c r="AC613" s="15" t="s">
        <v>3335</v>
      </c>
      <c r="AD613" s="15" t="s">
        <v>3335</v>
      </c>
      <c r="AE613" s="15" t="s">
        <v>164</v>
      </c>
      <c r="AF613" s="15" t="s">
        <v>3335</v>
      </c>
      <c r="AG613" s="15" t="s">
        <v>3335</v>
      </c>
      <c r="AH613" s="15" t="s">
        <v>3336</v>
      </c>
      <c r="AL613" s="15" t="s">
        <v>3337</v>
      </c>
      <c r="AN613" s="15">
        <v>743</v>
      </c>
      <c r="AO613" s="15" t="s">
        <v>3338</v>
      </c>
      <c r="AQ613" s="17" t="s">
        <v>2723</v>
      </c>
      <c r="AT613" s="15" t="s">
        <v>3328</v>
      </c>
      <c r="AU613" s="18" t="s">
        <v>3339</v>
      </c>
      <c r="AV613" s="18" t="s">
        <v>3339</v>
      </c>
      <c r="AW613" s="15" t="s">
        <v>3340</v>
      </c>
      <c r="AX613" s="15" t="s">
        <v>3340</v>
      </c>
      <c r="AY613" s="15">
        <f t="shared" si="11"/>
        <v>55</v>
      </c>
      <c r="AZ613" s="18" t="s">
        <v>2727</v>
      </c>
      <c r="BA613" s="18" t="s">
        <v>174</v>
      </c>
      <c r="BB613" s="18" t="s">
        <v>3331</v>
      </c>
      <c r="BE613" s="18" t="s">
        <v>3332</v>
      </c>
      <c r="BI613" s="18" t="s">
        <v>1083</v>
      </c>
      <c r="BJ613" s="18" t="s">
        <v>3341</v>
      </c>
      <c r="BN613" s="18" t="s">
        <v>179</v>
      </c>
      <c r="BP613" s="18" t="s">
        <v>138</v>
      </c>
      <c r="BS613" s="15" t="s">
        <v>3342</v>
      </c>
      <c r="DH613" s="15" t="s">
        <v>17982</v>
      </c>
      <c r="DI613" s="15" t="s">
        <v>17982</v>
      </c>
    </row>
    <row r="614" spans="1:113" s="15" customFormat="1" ht="12.75" x14ac:dyDescent="0.2">
      <c r="A614" s="15" t="s">
        <v>109</v>
      </c>
      <c r="B614" s="15" t="s">
        <v>110</v>
      </c>
      <c r="D614" s="15" t="s">
        <v>159</v>
      </c>
      <c r="E614" s="15" t="s">
        <v>112</v>
      </c>
      <c r="F614" s="15" t="s">
        <v>159</v>
      </c>
      <c r="G614" s="15" t="s">
        <v>113</v>
      </c>
      <c r="H614" s="15" t="s">
        <v>383</v>
      </c>
      <c r="J614" s="16" t="s">
        <v>114</v>
      </c>
      <c r="U614" s="15" t="s">
        <v>17977</v>
      </c>
      <c r="W614" s="15">
        <v>764</v>
      </c>
      <c r="X614" s="15">
        <v>624</v>
      </c>
      <c r="Y614" s="15" t="s">
        <v>160</v>
      </c>
      <c r="Z614" s="15" t="s">
        <v>161</v>
      </c>
      <c r="AA614" s="15" t="s">
        <v>162</v>
      </c>
      <c r="AB614" s="15" t="s">
        <v>3324</v>
      </c>
      <c r="AC614" s="15" t="s">
        <v>3324</v>
      </c>
      <c r="AD614" s="15" t="s">
        <v>3324</v>
      </c>
      <c r="AE614" s="15" t="s">
        <v>164</v>
      </c>
      <c r="AF614" s="15" t="s">
        <v>3324</v>
      </c>
      <c r="AG614" s="15" t="s">
        <v>3324</v>
      </c>
      <c r="AH614" s="15" t="s">
        <v>3325</v>
      </c>
      <c r="AL614" s="15" t="s">
        <v>3326</v>
      </c>
      <c r="AN614" s="15">
        <v>743</v>
      </c>
      <c r="AO614" s="15" t="s">
        <v>3327</v>
      </c>
      <c r="AQ614" s="17" t="s">
        <v>2723</v>
      </c>
      <c r="AT614" s="15" t="s">
        <v>3328</v>
      </c>
      <c r="AU614" s="18" t="s">
        <v>3329</v>
      </c>
      <c r="AV614" s="18" t="s">
        <v>3329</v>
      </c>
      <c r="AW614" s="15" t="s">
        <v>3330</v>
      </c>
      <c r="AX614" s="15" t="s">
        <v>3330</v>
      </c>
      <c r="AY614" s="15">
        <f t="shared" si="11"/>
        <v>55</v>
      </c>
      <c r="AZ614" s="18" t="s">
        <v>2727</v>
      </c>
      <c r="BA614" s="18" t="s">
        <v>174</v>
      </c>
      <c r="BB614" s="18" t="s">
        <v>3331</v>
      </c>
      <c r="BE614" s="18" t="s">
        <v>3332</v>
      </c>
      <c r="BI614" s="18" t="s">
        <v>1083</v>
      </c>
      <c r="BJ614" s="18" t="s">
        <v>3333</v>
      </c>
      <c r="BN614" s="18" t="s">
        <v>179</v>
      </c>
      <c r="BP614" s="18" t="s">
        <v>138</v>
      </c>
      <c r="BS614" s="15" t="s">
        <v>3334</v>
      </c>
      <c r="DH614" s="15" t="s">
        <v>17982</v>
      </c>
      <c r="DI614" s="15" t="s">
        <v>17982</v>
      </c>
    </row>
    <row r="615" spans="1:113" s="15" customFormat="1" ht="12.75" x14ac:dyDescent="0.2">
      <c r="A615" s="15" t="s">
        <v>109</v>
      </c>
      <c r="B615" s="15" t="s">
        <v>110</v>
      </c>
      <c r="D615" s="15" t="s">
        <v>159</v>
      </c>
      <c r="E615" s="15" t="s">
        <v>112</v>
      </c>
      <c r="F615" s="15" t="s">
        <v>159</v>
      </c>
      <c r="G615" s="15" t="s">
        <v>113</v>
      </c>
      <c r="H615" s="15" t="s">
        <v>383</v>
      </c>
      <c r="J615" s="16" t="s">
        <v>114</v>
      </c>
      <c r="U615" s="15" t="s">
        <v>17977</v>
      </c>
      <c r="W615" s="15">
        <v>2915</v>
      </c>
      <c r="X615" s="15">
        <v>625</v>
      </c>
      <c r="Y615" s="15" t="s">
        <v>160</v>
      </c>
      <c r="Z615" s="15" t="s">
        <v>161</v>
      </c>
      <c r="AA615" s="15" t="s">
        <v>162</v>
      </c>
      <c r="AB615" s="15" t="s">
        <v>14273</v>
      </c>
      <c r="AC615" s="15" t="s">
        <v>14273</v>
      </c>
      <c r="AD615" s="15" t="s">
        <v>14273</v>
      </c>
      <c r="AE615" s="15" t="s">
        <v>164</v>
      </c>
      <c r="AF615" s="15" t="s">
        <v>14273</v>
      </c>
      <c r="AG615" s="15" t="s">
        <v>14273</v>
      </c>
      <c r="AH615" s="15" t="s">
        <v>14274</v>
      </c>
      <c r="AL615" s="15" t="s">
        <v>14275</v>
      </c>
      <c r="AN615" s="15">
        <v>743</v>
      </c>
      <c r="AO615" s="15" t="s">
        <v>14276</v>
      </c>
      <c r="AQ615" s="17" t="s">
        <v>2723</v>
      </c>
      <c r="AT615" s="15" t="s">
        <v>14277</v>
      </c>
      <c r="AU615" s="18" t="s">
        <v>14278</v>
      </c>
      <c r="AV615" s="18" t="s">
        <v>14278</v>
      </c>
      <c r="AW615" s="15" t="s">
        <v>14279</v>
      </c>
      <c r="AX615" s="15" t="s">
        <v>14279</v>
      </c>
      <c r="AY615" s="15">
        <f t="shared" si="11"/>
        <v>39</v>
      </c>
      <c r="AZ615" s="18" t="s">
        <v>2727</v>
      </c>
      <c r="BA615" s="18" t="s">
        <v>174</v>
      </c>
      <c r="BB615" s="18" t="s">
        <v>14280</v>
      </c>
      <c r="BD615" s="18" t="s">
        <v>3045</v>
      </c>
      <c r="BE615" s="18" t="s">
        <v>176</v>
      </c>
      <c r="BI615" s="18" t="s">
        <v>1083</v>
      </c>
      <c r="BN615" s="18" t="s">
        <v>179</v>
      </c>
      <c r="BP615" s="18" t="s">
        <v>138</v>
      </c>
      <c r="BS615" s="15" t="s">
        <v>14281</v>
      </c>
      <c r="DH615" s="15" t="s">
        <v>17982</v>
      </c>
      <c r="DI615" s="15" t="s">
        <v>17982</v>
      </c>
    </row>
    <row r="616" spans="1:113" s="15" customFormat="1" ht="12.75" x14ac:dyDescent="0.2">
      <c r="A616" s="15" t="s">
        <v>109</v>
      </c>
      <c r="B616" s="15" t="s">
        <v>110</v>
      </c>
      <c r="D616" s="15" t="s">
        <v>159</v>
      </c>
      <c r="E616" s="15" t="s">
        <v>112</v>
      </c>
      <c r="F616" s="15" t="s">
        <v>159</v>
      </c>
      <c r="G616" s="15" t="s">
        <v>113</v>
      </c>
      <c r="H616" s="15" t="s">
        <v>383</v>
      </c>
      <c r="J616" s="16" t="s">
        <v>114</v>
      </c>
      <c r="U616" s="15" t="s">
        <v>17977</v>
      </c>
      <c r="W616" s="15">
        <v>2833</v>
      </c>
      <c r="X616" s="15">
        <v>626</v>
      </c>
      <c r="Y616" s="15" t="s">
        <v>160</v>
      </c>
      <c r="Z616" s="15" t="s">
        <v>161</v>
      </c>
      <c r="AA616" s="15" t="s">
        <v>162</v>
      </c>
      <c r="AB616" s="15" t="s">
        <v>13814</v>
      </c>
      <c r="AC616" s="15" t="s">
        <v>13814</v>
      </c>
      <c r="AD616" s="15" t="s">
        <v>13814</v>
      </c>
      <c r="AE616" s="15" t="s">
        <v>164</v>
      </c>
      <c r="AF616" s="15" t="s">
        <v>13814</v>
      </c>
      <c r="AG616" s="15" t="s">
        <v>13814</v>
      </c>
      <c r="AH616" s="47" t="s">
        <v>13815</v>
      </c>
      <c r="AL616" s="15" t="s">
        <v>13816</v>
      </c>
      <c r="AN616" s="15">
        <v>743</v>
      </c>
      <c r="AO616" s="15" t="s">
        <v>13817</v>
      </c>
      <c r="AQ616" s="17" t="s">
        <v>2723</v>
      </c>
      <c r="AT616" s="15" t="s">
        <v>13818</v>
      </c>
      <c r="AU616" s="18" t="s">
        <v>13819</v>
      </c>
      <c r="AV616" s="18" t="s">
        <v>13819</v>
      </c>
      <c r="AW616" s="15" t="s">
        <v>13820</v>
      </c>
      <c r="AX616" s="15" t="s">
        <v>13820</v>
      </c>
      <c r="AY616" s="15">
        <f t="shared" ref="AY616:AY679" si="12">LEN(SUBSTITUTE(AX616, ", "," "))</f>
        <v>38</v>
      </c>
      <c r="AZ616" s="18" t="s">
        <v>2727</v>
      </c>
      <c r="BA616" s="18" t="s">
        <v>174</v>
      </c>
      <c r="BB616" s="18" t="s">
        <v>13778</v>
      </c>
      <c r="BE616" s="18" t="s">
        <v>564</v>
      </c>
      <c r="BI616" s="18" t="s">
        <v>1083</v>
      </c>
      <c r="BN616" s="18" t="s">
        <v>179</v>
      </c>
      <c r="BP616" s="18" t="s">
        <v>138</v>
      </c>
      <c r="BS616" s="15" t="s">
        <v>13821</v>
      </c>
      <c r="DH616" s="15" t="s">
        <v>17982</v>
      </c>
      <c r="DI616" s="15" t="s">
        <v>17982</v>
      </c>
    </row>
    <row r="617" spans="1:113" s="15" customFormat="1" ht="12.75" x14ac:dyDescent="0.2">
      <c r="A617" s="15" t="s">
        <v>109</v>
      </c>
      <c r="B617" s="15" t="s">
        <v>110</v>
      </c>
      <c r="D617" s="15" t="s">
        <v>159</v>
      </c>
      <c r="E617" s="15" t="s">
        <v>112</v>
      </c>
      <c r="F617" s="15" t="s">
        <v>159</v>
      </c>
      <c r="G617" s="15" t="s">
        <v>113</v>
      </c>
      <c r="H617" s="15" t="s">
        <v>383</v>
      </c>
      <c r="J617" s="16" t="s">
        <v>114</v>
      </c>
      <c r="U617" s="15" t="s">
        <v>17977</v>
      </c>
      <c r="W617" s="15">
        <v>3383</v>
      </c>
      <c r="X617" s="15">
        <v>627</v>
      </c>
      <c r="Y617" s="15" t="s">
        <v>160</v>
      </c>
      <c r="Z617" s="15" t="s">
        <v>161</v>
      </c>
      <c r="AA617" s="15" t="s">
        <v>162</v>
      </c>
      <c r="AB617" s="15" t="s">
        <v>16400</v>
      </c>
      <c r="AC617" s="15" t="s">
        <v>16400</v>
      </c>
      <c r="AD617" s="15" t="s">
        <v>16400</v>
      </c>
      <c r="AE617" s="15" t="s">
        <v>164</v>
      </c>
      <c r="AF617" s="15" t="s">
        <v>16400</v>
      </c>
      <c r="AG617" s="15" t="s">
        <v>16400</v>
      </c>
      <c r="AH617" s="15" t="s">
        <v>16401</v>
      </c>
      <c r="AL617" s="15" t="s">
        <v>16402</v>
      </c>
      <c r="AN617" s="15">
        <v>743</v>
      </c>
      <c r="AO617" s="15" t="s">
        <v>16403</v>
      </c>
      <c r="AQ617" s="17" t="s">
        <v>3798</v>
      </c>
      <c r="AT617" s="15" t="s">
        <v>16404</v>
      </c>
      <c r="AU617" s="18" t="s">
        <v>16405</v>
      </c>
      <c r="AV617" s="18" t="s">
        <v>16405</v>
      </c>
      <c r="AW617" s="15" t="s">
        <v>16406</v>
      </c>
      <c r="AX617" s="15" t="s">
        <v>16406</v>
      </c>
      <c r="AY617" s="15">
        <f t="shared" si="12"/>
        <v>43</v>
      </c>
      <c r="AZ617" s="18" t="s">
        <v>16407</v>
      </c>
      <c r="BA617" s="18" t="s">
        <v>174</v>
      </c>
      <c r="BB617" s="18" t="s">
        <v>16408</v>
      </c>
      <c r="BE617" s="18" t="s">
        <v>1701</v>
      </c>
      <c r="BN617" s="18" t="s">
        <v>179</v>
      </c>
      <c r="BP617" s="18" t="s">
        <v>138</v>
      </c>
      <c r="BS617" s="15" t="s">
        <v>16409</v>
      </c>
      <c r="DH617" s="15" t="s">
        <v>17982</v>
      </c>
      <c r="DI617" s="15" t="s">
        <v>17982</v>
      </c>
    </row>
    <row r="618" spans="1:113" s="15" customFormat="1" ht="12.75" x14ac:dyDescent="0.2">
      <c r="A618" s="15" t="s">
        <v>109</v>
      </c>
      <c r="B618" s="15" t="s">
        <v>110</v>
      </c>
      <c r="D618" s="15" t="s">
        <v>159</v>
      </c>
      <c r="E618" s="15" t="s">
        <v>112</v>
      </c>
      <c r="F618" s="15" t="s">
        <v>159</v>
      </c>
      <c r="G618" s="15" t="s">
        <v>113</v>
      </c>
      <c r="H618" s="15" t="s">
        <v>383</v>
      </c>
      <c r="J618" s="16" t="s">
        <v>114</v>
      </c>
      <c r="U618" s="15" t="s">
        <v>17977</v>
      </c>
      <c r="W618" s="15">
        <v>2809</v>
      </c>
      <c r="X618" s="15">
        <v>628</v>
      </c>
      <c r="Y618" s="15" t="s">
        <v>160</v>
      </c>
      <c r="Z618" s="15" t="s">
        <v>161</v>
      </c>
      <c r="AA618" s="15" t="s">
        <v>162</v>
      </c>
      <c r="AB618" s="15" t="s">
        <v>13644</v>
      </c>
      <c r="AC618" s="15" t="s">
        <v>13644</v>
      </c>
      <c r="AD618" s="15" t="s">
        <v>13644</v>
      </c>
      <c r="AE618" s="15" t="s">
        <v>164</v>
      </c>
      <c r="AF618" s="15" t="s">
        <v>13644</v>
      </c>
      <c r="AG618" s="15" t="s">
        <v>13644</v>
      </c>
      <c r="AH618" s="47" t="s">
        <v>13645</v>
      </c>
      <c r="AL618" s="15" t="s">
        <v>13646</v>
      </c>
      <c r="AN618" s="15">
        <v>743</v>
      </c>
      <c r="AO618" s="15" t="s">
        <v>13647</v>
      </c>
      <c r="AQ618" s="17" t="s">
        <v>168</v>
      </c>
      <c r="AT618" s="15" t="s">
        <v>13648</v>
      </c>
      <c r="AU618" s="18" t="s">
        <v>13649</v>
      </c>
      <c r="AV618" s="18" t="s">
        <v>13649</v>
      </c>
      <c r="AW618" s="15" t="s">
        <v>13650</v>
      </c>
      <c r="AX618" s="15" t="s">
        <v>13651</v>
      </c>
      <c r="AY618" s="15">
        <f t="shared" si="12"/>
        <v>59</v>
      </c>
      <c r="AZ618" s="18" t="s">
        <v>173</v>
      </c>
      <c r="BA618" s="18" t="s">
        <v>174</v>
      </c>
      <c r="BB618" s="18" t="s">
        <v>13652</v>
      </c>
      <c r="BE618" s="18" t="s">
        <v>5685</v>
      </c>
      <c r="BJ618" s="18" t="s">
        <v>13653</v>
      </c>
      <c r="BN618" s="18" t="s">
        <v>179</v>
      </c>
      <c r="BP618" s="18" t="s">
        <v>138</v>
      </c>
      <c r="BS618" s="15" t="s">
        <v>13654</v>
      </c>
      <c r="DH618" s="15" t="s">
        <v>17982</v>
      </c>
      <c r="DI618" s="15" t="s">
        <v>17982</v>
      </c>
    </row>
    <row r="619" spans="1:113" s="15" customFormat="1" ht="12.75" x14ac:dyDescent="0.2">
      <c r="A619" s="15" t="s">
        <v>109</v>
      </c>
      <c r="B619" s="15" t="s">
        <v>110</v>
      </c>
      <c r="D619" s="15" t="s">
        <v>159</v>
      </c>
      <c r="E619" s="15" t="s">
        <v>112</v>
      </c>
      <c r="F619" s="15" t="s">
        <v>159</v>
      </c>
      <c r="G619" s="15" t="s">
        <v>113</v>
      </c>
      <c r="H619" s="15" t="s">
        <v>383</v>
      </c>
      <c r="J619" s="16" t="s">
        <v>114</v>
      </c>
      <c r="U619" s="15" t="s">
        <v>17977</v>
      </c>
      <c r="W619" s="15">
        <v>2827</v>
      </c>
      <c r="X619" s="15">
        <v>629</v>
      </c>
      <c r="Y619" s="15" t="s">
        <v>160</v>
      </c>
      <c r="Z619" s="15" t="s">
        <v>161</v>
      </c>
      <c r="AA619" s="15" t="s">
        <v>162</v>
      </c>
      <c r="AB619" s="15" t="s">
        <v>13757</v>
      </c>
      <c r="AC619" s="15" t="s">
        <v>13757</v>
      </c>
      <c r="AD619" s="15" t="s">
        <v>13757</v>
      </c>
      <c r="AE619" s="15" t="s">
        <v>164</v>
      </c>
      <c r="AF619" s="15" t="s">
        <v>13757</v>
      </c>
      <c r="AG619" s="15" t="s">
        <v>13757</v>
      </c>
      <c r="AH619" s="47" t="s">
        <v>13758</v>
      </c>
      <c r="AI619" s="15">
        <v>42291802</v>
      </c>
      <c r="AK619" s="15" t="s">
        <v>1961</v>
      </c>
      <c r="AL619" s="15" t="s">
        <v>13759</v>
      </c>
      <c r="AN619" s="15">
        <v>743</v>
      </c>
      <c r="AO619" s="15" t="s">
        <v>13760</v>
      </c>
      <c r="AQ619" s="17" t="s">
        <v>168</v>
      </c>
      <c r="AT619" s="15" t="s">
        <v>13761</v>
      </c>
      <c r="AU619" s="18" t="s">
        <v>13762</v>
      </c>
      <c r="AV619" s="18" t="s">
        <v>13762</v>
      </c>
      <c r="AW619" s="15" t="s">
        <v>13763</v>
      </c>
      <c r="AX619" s="15" t="s">
        <v>13764</v>
      </c>
      <c r="AY619" s="15">
        <f t="shared" si="12"/>
        <v>58</v>
      </c>
      <c r="AZ619" s="18" t="s">
        <v>604</v>
      </c>
      <c r="BA619" s="18" t="s">
        <v>174</v>
      </c>
      <c r="BB619" s="18" t="s">
        <v>13765</v>
      </c>
      <c r="BE619" s="18" t="s">
        <v>564</v>
      </c>
      <c r="BF619" s="18" t="s">
        <v>13766</v>
      </c>
      <c r="BI619" s="18" t="s">
        <v>13767</v>
      </c>
      <c r="BJ619" s="18" t="s">
        <v>13768</v>
      </c>
      <c r="BN619" s="18" t="s">
        <v>179</v>
      </c>
      <c r="BP619" s="18" t="s">
        <v>138</v>
      </c>
      <c r="BS619" s="15" t="s">
        <v>13769</v>
      </c>
      <c r="DH619" s="15" t="s">
        <v>17982</v>
      </c>
      <c r="DI619" s="15" t="s">
        <v>17982</v>
      </c>
    </row>
    <row r="620" spans="1:113" s="15" customFormat="1" ht="12.75" x14ac:dyDescent="0.2">
      <c r="A620" s="15" t="s">
        <v>109</v>
      </c>
      <c r="B620" s="15" t="s">
        <v>110</v>
      </c>
      <c r="D620" s="15" t="s">
        <v>159</v>
      </c>
      <c r="E620" s="15" t="s">
        <v>112</v>
      </c>
      <c r="F620" s="15" t="s">
        <v>159</v>
      </c>
      <c r="G620" s="15" t="s">
        <v>113</v>
      </c>
      <c r="H620" s="15" t="s">
        <v>383</v>
      </c>
      <c r="J620" s="16" t="s">
        <v>114</v>
      </c>
      <c r="U620" s="15" t="s">
        <v>17977</v>
      </c>
      <c r="W620" s="15">
        <v>1075</v>
      </c>
      <c r="X620" s="15">
        <v>630</v>
      </c>
      <c r="Y620" s="15" t="s">
        <v>160</v>
      </c>
      <c r="Z620" s="15" t="s">
        <v>161</v>
      </c>
      <c r="AA620" s="15" t="s">
        <v>162</v>
      </c>
      <c r="AB620" s="15" t="s">
        <v>5649</v>
      </c>
      <c r="AC620" s="15" t="s">
        <v>5649</v>
      </c>
      <c r="AD620" s="15" t="s">
        <v>5649</v>
      </c>
      <c r="AE620" s="15" t="s">
        <v>164</v>
      </c>
      <c r="AF620" s="15" t="s">
        <v>5649</v>
      </c>
      <c r="AG620" s="15" t="s">
        <v>5649</v>
      </c>
      <c r="AH620" s="15" t="s">
        <v>5650</v>
      </c>
      <c r="AL620" s="15" t="s">
        <v>5651</v>
      </c>
      <c r="AN620" s="15">
        <v>743</v>
      </c>
      <c r="AO620" s="15" t="s">
        <v>5652</v>
      </c>
      <c r="AQ620" s="17" t="s">
        <v>168</v>
      </c>
      <c r="AT620" s="15" t="s">
        <v>5653</v>
      </c>
      <c r="AU620" s="18" t="s">
        <v>5654</v>
      </c>
      <c r="AV620" s="18" t="s">
        <v>5654</v>
      </c>
      <c r="AW620" s="15" t="s">
        <v>5655</v>
      </c>
      <c r="AX620" s="15" t="s">
        <v>5656</v>
      </c>
      <c r="AY620" s="15">
        <f t="shared" si="12"/>
        <v>56</v>
      </c>
      <c r="AZ620" s="18" t="s">
        <v>604</v>
      </c>
      <c r="BA620" s="18" t="s">
        <v>174</v>
      </c>
      <c r="BB620" s="18" t="s">
        <v>5634</v>
      </c>
      <c r="BE620" s="18" t="s">
        <v>1032</v>
      </c>
      <c r="BF620" s="18" t="s">
        <v>5657</v>
      </c>
      <c r="BI620" s="18" t="s">
        <v>5658</v>
      </c>
      <c r="BJ620" s="18" t="s">
        <v>5659</v>
      </c>
      <c r="BN620" s="18" t="s">
        <v>179</v>
      </c>
      <c r="BP620" s="18" t="s">
        <v>138</v>
      </c>
      <c r="BS620" s="15" t="s">
        <v>5660</v>
      </c>
      <c r="DH620" s="15" t="s">
        <v>17982</v>
      </c>
      <c r="DI620" s="15" t="s">
        <v>17982</v>
      </c>
    </row>
    <row r="621" spans="1:113" s="15" customFormat="1" ht="12.75" x14ac:dyDescent="0.2">
      <c r="A621" s="15" t="s">
        <v>109</v>
      </c>
      <c r="B621" s="15" t="s">
        <v>110</v>
      </c>
      <c r="D621" s="15" t="s">
        <v>159</v>
      </c>
      <c r="E621" s="15" t="s">
        <v>112</v>
      </c>
      <c r="F621" s="15" t="s">
        <v>159</v>
      </c>
      <c r="G621" s="15" t="s">
        <v>113</v>
      </c>
      <c r="H621" s="15" t="s">
        <v>383</v>
      </c>
      <c r="J621" s="16" t="s">
        <v>114</v>
      </c>
      <c r="U621" s="15" t="s">
        <v>17977</v>
      </c>
      <c r="W621" s="15">
        <v>804</v>
      </c>
      <c r="X621" s="15">
        <v>631</v>
      </c>
      <c r="Y621" s="15" t="s">
        <v>160</v>
      </c>
      <c r="Z621" s="15" t="s">
        <v>161</v>
      </c>
      <c r="AA621" s="15" t="s">
        <v>162</v>
      </c>
      <c r="AB621" s="15" t="s">
        <v>3422</v>
      </c>
      <c r="AC621" s="15" t="s">
        <v>3422</v>
      </c>
      <c r="AD621" s="15" t="s">
        <v>3422</v>
      </c>
      <c r="AE621" s="15" t="s">
        <v>164</v>
      </c>
      <c r="AF621" s="15" t="s">
        <v>3422</v>
      </c>
      <c r="AG621" s="15" t="s">
        <v>3422</v>
      </c>
      <c r="AH621" s="15" t="s">
        <v>3423</v>
      </c>
      <c r="AL621" s="15" t="s">
        <v>3424</v>
      </c>
      <c r="AN621" s="15">
        <v>743</v>
      </c>
      <c r="AO621" s="15" t="s">
        <v>3425</v>
      </c>
      <c r="AQ621" s="17" t="s">
        <v>168</v>
      </c>
      <c r="AT621" s="15" t="s">
        <v>3426</v>
      </c>
      <c r="AU621" s="18" t="s">
        <v>3427</v>
      </c>
      <c r="AV621" s="18" t="s">
        <v>3427</v>
      </c>
      <c r="AW621" s="15" t="s">
        <v>3428</v>
      </c>
      <c r="AX621" s="15" t="s">
        <v>3429</v>
      </c>
      <c r="AY621" s="15">
        <f t="shared" si="12"/>
        <v>57</v>
      </c>
      <c r="AZ621" s="18" t="s">
        <v>604</v>
      </c>
      <c r="BA621" s="18" t="s">
        <v>174</v>
      </c>
      <c r="BB621" s="18" t="s">
        <v>3430</v>
      </c>
      <c r="BE621" s="18" t="s">
        <v>1701</v>
      </c>
      <c r="BF621" s="18" t="s">
        <v>2626</v>
      </c>
      <c r="BJ621" s="18" t="s">
        <v>3431</v>
      </c>
      <c r="BN621" s="18" t="s">
        <v>179</v>
      </c>
      <c r="BP621" s="18" t="s">
        <v>138</v>
      </c>
      <c r="BS621" s="15" t="s">
        <v>3432</v>
      </c>
      <c r="DH621" s="15" t="s">
        <v>17982</v>
      </c>
      <c r="DI621" s="15" t="s">
        <v>17982</v>
      </c>
    </row>
    <row r="622" spans="1:113" s="15" customFormat="1" ht="12.75" x14ac:dyDescent="0.2">
      <c r="A622" s="15" t="s">
        <v>109</v>
      </c>
      <c r="B622" s="15" t="s">
        <v>110</v>
      </c>
      <c r="D622" s="15" t="s">
        <v>159</v>
      </c>
      <c r="E622" s="15" t="s">
        <v>112</v>
      </c>
      <c r="F622" s="15" t="s">
        <v>159</v>
      </c>
      <c r="G622" s="15" t="s">
        <v>113</v>
      </c>
      <c r="H622" s="15" t="s">
        <v>383</v>
      </c>
      <c r="J622" s="16" t="s">
        <v>114</v>
      </c>
      <c r="U622" s="15" t="s">
        <v>17977</v>
      </c>
      <c r="W622" s="15">
        <v>1850</v>
      </c>
      <c r="X622" s="15">
        <v>632</v>
      </c>
      <c r="Y622" s="15" t="s">
        <v>160</v>
      </c>
      <c r="Z622" s="15" t="s">
        <v>161</v>
      </c>
      <c r="AA622" s="15" t="s">
        <v>162</v>
      </c>
      <c r="AB622" s="15" t="s">
        <v>10006</v>
      </c>
      <c r="AC622" s="15" t="s">
        <v>10006</v>
      </c>
      <c r="AD622" s="15" t="s">
        <v>10007</v>
      </c>
      <c r="AE622" s="15" t="s">
        <v>164</v>
      </c>
      <c r="AF622" s="15" t="s">
        <v>10007</v>
      </c>
      <c r="AG622" s="15" t="s">
        <v>10006</v>
      </c>
      <c r="AH622" s="15" t="s">
        <v>10008</v>
      </c>
      <c r="AL622" s="15" t="s">
        <v>10009</v>
      </c>
      <c r="AN622" s="15">
        <v>743</v>
      </c>
      <c r="AO622" s="15" t="s">
        <v>10010</v>
      </c>
      <c r="AQ622" s="17" t="s">
        <v>168</v>
      </c>
      <c r="AT622" s="15" t="s">
        <v>10011</v>
      </c>
      <c r="AU622" s="18" t="s">
        <v>10012</v>
      </c>
      <c r="AV622" s="18" t="s">
        <v>10012</v>
      </c>
      <c r="AW622" s="15" t="s">
        <v>10013</v>
      </c>
      <c r="AX622" s="15" t="s">
        <v>10014</v>
      </c>
      <c r="AY622" s="15">
        <f t="shared" si="12"/>
        <v>60</v>
      </c>
      <c r="AZ622" s="18" t="s">
        <v>604</v>
      </c>
      <c r="BA622" s="18" t="s">
        <v>174</v>
      </c>
      <c r="BB622" s="18" t="s">
        <v>10015</v>
      </c>
      <c r="BE622" s="18" t="s">
        <v>9776</v>
      </c>
      <c r="BJ622" s="18" t="s">
        <v>10016</v>
      </c>
      <c r="BN622" s="18" t="s">
        <v>179</v>
      </c>
      <c r="BP622" s="18" t="s">
        <v>138</v>
      </c>
      <c r="BS622" s="15" t="s">
        <v>10017</v>
      </c>
      <c r="DH622" s="15" t="s">
        <v>17982</v>
      </c>
      <c r="DI622" s="15" t="s">
        <v>17982</v>
      </c>
    </row>
    <row r="623" spans="1:113" s="15" customFormat="1" ht="12.75" x14ac:dyDescent="0.2">
      <c r="A623" s="15" t="s">
        <v>109</v>
      </c>
      <c r="B623" s="15" t="s">
        <v>110</v>
      </c>
      <c r="D623" s="15" t="s">
        <v>159</v>
      </c>
      <c r="E623" s="15" t="s">
        <v>112</v>
      </c>
      <c r="F623" s="15" t="s">
        <v>159</v>
      </c>
      <c r="G623" s="15" t="s">
        <v>113</v>
      </c>
      <c r="H623" s="15" t="s">
        <v>383</v>
      </c>
      <c r="J623" s="16" t="s">
        <v>114</v>
      </c>
      <c r="U623" s="15" t="s">
        <v>17977</v>
      </c>
      <c r="W623" s="15">
        <v>437</v>
      </c>
      <c r="X623" s="15">
        <v>633</v>
      </c>
      <c r="Y623" s="15" t="s">
        <v>160</v>
      </c>
      <c r="Z623" s="15" t="s">
        <v>161</v>
      </c>
      <c r="AA623" s="15" t="s">
        <v>162</v>
      </c>
      <c r="AB623" s="15" t="s">
        <v>1692</v>
      </c>
      <c r="AC623" s="15" t="s">
        <v>1692</v>
      </c>
      <c r="AD623" s="15" t="s">
        <v>1692</v>
      </c>
      <c r="AE623" s="15" t="s">
        <v>164</v>
      </c>
      <c r="AF623" s="15" t="s">
        <v>1692</v>
      </c>
      <c r="AG623" s="15" t="s">
        <v>1692</v>
      </c>
      <c r="AH623" s="15" t="s">
        <v>1693</v>
      </c>
      <c r="AL623" s="15" t="s">
        <v>1694</v>
      </c>
      <c r="AN623" s="15">
        <v>743</v>
      </c>
      <c r="AO623" s="15" t="s">
        <v>1695</v>
      </c>
      <c r="AQ623" s="17" t="s">
        <v>168</v>
      </c>
      <c r="AT623" s="15" t="s">
        <v>1696</v>
      </c>
      <c r="AU623" s="18" t="s">
        <v>1697</v>
      </c>
      <c r="AV623" s="18" t="s">
        <v>1697</v>
      </c>
      <c r="AW623" s="15" t="s">
        <v>1698</v>
      </c>
      <c r="AX623" s="15" t="s">
        <v>1699</v>
      </c>
      <c r="AY623" s="15">
        <f t="shared" si="12"/>
        <v>60</v>
      </c>
      <c r="AZ623" s="18" t="s">
        <v>173</v>
      </c>
      <c r="BA623" s="18" t="s">
        <v>174</v>
      </c>
      <c r="BB623" s="18" t="s">
        <v>1700</v>
      </c>
      <c r="BE623" s="18" t="s">
        <v>1701</v>
      </c>
      <c r="BJ623" s="18" t="s">
        <v>1702</v>
      </c>
      <c r="BN623" s="18" t="s">
        <v>179</v>
      </c>
      <c r="BP623" s="18" t="s">
        <v>138</v>
      </c>
      <c r="BS623" s="15" t="s">
        <v>1703</v>
      </c>
      <c r="DH623" s="15" t="s">
        <v>17982</v>
      </c>
      <c r="DI623" s="15" t="s">
        <v>17982</v>
      </c>
    </row>
    <row r="624" spans="1:113" s="15" customFormat="1" ht="12.75" x14ac:dyDescent="0.2">
      <c r="A624" s="15" t="s">
        <v>109</v>
      </c>
      <c r="B624" s="15" t="s">
        <v>110</v>
      </c>
      <c r="D624" s="15" t="s">
        <v>159</v>
      </c>
      <c r="E624" s="15" t="s">
        <v>112</v>
      </c>
      <c r="F624" s="15" t="s">
        <v>159</v>
      </c>
      <c r="G624" s="15" t="s">
        <v>113</v>
      </c>
      <c r="H624" s="15" t="s">
        <v>383</v>
      </c>
      <c r="J624" s="16" t="s">
        <v>114</v>
      </c>
      <c r="U624" s="15" t="s">
        <v>17977</v>
      </c>
      <c r="W624" s="15">
        <v>2605</v>
      </c>
      <c r="X624" s="15">
        <v>634</v>
      </c>
      <c r="Y624" s="15" t="s">
        <v>160</v>
      </c>
      <c r="Z624" s="15" t="s">
        <v>161</v>
      </c>
      <c r="AA624" s="15" t="s">
        <v>162</v>
      </c>
      <c r="AB624" s="15" t="s">
        <v>12670</v>
      </c>
      <c r="AC624" s="15" t="s">
        <v>12670</v>
      </c>
      <c r="AD624" s="15" t="s">
        <v>12670</v>
      </c>
      <c r="AE624" s="15" t="s">
        <v>164</v>
      </c>
      <c r="AF624" s="15" t="s">
        <v>12670</v>
      </c>
      <c r="AG624" s="15" t="s">
        <v>12670</v>
      </c>
      <c r="AH624" s="47" t="s">
        <v>12671</v>
      </c>
      <c r="AL624" s="15" t="s">
        <v>12672</v>
      </c>
      <c r="AN624" s="15">
        <v>743</v>
      </c>
      <c r="AO624" s="15" t="s">
        <v>12673</v>
      </c>
      <c r="AQ624" s="17" t="s">
        <v>168</v>
      </c>
      <c r="AT624" s="15" t="s">
        <v>12674</v>
      </c>
      <c r="AU624" s="18" t="s">
        <v>12675</v>
      </c>
      <c r="AV624" s="18" t="s">
        <v>12675</v>
      </c>
      <c r="AW624" s="15" t="s">
        <v>12676</v>
      </c>
      <c r="AX624" s="15" t="s">
        <v>12676</v>
      </c>
      <c r="AY624" s="15">
        <f t="shared" si="12"/>
        <v>59</v>
      </c>
      <c r="AZ624" s="18" t="s">
        <v>173</v>
      </c>
      <c r="BA624" s="18" t="s">
        <v>174</v>
      </c>
      <c r="BB624" s="18" t="s">
        <v>12639</v>
      </c>
      <c r="BE624" s="18" t="s">
        <v>12677</v>
      </c>
      <c r="BJ624" s="18" t="s">
        <v>12678</v>
      </c>
      <c r="BN624" s="18" t="s">
        <v>179</v>
      </c>
      <c r="BP624" s="18" t="s">
        <v>138</v>
      </c>
      <c r="BS624" s="15" t="s">
        <v>12679</v>
      </c>
      <c r="DH624" s="15" t="s">
        <v>17982</v>
      </c>
      <c r="DI624" s="15" t="s">
        <v>17982</v>
      </c>
    </row>
    <row r="625" spans="1:113" s="15" customFormat="1" ht="12.75" x14ac:dyDescent="0.2">
      <c r="A625" s="15" t="s">
        <v>109</v>
      </c>
      <c r="B625" s="15" t="s">
        <v>110</v>
      </c>
      <c r="D625" s="15" t="s">
        <v>159</v>
      </c>
      <c r="E625" s="15" t="s">
        <v>112</v>
      </c>
      <c r="F625" s="15" t="s">
        <v>159</v>
      </c>
      <c r="G625" s="15" t="s">
        <v>113</v>
      </c>
      <c r="H625" s="15" t="s">
        <v>383</v>
      </c>
      <c r="J625" s="16" t="s">
        <v>114</v>
      </c>
      <c r="U625" s="15" t="s">
        <v>17977</v>
      </c>
      <c r="W625" s="15">
        <v>2601</v>
      </c>
      <c r="X625" s="15">
        <v>635</v>
      </c>
      <c r="Y625" s="15" t="s">
        <v>160</v>
      </c>
      <c r="Z625" s="15" t="s">
        <v>161</v>
      </c>
      <c r="AA625" s="15" t="s">
        <v>162</v>
      </c>
      <c r="AB625" s="15" t="s">
        <v>12631</v>
      </c>
      <c r="AC625" s="15" t="s">
        <v>12631</v>
      </c>
      <c r="AD625" s="15" t="s">
        <v>12632</v>
      </c>
      <c r="AE625" s="15" t="s">
        <v>164</v>
      </c>
      <c r="AF625" s="15" t="s">
        <v>12632</v>
      </c>
      <c r="AG625" s="15" t="s">
        <v>12631</v>
      </c>
      <c r="AH625" s="47" t="s">
        <v>12633</v>
      </c>
      <c r="AL625" s="15" t="s">
        <v>12634</v>
      </c>
      <c r="AN625" s="15">
        <v>743</v>
      </c>
      <c r="AO625" s="15" t="s">
        <v>12635</v>
      </c>
      <c r="AQ625" s="17" t="s">
        <v>168</v>
      </c>
      <c r="AT625" s="15" t="s">
        <v>12636</v>
      </c>
      <c r="AU625" s="18" t="s">
        <v>12637</v>
      </c>
      <c r="AV625" s="18" t="s">
        <v>12637</v>
      </c>
      <c r="AW625" s="15" t="s">
        <v>12638</v>
      </c>
      <c r="AX625" s="15" t="s">
        <v>12638</v>
      </c>
      <c r="AY625" s="15">
        <f t="shared" si="12"/>
        <v>51</v>
      </c>
      <c r="AZ625" s="18" t="s">
        <v>173</v>
      </c>
      <c r="BA625" s="18" t="s">
        <v>174</v>
      </c>
      <c r="BB625" s="18" t="s">
        <v>12639</v>
      </c>
      <c r="BE625" s="18" t="s">
        <v>585</v>
      </c>
      <c r="BJ625" s="18" t="s">
        <v>12640</v>
      </c>
      <c r="BN625" s="18" t="s">
        <v>179</v>
      </c>
      <c r="BP625" s="18" t="s">
        <v>138</v>
      </c>
      <c r="BS625" s="15" t="s">
        <v>12641</v>
      </c>
      <c r="DH625" s="15" t="s">
        <v>17982</v>
      </c>
      <c r="DI625" s="15" t="s">
        <v>17982</v>
      </c>
    </row>
    <row r="626" spans="1:113" s="15" customFormat="1" ht="12.75" x14ac:dyDescent="0.2">
      <c r="A626" s="15" t="s">
        <v>109</v>
      </c>
      <c r="B626" s="15" t="s">
        <v>110</v>
      </c>
      <c r="D626" s="15" t="s">
        <v>159</v>
      </c>
      <c r="E626" s="30" t="s">
        <v>112</v>
      </c>
      <c r="F626" s="15" t="s">
        <v>159</v>
      </c>
      <c r="G626" s="30" t="s">
        <v>113</v>
      </c>
      <c r="H626" s="15" t="s">
        <v>383</v>
      </c>
      <c r="I626" s="30"/>
      <c r="J626" s="16" t="s">
        <v>114</v>
      </c>
      <c r="U626" s="15" t="s">
        <v>17977</v>
      </c>
      <c r="W626" s="15">
        <v>3516</v>
      </c>
      <c r="X626" s="15">
        <v>636</v>
      </c>
      <c r="Y626" s="15" t="s">
        <v>160</v>
      </c>
      <c r="Z626" s="15" t="s">
        <v>161</v>
      </c>
      <c r="AA626" s="15" t="s">
        <v>162</v>
      </c>
      <c r="AB626" s="15" t="s">
        <v>17037</v>
      </c>
      <c r="AC626" s="15" t="s">
        <v>17037</v>
      </c>
      <c r="AD626" s="30" t="s">
        <v>17037</v>
      </c>
      <c r="AE626" s="15" t="s">
        <v>164</v>
      </c>
      <c r="AF626" s="30" t="s">
        <v>17037</v>
      </c>
      <c r="AG626" s="30" t="s">
        <v>17037</v>
      </c>
      <c r="AH626" s="30" t="s">
        <v>17038</v>
      </c>
      <c r="AL626" s="15" t="s">
        <v>17039</v>
      </c>
      <c r="AN626" s="15">
        <v>743</v>
      </c>
      <c r="AO626" s="15" t="s">
        <v>17040</v>
      </c>
      <c r="AQ626" s="13" t="s">
        <v>168</v>
      </c>
      <c r="AR626" s="30"/>
      <c r="AS626" s="30"/>
      <c r="AT626" s="30" t="s">
        <v>17041</v>
      </c>
      <c r="AU626" s="46" t="s">
        <v>17042</v>
      </c>
      <c r="AV626" s="46" t="s">
        <v>17042</v>
      </c>
      <c r="AW626" s="30" t="s">
        <v>17043</v>
      </c>
      <c r="AX626" s="30" t="s">
        <v>17044</v>
      </c>
      <c r="AY626" s="15">
        <f t="shared" si="12"/>
        <v>60</v>
      </c>
      <c r="AZ626" s="46" t="s">
        <v>173</v>
      </c>
      <c r="BA626" s="46" t="s">
        <v>174</v>
      </c>
      <c r="BB626" s="46" t="s">
        <v>12639</v>
      </c>
      <c r="BC626" s="30"/>
      <c r="BD626" s="30"/>
      <c r="BE626" s="46" t="s">
        <v>176</v>
      </c>
      <c r="BF626" s="30"/>
      <c r="BG626" s="30"/>
      <c r="BH626" s="30"/>
      <c r="BI626" s="30"/>
      <c r="BJ626" s="46" t="s">
        <v>17035</v>
      </c>
      <c r="BK626" s="46" t="s">
        <v>178</v>
      </c>
      <c r="BL626" s="30"/>
      <c r="BM626" s="30"/>
      <c r="BN626" s="46" t="s">
        <v>179</v>
      </c>
      <c r="BO626" s="46" t="s">
        <v>16602</v>
      </c>
      <c r="BP626" s="46" t="s">
        <v>138</v>
      </c>
      <c r="BQ626" s="30"/>
      <c r="BR626" s="30"/>
      <c r="BS626" s="30" t="s">
        <v>17045</v>
      </c>
      <c r="BT626" s="30"/>
      <c r="BU626" s="30"/>
      <c r="BV626" s="30"/>
      <c r="BW626" s="30"/>
      <c r="BX626" s="30"/>
      <c r="BY626" s="30"/>
      <c r="DH626" s="15" t="s">
        <v>17982</v>
      </c>
      <c r="DI626" s="15" t="s">
        <v>17982</v>
      </c>
    </row>
    <row r="627" spans="1:113" s="15" customFormat="1" ht="12.75" x14ac:dyDescent="0.2">
      <c r="A627" s="15" t="s">
        <v>109</v>
      </c>
      <c r="B627" s="15" t="s">
        <v>110</v>
      </c>
      <c r="D627" s="15" t="s">
        <v>159</v>
      </c>
      <c r="E627" s="30" t="s">
        <v>112</v>
      </c>
      <c r="F627" s="15" t="s">
        <v>159</v>
      </c>
      <c r="G627" s="30" t="s">
        <v>113</v>
      </c>
      <c r="H627" s="15" t="s">
        <v>383</v>
      </c>
      <c r="I627" s="30"/>
      <c r="J627" s="16" t="s">
        <v>114</v>
      </c>
      <c r="U627" s="15" t="s">
        <v>17977</v>
      </c>
      <c r="W627" s="15">
        <v>3517</v>
      </c>
      <c r="X627" s="15">
        <v>637</v>
      </c>
      <c r="Y627" s="15" t="s">
        <v>160</v>
      </c>
      <c r="Z627" s="15" t="s">
        <v>161</v>
      </c>
      <c r="AA627" s="15" t="s">
        <v>162</v>
      </c>
      <c r="AB627" s="15" t="s">
        <v>17046</v>
      </c>
      <c r="AC627" s="15" t="s">
        <v>17046</v>
      </c>
      <c r="AD627" s="30" t="s">
        <v>17046</v>
      </c>
      <c r="AE627" s="15" t="s">
        <v>164</v>
      </c>
      <c r="AF627" s="30" t="s">
        <v>17046</v>
      </c>
      <c r="AG627" s="30" t="s">
        <v>17046</v>
      </c>
      <c r="AH627" s="30" t="s">
        <v>17047</v>
      </c>
      <c r="AL627" s="15" t="s">
        <v>17039</v>
      </c>
      <c r="AN627" s="15">
        <v>743</v>
      </c>
      <c r="AO627" s="15" t="s">
        <v>17048</v>
      </c>
      <c r="AQ627" s="13" t="s">
        <v>168</v>
      </c>
      <c r="AR627" s="30"/>
      <c r="AS627" s="30"/>
      <c r="AT627" s="30" t="s">
        <v>17049</v>
      </c>
      <c r="AU627" s="46" t="s">
        <v>17050</v>
      </c>
      <c r="AV627" s="46" t="s">
        <v>17050</v>
      </c>
      <c r="AW627" s="30" t="s">
        <v>17051</v>
      </c>
      <c r="AX627" s="30" t="s">
        <v>17052</v>
      </c>
      <c r="AY627" s="15">
        <f t="shared" si="12"/>
        <v>60</v>
      </c>
      <c r="AZ627" s="46" t="s">
        <v>173</v>
      </c>
      <c r="BA627" s="46" t="s">
        <v>174</v>
      </c>
      <c r="BB627" s="46" t="s">
        <v>12639</v>
      </c>
      <c r="BC627" s="30"/>
      <c r="BD627" s="30"/>
      <c r="BE627" s="46" t="s">
        <v>1123</v>
      </c>
      <c r="BF627" s="30"/>
      <c r="BG627" s="30"/>
      <c r="BH627" s="30"/>
      <c r="BI627" s="30"/>
      <c r="BJ627" s="46" t="s">
        <v>17035</v>
      </c>
      <c r="BK627" s="46" t="s">
        <v>178</v>
      </c>
      <c r="BL627" s="30"/>
      <c r="BM627" s="30"/>
      <c r="BN627" s="46" t="s">
        <v>179</v>
      </c>
      <c r="BO627" s="46" t="s">
        <v>16602</v>
      </c>
      <c r="BP627" s="46" t="s">
        <v>138</v>
      </c>
      <c r="BQ627" s="30"/>
      <c r="BR627" s="30"/>
      <c r="BS627" s="30" t="s">
        <v>17053</v>
      </c>
      <c r="BT627" s="30"/>
      <c r="BU627" s="30"/>
      <c r="BV627" s="30"/>
      <c r="BW627" s="30"/>
      <c r="BX627" s="30"/>
      <c r="BY627" s="30"/>
      <c r="DH627" s="15" t="s">
        <v>17982</v>
      </c>
      <c r="DI627" s="15" t="s">
        <v>17982</v>
      </c>
    </row>
    <row r="628" spans="1:113" s="15" customFormat="1" ht="12.75" x14ac:dyDescent="0.2">
      <c r="A628" s="15" t="s">
        <v>109</v>
      </c>
      <c r="B628" s="15" t="s">
        <v>110</v>
      </c>
      <c r="D628" s="15" t="s">
        <v>159</v>
      </c>
      <c r="E628" s="30" t="s">
        <v>112</v>
      </c>
      <c r="F628" s="15" t="s">
        <v>159</v>
      </c>
      <c r="G628" s="30" t="s">
        <v>113</v>
      </c>
      <c r="H628" s="15" t="s">
        <v>383</v>
      </c>
      <c r="I628" s="30"/>
      <c r="J628" s="16" t="s">
        <v>114</v>
      </c>
      <c r="U628" s="15" t="s">
        <v>17977</v>
      </c>
      <c r="W628" s="15">
        <v>3518</v>
      </c>
      <c r="X628" s="15">
        <v>638</v>
      </c>
      <c r="Y628" s="15" t="s">
        <v>160</v>
      </c>
      <c r="Z628" s="15" t="s">
        <v>161</v>
      </c>
      <c r="AA628" s="15" t="s">
        <v>162</v>
      </c>
      <c r="AB628" s="15" t="s">
        <v>17054</v>
      </c>
      <c r="AC628" s="15" t="s">
        <v>17054</v>
      </c>
      <c r="AD628" s="30" t="s">
        <v>17054</v>
      </c>
      <c r="AE628" s="15" t="s">
        <v>164</v>
      </c>
      <c r="AF628" s="30" t="s">
        <v>17054</v>
      </c>
      <c r="AG628" s="30" t="s">
        <v>17054</v>
      </c>
      <c r="AH628" s="30" t="s">
        <v>17055</v>
      </c>
      <c r="AL628" s="15" t="s">
        <v>17039</v>
      </c>
      <c r="AN628" s="15">
        <v>743</v>
      </c>
      <c r="AO628" s="15" t="s">
        <v>17056</v>
      </c>
      <c r="AQ628" s="13" t="s">
        <v>168</v>
      </c>
      <c r="AR628" s="30"/>
      <c r="AS628" s="30"/>
      <c r="AT628" s="30" t="s">
        <v>17057</v>
      </c>
      <c r="AU628" s="46" t="s">
        <v>17058</v>
      </c>
      <c r="AV628" s="46" t="s">
        <v>17058</v>
      </c>
      <c r="AW628" s="30" t="s">
        <v>17059</v>
      </c>
      <c r="AX628" s="30" t="s">
        <v>17060</v>
      </c>
      <c r="AY628" s="15">
        <f t="shared" si="12"/>
        <v>60</v>
      </c>
      <c r="AZ628" s="46" t="s">
        <v>173</v>
      </c>
      <c r="BA628" s="46" t="s">
        <v>174</v>
      </c>
      <c r="BB628" s="46" t="s">
        <v>12639</v>
      </c>
      <c r="BC628" s="30"/>
      <c r="BD628" s="30"/>
      <c r="BE628" s="46" t="s">
        <v>275</v>
      </c>
      <c r="BF628" s="30"/>
      <c r="BG628" s="30"/>
      <c r="BH628" s="30"/>
      <c r="BI628" s="30"/>
      <c r="BJ628" s="46" t="s">
        <v>17035</v>
      </c>
      <c r="BK628" s="46" t="s">
        <v>178</v>
      </c>
      <c r="BL628" s="30"/>
      <c r="BM628" s="30"/>
      <c r="BN628" s="46" t="s">
        <v>179</v>
      </c>
      <c r="BO628" s="46" t="s">
        <v>16602</v>
      </c>
      <c r="BP628" s="46" t="s">
        <v>138</v>
      </c>
      <c r="BQ628" s="30"/>
      <c r="BR628" s="30"/>
      <c r="BS628" s="30" t="s">
        <v>17061</v>
      </c>
      <c r="BT628" s="30"/>
      <c r="BU628" s="30"/>
      <c r="BV628" s="30"/>
      <c r="BW628" s="30"/>
      <c r="BX628" s="30"/>
      <c r="BY628" s="30"/>
      <c r="DH628" s="15" t="s">
        <v>17982</v>
      </c>
      <c r="DI628" s="15" t="s">
        <v>17982</v>
      </c>
    </row>
    <row r="629" spans="1:113" s="15" customFormat="1" ht="12.75" x14ac:dyDescent="0.2">
      <c r="A629" s="15" t="s">
        <v>109</v>
      </c>
      <c r="B629" s="15" t="s">
        <v>110</v>
      </c>
      <c r="D629" s="15" t="s">
        <v>159</v>
      </c>
      <c r="E629" s="30" t="s">
        <v>112</v>
      </c>
      <c r="F629" s="15" t="s">
        <v>159</v>
      </c>
      <c r="G629" s="30" t="s">
        <v>113</v>
      </c>
      <c r="H629" s="15" t="s">
        <v>383</v>
      </c>
      <c r="I629" s="30"/>
      <c r="J629" s="16" t="s">
        <v>114</v>
      </c>
      <c r="U629" s="15" t="s">
        <v>17977</v>
      </c>
      <c r="W629" s="15">
        <v>3519</v>
      </c>
      <c r="X629" s="15">
        <v>639</v>
      </c>
      <c r="Y629" s="15" t="s">
        <v>160</v>
      </c>
      <c r="Z629" s="15" t="s">
        <v>161</v>
      </c>
      <c r="AA629" s="15" t="s">
        <v>162</v>
      </c>
      <c r="AB629" s="15" t="s">
        <v>17062</v>
      </c>
      <c r="AC629" s="15" t="s">
        <v>17062</v>
      </c>
      <c r="AD629" s="30" t="s">
        <v>17062</v>
      </c>
      <c r="AE629" s="15" t="s">
        <v>164</v>
      </c>
      <c r="AF629" s="30" t="s">
        <v>17062</v>
      </c>
      <c r="AG629" s="30" t="s">
        <v>17062</v>
      </c>
      <c r="AH629" s="30" t="s">
        <v>17063</v>
      </c>
      <c r="AL629" s="15" t="s">
        <v>17039</v>
      </c>
      <c r="AN629" s="15">
        <v>743</v>
      </c>
      <c r="AO629" s="15" t="s">
        <v>17064</v>
      </c>
      <c r="AQ629" s="13" t="s">
        <v>168</v>
      </c>
      <c r="AR629" s="30"/>
      <c r="AS629" s="30"/>
      <c r="AT629" s="30" t="s">
        <v>17065</v>
      </c>
      <c r="AU629" s="46" t="s">
        <v>17066</v>
      </c>
      <c r="AV629" s="46" t="s">
        <v>17066</v>
      </c>
      <c r="AW629" s="30" t="s">
        <v>17067</v>
      </c>
      <c r="AX629" s="30" t="s">
        <v>17068</v>
      </c>
      <c r="AY629" s="15">
        <f t="shared" si="12"/>
        <v>59</v>
      </c>
      <c r="AZ629" s="46" t="s">
        <v>173</v>
      </c>
      <c r="BA629" s="46" t="s">
        <v>174</v>
      </c>
      <c r="BB629" s="46" t="s">
        <v>12639</v>
      </c>
      <c r="BC629" s="30"/>
      <c r="BD629" s="30"/>
      <c r="BE629" s="46" t="s">
        <v>1032</v>
      </c>
      <c r="BF629" s="30"/>
      <c r="BG629" s="30"/>
      <c r="BH629" s="30"/>
      <c r="BI629" s="30"/>
      <c r="BJ629" s="46" t="s">
        <v>17035</v>
      </c>
      <c r="BK629" s="46" t="s">
        <v>178</v>
      </c>
      <c r="BL629" s="30"/>
      <c r="BM629" s="30"/>
      <c r="BN629" s="46" t="s">
        <v>179</v>
      </c>
      <c r="BO629" s="46" t="s">
        <v>16602</v>
      </c>
      <c r="BP629" s="46" t="s">
        <v>138</v>
      </c>
      <c r="BQ629" s="30"/>
      <c r="BR629" s="30"/>
      <c r="BS629" s="30" t="s">
        <v>17069</v>
      </c>
      <c r="BT629" s="30"/>
      <c r="BU629" s="30"/>
      <c r="BV629" s="30"/>
      <c r="BW629" s="30"/>
      <c r="BX629" s="30"/>
      <c r="BY629" s="30"/>
      <c r="DH629" s="15" t="s">
        <v>17982</v>
      </c>
      <c r="DI629" s="15" t="s">
        <v>17982</v>
      </c>
    </row>
    <row r="630" spans="1:113" s="15" customFormat="1" ht="12.75" x14ac:dyDescent="0.2">
      <c r="A630" s="15" t="s">
        <v>109</v>
      </c>
      <c r="B630" s="15" t="s">
        <v>110</v>
      </c>
      <c r="D630" s="15" t="s">
        <v>159</v>
      </c>
      <c r="E630" s="15" t="s">
        <v>112</v>
      </c>
      <c r="F630" s="15" t="s">
        <v>159</v>
      </c>
      <c r="G630" s="15" t="s">
        <v>113</v>
      </c>
      <c r="H630" s="15" t="s">
        <v>383</v>
      </c>
      <c r="J630" s="16" t="s">
        <v>114</v>
      </c>
      <c r="U630" s="15" t="s">
        <v>17977</v>
      </c>
      <c r="W630" s="15">
        <v>3515</v>
      </c>
      <c r="X630" s="15">
        <v>640</v>
      </c>
      <c r="Y630" s="15" t="s">
        <v>160</v>
      </c>
      <c r="Z630" s="15" t="s">
        <v>161</v>
      </c>
      <c r="AA630" s="15" t="s">
        <v>162</v>
      </c>
      <c r="AB630" s="15" t="s">
        <v>17027</v>
      </c>
      <c r="AC630" s="15" t="s">
        <v>17027</v>
      </c>
      <c r="AD630" s="15" t="s">
        <v>17027</v>
      </c>
      <c r="AE630" s="15" t="s">
        <v>164</v>
      </c>
      <c r="AF630" s="15" t="s">
        <v>17027</v>
      </c>
      <c r="AG630" s="15" t="s">
        <v>17027</v>
      </c>
      <c r="AH630" s="15" t="s">
        <v>17028</v>
      </c>
      <c r="AL630" s="15" t="s">
        <v>17029</v>
      </c>
      <c r="AN630" s="15">
        <v>743</v>
      </c>
      <c r="AO630" s="15" t="s">
        <v>17030</v>
      </c>
      <c r="AQ630" s="17" t="s">
        <v>168</v>
      </c>
      <c r="AT630" s="15" t="s">
        <v>17031</v>
      </c>
      <c r="AU630" s="18" t="s">
        <v>17032</v>
      </c>
      <c r="AV630" s="18" t="s">
        <v>17032</v>
      </c>
      <c r="AW630" s="15" t="s">
        <v>17033</v>
      </c>
      <c r="AX630" s="15" t="s">
        <v>17034</v>
      </c>
      <c r="AY630" s="15">
        <f t="shared" si="12"/>
        <v>60</v>
      </c>
      <c r="AZ630" s="18" t="s">
        <v>173</v>
      </c>
      <c r="BA630" s="18" t="s">
        <v>174</v>
      </c>
      <c r="BB630" s="18" t="s">
        <v>12639</v>
      </c>
      <c r="BE630" s="18" t="s">
        <v>12677</v>
      </c>
      <c r="BJ630" s="18" t="s">
        <v>17035</v>
      </c>
      <c r="BK630" s="18" t="s">
        <v>189</v>
      </c>
      <c r="BN630" s="18" t="s">
        <v>179</v>
      </c>
      <c r="BO630" s="18" t="s">
        <v>16602</v>
      </c>
      <c r="BP630" s="18" t="s">
        <v>138</v>
      </c>
      <c r="BS630" s="15" t="s">
        <v>17036</v>
      </c>
      <c r="DH630" s="15" t="s">
        <v>17982</v>
      </c>
      <c r="DI630" s="15" t="s">
        <v>17982</v>
      </c>
    </row>
    <row r="631" spans="1:113" s="15" customFormat="1" ht="12.75" x14ac:dyDescent="0.2">
      <c r="A631" s="15" t="s">
        <v>109</v>
      </c>
      <c r="B631" s="15" t="s">
        <v>110</v>
      </c>
      <c r="D631" s="15" t="s">
        <v>159</v>
      </c>
      <c r="E631" s="15" t="s">
        <v>112</v>
      </c>
      <c r="F631" s="15" t="s">
        <v>159</v>
      </c>
      <c r="G631" s="15" t="s">
        <v>113</v>
      </c>
      <c r="H631" s="15" t="s">
        <v>383</v>
      </c>
      <c r="J631" s="16" t="s">
        <v>114</v>
      </c>
      <c r="U631" s="15" t="s">
        <v>17977</v>
      </c>
      <c r="W631" s="15">
        <v>2615</v>
      </c>
      <c r="X631" s="15">
        <v>641</v>
      </c>
      <c r="Y631" s="15" t="s">
        <v>160</v>
      </c>
      <c r="Z631" s="15" t="s">
        <v>161</v>
      </c>
      <c r="AA631" s="15" t="s">
        <v>162</v>
      </c>
      <c r="AB631" s="15" t="s">
        <v>12772</v>
      </c>
      <c r="AC631" s="15" t="s">
        <v>12772</v>
      </c>
      <c r="AD631" s="15" t="s">
        <v>12772</v>
      </c>
      <c r="AE631" s="15" t="s">
        <v>164</v>
      </c>
      <c r="AF631" s="15" t="s">
        <v>12772</v>
      </c>
      <c r="AG631" s="15" t="s">
        <v>12772</v>
      </c>
      <c r="AH631" s="47" t="s">
        <v>12773</v>
      </c>
      <c r="AI631" s="15">
        <v>42291802</v>
      </c>
      <c r="AK631" s="15" t="s">
        <v>1961</v>
      </c>
      <c r="AL631" s="15" t="s">
        <v>12774</v>
      </c>
      <c r="AN631" s="15">
        <v>743</v>
      </c>
      <c r="AO631" s="15" t="s">
        <v>12775</v>
      </c>
      <c r="AQ631" s="17" t="s">
        <v>168</v>
      </c>
      <c r="AT631" s="15" t="s">
        <v>12776</v>
      </c>
      <c r="AU631" s="18" t="s">
        <v>12777</v>
      </c>
      <c r="AV631" s="18" t="s">
        <v>12777</v>
      </c>
      <c r="AW631" s="15" t="s">
        <v>12778</v>
      </c>
      <c r="AX631" s="15" t="s">
        <v>12779</v>
      </c>
      <c r="AY631" s="15">
        <f t="shared" si="12"/>
        <v>57</v>
      </c>
      <c r="AZ631" s="18" t="s">
        <v>173</v>
      </c>
      <c r="BA631" s="18" t="s">
        <v>174</v>
      </c>
      <c r="BB631" s="18" t="s">
        <v>12639</v>
      </c>
      <c r="BE631" s="18" t="s">
        <v>1597</v>
      </c>
      <c r="BJ631" s="18" t="s">
        <v>12761</v>
      </c>
      <c r="BK631" s="18" t="s">
        <v>189</v>
      </c>
      <c r="BN631" s="18" t="s">
        <v>179</v>
      </c>
      <c r="BP631" s="18" t="s">
        <v>138</v>
      </c>
      <c r="BS631" s="15" t="s">
        <v>12780</v>
      </c>
      <c r="DH631" s="15" t="s">
        <v>17982</v>
      </c>
      <c r="DI631" s="15" t="s">
        <v>17982</v>
      </c>
    </row>
    <row r="632" spans="1:113" s="15" customFormat="1" ht="12.75" x14ac:dyDescent="0.2">
      <c r="A632" s="15" t="s">
        <v>109</v>
      </c>
      <c r="B632" s="15" t="s">
        <v>110</v>
      </c>
      <c r="D632" s="15" t="s">
        <v>159</v>
      </c>
      <c r="E632" s="15" t="s">
        <v>112</v>
      </c>
      <c r="F632" s="15" t="s">
        <v>159</v>
      </c>
      <c r="G632" s="15" t="s">
        <v>113</v>
      </c>
      <c r="H632" s="15" t="s">
        <v>383</v>
      </c>
      <c r="J632" s="16" t="s">
        <v>114</v>
      </c>
      <c r="U632" s="15" t="s">
        <v>17977</v>
      </c>
      <c r="W632" s="15">
        <v>2614</v>
      </c>
      <c r="X632" s="15">
        <v>642</v>
      </c>
      <c r="Y632" s="15" t="s">
        <v>160</v>
      </c>
      <c r="Z632" s="15" t="s">
        <v>161</v>
      </c>
      <c r="AA632" s="15" t="s">
        <v>162</v>
      </c>
      <c r="AB632" s="15" t="s">
        <v>12763</v>
      </c>
      <c r="AC632" s="15" t="s">
        <v>12763</v>
      </c>
      <c r="AD632" s="15" t="s">
        <v>12763</v>
      </c>
      <c r="AE632" s="15" t="s">
        <v>164</v>
      </c>
      <c r="AF632" s="15" t="s">
        <v>12763</v>
      </c>
      <c r="AG632" s="15" t="s">
        <v>12763</v>
      </c>
      <c r="AH632" s="47" t="s">
        <v>12764</v>
      </c>
      <c r="AL632" s="15" t="s">
        <v>12765</v>
      </c>
      <c r="AN632" s="15">
        <v>743</v>
      </c>
      <c r="AO632" s="15" t="s">
        <v>12766</v>
      </c>
      <c r="AQ632" s="17" t="s">
        <v>168</v>
      </c>
      <c r="AT632" s="15" t="s">
        <v>12767</v>
      </c>
      <c r="AU632" s="18" t="s">
        <v>12768</v>
      </c>
      <c r="AV632" s="18" t="s">
        <v>12768</v>
      </c>
      <c r="AW632" s="15" t="s">
        <v>12769</v>
      </c>
      <c r="AX632" s="15" t="s">
        <v>12770</v>
      </c>
      <c r="AY632" s="15">
        <f t="shared" si="12"/>
        <v>58</v>
      </c>
      <c r="AZ632" s="18" t="s">
        <v>173</v>
      </c>
      <c r="BA632" s="18" t="s">
        <v>174</v>
      </c>
      <c r="BB632" s="18" t="s">
        <v>12639</v>
      </c>
      <c r="BE632" s="18" t="s">
        <v>12677</v>
      </c>
      <c r="BJ632" s="18" t="s">
        <v>12761</v>
      </c>
      <c r="BK632" s="18" t="s">
        <v>189</v>
      </c>
      <c r="BN632" s="18" t="s">
        <v>179</v>
      </c>
      <c r="BP632" s="18" t="s">
        <v>138</v>
      </c>
      <c r="BS632" s="15" t="s">
        <v>12771</v>
      </c>
      <c r="DH632" s="15" t="s">
        <v>17982</v>
      </c>
      <c r="DI632" s="15" t="s">
        <v>17982</v>
      </c>
    </row>
    <row r="633" spans="1:113" s="15" customFormat="1" ht="12.75" x14ac:dyDescent="0.2">
      <c r="A633" s="15" t="s">
        <v>109</v>
      </c>
      <c r="B633" s="15" t="s">
        <v>110</v>
      </c>
      <c r="D633" s="15" t="s">
        <v>159</v>
      </c>
      <c r="E633" s="15" t="s">
        <v>112</v>
      </c>
      <c r="F633" s="15" t="s">
        <v>159</v>
      </c>
      <c r="G633" s="15" t="s">
        <v>113</v>
      </c>
      <c r="H633" s="15" t="s">
        <v>383</v>
      </c>
      <c r="J633" s="16" t="s">
        <v>114</v>
      </c>
      <c r="U633" s="15" t="s">
        <v>17977</v>
      </c>
      <c r="W633" s="15">
        <v>2613</v>
      </c>
      <c r="X633" s="15">
        <v>643</v>
      </c>
      <c r="Y633" s="15" t="s">
        <v>160</v>
      </c>
      <c r="Z633" s="15" t="s">
        <v>161</v>
      </c>
      <c r="AA633" s="15" t="s">
        <v>162</v>
      </c>
      <c r="AB633" s="15" t="s">
        <v>12752</v>
      </c>
      <c r="AC633" s="15" t="s">
        <v>12752</v>
      </c>
      <c r="AD633" s="15" t="s">
        <v>12753</v>
      </c>
      <c r="AE633" s="15" t="s">
        <v>164</v>
      </c>
      <c r="AF633" s="15" t="s">
        <v>12753</v>
      </c>
      <c r="AG633" s="15" t="s">
        <v>12752</v>
      </c>
      <c r="AH633" s="47" t="s">
        <v>12754</v>
      </c>
      <c r="AL633" s="15" t="s">
        <v>12755</v>
      </c>
      <c r="AN633" s="15">
        <v>743</v>
      </c>
      <c r="AO633" s="15" t="s">
        <v>12756</v>
      </c>
      <c r="AQ633" s="17" t="s">
        <v>168</v>
      </c>
      <c r="AT633" s="15" t="s">
        <v>12757</v>
      </c>
      <c r="AU633" s="18" t="s">
        <v>12758</v>
      </c>
      <c r="AV633" s="18" t="s">
        <v>12758</v>
      </c>
      <c r="AW633" s="15" t="s">
        <v>12759</v>
      </c>
      <c r="AX633" s="15" t="s">
        <v>12760</v>
      </c>
      <c r="AY633" s="15">
        <f t="shared" si="12"/>
        <v>57</v>
      </c>
      <c r="AZ633" s="18" t="s">
        <v>173</v>
      </c>
      <c r="BA633" s="18" t="s">
        <v>174</v>
      </c>
      <c r="BB633" s="18" t="s">
        <v>12639</v>
      </c>
      <c r="BE633" s="18" t="s">
        <v>585</v>
      </c>
      <c r="BJ633" s="18" t="s">
        <v>12761</v>
      </c>
      <c r="BK633" s="18" t="s">
        <v>189</v>
      </c>
      <c r="BN633" s="18" t="s">
        <v>179</v>
      </c>
      <c r="BP633" s="18" t="s">
        <v>138</v>
      </c>
      <c r="BS633" s="15" t="s">
        <v>12762</v>
      </c>
      <c r="DH633" s="15" t="s">
        <v>17982</v>
      </c>
      <c r="DI633" s="15" t="s">
        <v>17982</v>
      </c>
    </row>
    <row r="634" spans="1:113" s="15" customFormat="1" ht="12.75" x14ac:dyDescent="0.2">
      <c r="A634" s="15" t="s">
        <v>109</v>
      </c>
      <c r="B634" s="15" t="s">
        <v>110</v>
      </c>
      <c r="D634" s="15" t="s">
        <v>159</v>
      </c>
      <c r="E634" s="15" t="s">
        <v>112</v>
      </c>
      <c r="F634" s="15" t="s">
        <v>159</v>
      </c>
      <c r="G634" s="15" t="s">
        <v>113</v>
      </c>
      <c r="H634" s="15" t="s">
        <v>383</v>
      </c>
      <c r="J634" s="16" t="s">
        <v>114</v>
      </c>
      <c r="U634" s="15" t="s">
        <v>17977</v>
      </c>
      <c r="W634" s="15">
        <v>1872</v>
      </c>
      <c r="X634" s="15">
        <v>644</v>
      </c>
      <c r="Y634" s="15" t="s">
        <v>160</v>
      </c>
      <c r="Z634" s="15" t="s">
        <v>161</v>
      </c>
      <c r="AA634" s="15" t="s">
        <v>162</v>
      </c>
      <c r="AB634" s="15" t="s">
        <v>10083</v>
      </c>
      <c r="AC634" s="15" t="s">
        <v>10083</v>
      </c>
      <c r="AD634" s="15" t="s">
        <v>10083</v>
      </c>
      <c r="AE634" s="15" t="s">
        <v>164</v>
      </c>
      <c r="AF634" s="15" t="s">
        <v>10083</v>
      </c>
      <c r="AG634" s="15" t="s">
        <v>10083</v>
      </c>
      <c r="AH634" s="15" t="s">
        <v>10084</v>
      </c>
      <c r="AL634" s="15" t="s">
        <v>10085</v>
      </c>
      <c r="AN634" s="15">
        <v>743</v>
      </c>
      <c r="AO634" s="15" t="s">
        <v>10086</v>
      </c>
      <c r="AQ634" s="17" t="s">
        <v>168</v>
      </c>
      <c r="AT634" s="15" t="s">
        <v>10087</v>
      </c>
      <c r="AU634" s="18" t="s">
        <v>10088</v>
      </c>
      <c r="AV634" s="18" t="s">
        <v>10088</v>
      </c>
      <c r="AW634" s="15" t="s">
        <v>10089</v>
      </c>
      <c r="AX634" s="15" t="s">
        <v>10090</v>
      </c>
      <c r="AY634" s="15">
        <f t="shared" si="12"/>
        <v>57</v>
      </c>
      <c r="AZ634" s="18" t="s">
        <v>173</v>
      </c>
      <c r="BA634" s="18" t="s">
        <v>174</v>
      </c>
      <c r="BB634" s="18" t="s">
        <v>10091</v>
      </c>
      <c r="BE634" s="18" t="s">
        <v>1528</v>
      </c>
      <c r="BJ634" s="18" t="s">
        <v>10092</v>
      </c>
      <c r="BN634" s="18" t="s">
        <v>179</v>
      </c>
      <c r="BP634" s="18" t="s">
        <v>138</v>
      </c>
      <c r="BS634" s="15" t="s">
        <v>10093</v>
      </c>
      <c r="DH634" s="15" t="s">
        <v>17982</v>
      </c>
      <c r="DI634" s="15" t="s">
        <v>17982</v>
      </c>
    </row>
    <row r="635" spans="1:113" s="15" customFormat="1" ht="12.75" x14ac:dyDescent="0.2">
      <c r="A635" s="15" t="s">
        <v>109</v>
      </c>
      <c r="B635" s="15" t="s">
        <v>110</v>
      </c>
      <c r="D635" s="15" t="s">
        <v>159</v>
      </c>
      <c r="E635" s="15" t="s">
        <v>112</v>
      </c>
      <c r="F635" s="15" t="s">
        <v>159</v>
      </c>
      <c r="G635" s="15" t="s">
        <v>113</v>
      </c>
      <c r="H635" s="15" t="s">
        <v>383</v>
      </c>
      <c r="J635" s="16" t="s">
        <v>114</v>
      </c>
      <c r="U635" s="15" t="s">
        <v>17977</v>
      </c>
      <c r="W635" s="15">
        <v>1873</v>
      </c>
      <c r="X635" s="15">
        <v>645</v>
      </c>
      <c r="Y635" s="15" t="s">
        <v>160</v>
      </c>
      <c r="Z635" s="15" t="s">
        <v>161</v>
      </c>
      <c r="AA635" s="15" t="s">
        <v>162</v>
      </c>
      <c r="AB635" s="15" t="s">
        <v>10094</v>
      </c>
      <c r="AC635" s="15" t="s">
        <v>10094</v>
      </c>
      <c r="AD635" s="15" t="s">
        <v>10094</v>
      </c>
      <c r="AE635" s="15" t="s">
        <v>164</v>
      </c>
      <c r="AF635" s="15" t="s">
        <v>10094</v>
      </c>
      <c r="AG635" s="15" t="s">
        <v>10094</v>
      </c>
      <c r="AH635" s="15" t="s">
        <v>10095</v>
      </c>
      <c r="AL635" s="15" t="s">
        <v>10096</v>
      </c>
      <c r="AN635" s="15">
        <v>743</v>
      </c>
      <c r="AO635" s="15" t="s">
        <v>10097</v>
      </c>
      <c r="AQ635" s="17" t="s">
        <v>168</v>
      </c>
      <c r="AT635" s="15" t="s">
        <v>10098</v>
      </c>
      <c r="AU635" s="18" t="s">
        <v>10099</v>
      </c>
      <c r="AV635" s="18" t="s">
        <v>10099</v>
      </c>
      <c r="AW635" s="15" t="s">
        <v>10100</v>
      </c>
      <c r="AX635" s="15" t="s">
        <v>10101</v>
      </c>
      <c r="AY635" s="15">
        <f t="shared" si="12"/>
        <v>57</v>
      </c>
      <c r="AZ635" s="18" t="s">
        <v>173</v>
      </c>
      <c r="BA635" s="18" t="s">
        <v>174</v>
      </c>
      <c r="BB635" s="18" t="s">
        <v>10091</v>
      </c>
      <c r="BE635" s="18" t="s">
        <v>585</v>
      </c>
      <c r="BJ635" s="18" t="s">
        <v>10092</v>
      </c>
      <c r="BN635" s="18" t="s">
        <v>179</v>
      </c>
      <c r="BP635" s="18" t="s">
        <v>138</v>
      </c>
      <c r="BS635" s="15" t="s">
        <v>10102</v>
      </c>
      <c r="DH635" s="15" t="s">
        <v>17982</v>
      </c>
      <c r="DI635" s="15" t="s">
        <v>17982</v>
      </c>
    </row>
    <row r="636" spans="1:113" s="15" customFormat="1" ht="12.75" x14ac:dyDescent="0.2">
      <c r="A636" s="15" t="s">
        <v>109</v>
      </c>
      <c r="B636" s="15" t="s">
        <v>110</v>
      </c>
      <c r="D636" s="15" t="s">
        <v>159</v>
      </c>
      <c r="E636" s="30" t="s">
        <v>112</v>
      </c>
      <c r="F636" s="15" t="s">
        <v>159</v>
      </c>
      <c r="G636" s="30" t="s">
        <v>113</v>
      </c>
      <c r="H636" s="15" t="s">
        <v>383</v>
      </c>
      <c r="I636" s="30"/>
      <c r="J636" s="16" t="s">
        <v>114</v>
      </c>
      <c r="U636" s="15" t="s">
        <v>17977</v>
      </c>
      <c r="W636" s="15">
        <v>3461</v>
      </c>
      <c r="X636" s="15">
        <v>646</v>
      </c>
      <c r="Y636" s="15" t="s">
        <v>160</v>
      </c>
      <c r="Z636" s="15" t="s">
        <v>161</v>
      </c>
      <c r="AA636" s="15" t="s">
        <v>162</v>
      </c>
      <c r="AB636" s="15" t="s">
        <v>16722</v>
      </c>
      <c r="AC636" s="15" t="s">
        <v>16722</v>
      </c>
      <c r="AD636" s="30" t="s">
        <v>16722</v>
      </c>
      <c r="AE636" s="15" t="s">
        <v>164</v>
      </c>
      <c r="AF636" s="30" t="s">
        <v>16722</v>
      </c>
      <c r="AG636" s="30" t="s">
        <v>16722</v>
      </c>
      <c r="AH636" s="30" t="s">
        <v>16723</v>
      </c>
      <c r="AL636" s="15" t="s">
        <v>16724</v>
      </c>
      <c r="AN636" s="15">
        <v>743</v>
      </c>
      <c r="AO636" s="15" t="s">
        <v>16725</v>
      </c>
      <c r="AQ636" s="13" t="s">
        <v>168</v>
      </c>
      <c r="AR636" s="30"/>
      <c r="AS636" s="30"/>
      <c r="AT636" s="30" t="s">
        <v>16726</v>
      </c>
      <c r="AU636" s="46" t="s">
        <v>16727</v>
      </c>
      <c r="AV636" s="46" t="s">
        <v>16727</v>
      </c>
      <c r="AW636" s="30" t="s">
        <v>16728</v>
      </c>
      <c r="AX636" s="30" t="s">
        <v>16728</v>
      </c>
      <c r="AY636" s="15">
        <f t="shared" si="12"/>
        <v>48</v>
      </c>
      <c r="AZ636" s="46" t="s">
        <v>173</v>
      </c>
      <c r="BA636" s="46" t="s">
        <v>174</v>
      </c>
      <c r="BB636" s="46" t="s">
        <v>4026</v>
      </c>
      <c r="BC636" s="30"/>
      <c r="BD636" s="30"/>
      <c r="BE636" s="46" t="s">
        <v>1528</v>
      </c>
      <c r="BF636" s="46" t="s">
        <v>217</v>
      </c>
      <c r="BG636" s="30"/>
      <c r="BH636" s="30"/>
      <c r="BI636" s="30"/>
      <c r="BJ636" s="46"/>
      <c r="BK636" s="18" t="s">
        <v>189</v>
      </c>
      <c r="BL636" s="30"/>
      <c r="BM636" s="30"/>
      <c r="BN636" s="46" t="s">
        <v>179</v>
      </c>
      <c r="BO636" s="46" t="s">
        <v>16602</v>
      </c>
      <c r="BP636" s="46" t="s">
        <v>138</v>
      </c>
      <c r="BQ636" s="30"/>
      <c r="BR636" s="30"/>
      <c r="BS636" s="30" t="s">
        <v>16729</v>
      </c>
      <c r="BT636" s="30"/>
      <c r="BU636" s="30"/>
      <c r="BV636" s="30"/>
      <c r="BW636" s="30"/>
      <c r="BX636" s="30"/>
      <c r="BY636" s="30"/>
      <c r="DH636" s="15" t="s">
        <v>17982</v>
      </c>
      <c r="DI636" s="15" t="s">
        <v>17982</v>
      </c>
    </row>
    <row r="637" spans="1:113" s="15" customFormat="1" ht="12.75" x14ac:dyDescent="0.2">
      <c r="A637" s="15" t="s">
        <v>109</v>
      </c>
      <c r="B637" s="15" t="s">
        <v>110</v>
      </c>
      <c r="D637" s="15" t="s">
        <v>791</v>
      </c>
      <c r="E637" s="15" t="s">
        <v>792</v>
      </c>
      <c r="F637" s="15" t="s">
        <v>791</v>
      </c>
      <c r="G637" s="15" t="s">
        <v>113</v>
      </c>
      <c r="H637" s="15" t="s">
        <v>383</v>
      </c>
      <c r="J637" s="16" t="s">
        <v>114</v>
      </c>
      <c r="U637" s="15" t="s">
        <v>17977</v>
      </c>
      <c r="W637" s="15">
        <v>1344</v>
      </c>
      <c r="X637" s="15">
        <v>647</v>
      </c>
      <c r="Y637" s="15" t="s">
        <v>160</v>
      </c>
      <c r="Z637" s="15" t="s">
        <v>161</v>
      </c>
      <c r="AA637" s="15" t="s">
        <v>162</v>
      </c>
      <c r="AB637" s="15" t="s">
        <v>6914</v>
      </c>
      <c r="AC637" s="15" t="s">
        <v>6914</v>
      </c>
      <c r="AD637" s="15" t="s">
        <v>6914</v>
      </c>
      <c r="AE637" s="15" t="s">
        <v>164</v>
      </c>
      <c r="AF637" s="15" t="s">
        <v>6914</v>
      </c>
      <c r="AG637" s="15" t="s">
        <v>6914</v>
      </c>
      <c r="AH637" s="15" t="s">
        <v>6915</v>
      </c>
      <c r="AL637" s="15" t="s">
        <v>6916</v>
      </c>
      <c r="AN637" s="15">
        <v>743</v>
      </c>
      <c r="AO637" s="15" t="s">
        <v>6917</v>
      </c>
      <c r="AQ637" s="15" t="s">
        <v>6918</v>
      </c>
      <c r="AT637" s="15" t="s">
        <v>6919</v>
      </c>
      <c r="AU637" s="15" t="s">
        <v>6920</v>
      </c>
      <c r="AV637" s="15" t="s">
        <v>6920</v>
      </c>
      <c r="AW637" s="18" t="s">
        <v>6921</v>
      </c>
      <c r="AX637" s="18" t="s">
        <v>6922</v>
      </c>
      <c r="AY637" s="15">
        <f t="shared" si="12"/>
        <v>52</v>
      </c>
      <c r="AZ637" s="18" t="s">
        <v>5831</v>
      </c>
      <c r="BA637" s="18" t="s">
        <v>3142</v>
      </c>
      <c r="BB637" s="18" t="s">
        <v>6923</v>
      </c>
      <c r="BC637" s="18"/>
      <c r="BD637" s="18"/>
      <c r="BE637" s="18" t="s">
        <v>6924</v>
      </c>
      <c r="BF637" s="18" t="s">
        <v>3153</v>
      </c>
      <c r="BG637" s="18"/>
      <c r="BH637" s="18"/>
      <c r="BI637" s="18"/>
      <c r="BJ637" s="18" t="s">
        <v>6925</v>
      </c>
      <c r="BK637" s="18"/>
      <c r="BL637" s="18"/>
      <c r="BM637" s="18"/>
      <c r="BN637" s="18" t="s">
        <v>179</v>
      </c>
      <c r="BO637" s="18"/>
      <c r="BP637" s="18" t="s">
        <v>138</v>
      </c>
      <c r="BQ637" s="18"/>
      <c r="BR637" s="18"/>
      <c r="BS637" s="15" t="s">
        <v>6926</v>
      </c>
      <c r="BT637" s="15" t="s">
        <v>3544</v>
      </c>
      <c r="DH637" s="15" t="s">
        <v>17982</v>
      </c>
      <c r="DI637" s="15" t="s">
        <v>17982</v>
      </c>
    </row>
    <row r="638" spans="1:113" s="15" customFormat="1" ht="12.75" x14ac:dyDescent="0.2">
      <c r="A638" s="15" t="s">
        <v>109</v>
      </c>
      <c r="B638" s="15" t="s">
        <v>110</v>
      </c>
      <c r="D638" s="15" t="s">
        <v>791</v>
      </c>
      <c r="E638" s="15" t="s">
        <v>792</v>
      </c>
      <c r="F638" s="15" t="s">
        <v>791</v>
      </c>
      <c r="G638" s="15" t="s">
        <v>113</v>
      </c>
      <c r="H638" s="15" t="s">
        <v>383</v>
      </c>
      <c r="J638" s="16" t="s">
        <v>114</v>
      </c>
      <c r="U638" s="15" t="s">
        <v>17977</v>
      </c>
      <c r="W638" s="15">
        <v>1346</v>
      </c>
      <c r="X638" s="15">
        <v>648</v>
      </c>
      <c r="Y638" s="15" t="s">
        <v>160</v>
      </c>
      <c r="Z638" s="15" t="s">
        <v>161</v>
      </c>
      <c r="AA638" s="15" t="s">
        <v>162</v>
      </c>
      <c r="AB638" s="15" t="s">
        <v>6937</v>
      </c>
      <c r="AC638" s="15" t="s">
        <v>6937</v>
      </c>
      <c r="AD638" s="15" t="s">
        <v>6938</v>
      </c>
      <c r="AE638" s="15" t="s">
        <v>164</v>
      </c>
      <c r="AF638" s="15" t="s">
        <v>6938</v>
      </c>
      <c r="AG638" s="15" t="s">
        <v>6937</v>
      </c>
      <c r="AH638" s="15" t="s">
        <v>6939</v>
      </c>
      <c r="AL638" s="15" t="s">
        <v>6940</v>
      </c>
      <c r="AN638" s="15">
        <v>743</v>
      </c>
      <c r="AO638" s="15" t="s">
        <v>6941</v>
      </c>
      <c r="AQ638" s="15" t="s">
        <v>6918</v>
      </c>
      <c r="AT638" s="15" t="s">
        <v>6942</v>
      </c>
      <c r="AU638" s="15" t="s">
        <v>6943</v>
      </c>
      <c r="AV638" s="15" t="s">
        <v>6943</v>
      </c>
      <c r="AW638" s="18" t="s">
        <v>6944</v>
      </c>
      <c r="AX638" s="18" t="s">
        <v>6944</v>
      </c>
      <c r="AY638" s="15">
        <f t="shared" si="12"/>
        <v>48</v>
      </c>
      <c r="AZ638" s="18" t="s">
        <v>5831</v>
      </c>
      <c r="BA638" s="18" t="s">
        <v>3142</v>
      </c>
      <c r="BB638" s="18" t="s">
        <v>6923</v>
      </c>
      <c r="BC638" s="18"/>
      <c r="BD638" s="18"/>
      <c r="BE638" s="18" t="s">
        <v>1754</v>
      </c>
      <c r="BF638" s="18" t="s">
        <v>6945</v>
      </c>
      <c r="BG638" s="18"/>
      <c r="BH638" s="18"/>
      <c r="BI638" s="18"/>
      <c r="BJ638" s="18" t="s">
        <v>6946</v>
      </c>
      <c r="BK638" s="18"/>
      <c r="BL638" s="18"/>
      <c r="BM638" s="18"/>
      <c r="BN638" s="18" t="s">
        <v>179</v>
      </c>
      <c r="BO638" s="18"/>
      <c r="BP638" s="18" t="s">
        <v>138</v>
      </c>
      <c r="BQ638" s="18"/>
      <c r="BR638" s="18"/>
      <c r="BS638" s="15" t="s">
        <v>6947</v>
      </c>
      <c r="BT638" s="15" t="s">
        <v>3544</v>
      </c>
      <c r="DH638" s="15" t="s">
        <v>17982</v>
      </c>
      <c r="DI638" s="15" t="s">
        <v>17982</v>
      </c>
    </row>
    <row r="639" spans="1:113" s="15" customFormat="1" ht="12.75" x14ac:dyDescent="0.2">
      <c r="A639" s="15" t="s">
        <v>109</v>
      </c>
      <c r="B639" s="15" t="s">
        <v>110</v>
      </c>
      <c r="D639" s="15" t="s">
        <v>791</v>
      </c>
      <c r="E639" s="15" t="s">
        <v>792</v>
      </c>
      <c r="F639" s="15" t="s">
        <v>791</v>
      </c>
      <c r="G639" s="15" t="s">
        <v>113</v>
      </c>
      <c r="H639" s="15" t="s">
        <v>383</v>
      </c>
      <c r="J639" s="16" t="s">
        <v>114</v>
      </c>
      <c r="U639" s="15" t="s">
        <v>17977</v>
      </c>
      <c r="W639" s="15">
        <v>1345</v>
      </c>
      <c r="X639" s="15">
        <v>649</v>
      </c>
      <c r="Y639" s="15" t="s">
        <v>160</v>
      </c>
      <c r="Z639" s="15" t="s">
        <v>161</v>
      </c>
      <c r="AA639" s="15" t="s">
        <v>162</v>
      </c>
      <c r="AB639" s="15" t="s">
        <v>6927</v>
      </c>
      <c r="AC639" s="15" t="s">
        <v>6927</v>
      </c>
      <c r="AD639" s="15" t="s">
        <v>6928</v>
      </c>
      <c r="AE639" s="15" t="s">
        <v>164</v>
      </c>
      <c r="AF639" s="15" t="s">
        <v>6928</v>
      </c>
      <c r="AG639" s="15" t="s">
        <v>6927</v>
      </c>
      <c r="AH639" s="15" t="s">
        <v>6929</v>
      </c>
      <c r="AL639" s="15" t="s">
        <v>6930</v>
      </c>
      <c r="AN639" s="15">
        <v>743</v>
      </c>
      <c r="AO639" s="15" t="s">
        <v>6931</v>
      </c>
      <c r="AQ639" s="15" t="s">
        <v>6932</v>
      </c>
      <c r="AT639" s="15" t="s">
        <v>6933</v>
      </c>
      <c r="AU639" s="15" t="s">
        <v>6934</v>
      </c>
      <c r="AV639" s="15" t="s">
        <v>6934</v>
      </c>
      <c r="AW639" s="18" t="s">
        <v>6935</v>
      </c>
      <c r="AX639" s="18" t="s">
        <v>6935</v>
      </c>
      <c r="AY639" s="15">
        <f t="shared" si="12"/>
        <v>37</v>
      </c>
      <c r="AZ639" s="18" t="s">
        <v>3603</v>
      </c>
      <c r="BA639" s="18" t="s">
        <v>5831</v>
      </c>
      <c r="BB639" s="18" t="s">
        <v>6923</v>
      </c>
      <c r="BC639" s="18"/>
      <c r="BD639" s="18"/>
      <c r="BE639" s="18"/>
      <c r="BF639" s="18" t="s">
        <v>1754</v>
      </c>
      <c r="BG639" s="18"/>
      <c r="BH639" s="18"/>
      <c r="BI639" s="18" t="s">
        <v>3142</v>
      </c>
      <c r="BJ639" s="18"/>
      <c r="BK639" s="18"/>
      <c r="BL639" s="18"/>
      <c r="BM639" s="18"/>
      <c r="BN639" s="18" t="s">
        <v>179</v>
      </c>
      <c r="BO639" s="18"/>
      <c r="BP639" s="18" t="s">
        <v>138</v>
      </c>
      <c r="BQ639" s="18"/>
      <c r="BR639" s="18"/>
      <c r="BS639" s="15" t="s">
        <v>6936</v>
      </c>
      <c r="BT639" s="15" t="s">
        <v>3544</v>
      </c>
      <c r="DH639" s="15" t="s">
        <v>17982</v>
      </c>
      <c r="DI639" s="15" t="s">
        <v>17982</v>
      </c>
    </row>
    <row r="640" spans="1:113" s="15" customFormat="1" ht="12.75" x14ac:dyDescent="0.2">
      <c r="A640" s="15" t="s">
        <v>109</v>
      </c>
      <c r="B640" s="15" t="s">
        <v>110</v>
      </c>
      <c r="D640" s="15" t="s">
        <v>791</v>
      </c>
      <c r="E640" s="15" t="s">
        <v>792</v>
      </c>
      <c r="F640" s="15" t="s">
        <v>791</v>
      </c>
      <c r="G640" s="15" t="s">
        <v>113</v>
      </c>
      <c r="H640" s="15" t="s">
        <v>383</v>
      </c>
      <c r="J640" s="16" t="s">
        <v>114</v>
      </c>
      <c r="U640" s="15" t="s">
        <v>17977</v>
      </c>
      <c r="W640" s="15">
        <v>2831</v>
      </c>
      <c r="X640" s="15">
        <v>650</v>
      </c>
      <c r="Y640" s="15" t="s">
        <v>160</v>
      </c>
      <c r="Z640" s="15" t="s">
        <v>161</v>
      </c>
      <c r="AA640" s="15" t="s">
        <v>162</v>
      </c>
      <c r="AB640" s="15" t="s">
        <v>13793</v>
      </c>
      <c r="AC640" s="15" t="s">
        <v>13793</v>
      </c>
      <c r="AD640" s="15" t="s">
        <v>13793</v>
      </c>
      <c r="AE640" s="15" t="s">
        <v>164</v>
      </c>
      <c r="AF640" s="15" t="s">
        <v>13793</v>
      </c>
      <c r="AG640" s="15" t="s">
        <v>13793</v>
      </c>
      <c r="AH640" s="47" t="s">
        <v>13794</v>
      </c>
      <c r="AL640" s="15" t="s">
        <v>13795</v>
      </c>
      <c r="AN640" s="15">
        <v>743</v>
      </c>
      <c r="AO640" s="15" t="s">
        <v>13796</v>
      </c>
      <c r="AQ640" s="15" t="s">
        <v>168</v>
      </c>
      <c r="AT640" s="15" t="s">
        <v>13797</v>
      </c>
      <c r="AU640" s="15" t="s">
        <v>13798</v>
      </c>
      <c r="AV640" s="15" t="s">
        <v>13798</v>
      </c>
      <c r="AW640" s="18" t="s">
        <v>13799</v>
      </c>
      <c r="AX640" s="18" t="s">
        <v>13800</v>
      </c>
      <c r="AY640" s="15">
        <f t="shared" si="12"/>
        <v>58</v>
      </c>
      <c r="AZ640" s="18" t="s">
        <v>173</v>
      </c>
      <c r="BA640" s="18" t="s">
        <v>174</v>
      </c>
      <c r="BB640" s="18" t="s">
        <v>13778</v>
      </c>
      <c r="BC640" s="18"/>
      <c r="BD640" s="18"/>
      <c r="BE640" s="18" t="s">
        <v>1528</v>
      </c>
      <c r="BF640" s="18" t="s">
        <v>5957</v>
      </c>
      <c r="BG640" s="18"/>
      <c r="BH640" s="18"/>
      <c r="BI640" s="18"/>
      <c r="BJ640" s="18" t="s">
        <v>13801</v>
      </c>
      <c r="BK640" s="18"/>
      <c r="BL640" s="18"/>
      <c r="BM640" s="18"/>
      <c r="BN640" s="18" t="s">
        <v>179</v>
      </c>
      <c r="BO640" s="18"/>
      <c r="BP640" s="18" t="s">
        <v>138</v>
      </c>
      <c r="BQ640" s="18"/>
      <c r="BR640" s="18"/>
      <c r="BS640" s="15" t="s">
        <v>13802</v>
      </c>
      <c r="BT640" s="15" t="s">
        <v>3544</v>
      </c>
      <c r="DH640" s="15" t="s">
        <v>17982</v>
      </c>
      <c r="DI640" s="15" t="s">
        <v>17982</v>
      </c>
    </row>
    <row r="641" spans="1:113" s="15" customFormat="1" ht="12.75" x14ac:dyDescent="0.2">
      <c r="A641" s="15" t="s">
        <v>109</v>
      </c>
      <c r="B641" s="15" t="s">
        <v>110</v>
      </c>
      <c r="D641" s="15" t="s">
        <v>791</v>
      </c>
      <c r="E641" s="15" t="s">
        <v>792</v>
      </c>
      <c r="F641" s="15" t="s">
        <v>791</v>
      </c>
      <c r="G641" s="15" t="s">
        <v>113</v>
      </c>
      <c r="H641" s="15" t="s">
        <v>383</v>
      </c>
      <c r="J641" s="16" t="s">
        <v>114</v>
      </c>
      <c r="U641" s="15" t="s">
        <v>17977</v>
      </c>
      <c r="W641" s="15">
        <v>2608</v>
      </c>
      <c r="X641" s="15">
        <v>651</v>
      </c>
      <c r="Y641" s="15" t="s">
        <v>160</v>
      </c>
      <c r="Z641" s="15" t="s">
        <v>161</v>
      </c>
      <c r="AA641" s="15" t="s">
        <v>162</v>
      </c>
      <c r="AB641" s="15" t="s">
        <v>12700</v>
      </c>
      <c r="AC641" s="15" t="s">
        <v>12700</v>
      </c>
      <c r="AD641" s="15" t="s">
        <v>12701</v>
      </c>
      <c r="AE641" s="15" t="s">
        <v>164</v>
      </c>
      <c r="AF641" s="15" t="s">
        <v>12701</v>
      </c>
      <c r="AG641" s="15" t="s">
        <v>12700</v>
      </c>
      <c r="AH641" s="47" t="s">
        <v>12702</v>
      </c>
      <c r="AL641" s="15" t="s">
        <v>12703</v>
      </c>
      <c r="AN641" s="15">
        <v>743</v>
      </c>
      <c r="AO641" s="15" t="s">
        <v>12704</v>
      </c>
      <c r="AQ641" s="15" t="s">
        <v>388</v>
      </c>
      <c r="AT641" s="15" t="s">
        <v>12705</v>
      </c>
      <c r="AU641" s="15" t="s">
        <v>12706</v>
      </c>
      <c r="AV641" s="15" t="s">
        <v>12706</v>
      </c>
      <c r="AW641" s="18" t="s">
        <v>12707</v>
      </c>
      <c r="AX641" s="18" t="s">
        <v>12708</v>
      </c>
      <c r="AY641" s="15">
        <f t="shared" si="12"/>
        <v>58</v>
      </c>
      <c r="AZ641" s="18" t="s">
        <v>393</v>
      </c>
      <c r="BA641" s="18" t="s">
        <v>174</v>
      </c>
      <c r="BB641" s="18" t="s">
        <v>12667</v>
      </c>
      <c r="BC641" s="18" t="s">
        <v>4229</v>
      </c>
      <c r="BD641" s="18"/>
      <c r="BE641" s="18" t="s">
        <v>1754</v>
      </c>
      <c r="BF641" s="18" t="s">
        <v>12709</v>
      </c>
      <c r="BG641" s="18"/>
      <c r="BH641" s="18"/>
      <c r="BI641" s="18"/>
      <c r="BJ641" s="18" t="s">
        <v>12710</v>
      </c>
      <c r="BK641" s="18"/>
      <c r="BL641" s="18"/>
      <c r="BM641" s="18"/>
      <c r="BN641" s="18" t="s">
        <v>179</v>
      </c>
      <c r="BO641" s="18"/>
      <c r="BP641" s="18" t="s">
        <v>138</v>
      </c>
      <c r="BQ641" s="18"/>
      <c r="BR641" s="18"/>
      <c r="BS641" s="15" t="s">
        <v>12711</v>
      </c>
      <c r="BT641" s="15" t="s">
        <v>804</v>
      </c>
      <c r="DH641" s="15" t="s">
        <v>17982</v>
      </c>
      <c r="DI641" s="15" t="s">
        <v>17982</v>
      </c>
    </row>
    <row r="642" spans="1:113" s="15" customFormat="1" ht="12.75" x14ac:dyDescent="0.2">
      <c r="A642" s="15" t="s">
        <v>109</v>
      </c>
      <c r="B642" s="15" t="s">
        <v>110</v>
      </c>
      <c r="D642" s="15" t="s">
        <v>791</v>
      </c>
      <c r="E642" s="15" t="s">
        <v>792</v>
      </c>
      <c r="F642" s="15" t="s">
        <v>791</v>
      </c>
      <c r="G642" s="15" t="s">
        <v>113</v>
      </c>
      <c r="H642" s="15" t="s">
        <v>383</v>
      </c>
      <c r="J642" s="16" t="s">
        <v>114</v>
      </c>
      <c r="U642" s="15" t="s">
        <v>17977</v>
      </c>
      <c r="W642" s="15">
        <v>2610</v>
      </c>
      <c r="X642" s="15">
        <v>652</v>
      </c>
      <c r="Y642" s="15" t="s">
        <v>160</v>
      </c>
      <c r="Z642" s="15" t="s">
        <v>161</v>
      </c>
      <c r="AA642" s="15" t="s">
        <v>162</v>
      </c>
      <c r="AB642" s="15" t="s">
        <v>12722</v>
      </c>
      <c r="AC642" s="15" t="s">
        <v>12722</v>
      </c>
      <c r="AD642" s="15" t="s">
        <v>12722</v>
      </c>
      <c r="AE642" s="15" t="s">
        <v>164</v>
      </c>
      <c r="AF642" s="15" t="s">
        <v>12722</v>
      </c>
      <c r="AG642" s="15" t="s">
        <v>12722</v>
      </c>
      <c r="AH642" s="47" t="s">
        <v>12723</v>
      </c>
      <c r="AL642" s="15" t="s">
        <v>12724</v>
      </c>
      <c r="AN642" s="15">
        <v>743</v>
      </c>
      <c r="AO642" s="15" t="s">
        <v>12725</v>
      </c>
      <c r="AQ642" s="15" t="s">
        <v>388</v>
      </c>
      <c r="AT642" s="15" t="s">
        <v>12726</v>
      </c>
      <c r="AU642" s="15" t="s">
        <v>12727</v>
      </c>
      <c r="AV642" s="15" t="s">
        <v>12727</v>
      </c>
      <c r="AW642" s="18" t="s">
        <v>12728</v>
      </c>
      <c r="AX642" s="18" t="s">
        <v>12729</v>
      </c>
      <c r="AY642" s="15">
        <f t="shared" si="12"/>
        <v>58</v>
      </c>
      <c r="AZ642" s="18" t="s">
        <v>393</v>
      </c>
      <c r="BA642" s="18" t="s">
        <v>174</v>
      </c>
      <c r="BB642" s="18" t="s">
        <v>12667</v>
      </c>
      <c r="BC642" s="18" t="s">
        <v>12730</v>
      </c>
      <c r="BD642" s="18"/>
      <c r="BE642" s="18" t="s">
        <v>1688</v>
      </c>
      <c r="BF642" s="26" t="s">
        <v>5769</v>
      </c>
      <c r="BG642" s="18"/>
      <c r="BH642" s="18"/>
      <c r="BI642" s="18"/>
      <c r="BJ642" s="18" t="s">
        <v>4626</v>
      </c>
      <c r="BK642" s="18"/>
      <c r="BL642" s="18"/>
      <c r="BM642" s="18"/>
      <c r="BN642" s="18" t="s">
        <v>179</v>
      </c>
      <c r="BO642" s="18"/>
      <c r="BP642" s="18" t="s">
        <v>138</v>
      </c>
      <c r="BQ642" s="18"/>
      <c r="BR642" s="18"/>
      <c r="BS642" s="15" t="s">
        <v>12731</v>
      </c>
      <c r="BT642" s="15" t="s">
        <v>804</v>
      </c>
      <c r="DH642" s="15" t="s">
        <v>17982</v>
      </c>
      <c r="DI642" s="15" t="s">
        <v>17982</v>
      </c>
    </row>
    <row r="643" spans="1:113" s="15" customFormat="1" ht="12.75" x14ac:dyDescent="0.2">
      <c r="A643" s="15" t="s">
        <v>109</v>
      </c>
      <c r="B643" s="15" t="s">
        <v>110</v>
      </c>
      <c r="D643" s="15" t="s">
        <v>791</v>
      </c>
      <c r="E643" s="15" t="s">
        <v>792</v>
      </c>
      <c r="F643" s="15" t="s">
        <v>791</v>
      </c>
      <c r="G643" s="15" t="s">
        <v>113</v>
      </c>
      <c r="H643" s="15" t="s">
        <v>383</v>
      </c>
      <c r="J643" s="16" t="s">
        <v>114</v>
      </c>
      <c r="U643" s="15" t="s">
        <v>17977</v>
      </c>
      <c r="W643" s="15">
        <v>1212</v>
      </c>
      <c r="X643" s="15">
        <v>653</v>
      </c>
      <c r="Y643" s="15" t="s">
        <v>160</v>
      </c>
      <c r="Z643" s="15" t="s">
        <v>161</v>
      </c>
      <c r="AA643" s="15" t="s">
        <v>162</v>
      </c>
      <c r="AB643" s="15" t="s">
        <v>6339</v>
      </c>
      <c r="AC643" s="15" t="s">
        <v>6339</v>
      </c>
      <c r="AD643" s="15" t="s">
        <v>6339</v>
      </c>
      <c r="AE643" s="15" t="s">
        <v>164</v>
      </c>
      <c r="AF643" s="15" t="s">
        <v>6339</v>
      </c>
      <c r="AG643" s="15" t="s">
        <v>6339</v>
      </c>
      <c r="AH643" s="15" t="s">
        <v>6340</v>
      </c>
      <c r="AL643" s="15" t="s">
        <v>6341</v>
      </c>
      <c r="AN643" s="15">
        <v>743</v>
      </c>
      <c r="AO643" s="15" t="s">
        <v>6342</v>
      </c>
      <c r="AQ643" s="15" t="s">
        <v>388</v>
      </c>
      <c r="AT643" s="15" t="s">
        <v>6343</v>
      </c>
      <c r="AU643" s="15" t="s">
        <v>6344</v>
      </c>
      <c r="AV643" s="15" t="s">
        <v>6344</v>
      </c>
      <c r="AW643" s="18" t="s">
        <v>6345</v>
      </c>
      <c r="AX643" s="18" t="s">
        <v>6346</v>
      </c>
      <c r="AY643" s="15">
        <f t="shared" si="12"/>
        <v>58</v>
      </c>
      <c r="AZ643" s="18" t="s">
        <v>393</v>
      </c>
      <c r="BA643" s="18" t="s">
        <v>174</v>
      </c>
      <c r="BB643" s="18" t="s">
        <v>6347</v>
      </c>
      <c r="BC643" s="18" t="s">
        <v>6348</v>
      </c>
      <c r="BD643" s="18"/>
      <c r="BE643" s="18" t="s">
        <v>2054</v>
      </c>
      <c r="BF643" s="18" t="s">
        <v>6349</v>
      </c>
      <c r="BG643" s="18"/>
      <c r="BH643" s="18"/>
      <c r="BI643" s="18" t="s">
        <v>6350</v>
      </c>
      <c r="BJ643" s="18" t="s">
        <v>6351</v>
      </c>
      <c r="BK643" s="18"/>
      <c r="BL643" s="18"/>
      <c r="BM643" s="18"/>
      <c r="BN643" s="18" t="s">
        <v>179</v>
      </c>
      <c r="BO643" s="18"/>
      <c r="BP643" s="18" t="s">
        <v>138</v>
      </c>
      <c r="BQ643" s="18"/>
      <c r="BR643" s="18"/>
      <c r="BS643" s="15" t="s">
        <v>6352</v>
      </c>
      <c r="BT643" s="15" t="s">
        <v>804</v>
      </c>
      <c r="DH643" s="15" t="s">
        <v>17982</v>
      </c>
      <c r="DI643" s="15" t="s">
        <v>17982</v>
      </c>
    </row>
    <row r="644" spans="1:113" s="15" customFormat="1" ht="12.75" x14ac:dyDescent="0.2">
      <c r="A644" s="15" t="s">
        <v>109</v>
      </c>
      <c r="B644" s="15" t="s">
        <v>110</v>
      </c>
      <c r="D644" s="15" t="s">
        <v>791</v>
      </c>
      <c r="E644" s="15" t="s">
        <v>792</v>
      </c>
      <c r="F644" s="15" t="s">
        <v>791</v>
      </c>
      <c r="G644" s="15" t="s">
        <v>113</v>
      </c>
      <c r="H644" s="15" t="s">
        <v>383</v>
      </c>
      <c r="J644" s="16" t="s">
        <v>114</v>
      </c>
      <c r="U644" s="15" t="s">
        <v>17977</v>
      </c>
      <c r="W644" s="15">
        <v>2074</v>
      </c>
      <c r="X644" s="15">
        <v>654</v>
      </c>
      <c r="Y644" s="15" t="s">
        <v>160</v>
      </c>
      <c r="Z644" s="15" t="s">
        <v>161</v>
      </c>
      <c r="AA644" s="15" t="s">
        <v>162</v>
      </c>
      <c r="AB644" s="15" t="s">
        <v>10657</v>
      </c>
      <c r="AC644" s="15" t="s">
        <v>10657</v>
      </c>
      <c r="AD644" s="15" t="s">
        <v>10657</v>
      </c>
      <c r="AE644" s="15" t="s">
        <v>164</v>
      </c>
      <c r="AF644" s="15" t="s">
        <v>10657</v>
      </c>
      <c r="AG644" s="15" t="s">
        <v>10657</v>
      </c>
      <c r="AH644" s="15" t="s">
        <v>10658</v>
      </c>
      <c r="AL644" s="15" t="s">
        <v>10659</v>
      </c>
      <c r="AN644" s="15">
        <v>743</v>
      </c>
      <c r="AO644" s="15" t="s">
        <v>10660</v>
      </c>
      <c r="AQ644" s="15" t="s">
        <v>388</v>
      </c>
      <c r="AT644" s="15" t="s">
        <v>10661</v>
      </c>
      <c r="AU644" s="15" t="s">
        <v>10662</v>
      </c>
      <c r="AV644" s="15" t="s">
        <v>10662</v>
      </c>
      <c r="AW644" s="18" t="s">
        <v>10663</v>
      </c>
      <c r="AX644" s="18" t="s">
        <v>10664</v>
      </c>
      <c r="AY644" s="15">
        <f t="shared" si="12"/>
        <v>47</v>
      </c>
      <c r="AZ644" s="18" t="s">
        <v>393</v>
      </c>
      <c r="BA644" s="18" t="s">
        <v>174</v>
      </c>
      <c r="BB644" s="18" t="s">
        <v>10665</v>
      </c>
      <c r="BC644" s="18" t="s">
        <v>801</v>
      </c>
      <c r="BD644" s="18"/>
      <c r="BE644" s="18" t="s">
        <v>1123</v>
      </c>
      <c r="BF644" s="18"/>
      <c r="BG644" s="18"/>
      <c r="BH644" s="18"/>
      <c r="BI644" s="18"/>
      <c r="BJ644" s="18" t="s">
        <v>10666</v>
      </c>
      <c r="BK644" s="18"/>
      <c r="BL644" s="18"/>
      <c r="BM644" s="18"/>
      <c r="BN644" s="18" t="s">
        <v>179</v>
      </c>
      <c r="BO644" s="18"/>
      <c r="BP644" s="18" t="s">
        <v>138</v>
      </c>
      <c r="BQ644" s="18"/>
      <c r="BR644" s="18"/>
      <c r="BS644" s="15" t="s">
        <v>10667</v>
      </c>
      <c r="BT644" s="15" t="s">
        <v>804</v>
      </c>
      <c r="DH644" s="15" t="s">
        <v>17982</v>
      </c>
      <c r="DI644" s="15" t="s">
        <v>17982</v>
      </c>
    </row>
    <row r="645" spans="1:113" s="15" customFormat="1" ht="12.75" x14ac:dyDescent="0.2">
      <c r="A645" s="15" t="s">
        <v>109</v>
      </c>
      <c r="B645" s="15" t="s">
        <v>110</v>
      </c>
      <c r="D645" s="15" t="s">
        <v>791</v>
      </c>
      <c r="E645" s="15" t="s">
        <v>792</v>
      </c>
      <c r="F645" s="15" t="s">
        <v>791</v>
      </c>
      <c r="G645" s="15" t="s">
        <v>113</v>
      </c>
      <c r="H645" s="15" t="s">
        <v>383</v>
      </c>
      <c r="J645" s="16" t="s">
        <v>114</v>
      </c>
      <c r="U645" s="15" t="s">
        <v>17977</v>
      </c>
      <c r="W645" s="15">
        <v>742</v>
      </c>
      <c r="X645" s="15">
        <v>655</v>
      </c>
      <c r="Y645" s="15" t="s">
        <v>160</v>
      </c>
      <c r="Z645" s="15" t="s">
        <v>161</v>
      </c>
      <c r="AA645" s="15" t="s">
        <v>162</v>
      </c>
      <c r="AB645" s="15" t="s">
        <v>3134</v>
      </c>
      <c r="AC645" s="15" t="s">
        <v>3134</v>
      </c>
      <c r="AD645" s="15" t="s">
        <v>3134</v>
      </c>
      <c r="AE645" s="15" t="s">
        <v>164</v>
      </c>
      <c r="AF645" s="15" t="s">
        <v>3134</v>
      </c>
      <c r="AG645" s="15" t="s">
        <v>3134</v>
      </c>
      <c r="AH645" s="15" t="s">
        <v>3135</v>
      </c>
      <c r="AL645" s="15" t="s">
        <v>3136</v>
      </c>
      <c r="AN645" s="15">
        <v>743</v>
      </c>
      <c r="AO645" s="15" t="s">
        <v>3137</v>
      </c>
      <c r="AQ645" s="15" t="s">
        <v>388</v>
      </c>
      <c r="AT645" s="15" t="s">
        <v>3138</v>
      </c>
      <c r="AU645" s="15" t="s">
        <v>3139</v>
      </c>
      <c r="AV645" s="15" t="s">
        <v>3139</v>
      </c>
      <c r="AW645" s="18" t="s">
        <v>3140</v>
      </c>
      <c r="AX645" s="18" t="s">
        <v>3141</v>
      </c>
      <c r="AY645" s="15">
        <f t="shared" si="12"/>
        <v>51</v>
      </c>
      <c r="AZ645" s="18" t="s">
        <v>393</v>
      </c>
      <c r="BA645" s="36" t="s">
        <v>174</v>
      </c>
      <c r="BB645" s="18" t="s">
        <v>2370</v>
      </c>
      <c r="BC645" s="18" t="s">
        <v>801</v>
      </c>
      <c r="BD645" s="18"/>
      <c r="BE645" s="18" t="s">
        <v>2694</v>
      </c>
      <c r="BF645" s="18" t="s">
        <v>863</v>
      </c>
      <c r="BG645" s="18"/>
      <c r="BH645" s="18"/>
      <c r="BI645" s="18" t="s">
        <v>3142</v>
      </c>
      <c r="BJ645" s="18" t="s">
        <v>3143</v>
      </c>
      <c r="BK645" s="18"/>
      <c r="BL645" s="18"/>
      <c r="BM645" s="18"/>
      <c r="BN645" s="18" t="s">
        <v>179</v>
      </c>
      <c r="BO645" s="18"/>
      <c r="BP645" s="18" t="s">
        <v>138</v>
      </c>
      <c r="BQ645" s="18"/>
      <c r="BR645" s="18"/>
      <c r="BS645" s="15" t="s">
        <v>3144</v>
      </c>
      <c r="BT645" s="15" t="s">
        <v>804</v>
      </c>
      <c r="DH645" s="15" t="s">
        <v>17982</v>
      </c>
      <c r="DI645" s="15" t="s">
        <v>17982</v>
      </c>
    </row>
    <row r="646" spans="1:113" s="15" customFormat="1" ht="12.75" x14ac:dyDescent="0.2">
      <c r="A646" s="15" t="s">
        <v>109</v>
      </c>
      <c r="B646" s="15" t="s">
        <v>110</v>
      </c>
      <c r="D646" s="15" t="s">
        <v>791</v>
      </c>
      <c r="E646" s="15" t="s">
        <v>792</v>
      </c>
      <c r="F646" s="15" t="s">
        <v>791</v>
      </c>
      <c r="G646" s="15" t="s">
        <v>113</v>
      </c>
      <c r="H646" s="15" t="s">
        <v>383</v>
      </c>
      <c r="J646" s="16" t="s">
        <v>114</v>
      </c>
      <c r="U646" s="15" t="s">
        <v>17977</v>
      </c>
      <c r="W646" s="15">
        <v>743</v>
      </c>
      <c r="X646" s="15">
        <v>656</v>
      </c>
      <c r="Y646" s="15" t="s">
        <v>160</v>
      </c>
      <c r="Z646" s="15" t="s">
        <v>161</v>
      </c>
      <c r="AA646" s="15" t="s">
        <v>162</v>
      </c>
      <c r="AB646" s="15" t="s">
        <v>3145</v>
      </c>
      <c r="AC646" s="15" t="s">
        <v>3145</v>
      </c>
      <c r="AD646" s="15" t="s">
        <v>3145</v>
      </c>
      <c r="AE646" s="15" t="s">
        <v>164</v>
      </c>
      <c r="AF646" s="15" t="s">
        <v>3145</v>
      </c>
      <c r="AG646" s="15" t="s">
        <v>3145</v>
      </c>
      <c r="AH646" s="15" t="s">
        <v>3146</v>
      </c>
      <c r="AL646" s="15" t="s">
        <v>3147</v>
      </c>
      <c r="AN646" s="15">
        <v>743</v>
      </c>
      <c r="AO646" s="15" t="s">
        <v>3148</v>
      </c>
      <c r="AQ646" s="15" t="s">
        <v>388</v>
      </c>
      <c r="AT646" s="15" t="s">
        <v>3149</v>
      </c>
      <c r="AU646" s="15" t="s">
        <v>3150</v>
      </c>
      <c r="AV646" s="15" t="s">
        <v>3150</v>
      </c>
      <c r="AW646" s="18" t="s">
        <v>3151</v>
      </c>
      <c r="AX646" s="18" t="s">
        <v>3152</v>
      </c>
      <c r="AY646" s="15">
        <f t="shared" si="12"/>
        <v>58</v>
      </c>
      <c r="AZ646" s="18" t="s">
        <v>393</v>
      </c>
      <c r="BA646" s="36" t="s">
        <v>174</v>
      </c>
      <c r="BB646" s="18" t="s">
        <v>2370</v>
      </c>
      <c r="BC646" s="18" t="s">
        <v>801</v>
      </c>
      <c r="BD646" s="18"/>
      <c r="BE646" s="18" t="s">
        <v>2694</v>
      </c>
      <c r="BF646" s="18" t="s">
        <v>3153</v>
      </c>
      <c r="BG646" s="18"/>
      <c r="BH646" s="18"/>
      <c r="BI646" s="18" t="s">
        <v>3142</v>
      </c>
      <c r="BJ646" s="18" t="s">
        <v>3143</v>
      </c>
      <c r="BK646" s="18"/>
      <c r="BL646" s="18"/>
      <c r="BM646" s="18"/>
      <c r="BN646" s="18" t="s">
        <v>179</v>
      </c>
      <c r="BO646" s="18"/>
      <c r="BP646" s="18" t="s">
        <v>138</v>
      </c>
      <c r="BQ646" s="18"/>
      <c r="BR646" s="18"/>
      <c r="BS646" s="15" t="s">
        <v>3154</v>
      </c>
      <c r="BT646" s="15" t="s">
        <v>804</v>
      </c>
      <c r="DH646" s="15" t="s">
        <v>17982</v>
      </c>
      <c r="DI646" s="15" t="s">
        <v>17982</v>
      </c>
    </row>
    <row r="647" spans="1:113" s="15" customFormat="1" ht="12.75" x14ac:dyDescent="0.2">
      <c r="A647" s="15" t="s">
        <v>109</v>
      </c>
      <c r="B647" s="15" t="s">
        <v>110</v>
      </c>
      <c r="D647" s="15" t="s">
        <v>791</v>
      </c>
      <c r="E647" s="15" t="s">
        <v>792</v>
      </c>
      <c r="F647" s="15" t="s">
        <v>791</v>
      </c>
      <c r="G647" s="15" t="s">
        <v>113</v>
      </c>
      <c r="H647" s="15" t="s">
        <v>383</v>
      </c>
      <c r="J647" s="16" t="s">
        <v>114</v>
      </c>
      <c r="U647" s="15" t="s">
        <v>17977</v>
      </c>
      <c r="W647" s="15">
        <v>2611</v>
      </c>
      <c r="X647" s="15">
        <v>657</v>
      </c>
      <c r="Y647" s="15" t="s">
        <v>160</v>
      </c>
      <c r="Z647" s="15" t="s">
        <v>161</v>
      </c>
      <c r="AA647" s="15" t="s">
        <v>162</v>
      </c>
      <c r="AB647" s="15" t="s">
        <v>12732</v>
      </c>
      <c r="AC647" s="15" t="s">
        <v>12732</v>
      </c>
      <c r="AD647" s="15" t="s">
        <v>12732</v>
      </c>
      <c r="AE647" s="15" t="s">
        <v>164</v>
      </c>
      <c r="AF647" s="15" t="s">
        <v>12732</v>
      </c>
      <c r="AG647" s="15" t="s">
        <v>12732</v>
      </c>
      <c r="AH647" s="47" t="s">
        <v>12733</v>
      </c>
      <c r="AL647" s="15" t="s">
        <v>12734</v>
      </c>
      <c r="AN647" s="15">
        <v>743</v>
      </c>
      <c r="AO647" s="15" t="s">
        <v>12735</v>
      </c>
      <c r="AQ647" s="15" t="s">
        <v>388</v>
      </c>
      <c r="AT647" s="15" t="s">
        <v>12736</v>
      </c>
      <c r="AU647" s="15" t="s">
        <v>12737</v>
      </c>
      <c r="AV647" s="15" t="s">
        <v>12737</v>
      </c>
      <c r="AW647" s="18" t="s">
        <v>12738</v>
      </c>
      <c r="AX647" s="18" t="s">
        <v>12739</v>
      </c>
      <c r="AY647" s="15">
        <f t="shared" si="12"/>
        <v>58</v>
      </c>
      <c r="AZ647" s="18" t="s">
        <v>393</v>
      </c>
      <c r="BA647" s="36" t="s">
        <v>174</v>
      </c>
      <c r="BB647" s="18" t="s">
        <v>12667</v>
      </c>
      <c r="BC647" s="18" t="s">
        <v>2040</v>
      </c>
      <c r="BD647" s="18"/>
      <c r="BE647" s="18" t="s">
        <v>367</v>
      </c>
      <c r="BF647" s="18" t="s">
        <v>8066</v>
      </c>
      <c r="BG647" s="18"/>
      <c r="BH647" s="18"/>
      <c r="BI647" s="18"/>
      <c r="BJ647" s="18" t="s">
        <v>12720</v>
      </c>
      <c r="BK647" s="18"/>
      <c r="BL647" s="18"/>
      <c r="BM647" s="18"/>
      <c r="BN647" s="18" t="s">
        <v>179</v>
      </c>
      <c r="BO647" s="18"/>
      <c r="BP647" s="18" t="s">
        <v>138</v>
      </c>
      <c r="BQ647" s="18"/>
      <c r="BR647" s="18"/>
      <c r="BS647" s="15" t="s">
        <v>12740</v>
      </c>
      <c r="BT647" s="15" t="s">
        <v>804</v>
      </c>
      <c r="DH647" s="15" t="s">
        <v>17982</v>
      </c>
      <c r="DI647" s="15" t="s">
        <v>17982</v>
      </c>
    </row>
    <row r="648" spans="1:113" s="15" customFormat="1" ht="12.75" x14ac:dyDescent="0.2">
      <c r="A648" s="15" t="s">
        <v>109</v>
      </c>
      <c r="B648" s="15" t="s">
        <v>110</v>
      </c>
      <c r="D648" s="15" t="s">
        <v>791</v>
      </c>
      <c r="E648" s="15" t="s">
        <v>792</v>
      </c>
      <c r="F648" s="15" t="s">
        <v>791</v>
      </c>
      <c r="G648" s="15" t="s">
        <v>113</v>
      </c>
      <c r="H648" s="15" t="s">
        <v>383</v>
      </c>
      <c r="J648" s="16" t="s">
        <v>114</v>
      </c>
      <c r="U648" s="15" t="s">
        <v>17977</v>
      </c>
      <c r="W648" s="15">
        <v>3142</v>
      </c>
      <c r="X648" s="15">
        <v>658</v>
      </c>
      <c r="Y648" s="15" t="s">
        <v>160</v>
      </c>
      <c r="Z648" s="15" t="s">
        <v>161</v>
      </c>
      <c r="AA648" s="15" t="s">
        <v>162</v>
      </c>
      <c r="AB648" s="15" t="s">
        <v>15134</v>
      </c>
      <c r="AC648" s="15" t="s">
        <v>15134</v>
      </c>
      <c r="AD648" s="15" t="s">
        <v>15135</v>
      </c>
      <c r="AE648" s="15" t="s">
        <v>164</v>
      </c>
      <c r="AF648" s="15" t="s">
        <v>15135</v>
      </c>
      <c r="AG648" s="15" t="s">
        <v>15134</v>
      </c>
      <c r="AH648" s="15" t="s">
        <v>15136</v>
      </c>
      <c r="AL648" s="15" t="s">
        <v>15137</v>
      </c>
      <c r="AN648" s="15">
        <v>743</v>
      </c>
      <c r="AO648" s="15" t="s">
        <v>15138</v>
      </c>
      <c r="AQ648" s="15" t="s">
        <v>388</v>
      </c>
      <c r="AT648" s="15" t="s">
        <v>15139</v>
      </c>
      <c r="AU648" s="15" t="s">
        <v>15140</v>
      </c>
      <c r="AV648" s="15" t="s">
        <v>15140</v>
      </c>
      <c r="AW648" s="18" t="s">
        <v>15141</v>
      </c>
      <c r="AX648" s="18" t="s">
        <v>15142</v>
      </c>
      <c r="AY648" s="15">
        <f t="shared" si="12"/>
        <v>60</v>
      </c>
      <c r="AZ648" s="18" t="s">
        <v>393</v>
      </c>
      <c r="BA648" s="36" t="s">
        <v>174</v>
      </c>
      <c r="BB648" s="18" t="s">
        <v>12667</v>
      </c>
      <c r="BC648" s="18" t="s">
        <v>2040</v>
      </c>
      <c r="BD648" s="18"/>
      <c r="BE648" s="18" t="s">
        <v>1123</v>
      </c>
      <c r="BF648" s="18"/>
      <c r="BG648" s="18"/>
      <c r="BH648" s="18"/>
      <c r="BI648" s="18"/>
      <c r="BJ648" s="18" t="s">
        <v>15143</v>
      </c>
      <c r="BK648" s="18"/>
      <c r="BL648" s="18"/>
      <c r="BM648" s="18"/>
      <c r="BN648" s="18" t="s">
        <v>179</v>
      </c>
      <c r="BO648" s="18"/>
      <c r="BP648" s="18" t="s">
        <v>138</v>
      </c>
      <c r="BQ648" s="18"/>
      <c r="BR648" s="18"/>
      <c r="BS648" s="15" t="s">
        <v>15144</v>
      </c>
      <c r="BT648" s="15" t="s">
        <v>804</v>
      </c>
      <c r="DH648" s="15" t="s">
        <v>17982</v>
      </c>
      <c r="DI648" s="15" t="s">
        <v>17982</v>
      </c>
    </row>
    <row r="649" spans="1:113" s="15" customFormat="1" ht="12.75" x14ac:dyDescent="0.2">
      <c r="A649" s="15" t="s">
        <v>109</v>
      </c>
      <c r="B649" s="15" t="s">
        <v>110</v>
      </c>
      <c r="D649" s="15" t="s">
        <v>791</v>
      </c>
      <c r="E649" s="15" t="s">
        <v>792</v>
      </c>
      <c r="F649" s="15" t="s">
        <v>791</v>
      </c>
      <c r="G649" s="15" t="s">
        <v>113</v>
      </c>
      <c r="H649" s="15" t="s">
        <v>383</v>
      </c>
      <c r="J649" s="16" t="s">
        <v>114</v>
      </c>
      <c r="U649" s="15" t="s">
        <v>17977</v>
      </c>
      <c r="W649" s="15">
        <v>2609</v>
      </c>
      <c r="X649" s="15">
        <v>659</v>
      </c>
      <c r="Y649" s="15" t="s">
        <v>160</v>
      </c>
      <c r="Z649" s="15" t="s">
        <v>161</v>
      </c>
      <c r="AA649" s="15" t="s">
        <v>162</v>
      </c>
      <c r="AB649" s="15" t="s">
        <v>12712</v>
      </c>
      <c r="AC649" s="15" t="s">
        <v>12712</v>
      </c>
      <c r="AD649" s="15" t="s">
        <v>12712</v>
      </c>
      <c r="AE649" s="15" t="s">
        <v>164</v>
      </c>
      <c r="AF649" s="15" t="s">
        <v>12712</v>
      </c>
      <c r="AG649" s="15" t="s">
        <v>12712</v>
      </c>
      <c r="AH649" s="47" t="s">
        <v>12713</v>
      </c>
      <c r="AL649" s="15" t="s">
        <v>12714</v>
      </c>
      <c r="AN649" s="15">
        <v>743</v>
      </c>
      <c r="AO649" s="15" t="s">
        <v>12715</v>
      </c>
      <c r="AQ649" s="15" t="s">
        <v>388</v>
      </c>
      <c r="AT649" s="15" t="s">
        <v>12716</v>
      </c>
      <c r="AU649" s="15" t="s">
        <v>12717</v>
      </c>
      <c r="AV649" s="15" t="s">
        <v>12717</v>
      </c>
      <c r="AW649" s="18" t="s">
        <v>12718</v>
      </c>
      <c r="AX649" s="18" t="s">
        <v>12719</v>
      </c>
      <c r="AY649" s="15">
        <f t="shared" si="12"/>
        <v>59</v>
      </c>
      <c r="AZ649" s="18" t="s">
        <v>393</v>
      </c>
      <c r="BA649" s="18" t="s">
        <v>174</v>
      </c>
      <c r="BB649" s="18" t="s">
        <v>12667</v>
      </c>
      <c r="BC649" s="18" t="s">
        <v>4229</v>
      </c>
      <c r="BD649" s="18"/>
      <c r="BE649" s="18" t="s">
        <v>367</v>
      </c>
      <c r="BF649" s="18" t="s">
        <v>9546</v>
      </c>
      <c r="BG649" s="18"/>
      <c r="BH649" s="18"/>
      <c r="BI649" s="18"/>
      <c r="BJ649" s="18" t="s">
        <v>12720</v>
      </c>
      <c r="BK649" s="18"/>
      <c r="BL649" s="18"/>
      <c r="BM649" s="18"/>
      <c r="BN649" s="18" t="s">
        <v>179</v>
      </c>
      <c r="BO649" s="18"/>
      <c r="BP649" s="18" t="s">
        <v>138</v>
      </c>
      <c r="BQ649" s="18"/>
      <c r="BR649" s="18"/>
      <c r="BS649" s="15" t="s">
        <v>12721</v>
      </c>
      <c r="BT649" s="15" t="s">
        <v>804</v>
      </c>
      <c r="DH649" s="15" t="s">
        <v>17982</v>
      </c>
      <c r="DI649" s="15" t="s">
        <v>17982</v>
      </c>
    </row>
    <row r="650" spans="1:113" s="15" customFormat="1" ht="12.75" x14ac:dyDescent="0.2">
      <c r="A650" s="15" t="s">
        <v>109</v>
      </c>
      <c r="B650" s="15" t="s">
        <v>110</v>
      </c>
      <c r="D650" s="15" t="s">
        <v>791</v>
      </c>
      <c r="E650" s="15" t="s">
        <v>792</v>
      </c>
      <c r="F650" s="15" t="s">
        <v>791</v>
      </c>
      <c r="G650" s="15" t="s">
        <v>113</v>
      </c>
      <c r="H650" s="15" t="s">
        <v>383</v>
      </c>
      <c r="J650" s="16" t="s">
        <v>114</v>
      </c>
      <c r="U650" s="15" t="s">
        <v>17977</v>
      </c>
      <c r="W650" s="15">
        <v>2612</v>
      </c>
      <c r="X650" s="15">
        <v>660</v>
      </c>
      <c r="Y650" s="15" t="s">
        <v>160</v>
      </c>
      <c r="Z650" s="15" t="s">
        <v>161</v>
      </c>
      <c r="AA650" s="15" t="s">
        <v>162</v>
      </c>
      <c r="AB650" s="15" t="s">
        <v>12741</v>
      </c>
      <c r="AC650" s="15" t="s">
        <v>12741</v>
      </c>
      <c r="AD650" s="15" t="s">
        <v>12742</v>
      </c>
      <c r="AE650" s="15" t="s">
        <v>164</v>
      </c>
      <c r="AF650" s="15" t="s">
        <v>12742</v>
      </c>
      <c r="AG650" s="15" t="s">
        <v>12741</v>
      </c>
      <c r="AH650" s="47" t="s">
        <v>12743</v>
      </c>
      <c r="AL650" s="15" t="s">
        <v>12744</v>
      </c>
      <c r="AN650" s="15">
        <v>743</v>
      </c>
      <c r="AO650" s="15" t="s">
        <v>12745</v>
      </c>
      <c r="AQ650" s="15" t="s">
        <v>388</v>
      </c>
      <c r="AT650" s="15" t="s">
        <v>12746</v>
      </c>
      <c r="AU650" s="15" t="s">
        <v>12747</v>
      </c>
      <c r="AV650" s="15" t="s">
        <v>12747</v>
      </c>
      <c r="AW650" s="18" t="s">
        <v>12748</v>
      </c>
      <c r="AX650" s="18" t="s">
        <v>12749</v>
      </c>
      <c r="AY650" s="15">
        <f t="shared" si="12"/>
        <v>58</v>
      </c>
      <c r="AZ650" s="18" t="s">
        <v>393</v>
      </c>
      <c r="BA650" s="18" t="s">
        <v>174</v>
      </c>
      <c r="BB650" s="18" t="s">
        <v>12667</v>
      </c>
      <c r="BC650" s="18" t="s">
        <v>884</v>
      </c>
      <c r="BD650" s="18"/>
      <c r="BE650" s="18" t="s">
        <v>2054</v>
      </c>
      <c r="BF650" s="26" t="s">
        <v>2263</v>
      </c>
      <c r="BG650" s="18"/>
      <c r="BH650" s="18"/>
      <c r="BI650" s="18"/>
      <c r="BJ650" s="18" t="s">
        <v>12750</v>
      </c>
      <c r="BK650" s="18"/>
      <c r="BL650" s="18"/>
      <c r="BM650" s="18"/>
      <c r="BN650" s="18" t="s">
        <v>179</v>
      </c>
      <c r="BO650" s="18"/>
      <c r="BP650" s="18" t="s">
        <v>138</v>
      </c>
      <c r="BQ650" s="18"/>
      <c r="BR650" s="18"/>
      <c r="BS650" s="15" t="s">
        <v>12751</v>
      </c>
      <c r="BT650" s="15" t="s">
        <v>804</v>
      </c>
      <c r="DH650" s="15" t="s">
        <v>17982</v>
      </c>
      <c r="DI650" s="15" t="s">
        <v>17982</v>
      </c>
    </row>
    <row r="651" spans="1:113" s="15" customFormat="1" ht="12.75" x14ac:dyDescent="0.2">
      <c r="A651" s="15" t="s">
        <v>109</v>
      </c>
      <c r="B651" s="15" t="s">
        <v>110</v>
      </c>
      <c r="D651" s="15" t="s">
        <v>791</v>
      </c>
      <c r="E651" s="15" t="s">
        <v>792</v>
      </c>
      <c r="F651" s="15" t="s">
        <v>791</v>
      </c>
      <c r="G651" s="15" t="s">
        <v>113</v>
      </c>
      <c r="H651" s="15" t="s">
        <v>383</v>
      </c>
      <c r="J651" s="16" t="s">
        <v>114</v>
      </c>
      <c r="U651" s="15" t="s">
        <v>17977</v>
      </c>
      <c r="W651" s="15">
        <v>3127</v>
      </c>
      <c r="X651" s="15">
        <v>661</v>
      </c>
      <c r="Y651" s="15" t="s">
        <v>160</v>
      </c>
      <c r="Z651" s="15" t="s">
        <v>161</v>
      </c>
      <c r="AA651" s="15" t="s">
        <v>162</v>
      </c>
      <c r="AB651" s="15" t="s">
        <v>15068</v>
      </c>
      <c r="AC651" s="15" t="s">
        <v>15068</v>
      </c>
      <c r="AD651" s="15" t="s">
        <v>15069</v>
      </c>
      <c r="AE651" s="15" t="s">
        <v>164</v>
      </c>
      <c r="AF651" s="15" t="s">
        <v>15069</v>
      </c>
      <c r="AG651" s="15" t="s">
        <v>15068</v>
      </c>
      <c r="AH651" s="15" t="s">
        <v>15070</v>
      </c>
      <c r="AL651" s="15" t="s">
        <v>15071</v>
      </c>
      <c r="AN651" s="15">
        <v>743</v>
      </c>
      <c r="AO651" s="15" t="s">
        <v>15072</v>
      </c>
      <c r="AQ651" s="15" t="s">
        <v>388</v>
      </c>
      <c r="AT651" s="15" t="s">
        <v>15073</v>
      </c>
      <c r="AU651" s="15" t="s">
        <v>15074</v>
      </c>
      <c r="AV651" s="15" t="s">
        <v>15074</v>
      </c>
      <c r="AW651" s="18" t="s">
        <v>15075</v>
      </c>
      <c r="AX651" s="18" t="s">
        <v>15076</v>
      </c>
      <c r="AY651" s="15">
        <f t="shared" si="12"/>
        <v>58</v>
      </c>
      <c r="AZ651" s="18" t="s">
        <v>393</v>
      </c>
      <c r="BA651" s="18" t="s">
        <v>174</v>
      </c>
      <c r="BB651" s="18" t="s">
        <v>5709</v>
      </c>
      <c r="BC651" s="18" t="s">
        <v>801</v>
      </c>
      <c r="BD651" s="18"/>
      <c r="BE651" s="18" t="s">
        <v>1123</v>
      </c>
      <c r="BF651" s="18"/>
      <c r="BG651" s="18"/>
      <c r="BH651" s="18"/>
      <c r="BI651" s="18"/>
      <c r="BJ651" s="18" t="s">
        <v>15077</v>
      </c>
      <c r="BK651" s="18"/>
      <c r="BL651" s="18"/>
      <c r="BM651" s="18"/>
      <c r="BN651" s="18" t="s">
        <v>179</v>
      </c>
      <c r="BO651" s="18"/>
      <c r="BP651" s="18" t="s">
        <v>138</v>
      </c>
      <c r="BQ651" s="18"/>
      <c r="BR651" s="18"/>
      <c r="BS651" s="15" t="s">
        <v>15078</v>
      </c>
      <c r="BT651" s="15" t="s">
        <v>804</v>
      </c>
      <c r="DH651" s="15" t="s">
        <v>17982</v>
      </c>
      <c r="DI651" s="15" t="s">
        <v>17982</v>
      </c>
    </row>
    <row r="652" spans="1:113" s="15" customFormat="1" ht="12.75" x14ac:dyDescent="0.2">
      <c r="A652" s="15" t="s">
        <v>109</v>
      </c>
      <c r="B652" s="15" t="s">
        <v>110</v>
      </c>
      <c r="D652" s="15" t="s">
        <v>791</v>
      </c>
      <c r="E652" s="15" t="s">
        <v>792</v>
      </c>
      <c r="F652" s="15" t="s">
        <v>791</v>
      </c>
      <c r="G652" s="15" t="s">
        <v>113</v>
      </c>
      <c r="H652" s="15" t="s">
        <v>383</v>
      </c>
      <c r="J652" s="16" t="s">
        <v>114</v>
      </c>
      <c r="U652" s="15" t="s">
        <v>17977</v>
      </c>
      <c r="W652" s="15">
        <v>970</v>
      </c>
      <c r="X652" s="15">
        <v>662</v>
      </c>
      <c r="Y652" s="15" t="s">
        <v>160</v>
      </c>
      <c r="Z652" s="15" t="s">
        <v>161</v>
      </c>
      <c r="AA652" s="15" t="s">
        <v>162</v>
      </c>
      <c r="AB652" s="15" t="s">
        <v>4709</v>
      </c>
      <c r="AC652" s="15" t="s">
        <v>4709</v>
      </c>
      <c r="AD652" s="15" t="s">
        <v>4710</v>
      </c>
      <c r="AE652" s="15" t="s">
        <v>164</v>
      </c>
      <c r="AF652" s="15" t="s">
        <v>4710</v>
      </c>
      <c r="AG652" s="15" t="s">
        <v>4709</v>
      </c>
      <c r="AH652" s="15" t="s">
        <v>4711</v>
      </c>
      <c r="AL652" s="15" t="s">
        <v>4712</v>
      </c>
      <c r="AN652" s="15">
        <v>743</v>
      </c>
      <c r="AO652" s="15" t="s">
        <v>4713</v>
      </c>
      <c r="AQ652" s="15" t="s">
        <v>388</v>
      </c>
      <c r="AT652" s="15" t="s">
        <v>4714</v>
      </c>
      <c r="AU652" s="15" t="s">
        <v>4715</v>
      </c>
      <c r="AV652" s="15" t="s">
        <v>4715</v>
      </c>
      <c r="AW652" s="18" t="s">
        <v>4716</v>
      </c>
      <c r="AX652" s="18" t="s">
        <v>4717</v>
      </c>
      <c r="AY652" s="15">
        <f t="shared" si="12"/>
        <v>59</v>
      </c>
      <c r="AZ652" s="18" t="s">
        <v>393</v>
      </c>
      <c r="BA652" s="18" t="s">
        <v>174</v>
      </c>
      <c r="BB652" s="18" t="s">
        <v>4718</v>
      </c>
      <c r="BC652" s="18" t="s">
        <v>4229</v>
      </c>
      <c r="BD652" s="18"/>
      <c r="BE652" s="18" t="s">
        <v>1081</v>
      </c>
      <c r="BF652" s="18" t="s">
        <v>1453</v>
      </c>
      <c r="BG652" s="18"/>
      <c r="BH652" s="18"/>
      <c r="BI652" s="18"/>
      <c r="BJ652" s="18" t="s">
        <v>4719</v>
      </c>
      <c r="BK652" s="18"/>
      <c r="BL652" s="18"/>
      <c r="BM652" s="18"/>
      <c r="BN652" s="18" t="s">
        <v>179</v>
      </c>
      <c r="BO652" s="18"/>
      <c r="BP652" s="18" t="s">
        <v>138</v>
      </c>
      <c r="BQ652" s="18"/>
      <c r="BR652" s="18"/>
      <c r="BS652" s="15" t="s">
        <v>4720</v>
      </c>
      <c r="BT652" s="15" t="s">
        <v>804</v>
      </c>
      <c r="DH652" s="15" t="s">
        <v>17982</v>
      </c>
      <c r="DI652" s="15" t="s">
        <v>17982</v>
      </c>
    </row>
    <row r="653" spans="1:113" s="15" customFormat="1" ht="12.75" x14ac:dyDescent="0.2">
      <c r="A653" s="15" t="s">
        <v>109</v>
      </c>
      <c r="B653" s="15" t="s">
        <v>110</v>
      </c>
      <c r="D653" s="15" t="s">
        <v>791</v>
      </c>
      <c r="E653" s="15" t="s">
        <v>792</v>
      </c>
      <c r="F653" s="15" t="s">
        <v>791</v>
      </c>
      <c r="G653" s="15" t="s">
        <v>113</v>
      </c>
      <c r="H653" s="15" t="s">
        <v>383</v>
      </c>
      <c r="J653" s="16" t="s">
        <v>114</v>
      </c>
      <c r="U653" s="15" t="s">
        <v>17977</v>
      </c>
      <c r="W653" s="15">
        <v>105</v>
      </c>
      <c r="X653" s="15">
        <v>663</v>
      </c>
      <c r="Y653" s="15" t="s">
        <v>160</v>
      </c>
      <c r="Z653" s="15" t="s">
        <v>161</v>
      </c>
      <c r="AA653" s="15" t="s">
        <v>162</v>
      </c>
      <c r="AB653" s="15" t="s">
        <v>793</v>
      </c>
      <c r="AC653" s="15" t="s">
        <v>793</v>
      </c>
      <c r="AD653" s="15" t="s">
        <v>794</v>
      </c>
      <c r="AE653" s="15" t="s">
        <v>164</v>
      </c>
      <c r="AF653" s="15" t="s">
        <v>794</v>
      </c>
      <c r="AG653" s="15" t="s">
        <v>793</v>
      </c>
      <c r="AH653" s="15" t="s">
        <v>795</v>
      </c>
      <c r="AL653" s="15" t="s">
        <v>796</v>
      </c>
      <c r="AN653" s="15">
        <v>743</v>
      </c>
      <c r="AO653" s="15" t="s">
        <v>797</v>
      </c>
      <c r="AQ653" s="15" t="s">
        <v>388</v>
      </c>
      <c r="AT653" s="15" t="s">
        <v>798</v>
      </c>
      <c r="AU653" s="15" t="s">
        <v>799</v>
      </c>
      <c r="AV653" s="15" t="s">
        <v>799</v>
      </c>
      <c r="AW653" s="18" t="s">
        <v>800</v>
      </c>
      <c r="AX653" s="18" t="s">
        <v>800</v>
      </c>
      <c r="AY653" s="15">
        <f t="shared" si="12"/>
        <v>45</v>
      </c>
      <c r="AZ653" s="18" t="s">
        <v>393</v>
      </c>
      <c r="BA653" s="18" t="s">
        <v>174</v>
      </c>
      <c r="BB653" s="18" t="s">
        <v>670</v>
      </c>
      <c r="BC653" s="18" t="s">
        <v>801</v>
      </c>
      <c r="BD653" s="18"/>
      <c r="BE653" s="18" t="s">
        <v>275</v>
      </c>
      <c r="BF653" s="18"/>
      <c r="BG653" s="18"/>
      <c r="BH653" s="18"/>
      <c r="BI653" s="18"/>
      <c r="BJ653" s="18" t="s">
        <v>802</v>
      </c>
      <c r="BK653" s="18"/>
      <c r="BL653" s="18"/>
      <c r="BM653" s="18"/>
      <c r="BN653" s="18" t="s">
        <v>179</v>
      </c>
      <c r="BO653" s="18"/>
      <c r="BP653" s="18" t="s">
        <v>138</v>
      </c>
      <c r="BQ653" s="18"/>
      <c r="BR653" s="18"/>
      <c r="BS653" s="15" t="s">
        <v>803</v>
      </c>
      <c r="BT653" s="15" t="s">
        <v>804</v>
      </c>
      <c r="DH653" s="15" t="s">
        <v>17982</v>
      </c>
      <c r="DI653" s="15" t="s">
        <v>17982</v>
      </c>
    </row>
    <row r="654" spans="1:113" s="15" customFormat="1" ht="12.75" x14ac:dyDescent="0.2">
      <c r="A654" s="15" t="s">
        <v>109</v>
      </c>
      <c r="B654" s="15" t="s">
        <v>110</v>
      </c>
      <c r="D654" s="15" t="s">
        <v>791</v>
      </c>
      <c r="E654" s="15" t="s">
        <v>792</v>
      </c>
      <c r="F654" s="15" t="s">
        <v>791</v>
      </c>
      <c r="G654" s="15" t="s">
        <v>113</v>
      </c>
      <c r="H654" s="15" t="s">
        <v>383</v>
      </c>
      <c r="J654" s="16" t="s">
        <v>114</v>
      </c>
      <c r="U654" s="15" t="s">
        <v>17977</v>
      </c>
      <c r="W654" s="15">
        <v>961</v>
      </c>
      <c r="X654" s="15">
        <v>664</v>
      </c>
      <c r="Y654" s="15" t="s">
        <v>160</v>
      </c>
      <c r="Z654" s="15" t="s">
        <v>161</v>
      </c>
      <c r="AA654" s="15" t="s">
        <v>162</v>
      </c>
      <c r="AB654" s="15" t="s">
        <v>4617</v>
      </c>
      <c r="AC654" s="15" t="s">
        <v>4617</v>
      </c>
      <c r="AD654" s="15" t="s">
        <v>4618</v>
      </c>
      <c r="AE654" s="15" t="s">
        <v>164</v>
      </c>
      <c r="AF654" s="15" t="s">
        <v>4618</v>
      </c>
      <c r="AG654" s="15" t="s">
        <v>4617</v>
      </c>
      <c r="AH654" s="15" t="s">
        <v>4619</v>
      </c>
      <c r="AL654" s="15" t="s">
        <v>4620</v>
      </c>
      <c r="AN654" s="15">
        <v>743</v>
      </c>
      <c r="AO654" s="15" t="s">
        <v>4621</v>
      </c>
      <c r="AQ654" s="15" t="s">
        <v>388</v>
      </c>
      <c r="AR654" s="35"/>
      <c r="AS654" s="35"/>
      <c r="AT654" s="15" t="s">
        <v>4622</v>
      </c>
      <c r="AU654" s="15" t="s">
        <v>4623</v>
      </c>
      <c r="AV654" s="15" t="s">
        <v>4623</v>
      </c>
      <c r="AW654" s="18" t="s">
        <v>4624</v>
      </c>
      <c r="AX654" s="18" t="s">
        <v>4625</v>
      </c>
      <c r="AY654" s="15">
        <f t="shared" si="12"/>
        <v>57</v>
      </c>
      <c r="AZ654" s="18" t="s">
        <v>393</v>
      </c>
      <c r="BA654" s="18" t="s">
        <v>174</v>
      </c>
      <c r="BB654" s="18" t="s">
        <v>4026</v>
      </c>
      <c r="BC654" s="18" t="s">
        <v>4229</v>
      </c>
      <c r="BD654" s="18"/>
      <c r="BE654" s="18" t="s">
        <v>176</v>
      </c>
      <c r="BF654" s="18" t="s">
        <v>1453</v>
      </c>
      <c r="BG654" s="18"/>
      <c r="BH654" s="18"/>
      <c r="BI654" s="18"/>
      <c r="BJ654" s="18" t="s">
        <v>4626</v>
      </c>
      <c r="BK654" s="18"/>
      <c r="BL654" s="18"/>
      <c r="BM654" s="18"/>
      <c r="BN654" s="18" t="s">
        <v>179</v>
      </c>
      <c r="BO654" s="18"/>
      <c r="BP654" s="18" t="s">
        <v>138</v>
      </c>
      <c r="BQ654" s="18"/>
      <c r="BR654" s="18"/>
      <c r="BS654" s="15" t="s">
        <v>4627</v>
      </c>
      <c r="BT654" s="15" t="s">
        <v>804</v>
      </c>
      <c r="DH654" s="15" t="s">
        <v>17982</v>
      </c>
      <c r="DI654" s="15" t="s">
        <v>17982</v>
      </c>
    </row>
    <row r="655" spans="1:113" s="15" customFormat="1" ht="12.75" x14ac:dyDescent="0.2">
      <c r="A655" s="15" t="s">
        <v>109</v>
      </c>
      <c r="B655" s="15" t="s">
        <v>110</v>
      </c>
      <c r="D655" s="15" t="s">
        <v>791</v>
      </c>
      <c r="E655" s="15" t="s">
        <v>792</v>
      </c>
      <c r="F655" s="15" t="s">
        <v>791</v>
      </c>
      <c r="G655" s="15" t="s">
        <v>113</v>
      </c>
      <c r="H655" s="15" t="s">
        <v>383</v>
      </c>
      <c r="J655" s="16" t="s">
        <v>114</v>
      </c>
      <c r="U655" s="15" t="s">
        <v>17977</v>
      </c>
      <c r="W655" s="15">
        <v>962</v>
      </c>
      <c r="X655" s="15">
        <v>665</v>
      </c>
      <c r="Y655" s="15" t="s">
        <v>160</v>
      </c>
      <c r="Z655" s="15" t="s">
        <v>161</v>
      </c>
      <c r="AA655" s="15" t="s">
        <v>162</v>
      </c>
      <c r="AB655" s="15" t="s">
        <v>4628</v>
      </c>
      <c r="AC655" s="15" t="s">
        <v>4628</v>
      </c>
      <c r="AD655" s="15" t="s">
        <v>4629</v>
      </c>
      <c r="AE655" s="15" t="s">
        <v>164</v>
      </c>
      <c r="AF655" s="15" t="s">
        <v>4629</v>
      </c>
      <c r="AG655" s="15" t="s">
        <v>4628</v>
      </c>
      <c r="AH655" s="15" t="s">
        <v>4630</v>
      </c>
      <c r="AL655" s="15" t="s">
        <v>4631</v>
      </c>
      <c r="AN655" s="15">
        <v>743</v>
      </c>
      <c r="AO655" s="15" t="s">
        <v>4632</v>
      </c>
      <c r="AQ655" s="15" t="s">
        <v>388</v>
      </c>
      <c r="AR655" s="35"/>
      <c r="AS655" s="35"/>
      <c r="AT655" s="15" t="s">
        <v>4633</v>
      </c>
      <c r="AU655" s="15" t="s">
        <v>4634</v>
      </c>
      <c r="AV655" s="15" t="s">
        <v>4634</v>
      </c>
      <c r="AW655" s="18" t="s">
        <v>4635</v>
      </c>
      <c r="AX655" s="18" t="s">
        <v>4636</v>
      </c>
      <c r="AY655" s="15">
        <f t="shared" si="12"/>
        <v>57</v>
      </c>
      <c r="AZ655" s="18" t="s">
        <v>393</v>
      </c>
      <c r="BA655" s="18" t="s">
        <v>174</v>
      </c>
      <c r="BB655" s="18" t="s">
        <v>4026</v>
      </c>
      <c r="BC655" s="18" t="s">
        <v>801</v>
      </c>
      <c r="BD655" s="18"/>
      <c r="BE655" s="18" t="s">
        <v>176</v>
      </c>
      <c r="BF655" s="18" t="s">
        <v>1453</v>
      </c>
      <c r="BG655" s="18"/>
      <c r="BH655" s="18"/>
      <c r="BI655" s="18"/>
      <c r="BJ655" s="18" t="s">
        <v>4626</v>
      </c>
      <c r="BK655" s="18"/>
      <c r="BL655" s="18"/>
      <c r="BM655" s="18"/>
      <c r="BN655" s="18" t="s">
        <v>179</v>
      </c>
      <c r="BO655" s="18"/>
      <c r="BP655" s="18" t="s">
        <v>138</v>
      </c>
      <c r="BQ655" s="18"/>
      <c r="BR655" s="18"/>
      <c r="BS655" s="15" t="s">
        <v>4637</v>
      </c>
      <c r="BT655" s="15" t="s">
        <v>804</v>
      </c>
      <c r="DH655" s="15" t="s">
        <v>17982</v>
      </c>
      <c r="DI655" s="15" t="s">
        <v>17982</v>
      </c>
    </row>
    <row r="656" spans="1:113" s="15" customFormat="1" ht="12.75" x14ac:dyDescent="0.2">
      <c r="A656" s="15" t="s">
        <v>109</v>
      </c>
      <c r="B656" s="15" t="s">
        <v>110</v>
      </c>
      <c r="D656" s="15" t="s">
        <v>791</v>
      </c>
      <c r="E656" s="15" t="s">
        <v>792</v>
      </c>
      <c r="F656" s="15" t="s">
        <v>791</v>
      </c>
      <c r="G656" s="15" t="s">
        <v>113</v>
      </c>
      <c r="H656" s="15" t="s">
        <v>383</v>
      </c>
      <c r="J656" s="16" t="s">
        <v>114</v>
      </c>
      <c r="U656" s="15" t="s">
        <v>17977</v>
      </c>
      <c r="W656" s="15">
        <v>963</v>
      </c>
      <c r="X656" s="15">
        <v>666</v>
      </c>
      <c r="Y656" s="15" t="s">
        <v>160</v>
      </c>
      <c r="Z656" s="15" t="s">
        <v>161</v>
      </c>
      <c r="AA656" s="15" t="s">
        <v>162</v>
      </c>
      <c r="AB656" s="15" t="s">
        <v>4638</v>
      </c>
      <c r="AC656" s="15" t="s">
        <v>4638</v>
      </c>
      <c r="AD656" s="15" t="s">
        <v>4639</v>
      </c>
      <c r="AE656" s="15" t="s">
        <v>164</v>
      </c>
      <c r="AF656" s="15" t="s">
        <v>4639</v>
      </c>
      <c r="AG656" s="15" t="s">
        <v>4638</v>
      </c>
      <c r="AH656" s="15" t="s">
        <v>4640</v>
      </c>
      <c r="AL656" s="15" t="s">
        <v>4641</v>
      </c>
      <c r="AN656" s="15">
        <v>743</v>
      </c>
      <c r="AO656" s="15" t="s">
        <v>4642</v>
      </c>
      <c r="AQ656" s="15" t="s">
        <v>388</v>
      </c>
      <c r="AR656" s="35"/>
      <c r="AS656" s="35"/>
      <c r="AT656" s="15" t="s">
        <v>4643</v>
      </c>
      <c r="AU656" s="15" t="s">
        <v>4644</v>
      </c>
      <c r="AV656" s="15" t="s">
        <v>4644</v>
      </c>
      <c r="AW656" s="18" t="s">
        <v>4645</v>
      </c>
      <c r="AX656" s="18" t="s">
        <v>4646</v>
      </c>
      <c r="AY656" s="15">
        <f t="shared" si="12"/>
        <v>57</v>
      </c>
      <c r="AZ656" s="18" t="s">
        <v>393</v>
      </c>
      <c r="BA656" s="18" t="s">
        <v>174</v>
      </c>
      <c r="BB656" s="18" t="s">
        <v>4026</v>
      </c>
      <c r="BC656" s="18" t="s">
        <v>2040</v>
      </c>
      <c r="BD656" s="18"/>
      <c r="BE656" s="18" t="s">
        <v>176</v>
      </c>
      <c r="BF656" s="18" t="s">
        <v>1453</v>
      </c>
      <c r="BG656" s="18"/>
      <c r="BH656" s="18"/>
      <c r="BI656" s="18"/>
      <c r="BJ656" s="18" t="s">
        <v>4626</v>
      </c>
      <c r="BK656" s="18"/>
      <c r="BL656" s="18"/>
      <c r="BM656" s="18"/>
      <c r="BN656" s="18" t="s">
        <v>179</v>
      </c>
      <c r="BO656" s="18"/>
      <c r="BP656" s="18" t="s">
        <v>138</v>
      </c>
      <c r="BQ656" s="18"/>
      <c r="BR656" s="18"/>
      <c r="BS656" s="15" t="s">
        <v>4647</v>
      </c>
      <c r="BT656" s="15" t="s">
        <v>804</v>
      </c>
      <c r="DH656" s="15" t="s">
        <v>17982</v>
      </c>
      <c r="DI656" s="15" t="s">
        <v>17982</v>
      </c>
    </row>
    <row r="657" spans="1:113" s="15" customFormat="1" ht="12.75" x14ac:dyDescent="0.2">
      <c r="A657" s="15" t="s">
        <v>109</v>
      </c>
      <c r="B657" s="15" t="s">
        <v>110</v>
      </c>
      <c r="D657" s="15" t="s">
        <v>791</v>
      </c>
      <c r="E657" s="15" t="s">
        <v>792</v>
      </c>
      <c r="F657" s="15" t="s">
        <v>791</v>
      </c>
      <c r="G657" s="15" t="s">
        <v>113</v>
      </c>
      <c r="H657" s="15" t="s">
        <v>383</v>
      </c>
      <c r="J657" s="16" t="s">
        <v>114</v>
      </c>
      <c r="U657" s="15" t="s">
        <v>17977</v>
      </c>
      <c r="W657" s="15">
        <v>964</v>
      </c>
      <c r="X657" s="15">
        <v>667</v>
      </c>
      <c r="Y657" s="15" t="s">
        <v>160</v>
      </c>
      <c r="Z657" s="15" t="s">
        <v>161</v>
      </c>
      <c r="AA657" s="15" t="s">
        <v>162</v>
      </c>
      <c r="AB657" s="15" t="s">
        <v>4648</v>
      </c>
      <c r="AC657" s="15" t="s">
        <v>4648</v>
      </c>
      <c r="AD657" s="15" t="s">
        <v>4649</v>
      </c>
      <c r="AE657" s="15" t="s">
        <v>164</v>
      </c>
      <c r="AF657" s="15" t="s">
        <v>4649</v>
      </c>
      <c r="AG657" s="15" t="s">
        <v>4648</v>
      </c>
      <c r="AH657" s="15" t="s">
        <v>4650</v>
      </c>
      <c r="AL657" s="15" t="s">
        <v>4651</v>
      </c>
      <c r="AN657" s="15">
        <v>743</v>
      </c>
      <c r="AO657" s="15" t="s">
        <v>4652</v>
      </c>
      <c r="AQ657" s="15" t="s">
        <v>388</v>
      </c>
      <c r="AR657" s="35"/>
      <c r="AS657" s="35"/>
      <c r="AT657" s="15" t="s">
        <v>4653</v>
      </c>
      <c r="AU657" s="15" t="s">
        <v>4654</v>
      </c>
      <c r="AV657" s="15" t="s">
        <v>4654</v>
      </c>
      <c r="AW657" s="18" t="s">
        <v>4655</v>
      </c>
      <c r="AX657" s="18" t="s">
        <v>4656</v>
      </c>
      <c r="AY657" s="15">
        <f t="shared" si="12"/>
        <v>57</v>
      </c>
      <c r="AZ657" s="18" t="s">
        <v>393</v>
      </c>
      <c r="BA657" s="18" t="s">
        <v>174</v>
      </c>
      <c r="BB657" s="18" t="s">
        <v>4026</v>
      </c>
      <c r="BC657" s="18" t="s">
        <v>4229</v>
      </c>
      <c r="BD657" s="18"/>
      <c r="BE657" s="18" t="s">
        <v>4004</v>
      </c>
      <c r="BF657" s="18" t="s">
        <v>1453</v>
      </c>
      <c r="BG657" s="18"/>
      <c r="BH657" s="18"/>
      <c r="BI657" s="18"/>
      <c r="BJ657" s="18" t="s">
        <v>4626</v>
      </c>
      <c r="BK657" s="18"/>
      <c r="BL657" s="18"/>
      <c r="BM657" s="18"/>
      <c r="BN657" s="18" t="s">
        <v>179</v>
      </c>
      <c r="BO657" s="18"/>
      <c r="BP657" s="18" t="s">
        <v>138</v>
      </c>
      <c r="BQ657" s="18"/>
      <c r="BR657" s="18"/>
      <c r="BS657" s="15" t="s">
        <v>4657</v>
      </c>
      <c r="BT657" s="15" t="s">
        <v>804</v>
      </c>
      <c r="DH657" s="15" t="s">
        <v>17982</v>
      </c>
      <c r="DI657" s="15" t="s">
        <v>17982</v>
      </c>
    </row>
    <row r="658" spans="1:113" s="15" customFormat="1" ht="12.75" x14ac:dyDescent="0.2">
      <c r="A658" s="15" t="s">
        <v>109</v>
      </c>
      <c r="B658" s="15" t="s">
        <v>110</v>
      </c>
      <c r="D658" s="15" t="s">
        <v>791</v>
      </c>
      <c r="E658" s="15" t="s">
        <v>792</v>
      </c>
      <c r="F658" s="15" t="s">
        <v>791</v>
      </c>
      <c r="G658" s="15" t="s">
        <v>113</v>
      </c>
      <c r="H658" s="15" t="s">
        <v>383</v>
      </c>
      <c r="J658" s="16" t="s">
        <v>114</v>
      </c>
      <c r="U658" s="15" t="s">
        <v>17977</v>
      </c>
      <c r="W658" s="15">
        <v>2617</v>
      </c>
      <c r="X658" s="15">
        <v>668</v>
      </c>
      <c r="Y658" s="15" t="s">
        <v>160</v>
      </c>
      <c r="Z658" s="15" t="s">
        <v>161</v>
      </c>
      <c r="AA658" s="15" t="s">
        <v>162</v>
      </c>
      <c r="AB658" s="15" t="s">
        <v>12793</v>
      </c>
      <c r="AC658" s="15" t="s">
        <v>12793</v>
      </c>
      <c r="AD658" s="15" t="s">
        <v>12794</v>
      </c>
      <c r="AE658" s="15" t="s">
        <v>164</v>
      </c>
      <c r="AF658" s="15" t="s">
        <v>12794</v>
      </c>
      <c r="AG658" s="15" t="s">
        <v>12793</v>
      </c>
      <c r="AH658" s="47" t="s">
        <v>12795</v>
      </c>
      <c r="AL658" s="15" t="s">
        <v>12796</v>
      </c>
      <c r="AN658" s="15">
        <v>743</v>
      </c>
      <c r="AO658" s="15" t="s">
        <v>12797</v>
      </c>
      <c r="AQ658" s="15" t="s">
        <v>388</v>
      </c>
      <c r="AR658" s="35"/>
      <c r="AS658" s="35"/>
      <c r="AT658" s="15" t="s">
        <v>12798</v>
      </c>
      <c r="AU658" s="15" t="s">
        <v>12799</v>
      </c>
      <c r="AV658" s="15" t="s">
        <v>12799</v>
      </c>
      <c r="AW658" s="18" t="s">
        <v>12800</v>
      </c>
      <c r="AX658" s="18" t="s">
        <v>12801</v>
      </c>
      <c r="AY658" s="15">
        <f t="shared" si="12"/>
        <v>54</v>
      </c>
      <c r="AZ658" s="18" t="s">
        <v>393</v>
      </c>
      <c r="BA658" s="18" t="s">
        <v>174</v>
      </c>
      <c r="BB658" s="18" t="s">
        <v>12790</v>
      </c>
      <c r="BC658" s="18" t="s">
        <v>801</v>
      </c>
      <c r="BD658" s="18"/>
      <c r="BE658" s="18" t="s">
        <v>1123</v>
      </c>
      <c r="BF658" s="18" t="s">
        <v>7969</v>
      </c>
      <c r="BG658" s="18"/>
      <c r="BH658" s="18"/>
      <c r="BI658" s="18"/>
      <c r="BJ658" s="18" t="s">
        <v>12791</v>
      </c>
      <c r="BK658" s="18"/>
      <c r="BL658" s="18"/>
      <c r="BM658" s="18"/>
      <c r="BN658" s="18" t="s">
        <v>179</v>
      </c>
      <c r="BO658" s="18"/>
      <c r="BP658" s="18" t="s">
        <v>138</v>
      </c>
      <c r="BQ658" s="18"/>
      <c r="BR658" s="18"/>
      <c r="BS658" s="15" t="s">
        <v>12802</v>
      </c>
      <c r="BT658" s="15" t="s">
        <v>804</v>
      </c>
      <c r="DH658" s="15" t="s">
        <v>17982</v>
      </c>
      <c r="DI658" s="15" t="s">
        <v>17982</v>
      </c>
    </row>
    <row r="659" spans="1:113" s="15" customFormat="1" ht="12.75" x14ac:dyDescent="0.2">
      <c r="A659" s="15" t="s">
        <v>109</v>
      </c>
      <c r="B659" s="15" t="s">
        <v>110</v>
      </c>
      <c r="D659" s="15" t="s">
        <v>791</v>
      </c>
      <c r="E659" s="15" t="s">
        <v>792</v>
      </c>
      <c r="F659" s="15" t="s">
        <v>791</v>
      </c>
      <c r="G659" s="15" t="s">
        <v>113</v>
      </c>
      <c r="H659" s="15" t="s">
        <v>383</v>
      </c>
      <c r="J659" s="16" t="s">
        <v>114</v>
      </c>
      <c r="U659" s="15" t="s">
        <v>17977</v>
      </c>
      <c r="W659" s="15">
        <v>2616</v>
      </c>
      <c r="X659" s="15">
        <v>669</v>
      </c>
      <c r="Y659" s="15" t="s">
        <v>160</v>
      </c>
      <c r="Z659" s="15" t="s">
        <v>161</v>
      </c>
      <c r="AA659" s="15" t="s">
        <v>162</v>
      </c>
      <c r="AB659" s="15" t="s">
        <v>12781</v>
      </c>
      <c r="AC659" s="15" t="s">
        <v>12781</v>
      </c>
      <c r="AD659" s="15" t="s">
        <v>12782</v>
      </c>
      <c r="AE659" s="15" t="s">
        <v>164</v>
      </c>
      <c r="AF659" s="15" t="s">
        <v>12782</v>
      </c>
      <c r="AG659" s="15" t="s">
        <v>12781</v>
      </c>
      <c r="AH659" s="47" t="s">
        <v>12783</v>
      </c>
      <c r="AL659" s="15" t="s">
        <v>12784</v>
      </c>
      <c r="AN659" s="15">
        <v>743</v>
      </c>
      <c r="AO659" s="15" t="s">
        <v>12785</v>
      </c>
      <c r="AQ659" s="15" t="s">
        <v>388</v>
      </c>
      <c r="AR659" s="35"/>
      <c r="AS659" s="35"/>
      <c r="AT659" s="15" t="s">
        <v>12786</v>
      </c>
      <c r="AU659" s="15" t="s">
        <v>12787</v>
      </c>
      <c r="AV659" s="15" t="s">
        <v>12787</v>
      </c>
      <c r="AW659" s="18" t="s">
        <v>12788</v>
      </c>
      <c r="AX659" s="18" t="s">
        <v>12789</v>
      </c>
      <c r="AY659" s="15">
        <f t="shared" si="12"/>
        <v>58</v>
      </c>
      <c r="AZ659" s="18" t="s">
        <v>393</v>
      </c>
      <c r="BA659" s="18" t="s">
        <v>174</v>
      </c>
      <c r="BB659" s="18" t="s">
        <v>12790</v>
      </c>
      <c r="BC659" s="18" t="s">
        <v>3010</v>
      </c>
      <c r="BD659" s="18"/>
      <c r="BE659" s="18" t="s">
        <v>2054</v>
      </c>
      <c r="BF659" s="18" t="s">
        <v>7969</v>
      </c>
      <c r="BG659" s="18"/>
      <c r="BH659" s="18"/>
      <c r="BI659" s="18"/>
      <c r="BJ659" s="18" t="s">
        <v>12791</v>
      </c>
      <c r="BK659" s="18"/>
      <c r="BL659" s="18"/>
      <c r="BM659" s="18"/>
      <c r="BN659" s="18" t="s">
        <v>179</v>
      </c>
      <c r="BO659" s="18"/>
      <c r="BP659" s="18" t="s">
        <v>138</v>
      </c>
      <c r="BQ659" s="18"/>
      <c r="BR659" s="18"/>
      <c r="BS659" s="15" t="s">
        <v>12792</v>
      </c>
      <c r="BT659" s="15" t="s">
        <v>804</v>
      </c>
      <c r="DH659" s="15" t="s">
        <v>17982</v>
      </c>
      <c r="DI659" s="15" t="s">
        <v>17982</v>
      </c>
    </row>
    <row r="660" spans="1:113" s="15" customFormat="1" ht="12.75" x14ac:dyDescent="0.2">
      <c r="A660" s="15" t="s">
        <v>109</v>
      </c>
      <c r="B660" s="15" t="s">
        <v>110</v>
      </c>
      <c r="D660" s="15" t="s">
        <v>791</v>
      </c>
      <c r="E660" s="15" t="s">
        <v>792</v>
      </c>
      <c r="F660" s="15" t="s">
        <v>791</v>
      </c>
      <c r="G660" s="15" t="s">
        <v>113</v>
      </c>
      <c r="H660" s="15" t="s">
        <v>383</v>
      </c>
      <c r="J660" s="16" t="s">
        <v>114</v>
      </c>
      <c r="U660" s="15" t="s">
        <v>17977</v>
      </c>
      <c r="W660" s="15">
        <v>677</v>
      </c>
      <c r="X660" s="15">
        <v>670</v>
      </c>
      <c r="Y660" s="15" t="s">
        <v>160</v>
      </c>
      <c r="Z660" s="15" t="s">
        <v>161</v>
      </c>
      <c r="AA660" s="15" t="s">
        <v>162</v>
      </c>
      <c r="AB660" s="15" t="s">
        <v>2419</v>
      </c>
      <c r="AC660" s="15" t="s">
        <v>2419</v>
      </c>
      <c r="AD660" s="15" t="s">
        <v>2419</v>
      </c>
      <c r="AE660" s="15" t="s">
        <v>164</v>
      </c>
      <c r="AF660" s="15" t="s">
        <v>2419</v>
      </c>
      <c r="AG660" s="15" t="s">
        <v>2419</v>
      </c>
      <c r="AH660" s="15" t="s">
        <v>2420</v>
      </c>
      <c r="AL660" s="15" t="s">
        <v>2421</v>
      </c>
      <c r="AN660" s="15">
        <v>743</v>
      </c>
      <c r="AO660" s="15" t="s">
        <v>2422</v>
      </c>
      <c r="AQ660" s="15" t="s">
        <v>388</v>
      </c>
      <c r="AR660" s="35"/>
      <c r="AS660" s="35"/>
      <c r="AT660" s="15" t="s">
        <v>2423</v>
      </c>
      <c r="AU660" s="15" t="s">
        <v>2424</v>
      </c>
      <c r="AV660" s="15" t="s">
        <v>2424</v>
      </c>
      <c r="AW660" s="18" t="s">
        <v>2425</v>
      </c>
      <c r="AX660" s="18" t="s">
        <v>2426</v>
      </c>
      <c r="AY660" s="15">
        <f t="shared" si="12"/>
        <v>57</v>
      </c>
      <c r="AZ660" s="18" t="s">
        <v>393</v>
      </c>
      <c r="BA660" s="36" t="s">
        <v>174</v>
      </c>
      <c r="BB660" s="18" t="s">
        <v>2370</v>
      </c>
      <c r="BC660" s="18" t="s">
        <v>1978</v>
      </c>
      <c r="BD660" s="18"/>
      <c r="BE660" s="18" t="s">
        <v>2427</v>
      </c>
      <c r="BF660" s="26" t="s">
        <v>2428</v>
      </c>
      <c r="BG660" s="18"/>
      <c r="BH660" s="18"/>
      <c r="BI660" s="18"/>
      <c r="BJ660" s="18" t="s">
        <v>2429</v>
      </c>
      <c r="BK660" s="18"/>
      <c r="BL660" s="18"/>
      <c r="BM660" s="18"/>
      <c r="BN660" s="18" t="s">
        <v>179</v>
      </c>
      <c r="BO660" s="18"/>
      <c r="BP660" s="18" t="s">
        <v>138</v>
      </c>
      <c r="BQ660" s="18"/>
      <c r="BR660" s="18"/>
      <c r="BS660" s="15" t="s">
        <v>2430</v>
      </c>
      <c r="BT660" s="15" t="s">
        <v>804</v>
      </c>
      <c r="DH660" s="15" t="s">
        <v>17982</v>
      </c>
      <c r="DI660" s="15" t="s">
        <v>17982</v>
      </c>
    </row>
    <row r="661" spans="1:113" s="15" customFormat="1" ht="12.75" x14ac:dyDescent="0.2">
      <c r="A661" s="15" t="s">
        <v>109</v>
      </c>
      <c r="B661" s="15" t="s">
        <v>110</v>
      </c>
      <c r="D661" s="15" t="s">
        <v>791</v>
      </c>
      <c r="E661" s="15" t="s">
        <v>792</v>
      </c>
      <c r="F661" s="15" t="s">
        <v>791</v>
      </c>
      <c r="G661" s="15" t="s">
        <v>113</v>
      </c>
      <c r="H661" s="15" t="s">
        <v>383</v>
      </c>
      <c r="J661" s="16" t="s">
        <v>114</v>
      </c>
      <c r="U661" s="15" t="s">
        <v>17977</v>
      </c>
      <c r="W661" s="15">
        <v>2604</v>
      </c>
      <c r="X661" s="15">
        <v>671</v>
      </c>
      <c r="Y661" s="15" t="s">
        <v>160</v>
      </c>
      <c r="Z661" s="15" t="s">
        <v>161</v>
      </c>
      <c r="AA661" s="15" t="s">
        <v>162</v>
      </c>
      <c r="AB661" s="15" t="s">
        <v>12660</v>
      </c>
      <c r="AC661" s="15" t="s">
        <v>12660</v>
      </c>
      <c r="AD661" s="15" t="s">
        <v>12660</v>
      </c>
      <c r="AE661" s="15" t="s">
        <v>164</v>
      </c>
      <c r="AF661" s="15" t="s">
        <v>12660</v>
      </c>
      <c r="AG661" s="15" t="s">
        <v>12660</v>
      </c>
      <c r="AH661" s="47" t="s">
        <v>12661</v>
      </c>
      <c r="AL661" s="15" t="s">
        <v>12662</v>
      </c>
      <c r="AN661" s="15">
        <v>743</v>
      </c>
      <c r="AO661" s="15" t="s">
        <v>12663</v>
      </c>
      <c r="AQ661" s="15" t="s">
        <v>388</v>
      </c>
      <c r="AR661" s="35"/>
      <c r="AS661" s="35"/>
      <c r="AT661" s="15" t="s">
        <v>12664</v>
      </c>
      <c r="AU661" s="15" t="s">
        <v>12665</v>
      </c>
      <c r="AV661" s="15" t="s">
        <v>12665</v>
      </c>
      <c r="AW661" s="18" t="s">
        <v>12666</v>
      </c>
      <c r="AX661" s="18" t="s">
        <v>12666</v>
      </c>
      <c r="AY661" s="15">
        <f t="shared" si="12"/>
        <v>56</v>
      </c>
      <c r="AZ661" s="18" t="s">
        <v>393</v>
      </c>
      <c r="BA661" s="18" t="s">
        <v>174</v>
      </c>
      <c r="BB661" s="18" t="s">
        <v>12667</v>
      </c>
      <c r="BC661" s="18"/>
      <c r="BD661" s="18"/>
      <c r="BE661" s="18" t="s">
        <v>1754</v>
      </c>
      <c r="BF661" s="18"/>
      <c r="BG661" s="18"/>
      <c r="BH661" s="18"/>
      <c r="BI661" s="18"/>
      <c r="BJ661" s="18" t="s">
        <v>12668</v>
      </c>
      <c r="BK661" s="18"/>
      <c r="BL661" s="18"/>
      <c r="BM661" s="18"/>
      <c r="BN661" s="18" t="s">
        <v>179</v>
      </c>
      <c r="BO661" s="18"/>
      <c r="BP661" s="18" t="s">
        <v>138</v>
      </c>
      <c r="BQ661" s="18"/>
      <c r="BR661" s="18"/>
      <c r="BS661" s="15" t="s">
        <v>12669</v>
      </c>
      <c r="BT661" s="15" t="s">
        <v>804</v>
      </c>
      <c r="DH661" s="15" t="s">
        <v>17982</v>
      </c>
      <c r="DI661" s="15" t="s">
        <v>17982</v>
      </c>
    </row>
    <row r="662" spans="1:113" s="15" customFormat="1" ht="12.75" x14ac:dyDescent="0.2">
      <c r="A662" s="15" t="s">
        <v>109</v>
      </c>
      <c r="B662" s="15" t="s">
        <v>110</v>
      </c>
      <c r="D662" s="15" t="s">
        <v>791</v>
      </c>
      <c r="E662" s="15" t="s">
        <v>792</v>
      </c>
      <c r="F662" s="15" t="s">
        <v>791</v>
      </c>
      <c r="G662" s="15" t="s">
        <v>113</v>
      </c>
      <c r="H662" s="15" t="s">
        <v>383</v>
      </c>
      <c r="J662" s="16" t="s">
        <v>114</v>
      </c>
      <c r="U662" s="15" t="s">
        <v>17977</v>
      </c>
      <c r="W662" s="15">
        <v>3296</v>
      </c>
      <c r="X662" s="15">
        <v>672</v>
      </c>
      <c r="Y662" s="15" t="s">
        <v>160</v>
      </c>
      <c r="Z662" s="15" t="s">
        <v>161</v>
      </c>
      <c r="AA662" s="15" t="s">
        <v>162</v>
      </c>
      <c r="AB662" s="15" t="s">
        <v>15923</v>
      </c>
      <c r="AC662" s="15" t="s">
        <v>15923</v>
      </c>
      <c r="AD662" s="15" t="s">
        <v>15923</v>
      </c>
      <c r="AE662" s="15" t="s">
        <v>164</v>
      </c>
      <c r="AF662" s="15" t="s">
        <v>15923</v>
      </c>
      <c r="AG662" s="15" t="s">
        <v>15923</v>
      </c>
      <c r="AH662" s="15" t="s">
        <v>15924</v>
      </c>
      <c r="AL662" s="15" t="s">
        <v>15925</v>
      </c>
      <c r="AN662" s="15">
        <v>743</v>
      </c>
      <c r="AO662" s="15" t="s">
        <v>15926</v>
      </c>
      <c r="AQ662" s="15" t="s">
        <v>388</v>
      </c>
      <c r="AR662" s="35"/>
      <c r="AS662" s="35"/>
      <c r="AT662" s="15" t="s">
        <v>15927</v>
      </c>
      <c r="AU662" s="15" t="s">
        <v>15928</v>
      </c>
      <c r="AV662" s="15" t="s">
        <v>15928</v>
      </c>
      <c r="AW662" s="18" t="s">
        <v>15929</v>
      </c>
      <c r="AX662" s="18" t="s">
        <v>15930</v>
      </c>
      <c r="AY662" s="15">
        <f t="shared" si="12"/>
        <v>50</v>
      </c>
      <c r="AZ662" s="18" t="s">
        <v>393</v>
      </c>
      <c r="BA662" s="18" t="s">
        <v>174</v>
      </c>
      <c r="BB662" s="18" t="s">
        <v>15920</v>
      </c>
      <c r="BC662" s="18"/>
      <c r="BD662" s="18"/>
      <c r="BE662" s="18" t="s">
        <v>367</v>
      </c>
      <c r="BF662" s="18"/>
      <c r="BG662" s="18"/>
      <c r="BH662" s="18"/>
      <c r="BI662" s="18"/>
      <c r="BJ662" s="18" t="s">
        <v>15921</v>
      </c>
      <c r="BK662" s="18"/>
      <c r="BL662" s="18"/>
      <c r="BM662" s="18"/>
      <c r="BN662" s="18" t="s">
        <v>179</v>
      </c>
      <c r="BO662" s="18"/>
      <c r="BP662" s="18" t="s">
        <v>138</v>
      </c>
      <c r="BQ662" s="18"/>
      <c r="BR662" s="18"/>
      <c r="BS662" s="15" t="s">
        <v>15931</v>
      </c>
      <c r="BT662" s="15" t="s">
        <v>804</v>
      </c>
      <c r="DH662" s="15" t="s">
        <v>17982</v>
      </c>
      <c r="DI662" s="15" t="s">
        <v>17982</v>
      </c>
    </row>
    <row r="663" spans="1:113" s="15" customFormat="1" ht="12.75" x14ac:dyDescent="0.2">
      <c r="A663" s="15" t="s">
        <v>109</v>
      </c>
      <c r="B663" s="15" t="s">
        <v>110</v>
      </c>
      <c r="D663" s="15" t="s">
        <v>791</v>
      </c>
      <c r="E663" s="15" t="s">
        <v>792</v>
      </c>
      <c r="F663" s="15" t="s">
        <v>791</v>
      </c>
      <c r="G663" s="15" t="s">
        <v>113</v>
      </c>
      <c r="H663" s="15" t="s">
        <v>383</v>
      </c>
      <c r="J663" s="16" t="s">
        <v>114</v>
      </c>
      <c r="U663" s="15" t="s">
        <v>17977</v>
      </c>
      <c r="W663" s="15">
        <v>3295</v>
      </c>
      <c r="X663" s="15">
        <v>673</v>
      </c>
      <c r="Y663" s="15" t="s">
        <v>160</v>
      </c>
      <c r="Z663" s="15" t="s">
        <v>161</v>
      </c>
      <c r="AA663" s="15" t="s">
        <v>162</v>
      </c>
      <c r="AB663" s="15" t="s">
        <v>15912</v>
      </c>
      <c r="AC663" s="15" t="s">
        <v>15912</v>
      </c>
      <c r="AD663" s="15" t="s">
        <v>15912</v>
      </c>
      <c r="AE663" s="15" t="s">
        <v>164</v>
      </c>
      <c r="AF663" s="15" t="s">
        <v>15912</v>
      </c>
      <c r="AG663" s="15" t="s">
        <v>15912</v>
      </c>
      <c r="AH663" s="15" t="s">
        <v>15913</v>
      </c>
      <c r="AL663" s="15" t="s">
        <v>15914</v>
      </c>
      <c r="AN663" s="15">
        <v>743</v>
      </c>
      <c r="AO663" s="15" t="s">
        <v>15915</v>
      </c>
      <c r="AQ663" s="15" t="s">
        <v>388</v>
      </c>
      <c r="AR663" s="35"/>
      <c r="AS663" s="35"/>
      <c r="AT663" s="15" t="s">
        <v>15916</v>
      </c>
      <c r="AU663" s="15" t="s">
        <v>15917</v>
      </c>
      <c r="AV663" s="15" t="s">
        <v>15917</v>
      </c>
      <c r="AW663" s="18" t="s">
        <v>15918</v>
      </c>
      <c r="AX663" s="18" t="s">
        <v>15919</v>
      </c>
      <c r="AY663" s="15">
        <f t="shared" si="12"/>
        <v>51</v>
      </c>
      <c r="AZ663" s="18" t="s">
        <v>393</v>
      </c>
      <c r="BA663" s="18" t="s">
        <v>174</v>
      </c>
      <c r="BB663" s="18" t="s">
        <v>15920</v>
      </c>
      <c r="BC663" s="18"/>
      <c r="BD663" s="18"/>
      <c r="BE663" s="18" t="s">
        <v>241</v>
      </c>
      <c r="BF663" s="18"/>
      <c r="BG663" s="18"/>
      <c r="BH663" s="18"/>
      <c r="BI663" s="18"/>
      <c r="BJ663" s="18" t="s">
        <v>15921</v>
      </c>
      <c r="BK663" s="18"/>
      <c r="BL663" s="18"/>
      <c r="BM663" s="18"/>
      <c r="BN663" s="18" t="s">
        <v>179</v>
      </c>
      <c r="BO663" s="18"/>
      <c r="BP663" s="18" t="s">
        <v>138</v>
      </c>
      <c r="BQ663" s="18"/>
      <c r="BR663" s="18"/>
      <c r="BS663" s="15" t="s">
        <v>15922</v>
      </c>
      <c r="BT663" s="15" t="s">
        <v>804</v>
      </c>
      <c r="DH663" s="15" t="s">
        <v>17982</v>
      </c>
      <c r="DI663" s="15" t="s">
        <v>17982</v>
      </c>
    </row>
    <row r="664" spans="1:113" s="15" customFormat="1" ht="12.75" x14ac:dyDescent="0.2">
      <c r="A664" s="15" t="s">
        <v>109</v>
      </c>
      <c r="B664" s="15" t="s">
        <v>110</v>
      </c>
      <c r="D664" s="15" t="s">
        <v>791</v>
      </c>
      <c r="E664" s="15" t="s">
        <v>792</v>
      </c>
      <c r="F664" s="15" t="s">
        <v>791</v>
      </c>
      <c r="G664" s="15" t="s">
        <v>113</v>
      </c>
      <c r="H664" s="15" t="s">
        <v>383</v>
      </c>
      <c r="J664" s="16" t="s">
        <v>114</v>
      </c>
      <c r="U664" s="15" t="s">
        <v>17977</v>
      </c>
      <c r="W664" s="15">
        <v>2072</v>
      </c>
      <c r="X664" s="15">
        <v>674</v>
      </c>
      <c r="Y664" s="15" t="s">
        <v>160</v>
      </c>
      <c r="Z664" s="15" t="s">
        <v>161</v>
      </c>
      <c r="AA664" s="15" t="s">
        <v>162</v>
      </c>
      <c r="AB664" s="15" t="s">
        <v>10635</v>
      </c>
      <c r="AC664" s="15" t="s">
        <v>10635</v>
      </c>
      <c r="AD664" s="15" t="s">
        <v>10635</v>
      </c>
      <c r="AE664" s="15" t="s">
        <v>164</v>
      </c>
      <c r="AF664" s="15" t="s">
        <v>10635</v>
      </c>
      <c r="AG664" s="15" t="s">
        <v>10635</v>
      </c>
      <c r="AH664" s="15" t="s">
        <v>10636</v>
      </c>
      <c r="AL664" s="15" t="s">
        <v>10637</v>
      </c>
      <c r="AN664" s="15">
        <v>743</v>
      </c>
      <c r="AO664" s="15" t="s">
        <v>10638</v>
      </c>
      <c r="AQ664" s="15" t="s">
        <v>388</v>
      </c>
      <c r="AR664" s="35"/>
      <c r="AS664" s="35"/>
      <c r="AT664" s="15" t="s">
        <v>10639</v>
      </c>
      <c r="AU664" s="15" t="s">
        <v>10640</v>
      </c>
      <c r="AV664" s="15" t="s">
        <v>10640</v>
      </c>
      <c r="AW664" s="18" t="s">
        <v>10641</v>
      </c>
      <c r="AX664" s="18" t="s">
        <v>10642</v>
      </c>
      <c r="AY664" s="15">
        <f t="shared" si="12"/>
        <v>54</v>
      </c>
      <c r="AZ664" s="18" t="s">
        <v>393</v>
      </c>
      <c r="BA664" s="18" t="s">
        <v>174</v>
      </c>
      <c r="BB664" s="18" t="s">
        <v>10643</v>
      </c>
      <c r="BC664" s="18"/>
      <c r="BD664" s="18"/>
      <c r="BE664" s="18" t="s">
        <v>2591</v>
      </c>
      <c r="BF664" s="18"/>
      <c r="BG664" s="18"/>
      <c r="BH664" s="18"/>
      <c r="BI664" s="18" t="s">
        <v>1905</v>
      </c>
      <c r="BJ664" s="18" t="s">
        <v>10644</v>
      </c>
      <c r="BK664" s="18"/>
      <c r="BL664" s="18"/>
      <c r="BM664" s="18"/>
      <c r="BN664" s="18" t="s">
        <v>179</v>
      </c>
      <c r="BO664" s="18"/>
      <c r="BP664" s="18" t="s">
        <v>138</v>
      </c>
      <c r="BQ664" s="18"/>
      <c r="BR664" s="18"/>
      <c r="BS664" s="15" t="s">
        <v>10645</v>
      </c>
      <c r="BT664" s="15" t="s">
        <v>804</v>
      </c>
      <c r="DH664" s="15" t="s">
        <v>17982</v>
      </c>
      <c r="DI664" s="15" t="s">
        <v>17982</v>
      </c>
    </row>
    <row r="665" spans="1:113" s="15" customFormat="1" ht="12.75" x14ac:dyDescent="0.2">
      <c r="A665" s="15" t="s">
        <v>109</v>
      </c>
      <c r="B665" s="15" t="s">
        <v>110</v>
      </c>
      <c r="D665" s="15" t="s">
        <v>791</v>
      </c>
      <c r="E665" s="15" t="s">
        <v>792</v>
      </c>
      <c r="F665" s="15" t="s">
        <v>791</v>
      </c>
      <c r="G665" s="15" t="s">
        <v>113</v>
      </c>
      <c r="H665" s="15" t="s">
        <v>383</v>
      </c>
      <c r="J665" s="16" t="s">
        <v>114</v>
      </c>
      <c r="U665" s="15" t="s">
        <v>17977</v>
      </c>
      <c r="W665" s="15">
        <v>2073</v>
      </c>
      <c r="X665" s="15">
        <v>675</v>
      </c>
      <c r="Y665" s="15" t="s">
        <v>160</v>
      </c>
      <c r="Z665" s="15" t="s">
        <v>161</v>
      </c>
      <c r="AA665" s="15" t="s">
        <v>162</v>
      </c>
      <c r="AB665" s="15" t="s">
        <v>10646</v>
      </c>
      <c r="AC665" s="15" t="s">
        <v>10646</v>
      </c>
      <c r="AD665" s="15" t="s">
        <v>10646</v>
      </c>
      <c r="AE665" s="15" t="s">
        <v>164</v>
      </c>
      <c r="AF665" s="15" t="s">
        <v>10646</v>
      </c>
      <c r="AG665" s="15" t="s">
        <v>10646</v>
      </c>
      <c r="AH665" s="15" t="s">
        <v>10647</v>
      </c>
      <c r="AL665" s="15" t="s">
        <v>10648</v>
      </c>
      <c r="AN665" s="15">
        <v>743</v>
      </c>
      <c r="AO665" s="15" t="s">
        <v>10649</v>
      </c>
      <c r="AQ665" s="15" t="s">
        <v>388</v>
      </c>
      <c r="AR665" s="35"/>
      <c r="AS665" s="35"/>
      <c r="AT665" s="15" t="s">
        <v>10650</v>
      </c>
      <c r="AU665" s="15" t="s">
        <v>10651</v>
      </c>
      <c r="AV665" s="15" t="s">
        <v>10651</v>
      </c>
      <c r="AW665" s="18" t="s">
        <v>10652</v>
      </c>
      <c r="AX665" s="18" t="s">
        <v>10653</v>
      </c>
      <c r="AY665" s="15">
        <f t="shared" si="12"/>
        <v>60</v>
      </c>
      <c r="AZ665" s="18" t="s">
        <v>393</v>
      </c>
      <c r="BA665" s="18" t="s">
        <v>174</v>
      </c>
      <c r="BB665" s="18" t="s">
        <v>10643</v>
      </c>
      <c r="BC665" s="18"/>
      <c r="BD665" s="18"/>
      <c r="BE665" s="18" t="s">
        <v>10654</v>
      </c>
      <c r="BF665" s="18"/>
      <c r="BG665" s="18"/>
      <c r="BH665" s="18"/>
      <c r="BI665" s="18"/>
      <c r="BJ665" s="18" t="s">
        <v>10655</v>
      </c>
      <c r="BK665" s="18"/>
      <c r="BL665" s="18"/>
      <c r="BM665" s="18"/>
      <c r="BN665" s="18" t="s">
        <v>179</v>
      </c>
      <c r="BO665" s="18"/>
      <c r="BP665" s="18" t="s">
        <v>138</v>
      </c>
      <c r="BQ665" s="18"/>
      <c r="BR665" s="18"/>
      <c r="BS665" s="15" t="s">
        <v>10656</v>
      </c>
      <c r="BT665" s="15" t="s">
        <v>804</v>
      </c>
      <c r="DH665" s="15" t="s">
        <v>17982</v>
      </c>
      <c r="DI665" s="15" t="s">
        <v>17982</v>
      </c>
    </row>
    <row r="666" spans="1:113" s="15" customFormat="1" ht="12.75" x14ac:dyDescent="0.2">
      <c r="A666" s="15" t="s">
        <v>109</v>
      </c>
      <c r="B666" s="15" t="s">
        <v>110</v>
      </c>
      <c r="D666" s="15" t="s">
        <v>791</v>
      </c>
      <c r="E666" s="15" t="s">
        <v>792</v>
      </c>
      <c r="F666" s="15" t="s">
        <v>791</v>
      </c>
      <c r="G666" s="15" t="s">
        <v>113</v>
      </c>
      <c r="H666" s="15" t="s">
        <v>383</v>
      </c>
      <c r="J666" s="16" t="s">
        <v>114</v>
      </c>
      <c r="U666" s="15" t="s">
        <v>17977</v>
      </c>
      <c r="W666" s="15">
        <v>465</v>
      </c>
      <c r="X666" s="15">
        <v>676</v>
      </c>
      <c r="Y666" s="15" t="s">
        <v>160</v>
      </c>
      <c r="Z666" s="15" t="s">
        <v>161</v>
      </c>
      <c r="AA666" s="15" t="s">
        <v>162</v>
      </c>
      <c r="AB666" s="15" t="s">
        <v>1898</v>
      </c>
      <c r="AC666" s="15" t="s">
        <v>1898</v>
      </c>
      <c r="AD666" s="15" t="s">
        <v>1898</v>
      </c>
      <c r="AE666" s="15" t="s">
        <v>164</v>
      </c>
      <c r="AF666" s="15" t="s">
        <v>1898</v>
      </c>
      <c r="AG666" s="15" t="s">
        <v>1898</v>
      </c>
      <c r="AH666" s="15" t="s">
        <v>1899</v>
      </c>
      <c r="AL666" s="15" t="s">
        <v>1900</v>
      </c>
      <c r="AN666" s="15">
        <v>743</v>
      </c>
      <c r="AO666" s="15" t="s">
        <v>1901</v>
      </c>
      <c r="AQ666" s="15" t="s">
        <v>388</v>
      </c>
      <c r="AR666" s="35"/>
      <c r="AS666" s="35"/>
      <c r="AT666" s="15" t="s">
        <v>1902</v>
      </c>
      <c r="AU666" s="15" t="s">
        <v>1903</v>
      </c>
      <c r="AV666" s="15" t="s">
        <v>1903</v>
      </c>
      <c r="AW666" s="18" t="s">
        <v>1904</v>
      </c>
      <c r="AX666" s="18" t="s">
        <v>1904</v>
      </c>
      <c r="AY666" s="15">
        <f t="shared" si="12"/>
        <v>60</v>
      </c>
      <c r="AZ666" s="18" t="s">
        <v>393</v>
      </c>
      <c r="BA666" s="18" t="s">
        <v>174</v>
      </c>
      <c r="BB666" s="18"/>
      <c r="BC666" s="18"/>
      <c r="BD666" s="18"/>
      <c r="BE666" s="18" t="s">
        <v>264</v>
      </c>
      <c r="BF666" s="18"/>
      <c r="BG666" s="18"/>
      <c r="BH666" s="18"/>
      <c r="BI666" s="18" t="s">
        <v>1905</v>
      </c>
      <c r="BJ666" s="18" t="s">
        <v>1906</v>
      </c>
      <c r="BK666" s="18"/>
      <c r="BL666" s="18"/>
      <c r="BM666" s="18"/>
      <c r="BN666" s="18" t="s">
        <v>179</v>
      </c>
      <c r="BO666" s="18"/>
      <c r="BP666" s="18" t="s">
        <v>138</v>
      </c>
      <c r="BQ666" s="18"/>
      <c r="BR666" s="18"/>
      <c r="BS666" s="15" t="s">
        <v>1907</v>
      </c>
      <c r="BT666" s="15" t="s">
        <v>804</v>
      </c>
      <c r="DH666" s="15" t="s">
        <v>17982</v>
      </c>
      <c r="DI666" s="15" t="s">
        <v>17982</v>
      </c>
    </row>
    <row r="667" spans="1:113" s="15" customFormat="1" ht="12.75" x14ac:dyDescent="0.2">
      <c r="A667" s="15" t="s">
        <v>109</v>
      </c>
      <c r="B667" s="15" t="s">
        <v>110</v>
      </c>
      <c r="D667" s="15" t="s">
        <v>791</v>
      </c>
      <c r="E667" s="15" t="s">
        <v>792</v>
      </c>
      <c r="F667" s="15" t="s">
        <v>791</v>
      </c>
      <c r="G667" s="15" t="s">
        <v>113</v>
      </c>
      <c r="H667" s="15" t="s">
        <v>383</v>
      </c>
      <c r="J667" s="16" t="s">
        <v>114</v>
      </c>
      <c r="U667" s="15" t="s">
        <v>17977</v>
      </c>
      <c r="W667" s="15">
        <v>1065</v>
      </c>
      <c r="X667" s="15">
        <v>677</v>
      </c>
      <c r="Y667" s="15" t="s">
        <v>160</v>
      </c>
      <c r="Z667" s="15" t="s">
        <v>161</v>
      </c>
      <c r="AA667" s="15" t="s">
        <v>162</v>
      </c>
      <c r="AB667" s="15" t="s">
        <v>5573</v>
      </c>
      <c r="AC667" s="15" t="s">
        <v>5573</v>
      </c>
      <c r="AD667" s="15" t="s">
        <v>5573</v>
      </c>
      <c r="AE667" s="15" t="s">
        <v>164</v>
      </c>
      <c r="AF667" s="15" t="s">
        <v>5573</v>
      </c>
      <c r="AG667" s="15" t="s">
        <v>5573</v>
      </c>
      <c r="AH667" s="15" t="s">
        <v>5574</v>
      </c>
      <c r="AL667" s="15" t="s">
        <v>5575</v>
      </c>
      <c r="AN667" s="15">
        <v>743</v>
      </c>
      <c r="AO667" s="15" t="s">
        <v>5576</v>
      </c>
      <c r="AQ667" s="15" t="s">
        <v>388</v>
      </c>
      <c r="AR667" s="35"/>
      <c r="AS667" s="35"/>
      <c r="AT667" s="15" t="s">
        <v>5577</v>
      </c>
      <c r="AU667" s="15" t="s">
        <v>5578</v>
      </c>
      <c r="AV667" s="15" t="s">
        <v>5578</v>
      </c>
      <c r="AW667" s="18" t="s">
        <v>5579</v>
      </c>
      <c r="AX667" s="18" t="s">
        <v>5580</v>
      </c>
      <c r="AY667" s="15">
        <f t="shared" si="12"/>
        <v>58</v>
      </c>
      <c r="AZ667" s="18" t="s">
        <v>393</v>
      </c>
      <c r="BA667" s="18" t="s">
        <v>174</v>
      </c>
      <c r="BB667" s="18" t="s">
        <v>5570</v>
      </c>
      <c r="BC667" s="18"/>
      <c r="BD667" s="18"/>
      <c r="BE667" s="18" t="s">
        <v>1926</v>
      </c>
      <c r="BF667" s="18"/>
      <c r="BG667" s="18"/>
      <c r="BH667" s="18"/>
      <c r="BI667" s="18" t="s">
        <v>3142</v>
      </c>
      <c r="BJ667" s="18" t="s">
        <v>5581</v>
      </c>
      <c r="BK667" s="18"/>
      <c r="BL667" s="18"/>
      <c r="BM667" s="18"/>
      <c r="BN667" s="18" t="s">
        <v>179</v>
      </c>
      <c r="BO667" s="18"/>
      <c r="BP667" s="18" t="s">
        <v>138</v>
      </c>
      <c r="BQ667" s="18"/>
      <c r="BR667" s="18"/>
      <c r="BS667" s="15" t="s">
        <v>5582</v>
      </c>
      <c r="BT667" s="15" t="s">
        <v>804</v>
      </c>
      <c r="DH667" s="15" t="s">
        <v>17982</v>
      </c>
      <c r="DI667" s="15" t="s">
        <v>17982</v>
      </c>
    </row>
    <row r="668" spans="1:113" s="15" customFormat="1" ht="12.75" x14ac:dyDescent="0.2">
      <c r="A668" s="15" t="s">
        <v>109</v>
      </c>
      <c r="B668" s="15" t="s">
        <v>110</v>
      </c>
      <c r="D668" s="15" t="s">
        <v>791</v>
      </c>
      <c r="E668" s="15" t="s">
        <v>792</v>
      </c>
      <c r="F668" s="15" t="s">
        <v>791</v>
      </c>
      <c r="G668" s="15" t="s">
        <v>113</v>
      </c>
      <c r="H668" s="15" t="s">
        <v>383</v>
      </c>
      <c r="J668" s="16" t="s">
        <v>114</v>
      </c>
      <c r="U668" s="15" t="s">
        <v>17977</v>
      </c>
      <c r="W668" s="15">
        <v>2331</v>
      </c>
      <c r="X668" s="15">
        <v>678</v>
      </c>
      <c r="Y668" s="15" t="s">
        <v>160</v>
      </c>
      <c r="Z668" s="15" t="s">
        <v>161</v>
      </c>
      <c r="AA668" s="15" t="s">
        <v>162</v>
      </c>
      <c r="AB668" s="15" t="s">
        <v>11650</v>
      </c>
      <c r="AC668" s="15" t="s">
        <v>11650</v>
      </c>
      <c r="AD668" s="15" t="s">
        <v>11650</v>
      </c>
      <c r="AE668" s="15" t="s">
        <v>164</v>
      </c>
      <c r="AF668" s="15" t="s">
        <v>11650</v>
      </c>
      <c r="AG668" s="15" t="s">
        <v>11650</v>
      </c>
      <c r="AH668" s="15" t="s">
        <v>11651</v>
      </c>
      <c r="AL668" s="15" t="s">
        <v>11652</v>
      </c>
      <c r="AN668" s="15">
        <v>743</v>
      </c>
      <c r="AO668" s="15" t="s">
        <v>11653</v>
      </c>
      <c r="AQ668" s="15" t="s">
        <v>388</v>
      </c>
      <c r="AR668" s="35"/>
      <c r="AS668" s="35"/>
      <c r="AT668" s="15" t="s">
        <v>11654</v>
      </c>
      <c r="AU668" s="15" t="s">
        <v>11655</v>
      </c>
      <c r="AV668" s="15" t="s">
        <v>11655</v>
      </c>
      <c r="AW668" s="18" t="s">
        <v>11656</v>
      </c>
      <c r="AX668" s="18" t="s">
        <v>11657</v>
      </c>
      <c r="AY668" s="15">
        <f t="shared" si="12"/>
        <v>49</v>
      </c>
      <c r="AZ668" s="18" t="s">
        <v>393</v>
      </c>
      <c r="BA668" s="18" t="s">
        <v>174</v>
      </c>
      <c r="BB668" s="18" t="s">
        <v>11658</v>
      </c>
      <c r="BC668" s="18"/>
      <c r="BD668" s="18"/>
      <c r="BE668" s="18" t="s">
        <v>1123</v>
      </c>
      <c r="BF668" s="18"/>
      <c r="BG668" s="18"/>
      <c r="BH668" s="18"/>
      <c r="BI668" s="18"/>
      <c r="BJ668" s="18" t="s">
        <v>11659</v>
      </c>
      <c r="BK668" s="18"/>
      <c r="BL668" s="18"/>
      <c r="BM668" s="18"/>
      <c r="BN668" s="18" t="s">
        <v>179</v>
      </c>
      <c r="BO668" s="18"/>
      <c r="BP668" s="18" t="s">
        <v>138</v>
      </c>
      <c r="BQ668" s="18"/>
      <c r="BR668" s="18"/>
      <c r="BS668" s="15" t="s">
        <v>11660</v>
      </c>
      <c r="BT668" s="15" t="s">
        <v>804</v>
      </c>
      <c r="DH668" s="15" t="s">
        <v>17982</v>
      </c>
      <c r="DI668" s="15" t="s">
        <v>17982</v>
      </c>
    </row>
    <row r="669" spans="1:113" s="15" customFormat="1" ht="12.75" x14ac:dyDescent="0.2">
      <c r="A669" s="15" t="s">
        <v>109</v>
      </c>
      <c r="B669" s="15" t="s">
        <v>110</v>
      </c>
      <c r="D669" s="15" t="s">
        <v>791</v>
      </c>
      <c r="E669" s="15" t="s">
        <v>792</v>
      </c>
      <c r="F669" s="15" t="s">
        <v>791</v>
      </c>
      <c r="G669" s="15" t="s">
        <v>113</v>
      </c>
      <c r="H669" s="15" t="s">
        <v>383</v>
      </c>
      <c r="J669" s="16" t="s">
        <v>114</v>
      </c>
      <c r="U669" s="15" t="s">
        <v>17977</v>
      </c>
      <c r="W669" s="15">
        <v>3128</v>
      </c>
      <c r="X669" s="15">
        <v>679</v>
      </c>
      <c r="Y669" s="15" t="s">
        <v>160</v>
      </c>
      <c r="Z669" s="15" t="s">
        <v>161</v>
      </c>
      <c r="AA669" s="15" t="s">
        <v>162</v>
      </c>
      <c r="AB669" s="15" t="s">
        <v>15079</v>
      </c>
      <c r="AC669" s="15" t="s">
        <v>15079</v>
      </c>
      <c r="AD669" s="15" t="s">
        <v>15080</v>
      </c>
      <c r="AE669" s="15" t="s">
        <v>164</v>
      </c>
      <c r="AF669" s="15" t="s">
        <v>15080</v>
      </c>
      <c r="AG669" s="15" t="s">
        <v>15079</v>
      </c>
      <c r="AH669" s="15" t="s">
        <v>15081</v>
      </c>
      <c r="AL669" s="15" t="s">
        <v>15082</v>
      </c>
      <c r="AN669" s="15">
        <v>743</v>
      </c>
      <c r="AO669" s="15" t="s">
        <v>15083</v>
      </c>
      <c r="AQ669" s="15" t="s">
        <v>388</v>
      </c>
      <c r="AR669" s="35"/>
      <c r="AS669" s="35"/>
      <c r="AT669" s="15" t="s">
        <v>15084</v>
      </c>
      <c r="AU669" s="15" t="s">
        <v>15085</v>
      </c>
      <c r="AV669" s="15" t="s">
        <v>15085</v>
      </c>
      <c r="AW669" s="18" t="s">
        <v>15086</v>
      </c>
      <c r="AX669" s="18" t="s">
        <v>15087</v>
      </c>
      <c r="AY669" s="15">
        <f t="shared" si="12"/>
        <v>58</v>
      </c>
      <c r="AZ669" s="18" t="s">
        <v>393</v>
      </c>
      <c r="BA669" s="18" t="s">
        <v>174</v>
      </c>
      <c r="BB669" s="18" t="s">
        <v>15088</v>
      </c>
      <c r="BC669" s="18"/>
      <c r="BD669" s="18"/>
      <c r="BE669" s="18" t="s">
        <v>1123</v>
      </c>
      <c r="BF669" s="18"/>
      <c r="BG669" s="18"/>
      <c r="BH669" s="18"/>
      <c r="BI669" s="18"/>
      <c r="BJ669" s="18" t="s">
        <v>15089</v>
      </c>
      <c r="BK669" s="18"/>
      <c r="BL669" s="18"/>
      <c r="BM669" s="18"/>
      <c r="BN669" s="18" t="s">
        <v>179</v>
      </c>
      <c r="BO669" s="18"/>
      <c r="BP669" s="18" t="s">
        <v>138</v>
      </c>
      <c r="BQ669" s="18"/>
      <c r="BR669" s="18"/>
      <c r="BS669" s="15" t="s">
        <v>15090</v>
      </c>
      <c r="BT669" s="15" t="s">
        <v>804</v>
      </c>
      <c r="DH669" s="15" t="s">
        <v>17982</v>
      </c>
      <c r="DI669" s="15" t="s">
        <v>17982</v>
      </c>
    </row>
    <row r="670" spans="1:113" s="15" customFormat="1" ht="12.75" x14ac:dyDescent="0.2">
      <c r="A670" s="15" t="s">
        <v>109</v>
      </c>
      <c r="B670" s="15" t="s">
        <v>110</v>
      </c>
      <c r="D670" s="15" t="s">
        <v>791</v>
      </c>
      <c r="E670" s="15" t="s">
        <v>792</v>
      </c>
      <c r="F670" s="15" t="s">
        <v>791</v>
      </c>
      <c r="G670" s="15" t="s">
        <v>113</v>
      </c>
      <c r="H670" s="15" t="s">
        <v>383</v>
      </c>
      <c r="J670" s="16" t="s">
        <v>114</v>
      </c>
      <c r="U670" s="15" t="s">
        <v>17977</v>
      </c>
      <c r="W670" s="15">
        <v>730</v>
      </c>
      <c r="X670" s="15">
        <v>680</v>
      </c>
      <c r="Y670" s="15" t="s">
        <v>160</v>
      </c>
      <c r="Z670" s="15" t="s">
        <v>161</v>
      </c>
      <c r="AA670" s="15" t="s">
        <v>162</v>
      </c>
      <c r="AB670" s="15" t="s">
        <v>3002</v>
      </c>
      <c r="AC670" s="15" t="s">
        <v>3002</v>
      </c>
      <c r="AD670" s="15" t="s">
        <v>3002</v>
      </c>
      <c r="AE670" s="15" t="s">
        <v>164</v>
      </c>
      <c r="AF670" s="15" t="s">
        <v>3002</v>
      </c>
      <c r="AG670" s="15" t="s">
        <v>3002</v>
      </c>
      <c r="AH670" s="15" t="s">
        <v>3003</v>
      </c>
      <c r="AL670" s="15" t="s">
        <v>3004</v>
      </c>
      <c r="AN670" s="15">
        <v>743</v>
      </c>
      <c r="AO670" s="15" t="s">
        <v>3005</v>
      </c>
      <c r="AQ670" s="15" t="s">
        <v>388</v>
      </c>
      <c r="AR670" s="35"/>
      <c r="AS670" s="35"/>
      <c r="AT670" s="15" t="s">
        <v>3006</v>
      </c>
      <c r="AU670" s="15" t="s">
        <v>3007</v>
      </c>
      <c r="AV670" s="15" t="s">
        <v>3007</v>
      </c>
      <c r="AW670" s="18" t="s">
        <v>3008</v>
      </c>
      <c r="AX670" s="18" t="s">
        <v>3009</v>
      </c>
      <c r="AY670" s="15">
        <f t="shared" si="12"/>
        <v>59</v>
      </c>
      <c r="AZ670" s="18" t="s">
        <v>393</v>
      </c>
      <c r="BA670" s="18" t="s">
        <v>174</v>
      </c>
      <c r="BB670" s="18" t="s">
        <v>2370</v>
      </c>
      <c r="BC670" s="18" t="s">
        <v>3010</v>
      </c>
      <c r="BD670" s="18"/>
      <c r="BE670" s="18" t="s">
        <v>2612</v>
      </c>
      <c r="BF670" s="18"/>
      <c r="BG670" s="18"/>
      <c r="BH670" s="18"/>
      <c r="BI670" s="18"/>
      <c r="BJ670" s="18" t="s">
        <v>3011</v>
      </c>
      <c r="BK670" s="18"/>
      <c r="BL670" s="18"/>
      <c r="BM670" s="18"/>
      <c r="BN670" s="18" t="s">
        <v>179</v>
      </c>
      <c r="BO670" s="18"/>
      <c r="BP670" s="18" t="s">
        <v>138</v>
      </c>
      <c r="BQ670" s="18"/>
      <c r="BR670" s="18"/>
      <c r="BS670" s="15" t="s">
        <v>3012</v>
      </c>
      <c r="BT670" s="15" t="s">
        <v>804</v>
      </c>
      <c r="DH670" s="15" t="s">
        <v>17982</v>
      </c>
      <c r="DI670" s="15" t="s">
        <v>17982</v>
      </c>
    </row>
    <row r="671" spans="1:113" s="15" customFormat="1" ht="12.75" x14ac:dyDescent="0.2">
      <c r="A671" s="15" t="s">
        <v>109</v>
      </c>
      <c r="B671" s="15" t="s">
        <v>110</v>
      </c>
      <c r="D671" s="15" t="s">
        <v>791</v>
      </c>
      <c r="E671" s="15" t="s">
        <v>792</v>
      </c>
      <c r="F671" s="15" t="s">
        <v>791</v>
      </c>
      <c r="G671" s="15" t="s">
        <v>113</v>
      </c>
      <c r="H671" s="15" t="s">
        <v>383</v>
      </c>
      <c r="J671" s="16" t="s">
        <v>114</v>
      </c>
      <c r="U671" s="15" t="s">
        <v>17977</v>
      </c>
      <c r="W671" s="15">
        <v>2607</v>
      </c>
      <c r="X671" s="15">
        <v>681</v>
      </c>
      <c r="Y671" s="15" t="s">
        <v>160</v>
      </c>
      <c r="Z671" s="15" t="s">
        <v>161</v>
      </c>
      <c r="AA671" s="15" t="s">
        <v>162</v>
      </c>
      <c r="AB671" s="15" t="s">
        <v>12690</v>
      </c>
      <c r="AC671" s="15" t="s">
        <v>12690</v>
      </c>
      <c r="AD671" s="15" t="s">
        <v>12690</v>
      </c>
      <c r="AE671" s="15" t="s">
        <v>164</v>
      </c>
      <c r="AF671" s="15" t="s">
        <v>12690</v>
      </c>
      <c r="AG671" s="15" t="s">
        <v>12690</v>
      </c>
      <c r="AH671" s="47" t="s">
        <v>12691</v>
      </c>
      <c r="AL671" s="15" t="s">
        <v>12692</v>
      </c>
      <c r="AN671" s="15">
        <v>743</v>
      </c>
      <c r="AO671" s="15" t="s">
        <v>12693</v>
      </c>
      <c r="AQ671" s="15" t="s">
        <v>388</v>
      </c>
      <c r="AR671" s="35"/>
      <c r="AS671" s="35"/>
      <c r="AT671" s="15" t="s">
        <v>12694</v>
      </c>
      <c r="AU671" s="15" t="s">
        <v>12695</v>
      </c>
      <c r="AV671" s="15" t="s">
        <v>12695</v>
      </c>
      <c r="AW671" s="18" t="s">
        <v>12696</v>
      </c>
      <c r="AX671" s="18" t="s">
        <v>12697</v>
      </c>
      <c r="AY671" s="15">
        <f t="shared" si="12"/>
        <v>51</v>
      </c>
      <c r="AZ671" s="18" t="s">
        <v>393</v>
      </c>
      <c r="BA671" s="18" t="s">
        <v>174</v>
      </c>
      <c r="BB671" s="18" t="s">
        <v>12667</v>
      </c>
      <c r="BC671" s="18" t="s">
        <v>6348</v>
      </c>
      <c r="BD671" s="18"/>
      <c r="BE671" s="18" t="s">
        <v>1123</v>
      </c>
      <c r="BF671" s="26" t="s">
        <v>2428</v>
      </c>
      <c r="BG671" s="18"/>
      <c r="BH671" s="18"/>
      <c r="BI671" s="18"/>
      <c r="BJ671" s="18" t="s">
        <v>12698</v>
      </c>
      <c r="BK671" s="18"/>
      <c r="BL671" s="18"/>
      <c r="BM671" s="18"/>
      <c r="BN671" s="18" t="s">
        <v>179</v>
      </c>
      <c r="BO671" s="18"/>
      <c r="BP671" s="18" t="s">
        <v>138</v>
      </c>
      <c r="BQ671" s="18"/>
      <c r="BR671" s="18"/>
      <c r="BS671" s="15" t="s">
        <v>12699</v>
      </c>
      <c r="BT671" s="15" t="s">
        <v>804</v>
      </c>
      <c r="DH671" s="15" t="s">
        <v>17982</v>
      </c>
      <c r="DI671" s="15" t="s">
        <v>17982</v>
      </c>
    </row>
    <row r="672" spans="1:113" s="15" customFormat="1" ht="12.75" x14ac:dyDescent="0.2">
      <c r="A672" s="15" t="s">
        <v>109</v>
      </c>
      <c r="B672" s="15" t="s">
        <v>110</v>
      </c>
      <c r="D672" s="15" t="s">
        <v>791</v>
      </c>
      <c r="E672" s="15" t="s">
        <v>792</v>
      </c>
      <c r="F672" s="15" t="s">
        <v>791</v>
      </c>
      <c r="G672" s="15" t="s">
        <v>113</v>
      </c>
      <c r="H672" s="15" t="s">
        <v>383</v>
      </c>
      <c r="J672" s="16" t="s">
        <v>114</v>
      </c>
      <c r="U672" s="15" t="s">
        <v>17977</v>
      </c>
      <c r="W672" s="15">
        <v>2303</v>
      </c>
      <c r="X672" s="15">
        <v>682</v>
      </c>
      <c r="Y672" s="15" t="s">
        <v>160</v>
      </c>
      <c r="Z672" s="15" t="s">
        <v>161</v>
      </c>
      <c r="AA672" s="15" t="s">
        <v>162</v>
      </c>
      <c r="AB672" s="15" t="s">
        <v>11459</v>
      </c>
      <c r="AC672" s="15" t="s">
        <v>11459</v>
      </c>
      <c r="AD672" s="15" t="s">
        <v>11459</v>
      </c>
      <c r="AE672" s="15" t="s">
        <v>164</v>
      </c>
      <c r="AF672" s="15" t="s">
        <v>11459</v>
      </c>
      <c r="AG672" s="15" t="s">
        <v>11459</v>
      </c>
      <c r="AH672" s="15" t="s">
        <v>11460</v>
      </c>
      <c r="AL672" s="15" t="s">
        <v>11461</v>
      </c>
      <c r="AN672" s="15">
        <v>743</v>
      </c>
      <c r="AO672" s="15" t="s">
        <v>11462</v>
      </c>
      <c r="AQ672" s="15" t="s">
        <v>388</v>
      </c>
      <c r="AR672" s="35"/>
      <c r="AS672" s="35"/>
      <c r="AT672" s="15" t="s">
        <v>11463</v>
      </c>
      <c r="AU672" s="15" t="s">
        <v>11464</v>
      </c>
      <c r="AV672" s="15" t="s">
        <v>11464</v>
      </c>
      <c r="AW672" s="18" t="s">
        <v>11465</v>
      </c>
      <c r="AX672" s="18" t="s">
        <v>11466</v>
      </c>
      <c r="AY672" s="15">
        <f t="shared" si="12"/>
        <v>56</v>
      </c>
      <c r="AZ672" s="18" t="s">
        <v>393</v>
      </c>
      <c r="BA672" s="18" t="s">
        <v>174</v>
      </c>
      <c r="BB672" s="18" t="s">
        <v>11467</v>
      </c>
      <c r="BC672" s="18" t="s">
        <v>5757</v>
      </c>
      <c r="BD672" s="18"/>
      <c r="BE672" s="18" t="s">
        <v>367</v>
      </c>
      <c r="BF672" s="18" t="s">
        <v>863</v>
      </c>
      <c r="BG672" s="18"/>
      <c r="BH672" s="18"/>
      <c r="BI672" s="18"/>
      <c r="BJ672" s="18" t="s">
        <v>11468</v>
      </c>
      <c r="BK672" s="18"/>
      <c r="BL672" s="18"/>
      <c r="BM672" s="18"/>
      <c r="BN672" s="18" t="s">
        <v>179</v>
      </c>
      <c r="BO672" s="18"/>
      <c r="BP672" s="18" t="s">
        <v>138</v>
      </c>
      <c r="BQ672" s="18"/>
      <c r="BR672" s="18"/>
      <c r="BS672" s="15" t="s">
        <v>11469</v>
      </c>
      <c r="BT672" s="15" t="s">
        <v>804</v>
      </c>
      <c r="DH672" s="15" t="s">
        <v>17982</v>
      </c>
      <c r="DI672" s="15" t="s">
        <v>17982</v>
      </c>
    </row>
    <row r="673" spans="1:113" s="15" customFormat="1" ht="12.75" x14ac:dyDescent="0.2">
      <c r="A673" s="15" t="s">
        <v>109</v>
      </c>
      <c r="B673" s="15" t="s">
        <v>110</v>
      </c>
      <c r="D673" s="15" t="s">
        <v>791</v>
      </c>
      <c r="E673" s="15" t="s">
        <v>792</v>
      </c>
      <c r="F673" s="15" t="s">
        <v>791</v>
      </c>
      <c r="G673" s="15" t="s">
        <v>113</v>
      </c>
      <c r="H673" s="15" t="s">
        <v>383</v>
      </c>
      <c r="J673" s="16" t="s">
        <v>114</v>
      </c>
      <c r="U673" s="15" t="s">
        <v>17977</v>
      </c>
      <c r="W673" s="15">
        <v>3659</v>
      </c>
      <c r="X673" s="15">
        <v>683</v>
      </c>
      <c r="Y673" s="15" t="s">
        <v>160</v>
      </c>
      <c r="Z673" s="15" t="s">
        <v>161</v>
      </c>
      <c r="AA673" s="15" t="s">
        <v>162</v>
      </c>
      <c r="AB673" s="15" t="s">
        <v>17716</v>
      </c>
      <c r="AC673" s="15" t="s">
        <v>17716</v>
      </c>
      <c r="AD673" s="15" t="s">
        <v>17716</v>
      </c>
      <c r="AE673" s="15" t="s">
        <v>164</v>
      </c>
      <c r="AF673" s="15" t="s">
        <v>17716</v>
      </c>
      <c r="AG673" s="15" t="s">
        <v>17716</v>
      </c>
      <c r="AH673" s="15" t="s">
        <v>17717</v>
      </c>
      <c r="AL673" s="15" t="s">
        <v>17718</v>
      </c>
      <c r="AN673" s="15">
        <v>743</v>
      </c>
      <c r="AO673" s="15" t="s">
        <v>17719</v>
      </c>
      <c r="AQ673" s="15" t="s">
        <v>388</v>
      </c>
      <c r="AR673" s="35"/>
      <c r="AS673" s="35"/>
      <c r="AT673" s="15" t="s">
        <v>17720</v>
      </c>
      <c r="AU673" s="15" t="s">
        <v>17721</v>
      </c>
      <c r="AV673" s="15" t="s">
        <v>17721</v>
      </c>
      <c r="AW673" s="18" t="s">
        <v>17722</v>
      </c>
      <c r="AX673" s="18" t="s">
        <v>17723</v>
      </c>
      <c r="AY673" s="15">
        <f t="shared" si="12"/>
        <v>57</v>
      </c>
      <c r="AZ673" s="18" t="s">
        <v>393</v>
      </c>
      <c r="BA673" s="18" t="s">
        <v>174</v>
      </c>
      <c r="BB673" s="18" t="s">
        <v>17704</v>
      </c>
      <c r="BC673" s="18" t="s">
        <v>5757</v>
      </c>
      <c r="BD673" s="18"/>
      <c r="BE673" s="18" t="s">
        <v>367</v>
      </c>
      <c r="BF673" s="18" t="s">
        <v>1767</v>
      </c>
      <c r="BG673" s="18"/>
      <c r="BH673" s="18"/>
      <c r="BI673" s="18"/>
      <c r="BJ673" s="18" t="s">
        <v>17724</v>
      </c>
      <c r="BK673" s="18"/>
      <c r="BL673" s="18"/>
      <c r="BM673" s="18"/>
      <c r="BN673" s="18" t="s">
        <v>179</v>
      </c>
      <c r="BO673" s="18"/>
      <c r="BP673" s="18" t="s">
        <v>138</v>
      </c>
      <c r="BQ673" s="18"/>
      <c r="BR673" s="18"/>
      <c r="BS673" s="15" t="s">
        <v>17725</v>
      </c>
      <c r="BT673" s="15" t="s">
        <v>804</v>
      </c>
      <c r="DH673" s="15" t="s">
        <v>17982</v>
      </c>
      <c r="DI673" s="15" t="s">
        <v>17982</v>
      </c>
    </row>
    <row r="674" spans="1:113" s="15" customFormat="1" ht="12.75" x14ac:dyDescent="0.2">
      <c r="A674" s="15" t="s">
        <v>109</v>
      </c>
      <c r="B674" s="15" t="s">
        <v>110</v>
      </c>
      <c r="D674" s="15" t="s">
        <v>791</v>
      </c>
      <c r="E674" s="15" t="s">
        <v>792</v>
      </c>
      <c r="F674" s="15" t="s">
        <v>791</v>
      </c>
      <c r="G674" s="15" t="s">
        <v>113</v>
      </c>
      <c r="H674" s="15" t="s">
        <v>383</v>
      </c>
      <c r="J674" s="16" t="s">
        <v>114</v>
      </c>
      <c r="U674" s="15" t="s">
        <v>17977</v>
      </c>
      <c r="W674" s="15">
        <v>1093</v>
      </c>
      <c r="X674" s="15">
        <v>684</v>
      </c>
      <c r="Y674" s="15" t="s">
        <v>160</v>
      </c>
      <c r="Z674" s="15" t="s">
        <v>161</v>
      </c>
      <c r="AA674" s="15" t="s">
        <v>162</v>
      </c>
      <c r="AB674" s="15" t="s">
        <v>5701</v>
      </c>
      <c r="AC674" s="15" t="s">
        <v>5701</v>
      </c>
      <c r="AD674" s="15" t="s">
        <v>5702</v>
      </c>
      <c r="AE674" s="15" t="s">
        <v>164</v>
      </c>
      <c r="AF674" s="15" t="s">
        <v>5702</v>
      </c>
      <c r="AG674" s="15" t="s">
        <v>5701</v>
      </c>
      <c r="AH674" s="15" t="s">
        <v>5703</v>
      </c>
      <c r="AL674" s="15" t="s">
        <v>5704</v>
      </c>
      <c r="AN674" s="15">
        <v>743</v>
      </c>
      <c r="AO674" s="15" t="s">
        <v>5705</v>
      </c>
      <c r="AQ674" s="15" t="s">
        <v>388</v>
      </c>
      <c r="AR674" s="35"/>
      <c r="AS674" s="35"/>
      <c r="AT674" s="15" t="s">
        <v>5706</v>
      </c>
      <c r="AU674" s="15" t="s">
        <v>5707</v>
      </c>
      <c r="AV674" s="15" t="s">
        <v>5707</v>
      </c>
      <c r="AW674" s="18" t="s">
        <v>5708</v>
      </c>
      <c r="AX674" s="18" t="s">
        <v>5708</v>
      </c>
      <c r="AY674" s="15">
        <f t="shared" si="12"/>
        <v>57</v>
      </c>
      <c r="AZ674" s="18" t="s">
        <v>393</v>
      </c>
      <c r="BA674" s="18" t="s">
        <v>174</v>
      </c>
      <c r="BB674" s="18" t="s">
        <v>5709</v>
      </c>
      <c r="BC674" s="18" t="s">
        <v>4229</v>
      </c>
      <c r="BD674" s="18"/>
      <c r="BE674" s="18" t="s">
        <v>1123</v>
      </c>
      <c r="BF674" s="18"/>
      <c r="BG674" s="18"/>
      <c r="BH674" s="18"/>
      <c r="BI674" s="18" t="s">
        <v>670</v>
      </c>
      <c r="BJ674" s="18" t="s">
        <v>5710</v>
      </c>
      <c r="BK674" s="18"/>
      <c r="BL674" s="18"/>
      <c r="BM674" s="18"/>
      <c r="BN674" s="18" t="s">
        <v>179</v>
      </c>
      <c r="BO674" s="18"/>
      <c r="BP674" s="18" t="s">
        <v>138</v>
      </c>
      <c r="BQ674" s="18"/>
      <c r="BR674" s="18"/>
      <c r="BS674" s="15" t="s">
        <v>5711</v>
      </c>
      <c r="BT674" s="15" t="s">
        <v>804</v>
      </c>
      <c r="DH674" s="15" t="s">
        <v>17982</v>
      </c>
      <c r="DI674" s="15" t="s">
        <v>17982</v>
      </c>
    </row>
    <row r="675" spans="1:113" s="15" customFormat="1" ht="12.75" x14ac:dyDescent="0.2">
      <c r="A675" s="15" t="s">
        <v>109</v>
      </c>
      <c r="B675" s="15" t="s">
        <v>110</v>
      </c>
      <c r="D675" s="15" t="s">
        <v>791</v>
      </c>
      <c r="E675" s="15" t="s">
        <v>792</v>
      </c>
      <c r="F675" s="15" t="s">
        <v>791</v>
      </c>
      <c r="G675" s="15" t="s">
        <v>113</v>
      </c>
      <c r="H675" s="15" t="s">
        <v>383</v>
      </c>
      <c r="J675" s="16" t="s">
        <v>114</v>
      </c>
      <c r="U675" s="15" t="s">
        <v>17977</v>
      </c>
      <c r="W675" s="15">
        <v>1094</v>
      </c>
      <c r="X675" s="15">
        <v>685</v>
      </c>
      <c r="Y675" s="15" t="s">
        <v>160</v>
      </c>
      <c r="Z675" s="15" t="s">
        <v>161</v>
      </c>
      <c r="AA675" s="15" t="s">
        <v>162</v>
      </c>
      <c r="AB675" s="15" t="s">
        <v>5712</v>
      </c>
      <c r="AC675" s="15" t="s">
        <v>5712</v>
      </c>
      <c r="AD675" s="15" t="s">
        <v>5713</v>
      </c>
      <c r="AE675" s="15" t="s">
        <v>164</v>
      </c>
      <c r="AF675" s="15" t="s">
        <v>5713</v>
      </c>
      <c r="AG675" s="15" t="s">
        <v>5712</v>
      </c>
      <c r="AH675" s="15" t="s">
        <v>5714</v>
      </c>
      <c r="AL675" s="15" t="s">
        <v>5715</v>
      </c>
      <c r="AN675" s="15">
        <v>743</v>
      </c>
      <c r="AO675" s="15" t="s">
        <v>5716</v>
      </c>
      <c r="AQ675" s="15" t="s">
        <v>388</v>
      </c>
      <c r="AT675" s="15" t="s">
        <v>5717</v>
      </c>
      <c r="AU675" s="15" t="s">
        <v>5718</v>
      </c>
      <c r="AV675" s="15" t="s">
        <v>5718</v>
      </c>
      <c r="AW675" s="18" t="s">
        <v>5719</v>
      </c>
      <c r="AX675" s="18" t="s">
        <v>5719</v>
      </c>
      <c r="AY675" s="15">
        <f t="shared" si="12"/>
        <v>57</v>
      </c>
      <c r="AZ675" s="18" t="s">
        <v>393</v>
      </c>
      <c r="BA675" s="18" t="s">
        <v>174</v>
      </c>
      <c r="BB675" s="18" t="s">
        <v>5709</v>
      </c>
      <c r="BC675" s="18" t="s">
        <v>801</v>
      </c>
      <c r="BD675" s="18"/>
      <c r="BE675" s="18" t="s">
        <v>1123</v>
      </c>
      <c r="BF675" s="18"/>
      <c r="BG675" s="18"/>
      <c r="BH675" s="18"/>
      <c r="BI675" s="18" t="s">
        <v>670</v>
      </c>
      <c r="BJ675" s="18" t="s">
        <v>5710</v>
      </c>
      <c r="BK675" s="18"/>
      <c r="BL675" s="18"/>
      <c r="BM675" s="18"/>
      <c r="BN675" s="18" t="s">
        <v>179</v>
      </c>
      <c r="BO675" s="18"/>
      <c r="BP675" s="18" t="s">
        <v>138</v>
      </c>
      <c r="BQ675" s="18"/>
      <c r="BR675" s="18"/>
      <c r="BS675" s="15" t="s">
        <v>5720</v>
      </c>
      <c r="BT675" s="15" t="s">
        <v>804</v>
      </c>
      <c r="DH675" s="15" t="s">
        <v>17982</v>
      </c>
      <c r="DI675" s="15" t="s">
        <v>17982</v>
      </c>
    </row>
    <row r="676" spans="1:113" s="15" customFormat="1" ht="12.75" x14ac:dyDescent="0.2">
      <c r="A676" s="15" t="s">
        <v>109</v>
      </c>
      <c r="B676" s="15" t="s">
        <v>110</v>
      </c>
      <c r="D676" s="15" t="s">
        <v>791</v>
      </c>
      <c r="E676" s="15" t="s">
        <v>792</v>
      </c>
      <c r="F676" s="15" t="s">
        <v>791</v>
      </c>
      <c r="G676" s="15" t="s">
        <v>113</v>
      </c>
      <c r="H676" s="15" t="s">
        <v>383</v>
      </c>
      <c r="J676" s="16" t="s">
        <v>114</v>
      </c>
      <c r="U676" s="15" t="s">
        <v>17977</v>
      </c>
      <c r="W676" s="15">
        <v>1099</v>
      </c>
      <c r="X676" s="15">
        <v>686</v>
      </c>
      <c r="Y676" s="15" t="s">
        <v>160</v>
      </c>
      <c r="Z676" s="15" t="s">
        <v>161</v>
      </c>
      <c r="AA676" s="15" t="s">
        <v>162</v>
      </c>
      <c r="AB676" s="15" t="s">
        <v>5761</v>
      </c>
      <c r="AC676" s="15" t="s">
        <v>5761</v>
      </c>
      <c r="AD676" s="15" t="s">
        <v>5761</v>
      </c>
      <c r="AE676" s="15" t="s">
        <v>164</v>
      </c>
      <c r="AF676" s="15" t="s">
        <v>5761</v>
      </c>
      <c r="AG676" s="15" t="s">
        <v>5761</v>
      </c>
      <c r="AH676" s="15" t="s">
        <v>5762</v>
      </c>
      <c r="AL676" s="15" t="s">
        <v>5763</v>
      </c>
      <c r="AN676" s="15">
        <v>743</v>
      </c>
      <c r="AO676" s="15" t="s">
        <v>5764</v>
      </c>
      <c r="AQ676" s="15" t="s">
        <v>388</v>
      </c>
      <c r="AT676" s="15" t="s">
        <v>5765</v>
      </c>
      <c r="AU676" s="15" t="s">
        <v>5766</v>
      </c>
      <c r="AV676" s="15" t="s">
        <v>5766</v>
      </c>
      <c r="AW676" s="18" t="s">
        <v>5767</v>
      </c>
      <c r="AX676" s="18" t="s">
        <v>5768</v>
      </c>
      <c r="AY676" s="15">
        <f t="shared" si="12"/>
        <v>56</v>
      </c>
      <c r="AZ676" s="18" t="s">
        <v>393</v>
      </c>
      <c r="BA676" s="18" t="s">
        <v>174</v>
      </c>
      <c r="BB676" s="18" t="s">
        <v>5709</v>
      </c>
      <c r="BC676" s="18" t="s">
        <v>2040</v>
      </c>
      <c r="BD676" s="18"/>
      <c r="BE676" s="18" t="s">
        <v>367</v>
      </c>
      <c r="BF676" s="26" t="s">
        <v>5769</v>
      </c>
      <c r="BG676" s="18"/>
      <c r="BH676" s="18"/>
      <c r="BI676" s="18" t="s">
        <v>5770</v>
      </c>
      <c r="BJ676" s="18" t="s">
        <v>219</v>
      </c>
      <c r="BK676" s="18"/>
      <c r="BL676" s="18"/>
      <c r="BM676" s="18"/>
      <c r="BN676" s="18" t="s">
        <v>179</v>
      </c>
      <c r="BO676" s="18"/>
      <c r="BP676" s="18" t="s">
        <v>138</v>
      </c>
      <c r="BQ676" s="18"/>
      <c r="BR676" s="18"/>
      <c r="BS676" s="15" t="s">
        <v>5771</v>
      </c>
      <c r="BT676" s="15" t="s">
        <v>804</v>
      </c>
      <c r="DH676" s="15" t="s">
        <v>17982</v>
      </c>
      <c r="DI676" s="15" t="s">
        <v>17982</v>
      </c>
    </row>
    <row r="677" spans="1:113" s="15" customFormat="1" ht="12.75" x14ac:dyDescent="0.2">
      <c r="A677" s="15" t="s">
        <v>109</v>
      </c>
      <c r="B677" s="15" t="s">
        <v>110</v>
      </c>
      <c r="D677" s="15" t="s">
        <v>791</v>
      </c>
      <c r="E677" s="15" t="s">
        <v>792</v>
      </c>
      <c r="F677" s="15" t="s">
        <v>791</v>
      </c>
      <c r="G677" s="15" t="s">
        <v>113</v>
      </c>
      <c r="H677" s="15" t="s">
        <v>383</v>
      </c>
      <c r="J677" s="16" t="s">
        <v>114</v>
      </c>
      <c r="U677" s="15" t="s">
        <v>17977</v>
      </c>
      <c r="W677" s="15">
        <v>1095</v>
      </c>
      <c r="X677" s="15">
        <v>687</v>
      </c>
      <c r="Y677" s="15" t="s">
        <v>160</v>
      </c>
      <c r="Z677" s="15" t="s">
        <v>161</v>
      </c>
      <c r="AA677" s="15" t="s">
        <v>162</v>
      </c>
      <c r="AB677" s="15" t="s">
        <v>5721</v>
      </c>
      <c r="AC677" s="15" t="s">
        <v>5721</v>
      </c>
      <c r="AD677" s="15" t="s">
        <v>5722</v>
      </c>
      <c r="AE677" s="15" t="s">
        <v>164</v>
      </c>
      <c r="AF677" s="15" t="s">
        <v>5722</v>
      </c>
      <c r="AG677" s="15" t="s">
        <v>5721</v>
      </c>
      <c r="AH677" s="15" t="s">
        <v>5723</v>
      </c>
      <c r="AL677" s="15" t="s">
        <v>5724</v>
      </c>
      <c r="AN677" s="15">
        <v>743</v>
      </c>
      <c r="AO677" s="15" t="s">
        <v>5725</v>
      </c>
      <c r="AQ677" s="15" t="s">
        <v>388</v>
      </c>
      <c r="AT677" s="15" t="s">
        <v>5726</v>
      </c>
      <c r="AU677" s="15" t="s">
        <v>5727</v>
      </c>
      <c r="AV677" s="15" t="s">
        <v>5727</v>
      </c>
      <c r="AW677" s="18" t="s">
        <v>5728</v>
      </c>
      <c r="AX677" s="18" t="s">
        <v>5728</v>
      </c>
      <c r="AY677" s="15">
        <f t="shared" si="12"/>
        <v>52</v>
      </c>
      <c r="AZ677" s="18" t="s">
        <v>393</v>
      </c>
      <c r="BA677" s="18" t="s">
        <v>174</v>
      </c>
      <c r="BB677" s="18" t="s">
        <v>5709</v>
      </c>
      <c r="BC677" s="18" t="s">
        <v>2040</v>
      </c>
      <c r="BD677" s="18"/>
      <c r="BE677" s="18" t="s">
        <v>1123</v>
      </c>
      <c r="BF677" s="18"/>
      <c r="BG677" s="18"/>
      <c r="BH677" s="18"/>
      <c r="BI677" s="18" t="s">
        <v>670</v>
      </c>
      <c r="BJ677" s="18" t="s">
        <v>219</v>
      </c>
      <c r="BK677" s="18"/>
      <c r="BL677" s="18"/>
      <c r="BM677" s="18"/>
      <c r="BN677" s="18" t="s">
        <v>179</v>
      </c>
      <c r="BO677" s="18"/>
      <c r="BP677" s="18" t="s">
        <v>138</v>
      </c>
      <c r="BQ677" s="18"/>
      <c r="BR677" s="18"/>
      <c r="BS677" s="15" t="s">
        <v>5729</v>
      </c>
      <c r="BT677" s="15" t="s">
        <v>804</v>
      </c>
      <c r="DH677" s="15" t="s">
        <v>17982</v>
      </c>
      <c r="DI677" s="15" t="s">
        <v>17982</v>
      </c>
    </row>
    <row r="678" spans="1:113" s="15" customFormat="1" ht="12.75" x14ac:dyDescent="0.2">
      <c r="A678" s="15" t="s">
        <v>109</v>
      </c>
      <c r="B678" s="15" t="s">
        <v>110</v>
      </c>
      <c r="D678" s="15" t="s">
        <v>791</v>
      </c>
      <c r="E678" s="15" t="s">
        <v>792</v>
      </c>
      <c r="F678" s="15" t="s">
        <v>791</v>
      </c>
      <c r="G678" s="15" t="s">
        <v>113</v>
      </c>
      <c r="H678" s="15" t="s">
        <v>383</v>
      </c>
      <c r="J678" s="16" t="s">
        <v>114</v>
      </c>
      <c r="U678" s="15" t="s">
        <v>17977</v>
      </c>
      <c r="W678" s="15">
        <v>1100</v>
      </c>
      <c r="X678" s="15">
        <v>688</v>
      </c>
      <c r="Y678" s="15" t="s">
        <v>160</v>
      </c>
      <c r="Z678" s="15" t="s">
        <v>161</v>
      </c>
      <c r="AA678" s="15" t="s">
        <v>162</v>
      </c>
      <c r="AB678" s="15" t="s">
        <v>5772</v>
      </c>
      <c r="AC678" s="15" t="s">
        <v>5772</v>
      </c>
      <c r="AD678" s="15" t="s">
        <v>5772</v>
      </c>
      <c r="AE678" s="15" t="s">
        <v>164</v>
      </c>
      <c r="AF678" s="15" t="s">
        <v>5772</v>
      </c>
      <c r="AG678" s="15" t="s">
        <v>5772</v>
      </c>
      <c r="AH678" s="15" t="s">
        <v>5773</v>
      </c>
      <c r="AL678" s="15" t="s">
        <v>5774</v>
      </c>
      <c r="AN678" s="15">
        <v>743</v>
      </c>
      <c r="AO678" s="15" t="s">
        <v>5775</v>
      </c>
      <c r="AQ678" s="15" t="s">
        <v>388</v>
      </c>
      <c r="AT678" s="15" t="s">
        <v>5776</v>
      </c>
      <c r="AU678" s="15" t="s">
        <v>5777</v>
      </c>
      <c r="AV678" s="15" t="s">
        <v>5777</v>
      </c>
      <c r="AW678" s="18" t="s">
        <v>5778</v>
      </c>
      <c r="AX678" s="18" t="s">
        <v>5779</v>
      </c>
      <c r="AY678" s="15">
        <f t="shared" si="12"/>
        <v>59</v>
      </c>
      <c r="AZ678" s="18" t="s">
        <v>393</v>
      </c>
      <c r="BA678" s="18" t="s">
        <v>174</v>
      </c>
      <c r="BB678" s="18" t="s">
        <v>5709</v>
      </c>
      <c r="BC678" s="18" t="s">
        <v>884</v>
      </c>
      <c r="BD678" s="18"/>
      <c r="BE678" s="18" t="s">
        <v>367</v>
      </c>
      <c r="BF678" s="26" t="s">
        <v>5769</v>
      </c>
      <c r="BG678" s="18"/>
      <c r="BH678" s="18"/>
      <c r="BI678" s="18" t="s">
        <v>670</v>
      </c>
      <c r="BJ678" s="18" t="s">
        <v>219</v>
      </c>
      <c r="BK678" s="18"/>
      <c r="BL678" s="18"/>
      <c r="BM678" s="18"/>
      <c r="BN678" s="18" t="s">
        <v>179</v>
      </c>
      <c r="BO678" s="18"/>
      <c r="BP678" s="18" t="s">
        <v>138</v>
      </c>
      <c r="BQ678" s="18"/>
      <c r="BR678" s="18"/>
      <c r="BS678" s="15" t="s">
        <v>5780</v>
      </c>
      <c r="BT678" s="15" t="s">
        <v>804</v>
      </c>
      <c r="DH678" s="15" t="s">
        <v>17982</v>
      </c>
      <c r="DI678" s="15" t="s">
        <v>17982</v>
      </c>
    </row>
    <row r="679" spans="1:113" s="15" customFormat="1" ht="12.75" x14ac:dyDescent="0.2">
      <c r="A679" s="15" t="s">
        <v>109</v>
      </c>
      <c r="B679" s="15" t="s">
        <v>110</v>
      </c>
      <c r="D679" s="15" t="s">
        <v>791</v>
      </c>
      <c r="E679" s="15" t="s">
        <v>792</v>
      </c>
      <c r="F679" s="15" t="s">
        <v>791</v>
      </c>
      <c r="G679" s="15" t="s">
        <v>113</v>
      </c>
      <c r="H679" s="15" t="s">
        <v>383</v>
      </c>
      <c r="J679" s="16" t="s">
        <v>114</v>
      </c>
      <c r="U679" s="15" t="s">
        <v>17977</v>
      </c>
      <c r="W679" s="15">
        <v>1096</v>
      </c>
      <c r="X679" s="15">
        <v>689</v>
      </c>
      <c r="Y679" s="15" t="s">
        <v>160</v>
      </c>
      <c r="Z679" s="15" t="s">
        <v>161</v>
      </c>
      <c r="AA679" s="15" t="s">
        <v>162</v>
      </c>
      <c r="AB679" s="15" t="s">
        <v>5730</v>
      </c>
      <c r="AC679" s="15" t="s">
        <v>5730</v>
      </c>
      <c r="AD679" s="15" t="s">
        <v>5731</v>
      </c>
      <c r="AE679" s="15" t="s">
        <v>164</v>
      </c>
      <c r="AF679" s="15" t="s">
        <v>5731</v>
      </c>
      <c r="AG679" s="15" t="s">
        <v>5730</v>
      </c>
      <c r="AH679" s="15" t="s">
        <v>5732</v>
      </c>
      <c r="AL679" s="15" t="s">
        <v>5733</v>
      </c>
      <c r="AN679" s="15">
        <v>743</v>
      </c>
      <c r="AO679" s="15" t="s">
        <v>5734</v>
      </c>
      <c r="AQ679" s="15" t="s">
        <v>388</v>
      </c>
      <c r="AT679" s="15" t="s">
        <v>5735</v>
      </c>
      <c r="AU679" s="15" t="s">
        <v>5736</v>
      </c>
      <c r="AV679" s="15" t="s">
        <v>5736</v>
      </c>
      <c r="AW679" s="18" t="s">
        <v>5737</v>
      </c>
      <c r="AX679" s="18" t="s">
        <v>5737</v>
      </c>
      <c r="AY679" s="15">
        <f t="shared" si="12"/>
        <v>52</v>
      </c>
      <c r="AZ679" s="18" t="s">
        <v>393</v>
      </c>
      <c r="BA679" s="18" t="s">
        <v>174</v>
      </c>
      <c r="BB679" s="18" t="s">
        <v>5709</v>
      </c>
      <c r="BC679" s="18" t="s">
        <v>884</v>
      </c>
      <c r="BD679" s="18"/>
      <c r="BE679" s="18" t="s">
        <v>1123</v>
      </c>
      <c r="BF679" s="18"/>
      <c r="BG679" s="18"/>
      <c r="BH679" s="18"/>
      <c r="BI679" s="18" t="s">
        <v>670</v>
      </c>
      <c r="BJ679" s="18" t="s">
        <v>219</v>
      </c>
      <c r="BK679" s="18"/>
      <c r="BL679" s="18"/>
      <c r="BM679" s="18"/>
      <c r="BN679" s="18" t="s">
        <v>179</v>
      </c>
      <c r="BO679" s="18"/>
      <c r="BP679" s="18" t="s">
        <v>138</v>
      </c>
      <c r="BQ679" s="18"/>
      <c r="BR679" s="18"/>
      <c r="BS679" s="15" t="s">
        <v>5738</v>
      </c>
      <c r="BT679" s="15" t="s">
        <v>804</v>
      </c>
      <c r="DH679" s="15" t="s">
        <v>17982</v>
      </c>
      <c r="DI679" s="15" t="s">
        <v>17982</v>
      </c>
    </row>
    <row r="680" spans="1:113" s="15" customFormat="1" ht="12.75" x14ac:dyDescent="0.2">
      <c r="A680" s="15" t="s">
        <v>109</v>
      </c>
      <c r="B680" s="15" t="s">
        <v>110</v>
      </c>
      <c r="D680" s="15" t="s">
        <v>791</v>
      </c>
      <c r="E680" s="15" t="s">
        <v>792</v>
      </c>
      <c r="F680" s="15" t="s">
        <v>791</v>
      </c>
      <c r="G680" s="15" t="s">
        <v>113</v>
      </c>
      <c r="H680" s="15" t="s">
        <v>383</v>
      </c>
      <c r="J680" s="16" t="s">
        <v>114</v>
      </c>
      <c r="U680" s="15" t="s">
        <v>17977</v>
      </c>
      <c r="W680" s="15">
        <v>1098</v>
      </c>
      <c r="X680" s="15">
        <v>690</v>
      </c>
      <c r="Y680" s="15" t="s">
        <v>160</v>
      </c>
      <c r="Z680" s="15" t="s">
        <v>161</v>
      </c>
      <c r="AA680" s="15" t="s">
        <v>162</v>
      </c>
      <c r="AB680" s="15" t="s">
        <v>5749</v>
      </c>
      <c r="AC680" s="15" t="s">
        <v>5749</v>
      </c>
      <c r="AD680" s="15" t="s">
        <v>5749</v>
      </c>
      <c r="AE680" s="15" t="s">
        <v>164</v>
      </c>
      <c r="AF680" s="15" t="s">
        <v>5749</v>
      </c>
      <c r="AG680" s="15" t="s">
        <v>5749</v>
      </c>
      <c r="AH680" s="15" t="s">
        <v>5750</v>
      </c>
      <c r="AL680" s="15" t="s">
        <v>5751</v>
      </c>
      <c r="AN680" s="15">
        <v>743</v>
      </c>
      <c r="AO680" s="15" t="s">
        <v>5752</v>
      </c>
      <c r="AQ680" s="15" t="s">
        <v>388</v>
      </c>
      <c r="AT680" s="15" t="s">
        <v>5753</v>
      </c>
      <c r="AU680" s="15" t="s">
        <v>5754</v>
      </c>
      <c r="AV680" s="15" t="s">
        <v>5754</v>
      </c>
      <c r="AW680" s="18" t="s">
        <v>5755</v>
      </c>
      <c r="AX680" s="18" t="s">
        <v>5756</v>
      </c>
      <c r="AY680" s="15">
        <f t="shared" ref="AY680:AY743" si="13">LEN(SUBSTITUTE(AX680, ", "," "))</f>
        <v>58</v>
      </c>
      <c r="AZ680" s="18" t="s">
        <v>393</v>
      </c>
      <c r="BA680" s="18" t="s">
        <v>174</v>
      </c>
      <c r="BB680" s="18" t="s">
        <v>5709</v>
      </c>
      <c r="BC680" s="18" t="s">
        <v>5757</v>
      </c>
      <c r="BD680" s="18"/>
      <c r="BE680" s="18" t="s">
        <v>2694</v>
      </c>
      <c r="BF680" s="18" t="s">
        <v>5758</v>
      </c>
      <c r="BG680" s="18"/>
      <c r="BH680" s="18"/>
      <c r="BI680" s="18" t="s">
        <v>670</v>
      </c>
      <c r="BJ680" s="18" t="s">
        <v>5759</v>
      </c>
      <c r="BK680" s="18"/>
      <c r="BL680" s="18"/>
      <c r="BM680" s="18"/>
      <c r="BN680" s="18" t="s">
        <v>179</v>
      </c>
      <c r="BO680" s="18"/>
      <c r="BP680" s="18" t="s">
        <v>138</v>
      </c>
      <c r="BQ680" s="18"/>
      <c r="BR680" s="18"/>
      <c r="BS680" s="15" t="s">
        <v>5760</v>
      </c>
      <c r="BT680" s="15" t="s">
        <v>804</v>
      </c>
      <c r="DH680" s="15" t="s">
        <v>17982</v>
      </c>
      <c r="DI680" s="15" t="s">
        <v>17982</v>
      </c>
    </row>
    <row r="681" spans="1:113" s="15" customFormat="1" ht="12.75" x14ac:dyDescent="0.2">
      <c r="A681" s="15" t="s">
        <v>109</v>
      </c>
      <c r="B681" s="15" t="s">
        <v>110</v>
      </c>
      <c r="D681" s="15" t="s">
        <v>791</v>
      </c>
      <c r="E681" s="15" t="s">
        <v>792</v>
      </c>
      <c r="F681" s="15" t="s">
        <v>791</v>
      </c>
      <c r="G681" s="15" t="s">
        <v>113</v>
      </c>
      <c r="H681" s="15" t="s">
        <v>383</v>
      </c>
      <c r="J681" s="16" t="s">
        <v>114</v>
      </c>
      <c r="U681" s="15" t="s">
        <v>17977</v>
      </c>
      <c r="W681" s="15">
        <v>1097</v>
      </c>
      <c r="X681" s="15">
        <v>691</v>
      </c>
      <c r="Y681" s="15" t="s">
        <v>160</v>
      </c>
      <c r="Z681" s="15" t="s">
        <v>161</v>
      </c>
      <c r="AA681" s="15" t="s">
        <v>162</v>
      </c>
      <c r="AB681" s="15" t="s">
        <v>5739</v>
      </c>
      <c r="AC681" s="15" t="s">
        <v>5739</v>
      </c>
      <c r="AD681" s="15" t="s">
        <v>5739</v>
      </c>
      <c r="AE681" s="15" t="s">
        <v>164</v>
      </c>
      <c r="AF681" s="15" t="s">
        <v>5739</v>
      </c>
      <c r="AG681" s="15" t="s">
        <v>5739</v>
      </c>
      <c r="AH681" s="15" t="s">
        <v>5740</v>
      </c>
      <c r="AL681" s="15" t="s">
        <v>5741</v>
      </c>
      <c r="AN681" s="15">
        <v>743</v>
      </c>
      <c r="AO681" s="15" t="s">
        <v>5742</v>
      </c>
      <c r="AQ681" s="15" t="s">
        <v>388</v>
      </c>
      <c r="AT681" s="15" t="s">
        <v>5743</v>
      </c>
      <c r="AU681" s="15" t="s">
        <v>5744</v>
      </c>
      <c r="AV681" s="15" t="s">
        <v>5744</v>
      </c>
      <c r="AW681" s="18" t="s">
        <v>5745</v>
      </c>
      <c r="AX681" s="18" t="s">
        <v>5746</v>
      </c>
      <c r="AY681" s="15">
        <f t="shared" si="13"/>
        <v>60</v>
      </c>
      <c r="AZ681" s="18" t="s">
        <v>393</v>
      </c>
      <c r="BA681" s="18" t="s">
        <v>174</v>
      </c>
      <c r="BB681" s="18" t="s">
        <v>5709</v>
      </c>
      <c r="BC681" s="18"/>
      <c r="BD681" s="18"/>
      <c r="BE681" s="18" t="s">
        <v>2895</v>
      </c>
      <c r="BF681" s="18"/>
      <c r="BG681" s="18"/>
      <c r="BH681" s="18"/>
      <c r="BI681" s="18" t="s">
        <v>1905</v>
      </c>
      <c r="BJ681" s="18" t="s">
        <v>5747</v>
      </c>
      <c r="BK681" s="18"/>
      <c r="BL681" s="18"/>
      <c r="BM681" s="18"/>
      <c r="BN681" s="18" t="s">
        <v>179</v>
      </c>
      <c r="BO681" s="18"/>
      <c r="BP681" s="18" t="s">
        <v>138</v>
      </c>
      <c r="BQ681" s="18"/>
      <c r="BR681" s="18"/>
      <c r="BS681" s="15" t="s">
        <v>5748</v>
      </c>
      <c r="BT681" s="15" t="s">
        <v>804</v>
      </c>
      <c r="DH681" s="15" t="s">
        <v>17982</v>
      </c>
      <c r="DI681" s="15" t="s">
        <v>17982</v>
      </c>
    </row>
    <row r="682" spans="1:113" s="15" customFormat="1" ht="12.75" x14ac:dyDescent="0.2">
      <c r="A682" s="15" t="s">
        <v>109</v>
      </c>
      <c r="B682" s="15" t="s">
        <v>110</v>
      </c>
      <c r="D682" s="15" t="s">
        <v>791</v>
      </c>
      <c r="E682" s="15" t="s">
        <v>792</v>
      </c>
      <c r="F682" s="15" t="s">
        <v>791</v>
      </c>
      <c r="G682" s="15" t="s">
        <v>113</v>
      </c>
      <c r="H682" s="15" t="s">
        <v>383</v>
      </c>
      <c r="J682" s="16" t="s">
        <v>114</v>
      </c>
      <c r="U682" s="15" t="s">
        <v>17977</v>
      </c>
      <c r="W682" s="15">
        <v>2529</v>
      </c>
      <c r="X682" s="15">
        <v>692</v>
      </c>
      <c r="Y682" s="15" t="s">
        <v>160</v>
      </c>
      <c r="Z682" s="15" t="s">
        <v>161</v>
      </c>
      <c r="AA682" s="15" t="s">
        <v>162</v>
      </c>
      <c r="AB682" s="15" t="s">
        <v>12457</v>
      </c>
      <c r="AC682" s="15" t="s">
        <v>12457</v>
      </c>
      <c r="AD682" s="15" t="s">
        <v>12457</v>
      </c>
      <c r="AE682" s="15" t="s">
        <v>164</v>
      </c>
      <c r="AF682" s="15" t="s">
        <v>12457</v>
      </c>
      <c r="AG682" s="15" t="s">
        <v>12457</v>
      </c>
      <c r="AH682" s="47" t="s">
        <v>12458</v>
      </c>
      <c r="AL682" s="15" t="s">
        <v>12459</v>
      </c>
      <c r="AN682" s="15">
        <v>743</v>
      </c>
      <c r="AO682" s="15" t="s">
        <v>12460</v>
      </c>
      <c r="AQ682" s="15" t="s">
        <v>912</v>
      </c>
      <c r="AT682" s="15" t="s">
        <v>12461</v>
      </c>
      <c r="AU682" s="15" t="s">
        <v>12462</v>
      </c>
      <c r="AV682" s="15" t="s">
        <v>12462</v>
      </c>
      <c r="AW682" s="18" t="s">
        <v>12463</v>
      </c>
      <c r="AX682" s="18" t="s">
        <v>12464</v>
      </c>
      <c r="AY682" s="15">
        <f t="shared" si="13"/>
        <v>55</v>
      </c>
      <c r="AZ682" s="18" t="s">
        <v>917</v>
      </c>
      <c r="BA682" s="18" t="s">
        <v>174</v>
      </c>
      <c r="BB682" s="18" t="s">
        <v>12435</v>
      </c>
      <c r="BC682" s="18"/>
      <c r="BD682" s="18"/>
      <c r="BE682" s="18" t="s">
        <v>7475</v>
      </c>
      <c r="BF682" s="18"/>
      <c r="BG682" s="18"/>
      <c r="BH682" s="18"/>
      <c r="BI682" s="18" t="s">
        <v>1905</v>
      </c>
      <c r="BJ682" s="18" t="s">
        <v>12454</v>
      </c>
      <c r="BK682" s="18" t="s">
        <v>12455</v>
      </c>
      <c r="BL682" s="18"/>
      <c r="BM682" s="18"/>
      <c r="BN682" s="18" t="s">
        <v>179</v>
      </c>
      <c r="BO682" s="18"/>
      <c r="BP682" s="18" t="s">
        <v>138</v>
      </c>
      <c r="BQ682" s="18"/>
      <c r="BR682" s="18"/>
      <c r="BS682" s="15" t="s">
        <v>12465</v>
      </c>
      <c r="BT682" s="15" t="s">
        <v>804</v>
      </c>
      <c r="DH682" s="15" t="s">
        <v>17982</v>
      </c>
      <c r="DI682" s="15" t="s">
        <v>17982</v>
      </c>
    </row>
    <row r="683" spans="1:113" s="15" customFormat="1" ht="12.75" x14ac:dyDescent="0.2">
      <c r="A683" s="15" t="s">
        <v>109</v>
      </c>
      <c r="B683" s="15" t="s">
        <v>110</v>
      </c>
      <c r="D683" s="15" t="s">
        <v>791</v>
      </c>
      <c r="E683" s="15" t="s">
        <v>792</v>
      </c>
      <c r="F683" s="15" t="s">
        <v>791</v>
      </c>
      <c r="G683" s="15" t="s">
        <v>113</v>
      </c>
      <c r="H683" s="15" t="s">
        <v>383</v>
      </c>
      <c r="J683" s="16" t="s">
        <v>114</v>
      </c>
      <c r="U683" s="15" t="s">
        <v>17977</v>
      </c>
      <c r="W683" s="15">
        <v>2528</v>
      </c>
      <c r="X683" s="15">
        <v>693</v>
      </c>
      <c r="Y683" s="15" t="s">
        <v>160</v>
      </c>
      <c r="Z683" s="15" t="s">
        <v>161</v>
      </c>
      <c r="AA683" s="15" t="s">
        <v>162</v>
      </c>
      <c r="AB683" s="15" t="s">
        <v>12446</v>
      </c>
      <c r="AC683" s="15" t="s">
        <v>12446</v>
      </c>
      <c r="AD683" s="15" t="s">
        <v>12446</v>
      </c>
      <c r="AE683" s="15" t="s">
        <v>164</v>
      </c>
      <c r="AF683" s="15" t="s">
        <v>12446</v>
      </c>
      <c r="AG683" s="15" t="s">
        <v>12446</v>
      </c>
      <c r="AH683" s="47" t="s">
        <v>12447</v>
      </c>
      <c r="AL683" s="15" t="s">
        <v>12448</v>
      </c>
      <c r="AN683" s="15">
        <v>743</v>
      </c>
      <c r="AO683" s="15" t="s">
        <v>12449</v>
      </c>
      <c r="AQ683" s="15" t="s">
        <v>912</v>
      </c>
      <c r="AT683" s="15" t="s">
        <v>12450</v>
      </c>
      <c r="AU683" s="15" t="s">
        <v>12451</v>
      </c>
      <c r="AV683" s="15" t="s">
        <v>12451</v>
      </c>
      <c r="AW683" s="18" t="s">
        <v>12452</v>
      </c>
      <c r="AX683" s="18" t="s">
        <v>12453</v>
      </c>
      <c r="AY683" s="15">
        <f t="shared" si="13"/>
        <v>54</v>
      </c>
      <c r="AZ683" s="18" t="s">
        <v>917</v>
      </c>
      <c r="BA683" s="18" t="s">
        <v>174</v>
      </c>
      <c r="BB683" s="18" t="s">
        <v>12435</v>
      </c>
      <c r="BC683" s="18"/>
      <c r="BD683" s="18"/>
      <c r="BE683" s="18" t="s">
        <v>2776</v>
      </c>
      <c r="BF683" s="18"/>
      <c r="BG683" s="18"/>
      <c r="BH683" s="18"/>
      <c r="BI683" s="18" t="s">
        <v>1905</v>
      </c>
      <c r="BJ683" s="18" t="s">
        <v>12454</v>
      </c>
      <c r="BK683" s="18" t="s">
        <v>12455</v>
      </c>
      <c r="BL683" s="18"/>
      <c r="BM683" s="18"/>
      <c r="BN683" s="18" t="s">
        <v>179</v>
      </c>
      <c r="BO683" s="18"/>
      <c r="BP683" s="18" t="s">
        <v>138</v>
      </c>
      <c r="BQ683" s="18"/>
      <c r="BR683" s="18"/>
      <c r="BS683" s="15" t="s">
        <v>12456</v>
      </c>
      <c r="BT683" s="15" t="s">
        <v>804</v>
      </c>
      <c r="DH683" s="15" t="s">
        <v>17982</v>
      </c>
      <c r="DI683" s="15" t="s">
        <v>17982</v>
      </c>
    </row>
    <row r="684" spans="1:113" s="15" customFormat="1" ht="12.75" x14ac:dyDescent="0.2">
      <c r="A684" s="15" t="s">
        <v>109</v>
      </c>
      <c r="B684" s="15" t="s">
        <v>110</v>
      </c>
      <c r="D684" s="15" t="s">
        <v>791</v>
      </c>
      <c r="E684" s="15" t="s">
        <v>792</v>
      </c>
      <c r="F684" s="15" t="s">
        <v>791</v>
      </c>
      <c r="G684" s="15" t="s">
        <v>113</v>
      </c>
      <c r="H684" s="15" t="s">
        <v>383</v>
      </c>
      <c r="J684" s="16" t="s">
        <v>114</v>
      </c>
      <c r="U684" s="15" t="s">
        <v>17977</v>
      </c>
      <c r="W684" s="15">
        <v>2832</v>
      </c>
      <c r="X684" s="15">
        <v>694</v>
      </c>
      <c r="Y684" s="15" t="s">
        <v>160</v>
      </c>
      <c r="Z684" s="15" t="s">
        <v>161</v>
      </c>
      <c r="AA684" s="15" t="s">
        <v>162</v>
      </c>
      <c r="AB684" s="15" t="s">
        <v>13803</v>
      </c>
      <c r="AC684" s="15" t="s">
        <v>13803</v>
      </c>
      <c r="AD684" s="15" t="s">
        <v>13803</v>
      </c>
      <c r="AE684" s="15" t="s">
        <v>164</v>
      </c>
      <c r="AF684" s="15" t="s">
        <v>13803</v>
      </c>
      <c r="AG684" s="15" t="s">
        <v>13803</v>
      </c>
      <c r="AH684" s="47" t="s">
        <v>13804</v>
      </c>
      <c r="AL684" s="15" t="s">
        <v>13805</v>
      </c>
      <c r="AN684" s="15">
        <v>743</v>
      </c>
      <c r="AO684" s="15" t="s">
        <v>13806</v>
      </c>
      <c r="AQ684" s="15" t="s">
        <v>168</v>
      </c>
      <c r="AT684" s="15" t="s">
        <v>13807</v>
      </c>
      <c r="AU684" s="15" t="s">
        <v>13808</v>
      </c>
      <c r="AV684" s="15" t="s">
        <v>13808</v>
      </c>
      <c r="AW684" s="18" t="s">
        <v>13809</v>
      </c>
      <c r="AX684" s="18" t="s">
        <v>13810</v>
      </c>
      <c r="AY684" s="15">
        <f t="shared" si="13"/>
        <v>54</v>
      </c>
      <c r="AZ684" s="18" t="s">
        <v>173</v>
      </c>
      <c r="BA684" s="18" t="s">
        <v>174</v>
      </c>
      <c r="BB684" s="18" t="s">
        <v>13778</v>
      </c>
      <c r="BC684" s="18"/>
      <c r="BD684" s="18"/>
      <c r="BE684" s="18" t="s">
        <v>13811</v>
      </c>
      <c r="BF684" s="18"/>
      <c r="BG684" s="18"/>
      <c r="BH684" s="18"/>
      <c r="BI684" s="18" t="s">
        <v>1083</v>
      </c>
      <c r="BJ684" s="18" t="s">
        <v>13812</v>
      </c>
      <c r="BK684" s="18"/>
      <c r="BL684" s="18"/>
      <c r="BM684" s="18"/>
      <c r="BN684" s="18" t="s">
        <v>179</v>
      </c>
      <c r="BO684" s="18"/>
      <c r="BP684" s="18" t="s">
        <v>138</v>
      </c>
      <c r="BQ684" s="18"/>
      <c r="BR684" s="18"/>
      <c r="BS684" s="15" t="s">
        <v>13813</v>
      </c>
      <c r="BT684" s="15" t="s">
        <v>804</v>
      </c>
      <c r="DH684" s="15" t="s">
        <v>17982</v>
      </c>
      <c r="DI684" s="15" t="s">
        <v>17982</v>
      </c>
    </row>
    <row r="685" spans="1:113" s="15" customFormat="1" ht="12.75" x14ac:dyDescent="0.2">
      <c r="A685" s="15" t="s">
        <v>109</v>
      </c>
      <c r="B685" s="15" t="s">
        <v>110</v>
      </c>
      <c r="D685" s="15" t="s">
        <v>791</v>
      </c>
      <c r="E685" s="15" t="s">
        <v>792</v>
      </c>
      <c r="F685" s="15" t="s">
        <v>791</v>
      </c>
      <c r="G685" s="15" t="s">
        <v>113</v>
      </c>
      <c r="H685" s="15" t="s">
        <v>383</v>
      </c>
      <c r="J685" s="16" t="s">
        <v>114</v>
      </c>
      <c r="U685" s="15" t="s">
        <v>17977</v>
      </c>
      <c r="W685" s="15">
        <v>954</v>
      </c>
      <c r="X685" s="15">
        <v>695</v>
      </c>
      <c r="Y685" s="15" t="s">
        <v>160</v>
      </c>
      <c r="Z685" s="15" t="s">
        <v>161</v>
      </c>
      <c r="AA685" s="15" t="s">
        <v>162</v>
      </c>
      <c r="AB685" s="15" t="s">
        <v>4555</v>
      </c>
      <c r="AC685" s="15" t="s">
        <v>4555</v>
      </c>
      <c r="AD685" s="15" t="s">
        <v>4556</v>
      </c>
      <c r="AE685" s="15" t="s">
        <v>164</v>
      </c>
      <c r="AF685" s="15" t="s">
        <v>4556</v>
      </c>
      <c r="AG685" s="15" t="s">
        <v>4555</v>
      </c>
      <c r="AH685" s="15" t="s">
        <v>4557</v>
      </c>
      <c r="AL685" s="15" t="s">
        <v>4558</v>
      </c>
      <c r="AN685" s="15">
        <v>743</v>
      </c>
      <c r="AO685" s="15" t="s">
        <v>4559</v>
      </c>
      <c r="AQ685" s="15" t="s">
        <v>168</v>
      </c>
      <c r="AT685" s="15" t="s">
        <v>4560</v>
      </c>
      <c r="AU685" s="15" t="s">
        <v>4561</v>
      </c>
      <c r="AV685" s="15" t="s">
        <v>4561</v>
      </c>
      <c r="AW685" s="18" t="s">
        <v>4562</v>
      </c>
      <c r="AX685" s="18" t="s">
        <v>4562</v>
      </c>
      <c r="AY685" s="15">
        <f t="shared" si="13"/>
        <v>44</v>
      </c>
      <c r="AZ685" s="18" t="s">
        <v>173</v>
      </c>
      <c r="BA685" s="18" t="s">
        <v>174</v>
      </c>
      <c r="BB685" s="18" t="s">
        <v>4026</v>
      </c>
      <c r="BC685" s="18"/>
      <c r="BD685" s="18"/>
      <c r="BE685" s="18" t="s">
        <v>606</v>
      </c>
      <c r="BF685" s="18" t="s">
        <v>863</v>
      </c>
      <c r="BG685" s="18"/>
      <c r="BH685" s="18"/>
      <c r="BI685" s="18"/>
      <c r="BJ685" s="18" t="s">
        <v>189</v>
      </c>
      <c r="BK685" s="18" t="s">
        <v>1714</v>
      </c>
      <c r="BL685" s="18"/>
      <c r="BM685" s="18"/>
      <c r="BN685" s="18" t="s">
        <v>179</v>
      </c>
      <c r="BO685" s="18"/>
      <c r="BP685" s="18" t="s">
        <v>138</v>
      </c>
      <c r="BQ685" s="18"/>
      <c r="BR685" s="18"/>
      <c r="BS685" s="15" t="s">
        <v>4563</v>
      </c>
      <c r="BT685" s="15" t="s">
        <v>804</v>
      </c>
      <c r="DH685" s="15" t="s">
        <v>17982</v>
      </c>
      <c r="DI685" s="15" t="s">
        <v>17982</v>
      </c>
    </row>
    <row r="686" spans="1:113" s="15" customFormat="1" ht="12.75" x14ac:dyDescent="0.2">
      <c r="A686" s="15" t="s">
        <v>109</v>
      </c>
      <c r="B686" s="15" t="s">
        <v>110</v>
      </c>
      <c r="D686" s="15" t="s">
        <v>791</v>
      </c>
      <c r="E686" s="15" t="s">
        <v>792</v>
      </c>
      <c r="F686" s="15" t="s">
        <v>791</v>
      </c>
      <c r="G686" s="15" t="s">
        <v>113</v>
      </c>
      <c r="H686" s="15" t="s">
        <v>383</v>
      </c>
      <c r="J686" s="16" t="s">
        <v>114</v>
      </c>
      <c r="U686" s="15" t="s">
        <v>17977</v>
      </c>
      <c r="W686" s="15">
        <v>957</v>
      </c>
      <c r="X686" s="15">
        <v>696</v>
      </c>
      <c r="Y686" s="15" t="s">
        <v>160</v>
      </c>
      <c r="Z686" s="15" t="s">
        <v>161</v>
      </c>
      <c r="AA686" s="15" t="s">
        <v>162</v>
      </c>
      <c r="AB686" s="15" t="s">
        <v>4582</v>
      </c>
      <c r="AC686" s="15" t="s">
        <v>4582</v>
      </c>
      <c r="AD686" s="15" t="s">
        <v>4583</v>
      </c>
      <c r="AE686" s="15" t="s">
        <v>164</v>
      </c>
      <c r="AF686" s="15" t="s">
        <v>4583</v>
      </c>
      <c r="AG686" s="15" t="s">
        <v>4582</v>
      </c>
      <c r="AH686" s="15" t="s">
        <v>4584</v>
      </c>
      <c r="AL686" s="15" t="s">
        <v>4585</v>
      </c>
      <c r="AN686" s="15">
        <v>743</v>
      </c>
      <c r="AO686" s="15" t="s">
        <v>4586</v>
      </c>
      <c r="AQ686" s="15" t="s">
        <v>168</v>
      </c>
      <c r="AT686" s="15" t="s">
        <v>4587</v>
      </c>
      <c r="AU686" s="15" t="s">
        <v>4588</v>
      </c>
      <c r="AV686" s="15" t="s">
        <v>4588</v>
      </c>
      <c r="AW686" s="18" t="s">
        <v>4589</v>
      </c>
      <c r="AX686" s="18" t="s">
        <v>4589</v>
      </c>
      <c r="AY686" s="15">
        <f t="shared" si="13"/>
        <v>47</v>
      </c>
      <c r="AZ686" s="18" t="s">
        <v>173</v>
      </c>
      <c r="BA686" s="18" t="s">
        <v>174</v>
      </c>
      <c r="BB686" s="18" t="s">
        <v>4026</v>
      </c>
      <c r="BC686" s="18"/>
      <c r="BD686" s="18"/>
      <c r="BE686" s="18" t="s">
        <v>1926</v>
      </c>
      <c r="BF686" s="18" t="s">
        <v>863</v>
      </c>
      <c r="BG686" s="18"/>
      <c r="BH686" s="18"/>
      <c r="BI686" s="18"/>
      <c r="BJ686" s="18" t="s">
        <v>189</v>
      </c>
      <c r="BK686" s="18" t="s">
        <v>1714</v>
      </c>
      <c r="BL686" s="18"/>
      <c r="BM686" s="18"/>
      <c r="BN686" s="18" t="s">
        <v>179</v>
      </c>
      <c r="BO686" s="18"/>
      <c r="BP686" s="18" t="s">
        <v>138</v>
      </c>
      <c r="BQ686" s="18"/>
      <c r="BR686" s="18"/>
      <c r="BS686" s="15" t="s">
        <v>4590</v>
      </c>
      <c r="BT686" s="15" t="s">
        <v>804</v>
      </c>
      <c r="DH686" s="15" t="s">
        <v>17982</v>
      </c>
      <c r="DI686" s="15" t="s">
        <v>17982</v>
      </c>
    </row>
    <row r="687" spans="1:113" s="15" customFormat="1" ht="12.75" x14ac:dyDescent="0.2">
      <c r="A687" s="15" t="s">
        <v>109</v>
      </c>
      <c r="B687" s="15" t="s">
        <v>110</v>
      </c>
      <c r="D687" s="15" t="s">
        <v>791</v>
      </c>
      <c r="E687" s="15" t="s">
        <v>792</v>
      </c>
      <c r="F687" s="15" t="s">
        <v>791</v>
      </c>
      <c r="G687" s="15" t="s">
        <v>113</v>
      </c>
      <c r="H687" s="15" t="s">
        <v>383</v>
      </c>
      <c r="J687" s="16" t="s">
        <v>114</v>
      </c>
      <c r="U687" s="15" t="s">
        <v>17977</v>
      </c>
      <c r="W687" s="15">
        <v>959</v>
      </c>
      <c r="X687" s="15">
        <v>697</v>
      </c>
      <c r="Y687" s="15" t="s">
        <v>160</v>
      </c>
      <c r="Z687" s="15" t="s">
        <v>161</v>
      </c>
      <c r="AA687" s="15" t="s">
        <v>162</v>
      </c>
      <c r="AB687" s="15" t="s">
        <v>4600</v>
      </c>
      <c r="AC687" s="15" t="s">
        <v>4600</v>
      </c>
      <c r="AD687" s="15" t="s">
        <v>4601</v>
      </c>
      <c r="AE687" s="15" t="s">
        <v>164</v>
      </c>
      <c r="AF687" s="15" t="s">
        <v>4601</v>
      </c>
      <c r="AG687" s="15" t="s">
        <v>4600</v>
      </c>
      <c r="AH687" s="15" t="s">
        <v>4602</v>
      </c>
      <c r="AL687" s="15" t="s">
        <v>4603</v>
      </c>
      <c r="AN687" s="15">
        <v>743</v>
      </c>
      <c r="AO687" s="15" t="s">
        <v>4604</v>
      </c>
      <c r="AQ687" s="15" t="s">
        <v>168</v>
      </c>
      <c r="AT687" s="15" t="s">
        <v>4605</v>
      </c>
      <c r="AU687" s="15" t="s">
        <v>4606</v>
      </c>
      <c r="AV687" s="15" t="s">
        <v>4606</v>
      </c>
      <c r="AW687" s="18" t="s">
        <v>4607</v>
      </c>
      <c r="AX687" s="18" t="s">
        <v>4607</v>
      </c>
      <c r="AY687" s="15">
        <f t="shared" si="13"/>
        <v>46</v>
      </c>
      <c r="AZ687" s="18" t="s">
        <v>173</v>
      </c>
      <c r="BA687" s="18" t="s">
        <v>174</v>
      </c>
      <c r="BB687" s="18" t="s">
        <v>4026</v>
      </c>
      <c r="BC687" s="18"/>
      <c r="BD687" s="18"/>
      <c r="BE687" s="18" t="s">
        <v>1032</v>
      </c>
      <c r="BF687" s="18" t="s">
        <v>863</v>
      </c>
      <c r="BG687" s="18"/>
      <c r="BH687" s="18"/>
      <c r="BI687" s="18"/>
      <c r="BJ687" s="18" t="s">
        <v>189</v>
      </c>
      <c r="BK687" s="18" t="s">
        <v>1714</v>
      </c>
      <c r="BL687" s="18"/>
      <c r="BM687" s="18"/>
      <c r="BN687" s="18" t="s">
        <v>179</v>
      </c>
      <c r="BO687" s="18"/>
      <c r="BP687" s="18" t="s">
        <v>138</v>
      </c>
      <c r="BQ687" s="18"/>
      <c r="BR687" s="18"/>
      <c r="BS687" s="15" t="s">
        <v>4608</v>
      </c>
      <c r="BT687" s="15" t="s">
        <v>804</v>
      </c>
      <c r="DH687" s="15" t="s">
        <v>17982</v>
      </c>
      <c r="DI687" s="15" t="s">
        <v>17982</v>
      </c>
    </row>
    <row r="688" spans="1:113" s="15" customFormat="1" ht="12.75" x14ac:dyDescent="0.2">
      <c r="A688" s="15" t="s">
        <v>109</v>
      </c>
      <c r="B688" s="15" t="s">
        <v>110</v>
      </c>
      <c r="D688" s="15" t="s">
        <v>791</v>
      </c>
      <c r="E688" s="15" t="s">
        <v>792</v>
      </c>
      <c r="F688" s="15" t="s">
        <v>791</v>
      </c>
      <c r="G688" s="15" t="s">
        <v>113</v>
      </c>
      <c r="H688" s="15" t="s">
        <v>383</v>
      </c>
      <c r="J688" s="16" t="s">
        <v>114</v>
      </c>
      <c r="U688" s="15" t="s">
        <v>17977</v>
      </c>
      <c r="W688" s="15">
        <v>955</v>
      </c>
      <c r="X688" s="15">
        <v>698</v>
      </c>
      <c r="Y688" s="15" t="s">
        <v>160</v>
      </c>
      <c r="Z688" s="15" t="s">
        <v>161</v>
      </c>
      <c r="AA688" s="15" t="s">
        <v>162</v>
      </c>
      <c r="AB688" s="15" t="s">
        <v>4564</v>
      </c>
      <c r="AC688" s="15" t="s">
        <v>4564</v>
      </c>
      <c r="AD688" s="15" t="s">
        <v>4565</v>
      </c>
      <c r="AE688" s="15" t="s">
        <v>164</v>
      </c>
      <c r="AF688" s="15" t="s">
        <v>4565</v>
      </c>
      <c r="AG688" s="15" t="s">
        <v>4564</v>
      </c>
      <c r="AH688" s="15" t="s">
        <v>4566</v>
      </c>
      <c r="AL688" s="15" t="s">
        <v>4567</v>
      </c>
      <c r="AN688" s="15">
        <v>743</v>
      </c>
      <c r="AO688" s="15" t="s">
        <v>4568</v>
      </c>
      <c r="AQ688" s="15" t="s">
        <v>168</v>
      </c>
      <c r="AT688" s="15" t="s">
        <v>4569</v>
      </c>
      <c r="AU688" s="15" t="s">
        <v>4570</v>
      </c>
      <c r="AV688" s="15" t="s">
        <v>4570</v>
      </c>
      <c r="AW688" s="18" t="s">
        <v>4571</v>
      </c>
      <c r="AX688" s="18" t="s">
        <v>4571</v>
      </c>
      <c r="AY688" s="15">
        <f t="shared" si="13"/>
        <v>36</v>
      </c>
      <c r="AZ688" s="18" t="s">
        <v>173</v>
      </c>
      <c r="BA688" s="18" t="s">
        <v>174</v>
      </c>
      <c r="BB688" s="18" t="s">
        <v>4026</v>
      </c>
      <c r="BC688" s="18"/>
      <c r="BD688" s="18"/>
      <c r="BE688" s="18" t="s">
        <v>606</v>
      </c>
      <c r="BF688" s="18" t="s">
        <v>217</v>
      </c>
      <c r="BG688" s="18"/>
      <c r="BH688" s="18"/>
      <c r="BI688" s="18"/>
      <c r="BJ688" s="18"/>
      <c r="BK688" s="18"/>
      <c r="BL688" s="18"/>
      <c r="BM688" s="18"/>
      <c r="BN688" s="18" t="s">
        <v>179</v>
      </c>
      <c r="BO688" s="18"/>
      <c r="BP688" s="18" t="s">
        <v>138</v>
      </c>
      <c r="BQ688" s="18"/>
      <c r="BR688" s="18"/>
      <c r="BS688" s="15" t="s">
        <v>4572</v>
      </c>
      <c r="BT688" s="15" t="s">
        <v>804</v>
      </c>
      <c r="DH688" s="15" t="s">
        <v>17982</v>
      </c>
      <c r="DI688" s="15" t="s">
        <v>17982</v>
      </c>
    </row>
    <row r="689" spans="1:113" s="15" customFormat="1" ht="12.75" x14ac:dyDescent="0.2">
      <c r="A689" s="15" t="s">
        <v>109</v>
      </c>
      <c r="B689" s="15" t="s">
        <v>110</v>
      </c>
      <c r="D689" s="15" t="s">
        <v>791</v>
      </c>
      <c r="E689" s="15" t="s">
        <v>792</v>
      </c>
      <c r="F689" s="15" t="s">
        <v>791</v>
      </c>
      <c r="G689" s="15" t="s">
        <v>113</v>
      </c>
      <c r="H689" s="15" t="s">
        <v>383</v>
      </c>
      <c r="J689" s="16" t="s">
        <v>114</v>
      </c>
      <c r="U689" s="15" t="s">
        <v>17977</v>
      </c>
      <c r="W689" s="15">
        <v>953</v>
      </c>
      <c r="X689" s="15">
        <v>699</v>
      </c>
      <c r="Y689" s="15" t="s">
        <v>160</v>
      </c>
      <c r="Z689" s="15" t="s">
        <v>161</v>
      </c>
      <c r="AA689" s="15" t="s">
        <v>162</v>
      </c>
      <c r="AB689" s="15" t="s">
        <v>4546</v>
      </c>
      <c r="AC689" s="15" t="s">
        <v>4546</v>
      </c>
      <c r="AD689" s="15" t="s">
        <v>4547</v>
      </c>
      <c r="AE689" s="15" t="s">
        <v>164</v>
      </c>
      <c r="AF689" s="15" t="s">
        <v>4547</v>
      </c>
      <c r="AG689" s="15" t="s">
        <v>4546</v>
      </c>
      <c r="AH689" s="15" t="s">
        <v>4548</v>
      </c>
      <c r="AL689" s="15" t="s">
        <v>4549</v>
      </c>
      <c r="AN689" s="15">
        <v>743</v>
      </c>
      <c r="AO689" s="15" t="s">
        <v>4550</v>
      </c>
      <c r="AQ689" s="15" t="s">
        <v>168</v>
      </c>
      <c r="AT689" s="15" t="s">
        <v>4551</v>
      </c>
      <c r="AU689" s="15" t="s">
        <v>4552</v>
      </c>
      <c r="AV689" s="15" t="s">
        <v>4552</v>
      </c>
      <c r="AW689" s="18" t="s">
        <v>4553</v>
      </c>
      <c r="AX689" s="18" t="s">
        <v>4553</v>
      </c>
      <c r="AY689" s="15">
        <f t="shared" si="13"/>
        <v>39</v>
      </c>
      <c r="AZ689" s="18" t="s">
        <v>173</v>
      </c>
      <c r="BA689" s="18" t="s">
        <v>174</v>
      </c>
      <c r="BB689" s="18" t="s">
        <v>4026</v>
      </c>
      <c r="BC689" s="18"/>
      <c r="BD689" s="18"/>
      <c r="BE689" s="18" t="s">
        <v>1926</v>
      </c>
      <c r="BF689" s="18" t="s">
        <v>217</v>
      </c>
      <c r="BG689" s="18"/>
      <c r="BH689" s="18"/>
      <c r="BI689" s="18"/>
      <c r="BJ689" s="18"/>
      <c r="BK689" s="18"/>
      <c r="BL689" s="18"/>
      <c r="BM689" s="18"/>
      <c r="BN689" s="18" t="s">
        <v>179</v>
      </c>
      <c r="BO689" s="18"/>
      <c r="BP689" s="18" t="s">
        <v>138</v>
      </c>
      <c r="BQ689" s="18"/>
      <c r="BR689" s="18"/>
      <c r="BS689" s="15" t="s">
        <v>4554</v>
      </c>
      <c r="BT689" s="15" t="s">
        <v>804</v>
      </c>
      <c r="DH689" s="15" t="s">
        <v>17982</v>
      </c>
      <c r="DI689" s="15" t="s">
        <v>17982</v>
      </c>
    </row>
    <row r="690" spans="1:113" s="15" customFormat="1" ht="12.75" x14ac:dyDescent="0.2">
      <c r="A690" s="15" t="s">
        <v>109</v>
      </c>
      <c r="B690" s="15" t="s">
        <v>110</v>
      </c>
      <c r="D690" s="15" t="s">
        <v>791</v>
      </c>
      <c r="E690" s="15" t="s">
        <v>792</v>
      </c>
      <c r="F690" s="15" t="s">
        <v>791</v>
      </c>
      <c r="G690" s="15" t="s">
        <v>113</v>
      </c>
      <c r="H690" s="15" t="s">
        <v>383</v>
      </c>
      <c r="J690" s="16" t="s">
        <v>114</v>
      </c>
      <c r="U690" s="15" t="s">
        <v>17977</v>
      </c>
      <c r="W690" s="15">
        <v>960</v>
      </c>
      <c r="X690" s="15">
        <v>700</v>
      </c>
      <c r="Y690" s="15" t="s">
        <v>160</v>
      </c>
      <c r="Z690" s="15" t="s">
        <v>161</v>
      </c>
      <c r="AA690" s="15" t="s">
        <v>162</v>
      </c>
      <c r="AB690" s="15" t="s">
        <v>4609</v>
      </c>
      <c r="AC690" s="15" t="s">
        <v>4609</v>
      </c>
      <c r="AD690" s="15" t="s">
        <v>4610</v>
      </c>
      <c r="AE690" s="15" t="s">
        <v>164</v>
      </c>
      <c r="AF690" s="15" t="s">
        <v>4610</v>
      </c>
      <c r="AG690" s="15" t="s">
        <v>4609</v>
      </c>
      <c r="AH690" s="15" t="s">
        <v>4611</v>
      </c>
      <c r="AL690" s="15" t="s">
        <v>4603</v>
      </c>
      <c r="AN690" s="15">
        <v>743</v>
      </c>
      <c r="AO690" s="15" t="s">
        <v>4612</v>
      </c>
      <c r="AQ690" s="15" t="s">
        <v>168</v>
      </c>
      <c r="AT690" s="15" t="s">
        <v>4613</v>
      </c>
      <c r="AU690" s="15" t="s">
        <v>4614</v>
      </c>
      <c r="AV690" s="15" t="s">
        <v>4614</v>
      </c>
      <c r="AW690" s="18" t="s">
        <v>4615</v>
      </c>
      <c r="AX690" s="18" t="s">
        <v>4615</v>
      </c>
      <c r="AY690" s="15">
        <f t="shared" si="13"/>
        <v>38</v>
      </c>
      <c r="AZ690" s="18" t="s">
        <v>173</v>
      </c>
      <c r="BA690" s="18" t="s">
        <v>174</v>
      </c>
      <c r="BB690" s="18" t="s">
        <v>4026</v>
      </c>
      <c r="BC690" s="18"/>
      <c r="BD690" s="18"/>
      <c r="BE690" s="18" t="s">
        <v>1032</v>
      </c>
      <c r="BF690" s="18" t="s">
        <v>217</v>
      </c>
      <c r="BG690" s="18"/>
      <c r="BH690" s="18"/>
      <c r="BI690" s="18"/>
      <c r="BJ690" s="18"/>
      <c r="BK690" s="18"/>
      <c r="BL690" s="18"/>
      <c r="BM690" s="18"/>
      <c r="BN690" s="18" t="s">
        <v>179</v>
      </c>
      <c r="BO690" s="18"/>
      <c r="BP690" s="18" t="s">
        <v>138</v>
      </c>
      <c r="BQ690" s="18"/>
      <c r="BR690" s="18"/>
      <c r="BS690" s="15" t="s">
        <v>4616</v>
      </c>
      <c r="BT690" s="15" t="s">
        <v>804</v>
      </c>
      <c r="DH690" s="15" t="s">
        <v>17982</v>
      </c>
      <c r="DI690" s="15" t="s">
        <v>17982</v>
      </c>
    </row>
    <row r="691" spans="1:113" s="15" customFormat="1" ht="12.75" x14ac:dyDescent="0.2">
      <c r="A691" s="15" t="s">
        <v>109</v>
      </c>
      <c r="B691" s="15" t="s">
        <v>110</v>
      </c>
      <c r="D691" s="15" t="s">
        <v>791</v>
      </c>
      <c r="E691" s="15" t="s">
        <v>792</v>
      </c>
      <c r="F691" s="15" t="s">
        <v>791</v>
      </c>
      <c r="G691" s="15" t="s">
        <v>113</v>
      </c>
      <c r="H691" s="15" t="s">
        <v>383</v>
      </c>
      <c r="J691" s="16" t="s">
        <v>114</v>
      </c>
      <c r="U691" s="15" t="s">
        <v>17977</v>
      </c>
      <c r="W691" s="15">
        <v>956</v>
      </c>
      <c r="X691" s="15">
        <v>701</v>
      </c>
      <c r="Y691" s="15" t="s">
        <v>160</v>
      </c>
      <c r="Z691" s="15" t="s">
        <v>161</v>
      </c>
      <c r="AA691" s="15" t="s">
        <v>162</v>
      </c>
      <c r="AB691" s="15" t="s">
        <v>4573</v>
      </c>
      <c r="AC691" s="15" t="s">
        <v>4573</v>
      </c>
      <c r="AD691" s="15" t="s">
        <v>4574</v>
      </c>
      <c r="AE691" s="15" t="s">
        <v>164</v>
      </c>
      <c r="AF691" s="15" t="s">
        <v>4574</v>
      </c>
      <c r="AG691" s="15" t="s">
        <v>4573</v>
      </c>
      <c r="AH691" s="15" t="s">
        <v>4575</v>
      </c>
      <c r="AL691" s="15" t="s">
        <v>4576</v>
      </c>
      <c r="AN691" s="15">
        <v>743</v>
      </c>
      <c r="AO691" s="15" t="s">
        <v>4577</v>
      </c>
      <c r="AQ691" s="15" t="s">
        <v>168</v>
      </c>
      <c r="AT691" s="15" t="s">
        <v>4578</v>
      </c>
      <c r="AU691" s="15" t="s">
        <v>4579</v>
      </c>
      <c r="AV691" s="15" t="s">
        <v>4579</v>
      </c>
      <c r="AW691" s="18" t="s">
        <v>4580</v>
      </c>
      <c r="AX691" s="18" t="s">
        <v>4580</v>
      </c>
      <c r="AY691" s="15">
        <f t="shared" si="13"/>
        <v>37</v>
      </c>
      <c r="AZ691" s="18" t="s">
        <v>173</v>
      </c>
      <c r="BA691" s="18" t="s">
        <v>174</v>
      </c>
      <c r="BB691" s="18" t="s">
        <v>4026</v>
      </c>
      <c r="BC691" s="18"/>
      <c r="BD691" s="18"/>
      <c r="BE691" s="18" t="s">
        <v>1528</v>
      </c>
      <c r="BF691" s="18" t="s">
        <v>217</v>
      </c>
      <c r="BG691" s="18"/>
      <c r="BH691" s="18"/>
      <c r="BI691" s="18"/>
      <c r="BJ691" s="18"/>
      <c r="BK691" s="18"/>
      <c r="BL691" s="18"/>
      <c r="BM691" s="18"/>
      <c r="BN691" s="18" t="s">
        <v>179</v>
      </c>
      <c r="BO691" s="18"/>
      <c r="BP691" s="18" t="s">
        <v>138</v>
      </c>
      <c r="BQ691" s="18"/>
      <c r="BR691" s="18"/>
      <c r="BS691" s="15" t="s">
        <v>4581</v>
      </c>
      <c r="BT691" s="15" t="s">
        <v>804</v>
      </c>
      <c r="DH691" s="15" t="s">
        <v>17982</v>
      </c>
      <c r="DI691" s="15" t="s">
        <v>17982</v>
      </c>
    </row>
    <row r="692" spans="1:113" s="15" customFormat="1" ht="12.75" x14ac:dyDescent="0.2">
      <c r="A692" s="15" t="s">
        <v>109</v>
      </c>
      <c r="B692" s="15" t="s">
        <v>110</v>
      </c>
      <c r="D692" s="15" t="s">
        <v>791</v>
      </c>
      <c r="E692" s="15" t="s">
        <v>792</v>
      </c>
      <c r="F692" s="15" t="s">
        <v>791</v>
      </c>
      <c r="G692" s="15" t="s">
        <v>113</v>
      </c>
      <c r="H692" s="15" t="s">
        <v>383</v>
      </c>
      <c r="J692" s="16" t="s">
        <v>114</v>
      </c>
      <c r="U692" s="15" t="s">
        <v>17977</v>
      </c>
      <c r="W692" s="15">
        <v>2655</v>
      </c>
      <c r="X692" s="15">
        <v>702</v>
      </c>
      <c r="Y692" s="15" t="s">
        <v>160</v>
      </c>
      <c r="Z692" s="15" t="s">
        <v>161</v>
      </c>
      <c r="AA692" s="15" t="s">
        <v>162</v>
      </c>
      <c r="AB692" s="15" t="s">
        <v>12865</v>
      </c>
      <c r="AC692" s="15" t="s">
        <v>12865</v>
      </c>
      <c r="AD692" s="15" t="s">
        <v>12865</v>
      </c>
      <c r="AE692" s="15" t="s">
        <v>164</v>
      </c>
      <c r="AF692" s="15" t="s">
        <v>12865</v>
      </c>
      <c r="AG692" s="15" t="s">
        <v>12865</v>
      </c>
      <c r="AH692" s="47" t="s">
        <v>12866</v>
      </c>
      <c r="AL692" s="15" t="s">
        <v>12867</v>
      </c>
      <c r="AN692" s="15">
        <v>743</v>
      </c>
      <c r="AO692" s="15" t="s">
        <v>12868</v>
      </c>
      <c r="AQ692" s="15" t="s">
        <v>168</v>
      </c>
      <c r="AT692" s="15" t="s">
        <v>12869</v>
      </c>
      <c r="AU692" s="15" t="s">
        <v>12870</v>
      </c>
      <c r="AV692" s="15" t="s">
        <v>12870</v>
      </c>
      <c r="AW692" s="18" t="s">
        <v>12871</v>
      </c>
      <c r="AX692" s="18" t="s">
        <v>12871</v>
      </c>
      <c r="AY692" s="15">
        <f t="shared" si="13"/>
        <v>46</v>
      </c>
      <c r="AZ692" s="18" t="s">
        <v>173</v>
      </c>
      <c r="BA692" s="18" t="s">
        <v>174</v>
      </c>
      <c r="BB692" s="18" t="s">
        <v>12872</v>
      </c>
      <c r="BC692" s="18"/>
      <c r="BD692" s="18"/>
      <c r="BE692" s="18" t="s">
        <v>176</v>
      </c>
      <c r="BF692" s="18"/>
      <c r="BG692" s="18"/>
      <c r="BH692" s="18"/>
      <c r="BI692" s="18" t="s">
        <v>3142</v>
      </c>
      <c r="BJ692" s="18" t="s">
        <v>5865</v>
      </c>
      <c r="BK692" s="18"/>
      <c r="BL692" s="18"/>
      <c r="BM692" s="18"/>
      <c r="BN692" s="18" t="s">
        <v>179</v>
      </c>
      <c r="BO692" s="18"/>
      <c r="BP692" s="18" t="s">
        <v>138</v>
      </c>
      <c r="BQ692" s="18"/>
      <c r="BR692" s="18"/>
      <c r="BS692" s="15" t="s">
        <v>12873</v>
      </c>
      <c r="BT692" s="15" t="s">
        <v>804</v>
      </c>
      <c r="DH692" s="15" t="s">
        <v>17982</v>
      </c>
      <c r="DI692" s="15" t="s">
        <v>17982</v>
      </c>
    </row>
    <row r="693" spans="1:113" s="15" customFormat="1" ht="12.75" x14ac:dyDescent="0.2">
      <c r="A693" s="15" t="s">
        <v>109</v>
      </c>
      <c r="B693" s="15" t="s">
        <v>110</v>
      </c>
      <c r="D693" s="15" t="s">
        <v>791</v>
      </c>
      <c r="E693" s="15" t="s">
        <v>792</v>
      </c>
      <c r="F693" s="15" t="s">
        <v>791</v>
      </c>
      <c r="G693" s="15" t="s">
        <v>113</v>
      </c>
      <c r="H693" s="15" t="s">
        <v>383</v>
      </c>
      <c r="J693" s="16" t="s">
        <v>114</v>
      </c>
      <c r="U693" s="15" t="s">
        <v>17977</v>
      </c>
      <c r="W693" s="15">
        <v>958</v>
      </c>
      <c r="X693" s="15">
        <v>703</v>
      </c>
      <c r="Y693" s="15" t="s">
        <v>160</v>
      </c>
      <c r="Z693" s="15" t="s">
        <v>161</v>
      </c>
      <c r="AA693" s="15" t="s">
        <v>162</v>
      </c>
      <c r="AB693" s="15" t="s">
        <v>4591</v>
      </c>
      <c r="AC693" s="15" t="s">
        <v>4591</v>
      </c>
      <c r="AD693" s="15" t="s">
        <v>4592</v>
      </c>
      <c r="AE693" s="15" t="s">
        <v>164</v>
      </c>
      <c r="AF693" s="15" t="s">
        <v>4592</v>
      </c>
      <c r="AG693" s="15" t="s">
        <v>4591</v>
      </c>
      <c r="AH693" s="15" t="s">
        <v>4593</v>
      </c>
      <c r="AL693" s="15" t="s">
        <v>4585</v>
      </c>
      <c r="AN693" s="15">
        <v>743</v>
      </c>
      <c r="AO693" s="15" t="s">
        <v>4594</v>
      </c>
      <c r="AQ693" s="15" t="s">
        <v>168</v>
      </c>
      <c r="AT693" s="15" t="s">
        <v>4595</v>
      </c>
      <c r="AU693" s="15" t="s">
        <v>4596</v>
      </c>
      <c r="AV693" s="15" t="s">
        <v>4596</v>
      </c>
      <c r="AW693" s="18" t="s">
        <v>4597</v>
      </c>
      <c r="AX693" s="18" t="s">
        <v>4597</v>
      </c>
      <c r="AY693" s="15">
        <f t="shared" si="13"/>
        <v>54</v>
      </c>
      <c r="AZ693" s="18" t="s">
        <v>173</v>
      </c>
      <c r="BA693" s="18" t="s">
        <v>174</v>
      </c>
      <c r="BB693" s="18" t="s">
        <v>4026</v>
      </c>
      <c r="BC693" s="18"/>
      <c r="BD693" s="18"/>
      <c r="BE693" s="18" t="s">
        <v>1926</v>
      </c>
      <c r="BF693" s="18" t="s">
        <v>3591</v>
      </c>
      <c r="BG693" s="18"/>
      <c r="BH693" s="18"/>
      <c r="BI693" s="18"/>
      <c r="BJ693" s="18" t="s">
        <v>4598</v>
      </c>
      <c r="BK693" s="18" t="s">
        <v>1714</v>
      </c>
      <c r="BL693" s="18"/>
      <c r="BM693" s="18"/>
      <c r="BN693" s="18" t="s">
        <v>179</v>
      </c>
      <c r="BO693" s="18"/>
      <c r="BP693" s="18" t="s">
        <v>138</v>
      </c>
      <c r="BQ693" s="18"/>
      <c r="BR693" s="18"/>
      <c r="BS693" s="15" t="s">
        <v>4599</v>
      </c>
      <c r="BT693" s="15" t="s">
        <v>804</v>
      </c>
      <c r="DH693" s="15" t="s">
        <v>17982</v>
      </c>
      <c r="DI693" s="15" t="s">
        <v>17982</v>
      </c>
    </row>
    <row r="694" spans="1:113" s="15" customFormat="1" ht="12.75" x14ac:dyDescent="0.2">
      <c r="A694" s="15" t="s">
        <v>109</v>
      </c>
      <c r="B694" s="15" t="s">
        <v>110</v>
      </c>
      <c r="D694" s="15" t="s">
        <v>791</v>
      </c>
      <c r="E694" s="15" t="s">
        <v>792</v>
      </c>
      <c r="F694" s="15" t="s">
        <v>791</v>
      </c>
      <c r="G694" s="15" t="s">
        <v>113</v>
      </c>
      <c r="H694" s="15" t="s">
        <v>383</v>
      </c>
      <c r="J694" s="16" t="s">
        <v>114</v>
      </c>
      <c r="U694" s="15" t="s">
        <v>17977</v>
      </c>
      <c r="W694" s="15">
        <v>947</v>
      </c>
      <c r="X694" s="15">
        <v>704</v>
      </c>
      <c r="Y694" s="15" t="s">
        <v>160</v>
      </c>
      <c r="Z694" s="15" t="s">
        <v>161</v>
      </c>
      <c r="AA694" s="15" t="s">
        <v>162</v>
      </c>
      <c r="AB694" s="15" t="s">
        <v>4490</v>
      </c>
      <c r="AC694" s="15" t="s">
        <v>4490</v>
      </c>
      <c r="AD694" s="15" t="s">
        <v>4490</v>
      </c>
      <c r="AE694" s="15" t="s">
        <v>164</v>
      </c>
      <c r="AF694" s="15" t="s">
        <v>4490</v>
      </c>
      <c r="AG694" s="15" t="s">
        <v>4490</v>
      </c>
      <c r="AH694" s="15" t="s">
        <v>4491</v>
      </c>
      <c r="AL694" s="15" t="s">
        <v>4492</v>
      </c>
      <c r="AN694" s="15">
        <v>743</v>
      </c>
      <c r="AO694" s="15" t="s">
        <v>4493</v>
      </c>
      <c r="AQ694" s="15" t="s">
        <v>168</v>
      </c>
      <c r="AT694" s="15" t="s">
        <v>4494</v>
      </c>
      <c r="AU694" s="15" t="s">
        <v>4495</v>
      </c>
      <c r="AV694" s="15" t="s">
        <v>4495</v>
      </c>
      <c r="AW694" s="18" t="s">
        <v>4496</v>
      </c>
      <c r="AX694" s="18" t="s">
        <v>4497</v>
      </c>
      <c r="AY694" s="15">
        <f t="shared" si="13"/>
        <v>48</v>
      </c>
      <c r="AZ694" s="18" t="s">
        <v>173</v>
      </c>
      <c r="BA694" s="18" t="s">
        <v>174</v>
      </c>
      <c r="BB694" s="18" t="s">
        <v>4026</v>
      </c>
      <c r="BC694" s="18"/>
      <c r="BD694" s="18"/>
      <c r="BE694" s="18" t="s">
        <v>606</v>
      </c>
      <c r="BF694" s="18"/>
      <c r="BG694" s="18"/>
      <c r="BH694" s="18"/>
      <c r="BI694" s="18" t="s">
        <v>3163</v>
      </c>
      <c r="BJ694" s="18" t="s">
        <v>4488</v>
      </c>
      <c r="BK694" s="18"/>
      <c r="BL694" s="18"/>
      <c r="BM694" s="18"/>
      <c r="BN694" s="18" t="s">
        <v>179</v>
      </c>
      <c r="BO694" s="18"/>
      <c r="BP694" s="18" t="s">
        <v>138</v>
      </c>
      <c r="BQ694" s="18"/>
      <c r="BR694" s="18"/>
      <c r="BS694" s="15" t="s">
        <v>4498</v>
      </c>
      <c r="BT694" s="15" t="s">
        <v>804</v>
      </c>
      <c r="DH694" s="15" t="s">
        <v>17982</v>
      </c>
      <c r="DI694" s="15" t="s">
        <v>17982</v>
      </c>
    </row>
    <row r="695" spans="1:113" s="15" customFormat="1" ht="12.75" x14ac:dyDescent="0.2">
      <c r="A695" s="15" t="s">
        <v>109</v>
      </c>
      <c r="B695" s="15" t="s">
        <v>110</v>
      </c>
      <c r="D695" s="15" t="s">
        <v>791</v>
      </c>
      <c r="E695" s="15" t="s">
        <v>792</v>
      </c>
      <c r="F695" s="15" t="s">
        <v>791</v>
      </c>
      <c r="G695" s="15" t="s">
        <v>113</v>
      </c>
      <c r="H695" s="15" t="s">
        <v>383</v>
      </c>
      <c r="J695" s="16" t="s">
        <v>114</v>
      </c>
      <c r="U695" s="15" t="s">
        <v>17977</v>
      </c>
      <c r="W695" s="15">
        <v>948</v>
      </c>
      <c r="X695" s="15">
        <v>705</v>
      </c>
      <c r="Y695" s="15" t="s">
        <v>160</v>
      </c>
      <c r="Z695" s="15" t="s">
        <v>161</v>
      </c>
      <c r="AA695" s="15" t="s">
        <v>162</v>
      </c>
      <c r="AB695" s="15" t="s">
        <v>4499</v>
      </c>
      <c r="AC695" s="15" t="s">
        <v>4499</v>
      </c>
      <c r="AD695" s="15" t="s">
        <v>4499</v>
      </c>
      <c r="AE695" s="15" t="s">
        <v>164</v>
      </c>
      <c r="AF695" s="15" t="s">
        <v>4499</v>
      </c>
      <c r="AG695" s="15" t="s">
        <v>4499</v>
      </c>
      <c r="AH695" s="15" t="s">
        <v>4500</v>
      </c>
      <c r="AL695" s="15" t="s">
        <v>4501</v>
      </c>
      <c r="AN695" s="15">
        <v>743</v>
      </c>
      <c r="AO695" s="15" t="s">
        <v>4502</v>
      </c>
      <c r="AQ695" s="15" t="s">
        <v>168</v>
      </c>
      <c r="AT695" s="15" t="s">
        <v>4503</v>
      </c>
      <c r="AU695" s="15" t="s">
        <v>4504</v>
      </c>
      <c r="AV695" s="15" t="s">
        <v>4504</v>
      </c>
      <c r="AW695" s="18" t="s">
        <v>4505</v>
      </c>
      <c r="AX695" s="18" t="s">
        <v>4506</v>
      </c>
      <c r="AY695" s="15">
        <f t="shared" si="13"/>
        <v>50</v>
      </c>
      <c r="AZ695" s="18" t="s">
        <v>173</v>
      </c>
      <c r="BA695" s="18" t="s">
        <v>174</v>
      </c>
      <c r="BB695" s="18" t="s">
        <v>4026</v>
      </c>
      <c r="BC695" s="18"/>
      <c r="BD695" s="18"/>
      <c r="BE695" s="18" t="s">
        <v>1032</v>
      </c>
      <c r="BF695" s="18"/>
      <c r="BG695" s="18"/>
      <c r="BH695" s="18"/>
      <c r="BI695" s="18" t="s">
        <v>3163</v>
      </c>
      <c r="BJ695" s="18" t="s">
        <v>4488</v>
      </c>
      <c r="BK695" s="18"/>
      <c r="BL695" s="18"/>
      <c r="BM695" s="18"/>
      <c r="BN695" s="18" t="s">
        <v>179</v>
      </c>
      <c r="BO695" s="18"/>
      <c r="BP695" s="18" t="s">
        <v>138</v>
      </c>
      <c r="BQ695" s="18"/>
      <c r="BR695" s="18"/>
      <c r="BS695" s="15" t="s">
        <v>4507</v>
      </c>
      <c r="BT695" s="15" t="s">
        <v>804</v>
      </c>
      <c r="DH695" s="15" t="s">
        <v>17982</v>
      </c>
      <c r="DI695" s="15" t="s">
        <v>17982</v>
      </c>
    </row>
    <row r="696" spans="1:113" s="15" customFormat="1" ht="12.75" x14ac:dyDescent="0.2">
      <c r="A696" s="15" t="s">
        <v>109</v>
      </c>
      <c r="B696" s="15" t="s">
        <v>110</v>
      </c>
      <c r="D696" s="15" t="s">
        <v>791</v>
      </c>
      <c r="E696" s="15" t="s">
        <v>792</v>
      </c>
      <c r="F696" s="15" t="s">
        <v>791</v>
      </c>
      <c r="G696" s="15" t="s">
        <v>113</v>
      </c>
      <c r="H696" s="15" t="s">
        <v>383</v>
      </c>
      <c r="J696" s="16" t="s">
        <v>114</v>
      </c>
      <c r="U696" s="15" t="s">
        <v>17977</v>
      </c>
      <c r="W696" s="15">
        <v>946</v>
      </c>
      <c r="X696" s="15">
        <v>706</v>
      </c>
      <c r="Y696" s="15" t="s">
        <v>160</v>
      </c>
      <c r="Z696" s="15" t="s">
        <v>161</v>
      </c>
      <c r="AA696" s="15" t="s">
        <v>162</v>
      </c>
      <c r="AB696" s="15" t="s">
        <v>4480</v>
      </c>
      <c r="AC696" s="15" t="s">
        <v>4480</v>
      </c>
      <c r="AD696" s="15" t="s">
        <v>4480</v>
      </c>
      <c r="AE696" s="15" t="s">
        <v>164</v>
      </c>
      <c r="AF696" s="15" t="s">
        <v>4480</v>
      </c>
      <c r="AG696" s="15" t="s">
        <v>4480</v>
      </c>
      <c r="AH696" s="15" t="s">
        <v>4481</v>
      </c>
      <c r="AL696" s="15" t="s">
        <v>4482</v>
      </c>
      <c r="AN696" s="15">
        <v>743</v>
      </c>
      <c r="AO696" s="15" t="s">
        <v>4483</v>
      </c>
      <c r="AQ696" s="15" t="s">
        <v>168</v>
      </c>
      <c r="AT696" s="15" t="s">
        <v>4484</v>
      </c>
      <c r="AU696" s="15" t="s">
        <v>4485</v>
      </c>
      <c r="AV696" s="15" t="s">
        <v>4485</v>
      </c>
      <c r="AW696" s="18" t="s">
        <v>4486</v>
      </c>
      <c r="AX696" s="18" t="s">
        <v>4487</v>
      </c>
      <c r="AY696" s="15">
        <f t="shared" si="13"/>
        <v>49</v>
      </c>
      <c r="AZ696" s="18" t="s">
        <v>173</v>
      </c>
      <c r="BA696" s="18" t="s">
        <v>174</v>
      </c>
      <c r="BB696" s="18" t="s">
        <v>4026</v>
      </c>
      <c r="BC696" s="18"/>
      <c r="BD696" s="18"/>
      <c r="BE696" s="18" t="s">
        <v>564</v>
      </c>
      <c r="BF696" s="18"/>
      <c r="BG696" s="18"/>
      <c r="BH696" s="18"/>
      <c r="BI696" s="18" t="s">
        <v>3163</v>
      </c>
      <c r="BJ696" s="18" t="s">
        <v>4488</v>
      </c>
      <c r="BK696" s="18"/>
      <c r="BL696" s="18"/>
      <c r="BM696" s="18"/>
      <c r="BN696" s="18" t="s">
        <v>179</v>
      </c>
      <c r="BO696" s="18"/>
      <c r="BP696" s="18" t="s">
        <v>138</v>
      </c>
      <c r="BQ696" s="18"/>
      <c r="BR696" s="18"/>
      <c r="BS696" s="15" t="s">
        <v>4489</v>
      </c>
      <c r="BT696" s="15" t="s">
        <v>804</v>
      </c>
      <c r="DH696" s="15" t="s">
        <v>17982</v>
      </c>
      <c r="DI696" s="15" t="s">
        <v>17982</v>
      </c>
    </row>
    <row r="697" spans="1:113" s="15" customFormat="1" ht="12.75" x14ac:dyDescent="0.2">
      <c r="A697" s="15" t="s">
        <v>109</v>
      </c>
      <c r="B697" s="15" t="s">
        <v>110</v>
      </c>
      <c r="D697" s="15" t="s">
        <v>791</v>
      </c>
      <c r="E697" s="15" t="s">
        <v>792</v>
      </c>
      <c r="F697" s="15" t="s">
        <v>791</v>
      </c>
      <c r="G697" s="15" t="s">
        <v>113</v>
      </c>
      <c r="H697" s="15" t="s">
        <v>383</v>
      </c>
      <c r="J697" s="16" t="s">
        <v>114</v>
      </c>
      <c r="U697" s="15" t="s">
        <v>17977</v>
      </c>
      <c r="W697" s="15">
        <v>3460</v>
      </c>
      <c r="X697" s="15">
        <v>707</v>
      </c>
      <c r="Y697" s="15" t="s">
        <v>160</v>
      </c>
      <c r="Z697" s="15" t="s">
        <v>161</v>
      </c>
      <c r="AA697" s="15" t="s">
        <v>162</v>
      </c>
      <c r="AB697" s="15" t="s">
        <v>16713</v>
      </c>
      <c r="AC697" s="15" t="s">
        <v>16713</v>
      </c>
      <c r="AD697" s="15" t="s">
        <v>16713</v>
      </c>
      <c r="AE697" s="15" t="s">
        <v>164</v>
      </c>
      <c r="AF697" s="15" t="s">
        <v>16713</v>
      </c>
      <c r="AG697" s="15" t="s">
        <v>16713</v>
      </c>
      <c r="AH697" s="15" t="s">
        <v>16714</v>
      </c>
      <c r="AL697" s="15" t="s">
        <v>16715</v>
      </c>
      <c r="AN697" s="15">
        <v>743</v>
      </c>
      <c r="AO697" s="15" t="s">
        <v>16716</v>
      </c>
      <c r="AQ697" s="15" t="s">
        <v>168</v>
      </c>
      <c r="AT697" s="15" t="s">
        <v>16717</v>
      </c>
      <c r="AU697" s="15" t="s">
        <v>16718</v>
      </c>
      <c r="AV697" s="15" t="s">
        <v>16718</v>
      </c>
      <c r="AW697" s="18" t="s">
        <v>16719</v>
      </c>
      <c r="AX697" s="18" t="s">
        <v>16720</v>
      </c>
      <c r="AY697" s="15">
        <f t="shared" si="13"/>
        <v>50</v>
      </c>
      <c r="AZ697" s="18" t="s">
        <v>173</v>
      </c>
      <c r="BA697" s="18" t="s">
        <v>174</v>
      </c>
      <c r="BB697" s="18" t="s">
        <v>4026</v>
      </c>
      <c r="BC697" s="18"/>
      <c r="BD697" s="18"/>
      <c r="BE697" s="18" t="s">
        <v>2865</v>
      </c>
      <c r="BF697" s="18" t="s">
        <v>217</v>
      </c>
      <c r="BG697" s="18"/>
      <c r="BH697" s="18"/>
      <c r="BI697" s="18" t="s">
        <v>189</v>
      </c>
      <c r="BJ697" s="18" t="s">
        <v>16711</v>
      </c>
      <c r="BK697" s="18" t="s">
        <v>314</v>
      </c>
      <c r="BL697" s="18"/>
      <c r="BM697" s="18"/>
      <c r="BN697" s="18" t="s">
        <v>179</v>
      </c>
      <c r="BO697" s="18" t="s">
        <v>16602</v>
      </c>
      <c r="BP697" s="18" t="s">
        <v>138</v>
      </c>
      <c r="BQ697" s="18"/>
      <c r="BR697" s="18"/>
      <c r="BS697" s="15" t="s">
        <v>16721</v>
      </c>
      <c r="BT697" s="15" t="s">
        <v>804</v>
      </c>
      <c r="DH697" s="15" t="s">
        <v>17982</v>
      </c>
      <c r="DI697" s="15" t="s">
        <v>17982</v>
      </c>
    </row>
    <row r="698" spans="1:113" s="15" customFormat="1" ht="12.75" x14ac:dyDescent="0.2">
      <c r="A698" s="15" t="s">
        <v>109</v>
      </c>
      <c r="B698" s="15" t="s">
        <v>110</v>
      </c>
      <c r="D698" s="15" t="s">
        <v>791</v>
      </c>
      <c r="E698" s="15" t="s">
        <v>792</v>
      </c>
      <c r="F698" s="15" t="s">
        <v>791</v>
      </c>
      <c r="G698" s="15" t="s">
        <v>113</v>
      </c>
      <c r="H698" s="15" t="s">
        <v>383</v>
      </c>
      <c r="J698" s="16" t="s">
        <v>114</v>
      </c>
      <c r="U698" s="15" t="s">
        <v>17977</v>
      </c>
      <c r="W698" s="15">
        <v>3459</v>
      </c>
      <c r="X698" s="15">
        <v>708</v>
      </c>
      <c r="Y698" s="15" t="s">
        <v>160</v>
      </c>
      <c r="Z698" s="15" t="s">
        <v>161</v>
      </c>
      <c r="AA698" s="15" t="s">
        <v>162</v>
      </c>
      <c r="AB698" s="15" t="s">
        <v>16703</v>
      </c>
      <c r="AC698" s="15" t="s">
        <v>16703</v>
      </c>
      <c r="AD698" s="15" t="s">
        <v>16703</v>
      </c>
      <c r="AE698" s="15" t="s">
        <v>164</v>
      </c>
      <c r="AF698" s="15" t="s">
        <v>16703</v>
      </c>
      <c r="AG698" s="15" t="s">
        <v>16703</v>
      </c>
      <c r="AH698" s="15" t="s">
        <v>16704</v>
      </c>
      <c r="AL698" s="15" t="s">
        <v>16705</v>
      </c>
      <c r="AN698" s="15">
        <v>743</v>
      </c>
      <c r="AO698" s="15" t="s">
        <v>16706</v>
      </c>
      <c r="AQ698" s="15" t="s">
        <v>168</v>
      </c>
      <c r="AT698" s="15" t="s">
        <v>16707</v>
      </c>
      <c r="AU698" s="15" t="s">
        <v>16708</v>
      </c>
      <c r="AV698" s="15" t="s">
        <v>16708</v>
      </c>
      <c r="AW698" s="18" t="s">
        <v>16709</v>
      </c>
      <c r="AX698" s="18" t="s">
        <v>16710</v>
      </c>
      <c r="AY698" s="15">
        <f t="shared" si="13"/>
        <v>52</v>
      </c>
      <c r="AZ698" s="18" t="s">
        <v>173</v>
      </c>
      <c r="BA698" s="18" t="s">
        <v>174</v>
      </c>
      <c r="BB698" s="18" t="s">
        <v>4026</v>
      </c>
      <c r="BC698" s="18"/>
      <c r="BD698" s="18"/>
      <c r="BE698" s="18" t="s">
        <v>3112</v>
      </c>
      <c r="BF698" s="18" t="s">
        <v>3153</v>
      </c>
      <c r="BG698" s="18"/>
      <c r="BH698" s="18"/>
      <c r="BI698" s="18" t="s">
        <v>189</v>
      </c>
      <c r="BJ698" s="18" t="s">
        <v>16711</v>
      </c>
      <c r="BK698" s="18" t="s">
        <v>314</v>
      </c>
      <c r="BL698" s="18"/>
      <c r="BM698" s="18"/>
      <c r="BN698" s="18" t="s">
        <v>179</v>
      </c>
      <c r="BO698" s="18" t="s">
        <v>16602</v>
      </c>
      <c r="BP698" s="18" t="s">
        <v>138</v>
      </c>
      <c r="BQ698" s="18"/>
      <c r="BR698" s="18"/>
      <c r="BS698" s="15" t="s">
        <v>16712</v>
      </c>
      <c r="BT698" s="15" t="s">
        <v>804</v>
      </c>
      <c r="DH698" s="15" t="s">
        <v>17982</v>
      </c>
      <c r="DI698" s="15" t="s">
        <v>17982</v>
      </c>
    </row>
    <row r="699" spans="1:113" s="15" customFormat="1" ht="12.75" x14ac:dyDescent="0.2">
      <c r="A699" s="15" t="s">
        <v>109</v>
      </c>
      <c r="B699" s="15" t="s">
        <v>110</v>
      </c>
      <c r="D699" s="15" t="s">
        <v>791</v>
      </c>
      <c r="E699" s="15" t="s">
        <v>792</v>
      </c>
      <c r="F699" s="15" t="s">
        <v>791</v>
      </c>
      <c r="G699" s="15" t="s">
        <v>113</v>
      </c>
      <c r="H699" s="15" t="s">
        <v>383</v>
      </c>
      <c r="J699" s="16" t="s">
        <v>114</v>
      </c>
      <c r="U699" s="15" t="s">
        <v>17977</v>
      </c>
      <c r="W699" s="15">
        <v>745</v>
      </c>
      <c r="X699" s="15">
        <v>709</v>
      </c>
      <c r="Y699" s="15" t="s">
        <v>160</v>
      </c>
      <c r="Z699" s="15" t="s">
        <v>161</v>
      </c>
      <c r="AA699" s="15" t="s">
        <v>162</v>
      </c>
      <c r="AB699" s="15" t="s">
        <v>3166</v>
      </c>
      <c r="AC699" s="15" t="s">
        <v>3166</v>
      </c>
      <c r="AD699" s="15" t="s">
        <v>3166</v>
      </c>
      <c r="AE699" s="15" t="s">
        <v>164</v>
      </c>
      <c r="AF699" s="15" t="s">
        <v>3166</v>
      </c>
      <c r="AG699" s="15" t="s">
        <v>3166</v>
      </c>
      <c r="AH699" s="15" t="s">
        <v>3167</v>
      </c>
      <c r="AL699" s="15" t="s">
        <v>3168</v>
      </c>
      <c r="AN699" s="15">
        <v>743</v>
      </c>
      <c r="AO699" s="15" t="s">
        <v>3169</v>
      </c>
      <c r="AQ699" s="15" t="s">
        <v>168</v>
      </c>
      <c r="AT699" s="15" t="s">
        <v>3170</v>
      </c>
      <c r="AU699" s="15" t="s">
        <v>3171</v>
      </c>
      <c r="AV699" s="15" t="s">
        <v>3171</v>
      </c>
      <c r="AW699" s="18" t="s">
        <v>3172</v>
      </c>
      <c r="AX699" s="18" t="s">
        <v>3172</v>
      </c>
      <c r="AY699" s="15">
        <f t="shared" si="13"/>
        <v>56</v>
      </c>
      <c r="AZ699" s="18" t="s">
        <v>173</v>
      </c>
      <c r="BA699" s="18" t="s">
        <v>174</v>
      </c>
      <c r="BB699" s="18" t="s">
        <v>2370</v>
      </c>
      <c r="BC699" s="18"/>
      <c r="BD699" s="18"/>
      <c r="BE699" s="18" t="s">
        <v>606</v>
      </c>
      <c r="BF699" s="18" t="s">
        <v>3153</v>
      </c>
      <c r="BG699" s="18"/>
      <c r="BH699" s="18"/>
      <c r="BI699" s="18" t="s">
        <v>3163</v>
      </c>
      <c r="BJ699" s="18" t="s">
        <v>3164</v>
      </c>
      <c r="BK699" s="18"/>
      <c r="BL699" s="18"/>
      <c r="BM699" s="18"/>
      <c r="BN699" s="18" t="s">
        <v>179</v>
      </c>
      <c r="BO699" s="18"/>
      <c r="BP699" s="18" t="s">
        <v>138</v>
      </c>
      <c r="BQ699" s="18"/>
      <c r="BR699" s="18"/>
      <c r="BS699" s="15" t="s">
        <v>3173</v>
      </c>
      <c r="BT699" s="15" t="s">
        <v>804</v>
      </c>
      <c r="DH699" s="15" t="s">
        <v>17982</v>
      </c>
      <c r="DI699" s="15" t="s">
        <v>17982</v>
      </c>
    </row>
    <row r="700" spans="1:113" s="15" customFormat="1" ht="12.75" x14ac:dyDescent="0.2">
      <c r="A700" s="15" t="s">
        <v>109</v>
      </c>
      <c r="B700" s="15" t="s">
        <v>110</v>
      </c>
      <c r="D700" s="15" t="s">
        <v>791</v>
      </c>
      <c r="E700" s="15" t="s">
        <v>792</v>
      </c>
      <c r="F700" s="15" t="s">
        <v>791</v>
      </c>
      <c r="G700" s="15" t="s">
        <v>113</v>
      </c>
      <c r="H700" s="15" t="s">
        <v>383</v>
      </c>
      <c r="J700" s="16" t="s">
        <v>114</v>
      </c>
      <c r="U700" s="15" t="s">
        <v>17977</v>
      </c>
      <c r="W700" s="15">
        <v>746</v>
      </c>
      <c r="X700" s="15">
        <v>710</v>
      </c>
      <c r="Y700" s="15" t="s">
        <v>160</v>
      </c>
      <c r="Z700" s="15" t="s">
        <v>161</v>
      </c>
      <c r="AA700" s="15" t="s">
        <v>162</v>
      </c>
      <c r="AB700" s="15" t="s">
        <v>3174</v>
      </c>
      <c r="AC700" s="15" t="s">
        <v>3174</v>
      </c>
      <c r="AD700" s="15" t="s">
        <v>3174</v>
      </c>
      <c r="AE700" s="15" t="s">
        <v>164</v>
      </c>
      <c r="AF700" s="15" t="s">
        <v>3174</v>
      </c>
      <c r="AG700" s="15" t="s">
        <v>3174</v>
      </c>
      <c r="AH700" s="37" t="s">
        <v>3175</v>
      </c>
      <c r="AL700" s="15" t="s">
        <v>3176</v>
      </c>
      <c r="AN700" s="15">
        <v>743</v>
      </c>
      <c r="AO700" s="15" t="s">
        <v>3177</v>
      </c>
      <c r="AQ700" s="15" t="s">
        <v>168</v>
      </c>
      <c r="AT700" s="15" t="s">
        <v>3178</v>
      </c>
      <c r="AU700" s="15" t="s">
        <v>3179</v>
      </c>
      <c r="AV700" s="15" t="s">
        <v>3179</v>
      </c>
      <c r="AW700" s="18" t="s">
        <v>3180</v>
      </c>
      <c r="AX700" s="18" t="s">
        <v>3180</v>
      </c>
      <c r="AY700" s="15">
        <f t="shared" si="13"/>
        <v>57</v>
      </c>
      <c r="AZ700" s="18" t="s">
        <v>173</v>
      </c>
      <c r="BA700" s="18" t="s">
        <v>174</v>
      </c>
      <c r="BB700" s="18" t="s">
        <v>2370</v>
      </c>
      <c r="BC700" s="18"/>
      <c r="BD700" s="18"/>
      <c r="BE700" s="18" t="s">
        <v>1926</v>
      </c>
      <c r="BF700" s="18" t="s">
        <v>217</v>
      </c>
      <c r="BG700" s="18"/>
      <c r="BH700" s="18"/>
      <c r="BI700" s="18" t="s">
        <v>3163</v>
      </c>
      <c r="BJ700" s="18" t="s">
        <v>3164</v>
      </c>
      <c r="BK700" s="18"/>
      <c r="BL700" s="18"/>
      <c r="BM700" s="18"/>
      <c r="BN700" s="18" t="s">
        <v>179</v>
      </c>
      <c r="BO700" s="18"/>
      <c r="BP700" s="18" t="s">
        <v>138</v>
      </c>
      <c r="BQ700" s="18"/>
      <c r="BR700" s="18"/>
      <c r="BS700" s="15" t="s">
        <v>3181</v>
      </c>
      <c r="BT700" s="15" t="s">
        <v>804</v>
      </c>
      <c r="DH700" s="15" t="s">
        <v>17982</v>
      </c>
      <c r="DI700" s="15" t="s">
        <v>17982</v>
      </c>
    </row>
    <row r="701" spans="1:113" s="15" customFormat="1" ht="12.75" x14ac:dyDescent="0.2">
      <c r="A701" s="15" t="s">
        <v>109</v>
      </c>
      <c r="B701" s="15" t="s">
        <v>110</v>
      </c>
      <c r="D701" s="15" t="s">
        <v>791</v>
      </c>
      <c r="E701" s="15" t="s">
        <v>792</v>
      </c>
      <c r="F701" s="15" t="s">
        <v>791</v>
      </c>
      <c r="G701" s="15" t="s">
        <v>113</v>
      </c>
      <c r="H701" s="15" t="s">
        <v>383</v>
      </c>
      <c r="J701" s="16" t="s">
        <v>114</v>
      </c>
      <c r="U701" s="15" t="s">
        <v>17977</v>
      </c>
      <c r="W701" s="15">
        <v>744</v>
      </c>
      <c r="X701" s="15">
        <v>711</v>
      </c>
      <c r="Y701" s="15" t="s">
        <v>160</v>
      </c>
      <c r="Z701" s="15" t="s">
        <v>161</v>
      </c>
      <c r="AA701" s="15" t="s">
        <v>162</v>
      </c>
      <c r="AB701" s="15" t="s">
        <v>3155</v>
      </c>
      <c r="AC701" s="15" t="s">
        <v>3155</v>
      </c>
      <c r="AD701" s="15" t="s">
        <v>3155</v>
      </c>
      <c r="AE701" s="15" t="s">
        <v>164</v>
      </c>
      <c r="AF701" s="15" t="s">
        <v>3155</v>
      </c>
      <c r="AG701" s="15" t="s">
        <v>3155</v>
      </c>
      <c r="AH701" s="37" t="s">
        <v>3156</v>
      </c>
      <c r="AL701" s="15" t="s">
        <v>3157</v>
      </c>
      <c r="AN701" s="15">
        <v>743</v>
      </c>
      <c r="AO701" s="15" t="s">
        <v>3158</v>
      </c>
      <c r="AQ701" s="15" t="s">
        <v>168</v>
      </c>
      <c r="AT701" s="15" t="s">
        <v>3159</v>
      </c>
      <c r="AU701" s="15" t="s">
        <v>3160</v>
      </c>
      <c r="AV701" s="15" t="s">
        <v>3160</v>
      </c>
      <c r="AW701" s="18" t="s">
        <v>3161</v>
      </c>
      <c r="AX701" s="18" t="s">
        <v>3161</v>
      </c>
      <c r="AY701" s="15">
        <f t="shared" si="13"/>
        <v>58</v>
      </c>
      <c r="AZ701" s="18" t="s">
        <v>173</v>
      </c>
      <c r="BA701" s="18" t="s">
        <v>174</v>
      </c>
      <c r="BB701" s="18" t="s">
        <v>2370</v>
      </c>
      <c r="BC701" s="18"/>
      <c r="BD701" s="18"/>
      <c r="BE701" s="18" t="s">
        <v>1032</v>
      </c>
      <c r="BF701" s="18" t="s">
        <v>3162</v>
      </c>
      <c r="BG701" s="18"/>
      <c r="BH701" s="18"/>
      <c r="BI701" s="18" t="s">
        <v>3163</v>
      </c>
      <c r="BJ701" s="18" t="s">
        <v>3164</v>
      </c>
      <c r="BK701" s="18"/>
      <c r="BL701" s="18"/>
      <c r="BM701" s="18"/>
      <c r="BN701" s="18" t="s">
        <v>179</v>
      </c>
      <c r="BO701" s="18"/>
      <c r="BP701" s="18" t="s">
        <v>138</v>
      </c>
      <c r="BQ701" s="18"/>
      <c r="BR701" s="18"/>
      <c r="BS701" s="15" t="s">
        <v>3165</v>
      </c>
      <c r="BT701" s="15" t="s">
        <v>804</v>
      </c>
      <c r="DH701" s="15" t="s">
        <v>17982</v>
      </c>
      <c r="DI701" s="15" t="s">
        <v>17982</v>
      </c>
    </row>
    <row r="702" spans="1:113" s="15" customFormat="1" ht="12.75" x14ac:dyDescent="0.2">
      <c r="A702" s="15" t="s">
        <v>109</v>
      </c>
      <c r="B702" s="15" t="s">
        <v>110</v>
      </c>
      <c r="D702" s="15" t="s">
        <v>791</v>
      </c>
      <c r="E702" s="15" t="s">
        <v>792</v>
      </c>
      <c r="F702" s="15" t="s">
        <v>791</v>
      </c>
      <c r="G702" s="15" t="s">
        <v>113</v>
      </c>
      <c r="H702" s="15" t="s">
        <v>383</v>
      </c>
      <c r="J702" s="16" t="s">
        <v>114</v>
      </c>
      <c r="U702" s="15" t="s">
        <v>17977</v>
      </c>
      <c r="W702" s="15">
        <v>466</v>
      </c>
      <c r="X702" s="15">
        <v>712</v>
      </c>
      <c r="Y702" s="15" t="s">
        <v>160</v>
      </c>
      <c r="Z702" s="15" t="s">
        <v>161</v>
      </c>
      <c r="AA702" s="15" t="s">
        <v>162</v>
      </c>
      <c r="AB702" s="15" t="s">
        <v>1908</v>
      </c>
      <c r="AC702" s="15" t="s">
        <v>1908</v>
      </c>
      <c r="AD702" s="15" t="s">
        <v>1908</v>
      </c>
      <c r="AE702" s="15" t="s">
        <v>164</v>
      </c>
      <c r="AF702" s="15" t="s">
        <v>1908</v>
      </c>
      <c r="AG702" s="15" t="s">
        <v>1908</v>
      </c>
      <c r="AH702" s="37" t="s">
        <v>1909</v>
      </c>
      <c r="AL702" s="15" t="s">
        <v>1910</v>
      </c>
      <c r="AN702" s="15">
        <v>743</v>
      </c>
      <c r="AO702" s="15" t="s">
        <v>1911</v>
      </c>
      <c r="AQ702" s="15" t="s">
        <v>168</v>
      </c>
      <c r="AT702" s="15" t="s">
        <v>1912</v>
      </c>
      <c r="AU702" s="15" t="s">
        <v>1913</v>
      </c>
      <c r="AV702" s="15" t="s">
        <v>1913</v>
      </c>
      <c r="AW702" s="18" t="s">
        <v>1914</v>
      </c>
      <c r="AX702" s="18" t="s">
        <v>1914</v>
      </c>
      <c r="AY702" s="15">
        <f t="shared" si="13"/>
        <v>48</v>
      </c>
      <c r="AZ702" s="18" t="s">
        <v>173</v>
      </c>
      <c r="BA702" s="18" t="s">
        <v>174</v>
      </c>
      <c r="BB702" s="18" t="s">
        <v>189</v>
      </c>
      <c r="BC702" s="18"/>
      <c r="BD702" s="18"/>
      <c r="BE702" s="18" t="s">
        <v>1915</v>
      </c>
      <c r="BF702" s="18"/>
      <c r="BG702" s="18"/>
      <c r="BH702" s="18"/>
      <c r="BI702" s="18" t="s">
        <v>1916</v>
      </c>
      <c r="BJ702" s="18" t="s">
        <v>1917</v>
      </c>
      <c r="BK702" s="18"/>
      <c r="BL702" s="18"/>
      <c r="BM702" s="18"/>
      <c r="BN702" s="18" t="s">
        <v>179</v>
      </c>
      <c r="BO702" s="18"/>
      <c r="BP702" s="18" t="s">
        <v>138</v>
      </c>
      <c r="BQ702" s="18"/>
      <c r="BR702" s="18"/>
      <c r="BS702" s="15" t="s">
        <v>1918</v>
      </c>
      <c r="BT702" s="15" t="s">
        <v>804</v>
      </c>
      <c r="DH702" s="15" t="s">
        <v>17982</v>
      </c>
      <c r="DI702" s="15" t="s">
        <v>17982</v>
      </c>
    </row>
    <row r="703" spans="1:113" s="15" customFormat="1" ht="12.75" x14ac:dyDescent="0.2">
      <c r="A703" s="15" t="s">
        <v>109</v>
      </c>
      <c r="B703" s="15" t="s">
        <v>110</v>
      </c>
      <c r="D703" s="15" t="s">
        <v>791</v>
      </c>
      <c r="E703" s="15" t="s">
        <v>792</v>
      </c>
      <c r="F703" s="15" t="s">
        <v>791</v>
      </c>
      <c r="G703" s="15" t="s">
        <v>113</v>
      </c>
      <c r="H703" s="15" t="s">
        <v>383</v>
      </c>
      <c r="J703" s="16" t="s">
        <v>114</v>
      </c>
      <c r="U703" s="15" t="s">
        <v>17977</v>
      </c>
      <c r="W703" s="15">
        <v>467</v>
      </c>
      <c r="X703" s="15">
        <v>713</v>
      </c>
      <c r="Y703" s="15" t="s">
        <v>160</v>
      </c>
      <c r="Z703" s="15" t="s">
        <v>161</v>
      </c>
      <c r="AA703" s="15" t="s">
        <v>162</v>
      </c>
      <c r="AB703" s="15" t="s">
        <v>1919</v>
      </c>
      <c r="AC703" s="15" t="s">
        <v>1919</v>
      </c>
      <c r="AD703" s="15" t="s">
        <v>1919</v>
      </c>
      <c r="AE703" s="15" t="s">
        <v>164</v>
      </c>
      <c r="AF703" s="15" t="s">
        <v>1919</v>
      </c>
      <c r="AG703" s="15" t="s">
        <v>1919</v>
      </c>
      <c r="AH703" s="37" t="s">
        <v>1920</v>
      </c>
      <c r="AL703" s="15" t="s">
        <v>1921</v>
      </c>
      <c r="AN703" s="15">
        <v>743</v>
      </c>
      <c r="AO703" s="15" t="s">
        <v>1922</v>
      </c>
      <c r="AQ703" s="15" t="s">
        <v>168</v>
      </c>
      <c r="AT703" s="15" t="s">
        <v>1923</v>
      </c>
      <c r="AU703" s="15" t="s">
        <v>1924</v>
      </c>
      <c r="AV703" s="15" t="s">
        <v>1924</v>
      </c>
      <c r="AW703" s="18" t="s">
        <v>1925</v>
      </c>
      <c r="AX703" s="18" t="s">
        <v>1925</v>
      </c>
      <c r="AY703" s="15">
        <f t="shared" si="13"/>
        <v>47</v>
      </c>
      <c r="AZ703" s="18" t="s">
        <v>173</v>
      </c>
      <c r="BA703" s="18" t="s">
        <v>174</v>
      </c>
      <c r="BB703" s="18" t="s">
        <v>189</v>
      </c>
      <c r="BC703" s="18"/>
      <c r="BD703" s="18"/>
      <c r="BE703" s="18" t="s">
        <v>1926</v>
      </c>
      <c r="BF703" s="18"/>
      <c r="BG703" s="18"/>
      <c r="BH703" s="18"/>
      <c r="BI703" s="18" t="s">
        <v>1916</v>
      </c>
      <c r="BJ703" s="18" t="s">
        <v>1917</v>
      </c>
      <c r="BK703" s="18"/>
      <c r="BL703" s="18"/>
      <c r="BM703" s="18"/>
      <c r="BN703" s="18" t="s">
        <v>179</v>
      </c>
      <c r="BO703" s="18"/>
      <c r="BP703" s="18" t="s">
        <v>138</v>
      </c>
      <c r="BQ703" s="18"/>
      <c r="BR703" s="18"/>
      <c r="BS703" s="15" t="s">
        <v>1927</v>
      </c>
      <c r="BT703" s="15" t="s">
        <v>804</v>
      </c>
      <c r="DH703" s="15" t="s">
        <v>17982</v>
      </c>
      <c r="DI703" s="15" t="s">
        <v>17982</v>
      </c>
    </row>
    <row r="704" spans="1:113" s="15" customFormat="1" ht="12.75" x14ac:dyDescent="0.2">
      <c r="A704" s="15" t="s">
        <v>109</v>
      </c>
      <c r="B704" s="15" t="s">
        <v>110</v>
      </c>
      <c r="D704" s="15" t="s">
        <v>791</v>
      </c>
      <c r="E704" s="15" t="s">
        <v>792</v>
      </c>
      <c r="F704" s="15" t="s">
        <v>791</v>
      </c>
      <c r="G704" s="15" t="s">
        <v>113</v>
      </c>
      <c r="H704" s="15" t="s">
        <v>383</v>
      </c>
      <c r="J704" s="16" t="s">
        <v>114</v>
      </c>
      <c r="U704" s="15" t="s">
        <v>17977</v>
      </c>
      <c r="W704" s="15">
        <v>468</v>
      </c>
      <c r="X704" s="15">
        <v>714</v>
      </c>
      <c r="Y704" s="15" t="s">
        <v>160</v>
      </c>
      <c r="Z704" s="15" t="s">
        <v>161</v>
      </c>
      <c r="AA704" s="15" t="s">
        <v>162</v>
      </c>
      <c r="AB704" s="15" t="s">
        <v>1928</v>
      </c>
      <c r="AC704" s="15" t="s">
        <v>1928</v>
      </c>
      <c r="AD704" s="15" t="s">
        <v>1928</v>
      </c>
      <c r="AE704" s="15" t="s">
        <v>164</v>
      </c>
      <c r="AF704" s="15" t="s">
        <v>1928</v>
      </c>
      <c r="AG704" s="15" t="s">
        <v>1928</v>
      </c>
      <c r="AH704" s="37" t="s">
        <v>1929</v>
      </c>
      <c r="AL704" s="15" t="s">
        <v>1930</v>
      </c>
      <c r="AN704" s="15">
        <v>743</v>
      </c>
      <c r="AO704" s="15" t="s">
        <v>1931</v>
      </c>
      <c r="AQ704" s="15" t="s">
        <v>168</v>
      </c>
      <c r="AT704" s="15" t="s">
        <v>1932</v>
      </c>
      <c r="AU704" s="15" t="s">
        <v>1933</v>
      </c>
      <c r="AV704" s="15" t="s">
        <v>1933</v>
      </c>
      <c r="AW704" s="18" t="s">
        <v>1934</v>
      </c>
      <c r="AX704" s="18" t="s">
        <v>1934</v>
      </c>
      <c r="AY704" s="15">
        <f t="shared" si="13"/>
        <v>46</v>
      </c>
      <c r="AZ704" s="18" t="s">
        <v>173</v>
      </c>
      <c r="BA704" s="18" t="s">
        <v>174</v>
      </c>
      <c r="BB704" s="18" t="s">
        <v>189</v>
      </c>
      <c r="BC704" s="18"/>
      <c r="BD704" s="18"/>
      <c r="BE704" s="18" t="s">
        <v>1032</v>
      </c>
      <c r="BF704" s="18"/>
      <c r="BG704" s="18"/>
      <c r="BH704" s="18"/>
      <c r="BI704" s="18" t="s">
        <v>1916</v>
      </c>
      <c r="BJ704" s="18" t="s">
        <v>1917</v>
      </c>
      <c r="BK704" s="18"/>
      <c r="BL704" s="18"/>
      <c r="BM704" s="18"/>
      <c r="BN704" s="18" t="s">
        <v>179</v>
      </c>
      <c r="BO704" s="18"/>
      <c r="BP704" s="18" t="s">
        <v>138</v>
      </c>
      <c r="BQ704" s="18"/>
      <c r="BR704" s="18"/>
      <c r="BS704" s="15" t="s">
        <v>1935</v>
      </c>
      <c r="BT704" s="15" t="s">
        <v>804</v>
      </c>
      <c r="DH704" s="15" t="s">
        <v>17982</v>
      </c>
      <c r="DI704" s="15" t="s">
        <v>17982</v>
      </c>
    </row>
    <row r="705" spans="1:113" s="15" customFormat="1" ht="12.75" x14ac:dyDescent="0.2">
      <c r="A705" s="15" t="s">
        <v>109</v>
      </c>
      <c r="B705" s="15" t="s">
        <v>110</v>
      </c>
      <c r="D705" s="15" t="s">
        <v>791</v>
      </c>
      <c r="E705" s="15" t="s">
        <v>792</v>
      </c>
      <c r="F705" s="15" t="s">
        <v>791</v>
      </c>
      <c r="G705" s="15" t="s">
        <v>113</v>
      </c>
      <c r="H705" s="15" t="s">
        <v>383</v>
      </c>
      <c r="J705" s="16" t="s">
        <v>114</v>
      </c>
      <c r="U705" s="15" t="s">
        <v>17977</v>
      </c>
      <c r="W705" s="15">
        <v>2882</v>
      </c>
      <c r="X705" s="15">
        <v>715</v>
      </c>
      <c r="Y705" s="15" t="s">
        <v>160</v>
      </c>
      <c r="Z705" s="15" t="s">
        <v>161</v>
      </c>
      <c r="AA705" s="15" t="s">
        <v>162</v>
      </c>
      <c r="AB705" s="15" t="s">
        <v>14091</v>
      </c>
      <c r="AC705" s="15" t="s">
        <v>14091</v>
      </c>
      <c r="AD705" s="15" t="s">
        <v>14091</v>
      </c>
      <c r="AE705" s="15" t="s">
        <v>164</v>
      </c>
      <c r="AF705" s="15" t="s">
        <v>14091</v>
      </c>
      <c r="AG705" s="15" t="s">
        <v>14091</v>
      </c>
      <c r="AH705" s="37" t="s">
        <v>14092</v>
      </c>
      <c r="AL705" s="15" t="s">
        <v>14093</v>
      </c>
      <c r="AN705" s="15">
        <v>743</v>
      </c>
      <c r="AO705" s="15" t="s">
        <v>14094</v>
      </c>
      <c r="AQ705" s="15" t="s">
        <v>168</v>
      </c>
      <c r="AT705" s="15" t="s">
        <v>14095</v>
      </c>
      <c r="AU705" s="15" t="s">
        <v>14096</v>
      </c>
      <c r="AV705" s="15" t="s">
        <v>14096</v>
      </c>
      <c r="AW705" s="18" t="s">
        <v>14097</v>
      </c>
      <c r="AX705" s="18" t="s">
        <v>14097</v>
      </c>
      <c r="AY705" s="15">
        <f t="shared" si="13"/>
        <v>58</v>
      </c>
      <c r="AZ705" s="18" t="s">
        <v>173</v>
      </c>
      <c r="BA705" s="18" t="s">
        <v>174</v>
      </c>
      <c r="BB705" s="18" t="s">
        <v>14045</v>
      </c>
      <c r="BC705" s="18"/>
      <c r="BD705" s="18"/>
      <c r="BE705" s="18" t="s">
        <v>14098</v>
      </c>
      <c r="BF705" s="18"/>
      <c r="BG705" s="18"/>
      <c r="BH705" s="18"/>
      <c r="BI705" s="18" t="s">
        <v>189</v>
      </c>
      <c r="BJ705" s="18" t="s">
        <v>14099</v>
      </c>
      <c r="BK705" s="18"/>
      <c r="BL705" s="18"/>
      <c r="BM705" s="18"/>
      <c r="BN705" s="18" t="s">
        <v>179</v>
      </c>
      <c r="BO705" s="18"/>
      <c r="BP705" s="18" t="s">
        <v>138</v>
      </c>
      <c r="BQ705" s="18"/>
      <c r="BR705" s="18"/>
      <c r="BS705" s="15" t="s">
        <v>14100</v>
      </c>
      <c r="BT705" s="15" t="s">
        <v>804</v>
      </c>
      <c r="DH705" s="15" t="s">
        <v>17982</v>
      </c>
      <c r="DI705" s="15" t="s">
        <v>17982</v>
      </c>
    </row>
    <row r="706" spans="1:113" s="15" customFormat="1" ht="12.75" x14ac:dyDescent="0.2">
      <c r="A706" s="15" t="s">
        <v>109</v>
      </c>
      <c r="B706" s="15" t="s">
        <v>110</v>
      </c>
      <c r="D706" s="15" t="s">
        <v>791</v>
      </c>
      <c r="E706" s="15" t="s">
        <v>792</v>
      </c>
      <c r="F706" s="15" t="s">
        <v>791</v>
      </c>
      <c r="G706" s="15" t="s">
        <v>113</v>
      </c>
      <c r="H706" s="15" t="s">
        <v>383</v>
      </c>
      <c r="J706" s="16" t="s">
        <v>114</v>
      </c>
      <c r="U706" s="15" t="s">
        <v>17977</v>
      </c>
      <c r="W706" s="15">
        <v>2883</v>
      </c>
      <c r="X706" s="15">
        <v>716</v>
      </c>
      <c r="Y706" s="15" t="s">
        <v>160</v>
      </c>
      <c r="Z706" s="15" t="s">
        <v>161</v>
      </c>
      <c r="AA706" s="15" t="s">
        <v>162</v>
      </c>
      <c r="AB706" s="15" t="s">
        <v>14101</v>
      </c>
      <c r="AC706" s="15" t="s">
        <v>14101</v>
      </c>
      <c r="AD706" s="15" t="s">
        <v>14101</v>
      </c>
      <c r="AE706" s="15" t="s">
        <v>164</v>
      </c>
      <c r="AF706" s="15" t="s">
        <v>14101</v>
      </c>
      <c r="AG706" s="15" t="s">
        <v>14101</v>
      </c>
      <c r="AH706" s="37" t="s">
        <v>14102</v>
      </c>
      <c r="AL706" s="15" t="s">
        <v>14093</v>
      </c>
      <c r="AN706" s="15">
        <v>743</v>
      </c>
      <c r="AO706" s="15" t="s">
        <v>14103</v>
      </c>
      <c r="AQ706" s="15" t="s">
        <v>168</v>
      </c>
      <c r="AT706" s="15" t="s">
        <v>14104</v>
      </c>
      <c r="AU706" s="15" t="s">
        <v>14105</v>
      </c>
      <c r="AV706" s="15" t="s">
        <v>14105</v>
      </c>
      <c r="AW706" s="18" t="s">
        <v>14106</v>
      </c>
      <c r="AX706" s="18" t="s">
        <v>14106</v>
      </c>
      <c r="AY706" s="15">
        <f t="shared" si="13"/>
        <v>58</v>
      </c>
      <c r="AZ706" s="18" t="s">
        <v>173</v>
      </c>
      <c r="BA706" s="18" t="s">
        <v>174</v>
      </c>
      <c r="BB706" s="18" t="s">
        <v>14045</v>
      </c>
      <c r="BC706" s="18"/>
      <c r="BD706" s="18"/>
      <c r="BE706" s="18" t="s">
        <v>2393</v>
      </c>
      <c r="BF706" s="18"/>
      <c r="BG706" s="18"/>
      <c r="BH706" s="18"/>
      <c r="BI706" s="18" t="s">
        <v>189</v>
      </c>
      <c r="BJ706" s="18" t="s">
        <v>14099</v>
      </c>
      <c r="BK706" s="18"/>
      <c r="BL706" s="18"/>
      <c r="BM706" s="18"/>
      <c r="BN706" s="18" t="s">
        <v>179</v>
      </c>
      <c r="BO706" s="18"/>
      <c r="BP706" s="18" t="s">
        <v>138</v>
      </c>
      <c r="BQ706" s="18"/>
      <c r="BR706" s="18"/>
      <c r="BS706" s="15" t="s">
        <v>14107</v>
      </c>
      <c r="BT706" s="15" t="s">
        <v>804</v>
      </c>
      <c r="DH706" s="15" t="s">
        <v>17982</v>
      </c>
      <c r="DI706" s="15" t="s">
        <v>17982</v>
      </c>
    </row>
    <row r="707" spans="1:113" s="15" customFormat="1" ht="12.75" x14ac:dyDescent="0.2">
      <c r="A707" s="15" t="s">
        <v>109</v>
      </c>
      <c r="B707" s="15" t="s">
        <v>110</v>
      </c>
      <c r="D707" s="15" t="s">
        <v>791</v>
      </c>
      <c r="E707" s="15" t="s">
        <v>792</v>
      </c>
      <c r="F707" s="15" t="s">
        <v>791</v>
      </c>
      <c r="G707" s="15" t="s">
        <v>113</v>
      </c>
      <c r="H707" s="15" t="s">
        <v>383</v>
      </c>
      <c r="J707" s="16" t="s">
        <v>114</v>
      </c>
      <c r="U707" s="15" t="s">
        <v>17977</v>
      </c>
      <c r="W707" s="15">
        <v>2884</v>
      </c>
      <c r="X707" s="15">
        <v>717</v>
      </c>
      <c r="Y707" s="15" t="s">
        <v>160</v>
      </c>
      <c r="Z707" s="15" t="s">
        <v>161</v>
      </c>
      <c r="AA707" s="15" t="s">
        <v>162</v>
      </c>
      <c r="AB707" s="15" t="s">
        <v>14108</v>
      </c>
      <c r="AC707" s="15" t="s">
        <v>14108</v>
      </c>
      <c r="AD707" s="15" t="s">
        <v>14108</v>
      </c>
      <c r="AE707" s="15" t="s">
        <v>164</v>
      </c>
      <c r="AF707" s="15" t="s">
        <v>14108</v>
      </c>
      <c r="AG707" s="15" t="s">
        <v>14108</v>
      </c>
      <c r="AH707" s="37" t="s">
        <v>14109</v>
      </c>
      <c r="AL707" s="15" t="s">
        <v>14110</v>
      </c>
      <c r="AN707" s="15">
        <v>743</v>
      </c>
      <c r="AO707" s="15" t="s">
        <v>14111</v>
      </c>
      <c r="AQ707" s="15" t="s">
        <v>168</v>
      </c>
      <c r="AT707" s="15" t="s">
        <v>14112</v>
      </c>
      <c r="AU707" s="15" t="s">
        <v>14113</v>
      </c>
      <c r="AV707" s="15" t="s">
        <v>14113</v>
      </c>
      <c r="AW707" s="18" t="s">
        <v>14114</v>
      </c>
      <c r="AX707" s="18" t="s">
        <v>14114</v>
      </c>
      <c r="AY707" s="15">
        <f t="shared" si="13"/>
        <v>58</v>
      </c>
      <c r="AZ707" s="18" t="s">
        <v>173</v>
      </c>
      <c r="BA707" s="18" t="s">
        <v>174</v>
      </c>
      <c r="BB707" s="18" t="s">
        <v>14045</v>
      </c>
      <c r="BC707" s="18"/>
      <c r="BD707" s="18"/>
      <c r="BE707" s="18" t="s">
        <v>2625</v>
      </c>
      <c r="BF707" s="18"/>
      <c r="BG707" s="18"/>
      <c r="BH707" s="18"/>
      <c r="BI707" s="18" t="s">
        <v>189</v>
      </c>
      <c r="BJ707" s="18" t="s">
        <v>14099</v>
      </c>
      <c r="BK707" s="18"/>
      <c r="BL707" s="18"/>
      <c r="BM707" s="18"/>
      <c r="BN707" s="18" t="s">
        <v>179</v>
      </c>
      <c r="BO707" s="18"/>
      <c r="BP707" s="18" t="s">
        <v>138</v>
      </c>
      <c r="BQ707" s="18"/>
      <c r="BR707" s="18"/>
      <c r="BS707" s="15" t="s">
        <v>14115</v>
      </c>
      <c r="BT707" s="15" t="s">
        <v>804</v>
      </c>
      <c r="DH707" s="15" t="s">
        <v>17982</v>
      </c>
      <c r="DI707" s="15" t="s">
        <v>17982</v>
      </c>
    </row>
    <row r="708" spans="1:113" s="15" customFormat="1" ht="12.75" x14ac:dyDescent="0.2">
      <c r="A708" s="15" t="s">
        <v>109</v>
      </c>
      <c r="B708" s="15" t="s">
        <v>110</v>
      </c>
      <c r="D708" s="15" t="s">
        <v>791</v>
      </c>
      <c r="E708" s="15" t="s">
        <v>792</v>
      </c>
      <c r="F708" s="15" t="s">
        <v>791</v>
      </c>
      <c r="G708" s="15" t="s">
        <v>113</v>
      </c>
      <c r="H708" s="15" t="s">
        <v>383</v>
      </c>
      <c r="J708" s="16" t="s">
        <v>114</v>
      </c>
      <c r="U708" s="15" t="s">
        <v>17977</v>
      </c>
      <c r="W708" s="15">
        <v>688</v>
      </c>
      <c r="X708" s="15">
        <v>718</v>
      </c>
      <c r="Y708" s="15" t="s">
        <v>160</v>
      </c>
      <c r="Z708" s="15" t="s">
        <v>161</v>
      </c>
      <c r="AA708" s="15" t="s">
        <v>162</v>
      </c>
      <c r="AB708" s="15" t="s">
        <v>2542</v>
      </c>
      <c r="AC708" s="15" t="s">
        <v>2542</v>
      </c>
      <c r="AD708" s="15" t="s">
        <v>2542</v>
      </c>
      <c r="AE708" s="15" t="s">
        <v>164</v>
      </c>
      <c r="AF708" s="15" t="s">
        <v>2542</v>
      </c>
      <c r="AG708" s="15" t="s">
        <v>2542</v>
      </c>
      <c r="AH708" s="37" t="s">
        <v>2543</v>
      </c>
      <c r="AL708" s="15" t="s">
        <v>2544</v>
      </c>
      <c r="AN708" s="15">
        <v>743</v>
      </c>
      <c r="AO708" s="15" t="s">
        <v>2545</v>
      </c>
      <c r="AQ708" s="15" t="s">
        <v>168</v>
      </c>
      <c r="AT708" s="15" t="s">
        <v>2546</v>
      </c>
      <c r="AU708" s="15" t="s">
        <v>2547</v>
      </c>
      <c r="AV708" s="15" t="s">
        <v>2547</v>
      </c>
      <c r="AW708" s="18" t="s">
        <v>2548</v>
      </c>
      <c r="AX708" s="18" t="s">
        <v>2549</v>
      </c>
      <c r="AY708" s="15">
        <f t="shared" si="13"/>
        <v>52</v>
      </c>
      <c r="AZ708" s="18" t="s">
        <v>604</v>
      </c>
      <c r="BA708" s="18" t="s">
        <v>174</v>
      </c>
      <c r="BB708" s="18" t="s">
        <v>2527</v>
      </c>
      <c r="BC708" s="18"/>
      <c r="BD708" s="18"/>
      <c r="BE708" s="18" t="s">
        <v>2550</v>
      </c>
      <c r="BF708" s="18" t="s">
        <v>2551</v>
      </c>
      <c r="BG708" s="18"/>
      <c r="BH708" s="18"/>
      <c r="BI708" s="18"/>
      <c r="BJ708" s="18" t="s">
        <v>2552</v>
      </c>
      <c r="BK708" s="18"/>
      <c r="BL708" s="18"/>
      <c r="BM708" s="18"/>
      <c r="BN708" s="18" t="s">
        <v>179</v>
      </c>
      <c r="BO708" s="18"/>
      <c r="BP708" s="18" t="s">
        <v>138</v>
      </c>
      <c r="BQ708" s="18"/>
      <c r="BR708" s="18"/>
      <c r="BS708" s="15" t="s">
        <v>2553</v>
      </c>
      <c r="BT708" s="15" t="s">
        <v>804</v>
      </c>
      <c r="DH708" s="15" t="s">
        <v>17982</v>
      </c>
      <c r="DI708" s="15" t="s">
        <v>17982</v>
      </c>
    </row>
    <row r="709" spans="1:113" s="15" customFormat="1" ht="12.75" x14ac:dyDescent="0.2">
      <c r="A709" s="15" t="s">
        <v>109</v>
      </c>
      <c r="B709" s="15" t="s">
        <v>110</v>
      </c>
      <c r="D709" s="15" t="s">
        <v>791</v>
      </c>
      <c r="E709" s="15" t="s">
        <v>792</v>
      </c>
      <c r="F709" s="15" t="s">
        <v>791</v>
      </c>
      <c r="G709" s="15" t="s">
        <v>113</v>
      </c>
      <c r="H709" s="15" t="s">
        <v>383</v>
      </c>
      <c r="J709" s="16" t="s">
        <v>114</v>
      </c>
      <c r="U709" s="15" t="s">
        <v>17977</v>
      </c>
      <c r="W709" s="15">
        <v>689</v>
      </c>
      <c r="X709" s="15">
        <v>719</v>
      </c>
      <c r="Y709" s="15" t="s">
        <v>160</v>
      </c>
      <c r="Z709" s="15" t="s">
        <v>161</v>
      </c>
      <c r="AA709" s="15" t="s">
        <v>162</v>
      </c>
      <c r="AB709" s="15" t="s">
        <v>2554</v>
      </c>
      <c r="AC709" s="15" t="s">
        <v>2554</v>
      </c>
      <c r="AD709" s="15" t="s">
        <v>2554</v>
      </c>
      <c r="AE709" s="15" t="s">
        <v>164</v>
      </c>
      <c r="AF709" s="15" t="s">
        <v>2554</v>
      </c>
      <c r="AG709" s="15" t="s">
        <v>2554</v>
      </c>
      <c r="AH709" s="37" t="s">
        <v>2555</v>
      </c>
      <c r="AL709" s="15" t="s">
        <v>2556</v>
      </c>
      <c r="AN709" s="15">
        <v>743</v>
      </c>
      <c r="AO709" s="15" t="s">
        <v>2557</v>
      </c>
      <c r="AQ709" s="15" t="s">
        <v>168</v>
      </c>
      <c r="AT709" s="15" t="s">
        <v>2558</v>
      </c>
      <c r="AU709" s="15" t="s">
        <v>2559</v>
      </c>
      <c r="AV709" s="15" t="s">
        <v>2559</v>
      </c>
      <c r="AW709" s="18" t="s">
        <v>2560</v>
      </c>
      <c r="AX709" s="18" t="s">
        <v>2561</v>
      </c>
      <c r="AY709" s="15">
        <f t="shared" si="13"/>
        <v>46</v>
      </c>
      <c r="AZ709" s="18" t="s">
        <v>604</v>
      </c>
      <c r="BA709" s="18" t="s">
        <v>174</v>
      </c>
      <c r="BB709" s="18" t="s">
        <v>2527</v>
      </c>
      <c r="BC709" s="18"/>
      <c r="BD709" s="18"/>
      <c r="BE709" s="18" t="s">
        <v>1095</v>
      </c>
      <c r="BF709" s="18" t="s">
        <v>2562</v>
      </c>
      <c r="BG709" s="18"/>
      <c r="BH709" s="18"/>
      <c r="BI709" s="18"/>
      <c r="BJ709" s="18" t="s">
        <v>2552</v>
      </c>
      <c r="BK709" s="18"/>
      <c r="BL709" s="18"/>
      <c r="BM709" s="18"/>
      <c r="BN709" s="18" t="s">
        <v>179</v>
      </c>
      <c r="BO709" s="18"/>
      <c r="BP709" s="18" t="s">
        <v>138</v>
      </c>
      <c r="BQ709" s="18"/>
      <c r="BR709" s="18"/>
      <c r="BS709" s="15" t="s">
        <v>2563</v>
      </c>
      <c r="BT709" s="15" t="s">
        <v>804</v>
      </c>
      <c r="DH709" s="15" t="s">
        <v>17982</v>
      </c>
      <c r="DI709" s="15" t="s">
        <v>17982</v>
      </c>
    </row>
    <row r="710" spans="1:113" s="15" customFormat="1" ht="12.75" x14ac:dyDescent="0.2">
      <c r="A710" s="15" t="s">
        <v>109</v>
      </c>
      <c r="B710" s="15" t="s">
        <v>110</v>
      </c>
      <c r="D710" s="15" t="s">
        <v>791</v>
      </c>
      <c r="E710" s="15" t="s">
        <v>792</v>
      </c>
      <c r="F710" s="15" t="s">
        <v>791</v>
      </c>
      <c r="G710" s="15" t="s">
        <v>113</v>
      </c>
      <c r="H710" s="15" t="s">
        <v>383</v>
      </c>
      <c r="J710" s="16" t="s">
        <v>114</v>
      </c>
      <c r="U710" s="15" t="s">
        <v>17977</v>
      </c>
      <c r="W710" s="15">
        <v>686</v>
      </c>
      <c r="X710" s="15">
        <v>720</v>
      </c>
      <c r="Y710" s="15" t="s">
        <v>160</v>
      </c>
      <c r="Z710" s="15" t="s">
        <v>161</v>
      </c>
      <c r="AA710" s="15" t="s">
        <v>162</v>
      </c>
      <c r="AB710" s="15" t="s">
        <v>2519</v>
      </c>
      <c r="AC710" s="15" t="s">
        <v>2519</v>
      </c>
      <c r="AD710" s="15" t="s">
        <v>2519</v>
      </c>
      <c r="AE710" s="15" t="s">
        <v>164</v>
      </c>
      <c r="AF710" s="15" t="s">
        <v>2519</v>
      </c>
      <c r="AG710" s="15" t="s">
        <v>2519</v>
      </c>
      <c r="AH710" s="37" t="s">
        <v>2520</v>
      </c>
      <c r="AL710" s="15" t="s">
        <v>2521</v>
      </c>
      <c r="AN710" s="15">
        <v>743</v>
      </c>
      <c r="AO710" s="15" t="s">
        <v>2522</v>
      </c>
      <c r="AQ710" s="15" t="s">
        <v>168</v>
      </c>
      <c r="AT710" s="15" t="s">
        <v>2523</v>
      </c>
      <c r="AU710" s="15" t="s">
        <v>2524</v>
      </c>
      <c r="AV710" s="15" t="s">
        <v>2524</v>
      </c>
      <c r="AW710" s="18" t="s">
        <v>2525</v>
      </c>
      <c r="AX710" s="18" t="s">
        <v>2526</v>
      </c>
      <c r="AY710" s="15">
        <f t="shared" si="13"/>
        <v>50</v>
      </c>
      <c r="AZ710" s="18" t="s">
        <v>604</v>
      </c>
      <c r="BA710" s="18" t="s">
        <v>174</v>
      </c>
      <c r="BB710" s="18" t="s">
        <v>2527</v>
      </c>
      <c r="BC710" s="18"/>
      <c r="BD710" s="18"/>
      <c r="BE710" s="18" t="s">
        <v>2528</v>
      </c>
      <c r="BF710" s="18" t="s">
        <v>2529</v>
      </c>
      <c r="BG710" s="18"/>
      <c r="BH710" s="18"/>
      <c r="BI710" s="18"/>
      <c r="BJ710" s="18" t="s">
        <v>2530</v>
      </c>
      <c r="BK710" s="18"/>
      <c r="BL710" s="18"/>
      <c r="BM710" s="18"/>
      <c r="BN710" s="18" t="s">
        <v>179</v>
      </c>
      <c r="BO710" s="18"/>
      <c r="BP710" s="18" t="s">
        <v>138</v>
      </c>
      <c r="BQ710" s="18"/>
      <c r="BR710" s="18"/>
      <c r="BS710" s="15" t="s">
        <v>2531</v>
      </c>
      <c r="BT710" s="15" t="s">
        <v>804</v>
      </c>
      <c r="DH710" s="15" t="s">
        <v>17982</v>
      </c>
      <c r="DI710" s="15" t="s">
        <v>17982</v>
      </c>
    </row>
    <row r="711" spans="1:113" s="15" customFormat="1" ht="12.75" x14ac:dyDescent="0.2">
      <c r="A711" s="15" t="s">
        <v>109</v>
      </c>
      <c r="B711" s="15" t="s">
        <v>110</v>
      </c>
      <c r="D711" s="15" t="s">
        <v>791</v>
      </c>
      <c r="E711" s="15" t="s">
        <v>792</v>
      </c>
      <c r="F711" s="15" t="s">
        <v>791</v>
      </c>
      <c r="G711" s="15" t="s">
        <v>113</v>
      </c>
      <c r="H711" s="15" t="s">
        <v>383</v>
      </c>
      <c r="J711" s="16" t="s">
        <v>114</v>
      </c>
      <c r="U711" s="15" t="s">
        <v>17977</v>
      </c>
      <c r="W711" s="15">
        <v>687</v>
      </c>
      <c r="X711" s="15">
        <v>721</v>
      </c>
      <c r="Y711" s="15" t="s">
        <v>160</v>
      </c>
      <c r="Z711" s="15" t="s">
        <v>161</v>
      </c>
      <c r="AA711" s="15" t="s">
        <v>162</v>
      </c>
      <c r="AB711" s="15" t="s">
        <v>2532</v>
      </c>
      <c r="AC711" s="15" t="s">
        <v>2532</v>
      </c>
      <c r="AD711" s="15" t="s">
        <v>2532</v>
      </c>
      <c r="AE711" s="15" t="s">
        <v>164</v>
      </c>
      <c r="AF711" s="15" t="s">
        <v>2532</v>
      </c>
      <c r="AG711" s="15" t="s">
        <v>2532</v>
      </c>
      <c r="AH711" s="37" t="s">
        <v>2533</v>
      </c>
      <c r="AL711" s="15" t="s">
        <v>2534</v>
      </c>
      <c r="AN711" s="15">
        <v>743</v>
      </c>
      <c r="AO711" s="15" t="s">
        <v>2535</v>
      </c>
      <c r="AQ711" s="15" t="s">
        <v>168</v>
      </c>
      <c r="AT711" s="15" t="s">
        <v>2536</v>
      </c>
      <c r="AU711" s="15" t="s">
        <v>2537</v>
      </c>
      <c r="AV711" s="15" t="s">
        <v>2537</v>
      </c>
      <c r="AW711" s="18" t="s">
        <v>2538</v>
      </c>
      <c r="AX711" s="18" t="s">
        <v>2539</v>
      </c>
      <c r="AY711" s="15">
        <f t="shared" si="13"/>
        <v>50</v>
      </c>
      <c r="AZ711" s="18" t="s">
        <v>604</v>
      </c>
      <c r="BA711" s="18" t="s">
        <v>174</v>
      </c>
      <c r="BB711" s="18" t="s">
        <v>2527</v>
      </c>
      <c r="BC711" s="18"/>
      <c r="BD711" s="18"/>
      <c r="BE711" s="18" t="s">
        <v>2008</v>
      </c>
      <c r="BF711" s="18" t="s">
        <v>2540</v>
      </c>
      <c r="BG711" s="18"/>
      <c r="BH711" s="18"/>
      <c r="BI711" s="18"/>
      <c r="BJ711" s="18" t="s">
        <v>2530</v>
      </c>
      <c r="BK711" s="18"/>
      <c r="BL711" s="18"/>
      <c r="BM711" s="18"/>
      <c r="BN711" s="18" t="s">
        <v>179</v>
      </c>
      <c r="BO711" s="18"/>
      <c r="BP711" s="18" t="s">
        <v>138</v>
      </c>
      <c r="BQ711" s="18"/>
      <c r="BR711" s="18"/>
      <c r="BS711" s="15" t="s">
        <v>2541</v>
      </c>
      <c r="BT711" s="15" t="s">
        <v>804</v>
      </c>
      <c r="DH711" s="15" t="s">
        <v>17982</v>
      </c>
      <c r="DI711" s="15" t="s">
        <v>17982</v>
      </c>
    </row>
    <row r="712" spans="1:113" s="15" customFormat="1" ht="12.75" x14ac:dyDescent="0.2">
      <c r="A712" s="15" t="s">
        <v>109</v>
      </c>
      <c r="B712" s="15" t="s">
        <v>110</v>
      </c>
      <c r="D712" s="15" t="s">
        <v>791</v>
      </c>
      <c r="E712" s="15" t="s">
        <v>792</v>
      </c>
      <c r="F712" s="15" t="s">
        <v>791</v>
      </c>
      <c r="G712" s="15" t="s">
        <v>113</v>
      </c>
      <c r="H712" s="15" t="s">
        <v>383</v>
      </c>
      <c r="J712" s="16" t="s">
        <v>114</v>
      </c>
      <c r="U712" s="15" t="s">
        <v>17977</v>
      </c>
      <c r="W712" s="15">
        <v>747</v>
      </c>
      <c r="X712" s="15">
        <v>722</v>
      </c>
      <c r="Y712" s="15" t="s">
        <v>160</v>
      </c>
      <c r="Z712" s="15" t="s">
        <v>161</v>
      </c>
      <c r="AA712" s="15" t="s">
        <v>162</v>
      </c>
      <c r="AB712" s="15" t="s">
        <v>3182</v>
      </c>
      <c r="AC712" s="15" t="s">
        <v>3182</v>
      </c>
      <c r="AD712" s="15" t="s">
        <v>3182</v>
      </c>
      <c r="AE712" s="15" t="s">
        <v>164</v>
      </c>
      <c r="AF712" s="15" t="s">
        <v>3182</v>
      </c>
      <c r="AG712" s="15" t="s">
        <v>3182</v>
      </c>
      <c r="AH712" s="37" t="s">
        <v>3183</v>
      </c>
      <c r="AL712" s="15" t="s">
        <v>3184</v>
      </c>
      <c r="AN712" s="15">
        <v>743</v>
      </c>
      <c r="AO712" s="15" t="s">
        <v>3185</v>
      </c>
      <c r="AQ712" s="15" t="s">
        <v>168</v>
      </c>
      <c r="AT712" s="15" t="s">
        <v>3186</v>
      </c>
      <c r="AU712" s="15" t="s">
        <v>3187</v>
      </c>
      <c r="AV712" s="15" t="s">
        <v>3187</v>
      </c>
      <c r="AW712" s="18" t="s">
        <v>3188</v>
      </c>
      <c r="AX712" s="18" t="s">
        <v>3189</v>
      </c>
      <c r="AY712" s="15">
        <f t="shared" si="13"/>
        <v>55</v>
      </c>
      <c r="AZ712" s="18" t="s">
        <v>604</v>
      </c>
      <c r="BA712" s="18" t="s">
        <v>174</v>
      </c>
      <c r="BB712" s="18" t="s">
        <v>2527</v>
      </c>
      <c r="BC712" s="18"/>
      <c r="BD712" s="18"/>
      <c r="BE712" s="18" t="s">
        <v>3190</v>
      </c>
      <c r="BF712" s="18" t="s">
        <v>3191</v>
      </c>
      <c r="BG712" s="18"/>
      <c r="BH712" s="18"/>
      <c r="BI712" s="18"/>
      <c r="BJ712" s="18" t="s">
        <v>3192</v>
      </c>
      <c r="BK712" s="18"/>
      <c r="BL712" s="18"/>
      <c r="BM712" s="18"/>
      <c r="BN712" s="18" t="s">
        <v>179</v>
      </c>
      <c r="BO712" s="18"/>
      <c r="BP712" s="18" t="s">
        <v>138</v>
      </c>
      <c r="BQ712" s="18"/>
      <c r="BR712" s="18"/>
      <c r="BS712" s="15" t="s">
        <v>3193</v>
      </c>
      <c r="BT712" s="15" t="s">
        <v>804</v>
      </c>
      <c r="DH712" s="15" t="s">
        <v>17982</v>
      </c>
      <c r="DI712" s="15" t="s">
        <v>17982</v>
      </c>
    </row>
    <row r="713" spans="1:113" s="15" customFormat="1" ht="12.75" x14ac:dyDescent="0.2">
      <c r="A713" s="15" t="s">
        <v>109</v>
      </c>
      <c r="B713" s="15" t="s">
        <v>110</v>
      </c>
      <c r="D713" s="15" t="s">
        <v>791</v>
      </c>
      <c r="E713" s="15" t="s">
        <v>792</v>
      </c>
      <c r="F713" s="15" t="s">
        <v>791</v>
      </c>
      <c r="G713" s="15" t="s">
        <v>113</v>
      </c>
      <c r="H713" s="15" t="s">
        <v>383</v>
      </c>
      <c r="J713" s="16" t="s">
        <v>114</v>
      </c>
      <c r="U713" s="15" t="s">
        <v>17977</v>
      </c>
      <c r="W713" s="15">
        <v>748</v>
      </c>
      <c r="X713" s="15">
        <v>723</v>
      </c>
      <c r="Y713" s="15" t="s">
        <v>160</v>
      </c>
      <c r="Z713" s="15" t="s">
        <v>161</v>
      </c>
      <c r="AA713" s="15" t="s">
        <v>162</v>
      </c>
      <c r="AB713" s="15" t="s">
        <v>3194</v>
      </c>
      <c r="AC713" s="15" t="s">
        <v>3194</v>
      </c>
      <c r="AD713" s="15" t="s">
        <v>3194</v>
      </c>
      <c r="AE713" s="15" t="s">
        <v>164</v>
      </c>
      <c r="AF713" s="15" t="s">
        <v>3194</v>
      </c>
      <c r="AG713" s="15" t="s">
        <v>3194</v>
      </c>
      <c r="AH713" s="37" t="s">
        <v>3195</v>
      </c>
      <c r="AL713" s="15" t="s">
        <v>3196</v>
      </c>
      <c r="AN713" s="15">
        <v>743</v>
      </c>
      <c r="AO713" s="15" t="s">
        <v>3197</v>
      </c>
      <c r="AQ713" s="15" t="s">
        <v>168</v>
      </c>
      <c r="AT713" s="15" t="s">
        <v>3198</v>
      </c>
      <c r="AU713" s="15" t="s">
        <v>3199</v>
      </c>
      <c r="AV713" s="15" t="s">
        <v>3199</v>
      </c>
      <c r="AW713" s="18" t="s">
        <v>3200</v>
      </c>
      <c r="AX713" s="18" t="s">
        <v>3201</v>
      </c>
      <c r="AY713" s="15">
        <f t="shared" si="13"/>
        <v>56</v>
      </c>
      <c r="AZ713" s="18" t="s">
        <v>604</v>
      </c>
      <c r="BA713" s="18" t="s">
        <v>174</v>
      </c>
      <c r="BB713" s="18" t="s">
        <v>2527</v>
      </c>
      <c r="BC713" s="18"/>
      <c r="BD713" s="18"/>
      <c r="BE713" s="18" t="s">
        <v>3202</v>
      </c>
      <c r="BF713" s="18" t="s">
        <v>1096</v>
      </c>
      <c r="BG713" s="18"/>
      <c r="BH713" s="18"/>
      <c r="BI713" s="18"/>
      <c r="BJ713" s="18" t="s">
        <v>3192</v>
      </c>
      <c r="BK713" s="18"/>
      <c r="BL713" s="18"/>
      <c r="BM713" s="18"/>
      <c r="BN713" s="18" t="s">
        <v>179</v>
      </c>
      <c r="BO713" s="18"/>
      <c r="BP713" s="18" t="s">
        <v>138</v>
      </c>
      <c r="BQ713" s="18"/>
      <c r="BR713" s="18"/>
      <c r="BS713" s="15" t="s">
        <v>3203</v>
      </c>
      <c r="BT713" s="15" t="s">
        <v>804</v>
      </c>
      <c r="DH713" s="15" t="s">
        <v>17982</v>
      </c>
      <c r="DI713" s="15" t="s">
        <v>17982</v>
      </c>
    </row>
    <row r="714" spans="1:113" s="15" customFormat="1" ht="12.75" x14ac:dyDescent="0.2">
      <c r="A714" s="15" t="s">
        <v>109</v>
      </c>
      <c r="B714" s="15" t="s">
        <v>110</v>
      </c>
      <c r="D714" s="15" t="s">
        <v>791</v>
      </c>
      <c r="E714" s="15" t="s">
        <v>792</v>
      </c>
      <c r="F714" s="15" t="s">
        <v>791</v>
      </c>
      <c r="G714" s="15" t="s">
        <v>113</v>
      </c>
      <c r="H714" s="15" t="s">
        <v>383</v>
      </c>
      <c r="J714" s="16" t="s">
        <v>114</v>
      </c>
      <c r="U714" s="15" t="s">
        <v>17977</v>
      </c>
      <c r="W714" s="15">
        <v>749</v>
      </c>
      <c r="X714" s="15">
        <v>724</v>
      </c>
      <c r="Y714" s="15" t="s">
        <v>160</v>
      </c>
      <c r="Z714" s="15" t="s">
        <v>161</v>
      </c>
      <c r="AA714" s="15" t="s">
        <v>162</v>
      </c>
      <c r="AB714" s="15" t="s">
        <v>3204</v>
      </c>
      <c r="AC714" s="15" t="s">
        <v>3204</v>
      </c>
      <c r="AD714" s="15" t="s">
        <v>3204</v>
      </c>
      <c r="AE714" s="15" t="s">
        <v>164</v>
      </c>
      <c r="AF714" s="15" t="s">
        <v>3204</v>
      </c>
      <c r="AG714" s="15" t="s">
        <v>3204</v>
      </c>
      <c r="AH714" s="37" t="s">
        <v>3205</v>
      </c>
      <c r="AL714" s="15" t="s">
        <v>3206</v>
      </c>
      <c r="AN714" s="15">
        <v>743</v>
      </c>
      <c r="AO714" s="15" t="s">
        <v>3207</v>
      </c>
      <c r="AQ714" s="15" t="s">
        <v>168</v>
      </c>
      <c r="AT714" s="15" t="s">
        <v>3208</v>
      </c>
      <c r="AU714" s="15" t="s">
        <v>3209</v>
      </c>
      <c r="AV714" s="15" t="s">
        <v>3209</v>
      </c>
      <c r="AW714" s="18" t="s">
        <v>3210</v>
      </c>
      <c r="AX714" s="18" t="s">
        <v>3211</v>
      </c>
      <c r="AY714" s="15">
        <f t="shared" si="13"/>
        <v>60</v>
      </c>
      <c r="AZ714" s="18" t="s">
        <v>604</v>
      </c>
      <c r="BA714" s="18" t="s">
        <v>174</v>
      </c>
      <c r="BB714" s="18" t="s">
        <v>2527</v>
      </c>
      <c r="BC714" s="18"/>
      <c r="BD714" s="18"/>
      <c r="BE714" s="18" t="s">
        <v>2008</v>
      </c>
      <c r="BF714" s="18" t="s">
        <v>3212</v>
      </c>
      <c r="BG714" s="18"/>
      <c r="BH714" s="18"/>
      <c r="BI714" s="18"/>
      <c r="BJ714" s="18" t="s">
        <v>3192</v>
      </c>
      <c r="BK714" s="18"/>
      <c r="BL714" s="18"/>
      <c r="BM714" s="18"/>
      <c r="BN714" s="18" t="s">
        <v>179</v>
      </c>
      <c r="BO714" s="18"/>
      <c r="BP714" s="18" t="s">
        <v>138</v>
      </c>
      <c r="BQ714" s="18"/>
      <c r="BR714" s="18"/>
      <c r="BS714" s="15" t="s">
        <v>3213</v>
      </c>
      <c r="BT714" s="15" t="s">
        <v>804</v>
      </c>
      <c r="DH714" s="15" t="s">
        <v>17982</v>
      </c>
      <c r="DI714" s="15" t="s">
        <v>17982</v>
      </c>
    </row>
    <row r="715" spans="1:113" s="15" customFormat="1" ht="12.75" x14ac:dyDescent="0.2">
      <c r="A715" s="15" t="s">
        <v>109</v>
      </c>
      <c r="B715" s="15" t="s">
        <v>110</v>
      </c>
      <c r="D715" s="15" t="s">
        <v>791</v>
      </c>
      <c r="E715" s="15" t="s">
        <v>792</v>
      </c>
      <c r="F715" s="15" t="s">
        <v>791</v>
      </c>
      <c r="G715" s="15" t="s">
        <v>113</v>
      </c>
      <c r="H715" s="15" t="s">
        <v>383</v>
      </c>
      <c r="J715" s="16" t="s">
        <v>114</v>
      </c>
      <c r="U715" s="15" t="s">
        <v>17977</v>
      </c>
      <c r="W715" s="15">
        <v>750</v>
      </c>
      <c r="X715" s="15">
        <v>725</v>
      </c>
      <c r="Y715" s="15" t="s">
        <v>160</v>
      </c>
      <c r="Z715" s="15" t="s">
        <v>161</v>
      </c>
      <c r="AA715" s="15" t="s">
        <v>162</v>
      </c>
      <c r="AB715" s="15" t="s">
        <v>3214</v>
      </c>
      <c r="AC715" s="15" t="s">
        <v>3214</v>
      </c>
      <c r="AD715" s="15" t="s">
        <v>3214</v>
      </c>
      <c r="AE715" s="15" t="s">
        <v>164</v>
      </c>
      <c r="AF715" s="15" t="s">
        <v>3214</v>
      </c>
      <c r="AG715" s="15" t="s">
        <v>3214</v>
      </c>
      <c r="AH715" s="37" t="s">
        <v>3215</v>
      </c>
      <c r="AL715" s="15" t="s">
        <v>3216</v>
      </c>
      <c r="AN715" s="15">
        <v>743</v>
      </c>
      <c r="AO715" s="15" t="s">
        <v>3217</v>
      </c>
      <c r="AQ715" s="15" t="s">
        <v>168</v>
      </c>
      <c r="AT715" s="15" t="s">
        <v>3218</v>
      </c>
      <c r="AU715" s="15" t="s">
        <v>3219</v>
      </c>
      <c r="AV715" s="15" t="s">
        <v>3219</v>
      </c>
      <c r="AW715" s="18" t="s">
        <v>3220</v>
      </c>
      <c r="AX715" s="18" t="s">
        <v>3221</v>
      </c>
      <c r="AY715" s="15">
        <f t="shared" si="13"/>
        <v>58</v>
      </c>
      <c r="AZ715" s="18" t="s">
        <v>604</v>
      </c>
      <c r="BA715" s="18" t="s">
        <v>174</v>
      </c>
      <c r="BB715" s="18" t="s">
        <v>2527</v>
      </c>
      <c r="BC715" s="18"/>
      <c r="BD715" s="18"/>
      <c r="BE715" s="18" t="s">
        <v>918</v>
      </c>
      <c r="BF715" s="18" t="s">
        <v>3222</v>
      </c>
      <c r="BG715" s="18"/>
      <c r="BH715" s="18"/>
      <c r="BI715" s="18"/>
      <c r="BJ715" s="18" t="s">
        <v>3223</v>
      </c>
      <c r="BK715" s="18"/>
      <c r="BL715" s="18"/>
      <c r="BM715" s="18"/>
      <c r="BN715" s="18" t="s">
        <v>179</v>
      </c>
      <c r="BO715" s="18"/>
      <c r="BP715" s="18" t="s">
        <v>138</v>
      </c>
      <c r="BQ715" s="18"/>
      <c r="BR715" s="18"/>
      <c r="BS715" s="15" t="s">
        <v>3224</v>
      </c>
      <c r="BT715" s="15" t="s">
        <v>804</v>
      </c>
      <c r="DH715" s="15" t="s">
        <v>17982</v>
      </c>
      <c r="DI715" s="15" t="s">
        <v>17982</v>
      </c>
    </row>
    <row r="716" spans="1:113" s="15" customFormat="1" ht="12.75" x14ac:dyDescent="0.2">
      <c r="A716" s="15" t="s">
        <v>109</v>
      </c>
      <c r="B716" s="15" t="s">
        <v>110</v>
      </c>
      <c r="D716" s="15" t="s">
        <v>791</v>
      </c>
      <c r="E716" s="15" t="s">
        <v>792</v>
      </c>
      <c r="F716" s="15" t="s">
        <v>791</v>
      </c>
      <c r="G716" s="15" t="s">
        <v>113</v>
      </c>
      <c r="H716" s="15" t="s">
        <v>383</v>
      </c>
      <c r="J716" s="16" t="s">
        <v>114</v>
      </c>
      <c r="U716" s="15" t="s">
        <v>17977</v>
      </c>
      <c r="W716" s="15">
        <v>751</v>
      </c>
      <c r="X716" s="15">
        <v>726</v>
      </c>
      <c r="Y716" s="15" t="s">
        <v>160</v>
      </c>
      <c r="Z716" s="15" t="s">
        <v>161</v>
      </c>
      <c r="AA716" s="15" t="s">
        <v>162</v>
      </c>
      <c r="AB716" s="15" t="s">
        <v>3225</v>
      </c>
      <c r="AC716" s="15" t="s">
        <v>3225</v>
      </c>
      <c r="AD716" s="15" t="s">
        <v>3225</v>
      </c>
      <c r="AE716" s="15" t="s">
        <v>164</v>
      </c>
      <c r="AF716" s="15" t="s">
        <v>3225</v>
      </c>
      <c r="AG716" s="15" t="s">
        <v>3225</v>
      </c>
      <c r="AH716" s="37" t="s">
        <v>3226</v>
      </c>
      <c r="AL716" s="15" t="s">
        <v>3227</v>
      </c>
      <c r="AN716" s="15">
        <v>743</v>
      </c>
      <c r="AO716" s="15" t="s">
        <v>3228</v>
      </c>
      <c r="AQ716" s="15" t="s">
        <v>168</v>
      </c>
      <c r="AT716" s="15" t="s">
        <v>3229</v>
      </c>
      <c r="AU716" s="15" t="s">
        <v>3230</v>
      </c>
      <c r="AV716" s="15" t="s">
        <v>3230</v>
      </c>
      <c r="AW716" s="18" t="s">
        <v>3231</v>
      </c>
      <c r="AX716" s="18" t="s">
        <v>3232</v>
      </c>
      <c r="AY716" s="15">
        <f t="shared" si="13"/>
        <v>56</v>
      </c>
      <c r="AZ716" s="18" t="s">
        <v>604</v>
      </c>
      <c r="BA716" s="18" t="s">
        <v>174</v>
      </c>
      <c r="BB716" s="18" t="s">
        <v>2527</v>
      </c>
      <c r="BC716" s="18"/>
      <c r="BD716" s="18"/>
      <c r="BE716" s="18" t="s">
        <v>2550</v>
      </c>
      <c r="BF716" s="18" t="s">
        <v>3233</v>
      </c>
      <c r="BG716" s="18"/>
      <c r="BH716" s="18"/>
      <c r="BI716" s="18"/>
      <c r="BJ716" s="18" t="s">
        <v>3223</v>
      </c>
      <c r="BK716" s="18"/>
      <c r="BL716" s="18"/>
      <c r="BM716" s="18"/>
      <c r="BN716" s="18" t="s">
        <v>179</v>
      </c>
      <c r="BO716" s="18"/>
      <c r="BP716" s="18" t="s">
        <v>138</v>
      </c>
      <c r="BQ716" s="18"/>
      <c r="BR716" s="18"/>
      <c r="BS716" s="15" t="s">
        <v>3234</v>
      </c>
      <c r="BT716" s="15" t="s">
        <v>804</v>
      </c>
      <c r="DH716" s="15" t="s">
        <v>17982</v>
      </c>
      <c r="DI716" s="15" t="s">
        <v>17982</v>
      </c>
    </row>
    <row r="717" spans="1:113" s="15" customFormat="1" ht="12.75" x14ac:dyDescent="0.2">
      <c r="A717" s="15" t="s">
        <v>109</v>
      </c>
      <c r="B717" s="15" t="s">
        <v>110</v>
      </c>
      <c r="D717" s="15" t="s">
        <v>791</v>
      </c>
      <c r="E717" s="15" t="s">
        <v>792</v>
      </c>
      <c r="F717" s="15" t="s">
        <v>791</v>
      </c>
      <c r="G717" s="15" t="s">
        <v>113</v>
      </c>
      <c r="H717" s="15" t="s">
        <v>383</v>
      </c>
      <c r="J717" s="16" t="s">
        <v>114</v>
      </c>
      <c r="U717" s="15" t="s">
        <v>17977</v>
      </c>
      <c r="W717" s="15">
        <v>752</v>
      </c>
      <c r="X717" s="15">
        <v>727</v>
      </c>
      <c r="Y717" s="15" t="s">
        <v>160</v>
      </c>
      <c r="Z717" s="15" t="s">
        <v>161</v>
      </c>
      <c r="AA717" s="15" t="s">
        <v>162</v>
      </c>
      <c r="AB717" s="15" t="s">
        <v>3235</v>
      </c>
      <c r="AC717" s="15" t="s">
        <v>3235</v>
      </c>
      <c r="AD717" s="15" t="s">
        <v>3235</v>
      </c>
      <c r="AE717" s="15" t="s">
        <v>164</v>
      </c>
      <c r="AF717" s="15" t="s">
        <v>3235</v>
      </c>
      <c r="AG717" s="15" t="s">
        <v>3235</v>
      </c>
      <c r="AH717" s="37" t="s">
        <v>3236</v>
      </c>
      <c r="AL717" s="15" t="s">
        <v>3237</v>
      </c>
      <c r="AN717" s="15">
        <v>743</v>
      </c>
      <c r="AO717" s="15" t="s">
        <v>3238</v>
      </c>
      <c r="AQ717" s="15" t="s">
        <v>168</v>
      </c>
      <c r="AT717" s="15" t="s">
        <v>3239</v>
      </c>
      <c r="AU717" s="15" t="s">
        <v>3240</v>
      </c>
      <c r="AV717" s="15" t="s">
        <v>3240</v>
      </c>
      <c r="AW717" s="18" t="s">
        <v>3241</v>
      </c>
      <c r="AX717" s="18" t="s">
        <v>3242</v>
      </c>
      <c r="AY717" s="15">
        <f t="shared" si="13"/>
        <v>55</v>
      </c>
      <c r="AZ717" s="18" t="s">
        <v>604</v>
      </c>
      <c r="BA717" s="18" t="s">
        <v>174</v>
      </c>
      <c r="BB717" s="18" t="s">
        <v>2527</v>
      </c>
      <c r="BC717" s="18"/>
      <c r="BD717" s="18"/>
      <c r="BE717" s="18" t="s">
        <v>3243</v>
      </c>
      <c r="BF717" s="18" t="s">
        <v>3244</v>
      </c>
      <c r="BG717" s="18"/>
      <c r="BH717" s="18"/>
      <c r="BI717" s="18"/>
      <c r="BJ717" s="18" t="s">
        <v>3223</v>
      </c>
      <c r="BK717" s="18"/>
      <c r="BL717" s="18"/>
      <c r="BM717" s="18"/>
      <c r="BN717" s="18" t="s">
        <v>179</v>
      </c>
      <c r="BO717" s="18"/>
      <c r="BP717" s="18" t="s">
        <v>138</v>
      </c>
      <c r="BQ717" s="18"/>
      <c r="BR717" s="18"/>
      <c r="BS717" s="15" t="s">
        <v>3245</v>
      </c>
      <c r="BT717" s="15" t="s">
        <v>804</v>
      </c>
      <c r="DH717" s="15" t="s">
        <v>17982</v>
      </c>
      <c r="DI717" s="15" t="s">
        <v>17982</v>
      </c>
    </row>
    <row r="718" spans="1:113" s="15" customFormat="1" ht="12.75" x14ac:dyDescent="0.2">
      <c r="A718" s="15" t="s">
        <v>109</v>
      </c>
      <c r="B718" s="15" t="s">
        <v>110</v>
      </c>
      <c r="D718" s="15" t="s">
        <v>791</v>
      </c>
      <c r="E718" s="15" t="s">
        <v>792</v>
      </c>
      <c r="F718" s="15" t="s">
        <v>791</v>
      </c>
      <c r="G718" s="15" t="s">
        <v>113</v>
      </c>
      <c r="H718" s="15" t="s">
        <v>383</v>
      </c>
      <c r="J718" s="16" t="s">
        <v>114</v>
      </c>
      <c r="U718" s="15" t="s">
        <v>17977</v>
      </c>
      <c r="W718" s="15">
        <v>753</v>
      </c>
      <c r="X718" s="15">
        <v>728</v>
      </c>
      <c r="Y718" s="15" t="s">
        <v>160</v>
      </c>
      <c r="Z718" s="15" t="s">
        <v>161</v>
      </c>
      <c r="AA718" s="15" t="s">
        <v>162</v>
      </c>
      <c r="AB718" s="15" t="s">
        <v>3246</v>
      </c>
      <c r="AC718" s="15" t="s">
        <v>3246</v>
      </c>
      <c r="AD718" s="15" t="s">
        <v>3246</v>
      </c>
      <c r="AE718" s="15" t="s">
        <v>164</v>
      </c>
      <c r="AF718" s="15" t="s">
        <v>3246</v>
      </c>
      <c r="AG718" s="15" t="s">
        <v>3246</v>
      </c>
      <c r="AH718" s="37" t="s">
        <v>3247</v>
      </c>
      <c r="AL718" s="15" t="s">
        <v>3248</v>
      </c>
      <c r="AN718" s="15">
        <v>743</v>
      </c>
      <c r="AO718" s="15" t="s">
        <v>3249</v>
      </c>
      <c r="AQ718" s="15" t="s">
        <v>168</v>
      </c>
      <c r="AT718" s="15" t="s">
        <v>3250</v>
      </c>
      <c r="AU718" s="15" t="s">
        <v>3251</v>
      </c>
      <c r="AV718" s="15" t="s">
        <v>3251</v>
      </c>
      <c r="AW718" s="18" t="s">
        <v>3252</v>
      </c>
      <c r="AX718" s="18" t="s">
        <v>3253</v>
      </c>
      <c r="AY718" s="15">
        <f t="shared" si="13"/>
        <v>59</v>
      </c>
      <c r="AZ718" s="18" t="s">
        <v>604</v>
      </c>
      <c r="BA718" s="18" t="s">
        <v>174</v>
      </c>
      <c r="BB718" s="18" t="s">
        <v>2527</v>
      </c>
      <c r="BC718" s="18"/>
      <c r="BD718" s="18"/>
      <c r="BE718" s="18" t="s">
        <v>3254</v>
      </c>
      <c r="BF718" s="18" t="s">
        <v>3255</v>
      </c>
      <c r="BG718" s="18"/>
      <c r="BH718" s="18"/>
      <c r="BI718" s="18"/>
      <c r="BJ718" s="18" t="s">
        <v>3256</v>
      </c>
      <c r="BK718" s="18"/>
      <c r="BL718" s="18"/>
      <c r="BM718" s="18"/>
      <c r="BN718" s="18" t="s">
        <v>179</v>
      </c>
      <c r="BO718" s="18"/>
      <c r="BP718" s="18" t="s">
        <v>138</v>
      </c>
      <c r="BQ718" s="18"/>
      <c r="BR718" s="18"/>
      <c r="BS718" s="15" t="s">
        <v>3257</v>
      </c>
      <c r="BT718" s="15" t="s">
        <v>804</v>
      </c>
      <c r="DH718" s="15" t="s">
        <v>17982</v>
      </c>
      <c r="DI718" s="15" t="s">
        <v>17982</v>
      </c>
    </row>
    <row r="719" spans="1:113" s="15" customFormat="1" ht="12.75" x14ac:dyDescent="0.2">
      <c r="A719" s="15" t="s">
        <v>109</v>
      </c>
      <c r="B719" s="15" t="s">
        <v>110</v>
      </c>
      <c r="D719" s="15" t="s">
        <v>791</v>
      </c>
      <c r="E719" s="15" t="s">
        <v>792</v>
      </c>
      <c r="F719" s="15" t="s">
        <v>791</v>
      </c>
      <c r="G719" s="15" t="s">
        <v>113</v>
      </c>
      <c r="H719" s="15" t="s">
        <v>383</v>
      </c>
      <c r="J719" s="16" t="s">
        <v>114</v>
      </c>
      <c r="U719" s="15" t="s">
        <v>17977</v>
      </c>
      <c r="W719" s="15">
        <v>3416</v>
      </c>
      <c r="X719" s="15">
        <v>729</v>
      </c>
      <c r="Y719" s="15" t="s">
        <v>160</v>
      </c>
      <c r="Z719" s="15" t="s">
        <v>161</v>
      </c>
      <c r="AA719" s="15" t="s">
        <v>162</v>
      </c>
      <c r="AB719" s="15" t="s">
        <v>16523</v>
      </c>
      <c r="AC719" s="15" t="s">
        <v>16523</v>
      </c>
      <c r="AD719" s="15" t="s">
        <v>16523</v>
      </c>
      <c r="AE719" s="15" t="s">
        <v>164</v>
      </c>
      <c r="AF719" s="15" t="s">
        <v>16523</v>
      </c>
      <c r="AG719" s="15" t="s">
        <v>16523</v>
      </c>
      <c r="AH719" s="37" t="s">
        <v>16524</v>
      </c>
      <c r="AL719" s="15" t="s">
        <v>16525</v>
      </c>
      <c r="AN719" s="15">
        <v>743</v>
      </c>
      <c r="AO719" s="15" t="s">
        <v>16526</v>
      </c>
      <c r="AQ719" s="15" t="s">
        <v>168</v>
      </c>
      <c r="AT719" s="15" t="s">
        <v>16527</v>
      </c>
      <c r="AU719" s="15" t="s">
        <v>16528</v>
      </c>
      <c r="AV719" s="15" t="s">
        <v>16528</v>
      </c>
      <c r="AW719" s="18" t="s">
        <v>16529</v>
      </c>
      <c r="AX719" s="18" t="s">
        <v>16529</v>
      </c>
      <c r="AY719" s="15">
        <f t="shared" si="13"/>
        <v>45</v>
      </c>
      <c r="AZ719" s="18" t="s">
        <v>604</v>
      </c>
      <c r="BA719" s="18" t="s">
        <v>174</v>
      </c>
      <c r="BB719" s="18" t="s">
        <v>1700</v>
      </c>
      <c r="BC719" s="18"/>
      <c r="BD719" s="18"/>
      <c r="BE719" s="18" t="s">
        <v>2528</v>
      </c>
      <c r="BF719" s="18" t="s">
        <v>1712</v>
      </c>
      <c r="BG719" s="18"/>
      <c r="BH719" s="18"/>
      <c r="BI719" s="18"/>
      <c r="BJ719" s="18" t="s">
        <v>5016</v>
      </c>
      <c r="BK719" s="18"/>
      <c r="BL719" s="18"/>
      <c r="BM719" s="18"/>
      <c r="BN719" s="18" t="s">
        <v>179</v>
      </c>
      <c r="BO719" s="18"/>
      <c r="BP719" s="18" t="s">
        <v>138</v>
      </c>
      <c r="BQ719" s="18"/>
      <c r="BR719" s="18" t="s">
        <v>16521</v>
      </c>
      <c r="BS719" s="15" t="s">
        <v>16530</v>
      </c>
      <c r="BT719" s="15" t="s">
        <v>804</v>
      </c>
      <c r="DH719" s="15" t="s">
        <v>17982</v>
      </c>
      <c r="DI719" s="15" t="s">
        <v>17982</v>
      </c>
    </row>
    <row r="720" spans="1:113" s="15" customFormat="1" ht="12.75" x14ac:dyDescent="0.2">
      <c r="A720" s="15" t="s">
        <v>109</v>
      </c>
      <c r="B720" s="15" t="s">
        <v>110</v>
      </c>
      <c r="D720" s="15" t="s">
        <v>791</v>
      </c>
      <c r="E720" s="15" t="s">
        <v>792</v>
      </c>
      <c r="F720" s="15" t="s">
        <v>791</v>
      </c>
      <c r="G720" s="15" t="s">
        <v>113</v>
      </c>
      <c r="H720" s="15" t="s">
        <v>383</v>
      </c>
      <c r="J720" s="16" t="s">
        <v>114</v>
      </c>
      <c r="U720" s="15" t="s">
        <v>17977</v>
      </c>
      <c r="W720" s="15">
        <v>1424</v>
      </c>
      <c r="X720" s="15">
        <v>730</v>
      </c>
      <c r="Y720" s="15" t="s">
        <v>160</v>
      </c>
      <c r="Z720" s="15" t="s">
        <v>161</v>
      </c>
      <c r="AA720" s="15" t="s">
        <v>162</v>
      </c>
      <c r="AB720" s="15" t="s">
        <v>7200</v>
      </c>
      <c r="AC720" s="15" t="s">
        <v>7200</v>
      </c>
      <c r="AD720" s="15" t="s">
        <v>7200</v>
      </c>
      <c r="AE720" s="15" t="s">
        <v>164</v>
      </c>
      <c r="AF720" s="15" t="s">
        <v>7200</v>
      </c>
      <c r="AG720" s="15" t="s">
        <v>7200</v>
      </c>
      <c r="AH720" s="37" t="s">
        <v>7201</v>
      </c>
      <c r="AL720" s="15" t="s">
        <v>7202</v>
      </c>
      <c r="AN720" s="15">
        <v>743</v>
      </c>
      <c r="AO720" s="15" t="s">
        <v>7203</v>
      </c>
      <c r="AQ720" s="15" t="s">
        <v>168</v>
      </c>
      <c r="AR720" s="47"/>
      <c r="AS720" s="47"/>
      <c r="AT720" s="15" t="s">
        <v>7204</v>
      </c>
      <c r="AU720" s="15" t="s">
        <v>7205</v>
      </c>
      <c r="AV720" s="15" t="s">
        <v>7205</v>
      </c>
      <c r="AW720" s="18" t="s">
        <v>7206</v>
      </c>
      <c r="AX720" s="18" t="s">
        <v>7207</v>
      </c>
      <c r="AY720" s="15">
        <f t="shared" si="13"/>
        <v>58</v>
      </c>
      <c r="AZ720" s="18" t="s">
        <v>604</v>
      </c>
      <c r="BA720" s="40" t="s">
        <v>174</v>
      </c>
      <c r="BB720" s="18" t="s">
        <v>7176</v>
      </c>
      <c r="BC720" s="18"/>
      <c r="BD720" s="18"/>
      <c r="BE720" s="18" t="s">
        <v>1337</v>
      </c>
      <c r="BF720" s="18" t="s">
        <v>2551</v>
      </c>
      <c r="BG720" s="18"/>
      <c r="BH720" s="18"/>
      <c r="BI720" s="18"/>
      <c r="BJ720" s="18" t="s">
        <v>7208</v>
      </c>
      <c r="BK720" s="18"/>
      <c r="BL720" s="18"/>
      <c r="BM720" s="18"/>
      <c r="BN720" s="18" t="s">
        <v>179</v>
      </c>
      <c r="BO720" s="18"/>
      <c r="BP720" s="18" t="s">
        <v>138</v>
      </c>
      <c r="BQ720" s="18"/>
      <c r="BR720" s="18"/>
      <c r="BS720" s="15" t="s">
        <v>7209</v>
      </c>
      <c r="BT720" s="15" t="s">
        <v>804</v>
      </c>
      <c r="DH720" s="15" t="s">
        <v>17982</v>
      </c>
      <c r="DI720" s="15" t="s">
        <v>17982</v>
      </c>
    </row>
    <row r="721" spans="1:113" s="15" customFormat="1" ht="12.75" x14ac:dyDescent="0.2">
      <c r="A721" s="15" t="s">
        <v>109</v>
      </c>
      <c r="B721" s="15" t="s">
        <v>110</v>
      </c>
      <c r="D721" s="15" t="s">
        <v>791</v>
      </c>
      <c r="E721" s="15" t="s">
        <v>792</v>
      </c>
      <c r="F721" s="15" t="s">
        <v>791</v>
      </c>
      <c r="G721" s="15" t="s">
        <v>113</v>
      </c>
      <c r="H721" s="15" t="s">
        <v>383</v>
      </c>
      <c r="J721" s="16" t="s">
        <v>114</v>
      </c>
      <c r="U721" s="15" t="s">
        <v>17977</v>
      </c>
      <c r="W721" s="15">
        <v>1425</v>
      </c>
      <c r="X721" s="15">
        <v>731</v>
      </c>
      <c r="Y721" s="15" t="s">
        <v>160</v>
      </c>
      <c r="Z721" s="15" t="s">
        <v>161</v>
      </c>
      <c r="AA721" s="15" t="s">
        <v>162</v>
      </c>
      <c r="AB721" s="15" t="s">
        <v>7210</v>
      </c>
      <c r="AC721" s="15" t="s">
        <v>7210</v>
      </c>
      <c r="AD721" s="15" t="s">
        <v>7210</v>
      </c>
      <c r="AE721" s="15" t="s">
        <v>164</v>
      </c>
      <c r="AF721" s="15" t="s">
        <v>7210</v>
      </c>
      <c r="AG721" s="15" t="s">
        <v>7210</v>
      </c>
      <c r="AH721" s="37" t="s">
        <v>7211</v>
      </c>
      <c r="AL721" s="15" t="s">
        <v>7212</v>
      </c>
      <c r="AN721" s="15">
        <v>743</v>
      </c>
      <c r="AO721" s="15" t="s">
        <v>7213</v>
      </c>
      <c r="AQ721" s="15" t="s">
        <v>168</v>
      </c>
      <c r="AR721" s="47"/>
      <c r="AS721" s="47"/>
      <c r="AT721" s="15" t="s">
        <v>7214</v>
      </c>
      <c r="AU721" s="15" t="s">
        <v>7215</v>
      </c>
      <c r="AV721" s="15" t="s">
        <v>7215</v>
      </c>
      <c r="AW721" s="18" t="s">
        <v>7216</v>
      </c>
      <c r="AX721" s="18" t="s">
        <v>7217</v>
      </c>
      <c r="AY721" s="15">
        <f t="shared" si="13"/>
        <v>59</v>
      </c>
      <c r="AZ721" s="18" t="s">
        <v>604</v>
      </c>
      <c r="BA721" s="18" t="s">
        <v>174</v>
      </c>
      <c r="BB721" s="18" t="s">
        <v>7176</v>
      </c>
      <c r="BC721" s="18"/>
      <c r="BD721" s="18"/>
      <c r="BE721" s="18" t="s">
        <v>4687</v>
      </c>
      <c r="BF721" s="18" t="s">
        <v>3212</v>
      </c>
      <c r="BG721" s="18"/>
      <c r="BH721" s="18"/>
      <c r="BI721" s="18"/>
      <c r="BJ721" s="18" t="s">
        <v>7208</v>
      </c>
      <c r="BK721" s="18"/>
      <c r="BL721" s="18"/>
      <c r="BM721" s="18"/>
      <c r="BN721" s="18" t="s">
        <v>179</v>
      </c>
      <c r="BO721" s="18"/>
      <c r="BP721" s="18" t="s">
        <v>138</v>
      </c>
      <c r="BQ721" s="18"/>
      <c r="BR721" s="18"/>
      <c r="BS721" s="15" t="s">
        <v>7218</v>
      </c>
      <c r="BT721" s="15" t="s">
        <v>804</v>
      </c>
      <c r="DH721" s="15" t="s">
        <v>17982</v>
      </c>
      <c r="DI721" s="15" t="s">
        <v>17982</v>
      </c>
    </row>
    <row r="722" spans="1:113" s="15" customFormat="1" ht="12.75" x14ac:dyDescent="0.2">
      <c r="A722" s="15" t="s">
        <v>109</v>
      </c>
      <c r="B722" s="15" t="s">
        <v>110</v>
      </c>
      <c r="D722" s="15" t="s">
        <v>791</v>
      </c>
      <c r="E722" s="15" t="s">
        <v>792</v>
      </c>
      <c r="F722" s="15" t="s">
        <v>791</v>
      </c>
      <c r="G722" s="15" t="s">
        <v>113</v>
      </c>
      <c r="H722" s="15" t="s">
        <v>383</v>
      </c>
      <c r="J722" s="16" t="s">
        <v>114</v>
      </c>
      <c r="U722" s="15" t="s">
        <v>17977</v>
      </c>
      <c r="W722" s="15">
        <v>1422</v>
      </c>
      <c r="X722" s="15">
        <v>732</v>
      </c>
      <c r="Y722" s="15" t="s">
        <v>160</v>
      </c>
      <c r="Z722" s="15" t="s">
        <v>161</v>
      </c>
      <c r="AA722" s="15" t="s">
        <v>162</v>
      </c>
      <c r="AB722" s="15" t="s">
        <v>7181</v>
      </c>
      <c r="AC722" s="15" t="s">
        <v>7181</v>
      </c>
      <c r="AD722" s="15" t="s">
        <v>7181</v>
      </c>
      <c r="AE722" s="15" t="s">
        <v>164</v>
      </c>
      <c r="AF722" s="15" t="s">
        <v>7181</v>
      </c>
      <c r="AG722" s="15" t="s">
        <v>7181</v>
      </c>
      <c r="AH722" s="37" t="s">
        <v>7182</v>
      </c>
      <c r="AL722" s="15" t="s">
        <v>7183</v>
      </c>
      <c r="AN722" s="15">
        <v>743</v>
      </c>
      <c r="AO722" s="15" t="s">
        <v>7184</v>
      </c>
      <c r="AQ722" s="15" t="s">
        <v>168</v>
      </c>
      <c r="AR722" s="47"/>
      <c r="AS722" s="47"/>
      <c r="AT722" s="15" t="s">
        <v>7185</v>
      </c>
      <c r="AU722" s="15" t="s">
        <v>7186</v>
      </c>
      <c r="AV722" s="15" t="s">
        <v>7186</v>
      </c>
      <c r="AW722" s="18" t="s">
        <v>7187</v>
      </c>
      <c r="AX722" s="18" t="s">
        <v>7187</v>
      </c>
      <c r="AY722" s="15">
        <f t="shared" si="13"/>
        <v>60</v>
      </c>
      <c r="AZ722" s="18" t="s">
        <v>604</v>
      </c>
      <c r="BA722" s="18" t="s">
        <v>174</v>
      </c>
      <c r="BB722" s="18" t="s">
        <v>7176</v>
      </c>
      <c r="BC722" s="18"/>
      <c r="BD722" s="18"/>
      <c r="BE722" s="18" t="s">
        <v>1337</v>
      </c>
      <c r="BF722" s="18" t="s">
        <v>2186</v>
      </c>
      <c r="BG722" s="18"/>
      <c r="BH722" s="18"/>
      <c r="BI722" s="18"/>
      <c r="BJ722" s="18" t="s">
        <v>7188</v>
      </c>
      <c r="BK722" s="18"/>
      <c r="BL722" s="18"/>
      <c r="BM722" s="18"/>
      <c r="BN722" s="18" t="s">
        <v>179</v>
      </c>
      <c r="BO722" s="18"/>
      <c r="BP722" s="18" t="s">
        <v>138</v>
      </c>
      <c r="BQ722" s="18"/>
      <c r="BR722" s="18" t="s">
        <v>7189</v>
      </c>
      <c r="BS722" s="15" t="s">
        <v>7190</v>
      </c>
      <c r="BT722" s="15" t="s">
        <v>804</v>
      </c>
      <c r="DH722" s="15" t="s">
        <v>17982</v>
      </c>
      <c r="DI722" s="15" t="s">
        <v>17982</v>
      </c>
    </row>
    <row r="723" spans="1:113" s="15" customFormat="1" ht="12.75" x14ac:dyDescent="0.2">
      <c r="A723" s="15" t="s">
        <v>109</v>
      </c>
      <c r="B723" s="15" t="s">
        <v>110</v>
      </c>
      <c r="D723" s="15" t="s">
        <v>791</v>
      </c>
      <c r="E723" s="15" t="s">
        <v>792</v>
      </c>
      <c r="F723" s="15" t="s">
        <v>791</v>
      </c>
      <c r="G723" s="15" t="s">
        <v>113</v>
      </c>
      <c r="H723" s="15" t="s">
        <v>383</v>
      </c>
      <c r="J723" s="16" t="s">
        <v>114</v>
      </c>
      <c r="U723" s="15" t="s">
        <v>17977</v>
      </c>
      <c r="W723" s="15">
        <v>1423</v>
      </c>
      <c r="X723" s="15">
        <v>733</v>
      </c>
      <c r="Y723" s="15" t="s">
        <v>160</v>
      </c>
      <c r="Z723" s="15" t="s">
        <v>161</v>
      </c>
      <c r="AA723" s="15" t="s">
        <v>162</v>
      </c>
      <c r="AB723" s="15" t="s">
        <v>7191</v>
      </c>
      <c r="AC723" s="15" t="s">
        <v>7191</v>
      </c>
      <c r="AD723" s="15" t="s">
        <v>7191</v>
      </c>
      <c r="AE723" s="15" t="s">
        <v>164</v>
      </c>
      <c r="AF723" s="15" t="s">
        <v>7191</v>
      </c>
      <c r="AG723" s="15" t="s">
        <v>7191</v>
      </c>
      <c r="AH723" s="37" t="s">
        <v>7192</v>
      </c>
      <c r="AL723" s="15" t="s">
        <v>7193</v>
      </c>
      <c r="AN723" s="15">
        <v>743</v>
      </c>
      <c r="AO723" s="15" t="s">
        <v>7194</v>
      </c>
      <c r="AQ723" s="15" t="s">
        <v>168</v>
      </c>
      <c r="AR723" s="47"/>
      <c r="AS723" s="47"/>
      <c r="AT723" s="15" t="s">
        <v>7195</v>
      </c>
      <c r="AU723" s="15" t="s">
        <v>7196</v>
      </c>
      <c r="AV723" s="15" t="s">
        <v>7196</v>
      </c>
      <c r="AW723" s="18" t="s">
        <v>7197</v>
      </c>
      <c r="AX723" s="18" t="s">
        <v>7198</v>
      </c>
      <c r="AY723" s="15">
        <f t="shared" si="13"/>
        <v>57</v>
      </c>
      <c r="AZ723" s="18" t="s">
        <v>604</v>
      </c>
      <c r="BA723" s="18" t="s">
        <v>174</v>
      </c>
      <c r="BB723" s="18" t="s">
        <v>7176</v>
      </c>
      <c r="BC723" s="18"/>
      <c r="BD723" s="18"/>
      <c r="BE723" s="18" t="s">
        <v>4687</v>
      </c>
      <c r="BF723" s="18" t="s">
        <v>2562</v>
      </c>
      <c r="BG723" s="18"/>
      <c r="BH723" s="18"/>
      <c r="BI723" s="18"/>
      <c r="BJ723" s="18" t="s">
        <v>7188</v>
      </c>
      <c r="BK723" s="18"/>
      <c r="BL723" s="18"/>
      <c r="BM723" s="18"/>
      <c r="BN723" s="18" t="s">
        <v>179</v>
      </c>
      <c r="BO723" s="18"/>
      <c r="BP723" s="18" t="s">
        <v>138</v>
      </c>
      <c r="BQ723" s="18"/>
      <c r="BR723" s="18"/>
      <c r="BS723" s="15" t="s">
        <v>7199</v>
      </c>
      <c r="BT723" s="15" t="s">
        <v>804</v>
      </c>
      <c r="DH723" s="15" t="s">
        <v>17982</v>
      </c>
      <c r="DI723" s="15" t="s">
        <v>17982</v>
      </c>
    </row>
    <row r="724" spans="1:113" s="15" customFormat="1" ht="12.75" x14ac:dyDescent="0.2">
      <c r="A724" s="15" t="s">
        <v>109</v>
      </c>
      <c r="B724" s="15" t="s">
        <v>110</v>
      </c>
      <c r="D724" s="15" t="s">
        <v>791</v>
      </c>
      <c r="E724" s="15" t="s">
        <v>792</v>
      </c>
      <c r="F724" s="15" t="s">
        <v>791</v>
      </c>
      <c r="G724" s="15" t="s">
        <v>113</v>
      </c>
      <c r="H724" s="15" t="s">
        <v>383</v>
      </c>
      <c r="J724" s="16" t="s">
        <v>114</v>
      </c>
      <c r="U724" s="15" t="s">
        <v>17977</v>
      </c>
      <c r="W724" s="15">
        <v>1421</v>
      </c>
      <c r="X724" s="15">
        <v>734</v>
      </c>
      <c r="Y724" s="15" t="s">
        <v>160</v>
      </c>
      <c r="Z724" s="15" t="s">
        <v>161</v>
      </c>
      <c r="AA724" s="15" t="s">
        <v>162</v>
      </c>
      <c r="AB724" s="15" t="s">
        <v>7168</v>
      </c>
      <c r="AC724" s="15" t="s">
        <v>7168</v>
      </c>
      <c r="AD724" s="15" t="s">
        <v>7168</v>
      </c>
      <c r="AE724" s="15" t="s">
        <v>164</v>
      </c>
      <c r="AF724" s="15" t="s">
        <v>7168</v>
      </c>
      <c r="AG724" s="15" t="s">
        <v>7168</v>
      </c>
      <c r="AH724" s="37" t="s">
        <v>7169</v>
      </c>
      <c r="AL724" s="15" t="s">
        <v>7170</v>
      </c>
      <c r="AN724" s="15">
        <v>743</v>
      </c>
      <c r="AO724" s="15" t="s">
        <v>7171</v>
      </c>
      <c r="AQ724" s="15" t="s">
        <v>168</v>
      </c>
      <c r="AR724" s="47"/>
      <c r="AS724" s="47"/>
      <c r="AT724" s="15" t="s">
        <v>7172</v>
      </c>
      <c r="AU724" s="15" t="s">
        <v>7173</v>
      </c>
      <c r="AV724" s="15" t="s">
        <v>7173</v>
      </c>
      <c r="AW724" s="18" t="s">
        <v>7174</v>
      </c>
      <c r="AX724" s="18" t="s">
        <v>7175</v>
      </c>
      <c r="AY724" s="15">
        <f t="shared" si="13"/>
        <v>55</v>
      </c>
      <c r="AZ724" s="18" t="s">
        <v>604</v>
      </c>
      <c r="BA724" s="18" t="s">
        <v>174</v>
      </c>
      <c r="BB724" s="18" t="s">
        <v>7176</v>
      </c>
      <c r="BC724" s="18" t="s">
        <v>884</v>
      </c>
      <c r="BD724" s="18"/>
      <c r="BE724" s="18" t="s">
        <v>7177</v>
      </c>
      <c r="BF724" s="18" t="s">
        <v>7178</v>
      </c>
      <c r="BG724" s="18"/>
      <c r="BH724" s="18"/>
      <c r="BI724" s="18"/>
      <c r="BJ724" s="18" t="s">
        <v>3268</v>
      </c>
      <c r="BK724" s="18"/>
      <c r="BL724" s="18"/>
      <c r="BM724" s="18"/>
      <c r="BN724" s="18" t="s">
        <v>179</v>
      </c>
      <c r="BO724" s="18"/>
      <c r="BP724" s="18" t="s">
        <v>138</v>
      </c>
      <c r="BQ724" s="18"/>
      <c r="BR724" s="18" t="s">
        <v>7179</v>
      </c>
      <c r="BS724" s="15" t="s">
        <v>7180</v>
      </c>
      <c r="BT724" s="15" t="s">
        <v>804</v>
      </c>
      <c r="DH724" s="15" t="s">
        <v>17982</v>
      </c>
      <c r="DI724" s="15" t="s">
        <v>17982</v>
      </c>
    </row>
    <row r="725" spans="1:113" s="15" customFormat="1" ht="12.75" x14ac:dyDescent="0.2">
      <c r="A725" s="15" t="s">
        <v>109</v>
      </c>
      <c r="B725" s="15" t="s">
        <v>110</v>
      </c>
      <c r="D725" s="15" t="s">
        <v>791</v>
      </c>
      <c r="E725" s="15" t="s">
        <v>792</v>
      </c>
      <c r="F725" s="15" t="s">
        <v>791</v>
      </c>
      <c r="G725" s="15" t="s">
        <v>113</v>
      </c>
      <c r="H725" s="15" t="s">
        <v>383</v>
      </c>
      <c r="J725" s="16" t="s">
        <v>114</v>
      </c>
      <c r="U725" s="15" t="s">
        <v>17977</v>
      </c>
      <c r="W725" s="15">
        <v>3601</v>
      </c>
      <c r="X725" s="15">
        <v>735</v>
      </c>
      <c r="Y725" s="15" t="s">
        <v>160</v>
      </c>
      <c r="Z725" s="15" t="s">
        <v>161</v>
      </c>
      <c r="AA725" s="15" t="s">
        <v>162</v>
      </c>
      <c r="AB725" s="15" t="s">
        <v>17395</v>
      </c>
      <c r="AC725" s="15" t="s">
        <v>17395</v>
      </c>
      <c r="AD725" s="15" t="s">
        <v>17396</v>
      </c>
      <c r="AE725" s="15" t="s">
        <v>164</v>
      </c>
      <c r="AF725" s="15" t="s">
        <v>17396</v>
      </c>
      <c r="AG725" s="15" t="s">
        <v>17395</v>
      </c>
      <c r="AH725" s="37" t="s">
        <v>17397</v>
      </c>
      <c r="AL725" s="15" t="s">
        <v>17398</v>
      </c>
      <c r="AN725" s="15">
        <v>743</v>
      </c>
      <c r="AO725" s="15" t="s">
        <v>17399</v>
      </c>
      <c r="AQ725" s="15" t="s">
        <v>168</v>
      </c>
      <c r="AT725" s="15" t="s">
        <v>17400</v>
      </c>
      <c r="AU725" s="15" t="s">
        <v>17401</v>
      </c>
      <c r="AV725" s="15" t="s">
        <v>17401</v>
      </c>
      <c r="AW725" s="18" t="s">
        <v>17402</v>
      </c>
      <c r="AX725" s="18" t="s">
        <v>17402</v>
      </c>
      <c r="AY725" s="15">
        <f t="shared" si="13"/>
        <v>59</v>
      </c>
      <c r="AZ725" s="18" t="s">
        <v>604</v>
      </c>
      <c r="BA725" s="18" t="s">
        <v>174</v>
      </c>
      <c r="BB725" s="18" t="s">
        <v>17403</v>
      </c>
      <c r="BC725" s="18"/>
      <c r="BD725" s="18"/>
      <c r="BE725" s="18" t="s">
        <v>17361</v>
      </c>
      <c r="BF725" s="26" t="s">
        <v>17404</v>
      </c>
      <c r="BG725" s="18"/>
      <c r="BH725" s="18"/>
      <c r="BI725" s="18"/>
      <c r="BJ725" s="18" t="s">
        <v>2185</v>
      </c>
      <c r="BK725" s="18"/>
      <c r="BL725" s="18"/>
      <c r="BM725" s="18"/>
      <c r="BN725" s="18" t="s">
        <v>179</v>
      </c>
      <c r="BO725" s="18"/>
      <c r="BP725" s="18" t="s">
        <v>138</v>
      </c>
      <c r="BQ725" s="18"/>
      <c r="BR725" s="18" t="s">
        <v>3521</v>
      </c>
      <c r="BS725" s="15" t="s">
        <v>17405</v>
      </c>
      <c r="BT725" s="15" t="s">
        <v>804</v>
      </c>
      <c r="DH725" s="15" t="s">
        <v>17982</v>
      </c>
      <c r="DI725" s="15" t="s">
        <v>17982</v>
      </c>
    </row>
    <row r="726" spans="1:113" s="15" customFormat="1" ht="12.75" x14ac:dyDescent="0.2">
      <c r="A726" s="15" t="s">
        <v>109</v>
      </c>
      <c r="B726" s="15" t="s">
        <v>110</v>
      </c>
      <c r="D726" s="15" t="s">
        <v>791</v>
      </c>
      <c r="E726" s="15" t="s">
        <v>792</v>
      </c>
      <c r="F726" s="15" t="s">
        <v>791</v>
      </c>
      <c r="G726" s="15" t="s">
        <v>113</v>
      </c>
      <c r="H726" s="15" t="s">
        <v>383</v>
      </c>
      <c r="J726" s="16" t="s">
        <v>114</v>
      </c>
      <c r="U726" s="15" t="s">
        <v>17977</v>
      </c>
      <c r="W726" s="15">
        <v>2891</v>
      </c>
      <c r="X726" s="15">
        <v>736</v>
      </c>
      <c r="Y726" s="15" t="s">
        <v>160</v>
      </c>
      <c r="Z726" s="15" t="s">
        <v>161</v>
      </c>
      <c r="AA726" s="15" t="s">
        <v>162</v>
      </c>
      <c r="AB726" s="15" t="s">
        <v>14127</v>
      </c>
      <c r="AC726" s="15" t="s">
        <v>14127</v>
      </c>
      <c r="AD726" s="15" t="s">
        <v>14127</v>
      </c>
      <c r="AE726" s="15" t="s">
        <v>164</v>
      </c>
      <c r="AF726" s="15" t="s">
        <v>14127</v>
      </c>
      <c r="AG726" s="15" t="s">
        <v>14127</v>
      </c>
      <c r="AH726" s="37" t="s">
        <v>14128</v>
      </c>
      <c r="AL726" s="15" t="s">
        <v>14129</v>
      </c>
      <c r="AN726" s="15">
        <v>743</v>
      </c>
      <c r="AO726" s="15" t="s">
        <v>14130</v>
      </c>
      <c r="AQ726" s="15" t="s">
        <v>168</v>
      </c>
      <c r="AT726" s="15" t="s">
        <v>14131</v>
      </c>
      <c r="AU726" s="15" t="s">
        <v>14132</v>
      </c>
      <c r="AV726" s="15" t="s">
        <v>14132</v>
      </c>
      <c r="AW726" s="18" t="s">
        <v>14133</v>
      </c>
      <c r="AX726" s="18" t="s">
        <v>14133</v>
      </c>
      <c r="AY726" s="15">
        <f t="shared" si="13"/>
        <v>60</v>
      </c>
      <c r="AZ726" s="18" t="s">
        <v>604</v>
      </c>
      <c r="BA726" s="18" t="s">
        <v>174</v>
      </c>
      <c r="BB726" s="18" t="s">
        <v>14134</v>
      </c>
      <c r="BC726" s="18"/>
      <c r="BD726" s="18"/>
      <c r="BE726" s="18" t="s">
        <v>14135</v>
      </c>
      <c r="BF726" s="18" t="s">
        <v>14136</v>
      </c>
      <c r="BG726" s="18"/>
      <c r="BH726" s="18"/>
      <c r="BI726" s="18"/>
      <c r="BJ726" s="18" t="s">
        <v>14137</v>
      </c>
      <c r="BK726" s="18"/>
      <c r="BL726" s="18"/>
      <c r="BM726" s="18"/>
      <c r="BN726" s="18"/>
      <c r="BO726" s="18"/>
      <c r="BP726" s="18"/>
      <c r="BQ726" s="18"/>
      <c r="BR726" s="18"/>
      <c r="BS726" s="15" t="s">
        <v>14138</v>
      </c>
      <c r="DH726" s="15" t="s">
        <v>17982</v>
      </c>
      <c r="DI726" s="15" t="s">
        <v>17982</v>
      </c>
    </row>
    <row r="727" spans="1:113" s="15" customFormat="1" ht="12.75" x14ac:dyDescent="0.2">
      <c r="A727" s="15" t="s">
        <v>109</v>
      </c>
      <c r="B727" s="15" t="s">
        <v>110</v>
      </c>
      <c r="D727" s="15" t="s">
        <v>791</v>
      </c>
      <c r="E727" s="15" t="s">
        <v>792</v>
      </c>
      <c r="F727" s="15" t="s">
        <v>791</v>
      </c>
      <c r="G727" s="15" t="s">
        <v>113</v>
      </c>
      <c r="H727" s="15" t="s">
        <v>383</v>
      </c>
      <c r="J727" s="16" t="s">
        <v>114</v>
      </c>
      <c r="U727" s="15" t="s">
        <v>17977</v>
      </c>
      <c r="W727" s="15">
        <v>909</v>
      </c>
      <c r="X727" s="15">
        <v>737</v>
      </c>
      <c r="Y727" s="15" t="s">
        <v>160</v>
      </c>
      <c r="Z727" s="15" t="s">
        <v>161</v>
      </c>
      <c r="AA727" s="15" t="s">
        <v>162</v>
      </c>
      <c r="AB727" s="15" t="s">
        <v>4099</v>
      </c>
      <c r="AC727" s="15" t="s">
        <v>4099</v>
      </c>
      <c r="AD727" s="15" t="s">
        <v>4099</v>
      </c>
      <c r="AE727" s="15" t="s">
        <v>164</v>
      </c>
      <c r="AF727" s="15" t="s">
        <v>4099</v>
      </c>
      <c r="AG727" s="15" t="s">
        <v>4099</v>
      </c>
      <c r="AH727" s="37" t="s">
        <v>4100</v>
      </c>
      <c r="AL727" s="15" t="s">
        <v>4101</v>
      </c>
      <c r="AN727" s="15">
        <v>743</v>
      </c>
      <c r="AO727" s="15" t="s">
        <v>4102</v>
      </c>
      <c r="AQ727" s="15" t="s">
        <v>168</v>
      </c>
      <c r="AT727" s="15" t="s">
        <v>4103</v>
      </c>
      <c r="AU727" s="15" t="s">
        <v>4104</v>
      </c>
      <c r="AV727" s="15" t="s">
        <v>4104</v>
      </c>
      <c r="AW727" s="18" t="s">
        <v>4105</v>
      </c>
      <c r="AX727" s="18" t="s">
        <v>4106</v>
      </c>
      <c r="AY727" s="15">
        <f t="shared" si="13"/>
        <v>59</v>
      </c>
      <c r="AZ727" s="18" t="s">
        <v>604</v>
      </c>
      <c r="BA727" s="18" t="s">
        <v>174</v>
      </c>
      <c r="BB727" s="18" t="s">
        <v>1094</v>
      </c>
      <c r="BC727" s="18"/>
      <c r="BD727" s="18"/>
      <c r="BE727" s="18" t="s">
        <v>3553</v>
      </c>
      <c r="BF727" s="18" t="s">
        <v>918</v>
      </c>
      <c r="BG727" s="18"/>
      <c r="BH727" s="18"/>
      <c r="BI727" s="18"/>
      <c r="BJ727" s="18" t="s">
        <v>3223</v>
      </c>
      <c r="BK727" s="18"/>
      <c r="BL727" s="18"/>
      <c r="BM727" s="18"/>
      <c r="BN727" s="18" t="s">
        <v>179</v>
      </c>
      <c r="BO727" s="18"/>
      <c r="BP727" s="18" t="s">
        <v>138</v>
      </c>
      <c r="BQ727" s="18"/>
      <c r="BR727" s="18"/>
      <c r="BS727" s="15" t="s">
        <v>4107</v>
      </c>
      <c r="BT727" s="15" t="s">
        <v>804</v>
      </c>
      <c r="DH727" s="15" t="s">
        <v>17982</v>
      </c>
      <c r="DI727" s="15" t="s">
        <v>17982</v>
      </c>
    </row>
    <row r="728" spans="1:113" s="15" customFormat="1" ht="12.75" x14ac:dyDescent="0.2">
      <c r="A728" s="15" t="s">
        <v>109</v>
      </c>
      <c r="B728" s="15" t="s">
        <v>110</v>
      </c>
      <c r="D728" s="15" t="s">
        <v>791</v>
      </c>
      <c r="E728" s="15" t="s">
        <v>792</v>
      </c>
      <c r="F728" s="15" t="s">
        <v>791</v>
      </c>
      <c r="G728" s="15" t="s">
        <v>113</v>
      </c>
      <c r="H728" s="15" t="s">
        <v>383</v>
      </c>
      <c r="J728" s="16" t="s">
        <v>114</v>
      </c>
      <c r="U728" s="15" t="s">
        <v>17977</v>
      </c>
      <c r="W728" s="15">
        <v>910</v>
      </c>
      <c r="X728" s="15">
        <v>738</v>
      </c>
      <c r="Y728" s="15" t="s">
        <v>160</v>
      </c>
      <c r="Z728" s="15" t="s">
        <v>161</v>
      </c>
      <c r="AA728" s="15" t="s">
        <v>162</v>
      </c>
      <c r="AB728" s="15" t="s">
        <v>4108</v>
      </c>
      <c r="AC728" s="15" t="s">
        <v>4108</v>
      </c>
      <c r="AD728" s="15" t="s">
        <v>4108</v>
      </c>
      <c r="AE728" s="15" t="s">
        <v>164</v>
      </c>
      <c r="AF728" s="15" t="s">
        <v>4108</v>
      </c>
      <c r="AG728" s="15" t="s">
        <v>4108</v>
      </c>
      <c r="AH728" s="37" t="s">
        <v>4109</v>
      </c>
      <c r="AL728" s="15" t="s">
        <v>4110</v>
      </c>
      <c r="AN728" s="15">
        <v>743</v>
      </c>
      <c r="AO728" s="15" t="s">
        <v>4111</v>
      </c>
      <c r="AQ728" s="15" t="s">
        <v>168</v>
      </c>
      <c r="AT728" s="15" t="s">
        <v>4112</v>
      </c>
      <c r="AU728" s="15" t="s">
        <v>4113</v>
      </c>
      <c r="AV728" s="15" t="s">
        <v>4113</v>
      </c>
      <c r="AW728" s="18" t="s">
        <v>4114</v>
      </c>
      <c r="AX728" s="18" t="s">
        <v>4115</v>
      </c>
      <c r="AY728" s="15">
        <f t="shared" si="13"/>
        <v>56</v>
      </c>
      <c r="AZ728" s="18" t="s">
        <v>604</v>
      </c>
      <c r="BA728" s="18" t="s">
        <v>174</v>
      </c>
      <c r="BB728" s="18" t="s">
        <v>1094</v>
      </c>
      <c r="BC728" s="18"/>
      <c r="BD728" s="18"/>
      <c r="BE728" s="18" t="s">
        <v>3541</v>
      </c>
      <c r="BF728" s="18" t="s">
        <v>1096</v>
      </c>
      <c r="BG728" s="18"/>
      <c r="BH728" s="18"/>
      <c r="BI728" s="18"/>
      <c r="BJ728" s="18" t="s">
        <v>3223</v>
      </c>
      <c r="BK728" s="18"/>
      <c r="BL728" s="18"/>
      <c r="BM728" s="18"/>
      <c r="BN728" s="18" t="s">
        <v>179</v>
      </c>
      <c r="BO728" s="18"/>
      <c r="BP728" s="18" t="s">
        <v>138</v>
      </c>
      <c r="BQ728" s="18"/>
      <c r="BR728" s="18" t="s">
        <v>2551</v>
      </c>
      <c r="BS728" s="15" t="s">
        <v>4116</v>
      </c>
      <c r="BT728" s="15" t="s">
        <v>804</v>
      </c>
      <c r="DH728" s="15" t="s">
        <v>17982</v>
      </c>
      <c r="DI728" s="15" t="s">
        <v>17982</v>
      </c>
    </row>
    <row r="729" spans="1:113" s="15" customFormat="1" ht="12.75" x14ac:dyDescent="0.2">
      <c r="A729" s="15" t="s">
        <v>109</v>
      </c>
      <c r="B729" s="15" t="s">
        <v>110</v>
      </c>
      <c r="D729" s="15" t="s">
        <v>791</v>
      </c>
      <c r="E729" s="15" t="s">
        <v>792</v>
      </c>
      <c r="F729" s="15" t="s">
        <v>791</v>
      </c>
      <c r="G729" s="15" t="s">
        <v>113</v>
      </c>
      <c r="H729" s="15" t="s">
        <v>383</v>
      </c>
      <c r="J729" s="16" t="s">
        <v>114</v>
      </c>
      <c r="U729" s="15" t="s">
        <v>17977</v>
      </c>
      <c r="W729" s="15">
        <v>911</v>
      </c>
      <c r="X729" s="15">
        <v>739</v>
      </c>
      <c r="Y729" s="15" t="s">
        <v>160</v>
      </c>
      <c r="Z729" s="15" t="s">
        <v>161</v>
      </c>
      <c r="AA729" s="15" t="s">
        <v>162</v>
      </c>
      <c r="AB729" s="15" t="s">
        <v>4117</v>
      </c>
      <c r="AC729" s="15" t="s">
        <v>4117</v>
      </c>
      <c r="AD729" s="15" t="s">
        <v>4117</v>
      </c>
      <c r="AE729" s="15" t="s">
        <v>164</v>
      </c>
      <c r="AF729" s="15" t="s">
        <v>4117</v>
      </c>
      <c r="AG729" s="15" t="s">
        <v>4117</v>
      </c>
      <c r="AH729" s="37" t="s">
        <v>4118</v>
      </c>
      <c r="AL729" s="15" t="s">
        <v>4119</v>
      </c>
      <c r="AN729" s="15">
        <v>743</v>
      </c>
      <c r="AO729" s="15" t="s">
        <v>4120</v>
      </c>
      <c r="AQ729" s="15" t="s">
        <v>168</v>
      </c>
      <c r="AT729" s="15" t="s">
        <v>4121</v>
      </c>
      <c r="AU729" s="15" t="s">
        <v>4122</v>
      </c>
      <c r="AV729" s="15" t="s">
        <v>4122</v>
      </c>
      <c r="AW729" s="18" t="s">
        <v>4123</v>
      </c>
      <c r="AX729" s="18" t="s">
        <v>4124</v>
      </c>
      <c r="AY729" s="15">
        <f t="shared" si="13"/>
        <v>60</v>
      </c>
      <c r="AZ729" s="18" t="s">
        <v>604</v>
      </c>
      <c r="BA729" s="18" t="s">
        <v>174</v>
      </c>
      <c r="BB729" s="18" t="s">
        <v>1094</v>
      </c>
      <c r="BC729" s="18"/>
      <c r="BD729" s="18"/>
      <c r="BE729" s="18" t="s">
        <v>4088</v>
      </c>
      <c r="BF729" s="18" t="s">
        <v>3212</v>
      </c>
      <c r="BG729" s="18"/>
      <c r="BH729" s="18"/>
      <c r="BI729" s="18"/>
      <c r="BJ729" s="18" t="s">
        <v>3223</v>
      </c>
      <c r="BK729" s="18"/>
      <c r="BL729" s="18"/>
      <c r="BM729" s="18"/>
      <c r="BN729" s="18" t="s">
        <v>179</v>
      </c>
      <c r="BO729" s="18"/>
      <c r="BP729" s="18" t="s">
        <v>138</v>
      </c>
      <c r="BQ729" s="18"/>
      <c r="BR729" s="18" t="s">
        <v>2989</v>
      </c>
      <c r="BS729" s="15" t="s">
        <v>4125</v>
      </c>
      <c r="BT729" s="15" t="s">
        <v>3544</v>
      </c>
      <c r="DH729" s="15" t="s">
        <v>17982</v>
      </c>
      <c r="DI729" s="15" t="s">
        <v>17982</v>
      </c>
    </row>
    <row r="730" spans="1:113" s="15" customFormat="1" ht="12.75" x14ac:dyDescent="0.2">
      <c r="A730" s="15" t="s">
        <v>109</v>
      </c>
      <c r="B730" s="15" t="s">
        <v>110</v>
      </c>
      <c r="D730" s="15" t="s">
        <v>791</v>
      </c>
      <c r="E730" s="15" t="s">
        <v>792</v>
      </c>
      <c r="F730" s="15" t="s">
        <v>791</v>
      </c>
      <c r="G730" s="15" t="s">
        <v>113</v>
      </c>
      <c r="H730" s="15" t="s">
        <v>383</v>
      </c>
      <c r="J730" s="16" t="s">
        <v>114</v>
      </c>
      <c r="U730" s="15" t="s">
        <v>17977</v>
      </c>
      <c r="W730" s="15">
        <v>906</v>
      </c>
      <c r="X730" s="15">
        <v>740</v>
      </c>
      <c r="Y730" s="15" t="s">
        <v>160</v>
      </c>
      <c r="Z730" s="15" t="s">
        <v>161</v>
      </c>
      <c r="AA730" s="15" t="s">
        <v>162</v>
      </c>
      <c r="AB730" s="15" t="s">
        <v>4071</v>
      </c>
      <c r="AC730" s="15" t="s">
        <v>4071</v>
      </c>
      <c r="AD730" s="15" t="s">
        <v>4071</v>
      </c>
      <c r="AE730" s="15" t="s">
        <v>164</v>
      </c>
      <c r="AF730" s="15" t="s">
        <v>4071</v>
      </c>
      <c r="AG730" s="15" t="s">
        <v>4071</v>
      </c>
      <c r="AH730" s="37" t="s">
        <v>4072</v>
      </c>
      <c r="AL730" s="15" t="s">
        <v>4073</v>
      </c>
      <c r="AN730" s="15">
        <v>743</v>
      </c>
      <c r="AO730" s="15" t="s">
        <v>4074</v>
      </c>
      <c r="AQ730" s="15" t="s">
        <v>168</v>
      </c>
      <c r="AT730" s="15" t="s">
        <v>4075</v>
      </c>
      <c r="AU730" s="15" t="s">
        <v>4076</v>
      </c>
      <c r="AV730" s="15" t="s">
        <v>4076</v>
      </c>
      <c r="AW730" s="18" t="s">
        <v>4077</v>
      </c>
      <c r="AX730" s="18" t="s">
        <v>4078</v>
      </c>
      <c r="AY730" s="15">
        <f t="shared" si="13"/>
        <v>57</v>
      </c>
      <c r="AZ730" s="18" t="s">
        <v>604</v>
      </c>
      <c r="BA730" s="18" t="s">
        <v>174</v>
      </c>
      <c r="BB730" s="18" t="s">
        <v>1094</v>
      </c>
      <c r="BC730" s="18"/>
      <c r="BD730" s="18"/>
      <c r="BE730" s="18" t="s">
        <v>918</v>
      </c>
      <c r="BF730" s="18" t="s">
        <v>918</v>
      </c>
      <c r="BG730" s="18"/>
      <c r="BH730" s="18"/>
      <c r="BI730" s="18"/>
      <c r="BJ730" s="18" t="s">
        <v>3192</v>
      </c>
      <c r="BK730" s="18"/>
      <c r="BL730" s="18"/>
      <c r="BM730" s="18"/>
      <c r="BN730" s="18" t="s">
        <v>179</v>
      </c>
      <c r="BO730" s="18"/>
      <c r="BP730" s="18" t="s">
        <v>138</v>
      </c>
      <c r="BQ730" s="18"/>
      <c r="BR730" s="18"/>
      <c r="BS730" s="15" t="s">
        <v>4079</v>
      </c>
      <c r="BT730" s="15" t="s">
        <v>3544</v>
      </c>
      <c r="DH730" s="15" t="s">
        <v>17982</v>
      </c>
      <c r="DI730" s="15" t="s">
        <v>17982</v>
      </c>
    </row>
    <row r="731" spans="1:113" s="15" customFormat="1" ht="12.75" x14ac:dyDescent="0.2">
      <c r="A731" s="15" t="s">
        <v>109</v>
      </c>
      <c r="B731" s="15" t="s">
        <v>110</v>
      </c>
      <c r="D731" s="15" t="s">
        <v>791</v>
      </c>
      <c r="E731" s="15" t="s">
        <v>792</v>
      </c>
      <c r="F731" s="15" t="s">
        <v>791</v>
      </c>
      <c r="G731" s="15" t="s">
        <v>113</v>
      </c>
      <c r="H731" s="15" t="s">
        <v>383</v>
      </c>
      <c r="J731" s="16" t="s">
        <v>114</v>
      </c>
      <c r="U731" s="15" t="s">
        <v>17977</v>
      </c>
      <c r="W731" s="15">
        <v>905</v>
      </c>
      <c r="X731" s="15">
        <v>741</v>
      </c>
      <c r="Y731" s="15" t="s">
        <v>160</v>
      </c>
      <c r="Z731" s="15" t="s">
        <v>161</v>
      </c>
      <c r="AA731" s="15" t="s">
        <v>162</v>
      </c>
      <c r="AB731" s="15" t="s">
        <v>4061</v>
      </c>
      <c r="AC731" s="15" t="s">
        <v>4061</v>
      </c>
      <c r="AD731" s="15" t="s">
        <v>4061</v>
      </c>
      <c r="AE731" s="15" t="s">
        <v>164</v>
      </c>
      <c r="AF731" s="15" t="s">
        <v>4061</v>
      </c>
      <c r="AG731" s="15" t="s">
        <v>4061</v>
      </c>
      <c r="AH731" s="37" t="s">
        <v>4062</v>
      </c>
      <c r="AL731" s="15" t="s">
        <v>4063</v>
      </c>
      <c r="AN731" s="15">
        <v>743</v>
      </c>
      <c r="AO731" s="15" t="s">
        <v>4064</v>
      </c>
      <c r="AQ731" s="15" t="s">
        <v>168</v>
      </c>
      <c r="AT731" s="15" t="s">
        <v>4065</v>
      </c>
      <c r="AU731" s="15" t="s">
        <v>4066</v>
      </c>
      <c r="AV731" s="15" t="s">
        <v>4066</v>
      </c>
      <c r="AW731" s="18" t="s">
        <v>4067</v>
      </c>
      <c r="AX731" s="18" t="s">
        <v>4068</v>
      </c>
      <c r="AY731" s="15">
        <f t="shared" si="13"/>
        <v>55</v>
      </c>
      <c r="AZ731" s="18" t="s">
        <v>604</v>
      </c>
      <c r="BA731" s="18" t="s">
        <v>174</v>
      </c>
      <c r="BB731" s="18" t="s">
        <v>1094</v>
      </c>
      <c r="BC731" s="18"/>
      <c r="BD731" s="18"/>
      <c r="BE731" s="18" t="s">
        <v>2550</v>
      </c>
      <c r="BF731" s="18" t="s">
        <v>1712</v>
      </c>
      <c r="BG731" s="18"/>
      <c r="BH731" s="18"/>
      <c r="BI731" s="18"/>
      <c r="BJ731" s="18" t="s">
        <v>3192</v>
      </c>
      <c r="BK731" s="18"/>
      <c r="BL731" s="18"/>
      <c r="BM731" s="18"/>
      <c r="BN731" s="18" t="s">
        <v>179</v>
      </c>
      <c r="BO731" s="18"/>
      <c r="BP731" s="18" t="s">
        <v>138</v>
      </c>
      <c r="BQ731" s="18"/>
      <c r="BR731" s="18" t="s">
        <v>4069</v>
      </c>
      <c r="BS731" s="15" t="s">
        <v>4070</v>
      </c>
      <c r="BT731" s="15" t="s">
        <v>804</v>
      </c>
      <c r="DH731" s="15" t="s">
        <v>17982</v>
      </c>
      <c r="DI731" s="15" t="s">
        <v>17982</v>
      </c>
    </row>
    <row r="732" spans="1:113" s="15" customFormat="1" ht="12.75" x14ac:dyDescent="0.2">
      <c r="A732" s="15" t="s">
        <v>109</v>
      </c>
      <c r="B732" s="15" t="s">
        <v>110</v>
      </c>
      <c r="D732" s="15" t="s">
        <v>791</v>
      </c>
      <c r="E732" s="15" t="s">
        <v>792</v>
      </c>
      <c r="F732" s="15" t="s">
        <v>791</v>
      </c>
      <c r="G732" s="15" t="s">
        <v>113</v>
      </c>
      <c r="H732" s="15" t="s">
        <v>383</v>
      </c>
      <c r="J732" s="16" t="s">
        <v>114</v>
      </c>
      <c r="U732" s="15" t="s">
        <v>17977</v>
      </c>
      <c r="W732" s="15">
        <v>908</v>
      </c>
      <c r="X732" s="15">
        <v>742</v>
      </c>
      <c r="Y732" s="15" t="s">
        <v>160</v>
      </c>
      <c r="Z732" s="15" t="s">
        <v>161</v>
      </c>
      <c r="AA732" s="15" t="s">
        <v>162</v>
      </c>
      <c r="AB732" s="15" t="s">
        <v>4090</v>
      </c>
      <c r="AC732" s="15" t="s">
        <v>4090</v>
      </c>
      <c r="AD732" s="15" t="s">
        <v>4090</v>
      </c>
      <c r="AE732" s="15" t="s">
        <v>164</v>
      </c>
      <c r="AF732" s="15" t="s">
        <v>4090</v>
      </c>
      <c r="AG732" s="15" t="s">
        <v>4090</v>
      </c>
      <c r="AH732" s="37" t="s">
        <v>4091</v>
      </c>
      <c r="AL732" s="15" t="s">
        <v>4092</v>
      </c>
      <c r="AN732" s="15">
        <v>743</v>
      </c>
      <c r="AO732" s="15" t="s">
        <v>4093</v>
      </c>
      <c r="AQ732" s="15" t="s">
        <v>168</v>
      </c>
      <c r="AT732" s="15" t="s">
        <v>4094</v>
      </c>
      <c r="AU732" s="15" t="s">
        <v>4095</v>
      </c>
      <c r="AV732" s="15" t="s">
        <v>4095</v>
      </c>
      <c r="AW732" s="18" t="s">
        <v>4096</v>
      </c>
      <c r="AX732" s="18" t="s">
        <v>4097</v>
      </c>
      <c r="AY732" s="15">
        <f t="shared" si="13"/>
        <v>56</v>
      </c>
      <c r="AZ732" s="18" t="s">
        <v>604</v>
      </c>
      <c r="BA732" s="18" t="s">
        <v>174</v>
      </c>
      <c r="BB732" s="18" t="s">
        <v>1094</v>
      </c>
      <c r="BC732" s="18"/>
      <c r="BD732" s="18"/>
      <c r="BE732" s="18" t="s">
        <v>3541</v>
      </c>
      <c r="BF732" s="18" t="s">
        <v>1096</v>
      </c>
      <c r="BG732" s="18"/>
      <c r="BH732" s="18"/>
      <c r="BI732" s="18"/>
      <c r="BJ732" s="18" t="s">
        <v>3192</v>
      </c>
      <c r="BK732" s="18"/>
      <c r="BL732" s="18"/>
      <c r="BM732" s="18"/>
      <c r="BN732" s="18" t="s">
        <v>179</v>
      </c>
      <c r="BO732" s="18"/>
      <c r="BP732" s="18" t="s">
        <v>138</v>
      </c>
      <c r="BQ732" s="18"/>
      <c r="BR732" s="18" t="s">
        <v>2186</v>
      </c>
      <c r="BS732" s="15" t="s">
        <v>4098</v>
      </c>
      <c r="BT732" s="15" t="s">
        <v>804</v>
      </c>
      <c r="DH732" s="15" t="s">
        <v>17982</v>
      </c>
      <c r="DI732" s="15" t="s">
        <v>17982</v>
      </c>
    </row>
    <row r="733" spans="1:113" s="15" customFormat="1" ht="12.75" x14ac:dyDescent="0.2">
      <c r="A733" s="15" t="s">
        <v>109</v>
      </c>
      <c r="B733" s="15" t="s">
        <v>110</v>
      </c>
      <c r="D733" s="15" t="s">
        <v>791</v>
      </c>
      <c r="E733" s="15" t="s">
        <v>792</v>
      </c>
      <c r="F733" s="15" t="s">
        <v>791</v>
      </c>
      <c r="G733" s="15" t="s">
        <v>113</v>
      </c>
      <c r="H733" s="15" t="s">
        <v>383</v>
      </c>
      <c r="J733" s="16" t="s">
        <v>114</v>
      </c>
      <c r="U733" s="15" t="s">
        <v>17977</v>
      </c>
      <c r="W733" s="15">
        <v>907</v>
      </c>
      <c r="X733" s="15">
        <v>743</v>
      </c>
      <c r="Y733" s="15" t="s">
        <v>160</v>
      </c>
      <c r="Z733" s="15" t="s">
        <v>161</v>
      </c>
      <c r="AA733" s="15" t="s">
        <v>162</v>
      </c>
      <c r="AB733" s="15" t="s">
        <v>4080</v>
      </c>
      <c r="AC733" s="15" t="s">
        <v>4080</v>
      </c>
      <c r="AD733" s="15" t="s">
        <v>4080</v>
      </c>
      <c r="AE733" s="15" t="s">
        <v>164</v>
      </c>
      <c r="AF733" s="15" t="s">
        <v>4080</v>
      </c>
      <c r="AG733" s="15" t="s">
        <v>4080</v>
      </c>
      <c r="AH733" s="37" t="s">
        <v>4081</v>
      </c>
      <c r="AL733" s="15" t="s">
        <v>4082</v>
      </c>
      <c r="AN733" s="15">
        <v>743</v>
      </c>
      <c r="AO733" s="15" t="s">
        <v>4083</v>
      </c>
      <c r="AQ733" s="15" t="s">
        <v>168</v>
      </c>
      <c r="AT733" s="15" t="s">
        <v>4084</v>
      </c>
      <c r="AU733" s="15" t="s">
        <v>4085</v>
      </c>
      <c r="AV733" s="15" t="s">
        <v>4085</v>
      </c>
      <c r="AW733" s="18" t="s">
        <v>4086</v>
      </c>
      <c r="AX733" s="18" t="s">
        <v>4087</v>
      </c>
      <c r="AY733" s="15">
        <f t="shared" si="13"/>
        <v>60</v>
      </c>
      <c r="AZ733" s="18" t="s">
        <v>604</v>
      </c>
      <c r="BA733" s="18" t="s">
        <v>174</v>
      </c>
      <c r="BB733" s="18" t="s">
        <v>1094</v>
      </c>
      <c r="BC733" s="18"/>
      <c r="BD733" s="18"/>
      <c r="BE733" s="18" t="s">
        <v>4088</v>
      </c>
      <c r="BF733" s="18" t="s">
        <v>3212</v>
      </c>
      <c r="BG733" s="18"/>
      <c r="BH733" s="18"/>
      <c r="BI733" s="18"/>
      <c r="BJ733" s="18" t="s">
        <v>3192</v>
      </c>
      <c r="BK733" s="18"/>
      <c r="BL733" s="18"/>
      <c r="BM733" s="18"/>
      <c r="BN733" s="18" t="s">
        <v>179</v>
      </c>
      <c r="BO733" s="18"/>
      <c r="BP733" s="18" t="s">
        <v>138</v>
      </c>
      <c r="BQ733" s="18"/>
      <c r="BR733" s="18">
        <v>5.7</v>
      </c>
      <c r="BS733" s="15" t="s">
        <v>4089</v>
      </c>
      <c r="BT733" s="15" t="s">
        <v>804</v>
      </c>
      <c r="DH733" s="15" t="s">
        <v>17982</v>
      </c>
      <c r="DI733" s="15" t="s">
        <v>17982</v>
      </c>
    </row>
    <row r="734" spans="1:113" s="15" customFormat="1" ht="12.75" x14ac:dyDescent="0.2">
      <c r="A734" s="15" t="s">
        <v>109</v>
      </c>
      <c r="B734" s="15" t="s">
        <v>110</v>
      </c>
      <c r="D734" s="15" t="s">
        <v>791</v>
      </c>
      <c r="E734" s="15" t="s">
        <v>792</v>
      </c>
      <c r="F734" s="15" t="s">
        <v>791</v>
      </c>
      <c r="G734" s="15" t="s">
        <v>113</v>
      </c>
      <c r="H734" s="15" t="s">
        <v>383</v>
      </c>
      <c r="J734" s="16" t="s">
        <v>114</v>
      </c>
      <c r="U734" s="15" t="s">
        <v>17977</v>
      </c>
      <c r="W734" s="15">
        <v>1457</v>
      </c>
      <c r="X734" s="15">
        <v>744</v>
      </c>
      <c r="Y734" s="15" t="s">
        <v>160</v>
      </c>
      <c r="Z734" s="15" t="s">
        <v>161</v>
      </c>
      <c r="AA734" s="15" t="s">
        <v>162</v>
      </c>
      <c r="AB734" s="15" t="s">
        <v>7445</v>
      </c>
      <c r="AC734" s="15" t="s">
        <v>7445</v>
      </c>
      <c r="AD734" s="15" t="s">
        <v>7445</v>
      </c>
      <c r="AE734" s="15" t="s">
        <v>164</v>
      </c>
      <c r="AF734" s="15" t="s">
        <v>7445</v>
      </c>
      <c r="AG734" s="15" t="s">
        <v>7445</v>
      </c>
      <c r="AH734" s="37" t="s">
        <v>7446</v>
      </c>
      <c r="AL734" s="15" t="s">
        <v>7447</v>
      </c>
      <c r="AN734" s="15">
        <v>743</v>
      </c>
      <c r="AO734" s="15" t="s">
        <v>7448</v>
      </c>
      <c r="AQ734" s="15" t="s">
        <v>168</v>
      </c>
      <c r="AT734" s="15" t="s">
        <v>7449</v>
      </c>
      <c r="AU734" s="15" t="s">
        <v>7450</v>
      </c>
      <c r="AV734" s="15" t="s">
        <v>7450</v>
      </c>
      <c r="AW734" s="18" t="s">
        <v>7451</v>
      </c>
      <c r="AX734" s="18" t="s">
        <v>7452</v>
      </c>
      <c r="AY734" s="15">
        <f t="shared" si="13"/>
        <v>57</v>
      </c>
      <c r="AZ734" s="18" t="s">
        <v>604</v>
      </c>
      <c r="BA734" s="18" t="s">
        <v>174</v>
      </c>
      <c r="BB734" s="18" t="s">
        <v>7442</v>
      </c>
      <c r="BC734" s="18"/>
      <c r="BD734" s="18"/>
      <c r="BE734" s="18" t="s">
        <v>3243</v>
      </c>
      <c r="BF734" s="18" t="s">
        <v>7453</v>
      </c>
      <c r="BG734" s="18"/>
      <c r="BH734" s="18"/>
      <c r="BI734" s="18"/>
      <c r="BJ734" s="18" t="s">
        <v>7454</v>
      </c>
      <c r="BK734" s="18"/>
      <c r="BL734" s="18"/>
      <c r="BM734" s="18"/>
      <c r="BN734" s="18" t="s">
        <v>179</v>
      </c>
      <c r="BO734" s="18"/>
      <c r="BP734" s="18" t="s">
        <v>138</v>
      </c>
      <c r="BQ734" s="18"/>
      <c r="BR734" s="18" t="s">
        <v>2928</v>
      </c>
      <c r="BS734" s="15" t="s">
        <v>7455</v>
      </c>
      <c r="BT734" s="15" t="s">
        <v>804</v>
      </c>
      <c r="DH734" s="15" t="s">
        <v>17982</v>
      </c>
      <c r="DI734" s="15" t="s">
        <v>17982</v>
      </c>
    </row>
    <row r="735" spans="1:113" s="15" customFormat="1" ht="12.75" x14ac:dyDescent="0.2">
      <c r="A735" s="15" t="s">
        <v>109</v>
      </c>
      <c r="B735" s="15" t="s">
        <v>110</v>
      </c>
      <c r="D735" s="15" t="s">
        <v>791</v>
      </c>
      <c r="E735" s="15" t="s">
        <v>792</v>
      </c>
      <c r="F735" s="15" t="s">
        <v>791</v>
      </c>
      <c r="G735" s="15" t="s">
        <v>113</v>
      </c>
      <c r="H735" s="15" t="s">
        <v>383</v>
      </c>
      <c r="J735" s="16" t="s">
        <v>114</v>
      </c>
      <c r="U735" s="15" t="s">
        <v>17977</v>
      </c>
      <c r="W735" s="15">
        <v>1456</v>
      </c>
      <c r="X735" s="15">
        <v>745</v>
      </c>
      <c r="Y735" s="15" t="s">
        <v>160</v>
      </c>
      <c r="Z735" s="15" t="s">
        <v>161</v>
      </c>
      <c r="AA735" s="15" t="s">
        <v>162</v>
      </c>
      <c r="AB735" s="15" t="s">
        <v>7434</v>
      </c>
      <c r="AC735" s="15" t="s">
        <v>7434</v>
      </c>
      <c r="AD735" s="15" t="s">
        <v>7434</v>
      </c>
      <c r="AE735" s="15" t="s">
        <v>164</v>
      </c>
      <c r="AF735" s="15" t="s">
        <v>7434</v>
      </c>
      <c r="AG735" s="15" t="s">
        <v>7434</v>
      </c>
      <c r="AH735" s="37" t="s">
        <v>7435</v>
      </c>
      <c r="AL735" s="15" t="s">
        <v>7436</v>
      </c>
      <c r="AN735" s="15">
        <v>743</v>
      </c>
      <c r="AO735" s="15" t="s">
        <v>7437</v>
      </c>
      <c r="AQ735" s="15" t="s">
        <v>168</v>
      </c>
      <c r="AT735" s="15" t="s">
        <v>7438</v>
      </c>
      <c r="AU735" s="15" t="s">
        <v>7439</v>
      </c>
      <c r="AV735" s="15" t="s">
        <v>7439</v>
      </c>
      <c r="AW735" s="18" t="s">
        <v>7440</v>
      </c>
      <c r="AX735" s="18" t="s">
        <v>7441</v>
      </c>
      <c r="AY735" s="15">
        <f t="shared" si="13"/>
        <v>56</v>
      </c>
      <c r="AZ735" s="18" t="s">
        <v>604</v>
      </c>
      <c r="BA735" s="18" t="s">
        <v>174</v>
      </c>
      <c r="BB735" s="18" t="s">
        <v>7442</v>
      </c>
      <c r="BC735" s="18"/>
      <c r="BD735" s="18"/>
      <c r="BE735" s="18" t="s">
        <v>3243</v>
      </c>
      <c r="BF735" s="18" t="s">
        <v>2959</v>
      </c>
      <c r="BG735" s="18"/>
      <c r="BH735" s="18"/>
      <c r="BI735" s="18"/>
      <c r="BJ735" s="18" t="s">
        <v>7443</v>
      </c>
      <c r="BK735" s="18"/>
      <c r="BL735" s="18"/>
      <c r="BM735" s="18"/>
      <c r="BN735" s="18" t="s">
        <v>179</v>
      </c>
      <c r="BO735" s="18"/>
      <c r="BP735" s="18" t="s">
        <v>138</v>
      </c>
      <c r="BQ735" s="18"/>
      <c r="BR735" s="18" t="s">
        <v>1096</v>
      </c>
      <c r="BS735" s="15" t="s">
        <v>7444</v>
      </c>
      <c r="BT735" s="15" t="s">
        <v>804</v>
      </c>
      <c r="DH735" s="15" t="s">
        <v>17982</v>
      </c>
      <c r="DI735" s="15" t="s">
        <v>17982</v>
      </c>
    </row>
    <row r="736" spans="1:113" s="15" customFormat="1" ht="12.75" x14ac:dyDescent="0.2">
      <c r="A736" s="15" t="s">
        <v>109</v>
      </c>
      <c r="B736" s="15" t="s">
        <v>110</v>
      </c>
      <c r="D736" s="15" t="s">
        <v>791</v>
      </c>
      <c r="E736" s="15" t="s">
        <v>792</v>
      </c>
      <c r="F736" s="15" t="s">
        <v>791</v>
      </c>
      <c r="G736" s="15" t="s">
        <v>113</v>
      </c>
      <c r="H736" s="15" t="s">
        <v>383</v>
      </c>
      <c r="J736" s="16" t="s">
        <v>114</v>
      </c>
      <c r="U736" s="15" t="s">
        <v>17977</v>
      </c>
      <c r="W736" s="15">
        <v>930</v>
      </c>
      <c r="X736" s="15">
        <v>746</v>
      </c>
      <c r="Y736" s="15" t="s">
        <v>160</v>
      </c>
      <c r="Z736" s="15" t="s">
        <v>161</v>
      </c>
      <c r="AA736" s="15" t="s">
        <v>162</v>
      </c>
      <c r="AB736" s="15" t="s">
        <v>4313</v>
      </c>
      <c r="AC736" s="15" t="s">
        <v>4313</v>
      </c>
      <c r="AD736" s="15" t="s">
        <v>4313</v>
      </c>
      <c r="AE736" s="15" t="s">
        <v>164</v>
      </c>
      <c r="AF736" s="15" t="s">
        <v>4313</v>
      </c>
      <c r="AG736" s="15" t="s">
        <v>4313</v>
      </c>
      <c r="AH736" s="37" t="s">
        <v>4314</v>
      </c>
      <c r="AL736" s="15" t="s">
        <v>4315</v>
      </c>
      <c r="AN736" s="15">
        <v>743</v>
      </c>
      <c r="AO736" s="15" t="s">
        <v>4316</v>
      </c>
      <c r="AQ736" s="15" t="s">
        <v>168</v>
      </c>
      <c r="AT736" s="15" t="s">
        <v>4317</v>
      </c>
      <c r="AU736" s="15" t="s">
        <v>4318</v>
      </c>
      <c r="AV736" s="15" t="s">
        <v>4318</v>
      </c>
      <c r="AW736" s="18" t="s">
        <v>4319</v>
      </c>
      <c r="AX736" s="18" t="s">
        <v>4320</v>
      </c>
      <c r="AY736" s="15">
        <f t="shared" si="13"/>
        <v>59</v>
      </c>
      <c r="AZ736" s="18" t="s">
        <v>604</v>
      </c>
      <c r="BA736" s="18" t="s">
        <v>174</v>
      </c>
      <c r="BB736" s="18" t="s">
        <v>1094</v>
      </c>
      <c r="BC736" s="18"/>
      <c r="BD736" s="18"/>
      <c r="BE736" s="18" t="s">
        <v>4321</v>
      </c>
      <c r="BF736" s="18" t="s">
        <v>2551</v>
      </c>
      <c r="BG736" s="18"/>
      <c r="BH736" s="18"/>
      <c r="BI736" s="18"/>
      <c r="BJ736" s="18" t="s">
        <v>1097</v>
      </c>
      <c r="BK736" s="18"/>
      <c r="BL736" s="18"/>
      <c r="BM736" s="18"/>
      <c r="BN736" s="18" t="s">
        <v>179</v>
      </c>
      <c r="BO736" s="18"/>
      <c r="BP736" s="18" t="s">
        <v>138</v>
      </c>
      <c r="BQ736" s="18"/>
      <c r="BR736" s="18"/>
      <c r="BS736" s="15" t="s">
        <v>4322</v>
      </c>
      <c r="BT736" s="15" t="s">
        <v>804</v>
      </c>
      <c r="DH736" s="15" t="s">
        <v>17982</v>
      </c>
      <c r="DI736" s="15" t="s">
        <v>17982</v>
      </c>
    </row>
    <row r="737" spans="1:113" s="15" customFormat="1" ht="12.75" x14ac:dyDescent="0.2">
      <c r="A737" s="15" t="s">
        <v>109</v>
      </c>
      <c r="B737" s="15" t="s">
        <v>110</v>
      </c>
      <c r="D737" s="15" t="s">
        <v>791</v>
      </c>
      <c r="E737" s="15" t="s">
        <v>792</v>
      </c>
      <c r="F737" s="15" t="s">
        <v>791</v>
      </c>
      <c r="G737" s="15" t="s">
        <v>113</v>
      </c>
      <c r="H737" s="15" t="s">
        <v>383</v>
      </c>
      <c r="J737" s="16" t="s">
        <v>114</v>
      </c>
      <c r="U737" s="15" t="s">
        <v>17977</v>
      </c>
      <c r="W737" s="15">
        <v>931</v>
      </c>
      <c r="X737" s="15">
        <v>747</v>
      </c>
      <c r="Y737" s="15" t="s">
        <v>160</v>
      </c>
      <c r="Z737" s="15" t="s">
        <v>161</v>
      </c>
      <c r="AA737" s="15" t="s">
        <v>162</v>
      </c>
      <c r="AB737" s="15" t="s">
        <v>4323</v>
      </c>
      <c r="AC737" s="15" t="s">
        <v>4323</v>
      </c>
      <c r="AD737" s="15" t="s">
        <v>4323</v>
      </c>
      <c r="AE737" s="15" t="s">
        <v>164</v>
      </c>
      <c r="AF737" s="15" t="s">
        <v>4323</v>
      </c>
      <c r="AG737" s="15" t="s">
        <v>4323</v>
      </c>
      <c r="AH737" s="37" t="s">
        <v>4324</v>
      </c>
      <c r="AL737" s="15" t="s">
        <v>4325</v>
      </c>
      <c r="AN737" s="15">
        <v>743</v>
      </c>
      <c r="AO737" s="15" t="s">
        <v>4326</v>
      </c>
      <c r="AQ737" s="15" t="s">
        <v>168</v>
      </c>
      <c r="AT737" s="15" t="s">
        <v>4327</v>
      </c>
      <c r="AU737" s="15" t="s">
        <v>4328</v>
      </c>
      <c r="AV737" s="15" t="s">
        <v>4328</v>
      </c>
      <c r="AW737" s="18" t="s">
        <v>4329</v>
      </c>
      <c r="AX737" s="18" t="s">
        <v>4330</v>
      </c>
      <c r="AY737" s="15">
        <f t="shared" si="13"/>
        <v>60</v>
      </c>
      <c r="AZ737" s="18" t="s">
        <v>604</v>
      </c>
      <c r="BA737" s="18" t="s">
        <v>174</v>
      </c>
      <c r="BB737" s="18" t="s">
        <v>1094</v>
      </c>
      <c r="BC737" s="18" t="s">
        <v>884</v>
      </c>
      <c r="BD737" s="18"/>
      <c r="BE737" s="18" t="s">
        <v>4331</v>
      </c>
      <c r="BF737" s="18" t="s">
        <v>2186</v>
      </c>
      <c r="BG737" s="18"/>
      <c r="BH737" s="18"/>
      <c r="BI737" s="18"/>
      <c r="BJ737" s="18" t="s">
        <v>4332</v>
      </c>
      <c r="BK737" s="18"/>
      <c r="BL737" s="18"/>
      <c r="BM737" s="18"/>
      <c r="BN737" s="18" t="s">
        <v>179</v>
      </c>
      <c r="BO737" s="18"/>
      <c r="BP737" s="18" t="s">
        <v>138</v>
      </c>
      <c r="BQ737" s="18"/>
      <c r="BR737" s="18"/>
      <c r="BS737" s="15" t="s">
        <v>4333</v>
      </c>
      <c r="BT737" s="15" t="s">
        <v>804</v>
      </c>
      <c r="DH737" s="15" t="s">
        <v>17982</v>
      </c>
      <c r="DI737" s="15" t="s">
        <v>17982</v>
      </c>
    </row>
    <row r="738" spans="1:113" s="15" customFormat="1" ht="12.75" x14ac:dyDescent="0.2">
      <c r="A738" s="15" t="s">
        <v>109</v>
      </c>
      <c r="B738" s="15" t="s">
        <v>110</v>
      </c>
      <c r="D738" s="15" t="s">
        <v>791</v>
      </c>
      <c r="E738" s="15" t="s">
        <v>792</v>
      </c>
      <c r="F738" s="15" t="s">
        <v>791</v>
      </c>
      <c r="G738" s="15" t="s">
        <v>113</v>
      </c>
      <c r="H738" s="15" t="s">
        <v>383</v>
      </c>
      <c r="J738" s="16" t="s">
        <v>114</v>
      </c>
      <c r="U738" s="15" t="s">
        <v>17977</v>
      </c>
      <c r="W738" s="15">
        <v>165</v>
      </c>
      <c r="X738" s="15">
        <v>748</v>
      </c>
      <c r="Y738" s="15" t="s">
        <v>160</v>
      </c>
      <c r="Z738" s="15" t="s">
        <v>161</v>
      </c>
      <c r="AA738" s="15" t="s">
        <v>162</v>
      </c>
      <c r="AB738" s="15" t="s">
        <v>1086</v>
      </c>
      <c r="AC738" s="15" t="s">
        <v>1086</v>
      </c>
      <c r="AD738" s="15" t="s">
        <v>1086</v>
      </c>
      <c r="AE738" s="15" t="s">
        <v>164</v>
      </c>
      <c r="AF738" s="15" t="s">
        <v>1086</v>
      </c>
      <c r="AG738" s="15" t="s">
        <v>1086</v>
      </c>
      <c r="AH738" s="37" t="s">
        <v>1087</v>
      </c>
      <c r="AL738" s="15" t="s">
        <v>1088</v>
      </c>
      <c r="AN738" s="15">
        <v>743</v>
      </c>
      <c r="AO738" s="15" t="s">
        <v>1089</v>
      </c>
      <c r="AQ738" s="15" t="s">
        <v>168</v>
      </c>
      <c r="AT738" s="15" t="s">
        <v>1090</v>
      </c>
      <c r="AU738" s="15" t="s">
        <v>1091</v>
      </c>
      <c r="AV738" s="15" t="s">
        <v>1091</v>
      </c>
      <c r="AW738" s="18" t="s">
        <v>1092</v>
      </c>
      <c r="AX738" s="18" t="s">
        <v>1093</v>
      </c>
      <c r="AY738" s="15">
        <f t="shared" si="13"/>
        <v>58</v>
      </c>
      <c r="AZ738" s="18" t="s">
        <v>604</v>
      </c>
      <c r="BA738" s="18" t="s">
        <v>174</v>
      </c>
      <c r="BB738" s="18" t="s">
        <v>1094</v>
      </c>
      <c r="BC738" s="18"/>
      <c r="BD738" s="18"/>
      <c r="BE738" s="18" t="s">
        <v>1095</v>
      </c>
      <c r="BF738" s="18" t="s">
        <v>1096</v>
      </c>
      <c r="BG738" s="18"/>
      <c r="BH738" s="18"/>
      <c r="BI738" s="18"/>
      <c r="BJ738" s="18" t="s">
        <v>1097</v>
      </c>
      <c r="BK738" s="18"/>
      <c r="BL738" s="18"/>
      <c r="BM738" s="18"/>
      <c r="BN738" s="18" t="s">
        <v>179</v>
      </c>
      <c r="BO738" s="18"/>
      <c r="BP738" s="18" t="s">
        <v>138</v>
      </c>
      <c r="BQ738" s="18"/>
      <c r="BR738" s="18"/>
      <c r="BS738" s="15" t="s">
        <v>1098</v>
      </c>
      <c r="BT738" s="15" t="s">
        <v>804</v>
      </c>
      <c r="DH738" s="15" t="s">
        <v>17982</v>
      </c>
      <c r="DI738" s="15" t="s">
        <v>17982</v>
      </c>
    </row>
    <row r="739" spans="1:113" s="15" customFormat="1" ht="12.75" x14ac:dyDescent="0.2">
      <c r="A739" s="15" t="s">
        <v>109</v>
      </c>
      <c r="B739" s="15" t="s">
        <v>110</v>
      </c>
      <c r="D739" s="15" t="s">
        <v>791</v>
      </c>
      <c r="E739" s="15" t="s">
        <v>792</v>
      </c>
      <c r="F739" s="15" t="s">
        <v>791</v>
      </c>
      <c r="G739" s="15" t="s">
        <v>113</v>
      </c>
      <c r="H739" s="15" t="s">
        <v>383</v>
      </c>
      <c r="J739" s="16" t="s">
        <v>114</v>
      </c>
      <c r="U739" s="15" t="s">
        <v>17977</v>
      </c>
      <c r="W739" s="15">
        <v>833</v>
      </c>
      <c r="X739" s="15">
        <v>749</v>
      </c>
      <c r="Y739" s="15" t="s">
        <v>160</v>
      </c>
      <c r="Z739" s="15" t="s">
        <v>161</v>
      </c>
      <c r="AA739" s="15" t="s">
        <v>162</v>
      </c>
      <c r="AB739" s="15" t="s">
        <v>3545</v>
      </c>
      <c r="AC739" s="15" t="s">
        <v>3545</v>
      </c>
      <c r="AD739" s="15" t="s">
        <v>3545</v>
      </c>
      <c r="AE739" s="15" t="s">
        <v>164</v>
      </c>
      <c r="AF739" s="15" t="s">
        <v>3545</v>
      </c>
      <c r="AG739" s="15" t="s">
        <v>3545</v>
      </c>
      <c r="AH739" s="37" t="s">
        <v>3546</v>
      </c>
      <c r="AL739" s="15" t="s">
        <v>3547</v>
      </c>
      <c r="AN739" s="15">
        <v>743</v>
      </c>
      <c r="AO739" s="15" t="s">
        <v>3548</v>
      </c>
      <c r="AQ739" s="15" t="s">
        <v>168</v>
      </c>
      <c r="AT739" s="15" t="s">
        <v>3549</v>
      </c>
      <c r="AU739" s="15" t="s">
        <v>3550</v>
      </c>
      <c r="AV739" s="15" t="s">
        <v>3550</v>
      </c>
      <c r="AW739" s="18" t="s">
        <v>3551</v>
      </c>
      <c r="AX739" s="18" t="s">
        <v>3552</v>
      </c>
      <c r="AY739" s="15">
        <f t="shared" si="13"/>
        <v>57</v>
      </c>
      <c r="AZ739" s="18" t="s">
        <v>604</v>
      </c>
      <c r="BA739" s="18" t="s">
        <v>174</v>
      </c>
      <c r="BB739" s="18" t="s">
        <v>1700</v>
      </c>
      <c r="BC739" s="18"/>
      <c r="BD739" s="18"/>
      <c r="BE739" s="18" t="s">
        <v>3553</v>
      </c>
      <c r="BF739" s="18" t="s">
        <v>3554</v>
      </c>
      <c r="BG739" s="18"/>
      <c r="BH739" s="18"/>
      <c r="BI739" s="18"/>
      <c r="BJ739" s="18" t="s">
        <v>3555</v>
      </c>
      <c r="BK739" s="18"/>
      <c r="BL739" s="18"/>
      <c r="BM739" s="18"/>
      <c r="BN739" s="18" t="s">
        <v>179</v>
      </c>
      <c r="BO739" s="18"/>
      <c r="BP739" s="18" t="s">
        <v>138</v>
      </c>
      <c r="BQ739" s="18"/>
      <c r="BR739" s="18"/>
      <c r="BS739" s="15" t="s">
        <v>3556</v>
      </c>
      <c r="BT739" s="15" t="s">
        <v>804</v>
      </c>
      <c r="DH739" s="15" t="s">
        <v>17982</v>
      </c>
      <c r="DI739" s="15" t="s">
        <v>17982</v>
      </c>
    </row>
    <row r="740" spans="1:113" s="15" customFormat="1" ht="12.75" x14ac:dyDescent="0.2">
      <c r="A740" s="15" t="s">
        <v>109</v>
      </c>
      <c r="B740" s="15" t="s">
        <v>110</v>
      </c>
      <c r="D740" s="15" t="s">
        <v>791</v>
      </c>
      <c r="E740" s="15" t="s">
        <v>792</v>
      </c>
      <c r="F740" s="15" t="s">
        <v>791</v>
      </c>
      <c r="G740" s="15" t="s">
        <v>113</v>
      </c>
      <c r="H740" s="15" t="s">
        <v>383</v>
      </c>
      <c r="J740" s="16" t="s">
        <v>114</v>
      </c>
      <c r="U740" s="15" t="s">
        <v>17977</v>
      </c>
      <c r="W740" s="15">
        <v>834</v>
      </c>
      <c r="X740" s="15">
        <v>750</v>
      </c>
      <c r="Y740" s="15" t="s">
        <v>160</v>
      </c>
      <c r="Z740" s="15" t="s">
        <v>161</v>
      </c>
      <c r="AA740" s="15" t="s">
        <v>162</v>
      </c>
      <c r="AB740" s="15" t="s">
        <v>3557</v>
      </c>
      <c r="AC740" s="15" t="s">
        <v>3557</v>
      </c>
      <c r="AD740" s="15" t="s">
        <v>3557</v>
      </c>
      <c r="AE740" s="15" t="s">
        <v>164</v>
      </c>
      <c r="AF740" s="15" t="s">
        <v>3557</v>
      </c>
      <c r="AG740" s="15" t="s">
        <v>3557</v>
      </c>
      <c r="AH740" s="37" t="s">
        <v>3558</v>
      </c>
      <c r="AL740" s="15" t="s">
        <v>3559</v>
      </c>
      <c r="AN740" s="15">
        <v>743</v>
      </c>
      <c r="AO740" s="15" t="s">
        <v>3560</v>
      </c>
      <c r="AQ740" s="15" t="s">
        <v>168</v>
      </c>
      <c r="AT740" s="15" t="s">
        <v>3561</v>
      </c>
      <c r="AU740" s="15" t="s">
        <v>3562</v>
      </c>
      <c r="AV740" s="15" t="s">
        <v>3562</v>
      </c>
      <c r="AW740" s="18" t="s">
        <v>3563</v>
      </c>
      <c r="AX740" s="18" t="s">
        <v>3563</v>
      </c>
      <c r="AY740" s="15">
        <f t="shared" si="13"/>
        <v>59</v>
      </c>
      <c r="AZ740" s="18" t="s">
        <v>604</v>
      </c>
      <c r="BA740" s="18" t="s">
        <v>174</v>
      </c>
      <c r="BB740" s="18" t="s">
        <v>1700</v>
      </c>
      <c r="BC740" s="18"/>
      <c r="BD740" s="18"/>
      <c r="BE740" s="18" t="s">
        <v>3553</v>
      </c>
      <c r="BF740" s="18" t="s">
        <v>1712</v>
      </c>
      <c r="BG740" s="18"/>
      <c r="BH740" s="18"/>
      <c r="BI740" s="18"/>
      <c r="BJ740" s="18" t="s">
        <v>3555</v>
      </c>
      <c r="BK740" s="18"/>
      <c r="BL740" s="18"/>
      <c r="BM740" s="18"/>
      <c r="BN740" s="18" t="s">
        <v>179</v>
      </c>
      <c r="BO740" s="18"/>
      <c r="BP740" s="18" t="s">
        <v>138</v>
      </c>
      <c r="BQ740" s="18"/>
      <c r="BR740" s="18"/>
      <c r="BS740" s="15" t="s">
        <v>3564</v>
      </c>
      <c r="BT740" s="15" t="s">
        <v>804</v>
      </c>
      <c r="DH740" s="15" t="s">
        <v>17982</v>
      </c>
      <c r="DI740" s="15" t="s">
        <v>17982</v>
      </c>
    </row>
    <row r="741" spans="1:113" s="15" customFormat="1" ht="12.75" x14ac:dyDescent="0.2">
      <c r="A741" s="15" t="s">
        <v>109</v>
      </c>
      <c r="B741" s="15" t="s">
        <v>110</v>
      </c>
      <c r="D741" s="15" t="s">
        <v>791</v>
      </c>
      <c r="E741" s="15" t="s">
        <v>792</v>
      </c>
      <c r="F741" s="15" t="s">
        <v>791</v>
      </c>
      <c r="G741" s="15" t="s">
        <v>113</v>
      </c>
      <c r="H741" s="15" t="s">
        <v>383</v>
      </c>
      <c r="J741" s="16" t="s">
        <v>114</v>
      </c>
      <c r="U741" s="15" t="s">
        <v>17977</v>
      </c>
      <c r="W741" s="15">
        <v>835</v>
      </c>
      <c r="X741" s="15">
        <v>751</v>
      </c>
      <c r="Y741" s="15" t="s">
        <v>160</v>
      </c>
      <c r="Z741" s="15" t="s">
        <v>161</v>
      </c>
      <c r="AA741" s="15" t="s">
        <v>162</v>
      </c>
      <c r="AB741" s="15" t="s">
        <v>3565</v>
      </c>
      <c r="AC741" s="15" t="s">
        <v>3565</v>
      </c>
      <c r="AD741" s="15" t="s">
        <v>3565</v>
      </c>
      <c r="AE741" s="15" t="s">
        <v>164</v>
      </c>
      <c r="AF741" s="15" t="s">
        <v>3565</v>
      </c>
      <c r="AG741" s="15" t="s">
        <v>3565</v>
      </c>
      <c r="AH741" s="37" t="s">
        <v>3566</v>
      </c>
      <c r="AL741" s="15" t="s">
        <v>3567</v>
      </c>
      <c r="AN741" s="15">
        <v>743</v>
      </c>
      <c r="AO741" s="15" t="s">
        <v>3568</v>
      </c>
      <c r="AQ741" s="15" t="s">
        <v>168</v>
      </c>
      <c r="AT741" s="15" t="s">
        <v>3569</v>
      </c>
      <c r="AU741" s="15" t="s">
        <v>3570</v>
      </c>
      <c r="AV741" s="15" t="s">
        <v>3570</v>
      </c>
      <c r="AW741" s="18" t="s">
        <v>3571</v>
      </c>
      <c r="AX741" s="18" t="s">
        <v>3572</v>
      </c>
      <c r="AY741" s="15">
        <f t="shared" si="13"/>
        <v>57</v>
      </c>
      <c r="AZ741" s="18" t="s">
        <v>604</v>
      </c>
      <c r="BA741" s="18" t="s">
        <v>174</v>
      </c>
      <c r="BB741" s="18" t="s">
        <v>1700</v>
      </c>
      <c r="BC741" s="18"/>
      <c r="BD741" s="18"/>
      <c r="BE741" s="18" t="s">
        <v>3573</v>
      </c>
      <c r="BF741" s="18" t="s">
        <v>3574</v>
      </c>
      <c r="BG741" s="18"/>
      <c r="BH741" s="18"/>
      <c r="BI741" s="18"/>
      <c r="BJ741" s="18" t="s">
        <v>3555</v>
      </c>
      <c r="BK741" s="18"/>
      <c r="BL741" s="18"/>
      <c r="BM741" s="18"/>
      <c r="BN741" s="18" t="s">
        <v>179</v>
      </c>
      <c r="BO741" s="18"/>
      <c r="BP741" s="18" t="s">
        <v>138</v>
      </c>
      <c r="BQ741" s="18"/>
      <c r="BR741" s="18"/>
      <c r="BS741" s="15" t="s">
        <v>3575</v>
      </c>
      <c r="BT741" s="15" t="s">
        <v>804</v>
      </c>
      <c r="DH741" s="15" t="s">
        <v>17982</v>
      </c>
      <c r="DI741" s="15" t="s">
        <v>17982</v>
      </c>
    </row>
    <row r="742" spans="1:113" s="15" customFormat="1" ht="12.75" x14ac:dyDescent="0.2">
      <c r="A742" s="15" t="s">
        <v>109</v>
      </c>
      <c r="B742" s="15" t="s">
        <v>110</v>
      </c>
      <c r="D742" s="15" t="s">
        <v>791</v>
      </c>
      <c r="E742" s="15" t="s">
        <v>792</v>
      </c>
      <c r="F742" s="15" t="s">
        <v>791</v>
      </c>
      <c r="G742" s="15" t="s">
        <v>113</v>
      </c>
      <c r="H742" s="15" t="s">
        <v>383</v>
      </c>
      <c r="J742" s="16" t="s">
        <v>114</v>
      </c>
      <c r="U742" s="15" t="s">
        <v>17977</v>
      </c>
      <c r="W742" s="15">
        <v>830</v>
      </c>
      <c r="X742" s="15">
        <v>752</v>
      </c>
      <c r="Y742" s="15" t="s">
        <v>160</v>
      </c>
      <c r="Z742" s="15" t="s">
        <v>161</v>
      </c>
      <c r="AA742" s="15" t="s">
        <v>162</v>
      </c>
      <c r="AB742" s="15" t="s">
        <v>3513</v>
      </c>
      <c r="AC742" s="15" t="s">
        <v>3513</v>
      </c>
      <c r="AD742" s="15" t="s">
        <v>3513</v>
      </c>
      <c r="AE742" s="15" t="s">
        <v>164</v>
      </c>
      <c r="AF742" s="15" t="s">
        <v>3513</v>
      </c>
      <c r="AG742" s="15" t="s">
        <v>3513</v>
      </c>
      <c r="AH742" s="37" t="s">
        <v>3514</v>
      </c>
      <c r="AL742" s="15" t="s">
        <v>3515</v>
      </c>
      <c r="AN742" s="15">
        <v>743</v>
      </c>
      <c r="AO742" s="15" t="s">
        <v>3516</v>
      </c>
      <c r="AQ742" s="15" t="s">
        <v>168</v>
      </c>
      <c r="AT742" s="15" t="s">
        <v>3517</v>
      </c>
      <c r="AU742" s="15" t="s">
        <v>3518</v>
      </c>
      <c r="AV742" s="15" t="s">
        <v>3518</v>
      </c>
      <c r="AW742" s="18" t="s">
        <v>3519</v>
      </c>
      <c r="AX742" s="18" t="s">
        <v>3520</v>
      </c>
      <c r="AY742" s="15">
        <f t="shared" si="13"/>
        <v>57</v>
      </c>
      <c r="AZ742" s="18" t="s">
        <v>604</v>
      </c>
      <c r="BA742" s="18" t="s">
        <v>174</v>
      </c>
      <c r="BB742" s="18" t="s">
        <v>1700</v>
      </c>
      <c r="BC742" s="18"/>
      <c r="BD742" s="18"/>
      <c r="BE742" s="18" t="s">
        <v>3442</v>
      </c>
      <c r="BF742" s="18" t="s">
        <v>3222</v>
      </c>
      <c r="BG742" s="18"/>
      <c r="BH742" s="18"/>
      <c r="BI742" s="18"/>
      <c r="BJ742" s="18" t="s">
        <v>3511</v>
      </c>
      <c r="BK742" s="18"/>
      <c r="BL742" s="18"/>
      <c r="BM742" s="18"/>
      <c r="BN742" s="18" t="s">
        <v>179</v>
      </c>
      <c r="BO742" s="18"/>
      <c r="BP742" s="18" t="s">
        <v>138</v>
      </c>
      <c r="BQ742" s="18"/>
      <c r="BR742" s="18" t="s">
        <v>3521</v>
      </c>
      <c r="BS742" s="15" t="s">
        <v>3522</v>
      </c>
      <c r="BT742" s="15" t="s">
        <v>804</v>
      </c>
      <c r="DH742" s="15" t="s">
        <v>17982</v>
      </c>
      <c r="DI742" s="15" t="s">
        <v>17982</v>
      </c>
    </row>
    <row r="743" spans="1:113" s="15" customFormat="1" ht="12.75" x14ac:dyDescent="0.2">
      <c r="A743" s="15" t="s">
        <v>109</v>
      </c>
      <c r="B743" s="15" t="s">
        <v>110</v>
      </c>
      <c r="D743" s="15" t="s">
        <v>791</v>
      </c>
      <c r="E743" s="15" t="s">
        <v>792</v>
      </c>
      <c r="F743" s="15" t="s">
        <v>791</v>
      </c>
      <c r="G743" s="15" t="s">
        <v>113</v>
      </c>
      <c r="H743" s="15" t="s">
        <v>383</v>
      </c>
      <c r="J743" s="16" t="s">
        <v>114</v>
      </c>
      <c r="U743" s="15" t="s">
        <v>17977</v>
      </c>
      <c r="W743" s="15">
        <v>831</v>
      </c>
      <c r="X743" s="15">
        <v>753</v>
      </c>
      <c r="Y743" s="15" t="s">
        <v>160</v>
      </c>
      <c r="Z743" s="15" t="s">
        <v>161</v>
      </c>
      <c r="AA743" s="15" t="s">
        <v>162</v>
      </c>
      <c r="AB743" s="15" t="s">
        <v>3523</v>
      </c>
      <c r="AC743" s="15" t="s">
        <v>3523</v>
      </c>
      <c r="AD743" s="15" t="s">
        <v>3523</v>
      </c>
      <c r="AE743" s="15" t="s">
        <v>164</v>
      </c>
      <c r="AF743" s="15" t="s">
        <v>3523</v>
      </c>
      <c r="AG743" s="15" t="s">
        <v>3523</v>
      </c>
      <c r="AH743" s="37" t="s">
        <v>3524</v>
      </c>
      <c r="AL743" s="15" t="s">
        <v>3525</v>
      </c>
      <c r="AN743" s="15">
        <v>743</v>
      </c>
      <c r="AO743" s="15" t="s">
        <v>3526</v>
      </c>
      <c r="AQ743" s="15" t="s">
        <v>168</v>
      </c>
      <c r="AT743" s="15" t="s">
        <v>3527</v>
      </c>
      <c r="AU743" s="15" t="s">
        <v>3528</v>
      </c>
      <c r="AV743" s="15" t="s">
        <v>3528</v>
      </c>
      <c r="AW743" s="18" t="s">
        <v>3529</v>
      </c>
      <c r="AX743" s="18" t="s">
        <v>3530</v>
      </c>
      <c r="AY743" s="15">
        <f t="shared" si="13"/>
        <v>57</v>
      </c>
      <c r="AZ743" s="18" t="s">
        <v>604</v>
      </c>
      <c r="BA743" s="18" t="s">
        <v>174</v>
      </c>
      <c r="BB743" s="18" t="s">
        <v>1700</v>
      </c>
      <c r="BC743" s="18"/>
      <c r="BD743" s="18"/>
      <c r="BE743" s="18" t="s">
        <v>3531</v>
      </c>
      <c r="BF743" s="18" t="s">
        <v>2915</v>
      </c>
      <c r="BG743" s="18"/>
      <c r="BH743" s="18"/>
      <c r="BI743" s="18"/>
      <c r="BJ743" s="18" t="s">
        <v>3511</v>
      </c>
      <c r="BK743" s="18"/>
      <c r="BL743" s="18"/>
      <c r="BM743" s="18"/>
      <c r="BN743" s="18" t="s">
        <v>179</v>
      </c>
      <c r="BO743" s="18"/>
      <c r="BP743" s="18" t="s">
        <v>138</v>
      </c>
      <c r="BQ743" s="18"/>
      <c r="BR743" s="18" t="s">
        <v>3532</v>
      </c>
      <c r="BS743" s="15" t="s">
        <v>3533</v>
      </c>
      <c r="BT743" s="15" t="s">
        <v>804</v>
      </c>
      <c r="DH743" s="15" t="s">
        <v>17982</v>
      </c>
      <c r="DI743" s="15" t="s">
        <v>17982</v>
      </c>
    </row>
    <row r="744" spans="1:113" s="15" customFormat="1" ht="12.75" x14ac:dyDescent="0.2">
      <c r="A744" s="15" t="s">
        <v>109</v>
      </c>
      <c r="B744" s="15" t="s">
        <v>110</v>
      </c>
      <c r="D744" s="15" t="s">
        <v>791</v>
      </c>
      <c r="E744" s="15" t="s">
        <v>792</v>
      </c>
      <c r="F744" s="15" t="s">
        <v>791</v>
      </c>
      <c r="G744" s="15" t="s">
        <v>113</v>
      </c>
      <c r="H744" s="15" t="s">
        <v>383</v>
      </c>
      <c r="J744" s="16" t="s">
        <v>114</v>
      </c>
      <c r="U744" s="15" t="s">
        <v>17977</v>
      </c>
      <c r="W744" s="15">
        <v>832</v>
      </c>
      <c r="X744" s="15">
        <v>754</v>
      </c>
      <c r="Y744" s="15" t="s">
        <v>160</v>
      </c>
      <c r="Z744" s="15" t="s">
        <v>161</v>
      </c>
      <c r="AA744" s="15" t="s">
        <v>162</v>
      </c>
      <c r="AB744" s="15" t="s">
        <v>3534</v>
      </c>
      <c r="AC744" s="15" t="s">
        <v>3534</v>
      </c>
      <c r="AD744" s="15" t="s">
        <v>3534</v>
      </c>
      <c r="AE744" s="15" t="s">
        <v>164</v>
      </c>
      <c r="AF744" s="15" t="s">
        <v>3534</v>
      </c>
      <c r="AG744" s="15" t="s">
        <v>3534</v>
      </c>
      <c r="AH744" s="37" t="s">
        <v>3535</v>
      </c>
      <c r="AL744" s="15" t="s">
        <v>3536</v>
      </c>
      <c r="AN744" s="15">
        <v>743</v>
      </c>
      <c r="AO744" s="15" t="s">
        <v>3537</v>
      </c>
      <c r="AQ744" s="15" t="s">
        <v>168</v>
      </c>
      <c r="AT744" s="15" t="s">
        <v>3538</v>
      </c>
      <c r="AU744" s="15" t="s">
        <v>3539</v>
      </c>
      <c r="AV744" s="15" t="s">
        <v>3539</v>
      </c>
      <c r="AW744" s="18" t="s">
        <v>3540</v>
      </c>
      <c r="AX744" s="18" t="s">
        <v>3540</v>
      </c>
      <c r="AY744" s="15">
        <f t="shared" ref="AY744:AY784" si="14">LEN(SUBSTITUTE(AX744, ", "," "))</f>
        <v>58</v>
      </c>
      <c r="AZ744" s="18" t="s">
        <v>604</v>
      </c>
      <c r="BA744" s="18" t="s">
        <v>174</v>
      </c>
      <c r="BB744" s="18" t="s">
        <v>1700</v>
      </c>
      <c r="BC744" s="18"/>
      <c r="BD744" s="18"/>
      <c r="BE744" s="18" t="s">
        <v>3541</v>
      </c>
      <c r="BF744" s="18" t="s">
        <v>2615</v>
      </c>
      <c r="BG744" s="18"/>
      <c r="BH744" s="18"/>
      <c r="BI744" s="18"/>
      <c r="BJ744" s="18" t="s">
        <v>3192</v>
      </c>
      <c r="BK744" s="18"/>
      <c r="BL744" s="18"/>
      <c r="BM744" s="18"/>
      <c r="BN744" s="18" t="s">
        <v>179</v>
      </c>
      <c r="BO744" s="18"/>
      <c r="BP744" s="18" t="s">
        <v>138</v>
      </c>
      <c r="BQ744" s="18"/>
      <c r="BR744" s="18" t="s">
        <v>3542</v>
      </c>
      <c r="BS744" s="15" t="s">
        <v>3543</v>
      </c>
      <c r="BT744" s="15" t="s">
        <v>3544</v>
      </c>
      <c r="DH744" s="15" t="s">
        <v>17982</v>
      </c>
      <c r="DI744" s="15" t="s">
        <v>17982</v>
      </c>
    </row>
    <row r="745" spans="1:113" s="15" customFormat="1" ht="12.75" x14ac:dyDescent="0.2">
      <c r="A745" s="15" t="s">
        <v>109</v>
      </c>
      <c r="B745" s="15" t="s">
        <v>110</v>
      </c>
      <c r="D745" s="15" t="s">
        <v>791</v>
      </c>
      <c r="E745" s="15" t="s">
        <v>792</v>
      </c>
      <c r="F745" s="15" t="s">
        <v>791</v>
      </c>
      <c r="G745" s="15" t="s">
        <v>113</v>
      </c>
      <c r="H745" s="15" t="s">
        <v>383</v>
      </c>
      <c r="J745" s="16" t="s">
        <v>114</v>
      </c>
      <c r="U745" s="15" t="s">
        <v>17977</v>
      </c>
      <c r="W745" s="15">
        <v>829</v>
      </c>
      <c r="X745" s="15">
        <v>755</v>
      </c>
      <c r="Y745" s="15" t="s">
        <v>160</v>
      </c>
      <c r="Z745" s="15" t="s">
        <v>161</v>
      </c>
      <c r="AA745" s="15" t="s">
        <v>162</v>
      </c>
      <c r="AB745" s="15" t="s">
        <v>3503</v>
      </c>
      <c r="AC745" s="15" t="s">
        <v>3503</v>
      </c>
      <c r="AD745" s="15" t="s">
        <v>3503</v>
      </c>
      <c r="AE745" s="15" t="s">
        <v>164</v>
      </c>
      <c r="AF745" s="15" t="s">
        <v>3503</v>
      </c>
      <c r="AG745" s="15" t="s">
        <v>3503</v>
      </c>
      <c r="AH745" s="37" t="s">
        <v>3504</v>
      </c>
      <c r="AL745" s="15" t="s">
        <v>3505</v>
      </c>
      <c r="AN745" s="15">
        <v>743</v>
      </c>
      <c r="AO745" s="15" t="s">
        <v>3506</v>
      </c>
      <c r="AQ745" s="15" t="s">
        <v>168</v>
      </c>
      <c r="AT745" s="15" t="s">
        <v>3507</v>
      </c>
      <c r="AU745" s="15" t="s">
        <v>3508</v>
      </c>
      <c r="AV745" s="15" t="s">
        <v>3508</v>
      </c>
      <c r="AW745" s="18" t="s">
        <v>3509</v>
      </c>
      <c r="AX745" s="18" t="s">
        <v>3509</v>
      </c>
      <c r="AY745" s="15">
        <f t="shared" si="14"/>
        <v>60</v>
      </c>
      <c r="AZ745" s="18" t="s">
        <v>604</v>
      </c>
      <c r="BA745" s="18" t="s">
        <v>174</v>
      </c>
      <c r="BB745" s="18" t="s">
        <v>1700</v>
      </c>
      <c r="BC745" s="18"/>
      <c r="BD745" s="18"/>
      <c r="BE745" s="18" t="s">
        <v>3510</v>
      </c>
      <c r="BF745" s="18" t="s">
        <v>2626</v>
      </c>
      <c r="BG745" s="18"/>
      <c r="BH745" s="18"/>
      <c r="BI745" s="18"/>
      <c r="BJ745" s="18" t="s">
        <v>3511</v>
      </c>
      <c r="BK745" s="18"/>
      <c r="BL745" s="18"/>
      <c r="BM745" s="18"/>
      <c r="BN745" s="18" t="s">
        <v>179</v>
      </c>
      <c r="BO745" s="18"/>
      <c r="BP745" s="18" t="s">
        <v>138</v>
      </c>
      <c r="BQ745" s="18"/>
      <c r="BR745" s="18"/>
      <c r="BS745" s="15" t="s">
        <v>3512</v>
      </c>
      <c r="BT745" s="15" t="s">
        <v>804</v>
      </c>
      <c r="DH745" s="15" t="s">
        <v>17982</v>
      </c>
      <c r="DI745" s="15" t="s">
        <v>17982</v>
      </c>
    </row>
    <row r="746" spans="1:113" s="15" customFormat="1" ht="12.75" x14ac:dyDescent="0.2">
      <c r="A746" s="15" t="s">
        <v>109</v>
      </c>
      <c r="B746" s="15" t="s">
        <v>110</v>
      </c>
      <c r="D746" s="15" t="s">
        <v>791</v>
      </c>
      <c r="E746" s="15" t="s">
        <v>792</v>
      </c>
      <c r="F746" s="15" t="s">
        <v>791</v>
      </c>
      <c r="G746" s="15" t="s">
        <v>113</v>
      </c>
      <c r="H746" s="15" t="s">
        <v>383</v>
      </c>
      <c r="J746" s="16" t="s">
        <v>114</v>
      </c>
      <c r="U746" s="15" t="s">
        <v>17977</v>
      </c>
      <c r="W746" s="15">
        <v>438</v>
      </c>
      <c r="X746" s="15">
        <v>756</v>
      </c>
      <c r="Y746" s="15" t="s">
        <v>160</v>
      </c>
      <c r="Z746" s="15" t="s">
        <v>161</v>
      </c>
      <c r="AA746" s="15" t="s">
        <v>162</v>
      </c>
      <c r="AB746" s="15" t="s">
        <v>1704</v>
      </c>
      <c r="AC746" s="15" t="s">
        <v>1704</v>
      </c>
      <c r="AD746" s="15" t="s">
        <v>1704</v>
      </c>
      <c r="AE746" s="15" t="s">
        <v>164</v>
      </c>
      <c r="AF746" s="15" t="s">
        <v>1704</v>
      </c>
      <c r="AG746" s="15" t="s">
        <v>1704</v>
      </c>
      <c r="AH746" s="37" t="s">
        <v>1705</v>
      </c>
      <c r="AL746" s="15" t="s">
        <v>1706</v>
      </c>
      <c r="AN746" s="15">
        <v>743</v>
      </c>
      <c r="AO746" s="15" t="s">
        <v>1707</v>
      </c>
      <c r="AQ746" s="15" t="s">
        <v>168</v>
      </c>
      <c r="AT746" s="15" t="s">
        <v>1708</v>
      </c>
      <c r="AU746" s="15" t="s">
        <v>1709</v>
      </c>
      <c r="AV746" s="15" t="s">
        <v>1709</v>
      </c>
      <c r="AW746" s="18" t="s">
        <v>1710</v>
      </c>
      <c r="AX746" s="18" t="s">
        <v>1711</v>
      </c>
      <c r="AY746" s="15">
        <f t="shared" si="14"/>
        <v>53</v>
      </c>
      <c r="AZ746" s="18" t="s">
        <v>604</v>
      </c>
      <c r="BA746" s="18" t="s">
        <v>174</v>
      </c>
      <c r="BB746" s="18" t="s">
        <v>1700</v>
      </c>
      <c r="BC746" s="18"/>
      <c r="BD746" s="18"/>
      <c r="BE746" s="18"/>
      <c r="BF746" s="18" t="s">
        <v>1712</v>
      </c>
      <c r="BG746" s="18"/>
      <c r="BH746" s="18"/>
      <c r="BI746" s="18"/>
      <c r="BJ746" s="18" t="s">
        <v>1713</v>
      </c>
      <c r="BK746" s="18" t="s">
        <v>1714</v>
      </c>
      <c r="BL746" s="18"/>
      <c r="BM746" s="18"/>
      <c r="BN746" s="18" t="s">
        <v>179</v>
      </c>
      <c r="BO746" s="18"/>
      <c r="BP746" s="18" t="s">
        <v>138</v>
      </c>
      <c r="BQ746" s="18"/>
      <c r="BR746" s="18" t="s">
        <v>1715</v>
      </c>
      <c r="BS746" s="15" t="s">
        <v>1716</v>
      </c>
      <c r="BT746" s="15" t="s">
        <v>804</v>
      </c>
      <c r="DH746" s="15" t="s">
        <v>17982</v>
      </c>
      <c r="DI746" s="15" t="s">
        <v>17982</v>
      </c>
    </row>
    <row r="747" spans="1:113" s="15" customFormat="1" ht="12.75" x14ac:dyDescent="0.2">
      <c r="A747" s="15" t="s">
        <v>109</v>
      </c>
      <c r="B747" s="15" t="s">
        <v>110</v>
      </c>
      <c r="D747" s="15" t="s">
        <v>791</v>
      </c>
      <c r="E747" s="15" t="s">
        <v>792</v>
      </c>
      <c r="F747" s="15" t="s">
        <v>791</v>
      </c>
      <c r="G747" s="15" t="s">
        <v>113</v>
      </c>
      <c r="H747" s="15" t="s">
        <v>383</v>
      </c>
      <c r="J747" s="16" t="s">
        <v>114</v>
      </c>
      <c r="U747" s="15" t="s">
        <v>17977</v>
      </c>
      <c r="W747" s="15">
        <v>2879</v>
      </c>
      <c r="X747" s="15">
        <v>757</v>
      </c>
      <c r="Y747" s="15" t="s">
        <v>160</v>
      </c>
      <c r="Z747" s="15" t="s">
        <v>161</v>
      </c>
      <c r="AA747" s="15" t="s">
        <v>162</v>
      </c>
      <c r="AB747" s="15" t="s">
        <v>14061</v>
      </c>
      <c r="AC747" s="15" t="s">
        <v>14061</v>
      </c>
      <c r="AD747" s="15" t="s">
        <v>14061</v>
      </c>
      <c r="AE747" s="15" t="s">
        <v>164</v>
      </c>
      <c r="AF747" s="15" t="s">
        <v>14061</v>
      </c>
      <c r="AG747" s="15" t="s">
        <v>14061</v>
      </c>
      <c r="AH747" s="37" t="s">
        <v>14062</v>
      </c>
      <c r="AL747" s="15" t="s">
        <v>14063</v>
      </c>
      <c r="AN747" s="15">
        <v>743</v>
      </c>
      <c r="AO747" s="15" t="s">
        <v>14064</v>
      </c>
      <c r="AQ747" s="15" t="s">
        <v>168</v>
      </c>
      <c r="AT747" s="15" t="s">
        <v>14065</v>
      </c>
      <c r="AU747" s="15" t="s">
        <v>14066</v>
      </c>
      <c r="AV747" s="15" t="s">
        <v>14066</v>
      </c>
      <c r="AW747" s="18" t="s">
        <v>14067</v>
      </c>
      <c r="AX747" s="18" t="s">
        <v>14067</v>
      </c>
      <c r="AY747" s="15">
        <f t="shared" si="14"/>
        <v>52</v>
      </c>
      <c r="AZ747" s="18" t="s">
        <v>173</v>
      </c>
      <c r="BA747" s="18" t="s">
        <v>174</v>
      </c>
      <c r="BB747" s="18" t="s">
        <v>14045</v>
      </c>
      <c r="BC747" s="18"/>
      <c r="BD747" s="18"/>
      <c r="BE747" s="18" t="s">
        <v>1095</v>
      </c>
      <c r="BF747" s="18" t="s">
        <v>14046</v>
      </c>
      <c r="BG747" s="18"/>
      <c r="BH747" s="18"/>
      <c r="BI747" s="18"/>
      <c r="BJ747" s="18" t="s">
        <v>14068</v>
      </c>
      <c r="BK747" s="18"/>
      <c r="BL747" s="18"/>
      <c r="BM747" s="18"/>
      <c r="BN747" s="18" t="s">
        <v>179</v>
      </c>
      <c r="BO747" s="18"/>
      <c r="BP747" s="18" t="s">
        <v>138</v>
      </c>
      <c r="BQ747" s="18"/>
      <c r="BR747" s="18" t="s">
        <v>14069</v>
      </c>
      <c r="BS747" s="15" t="s">
        <v>14070</v>
      </c>
      <c r="BT747" s="15" t="s">
        <v>804</v>
      </c>
      <c r="DH747" s="15" t="s">
        <v>17982</v>
      </c>
      <c r="DI747" s="15" t="s">
        <v>17982</v>
      </c>
    </row>
    <row r="748" spans="1:113" s="15" customFormat="1" ht="12.75" x14ac:dyDescent="0.2">
      <c r="A748" s="15" t="s">
        <v>109</v>
      </c>
      <c r="B748" s="15" t="s">
        <v>110</v>
      </c>
      <c r="D748" s="15" t="s">
        <v>791</v>
      </c>
      <c r="E748" s="15" t="s">
        <v>792</v>
      </c>
      <c r="F748" s="15" t="s">
        <v>791</v>
      </c>
      <c r="G748" s="15" t="s">
        <v>113</v>
      </c>
      <c r="H748" s="15" t="s">
        <v>383</v>
      </c>
      <c r="J748" s="16" t="s">
        <v>114</v>
      </c>
      <c r="U748" s="15" t="s">
        <v>17977</v>
      </c>
      <c r="W748" s="15">
        <v>2877</v>
      </c>
      <c r="X748" s="15">
        <v>758</v>
      </c>
      <c r="Y748" s="15" t="s">
        <v>160</v>
      </c>
      <c r="Z748" s="15" t="s">
        <v>161</v>
      </c>
      <c r="AA748" s="15" t="s">
        <v>162</v>
      </c>
      <c r="AB748" s="15" t="s">
        <v>14037</v>
      </c>
      <c r="AC748" s="15" t="s">
        <v>14037</v>
      </c>
      <c r="AD748" s="15" t="s">
        <v>14037</v>
      </c>
      <c r="AE748" s="15" t="s">
        <v>164</v>
      </c>
      <c r="AF748" s="15" t="s">
        <v>14037</v>
      </c>
      <c r="AG748" s="15" t="s">
        <v>14037</v>
      </c>
      <c r="AH748" s="37" t="s">
        <v>14038</v>
      </c>
      <c r="AL748" s="15" t="s">
        <v>14039</v>
      </c>
      <c r="AN748" s="15">
        <v>743</v>
      </c>
      <c r="AO748" s="15" t="s">
        <v>14040</v>
      </c>
      <c r="AQ748" s="15" t="s">
        <v>168</v>
      </c>
      <c r="AT748" s="15" t="s">
        <v>14041</v>
      </c>
      <c r="AU748" s="15" t="s">
        <v>14042</v>
      </c>
      <c r="AV748" s="15" t="s">
        <v>14042</v>
      </c>
      <c r="AW748" s="18" t="s">
        <v>14043</v>
      </c>
      <c r="AX748" s="18" t="s">
        <v>14044</v>
      </c>
      <c r="AY748" s="15">
        <f t="shared" si="14"/>
        <v>58</v>
      </c>
      <c r="AZ748" s="18" t="s">
        <v>173</v>
      </c>
      <c r="BA748" s="18" t="s">
        <v>174</v>
      </c>
      <c r="BB748" s="18" t="s">
        <v>14045</v>
      </c>
      <c r="BC748" s="18"/>
      <c r="BD748" s="18"/>
      <c r="BE748" s="18" t="s">
        <v>3254</v>
      </c>
      <c r="BF748" s="18" t="s">
        <v>14046</v>
      </c>
      <c r="BG748" s="18"/>
      <c r="BH748" s="18"/>
      <c r="BI748" s="18" t="s">
        <v>14047</v>
      </c>
      <c r="BJ748" s="18" t="s">
        <v>14048</v>
      </c>
      <c r="BK748" s="18"/>
      <c r="BL748" s="18"/>
      <c r="BM748" s="18"/>
      <c r="BN748" s="18" t="s">
        <v>179</v>
      </c>
      <c r="BO748" s="18"/>
      <c r="BP748" s="18" t="s">
        <v>138</v>
      </c>
      <c r="BQ748" s="18"/>
      <c r="BR748" s="18" t="s">
        <v>3554</v>
      </c>
      <c r="BS748" s="15" t="s">
        <v>14049</v>
      </c>
      <c r="BT748" s="15" t="s">
        <v>804</v>
      </c>
      <c r="DH748" s="15" t="s">
        <v>17982</v>
      </c>
      <c r="DI748" s="15" t="s">
        <v>17982</v>
      </c>
    </row>
    <row r="749" spans="1:113" s="15" customFormat="1" ht="12.75" x14ac:dyDescent="0.2">
      <c r="A749" s="15" t="s">
        <v>109</v>
      </c>
      <c r="B749" s="15" t="s">
        <v>110</v>
      </c>
      <c r="D749" s="15" t="s">
        <v>791</v>
      </c>
      <c r="E749" s="15" t="s">
        <v>792</v>
      </c>
      <c r="F749" s="15" t="s">
        <v>791</v>
      </c>
      <c r="G749" s="15" t="s">
        <v>113</v>
      </c>
      <c r="H749" s="15" t="s">
        <v>383</v>
      </c>
      <c r="J749" s="16" t="s">
        <v>114</v>
      </c>
      <c r="U749" s="15" t="s">
        <v>17977</v>
      </c>
      <c r="W749" s="15">
        <v>2880</v>
      </c>
      <c r="X749" s="15">
        <v>759</v>
      </c>
      <c r="Y749" s="15" t="s">
        <v>160</v>
      </c>
      <c r="Z749" s="15" t="s">
        <v>161</v>
      </c>
      <c r="AA749" s="15" t="s">
        <v>162</v>
      </c>
      <c r="AB749" s="15" t="s">
        <v>14071</v>
      </c>
      <c r="AC749" s="15" t="s">
        <v>14071</v>
      </c>
      <c r="AD749" s="15" t="s">
        <v>14071</v>
      </c>
      <c r="AE749" s="15" t="s">
        <v>164</v>
      </c>
      <c r="AF749" s="15" t="s">
        <v>14071</v>
      </c>
      <c r="AG749" s="15" t="s">
        <v>14071</v>
      </c>
      <c r="AH749" s="37" t="s">
        <v>14072</v>
      </c>
      <c r="AL749" s="15" t="s">
        <v>14073</v>
      </c>
      <c r="AN749" s="15">
        <v>743</v>
      </c>
      <c r="AO749" s="15" t="s">
        <v>14074</v>
      </c>
      <c r="AQ749" s="15" t="s">
        <v>168</v>
      </c>
      <c r="AT749" s="15" t="s">
        <v>14075</v>
      </c>
      <c r="AU749" s="15" t="s">
        <v>14076</v>
      </c>
      <c r="AV749" s="15" t="s">
        <v>14076</v>
      </c>
      <c r="AW749" s="18" t="s">
        <v>14077</v>
      </c>
      <c r="AX749" s="18" t="s">
        <v>14078</v>
      </c>
      <c r="AY749" s="15">
        <f t="shared" si="14"/>
        <v>53</v>
      </c>
      <c r="AZ749" s="18" t="s">
        <v>173</v>
      </c>
      <c r="BA749" s="18" t="s">
        <v>174</v>
      </c>
      <c r="BB749" s="18" t="s">
        <v>14045</v>
      </c>
      <c r="BC749" s="18"/>
      <c r="BD749" s="18"/>
      <c r="BE749" s="18" t="s">
        <v>2818</v>
      </c>
      <c r="BF749" s="18" t="s">
        <v>6013</v>
      </c>
      <c r="BG749" s="18"/>
      <c r="BH749" s="18"/>
      <c r="BI749" s="18" t="s">
        <v>14047</v>
      </c>
      <c r="BJ749" s="18" t="s">
        <v>14068</v>
      </c>
      <c r="BK749" s="18"/>
      <c r="BL749" s="18"/>
      <c r="BM749" s="18"/>
      <c r="BN749" s="18" t="s">
        <v>179</v>
      </c>
      <c r="BO749" s="18"/>
      <c r="BP749" s="18" t="s">
        <v>138</v>
      </c>
      <c r="BQ749" s="18"/>
      <c r="BR749" s="18" t="s">
        <v>3191</v>
      </c>
      <c r="BS749" s="15" t="s">
        <v>14079</v>
      </c>
      <c r="BT749" s="15" t="s">
        <v>804</v>
      </c>
      <c r="DH749" s="15" t="s">
        <v>17982</v>
      </c>
      <c r="DI749" s="15" t="s">
        <v>17982</v>
      </c>
    </row>
    <row r="750" spans="1:113" s="15" customFormat="1" ht="12.75" x14ac:dyDescent="0.2">
      <c r="A750" s="15" t="s">
        <v>109</v>
      </c>
      <c r="B750" s="15" t="s">
        <v>110</v>
      </c>
      <c r="D750" s="15" t="s">
        <v>791</v>
      </c>
      <c r="E750" s="15" t="s">
        <v>792</v>
      </c>
      <c r="F750" s="15" t="s">
        <v>791</v>
      </c>
      <c r="G750" s="15" t="s">
        <v>113</v>
      </c>
      <c r="H750" s="15" t="s">
        <v>383</v>
      </c>
      <c r="J750" s="16" t="s">
        <v>114</v>
      </c>
      <c r="U750" s="15" t="s">
        <v>17977</v>
      </c>
      <c r="W750" s="15">
        <v>2878</v>
      </c>
      <c r="X750" s="15">
        <v>760</v>
      </c>
      <c r="Y750" s="15" t="s">
        <v>160</v>
      </c>
      <c r="Z750" s="15" t="s">
        <v>161</v>
      </c>
      <c r="AA750" s="15" t="s">
        <v>162</v>
      </c>
      <c r="AB750" s="15" t="s">
        <v>14050</v>
      </c>
      <c r="AC750" s="15" t="s">
        <v>14050</v>
      </c>
      <c r="AD750" s="15" t="s">
        <v>14050</v>
      </c>
      <c r="AE750" s="15" t="s">
        <v>164</v>
      </c>
      <c r="AF750" s="15" t="s">
        <v>14050</v>
      </c>
      <c r="AG750" s="15" t="s">
        <v>14050</v>
      </c>
      <c r="AH750" s="37" t="s">
        <v>14051</v>
      </c>
      <c r="AL750" s="15" t="s">
        <v>14052</v>
      </c>
      <c r="AN750" s="15">
        <v>743</v>
      </c>
      <c r="AO750" s="15" t="s">
        <v>14053</v>
      </c>
      <c r="AQ750" s="15" t="s">
        <v>168</v>
      </c>
      <c r="AT750" s="15" t="s">
        <v>14054</v>
      </c>
      <c r="AU750" s="15" t="s">
        <v>14055</v>
      </c>
      <c r="AV750" s="15" t="s">
        <v>14055</v>
      </c>
      <c r="AW750" s="18" t="s">
        <v>14056</v>
      </c>
      <c r="AX750" s="18" t="s">
        <v>14057</v>
      </c>
      <c r="AY750" s="15">
        <f t="shared" si="14"/>
        <v>56</v>
      </c>
      <c r="AZ750" s="18" t="s">
        <v>173</v>
      </c>
      <c r="BA750" s="18" t="s">
        <v>174</v>
      </c>
      <c r="BB750" s="18" t="s">
        <v>14045</v>
      </c>
      <c r="BC750" s="18"/>
      <c r="BD750" s="18"/>
      <c r="BE750" s="18" t="s">
        <v>2818</v>
      </c>
      <c r="BF750" s="18" t="s">
        <v>14058</v>
      </c>
      <c r="BG750" s="18"/>
      <c r="BH750" s="18"/>
      <c r="BI750" s="18" t="s">
        <v>14047</v>
      </c>
      <c r="BJ750" s="18" t="s">
        <v>14048</v>
      </c>
      <c r="BK750" s="18"/>
      <c r="BL750" s="18"/>
      <c r="BM750" s="18"/>
      <c r="BN750" s="18" t="s">
        <v>179</v>
      </c>
      <c r="BO750" s="18"/>
      <c r="BP750" s="18" t="s">
        <v>138</v>
      </c>
      <c r="BQ750" s="18"/>
      <c r="BR750" s="18" t="s">
        <v>14059</v>
      </c>
      <c r="BS750" s="15" t="s">
        <v>14060</v>
      </c>
      <c r="BT750" s="15" t="s">
        <v>804</v>
      </c>
      <c r="DH750" s="15" t="s">
        <v>17982</v>
      </c>
      <c r="DI750" s="15" t="s">
        <v>17982</v>
      </c>
    </row>
    <row r="751" spans="1:113" s="15" customFormat="1" ht="12.75" x14ac:dyDescent="0.2">
      <c r="A751" s="15" t="s">
        <v>109</v>
      </c>
      <c r="B751" s="15" t="s">
        <v>110</v>
      </c>
      <c r="D751" s="15" t="s">
        <v>791</v>
      </c>
      <c r="E751" s="15" t="s">
        <v>792</v>
      </c>
      <c r="F751" s="15" t="s">
        <v>791</v>
      </c>
      <c r="G751" s="15" t="s">
        <v>113</v>
      </c>
      <c r="H751" s="15" t="s">
        <v>383</v>
      </c>
      <c r="J751" s="16" t="s">
        <v>114</v>
      </c>
      <c r="U751" s="15" t="s">
        <v>17977</v>
      </c>
      <c r="W751" s="15">
        <v>2881</v>
      </c>
      <c r="X751" s="15">
        <v>761</v>
      </c>
      <c r="Y751" s="15" t="s">
        <v>160</v>
      </c>
      <c r="Z751" s="15" t="s">
        <v>161</v>
      </c>
      <c r="AA751" s="15" t="s">
        <v>162</v>
      </c>
      <c r="AB751" s="15" t="s">
        <v>14080</v>
      </c>
      <c r="AC751" s="15" t="s">
        <v>14080</v>
      </c>
      <c r="AD751" s="15" t="s">
        <v>14080</v>
      </c>
      <c r="AE751" s="15" t="s">
        <v>164</v>
      </c>
      <c r="AF751" s="15" t="s">
        <v>14080</v>
      </c>
      <c r="AG751" s="15" t="s">
        <v>14080</v>
      </c>
      <c r="AH751" s="37" t="s">
        <v>14081</v>
      </c>
      <c r="AL751" s="15" t="s">
        <v>14082</v>
      </c>
      <c r="AN751" s="15">
        <v>743</v>
      </c>
      <c r="AO751" s="15" t="s">
        <v>14083</v>
      </c>
      <c r="AQ751" s="15" t="s">
        <v>168</v>
      </c>
      <c r="AT751" s="15" t="s">
        <v>14084</v>
      </c>
      <c r="AU751" s="15" t="s">
        <v>14085</v>
      </c>
      <c r="AV751" s="15" t="s">
        <v>14085</v>
      </c>
      <c r="AW751" s="18" t="s">
        <v>14086</v>
      </c>
      <c r="AX751" s="18" t="s">
        <v>14087</v>
      </c>
      <c r="AY751" s="15">
        <f t="shared" si="14"/>
        <v>59</v>
      </c>
      <c r="AZ751" s="18" t="s">
        <v>173</v>
      </c>
      <c r="BA751" s="18" t="s">
        <v>174</v>
      </c>
      <c r="BB751" s="18" t="s">
        <v>14045</v>
      </c>
      <c r="BC751" s="18"/>
      <c r="BD751" s="18"/>
      <c r="BE751" s="18" t="s">
        <v>3510</v>
      </c>
      <c r="BF751" s="18" t="s">
        <v>14088</v>
      </c>
      <c r="BG751" s="18"/>
      <c r="BH751" s="18"/>
      <c r="BI751" s="18" t="s">
        <v>14047</v>
      </c>
      <c r="BJ751" s="18" t="s">
        <v>14089</v>
      </c>
      <c r="BK751" s="18"/>
      <c r="BL751" s="18"/>
      <c r="BM751" s="18"/>
      <c r="BN751" s="18" t="s">
        <v>179</v>
      </c>
      <c r="BO751" s="18"/>
      <c r="BP751" s="18" t="s">
        <v>138</v>
      </c>
      <c r="BQ751" s="18"/>
      <c r="BR751" s="18"/>
      <c r="BS751" s="15" t="s">
        <v>14090</v>
      </c>
      <c r="BT751" s="15" t="s">
        <v>804</v>
      </c>
      <c r="DH751" s="15" t="s">
        <v>17982</v>
      </c>
      <c r="DI751" s="15" t="s">
        <v>17982</v>
      </c>
    </row>
    <row r="752" spans="1:113" s="15" customFormat="1" ht="12.75" x14ac:dyDescent="0.2">
      <c r="A752" s="15" t="s">
        <v>109</v>
      </c>
      <c r="B752" s="15" t="s">
        <v>110</v>
      </c>
      <c r="D752" s="15" t="s">
        <v>791</v>
      </c>
      <c r="E752" s="15" t="s">
        <v>792</v>
      </c>
      <c r="F752" s="15" t="s">
        <v>791</v>
      </c>
      <c r="G752" s="15" t="s">
        <v>113</v>
      </c>
      <c r="H752" s="15" t="s">
        <v>383</v>
      </c>
      <c r="J752" s="16" t="s">
        <v>114</v>
      </c>
      <c r="U752" s="15" t="s">
        <v>17977</v>
      </c>
      <c r="W752" s="15">
        <v>724</v>
      </c>
      <c r="X752" s="15">
        <v>762</v>
      </c>
      <c r="Y752" s="15" t="s">
        <v>160</v>
      </c>
      <c r="Z752" s="15" t="s">
        <v>161</v>
      </c>
      <c r="AA752" s="15" t="s">
        <v>162</v>
      </c>
      <c r="AB752" s="15" t="s">
        <v>2940</v>
      </c>
      <c r="AC752" s="15" t="s">
        <v>2940</v>
      </c>
      <c r="AD752" s="15" t="s">
        <v>2940</v>
      </c>
      <c r="AE752" s="15" t="s">
        <v>164</v>
      </c>
      <c r="AF752" s="15" t="s">
        <v>2940</v>
      </c>
      <c r="AG752" s="15" t="s">
        <v>2940</v>
      </c>
      <c r="AH752" s="37" t="s">
        <v>2941</v>
      </c>
      <c r="AL752" s="15" t="s">
        <v>2942</v>
      </c>
      <c r="AN752" s="15">
        <v>743</v>
      </c>
      <c r="AO752" s="15" t="s">
        <v>2943</v>
      </c>
      <c r="AQ752" s="15" t="s">
        <v>168</v>
      </c>
      <c r="AT752" s="15" t="s">
        <v>2944</v>
      </c>
      <c r="AU752" s="15" t="s">
        <v>2945</v>
      </c>
      <c r="AV752" s="15" t="s">
        <v>2945</v>
      </c>
      <c r="AW752" s="18" t="s">
        <v>2946</v>
      </c>
      <c r="AX752" s="18" t="s">
        <v>2947</v>
      </c>
      <c r="AY752" s="15">
        <f t="shared" si="14"/>
        <v>60</v>
      </c>
      <c r="AZ752" s="18" t="s">
        <v>604</v>
      </c>
      <c r="BA752" s="18" t="s">
        <v>174</v>
      </c>
      <c r="BB752" s="18" t="s">
        <v>2370</v>
      </c>
      <c r="BC752" s="18"/>
      <c r="BD752" s="18"/>
      <c r="BE752" s="18" t="s">
        <v>2948</v>
      </c>
      <c r="BF752" s="18" t="s">
        <v>2915</v>
      </c>
      <c r="BG752" s="18"/>
      <c r="BH752" s="18"/>
      <c r="BI752" s="18"/>
      <c r="BJ752" s="18" t="s">
        <v>2916</v>
      </c>
      <c r="BK752" s="18"/>
      <c r="BL752" s="18"/>
      <c r="BM752" s="18"/>
      <c r="BN752" s="18" t="s">
        <v>179</v>
      </c>
      <c r="BO752" s="18"/>
      <c r="BP752" s="18" t="s">
        <v>138</v>
      </c>
      <c r="BQ752" s="18"/>
      <c r="BR752" s="18" t="s">
        <v>2186</v>
      </c>
      <c r="BS752" s="15" t="s">
        <v>2949</v>
      </c>
      <c r="BT752" s="15" t="s">
        <v>804</v>
      </c>
      <c r="DH752" s="15" t="s">
        <v>17982</v>
      </c>
      <c r="DI752" s="15" t="s">
        <v>17982</v>
      </c>
    </row>
    <row r="753" spans="1:113" s="15" customFormat="1" ht="12.75" x14ac:dyDescent="0.2">
      <c r="A753" s="15" t="s">
        <v>109</v>
      </c>
      <c r="B753" s="15" t="s">
        <v>110</v>
      </c>
      <c r="D753" s="15" t="s">
        <v>791</v>
      </c>
      <c r="E753" s="15" t="s">
        <v>792</v>
      </c>
      <c r="F753" s="15" t="s">
        <v>791</v>
      </c>
      <c r="G753" s="15" t="s">
        <v>113</v>
      </c>
      <c r="H753" s="15" t="s">
        <v>383</v>
      </c>
      <c r="J753" s="16" t="s">
        <v>114</v>
      </c>
      <c r="U753" s="15" t="s">
        <v>17977</v>
      </c>
      <c r="W753" s="15">
        <v>721</v>
      </c>
      <c r="X753" s="15">
        <v>763</v>
      </c>
      <c r="Y753" s="15" t="s">
        <v>160</v>
      </c>
      <c r="Z753" s="15" t="s">
        <v>161</v>
      </c>
      <c r="AA753" s="15" t="s">
        <v>162</v>
      </c>
      <c r="AB753" s="15" t="s">
        <v>2907</v>
      </c>
      <c r="AC753" s="15" t="s">
        <v>2907</v>
      </c>
      <c r="AD753" s="15" t="s">
        <v>2907</v>
      </c>
      <c r="AE753" s="15" t="s">
        <v>164</v>
      </c>
      <c r="AF753" s="15" t="s">
        <v>2907</v>
      </c>
      <c r="AG753" s="15" t="s">
        <v>2907</v>
      </c>
      <c r="AH753" s="37" t="s">
        <v>2908</v>
      </c>
      <c r="AL753" s="15" t="s">
        <v>2909</v>
      </c>
      <c r="AN753" s="15">
        <v>743</v>
      </c>
      <c r="AO753" s="15" t="s">
        <v>2910</v>
      </c>
      <c r="AQ753" s="15" t="s">
        <v>168</v>
      </c>
      <c r="AT753" s="15" t="s">
        <v>2911</v>
      </c>
      <c r="AU753" s="15" t="s">
        <v>2912</v>
      </c>
      <c r="AV753" s="15" t="s">
        <v>2912</v>
      </c>
      <c r="AW753" s="18" t="s">
        <v>2913</v>
      </c>
      <c r="AX753" s="18" t="s">
        <v>2914</v>
      </c>
      <c r="AY753" s="15">
        <f t="shared" si="14"/>
        <v>60</v>
      </c>
      <c r="AZ753" s="18" t="s">
        <v>604</v>
      </c>
      <c r="BA753" s="18" t="s">
        <v>174</v>
      </c>
      <c r="BB753" s="18" t="s">
        <v>2370</v>
      </c>
      <c r="BC753" s="18"/>
      <c r="BD753" s="18"/>
      <c r="BE753" s="18" t="s">
        <v>251</v>
      </c>
      <c r="BF753" s="18" t="s">
        <v>2915</v>
      </c>
      <c r="BG753" s="18"/>
      <c r="BH753" s="18"/>
      <c r="BI753" s="18"/>
      <c r="BJ753" s="18" t="s">
        <v>2916</v>
      </c>
      <c r="BK753" s="18"/>
      <c r="BL753" s="18"/>
      <c r="BM753" s="18"/>
      <c r="BN753" s="18" t="s">
        <v>179</v>
      </c>
      <c r="BO753" s="18"/>
      <c r="BP753" s="18" t="s">
        <v>138</v>
      </c>
      <c r="BQ753" s="18"/>
      <c r="BR753" s="18" t="s">
        <v>2186</v>
      </c>
      <c r="BS753" s="15" t="s">
        <v>2917</v>
      </c>
      <c r="BT753" s="15" t="s">
        <v>804</v>
      </c>
      <c r="DH753" s="15" t="s">
        <v>17982</v>
      </c>
      <c r="DI753" s="15" t="s">
        <v>17982</v>
      </c>
    </row>
    <row r="754" spans="1:113" s="15" customFormat="1" ht="12.75" x14ac:dyDescent="0.2">
      <c r="A754" s="15" t="s">
        <v>109</v>
      </c>
      <c r="B754" s="15" t="s">
        <v>110</v>
      </c>
      <c r="D754" s="15" t="s">
        <v>791</v>
      </c>
      <c r="E754" s="15" t="s">
        <v>792</v>
      </c>
      <c r="F754" s="15" t="s">
        <v>791</v>
      </c>
      <c r="G754" s="15" t="s">
        <v>113</v>
      </c>
      <c r="H754" s="15" t="s">
        <v>383</v>
      </c>
      <c r="J754" s="16" t="s">
        <v>114</v>
      </c>
      <c r="U754" s="15" t="s">
        <v>17977</v>
      </c>
      <c r="W754" s="15">
        <v>697</v>
      </c>
      <c r="X754" s="15">
        <v>764</v>
      </c>
      <c r="Y754" s="15" t="s">
        <v>160</v>
      </c>
      <c r="Z754" s="15" t="s">
        <v>161</v>
      </c>
      <c r="AA754" s="15" t="s">
        <v>162</v>
      </c>
      <c r="AB754" s="15" t="s">
        <v>2640</v>
      </c>
      <c r="AC754" s="15" t="s">
        <v>2640</v>
      </c>
      <c r="AD754" s="15" t="s">
        <v>2640</v>
      </c>
      <c r="AE754" s="15" t="s">
        <v>164</v>
      </c>
      <c r="AF754" s="15" t="s">
        <v>2640</v>
      </c>
      <c r="AG754" s="15" t="s">
        <v>2640</v>
      </c>
      <c r="AH754" s="37" t="s">
        <v>2641</v>
      </c>
      <c r="AL754" s="15" t="s">
        <v>2642</v>
      </c>
      <c r="AN754" s="15">
        <v>743</v>
      </c>
      <c r="AO754" s="15" t="s">
        <v>2643</v>
      </c>
      <c r="AQ754" s="15" t="s">
        <v>168</v>
      </c>
      <c r="AT754" s="15" t="s">
        <v>2644</v>
      </c>
      <c r="AU754" s="15" t="s">
        <v>2645</v>
      </c>
      <c r="AV754" s="15" t="s">
        <v>2645</v>
      </c>
      <c r="AW754" s="18" t="s">
        <v>2646</v>
      </c>
      <c r="AX754" s="18" t="s">
        <v>2647</v>
      </c>
      <c r="AY754" s="15">
        <f t="shared" si="14"/>
        <v>53</v>
      </c>
      <c r="AZ754" s="18" t="s">
        <v>604</v>
      </c>
      <c r="BA754" s="18" t="s">
        <v>174</v>
      </c>
      <c r="BB754" s="18" t="s">
        <v>2370</v>
      </c>
      <c r="BC754" s="18"/>
      <c r="BD754" s="18"/>
      <c r="BE754" s="18" t="s">
        <v>2612</v>
      </c>
      <c r="BF754" s="18" t="s">
        <v>2613</v>
      </c>
      <c r="BG754" s="18"/>
      <c r="BH754" s="18"/>
      <c r="BI754" s="18"/>
      <c r="BJ754" s="18" t="s">
        <v>2648</v>
      </c>
      <c r="BK754" s="18"/>
      <c r="BL754" s="18"/>
      <c r="BM754" s="18"/>
      <c r="BN754" s="18" t="s">
        <v>179</v>
      </c>
      <c r="BO754" s="18"/>
      <c r="BP754" s="18" t="s">
        <v>138</v>
      </c>
      <c r="BQ754" s="18"/>
      <c r="BR754" s="18" t="s">
        <v>2615</v>
      </c>
      <c r="BS754" s="15" t="s">
        <v>2649</v>
      </c>
      <c r="BT754" s="15" t="s">
        <v>804</v>
      </c>
      <c r="DH754" s="15" t="s">
        <v>17982</v>
      </c>
      <c r="DI754" s="15" t="s">
        <v>17982</v>
      </c>
    </row>
    <row r="755" spans="1:113" s="15" customFormat="1" ht="12.75" x14ac:dyDescent="0.2">
      <c r="A755" s="15" t="s">
        <v>109</v>
      </c>
      <c r="B755" s="15" t="s">
        <v>110</v>
      </c>
      <c r="D755" s="15" t="s">
        <v>791</v>
      </c>
      <c r="E755" s="15" t="s">
        <v>792</v>
      </c>
      <c r="F755" s="15" t="s">
        <v>791</v>
      </c>
      <c r="G755" s="15" t="s">
        <v>113</v>
      </c>
      <c r="H755" s="15" t="s">
        <v>383</v>
      </c>
      <c r="J755" s="16" t="s">
        <v>114</v>
      </c>
      <c r="U755" s="15" t="s">
        <v>17977</v>
      </c>
      <c r="W755" s="15">
        <v>694</v>
      </c>
      <c r="X755" s="15">
        <v>765</v>
      </c>
      <c r="Y755" s="15" t="s">
        <v>160</v>
      </c>
      <c r="Z755" s="15" t="s">
        <v>161</v>
      </c>
      <c r="AA755" s="15" t="s">
        <v>162</v>
      </c>
      <c r="AB755" s="15" t="s">
        <v>2604</v>
      </c>
      <c r="AC755" s="15" t="s">
        <v>2604</v>
      </c>
      <c r="AD755" s="15" t="s">
        <v>2604</v>
      </c>
      <c r="AE755" s="15" t="s">
        <v>164</v>
      </c>
      <c r="AF755" s="15" t="s">
        <v>2604</v>
      </c>
      <c r="AG755" s="15" t="s">
        <v>2604</v>
      </c>
      <c r="AH755" s="37" t="s">
        <v>2605</v>
      </c>
      <c r="AL755" s="15" t="s">
        <v>2606</v>
      </c>
      <c r="AN755" s="15">
        <v>743</v>
      </c>
      <c r="AO755" s="15" t="s">
        <v>2607</v>
      </c>
      <c r="AQ755" s="15" t="s">
        <v>168</v>
      </c>
      <c r="AT755" s="15" t="s">
        <v>2608</v>
      </c>
      <c r="AU755" s="15" t="s">
        <v>2609</v>
      </c>
      <c r="AV755" s="15" t="s">
        <v>2609</v>
      </c>
      <c r="AW755" s="18" t="s">
        <v>2610</v>
      </c>
      <c r="AX755" s="18" t="s">
        <v>2611</v>
      </c>
      <c r="AY755" s="15">
        <f t="shared" si="14"/>
        <v>56</v>
      </c>
      <c r="AZ755" s="18" t="s">
        <v>604</v>
      </c>
      <c r="BA755" s="18" t="s">
        <v>174</v>
      </c>
      <c r="BB755" s="18" t="s">
        <v>2370</v>
      </c>
      <c r="BC755" s="18"/>
      <c r="BD755" s="18"/>
      <c r="BE755" s="18" t="s">
        <v>2612</v>
      </c>
      <c r="BF755" s="18" t="s">
        <v>2613</v>
      </c>
      <c r="BG755" s="18"/>
      <c r="BH755" s="18"/>
      <c r="BI755" s="18"/>
      <c r="BJ755" s="18" t="s">
        <v>2614</v>
      </c>
      <c r="BK755" s="18"/>
      <c r="BL755" s="18"/>
      <c r="BM755" s="18"/>
      <c r="BN755" s="18" t="s">
        <v>179</v>
      </c>
      <c r="BO755" s="18"/>
      <c r="BP755" s="18" t="s">
        <v>138</v>
      </c>
      <c r="BQ755" s="18"/>
      <c r="BR755" s="18" t="s">
        <v>2615</v>
      </c>
      <c r="BS755" s="15" t="s">
        <v>2616</v>
      </c>
      <c r="BT755" s="15" t="s">
        <v>804</v>
      </c>
      <c r="DH755" s="15" t="s">
        <v>17982</v>
      </c>
      <c r="DI755" s="15" t="s">
        <v>17982</v>
      </c>
    </row>
    <row r="756" spans="1:113" s="15" customFormat="1" ht="12.75" x14ac:dyDescent="0.2">
      <c r="A756" s="15" t="s">
        <v>109</v>
      </c>
      <c r="B756" s="15" t="s">
        <v>110</v>
      </c>
      <c r="D756" s="15" t="s">
        <v>791</v>
      </c>
      <c r="E756" s="15" t="s">
        <v>792</v>
      </c>
      <c r="F756" s="15" t="s">
        <v>791</v>
      </c>
      <c r="G756" s="15" t="s">
        <v>113</v>
      </c>
      <c r="H756" s="15" t="s">
        <v>383</v>
      </c>
      <c r="J756" s="16" t="s">
        <v>114</v>
      </c>
      <c r="U756" s="15" t="s">
        <v>17977</v>
      </c>
      <c r="W756" s="15">
        <v>698</v>
      </c>
      <c r="X756" s="15">
        <v>766</v>
      </c>
      <c r="Y756" s="15" t="s">
        <v>160</v>
      </c>
      <c r="Z756" s="15" t="s">
        <v>161</v>
      </c>
      <c r="AA756" s="15" t="s">
        <v>162</v>
      </c>
      <c r="AB756" s="15" t="s">
        <v>2650</v>
      </c>
      <c r="AC756" s="15" t="s">
        <v>2650</v>
      </c>
      <c r="AD756" s="15" t="s">
        <v>2650</v>
      </c>
      <c r="AE756" s="15" t="s">
        <v>164</v>
      </c>
      <c r="AF756" s="15" t="s">
        <v>2650</v>
      </c>
      <c r="AG756" s="15" t="s">
        <v>2650</v>
      </c>
      <c r="AH756" s="37" t="s">
        <v>2651</v>
      </c>
      <c r="AL756" s="15" t="s">
        <v>2652</v>
      </c>
      <c r="AN756" s="15">
        <v>743</v>
      </c>
      <c r="AO756" s="15" t="s">
        <v>2653</v>
      </c>
      <c r="AQ756" s="15" t="s">
        <v>168</v>
      </c>
      <c r="AT756" s="15" t="s">
        <v>2654</v>
      </c>
      <c r="AU756" s="15" t="s">
        <v>2655</v>
      </c>
      <c r="AV756" s="15" t="s">
        <v>2655</v>
      </c>
      <c r="AW756" s="18" t="s">
        <v>2656</v>
      </c>
      <c r="AX756" s="18" t="s">
        <v>2657</v>
      </c>
      <c r="AY756" s="15">
        <f t="shared" si="14"/>
        <v>57</v>
      </c>
      <c r="AZ756" s="18" t="s">
        <v>604</v>
      </c>
      <c r="BA756" s="18" t="s">
        <v>174</v>
      </c>
      <c r="BB756" s="18" t="s">
        <v>2370</v>
      </c>
      <c r="BC756" s="18"/>
      <c r="BD756" s="18"/>
      <c r="BE756" s="18" t="s">
        <v>2658</v>
      </c>
      <c r="BF756" s="18" t="s">
        <v>2613</v>
      </c>
      <c r="BG756" s="18"/>
      <c r="BH756" s="18"/>
      <c r="BI756" s="18"/>
      <c r="BJ756" s="18" t="s">
        <v>2659</v>
      </c>
      <c r="BK756" s="18"/>
      <c r="BL756" s="18"/>
      <c r="BM756" s="18"/>
      <c r="BN756" s="18" t="s">
        <v>179</v>
      </c>
      <c r="BO756" s="18"/>
      <c r="BP756" s="18" t="s">
        <v>138</v>
      </c>
      <c r="BQ756" s="18"/>
      <c r="BR756" s="18" t="s">
        <v>2660</v>
      </c>
      <c r="BS756" s="15" t="s">
        <v>2661</v>
      </c>
      <c r="BT756" s="15" t="s">
        <v>804</v>
      </c>
      <c r="DH756" s="15" t="s">
        <v>17982</v>
      </c>
      <c r="DI756" s="15" t="s">
        <v>17982</v>
      </c>
    </row>
    <row r="757" spans="1:113" s="15" customFormat="1" ht="12.75" x14ac:dyDescent="0.2">
      <c r="A757" s="15" t="s">
        <v>109</v>
      </c>
      <c r="B757" s="15" t="s">
        <v>110</v>
      </c>
      <c r="D757" s="15" t="s">
        <v>791</v>
      </c>
      <c r="E757" s="15" t="s">
        <v>792</v>
      </c>
      <c r="F757" s="15" t="s">
        <v>791</v>
      </c>
      <c r="G757" s="15" t="s">
        <v>113</v>
      </c>
      <c r="H757" s="15" t="s">
        <v>383</v>
      </c>
      <c r="J757" s="16" t="s">
        <v>114</v>
      </c>
      <c r="U757" s="15" t="s">
        <v>17977</v>
      </c>
      <c r="W757" s="15">
        <v>729</v>
      </c>
      <c r="X757" s="15">
        <v>767</v>
      </c>
      <c r="Y757" s="15" t="s">
        <v>160</v>
      </c>
      <c r="Z757" s="15" t="s">
        <v>161</v>
      </c>
      <c r="AA757" s="15" t="s">
        <v>162</v>
      </c>
      <c r="AB757" s="15" t="s">
        <v>2991</v>
      </c>
      <c r="AC757" s="15" t="s">
        <v>2991</v>
      </c>
      <c r="AD757" s="15" t="s">
        <v>2991</v>
      </c>
      <c r="AE757" s="15" t="s">
        <v>164</v>
      </c>
      <c r="AF757" s="15" t="s">
        <v>2991</v>
      </c>
      <c r="AG757" s="15" t="s">
        <v>2991</v>
      </c>
      <c r="AH757" s="37" t="s">
        <v>2992</v>
      </c>
      <c r="AL757" s="15" t="s">
        <v>2993</v>
      </c>
      <c r="AN757" s="15">
        <v>743</v>
      </c>
      <c r="AO757" s="15" t="s">
        <v>2994</v>
      </c>
      <c r="AQ757" s="15" t="s">
        <v>168</v>
      </c>
      <c r="AT757" s="15" t="s">
        <v>2995</v>
      </c>
      <c r="AU757" s="15" t="s">
        <v>2996</v>
      </c>
      <c r="AV757" s="15" t="s">
        <v>2996</v>
      </c>
      <c r="AW757" s="18" t="s">
        <v>2997</v>
      </c>
      <c r="AX757" s="18" t="s">
        <v>2998</v>
      </c>
      <c r="AY757" s="15">
        <f t="shared" si="14"/>
        <v>53</v>
      </c>
      <c r="AZ757" s="18" t="s">
        <v>604</v>
      </c>
      <c r="BA757" s="18" t="s">
        <v>174</v>
      </c>
      <c r="BB757" s="18" t="s">
        <v>2370</v>
      </c>
      <c r="BC757" s="18"/>
      <c r="BD757" s="18"/>
      <c r="BE757" s="18" t="s">
        <v>2612</v>
      </c>
      <c r="BF757" s="18" t="s">
        <v>2959</v>
      </c>
      <c r="BG757" s="18"/>
      <c r="BH757" s="18"/>
      <c r="BI757" s="18" t="s">
        <v>2960</v>
      </c>
      <c r="BJ757" s="18" t="s">
        <v>2999</v>
      </c>
      <c r="BK757" s="18"/>
      <c r="BL757" s="18"/>
      <c r="BM757" s="18"/>
      <c r="BN757" s="18" t="s">
        <v>179</v>
      </c>
      <c r="BO757" s="18"/>
      <c r="BP757" s="18" t="s">
        <v>138</v>
      </c>
      <c r="BQ757" s="18"/>
      <c r="BR757" s="18" t="s">
        <v>3000</v>
      </c>
      <c r="BS757" s="15" t="s">
        <v>3001</v>
      </c>
      <c r="BT757" s="15" t="s">
        <v>804</v>
      </c>
      <c r="DH757" s="15" t="s">
        <v>17982</v>
      </c>
      <c r="DI757" s="15" t="s">
        <v>17982</v>
      </c>
    </row>
    <row r="758" spans="1:113" s="15" customFormat="1" ht="12.75" x14ac:dyDescent="0.2">
      <c r="A758" s="15" t="s">
        <v>109</v>
      </c>
      <c r="B758" s="15" t="s">
        <v>110</v>
      </c>
      <c r="D758" s="15" t="s">
        <v>791</v>
      </c>
      <c r="E758" s="15" t="s">
        <v>792</v>
      </c>
      <c r="F758" s="15" t="s">
        <v>791</v>
      </c>
      <c r="G758" s="15" t="s">
        <v>113</v>
      </c>
      <c r="H758" s="15" t="s">
        <v>383</v>
      </c>
      <c r="J758" s="16" t="s">
        <v>114</v>
      </c>
      <c r="U758" s="15" t="s">
        <v>17977</v>
      </c>
      <c r="W758" s="15">
        <v>726</v>
      </c>
      <c r="X758" s="15">
        <v>768</v>
      </c>
      <c r="Y758" s="15" t="s">
        <v>160</v>
      </c>
      <c r="Z758" s="15" t="s">
        <v>161</v>
      </c>
      <c r="AA758" s="15" t="s">
        <v>162</v>
      </c>
      <c r="AB758" s="15" t="s">
        <v>2963</v>
      </c>
      <c r="AC758" s="15" t="s">
        <v>2963</v>
      </c>
      <c r="AD758" s="15" t="s">
        <v>2963</v>
      </c>
      <c r="AE758" s="15" t="s">
        <v>164</v>
      </c>
      <c r="AF758" s="15" t="s">
        <v>2963</v>
      </c>
      <c r="AG758" s="15" t="s">
        <v>2963</v>
      </c>
      <c r="AH758" s="37" t="s">
        <v>2964</v>
      </c>
      <c r="AL758" s="15" t="s">
        <v>2965</v>
      </c>
      <c r="AN758" s="15">
        <v>743</v>
      </c>
      <c r="AO758" s="15" t="s">
        <v>2966</v>
      </c>
      <c r="AQ758" s="15" t="s">
        <v>168</v>
      </c>
      <c r="AT758" s="15" t="s">
        <v>2967</v>
      </c>
      <c r="AU758" s="15" t="s">
        <v>2968</v>
      </c>
      <c r="AV758" s="15" t="s">
        <v>2968</v>
      </c>
      <c r="AW758" s="18" t="s">
        <v>2969</v>
      </c>
      <c r="AX758" s="18" t="s">
        <v>2970</v>
      </c>
      <c r="AY758" s="15">
        <f t="shared" si="14"/>
        <v>57</v>
      </c>
      <c r="AZ758" s="18" t="s">
        <v>604</v>
      </c>
      <c r="BA758" s="18" t="s">
        <v>174</v>
      </c>
      <c r="BB758" s="18" t="s">
        <v>2370</v>
      </c>
      <c r="BC758" s="18" t="s">
        <v>2958</v>
      </c>
      <c r="BD758" s="18"/>
      <c r="BE758" s="18" t="s">
        <v>2612</v>
      </c>
      <c r="BF758" s="18" t="s">
        <v>1715</v>
      </c>
      <c r="BG758" s="18"/>
      <c r="BH758" s="18"/>
      <c r="BI758" s="18" t="s">
        <v>2960</v>
      </c>
      <c r="BJ758" s="18" t="s">
        <v>2961</v>
      </c>
      <c r="BK758" s="18"/>
      <c r="BL758" s="18"/>
      <c r="BM758" s="18"/>
      <c r="BN758" s="18" t="s">
        <v>179</v>
      </c>
      <c r="BO758" s="18"/>
      <c r="BP758" s="18" t="s">
        <v>138</v>
      </c>
      <c r="BQ758" s="18"/>
      <c r="BR758" s="18" t="s">
        <v>2613</v>
      </c>
      <c r="BS758" s="15" t="s">
        <v>2971</v>
      </c>
      <c r="BT758" s="15" t="s">
        <v>804</v>
      </c>
      <c r="DH758" s="15" t="s">
        <v>17982</v>
      </c>
      <c r="DI758" s="15" t="s">
        <v>17982</v>
      </c>
    </row>
    <row r="759" spans="1:113" s="15" customFormat="1" ht="12.75" x14ac:dyDescent="0.2">
      <c r="A759" s="15" t="s">
        <v>109</v>
      </c>
      <c r="B759" s="15" t="s">
        <v>110</v>
      </c>
      <c r="D759" s="15" t="s">
        <v>791</v>
      </c>
      <c r="E759" s="15" t="s">
        <v>792</v>
      </c>
      <c r="F759" s="15" t="s">
        <v>791</v>
      </c>
      <c r="G759" s="15" t="s">
        <v>113</v>
      </c>
      <c r="H759" s="15" t="s">
        <v>383</v>
      </c>
      <c r="J759" s="16" t="s">
        <v>114</v>
      </c>
      <c r="U759" s="15" t="s">
        <v>17977</v>
      </c>
      <c r="W759" s="15">
        <v>727</v>
      </c>
      <c r="X759" s="15">
        <v>769</v>
      </c>
      <c r="Y759" s="15" t="s">
        <v>160</v>
      </c>
      <c r="Z759" s="15" t="s">
        <v>161</v>
      </c>
      <c r="AA759" s="15" t="s">
        <v>162</v>
      </c>
      <c r="AB759" s="15" t="s">
        <v>2972</v>
      </c>
      <c r="AC759" s="15" t="s">
        <v>2972</v>
      </c>
      <c r="AD759" s="15" t="s">
        <v>2972</v>
      </c>
      <c r="AE759" s="15" t="s">
        <v>164</v>
      </c>
      <c r="AF759" s="15" t="s">
        <v>2972</v>
      </c>
      <c r="AG759" s="15" t="s">
        <v>2972</v>
      </c>
      <c r="AH759" s="37" t="s">
        <v>2973</v>
      </c>
      <c r="AL759" s="15" t="s">
        <v>2974</v>
      </c>
      <c r="AN759" s="15">
        <v>743</v>
      </c>
      <c r="AO759" s="15" t="s">
        <v>2975</v>
      </c>
      <c r="AQ759" s="15" t="s">
        <v>168</v>
      </c>
      <c r="AT759" s="15" t="s">
        <v>2976</v>
      </c>
      <c r="AU759" s="15" t="s">
        <v>2977</v>
      </c>
      <c r="AV759" s="15" t="s">
        <v>2977</v>
      </c>
      <c r="AW759" s="18" t="s">
        <v>2978</v>
      </c>
      <c r="AX759" s="18" t="s">
        <v>2979</v>
      </c>
      <c r="AY759" s="15">
        <f t="shared" si="14"/>
        <v>57</v>
      </c>
      <c r="AZ759" s="18" t="s">
        <v>604</v>
      </c>
      <c r="BA759" s="18" t="s">
        <v>174</v>
      </c>
      <c r="BB759" s="18" t="s">
        <v>2370</v>
      </c>
      <c r="BC759" s="18" t="s">
        <v>2958</v>
      </c>
      <c r="BD759" s="18"/>
      <c r="BE759" s="18" t="s">
        <v>2612</v>
      </c>
      <c r="BF759" s="18" t="s">
        <v>2959</v>
      </c>
      <c r="BG759" s="18"/>
      <c r="BH759" s="18"/>
      <c r="BI759" s="18" t="s">
        <v>2960</v>
      </c>
      <c r="BJ759" s="18" t="s">
        <v>2961</v>
      </c>
      <c r="BK759" s="18"/>
      <c r="BL759" s="18"/>
      <c r="BM759" s="18"/>
      <c r="BN759" s="18" t="s">
        <v>179</v>
      </c>
      <c r="BO759" s="18"/>
      <c r="BP759" s="18" t="s">
        <v>138</v>
      </c>
      <c r="BQ759" s="18"/>
      <c r="BR759" s="18"/>
      <c r="BS759" s="15" t="s">
        <v>2980</v>
      </c>
      <c r="BT759" s="15" t="s">
        <v>804</v>
      </c>
      <c r="DH759" s="15" t="s">
        <v>17982</v>
      </c>
      <c r="DI759" s="15" t="s">
        <v>17982</v>
      </c>
    </row>
    <row r="760" spans="1:113" s="15" customFormat="1" ht="12.75" x14ac:dyDescent="0.2">
      <c r="A760" s="15" t="s">
        <v>109</v>
      </c>
      <c r="B760" s="15" t="s">
        <v>110</v>
      </c>
      <c r="D760" s="15" t="s">
        <v>791</v>
      </c>
      <c r="E760" s="15" t="s">
        <v>792</v>
      </c>
      <c r="F760" s="15" t="s">
        <v>791</v>
      </c>
      <c r="G760" s="15" t="s">
        <v>113</v>
      </c>
      <c r="H760" s="15" t="s">
        <v>383</v>
      </c>
      <c r="J760" s="16" t="s">
        <v>114</v>
      </c>
      <c r="U760" s="15" t="s">
        <v>17977</v>
      </c>
      <c r="W760" s="15">
        <v>728</v>
      </c>
      <c r="X760" s="15">
        <v>770</v>
      </c>
      <c r="Y760" s="15" t="s">
        <v>160</v>
      </c>
      <c r="Z760" s="15" t="s">
        <v>161</v>
      </c>
      <c r="AA760" s="15" t="s">
        <v>162</v>
      </c>
      <c r="AB760" s="15" t="s">
        <v>2981</v>
      </c>
      <c r="AC760" s="15" t="s">
        <v>2981</v>
      </c>
      <c r="AD760" s="15" t="s">
        <v>2981</v>
      </c>
      <c r="AE760" s="15" t="s">
        <v>164</v>
      </c>
      <c r="AF760" s="15" t="s">
        <v>2981</v>
      </c>
      <c r="AG760" s="15" t="s">
        <v>2981</v>
      </c>
      <c r="AH760" s="37" t="s">
        <v>2982</v>
      </c>
      <c r="AL760" s="15" t="s">
        <v>2983</v>
      </c>
      <c r="AN760" s="15">
        <v>743</v>
      </c>
      <c r="AO760" s="15" t="s">
        <v>2984</v>
      </c>
      <c r="AQ760" s="15" t="s">
        <v>168</v>
      </c>
      <c r="AT760" s="15" t="s">
        <v>2985</v>
      </c>
      <c r="AU760" s="15" t="s">
        <v>2986</v>
      </c>
      <c r="AV760" s="15" t="s">
        <v>2986</v>
      </c>
      <c r="AW760" s="18" t="s">
        <v>2987</v>
      </c>
      <c r="AX760" s="18" t="s">
        <v>2988</v>
      </c>
      <c r="AY760" s="15">
        <f t="shared" si="14"/>
        <v>52</v>
      </c>
      <c r="AZ760" s="18" t="s">
        <v>604</v>
      </c>
      <c r="BA760" s="18" t="s">
        <v>174</v>
      </c>
      <c r="BB760" s="18" t="s">
        <v>2370</v>
      </c>
      <c r="BC760" s="18" t="s">
        <v>2958</v>
      </c>
      <c r="BD760" s="18"/>
      <c r="BE760" s="18" t="s">
        <v>1123</v>
      </c>
      <c r="BF760" s="18" t="s">
        <v>2626</v>
      </c>
      <c r="BG760" s="18"/>
      <c r="BH760" s="18"/>
      <c r="BI760" s="18" t="s">
        <v>2960</v>
      </c>
      <c r="BJ760" s="18" t="s">
        <v>2961</v>
      </c>
      <c r="BK760" s="18"/>
      <c r="BL760" s="18"/>
      <c r="BM760" s="18"/>
      <c r="BN760" s="18" t="s">
        <v>179</v>
      </c>
      <c r="BO760" s="18"/>
      <c r="BP760" s="18" t="s">
        <v>138</v>
      </c>
      <c r="BQ760" s="18"/>
      <c r="BR760" s="18" t="s">
        <v>2989</v>
      </c>
      <c r="BS760" s="15" t="s">
        <v>2990</v>
      </c>
      <c r="BT760" s="15" t="s">
        <v>804</v>
      </c>
      <c r="DH760" s="15" t="s">
        <v>17982</v>
      </c>
      <c r="DI760" s="15" t="s">
        <v>17982</v>
      </c>
    </row>
    <row r="761" spans="1:113" s="15" customFormat="1" ht="12.75" x14ac:dyDescent="0.2">
      <c r="A761" s="15" t="s">
        <v>109</v>
      </c>
      <c r="B761" s="15" t="s">
        <v>110</v>
      </c>
      <c r="D761" s="15" t="s">
        <v>791</v>
      </c>
      <c r="E761" s="15" t="s">
        <v>792</v>
      </c>
      <c r="F761" s="15" t="s">
        <v>791</v>
      </c>
      <c r="G761" s="15" t="s">
        <v>113</v>
      </c>
      <c r="H761" s="15" t="s">
        <v>383</v>
      </c>
      <c r="J761" s="16" t="s">
        <v>114</v>
      </c>
      <c r="U761" s="15" t="s">
        <v>17977</v>
      </c>
      <c r="W761" s="15">
        <v>725</v>
      </c>
      <c r="X761" s="15">
        <v>771</v>
      </c>
      <c r="Y761" s="15" t="s">
        <v>160</v>
      </c>
      <c r="Z761" s="15" t="s">
        <v>161</v>
      </c>
      <c r="AA761" s="15" t="s">
        <v>162</v>
      </c>
      <c r="AB761" s="15" t="s">
        <v>2950</v>
      </c>
      <c r="AC761" s="15" t="s">
        <v>2950</v>
      </c>
      <c r="AD761" s="15" t="s">
        <v>2950</v>
      </c>
      <c r="AE761" s="15" t="s">
        <v>164</v>
      </c>
      <c r="AF761" s="15" t="s">
        <v>2950</v>
      </c>
      <c r="AG761" s="15" t="s">
        <v>2950</v>
      </c>
      <c r="AH761" s="37" t="s">
        <v>2951</v>
      </c>
      <c r="AL761" s="15" t="s">
        <v>2952</v>
      </c>
      <c r="AN761" s="15">
        <v>743</v>
      </c>
      <c r="AO761" s="15" t="s">
        <v>2953</v>
      </c>
      <c r="AQ761" s="15" t="s">
        <v>168</v>
      </c>
      <c r="AT761" s="15" t="s">
        <v>2954</v>
      </c>
      <c r="AU761" s="15" t="s">
        <v>2955</v>
      </c>
      <c r="AV761" s="15" t="s">
        <v>2955</v>
      </c>
      <c r="AW761" s="18" t="s">
        <v>2956</v>
      </c>
      <c r="AX761" s="18" t="s">
        <v>2957</v>
      </c>
      <c r="AY761" s="15">
        <f t="shared" si="14"/>
        <v>54</v>
      </c>
      <c r="AZ761" s="18" t="s">
        <v>604</v>
      </c>
      <c r="BA761" s="18" t="s">
        <v>174</v>
      </c>
      <c r="BB761" s="18" t="s">
        <v>2370</v>
      </c>
      <c r="BC761" s="18" t="s">
        <v>2958</v>
      </c>
      <c r="BD761" s="18"/>
      <c r="BE761" s="18" t="s">
        <v>1123</v>
      </c>
      <c r="BF761" s="18" t="s">
        <v>2959</v>
      </c>
      <c r="BG761" s="18"/>
      <c r="BH761" s="18"/>
      <c r="BI761" s="18" t="s">
        <v>2960</v>
      </c>
      <c r="BJ761" s="18" t="s">
        <v>2961</v>
      </c>
      <c r="BK761" s="18"/>
      <c r="BL761" s="18"/>
      <c r="BM761" s="18"/>
      <c r="BN761" s="18" t="s">
        <v>179</v>
      </c>
      <c r="BO761" s="18"/>
      <c r="BP761" s="18" t="s">
        <v>138</v>
      </c>
      <c r="BQ761" s="18"/>
      <c r="BR761" s="18" t="s">
        <v>2613</v>
      </c>
      <c r="BS761" s="15" t="s">
        <v>2962</v>
      </c>
      <c r="BT761" s="15" t="s">
        <v>804</v>
      </c>
      <c r="DH761" s="15" t="s">
        <v>17982</v>
      </c>
      <c r="DI761" s="15" t="s">
        <v>17982</v>
      </c>
    </row>
    <row r="762" spans="1:113" s="15" customFormat="1" ht="12.75" x14ac:dyDescent="0.2">
      <c r="A762" s="15" t="s">
        <v>109</v>
      </c>
      <c r="B762" s="15" t="s">
        <v>110</v>
      </c>
      <c r="D762" s="15" t="s">
        <v>791</v>
      </c>
      <c r="E762" s="15" t="s">
        <v>792</v>
      </c>
      <c r="F762" s="15" t="s">
        <v>791</v>
      </c>
      <c r="G762" s="15" t="s">
        <v>113</v>
      </c>
      <c r="H762" s="15" t="s">
        <v>383</v>
      </c>
      <c r="J762" s="16" t="s">
        <v>114</v>
      </c>
      <c r="U762" s="15" t="s">
        <v>17977</v>
      </c>
      <c r="W762" s="15">
        <v>713</v>
      </c>
      <c r="X762" s="15">
        <v>772</v>
      </c>
      <c r="Y762" s="15" t="s">
        <v>160</v>
      </c>
      <c r="Z762" s="15" t="s">
        <v>161</v>
      </c>
      <c r="AA762" s="15" t="s">
        <v>162</v>
      </c>
      <c r="AB762" s="15" t="s">
        <v>2821</v>
      </c>
      <c r="AC762" s="15" t="s">
        <v>2821</v>
      </c>
      <c r="AD762" s="15" t="s">
        <v>2821</v>
      </c>
      <c r="AE762" s="15" t="s">
        <v>164</v>
      </c>
      <c r="AF762" s="15" t="s">
        <v>2821</v>
      </c>
      <c r="AG762" s="15" t="s">
        <v>2821</v>
      </c>
      <c r="AH762" s="37" t="s">
        <v>2822</v>
      </c>
      <c r="AL762" s="15" t="s">
        <v>2823</v>
      </c>
      <c r="AN762" s="15">
        <v>743</v>
      </c>
      <c r="AO762" s="15" t="s">
        <v>2824</v>
      </c>
      <c r="AQ762" s="15" t="s">
        <v>168</v>
      </c>
      <c r="AT762" s="15" t="s">
        <v>2825</v>
      </c>
      <c r="AU762" s="15" t="s">
        <v>2826</v>
      </c>
      <c r="AV762" s="15" t="s">
        <v>2826</v>
      </c>
      <c r="AW762" s="18" t="s">
        <v>2827</v>
      </c>
      <c r="AX762" s="18" t="s">
        <v>2828</v>
      </c>
      <c r="AY762" s="15">
        <f t="shared" si="14"/>
        <v>55</v>
      </c>
      <c r="AZ762" s="18" t="s">
        <v>604</v>
      </c>
      <c r="BA762" s="18" t="s">
        <v>174</v>
      </c>
      <c r="BB762" s="18" t="s">
        <v>2370</v>
      </c>
      <c r="BC762" s="18" t="s">
        <v>1978</v>
      </c>
      <c r="BD762" s="18"/>
      <c r="BE762" s="18" t="s">
        <v>1081</v>
      </c>
      <c r="BF762" s="18" t="s">
        <v>2776</v>
      </c>
      <c r="BG762" s="18"/>
      <c r="BH762" s="18"/>
      <c r="BI762" s="18"/>
      <c r="BJ762" s="18" t="s">
        <v>2807</v>
      </c>
      <c r="BK762" s="18"/>
      <c r="BL762" s="18"/>
      <c r="BM762" s="18"/>
      <c r="BN762" s="18" t="s">
        <v>179</v>
      </c>
      <c r="BO762" s="18"/>
      <c r="BP762" s="18" t="s">
        <v>138</v>
      </c>
      <c r="BQ762" s="18"/>
      <c r="BR762" s="18" t="s">
        <v>2829</v>
      </c>
      <c r="BS762" s="15" t="s">
        <v>2830</v>
      </c>
      <c r="BT762" s="15" t="s">
        <v>804</v>
      </c>
      <c r="DH762" s="15" t="s">
        <v>17982</v>
      </c>
      <c r="DI762" s="15" t="s">
        <v>17982</v>
      </c>
    </row>
    <row r="763" spans="1:113" s="15" customFormat="1" ht="12.75" x14ac:dyDescent="0.2">
      <c r="A763" s="15" t="s">
        <v>109</v>
      </c>
      <c r="B763" s="15" t="s">
        <v>110</v>
      </c>
      <c r="D763" s="15" t="s">
        <v>791</v>
      </c>
      <c r="E763" s="15" t="s">
        <v>792</v>
      </c>
      <c r="F763" s="15" t="s">
        <v>791</v>
      </c>
      <c r="G763" s="15" t="s">
        <v>113</v>
      </c>
      <c r="H763" s="15" t="s">
        <v>383</v>
      </c>
      <c r="J763" s="16" t="s">
        <v>114</v>
      </c>
      <c r="U763" s="15" t="s">
        <v>17977</v>
      </c>
      <c r="W763" s="15">
        <v>711</v>
      </c>
      <c r="X763" s="15">
        <v>773</v>
      </c>
      <c r="Y763" s="15" t="s">
        <v>160</v>
      </c>
      <c r="Z763" s="15" t="s">
        <v>161</v>
      </c>
      <c r="AA763" s="15" t="s">
        <v>162</v>
      </c>
      <c r="AB763" s="15" t="s">
        <v>2798</v>
      </c>
      <c r="AC763" s="15" t="s">
        <v>2798</v>
      </c>
      <c r="AD763" s="15" t="s">
        <v>2798</v>
      </c>
      <c r="AE763" s="15" t="s">
        <v>164</v>
      </c>
      <c r="AF763" s="15" t="s">
        <v>2798</v>
      </c>
      <c r="AG763" s="15" t="s">
        <v>2798</v>
      </c>
      <c r="AH763" s="37" t="s">
        <v>2799</v>
      </c>
      <c r="AL763" s="15" t="s">
        <v>2800</v>
      </c>
      <c r="AN763" s="15">
        <v>743</v>
      </c>
      <c r="AO763" s="15" t="s">
        <v>2801</v>
      </c>
      <c r="AQ763" s="15" t="s">
        <v>168</v>
      </c>
      <c r="AT763" s="15" t="s">
        <v>2802</v>
      </c>
      <c r="AU763" s="15" t="s">
        <v>2803</v>
      </c>
      <c r="AV763" s="15" t="s">
        <v>2803</v>
      </c>
      <c r="AW763" s="18" t="s">
        <v>2804</v>
      </c>
      <c r="AX763" s="18" t="s">
        <v>2805</v>
      </c>
      <c r="AY763" s="15">
        <f t="shared" si="14"/>
        <v>59</v>
      </c>
      <c r="AZ763" s="18" t="s">
        <v>604</v>
      </c>
      <c r="BA763" s="18" t="s">
        <v>174</v>
      </c>
      <c r="BB763" s="18" t="s">
        <v>2370</v>
      </c>
      <c r="BC763" s="18" t="s">
        <v>2040</v>
      </c>
      <c r="BD763" s="18"/>
      <c r="BE763" s="18" t="s">
        <v>1915</v>
      </c>
      <c r="BF763" s="18" t="s">
        <v>2806</v>
      </c>
      <c r="BG763" s="18"/>
      <c r="BH763" s="18"/>
      <c r="BI763" s="18"/>
      <c r="BJ763" s="18" t="s">
        <v>2807</v>
      </c>
      <c r="BK763" s="18"/>
      <c r="BL763" s="18"/>
      <c r="BM763" s="18"/>
      <c r="BN763" s="18" t="s">
        <v>179</v>
      </c>
      <c r="BO763" s="18"/>
      <c r="BP763" s="18" t="s">
        <v>138</v>
      </c>
      <c r="BQ763" s="18"/>
      <c r="BR763" s="18" t="s">
        <v>2808</v>
      </c>
      <c r="BS763" s="15" t="s">
        <v>2809</v>
      </c>
      <c r="BT763" s="15" t="s">
        <v>804</v>
      </c>
      <c r="DH763" s="15" t="s">
        <v>17982</v>
      </c>
      <c r="DI763" s="15" t="s">
        <v>17982</v>
      </c>
    </row>
    <row r="764" spans="1:113" s="15" customFormat="1" ht="12.75" x14ac:dyDescent="0.2">
      <c r="A764" s="15" t="s">
        <v>109</v>
      </c>
      <c r="B764" s="15" t="s">
        <v>110</v>
      </c>
      <c r="D764" s="15" t="s">
        <v>791</v>
      </c>
      <c r="E764" s="15" t="s">
        <v>792</v>
      </c>
      <c r="F764" s="15" t="s">
        <v>791</v>
      </c>
      <c r="G764" s="15" t="s">
        <v>113</v>
      </c>
      <c r="H764" s="15" t="s">
        <v>383</v>
      </c>
      <c r="J764" s="16" t="s">
        <v>114</v>
      </c>
      <c r="U764" s="15" t="s">
        <v>17977</v>
      </c>
      <c r="W764" s="15">
        <v>712</v>
      </c>
      <c r="X764" s="15">
        <v>774</v>
      </c>
      <c r="Y764" s="15" t="s">
        <v>160</v>
      </c>
      <c r="Z764" s="15" t="s">
        <v>161</v>
      </c>
      <c r="AA764" s="15" t="s">
        <v>162</v>
      </c>
      <c r="AB764" s="15" t="s">
        <v>2810</v>
      </c>
      <c r="AC764" s="15" t="s">
        <v>2810</v>
      </c>
      <c r="AD764" s="15" t="s">
        <v>2810</v>
      </c>
      <c r="AE764" s="15" t="s">
        <v>164</v>
      </c>
      <c r="AF764" s="15" t="s">
        <v>2810</v>
      </c>
      <c r="AG764" s="15" t="s">
        <v>2810</v>
      </c>
      <c r="AH764" s="37" t="s">
        <v>2811</v>
      </c>
      <c r="AL764" s="15" t="s">
        <v>2812</v>
      </c>
      <c r="AN764" s="15">
        <v>743</v>
      </c>
      <c r="AO764" s="15" t="s">
        <v>2813</v>
      </c>
      <c r="AQ764" s="15" t="s">
        <v>168</v>
      </c>
      <c r="AT764" s="15" t="s">
        <v>2814</v>
      </c>
      <c r="AU764" s="15" t="s">
        <v>2815</v>
      </c>
      <c r="AV764" s="15" t="s">
        <v>2815</v>
      </c>
      <c r="AW764" s="18" t="s">
        <v>2816</v>
      </c>
      <c r="AX764" s="18" t="s">
        <v>2817</v>
      </c>
      <c r="AY764" s="15">
        <f t="shared" si="14"/>
        <v>55</v>
      </c>
      <c r="AZ764" s="18" t="s">
        <v>604</v>
      </c>
      <c r="BA764" s="18" t="s">
        <v>174</v>
      </c>
      <c r="BB764" s="18" t="s">
        <v>2370</v>
      </c>
      <c r="BC764" s="18" t="s">
        <v>884</v>
      </c>
      <c r="BD764" s="18"/>
      <c r="BE764" s="18" t="s">
        <v>2818</v>
      </c>
      <c r="BF764" s="18" t="s">
        <v>2613</v>
      </c>
      <c r="BG764" s="18"/>
      <c r="BH764" s="18"/>
      <c r="BI764" s="18"/>
      <c r="BJ764" s="18" t="s">
        <v>2807</v>
      </c>
      <c r="BK764" s="18"/>
      <c r="BL764" s="18"/>
      <c r="BM764" s="18"/>
      <c r="BN764" s="18" t="s">
        <v>179</v>
      </c>
      <c r="BO764" s="18"/>
      <c r="BP764" s="18" t="s">
        <v>138</v>
      </c>
      <c r="BQ764" s="18"/>
      <c r="BR764" s="18" t="s">
        <v>2819</v>
      </c>
      <c r="BS764" s="15" t="s">
        <v>2820</v>
      </c>
      <c r="BT764" s="15" t="s">
        <v>804</v>
      </c>
      <c r="DH764" s="15" t="s">
        <v>17982</v>
      </c>
      <c r="DI764" s="15" t="s">
        <v>17982</v>
      </c>
    </row>
    <row r="765" spans="1:113" s="15" customFormat="1" ht="12.75" x14ac:dyDescent="0.2">
      <c r="A765" s="15" t="s">
        <v>109</v>
      </c>
      <c r="B765" s="15" t="s">
        <v>110</v>
      </c>
      <c r="D765" s="15" t="s">
        <v>791</v>
      </c>
      <c r="E765" s="15" t="s">
        <v>792</v>
      </c>
      <c r="F765" s="15" t="s">
        <v>791</v>
      </c>
      <c r="G765" s="15" t="s">
        <v>113</v>
      </c>
      <c r="H765" s="15" t="s">
        <v>383</v>
      </c>
      <c r="J765" s="16" t="s">
        <v>114</v>
      </c>
      <c r="U765" s="15" t="s">
        <v>17977</v>
      </c>
      <c r="W765" s="15">
        <v>758</v>
      </c>
      <c r="X765" s="15">
        <v>775</v>
      </c>
      <c r="Y765" s="15" t="s">
        <v>160</v>
      </c>
      <c r="Z765" s="15" t="s">
        <v>161</v>
      </c>
      <c r="AA765" s="15" t="s">
        <v>162</v>
      </c>
      <c r="AB765" s="15" t="s">
        <v>3298</v>
      </c>
      <c r="AC765" s="15" t="s">
        <v>3298</v>
      </c>
      <c r="AD765" s="15" t="s">
        <v>3298</v>
      </c>
      <c r="AE765" s="15" t="s">
        <v>164</v>
      </c>
      <c r="AF765" s="15" t="s">
        <v>3298</v>
      </c>
      <c r="AG765" s="15" t="s">
        <v>3298</v>
      </c>
      <c r="AH765" s="37" t="s">
        <v>3299</v>
      </c>
      <c r="AL765" s="15" t="s">
        <v>3300</v>
      </c>
      <c r="AN765" s="15">
        <v>743</v>
      </c>
      <c r="AO765" s="15" t="s">
        <v>3301</v>
      </c>
      <c r="AQ765" s="15" t="s">
        <v>168</v>
      </c>
      <c r="AT765" s="15" t="s">
        <v>3302</v>
      </c>
      <c r="AU765" s="15" t="s">
        <v>3303</v>
      </c>
      <c r="AV765" s="15" t="s">
        <v>3303</v>
      </c>
      <c r="AW765" s="18" t="s">
        <v>3304</v>
      </c>
      <c r="AX765" s="18" t="s">
        <v>3305</v>
      </c>
      <c r="AY765" s="15">
        <f t="shared" si="14"/>
        <v>55</v>
      </c>
      <c r="AZ765" s="18" t="s">
        <v>604</v>
      </c>
      <c r="BA765" s="18" t="s">
        <v>174</v>
      </c>
      <c r="BB765" s="18" t="s">
        <v>3306</v>
      </c>
      <c r="BC765" s="18"/>
      <c r="BD765" s="18"/>
      <c r="BE765" s="18" t="s">
        <v>3307</v>
      </c>
      <c r="BF765" s="18" t="s">
        <v>2571</v>
      </c>
      <c r="BG765" s="18"/>
      <c r="BH765" s="18"/>
      <c r="BI765" s="18" t="s">
        <v>1058</v>
      </c>
      <c r="BJ765" s="18" t="s">
        <v>3308</v>
      </c>
      <c r="BK765" s="18"/>
      <c r="BL765" s="18"/>
      <c r="BM765" s="18"/>
      <c r="BN765" s="18" t="s">
        <v>179</v>
      </c>
      <c r="BO765" s="18"/>
      <c r="BP765" s="18" t="s">
        <v>138</v>
      </c>
      <c r="BQ765" s="18"/>
      <c r="BR765" s="18" t="s">
        <v>2505</v>
      </c>
      <c r="BS765" s="15" t="s">
        <v>3309</v>
      </c>
      <c r="BT765" s="15" t="s">
        <v>804</v>
      </c>
      <c r="DH765" s="15" t="s">
        <v>17982</v>
      </c>
      <c r="DI765" s="15" t="s">
        <v>17982</v>
      </c>
    </row>
    <row r="766" spans="1:113" s="15" customFormat="1" ht="12.75" x14ac:dyDescent="0.2">
      <c r="A766" s="15" t="s">
        <v>109</v>
      </c>
      <c r="B766" s="15" t="s">
        <v>110</v>
      </c>
      <c r="D766" s="15" t="s">
        <v>791</v>
      </c>
      <c r="E766" s="15" t="s">
        <v>792</v>
      </c>
      <c r="F766" s="15" t="s">
        <v>791</v>
      </c>
      <c r="G766" s="15" t="s">
        <v>113</v>
      </c>
      <c r="H766" s="15" t="s">
        <v>383</v>
      </c>
      <c r="J766" s="16" t="s">
        <v>114</v>
      </c>
      <c r="U766" s="15" t="s">
        <v>17977</v>
      </c>
      <c r="W766" s="15">
        <v>699</v>
      </c>
      <c r="X766" s="15">
        <v>776</v>
      </c>
      <c r="Y766" s="15" t="s">
        <v>160</v>
      </c>
      <c r="Z766" s="15" t="s">
        <v>161</v>
      </c>
      <c r="AA766" s="15" t="s">
        <v>162</v>
      </c>
      <c r="AB766" s="15" t="s">
        <v>2662</v>
      </c>
      <c r="AC766" s="15" t="s">
        <v>2662</v>
      </c>
      <c r="AD766" s="15" t="s">
        <v>2662</v>
      </c>
      <c r="AE766" s="15" t="s">
        <v>164</v>
      </c>
      <c r="AF766" s="15" t="s">
        <v>2662</v>
      </c>
      <c r="AG766" s="15" t="s">
        <v>2662</v>
      </c>
      <c r="AH766" s="37" t="s">
        <v>2663</v>
      </c>
      <c r="AL766" s="15" t="s">
        <v>2664</v>
      </c>
      <c r="AN766" s="15">
        <v>743</v>
      </c>
      <c r="AO766" s="15" t="s">
        <v>2665</v>
      </c>
      <c r="AQ766" s="15" t="s">
        <v>168</v>
      </c>
      <c r="AT766" s="15" t="s">
        <v>2666</v>
      </c>
      <c r="AU766" s="15" t="s">
        <v>2667</v>
      </c>
      <c r="AV766" s="15" t="s">
        <v>2667</v>
      </c>
      <c r="AW766" s="18" t="s">
        <v>2668</v>
      </c>
      <c r="AX766" s="18" t="s">
        <v>2669</v>
      </c>
      <c r="AY766" s="15">
        <f t="shared" si="14"/>
        <v>57</v>
      </c>
      <c r="AZ766" s="18" t="s">
        <v>604</v>
      </c>
      <c r="BA766" s="18" t="s">
        <v>174</v>
      </c>
      <c r="BB766" s="18" t="s">
        <v>2370</v>
      </c>
      <c r="BC766" s="18" t="s">
        <v>2040</v>
      </c>
      <c r="BD766" s="18"/>
      <c r="BE766" s="18" t="s">
        <v>2670</v>
      </c>
      <c r="BF766" s="18" t="s">
        <v>2671</v>
      </c>
      <c r="BG766" s="18"/>
      <c r="BH766" s="18"/>
      <c r="BI766" s="18"/>
      <c r="BJ766" s="18" t="s">
        <v>2672</v>
      </c>
      <c r="BK766" s="18"/>
      <c r="BL766" s="18"/>
      <c r="BM766" s="18"/>
      <c r="BN766" s="18" t="s">
        <v>179</v>
      </c>
      <c r="BO766" s="18"/>
      <c r="BP766" s="18" t="s">
        <v>138</v>
      </c>
      <c r="BQ766" s="18"/>
      <c r="BR766" s="18" t="s">
        <v>2673</v>
      </c>
      <c r="BS766" s="15" t="s">
        <v>2674</v>
      </c>
      <c r="BT766" s="15" t="s">
        <v>804</v>
      </c>
      <c r="DH766" s="15" t="s">
        <v>17982</v>
      </c>
      <c r="DI766" s="15" t="s">
        <v>17982</v>
      </c>
    </row>
    <row r="767" spans="1:113" s="15" customFormat="1" ht="12.75" x14ac:dyDescent="0.2">
      <c r="A767" s="15" t="s">
        <v>109</v>
      </c>
      <c r="B767" s="15" t="s">
        <v>110</v>
      </c>
      <c r="D767" s="15" t="s">
        <v>791</v>
      </c>
      <c r="E767" s="15" t="s">
        <v>792</v>
      </c>
      <c r="F767" s="15" t="s">
        <v>791</v>
      </c>
      <c r="G767" s="15" t="s">
        <v>113</v>
      </c>
      <c r="H767" s="15" t="s">
        <v>383</v>
      </c>
      <c r="J767" s="16" t="s">
        <v>114</v>
      </c>
      <c r="U767" s="15" t="s">
        <v>17977</v>
      </c>
      <c r="W767" s="15">
        <v>701</v>
      </c>
      <c r="X767" s="15">
        <v>777</v>
      </c>
      <c r="Y767" s="15" t="s">
        <v>160</v>
      </c>
      <c r="Z767" s="15" t="s">
        <v>161</v>
      </c>
      <c r="AA767" s="15" t="s">
        <v>162</v>
      </c>
      <c r="AB767" s="15" t="s">
        <v>2686</v>
      </c>
      <c r="AC767" s="15" t="s">
        <v>2686</v>
      </c>
      <c r="AD767" s="15" t="s">
        <v>2686</v>
      </c>
      <c r="AE767" s="15" t="s">
        <v>164</v>
      </c>
      <c r="AF767" s="15" t="s">
        <v>2686</v>
      </c>
      <c r="AG767" s="15" t="s">
        <v>2686</v>
      </c>
      <c r="AH767" s="37" t="s">
        <v>2687</v>
      </c>
      <c r="AL767" s="15" t="s">
        <v>2688</v>
      </c>
      <c r="AN767" s="15">
        <v>743</v>
      </c>
      <c r="AO767" s="15" t="s">
        <v>2689</v>
      </c>
      <c r="AQ767" s="15" t="s">
        <v>168</v>
      </c>
      <c r="AT767" s="15" t="s">
        <v>2690</v>
      </c>
      <c r="AU767" s="15" t="s">
        <v>2691</v>
      </c>
      <c r="AV767" s="15" t="s">
        <v>2691</v>
      </c>
      <c r="AW767" s="18" t="s">
        <v>2692</v>
      </c>
      <c r="AX767" s="18" t="s">
        <v>2693</v>
      </c>
      <c r="AY767" s="15">
        <f t="shared" si="14"/>
        <v>57</v>
      </c>
      <c r="AZ767" s="18" t="s">
        <v>604</v>
      </c>
      <c r="BA767" s="18" t="s">
        <v>174</v>
      </c>
      <c r="BB767" s="18" t="s">
        <v>2370</v>
      </c>
      <c r="BC767" s="18" t="s">
        <v>2040</v>
      </c>
      <c r="BD767" s="18"/>
      <c r="BE767" s="18" t="s">
        <v>2694</v>
      </c>
      <c r="BF767" s="18" t="s">
        <v>2695</v>
      </c>
      <c r="BG767" s="18"/>
      <c r="BH767" s="18"/>
      <c r="BI767" s="18"/>
      <c r="BJ767" s="18" t="s">
        <v>2672</v>
      </c>
      <c r="BK767" s="18"/>
      <c r="BL767" s="18"/>
      <c r="BM767" s="18"/>
      <c r="BN767" s="18" t="s">
        <v>179</v>
      </c>
      <c r="BO767" s="18"/>
      <c r="BP767" s="18" t="s">
        <v>138</v>
      </c>
      <c r="BQ767" s="18"/>
      <c r="BR767" s="18" t="s">
        <v>2696</v>
      </c>
      <c r="BS767" s="15" t="s">
        <v>2697</v>
      </c>
      <c r="BT767" s="15" t="s">
        <v>804</v>
      </c>
      <c r="DH767" s="15" t="s">
        <v>17982</v>
      </c>
      <c r="DI767" s="15" t="s">
        <v>17982</v>
      </c>
    </row>
    <row r="768" spans="1:113" s="15" customFormat="1" ht="12.75" x14ac:dyDescent="0.2">
      <c r="A768" s="15" t="s">
        <v>109</v>
      </c>
      <c r="B768" s="15" t="s">
        <v>110</v>
      </c>
      <c r="D768" s="15" t="s">
        <v>791</v>
      </c>
      <c r="E768" s="15" t="s">
        <v>792</v>
      </c>
      <c r="F768" s="15" t="s">
        <v>791</v>
      </c>
      <c r="G768" s="15" t="s">
        <v>113</v>
      </c>
      <c r="H768" s="15" t="s">
        <v>383</v>
      </c>
      <c r="J768" s="16" t="s">
        <v>114</v>
      </c>
      <c r="U768" s="15" t="s">
        <v>17977</v>
      </c>
      <c r="W768" s="15">
        <v>700</v>
      </c>
      <c r="X768" s="15">
        <v>778</v>
      </c>
      <c r="Y768" s="15" t="s">
        <v>160</v>
      </c>
      <c r="Z768" s="15" t="s">
        <v>161</v>
      </c>
      <c r="AA768" s="15" t="s">
        <v>162</v>
      </c>
      <c r="AB768" s="15" t="s">
        <v>2675</v>
      </c>
      <c r="AC768" s="15" t="s">
        <v>2675</v>
      </c>
      <c r="AD768" s="15" t="s">
        <v>2675</v>
      </c>
      <c r="AE768" s="15" t="s">
        <v>164</v>
      </c>
      <c r="AF768" s="15" t="s">
        <v>2675</v>
      </c>
      <c r="AG768" s="15" t="s">
        <v>2675</v>
      </c>
      <c r="AH768" s="37" t="s">
        <v>2676</v>
      </c>
      <c r="AL768" s="15" t="s">
        <v>2677</v>
      </c>
      <c r="AN768" s="15">
        <v>743</v>
      </c>
      <c r="AO768" s="15" t="s">
        <v>2678</v>
      </c>
      <c r="AQ768" s="15" t="s">
        <v>168</v>
      </c>
      <c r="AT768" s="15" t="s">
        <v>2679</v>
      </c>
      <c r="AU768" s="15" t="s">
        <v>2680</v>
      </c>
      <c r="AV768" s="15" t="s">
        <v>2680</v>
      </c>
      <c r="AW768" s="18" t="s">
        <v>2681</v>
      </c>
      <c r="AX768" s="18" t="s">
        <v>2682</v>
      </c>
      <c r="AY768" s="15">
        <f t="shared" si="14"/>
        <v>60</v>
      </c>
      <c r="AZ768" s="18" t="s">
        <v>604</v>
      </c>
      <c r="BA768" s="18" t="s">
        <v>174</v>
      </c>
      <c r="BB768" s="18" t="s">
        <v>2370</v>
      </c>
      <c r="BC768" s="18" t="s">
        <v>884</v>
      </c>
      <c r="BD768" s="18"/>
      <c r="BE768" s="18" t="s">
        <v>1081</v>
      </c>
      <c r="BF768" s="18" t="s">
        <v>2683</v>
      </c>
      <c r="BG768" s="18"/>
      <c r="BH768" s="18"/>
      <c r="BI768" s="18"/>
      <c r="BJ768" s="18" t="s">
        <v>2672</v>
      </c>
      <c r="BK768" s="18"/>
      <c r="BL768" s="18"/>
      <c r="BM768" s="18"/>
      <c r="BN768" s="18" t="s">
        <v>179</v>
      </c>
      <c r="BO768" s="18"/>
      <c r="BP768" s="18" t="s">
        <v>138</v>
      </c>
      <c r="BQ768" s="18"/>
      <c r="BR768" s="18" t="s">
        <v>2684</v>
      </c>
      <c r="BS768" s="15" t="s">
        <v>2685</v>
      </c>
      <c r="BT768" s="15" t="s">
        <v>804</v>
      </c>
      <c r="DH768" s="15" t="s">
        <v>17982</v>
      </c>
      <c r="DI768" s="15" t="s">
        <v>17982</v>
      </c>
    </row>
    <row r="769" spans="1:113" s="15" customFormat="1" ht="12.75" x14ac:dyDescent="0.2">
      <c r="A769" s="15" t="s">
        <v>109</v>
      </c>
      <c r="B769" s="15" t="s">
        <v>110</v>
      </c>
      <c r="D769" s="15" t="s">
        <v>791</v>
      </c>
      <c r="E769" s="15" t="s">
        <v>792</v>
      </c>
      <c r="F769" s="15" t="s">
        <v>791</v>
      </c>
      <c r="G769" s="15" t="s">
        <v>113</v>
      </c>
      <c r="H769" s="15" t="s">
        <v>383</v>
      </c>
      <c r="J769" s="16" t="s">
        <v>114</v>
      </c>
      <c r="U769" s="15" t="s">
        <v>17977</v>
      </c>
      <c r="W769" s="15">
        <v>702</v>
      </c>
      <c r="X769" s="15">
        <v>779</v>
      </c>
      <c r="Y769" s="15" t="s">
        <v>160</v>
      </c>
      <c r="Z769" s="15" t="s">
        <v>161</v>
      </c>
      <c r="AA769" s="15" t="s">
        <v>162</v>
      </c>
      <c r="AB769" s="15" t="s">
        <v>2698</v>
      </c>
      <c r="AC769" s="15" t="s">
        <v>2698</v>
      </c>
      <c r="AD769" s="15" t="s">
        <v>2698</v>
      </c>
      <c r="AE769" s="15" t="s">
        <v>164</v>
      </c>
      <c r="AF769" s="15" t="s">
        <v>2698</v>
      </c>
      <c r="AG769" s="15" t="s">
        <v>2698</v>
      </c>
      <c r="AH769" s="37" t="s">
        <v>2699</v>
      </c>
      <c r="AL769" s="15" t="s">
        <v>2700</v>
      </c>
      <c r="AN769" s="15">
        <v>743</v>
      </c>
      <c r="AO769" s="15" t="s">
        <v>2701</v>
      </c>
      <c r="AQ769" s="15" t="s">
        <v>168</v>
      </c>
      <c r="AT769" s="15" t="s">
        <v>2702</v>
      </c>
      <c r="AU769" s="15" t="s">
        <v>2703</v>
      </c>
      <c r="AV769" s="15" t="s">
        <v>2703</v>
      </c>
      <c r="AW769" s="18" t="s">
        <v>2704</v>
      </c>
      <c r="AX769" s="18" t="s">
        <v>2704</v>
      </c>
      <c r="AY769" s="15">
        <f t="shared" si="14"/>
        <v>50</v>
      </c>
      <c r="AZ769" s="18" t="s">
        <v>604</v>
      </c>
      <c r="BA769" s="18" t="s">
        <v>174</v>
      </c>
      <c r="BB769" s="18" t="s">
        <v>2705</v>
      </c>
      <c r="BC769" s="18"/>
      <c r="BD769" s="18"/>
      <c r="BE769" s="18" t="s">
        <v>1081</v>
      </c>
      <c r="BF769" s="18" t="s">
        <v>2706</v>
      </c>
      <c r="BG769" s="18"/>
      <c r="BH769" s="18"/>
      <c r="BI769" s="18"/>
      <c r="BJ769" s="18" t="s">
        <v>2504</v>
      </c>
      <c r="BK769" s="18"/>
      <c r="BL769" s="18"/>
      <c r="BM769" s="18"/>
      <c r="BN769" s="18" t="s">
        <v>179</v>
      </c>
      <c r="BO769" s="18"/>
      <c r="BP769" s="18" t="s">
        <v>138</v>
      </c>
      <c r="BQ769" s="18"/>
      <c r="BR769" s="18" t="s">
        <v>2707</v>
      </c>
      <c r="BS769" s="15" t="s">
        <v>2708</v>
      </c>
      <c r="BT769" s="15" t="s">
        <v>804</v>
      </c>
      <c r="DH769" s="15" t="s">
        <v>17982</v>
      </c>
      <c r="DI769" s="15" t="s">
        <v>17982</v>
      </c>
    </row>
    <row r="770" spans="1:113" s="15" customFormat="1" ht="12.75" x14ac:dyDescent="0.2">
      <c r="A770" s="15" t="s">
        <v>109</v>
      </c>
      <c r="B770" s="15" t="s">
        <v>110</v>
      </c>
      <c r="D770" s="15" t="s">
        <v>791</v>
      </c>
      <c r="E770" s="15" t="s">
        <v>792</v>
      </c>
      <c r="F770" s="15" t="s">
        <v>791</v>
      </c>
      <c r="G770" s="15" t="s">
        <v>113</v>
      </c>
      <c r="H770" s="15" t="s">
        <v>383</v>
      </c>
      <c r="J770" s="16" t="s">
        <v>114</v>
      </c>
      <c r="U770" s="15" t="s">
        <v>17977</v>
      </c>
      <c r="W770" s="15">
        <v>703</v>
      </c>
      <c r="X770" s="15">
        <v>780</v>
      </c>
      <c r="Y770" s="15" t="s">
        <v>160</v>
      </c>
      <c r="Z770" s="15" t="s">
        <v>161</v>
      </c>
      <c r="AA770" s="15" t="s">
        <v>162</v>
      </c>
      <c r="AB770" s="15" t="s">
        <v>2709</v>
      </c>
      <c r="AC770" s="15" t="s">
        <v>2709</v>
      </c>
      <c r="AD770" s="15" t="s">
        <v>2709</v>
      </c>
      <c r="AE770" s="15" t="s">
        <v>164</v>
      </c>
      <c r="AF770" s="15" t="s">
        <v>2709</v>
      </c>
      <c r="AG770" s="15" t="s">
        <v>2709</v>
      </c>
      <c r="AH770" s="37" t="s">
        <v>2710</v>
      </c>
      <c r="AL770" s="15" t="s">
        <v>2711</v>
      </c>
      <c r="AN770" s="15">
        <v>743</v>
      </c>
      <c r="AO770" s="15" t="s">
        <v>2712</v>
      </c>
      <c r="AQ770" s="15" t="s">
        <v>168</v>
      </c>
      <c r="AT770" s="15" t="s">
        <v>2713</v>
      </c>
      <c r="AU770" s="15" t="s">
        <v>2714</v>
      </c>
      <c r="AV770" s="15" t="s">
        <v>2714</v>
      </c>
      <c r="AW770" s="18" t="s">
        <v>2715</v>
      </c>
      <c r="AX770" s="18" t="s">
        <v>2715</v>
      </c>
      <c r="AY770" s="15">
        <f t="shared" si="14"/>
        <v>52</v>
      </c>
      <c r="AZ770" s="18" t="s">
        <v>604</v>
      </c>
      <c r="BA770" s="18" t="s">
        <v>174</v>
      </c>
      <c r="BB770" s="18" t="s">
        <v>2705</v>
      </c>
      <c r="BC770" s="18"/>
      <c r="BD770" s="18"/>
      <c r="BE770" s="18" t="s">
        <v>1081</v>
      </c>
      <c r="BF770" s="18" t="s">
        <v>2716</v>
      </c>
      <c r="BG770" s="18"/>
      <c r="BH770" s="18"/>
      <c r="BI770" s="18"/>
      <c r="BJ770" s="18" t="s">
        <v>2504</v>
      </c>
      <c r="BK770" s="18"/>
      <c r="BL770" s="18"/>
      <c r="BM770" s="18"/>
      <c r="BN770" s="18" t="s">
        <v>179</v>
      </c>
      <c r="BO770" s="18"/>
      <c r="BP770" s="18" t="s">
        <v>138</v>
      </c>
      <c r="BQ770" s="18"/>
      <c r="BR770" s="18" t="s">
        <v>2717</v>
      </c>
      <c r="BS770" s="15" t="s">
        <v>2718</v>
      </c>
      <c r="BT770" s="15" t="s">
        <v>804</v>
      </c>
      <c r="DH770" s="15" t="s">
        <v>17982</v>
      </c>
      <c r="DI770" s="15" t="s">
        <v>17982</v>
      </c>
    </row>
    <row r="771" spans="1:113" s="15" customFormat="1" ht="12.75" x14ac:dyDescent="0.2">
      <c r="A771" s="15" t="s">
        <v>109</v>
      </c>
      <c r="B771" s="15" t="s">
        <v>110</v>
      </c>
      <c r="D771" s="15" t="s">
        <v>791</v>
      </c>
      <c r="E771" s="15" t="s">
        <v>792</v>
      </c>
      <c r="F771" s="15" t="s">
        <v>791</v>
      </c>
      <c r="G771" s="15" t="s">
        <v>113</v>
      </c>
      <c r="H771" s="15" t="s">
        <v>383</v>
      </c>
      <c r="J771" s="16" t="s">
        <v>114</v>
      </c>
      <c r="U771" s="15" t="s">
        <v>17977</v>
      </c>
      <c r="W771" s="15">
        <v>693</v>
      </c>
      <c r="X771" s="15">
        <v>781</v>
      </c>
      <c r="Y771" s="15" t="s">
        <v>160</v>
      </c>
      <c r="Z771" s="15" t="s">
        <v>161</v>
      </c>
      <c r="AA771" s="15" t="s">
        <v>162</v>
      </c>
      <c r="AB771" s="15" t="s">
        <v>2594</v>
      </c>
      <c r="AC771" s="15" t="s">
        <v>2594</v>
      </c>
      <c r="AD771" s="15" t="s">
        <v>2594</v>
      </c>
      <c r="AE771" s="15" t="s">
        <v>164</v>
      </c>
      <c r="AF771" s="15" t="s">
        <v>2594</v>
      </c>
      <c r="AG771" s="15" t="s">
        <v>2594</v>
      </c>
      <c r="AH771" s="37" t="s">
        <v>2595</v>
      </c>
      <c r="AL771" s="15" t="s">
        <v>2596</v>
      </c>
      <c r="AN771" s="15">
        <v>743</v>
      </c>
      <c r="AO771" s="15" t="s">
        <v>2597</v>
      </c>
      <c r="AQ771" s="15" t="s">
        <v>168</v>
      </c>
      <c r="AT771" s="15" t="s">
        <v>2598</v>
      </c>
      <c r="AU771" s="15" t="s">
        <v>2599</v>
      </c>
      <c r="AV771" s="15" t="s">
        <v>2599</v>
      </c>
      <c r="AW771" s="18" t="s">
        <v>2600</v>
      </c>
      <c r="AX771" s="18" t="s">
        <v>2600</v>
      </c>
      <c r="AY771" s="15">
        <f t="shared" si="14"/>
        <v>51</v>
      </c>
      <c r="AZ771" s="18" t="s">
        <v>604</v>
      </c>
      <c r="BA771" s="18" t="s">
        <v>174</v>
      </c>
      <c r="BB771" s="18" t="s">
        <v>2370</v>
      </c>
      <c r="BC771" s="18"/>
      <c r="BD771" s="18"/>
      <c r="BE771" s="18" t="s">
        <v>251</v>
      </c>
      <c r="BF771" s="18" t="s">
        <v>2601</v>
      </c>
      <c r="BG771" s="18"/>
      <c r="BH771" s="18"/>
      <c r="BI771" s="18"/>
      <c r="BJ771" s="18" t="s">
        <v>2185</v>
      </c>
      <c r="BK771" s="18"/>
      <c r="BL771" s="18"/>
      <c r="BM771" s="18"/>
      <c r="BN771" s="18" t="s">
        <v>179</v>
      </c>
      <c r="BO771" s="18"/>
      <c r="BP771" s="18" t="s">
        <v>138</v>
      </c>
      <c r="BQ771" s="18"/>
      <c r="BR771" s="18" t="s">
        <v>2602</v>
      </c>
      <c r="BS771" s="15" t="s">
        <v>2603</v>
      </c>
      <c r="BT771" s="15" t="s">
        <v>804</v>
      </c>
      <c r="DH771" s="15" t="s">
        <v>17982</v>
      </c>
      <c r="DI771" s="15" t="s">
        <v>17982</v>
      </c>
    </row>
    <row r="772" spans="1:113" s="15" customFormat="1" ht="12.75" x14ac:dyDescent="0.2">
      <c r="A772" s="15" t="s">
        <v>109</v>
      </c>
      <c r="B772" s="15" t="s">
        <v>110</v>
      </c>
      <c r="D772" s="15" t="s">
        <v>791</v>
      </c>
      <c r="E772" s="15" t="s">
        <v>792</v>
      </c>
      <c r="F772" s="15" t="s">
        <v>791</v>
      </c>
      <c r="G772" s="15" t="s">
        <v>113</v>
      </c>
      <c r="H772" s="15" t="s">
        <v>383</v>
      </c>
      <c r="J772" s="16" t="s">
        <v>114</v>
      </c>
      <c r="U772" s="15" t="s">
        <v>17977</v>
      </c>
      <c r="W772" s="15">
        <v>1261</v>
      </c>
      <c r="X772" s="15">
        <v>782</v>
      </c>
      <c r="Y772" s="15" t="s">
        <v>160</v>
      </c>
      <c r="Z772" s="15" t="s">
        <v>161</v>
      </c>
      <c r="AA772" s="15" t="s">
        <v>162</v>
      </c>
      <c r="AB772" s="15" t="s">
        <v>6497</v>
      </c>
      <c r="AC772" s="15" t="s">
        <v>6497</v>
      </c>
      <c r="AD772" s="15" t="s">
        <v>6497</v>
      </c>
      <c r="AE772" s="15" t="s">
        <v>164</v>
      </c>
      <c r="AF772" s="15" t="s">
        <v>6497</v>
      </c>
      <c r="AG772" s="15" t="s">
        <v>6497</v>
      </c>
      <c r="AH772" s="37" t="s">
        <v>6498</v>
      </c>
      <c r="AL772" s="15" t="s">
        <v>6499</v>
      </c>
      <c r="AN772" s="15">
        <v>743</v>
      </c>
      <c r="AO772" s="15" t="s">
        <v>6500</v>
      </c>
      <c r="AQ772" s="15" t="s">
        <v>168</v>
      </c>
      <c r="AT772" s="15" t="s">
        <v>6501</v>
      </c>
      <c r="AU772" s="15" t="s">
        <v>6502</v>
      </c>
      <c r="AV772" s="15" t="s">
        <v>6502</v>
      </c>
      <c r="AW772" s="18" t="s">
        <v>6503</v>
      </c>
      <c r="AX772" s="18" t="s">
        <v>6504</v>
      </c>
      <c r="AY772" s="15">
        <f t="shared" si="14"/>
        <v>46</v>
      </c>
      <c r="AZ772" s="18" t="s">
        <v>604</v>
      </c>
      <c r="BA772" s="18" t="s">
        <v>174</v>
      </c>
      <c r="BB772" s="18" t="s">
        <v>6481</v>
      </c>
      <c r="BC772" s="18"/>
      <c r="BD772" s="18"/>
      <c r="BE772" s="18" t="s">
        <v>564</v>
      </c>
      <c r="BF772" s="18" t="s">
        <v>3531</v>
      </c>
      <c r="BG772" s="18"/>
      <c r="BH772" s="18"/>
      <c r="BI772" s="18" t="s">
        <v>1058</v>
      </c>
      <c r="BJ772" s="18" t="s">
        <v>6484</v>
      </c>
      <c r="BK772" s="18"/>
      <c r="BL772" s="18"/>
      <c r="BM772" s="18"/>
      <c r="BN772" s="18" t="s">
        <v>179</v>
      </c>
      <c r="BO772" s="18"/>
      <c r="BP772" s="18" t="s">
        <v>138</v>
      </c>
      <c r="BQ772" s="18"/>
      <c r="BR772" s="18"/>
      <c r="BS772" s="15" t="s">
        <v>6505</v>
      </c>
      <c r="BT772" s="15" t="s">
        <v>804</v>
      </c>
      <c r="DH772" s="15" t="s">
        <v>17982</v>
      </c>
      <c r="DI772" s="15" t="s">
        <v>17982</v>
      </c>
    </row>
    <row r="773" spans="1:113" s="15" customFormat="1" ht="12.75" x14ac:dyDescent="0.2">
      <c r="A773" s="15" t="s">
        <v>109</v>
      </c>
      <c r="B773" s="15" t="s">
        <v>110</v>
      </c>
      <c r="D773" s="15" t="s">
        <v>791</v>
      </c>
      <c r="E773" s="15" t="s">
        <v>792</v>
      </c>
      <c r="F773" s="15" t="s">
        <v>791</v>
      </c>
      <c r="G773" s="15" t="s">
        <v>113</v>
      </c>
      <c r="H773" s="15" t="s">
        <v>383</v>
      </c>
      <c r="J773" s="16" t="s">
        <v>114</v>
      </c>
      <c r="U773" s="15" t="s">
        <v>17977</v>
      </c>
      <c r="W773" s="15">
        <v>1262</v>
      </c>
      <c r="X773" s="15">
        <v>783</v>
      </c>
      <c r="Y773" s="15" t="s">
        <v>160</v>
      </c>
      <c r="Z773" s="15" t="s">
        <v>161</v>
      </c>
      <c r="AA773" s="15" t="s">
        <v>162</v>
      </c>
      <c r="AB773" s="15" t="s">
        <v>6506</v>
      </c>
      <c r="AC773" s="15" t="s">
        <v>6506</v>
      </c>
      <c r="AD773" s="15" t="s">
        <v>6506</v>
      </c>
      <c r="AE773" s="15" t="s">
        <v>164</v>
      </c>
      <c r="AF773" s="15" t="s">
        <v>6506</v>
      </c>
      <c r="AG773" s="15" t="s">
        <v>6506</v>
      </c>
      <c r="AH773" s="37" t="s">
        <v>6507</v>
      </c>
      <c r="AL773" s="15" t="s">
        <v>6508</v>
      </c>
      <c r="AN773" s="15">
        <v>743</v>
      </c>
      <c r="AO773" s="15" t="s">
        <v>6509</v>
      </c>
      <c r="AQ773" s="15" t="s">
        <v>168</v>
      </c>
      <c r="AT773" s="15" t="s">
        <v>6510</v>
      </c>
      <c r="AU773" s="15" t="s">
        <v>6511</v>
      </c>
      <c r="AV773" s="15" t="s">
        <v>6511</v>
      </c>
      <c r="AW773" s="18" t="s">
        <v>6512</v>
      </c>
      <c r="AX773" s="18" t="s">
        <v>6513</v>
      </c>
      <c r="AY773" s="15">
        <f t="shared" si="14"/>
        <v>48</v>
      </c>
      <c r="AZ773" s="18" t="s">
        <v>604</v>
      </c>
      <c r="BA773" s="18" t="s">
        <v>174</v>
      </c>
      <c r="BB773" s="18" t="s">
        <v>6481</v>
      </c>
      <c r="BC773" s="18"/>
      <c r="BD773" s="18"/>
      <c r="BE773" s="18" t="s">
        <v>6514</v>
      </c>
      <c r="BF773" s="18" t="s">
        <v>4282</v>
      </c>
      <c r="BG773" s="18"/>
      <c r="BH773" s="18"/>
      <c r="BI773" s="18" t="s">
        <v>1058</v>
      </c>
      <c r="BJ773" s="18" t="s">
        <v>6484</v>
      </c>
      <c r="BK773" s="18"/>
      <c r="BL773" s="18"/>
      <c r="BM773" s="18"/>
      <c r="BN773" s="18" t="s">
        <v>179</v>
      </c>
      <c r="BO773" s="18"/>
      <c r="BP773" s="18" t="s">
        <v>138</v>
      </c>
      <c r="BQ773" s="18"/>
      <c r="BR773" s="18"/>
      <c r="BS773" s="15" t="s">
        <v>6515</v>
      </c>
      <c r="BT773" s="15" t="s">
        <v>804</v>
      </c>
      <c r="DH773" s="15" t="s">
        <v>17982</v>
      </c>
      <c r="DI773" s="15" t="s">
        <v>17982</v>
      </c>
    </row>
    <row r="774" spans="1:113" s="15" customFormat="1" ht="12.75" x14ac:dyDescent="0.2">
      <c r="A774" s="15" t="s">
        <v>109</v>
      </c>
      <c r="B774" s="15" t="s">
        <v>110</v>
      </c>
      <c r="D774" s="15" t="s">
        <v>791</v>
      </c>
      <c r="E774" s="15" t="s">
        <v>792</v>
      </c>
      <c r="F774" s="15" t="s">
        <v>791</v>
      </c>
      <c r="G774" s="15" t="s">
        <v>113</v>
      </c>
      <c r="H774" s="15" t="s">
        <v>383</v>
      </c>
      <c r="J774" s="16" t="s">
        <v>114</v>
      </c>
      <c r="U774" s="15" t="s">
        <v>17977</v>
      </c>
      <c r="W774" s="15">
        <v>1259</v>
      </c>
      <c r="X774" s="15">
        <v>784</v>
      </c>
      <c r="Y774" s="15" t="s">
        <v>160</v>
      </c>
      <c r="Z774" s="15" t="s">
        <v>161</v>
      </c>
      <c r="AA774" s="15" t="s">
        <v>162</v>
      </c>
      <c r="AB774" s="15" t="s">
        <v>6473</v>
      </c>
      <c r="AC774" s="15" t="s">
        <v>6473</v>
      </c>
      <c r="AD774" s="15" t="s">
        <v>6473</v>
      </c>
      <c r="AE774" s="15" t="s">
        <v>164</v>
      </c>
      <c r="AF774" s="15" t="s">
        <v>6473</v>
      </c>
      <c r="AG774" s="15" t="s">
        <v>6473</v>
      </c>
      <c r="AH774" s="37" t="s">
        <v>6474</v>
      </c>
      <c r="AL774" s="15" t="s">
        <v>6475</v>
      </c>
      <c r="AN774" s="15">
        <v>743</v>
      </c>
      <c r="AO774" s="15" t="s">
        <v>6476</v>
      </c>
      <c r="AQ774" s="15" t="s">
        <v>168</v>
      </c>
      <c r="AT774" s="15" t="s">
        <v>6477</v>
      </c>
      <c r="AU774" s="15" t="s">
        <v>6478</v>
      </c>
      <c r="AV774" s="15" t="s">
        <v>6478</v>
      </c>
      <c r="AW774" s="18" t="s">
        <v>6479</v>
      </c>
      <c r="AX774" s="18" t="s">
        <v>6480</v>
      </c>
      <c r="AY774" s="15">
        <f t="shared" si="14"/>
        <v>47</v>
      </c>
      <c r="AZ774" s="18" t="s">
        <v>604</v>
      </c>
      <c r="BA774" s="18" t="s">
        <v>174</v>
      </c>
      <c r="BB774" s="18" t="s">
        <v>6481</v>
      </c>
      <c r="BC774" s="18"/>
      <c r="BD774" s="18"/>
      <c r="BE774" s="18" t="s">
        <v>6482</v>
      </c>
      <c r="BF774" s="18" t="s">
        <v>6483</v>
      </c>
      <c r="BG774" s="18"/>
      <c r="BH774" s="18"/>
      <c r="BI774" s="18" t="s">
        <v>1058</v>
      </c>
      <c r="BJ774" s="18" t="s">
        <v>6484</v>
      </c>
      <c r="BK774" s="18"/>
      <c r="BL774" s="18"/>
      <c r="BM774" s="18"/>
      <c r="BN774" s="18" t="s">
        <v>179</v>
      </c>
      <c r="BO774" s="18"/>
      <c r="BP774" s="18" t="s">
        <v>138</v>
      </c>
      <c r="BQ774" s="18"/>
      <c r="BR774" s="18"/>
      <c r="BS774" s="15" t="s">
        <v>6485</v>
      </c>
      <c r="BT774" s="15" t="s">
        <v>804</v>
      </c>
      <c r="DH774" s="15" t="s">
        <v>17982</v>
      </c>
      <c r="DI774" s="15" t="s">
        <v>17982</v>
      </c>
    </row>
    <row r="775" spans="1:113" s="15" customFormat="1" ht="12.75" x14ac:dyDescent="0.2">
      <c r="A775" s="15" t="s">
        <v>109</v>
      </c>
      <c r="B775" s="15" t="s">
        <v>110</v>
      </c>
      <c r="D775" s="15" t="s">
        <v>791</v>
      </c>
      <c r="E775" s="15" t="s">
        <v>792</v>
      </c>
      <c r="F775" s="15" t="s">
        <v>791</v>
      </c>
      <c r="G775" s="15" t="s">
        <v>113</v>
      </c>
      <c r="H775" s="15" t="s">
        <v>383</v>
      </c>
      <c r="J775" s="16" t="s">
        <v>114</v>
      </c>
      <c r="U775" s="15" t="s">
        <v>17977</v>
      </c>
      <c r="W775" s="15">
        <v>1260</v>
      </c>
      <c r="X775" s="15">
        <v>785</v>
      </c>
      <c r="Y775" s="15" t="s">
        <v>160</v>
      </c>
      <c r="Z775" s="15" t="s">
        <v>161</v>
      </c>
      <c r="AA775" s="15" t="s">
        <v>162</v>
      </c>
      <c r="AB775" s="15" t="s">
        <v>6486</v>
      </c>
      <c r="AC775" s="15" t="s">
        <v>6486</v>
      </c>
      <c r="AD775" s="15" t="s">
        <v>6486</v>
      </c>
      <c r="AE775" s="15" t="s">
        <v>164</v>
      </c>
      <c r="AF775" s="15" t="s">
        <v>6486</v>
      </c>
      <c r="AG775" s="15" t="s">
        <v>6486</v>
      </c>
      <c r="AH775" s="37" t="s">
        <v>6487</v>
      </c>
      <c r="AL775" s="15" t="s">
        <v>6488</v>
      </c>
      <c r="AN775" s="15">
        <v>743</v>
      </c>
      <c r="AO775" s="15" t="s">
        <v>6489</v>
      </c>
      <c r="AQ775" s="15" t="s">
        <v>168</v>
      </c>
      <c r="AT775" s="15" t="s">
        <v>6490</v>
      </c>
      <c r="AU775" s="15" t="s">
        <v>6491</v>
      </c>
      <c r="AV775" s="15" t="s">
        <v>6491</v>
      </c>
      <c r="AW775" s="18" t="s">
        <v>6492</v>
      </c>
      <c r="AX775" s="18" t="s">
        <v>6493</v>
      </c>
      <c r="AY775" s="15">
        <f t="shared" si="14"/>
        <v>47</v>
      </c>
      <c r="AZ775" s="18" t="s">
        <v>604</v>
      </c>
      <c r="BA775" s="18" t="s">
        <v>174</v>
      </c>
      <c r="BB775" s="18" t="s">
        <v>6481</v>
      </c>
      <c r="BC775" s="18"/>
      <c r="BD775" s="18"/>
      <c r="BE775" s="18" t="s">
        <v>6494</v>
      </c>
      <c r="BF775" s="18" t="s">
        <v>6495</v>
      </c>
      <c r="BG775" s="18"/>
      <c r="BH775" s="18"/>
      <c r="BI775" s="18" t="s">
        <v>1058</v>
      </c>
      <c r="BJ775" s="18" t="s">
        <v>6484</v>
      </c>
      <c r="BK775" s="18"/>
      <c r="BL775" s="18"/>
      <c r="BM775" s="18"/>
      <c r="BN775" s="18" t="s">
        <v>179</v>
      </c>
      <c r="BO775" s="18"/>
      <c r="BP775" s="18" t="s">
        <v>138</v>
      </c>
      <c r="BQ775" s="18"/>
      <c r="BR775" s="18"/>
      <c r="BS775" s="15" t="s">
        <v>6496</v>
      </c>
      <c r="BT775" s="15" t="s">
        <v>804</v>
      </c>
      <c r="DH775" s="15" t="s">
        <v>17982</v>
      </c>
      <c r="DI775" s="15" t="s">
        <v>17982</v>
      </c>
    </row>
    <row r="776" spans="1:113" s="15" customFormat="1" ht="12.75" x14ac:dyDescent="0.2">
      <c r="A776" s="15" t="s">
        <v>109</v>
      </c>
      <c r="B776" s="15" t="s">
        <v>110</v>
      </c>
      <c r="D776" s="15" t="s">
        <v>791</v>
      </c>
      <c r="E776" s="15" t="s">
        <v>792</v>
      </c>
      <c r="F776" s="15" t="s">
        <v>791</v>
      </c>
      <c r="G776" s="15" t="s">
        <v>113</v>
      </c>
      <c r="H776" s="15" t="s">
        <v>383</v>
      </c>
      <c r="J776" s="16" t="s">
        <v>114</v>
      </c>
      <c r="U776" s="15" t="s">
        <v>17977</v>
      </c>
      <c r="W776" s="15">
        <v>696</v>
      </c>
      <c r="X776" s="15">
        <v>786</v>
      </c>
      <c r="Y776" s="15" t="s">
        <v>160</v>
      </c>
      <c r="Z776" s="15" t="s">
        <v>161</v>
      </c>
      <c r="AA776" s="15" t="s">
        <v>162</v>
      </c>
      <c r="AB776" s="15" t="s">
        <v>2630</v>
      </c>
      <c r="AC776" s="15" t="s">
        <v>2630</v>
      </c>
      <c r="AD776" s="15" t="s">
        <v>2630</v>
      </c>
      <c r="AE776" s="15" t="s">
        <v>164</v>
      </c>
      <c r="AF776" s="15" t="s">
        <v>2630</v>
      </c>
      <c r="AG776" s="15" t="s">
        <v>2630</v>
      </c>
      <c r="AH776" s="37" t="s">
        <v>2631</v>
      </c>
      <c r="AL776" s="15" t="s">
        <v>2632</v>
      </c>
      <c r="AN776" s="15">
        <v>743</v>
      </c>
      <c r="AO776" s="15" t="s">
        <v>2633</v>
      </c>
      <c r="AQ776" s="15" t="s">
        <v>168</v>
      </c>
      <c r="AT776" s="15" t="s">
        <v>2634</v>
      </c>
      <c r="AU776" s="15" t="s">
        <v>2635</v>
      </c>
      <c r="AV776" s="15" t="s">
        <v>2635</v>
      </c>
      <c r="AW776" s="18" t="s">
        <v>2636</v>
      </c>
      <c r="AX776" s="18" t="s">
        <v>2637</v>
      </c>
      <c r="AY776" s="15">
        <f t="shared" si="14"/>
        <v>55</v>
      </c>
      <c r="AZ776" s="18" t="s">
        <v>604</v>
      </c>
      <c r="BA776" s="18" t="s">
        <v>174</v>
      </c>
      <c r="BB776" s="18" t="s">
        <v>2370</v>
      </c>
      <c r="BC776" s="18"/>
      <c r="BD776" s="18"/>
      <c r="BE776" s="18" t="s">
        <v>2625</v>
      </c>
      <c r="BF776" s="18" t="s">
        <v>2626</v>
      </c>
      <c r="BG776" s="18"/>
      <c r="BH776" s="18"/>
      <c r="BI776" s="18"/>
      <c r="BJ776" s="18" t="s">
        <v>2638</v>
      </c>
      <c r="BK776" s="18"/>
      <c r="BL776" s="18"/>
      <c r="BM776" s="18"/>
      <c r="BN776" s="18" t="s">
        <v>179</v>
      </c>
      <c r="BO776" s="18"/>
      <c r="BP776" s="18" t="s">
        <v>138</v>
      </c>
      <c r="BQ776" s="18"/>
      <c r="BR776" s="18" t="s">
        <v>2628</v>
      </c>
      <c r="BS776" s="15" t="s">
        <v>2639</v>
      </c>
      <c r="BT776" s="15" t="s">
        <v>804</v>
      </c>
      <c r="DH776" s="15" t="s">
        <v>17982</v>
      </c>
      <c r="DI776" s="15" t="s">
        <v>17982</v>
      </c>
    </row>
    <row r="777" spans="1:113" s="15" customFormat="1" ht="12.75" x14ac:dyDescent="0.2">
      <c r="A777" s="15" t="s">
        <v>109</v>
      </c>
      <c r="B777" s="15" t="s">
        <v>110</v>
      </c>
      <c r="D777" s="15" t="s">
        <v>791</v>
      </c>
      <c r="E777" s="15" t="s">
        <v>792</v>
      </c>
      <c r="F777" s="15" t="s">
        <v>791</v>
      </c>
      <c r="G777" s="15" t="s">
        <v>113</v>
      </c>
      <c r="H777" s="15" t="s">
        <v>383</v>
      </c>
      <c r="J777" s="16" t="s">
        <v>114</v>
      </c>
      <c r="U777" s="15" t="s">
        <v>17977</v>
      </c>
      <c r="W777" s="15">
        <v>695</v>
      </c>
      <c r="X777" s="15">
        <v>787</v>
      </c>
      <c r="Y777" s="15" t="s">
        <v>160</v>
      </c>
      <c r="Z777" s="15" t="s">
        <v>161</v>
      </c>
      <c r="AA777" s="15" t="s">
        <v>162</v>
      </c>
      <c r="AB777" s="15" t="s">
        <v>2617</v>
      </c>
      <c r="AC777" s="15" t="s">
        <v>2617</v>
      </c>
      <c r="AD777" s="15" t="s">
        <v>2617</v>
      </c>
      <c r="AE777" s="15" t="s">
        <v>164</v>
      </c>
      <c r="AF777" s="15" t="s">
        <v>2617</v>
      </c>
      <c r="AG777" s="15" t="s">
        <v>2617</v>
      </c>
      <c r="AH777" s="37" t="s">
        <v>2618</v>
      </c>
      <c r="AL777" s="15" t="s">
        <v>2619</v>
      </c>
      <c r="AN777" s="15">
        <v>743</v>
      </c>
      <c r="AO777" s="15" t="s">
        <v>2620</v>
      </c>
      <c r="AQ777" s="15" t="s">
        <v>168</v>
      </c>
      <c r="AT777" s="15" t="s">
        <v>2621</v>
      </c>
      <c r="AU777" s="15" t="s">
        <v>2622</v>
      </c>
      <c r="AV777" s="15" t="s">
        <v>2622</v>
      </c>
      <c r="AW777" s="18" t="s">
        <v>2623</v>
      </c>
      <c r="AX777" s="18" t="s">
        <v>2624</v>
      </c>
      <c r="AY777" s="15">
        <f t="shared" si="14"/>
        <v>58</v>
      </c>
      <c r="AZ777" s="18" t="s">
        <v>604</v>
      </c>
      <c r="BA777" s="18" t="s">
        <v>174</v>
      </c>
      <c r="BB777" s="18" t="s">
        <v>2370</v>
      </c>
      <c r="BC777" s="18"/>
      <c r="BD777" s="18"/>
      <c r="BE777" s="18" t="s">
        <v>2625</v>
      </c>
      <c r="BF777" s="18" t="s">
        <v>2626</v>
      </c>
      <c r="BG777" s="18"/>
      <c r="BH777" s="18"/>
      <c r="BI777" s="18"/>
      <c r="BJ777" s="18" t="s">
        <v>2627</v>
      </c>
      <c r="BK777" s="18"/>
      <c r="BL777" s="18"/>
      <c r="BM777" s="18"/>
      <c r="BN777" s="18" t="s">
        <v>179</v>
      </c>
      <c r="BO777" s="18"/>
      <c r="BP777" s="18" t="s">
        <v>138</v>
      </c>
      <c r="BQ777" s="18"/>
      <c r="BR777" s="18" t="s">
        <v>2628</v>
      </c>
      <c r="BS777" s="15" t="s">
        <v>2629</v>
      </c>
      <c r="BT777" s="15" t="s">
        <v>804</v>
      </c>
      <c r="DH777" s="15" t="s">
        <v>17982</v>
      </c>
      <c r="DI777" s="15" t="s">
        <v>17982</v>
      </c>
    </row>
    <row r="778" spans="1:113" s="15" customFormat="1" ht="12.75" x14ac:dyDescent="0.2">
      <c r="A778" s="15" t="s">
        <v>109</v>
      </c>
      <c r="B778" s="15" t="s">
        <v>110</v>
      </c>
      <c r="D778" s="15" t="s">
        <v>791</v>
      </c>
      <c r="E778" s="15" t="s">
        <v>792</v>
      </c>
      <c r="F778" s="15" t="s">
        <v>791</v>
      </c>
      <c r="G778" s="15" t="s">
        <v>113</v>
      </c>
      <c r="H778" s="15" t="s">
        <v>383</v>
      </c>
      <c r="J778" s="16" t="s">
        <v>114</v>
      </c>
      <c r="U778" s="15" t="s">
        <v>17977</v>
      </c>
      <c r="W778" s="15">
        <v>722</v>
      </c>
      <c r="X778" s="15">
        <v>788</v>
      </c>
      <c r="Y778" s="15" t="s">
        <v>160</v>
      </c>
      <c r="Z778" s="15" t="s">
        <v>161</v>
      </c>
      <c r="AA778" s="15" t="s">
        <v>162</v>
      </c>
      <c r="AB778" s="15" t="s">
        <v>2918</v>
      </c>
      <c r="AC778" s="15" t="s">
        <v>2918</v>
      </c>
      <c r="AD778" s="15" t="s">
        <v>2918</v>
      </c>
      <c r="AE778" s="15" t="s">
        <v>164</v>
      </c>
      <c r="AF778" s="15" t="s">
        <v>2918</v>
      </c>
      <c r="AG778" s="15" t="s">
        <v>2918</v>
      </c>
      <c r="AH778" s="37" t="s">
        <v>2919</v>
      </c>
      <c r="AL778" s="15" t="s">
        <v>2920</v>
      </c>
      <c r="AN778" s="15">
        <v>743</v>
      </c>
      <c r="AO778" s="15" t="s">
        <v>2921</v>
      </c>
      <c r="AQ778" s="15" t="s">
        <v>168</v>
      </c>
      <c r="AT778" s="15" t="s">
        <v>2922</v>
      </c>
      <c r="AU778" s="15" t="s">
        <v>2923</v>
      </c>
      <c r="AV778" s="15" t="s">
        <v>2923</v>
      </c>
      <c r="AW778" s="18" t="s">
        <v>2924</v>
      </c>
      <c r="AX778" s="18" t="s">
        <v>2925</v>
      </c>
      <c r="AY778" s="15">
        <f t="shared" si="14"/>
        <v>60</v>
      </c>
      <c r="AZ778" s="18" t="s">
        <v>604</v>
      </c>
      <c r="BA778" s="18" t="s">
        <v>174</v>
      </c>
      <c r="BB778" s="18" t="s">
        <v>2370</v>
      </c>
      <c r="BC778" s="18"/>
      <c r="BD778" s="18"/>
      <c r="BE778" s="18" t="s">
        <v>2926</v>
      </c>
      <c r="BF778" s="18" t="s">
        <v>1712</v>
      </c>
      <c r="BG778" s="18"/>
      <c r="BH778" s="18"/>
      <c r="BI778" s="18"/>
      <c r="BJ778" s="18" t="s">
        <v>2927</v>
      </c>
      <c r="BK778" s="18"/>
      <c r="BL778" s="18"/>
      <c r="BM778" s="18"/>
      <c r="BN778" s="18" t="s">
        <v>179</v>
      </c>
      <c r="BO778" s="18"/>
      <c r="BP778" s="18" t="s">
        <v>138</v>
      </c>
      <c r="BQ778" s="18"/>
      <c r="BR778" s="18" t="s">
        <v>2928</v>
      </c>
      <c r="BS778" s="15" t="s">
        <v>2929</v>
      </c>
      <c r="BT778" s="15" t="s">
        <v>804</v>
      </c>
      <c r="DH778" s="15" t="s">
        <v>17982</v>
      </c>
      <c r="DI778" s="15" t="s">
        <v>17982</v>
      </c>
    </row>
    <row r="779" spans="1:113" s="15" customFormat="1" ht="12.75" x14ac:dyDescent="0.2">
      <c r="A779" s="15" t="s">
        <v>109</v>
      </c>
      <c r="B779" s="15" t="s">
        <v>110</v>
      </c>
      <c r="D779" s="15" t="s">
        <v>791</v>
      </c>
      <c r="E779" s="15" t="s">
        <v>792</v>
      </c>
      <c r="F779" s="15" t="s">
        <v>791</v>
      </c>
      <c r="G779" s="15" t="s">
        <v>113</v>
      </c>
      <c r="H779" s="15" t="s">
        <v>383</v>
      </c>
      <c r="J779" s="16" t="s">
        <v>114</v>
      </c>
      <c r="U779" s="15" t="s">
        <v>17977</v>
      </c>
      <c r="W779" s="15">
        <v>723</v>
      </c>
      <c r="X779" s="15">
        <v>789</v>
      </c>
      <c r="Y779" s="15" t="s">
        <v>160</v>
      </c>
      <c r="Z779" s="15" t="s">
        <v>161</v>
      </c>
      <c r="AA779" s="15" t="s">
        <v>162</v>
      </c>
      <c r="AB779" s="15" t="s">
        <v>2930</v>
      </c>
      <c r="AC779" s="15" t="s">
        <v>2930</v>
      </c>
      <c r="AD779" s="15" t="s">
        <v>2930</v>
      </c>
      <c r="AE779" s="15" t="s">
        <v>164</v>
      </c>
      <c r="AF779" s="15" t="s">
        <v>2930</v>
      </c>
      <c r="AG779" s="15" t="s">
        <v>2930</v>
      </c>
      <c r="AH779" s="37" t="s">
        <v>2931</v>
      </c>
      <c r="AL779" s="15" t="s">
        <v>2932</v>
      </c>
      <c r="AN779" s="15">
        <v>743</v>
      </c>
      <c r="AO779" s="15" t="s">
        <v>2933</v>
      </c>
      <c r="AQ779" s="15" t="s">
        <v>168</v>
      </c>
      <c r="AT779" s="15" t="s">
        <v>2934</v>
      </c>
      <c r="AU779" s="15" t="s">
        <v>2935</v>
      </c>
      <c r="AV779" s="15" t="s">
        <v>2935</v>
      </c>
      <c r="AW779" s="18" t="s">
        <v>2936</v>
      </c>
      <c r="AX779" s="18" t="s">
        <v>2937</v>
      </c>
      <c r="AY779" s="15">
        <f t="shared" si="14"/>
        <v>54</v>
      </c>
      <c r="AZ779" s="18" t="s">
        <v>604</v>
      </c>
      <c r="BA779" s="18" t="s">
        <v>174</v>
      </c>
      <c r="BB779" s="18" t="s">
        <v>2370</v>
      </c>
      <c r="BC779" s="18"/>
      <c r="BD779" s="18"/>
      <c r="BE779" s="18" t="s">
        <v>2926</v>
      </c>
      <c r="BF779" s="18" t="s">
        <v>1712</v>
      </c>
      <c r="BG779" s="18"/>
      <c r="BH779" s="18"/>
      <c r="BI779" s="18"/>
      <c r="BJ779" s="18" t="s">
        <v>2938</v>
      </c>
      <c r="BK779" s="18"/>
      <c r="BL779" s="18"/>
      <c r="BM779" s="18"/>
      <c r="BN779" s="18" t="s">
        <v>179</v>
      </c>
      <c r="BO779" s="18"/>
      <c r="BP779" s="18" t="s">
        <v>138</v>
      </c>
      <c r="BQ779" s="18"/>
      <c r="BR779" s="18"/>
      <c r="BS779" s="15" t="s">
        <v>2939</v>
      </c>
      <c r="BT779" s="15" t="s">
        <v>804</v>
      </c>
      <c r="DH779" s="15" t="s">
        <v>17982</v>
      </c>
      <c r="DI779" s="15" t="s">
        <v>17982</v>
      </c>
    </row>
    <row r="780" spans="1:113" s="15" customFormat="1" ht="12.75" x14ac:dyDescent="0.2">
      <c r="A780" s="15" t="s">
        <v>109</v>
      </c>
      <c r="B780" s="15" t="s">
        <v>110</v>
      </c>
      <c r="D780" s="15" t="s">
        <v>791</v>
      </c>
      <c r="E780" s="15" t="s">
        <v>792</v>
      </c>
      <c r="F780" s="15" t="s">
        <v>791</v>
      </c>
      <c r="G780" s="15" t="s">
        <v>113</v>
      </c>
      <c r="H780" s="15" t="s">
        <v>383</v>
      </c>
      <c r="J780" s="16" t="s">
        <v>114</v>
      </c>
      <c r="U780" s="15" t="s">
        <v>17977</v>
      </c>
      <c r="W780" s="15">
        <v>1428</v>
      </c>
      <c r="X780" s="15">
        <v>790</v>
      </c>
      <c r="Y780" s="15" t="s">
        <v>160</v>
      </c>
      <c r="Z780" s="15" t="s">
        <v>161</v>
      </c>
      <c r="AA780" s="15" t="s">
        <v>162</v>
      </c>
      <c r="AB780" s="15" t="s">
        <v>7242</v>
      </c>
      <c r="AC780" s="15" t="s">
        <v>7242</v>
      </c>
      <c r="AD780" s="15" t="s">
        <v>7242</v>
      </c>
      <c r="AE780" s="15" t="s">
        <v>164</v>
      </c>
      <c r="AF780" s="15" t="s">
        <v>7242</v>
      </c>
      <c r="AG780" s="15" t="s">
        <v>7242</v>
      </c>
      <c r="AH780" s="37" t="s">
        <v>7243</v>
      </c>
      <c r="AL780" s="15" t="s">
        <v>7244</v>
      </c>
      <c r="AN780" s="15">
        <v>743</v>
      </c>
      <c r="AO780" s="15" t="s">
        <v>7245</v>
      </c>
      <c r="AQ780" s="15" t="s">
        <v>168</v>
      </c>
      <c r="AR780" s="47"/>
      <c r="AS780" s="47"/>
      <c r="AT780" s="15" t="s">
        <v>7246</v>
      </c>
      <c r="AU780" s="15" t="s">
        <v>7247</v>
      </c>
      <c r="AV780" s="15" t="s">
        <v>7247</v>
      </c>
      <c r="AW780" s="18" t="s">
        <v>7248</v>
      </c>
      <c r="AX780" s="18" t="s">
        <v>7248</v>
      </c>
      <c r="AY780" s="15">
        <f t="shared" si="14"/>
        <v>53</v>
      </c>
      <c r="AZ780" s="18" t="s">
        <v>604</v>
      </c>
      <c r="BA780" s="18" t="s">
        <v>174</v>
      </c>
      <c r="BB780" s="18" t="s">
        <v>7249</v>
      </c>
      <c r="BC780" s="18"/>
      <c r="BD780" s="18"/>
      <c r="BE780" s="18" t="s">
        <v>348</v>
      </c>
      <c r="BF780" s="18" t="s">
        <v>4239</v>
      </c>
      <c r="BG780" s="18"/>
      <c r="BH780" s="18"/>
      <c r="BI780" s="18"/>
      <c r="BJ780" s="18" t="s">
        <v>2185</v>
      </c>
      <c r="BK780" s="18"/>
      <c r="BL780" s="18"/>
      <c r="BM780" s="18"/>
      <c r="BN780" s="18" t="s">
        <v>179</v>
      </c>
      <c r="BO780" s="18"/>
      <c r="BP780" s="18" t="s">
        <v>138</v>
      </c>
      <c r="BQ780" s="18"/>
      <c r="BR780" s="18"/>
      <c r="BS780" s="15" t="s">
        <v>7250</v>
      </c>
      <c r="BT780" s="15" t="s">
        <v>804</v>
      </c>
      <c r="DH780" s="15" t="s">
        <v>17982</v>
      </c>
      <c r="DI780" s="15" t="s">
        <v>17982</v>
      </c>
    </row>
    <row r="781" spans="1:113" s="15" customFormat="1" ht="12.75" x14ac:dyDescent="0.2">
      <c r="A781" s="15" t="s">
        <v>109</v>
      </c>
      <c r="B781" s="15" t="s">
        <v>110</v>
      </c>
      <c r="D781" s="15" t="s">
        <v>791</v>
      </c>
      <c r="E781" s="15" t="s">
        <v>792</v>
      </c>
      <c r="F781" s="15" t="s">
        <v>791</v>
      </c>
      <c r="G781" s="15" t="s">
        <v>113</v>
      </c>
      <c r="H781" s="15" t="s">
        <v>383</v>
      </c>
      <c r="J781" s="16" t="s">
        <v>114</v>
      </c>
      <c r="U781" s="15" t="s">
        <v>17977</v>
      </c>
      <c r="W781" s="15">
        <v>578</v>
      </c>
      <c r="X781" s="15">
        <v>791</v>
      </c>
      <c r="Y781" s="15" t="s">
        <v>160</v>
      </c>
      <c r="Z781" s="15" t="s">
        <v>161</v>
      </c>
      <c r="AA781" s="15" t="s">
        <v>162</v>
      </c>
      <c r="AB781" s="15" t="s">
        <v>2177</v>
      </c>
      <c r="AC781" s="15" t="s">
        <v>2177</v>
      </c>
      <c r="AD781" s="15" t="s">
        <v>2177</v>
      </c>
      <c r="AE781" s="15" t="s">
        <v>164</v>
      </c>
      <c r="AF781" s="15" t="s">
        <v>2177</v>
      </c>
      <c r="AG781" s="15" t="s">
        <v>2177</v>
      </c>
      <c r="AH781" s="37" t="s">
        <v>2178</v>
      </c>
      <c r="AL781" s="15" t="s">
        <v>2179</v>
      </c>
      <c r="AN781" s="15">
        <v>743</v>
      </c>
      <c r="AO781" s="15" t="s">
        <v>2180</v>
      </c>
      <c r="AQ781" s="15" t="s">
        <v>168</v>
      </c>
      <c r="AT781" s="15" t="s">
        <v>2181</v>
      </c>
      <c r="AU781" s="15" t="s">
        <v>2182</v>
      </c>
      <c r="AV781" s="15" t="s">
        <v>2182</v>
      </c>
      <c r="AW781" s="18" t="s">
        <v>2183</v>
      </c>
      <c r="AX781" s="18" t="s">
        <v>2183</v>
      </c>
      <c r="AY781" s="15">
        <f t="shared" si="14"/>
        <v>40</v>
      </c>
      <c r="AZ781" s="18" t="s">
        <v>604</v>
      </c>
      <c r="BA781" s="18" t="s">
        <v>174</v>
      </c>
      <c r="BB781" s="18"/>
      <c r="BC781" s="18"/>
      <c r="BD781" s="18"/>
      <c r="BE781" s="18" t="s">
        <v>1597</v>
      </c>
      <c r="BF781" s="18" t="s">
        <v>2184</v>
      </c>
      <c r="BG781" s="18"/>
      <c r="BH781" s="18"/>
      <c r="BI781" s="18"/>
      <c r="BJ781" s="18" t="s">
        <v>2185</v>
      </c>
      <c r="BK781" s="18"/>
      <c r="BL781" s="18"/>
      <c r="BM781" s="18"/>
      <c r="BN781" s="18" t="s">
        <v>179</v>
      </c>
      <c r="BO781" s="18"/>
      <c r="BP781" s="18" t="s">
        <v>138</v>
      </c>
      <c r="BQ781" s="18"/>
      <c r="BR781" s="18" t="s">
        <v>2186</v>
      </c>
      <c r="BS781" s="15" t="s">
        <v>2187</v>
      </c>
      <c r="BT781" s="15" t="s">
        <v>804</v>
      </c>
      <c r="DH781" s="15" t="s">
        <v>17982</v>
      </c>
      <c r="DI781" s="15" t="s">
        <v>17982</v>
      </c>
    </row>
    <row r="782" spans="1:113" s="15" customFormat="1" ht="12.75" x14ac:dyDescent="0.2">
      <c r="A782" s="15" t="s">
        <v>109</v>
      </c>
      <c r="B782" s="15" t="s">
        <v>110</v>
      </c>
      <c r="D782" s="15" t="s">
        <v>791</v>
      </c>
      <c r="E782" s="15" t="s">
        <v>792</v>
      </c>
      <c r="F782" s="15" t="s">
        <v>791</v>
      </c>
      <c r="G782" s="15" t="s">
        <v>113</v>
      </c>
      <c r="H782" s="15" t="s">
        <v>383</v>
      </c>
      <c r="J782" s="16" t="s">
        <v>114</v>
      </c>
      <c r="U782" s="15" t="s">
        <v>17977</v>
      </c>
      <c r="W782" s="15">
        <v>805</v>
      </c>
      <c r="X782" s="15">
        <v>792</v>
      </c>
      <c r="Y782" s="15" t="s">
        <v>160</v>
      </c>
      <c r="Z782" s="15" t="s">
        <v>161</v>
      </c>
      <c r="AA782" s="15" t="s">
        <v>162</v>
      </c>
      <c r="AB782" s="15" t="s">
        <v>3433</v>
      </c>
      <c r="AC782" s="15" t="s">
        <v>3433</v>
      </c>
      <c r="AD782" s="15" t="s">
        <v>3433</v>
      </c>
      <c r="AE782" s="15" t="s">
        <v>164</v>
      </c>
      <c r="AF782" s="15" t="s">
        <v>3433</v>
      </c>
      <c r="AG782" s="15" t="s">
        <v>3433</v>
      </c>
      <c r="AH782" s="37" t="s">
        <v>3434</v>
      </c>
      <c r="AL782" s="15" t="s">
        <v>3435</v>
      </c>
      <c r="AN782" s="15">
        <v>743</v>
      </c>
      <c r="AO782" s="15" t="s">
        <v>3436</v>
      </c>
      <c r="AQ782" s="15" t="s">
        <v>168</v>
      </c>
      <c r="AT782" s="15" t="s">
        <v>3437</v>
      </c>
      <c r="AU782" s="15" t="s">
        <v>3438</v>
      </c>
      <c r="AV782" s="15" t="s">
        <v>3438</v>
      </c>
      <c r="AW782" s="18" t="s">
        <v>3439</v>
      </c>
      <c r="AX782" s="18" t="s">
        <v>3440</v>
      </c>
      <c r="AY782" s="15">
        <f t="shared" si="14"/>
        <v>59</v>
      </c>
      <c r="AZ782" s="18" t="s">
        <v>173</v>
      </c>
      <c r="BA782" s="18" t="s">
        <v>174</v>
      </c>
      <c r="BB782" s="18" t="s">
        <v>3430</v>
      </c>
      <c r="BC782" s="18"/>
      <c r="BD782" s="18"/>
      <c r="BE782" s="18" t="s">
        <v>3441</v>
      </c>
      <c r="BF782" s="18" t="s">
        <v>3442</v>
      </c>
      <c r="BG782" s="18"/>
      <c r="BH782" s="18"/>
      <c r="BI782" s="18"/>
      <c r="BJ782" s="18" t="s">
        <v>3443</v>
      </c>
      <c r="BK782" s="18"/>
      <c r="BL782" s="18"/>
      <c r="BM782" s="18"/>
      <c r="BN782" s="18" t="s">
        <v>179</v>
      </c>
      <c r="BO782" s="18"/>
      <c r="BP782" s="18" t="s">
        <v>138</v>
      </c>
      <c r="BQ782" s="18"/>
      <c r="BR782" s="18"/>
      <c r="BS782" s="15" t="s">
        <v>3444</v>
      </c>
      <c r="BT782" s="15" t="s">
        <v>804</v>
      </c>
      <c r="DH782" s="15" t="s">
        <v>17982</v>
      </c>
      <c r="DI782" s="15" t="s">
        <v>17982</v>
      </c>
    </row>
    <row r="783" spans="1:113" s="15" customFormat="1" ht="12.75" x14ac:dyDescent="0.2">
      <c r="A783" s="15" t="s">
        <v>109</v>
      </c>
      <c r="B783" s="15" t="s">
        <v>110</v>
      </c>
      <c r="D783" s="15" t="s">
        <v>791</v>
      </c>
      <c r="E783" s="15" t="s">
        <v>792</v>
      </c>
      <c r="F783" s="15" t="s">
        <v>791</v>
      </c>
      <c r="G783" s="15" t="s">
        <v>113</v>
      </c>
      <c r="H783" s="15" t="s">
        <v>383</v>
      </c>
      <c r="J783" s="16" t="s">
        <v>114</v>
      </c>
      <c r="U783" s="15" t="s">
        <v>17977</v>
      </c>
      <c r="W783" s="15">
        <v>685</v>
      </c>
      <c r="X783" s="15">
        <v>793</v>
      </c>
      <c r="Y783" s="15" t="s">
        <v>160</v>
      </c>
      <c r="Z783" s="15" t="s">
        <v>161</v>
      </c>
      <c r="AA783" s="15" t="s">
        <v>162</v>
      </c>
      <c r="AB783" s="15" t="s">
        <v>2507</v>
      </c>
      <c r="AC783" s="15" t="s">
        <v>2507</v>
      </c>
      <c r="AD783" s="15" t="s">
        <v>2507</v>
      </c>
      <c r="AE783" s="15" t="s">
        <v>164</v>
      </c>
      <c r="AF783" s="15" t="s">
        <v>2507</v>
      </c>
      <c r="AG783" s="15" t="s">
        <v>2507</v>
      </c>
      <c r="AH783" s="37" t="s">
        <v>2508</v>
      </c>
      <c r="AL783" s="15" t="s">
        <v>2509</v>
      </c>
      <c r="AN783" s="15">
        <v>743</v>
      </c>
      <c r="AO783" s="15" t="s">
        <v>2510</v>
      </c>
      <c r="AQ783" s="15" t="s">
        <v>168</v>
      </c>
      <c r="AT783" s="15" t="s">
        <v>2511</v>
      </c>
      <c r="AU783" s="15" t="s">
        <v>2512</v>
      </c>
      <c r="AV783" s="15" t="s">
        <v>2512</v>
      </c>
      <c r="AW783" s="18" t="s">
        <v>2513</v>
      </c>
      <c r="AX783" s="18" t="s">
        <v>2514</v>
      </c>
      <c r="AY783" s="15">
        <f t="shared" si="14"/>
        <v>55</v>
      </c>
      <c r="AZ783" s="18" t="s">
        <v>604</v>
      </c>
      <c r="BA783" s="18" t="s">
        <v>174</v>
      </c>
      <c r="BB783" s="18" t="s">
        <v>2515</v>
      </c>
      <c r="BC783" s="18" t="s">
        <v>884</v>
      </c>
      <c r="BD783" s="18"/>
      <c r="BE783" s="18" t="s">
        <v>1032</v>
      </c>
      <c r="BF783" s="18" t="s">
        <v>2516</v>
      </c>
      <c r="BG783" s="18"/>
      <c r="BH783" s="18"/>
      <c r="BI783" s="18"/>
      <c r="BJ783" s="18" t="s">
        <v>2517</v>
      </c>
      <c r="BK783" s="18"/>
      <c r="BL783" s="18"/>
      <c r="BM783" s="18"/>
      <c r="BN783" s="18" t="s">
        <v>179</v>
      </c>
      <c r="BO783" s="18"/>
      <c r="BP783" s="18" t="s">
        <v>138</v>
      </c>
      <c r="BQ783" s="18"/>
      <c r="BR783" s="18"/>
      <c r="BS783" s="15" t="s">
        <v>2518</v>
      </c>
      <c r="BT783" s="15" t="s">
        <v>804</v>
      </c>
      <c r="DH783" s="15" t="s">
        <v>17982</v>
      </c>
      <c r="DI783" s="15" t="s">
        <v>17982</v>
      </c>
    </row>
    <row r="784" spans="1:113" s="15" customFormat="1" ht="12.75" x14ac:dyDescent="0.2">
      <c r="A784" s="15" t="s">
        <v>109</v>
      </c>
      <c r="B784" s="15" t="s">
        <v>110</v>
      </c>
      <c r="D784" s="15" t="s">
        <v>791</v>
      </c>
      <c r="E784" s="15" t="s">
        <v>792</v>
      </c>
      <c r="F784" s="15" t="s">
        <v>791</v>
      </c>
      <c r="G784" s="15" t="s">
        <v>113</v>
      </c>
      <c r="H784" s="15" t="s">
        <v>383</v>
      </c>
      <c r="J784" s="16" t="s">
        <v>114</v>
      </c>
      <c r="U784" s="15" t="s">
        <v>17977</v>
      </c>
      <c r="W784" s="15">
        <v>3415</v>
      </c>
      <c r="X784" s="15">
        <v>794</v>
      </c>
      <c r="Y784" s="15" t="s">
        <v>160</v>
      </c>
      <c r="Z784" s="15" t="s">
        <v>161</v>
      </c>
      <c r="AA784" s="15" t="s">
        <v>162</v>
      </c>
      <c r="AB784" s="15" t="s">
        <v>16512</v>
      </c>
      <c r="AC784" s="15" t="s">
        <v>16512</v>
      </c>
      <c r="AD784" s="15" t="s">
        <v>16512</v>
      </c>
      <c r="AE784" s="15" t="s">
        <v>164</v>
      </c>
      <c r="AF784" s="15" t="s">
        <v>16512</v>
      </c>
      <c r="AG784" s="15" t="s">
        <v>16512</v>
      </c>
      <c r="AH784" s="37" t="s">
        <v>16513</v>
      </c>
      <c r="AL784" s="15" t="s">
        <v>16514</v>
      </c>
      <c r="AN784" s="15">
        <v>743</v>
      </c>
      <c r="AO784" s="15" t="s">
        <v>16515</v>
      </c>
      <c r="AQ784" s="15" t="s">
        <v>168</v>
      </c>
      <c r="AT784" s="15" t="s">
        <v>16516</v>
      </c>
      <c r="AU784" s="15" t="s">
        <v>16517</v>
      </c>
      <c r="AV784" s="15" t="s">
        <v>16517</v>
      </c>
      <c r="AW784" s="18" t="s">
        <v>16518</v>
      </c>
      <c r="AX784" s="18" t="s">
        <v>16518</v>
      </c>
      <c r="AY784" s="15">
        <f t="shared" si="14"/>
        <v>56</v>
      </c>
      <c r="AZ784" s="18" t="s">
        <v>604</v>
      </c>
      <c r="BA784" s="18" t="s">
        <v>174</v>
      </c>
      <c r="BB784" s="18" t="s">
        <v>16519</v>
      </c>
      <c r="BC784" s="18"/>
      <c r="BD784" s="18"/>
      <c r="BE784" s="18" t="s">
        <v>564</v>
      </c>
      <c r="BF784" s="18" t="s">
        <v>16520</v>
      </c>
      <c r="BG784" s="18"/>
      <c r="BH784" s="18"/>
      <c r="BI784" s="18"/>
      <c r="BJ784" s="18" t="s">
        <v>2504</v>
      </c>
      <c r="BK784" s="18"/>
      <c r="BL784" s="18"/>
      <c r="BM784" s="18"/>
      <c r="BN784" s="18" t="s">
        <v>179</v>
      </c>
      <c r="BO784" s="18"/>
      <c r="BP784" s="18" t="s">
        <v>138</v>
      </c>
      <c r="BQ784" s="18"/>
      <c r="BR784" s="18" t="s">
        <v>16521</v>
      </c>
      <c r="BS784" s="15" t="s">
        <v>16522</v>
      </c>
      <c r="BT784" s="15" t="s">
        <v>804</v>
      </c>
      <c r="DH784" s="15" t="s">
        <v>17982</v>
      </c>
      <c r="DI784" s="15" t="s">
        <v>17982</v>
      </c>
    </row>
    <row r="785" spans="1:113" s="15" customFormat="1" ht="12.75" x14ac:dyDescent="0.2">
      <c r="A785" s="15" t="s">
        <v>109</v>
      </c>
      <c r="B785" s="15" t="s">
        <v>110</v>
      </c>
      <c r="D785" s="15" t="s">
        <v>1045</v>
      </c>
      <c r="E785" s="15" t="s">
        <v>112</v>
      </c>
      <c r="F785" s="15" t="s">
        <v>1045</v>
      </c>
      <c r="G785" s="15" t="s">
        <v>113</v>
      </c>
      <c r="H785" s="15" t="s">
        <v>383</v>
      </c>
      <c r="J785" s="16" t="s">
        <v>114</v>
      </c>
      <c r="U785" s="15" t="s">
        <v>17977</v>
      </c>
      <c r="W785" s="15">
        <v>676</v>
      </c>
      <c r="X785" s="15">
        <v>795</v>
      </c>
      <c r="Y785" s="15" t="s">
        <v>160</v>
      </c>
      <c r="Z785" s="15" t="s">
        <v>161</v>
      </c>
      <c r="AA785" s="15" t="s">
        <v>162</v>
      </c>
      <c r="AB785" s="15" t="s">
        <v>2408</v>
      </c>
      <c r="AC785" s="15" t="s">
        <v>2408</v>
      </c>
      <c r="AD785" s="15" t="s">
        <v>2408</v>
      </c>
      <c r="AE785" s="15" t="s">
        <v>164</v>
      </c>
      <c r="AF785" s="15" t="s">
        <v>2408</v>
      </c>
      <c r="AG785" s="15" t="s">
        <v>2408</v>
      </c>
      <c r="AH785" s="38" t="s">
        <v>2409</v>
      </c>
      <c r="AL785" s="15" t="s">
        <v>2410</v>
      </c>
      <c r="AN785" s="15">
        <v>743</v>
      </c>
      <c r="AO785" s="15" t="s">
        <v>2411</v>
      </c>
      <c r="AQ785" s="20" t="s">
        <v>168</v>
      </c>
      <c r="AT785" s="15" t="s">
        <v>2412</v>
      </c>
      <c r="AU785" s="15" t="s">
        <v>2413</v>
      </c>
      <c r="AV785" s="15" t="s">
        <v>2413</v>
      </c>
      <c r="AW785" s="15" t="s">
        <v>2414</v>
      </c>
      <c r="AX785" s="15" t="s">
        <v>2415</v>
      </c>
      <c r="AY785" s="15">
        <f t="shared" ref="AY785:AY816" si="15">LEN(SUBSTITUTE(AX785, ", ",","))</f>
        <v>58</v>
      </c>
      <c r="AZ785" s="15" t="s">
        <v>604</v>
      </c>
      <c r="BA785" s="15" t="s">
        <v>174</v>
      </c>
      <c r="BB785" s="15" t="s">
        <v>2370</v>
      </c>
      <c r="BE785" s="15" t="s">
        <v>2416</v>
      </c>
      <c r="BF785" s="15" t="s">
        <v>2417</v>
      </c>
      <c r="BI785" s="15" t="s">
        <v>1058</v>
      </c>
      <c r="BJ785" s="15" t="s">
        <v>2395</v>
      </c>
      <c r="BN785" s="15" t="s">
        <v>179</v>
      </c>
      <c r="BP785" s="15" t="s">
        <v>138</v>
      </c>
      <c r="BS785" s="15" t="s">
        <v>2418</v>
      </c>
      <c r="DH785" s="15" t="s">
        <v>17982</v>
      </c>
      <c r="DI785" s="15" t="s">
        <v>17982</v>
      </c>
    </row>
    <row r="786" spans="1:113" s="15" customFormat="1" ht="12.75" x14ac:dyDescent="0.2">
      <c r="A786" s="15" t="s">
        <v>109</v>
      </c>
      <c r="B786" s="15" t="s">
        <v>110</v>
      </c>
      <c r="D786" s="15" t="s">
        <v>1045</v>
      </c>
      <c r="E786" s="15" t="s">
        <v>112</v>
      </c>
      <c r="F786" s="15" t="s">
        <v>1045</v>
      </c>
      <c r="G786" s="15" t="s">
        <v>113</v>
      </c>
      <c r="H786" s="15" t="s">
        <v>383</v>
      </c>
      <c r="J786" s="16" t="s">
        <v>114</v>
      </c>
      <c r="U786" s="15" t="s">
        <v>17977</v>
      </c>
      <c r="W786" s="15">
        <v>674</v>
      </c>
      <c r="X786" s="15">
        <v>796</v>
      </c>
      <c r="Y786" s="15" t="s">
        <v>160</v>
      </c>
      <c r="Z786" s="15" t="s">
        <v>161</v>
      </c>
      <c r="AA786" s="15" t="s">
        <v>162</v>
      </c>
      <c r="AB786" s="15" t="s">
        <v>2385</v>
      </c>
      <c r="AC786" s="15" t="s">
        <v>2385</v>
      </c>
      <c r="AD786" s="15" t="s">
        <v>2385</v>
      </c>
      <c r="AE786" s="15" t="s">
        <v>164</v>
      </c>
      <c r="AF786" s="15" t="s">
        <v>2385</v>
      </c>
      <c r="AG786" s="15" t="s">
        <v>2385</v>
      </c>
      <c r="AH786" s="38" t="s">
        <v>2386</v>
      </c>
      <c r="AL786" s="15" t="s">
        <v>2387</v>
      </c>
      <c r="AN786" s="15">
        <v>743</v>
      </c>
      <c r="AO786" s="15" t="s">
        <v>2388</v>
      </c>
      <c r="AQ786" s="20" t="s">
        <v>168</v>
      </c>
      <c r="AT786" s="15" t="s">
        <v>2389</v>
      </c>
      <c r="AU786" s="15" t="s">
        <v>2390</v>
      </c>
      <c r="AV786" s="15" t="s">
        <v>2390</v>
      </c>
      <c r="AW786" s="15" t="s">
        <v>2391</v>
      </c>
      <c r="AX786" s="15" t="s">
        <v>2392</v>
      </c>
      <c r="AY786" s="15">
        <f t="shared" si="15"/>
        <v>58</v>
      </c>
      <c r="AZ786" s="15" t="s">
        <v>604</v>
      </c>
      <c r="BA786" s="15" t="s">
        <v>174</v>
      </c>
      <c r="BB786" s="15" t="s">
        <v>2370</v>
      </c>
      <c r="BE786" s="15" t="s">
        <v>2393</v>
      </c>
      <c r="BF786" s="15" t="s">
        <v>2394</v>
      </c>
      <c r="BI786" s="15" t="s">
        <v>1058</v>
      </c>
      <c r="BJ786" s="15" t="s">
        <v>2395</v>
      </c>
      <c r="BN786" s="15" t="s">
        <v>179</v>
      </c>
      <c r="BP786" s="15" t="s">
        <v>138</v>
      </c>
      <c r="BS786" s="15" t="s">
        <v>2396</v>
      </c>
      <c r="DH786" s="15" t="s">
        <v>17982</v>
      </c>
      <c r="DI786" s="15" t="s">
        <v>17982</v>
      </c>
    </row>
    <row r="787" spans="1:113" s="15" customFormat="1" ht="12.75" x14ac:dyDescent="0.2">
      <c r="A787" s="15" t="s">
        <v>109</v>
      </c>
      <c r="B787" s="15" t="s">
        <v>110</v>
      </c>
      <c r="D787" s="15" t="s">
        <v>1045</v>
      </c>
      <c r="E787" s="15" t="s">
        <v>112</v>
      </c>
      <c r="F787" s="15" t="s">
        <v>1045</v>
      </c>
      <c r="G787" s="15" t="s">
        <v>113</v>
      </c>
      <c r="H787" s="15" t="s">
        <v>383</v>
      </c>
      <c r="J787" s="16" t="s">
        <v>114</v>
      </c>
      <c r="U787" s="15" t="s">
        <v>17977</v>
      </c>
      <c r="W787" s="15">
        <v>675</v>
      </c>
      <c r="X787" s="15">
        <v>797</v>
      </c>
      <c r="Y787" s="15" t="s">
        <v>160</v>
      </c>
      <c r="Z787" s="15" t="s">
        <v>161</v>
      </c>
      <c r="AA787" s="15" t="s">
        <v>162</v>
      </c>
      <c r="AB787" s="15" t="s">
        <v>2397</v>
      </c>
      <c r="AC787" s="15" t="s">
        <v>2397</v>
      </c>
      <c r="AD787" s="15" t="s">
        <v>2397</v>
      </c>
      <c r="AE787" s="15" t="s">
        <v>164</v>
      </c>
      <c r="AF787" s="15" t="s">
        <v>2397</v>
      </c>
      <c r="AG787" s="15" t="s">
        <v>2397</v>
      </c>
      <c r="AH787" s="38" t="s">
        <v>2398</v>
      </c>
      <c r="AL787" s="15" t="s">
        <v>2399</v>
      </c>
      <c r="AN787" s="15">
        <v>743</v>
      </c>
      <c r="AO787" s="15" t="s">
        <v>2400</v>
      </c>
      <c r="AQ787" s="20" t="s">
        <v>168</v>
      </c>
      <c r="AT787" s="15" t="s">
        <v>2401</v>
      </c>
      <c r="AU787" s="15" t="s">
        <v>2402</v>
      </c>
      <c r="AV787" s="15" t="s">
        <v>2402</v>
      </c>
      <c r="AW787" s="15" t="s">
        <v>2403</v>
      </c>
      <c r="AX787" s="15" t="s">
        <v>2404</v>
      </c>
      <c r="AY787" s="15">
        <f t="shared" si="15"/>
        <v>58</v>
      </c>
      <c r="AZ787" s="15" t="s">
        <v>604</v>
      </c>
      <c r="BA787" s="15" t="s">
        <v>174</v>
      </c>
      <c r="BB787" s="15" t="s">
        <v>2370</v>
      </c>
      <c r="BE787" s="15" t="s">
        <v>2405</v>
      </c>
      <c r="BF787" s="15" t="s">
        <v>2406</v>
      </c>
      <c r="BI787" s="15" t="s">
        <v>1058</v>
      </c>
      <c r="BJ787" s="15" t="s">
        <v>2395</v>
      </c>
      <c r="BN787" s="15" t="s">
        <v>179</v>
      </c>
      <c r="BP787" s="15" t="s">
        <v>138</v>
      </c>
      <c r="BS787" s="15" t="s">
        <v>2407</v>
      </c>
      <c r="DH787" s="15" t="s">
        <v>17982</v>
      </c>
      <c r="DI787" s="15" t="s">
        <v>17982</v>
      </c>
    </row>
    <row r="788" spans="1:113" s="15" customFormat="1" ht="12.75" x14ac:dyDescent="0.2">
      <c r="A788" s="15" t="s">
        <v>109</v>
      </c>
      <c r="B788" s="15" t="s">
        <v>110</v>
      </c>
      <c r="D788" s="15" t="s">
        <v>1045</v>
      </c>
      <c r="E788" s="15" t="s">
        <v>112</v>
      </c>
      <c r="F788" s="15" t="s">
        <v>1045</v>
      </c>
      <c r="G788" s="15" t="s">
        <v>113</v>
      </c>
      <c r="H788" s="15" t="s">
        <v>383</v>
      </c>
      <c r="J788" s="16" t="s">
        <v>114</v>
      </c>
      <c r="U788" s="15" t="s">
        <v>17977</v>
      </c>
      <c r="W788" s="15">
        <v>1513</v>
      </c>
      <c r="X788" s="15">
        <v>798</v>
      </c>
      <c r="Y788" s="15" t="s">
        <v>160</v>
      </c>
      <c r="Z788" s="15" t="s">
        <v>161</v>
      </c>
      <c r="AA788" s="15" t="s">
        <v>162</v>
      </c>
      <c r="AB788" s="15" t="s">
        <v>7752</v>
      </c>
      <c r="AC788" s="15" t="s">
        <v>7752</v>
      </c>
      <c r="AD788" s="15" t="s">
        <v>7752</v>
      </c>
      <c r="AE788" s="15" t="s">
        <v>164</v>
      </c>
      <c r="AF788" s="15" t="s">
        <v>7752</v>
      </c>
      <c r="AG788" s="15" t="s">
        <v>7752</v>
      </c>
      <c r="AH788" s="38" t="s">
        <v>7753</v>
      </c>
      <c r="AL788" s="15" t="s">
        <v>7754</v>
      </c>
      <c r="AN788" s="15">
        <v>743</v>
      </c>
      <c r="AO788" s="15" t="s">
        <v>7755</v>
      </c>
      <c r="AQ788" s="20" t="s">
        <v>168</v>
      </c>
      <c r="AT788" s="15" t="s">
        <v>7756</v>
      </c>
      <c r="AU788" s="15" t="s">
        <v>7757</v>
      </c>
      <c r="AV788" s="15" t="s">
        <v>7757</v>
      </c>
      <c r="AW788" s="15" t="s">
        <v>7758</v>
      </c>
      <c r="AX788" s="15" t="s">
        <v>7759</v>
      </c>
      <c r="AY788" s="15">
        <f t="shared" si="15"/>
        <v>60</v>
      </c>
      <c r="AZ788" s="15" t="s">
        <v>604</v>
      </c>
      <c r="BA788" s="15" t="s">
        <v>174</v>
      </c>
      <c r="BB788" s="15" t="s">
        <v>7738</v>
      </c>
      <c r="BE788" s="15" t="s">
        <v>1056</v>
      </c>
      <c r="BF788" s="15" t="s">
        <v>1894</v>
      </c>
      <c r="BJ788" s="15" t="s">
        <v>7750</v>
      </c>
      <c r="BN788" s="15" t="s">
        <v>179</v>
      </c>
      <c r="BP788" s="15" t="s">
        <v>138</v>
      </c>
      <c r="BS788" s="15" t="s">
        <v>7760</v>
      </c>
      <c r="DH788" s="15" t="s">
        <v>17982</v>
      </c>
      <c r="DI788" s="15" t="s">
        <v>17982</v>
      </c>
    </row>
    <row r="789" spans="1:113" s="15" customFormat="1" ht="12.75" x14ac:dyDescent="0.2">
      <c r="A789" s="15" t="s">
        <v>109</v>
      </c>
      <c r="B789" s="15" t="s">
        <v>110</v>
      </c>
      <c r="D789" s="15" t="s">
        <v>1045</v>
      </c>
      <c r="E789" s="15" t="s">
        <v>112</v>
      </c>
      <c r="F789" s="15" t="s">
        <v>1045</v>
      </c>
      <c r="G789" s="15" t="s">
        <v>113</v>
      </c>
      <c r="H789" s="15" t="s">
        <v>383</v>
      </c>
      <c r="J789" s="16" t="s">
        <v>114</v>
      </c>
      <c r="U789" s="15" t="s">
        <v>17977</v>
      </c>
      <c r="W789" s="15">
        <v>1512</v>
      </c>
      <c r="X789" s="15">
        <v>799</v>
      </c>
      <c r="Y789" s="15" t="s">
        <v>160</v>
      </c>
      <c r="Z789" s="15" t="s">
        <v>161</v>
      </c>
      <c r="AA789" s="15" t="s">
        <v>162</v>
      </c>
      <c r="AB789" s="15" t="s">
        <v>7741</v>
      </c>
      <c r="AC789" s="15" t="s">
        <v>7741</v>
      </c>
      <c r="AD789" s="15" t="s">
        <v>7741</v>
      </c>
      <c r="AE789" s="15" t="s">
        <v>164</v>
      </c>
      <c r="AF789" s="15" t="s">
        <v>7741</v>
      </c>
      <c r="AG789" s="15" t="s">
        <v>7741</v>
      </c>
      <c r="AH789" s="38" t="s">
        <v>7742</v>
      </c>
      <c r="AL789" s="15" t="s">
        <v>7743</v>
      </c>
      <c r="AN789" s="15">
        <v>743</v>
      </c>
      <c r="AO789" s="15" t="s">
        <v>7744</v>
      </c>
      <c r="AQ789" s="20" t="s">
        <v>168</v>
      </c>
      <c r="AT789" s="15" t="s">
        <v>7745</v>
      </c>
      <c r="AU789" s="15" t="s">
        <v>7746</v>
      </c>
      <c r="AV789" s="15" t="s">
        <v>7746</v>
      </c>
      <c r="AW789" s="15" t="s">
        <v>7747</v>
      </c>
      <c r="AX789" s="15" t="s">
        <v>7748</v>
      </c>
      <c r="AY789" s="15">
        <f t="shared" si="15"/>
        <v>59</v>
      </c>
      <c r="AZ789" s="15" t="s">
        <v>604</v>
      </c>
      <c r="BA789" s="15" t="s">
        <v>174</v>
      </c>
      <c r="BB789" s="15" t="s">
        <v>7738</v>
      </c>
      <c r="BE789" s="15" t="s">
        <v>1032</v>
      </c>
      <c r="BF789" s="15" t="s">
        <v>7749</v>
      </c>
      <c r="BJ789" s="15" t="s">
        <v>7750</v>
      </c>
      <c r="BN789" s="15" t="s">
        <v>179</v>
      </c>
      <c r="BP789" s="15" t="s">
        <v>138</v>
      </c>
      <c r="BS789" s="15" t="s">
        <v>7751</v>
      </c>
      <c r="DH789" s="15" t="s">
        <v>17982</v>
      </c>
      <c r="DI789" s="15" t="s">
        <v>17982</v>
      </c>
    </row>
    <row r="790" spans="1:113" s="15" customFormat="1" ht="12.75" x14ac:dyDescent="0.2">
      <c r="A790" s="15" t="s">
        <v>109</v>
      </c>
      <c r="B790" s="15" t="s">
        <v>110</v>
      </c>
      <c r="D790" s="15" t="s">
        <v>1045</v>
      </c>
      <c r="E790" s="15" t="s">
        <v>112</v>
      </c>
      <c r="F790" s="15" t="s">
        <v>1045</v>
      </c>
      <c r="G790" s="15" t="s">
        <v>113</v>
      </c>
      <c r="H790" s="15" t="s">
        <v>383</v>
      </c>
      <c r="J790" s="16" t="s">
        <v>114</v>
      </c>
      <c r="U790" s="15" t="s">
        <v>17977</v>
      </c>
      <c r="W790" s="15">
        <v>1515</v>
      </c>
      <c r="X790" s="15">
        <v>800</v>
      </c>
      <c r="Y790" s="15" t="s">
        <v>160</v>
      </c>
      <c r="Z790" s="15" t="s">
        <v>161</v>
      </c>
      <c r="AA790" s="15" t="s">
        <v>162</v>
      </c>
      <c r="AB790" s="15" t="s">
        <v>7770</v>
      </c>
      <c r="AC790" s="15" t="s">
        <v>7770</v>
      </c>
      <c r="AD790" s="15" t="s">
        <v>7770</v>
      </c>
      <c r="AE790" s="15" t="s">
        <v>164</v>
      </c>
      <c r="AF790" s="15" t="s">
        <v>7770</v>
      </c>
      <c r="AG790" s="15" t="s">
        <v>7770</v>
      </c>
      <c r="AH790" s="38" t="s">
        <v>7771</v>
      </c>
      <c r="AL790" s="15" t="s">
        <v>7772</v>
      </c>
      <c r="AN790" s="15">
        <v>743</v>
      </c>
      <c r="AO790" s="15" t="s">
        <v>7773</v>
      </c>
      <c r="AQ790" s="20" t="s">
        <v>168</v>
      </c>
      <c r="AT790" s="15" t="s">
        <v>7774</v>
      </c>
      <c r="AU790" s="15" t="s">
        <v>7775</v>
      </c>
      <c r="AV790" s="15" t="s">
        <v>7775</v>
      </c>
      <c r="AW790" s="15" t="s">
        <v>7776</v>
      </c>
      <c r="AX790" s="15" t="s">
        <v>7777</v>
      </c>
      <c r="AY790" s="15">
        <f t="shared" si="15"/>
        <v>57</v>
      </c>
      <c r="AZ790" s="15" t="s">
        <v>604</v>
      </c>
      <c r="BA790" s="15" t="s">
        <v>174</v>
      </c>
      <c r="BB790" s="15" t="s">
        <v>7738</v>
      </c>
      <c r="BE790" s="15" t="s">
        <v>7778</v>
      </c>
      <c r="BF790" s="15" t="s">
        <v>2562</v>
      </c>
      <c r="BJ790" s="15" t="s">
        <v>7750</v>
      </c>
      <c r="BN790" s="15" t="s">
        <v>179</v>
      </c>
      <c r="BP790" s="15" t="s">
        <v>138</v>
      </c>
      <c r="BS790" s="15" t="s">
        <v>7779</v>
      </c>
      <c r="DH790" s="15" t="s">
        <v>17982</v>
      </c>
      <c r="DI790" s="15" t="s">
        <v>17982</v>
      </c>
    </row>
    <row r="791" spans="1:113" s="15" customFormat="1" ht="12.75" x14ac:dyDescent="0.2">
      <c r="A791" s="15" t="s">
        <v>109</v>
      </c>
      <c r="B791" s="15" t="s">
        <v>110</v>
      </c>
      <c r="D791" s="15" t="s">
        <v>1045</v>
      </c>
      <c r="E791" s="15" t="s">
        <v>112</v>
      </c>
      <c r="F791" s="15" t="s">
        <v>1045</v>
      </c>
      <c r="G791" s="15" t="s">
        <v>113</v>
      </c>
      <c r="H791" s="15" t="s">
        <v>383</v>
      </c>
      <c r="J791" s="16" t="s">
        <v>114</v>
      </c>
      <c r="U791" s="15" t="s">
        <v>17977</v>
      </c>
      <c r="W791" s="15">
        <v>1511</v>
      </c>
      <c r="X791" s="15">
        <v>801</v>
      </c>
      <c r="Y791" s="15" t="s">
        <v>160</v>
      </c>
      <c r="Z791" s="15" t="s">
        <v>161</v>
      </c>
      <c r="AA791" s="15" t="s">
        <v>162</v>
      </c>
      <c r="AB791" s="15" t="s">
        <v>7730</v>
      </c>
      <c r="AC791" s="15" t="s">
        <v>7730</v>
      </c>
      <c r="AD791" s="15" t="s">
        <v>7730</v>
      </c>
      <c r="AE791" s="15" t="s">
        <v>164</v>
      </c>
      <c r="AF791" s="15" t="s">
        <v>7730</v>
      </c>
      <c r="AG791" s="15" t="s">
        <v>7730</v>
      </c>
      <c r="AH791" s="38" t="s">
        <v>7731</v>
      </c>
      <c r="AL791" s="15" t="s">
        <v>7732</v>
      </c>
      <c r="AN791" s="15">
        <v>743</v>
      </c>
      <c r="AO791" s="15" t="s">
        <v>7733</v>
      </c>
      <c r="AQ791" s="20" t="s">
        <v>168</v>
      </c>
      <c r="AT791" s="15" t="s">
        <v>7734</v>
      </c>
      <c r="AU791" s="15" t="s">
        <v>7735</v>
      </c>
      <c r="AV791" s="15" t="s">
        <v>7735</v>
      </c>
      <c r="AW791" s="15" t="s">
        <v>7736</v>
      </c>
      <c r="AX791" s="15" t="s">
        <v>7737</v>
      </c>
      <c r="AY791" s="15">
        <f t="shared" si="15"/>
        <v>57</v>
      </c>
      <c r="AZ791" s="15" t="s">
        <v>604</v>
      </c>
      <c r="BA791" s="15" t="s">
        <v>174</v>
      </c>
      <c r="BB791" s="15" t="s">
        <v>7738</v>
      </c>
      <c r="BE791" s="15" t="s">
        <v>2416</v>
      </c>
      <c r="BF791" s="15" t="s">
        <v>3574</v>
      </c>
      <c r="BJ791" s="15" t="s">
        <v>7739</v>
      </c>
      <c r="BN791" s="15" t="s">
        <v>179</v>
      </c>
      <c r="BP791" s="15" t="s">
        <v>138</v>
      </c>
      <c r="BS791" s="15" t="s">
        <v>7740</v>
      </c>
      <c r="DH791" s="15" t="s">
        <v>17982</v>
      </c>
      <c r="DI791" s="15" t="s">
        <v>17982</v>
      </c>
    </row>
    <row r="792" spans="1:113" s="15" customFormat="1" ht="12.75" x14ac:dyDescent="0.2">
      <c r="A792" s="15" t="s">
        <v>109</v>
      </c>
      <c r="B792" s="15" t="s">
        <v>110</v>
      </c>
      <c r="D792" s="15" t="s">
        <v>1045</v>
      </c>
      <c r="E792" s="15" t="s">
        <v>112</v>
      </c>
      <c r="F792" s="15" t="s">
        <v>1045</v>
      </c>
      <c r="G792" s="15" t="s">
        <v>113</v>
      </c>
      <c r="H792" s="15" t="s">
        <v>383</v>
      </c>
      <c r="J792" s="16" t="s">
        <v>114</v>
      </c>
      <c r="U792" s="15" t="s">
        <v>17977</v>
      </c>
      <c r="W792" s="15">
        <v>1514</v>
      </c>
      <c r="X792" s="15">
        <v>802</v>
      </c>
      <c r="Y792" s="15" t="s">
        <v>160</v>
      </c>
      <c r="Z792" s="15" t="s">
        <v>161</v>
      </c>
      <c r="AA792" s="15" t="s">
        <v>162</v>
      </c>
      <c r="AB792" s="15" t="s">
        <v>7761</v>
      </c>
      <c r="AC792" s="15" t="s">
        <v>7761</v>
      </c>
      <c r="AD792" s="15" t="s">
        <v>7761</v>
      </c>
      <c r="AE792" s="15" t="s">
        <v>164</v>
      </c>
      <c r="AF792" s="15" t="s">
        <v>7761</v>
      </c>
      <c r="AG792" s="15" t="s">
        <v>7761</v>
      </c>
      <c r="AH792" s="38" t="s">
        <v>7762</v>
      </c>
      <c r="AL792" s="15" t="s">
        <v>7763</v>
      </c>
      <c r="AN792" s="15">
        <v>743</v>
      </c>
      <c r="AO792" s="15" t="s">
        <v>7764</v>
      </c>
      <c r="AQ792" s="20" t="s">
        <v>168</v>
      </c>
      <c r="AT792" s="15" t="s">
        <v>7765</v>
      </c>
      <c r="AU792" s="15" t="s">
        <v>7766</v>
      </c>
      <c r="AV792" s="15" t="s">
        <v>7766</v>
      </c>
      <c r="AW792" s="15" t="s">
        <v>7767</v>
      </c>
      <c r="AX792" s="15" t="s">
        <v>7768</v>
      </c>
      <c r="AY792" s="15">
        <f t="shared" si="15"/>
        <v>59</v>
      </c>
      <c r="AZ792" s="15" t="s">
        <v>604</v>
      </c>
      <c r="BA792" s="15" t="s">
        <v>174</v>
      </c>
      <c r="BB792" s="15" t="s">
        <v>7738</v>
      </c>
      <c r="BE792" s="15" t="s">
        <v>2416</v>
      </c>
      <c r="BF792" s="15" t="s">
        <v>2571</v>
      </c>
      <c r="BJ792" s="15" t="s">
        <v>7739</v>
      </c>
      <c r="BN792" s="15" t="s">
        <v>179</v>
      </c>
      <c r="BP792" s="15" t="s">
        <v>138</v>
      </c>
      <c r="BS792" s="15" t="s">
        <v>7769</v>
      </c>
      <c r="DH792" s="15" t="s">
        <v>17982</v>
      </c>
      <c r="DI792" s="15" t="s">
        <v>17982</v>
      </c>
    </row>
    <row r="793" spans="1:113" s="15" customFormat="1" ht="12.75" x14ac:dyDescent="0.2">
      <c r="A793" s="15" t="s">
        <v>109</v>
      </c>
      <c r="B793" s="15" t="s">
        <v>110</v>
      </c>
      <c r="D793" s="15" t="s">
        <v>1045</v>
      </c>
      <c r="E793" s="15" t="s">
        <v>112</v>
      </c>
      <c r="F793" s="15" t="s">
        <v>1045</v>
      </c>
      <c r="G793" s="15" t="s">
        <v>113</v>
      </c>
      <c r="H793" s="15" t="s">
        <v>383</v>
      </c>
      <c r="J793" s="16" t="s">
        <v>114</v>
      </c>
      <c r="U793" s="15" t="s">
        <v>17977</v>
      </c>
      <c r="W793" s="15">
        <v>2341</v>
      </c>
      <c r="X793" s="15">
        <v>803</v>
      </c>
      <c r="Y793" s="15" t="s">
        <v>160</v>
      </c>
      <c r="Z793" s="15" t="s">
        <v>161</v>
      </c>
      <c r="AA793" s="15" t="s">
        <v>162</v>
      </c>
      <c r="AB793" s="15" t="s">
        <v>11681</v>
      </c>
      <c r="AC793" s="15" t="s">
        <v>11681</v>
      </c>
      <c r="AD793" s="15" t="s">
        <v>11681</v>
      </c>
      <c r="AE793" s="15" t="s">
        <v>164</v>
      </c>
      <c r="AF793" s="15" t="s">
        <v>11681</v>
      </c>
      <c r="AG793" s="15" t="s">
        <v>11681</v>
      </c>
      <c r="AH793" s="38" t="s">
        <v>11682</v>
      </c>
      <c r="AL793" s="15" t="s">
        <v>11683</v>
      </c>
      <c r="AN793" s="15">
        <v>743</v>
      </c>
      <c r="AO793" s="15" t="s">
        <v>11684</v>
      </c>
      <c r="AQ793" s="20" t="s">
        <v>168</v>
      </c>
      <c r="AT793" s="15" t="s">
        <v>11685</v>
      </c>
      <c r="AU793" s="15" t="s">
        <v>11686</v>
      </c>
      <c r="AV793" s="15" t="s">
        <v>11686</v>
      </c>
      <c r="AW793" s="15" t="s">
        <v>11687</v>
      </c>
      <c r="AX793" s="15" t="s">
        <v>11687</v>
      </c>
      <c r="AY793" s="15">
        <f t="shared" si="15"/>
        <v>58</v>
      </c>
      <c r="AZ793" s="15" t="s">
        <v>604</v>
      </c>
      <c r="BA793" s="15" t="s">
        <v>174</v>
      </c>
      <c r="BB793" s="20" t="s">
        <v>11678</v>
      </c>
      <c r="BE793" s="15" t="s">
        <v>2694</v>
      </c>
      <c r="BF793" s="15" t="s">
        <v>2615</v>
      </c>
      <c r="BJ793" s="15" t="s">
        <v>11688</v>
      </c>
      <c r="BN793" s="15" t="s">
        <v>179</v>
      </c>
      <c r="BP793" s="15" t="s">
        <v>138</v>
      </c>
      <c r="BS793" s="15" t="s">
        <v>11689</v>
      </c>
      <c r="DH793" s="15" t="s">
        <v>17982</v>
      </c>
      <c r="DI793" s="15" t="s">
        <v>17982</v>
      </c>
    </row>
    <row r="794" spans="1:113" s="15" customFormat="1" ht="12.75" x14ac:dyDescent="0.2">
      <c r="A794" s="15" t="s">
        <v>109</v>
      </c>
      <c r="B794" s="15" t="s">
        <v>110</v>
      </c>
      <c r="D794" s="15" t="s">
        <v>1045</v>
      </c>
      <c r="E794" s="15" t="s">
        <v>112</v>
      </c>
      <c r="F794" s="15" t="s">
        <v>1045</v>
      </c>
      <c r="G794" s="15" t="s">
        <v>113</v>
      </c>
      <c r="H794" s="15" t="s">
        <v>383</v>
      </c>
      <c r="J794" s="16" t="s">
        <v>114</v>
      </c>
      <c r="U794" s="15" t="s">
        <v>17977</v>
      </c>
      <c r="W794" s="15">
        <v>2340</v>
      </c>
      <c r="X794" s="15">
        <v>804</v>
      </c>
      <c r="Y794" s="15" t="s">
        <v>160</v>
      </c>
      <c r="Z794" s="15" t="s">
        <v>161</v>
      </c>
      <c r="AA794" s="15" t="s">
        <v>162</v>
      </c>
      <c r="AB794" s="15" t="s">
        <v>11670</v>
      </c>
      <c r="AC794" s="15" t="s">
        <v>11670</v>
      </c>
      <c r="AD794" s="15" t="s">
        <v>11670</v>
      </c>
      <c r="AE794" s="15" t="s">
        <v>164</v>
      </c>
      <c r="AF794" s="15" t="s">
        <v>11670</v>
      </c>
      <c r="AG794" s="15" t="s">
        <v>11670</v>
      </c>
      <c r="AH794" s="38" t="s">
        <v>11671</v>
      </c>
      <c r="AL794" s="15" t="s">
        <v>11672</v>
      </c>
      <c r="AN794" s="15">
        <v>743</v>
      </c>
      <c r="AO794" s="15" t="s">
        <v>11673</v>
      </c>
      <c r="AQ794" s="20" t="s">
        <v>168</v>
      </c>
      <c r="AT794" s="15" t="s">
        <v>11674</v>
      </c>
      <c r="AU794" s="15" t="s">
        <v>11675</v>
      </c>
      <c r="AV794" s="15" t="s">
        <v>11675</v>
      </c>
      <c r="AW794" s="15" t="s">
        <v>11676</v>
      </c>
      <c r="AX794" s="15" t="s">
        <v>11677</v>
      </c>
      <c r="AY794" s="15">
        <f t="shared" si="15"/>
        <v>57</v>
      </c>
      <c r="AZ794" s="15" t="s">
        <v>604</v>
      </c>
      <c r="BA794" s="15" t="s">
        <v>174</v>
      </c>
      <c r="BB794" s="20" t="s">
        <v>11678</v>
      </c>
      <c r="BE794" s="15" t="s">
        <v>2694</v>
      </c>
      <c r="BF794" s="15" t="s">
        <v>2615</v>
      </c>
      <c r="BJ794" s="15" t="s">
        <v>11679</v>
      </c>
      <c r="BN794" s="15" t="s">
        <v>179</v>
      </c>
      <c r="BP794" s="15" t="s">
        <v>138</v>
      </c>
      <c r="BS794" s="15" t="s">
        <v>11680</v>
      </c>
      <c r="DH794" s="15" t="s">
        <v>17982</v>
      </c>
      <c r="DI794" s="15" t="s">
        <v>17982</v>
      </c>
    </row>
    <row r="795" spans="1:113" s="15" customFormat="1" ht="12.75" x14ac:dyDescent="0.2">
      <c r="A795" s="15" t="s">
        <v>109</v>
      </c>
      <c r="B795" s="15" t="s">
        <v>110</v>
      </c>
      <c r="D795" s="15" t="s">
        <v>1045</v>
      </c>
      <c r="E795" s="15" t="s">
        <v>112</v>
      </c>
      <c r="F795" s="15" t="s">
        <v>1045</v>
      </c>
      <c r="G795" s="15" t="s">
        <v>113</v>
      </c>
      <c r="H795" s="15" t="s">
        <v>383</v>
      </c>
      <c r="J795" s="16" t="s">
        <v>114</v>
      </c>
      <c r="U795" s="15" t="s">
        <v>17977</v>
      </c>
      <c r="W795" s="15">
        <v>1575</v>
      </c>
      <c r="X795" s="15">
        <v>805</v>
      </c>
      <c r="Y795" s="15" t="s">
        <v>160</v>
      </c>
      <c r="Z795" s="15" t="s">
        <v>161</v>
      </c>
      <c r="AA795" s="15" t="s">
        <v>162</v>
      </c>
      <c r="AB795" s="15" t="s">
        <v>8259</v>
      </c>
      <c r="AC795" s="15" t="s">
        <v>8259</v>
      </c>
      <c r="AD795" s="15" t="s">
        <v>8259</v>
      </c>
      <c r="AE795" s="15" t="s">
        <v>164</v>
      </c>
      <c r="AF795" s="15" t="s">
        <v>8259</v>
      </c>
      <c r="AG795" s="15" t="s">
        <v>8259</v>
      </c>
      <c r="AH795" s="38" t="s">
        <v>8260</v>
      </c>
      <c r="AL795" s="15" t="s">
        <v>8261</v>
      </c>
      <c r="AN795" s="15">
        <v>743</v>
      </c>
      <c r="AO795" s="15" t="s">
        <v>8262</v>
      </c>
      <c r="AQ795" s="20" t="s">
        <v>168</v>
      </c>
      <c r="AT795" s="15" t="s">
        <v>8263</v>
      </c>
      <c r="AU795" s="15" t="s">
        <v>8264</v>
      </c>
      <c r="AV795" s="15" t="s">
        <v>8264</v>
      </c>
      <c r="AW795" s="15" t="s">
        <v>8265</v>
      </c>
      <c r="AX795" s="15" t="s">
        <v>8265</v>
      </c>
      <c r="AY795" s="15">
        <f t="shared" si="15"/>
        <v>57</v>
      </c>
      <c r="AZ795" s="15" t="s">
        <v>604</v>
      </c>
      <c r="BA795" s="15" t="s">
        <v>174</v>
      </c>
      <c r="BB795" s="15" t="s">
        <v>8266</v>
      </c>
      <c r="BE795" s="15" t="s">
        <v>2948</v>
      </c>
      <c r="BF795" s="15" t="s">
        <v>1767</v>
      </c>
      <c r="BI795" s="20" t="s">
        <v>1905</v>
      </c>
      <c r="BJ795" s="15" t="s">
        <v>8267</v>
      </c>
      <c r="BN795" s="15" t="s">
        <v>179</v>
      </c>
      <c r="BP795" s="15" t="s">
        <v>138</v>
      </c>
      <c r="BS795" s="15" t="s">
        <v>8268</v>
      </c>
      <c r="DH795" s="15" t="s">
        <v>17982</v>
      </c>
      <c r="DI795" s="15" t="s">
        <v>17982</v>
      </c>
    </row>
    <row r="796" spans="1:113" s="15" customFormat="1" ht="12.75" x14ac:dyDescent="0.2">
      <c r="A796" s="15" t="s">
        <v>109</v>
      </c>
      <c r="B796" s="15" t="s">
        <v>110</v>
      </c>
      <c r="D796" s="15" t="s">
        <v>1045</v>
      </c>
      <c r="E796" s="15" t="s">
        <v>112</v>
      </c>
      <c r="F796" s="15" t="s">
        <v>1045</v>
      </c>
      <c r="G796" s="15" t="s">
        <v>113</v>
      </c>
      <c r="H796" s="15" t="s">
        <v>383</v>
      </c>
      <c r="J796" s="16" t="s">
        <v>114</v>
      </c>
      <c r="U796" s="15" t="s">
        <v>17977</v>
      </c>
      <c r="W796" s="15">
        <v>1578</v>
      </c>
      <c r="X796" s="15">
        <v>806</v>
      </c>
      <c r="Y796" s="15" t="s">
        <v>160</v>
      </c>
      <c r="Z796" s="15" t="s">
        <v>161</v>
      </c>
      <c r="AA796" s="15" t="s">
        <v>162</v>
      </c>
      <c r="AB796" s="15" t="s">
        <v>8286</v>
      </c>
      <c r="AC796" s="15" t="s">
        <v>8286</v>
      </c>
      <c r="AD796" s="15" t="s">
        <v>8286</v>
      </c>
      <c r="AE796" s="15" t="s">
        <v>164</v>
      </c>
      <c r="AF796" s="15" t="s">
        <v>8286</v>
      </c>
      <c r="AG796" s="15" t="s">
        <v>8286</v>
      </c>
      <c r="AH796" s="38" t="s">
        <v>8287</v>
      </c>
      <c r="AL796" s="15" t="s">
        <v>8288</v>
      </c>
      <c r="AN796" s="15">
        <v>743</v>
      </c>
      <c r="AO796" s="15" t="s">
        <v>8289</v>
      </c>
      <c r="AQ796" s="20" t="s">
        <v>168</v>
      </c>
      <c r="AT796" s="15" t="s">
        <v>8290</v>
      </c>
      <c r="AU796" s="15" t="s">
        <v>8291</v>
      </c>
      <c r="AV796" s="15" t="s">
        <v>8291</v>
      </c>
      <c r="AW796" s="15" t="s">
        <v>8292</v>
      </c>
      <c r="AX796" s="15" t="s">
        <v>8292</v>
      </c>
      <c r="AY796" s="15">
        <f t="shared" si="15"/>
        <v>57</v>
      </c>
      <c r="AZ796" s="15" t="s">
        <v>604</v>
      </c>
      <c r="BA796" s="15" t="s">
        <v>174</v>
      </c>
      <c r="BB796" s="15" t="s">
        <v>8266</v>
      </c>
      <c r="BE796" s="15" t="s">
        <v>2948</v>
      </c>
      <c r="BF796" s="15" t="s">
        <v>8088</v>
      </c>
      <c r="BI796" s="15" t="s">
        <v>1905</v>
      </c>
      <c r="BJ796" s="15" t="s">
        <v>8267</v>
      </c>
      <c r="BN796" s="15" t="s">
        <v>179</v>
      </c>
      <c r="BP796" s="15" t="s">
        <v>138</v>
      </c>
      <c r="BS796" s="15" t="s">
        <v>8293</v>
      </c>
      <c r="DH796" s="15" t="s">
        <v>17982</v>
      </c>
      <c r="DI796" s="15" t="s">
        <v>17982</v>
      </c>
    </row>
    <row r="797" spans="1:113" s="15" customFormat="1" ht="12.75" x14ac:dyDescent="0.2">
      <c r="A797" s="15" t="s">
        <v>109</v>
      </c>
      <c r="B797" s="15" t="s">
        <v>110</v>
      </c>
      <c r="D797" s="15" t="s">
        <v>1045</v>
      </c>
      <c r="E797" s="15" t="s">
        <v>112</v>
      </c>
      <c r="F797" s="15" t="s">
        <v>1045</v>
      </c>
      <c r="G797" s="15" t="s">
        <v>2494</v>
      </c>
      <c r="H797" s="15" t="s">
        <v>383</v>
      </c>
      <c r="J797" s="16" t="s">
        <v>114</v>
      </c>
      <c r="U797" s="15" t="s">
        <v>17977</v>
      </c>
      <c r="W797" s="15">
        <v>1581</v>
      </c>
      <c r="X797" s="15">
        <v>807</v>
      </c>
      <c r="Y797" s="15" t="s">
        <v>160</v>
      </c>
      <c r="Z797" s="15" t="s">
        <v>161</v>
      </c>
      <c r="AA797" s="15" t="s">
        <v>162</v>
      </c>
      <c r="AB797" s="15" t="s">
        <v>8311</v>
      </c>
      <c r="AC797" s="15" t="s">
        <v>8311</v>
      </c>
      <c r="AD797" s="15" t="s">
        <v>8311</v>
      </c>
      <c r="AE797" s="15" t="s">
        <v>164</v>
      </c>
      <c r="AF797" s="15" t="s">
        <v>8311</v>
      </c>
      <c r="AG797" s="15" t="s">
        <v>8311</v>
      </c>
      <c r="AH797" s="38" t="s">
        <v>8312</v>
      </c>
      <c r="AL797" s="15" t="s">
        <v>8313</v>
      </c>
      <c r="AN797" s="15">
        <v>743</v>
      </c>
      <c r="AO797" s="15" t="s">
        <v>8314</v>
      </c>
      <c r="AQ797" s="20" t="s">
        <v>168</v>
      </c>
      <c r="AT797" s="15" t="s">
        <v>8315</v>
      </c>
      <c r="AU797" s="15" t="s">
        <v>8316</v>
      </c>
      <c r="AV797" s="15" t="s">
        <v>8316</v>
      </c>
      <c r="AW797" s="15" t="s">
        <v>8317</v>
      </c>
      <c r="AX797" s="15" t="s">
        <v>8317</v>
      </c>
      <c r="AY797" s="15">
        <f t="shared" si="15"/>
        <v>59</v>
      </c>
      <c r="AZ797" s="15" t="s">
        <v>604</v>
      </c>
      <c r="BA797" s="15" t="s">
        <v>174</v>
      </c>
      <c r="BB797" s="15" t="s">
        <v>8266</v>
      </c>
      <c r="BE797" s="15" t="s">
        <v>2926</v>
      </c>
      <c r="BF797" s="15" t="s">
        <v>3738</v>
      </c>
      <c r="BI797" s="20" t="s">
        <v>1905</v>
      </c>
      <c r="BJ797" s="15" t="s">
        <v>8276</v>
      </c>
      <c r="BN797" s="15" t="s">
        <v>179</v>
      </c>
      <c r="BP797" s="15" t="s">
        <v>138</v>
      </c>
      <c r="BR797" s="15" t="s">
        <v>1467</v>
      </c>
      <c r="BS797" s="15" t="s">
        <v>8318</v>
      </c>
      <c r="DH797" s="15" t="s">
        <v>17982</v>
      </c>
      <c r="DI797" s="15" t="s">
        <v>17982</v>
      </c>
    </row>
    <row r="798" spans="1:113" s="15" customFormat="1" ht="12.75" x14ac:dyDescent="0.2">
      <c r="A798" s="15" t="s">
        <v>109</v>
      </c>
      <c r="B798" s="15" t="s">
        <v>110</v>
      </c>
      <c r="D798" s="15" t="s">
        <v>1045</v>
      </c>
      <c r="E798" s="15" t="s">
        <v>112</v>
      </c>
      <c r="F798" s="15" t="s">
        <v>1045</v>
      </c>
      <c r="G798" s="15" t="s">
        <v>113</v>
      </c>
      <c r="H798" s="15" t="s">
        <v>383</v>
      </c>
      <c r="J798" s="16" t="s">
        <v>114</v>
      </c>
      <c r="U798" s="15" t="s">
        <v>17977</v>
      </c>
      <c r="W798" s="15">
        <v>1576</v>
      </c>
      <c r="X798" s="15">
        <v>808</v>
      </c>
      <c r="Y798" s="15" t="s">
        <v>160</v>
      </c>
      <c r="Z798" s="15" t="s">
        <v>161</v>
      </c>
      <c r="AA798" s="15" t="s">
        <v>162</v>
      </c>
      <c r="AB798" s="15" t="s">
        <v>8269</v>
      </c>
      <c r="AC798" s="15" t="s">
        <v>8269</v>
      </c>
      <c r="AD798" s="15" t="s">
        <v>8269</v>
      </c>
      <c r="AE798" s="15" t="s">
        <v>164</v>
      </c>
      <c r="AF798" s="15" t="s">
        <v>8269</v>
      </c>
      <c r="AG798" s="15" t="s">
        <v>8269</v>
      </c>
      <c r="AH798" s="38" t="s">
        <v>8270</v>
      </c>
      <c r="AL798" s="15" t="s">
        <v>8271</v>
      </c>
      <c r="AN798" s="15">
        <v>743</v>
      </c>
      <c r="AO798" s="15" t="s">
        <v>8272</v>
      </c>
      <c r="AQ798" s="20" t="s">
        <v>168</v>
      </c>
      <c r="AT798" s="15" t="s">
        <v>8273</v>
      </c>
      <c r="AU798" s="15" t="s">
        <v>8274</v>
      </c>
      <c r="AV798" s="15" t="s">
        <v>8274</v>
      </c>
      <c r="AW798" s="15" t="s">
        <v>8275</v>
      </c>
      <c r="AX798" s="15" t="s">
        <v>8275</v>
      </c>
      <c r="AY798" s="15">
        <f t="shared" si="15"/>
        <v>60</v>
      </c>
      <c r="AZ798" s="15" t="s">
        <v>604</v>
      </c>
      <c r="BA798" s="15" t="s">
        <v>174</v>
      </c>
      <c r="BB798" s="15" t="s">
        <v>8266</v>
      </c>
      <c r="BE798" s="15" t="s">
        <v>2926</v>
      </c>
      <c r="BF798" s="15" t="s">
        <v>1767</v>
      </c>
      <c r="BI798" s="20" t="s">
        <v>1905</v>
      </c>
      <c r="BJ798" s="15" t="s">
        <v>8276</v>
      </c>
      <c r="BN798" s="15" t="s">
        <v>179</v>
      </c>
      <c r="BP798" s="15" t="s">
        <v>138</v>
      </c>
      <c r="BS798" s="15" t="s">
        <v>8277</v>
      </c>
      <c r="DH798" s="15" t="s">
        <v>17982</v>
      </c>
      <c r="DI798" s="15" t="s">
        <v>17982</v>
      </c>
    </row>
    <row r="799" spans="1:113" s="15" customFormat="1" ht="12.75" x14ac:dyDescent="0.2">
      <c r="A799" s="15" t="s">
        <v>109</v>
      </c>
      <c r="B799" s="15" t="s">
        <v>110</v>
      </c>
      <c r="D799" s="15" t="s">
        <v>1045</v>
      </c>
      <c r="E799" s="15" t="s">
        <v>112</v>
      </c>
      <c r="F799" s="15" t="s">
        <v>1045</v>
      </c>
      <c r="G799" s="15" t="s">
        <v>113</v>
      </c>
      <c r="H799" s="15" t="s">
        <v>383</v>
      </c>
      <c r="J799" s="16" t="s">
        <v>114</v>
      </c>
      <c r="U799" s="15" t="s">
        <v>17977</v>
      </c>
      <c r="W799" s="15">
        <v>1577</v>
      </c>
      <c r="X799" s="15">
        <v>809</v>
      </c>
      <c r="Y799" s="15" t="s">
        <v>160</v>
      </c>
      <c r="Z799" s="15" t="s">
        <v>161</v>
      </c>
      <c r="AA799" s="15" t="s">
        <v>162</v>
      </c>
      <c r="AB799" s="15" t="s">
        <v>8278</v>
      </c>
      <c r="AC799" s="15" t="s">
        <v>8278</v>
      </c>
      <c r="AD799" s="15" t="s">
        <v>8278</v>
      </c>
      <c r="AE799" s="15" t="s">
        <v>164</v>
      </c>
      <c r="AF799" s="15" t="s">
        <v>8278</v>
      </c>
      <c r="AG799" s="15" t="s">
        <v>8278</v>
      </c>
      <c r="AH799" s="38" t="s">
        <v>8279</v>
      </c>
      <c r="AL799" s="15" t="s">
        <v>8280</v>
      </c>
      <c r="AN799" s="15">
        <v>743</v>
      </c>
      <c r="AO799" s="15" t="s">
        <v>8281</v>
      </c>
      <c r="AQ799" s="20" t="s">
        <v>168</v>
      </c>
      <c r="AT799" s="15" t="s">
        <v>8282</v>
      </c>
      <c r="AU799" s="15" t="s">
        <v>8283</v>
      </c>
      <c r="AV799" s="15" t="s">
        <v>8283</v>
      </c>
      <c r="AW799" s="15" t="s">
        <v>8284</v>
      </c>
      <c r="AX799" s="15" t="s">
        <v>8284</v>
      </c>
      <c r="AY799" s="15">
        <f t="shared" si="15"/>
        <v>60</v>
      </c>
      <c r="AZ799" s="15" t="s">
        <v>604</v>
      </c>
      <c r="BA799" s="15" t="s">
        <v>174</v>
      </c>
      <c r="BB799" s="15" t="s">
        <v>8266</v>
      </c>
      <c r="BE799" s="15" t="s">
        <v>2926</v>
      </c>
      <c r="BF799" s="15" t="s">
        <v>7118</v>
      </c>
      <c r="BI799" s="20" t="s">
        <v>1905</v>
      </c>
      <c r="BJ799" s="15" t="s">
        <v>8276</v>
      </c>
      <c r="BN799" s="15" t="s">
        <v>179</v>
      </c>
      <c r="BP799" s="15" t="s">
        <v>138</v>
      </c>
      <c r="BS799" s="15" t="s">
        <v>8285</v>
      </c>
      <c r="DH799" s="15" t="s">
        <v>17982</v>
      </c>
      <c r="DI799" s="15" t="s">
        <v>17982</v>
      </c>
    </row>
    <row r="800" spans="1:113" s="15" customFormat="1" ht="12.75" x14ac:dyDescent="0.2">
      <c r="A800" s="15" t="s">
        <v>109</v>
      </c>
      <c r="B800" s="15" t="s">
        <v>110</v>
      </c>
      <c r="D800" s="15" t="s">
        <v>1045</v>
      </c>
      <c r="E800" s="15" t="s">
        <v>112</v>
      </c>
      <c r="F800" s="15" t="s">
        <v>1045</v>
      </c>
      <c r="G800" s="15" t="s">
        <v>113</v>
      </c>
      <c r="H800" s="15" t="s">
        <v>383</v>
      </c>
      <c r="J800" s="16" t="s">
        <v>114</v>
      </c>
      <c r="U800" s="15" t="s">
        <v>17977</v>
      </c>
      <c r="W800" s="15">
        <v>1579</v>
      </c>
      <c r="X800" s="15">
        <v>810</v>
      </c>
      <c r="Y800" s="15" t="s">
        <v>160</v>
      </c>
      <c r="Z800" s="15" t="s">
        <v>161</v>
      </c>
      <c r="AA800" s="15" t="s">
        <v>162</v>
      </c>
      <c r="AB800" s="15" t="s">
        <v>8294</v>
      </c>
      <c r="AC800" s="15" t="s">
        <v>8294</v>
      </c>
      <c r="AD800" s="15" t="s">
        <v>8294</v>
      </c>
      <c r="AE800" s="15" t="s">
        <v>164</v>
      </c>
      <c r="AF800" s="15" t="s">
        <v>8294</v>
      </c>
      <c r="AG800" s="15" t="s">
        <v>8294</v>
      </c>
      <c r="AH800" s="38" t="s">
        <v>8295</v>
      </c>
      <c r="AL800" s="15" t="s">
        <v>8296</v>
      </c>
      <c r="AN800" s="15">
        <v>743</v>
      </c>
      <c r="AO800" s="15" t="s">
        <v>8297</v>
      </c>
      <c r="AQ800" s="20" t="s">
        <v>168</v>
      </c>
      <c r="AT800" s="15" t="s">
        <v>8298</v>
      </c>
      <c r="AU800" s="15" t="s">
        <v>8299</v>
      </c>
      <c r="AV800" s="15" t="s">
        <v>8299</v>
      </c>
      <c r="AW800" s="15" t="s">
        <v>8300</v>
      </c>
      <c r="AX800" s="15" t="s">
        <v>8300</v>
      </c>
      <c r="AY800" s="15">
        <f t="shared" si="15"/>
        <v>60</v>
      </c>
      <c r="AZ800" s="15" t="s">
        <v>604</v>
      </c>
      <c r="BA800" s="15" t="s">
        <v>174</v>
      </c>
      <c r="BB800" s="15" t="s">
        <v>8266</v>
      </c>
      <c r="BE800" s="15" t="s">
        <v>2926</v>
      </c>
      <c r="BF800" s="15" t="s">
        <v>8088</v>
      </c>
      <c r="BI800" s="20" t="s">
        <v>1905</v>
      </c>
      <c r="BJ800" s="15" t="s">
        <v>8276</v>
      </c>
      <c r="BN800" s="15" t="s">
        <v>179</v>
      </c>
      <c r="BP800" s="15" t="s">
        <v>138</v>
      </c>
      <c r="BS800" s="15" t="s">
        <v>8301</v>
      </c>
      <c r="DH800" s="15" t="s">
        <v>17982</v>
      </c>
      <c r="DI800" s="15" t="s">
        <v>17982</v>
      </c>
    </row>
    <row r="801" spans="1:113" s="15" customFormat="1" ht="12.75" x14ac:dyDescent="0.2">
      <c r="A801" s="15" t="s">
        <v>109</v>
      </c>
      <c r="B801" s="15" t="s">
        <v>110</v>
      </c>
      <c r="D801" s="15" t="s">
        <v>1045</v>
      </c>
      <c r="E801" s="15" t="s">
        <v>112</v>
      </c>
      <c r="F801" s="15" t="s">
        <v>1045</v>
      </c>
      <c r="G801" s="15" t="s">
        <v>113</v>
      </c>
      <c r="H801" s="15" t="s">
        <v>383</v>
      </c>
      <c r="J801" s="16" t="s">
        <v>114</v>
      </c>
      <c r="U801" s="15" t="s">
        <v>17977</v>
      </c>
      <c r="W801" s="15">
        <v>1580</v>
      </c>
      <c r="X801" s="15">
        <v>811</v>
      </c>
      <c r="Y801" s="15" t="s">
        <v>160</v>
      </c>
      <c r="Z801" s="15" t="s">
        <v>161</v>
      </c>
      <c r="AA801" s="15" t="s">
        <v>162</v>
      </c>
      <c r="AB801" s="15" t="s">
        <v>8302</v>
      </c>
      <c r="AC801" s="15" t="s">
        <v>8302</v>
      </c>
      <c r="AD801" s="15" t="s">
        <v>8302</v>
      </c>
      <c r="AE801" s="15" t="s">
        <v>164</v>
      </c>
      <c r="AF801" s="15" t="s">
        <v>8302</v>
      </c>
      <c r="AG801" s="15" t="s">
        <v>8302</v>
      </c>
      <c r="AH801" s="38" t="s">
        <v>8303</v>
      </c>
      <c r="AL801" s="15" t="s">
        <v>8304</v>
      </c>
      <c r="AN801" s="15">
        <v>743</v>
      </c>
      <c r="AO801" s="15" t="s">
        <v>8305</v>
      </c>
      <c r="AQ801" s="20" t="s">
        <v>168</v>
      </c>
      <c r="AT801" s="15" t="s">
        <v>8306</v>
      </c>
      <c r="AU801" s="15" t="s">
        <v>8307</v>
      </c>
      <c r="AV801" s="15" t="s">
        <v>8307</v>
      </c>
      <c r="AW801" s="15" t="s">
        <v>8308</v>
      </c>
      <c r="AX801" s="15" t="s">
        <v>8308</v>
      </c>
      <c r="AY801" s="15">
        <f t="shared" si="15"/>
        <v>60</v>
      </c>
      <c r="AZ801" s="15" t="s">
        <v>604</v>
      </c>
      <c r="BA801" s="15" t="s">
        <v>174</v>
      </c>
      <c r="BB801" s="15" t="s">
        <v>8266</v>
      </c>
      <c r="BE801" s="15" t="s">
        <v>2926</v>
      </c>
      <c r="BF801" s="15" t="s">
        <v>8309</v>
      </c>
      <c r="BI801" s="20" t="s">
        <v>1905</v>
      </c>
      <c r="BJ801" s="15" t="s">
        <v>8276</v>
      </c>
      <c r="BN801" s="15" t="s">
        <v>179</v>
      </c>
      <c r="BP801" s="15" t="s">
        <v>138</v>
      </c>
      <c r="BS801" s="15" t="s">
        <v>8310</v>
      </c>
      <c r="DH801" s="15" t="s">
        <v>17982</v>
      </c>
      <c r="DI801" s="15" t="s">
        <v>17982</v>
      </c>
    </row>
    <row r="802" spans="1:113" s="15" customFormat="1" ht="12.75" x14ac:dyDescent="0.2">
      <c r="A802" s="15" t="s">
        <v>109</v>
      </c>
      <c r="B802" s="15" t="s">
        <v>110</v>
      </c>
      <c r="D802" s="15" t="s">
        <v>1045</v>
      </c>
      <c r="E802" s="15" t="s">
        <v>112</v>
      </c>
      <c r="F802" s="15" t="s">
        <v>1045</v>
      </c>
      <c r="G802" s="15" t="s">
        <v>113</v>
      </c>
      <c r="H802" s="15" t="s">
        <v>383</v>
      </c>
      <c r="J802" s="16" t="s">
        <v>114</v>
      </c>
      <c r="U802" s="15" t="s">
        <v>17977</v>
      </c>
      <c r="W802" s="15">
        <v>673</v>
      </c>
      <c r="X802" s="15">
        <v>812</v>
      </c>
      <c r="Y802" s="15" t="s">
        <v>160</v>
      </c>
      <c r="Z802" s="15" t="s">
        <v>161</v>
      </c>
      <c r="AA802" s="15" t="s">
        <v>162</v>
      </c>
      <c r="AB802" s="15" t="s">
        <v>2375</v>
      </c>
      <c r="AC802" s="15" t="s">
        <v>2375</v>
      </c>
      <c r="AD802" s="15" t="s">
        <v>2375</v>
      </c>
      <c r="AE802" s="15" t="s">
        <v>164</v>
      </c>
      <c r="AF802" s="15" t="s">
        <v>2375</v>
      </c>
      <c r="AG802" s="15" t="s">
        <v>2375</v>
      </c>
      <c r="AH802" s="38" t="s">
        <v>2376</v>
      </c>
      <c r="AL802" s="15" t="s">
        <v>2377</v>
      </c>
      <c r="AN802" s="15">
        <v>743</v>
      </c>
      <c r="AO802" s="15" t="s">
        <v>2378</v>
      </c>
      <c r="AQ802" s="20" t="s">
        <v>168</v>
      </c>
      <c r="AT802" s="15" t="s">
        <v>2379</v>
      </c>
      <c r="AU802" s="15" t="s">
        <v>2380</v>
      </c>
      <c r="AV802" s="15" t="s">
        <v>2380</v>
      </c>
      <c r="AW802" s="15" t="s">
        <v>2381</v>
      </c>
      <c r="AX802" s="15" t="s">
        <v>2382</v>
      </c>
      <c r="AY802" s="15">
        <f t="shared" si="15"/>
        <v>58</v>
      </c>
      <c r="AZ802" s="15" t="s">
        <v>604</v>
      </c>
      <c r="BA802" s="15" t="s">
        <v>174</v>
      </c>
      <c r="BB802" s="15" t="s">
        <v>2370</v>
      </c>
      <c r="BE802" s="15" t="s">
        <v>2371</v>
      </c>
      <c r="BF802" s="15" t="s">
        <v>2383</v>
      </c>
      <c r="BJ802" s="15" t="s">
        <v>2373</v>
      </c>
      <c r="BN802" s="15" t="s">
        <v>179</v>
      </c>
      <c r="BP802" s="15" t="s">
        <v>138</v>
      </c>
      <c r="BS802" s="15" t="s">
        <v>2384</v>
      </c>
      <c r="DH802" s="15" t="s">
        <v>17982</v>
      </c>
      <c r="DI802" s="15" t="s">
        <v>17982</v>
      </c>
    </row>
    <row r="803" spans="1:113" s="15" customFormat="1" ht="12.75" x14ac:dyDescent="0.2">
      <c r="A803" s="15" t="s">
        <v>109</v>
      </c>
      <c r="B803" s="15" t="s">
        <v>110</v>
      </c>
      <c r="D803" s="15" t="s">
        <v>1045</v>
      </c>
      <c r="E803" s="15" t="s">
        <v>112</v>
      </c>
      <c r="F803" s="15" t="s">
        <v>1045</v>
      </c>
      <c r="G803" s="15" t="s">
        <v>113</v>
      </c>
      <c r="H803" s="15" t="s">
        <v>383</v>
      </c>
      <c r="J803" s="16" t="s">
        <v>114</v>
      </c>
      <c r="U803" s="15" t="s">
        <v>17977</v>
      </c>
      <c r="W803" s="15">
        <v>672</v>
      </c>
      <c r="X803" s="15">
        <v>813</v>
      </c>
      <c r="Y803" s="15" t="s">
        <v>160</v>
      </c>
      <c r="Z803" s="15" t="s">
        <v>161</v>
      </c>
      <c r="AA803" s="15" t="s">
        <v>162</v>
      </c>
      <c r="AB803" s="15" t="s">
        <v>2362</v>
      </c>
      <c r="AC803" s="15" t="s">
        <v>2362</v>
      </c>
      <c r="AD803" s="15" t="s">
        <v>2362</v>
      </c>
      <c r="AE803" s="15" t="s">
        <v>164</v>
      </c>
      <c r="AF803" s="15" t="s">
        <v>2362</v>
      </c>
      <c r="AG803" s="15" t="s">
        <v>2362</v>
      </c>
      <c r="AH803" s="38" t="s">
        <v>2363</v>
      </c>
      <c r="AL803" s="15" t="s">
        <v>2364</v>
      </c>
      <c r="AN803" s="15">
        <v>743</v>
      </c>
      <c r="AO803" s="15" t="s">
        <v>2365</v>
      </c>
      <c r="AQ803" s="20" t="s">
        <v>168</v>
      </c>
      <c r="AT803" s="15" t="s">
        <v>2366</v>
      </c>
      <c r="AU803" s="15" t="s">
        <v>2367</v>
      </c>
      <c r="AV803" s="15" t="s">
        <v>2367</v>
      </c>
      <c r="AW803" s="15" t="s">
        <v>2368</v>
      </c>
      <c r="AX803" s="15" t="s">
        <v>2369</v>
      </c>
      <c r="AY803" s="15">
        <f t="shared" si="15"/>
        <v>56</v>
      </c>
      <c r="AZ803" s="15" t="s">
        <v>604</v>
      </c>
      <c r="BA803" s="15" t="s">
        <v>174</v>
      </c>
      <c r="BB803" s="15" t="s">
        <v>2370</v>
      </c>
      <c r="BE803" s="15" t="s">
        <v>2371</v>
      </c>
      <c r="BF803" s="15" t="s">
        <v>2372</v>
      </c>
      <c r="BJ803" s="15" t="s">
        <v>2373</v>
      </c>
      <c r="BN803" s="15" t="s">
        <v>179</v>
      </c>
      <c r="BP803" s="15" t="s">
        <v>138</v>
      </c>
      <c r="BS803" s="15" t="s">
        <v>2374</v>
      </c>
      <c r="DH803" s="15" t="s">
        <v>17982</v>
      </c>
      <c r="DI803" s="15" t="s">
        <v>17982</v>
      </c>
    </row>
    <row r="804" spans="1:113" s="15" customFormat="1" ht="12.75" x14ac:dyDescent="0.2">
      <c r="A804" s="15" t="s">
        <v>109</v>
      </c>
      <c r="B804" s="15" t="s">
        <v>110</v>
      </c>
      <c r="D804" s="15" t="s">
        <v>1045</v>
      </c>
      <c r="E804" s="15" t="s">
        <v>112</v>
      </c>
      <c r="F804" s="15" t="s">
        <v>1045</v>
      </c>
      <c r="G804" s="15" t="s">
        <v>113</v>
      </c>
      <c r="H804" s="15" t="s">
        <v>383</v>
      </c>
      <c r="J804" s="16" t="s">
        <v>114</v>
      </c>
      <c r="U804" s="15" t="s">
        <v>17977</v>
      </c>
      <c r="W804" s="15">
        <v>740</v>
      </c>
      <c r="X804" s="15">
        <v>814</v>
      </c>
      <c r="Y804" s="15" t="s">
        <v>160</v>
      </c>
      <c r="Z804" s="15" t="s">
        <v>161</v>
      </c>
      <c r="AA804" s="15" t="s">
        <v>162</v>
      </c>
      <c r="AB804" s="15" t="s">
        <v>3116</v>
      </c>
      <c r="AC804" s="15" t="s">
        <v>3116</v>
      </c>
      <c r="AD804" s="15" t="s">
        <v>3116</v>
      </c>
      <c r="AE804" s="15" t="s">
        <v>164</v>
      </c>
      <c r="AF804" s="15" t="s">
        <v>3116</v>
      </c>
      <c r="AG804" s="15" t="s">
        <v>3116</v>
      </c>
      <c r="AH804" s="38" t="s">
        <v>3117</v>
      </c>
      <c r="AL804" s="15" t="s">
        <v>3118</v>
      </c>
      <c r="AN804" s="15">
        <v>743</v>
      </c>
      <c r="AO804" s="15" t="s">
        <v>3119</v>
      </c>
      <c r="AQ804" s="20" t="s">
        <v>168</v>
      </c>
      <c r="AT804" s="15" t="s">
        <v>3120</v>
      </c>
      <c r="AU804" s="15" t="s">
        <v>3121</v>
      </c>
      <c r="AV804" s="15" t="s">
        <v>3121</v>
      </c>
      <c r="AW804" s="15" t="s">
        <v>3122</v>
      </c>
      <c r="AX804" s="15" t="s">
        <v>3123</v>
      </c>
      <c r="AY804" s="15">
        <f t="shared" si="15"/>
        <v>53</v>
      </c>
      <c r="AZ804" s="15" t="s">
        <v>604</v>
      </c>
      <c r="BA804" s="15" t="s">
        <v>174</v>
      </c>
      <c r="BB804" s="15" t="s">
        <v>2370</v>
      </c>
      <c r="BE804" s="15" t="s">
        <v>3112</v>
      </c>
      <c r="BF804" s="15" t="s">
        <v>2372</v>
      </c>
      <c r="BJ804" s="20" t="s">
        <v>3114</v>
      </c>
      <c r="BN804" s="15" t="s">
        <v>179</v>
      </c>
      <c r="BP804" s="15" t="s">
        <v>138</v>
      </c>
      <c r="BS804" s="15" t="s">
        <v>3124</v>
      </c>
      <c r="DH804" s="15" t="s">
        <v>17982</v>
      </c>
      <c r="DI804" s="15" t="s">
        <v>17982</v>
      </c>
    </row>
    <row r="805" spans="1:113" s="15" customFormat="1" ht="12.75" x14ac:dyDescent="0.2">
      <c r="A805" s="15" t="s">
        <v>109</v>
      </c>
      <c r="B805" s="15" t="s">
        <v>110</v>
      </c>
      <c r="D805" s="15" t="s">
        <v>1045</v>
      </c>
      <c r="E805" s="15" t="s">
        <v>112</v>
      </c>
      <c r="F805" s="15" t="s">
        <v>1045</v>
      </c>
      <c r="G805" s="15" t="s">
        <v>113</v>
      </c>
      <c r="H805" s="15" t="s">
        <v>383</v>
      </c>
      <c r="J805" s="16" t="s">
        <v>114</v>
      </c>
      <c r="U805" s="15" t="s">
        <v>17977</v>
      </c>
      <c r="W805" s="15">
        <v>741</v>
      </c>
      <c r="X805" s="15">
        <v>815</v>
      </c>
      <c r="Y805" s="15" t="s">
        <v>160</v>
      </c>
      <c r="Z805" s="15" t="s">
        <v>161</v>
      </c>
      <c r="AA805" s="15" t="s">
        <v>162</v>
      </c>
      <c r="AB805" s="15" t="s">
        <v>3125</v>
      </c>
      <c r="AC805" s="15" t="s">
        <v>3125</v>
      </c>
      <c r="AD805" s="15" t="s">
        <v>3125</v>
      </c>
      <c r="AE805" s="15" t="s">
        <v>164</v>
      </c>
      <c r="AF805" s="15" t="s">
        <v>3125</v>
      </c>
      <c r="AG805" s="15" t="s">
        <v>3125</v>
      </c>
      <c r="AH805" s="38" t="s">
        <v>3126</v>
      </c>
      <c r="AL805" s="15" t="s">
        <v>3127</v>
      </c>
      <c r="AN805" s="15">
        <v>743</v>
      </c>
      <c r="AO805" s="15" t="s">
        <v>3128</v>
      </c>
      <c r="AQ805" s="20" t="s">
        <v>168</v>
      </c>
      <c r="AT805" s="15" t="s">
        <v>3129</v>
      </c>
      <c r="AU805" s="15" t="s">
        <v>3130</v>
      </c>
      <c r="AV805" s="15" t="s">
        <v>3130</v>
      </c>
      <c r="AW805" s="15" t="s">
        <v>3131</v>
      </c>
      <c r="AX805" s="15" t="s">
        <v>3132</v>
      </c>
      <c r="AY805" s="15">
        <f t="shared" si="15"/>
        <v>53</v>
      </c>
      <c r="AZ805" s="15" t="s">
        <v>604</v>
      </c>
      <c r="BA805" s="15" t="s">
        <v>174</v>
      </c>
      <c r="BB805" s="15" t="s">
        <v>2370</v>
      </c>
      <c r="BE805" s="15" t="s">
        <v>3112</v>
      </c>
      <c r="BF805" s="15" t="s">
        <v>2905</v>
      </c>
      <c r="BJ805" s="20" t="s">
        <v>3114</v>
      </c>
      <c r="BN805" s="15" t="s">
        <v>179</v>
      </c>
      <c r="BP805" s="15" t="s">
        <v>138</v>
      </c>
      <c r="BS805" s="15" t="s">
        <v>3133</v>
      </c>
      <c r="DH805" s="15" t="s">
        <v>17982</v>
      </c>
      <c r="DI805" s="15" t="s">
        <v>17982</v>
      </c>
    </row>
    <row r="806" spans="1:113" s="15" customFormat="1" ht="12.75" x14ac:dyDescent="0.2">
      <c r="A806" s="15" t="s">
        <v>109</v>
      </c>
      <c r="B806" s="15" t="s">
        <v>110</v>
      </c>
      <c r="D806" s="15" t="s">
        <v>1045</v>
      </c>
      <c r="E806" s="15" t="s">
        <v>112</v>
      </c>
      <c r="F806" s="15" t="s">
        <v>1045</v>
      </c>
      <c r="G806" s="15" t="s">
        <v>113</v>
      </c>
      <c r="H806" s="15" t="s">
        <v>383</v>
      </c>
      <c r="J806" s="16" t="s">
        <v>114</v>
      </c>
      <c r="U806" s="15" t="s">
        <v>17977</v>
      </c>
      <c r="W806" s="15">
        <v>739</v>
      </c>
      <c r="X806" s="15">
        <v>816</v>
      </c>
      <c r="Y806" s="15" t="s">
        <v>160</v>
      </c>
      <c r="Z806" s="15" t="s">
        <v>161</v>
      </c>
      <c r="AA806" s="15" t="s">
        <v>162</v>
      </c>
      <c r="AB806" s="15" t="s">
        <v>3104</v>
      </c>
      <c r="AC806" s="15" t="s">
        <v>3104</v>
      </c>
      <c r="AD806" s="15" t="s">
        <v>3104</v>
      </c>
      <c r="AE806" s="15" t="s">
        <v>164</v>
      </c>
      <c r="AF806" s="15" t="s">
        <v>3104</v>
      </c>
      <c r="AG806" s="15" t="s">
        <v>3104</v>
      </c>
      <c r="AH806" s="38" t="s">
        <v>3105</v>
      </c>
      <c r="AL806" s="15" t="s">
        <v>3106</v>
      </c>
      <c r="AN806" s="15">
        <v>743</v>
      </c>
      <c r="AO806" s="15" t="s">
        <v>3107</v>
      </c>
      <c r="AQ806" s="20" t="s">
        <v>168</v>
      </c>
      <c r="AT806" s="15" t="s">
        <v>3108</v>
      </c>
      <c r="AU806" s="15" t="s">
        <v>3109</v>
      </c>
      <c r="AV806" s="15" t="s">
        <v>3109</v>
      </c>
      <c r="AW806" s="15" t="s">
        <v>3110</v>
      </c>
      <c r="AX806" s="15" t="s">
        <v>3111</v>
      </c>
      <c r="AY806" s="15">
        <f t="shared" si="15"/>
        <v>54</v>
      </c>
      <c r="AZ806" s="15" t="s">
        <v>604</v>
      </c>
      <c r="BA806" s="15" t="s">
        <v>174</v>
      </c>
      <c r="BB806" s="15" t="s">
        <v>2370</v>
      </c>
      <c r="BE806" s="15" t="s">
        <v>3112</v>
      </c>
      <c r="BF806" s="15" t="s">
        <v>3113</v>
      </c>
      <c r="BJ806" s="20" t="s">
        <v>3114</v>
      </c>
      <c r="BN806" s="15" t="s">
        <v>179</v>
      </c>
      <c r="BP806" s="15" t="s">
        <v>138</v>
      </c>
      <c r="BS806" s="15" t="s">
        <v>3115</v>
      </c>
      <c r="DH806" s="15" t="s">
        <v>17982</v>
      </c>
      <c r="DI806" s="15" t="s">
        <v>17982</v>
      </c>
    </row>
    <row r="807" spans="1:113" s="15" customFormat="1" ht="12.75" x14ac:dyDescent="0.2">
      <c r="A807" s="15" t="s">
        <v>109</v>
      </c>
      <c r="B807" s="15" t="s">
        <v>110</v>
      </c>
      <c r="D807" s="15" t="s">
        <v>1045</v>
      </c>
      <c r="E807" s="15" t="s">
        <v>112</v>
      </c>
      <c r="F807" s="15" t="s">
        <v>1045</v>
      </c>
      <c r="G807" s="15" t="s">
        <v>113</v>
      </c>
      <c r="H807" s="15" t="s">
        <v>383</v>
      </c>
      <c r="J807" s="16" t="s">
        <v>114</v>
      </c>
      <c r="U807" s="15" t="s">
        <v>17977</v>
      </c>
      <c r="W807" s="15">
        <v>691</v>
      </c>
      <c r="X807" s="15">
        <v>817</v>
      </c>
      <c r="Y807" s="15" t="s">
        <v>160</v>
      </c>
      <c r="Z807" s="15" t="s">
        <v>161</v>
      </c>
      <c r="AA807" s="15" t="s">
        <v>162</v>
      </c>
      <c r="AB807" s="15" t="s">
        <v>2573</v>
      </c>
      <c r="AC807" s="15" t="s">
        <v>2573</v>
      </c>
      <c r="AD807" s="15" t="s">
        <v>2573</v>
      </c>
      <c r="AE807" s="15" t="s">
        <v>164</v>
      </c>
      <c r="AF807" s="15" t="s">
        <v>2573</v>
      </c>
      <c r="AG807" s="15" t="s">
        <v>2573</v>
      </c>
      <c r="AH807" s="38" t="s">
        <v>2574</v>
      </c>
      <c r="AL807" s="15" t="s">
        <v>2575</v>
      </c>
      <c r="AN807" s="15">
        <v>743</v>
      </c>
      <c r="AO807" s="15" t="s">
        <v>2576</v>
      </c>
      <c r="AQ807" s="20" t="s">
        <v>168</v>
      </c>
      <c r="AT807" s="15" t="s">
        <v>2577</v>
      </c>
      <c r="AU807" s="15" t="s">
        <v>2578</v>
      </c>
      <c r="AV807" s="15" t="s">
        <v>2578</v>
      </c>
      <c r="AW807" s="15" t="s">
        <v>2579</v>
      </c>
      <c r="AX807" s="15" t="s">
        <v>2580</v>
      </c>
      <c r="AY807" s="15">
        <f t="shared" si="15"/>
        <v>60</v>
      </c>
      <c r="AZ807" s="15" t="s">
        <v>604</v>
      </c>
      <c r="BA807" s="15" t="s">
        <v>174</v>
      </c>
      <c r="BB807" s="15" t="s">
        <v>2370</v>
      </c>
      <c r="BE807" s="15" t="s">
        <v>176</v>
      </c>
      <c r="BF807" s="15" t="s">
        <v>918</v>
      </c>
      <c r="BI807" s="15" t="s">
        <v>2581</v>
      </c>
      <c r="BJ807" s="15" t="s">
        <v>2582</v>
      </c>
      <c r="BN807" s="15" t="s">
        <v>179</v>
      </c>
      <c r="BP807" s="15" t="s">
        <v>138</v>
      </c>
      <c r="BS807" s="15" t="s">
        <v>2583</v>
      </c>
      <c r="DH807" s="15" t="s">
        <v>17982</v>
      </c>
      <c r="DI807" s="15" t="s">
        <v>17982</v>
      </c>
    </row>
    <row r="808" spans="1:113" s="15" customFormat="1" ht="12.75" x14ac:dyDescent="0.2">
      <c r="A808" s="15" t="s">
        <v>109</v>
      </c>
      <c r="B808" s="15" t="s">
        <v>110</v>
      </c>
      <c r="D808" s="15" t="s">
        <v>1045</v>
      </c>
      <c r="E808" s="15" t="s">
        <v>112</v>
      </c>
      <c r="F808" s="15" t="s">
        <v>1045</v>
      </c>
      <c r="G808" s="15" t="s">
        <v>113</v>
      </c>
      <c r="H808" s="15" t="s">
        <v>383</v>
      </c>
      <c r="J808" s="16" t="s">
        <v>114</v>
      </c>
      <c r="U808" s="15" t="s">
        <v>17977</v>
      </c>
      <c r="W808" s="15">
        <v>692</v>
      </c>
      <c r="X808" s="15">
        <v>818</v>
      </c>
      <c r="Y808" s="15" t="s">
        <v>160</v>
      </c>
      <c r="Z808" s="15" t="s">
        <v>161</v>
      </c>
      <c r="AA808" s="15" t="s">
        <v>162</v>
      </c>
      <c r="AB808" s="15" t="s">
        <v>2584</v>
      </c>
      <c r="AC808" s="15" t="s">
        <v>2584</v>
      </c>
      <c r="AD808" s="15" t="s">
        <v>2584</v>
      </c>
      <c r="AE808" s="15" t="s">
        <v>164</v>
      </c>
      <c r="AF808" s="15" t="s">
        <v>2584</v>
      </c>
      <c r="AG808" s="15" t="s">
        <v>2584</v>
      </c>
      <c r="AH808" s="38" t="s">
        <v>2585</v>
      </c>
      <c r="AL808" s="15" t="s">
        <v>2575</v>
      </c>
      <c r="AN808" s="15">
        <v>743</v>
      </c>
      <c r="AO808" s="15" t="s">
        <v>2586</v>
      </c>
      <c r="AQ808" s="20" t="s">
        <v>168</v>
      </c>
      <c r="AT808" s="15" t="s">
        <v>2587</v>
      </c>
      <c r="AU808" s="15" t="s">
        <v>2588</v>
      </c>
      <c r="AV808" s="15" t="s">
        <v>2588</v>
      </c>
      <c r="AW808" s="15" t="s">
        <v>2589</v>
      </c>
      <c r="AX808" s="15" t="s">
        <v>2590</v>
      </c>
      <c r="AY808" s="15">
        <f t="shared" si="15"/>
        <v>60</v>
      </c>
      <c r="AZ808" s="15" t="s">
        <v>604</v>
      </c>
      <c r="BA808" s="15" t="s">
        <v>174</v>
      </c>
      <c r="BB808" s="15" t="s">
        <v>2370</v>
      </c>
      <c r="BE808" s="15" t="s">
        <v>2591</v>
      </c>
      <c r="BF808" s="15" t="s">
        <v>2008</v>
      </c>
      <c r="BI808" s="15" t="s">
        <v>2592</v>
      </c>
      <c r="BJ808" s="15" t="s">
        <v>2582</v>
      </c>
      <c r="BN808" s="15" t="s">
        <v>179</v>
      </c>
      <c r="BP808" s="15" t="s">
        <v>138</v>
      </c>
      <c r="BS808" s="15" t="s">
        <v>2593</v>
      </c>
      <c r="DH808" s="15" t="s">
        <v>17982</v>
      </c>
      <c r="DI808" s="15" t="s">
        <v>17982</v>
      </c>
    </row>
    <row r="809" spans="1:113" s="15" customFormat="1" ht="12.75" x14ac:dyDescent="0.2">
      <c r="A809" s="15" t="s">
        <v>109</v>
      </c>
      <c r="B809" s="15" t="s">
        <v>110</v>
      </c>
      <c r="D809" s="15" t="s">
        <v>1045</v>
      </c>
      <c r="E809" s="15" t="s">
        <v>112</v>
      </c>
      <c r="F809" s="15" t="s">
        <v>1045</v>
      </c>
      <c r="G809" s="15" t="s">
        <v>113</v>
      </c>
      <c r="H809" s="15" t="s">
        <v>383</v>
      </c>
      <c r="J809" s="16" t="s">
        <v>114</v>
      </c>
      <c r="U809" s="15" t="s">
        <v>17977</v>
      </c>
      <c r="W809" s="15">
        <v>710</v>
      </c>
      <c r="X809" s="15">
        <v>819</v>
      </c>
      <c r="Y809" s="15" t="s">
        <v>160</v>
      </c>
      <c r="Z809" s="15" t="s">
        <v>161</v>
      </c>
      <c r="AA809" s="15" t="s">
        <v>162</v>
      </c>
      <c r="AB809" s="15" t="s">
        <v>2787</v>
      </c>
      <c r="AC809" s="15" t="s">
        <v>2787</v>
      </c>
      <c r="AD809" s="15" t="s">
        <v>2787</v>
      </c>
      <c r="AE809" s="15" t="s">
        <v>164</v>
      </c>
      <c r="AF809" s="15" t="s">
        <v>2787</v>
      </c>
      <c r="AG809" s="15" t="s">
        <v>2787</v>
      </c>
      <c r="AH809" s="38" t="s">
        <v>2788</v>
      </c>
      <c r="AL809" s="15" t="s">
        <v>2789</v>
      </c>
      <c r="AN809" s="15">
        <v>743</v>
      </c>
      <c r="AO809" s="15" t="s">
        <v>2790</v>
      </c>
      <c r="AQ809" s="20" t="s">
        <v>168</v>
      </c>
      <c r="AT809" s="15" t="s">
        <v>2791</v>
      </c>
      <c r="AU809" s="15" t="s">
        <v>2792</v>
      </c>
      <c r="AV809" s="15" t="s">
        <v>2792</v>
      </c>
      <c r="AW809" s="15" t="s">
        <v>2793</v>
      </c>
      <c r="AX809" s="15" t="s">
        <v>2794</v>
      </c>
      <c r="AY809" s="15">
        <f t="shared" si="15"/>
        <v>58</v>
      </c>
      <c r="AZ809" s="15" t="s">
        <v>604</v>
      </c>
      <c r="BA809" s="15" t="s">
        <v>174</v>
      </c>
      <c r="BB809" s="15" t="s">
        <v>2370</v>
      </c>
      <c r="BE809" s="15" t="s">
        <v>275</v>
      </c>
      <c r="BF809" s="15" t="s">
        <v>2795</v>
      </c>
      <c r="BJ809" s="15" t="s">
        <v>2796</v>
      </c>
      <c r="BN809" s="15" t="s">
        <v>179</v>
      </c>
      <c r="BP809" s="15" t="s">
        <v>138</v>
      </c>
      <c r="BS809" s="15" t="s">
        <v>2797</v>
      </c>
      <c r="DH809" s="15" t="s">
        <v>17982</v>
      </c>
      <c r="DI809" s="15" t="s">
        <v>17982</v>
      </c>
    </row>
    <row r="810" spans="1:113" s="15" customFormat="1" ht="12.75" x14ac:dyDescent="0.2">
      <c r="A810" s="15" t="s">
        <v>109</v>
      </c>
      <c r="B810" s="15" t="s">
        <v>110</v>
      </c>
      <c r="D810" s="15" t="s">
        <v>1045</v>
      </c>
      <c r="E810" s="15" t="s">
        <v>112</v>
      </c>
      <c r="F810" s="15" t="s">
        <v>1045</v>
      </c>
      <c r="G810" s="15" t="s">
        <v>113</v>
      </c>
      <c r="H810" s="15" t="s">
        <v>383</v>
      </c>
      <c r="J810" s="16" t="s">
        <v>114</v>
      </c>
      <c r="U810" s="15" t="s">
        <v>17977</v>
      </c>
      <c r="W810" s="15">
        <v>705</v>
      </c>
      <c r="X810" s="15">
        <v>820</v>
      </c>
      <c r="Y810" s="15" t="s">
        <v>160</v>
      </c>
      <c r="Z810" s="15" t="s">
        <v>161</v>
      </c>
      <c r="AA810" s="15" t="s">
        <v>162</v>
      </c>
      <c r="AB810" s="15" t="s">
        <v>2731</v>
      </c>
      <c r="AC810" s="15" t="s">
        <v>2731</v>
      </c>
      <c r="AD810" s="15" t="s">
        <v>2731</v>
      </c>
      <c r="AE810" s="15" t="s">
        <v>164</v>
      </c>
      <c r="AF810" s="15" t="s">
        <v>2731</v>
      </c>
      <c r="AG810" s="15" t="s">
        <v>2731</v>
      </c>
      <c r="AH810" s="38" t="s">
        <v>2732</v>
      </c>
      <c r="AL810" s="15" t="s">
        <v>2733</v>
      </c>
      <c r="AN810" s="15">
        <v>743</v>
      </c>
      <c r="AO810" s="15" t="s">
        <v>2734</v>
      </c>
      <c r="AQ810" s="20" t="s">
        <v>168</v>
      </c>
      <c r="AT810" s="15" t="s">
        <v>2735</v>
      </c>
      <c r="AU810" s="15" t="s">
        <v>2736</v>
      </c>
      <c r="AV810" s="15" t="s">
        <v>2736</v>
      </c>
      <c r="AW810" s="15" t="s">
        <v>2737</v>
      </c>
      <c r="AX810" s="15" t="s">
        <v>2738</v>
      </c>
      <c r="AY810" s="15">
        <f t="shared" si="15"/>
        <v>58</v>
      </c>
      <c r="AZ810" s="15" t="s">
        <v>604</v>
      </c>
      <c r="BA810" s="15" t="s">
        <v>174</v>
      </c>
      <c r="BB810" s="15" t="s">
        <v>2370</v>
      </c>
      <c r="BC810" s="15" t="s">
        <v>801</v>
      </c>
      <c r="BE810" s="15" t="s">
        <v>2739</v>
      </c>
      <c r="BF810" s="15" t="s">
        <v>1597</v>
      </c>
      <c r="BI810" s="15" t="s">
        <v>2740</v>
      </c>
      <c r="BJ810" s="15" t="s">
        <v>2741</v>
      </c>
      <c r="BN810" s="15" t="s">
        <v>179</v>
      </c>
      <c r="BP810" s="15" t="s">
        <v>138</v>
      </c>
      <c r="BS810" s="15" t="s">
        <v>2742</v>
      </c>
      <c r="DH810" s="15" t="s">
        <v>17982</v>
      </c>
      <c r="DI810" s="15" t="s">
        <v>17982</v>
      </c>
    </row>
    <row r="811" spans="1:113" s="15" customFormat="1" ht="12.75" x14ac:dyDescent="0.2">
      <c r="A811" s="15" t="s">
        <v>109</v>
      </c>
      <c r="B811" s="15" t="s">
        <v>110</v>
      </c>
      <c r="D811" s="15" t="s">
        <v>1045</v>
      </c>
      <c r="E811" s="15" t="s">
        <v>112</v>
      </c>
      <c r="F811" s="15" t="s">
        <v>1045</v>
      </c>
      <c r="G811" s="15" t="s">
        <v>113</v>
      </c>
      <c r="H811" s="15" t="s">
        <v>383</v>
      </c>
      <c r="J811" s="16" t="s">
        <v>114</v>
      </c>
      <c r="U811" s="15" t="s">
        <v>17977</v>
      </c>
      <c r="W811" s="15">
        <v>690</v>
      </c>
      <c r="X811" s="15">
        <v>821</v>
      </c>
      <c r="Y811" s="15" t="s">
        <v>160</v>
      </c>
      <c r="Z811" s="15" t="s">
        <v>161</v>
      </c>
      <c r="AA811" s="15" t="s">
        <v>162</v>
      </c>
      <c r="AB811" s="15" t="s">
        <v>2564</v>
      </c>
      <c r="AC811" s="15" t="s">
        <v>2564</v>
      </c>
      <c r="AD811" s="15" t="s">
        <v>2564</v>
      </c>
      <c r="AE811" s="15" t="s">
        <v>164</v>
      </c>
      <c r="AF811" s="15" t="s">
        <v>2564</v>
      </c>
      <c r="AG811" s="15" t="s">
        <v>2564</v>
      </c>
      <c r="AH811" s="38" t="s">
        <v>2565</v>
      </c>
      <c r="AL811" s="15" t="s">
        <v>2566</v>
      </c>
      <c r="AN811" s="15">
        <v>743</v>
      </c>
      <c r="AO811" s="15" t="s">
        <v>2567</v>
      </c>
      <c r="AQ811" s="20" t="s">
        <v>168</v>
      </c>
      <c r="AT811" s="15" t="s">
        <v>2568</v>
      </c>
      <c r="AU811" s="15" t="s">
        <v>2569</v>
      </c>
      <c r="AV811" s="15" t="s">
        <v>2569</v>
      </c>
      <c r="AW811" s="15" t="s">
        <v>2570</v>
      </c>
      <c r="AX811" s="15" t="s">
        <v>2570</v>
      </c>
      <c r="AY811" s="15">
        <f t="shared" si="15"/>
        <v>50</v>
      </c>
      <c r="AZ811" s="15" t="s">
        <v>604</v>
      </c>
      <c r="BA811" s="15" t="s">
        <v>174</v>
      </c>
      <c r="BB811" s="15" t="s">
        <v>2370</v>
      </c>
      <c r="BE811" s="15" t="s">
        <v>2405</v>
      </c>
      <c r="BF811" s="15" t="s">
        <v>2571</v>
      </c>
      <c r="BI811" s="15" t="s">
        <v>1905</v>
      </c>
      <c r="BJ811" s="15" t="s">
        <v>2185</v>
      </c>
      <c r="BN811" s="15" t="s">
        <v>179</v>
      </c>
      <c r="BP811" s="15" t="s">
        <v>138</v>
      </c>
      <c r="BS811" s="15" t="s">
        <v>2572</v>
      </c>
      <c r="DH811" s="15" t="s">
        <v>17982</v>
      </c>
      <c r="DI811" s="15" t="s">
        <v>17982</v>
      </c>
    </row>
    <row r="812" spans="1:113" s="15" customFormat="1" ht="12.75" x14ac:dyDescent="0.2">
      <c r="A812" s="15" t="s">
        <v>109</v>
      </c>
      <c r="B812" s="15" t="s">
        <v>110</v>
      </c>
      <c r="D812" s="15" t="s">
        <v>1045</v>
      </c>
      <c r="E812" s="15" t="s">
        <v>112</v>
      </c>
      <c r="F812" s="15" t="s">
        <v>1045</v>
      </c>
      <c r="G812" s="15" t="s">
        <v>2494</v>
      </c>
      <c r="H812" s="15" t="s">
        <v>383</v>
      </c>
      <c r="J812" s="16" t="s">
        <v>114</v>
      </c>
      <c r="U812" s="15" t="s">
        <v>17977</v>
      </c>
      <c r="W812" s="15">
        <v>684</v>
      </c>
      <c r="X812" s="15">
        <v>822</v>
      </c>
      <c r="Y812" s="15" t="s">
        <v>160</v>
      </c>
      <c r="Z812" s="15" t="s">
        <v>161</v>
      </c>
      <c r="AA812" s="15" t="s">
        <v>162</v>
      </c>
      <c r="AB812" s="15" t="s">
        <v>2495</v>
      </c>
      <c r="AC812" s="15" t="s">
        <v>2495</v>
      </c>
      <c r="AD812" s="15" t="s">
        <v>2495</v>
      </c>
      <c r="AE812" s="15" t="s">
        <v>164</v>
      </c>
      <c r="AF812" s="15" t="s">
        <v>2495</v>
      </c>
      <c r="AG812" s="15" t="s">
        <v>2495</v>
      </c>
      <c r="AH812" s="38" t="s">
        <v>2496</v>
      </c>
      <c r="AL812" s="15" t="s">
        <v>2497</v>
      </c>
      <c r="AN812" s="15">
        <v>743</v>
      </c>
      <c r="AO812" s="15" t="s">
        <v>2498</v>
      </c>
      <c r="AQ812" s="20" t="s">
        <v>168</v>
      </c>
      <c r="AT812" s="15" t="s">
        <v>2499</v>
      </c>
      <c r="AU812" s="15" t="s">
        <v>2500</v>
      </c>
      <c r="AV812" s="15" t="s">
        <v>2500</v>
      </c>
      <c r="AW812" s="15" t="s">
        <v>2501</v>
      </c>
      <c r="AX812" s="15" t="s">
        <v>2501</v>
      </c>
      <c r="AY812" s="15">
        <f t="shared" si="15"/>
        <v>59</v>
      </c>
      <c r="AZ812" s="15" t="s">
        <v>604</v>
      </c>
      <c r="BA812" s="15" t="s">
        <v>174</v>
      </c>
      <c r="BB812" s="15" t="s">
        <v>2370</v>
      </c>
      <c r="BE812" s="15" t="s">
        <v>2416</v>
      </c>
      <c r="BF812" s="15" t="s">
        <v>2502</v>
      </c>
      <c r="BI812" s="15" t="s">
        <v>2503</v>
      </c>
      <c r="BJ812" s="15" t="s">
        <v>2504</v>
      </c>
      <c r="BN812" s="15" t="s">
        <v>179</v>
      </c>
      <c r="BP812" s="15" t="s">
        <v>138</v>
      </c>
      <c r="BR812" s="15" t="s">
        <v>2505</v>
      </c>
      <c r="BS812" s="15" t="s">
        <v>2506</v>
      </c>
      <c r="DH812" s="15" t="s">
        <v>17982</v>
      </c>
      <c r="DI812" s="15" t="s">
        <v>17982</v>
      </c>
    </row>
    <row r="813" spans="1:113" s="15" customFormat="1" ht="12.75" x14ac:dyDescent="0.2">
      <c r="A813" s="15" t="s">
        <v>109</v>
      </c>
      <c r="B813" s="15" t="s">
        <v>110</v>
      </c>
      <c r="D813" s="15" t="s">
        <v>1045</v>
      </c>
      <c r="E813" s="15" t="s">
        <v>112</v>
      </c>
      <c r="F813" s="15" t="s">
        <v>1045</v>
      </c>
      <c r="G813" s="15" t="s">
        <v>113</v>
      </c>
      <c r="H813" s="15" t="s">
        <v>383</v>
      </c>
      <c r="J813" s="16" t="s">
        <v>114</v>
      </c>
      <c r="U813" s="15" t="s">
        <v>17977</v>
      </c>
      <c r="W813" s="15">
        <v>720</v>
      </c>
      <c r="X813" s="15">
        <v>823</v>
      </c>
      <c r="Y813" s="15" t="s">
        <v>160</v>
      </c>
      <c r="Z813" s="15" t="s">
        <v>161</v>
      </c>
      <c r="AA813" s="15" t="s">
        <v>162</v>
      </c>
      <c r="AB813" s="15" t="s">
        <v>2898</v>
      </c>
      <c r="AC813" s="15" t="s">
        <v>2898</v>
      </c>
      <c r="AD813" s="15" t="s">
        <v>2898</v>
      </c>
      <c r="AE813" s="15" t="s">
        <v>164</v>
      </c>
      <c r="AF813" s="15" t="s">
        <v>2898</v>
      </c>
      <c r="AG813" s="15" t="s">
        <v>2898</v>
      </c>
      <c r="AH813" s="38" t="s">
        <v>2899</v>
      </c>
      <c r="AL813" s="15" t="s">
        <v>2900</v>
      </c>
      <c r="AN813" s="15">
        <v>743</v>
      </c>
      <c r="AO813" s="15" t="s">
        <v>2901</v>
      </c>
      <c r="AQ813" s="20" t="s">
        <v>168</v>
      </c>
      <c r="AT813" s="15" t="s">
        <v>2902</v>
      </c>
      <c r="AU813" s="15" t="s">
        <v>2903</v>
      </c>
      <c r="AV813" s="15" t="s">
        <v>2903</v>
      </c>
      <c r="AW813" s="15" t="s">
        <v>2904</v>
      </c>
      <c r="AX813" s="15" t="s">
        <v>2904</v>
      </c>
      <c r="AY813" s="15">
        <f t="shared" si="15"/>
        <v>58</v>
      </c>
      <c r="AZ813" s="15" t="s">
        <v>604</v>
      </c>
      <c r="BA813" s="15" t="s">
        <v>174</v>
      </c>
      <c r="BB813" s="15" t="s">
        <v>2370</v>
      </c>
      <c r="BE813" s="15" t="s">
        <v>2393</v>
      </c>
      <c r="BF813" s="15" t="s">
        <v>2905</v>
      </c>
      <c r="BJ813" s="20" t="s">
        <v>2867</v>
      </c>
      <c r="BN813" s="15" t="s">
        <v>179</v>
      </c>
      <c r="BP813" s="15" t="s">
        <v>138</v>
      </c>
      <c r="BS813" s="15" t="s">
        <v>2906</v>
      </c>
      <c r="DH813" s="15" t="s">
        <v>17982</v>
      </c>
      <c r="DI813" s="15" t="s">
        <v>17982</v>
      </c>
    </row>
    <row r="814" spans="1:113" s="15" customFormat="1" ht="12.75" x14ac:dyDescent="0.2">
      <c r="A814" s="15" t="s">
        <v>109</v>
      </c>
      <c r="B814" s="15" t="s">
        <v>110</v>
      </c>
      <c r="D814" s="15" t="s">
        <v>1045</v>
      </c>
      <c r="E814" s="15" t="s">
        <v>112</v>
      </c>
      <c r="F814" s="15" t="s">
        <v>1045</v>
      </c>
      <c r="G814" s="15" t="s">
        <v>113</v>
      </c>
      <c r="H814" s="15" t="s">
        <v>383</v>
      </c>
      <c r="J814" s="16" t="s">
        <v>114</v>
      </c>
      <c r="U814" s="15" t="s">
        <v>17977</v>
      </c>
      <c r="W814" s="15">
        <v>718</v>
      </c>
      <c r="X814" s="15">
        <v>824</v>
      </c>
      <c r="Y814" s="15" t="s">
        <v>160</v>
      </c>
      <c r="Z814" s="15" t="s">
        <v>161</v>
      </c>
      <c r="AA814" s="15" t="s">
        <v>162</v>
      </c>
      <c r="AB814" s="15" t="s">
        <v>2878</v>
      </c>
      <c r="AC814" s="15" t="s">
        <v>2878</v>
      </c>
      <c r="AD814" s="15" t="s">
        <v>2878</v>
      </c>
      <c r="AE814" s="15" t="s">
        <v>164</v>
      </c>
      <c r="AF814" s="15" t="s">
        <v>2878</v>
      </c>
      <c r="AG814" s="15" t="s">
        <v>2878</v>
      </c>
      <c r="AH814" s="38" t="s">
        <v>2879</v>
      </c>
      <c r="AL814" s="15" t="s">
        <v>2880</v>
      </c>
      <c r="AN814" s="15">
        <v>743</v>
      </c>
      <c r="AO814" s="15" t="s">
        <v>2881</v>
      </c>
      <c r="AQ814" s="20" t="s">
        <v>168</v>
      </c>
      <c r="AT814" s="15" t="s">
        <v>2882</v>
      </c>
      <c r="AU814" s="15" t="s">
        <v>2883</v>
      </c>
      <c r="AV814" s="15" t="s">
        <v>2883</v>
      </c>
      <c r="AW814" s="15" t="s">
        <v>2884</v>
      </c>
      <c r="AX814" s="15" t="s">
        <v>2884</v>
      </c>
      <c r="AY814" s="15">
        <f t="shared" si="15"/>
        <v>58</v>
      </c>
      <c r="AZ814" s="15" t="s">
        <v>604</v>
      </c>
      <c r="BA814" s="15" t="s">
        <v>174</v>
      </c>
      <c r="BB814" s="15" t="s">
        <v>2370</v>
      </c>
      <c r="BE814" s="15" t="s">
        <v>2885</v>
      </c>
      <c r="BF814" s="15" t="s">
        <v>2886</v>
      </c>
      <c r="BJ814" s="20" t="s">
        <v>2867</v>
      </c>
      <c r="BN814" s="15" t="s">
        <v>179</v>
      </c>
      <c r="BP814" s="15" t="s">
        <v>138</v>
      </c>
      <c r="BS814" s="15" t="s">
        <v>2887</v>
      </c>
      <c r="DH814" s="15" t="s">
        <v>17982</v>
      </c>
      <c r="DI814" s="15" t="s">
        <v>17982</v>
      </c>
    </row>
    <row r="815" spans="1:113" s="15" customFormat="1" ht="12.75" x14ac:dyDescent="0.2">
      <c r="A815" s="15" t="s">
        <v>109</v>
      </c>
      <c r="B815" s="15" t="s">
        <v>110</v>
      </c>
      <c r="D815" s="15" t="s">
        <v>1045</v>
      </c>
      <c r="E815" s="15" t="s">
        <v>112</v>
      </c>
      <c r="F815" s="15" t="s">
        <v>1045</v>
      </c>
      <c r="G815" s="15" t="s">
        <v>113</v>
      </c>
      <c r="H815" s="15" t="s">
        <v>383</v>
      </c>
      <c r="J815" s="16" t="s">
        <v>114</v>
      </c>
      <c r="U815" s="15" t="s">
        <v>17977</v>
      </c>
      <c r="W815" s="15">
        <v>719</v>
      </c>
      <c r="X815" s="15">
        <v>825</v>
      </c>
      <c r="Y815" s="15" t="s">
        <v>160</v>
      </c>
      <c r="Z815" s="15" t="s">
        <v>161</v>
      </c>
      <c r="AA815" s="15" t="s">
        <v>162</v>
      </c>
      <c r="AB815" s="15" t="s">
        <v>2888</v>
      </c>
      <c r="AC815" s="15" t="s">
        <v>2888</v>
      </c>
      <c r="AD815" s="15" t="s">
        <v>2888</v>
      </c>
      <c r="AE815" s="15" t="s">
        <v>164</v>
      </c>
      <c r="AF815" s="15" t="s">
        <v>2888</v>
      </c>
      <c r="AG815" s="15" t="s">
        <v>2888</v>
      </c>
      <c r="AH815" s="38" t="s">
        <v>2889</v>
      </c>
      <c r="AL815" s="15" t="s">
        <v>2890</v>
      </c>
      <c r="AN815" s="15">
        <v>743</v>
      </c>
      <c r="AO815" s="15" t="s">
        <v>2891</v>
      </c>
      <c r="AQ815" s="20" t="s">
        <v>168</v>
      </c>
      <c r="AT815" s="15" t="s">
        <v>2892</v>
      </c>
      <c r="AU815" s="15" t="s">
        <v>2893</v>
      </c>
      <c r="AV815" s="15" t="s">
        <v>2893</v>
      </c>
      <c r="AW815" s="15" t="s">
        <v>2894</v>
      </c>
      <c r="AX815" s="15" t="s">
        <v>2894</v>
      </c>
      <c r="AY815" s="15">
        <f t="shared" si="15"/>
        <v>57</v>
      </c>
      <c r="AZ815" s="15" t="s">
        <v>604</v>
      </c>
      <c r="BA815" s="15" t="s">
        <v>174</v>
      </c>
      <c r="BB815" s="15" t="s">
        <v>2370</v>
      </c>
      <c r="BE815" s="15" t="s">
        <v>2895</v>
      </c>
      <c r="BF815" s="15" t="s">
        <v>2896</v>
      </c>
      <c r="BJ815" s="20" t="s">
        <v>2867</v>
      </c>
      <c r="BN815" s="15" t="s">
        <v>179</v>
      </c>
      <c r="BP815" s="15" t="s">
        <v>138</v>
      </c>
      <c r="BS815" s="15" t="s">
        <v>2897</v>
      </c>
      <c r="DH815" s="15" t="s">
        <v>17982</v>
      </c>
      <c r="DI815" s="15" t="s">
        <v>17982</v>
      </c>
    </row>
    <row r="816" spans="1:113" s="15" customFormat="1" ht="12.75" x14ac:dyDescent="0.2">
      <c r="A816" s="15" t="s">
        <v>109</v>
      </c>
      <c r="B816" s="15" t="s">
        <v>110</v>
      </c>
      <c r="D816" s="15" t="s">
        <v>1045</v>
      </c>
      <c r="E816" s="15" t="s">
        <v>112</v>
      </c>
      <c r="F816" s="15" t="s">
        <v>1045</v>
      </c>
      <c r="G816" s="15" t="s">
        <v>113</v>
      </c>
      <c r="H816" s="15" t="s">
        <v>383</v>
      </c>
      <c r="J816" s="16" t="s">
        <v>114</v>
      </c>
      <c r="U816" s="15" t="s">
        <v>17977</v>
      </c>
      <c r="W816" s="15">
        <v>716</v>
      </c>
      <c r="X816" s="15">
        <v>826</v>
      </c>
      <c r="Y816" s="15" t="s">
        <v>160</v>
      </c>
      <c r="Z816" s="15" t="s">
        <v>161</v>
      </c>
      <c r="AA816" s="15" t="s">
        <v>162</v>
      </c>
      <c r="AB816" s="15" t="s">
        <v>2858</v>
      </c>
      <c r="AC816" s="15" t="s">
        <v>2858</v>
      </c>
      <c r="AD816" s="15" t="s">
        <v>2858</v>
      </c>
      <c r="AE816" s="15" t="s">
        <v>164</v>
      </c>
      <c r="AF816" s="15" t="s">
        <v>2858</v>
      </c>
      <c r="AG816" s="15" t="s">
        <v>2858</v>
      </c>
      <c r="AH816" s="20" t="s">
        <v>2859</v>
      </c>
      <c r="AL816" s="15" t="s">
        <v>2860</v>
      </c>
      <c r="AN816" s="15">
        <v>743</v>
      </c>
      <c r="AO816" s="15" t="s">
        <v>2861</v>
      </c>
      <c r="AQ816" s="20" t="s">
        <v>168</v>
      </c>
      <c r="AT816" s="15" t="s">
        <v>2862</v>
      </c>
      <c r="AU816" s="15" t="s">
        <v>2863</v>
      </c>
      <c r="AV816" s="15" t="s">
        <v>2863</v>
      </c>
      <c r="AW816" s="15" t="s">
        <v>2864</v>
      </c>
      <c r="AX816" s="15" t="s">
        <v>2864</v>
      </c>
      <c r="AY816" s="15">
        <f t="shared" si="15"/>
        <v>55</v>
      </c>
      <c r="AZ816" s="15" t="s">
        <v>604</v>
      </c>
      <c r="BA816" s="15" t="s">
        <v>174</v>
      </c>
      <c r="BB816" s="15" t="s">
        <v>2370</v>
      </c>
      <c r="BE816" s="15" t="s">
        <v>2865</v>
      </c>
      <c r="BF816" s="15" t="s">
        <v>2866</v>
      </c>
      <c r="BJ816" s="20" t="s">
        <v>2867</v>
      </c>
      <c r="BN816" s="15" t="s">
        <v>179</v>
      </c>
      <c r="BP816" s="15" t="s">
        <v>138</v>
      </c>
      <c r="BS816" s="15" t="s">
        <v>2868</v>
      </c>
      <c r="DH816" s="15" t="s">
        <v>17982</v>
      </c>
      <c r="DI816" s="15" t="s">
        <v>17982</v>
      </c>
    </row>
    <row r="817" spans="1:113" s="15" customFormat="1" ht="12.75" x14ac:dyDescent="0.2">
      <c r="A817" s="15" t="s">
        <v>109</v>
      </c>
      <c r="B817" s="15" t="s">
        <v>110</v>
      </c>
      <c r="D817" s="15" t="s">
        <v>1045</v>
      </c>
      <c r="E817" s="15" t="s">
        <v>112</v>
      </c>
      <c r="F817" s="15" t="s">
        <v>1045</v>
      </c>
      <c r="G817" s="15" t="s">
        <v>113</v>
      </c>
      <c r="H817" s="15" t="s">
        <v>383</v>
      </c>
      <c r="J817" s="16" t="s">
        <v>114</v>
      </c>
      <c r="U817" s="15" t="s">
        <v>17977</v>
      </c>
      <c r="W817" s="15">
        <v>717</v>
      </c>
      <c r="X817" s="15">
        <v>827</v>
      </c>
      <c r="Y817" s="15" t="s">
        <v>160</v>
      </c>
      <c r="Z817" s="15" t="s">
        <v>161</v>
      </c>
      <c r="AA817" s="15" t="s">
        <v>162</v>
      </c>
      <c r="AB817" s="15" t="s">
        <v>2869</v>
      </c>
      <c r="AC817" s="15" t="s">
        <v>2869</v>
      </c>
      <c r="AD817" s="15" t="s">
        <v>2869</v>
      </c>
      <c r="AE817" s="15" t="s">
        <v>164</v>
      </c>
      <c r="AF817" s="15" t="s">
        <v>2869</v>
      </c>
      <c r="AG817" s="15" t="s">
        <v>2869</v>
      </c>
      <c r="AH817" s="20" t="s">
        <v>2870</v>
      </c>
      <c r="AL817" s="15" t="s">
        <v>2871</v>
      </c>
      <c r="AN817" s="15">
        <v>743</v>
      </c>
      <c r="AO817" s="15" t="s">
        <v>2872</v>
      </c>
      <c r="AQ817" s="20" t="s">
        <v>168</v>
      </c>
      <c r="AT817" s="15" t="s">
        <v>2873</v>
      </c>
      <c r="AU817" s="15" t="s">
        <v>2874</v>
      </c>
      <c r="AV817" s="15" t="s">
        <v>2874</v>
      </c>
      <c r="AW817" s="15" t="s">
        <v>2875</v>
      </c>
      <c r="AX817" s="15" t="s">
        <v>2875</v>
      </c>
      <c r="AY817" s="15">
        <f t="shared" ref="AY817:AY848" si="16">LEN(SUBSTITUTE(AX817, ", ",","))</f>
        <v>43</v>
      </c>
      <c r="AZ817" s="15" t="s">
        <v>604</v>
      </c>
      <c r="BA817" s="15" t="s">
        <v>174</v>
      </c>
      <c r="BB817" s="15" t="s">
        <v>2370</v>
      </c>
      <c r="BE817" s="15" t="s">
        <v>2405</v>
      </c>
      <c r="BF817" s="15" t="s">
        <v>2876</v>
      </c>
      <c r="BN817" s="15" t="s">
        <v>179</v>
      </c>
      <c r="BP817" s="15" t="s">
        <v>138</v>
      </c>
      <c r="BS817" s="15" t="s">
        <v>2877</v>
      </c>
      <c r="DH817" s="15" t="s">
        <v>17982</v>
      </c>
      <c r="DI817" s="15" t="s">
        <v>17982</v>
      </c>
    </row>
    <row r="818" spans="1:113" s="15" customFormat="1" ht="12.75" x14ac:dyDescent="0.2">
      <c r="A818" s="15" t="s">
        <v>109</v>
      </c>
      <c r="B818" s="15" t="s">
        <v>110</v>
      </c>
      <c r="D818" s="15" t="s">
        <v>1045</v>
      </c>
      <c r="E818" s="15" t="s">
        <v>112</v>
      </c>
      <c r="F818" s="15" t="s">
        <v>1045</v>
      </c>
      <c r="G818" s="15" t="s">
        <v>113</v>
      </c>
      <c r="H818" s="15" t="s">
        <v>383</v>
      </c>
      <c r="J818" s="16" t="s">
        <v>114</v>
      </c>
      <c r="U818" s="15" t="s">
        <v>17977</v>
      </c>
      <c r="W818" s="15">
        <v>708</v>
      </c>
      <c r="X818" s="15">
        <v>828</v>
      </c>
      <c r="Y818" s="15" t="s">
        <v>160</v>
      </c>
      <c r="Z818" s="15" t="s">
        <v>161</v>
      </c>
      <c r="AA818" s="15" t="s">
        <v>162</v>
      </c>
      <c r="AB818" s="15" t="s">
        <v>2768</v>
      </c>
      <c r="AC818" s="15" t="s">
        <v>2768</v>
      </c>
      <c r="AD818" s="15" t="s">
        <v>2768</v>
      </c>
      <c r="AE818" s="15" t="s">
        <v>164</v>
      </c>
      <c r="AF818" s="15" t="s">
        <v>2768</v>
      </c>
      <c r="AG818" s="15" t="s">
        <v>2768</v>
      </c>
      <c r="AH818" s="20" t="s">
        <v>2769</v>
      </c>
      <c r="AL818" s="15" t="s">
        <v>2770</v>
      </c>
      <c r="AN818" s="15">
        <v>743</v>
      </c>
      <c r="AO818" s="15" t="s">
        <v>2771</v>
      </c>
      <c r="AQ818" s="20" t="s">
        <v>168</v>
      </c>
      <c r="AT818" s="15" t="s">
        <v>2772</v>
      </c>
      <c r="AU818" s="15" t="s">
        <v>2773</v>
      </c>
      <c r="AV818" s="15" t="s">
        <v>2773</v>
      </c>
      <c r="AW818" s="15" t="s">
        <v>2774</v>
      </c>
      <c r="AX818" s="15" t="s">
        <v>2775</v>
      </c>
      <c r="AY818" s="15">
        <f t="shared" si="16"/>
        <v>58</v>
      </c>
      <c r="AZ818" s="15" t="s">
        <v>604</v>
      </c>
      <c r="BA818" s="15" t="s">
        <v>174</v>
      </c>
      <c r="BB818" s="15" t="s">
        <v>2370</v>
      </c>
      <c r="BC818" s="15" t="s">
        <v>2040</v>
      </c>
      <c r="BE818" s="15" t="s">
        <v>1032</v>
      </c>
      <c r="BF818" s="15" t="s">
        <v>2776</v>
      </c>
      <c r="BJ818" s="15" t="s">
        <v>1979</v>
      </c>
      <c r="BN818" s="15" t="s">
        <v>179</v>
      </c>
      <c r="BP818" s="15" t="s">
        <v>138</v>
      </c>
      <c r="BS818" s="15" t="s">
        <v>2777</v>
      </c>
      <c r="DH818" s="15" t="s">
        <v>17982</v>
      </c>
      <c r="DI818" s="15" t="s">
        <v>17982</v>
      </c>
    </row>
    <row r="819" spans="1:113" s="15" customFormat="1" ht="12.75" x14ac:dyDescent="0.2">
      <c r="A819" s="15" t="s">
        <v>109</v>
      </c>
      <c r="B819" s="15" t="s">
        <v>110</v>
      </c>
      <c r="D819" s="15" t="s">
        <v>1045</v>
      </c>
      <c r="E819" s="15" t="s">
        <v>112</v>
      </c>
      <c r="F819" s="15" t="s">
        <v>1045</v>
      </c>
      <c r="G819" s="15" t="s">
        <v>113</v>
      </c>
      <c r="H819" s="15" t="s">
        <v>383</v>
      </c>
      <c r="J819" s="16" t="s">
        <v>114</v>
      </c>
      <c r="U819" s="15" t="s">
        <v>17977</v>
      </c>
      <c r="W819" s="15">
        <v>707</v>
      </c>
      <c r="X819" s="15">
        <v>829</v>
      </c>
      <c r="Y819" s="15" t="s">
        <v>160</v>
      </c>
      <c r="Z819" s="15" t="s">
        <v>161</v>
      </c>
      <c r="AA819" s="15" t="s">
        <v>162</v>
      </c>
      <c r="AB819" s="15" t="s">
        <v>2758</v>
      </c>
      <c r="AC819" s="15" t="s">
        <v>2758</v>
      </c>
      <c r="AD819" s="15" t="s">
        <v>2758</v>
      </c>
      <c r="AE819" s="15" t="s">
        <v>164</v>
      </c>
      <c r="AF819" s="15" t="s">
        <v>2758</v>
      </c>
      <c r="AG819" s="15" t="s">
        <v>2758</v>
      </c>
      <c r="AH819" s="20" t="s">
        <v>2759</v>
      </c>
      <c r="AL819" s="15" t="s">
        <v>2760</v>
      </c>
      <c r="AN819" s="15">
        <v>743</v>
      </c>
      <c r="AO819" s="15" t="s">
        <v>2761</v>
      </c>
      <c r="AQ819" s="20" t="s">
        <v>168</v>
      </c>
      <c r="AT819" s="15" t="s">
        <v>2762</v>
      </c>
      <c r="AU819" s="15" t="s">
        <v>2763</v>
      </c>
      <c r="AV819" s="15" t="s">
        <v>2763</v>
      </c>
      <c r="AW819" s="15" t="s">
        <v>2764</v>
      </c>
      <c r="AX819" s="15" t="s">
        <v>2765</v>
      </c>
      <c r="AY819" s="15">
        <f t="shared" si="16"/>
        <v>58</v>
      </c>
      <c r="AZ819" s="15" t="s">
        <v>604</v>
      </c>
      <c r="BA819" s="15" t="s">
        <v>174</v>
      </c>
      <c r="BB819" s="15" t="s">
        <v>2370</v>
      </c>
      <c r="BC819" s="15" t="s">
        <v>2040</v>
      </c>
      <c r="BE819" s="15" t="s">
        <v>176</v>
      </c>
      <c r="BF819" s="15" t="s">
        <v>2766</v>
      </c>
      <c r="BJ819" s="15" t="s">
        <v>1979</v>
      </c>
      <c r="BN819" s="15" t="s">
        <v>179</v>
      </c>
      <c r="BP819" s="15" t="s">
        <v>138</v>
      </c>
      <c r="BS819" s="15" t="s">
        <v>2767</v>
      </c>
      <c r="DH819" s="15" t="s">
        <v>17982</v>
      </c>
      <c r="DI819" s="15" t="s">
        <v>17982</v>
      </c>
    </row>
    <row r="820" spans="1:113" s="15" customFormat="1" ht="12.75" x14ac:dyDescent="0.2">
      <c r="A820" s="15" t="s">
        <v>109</v>
      </c>
      <c r="B820" s="15" t="s">
        <v>110</v>
      </c>
      <c r="D820" s="15" t="s">
        <v>1045</v>
      </c>
      <c r="E820" s="15" t="s">
        <v>112</v>
      </c>
      <c r="F820" s="15" t="s">
        <v>1045</v>
      </c>
      <c r="G820" s="15" t="s">
        <v>113</v>
      </c>
      <c r="H820" s="15" t="s">
        <v>383</v>
      </c>
      <c r="J820" s="16" t="s">
        <v>114</v>
      </c>
      <c r="U820" s="15" t="s">
        <v>17977</v>
      </c>
      <c r="W820" s="15">
        <v>709</v>
      </c>
      <c r="X820" s="15">
        <v>830</v>
      </c>
      <c r="Y820" s="15" t="s">
        <v>160</v>
      </c>
      <c r="Z820" s="15" t="s">
        <v>161</v>
      </c>
      <c r="AA820" s="15" t="s">
        <v>162</v>
      </c>
      <c r="AB820" s="15" t="s">
        <v>2778</v>
      </c>
      <c r="AC820" s="15" t="s">
        <v>2778</v>
      </c>
      <c r="AD820" s="15" t="s">
        <v>2778</v>
      </c>
      <c r="AE820" s="15" t="s">
        <v>164</v>
      </c>
      <c r="AF820" s="15" t="s">
        <v>2778</v>
      </c>
      <c r="AG820" s="15" t="s">
        <v>2778</v>
      </c>
      <c r="AH820" s="20" t="s">
        <v>2779</v>
      </c>
      <c r="AL820" s="15" t="s">
        <v>2770</v>
      </c>
      <c r="AN820" s="15">
        <v>743</v>
      </c>
      <c r="AO820" s="15" t="s">
        <v>2780</v>
      </c>
      <c r="AQ820" s="20" t="s">
        <v>168</v>
      </c>
      <c r="AT820" s="15" t="s">
        <v>2781</v>
      </c>
      <c r="AU820" s="15" t="s">
        <v>2782</v>
      </c>
      <c r="AV820" s="15" t="s">
        <v>2782</v>
      </c>
      <c r="AW820" s="15" t="s">
        <v>2783</v>
      </c>
      <c r="AX820" s="15" t="s">
        <v>2784</v>
      </c>
      <c r="AY820" s="15">
        <f t="shared" si="16"/>
        <v>59</v>
      </c>
      <c r="AZ820" s="15" t="s">
        <v>604</v>
      </c>
      <c r="BA820" s="15" t="s">
        <v>174</v>
      </c>
      <c r="BB820" s="15" t="s">
        <v>2370</v>
      </c>
      <c r="BC820" s="15" t="s">
        <v>2040</v>
      </c>
      <c r="BE820" s="15" t="s">
        <v>1032</v>
      </c>
      <c r="BF820" s="15" t="s">
        <v>2785</v>
      </c>
      <c r="BJ820" s="15" t="s">
        <v>1979</v>
      </c>
      <c r="BN820" s="15" t="s">
        <v>179</v>
      </c>
      <c r="BP820" s="15" t="s">
        <v>138</v>
      </c>
      <c r="BS820" s="15" t="s">
        <v>2786</v>
      </c>
      <c r="DH820" s="15" t="s">
        <v>17982</v>
      </c>
      <c r="DI820" s="15" t="s">
        <v>17982</v>
      </c>
    </row>
    <row r="821" spans="1:113" s="15" customFormat="1" ht="12.75" x14ac:dyDescent="0.2">
      <c r="A821" s="15" t="s">
        <v>109</v>
      </c>
      <c r="B821" s="15" t="s">
        <v>110</v>
      </c>
      <c r="D821" s="15" t="s">
        <v>1045</v>
      </c>
      <c r="E821" s="15" t="s">
        <v>112</v>
      </c>
      <c r="F821" s="15" t="s">
        <v>1045</v>
      </c>
      <c r="G821" s="15" t="s">
        <v>113</v>
      </c>
      <c r="H821" s="15" t="s">
        <v>383</v>
      </c>
      <c r="J821" s="16" t="s">
        <v>114</v>
      </c>
      <c r="U821" s="15" t="s">
        <v>17977</v>
      </c>
      <c r="W821" s="15">
        <v>2018</v>
      </c>
      <c r="X821" s="15">
        <v>831</v>
      </c>
      <c r="Y821" s="15" t="s">
        <v>160</v>
      </c>
      <c r="Z821" s="15" t="s">
        <v>161</v>
      </c>
      <c r="AA821" s="15" t="s">
        <v>162</v>
      </c>
      <c r="AB821" s="15" t="s">
        <v>10331</v>
      </c>
      <c r="AC821" s="15" t="s">
        <v>10331</v>
      </c>
      <c r="AD821" s="15" t="s">
        <v>10331</v>
      </c>
      <c r="AE821" s="15" t="s">
        <v>164</v>
      </c>
      <c r="AF821" s="15" t="s">
        <v>10331</v>
      </c>
      <c r="AG821" s="15" t="s">
        <v>10331</v>
      </c>
      <c r="AH821" s="20" t="s">
        <v>10332</v>
      </c>
      <c r="AL821" s="15" t="s">
        <v>10333</v>
      </c>
      <c r="AN821" s="15">
        <v>743</v>
      </c>
      <c r="AO821" s="15" t="s">
        <v>10334</v>
      </c>
      <c r="AQ821" s="20" t="s">
        <v>829</v>
      </c>
      <c r="AT821" s="15" t="s">
        <v>10335</v>
      </c>
      <c r="AU821" s="15" t="s">
        <v>10336</v>
      </c>
      <c r="AV821" s="15" t="s">
        <v>10336</v>
      </c>
      <c r="AW821" s="15" t="s">
        <v>10337</v>
      </c>
      <c r="AX821" s="15" t="s">
        <v>10337</v>
      </c>
      <c r="AY821" s="15">
        <f t="shared" si="16"/>
        <v>37</v>
      </c>
      <c r="AZ821" s="15" t="s">
        <v>10338</v>
      </c>
      <c r="BA821" s="15" t="s">
        <v>174</v>
      </c>
      <c r="BB821" s="15" t="s">
        <v>10339</v>
      </c>
      <c r="BE821" s="15" t="s">
        <v>564</v>
      </c>
      <c r="BN821" s="15" t="s">
        <v>179</v>
      </c>
      <c r="BP821" s="15" t="s">
        <v>138</v>
      </c>
      <c r="BR821" s="15" t="s">
        <v>7240</v>
      </c>
      <c r="BS821" s="15" t="s">
        <v>10340</v>
      </c>
      <c r="DH821" s="15" t="s">
        <v>17982</v>
      </c>
      <c r="DI821" s="15" t="s">
        <v>17982</v>
      </c>
    </row>
    <row r="822" spans="1:113" s="15" customFormat="1" ht="12.75" x14ac:dyDescent="0.2">
      <c r="A822" s="15" t="s">
        <v>109</v>
      </c>
      <c r="B822" s="15" t="s">
        <v>110</v>
      </c>
      <c r="D822" s="15" t="s">
        <v>1045</v>
      </c>
      <c r="E822" s="15" t="s">
        <v>112</v>
      </c>
      <c r="F822" s="15" t="s">
        <v>1045</v>
      </c>
      <c r="G822" s="15" t="s">
        <v>113</v>
      </c>
      <c r="H822" s="15" t="s">
        <v>383</v>
      </c>
      <c r="J822" s="16" t="s">
        <v>114</v>
      </c>
      <c r="U822" s="15" t="s">
        <v>17977</v>
      </c>
      <c r="W822" s="15">
        <v>485</v>
      </c>
      <c r="X822" s="15">
        <v>832</v>
      </c>
      <c r="Y822" s="15" t="s">
        <v>160</v>
      </c>
      <c r="Z822" s="15" t="s">
        <v>161</v>
      </c>
      <c r="AA822" s="15" t="s">
        <v>162</v>
      </c>
      <c r="AB822" s="15" t="s">
        <v>1971</v>
      </c>
      <c r="AC822" s="15" t="s">
        <v>1971</v>
      </c>
      <c r="AD822" s="15" t="s">
        <v>1971</v>
      </c>
      <c r="AE822" s="15" t="s">
        <v>164</v>
      </c>
      <c r="AF822" s="15" t="s">
        <v>1971</v>
      </c>
      <c r="AG822" s="15" t="s">
        <v>1971</v>
      </c>
      <c r="AH822" s="20" t="s">
        <v>1972</v>
      </c>
      <c r="AL822" s="15" t="s">
        <v>1973</v>
      </c>
      <c r="AN822" s="15">
        <v>743</v>
      </c>
      <c r="AO822" s="15" t="s">
        <v>1974</v>
      </c>
      <c r="AQ822" s="20" t="s">
        <v>168</v>
      </c>
      <c r="AT822" s="15" t="s">
        <v>1975</v>
      </c>
      <c r="AU822" s="15" t="s">
        <v>1976</v>
      </c>
      <c r="AV822" s="15" t="s">
        <v>1976</v>
      </c>
      <c r="AW822" s="15" t="s">
        <v>1977</v>
      </c>
      <c r="AX822" s="15" t="s">
        <v>1977</v>
      </c>
      <c r="AY822" s="15">
        <f t="shared" si="16"/>
        <v>54</v>
      </c>
      <c r="AZ822" s="15" t="s">
        <v>604</v>
      </c>
      <c r="BA822" s="15" t="s">
        <v>174</v>
      </c>
      <c r="BB822" s="15" t="s">
        <v>1967</v>
      </c>
      <c r="BC822" s="15" t="s">
        <v>1978</v>
      </c>
      <c r="BJ822" s="15" t="s">
        <v>1979</v>
      </c>
      <c r="BN822" s="15" t="s">
        <v>179</v>
      </c>
      <c r="BP822" s="15" t="s">
        <v>138</v>
      </c>
      <c r="BS822" s="15" t="s">
        <v>1980</v>
      </c>
      <c r="DH822" s="15" t="s">
        <v>17982</v>
      </c>
      <c r="DI822" s="15" t="s">
        <v>17982</v>
      </c>
    </row>
    <row r="823" spans="1:113" s="15" customFormat="1" ht="12.75" x14ac:dyDescent="0.2">
      <c r="A823" s="15" t="s">
        <v>109</v>
      </c>
      <c r="B823" s="15" t="s">
        <v>110</v>
      </c>
      <c r="D823" s="15" t="s">
        <v>1045</v>
      </c>
      <c r="E823" s="15" t="s">
        <v>112</v>
      </c>
      <c r="F823" s="15" t="s">
        <v>1045</v>
      </c>
      <c r="G823" s="15" t="s">
        <v>113</v>
      </c>
      <c r="H823" s="15" t="s">
        <v>383</v>
      </c>
      <c r="J823" s="16" t="s">
        <v>114</v>
      </c>
      <c r="U823" s="15" t="s">
        <v>17977</v>
      </c>
      <c r="W823" s="15">
        <v>486</v>
      </c>
      <c r="X823" s="15">
        <v>833</v>
      </c>
      <c r="Y823" s="15" t="s">
        <v>160</v>
      </c>
      <c r="Z823" s="15" t="s">
        <v>161</v>
      </c>
      <c r="AA823" s="15" t="s">
        <v>162</v>
      </c>
      <c r="AB823" s="15" t="s">
        <v>1981</v>
      </c>
      <c r="AC823" s="15" t="s">
        <v>1981</v>
      </c>
      <c r="AD823" s="15" t="s">
        <v>1981</v>
      </c>
      <c r="AE823" s="15" t="s">
        <v>164</v>
      </c>
      <c r="AF823" s="15" t="s">
        <v>1981</v>
      </c>
      <c r="AG823" s="15" t="s">
        <v>1981</v>
      </c>
      <c r="AH823" s="20" t="s">
        <v>1982</v>
      </c>
      <c r="AL823" s="15" t="s">
        <v>1983</v>
      </c>
      <c r="AN823" s="15">
        <v>743</v>
      </c>
      <c r="AO823" s="15" t="s">
        <v>1984</v>
      </c>
      <c r="AQ823" s="20" t="s">
        <v>168</v>
      </c>
      <c r="AT823" s="15" t="s">
        <v>1985</v>
      </c>
      <c r="AU823" s="15" t="s">
        <v>1986</v>
      </c>
      <c r="AV823" s="15" t="s">
        <v>1986</v>
      </c>
      <c r="AW823" s="15" t="s">
        <v>1987</v>
      </c>
      <c r="AX823" s="15" t="s">
        <v>1987</v>
      </c>
      <c r="AY823" s="15">
        <f t="shared" si="16"/>
        <v>54</v>
      </c>
      <c r="AZ823" s="15" t="s">
        <v>604</v>
      </c>
      <c r="BA823" s="15" t="s">
        <v>174</v>
      </c>
      <c r="BB823" s="15" t="s">
        <v>1967</v>
      </c>
      <c r="BC823" s="15" t="s">
        <v>1988</v>
      </c>
      <c r="BJ823" s="15" t="s">
        <v>1979</v>
      </c>
      <c r="BN823" s="15" t="s">
        <v>179</v>
      </c>
      <c r="BP823" s="15" t="s">
        <v>138</v>
      </c>
      <c r="BS823" s="15" t="s">
        <v>1989</v>
      </c>
      <c r="DH823" s="15" t="s">
        <v>17982</v>
      </c>
      <c r="DI823" s="15" t="s">
        <v>17982</v>
      </c>
    </row>
    <row r="824" spans="1:113" s="15" customFormat="1" ht="12.75" x14ac:dyDescent="0.2">
      <c r="A824" s="15" t="s">
        <v>109</v>
      </c>
      <c r="B824" s="15" t="s">
        <v>110</v>
      </c>
      <c r="D824" s="15" t="s">
        <v>1045</v>
      </c>
      <c r="E824" s="15" t="s">
        <v>112</v>
      </c>
      <c r="F824" s="15" t="s">
        <v>1045</v>
      </c>
      <c r="G824" s="15" t="s">
        <v>113</v>
      </c>
      <c r="H824" s="15" t="s">
        <v>383</v>
      </c>
      <c r="J824" s="16" t="s">
        <v>114</v>
      </c>
      <c r="U824" s="15" t="s">
        <v>17977</v>
      </c>
      <c r="W824" s="15">
        <v>487</v>
      </c>
      <c r="X824" s="15">
        <v>834</v>
      </c>
      <c r="Y824" s="15" t="s">
        <v>160</v>
      </c>
      <c r="Z824" s="15" t="s">
        <v>161</v>
      </c>
      <c r="AA824" s="15" t="s">
        <v>162</v>
      </c>
      <c r="AB824" s="15" t="s">
        <v>1990</v>
      </c>
      <c r="AC824" s="15" t="s">
        <v>1990</v>
      </c>
      <c r="AD824" s="15" t="s">
        <v>1990</v>
      </c>
      <c r="AE824" s="15" t="s">
        <v>164</v>
      </c>
      <c r="AF824" s="15" t="s">
        <v>1990</v>
      </c>
      <c r="AG824" s="15" t="s">
        <v>1990</v>
      </c>
      <c r="AH824" s="20" t="s">
        <v>1991</v>
      </c>
      <c r="AL824" s="15" t="s">
        <v>1992</v>
      </c>
      <c r="AN824" s="15">
        <v>743</v>
      </c>
      <c r="AO824" s="15" t="s">
        <v>1993</v>
      </c>
      <c r="AQ824" s="20" t="s">
        <v>168</v>
      </c>
      <c r="AT824" s="15" t="s">
        <v>1994</v>
      </c>
      <c r="AU824" s="15" t="s">
        <v>1995</v>
      </c>
      <c r="AV824" s="15" t="s">
        <v>1995</v>
      </c>
      <c r="AW824" s="15" t="s">
        <v>1996</v>
      </c>
      <c r="AX824" s="15" t="s">
        <v>1996</v>
      </c>
      <c r="AY824" s="15">
        <f t="shared" si="16"/>
        <v>54</v>
      </c>
      <c r="AZ824" s="15" t="s">
        <v>604</v>
      </c>
      <c r="BA824" s="15" t="s">
        <v>174</v>
      </c>
      <c r="BB824" s="15" t="s">
        <v>1967</v>
      </c>
      <c r="BC824" s="15" t="s">
        <v>884</v>
      </c>
      <c r="BJ824" s="15" t="s">
        <v>1979</v>
      </c>
      <c r="BN824" s="15" t="s">
        <v>179</v>
      </c>
      <c r="BP824" s="15" t="s">
        <v>138</v>
      </c>
      <c r="BS824" s="15" t="s">
        <v>1997</v>
      </c>
      <c r="DH824" s="15" t="s">
        <v>17982</v>
      </c>
      <c r="DI824" s="15" t="s">
        <v>17982</v>
      </c>
    </row>
    <row r="825" spans="1:113" s="15" customFormat="1" ht="12.75" x14ac:dyDescent="0.2">
      <c r="A825" s="15" t="s">
        <v>109</v>
      </c>
      <c r="B825" s="15" t="s">
        <v>110</v>
      </c>
      <c r="D825" s="15" t="s">
        <v>1045</v>
      </c>
      <c r="E825" s="15" t="s">
        <v>112</v>
      </c>
      <c r="F825" s="15" t="s">
        <v>1045</v>
      </c>
      <c r="G825" s="15" t="s">
        <v>113</v>
      </c>
      <c r="H825" s="15" t="s">
        <v>383</v>
      </c>
      <c r="J825" s="16" t="s">
        <v>114</v>
      </c>
      <c r="U825" s="15" t="s">
        <v>17977</v>
      </c>
      <c r="W825" s="15">
        <v>484</v>
      </c>
      <c r="X825" s="15">
        <v>835</v>
      </c>
      <c r="Y825" s="15" t="s">
        <v>160</v>
      </c>
      <c r="Z825" s="15" t="s">
        <v>161</v>
      </c>
      <c r="AA825" s="15" t="s">
        <v>162</v>
      </c>
      <c r="AB825" s="15" t="s">
        <v>1959</v>
      </c>
      <c r="AC825" s="15" t="s">
        <v>1959</v>
      </c>
      <c r="AD825" s="15" t="s">
        <v>1959</v>
      </c>
      <c r="AE825" s="15" t="s">
        <v>164</v>
      </c>
      <c r="AF825" s="15" t="s">
        <v>1959</v>
      </c>
      <c r="AG825" s="15" t="s">
        <v>1959</v>
      </c>
      <c r="AH825" s="20" t="s">
        <v>1960</v>
      </c>
      <c r="AI825" s="15">
        <v>42291802</v>
      </c>
      <c r="AK825" s="15" t="s">
        <v>1961</v>
      </c>
      <c r="AL825" s="15" t="s">
        <v>1962</v>
      </c>
      <c r="AN825" s="15">
        <v>743</v>
      </c>
      <c r="AO825" s="15" t="s">
        <v>1963</v>
      </c>
      <c r="AQ825" s="20" t="s">
        <v>168</v>
      </c>
      <c r="AT825" s="15" t="s">
        <v>1964</v>
      </c>
      <c r="AU825" s="15" t="s">
        <v>1965</v>
      </c>
      <c r="AV825" s="15" t="s">
        <v>1965</v>
      </c>
      <c r="AW825" s="15" t="s">
        <v>1966</v>
      </c>
      <c r="AX825" s="15" t="s">
        <v>1966</v>
      </c>
      <c r="AY825" s="15">
        <f t="shared" si="16"/>
        <v>53</v>
      </c>
      <c r="AZ825" s="15" t="s">
        <v>604</v>
      </c>
      <c r="BA825" s="15" t="s">
        <v>174</v>
      </c>
      <c r="BB825" s="15" t="s">
        <v>1967</v>
      </c>
      <c r="BE825" s="15" t="s">
        <v>606</v>
      </c>
      <c r="BF825" s="15" t="s">
        <v>1968</v>
      </c>
      <c r="BJ825" s="15" t="s">
        <v>1969</v>
      </c>
      <c r="BN825" s="15" t="s">
        <v>179</v>
      </c>
      <c r="BP825" s="15" t="s">
        <v>138</v>
      </c>
      <c r="BS825" s="15" t="s">
        <v>1970</v>
      </c>
      <c r="DH825" s="15" t="s">
        <v>17982</v>
      </c>
      <c r="DI825" s="15" t="s">
        <v>17982</v>
      </c>
    </row>
    <row r="826" spans="1:113" s="15" customFormat="1" ht="12.75" x14ac:dyDescent="0.2">
      <c r="A826" s="15" t="s">
        <v>109</v>
      </c>
      <c r="B826" s="15" t="s">
        <v>110</v>
      </c>
      <c r="D826" s="15" t="s">
        <v>1045</v>
      </c>
      <c r="E826" s="15" t="s">
        <v>112</v>
      </c>
      <c r="F826" s="15" t="s">
        <v>1045</v>
      </c>
      <c r="G826" s="15" t="s">
        <v>113</v>
      </c>
      <c r="H826" s="15" t="s">
        <v>383</v>
      </c>
      <c r="J826" s="16" t="s">
        <v>114</v>
      </c>
      <c r="U826" s="15" t="s">
        <v>17977</v>
      </c>
      <c r="W826" s="15">
        <v>1074</v>
      </c>
      <c r="X826" s="15">
        <v>836</v>
      </c>
      <c r="Y826" s="15" t="s">
        <v>160</v>
      </c>
      <c r="Z826" s="15" t="s">
        <v>161</v>
      </c>
      <c r="AA826" s="15" t="s">
        <v>162</v>
      </c>
      <c r="AB826" s="15" t="s">
        <v>5638</v>
      </c>
      <c r="AC826" s="15" t="s">
        <v>5638</v>
      </c>
      <c r="AD826" s="15" t="s">
        <v>5638</v>
      </c>
      <c r="AE826" s="15" t="s">
        <v>164</v>
      </c>
      <c r="AF826" s="15" t="s">
        <v>5638</v>
      </c>
      <c r="AG826" s="15" t="s">
        <v>5638</v>
      </c>
      <c r="AH826" s="20" t="s">
        <v>5639</v>
      </c>
      <c r="AL826" s="15" t="s">
        <v>5640</v>
      </c>
      <c r="AN826" s="15">
        <v>743</v>
      </c>
      <c r="AO826" s="15" t="s">
        <v>5641</v>
      </c>
      <c r="AQ826" s="20" t="s">
        <v>168</v>
      </c>
      <c r="AT826" s="15" t="s">
        <v>5642</v>
      </c>
      <c r="AU826" s="15" t="s">
        <v>5643</v>
      </c>
      <c r="AV826" s="15" t="s">
        <v>5643</v>
      </c>
      <c r="AW826" s="15" t="s">
        <v>5644</v>
      </c>
      <c r="AX826" s="15" t="s">
        <v>5645</v>
      </c>
      <c r="AY826" s="15">
        <f t="shared" si="16"/>
        <v>56</v>
      </c>
      <c r="AZ826" s="15" t="s">
        <v>604</v>
      </c>
      <c r="BA826" s="15" t="s">
        <v>174</v>
      </c>
      <c r="BB826" s="15" t="s">
        <v>5634</v>
      </c>
      <c r="BC826" s="15" t="s">
        <v>1055</v>
      </c>
      <c r="BE826" s="15" t="s">
        <v>5646</v>
      </c>
      <c r="BF826" s="15" t="s">
        <v>5647</v>
      </c>
      <c r="BJ826" s="15" t="s">
        <v>5636</v>
      </c>
      <c r="BN826" s="15" t="s">
        <v>179</v>
      </c>
      <c r="BP826" s="15" t="s">
        <v>138</v>
      </c>
      <c r="BS826" s="15" t="s">
        <v>5648</v>
      </c>
      <c r="DH826" s="15" t="s">
        <v>17982</v>
      </c>
      <c r="DI826" s="15" t="s">
        <v>17982</v>
      </c>
    </row>
    <row r="827" spans="1:113" s="15" customFormat="1" ht="12.75" x14ac:dyDescent="0.2">
      <c r="A827" s="15" t="s">
        <v>109</v>
      </c>
      <c r="B827" s="15" t="s">
        <v>110</v>
      </c>
      <c r="D827" s="15" t="s">
        <v>1045</v>
      </c>
      <c r="E827" s="15" t="s">
        <v>112</v>
      </c>
      <c r="F827" s="15" t="s">
        <v>1045</v>
      </c>
      <c r="G827" s="15" t="s">
        <v>113</v>
      </c>
      <c r="H827" s="15" t="s">
        <v>383</v>
      </c>
      <c r="J827" s="16" t="s">
        <v>114</v>
      </c>
      <c r="U827" s="15" t="s">
        <v>17977</v>
      </c>
      <c r="W827" s="15">
        <v>1073</v>
      </c>
      <c r="X827" s="15">
        <v>837</v>
      </c>
      <c r="Y827" s="15" t="s">
        <v>160</v>
      </c>
      <c r="Z827" s="15" t="s">
        <v>161</v>
      </c>
      <c r="AA827" s="15" t="s">
        <v>162</v>
      </c>
      <c r="AB827" s="15" t="s">
        <v>5626</v>
      </c>
      <c r="AC827" s="15" t="s">
        <v>5626</v>
      </c>
      <c r="AD827" s="15" t="s">
        <v>5626</v>
      </c>
      <c r="AE827" s="15" t="s">
        <v>164</v>
      </c>
      <c r="AF827" s="15" t="s">
        <v>5626</v>
      </c>
      <c r="AG827" s="15" t="s">
        <v>5626</v>
      </c>
      <c r="AH827" s="20" t="s">
        <v>5627</v>
      </c>
      <c r="AL827" s="15" t="s">
        <v>5628</v>
      </c>
      <c r="AN827" s="15">
        <v>743</v>
      </c>
      <c r="AO827" s="15" t="s">
        <v>5629</v>
      </c>
      <c r="AQ827" s="20" t="s">
        <v>168</v>
      </c>
      <c r="AT827" s="15" t="s">
        <v>5630</v>
      </c>
      <c r="AU827" s="15" t="s">
        <v>5631</v>
      </c>
      <c r="AV827" s="15" t="s">
        <v>5631</v>
      </c>
      <c r="AW827" s="15" t="s">
        <v>5632</v>
      </c>
      <c r="AX827" s="15" t="s">
        <v>5633</v>
      </c>
      <c r="AY827" s="15">
        <f t="shared" si="16"/>
        <v>58</v>
      </c>
      <c r="AZ827" s="15" t="s">
        <v>604</v>
      </c>
      <c r="BA827" s="15" t="s">
        <v>174</v>
      </c>
      <c r="BB827" s="15" t="s">
        <v>5634</v>
      </c>
      <c r="BC827" s="15" t="s">
        <v>1199</v>
      </c>
      <c r="BE827" s="15" t="s">
        <v>4261</v>
      </c>
      <c r="BF827" s="15" t="s">
        <v>5635</v>
      </c>
      <c r="BJ827" s="15" t="s">
        <v>5636</v>
      </c>
      <c r="BN827" s="15" t="s">
        <v>179</v>
      </c>
      <c r="BP827" s="15" t="s">
        <v>138</v>
      </c>
      <c r="BS827" s="15" t="s">
        <v>5637</v>
      </c>
      <c r="DH827" s="15" t="s">
        <v>17982</v>
      </c>
      <c r="DI827" s="15" t="s">
        <v>17982</v>
      </c>
    </row>
    <row r="828" spans="1:113" s="15" customFormat="1" ht="12.75" x14ac:dyDescent="0.2">
      <c r="A828" s="15" t="s">
        <v>109</v>
      </c>
      <c r="B828" s="15" t="s">
        <v>110</v>
      </c>
      <c r="D828" s="15" t="s">
        <v>1045</v>
      </c>
      <c r="E828" s="15" t="s">
        <v>112</v>
      </c>
      <c r="F828" s="15" t="s">
        <v>1045</v>
      </c>
      <c r="G828" s="15" t="s">
        <v>113</v>
      </c>
      <c r="H828" s="15" t="s">
        <v>383</v>
      </c>
      <c r="J828" s="16" t="s">
        <v>114</v>
      </c>
      <c r="U828" s="15" t="s">
        <v>17977</v>
      </c>
      <c r="W828" s="15">
        <v>757</v>
      </c>
      <c r="X828" s="15">
        <v>838</v>
      </c>
      <c r="Y828" s="15" t="s">
        <v>160</v>
      </c>
      <c r="Z828" s="15" t="s">
        <v>161</v>
      </c>
      <c r="AA828" s="15" t="s">
        <v>162</v>
      </c>
      <c r="AB828" s="15" t="s">
        <v>3289</v>
      </c>
      <c r="AC828" s="15" t="s">
        <v>3289</v>
      </c>
      <c r="AD828" s="15" t="s">
        <v>3289</v>
      </c>
      <c r="AE828" s="15" t="s">
        <v>164</v>
      </c>
      <c r="AF828" s="15" t="s">
        <v>3289</v>
      </c>
      <c r="AG828" s="15" t="s">
        <v>3289</v>
      </c>
      <c r="AH828" s="20" t="s">
        <v>3290</v>
      </c>
      <c r="AL828" s="15" t="s">
        <v>3291</v>
      </c>
      <c r="AN828" s="15">
        <v>743</v>
      </c>
      <c r="AO828" s="15" t="s">
        <v>3292</v>
      </c>
      <c r="AQ828" s="20" t="s">
        <v>168</v>
      </c>
      <c r="AT828" s="15" t="s">
        <v>3262</v>
      </c>
      <c r="AU828" s="15" t="s">
        <v>3293</v>
      </c>
      <c r="AV828" s="15" t="s">
        <v>3293</v>
      </c>
      <c r="AW828" s="15" t="s">
        <v>3294</v>
      </c>
      <c r="AX828" s="15" t="s">
        <v>3295</v>
      </c>
      <c r="AY828" s="15">
        <f t="shared" si="16"/>
        <v>59</v>
      </c>
      <c r="AZ828" s="15" t="s">
        <v>604</v>
      </c>
      <c r="BA828" s="15" t="s">
        <v>174</v>
      </c>
      <c r="BB828" s="15" t="s">
        <v>2370</v>
      </c>
      <c r="BC828" s="15" t="s">
        <v>1069</v>
      </c>
      <c r="BD828" s="15" t="s">
        <v>2855</v>
      </c>
      <c r="BE828" s="15" t="s">
        <v>3266</v>
      </c>
      <c r="BF828" s="15" t="s">
        <v>1096</v>
      </c>
      <c r="BI828" s="15" t="s">
        <v>3267</v>
      </c>
      <c r="BJ828" s="15" t="s">
        <v>3296</v>
      </c>
      <c r="BK828" s="15" t="s">
        <v>487</v>
      </c>
      <c r="BN828" s="15" t="s">
        <v>179</v>
      </c>
      <c r="BP828" s="15" t="s">
        <v>138</v>
      </c>
      <c r="BQ828" s="15" t="s">
        <v>3269</v>
      </c>
      <c r="BS828" s="15" t="s">
        <v>3297</v>
      </c>
      <c r="DH828" s="15" t="s">
        <v>17982</v>
      </c>
      <c r="DI828" s="15" t="s">
        <v>17982</v>
      </c>
    </row>
    <row r="829" spans="1:113" s="15" customFormat="1" ht="12.75" x14ac:dyDescent="0.2">
      <c r="A829" s="15" t="s">
        <v>109</v>
      </c>
      <c r="B829" s="15" t="s">
        <v>110</v>
      </c>
      <c r="D829" s="15" t="s">
        <v>1045</v>
      </c>
      <c r="E829" s="15" t="s">
        <v>112</v>
      </c>
      <c r="F829" s="15" t="s">
        <v>1045</v>
      </c>
      <c r="G829" s="15" t="s">
        <v>113</v>
      </c>
      <c r="H829" s="15" t="s">
        <v>383</v>
      </c>
      <c r="J829" s="16" t="s">
        <v>114</v>
      </c>
      <c r="U829" s="15" t="s">
        <v>17977</v>
      </c>
      <c r="W829" s="15">
        <v>754</v>
      </c>
      <c r="X829" s="15">
        <v>839</v>
      </c>
      <c r="Y829" s="15" t="s">
        <v>160</v>
      </c>
      <c r="Z829" s="15" t="s">
        <v>161</v>
      </c>
      <c r="AA829" s="15" t="s">
        <v>162</v>
      </c>
      <c r="AB829" s="15" t="s">
        <v>3258</v>
      </c>
      <c r="AC829" s="15" t="s">
        <v>3258</v>
      </c>
      <c r="AD829" s="15" t="s">
        <v>3258</v>
      </c>
      <c r="AE829" s="15" t="s">
        <v>164</v>
      </c>
      <c r="AF829" s="15" t="s">
        <v>3258</v>
      </c>
      <c r="AG829" s="15" t="s">
        <v>3258</v>
      </c>
      <c r="AH829" s="20" t="s">
        <v>3259</v>
      </c>
      <c r="AL829" s="15" t="s">
        <v>3260</v>
      </c>
      <c r="AN829" s="15">
        <v>743</v>
      </c>
      <c r="AO829" s="15" t="s">
        <v>3261</v>
      </c>
      <c r="AQ829" s="20" t="s">
        <v>168</v>
      </c>
      <c r="AT829" s="15" t="s">
        <v>3262</v>
      </c>
      <c r="AU829" s="15" t="s">
        <v>3263</v>
      </c>
      <c r="AV829" s="15" t="s">
        <v>3263</v>
      </c>
      <c r="AW829" s="15" t="s">
        <v>3264</v>
      </c>
      <c r="AX829" s="15" t="s">
        <v>3265</v>
      </c>
      <c r="AY829" s="15">
        <f t="shared" si="16"/>
        <v>55</v>
      </c>
      <c r="AZ829" s="15" t="s">
        <v>604</v>
      </c>
      <c r="BA829" s="15" t="s">
        <v>174</v>
      </c>
      <c r="BB829" s="15" t="s">
        <v>2370</v>
      </c>
      <c r="BC829" s="15" t="s">
        <v>1069</v>
      </c>
      <c r="BD829" s="15" t="s">
        <v>2855</v>
      </c>
      <c r="BE829" s="15" t="s">
        <v>3266</v>
      </c>
      <c r="BF829" s="15" t="s">
        <v>1096</v>
      </c>
      <c r="BI829" s="15" t="s">
        <v>3267</v>
      </c>
      <c r="BJ829" s="15" t="s">
        <v>3268</v>
      </c>
      <c r="BK829" s="15" t="s">
        <v>487</v>
      </c>
      <c r="BN829" s="15" t="s">
        <v>179</v>
      </c>
      <c r="BP829" s="15" t="s">
        <v>138</v>
      </c>
      <c r="BQ829" s="15" t="s">
        <v>3269</v>
      </c>
      <c r="BS829" s="15" t="s">
        <v>3270</v>
      </c>
      <c r="DH829" s="15" t="s">
        <v>17982</v>
      </c>
      <c r="DI829" s="15" t="s">
        <v>17982</v>
      </c>
    </row>
    <row r="830" spans="1:113" s="15" customFormat="1" ht="12.75" x14ac:dyDescent="0.2">
      <c r="A830" s="15" t="s">
        <v>109</v>
      </c>
      <c r="B830" s="15" t="s">
        <v>110</v>
      </c>
      <c r="D830" s="15" t="s">
        <v>1045</v>
      </c>
      <c r="E830" s="15" t="s">
        <v>112</v>
      </c>
      <c r="F830" s="15" t="s">
        <v>1045</v>
      </c>
      <c r="G830" s="15" t="s">
        <v>113</v>
      </c>
      <c r="H830" s="15" t="s">
        <v>383</v>
      </c>
      <c r="J830" s="16" t="s">
        <v>114</v>
      </c>
      <c r="U830" s="15" t="s">
        <v>17977</v>
      </c>
      <c r="W830" s="15">
        <v>756</v>
      </c>
      <c r="X830" s="15">
        <v>840</v>
      </c>
      <c r="Y830" s="15" t="s">
        <v>160</v>
      </c>
      <c r="Z830" s="15" t="s">
        <v>161</v>
      </c>
      <c r="AA830" s="15" t="s">
        <v>162</v>
      </c>
      <c r="AB830" s="15" t="s">
        <v>3280</v>
      </c>
      <c r="AC830" s="15" t="s">
        <v>3280</v>
      </c>
      <c r="AD830" s="15" t="s">
        <v>3280</v>
      </c>
      <c r="AE830" s="15" t="s">
        <v>164</v>
      </c>
      <c r="AF830" s="15" t="s">
        <v>3280</v>
      </c>
      <c r="AG830" s="15" t="s">
        <v>3280</v>
      </c>
      <c r="AH830" s="20" t="s">
        <v>3281</v>
      </c>
      <c r="AL830" s="15" t="s">
        <v>3282</v>
      </c>
      <c r="AN830" s="15">
        <v>743</v>
      </c>
      <c r="AO830" s="15" t="s">
        <v>3283</v>
      </c>
      <c r="AQ830" s="20" t="s">
        <v>168</v>
      </c>
      <c r="AT830" s="15" t="s">
        <v>3262</v>
      </c>
      <c r="AU830" s="15" t="s">
        <v>3284</v>
      </c>
      <c r="AV830" s="15" t="s">
        <v>3284</v>
      </c>
      <c r="AW830" s="15" t="s">
        <v>3285</v>
      </c>
      <c r="AX830" s="15" t="s">
        <v>3286</v>
      </c>
      <c r="AY830" s="15">
        <f t="shared" si="16"/>
        <v>52</v>
      </c>
      <c r="AZ830" s="15" t="s">
        <v>604</v>
      </c>
      <c r="BA830" s="15" t="s">
        <v>174</v>
      </c>
      <c r="BB830" s="15" t="s">
        <v>2370</v>
      </c>
      <c r="BC830" s="15" t="s">
        <v>1069</v>
      </c>
      <c r="BD830" s="15" t="s">
        <v>2855</v>
      </c>
      <c r="BE830" s="15" t="s">
        <v>3266</v>
      </c>
      <c r="BI830" s="15" t="s">
        <v>3267</v>
      </c>
      <c r="BJ830" s="15" t="s">
        <v>3287</v>
      </c>
      <c r="BK830" s="15" t="s">
        <v>487</v>
      </c>
      <c r="BN830" s="15" t="s">
        <v>179</v>
      </c>
      <c r="BP830" s="15" t="s">
        <v>138</v>
      </c>
      <c r="BQ830" s="15" t="s">
        <v>3269</v>
      </c>
      <c r="BS830" s="15" t="s">
        <v>3288</v>
      </c>
      <c r="DH830" s="15" t="s">
        <v>17982</v>
      </c>
      <c r="DI830" s="15" t="s">
        <v>17982</v>
      </c>
    </row>
    <row r="831" spans="1:113" s="15" customFormat="1" ht="12.75" x14ac:dyDescent="0.2">
      <c r="A831" s="15" t="s">
        <v>109</v>
      </c>
      <c r="B831" s="15" t="s">
        <v>110</v>
      </c>
      <c r="D831" s="15" t="s">
        <v>1045</v>
      </c>
      <c r="E831" s="15" t="s">
        <v>112</v>
      </c>
      <c r="F831" s="15" t="s">
        <v>1045</v>
      </c>
      <c r="G831" s="15" t="s">
        <v>113</v>
      </c>
      <c r="H831" s="15" t="s">
        <v>383</v>
      </c>
      <c r="J831" s="16" t="s">
        <v>114</v>
      </c>
      <c r="U831" s="15" t="s">
        <v>17977</v>
      </c>
      <c r="W831" s="15">
        <v>755</v>
      </c>
      <c r="X831" s="15">
        <v>841</v>
      </c>
      <c r="Y831" s="15" t="s">
        <v>160</v>
      </c>
      <c r="Z831" s="15" t="s">
        <v>161</v>
      </c>
      <c r="AA831" s="15" t="s">
        <v>162</v>
      </c>
      <c r="AB831" s="15" t="s">
        <v>3271</v>
      </c>
      <c r="AC831" s="15" t="s">
        <v>3271</v>
      </c>
      <c r="AD831" s="15" t="s">
        <v>3271</v>
      </c>
      <c r="AE831" s="15" t="s">
        <v>164</v>
      </c>
      <c r="AF831" s="15" t="s">
        <v>3271</v>
      </c>
      <c r="AG831" s="15" t="s">
        <v>3271</v>
      </c>
      <c r="AH831" s="20" t="s">
        <v>3272</v>
      </c>
      <c r="AL831" s="15" t="s">
        <v>3273</v>
      </c>
      <c r="AN831" s="15">
        <v>743</v>
      </c>
      <c r="AO831" s="15" t="s">
        <v>3274</v>
      </c>
      <c r="AQ831" s="20" t="s">
        <v>168</v>
      </c>
      <c r="AT831" s="15" t="s">
        <v>3262</v>
      </c>
      <c r="AU831" s="15" t="s">
        <v>3275</v>
      </c>
      <c r="AV831" s="15" t="s">
        <v>3275</v>
      </c>
      <c r="AW831" s="15" t="s">
        <v>3276</v>
      </c>
      <c r="AX831" s="15" t="s">
        <v>3277</v>
      </c>
      <c r="AY831" s="15">
        <f t="shared" si="16"/>
        <v>56</v>
      </c>
      <c r="AZ831" s="15" t="s">
        <v>604</v>
      </c>
      <c r="BA831" s="15" t="s">
        <v>174</v>
      </c>
      <c r="BB831" s="15" t="s">
        <v>2370</v>
      </c>
      <c r="BC831" s="15" t="s">
        <v>1069</v>
      </c>
      <c r="BD831" s="15" t="s">
        <v>2855</v>
      </c>
      <c r="BE831" s="15" t="s">
        <v>3266</v>
      </c>
      <c r="BI831" s="15" t="s">
        <v>3267</v>
      </c>
      <c r="BJ831" s="15" t="s">
        <v>3278</v>
      </c>
      <c r="BK831" s="15" t="s">
        <v>487</v>
      </c>
      <c r="BN831" s="15" t="s">
        <v>179</v>
      </c>
      <c r="BP831" s="15" t="s">
        <v>138</v>
      </c>
      <c r="BQ831" s="15" t="s">
        <v>3269</v>
      </c>
      <c r="BS831" s="15" t="s">
        <v>3279</v>
      </c>
      <c r="DH831" s="15" t="s">
        <v>17982</v>
      </c>
      <c r="DI831" s="15" t="s">
        <v>17982</v>
      </c>
    </row>
    <row r="832" spans="1:113" s="15" customFormat="1" ht="12.75" x14ac:dyDescent="0.2">
      <c r="A832" s="15" t="s">
        <v>109</v>
      </c>
      <c r="B832" s="15" t="s">
        <v>110</v>
      </c>
      <c r="D832" s="15" t="s">
        <v>1045</v>
      </c>
      <c r="E832" s="15" t="s">
        <v>112</v>
      </c>
      <c r="F832" s="15" t="s">
        <v>1045</v>
      </c>
      <c r="G832" s="15" t="s">
        <v>113</v>
      </c>
      <c r="H832" s="15" t="s">
        <v>383</v>
      </c>
      <c r="J832" s="16" t="s">
        <v>114</v>
      </c>
      <c r="U832" s="15" t="s">
        <v>17977</v>
      </c>
      <c r="W832" s="15">
        <v>714</v>
      </c>
      <c r="X832" s="15">
        <v>842</v>
      </c>
      <c r="Y832" s="15" t="s">
        <v>160</v>
      </c>
      <c r="Z832" s="15" t="s">
        <v>161</v>
      </c>
      <c r="AA832" s="15" t="s">
        <v>162</v>
      </c>
      <c r="AB832" s="15" t="s">
        <v>2831</v>
      </c>
      <c r="AC832" s="15" t="s">
        <v>2831</v>
      </c>
      <c r="AD832" s="15" t="s">
        <v>2832</v>
      </c>
      <c r="AE832" s="15" t="s">
        <v>164</v>
      </c>
      <c r="AF832" s="15" t="s">
        <v>2832</v>
      </c>
      <c r="AG832" s="15" t="s">
        <v>2831</v>
      </c>
      <c r="AH832" s="20" t="s">
        <v>2833</v>
      </c>
      <c r="AL832" s="15" t="s">
        <v>2834</v>
      </c>
      <c r="AN832" s="15">
        <v>743</v>
      </c>
      <c r="AO832" s="15" t="s">
        <v>2835</v>
      </c>
      <c r="AQ832" s="20" t="s">
        <v>1104</v>
      </c>
      <c r="AT832" s="15" t="s">
        <v>2836</v>
      </c>
      <c r="AU832" s="15" t="s">
        <v>2837</v>
      </c>
      <c r="AV832" s="15" t="s">
        <v>2837</v>
      </c>
      <c r="AW832" s="15" t="s">
        <v>2838</v>
      </c>
      <c r="AX832" s="15" t="s">
        <v>2839</v>
      </c>
      <c r="AY832" s="15">
        <f t="shared" si="16"/>
        <v>59</v>
      </c>
      <c r="AZ832" s="15" t="s">
        <v>2840</v>
      </c>
      <c r="BA832" s="15" t="s">
        <v>917</v>
      </c>
      <c r="BB832" s="15" t="s">
        <v>2370</v>
      </c>
      <c r="BC832" s="15" t="s">
        <v>2841</v>
      </c>
      <c r="BE832" s="15" t="s">
        <v>2842</v>
      </c>
      <c r="BF832" s="15" t="s">
        <v>2843</v>
      </c>
      <c r="BJ832" s="15" t="s">
        <v>2844</v>
      </c>
      <c r="BN832" s="15" t="s">
        <v>179</v>
      </c>
      <c r="BP832" s="15" t="s">
        <v>138</v>
      </c>
      <c r="BS832" s="15" t="s">
        <v>2845</v>
      </c>
      <c r="DH832" s="15" t="s">
        <v>17982</v>
      </c>
      <c r="DI832" s="15" t="s">
        <v>17982</v>
      </c>
    </row>
    <row r="833" spans="1:113" s="15" customFormat="1" ht="12.75" x14ac:dyDescent="0.2">
      <c r="A833" s="15" t="s">
        <v>109</v>
      </c>
      <c r="B833" s="15" t="s">
        <v>110</v>
      </c>
      <c r="D833" s="15" t="s">
        <v>1045</v>
      </c>
      <c r="E833" s="15" t="s">
        <v>112</v>
      </c>
      <c r="F833" s="15" t="s">
        <v>1045</v>
      </c>
      <c r="G833" s="15" t="s">
        <v>113</v>
      </c>
      <c r="H833" s="15" t="s">
        <v>383</v>
      </c>
      <c r="J833" s="16" t="s">
        <v>114</v>
      </c>
      <c r="U833" s="15" t="s">
        <v>17977</v>
      </c>
      <c r="W833" s="15">
        <v>715</v>
      </c>
      <c r="X833" s="15">
        <v>843</v>
      </c>
      <c r="Y833" s="15" t="s">
        <v>160</v>
      </c>
      <c r="Z833" s="15" t="s">
        <v>161</v>
      </c>
      <c r="AA833" s="15" t="s">
        <v>162</v>
      </c>
      <c r="AB833" s="15" t="s">
        <v>2846</v>
      </c>
      <c r="AC833" s="15" t="s">
        <v>2846</v>
      </c>
      <c r="AD833" s="15" t="s">
        <v>2847</v>
      </c>
      <c r="AE833" s="15" t="s">
        <v>164</v>
      </c>
      <c r="AF833" s="15" t="s">
        <v>2847</v>
      </c>
      <c r="AG833" s="15" t="s">
        <v>2846</v>
      </c>
      <c r="AH833" s="20" t="s">
        <v>2848</v>
      </c>
      <c r="AL833" s="15" t="s">
        <v>2849</v>
      </c>
      <c r="AN833" s="15">
        <v>743</v>
      </c>
      <c r="AO833" s="15" t="s">
        <v>2850</v>
      </c>
      <c r="AQ833" s="20" t="s">
        <v>388</v>
      </c>
      <c r="AT833" s="15" t="s">
        <v>2851</v>
      </c>
      <c r="AU833" s="15" t="s">
        <v>2852</v>
      </c>
      <c r="AV833" s="15" t="s">
        <v>2852</v>
      </c>
      <c r="AW833" s="15" t="s">
        <v>2853</v>
      </c>
      <c r="AX833" s="15" t="s">
        <v>2854</v>
      </c>
      <c r="AY833" s="15">
        <f t="shared" si="16"/>
        <v>58</v>
      </c>
      <c r="AZ833" s="15" t="s">
        <v>393</v>
      </c>
      <c r="BA833" s="15" t="s">
        <v>174</v>
      </c>
      <c r="BB833" s="15" t="s">
        <v>2370</v>
      </c>
      <c r="BC833" s="15" t="s">
        <v>1069</v>
      </c>
      <c r="BD833" s="15" t="s">
        <v>2855</v>
      </c>
      <c r="BE833" s="15" t="s">
        <v>1688</v>
      </c>
      <c r="BJ833" s="15" t="s">
        <v>2856</v>
      </c>
      <c r="BN833" s="15" t="s">
        <v>179</v>
      </c>
      <c r="BP833" s="15" t="s">
        <v>138</v>
      </c>
      <c r="BS833" s="15" t="s">
        <v>2857</v>
      </c>
      <c r="DH833" s="15" t="s">
        <v>17982</v>
      </c>
      <c r="DI833" s="15" t="s">
        <v>17982</v>
      </c>
    </row>
    <row r="834" spans="1:113" s="15" customFormat="1" ht="12.75" x14ac:dyDescent="0.2">
      <c r="A834" s="15" t="s">
        <v>109</v>
      </c>
      <c r="B834" s="15" t="s">
        <v>110</v>
      </c>
      <c r="D834" s="15" t="s">
        <v>1045</v>
      </c>
      <c r="E834" s="15" t="s">
        <v>112</v>
      </c>
      <c r="F834" s="15" t="s">
        <v>1045</v>
      </c>
      <c r="G834" s="15" t="s">
        <v>113</v>
      </c>
      <c r="H834" s="15" t="s">
        <v>383</v>
      </c>
      <c r="J834" s="16" t="s">
        <v>114</v>
      </c>
      <c r="U834" s="15" t="s">
        <v>17977</v>
      </c>
      <c r="W834" s="15">
        <v>2045</v>
      </c>
      <c r="X834" s="15">
        <v>844</v>
      </c>
      <c r="Y834" s="15" t="s">
        <v>160</v>
      </c>
      <c r="Z834" s="15" t="s">
        <v>161</v>
      </c>
      <c r="AA834" s="15" t="s">
        <v>162</v>
      </c>
      <c r="AB834" s="15" t="s">
        <v>10581</v>
      </c>
      <c r="AC834" s="15" t="s">
        <v>10581</v>
      </c>
      <c r="AD834" s="15" t="s">
        <v>10581</v>
      </c>
      <c r="AE834" s="15" t="s">
        <v>164</v>
      </c>
      <c r="AF834" s="15" t="s">
        <v>10581</v>
      </c>
      <c r="AG834" s="15" t="s">
        <v>10581</v>
      </c>
      <c r="AH834" s="20" t="s">
        <v>10582</v>
      </c>
      <c r="AL834" s="15" t="s">
        <v>10583</v>
      </c>
      <c r="AN834" s="15">
        <v>743</v>
      </c>
      <c r="AO834" s="15" t="s">
        <v>10584</v>
      </c>
      <c r="AQ834" s="20" t="s">
        <v>168</v>
      </c>
      <c r="AT834" s="15" t="s">
        <v>10585</v>
      </c>
      <c r="AU834" s="15" t="s">
        <v>10586</v>
      </c>
      <c r="AV834" s="15" t="s">
        <v>10586</v>
      </c>
      <c r="AW834" s="15" t="s">
        <v>10587</v>
      </c>
      <c r="AX834" s="15" t="s">
        <v>10588</v>
      </c>
      <c r="AY834" s="15">
        <f t="shared" si="16"/>
        <v>59</v>
      </c>
      <c r="AZ834" s="15" t="s">
        <v>173</v>
      </c>
      <c r="BA834" s="15" t="s">
        <v>174</v>
      </c>
      <c r="BB834" s="15" t="s">
        <v>10589</v>
      </c>
      <c r="BE834" s="15" t="s">
        <v>606</v>
      </c>
      <c r="BJ834" s="15" t="s">
        <v>10590</v>
      </c>
      <c r="BN834" s="15" t="s">
        <v>179</v>
      </c>
      <c r="BP834" s="15" t="s">
        <v>138</v>
      </c>
      <c r="BS834" s="15" t="s">
        <v>10591</v>
      </c>
      <c r="DH834" s="15" t="s">
        <v>17982</v>
      </c>
      <c r="DI834" s="15" t="s">
        <v>17982</v>
      </c>
    </row>
    <row r="835" spans="1:113" s="15" customFormat="1" ht="12.75" x14ac:dyDescent="0.2">
      <c r="A835" s="15" t="s">
        <v>109</v>
      </c>
      <c r="B835" s="15" t="s">
        <v>110</v>
      </c>
      <c r="D835" s="15" t="s">
        <v>1045</v>
      </c>
      <c r="E835" s="15" t="s">
        <v>112</v>
      </c>
      <c r="F835" s="15" t="s">
        <v>1045</v>
      </c>
      <c r="G835" s="15" t="s">
        <v>113</v>
      </c>
      <c r="H835" s="15" t="s">
        <v>383</v>
      </c>
      <c r="J835" s="16" t="s">
        <v>114</v>
      </c>
      <c r="U835" s="15" t="s">
        <v>17977</v>
      </c>
      <c r="W835" s="15">
        <v>2046</v>
      </c>
      <c r="X835" s="15">
        <v>845</v>
      </c>
      <c r="Y835" s="15" t="s">
        <v>160</v>
      </c>
      <c r="Z835" s="15" t="s">
        <v>161</v>
      </c>
      <c r="AA835" s="15" t="s">
        <v>162</v>
      </c>
      <c r="AB835" s="15" t="s">
        <v>10592</v>
      </c>
      <c r="AC835" s="15" t="s">
        <v>10592</v>
      </c>
      <c r="AD835" s="15" t="s">
        <v>10592</v>
      </c>
      <c r="AE835" s="15" t="s">
        <v>164</v>
      </c>
      <c r="AF835" s="15" t="s">
        <v>10592</v>
      </c>
      <c r="AG835" s="15" t="s">
        <v>10592</v>
      </c>
      <c r="AH835" s="20" t="s">
        <v>10593</v>
      </c>
      <c r="AL835" s="15" t="s">
        <v>10594</v>
      </c>
      <c r="AN835" s="15">
        <v>743</v>
      </c>
      <c r="AO835" s="15" t="s">
        <v>10595</v>
      </c>
      <c r="AQ835" s="20" t="s">
        <v>168</v>
      </c>
      <c r="AT835" s="15" t="s">
        <v>10596</v>
      </c>
      <c r="AU835" s="15" t="s">
        <v>10597</v>
      </c>
      <c r="AV835" s="15" t="s">
        <v>10597</v>
      </c>
      <c r="AW835" s="15" t="s">
        <v>10598</v>
      </c>
      <c r="AX835" s="15" t="s">
        <v>10599</v>
      </c>
      <c r="AY835" s="15">
        <f t="shared" si="16"/>
        <v>56</v>
      </c>
      <c r="AZ835" s="15" t="s">
        <v>173</v>
      </c>
      <c r="BA835" s="15" t="s">
        <v>174</v>
      </c>
      <c r="BB835" s="15" t="s">
        <v>10589</v>
      </c>
      <c r="BE835" s="15" t="s">
        <v>606</v>
      </c>
      <c r="BJ835" s="15" t="s">
        <v>10600</v>
      </c>
      <c r="BN835" s="15" t="s">
        <v>179</v>
      </c>
      <c r="BP835" s="15" t="s">
        <v>138</v>
      </c>
      <c r="BS835" s="15" t="s">
        <v>10601</v>
      </c>
      <c r="DH835" s="15" t="s">
        <v>17982</v>
      </c>
      <c r="DI835" s="15" t="s">
        <v>17982</v>
      </c>
    </row>
    <row r="836" spans="1:113" s="15" customFormat="1" ht="12.75" x14ac:dyDescent="0.2">
      <c r="A836" s="15" t="s">
        <v>109</v>
      </c>
      <c r="B836" s="15" t="s">
        <v>110</v>
      </c>
      <c r="D836" s="15" t="s">
        <v>1045</v>
      </c>
      <c r="E836" s="15" t="s">
        <v>112</v>
      </c>
      <c r="F836" s="15" t="s">
        <v>1045</v>
      </c>
      <c r="G836" s="15" t="s">
        <v>113</v>
      </c>
      <c r="H836" s="15" t="s">
        <v>383</v>
      </c>
      <c r="J836" s="16" t="s">
        <v>114</v>
      </c>
      <c r="U836" s="15" t="s">
        <v>17977</v>
      </c>
      <c r="W836" s="15">
        <v>928</v>
      </c>
      <c r="X836" s="15">
        <v>846</v>
      </c>
      <c r="Y836" s="15" t="s">
        <v>160</v>
      </c>
      <c r="Z836" s="15" t="s">
        <v>161</v>
      </c>
      <c r="AA836" s="15" t="s">
        <v>162</v>
      </c>
      <c r="AB836" s="15" t="s">
        <v>4294</v>
      </c>
      <c r="AC836" s="15" t="s">
        <v>4294</v>
      </c>
      <c r="AD836" s="15" t="s">
        <v>4294</v>
      </c>
      <c r="AE836" s="15" t="s">
        <v>164</v>
      </c>
      <c r="AF836" s="15" t="s">
        <v>4294</v>
      </c>
      <c r="AG836" s="15" t="s">
        <v>4294</v>
      </c>
      <c r="AH836" s="20" t="s">
        <v>4295</v>
      </c>
      <c r="AL836" s="15" t="s">
        <v>4296</v>
      </c>
      <c r="AN836" s="15">
        <v>743</v>
      </c>
      <c r="AO836" s="15" t="s">
        <v>4297</v>
      </c>
      <c r="AQ836" s="20" t="s">
        <v>168</v>
      </c>
      <c r="AT836" s="15" t="s">
        <v>4298</v>
      </c>
      <c r="AU836" s="15" t="s">
        <v>4299</v>
      </c>
      <c r="AV836" s="15" t="s">
        <v>4299</v>
      </c>
      <c r="AW836" s="15" t="s">
        <v>4300</v>
      </c>
      <c r="AX836" s="15" t="s">
        <v>4301</v>
      </c>
      <c r="AY836" s="15">
        <f t="shared" si="16"/>
        <v>58</v>
      </c>
      <c r="AZ836" s="15" t="s">
        <v>604</v>
      </c>
      <c r="BA836" s="15" t="s">
        <v>174</v>
      </c>
      <c r="BB836" s="15" t="s">
        <v>4026</v>
      </c>
      <c r="BE836" s="15" t="s">
        <v>275</v>
      </c>
      <c r="BI836" s="15" t="s">
        <v>4292</v>
      </c>
      <c r="BJ836" s="15" t="s">
        <v>2927</v>
      </c>
      <c r="BN836" s="15" t="s">
        <v>179</v>
      </c>
      <c r="BP836" s="15" t="s">
        <v>138</v>
      </c>
      <c r="BS836" s="15" t="s">
        <v>4302</v>
      </c>
      <c r="DH836" s="15" t="s">
        <v>17982</v>
      </c>
      <c r="DI836" s="15" t="s">
        <v>17982</v>
      </c>
    </row>
    <row r="837" spans="1:113" s="15" customFormat="1" ht="12.75" x14ac:dyDescent="0.2">
      <c r="A837" s="15" t="s">
        <v>109</v>
      </c>
      <c r="B837" s="15" t="s">
        <v>110</v>
      </c>
      <c r="D837" s="15" t="s">
        <v>1045</v>
      </c>
      <c r="E837" s="15" t="s">
        <v>112</v>
      </c>
      <c r="F837" s="15" t="s">
        <v>1045</v>
      </c>
      <c r="G837" s="15" t="s">
        <v>113</v>
      </c>
      <c r="H837" s="15" t="s">
        <v>383</v>
      </c>
      <c r="J837" s="16" t="s">
        <v>114</v>
      </c>
      <c r="U837" s="15" t="s">
        <v>17977</v>
      </c>
      <c r="W837" s="15">
        <v>927</v>
      </c>
      <c r="X837" s="15">
        <v>847</v>
      </c>
      <c r="Y837" s="15" t="s">
        <v>160</v>
      </c>
      <c r="Z837" s="15" t="s">
        <v>161</v>
      </c>
      <c r="AA837" s="15" t="s">
        <v>162</v>
      </c>
      <c r="AB837" s="15" t="s">
        <v>4284</v>
      </c>
      <c r="AC837" s="15" t="s">
        <v>4284</v>
      </c>
      <c r="AD837" s="15" t="s">
        <v>4284</v>
      </c>
      <c r="AE837" s="15" t="s">
        <v>164</v>
      </c>
      <c r="AF837" s="15" t="s">
        <v>4284</v>
      </c>
      <c r="AG837" s="15" t="s">
        <v>4284</v>
      </c>
      <c r="AH837" s="20" t="s">
        <v>4285</v>
      </c>
      <c r="AL837" s="15" t="s">
        <v>4286</v>
      </c>
      <c r="AN837" s="15">
        <v>743</v>
      </c>
      <c r="AO837" s="15" t="s">
        <v>4287</v>
      </c>
      <c r="AQ837" s="20" t="s">
        <v>168</v>
      </c>
      <c r="AT837" s="15" t="s">
        <v>4288</v>
      </c>
      <c r="AU837" s="15" t="s">
        <v>4289</v>
      </c>
      <c r="AV837" s="15" t="s">
        <v>4289</v>
      </c>
      <c r="AW837" s="15" t="s">
        <v>4290</v>
      </c>
      <c r="AX837" s="15" t="s">
        <v>4291</v>
      </c>
      <c r="AY837" s="15">
        <f t="shared" si="16"/>
        <v>54</v>
      </c>
      <c r="AZ837" s="15" t="s">
        <v>604</v>
      </c>
      <c r="BA837" s="15" t="s">
        <v>174</v>
      </c>
      <c r="BB837" s="15" t="s">
        <v>4026</v>
      </c>
      <c r="BE837" s="15" t="s">
        <v>275</v>
      </c>
      <c r="BI837" s="15" t="s">
        <v>4292</v>
      </c>
      <c r="BJ837" s="15" t="s">
        <v>2938</v>
      </c>
      <c r="BN837" s="15" t="s">
        <v>179</v>
      </c>
      <c r="BP837" s="15" t="s">
        <v>138</v>
      </c>
      <c r="BS837" s="15" t="s">
        <v>4293</v>
      </c>
      <c r="DH837" s="15" t="s">
        <v>17982</v>
      </c>
      <c r="DI837" s="15" t="s">
        <v>17982</v>
      </c>
    </row>
    <row r="838" spans="1:113" s="15" customFormat="1" ht="12.75" x14ac:dyDescent="0.2">
      <c r="A838" s="15" t="s">
        <v>109</v>
      </c>
      <c r="B838" s="15" t="s">
        <v>110</v>
      </c>
      <c r="D838" s="15" t="s">
        <v>1045</v>
      </c>
      <c r="E838" s="15" t="s">
        <v>112</v>
      </c>
      <c r="F838" s="15" t="s">
        <v>1045</v>
      </c>
      <c r="G838" s="15" t="s">
        <v>2494</v>
      </c>
      <c r="H838" s="15" t="s">
        <v>383</v>
      </c>
      <c r="J838" s="16" t="s">
        <v>114</v>
      </c>
      <c r="U838" s="15" t="s">
        <v>17977</v>
      </c>
      <c r="W838" s="15">
        <v>915</v>
      </c>
      <c r="X838" s="15">
        <v>848</v>
      </c>
      <c r="Y838" s="15" t="s">
        <v>160</v>
      </c>
      <c r="Z838" s="15" t="s">
        <v>161</v>
      </c>
      <c r="AA838" s="15" t="s">
        <v>162</v>
      </c>
      <c r="AB838" s="15" t="s">
        <v>4158</v>
      </c>
      <c r="AC838" s="15" t="s">
        <v>4158</v>
      </c>
      <c r="AD838" s="15" t="s">
        <v>4158</v>
      </c>
      <c r="AE838" s="15" t="s">
        <v>164</v>
      </c>
      <c r="AF838" s="15" t="s">
        <v>4158</v>
      </c>
      <c r="AG838" s="15" t="s">
        <v>4158</v>
      </c>
      <c r="AH838" s="20" t="s">
        <v>4159</v>
      </c>
      <c r="AL838" s="15" t="s">
        <v>4160</v>
      </c>
      <c r="AN838" s="15">
        <v>743</v>
      </c>
      <c r="AO838" s="15" t="s">
        <v>4161</v>
      </c>
      <c r="AQ838" s="20" t="s">
        <v>168</v>
      </c>
      <c r="AT838" s="15" t="s">
        <v>4162</v>
      </c>
      <c r="AU838" s="15" t="s">
        <v>4163</v>
      </c>
      <c r="AV838" s="15" t="s">
        <v>4163</v>
      </c>
      <c r="AW838" s="15" t="s">
        <v>4164</v>
      </c>
      <c r="AX838" s="15" t="s">
        <v>4165</v>
      </c>
      <c r="AY838" s="15">
        <f t="shared" si="16"/>
        <v>60</v>
      </c>
      <c r="AZ838" s="15" t="s">
        <v>604</v>
      </c>
      <c r="BA838" s="15" t="s">
        <v>174</v>
      </c>
      <c r="BB838" s="15" t="s">
        <v>4026</v>
      </c>
      <c r="BE838" s="15" t="s">
        <v>176</v>
      </c>
      <c r="BF838" s="15" t="s">
        <v>2184</v>
      </c>
      <c r="BI838" s="15" t="s">
        <v>4155</v>
      </c>
      <c r="BJ838" s="15" t="s">
        <v>4166</v>
      </c>
      <c r="BN838" s="15" t="s">
        <v>179</v>
      </c>
      <c r="BP838" s="15" t="s">
        <v>138</v>
      </c>
      <c r="BR838" s="15" t="s">
        <v>2626</v>
      </c>
      <c r="BS838" s="15" t="s">
        <v>4167</v>
      </c>
      <c r="DH838" s="15" t="s">
        <v>17982</v>
      </c>
      <c r="DI838" s="15" t="s">
        <v>17982</v>
      </c>
    </row>
    <row r="839" spans="1:113" s="15" customFormat="1" ht="12.75" x14ac:dyDescent="0.2">
      <c r="A839" s="15" t="s">
        <v>109</v>
      </c>
      <c r="B839" s="15" t="s">
        <v>110</v>
      </c>
      <c r="D839" s="15" t="s">
        <v>1045</v>
      </c>
      <c r="E839" s="15" t="s">
        <v>112</v>
      </c>
      <c r="F839" s="15" t="s">
        <v>1045</v>
      </c>
      <c r="G839" s="15" t="s">
        <v>2494</v>
      </c>
      <c r="H839" s="15" t="s">
        <v>383</v>
      </c>
      <c r="J839" s="16" t="s">
        <v>114</v>
      </c>
      <c r="U839" s="15" t="s">
        <v>17977</v>
      </c>
      <c r="W839" s="15">
        <v>914</v>
      </c>
      <c r="X839" s="15">
        <v>849</v>
      </c>
      <c r="Y839" s="15" t="s">
        <v>160</v>
      </c>
      <c r="Z839" s="15" t="s">
        <v>161</v>
      </c>
      <c r="AA839" s="15" t="s">
        <v>162</v>
      </c>
      <c r="AB839" s="15" t="s">
        <v>4147</v>
      </c>
      <c r="AC839" s="15" t="s">
        <v>4147</v>
      </c>
      <c r="AD839" s="15" t="s">
        <v>4147</v>
      </c>
      <c r="AE839" s="15" t="s">
        <v>164</v>
      </c>
      <c r="AF839" s="15" t="s">
        <v>4147</v>
      </c>
      <c r="AG839" s="15" t="s">
        <v>4147</v>
      </c>
      <c r="AH839" s="20" t="s">
        <v>4148</v>
      </c>
      <c r="AL839" s="15" t="s">
        <v>4149</v>
      </c>
      <c r="AN839" s="15">
        <v>743</v>
      </c>
      <c r="AO839" s="15" t="s">
        <v>4150</v>
      </c>
      <c r="AQ839" s="20" t="s">
        <v>168</v>
      </c>
      <c r="AT839" s="15" t="s">
        <v>4151</v>
      </c>
      <c r="AU839" s="15" t="s">
        <v>4152</v>
      </c>
      <c r="AV839" s="15" t="s">
        <v>4152</v>
      </c>
      <c r="AW839" s="15" t="s">
        <v>4153</v>
      </c>
      <c r="AX839" s="15" t="s">
        <v>4154</v>
      </c>
      <c r="AY839" s="15">
        <f t="shared" si="16"/>
        <v>54</v>
      </c>
      <c r="AZ839" s="15" t="s">
        <v>604</v>
      </c>
      <c r="BA839" s="15" t="s">
        <v>174</v>
      </c>
      <c r="BB839" s="15" t="s">
        <v>4026</v>
      </c>
      <c r="BE839" s="15" t="s">
        <v>176</v>
      </c>
      <c r="BF839" s="15" t="s">
        <v>2184</v>
      </c>
      <c r="BI839" s="15" t="s">
        <v>4155</v>
      </c>
      <c r="BJ839" s="15" t="s">
        <v>4156</v>
      </c>
      <c r="BN839" s="15" t="s">
        <v>179</v>
      </c>
      <c r="BP839" s="15" t="s">
        <v>138</v>
      </c>
      <c r="BR839" s="15" t="s">
        <v>2626</v>
      </c>
      <c r="BS839" s="15" t="s">
        <v>4157</v>
      </c>
      <c r="DH839" s="15" t="s">
        <v>17982</v>
      </c>
      <c r="DI839" s="15" t="s">
        <v>17982</v>
      </c>
    </row>
    <row r="840" spans="1:113" s="15" customFormat="1" ht="12.75" x14ac:dyDescent="0.2">
      <c r="A840" s="15" t="s">
        <v>109</v>
      </c>
      <c r="B840" s="15" t="s">
        <v>110</v>
      </c>
      <c r="D840" s="15" t="s">
        <v>1045</v>
      </c>
      <c r="E840" s="15" t="s">
        <v>112</v>
      </c>
      <c r="F840" s="15" t="s">
        <v>1045</v>
      </c>
      <c r="G840" s="15" t="s">
        <v>2494</v>
      </c>
      <c r="H840" s="15" t="s">
        <v>383</v>
      </c>
      <c r="J840" s="16" t="s">
        <v>114</v>
      </c>
      <c r="U840" s="15" t="s">
        <v>17977</v>
      </c>
      <c r="W840" s="15">
        <v>1429</v>
      </c>
      <c r="X840" s="15">
        <v>850</v>
      </c>
      <c r="Y840" s="15" t="s">
        <v>160</v>
      </c>
      <c r="Z840" s="15" t="s">
        <v>161</v>
      </c>
      <c r="AA840" s="15" t="s">
        <v>162</v>
      </c>
      <c r="AB840" s="15" t="s">
        <v>7251</v>
      </c>
      <c r="AC840" s="15" t="s">
        <v>7251</v>
      </c>
      <c r="AD840" s="15" t="s">
        <v>7251</v>
      </c>
      <c r="AE840" s="15" t="s">
        <v>164</v>
      </c>
      <c r="AF840" s="15" t="s">
        <v>7251</v>
      </c>
      <c r="AG840" s="15" t="s">
        <v>7251</v>
      </c>
      <c r="AH840" s="20" t="s">
        <v>7252</v>
      </c>
      <c r="AL840" s="15" t="s">
        <v>7253</v>
      </c>
      <c r="AN840" s="15">
        <v>743</v>
      </c>
      <c r="AO840" s="15" t="s">
        <v>7254</v>
      </c>
      <c r="AQ840" s="20" t="s">
        <v>168</v>
      </c>
      <c r="AR840" s="47"/>
      <c r="AS840" s="47"/>
      <c r="AT840" s="15" t="s">
        <v>7255</v>
      </c>
      <c r="AU840" s="15" t="s">
        <v>7256</v>
      </c>
      <c r="AV840" s="15" t="s">
        <v>7256</v>
      </c>
      <c r="AW840" s="15" t="s">
        <v>7257</v>
      </c>
      <c r="AX840" s="15" t="s">
        <v>7257</v>
      </c>
      <c r="AY840" s="15">
        <f t="shared" si="16"/>
        <v>54</v>
      </c>
      <c r="AZ840" s="15" t="s">
        <v>173</v>
      </c>
      <c r="BA840" s="15" t="s">
        <v>174</v>
      </c>
      <c r="BB840" s="15" t="s">
        <v>7165</v>
      </c>
      <c r="BE840" s="15" t="s">
        <v>1597</v>
      </c>
      <c r="BF840" s="15" t="s">
        <v>7258</v>
      </c>
      <c r="BJ840" s="15" t="s">
        <v>2185</v>
      </c>
      <c r="BN840" s="15" t="s">
        <v>179</v>
      </c>
      <c r="BP840" s="15" t="s">
        <v>138</v>
      </c>
      <c r="BR840" s="15" t="s">
        <v>7259</v>
      </c>
      <c r="BS840" s="15" t="s">
        <v>7260</v>
      </c>
      <c r="DH840" s="15" t="s">
        <v>17982</v>
      </c>
      <c r="DI840" s="15" t="s">
        <v>17982</v>
      </c>
    </row>
    <row r="841" spans="1:113" s="15" customFormat="1" ht="12.75" x14ac:dyDescent="0.2">
      <c r="A841" s="15" t="s">
        <v>109</v>
      </c>
      <c r="B841" s="15" t="s">
        <v>110</v>
      </c>
      <c r="D841" s="15" t="s">
        <v>1045</v>
      </c>
      <c r="E841" s="15" t="s">
        <v>112</v>
      </c>
      <c r="F841" s="15" t="s">
        <v>1045</v>
      </c>
      <c r="G841" s="15" t="s">
        <v>113</v>
      </c>
      <c r="H841" s="15" t="s">
        <v>383</v>
      </c>
      <c r="J841" s="16" t="s">
        <v>114</v>
      </c>
      <c r="U841" s="15" t="s">
        <v>17977</v>
      </c>
      <c r="W841" s="15">
        <v>903</v>
      </c>
      <c r="X841" s="15">
        <v>851</v>
      </c>
      <c r="Y841" s="15" t="s">
        <v>160</v>
      </c>
      <c r="Z841" s="15" t="s">
        <v>161</v>
      </c>
      <c r="AA841" s="15" t="s">
        <v>162</v>
      </c>
      <c r="AB841" s="15" t="s">
        <v>4041</v>
      </c>
      <c r="AC841" s="15" t="s">
        <v>4041</v>
      </c>
      <c r="AD841" s="15" t="s">
        <v>4041</v>
      </c>
      <c r="AE841" s="15" t="s">
        <v>164</v>
      </c>
      <c r="AF841" s="15" t="s">
        <v>4041</v>
      </c>
      <c r="AG841" s="15" t="s">
        <v>4041</v>
      </c>
      <c r="AH841" s="20" t="s">
        <v>4042</v>
      </c>
      <c r="AL841" s="15" t="s">
        <v>4043</v>
      </c>
      <c r="AN841" s="15">
        <v>743</v>
      </c>
      <c r="AO841" s="15" t="s">
        <v>4044</v>
      </c>
      <c r="AQ841" s="20" t="s">
        <v>168</v>
      </c>
      <c r="AT841" s="15" t="s">
        <v>4045</v>
      </c>
      <c r="AU841" s="15" t="s">
        <v>4046</v>
      </c>
      <c r="AV841" s="15" t="s">
        <v>4046</v>
      </c>
      <c r="AW841" s="15" t="s">
        <v>4047</v>
      </c>
      <c r="AX841" s="15" t="s">
        <v>4048</v>
      </c>
      <c r="AY841" s="15">
        <f t="shared" si="16"/>
        <v>57</v>
      </c>
      <c r="AZ841" s="15" t="s">
        <v>604</v>
      </c>
      <c r="BA841" s="15" t="s">
        <v>174</v>
      </c>
      <c r="BB841" s="15" t="s">
        <v>4049</v>
      </c>
      <c r="BE841" s="15" t="s">
        <v>241</v>
      </c>
      <c r="BF841" s="15" t="s">
        <v>2528</v>
      </c>
      <c r="BI841" s="15" t="s">
        <v>3142</v>
      </c>
      <c r="BJ841" s="15" t="s">
        <v>2185</v>
      </c>
      <c r="BN841" s="15" t="s">
        <v>179</v>
      </c>
      <c r="BP841" s="15" t="s">
        <v>138</v>
      </c>
      <c r="BS841" s="15" t="s">
        <v>4050</v>
      </c>
      <c r="DH841" s="15" t="s">
        <v>17982</v>
      </c>
      <c r="DI841" s="15" t="s">
        <v>17982</v>
      </c>
    </row>
    <row r="842" spans="1:113" s="15" customFormat="1" ht="12.75" x14ac:dyDescent="0.2">
      <c r="A842" s="15" t="s">
        <v>109</v>
      </c>
      <c r="B842" s="15" t="s">
        <v>110</v>
      </c>
      <c r="D842" s="15" t="s">
        <v>1045</v>
      </c>
      <c r="E842" s="15" t="s">
        <v>112</v>
      </c>
      <c r="F842" s="15" t="s">
        <v>1045</v>
      </c>
      <c r="G842" s="15" t="s">
        <v>113</v>
      </c>
      <c r="H842" s="15" t="s">
        <v>383</v>
      </c>
      <c r="J842" s="16" t="s">
        <v>114</v>
      </c>
      <c r="U842" s="15" t="s">
        <v>17977</v>
      </c>
      <c r="W842" s="15">
        <v>904</v>
      </c>
      <c r="X842" s="15">
        <v>852</v>
      </c>
      <c r="Y842" s="15" t="s">
        <v>160</v>
      </c>
      <c r="Z842" s="15" t="s">
        <v>161</v>
      </c>
      <c r="AA842" s="15" t="s">
        <v>162</v>
      </c>
      <c r="AB842" s="15" t="s">
        <v>4051</v>
      </c>
      <c r="AC842" s="15" t="s">
        <v>4051</v>
      </c>
      <c r="AD842" s="15" t="s">
        <v>4051</v>
      </c>
      <c r="AE842" s="15" t="s">
        <v>164</v>
      </c>
      <c r="AF842" s="15" t="s">
        <v>4051</v>
      </c>
      <c r="AG842" s="15" t="s">
        <v>4051</v>
      </c>
      <c r="AH842" s="20" t="s">
        <v>4052</v>
      </c>
      <c r="AL842" s="15" t="s">
        <v>4053</v>
      </c>
      <c r="AN842" s="15">
        <v>743</v>
      </c>
      <c r="AO842" s="15" t="s">
        <v>4054</v>
      </c>
      <c r="AQ842" s="20" t="s">
        <v>168</v>
      </c>
      <c r="AT842" s="15" t="s">
        <v>4055</v>
      </c>
      <c r="AU842" s="15" t="s">
        <v>4056</v>
      </c>
      <c r="AV842" s="15" t="s">
        <v>4056</v>
      </c>
      <c r="AW842" s="15" t="s">
        <v>4057</v>
      </c>
      <c r="AX842" s="15" t="s">
        <v>4058</v>
      </c>
      <c r="AY842" s="15">
        <f t="shared" si="16"/>
        <v>58</v>
      </c>
      <c r="AZ842" s="15" t="s">
        <v>604</v>
      </c>
      <c r="BA842" s="15" t="s">
        <v>174</v>
      </c>
      <c r="BB842" s="15" t="s">
        <v>4049</v>
      </c>
      <c r="BE842" s="15" t="s">
        <v>4059</v>
      </c>
      <c r="BF842" s="15" t="s">
        <v>2739</v>
      </c>
      <c r="BI842" s="15" t="s">
        <v>3142</v>
      </c>
      <c r="BJ842" s="15" t="s">
        <v>2185</v>
      </c>
      <c r="BN842" s="15" t="s">
        <v>179</v>
      </c>
      <c r="BP842" s="15" t="s">
        <v>138</v>
      </c>
      <c r="BS842" s="15" t="s">
        <v>4060</v>
      </c>
      <c r="DH842" s="15" t="s">
        <v>17982</v>
      </c>
      <c r="DI842" s="15" t="s">
        <v>17982</v>
      </c>
    </row>
    <row r="843" spans="1:113" s="15" customFormat="1" ht="12.75" x14ac:dyDescent="0.2">
      <c r="A843" s="15" t="s">
        <v>109</v>
      </c>
      <c r="B843" s="15" t="s">
        <v>110</v>
      </c>
      <c r="D843" s="15" t="s">
        <v>1045</v>
      </c>
      <c r="E843" s="15" t="s">
        <v>112</v>
      </c>
      <c r="F843" s="15" t="s">
        <v>1045</v>
      </c>
      <c r="G843" s="15" t="s">
        <v>113</v>
      </c>
      <c r="H843" s="15" t="s">
        <v>383</v>
      </c>
      <c r="J843" s="16" t="s">
        <v>114</v>
      </c>
      <c r="U843" s="15" t="s">
        <v>17977</v>
      </c>
      <c r="W843" s="15">
        <v>1430</v>
      </c>
      <c r="X843" s="15">
        <v>853</v>
      </c>
      <c r="Y843" s="15" t="s">
        <v>160</v>
      </c>
      <c r="Z843" s="15" t="s">
        <v>161</v>
      </c>
      <c r="AA843" s="15" t="s">
        <v>162</v>
      </c>
      <c r="AB843" s="15" t="s">
        <v>7261</v>
      </c>
      <c r="AC843" s="15" t="s">
        <v>7261</v>
      </c>
      <c r="AD843" s="15" t="s">
        <v>7261</v>
      </c>
      <c r="AE843" s="15" t="s">
        <v>164</v>
      </c>
      <c r="AF843" s="15" t="s">
        <v>7261</v>
      </c>
      <c r="AG843" s="15" t="s">
        <v>7261</v>
      </c>
      <c r="AH843" s="20" t="s">
        <v>7262</v>
      </c>
      <c r="AL843" s="15" t="s">
        <v>7263</v>
      </c>
      <c r="AN843" s="15">
        <v>743</v>
      </c>
      <c r="AO843" s="15" t="s">
        <v>7264</v>
      </c>
      <c r="AQ843" s="20" t="s">
        <v>168</v>
      </c>
      <c r="AR843" s="47"/>
      <c r="AS843" s="47"/>
      <c r="AT843" s="15" t="s">
        <v>7265</v>
      </c>
      <c r="AU843" s="15" t="s">
        <v>7266</v>
      </c>
      <c r="AV843" s="15" t="s">
        <v>7266</v>
      </c>
      <c r="AW843" s="15" t="s">
        <v>7267</v>
      </c>
      <c r="AX843" s="15" t="s">
        <v>7267</v>
      </c>
      <c r="AY843" s="15">
        <f t="shared" si="16"/>
        <v>59</v>
      </c>
      <c r="AZ843" s="15" t="s">
        <v>173</v>
      </c>
      <c r="BA843" s="15" t="s">
        <v>174</v>
      </c>
      <c r="BB843" s="15" t="s">
        <v>7165</v>
      </c>
      <c r="BE843" s="15" t="s">
        <v>7268</v>
      </c>
      <c r="BF843" s="15" t="s">
        <v>7269</v>
      </c>
      <c r="BJ843" s="15" t="s">
        <v>7270</v>
      </c>
      <c r="BN843" s="15" t="s">
        <v>179</v>
      </c>
      <c r="BP843" s="15" t="s">
        <v>138</v>
      </c>
      <c r="BS843" s="15" t="s">
        <v>7271</v>
      </c>
      <c r="DH843" s="15" t="s">
        <v>17982</v>
      </c>
      <c r="DI843" s="15" t="s">
        <v>17982</v>
      </c>
    </row>
    <row r="844" spans="1:113" s="15" customFormat="1" ht="12.75" x14ac:dyDescent="0.2">
      <c r="A844" s="15" t="s">
        <v>109</v>
      </c>
      <c r="B844" s="15" t="s">
        <v>110</v>
      </c>
      <c r="D844" s="15" t="s">
        <v>1045</v>
      </c>
      <c r="E844" s="15" t="s">
        <v>112</v>
      </c>
      <c r="F844" s="15" t="s">
        <v>1045</v>
      </c>
      <c r="G844" s="15" t="s">
        <v>113</v>
      </c>
      <c r="H844" s="15" t="s">
        <v>383</v>
      </c>
      <c r="J844" s="16" t="s">
        <v>114</v>
      </c>
      <c r="U844" s="15" t="s">
        <v>17977</v>
      </c>
      <c r="W844" s="15">
        <v>918</v>
      </c>
      <c r="X844" s="15">
        <v>854</v>
      </c>
      <c r="Y844" s="15" t="s">
        <v>160</v>
      </c>
      <c r="Z844" s="15" t="s">
        <v>161</v>
      </c>
      <c r="AA844" s="15" t="s">
        <v>162</v>
      </c>
      <c r="AB844" s="15" t="s">
        <v>4191</v>
      </c>
      <c r="AC844" s="15" t="s">
        <v>4191</v>
      </c>
      <c r="AD844" s="15" t="s">
        <v>4191</v>
      </c>
      <c r="AE844" s="15" t="s">
        <v>164</v>
      </c>
      <c r="AF844" s="15" t="s">
        <v>4191</v>
      </c>
      <c r="AG844" s="15" t="s">
        <v>4191</v>
      </c>
      <c r="AH844" s="20" t="s">
        <v>4192</v>
      </c>
      <c r="AL844" s="15" t="s">
        <v>4193</v>
      </c>
      <c r="AN844" s="15">
        <v>743</v>
      </c>
      <c r="AO844" s="15" t="s">
        <v>4194</v>
      </c>
      <c r="AQ844" s="20" t="s">
        <v>168</v>
      </c>
      <c r="AT844" s="15" t="s">
        <v>4195</v>
      </c>
      <c r="AU844" s="15" t="s">
        <v>4196</v>
      </c>
      <c r="AV844" s="15" t="s">
        <v>4196</v>
      </c>
      <c r="AW844" s="15" t="s">
        <v>4197</v>
      </c>
      <c r="AX844" s="15" t="s">
        <v>4198</v>
      </c>
      <c r="AY844" s="15">
        <f t="shared" si="16"/>
        <v>60</v>
      </c>
      <c r="AZ844" s="15" t="s">
        <v>604</v>
      </c>
      <c r="BA844" s="15" t="s">
        <v>174</v>
      </c>
      <c r="BB844" s="15" t="s">
        <v>4026</v>
      </c>
      <c r="BC844" s="15" t="s">
        <v>1978</v>
      </c>
      <c r="BE844" s="15" t="s">
        <v>1081</v>
      </c>
      <c r="BF844" s="15" t="s">
        <v>2806</v>
      </c>
      <c r="BJ844" s="15" t="s">
        <v>4199</v>
      </c>
      <c r="BN844" s="15" t="s">
        <v>179</v>
      </c>
      <c r="BP844" s="15" t="s">
        <v>138</v>
      </c>
      <c r="BS844" s="15" t="s">
        <v>4200</v>
      </c>
      <c r="DH844" s="15" t="s">
        <v>17982</v>
      </c>
      <c r="DI844" s="15" t="s">
        <v>17982</v>
      </c>
    </row>
    <row r="845" spans="1:113" s="15" customFormat="1" ht="12.75" x14ac:dyDescent="0.2">
      <c r="A845" s="15" t="s">
        <v>109</v>
      </c>
      <c r="B845" s="15" t="s">
        <v>110</v>
      </c>
      <c r="D845" s="15" t="s">
        <v>1045</v>
      </c>
      <c r="E845" s="15" t="s">
        <v>112</v>
      </c>
      <c r="F845" s="15" t="s">
        <v>1045</v>
      </c>
      <c r="G845" s="15" t="s">
        <v>113</v>
      </c>
      <c r="H845" s="15" t="s">
        <v>383</v>
      </c>
      <c r="J845" s="16" t="s">
        <v>114</v>
      </c>
      <c r="U845" s="15" t="s">
        <v>17977</v>
      </c>
      <c r="W845" s="15">
        <v>919</v>
      </c>
      <c r="X845" s="15">
        <v>855</v>
      </c>
      <c r="Y845" s="15" t="s">
        <v>160</v>
      </c>
      <c r="Z845" s="15" t="s">
        <v>161</v>
      </c>
      <c r="AA845" s="15" t="s">
        <v>162</v>
      </c>
      <c r="AB845" s="15" t="s">
        <v>4201</v>
      </c>
      <c r="AC845" s="15" t="s">
        <v>4201</v>
      </c>
      <c r="AD845" s="15" t="s">
        <v>4201</v>
      </c>
      <c r="AE845" s="15" t="s">
        <v>164</v>
      </c>
      <c r="AF845" s="15" t="s">
        <v>4201</v>
      </c>
      <c r="AG845" s="15" t="s">
        <v>4201</v>
      </c>
      <c r="AH845" s="20" t="s">
        <v>4202</v>
      </c>
      <c r="AL845" s="15" t="s">
        <v>4203</v>
      </c>
      <c r="AN845" s="15">
        <v>743</v>
      </c>
      <c r="AO845" s="15" t="s">
        <v>4204</v>
      </c>
      <c r="AQ845" s="20" t="s">
        <v>168</v>
      </c>
      <c r="AT845" s="15" t="s">
        <v>4205</v>
      </c>
      <c r="AU845" s="15" t="s">
        <v>4206</v>
      </c>
      <c r="AV845" s="15" t="s">
        <v>4206</v>
      </c>
      <c r="AW845" s="15" t="s">
        <v>4207</v>
      </c>
      <c r="AX845" s="15" t="s">
        <v>4208</v>
      </c>
      <c r="AY845" s="15">
        <f t="shared" si="16"/>
        <v>60</v>
      </c>
      <c r="AZ845" s="15" t="s">
        <v>604</v>
      </c>
      <c r="BA845" s="15" t="s">
        <v>174</v>
      </c>
      <c r="BB845" s="15" t="s">
        <v>4026</v>
      </c>
      <c r="BC845" s="15" t="s">
        <v>884</v>
      </c>
      <c r="BE845" s="15" t="s">
        <v>1081</v>
      </c>
      <c r="BF845" s="15" t="s">
        <v>2806</v>
      </c>
      <c r="BJ845" s="15" t="s">
        <v>4199</v>
      </c>
      <c r="BN845" s="15" t="s">
        <v>179</v>
      </c>
      <c r="BP845" s="15" t="s">
        <v>138</v>
      </c>
      <c r="BS845" s="15" t="s">
        <v>4209</v>
      </c>
      <c r="DH845" s="15" t="s">
        <v>17982</v>
      </c>
      <c r="DI845" s="15" t="s">
        <v>17982</v>
      </c>
    </row>
    <row r="846" spans="1:113" s="15" customFormat="1" ht="12.75" x14ac:dyDescent="0.2">
      <c r="A846" s="15" t="s">
        <v>109</v>
      </c>
      <c r="B846" s="15" t="s">
        <v>110</v>
      </c>
      <c r="D846" s="15" t="s">
        <v>1045</v>
      </c>
      <c r="E846" s="15" t="s">
        <v>112</v>
      </c>
      <c r="F846" s="15" t="s">
        <v>1045</v>
      </c>
      <c r="G846" s="15" t="s">
        <v>113</v>
      </c>
      <c r="H846" s="15" t="s">
        <v>383</v>
      </c>
      <c r="J846" s="16" t="s">
        <v>114</v>
      </c>
      <c r="U846" s="15" t="s">
        <v>17977</v>
      </c>
      <c r="W846" s="15">
        <v>929</v>
      </c>
      <c r="X846" s="15">
        <v>856</v>
      </c>
      <c r="Y846" s="15" t="s">
        <v>160</v>
      </c>
      <c r="Z846" s="15" t="s">
        <v>161</v>
      </c>
      <c r="AA846" s="15" t="s">
        <v>162</v>
      </c>
      <c r="AB846" s="15" t="s">
        <v>4303</v>
      </c>
      <c r="AC846" s="15" t="s">
        <v>4303</v>
      </c>
      <c r="AD846" s="15" t="s">
        <v>4303</v>
      </c>
      <c r="AE846" s="15" t="s">
        <v>164</v>
      </c>
      <c r="AF846" s="15" t="s">
        <v>4303</v>
      </c>
      <c r="AG846" s="15" t="s">
        <v>4303</v>
      </c>
      <c r="AH846" s="20" t="s">
        <v>4304</v>
      </c>
      <c r="AL846" s="15" t="s">
        <v>4305</v>
      </c>
      <c r="AN846" s="15">
        <v>743</v>
      </c>
      <c r="AO846" s="15" t="s">
        <v>4306</v>
      </c>
      <c r="AQ846" s="20" t="s">
        <v>168</v>
      </c>
      <c r="AT846" s="15" t="s">
        <v>4307</v>
      </c>
      <c r="AU846" s="15" t="s">
        <v>4308</v>
      </c>
      <c r="AV846" s="15" t="s">
        <v>4308</v>
      </c>
      <c r="AW846" s="15" t="s">
        <v>4309</v>
      </c>
      <c r="AX846" s="15" t="s">
        <v>4310</v>
      </c>
      <c r="AY846" s="15">
        <f t="shared" si="16"/>
        <v>53</v>
      </c>
      <c r="AZ846" s="15" t="s">
        <v>604</v>
      </c>
      <c r="BA846" s="15" t="s">
        <v>174</v>
      </c>
      <c r="BB846" s="15" t="s">
        <v>4026</v>
      </c>
      <c r="BC846" s="15" t="s">
        <v>1055</v>
      </c>
      <c r="BE846" s="15" t="s">
        <v>606</v>
      </c>
      <c r="BF846" s="15" t="s">
        <v>2551</v>
      </c>
      <c r="BI846" s="15" t="s">
        <v>2960</v>
      </c>
      <c r="BJ846" s="15" t="s">
        <v>4311</v>
      </c>
      <c r="BN846" s="15" t="s">
        <v>179</v>
      </c>
      <c r="BP846" s="15" t="s">
        <v>138</v>
      </c>
      <c r="BS846" s="15" t="s">
        <v>4312</v>
      </c>
      <c r="DH846" s="15" t="s">
        <v>17982</v>
      </c>
      <c r="DI846" s="15" t="s">
        <v>17982</v>
      </c>
    </row>
    <row r="847" spans="1:113" s="15" customFormat="1" ht="12.75" x14ac:dyDescent="0.2">
      <c r="A847" s="15" t="s">
        <v>109</v>
      </c>
      <c r="B847" s="15" t="s">
        <v>110</v>
      </c>
      <c r="D847" s="15" t="s">
        <v>1045</v>
      </c>
      <c r="E847" s="15" t="s">
        <v>112</v>
      </c>
      <c r="F847" s="15" t="s">
        <v>1045</v>
      </c>
      <c r="G847" s="15" t="s">
        <v>2494</v>
      </c>
      <c r="H847" s="15" t="s">
        <v>383</v>
      </c>
      <c r="J847" s="16" t="s">
        <v>114</v>
      </c>
      <c r="U847" s="15" t="s">
        <v>17977</v>
      </c>
      <c r="W847" s="15">
        <v>902</v>
      </c>
      <c r="X847" s="15">
        <v>857</v>
      </c>
      <c r="Y847" s="15" t="s">
        <v>160</v>
      </c>
      <c r="Z847" s="15" t="s">
        <v>161</v>
      </c>
      <c r="AA847" s="15" t="s">
        <v>162</v>
      </c>
      <c r="AB847" s="15" t="s">
        <v>4030</v>
      </c>
      <c r="AC847" s="15" t="s">
        <v>4030</v>
      </c>
      <c r="AD847" s="15" t="s">
        <v>4030</v>
      </c>
      <c r="AE847" s="15" t="s">
        <v>164</v>
      </c>
      <c r="AF847" s="15" t="s">
        <v>4030</v>
      </c>
      <c r="AG847" s="15" t="s">
        <v>4030</v>
      </c>
      <c r="AH847" s="20" t="s">
        <v>4031</v>
      </c>
      <c r="AL847" s="15" t="s">
        <v>4032</v>
      </c>
      <c r="AN847" s="15">
        <v>743</v>
      </c>
      <c r="AO847" s="15" t="s">
        <v>4033</v>
      </c>
      <c r="AQ847" s="20" t="s">
        <v>168</v>
      </c>
      <c r="AT847" s="15" t="s">
        <v>4034</v>
      </c>
      <c r="AU847" s="15" t="s">
        <v>4035</v>
      </c>
      <c r="AV847" s="15" t="s">
        <v>4035</v>
      </c>
      <c r="AW847" s="15" t="s">
        <v>4036</v>
      </c>
      <c r="AX847" s="15" t="s">
        <v>4037</v>
      </c>
      <c r="AY847" s="15">
        <f t="shared" si="16"/>
        <v>52</v>
      </c>
      <c r="AZ847" s="15" t="s">
        <v>604</v>
      </c>
      <c r="BA847" s="15" t="s">
        <v>174</v>
      </c>
      <c r="BB847" s="15" t="s">
        <v>4026</v>
      </c>
      <c r="BE847" s="15" t="s">
        <v>2694</v>
      </c>
      <c r="BF847" s="15" t="s">
        <v>3553</v>
      </c>
      <c r="BI847" s="15" t="s">
        <v>4038</v>
      </c>
      <c r="BJ847" s="15" t="s">
        <v>4039</v>
      </c>
      <c r="BN847" s="15" t="s">
        <v>179</v>
      </c>
      <c r="BP847" s="15" t="s">
        <v>138</v>
      </c>
      <c r="BR847" s="15" t="s">
        <v>3255</v>
      </c>
      <c r="BS847" s="15" t="s">
        <v>4040</v>
      </c>
      <c r="DH847" s="15" t="s">
        <v>17982</v>
      </c>
      <c r="DI847" s="15" t="s">
        <v>17982</v>
      </c>
    </row>
    <row r="848" spans="1:113" s="15" customFormat="1" ht="12.75" x14ac:dyDescent="0.2">
      <c r="A848" s="15" t="s">
        <v>109</v>
      </c>
      <c r="B848" s="15" t="s">
        <v>110</v>
      </c>
      <c r="D848" s="15" t="s">
        <v>1045</v>
      </c>
      <c r="E848" s="15" t="s">
        <v>112</v>
      </c>
      <c r="F848" s="15" t="s">
        <v>1045</v>
      </c>
      <c r="G848" s="15" t="s">
        <v>113</v>
      </c>
      <c r="H848" s="15" t="s">
        <v>383</v>
      </c>
      <c r="J848" s="16" t="s">
        <v>114</v>
      </c>
      <c r="U848" s="15" t="s">
        <v>17977</v>
      </c>
      <c r="W848" s="15">
        <v>1427</v>
      </c>
      <c r="X848" s="15">
        <v>858</v>
      </c>
      <c r="Y848" s="15" t="s">
        <v>160</v>
      </c>
      <c r="Z848" s="15" t="s">
        <v>161</v>
      </c>
      <c r="AA848" s="15" t="s">
        <v>162</v>
      </c>
      <c r="AB848" s="15" t="s">
        <v>7231</v>
      </c>
      <c r="AC848" s="15" t="s">
        <v>7231</v>
      </c>
      <c r="AD848" s="15" t="s">
        <v>7231</v>
      </c>
      <c r="AE848" s="15" t="s">
        <v>164</v>
      </c>
      <c r="AF848" s="15" t="s">
        <v>7231</v>
      </c>
      <c r="AG848" s="15" t="s">
        <v>7231</v>
      </c>
      <c r="AH848" s="20" t="s">
        <v>7232</v>
      </c>
      <c r="AL848" s="15" t="s">
        <v>7233</v>
      </c>
      <c r="AN848" s="15">
        <v>743</v>
      </c>
      <c r="AO848" s="15" t="s">
        <v>7234</v>
      </c>
      <c r="AQ848" s="20" t="s">
        <v>168</v>
      </c>
      <c r="AR848" s="47"/>
      <c r="AS848" s="47"/>
      <c r="AT848" s="15" t="s">
        <v>7235</v>
      </c>
      <c r="AU848" s="15" t="s">
        <v>7236</v>
      </c>
      <c r="AV848" s="15" t="s">
        <v>7236</v>
      </c>
      <c r="AW848" s="15" t="s">
        <v>7237</v>
      </c>
      <c r="AX848" s="15" t="s">
        <v>7238</v>
      </c>
      <c r="AY848" s="15">
        <f t="shared" si="16"/>
        <v>58</v>
      </c>
      <c r="AZ848" s="15" t="s">
        <v>604</v>
      </c>
      <c r="BA848" s="15" t="s">
        <v>174</v>
      </c>
      <c r="BB848" s="15" t="s">
        <v>7165</v>
      </c>
      <c r="BC848" s="15" t="s">
        <v>7227</v>
      </c>
      <c r="BE848" s="15" t="s">
        <v>7228</v>
      </c>
      <c r="BF848" s="15" t="s">
        <v>2785</v>
      </c>
      <c r="BJ848" s="15" t="s">
        <v>7239</v>
      </c>
      <c r="BN848" s="15" t="s">
        <v>179</v>
      </c>
      <c r="BP848" s="15" t="s">
        <v>138</v>
      </c>
      <c r="BR848" s="15" t="s">
        <v>7240</v>
      </c>
      <c r="BS848" s="15" t="s">
        <v>7241</v>
      </c>
      <c r="DH848" s="15" t="s">
        <v>17982</v>
      </c>
      <c r="DI848" s="15" t="s">
        <v>17982</v>
      </c>
    </row>
    <row r="849" spans="1:113" s="15" customFormat="1" ht="12.75" x14ac:dyDescent="0.2">
      <c r="A849" s="15" t="s">
        <v>109</v>
      </c>
      <c r="B849" s="15" t="s">
        <v>110</v>
      </c>
      <c r="D849" s="15" t="s">
        <v>1045</v>
      </c>
      <c r="E849" s="15" t="s">
        <v>112</v>
      </c>
      <c r="F849" s="15" t="s">
        <v>1045</v>
      </c>
      <c r="G849" s="15" t="s">
        <v>113</v>
      </c>
      <c r="H849" s="15" t="s">
        <v>383</v>
      </c>
      <c r="J849" s="16" t="s">
        <v>114</v>
      </c>
      <c r="U849" s="15" t="s">
        <v>17977</v>
      </c>
      <c r="W849" s="15">
        <v>1426</v>
      </c>
      <c r="X849" s="15">
        <v>859</v>
      </c>
      <c r="Y849" s="15" t="s">
        <v>160</v>
      </c>
      <c r="Z849" s="15" t="s">
        <v>161</v>
      </c>
      <c r="AA849" s="15" t="s">
        <v>162</v>
      </c>
      <c r="AB849" s="15" t="s">
        <v>7219</v>
      </c>
      <c r="AC849" s="15" t="s">
        <v>7219</v>
      </c>
      <c r="AD849" s="15" t="s">
        <v>7219</v>
      </c>
      <c r="AE849" s="15" t="s">
        <v>164</v>
      </c>
      <c r="AF849" s="15" t="s">
        <v>7219</v>
      </c>
      <c r="AG849" s="15" t="s">
        <v>7219</v>
      </c>
      <c r="AH849" s="20" t="s">
        <v>7220</v>
      </c>
      <c r="AL849" s="15" t="s">
        <v>7221</v>
      </c>
      <c r="AN849" s="15">
        <v>743</v>
      </c>
      <c r="AO849" s="15" t="s">
        <v>7222</v>
      </c>
      <c r="AQ849" s="20" t="s">
        <v>168</v>
      </c>
      <c r="AR849" s="47"/>
      <c r="AS849" s="47"/>
      <c r="AT849" s="15" t="s">
        <v>7223</v>
      </c>
      <c r="AU849" s="15" t="s">
        <v>7224</v>
      </c>
      <c r="AV849" s="15" t="s">
        <v>7224</v>
      </c>
      <c r="AW849" s="15" t="s">
        <v>7225</v>
      </c>
      <c r="AX849" s="15" t="s">
        <v>7226</v>
      </c>
      <c r="AY849" s="15">
        <f t="shared" ref="AY849:AY880" si="17">LEN(SUBSTITUTE(AX849, ", ",","))</f>
        <v>58</v>
      </c>
      <c r="AZ849" s="15" t="s">
        <v>604</v>
      </c>
      <c r="BA849" s="15" t="s">
        <v>174</v>
      </c>
      <c r="BB849" s="15" t="s">
        <v>7165</v>
      </c>
      <c r="BC849" s="15" t="s">
        <v>7227</v>
      </c>
      <c r="BE849" s="15" t="s">
        <v>7228</v>
      </c>
      <c r="BF849" s="15" t="s">
        <v>2785</v>
      </c>
      <c r="BJ849" s="15" t="s">
        <v>7229</v>
      </c>
      <c r="BN849" s="15" t="s">
        <v>179</v>
      </c>
      <c r="BP849" s="15" t="s">
        <v>138</v>
      </c>
      <c r="BS849" s="15" t="s">
        <v>7230</v>
      </c>
      <c r="DH849" s="15" t="s">
        <v>17982</v>
      </c>
      <c r="DI849" s="15" t="s">
        <v>17982</v>
      </c>
    </row>
    <row r="850" spans="1:113" s="15" customFormat="1" ht="12.75" x14ac:dyDescent="0.2">
      <c r="A850" s="15" t="s">
        <v>109</v>
      </c>
      <c r="B850" s="15" t="s">
        <v>110</v>
      </c>
      <c r="D850" s="15" t="s">
        <v>1045</v>
      </c>
      <c r="E850" s="15" t="s">
        <v>112</v>
      </c>
      <c r="F850" s="15" t="s">
        <v>1045</v>
      </c>
      <c r="G850" s="15" t="s">
        <v>113</v>
      </c>
      <c r="H850" s="15" t="s">
        <v>383</v>
      </c>
      <c r="J850" s="16" t="s">
        <v>114</v>
      </c>
      <c r="U850" s="15" t="s">
        <v>17977</v>
      </c>
      <c r="W850" s="15">
        <v>2037</v>
      </c>
      <c r="X850" s="15">
        <v>860</v>
      </c>
      <c r="Y850" s="15" t="s">
        <v>160</v>
      </c>
      <c r="Z850" s="15" t="s">
        <v>161</v>
      </c>
      <c r="AA850" s="15" t="s">
        <v>162</v>
      </c>
      <c r="AB850" s="15" t="s">
        <v>10510</v>
      </c>
      <c r="AC850" s="15" t="s">
        <v>10510</v>
      </c>
      <c r="AD850" s="15" t="s">
        <v>10510</v>
      </c>
      <c r="AE850" s="15" t="s">
        <v>164</v>
      </c>
      <c r="AF850" s="15" t="s">
        <v>10510</v>
      </c>
      <c r="AG850" s="15" t="s">
        <v>10510</v>
      </c>
      <c r="AH850" s="20" t="s">
        <v>10511</v>
      </c>
      <c r="AL850" s="15" t="s">
        <v>10512</v>
      </c>
      <c r="AN850" s="15">
        <v>743</v>
      </c>
      <c r="AO850" s="15" t="s">
        <v>10513</v>
      </c>
      <c r="AQ850" s="20" t="s">
        <v>168</v>
      </c>
      <c r="AT850" s="15" t="s">
        <v>10514</v>
      </c>
      <c r="AU850" s="15" t="s">
        <v>10515</v>
      </c>
      <c r="AV850" s="15" t="s">
        <v>10515</v>
      </c>
      <c r="AW850" s="15" t="s">
        <v>10516</v>
      </c>
      <c r="AX850" s="15" t="s">
        <v>10516</v>
      </c>
      <c r="AY850" s="15">
        <f t="shared" si="17"/>
        <v>59</v>
      </c>
      <c r="AZ850" s="15" t="s">
        <v>604</v>
      </c>
      <c r="BA850" s="15" t="s">
        <v>174</v>
      </c>
      <c r="BB850" s="15" t="s">
        <v>10497</v>
      </c>
      <c r="BE850" s="15" t="s">
        <v>2926</v>
      </c>
      <c r="BF850" s="15" t="s">
        <v>10499</v>
      </c>
      <c r="BI850" s="15" t="s">
        <v>2960</v>
      </c>
      <c r="BJ850" s="15" t="s">
        <v>4730</v>
      </c>
      <c r="BN850" s="15" t="s">
        <v>179</v>
      </c>
      <c r="BP850" s="15" t="s">
        <v>138</v>
      </c>
      <c r="BS850" s="15" t="s">
        <v>10517</v>
      </c>
      <c r="DH850" s="15" t="s">
        <v>17982</v>
      </c>
      <c r="DI850" s="15" t="s">
        <v>17982</v>
      </c>
    </row>
    <row r="851" spans="1:113" s="15" customFormat="1" ht="12.75" x14ac:dyDescent="0.2">
      <c r="A851" s="15" t="s">
        <v>109</v>
      </c>
      <c r="B851" s="15" t="s">
        <v>110</v>
      </c>
      <c r="D851" s="15" t="s">
        <v>1045</v>
      </c>
      <c r="E851" s="15" t="s">
        <v>112</v>
      </c>
      <c r="F851" s="15" t="s">
        <v>1045</v>
      </c>
      <c r="G851" s="15" t="s">
        <v>113</v>
      </c>
      <c r="H851" s="15" t="s">
        <v>383</v>
      </c>
      <c r="J851" s="16" t="s">
        <v>114</v>
      </c>
      <c r="U851" s="15" t="s">
        <v>17977</v>
      </c>
      <c r="W851" s="15">
        <v>2035</v>
      </c>
      <c r="X851" s="15">
        <v>861</v>
      </c>
      <c r="Y851" s="15" t="s">
        <v>160</v>
      </c>
      <c r="Z851" s="15" t="s">
        <v>161</v>
      </c>
      <c r="AA851" s="15" t="s">
        <v>162</v>
      </c>
      <c r="AB851" s="15" t="s">
        <v>10489</v>
      </c>
      <c r="AC851" s="15" t="s">
        <v>10489</v>
      </c>
      <c r="AD851" s="15" t="s">
        <v>10489</v>
      </c>
      <c r="AE851" s="15" t="s">
        <v>164</v>
      </c>
      <c r="AF851" s="15" t="s">
        <v>10489</v>
      </c>
      <c r="AG851" s="15" t="s">
        <v>10489</v>
      </c>
      <c r="AH851" s="20" t="s">
        <v>10490</v>
      </c>
      <c r="AL851" s="15" t="s">
        <v>10491</v>
      </c>
      <c r="AN851" s="15">
        <v>743</v>
      </c>
      <c r="AO851" s="15" t="s">
        <v>10492</v>
      </c>
      <c r="AQ851" s="20" t="s">
        <v>168</v>
      </c>
      <c r="AT851" s="15" t="s">
        <v>10493</v>
      </c>
      <c r="AU851" s="15" t="s">
        <v>10494</v>
      </c>
      <c r="AV851" s="15" t="s">
        <v>10494</v>
      </c>
      <c r="AW851" s="15" t="s">
        <v>10495</v>
      </c>
      <c r="AX851" s="15" t="s">
        <v>10496</v>
      </c>
      <c r="AY851" s="15">
        <f t="shared" si="17"/>
        <v>59</v>
      </c>
      <c r="AZ851" s="15" t="s">
        <v>604</v>
      </c>
      <c r="BA851" s="15" t="s">
        <v>174</v>
      </c>
      <c r="BB851" s="15" t="s">
        <v>10497</v>
      </c>
      <c r="BC851" s="15" t="s">
        <v>10498</v>
      </c>
      <c r="BE851" s="15" t="s">
        <v>2926</v>
      </c>
      <c r="BF851" s="15" t="s">
        <v>10499</v>
      </c>
      <c r="BI851" s="15" t="s">
        <v>2960</v>
      </c>
      <c r="BJ851" s="15" t="s">
        <v>10500</v>
      </c>
      <c r="BN851" s="15" t="s">
        <v>179</v>
      </c>
      <c r="BP851" s="15" t="s">
        <v>138</v>
      </c>
      <c r="BS851" s="15" t="s">
        <v>10501</v>
      </c>
      <c r="DH851" s="15" t="s">
        <v>17982</v>
      </c>
      <c r="DI851" s="15" t="s">
        <v>17982</v>
      </c>
    </row>
    <row r="852" spans="1:113" s="15" customFormat="1" ht="12.75" x14ac:dyDescent="0.2">
      <c r="A852" s="15" t="s">
        <v>109</v>
      </c>
      <c r="B852" s="15" t="s">
        <v>110</v>
      </c>
      <c r="D852" s="15" t="s">
        <v>1045</v>
      </c>
      <c r="E852" s="15" t="s">
        <v>112</v>
      </c>
      <c r="F852" s="15" t="s">
        <v>1045</v>
      </c>
      <c r="G852" s="15" t="s">
        <v>113</v>
      </c>
      <c r="H852" s="15" t="s">
        <v>383</v>
      </c>
      <c r="J852" s="16" t="s">
        <v>114</v>
      </c>
      <c r="U852" s="15" t="s">
        <v>17977</v>
      </c>
      <c r="W852" s="15">
        <v>2036</v>
      </c>
      <c r="X852" s="15">
        <v>862</v>
      </c>
      <c r="Y852" s="15" t="s">
        <v>160</v>
      </c>
      <c r="Z852" s="15" t="s">
        <v>161</v>
      </c>
      <c r="AA852" s="15" t="s">
        <v>162</v>
      </c>
      <c r="AB852" s="15" t="s">
        <v>10502</v>
      </c>
      <c r="AC852" s="15" t="s">
        <v>10502</v>
      </c>
      <c r="AD852" s="15" t="s">
        <v>10502</v>
      </c>
      <c r="AE852" s="15" t="s">
        <v>164</v>
      </c>
      <c r="AF852" s="15" t="s">
        <v>10502</v>
      </c>
      <c r="AG852" s="15" t="s">
        <v>10502</v>
      </c>
      <c r="AH852" s="20" t="s">
        <v>10503</v>
      </c>
      <c r="AL852" s="15" t="s">
        <v>10491</v>
      </c>
      <c r="AN852" s="15">
        <v>743</v>
      </c>
      <c r="AO852" s="15" t="s">
        <v>10504</v>
      </c>
      <c r="AQ852" s="20" t="s">
        <v>168</v>
      </c>
      <c r="AT852" s="15" t="s">
        <v>10505</v>
      </c>
      <c r="AU852" s="15" t="s">
        <v>10506</v>
      </c>
      <c r="AV852" s="15" t="s">
        <v>10506</v>
      </c>
      <c r="AW852" s="15" t="s">
        <v>10507</v>
      </c>
      <c r="AX852" s="15" t="s">
        <v>10508</v>
      </c>
      <c r="AY852" s="15">
        <f t="shared" si="17"/>
        <v>59</v>
      </c>
      <c r="AZ852" s="15" t="s">
        <v>604</v>
      </c>
      <c r="BA852" s="15" t="s">
        <v>174</v>
      </c>
      <c r="BB852" s="15" t="s">
        <v>10497</v>
      </c>
      <c r="BC852" s="15" t="s">
        <v>1978</v>
      </c>
      <c r="BE852" s="15" t="s">
        <v>2926</v>
      </c>
      <c r="BF852" s="15" t="s">
        <v>10499</v>
      </c>
      <c r="BI852" s="15" t="s">
        <v>2960</v>
      </c>
      <c r="BJ852" s="15" t="s">
        <v>10500</v>
      </c>
      <c r="BN852" s="15" t="s">
        <v>179</v>
      </c>
      <c r="BP852" s="15" t="s">
        <v>138</v>
      </c>
      <c r="BS852" s="15" t="s">
        <v>10509</v>
      </c>
      <c r="DH852" s="15" t="s">
        <v>17982</v>
      </c>
      <c r="DI852" s="15" t="s">
        <v>17982</v>
      </c>
    </row>
    <row r="853" spans="1:113" s="15" customFormat="1" ht="12.75" x14ac:dyDescent="0.2">
      <c r="A853" s="15" t="s">
        <v>109</v>
      </c>
      <c r="B853" s="15" t="s">
        <v>110</v>
      </c>
      <c r="D853" s="15" t="s">
        <v>1045</v>
      </c>
      <c r="E853" s="15" t="s">
        <v>112</v>
      </c>
      <c r="F853" s="15" t="s">
        <v>1045</v>
      </c>
      <c r="G853" s="15" t="s">
        <v>113</v>
      </c>
      <c r="H853" s="15" t="s">
        <v>1481</v>
      </c>
      <c r="J853" s="16" t="s">
        <v>114</v>
      </c>
      <c r="U853" s="15" t="s">
        <v>17977</v>
      </c>
      <c r="W853" s="15">
        <v>1701</v>
      </c>
      <c r="X853" s="15">
        <v>863</v>
      </c>
      <c r="Y853" s="15" t="s">
        <v>160</v>
      </c>
      <c r="Z853" s="15" t="s">
        <v>161</v>
      </c>
      <c r="AA853" s="15" t="s">
        <v>162</v>
      </c>
      <c r="AB853" s="15" t="s">
        <v>8961</v>
      </c>
      <c r="AC853" s="15" t="s">
        <v>8961</v>
      </c>
      <c r="AD853" s="15" t="s">
        <v>8961</v>
      </c>
      <c r="AE853" s="15" t="s">
        <v>164</v>
      </c>
      <c r="AF853" s="15" t="s">
        <v>8961</v>
      </c>
      <c r="AG853" s="15" t="s">
        <v>8961</v>
      </c>
      <c r="AH853" s="20" t="s">
        <v>8962</v>
      </c>
      <c r="AL853" s="15" t="s">
        <v>8963</v>
      </c>
      <c r="AN853" s="15">
        <v>743</v>
      </c>
      <c r="AO853" s="15" t="s">
        <v>8964</v>
      </c>
      <c r="AQ853" s="20" t="s">
        <v>168</v>
      </c>
      <c r="AT853" s="15" t="s">
        <v>8965</v>
      </c>
      <c r="AU853" s="15" t="s">
        <v>8966</v>
      </c>
      <c r="AV853" s="15" t="s">
        <v>8966</v>
      </c>
      <c r="AW853" s="15" t="s">
        <v>8967</v>
      </c>
      <c r="AX853" s="15" t="s">
        <v>8968</v>
      </c>
      <c r="AY853" s="15">
        <f t="shared" si="17"/>
        <v>59</v>
      </c>
      <c r="AZ853" s="15" t="s">
        <v>604</v>
      </c>
      <c r="BA853" s="15" t="s">
        <v>174</v>
      </c>
      <c r="BB853" s="15" t="s">
        <v>8969</v>
      </c>
      <c r="BE853" s="15" t="s">
        <v>8970</v>
      </c>
      <c r="BF853" s="15" t="s">
        <v>8971</v>
      </c>
      <c r="BI853" s="15" t="s">
        <v>4038</v>
      </c>
      <c r="BJ853" s="15" t="s">
        <v>8972</v>
      </c>
      <c r="BN853" s="15" t="s">
        <v>179</v>
      </c>
      <c r="BP853" s="15" t="s">
        <v>138</v>
      </c>
      <c r="BS853" s="15" t="s">
        <v>8973</v>
      </c>
      <c r="DH853" s="15" t="s">
        <v>17982</v>
      </c>
      <c r="DI853" s="15" t="s">
        <v>17982</v>
      </c>
    </row>
    <row r="854" spans="1:113" s="15" customFormat="1" ht="12.75" x14ac:dyDescent="0.2">
      <c r="A854" s="15" t="s">
        <v>109</v>
      </c>
      <c r="B854" s="15" t="s">
        <v>110</v>
      </c>
      <c r="D854" s="15" t="s">
        <v>1045</v>
      </c>
      <c r="E854" s="15" t="s">
        <v>112</v>
      </c>
      <c r="F854" s="15" t="s">
        <v>1045</v>
      </c>
      <c r="G854" s="15" t="s">
        <v>113</v>
      </c>
      <c r="H854" s="15" t="s">
        <v>1481</v>
      </c>
      <c r="J854" s="16" t="s">
        <v>114</v>
      </c>
      <c r="U854" s="15" t="s">
        <v>17977</v>
      </c>
      <c r="W854" s="15">
        <v>1702</v>
      </c>
      <c r="X854" s="15">
        <v>864</v>
      </c>
      <c r="Y854" s="15" t="s">
        <v>160</v>
      </c>
      <c r="Z854" s="15" t="s">
        <v>161</v>
      </c>
      <c r="AA854" s="15" t="s">
        <v>162</v>
      </c>
      <c r="AB854" s="15" t="s">
        <v>8974</v>
      </c>
      <c r="AC854" s="15" t="s">
        <v>8974</v>
      </c>
      <c r="AD854" s="15" t="s">
        <v>8974</v>
      </c>
      <c r="AE854" s="15" t="s">
        <v>164</v>
      </c>
      <c r="AF854" s="15" t="s">
        <v>8974</v>
      </c>
      <c r="AG854" s="15" t="s">
        <v>8974</v>
      </c>
      <c r="AH854" s="20" t="s">
        <v>8975</v>
      </c>
      <c r="AL854" s="15" t="s">
        <v>8976</v>
      </c>
      <c r="AN854" s="15">
        <v>743</v>
      </c>
      <c r="AO854" s="15" t="s">
        <v>8977</v>
      </c>
      <c r="AQ854" s="20" t="s">
        <v>168</v>
      </c>
      <c r="AT854" s="15" t="s">
        <v>8978</v>
      </c>
      <c r="AU854" s="15" t="s">
        <v>8979</v>
      </c>
      <c r="AV854" s="15" t="s">
        <v>8979</v>
      </c>
      <c r="AW854" s="15" t="s">
        <v>8980</v>
      </c>
      <c r="AX854" s="15" t="s">
        <v>8981</v>
      </c>
      <c r="AY854" s="15">
        <f t="shared" si="17"/>
        <v>60</v>
      </c>
      <c r="AZ854" s="15" t="s">
        <v>604</v>
      </c>
      <c r="BA854" s="15" t="s">
        <v>174</v>
      </c>
      <c r="BB854" s="15" t="s">
        <v>8969</v>
      </c>
      <c r="BE854" s="15" t="s">
        <v>8970</v>
      </c>
      <c r="BF854" s="15" t="s">
        <v>8982</v>
      </c>
      <c r="BI854" s="15" t="s">
        <v>4038</v>
      </c>
      <c r="BJ854" s="15" t="s">
        <v>8983</v>
      </c>
      <c r="BN854" s="15" t="s">
        <v>179</v>
      </c>
      <c r="BP854" s="15" t="s">
        <v>138</v>
      </c>
      <c r="BS854" s="15" t="s">
        <v>8984</v>
      </c>
      <c r="DH854" s="15" t="s">
        <v>17982</v>
      </c>
      <c r="DI854" s="15" t="s">
        <v>17982</v>
      </c>
    </row>
    <row r="855" spans="1:113" s="15" customFormat="1" ht="12.75" x14ac:dyDescent="0.2">
      <c r="A855" s="15" t="s">
        <v>109</v>
      </c>
      <c r="B855" s="15" t="s">
        <v>110</v>
      </c>
      <c r="D855" s="15" t="s">
        <v>1045</v>
      </c>
      <c r="E855" s="15" t="s">
        <v>112</v>
      </c>
      <c r="F855" s="15" t="s">
        <v>1045</v>
      </c>
      <c r="G855" s="15" t="s">
        <v>113</v>
      </c>
      <c r="H855" s="15" t="s">
        <v>1481</v>
      </c>
      <c r="J855" s="16" t="s">
        <v>114</v>
      </c>
      <c r="U855" s="15" t="s">
        <v>17977</v>
      </c>
      <c r="W855" s="15">
        <v>3677</v>
      </c>
      <c r="X855" s="15">
        <v>865</v>
      </c>
      <c r="Y855" s="15" t="s">
        <v>160</v>
      </c>
      <c r="Z855" s="15" t="s">
        <v>161</v>
      </c>
      <c r="AA855" s="15" t="s">
        <v>162</v>
      </c>
      <c r="AB855" s="15" t="s">
        <v>17813</v>
      </c>
      <c r="AC855" s="15" t="s">
        <v>17813</v>
      </c>
      <c r="AD855" s="15" t="s">
        <v>17813</v>
      </c>
      <c r="AE855" s="15" t="s">
        <v>164</v>
      </c>
      <c r="AF855" s="15" t="s">
        <v>17813</v>
      </c>
      <c r="AG855" s="15" t="s">
        <v>17813</v>
      </c>
      <c r="AH855" s="20" t="s">
        <v>17814</v>
      </c>
      <c r="AL855" s="15" t="s">
        <v>17815</v>
      </c>
      <c r="AN855" s="15">
        <v>743</v>
      </c>
      <c r="AO855" s="15" t="s">
        <v>17816</v>
      </c>
      <c r="AQ855" s="20" t="s">
        <v>168</v>
      </c>
      <c r="AT855" s="15" t="s">
        <v>17817</v>
      </c>
      <c r="AU855" s="15" t="s">
        <v>17818</v>
      </c>
      <c r="AV855" s="15" t="s">
        <v>17818</v>
      </c>
      <c r="AW855" s="15" t="s">
        <v>17819</v>
      </c>
      <c r="AX855" s="15" t="s">
        <v>17820</v>
      </c>
      <c r="AY855" s="15">
        <f t="shared" si="17"/>
        <v>54</v>
      </c>
      <c r="AZ855" s="15" t="s">
        <v>604</v>
      </c>
      <c r="BA855" s="15" t="s">
        <v>174</v>
      </c>
      <c r="BB855" s="15" t="s">
        <v>17809</v>
      </c>
      <c r="BE855" s="15" t="s">
        <v>1032</v>
      </c>
      <c r="BI855" s="15" t="s">
        <v>17810</v>
      </c>
      <c r="BJ855" s="15" t="s">
        <v>17811</v>
      </c>
      <c r="BN855" s="15" t="s">
        <v>179</v>
      </c>
      <c r="BP855" s="15" t="s">
        <v>138</v>
      </c>
      <c r="BS855" s="15" t="s">
        <v>17821</v>
      </c>
      <c r="DH855" s="15" t="s">
        <v>17982</v>
      </c>
      <c r="DI855" s="15" t="s">
        <v>17982</v>
      </c>
    </row>
    <row r="856" spans="1:113" s="15" customFormat="1" ht="12.75" x14ac:dyDescent="0.2">
      <c r="A856" s="15" t="s">
        <v>109</v>
      </c>
      <c r="B856" s="15" t="s">
        <v>110</v>
      </c>
      <c r="D856" s="15" t="s">
        <v>1045</v>
      </c>
      <c r="E856" s="15" t="s">
        <v>112</v>
      </c>
      <c r="F856" s="15" t="s">
        <v>1045</v>
      </c>
      <c r="G856" s="15" t="s">
        <v>113</v>
      </c>
      <c r="H856" s="15" t="s">
        <v>1481</v>
      </c>
      <c r="J856" s="16" t="s">
        <v>114</v>
      </c>
      <c r="U856" s="15" t="s">
        <v>17977</v>
      </c>
      <c r="W856" s="15">
        <v>3676</v>
      </c>
      <c r="X856" s="15">
        <v>866</v>
      </c>
      <c r="Y856" s="15" t="s">
        <v>160</v>
      </c>
      <c r="Z856" s="15" t="s">
        <v>161</v>
      </c>
      <c r="AA856" s="15" t="s">
        <v>162</v>
      </c>
      <c r="AB856" s="15" t="s">
        <v>17801</v>
      </c>
      <c r="AC856" s="15" t="s">
        <v>17801</v>
      </c>
      <c r="AD856" s="15" t="s">
        <v>17801</v>
      </c>
      <c r="AE856" s="15" t="s">
        <v>164</v>
      </c>
      <c r="AF856" s="15" t="s">
        <v>17801</v>
      </c>
      <c r="AG856" s="15" t="s">
        <v>17801</v>
      </c>
      <c r="AH856" s="20" t="s">
        <v>17802</v>
      </c>
      <c r="AL856" s="15" t="s">
        <v>17803</v>
      </c>
      <c r="AN856" s="15">
        <v>743</v>
      </c>
      <c r="AO856" s="15" t="s">
        <v>17804</v>
      </c>
      <c r="AQ856" s="20" t="s">
        <v>168</v>
      </c>
      <c r="AT856" s="15" t="s">
        <v>17805</v>
      </c>
      <c r="AU856" s="15" t="s">
        <v>17806</v>
      </c>
      <c r="AV856" s="15" t="s">
        <v>17806</v>
      </c>
      <c r="AW856" s="15" t="s">
        <v>17807</v>
      </c>
      <c r="AX856" s="15" t="s">
        <v>17808</v>
      </c>
      <c r="AY856" s="15">
        <f t="shared" si="17"/>
        <v>56</v>
      </c>
      <c r="AZ856" s="15" t="s">
        <v>604</v>
      </c>
      <c r="BA856" s="15" t="s">
        <v>174</v>
      </c>
      <c r="BB856" s="15" t="s">
        <v>17809</v>
      </c>
      <c r="BE856" s="15" t="s">
        <v>6645</v>
      </c>
      <c r="BI856" s="15" t="s">
        <v>17810</v>
      </c>
      <c r="BJ856" s="15" t="s">
        <v>17811</v>
      </c>
      <c r="BN856" s="15" t="s">
        <v>179</v>
      </c>
      <c r="BP856" s="15" t="s">
        <v>138</v>
      </c>
      <c r="BS856" s="15" t="s">
        <v>17812</v>
      </c>
      <c r="DH856" s="15" t="s">
        <v>17982</v>
      </c>
      <c r="DI856" s="15" t="s">
        <v>17982</v>
      </c>
    </row>
    <row r="857" spans="1:113" s="15" customFormat="1" ht="12.75" x14ac:dyDescent="0.2">
      <c r="A857" s="15" t="s">
        <v>109</v>
      </c>
      <c r="B857" s="15" t="s">
        <v>110</v>
      </c>
      <c r="D857" s="15" t="s">
        <v>1045</v>
      </c>
      <c r="E857" s="15" t="s">
        <v>112</v>
      </c>
      <c r="F857" s="15" t="s">
        <v>1045</v>
      </c>
      <c r="G857" s="15" t="s">
        <v>113</v>
      </c>
      <c r="H857" s="15" t="s">
        <v>1481</v>
      </c>
      <c r="J857" s="16" t="s">
        <v>114</v>
      </c>
      <c r="U857" s="15" t="s">
        <v>17977</v>
      </c>
      <c r="W857" s="15">
        <v>3678</v>
      </c>
      <c r="X857" s="15">
        <v>867</v>
      </c>
      <c r="Y857" s="15" t="s">
        <v>160</v>
      </c>
      <c r="Z857" s="15" t="s">
        <v>161</v>
      </c>
      <c r="AA857" s="15" t="s">
        <v>162</v>
      </c>
      <c r="AB857" s="15" t="s">
        <v>17822</v>
      </c>
      <c r="AC857" s="15" t="s">
        <v>17822</v>
      </c>
      <c r="AD857" s="15" t="s">
        <v>17822</v>
      </c>
      <c r="AE857" s="15" t="s">
        <v>164</v>
      </c>
      <c r="AF857" s="15" t="s">
        <v>17822</v>
      </c>
      <c r="AG857" s="15" t="s">
        <v>17822</v>
      </c>
      <c r="AH857" s="20" t="s">
        <v>17823</v>
      </c>
      <c r="AL857" s="15" t="s">
        <v>17815</v>
      </c>
      <c r="AN857" s="15">
        <v>743</v>
      </c>
      <c r="AO857" s="15" t="s">
        <v>17824</v>
      </c>
      <c r="AQ857" s="20" t="s">
        <v>168</v>
      </c>
      <c r="AT857" s="15" t="s">
        <v>17817</v>
      </c>
      <c r="AU857" s="15" t="s">
        <v>17818</v>
      </c>
      <c r="AV857" s="15" t="s">
        <v>17825</v>
      </c>
      <c r="AW857" s="15" t="s">
        <v>17819</v>
      </c>
      <c r="AX857" s="15" t="s">
        <v>17826</v>
      </c>
      <c r="AY857" s="15">
        <f t="shared" si="17"/>
        <v>55</v>
      </c>
      <c r="AZ857" s="15" t="s">
        <v>604</v>
      </c>
      <c r="BA857" s="15" t="s">
        <v>174</v>
      </c>
      <c r="BB857" s="15" t="s">
        <v>17809</v>
      </c>
      <c r="BE857" s="15" t="s">
        <v>1032</v>
      </c>
      <c r="BI857" s="15" t="s">
        <v>17810</v>
      </c>
      <c r="BJ857" s="15" t="s">
        <v>17811</v>
      </c>
      <c r="BN857" s="15" t="s">
        <v>179</v>
      </c>
      <c r="BP857" s="15" t="s">
        <v>138</v>
      </c>
      <c r="BS857" s="15" t="s">
        <v>17827</v>
      </c>
      <c r="BV857" s="15" t="s">
        <v>17828</v>
      </c>
      <c r="DH857" s="15" t="s">
        <v>17982</v>
      </c>
      <c r="DI857" s="15" t="s">
        <v>17982</v>
      </c>
    </row>
    <row r="858" spans="1:113" s="15" customFormat="1" ht="12.75" x14ac:dyDescent="0.2">
      <c r="A858" s="15" t="s">
        <v>109</v>
      </c>
      <c r="B858" s="15" t="s">
        <v>110</v>
      </c>
      <c r="D858" s="15" t="s">
        <v>1045</v>
      </c>
      <c r="E858" s="15" t="s">
        <v>112</v>
      </c>
      <c r="F858" s="15" t="s">
        <v>1045</v>
      </c>
      <c r="G858" s="15" t="s">
        <v>113</v>
      </c>
      <c r="H858" s="15" t="s">
        <v>1481</v>
      </c>
      <c r="J858" s="16" t="s">
        <v>114</v>
      </c>
      <c r="U858" s="15" t="s">
        <v>17977</v>
      </c>
      <c r="W858" s="15">
        <v>1459</v>
      </c>
      <c r="X858" s="15">
        <v>868</v>
      </c>
      <c r="Y858" s="15" t="s">
        <v>160</v>
      </c>
      <c r="Z858" s="15" t="s">
        <v>161</v>
      </c>
      <c r="AA858" s="15" t="s">
        <v>162</v>
      </c>
      <c r="AB858" s="15" t="s">
        <v>7467</v>
      </c>
      <c r="AC858" s="15" t="s">
        <v>7467</v>
      </c>
      <c r="AD858" s="15" t="s">
        <v>7467</v>
      </c>
      <c r="AE858" s="15" t="s">
        <v>164</v>
      </c>
      <c r="AF858" s="15" t="s">
        <v>7467</v>
      </c>
      <c r="AG858" s="15" t="s">
        <v>7467</v>
      </c>
      <c r="AH858" s="20" t="s">
        <v>7468</v>
      </c>
      <c r="AL858" s="15" t="s">
        <v>7469</v>
      </c>
      <c r="AN858" s="15">
        <v>743</v>
      </c>
      <c r="AO858" s="15" t="s">
        <v>7470</v>
      </c>
      <c r="AQ858" s="20" t="s">
        <v>168</v>
      </c>
      <c r="AT858" s="15" t="s">
        <v>7471</v>
      </c>
      <c r="AU858" s="15" t="s">
        <v>7472</v>
      </c>
      <c r="AV858" s="15" t="s">
        <v>7472</v>
      </c>
      <c r="AW858" s="15" t="s">
        <v>7473</v>
      </c>
      <c r="AX858" s="15" t="s">
        <v>7473</v>
      </c>
      <c r="AY858" s="15">
        <f t="shared" si="17"/>
        <v>54</v>
      </c>
      <c r="AZ858" s="15" t="s">
        <v>604</v>
      </c>
      <c r="BA858" s="15" t="s">
        <v>174</v>
      </c>
      <c r="BB858" s="15" t="s">
        <v>7463</v>
      </c>
      <c r="BC858" s="15" t="s">
        <v>1069</v>
      </c>
      <c r="BE858" s="15" t="s">
        <v>7474</v>
      </c>
      <c r="BF858" s="15" t="s">
        <v>7475</v>
      </c>
      <c r="BJ858" s="15" t="s">
        <v>7465</v>
      </c>
      <c r="BN858" s="15" t="s">
        <v>179</v>
      </c>
      <c r="BP858" s="15" t="s">
        <v>138</v>
      </c>
      <c r="BS858" s="15" t="s">
        <v>7476</v>
      </c>
      <c r="DH858" s="15" t="s">
        <v>17982</v>
      </c>
      <c r="DI858" s="15" t="s">
        <v>17982</v>
      </c>
    </row>
    <row r="859" spans="1:113" s="15" customFormat="1" ht="12.75" x14ac:dyDescent="0.2">
      <c r="A859" s="15" t="s">
        <v>109</v>
      </c>
      <c r="B859" s="15" t="s">
        <v>110</v>
      </c>
      <c r="D859" s="15" t="s">
        <v>1045</v>
      </c>
      <c r="E859" s="15" t="s">
        <v>112</v>
      </c>
      <c r="F859" s="15" t="s">
        <v>1045</v>
      </c>
      <c r="G859" s="15" t="s">
        <v>2494</v>
      </c>
      <c r="H859" s="15" t="s">
        <v>1481</v>
      </c>
      <c r="J859" s="16" t="s">
        <v>114</v>
      </c>
      <c r="U859" s="15" t="s">
        <v>17977</v>
      </c>
      <c r="W859" s="15">
        <v>1458</v>
      </c>
      <c r="X859" s="15">
        <v>869</v>
      </c>
      <c r="Y859" s="15" t="s">
        <v>160</v>
      </c>
      <c r="Z859" s="15" t="s">
        <v>161</v>
      </c>
      <c r="AA859" s="15" t="s">
        <v>162</v>
      </c>
      <c r="AB859" s="15" t="s">
        <v>7456</v>
      </c>
      <c r="AC859" s="15" t="s">
        <v>7456</v>
      </c>
      <c r="AD859" s="15" t="s">
        <v>7456</v>
      </c>
      <c r="AE859" s="15" t="s">
        <v>164</v>
      </c>
      <c r="AF859" s="15" t="s">
        <v>7456</v>
      </c>
      <c r="AG859" s="15" t="s">
        <v>7456</v>
      </c>
      <c r="AH859" s="20" t="s">
        <v>7457</v>
      </c>
      <c r="AL859" s="15" t="s">
        <v>7458</v>
      </c>
      <c r="AN859" s="15">
        <v>743</v>
      </c>
      <c r="AO859" s="15" t="s">
        <v>7459</v>
      </c>
      <c r="AQ859" s="20" t="s">
        <v>168</v>
      </c>
      <c r="AT859" s="15" t="s">
        <v>7460</v>
      </c>
      <c r="AU859" s="15" t="s">
        <v>7461</v>
      </c>
      <c r="AV859" s="15" t="s">
        <v>7461</v>
      </c>
      <c r="AW859" s="15" t="s">
        <v>7462</v>
      </c>
      <c r="AX859" s="15" t="s">
        <v>7462</v>
      </c>
      <c r="AY859" s="15">
        <f t="shared" si="17"/>
        <v>52</v>
      </c>
      <c r="AZ859" s="15" t="s">
        <v>604</v>
      </c>
      <c r="BA859" s="15" t="s">
        <v>174</v>
      </c>
      <c r="BB859" s="15" t="s">
        <v>7463</v>
      </c>
      <c r="BC859" s="15" t="s">
        <v>4343</v>
      </c>
      <c r="BE859" s="15" t="s">
        <v>3112</v>
      </c>
      <c r="BF859" s="15" t="s">
        <v>7464</v>
      </c>
      <c r="BJ859" s="15" t="s">
        <v>7465</v>
      </c>
      <c r="BN859" s="15" t="s">
        <v>179</v>
      </c>
      <c r="BP859" s="15" t="s">
        <v>138</v>
      </c>
      <c r="BR859" s="15" t="s">
        <v>4676</v>
      </c>
      <c r="BS859" s="15" t="s">
        <v>7466</v>
      </c>
      <c r="DH859" s="15" t="s">
        <v>17982</v>
      </c>
      <c r="DI859" s="15" t="s">
        <v>17982</v>
      </c>
    </row>
    <row r="860" spans="1:113" s="15" customFormat="1" ht="12.75" x14ac:dyDescent="0.2">
      <c r="A860" s="15" t="s">
        <v>109</v>
      </c>
      <c r="B860" s="15" t="s">
        <v>110</v>
      </c>
      <c r="D860" s="15" t="s">
        <v>1045</v>
      </c>
      <c r="E860" s="15" t="s">
        <v>112</v>
      </c>
      <c r="F860" s="15" t="s">
        <v>1045</v>
      </c>
      <c r="G860" s="15" t="s">
        <v>2494</v>
      </c>
      <c r="H860" s="15" t="s">
        <v>1481</v>
      </c>
      <c r="J860" s="16" t="s">
        <v>114</v>
      </c>
      <c r="U860" s="15" t="s">
        <v>17977</v>
      </c>
      <c r="W860" s="15">
        <v>916</v>
      </c>
      <c r="X860" s="15">
        <v>870</v>
      </c>
      <c r="Y860" s="15" t="s">
        <v>160</v>
      </c>
      <c r="Z860" s="15" t="s">
        <v>161</v>
      </c>
      <c r="AA860" s="15" t="s">
        <v>162</v>
      </c>
      <c r="AB860" s="15" t="s">
        <v>4168</v>
      </c>
      <c r="AC860" s="15" t="s">
        <v>4168</v>
      </c>
      <c r="AD860" s="15" t="s">
        <v>4168</v>
      </c>
      <c r="AE860" s="15" t="s">
        <v>164</v>
      </c>
      <c r="AF860" s="15" t="s">
        <v>4168</v>
      </c>
      <c r="AG860" s="15" t="s">
        <v>4168</v>
      </c>
      <c r="AH860" s="20" t="s">
        <v>4169</v>
      </c>
      <c r="AL860" s="15" t="s">
        <v>4170</v>
      </c>
      <c r="AN860" s="15">
        <v>743</v>
      </c>
      <c r="AO860" s="15" t="s">
        <v>4171</v>
      </c>
      <c r="AQ860" s="20" t="s">
        <v>168</v>
      </c>
      <c r="AT860" s="15" t="s">
        <v>4172</v>
      </c>
      <c r="AU860" s="15" t="s">
        <v>4173</v>
      </c>
      <c r="AV860" s="15" t="s">
        <v>4173</v>
      </c>
      <c r="AW860" s="15" t="s">
        <v>4174</v>
      </c>
      <c r="AX860" s="15" t="s">
        <v>4174</v>
      </c>
      <c r="AY860" s="15">
        <f t="shared" si="17"/>
        <v>53</v>
      </c>
      <c r="AZ860" s="15" t="s">
        <v>604</v>
      </c>
      <c r="BA860" s="15" t="s">
        <v>174</v>
      </c>
      <c r="BB860" s="15" t="s">
        <v>4026</v>
      </c>
      <c r="BE860" s="15" t="s">
        <v>4175</v>
      </c>
      <c r="BF860" s="15" t="s">
        <v>2562</v>
      </c>
      <c r="BJ860" s="15" t="s">
        <v>4176</v>
      </c>
      <c r="BN860" s="15" t="s">
        <v>179</v>
      </c>
      <c r="BP860" s="15" t="s">
        <v>138</v>
      </c>
      <c r="BR860" s="15" t="s">
        <v>4177</v>
      </c>
      <c r="BS860" s="15" t="s">
        <v>4178</v>
      </c>
      <c r="DH860" s="15" t="s">
        <v>17982</v>
      </c>
      <c r="DI860" s="15" t="s">
        <v>17982</v>
      </c>
    </row>
    <row r="861" spans="1:113" s="15" customFormat="1" ht="12.75" x14ac:dyDescent="0.2">
      <c r="A861" s="15" t="s">
        <v>109</v>
      </c>
      <c r="B861" s="15" t="s">
        <v>110</v>
      </c>
      <c r="D861" s="15" t="s">
        <v>1045</v>
      </c>
      <c r="E861" s="15" t="s">
        <v>112</v>
      </c>
      <c r="F861" s="15" t="s">
        <v>1045</v>
      </c>
      <c r="G861" s="15" t="s">
        <v>2494</v>
      </c>
      <c r="H861" s="15" t="s">
        <v>1481</v>
      </c>
      <c r="J861" s="16" t="s">
        <v>114</v>
      </c>
      <c r="U861" s="15" t="s">
        <v>17977</v>
      </c>
      <c r="W861" s="15">
        <v>965</v>
      </c>
      <c r="X861" s="15">
        <v>871</v>
      </c>
      <c r="Y861" s="15" t="s">
        <v>160</v>
      </c>
      <c r="Z861" s="15" t="s">
        <v>161</v>
      </c>
      <c r="AA861" s="15" t="s">
        <v>162</v>
      </c>
      <c r="AB861" s="15" t="s">
        <v>4658</v>
      </c>
      <c r="AC861" s="15" t="s">
        <v>4658</v>
      </c>
      <c r="AD861" s="15" t="s">
        <v>4658</v>
      </c>
      <c r="AE861" s="15" t="s">
        <v>164</v>
      </c>
      <c r="AF861" s="15" t="s">
        <v>4658</v>
      </c>
      <c r="AG861" s="15" t="s">
        <v>4658</v>
      </c>
      <c r="AH861" s="20" t="s">
        <v>4659</v>
      </c>
      <c r="AL861" s="15" t="s">
        <v>4660</v>
      </c>
      <c r="AN861" s="15">
        <v>743</v>
      </c>
      <c r="AO861" s="15" t="s">
        <v>4661</v>
      </c>
      <c r="AQ861" s="20" t="s">
        <v>168</v>
      </c>
      <c r="AT861" s="15" t="s">
        <v>4662</v>
      </c>
      <c r="AU861" s="15" t="s">
        <v>4663</v>
      </c>
      <c r="AV861" s="15" t="s">
        <v>4663</v>
      </c>
      <c r="AW861" s="15" t="s">
        <v>4664</v>
      </c>
      <c r="AX861" s="15" t="s">
        <v>4664</v>
      </c>
      <c r="AY861" s="15">
        <f t="shared" si="17"/>
        <v>56</v>
      </c>
      <c r="AZ861" s="15" t="s">
        <v>604</v>
      </c>
      <c r="BA861" s="15" t="s">
        <v>174</v>
      </c>
      <c r="BB861" s="15" t="s">
        <v>4665</v>
      </c>
      <c r="BE861" s="15" t="s">
        <v>2405</v>
      </c>
      <c r="BF861" s="15" t="s">
        <v>2571</v>
      </c>
      <c r="BJ861" s="15" t="s">
        <v>2185</v>
      </c>
      <c r="BN861" s="15" t="s">
        <v>179</v>
      </c>
      <c r="BP861" s="15" t="s">
        <v>138</v>
      </c>
      <c r="BR861" s="15" t="s">
        <v>3255</v>
      </c>
      <c r="BS861" s="15" t="s">
        <v>4666</v>
      </c>
      <c r="DH861" s="15" t="s">
        <v>17982</v>
      </c>
      <c r="DI861" s="15" t="s">
        <v>17982</v>
      </c>
    </row>
    <row r="862" spans="1:113" s="15" customFormat="1" ht="12.75" x14ac:dyDescent="0.2">
      <c r="A862" s="15" t="s">
        <v>109</v>
      </c>
      <c r="B862" s="15" t="s">
        <v>110</v>
      </c>
      <c r="D862" s="15" t="s">
        <v>1045</v>
      </c>
      <c r="E862" s="15" t="s">
        <v>112</v>
      </c>
      <c r="F862" s="15" t="s">
        <v>1045</v>
      </c>
      <c r="G862" s="15" t="s">
        <v>2494</v>
      </c>
      <c r="H862" s="15" t="s">
        <v>1481</v>
      </c>
      <c r="J862" s="16" t="s">
        <v>114</v>
      </c>
      <c r="U862" s="15" t="s">
        <v>17977</v>
      </c>
      <c r="W862" s="15">
        <v>966</v>
      </c>
      <c r="X862" s="15">
        <v>872</v>
      </c>
      <c r="Y862" s="15" t="s">
        <v>160</v>
      </c>
      <c r="Z862" s="15" t="s">
        <v>161</v>
      </c>
      <c r="AA862" s="15" t="s">
        <v>162</v>
      </c>
      <c r="AB862" s="15" t="s">
        <v>4667</v>
      </c>
      <c r="AC862" s="15" t="s">
        <v>4667</v>
      </c>
      <c r="AD862" s="15" t="s">
        <v>4667</v>
      </c>
      <c r="AE862" s="15" t="s">
        <v>164</v>
      </c>
      <c r="AF862" s="15" t="s">
        <v>4667</v>
      </c>
      <c r="AG862" s="15" t="s">
        <v>4667</v>
      </c>
      <c r="AH862" s="20" t="s">
        <v>4668</v>
      </c>
      <c r="AL862" s="15" t="s">
        <v>4669</v>
      </c>
      <c r="AN862" s="15">
        <v>743</v>
      </c>
      <c r="AO862" s="15" t="s">
        <v>4670</v>
      </c>
      <c r="AQ862" s="20" t="s">
        <v>168</v>
      </c>
      <c r="AT862" s="15" t="s">
        <v>4671</v>
      </c>
      <c r="AU862" s="15" t="s">
        <v>4672</v>
      </c>
      <c r="AV862" s="15" t="s">
        <v>4672</v>
      </c>
      <c r="AW862" s="15" t="s">
        <v>4673</v>
      </c>
      <c r="AX862" s="15" t="s">
        <v>4674</v>
      </c>
      <c r="AY862" s="15">
        <f t="shared" si="17"/>
        <v>58</v>
      </c>
      <c r="AZ862" s="15" t="s">
        <v>604</v>
      </c>
      <c r="BA862" s="15" t="s">
        <v>174</v>
      </c>
      <c r="BB862" s="15" t="s">
        <v>4665</v>
      </c>
      <c r="BE862" s="15" t="s">
        <v>4384</v>
      </c>
      <c r="BF862" s="15" t="s">
        <v>3553</v>
      </c>
      <c r="BJ862" s="15" t="s">
        <v>4675</v>
      </c>
      <c r="BN862" s="15" t="s">
        <v>179</v>
      </c>
      <c r="BP862" s="15" t="s">
        <v>138</v>
      </c>
      <c r="BR862" s="15" t="s">
        <v>4676</v>
      </c>
      <c r="BS862" s="15" t="s">
        <v>4677</v>
      </c>
      <c r="DH862" s="15" t="s">
        <v>17982</v>
      </c>
      <c r="DI862" s="15" t="s">
        <v>17982</v>
      </c>
    </row>
    <row r="863" spans="1:113" s="15" customFormat="1" ht="12.75" x14ac:dyDescent="0.2">
      <c r="A863" s="15" t="s">
        <v>109</v>
      </c>
      <c r="B863" s="15" t="s">
        <v>110</v>
      </c>
      <c r="D863" s="15" t="s">
        <v>1045</v>
      </c>
      <c r="E863" s="15" t="s">
        <v>112</v>
      </c>
      <c r="F863" s="15" t="s">
        <v>1045</v>
      </c>
      <c r="G863" s="15" t="s">
        <v>113</v>
      </c>
      <c r="H863" s="15" t="s">
        <v>1481</v>
      </c>
      <c r="J863" s="16" t="s">
        <v>114</v>
      </c>
      <c r="U863" s="15" t="s">
        <v>17977</v>
      </c>
      <c r="W863" s="15">
        <v>936</v>
      </c>
      <c r="X863" s="15">
        <v>873</v>
      </c>
      <c r="Y863" s="15" t="s">
        <v>160</v>
      </c>
      <c r="Z863" s="15" t="s">
        <v>161</v>
      </c>
      <c r="AA863" s="15" t="s">
        <v>162</v>
      </c>
      <c r="AB863" s="15" t="s">
        <v>4376</v>
      </c>
      <c r="AC863" s="15" t="s">
        <v>4376</v>
      </c>
      <c r="AD863" s="15" t="s">
        <v>4376</v>
      </c>
      <c r="AE863" s="15" t="s">
        <v>164</v>
      </c>
      <c r="AF863" s="15" t="s">
        <v>4376</v>
      </c>
      <c r="AG863" s="15" t="s">
        <v>4376</v>
      </c>
      <c r="AH863" s="20" t="s">
        <v>4377</v>
      </c>
      <c r="AL863" s="15" t="s">
        <v>4378</v>
      </c>
      <c r="AN863" s="15">
        <v>743</v>
      </c>
      <c r="AO863" s="15" t="s">
        <v>4379</v>
      </c>
      <c r="AQ863" s="20" t="s">
        <v>168</v>
      </c>
      <c r="AT863" s="15" t="s">
        <v>4380</v>
      </c>
      <c r="AU863" s="15" t="s">
        <v>4381</v>
      </c>
      <c r="AV863" s="15" t="s">
        <v>4381</v>
      </c>
      <c r="AW863" s="15" t="s">
        <v>4382</v>
      </c>
      <c r="AX863" s="15" t="s">
        <v>4383</v>
      </c>
      <c r="AY863" s="15">
        <f t="shared" si="17"/>
        <v>57</v>
      </c>
      <c r="AZ863" s="15" t="s">
        <v>604</v>
      </c>
      <c r="BA863" s="15" t="s">
        <v>174</v>
      </c>
      <c r="BB863" s="15" t="s">
        <v>4026</v>
      </c>
      <c r="BE863" s="15" t="s">
        <v>4384</v>
      </c>
      <c r="BF863" s="15" t="s">
        <v>2562</v>
      </c>
      <c r="BI863" s="15" t="s">
        <v>1058</v>
      </c>
      <c r="BJ863" s="15" t="s">
        <v>4374</v>
      </c>
      <c r="BN863" s="15" t="s">
        <v>179</v>
      </c>
      <c r="BP863" s="15" t="s">
        <v>138</v>
      </c>
      <c r="BS863" s="15" t="s">
        <v>4385</v>
      </c>
      <c r="DH863" s="15" t="s">
        <v>17982</v>
      </c>
      <c r="DI863" s="15" t="s">
        <v>17982</v>
      </c>
    </row>
    <row r="864" spans="1:113" s="15" customFormat="1" ht="12.75" x14ac:dyDescent="0.2">
      <c r="A864" s="15" t="s">
        <v>109</v>
      </c>
      <c r="B864" s="15" t="s">
        <v>110</v>
      </c>
      <c r="D864" s="15" t="s">
        <v>1045</v>
      </c>
      <c r="E864" s="15" t="s">
        <v>112</v>
      </c>
      <c r="F864" s="15" t="s">
        <v>1045</v>
      </c>
      <c r="G864" s="15" t="s">
        <v>113</v>
      </c>
      <c r="H864" s="15" t="s">
        <v>1481</v>
      </c>
      <c r="J864" s="16" t="s">
        <v>114</v>
      </c>
      <c r="U864" s="15" t="s">
        <v>17977</v>
      </c>
      <c r="W864" s="15">
        <v>935</v>
      </c>
      <c r="X864" s="15">
        <v>874</v>
      </c>
      <c r="Y864" s="15" t="s">
        <v>160</v>
      </c>
      <c r="Z864" s="15" t="s">
        <v>161</v>
      </c>
      <c r="AA864" s="15" t="s">
        <v>162</v>
      </c>
      <c r="AB864" s="15" t="s">
        <v>4366</v>
      </c>
      <c r="AC864" s="15" t="s">
        <v>4366</v>
      </c>
      <c r="AD864" s="15" t="s">
        <v>4366</v>
      </c>
      <c r="AE864" s="15" t="s">
        <v>164</v>
      </c>
      <c r="AF864" s="15" t="s">
        <v>4366</v>
      </c>
      <c r="AG864" s="15" t="s">
        <v>4366</v>
      </c>
      <c r="AH864" s="20" t="s">
        <v>4367</v>
      </c>
      <c r="AL864" s="15" t="s">
        <v>4368</v>
      </c>
      <c r="AN864" s="15">
        <v>743</v>
      </c>
      <c r="AO864" s="15" t="s">
        <v>4369</v>
      </c>
      <c r="AQ864" s="20" t="s">
        <v>168</v>
      </c>
      <c r="AT864" s="15" t="s">
        <v>4370</v>
      </c>
      <c r="AU864" s="15" t="s">
        <v>4371</v>
      </c>
      <c r="AV864" s="15" t="s">
        <v>4371</v>
      </c>
      <c r="AW864" s="15" t="s">
        <v>4372</v>
      </c>
      <c r="AX864" s="15" t="s">
        <v>4373</v>
      </c>
      <c r="AY864" s="15">
        <f t="shared" si="17"/>
        <v>59</v>
      </c>
      <c r="AZ864" s="15" t="s">
        <v>604</v>
      </c>
      <c r="BA864" s="15" t="s">
        <v>174</v>
      </c>
      <c r="BB864" s="15" t="s">
        <v>4026</v>
      </c>
      <c r="BE864" s="15" t="s">
        <v>2895</v>
      </c>
      <c r="BF864" s="15" t="s">
        <v>1096</v>
      </c>
      <c r="BI864" s="15" t="s">
        <v>1058</v>
      </c>
      <c r="BJ864" s="15" t="s">
        <v>4374</v>
      </c>
      <c r="BN864" s="15" t="s">
        <v>179</v>
      </c>
      <c r="BP864" s="15" t="s">
        <v>138</v>
      </c>
      <c r="BS864" s="15" t="s">
        <v>4375</v>
      </c>
      <c r="DH864" s="15" t="s">
        <v>17982</v>
      </c>
      <c r="DI864" s="15" t="s">
        <v>17982</v>
      </c>
    </row>
    <row r="865" spans="1:113" s="15" customFormat="1" ht="12.75" x14ac:dyDescent="0.2">
      <c r="A865" s="15" t="s">
        <v>109</v>
      </c>
      <c r="B865" s="15" t="s">
        <v>110</v>
      </c>
      <c r="D865" s="15" t="s">
        <v>1045</v>
      </c>
      <c r="E865" s="15" t="s">
        <v>112</v>
      </c>
      <c r="F865" s="15" t="s">
        <v>1045</v>
      </c>
      <c r="G865" s="15" t="s">
        <v>113</v>
      </c>
      <c r="H865" s="15" t="s">
        <v>1481</v>
      </c>
      <c r="J865" s="16" t="s">
        <v>114</v>
      </c>
      <c r="U865" s="15" t="s">
        <v>17977</v>
      </c>
      <c r="W865" s="15">
        <v>924</v>
      </c>
      <c r="X865" s="15">
        <v>875</v>
      </c>
      <c r="Y865" s="15" t="s">
        <v>160</v>
      </c>
      <c r="Z865" s="15" t="s">
        <v>161</v>
      </c>
      <c r="AA865" s="15" t="s">
        <v>162</v>
      </c>
      <c r="AB865" s="15" t="s">
        <v>4253</v>
      </c>
      <c r="AC865" s="15" t="s">
        <v>4253</v>
      </c>
      <c r="AD865" s="15" t="s">
        <v>4253</v>
      </c>
      <c r="AE865" s="15" t="s">
        <v>164</v>
      </c>
      <c r="AF865" s="15" t="s">
        <v>4253</v>
      </c>
      <c r="AG865" s="15" t="s">
        <v>4253</v>
      </c>
      <c r="AH865" s="20" t="s">
        <v>4254</v>
      </c>
      <c r="AL865" s="15" t="s">
        <v>4255</v>
      </c>
      <c r="AN865" s="15">
        <v>743</v>
      </c>
      <c r="AO865" s="15" t="s">
        <v>4256</v>
      </c>
      <c r="AQ865" s="20" t="s">
        <v>168</v>
      </c>
      <c r="AT865" s="15" t="s">
        <v>4257</v>
      </c>
      <c r="AU865" s="15" t="s">
        <v>4258</v>
      </c>
      <c r="AV865" s="15" t="s">
        <v>4258</v>
      </c>
      <c r="AW865" s="15" t="s">
        <v>4259</v>
      </c>
      <c r="AX865" s="15" t="s">
        <v>4260</v>
      </c>
      <c r="AY865" s="15">
        <f t="shared" si="17"/>
        <v>59</v>
      </c>
      <c r="AZ865" s="15" t="s">
        <v>604</v>
      </c>
      <c r="BA865" s="15" t="s">
        <v>174</v>
      </c>
      <c r="BB865" s="20" t="s">
        <v>4026</v>
      </c>
      <c r="BC865" s="20" t="s">
        <v>884</v>
      </c>
      <c r="BE865" s="15" t="s">
        <v>4261</v>
      </c>
      <c r="BF865" s="15" t="s">
        <v>2540</v>
      </c>
      <c r="BJ865" s="20" t="s">
        <v>4219</v>
      </c>
      <c r="BN865" s="15" t="s">
        <v>179</v>
      </c>
      <c r="BP865" s="15" t="s">
        <v>138</v>
      </c>
      <c r="BS865" s="15" t="s">
        <v>4262</v>
      </c>
      <c r="DH865" s="15" t="s">
        <v>17982</v>
      </c>
      <c r="DI865" s="15" t="s">
        <v>17982</v>
      </c>
    </row>
    <row r="866" spans="1:113" s="15" customFormat="1" ht="12.75" x14ac:dyDescent="0.2">
      <c r="A866" s="15" t="s">
        <v>109</v>
      </c>
      <c r="B866" s="15" t="s">
        <v>110</v>
      </c>
      <c r="D866" s="15" t="s">
        <v>1045</v>
      </c>
      <c r="E866" s="15" t="s">
        <v>112</v>
      </c>
      <c r="F866" s="15" t="s">
        <v>1045</v>
      </c>
      <c r="G866" s="15" t="s">
        <v>113</v>
      </c>
      <c r="H866" s="15" t="s">
        <v>1481</v>
      </c>
      <c r="J866" s="16" t="s">
        <v>114</v>
      </c>
      <c r="U866" s="15" t="s">
        <v>17977</v>
      </c>
      <c r="W866" s="15">
        <v>925</v>
      </c>
      <c r="X866" s="15">
        <v>876</v>
      </c>
      <c r="Y866" s="15" t="s">
        <v>160</v>
      </c>
      <c r="Z866" s="15" t="s">
        <v>161</v>
      </c>
      <c r="AA866" s="15" t="s">
        <v>162</v>
      </c>
      <c r="AB866" s="15" t="s">
        <v>4263</v>
      </c>
      <c r="AC866" s="15" t="s">
        <v>4263</v>
      </c>
      <c r="AD866" s="15" t="s">
        <v>4263</v>
      </c>
      <c r="AE866" s="15" t="s">
        <v>164</v>
      </c>
      <c r="AF866" s="15" t="s">
        <v>4263</v>
      </c>
      <c r="AG866" s="15" t="s">
        <v>4263</v>
      </c>
      <c r="AH866" s="20" t="s">
        <v>4264</v>
      </c>
      <c r="AL866" s="15" t="s">
        <v>4265</v>
      </c>
      <c r="AN866" s="15">
        <v>743</v>
      </c>
      <c r="AO866" s="15" t="s">
        <v>4266</v>
      </c>
      <c r="AQ866" s="20" t="s">
        <v>168</v>
      </c>
      <c r="AT866" s="15" t="s">
        <v>4267</v>
      </c>
      <c r="AU866" s="15" t="s">
        <v>4268</v>
      </c>
      <c r="AV866" s="15" t="s">
        <v>4268</v>
      </c>
      <c r="AW866" s="15" t="s">
        <v>4269</v>
      </c>
      <c r="AX866" s="15" t="s">
        <v>4270</v>
      </c>
      <c r="AY866" s="15">
        <f t="shared" si="17"/>
        <v>59</v>
      </c>
      <c r="AZ866" s="15" t="s">
        <v>604</v>
      </c>
      <c r="BA866" s="15" t="s">
        <v>174</v>
      </c>
      <c r="BB866" s="20" t="s">
        <v>4026</v>
      </c>
      <c r="BC866" s="20" t="s">
        <v>884</v>
      </c>
      <c r="BE866" s="15" t="s">
        <v>4271</v>
      </c>
      <c r="BF866" s="15" t="s">
        <v>3553</v>
      </c>
      <c r="BJ866" s="20" t="s">
        <v>4219</v>
      </c>
      <c r="BN866" s="15" t="s">
        <v>179</v>
      </c>
      <c r="BP866" s="15" t="s">
        <v>138</v>
      </c>
      <c r="BS866" s="15" t="s">
        <v>4272</v>
      </c>
      <c r="DH866" s="15" t="s">
        <v>17982</v>
      </c>
      <c r="DI866" s="15" t="s">
        <v>17982</v>
      </c>
    </row>
    <row r="867" spans="1:113" s="15" customFormat="1" ht="12.75" x14ac:dyDescent="0.2">
      <c r="A867" s="15" t="s">
        <v>109</v>
      </c>
      <c r="B867" s="15" t="s">
        <v>110</v>
      </c>
      <c r="D867" s="15" t="s">
        <v>1045</v>
      </c>
      <c r="E867" s="15" t="s">
        <v>112</v>
      </c>
      <c r="F867" s="15" t="s">
        <v>1045</v>
      </c>
      <c r="G867" s="15" t="s">
        <v>113</v>
      </c>
      <c r="H867" s="15" t="s">
        <v>1481</v>
      </c>
      <c r="J867" s="16" t="s">
        <v>114</v>
      </c>
      <c r="U867" s="15" t="s">
        <v>17977</v>
      </c>
      <c r="W867" s="15">
        <v>920</v>
      </c>
      <c r="X867" s="15">
        <v>877</v>
      </c>
      <c r="Y867" s="15" t="s">
        <v>160</v>
      </c>
      <c r="Z867" s="15" t="s">
        <v>161</v>
      </c>
      <c r="AA867" s="15" t="s">
        <v>162</v>
      </c>
      <c r="AB867" s="15" t="s">
        <v>4210</v>
      </c>
      <c r="AC867" s="15" t="s">
        <v>4210</v>
      </c>
      <c r="AD867" s="15" t="s">
        <v>4210</v>
      </c>
      <c r="AE867" s="15" t="s">
        <v>164</v>
      </c>
      <c r="AF867" s="15" t="s">
        <v>4210</v>
      </c>
      <c r="AG867" s="15" t="s">
        <v>4210</v>
      </c>
      <c r="AH867" s="20" t="s">
        <v>4211</v>
      </c>
      <c r="AL867" s="15" t="s">
        <v>4212</v>
      </c>
      <c r="AN867" s="15">
        <v>743</v>
      </c>
      <c r="AO867" s="15" t="s">
        <v>4213</v>
      </c>
      <c r="AQ867" s="20" t="s">
        <v>168</v>
      </c>
      <c r="AT867" s="15" t="s">
        <v>4214</v>
      </c>
      <c r="AU867" s="15" t="s">
        <v>4215</v>
      </c>
      <c r="AV867" s="15" t="s">
        <v>4215</v>
      </c>
      <c r="AW867" s="15" t="s">
        <v>4216</v>
      </c>
      <c r="AX867" s="15" t="s">
        <v>4217</v>
      </c>
      <c r="AY867" s="15">
        <f t="shared" si="17"/>
        <v>57</v>
      </c>
      <c r="AZ867" s="15" t="s">
        <v>604</v>
      </c>
      <c r="BA867" s="15" t="s">
        <v>174</v>
      </c>
      <c r="BB867" s="20" t="s">
        <v>4026</v>
      </c>
      <c r="BC867" s="20" t="s">
        <v>884</v>
      </c>
      <c r="BE867" s="15" t="s">
        <v>176</v>
      </c>
      <c r="BF867" s="15" t="s">
        <v>4218</v>
      </c>
      <c r="BI867" s="15" t="s">
        <v>1058</v>
      </c>
      <c r="BJ867" s="20" t="s">
        <v>4219</v>
      </c>
      <c r="BN867" s="15" t="s">
        <v>179</v>
      </c>
      <c r="BP867" s="15" t="s">
        <v>138</v>
      </c>
      <c r="BS867" s="15" t="s">
        <v>4220</v>
      </c>
      <c r="DH867" s="15" t="s">
        <v>17982</v>
      </c>
      <c r="DI867" s="15" t="s">
        <v>17982</v>
      </c>
    </row>
    <row r="868" spans="1:113" s="15" customFormat="1" ht="12.75" x14ac:dyDescent="0.2">
      <c r="A868" s="15" t="s">
        <v>109</v>
      </c>
      <c r="B868" s="15" t="s">
        <v>110</v>
      </c>
      <c r="D868" s="15" t="s">
        <v>1045</v>
      </c>
      <c r="E868" s="15" t="s">
        <v>112</v>
      </c>
      <c r="F868" s="15" t="s">
        <v>1045</v>
      </c>
      <c r="G868" s="15" t="s">
        <v>113</v>
      </c>
      <c r="H868" s="15" t="s">
        <v>1481</v>
      </c>
      <c r="J868" s="16" t="s">
        <v>114</v>
      </c>
      <c r="U868" s="15" t="s">
        <v>17977</v>
      </c>
      <c r="W868" s="15">
        <v>921</v>
      </c>
      <c r="X868" s="15">
        <v>878</v>
      </c>
      <c r="Y868" s="15" t="s">
        <v>160</v>
      </c>
      <c r="Z868" s="15" t="s">
        <v>161</v>
      </c>
      <c r="AA868" s="15" t="s">
        <v>162</v>
      </c>
      <c r="AB868" s="15" t="s">
        <v>4221</v>
      </c>
      <c r="AC868" s="15" t="s">
        <v>4221</v>
      </c>
      <c r="AD868" s="15" t="s">
        <v>4221</v>
      </c>
      <c r="AE868" s="15" t="s">
        <v>164</v>
      </c>
      <c r="AF868" s="15" t="s">
        <v>4221</v>
      </c>
      <c r="AG868" s="15" t="s">
        <v>4221</v>
      </c>
      <c r="AH868" s="20" t="s">
        <v>4222</v>
      </c>
      <c r="AL868" s="15" t="s">
        <v>4223</v>
      </c>
      <c r="AN868" s="15">
        <v>743</v>
      </c>
      <c r="AO868" s="15" t="s">
        <v>4224</v>
      </c>
      <c r="AQ868" s="20" t="s">
        <v>168</v>
      </c>
      <c r="AT868" s="15" t="s">
        <v>4225</v>
      </c>
      <c r="AU868" s="15" t="s">
        <v>4226</v>
      </c>
      <c r="AV868" s="15" t="s">
        <v>4226</v>
      </c>
      <c r="AW868" s="15" t="s">
        <v>4227</v>
      </c>
      <c r="AX868" s="15" t="s">
        <v>4228</v>
      </c>
      <c r="AY868" s="15">
        <f t="shared" si="17"/>
        <v>58</v>
      </c>
      <c r="AZ868" s="15" t="s">
        <v>604</v>
      </c>
      <c r="BA868" s="15" t="s">
        <v>174</v>
      </c>
      <c r="BB868" s="20" t="s">
        <v>4026</v>
      </c>
      <c r="BC868" s="20" t="s">
        <v>4229</v>
      </c>
      <c r="BE868" s="15" t="s">
        <v>176</v>
      </c>
      <c r="BF868" s="15" t="s">
        <v>2776</v>
      </c>
      <c r="BJ868" s="20" t="s">
        <v>4219</v>
      </c>
      <c r="BN868" s="15" t="s">
        <v>179</v>
      </c>
      <c r="BP868" s="15" t="s">
        <v>138</v>
      </c>
      <c r="BS868" s="15" t="s">
        <v>4230</v>
      </c>
      <c r="DH868" s="15" t="s">
        <v>17982</v>
      </c>
      <c r="DI868" s="15" t="s">
        <v>17982</v>
      </c>
    </row>
    <row r="869" spans="1:113" s="15" customFormat="1" ht="12.75" x14ac:dyDescent="0.2">
      <c r="A869" s="15" t="s">
        <v>109</v>
      </c>
      <c r="B869" s="15" t="s">
        <v>110</v>
      </c>
      <c r="D869" s="15" t="s">
        <v>1045</v>
      </c>
      <c r="E869" s="15" t="s">
        <v>112</v>
      </c>
      <c r="F869" s="15" t="s">
        <v>1045</v>
      </c>
      <c r="G869" s="15" t="s">
        <v>113</v>
      </c>
      <c r="H869" s="15" t="s">
        <v>1481</v>
      </c>
      <c r="J869" s="16" t="s">
        <v>114</v>
      </c>
      <c r="U869" s="15" t="s">
        <v>17977</v>
      </c>
      <c r="W869" s="15">
        <v>922</v>
      </c>
      <c r="X869" s="15">
        <v>879</v>
      </c>
      <c r="Y869" s="15" t="s">
        <v>160</v>
      </c>
      <c r="Z869" s="15" t="s">
        <v>161</v>
      </c>
      <c r="AA869" s="15" t="s">
        <v>162</v>
      </c>
      <c r="AB869" s="15" t="s">
        <v>4231</v>
      </c>
      <c r="AC869" s="15" t="s">
        <v>4231</v>
      </c>
      <c r="AD869" s="15" t="s">
        <v>4231</v>
      </c>
      <c r="AE869" s="15" t="s">
        <v>164</v>
      </c>
      <c r="AF869" s="15" t="s">
        <v>4231</v>
      </c>
      <c r="AG869" s="15" t="s">
        <v>4231</v>
      </c>
      <c r="AH869" s="20" t="s">
        <v>4232</v>
      </c>
      <c r="AL869" s="15" t="s">
        <v>4233</v>
      </c>
      <c r="AN869" s="15">
        <v>743</v>
      </c>
      <c r="AO869" s="15" t="s">
        <v>4234</v>
      </c>
      <c r="AQ869" s="20" t="s">
        <v>168</v>
      </c>
      <c r="AT869" s="15" t="s">
        <v>4235</v>
      </c>
      <c r="AU869" s="15" t="s">
        <v>4236</v>
      </c>
      <c r="AV869" s="15" t="s">
        <v>4236</v>
      </c>
      <c r="AW869" s="15" t="s">
        <v>4237</v>
      </c>
      <c r="AX869" s="15" t="s">
        <v>4238</v>
      </c>
      <c r="AY869" s="15">
        <f t="shared" si="17"/>
        <v>58</v>
      </c>
      <c r="AZ869" s="15" t="s">
        <v>604</v>
      </c>
      <c r="BA869" s="15" t="s">
        <v>174</v>
      </c>
      <c r="BB869" s="20" t="s">
        <v>4026</v>
      </c>
      <c r="BC869" s="20" t="s">
        <v>2040</v>
      </c>
      <c r="BE869" s="15" t="s">
        <v>2926</v>
      </c>
      <c r="BF869" s="15" t="s">
        <v>4239</v>
      </c>
      <c r="BJ869" s="20" t="s">
        <v>4240</v>
      </c>
      <c r="BN869" s="15" t="s">
        <v>179</v>
      </c>
      <c r="BP869" s="15" t="s">
        <v>138</v>
      </c>
      <c r="BS869" s="15" t="s">
        <v>4241</v>
      </c>
      <c r="DH869" s="15" t="s">
        <v>17982</v>
      </c>
      <c r="DI869" s="15" t="s">
        <v>17982</v>
      </c>
    </row>
    <row r="870" spans="1:113" s="15" customFormat="1" ht="12.75" x14ac:dyDescent="0.2">
      <c r="A870" s="15" t="s">
        <v>109</v>
      </c>
      <c r="B870" s="15" t="s">
        <v>110</v>
      </c>
      <c r="D870" s="15" t="s">
        <v>1045</v>
      </c>
      <c r="E870" s="15" t="s">
        <v>112</v>
      </c>
      <c r="F870" s="15" t="s">
        <v>1045</v>
      </c>
      <c r="G870" s="15" t="s">
        <v>113</v>
      </c>
      <c r="H870" s="15" t="s">
        <v>1481</v>
      </c>
      <c r="J870" s="16" t="s">
        <v>114</v>
      </c>
      <c r="U870" s="15" t="s">
        <v>17977</v>
      </c>
      <c r="W870" s="15">
        <v>923</v>
      </c>
      <c r="X870" s="15">
        <v>880</v>
      </c>
      <c r="Y870" s="15" t="s">
        <v>160</v>
      </c>
      <c r="Z870" s="15" t="s">
        <v>161</v>
      </c>
      <c r="AA870" s="15" t="s">
        <v>162</v>
      </c>
      <c r="AB870" s="15" t="s">
        <v>4242</v>
      </c>
      <c r="AC870" s="15" t="s">
        <v>4242</v>
      </c>
      <c r="AD870" s="15" t="s">
        <v>4242</v>
      </c>
      <c r="AE870" s="15" t="s">
        <v>164</v>
      </c>
      <c r="AF870" s="15" t="s">
        <v>4242</v>
      </c>
      <c r="AG870" s="15" t="s">
        <v>4242</v>
      </c>
      <c r="AH870" s="20" t="s">
        <v>4243</v>
      </c>
      <c r="AL870" s="15" t="s">
        <v>4244</v>
      </c>
      <c r="AN870" s="15">
        <v>743</v>
      </c>
      <c r="AO870" s="15" t="s">
        <v>4245</v>
      </c>
      <c r="AQ870" s="20" t="s">
        <v>168</v>
      </c>
      <c r="AT870" s="15" t="s">
        <v>4246</v>
      </c>
      <c r="AU870" s="15" t="s">
        <v>4247</v>
      </c>
      <c r="AV870" s="15" t="s">
        <v>4247</v>
      </c>
      <c r="AW870" s="15" t="s">
        <v>4248</v>
      </c>
      <c r="AX870" s="15" t="s">
        <v>4249</v>
      </c>
      <c r="AY870" s="15">
        <f t="shared" si="17"/>
        <v>60</v>
      </c>
      <c r="AZ870" s="15" t="s">
        <v>604</v>
      </c>
      <c r="BA870" s="15" t="s">
        <v>174</v>
      </c>
      <c r="BB870" s="20" t="s">
        <v>4026</v>
      </c>
      <c r="BC870" s="20" t="s">
        <v>2040</v>
      </c>
      <c r="BE870" s="15" t="s">
        <v>4250</v>
      </c>
      <c r="BF870" s="15" t="s">
        <v>4251</v>
      </c>
      <c r="BJ870" s="20" t="s">
        <v>4240</v>
      </c>
      <c r="BN870" s="15" t="s">
        <v>179</v>
      </c>
      <c r="BP870" s="15" t="s">
        <v>138</v>
      </c>
      <c r="BS870" s="15" t="s">
        <v>4252</v>
      </c>
      <c r="DH870" s="15" t="s">
        <v>17982</v>
      </c>
      <c r="DI870" s="15" t="s">
        <v>17982</v>
      </c>
    </row>
    <row r="871" spans="1:113" s="15" customFormat="1" ht="12.75" x14ac:dyDescent="0.2">
      <c r="A871" s="15" t="s">
        <v>109</v>
      </c>
      <c r="B871" s="15" t="s">
        <v>110</v>
      </c>
      <c r="D871" s="15" t="s">
        <v>1045</v>
      </c>
      <c r="E871" s="15" t="s">
        <v>112</v>
      </c>
      <c r="F871" s="15" t="s">
        <v>1045</v>
      </c>
      <c r="G871" s="15" t="s">
        <v>113</v>
      </c>
      <c r="H871" s="15" t="s">
        <v>1481</v>
      </c>
      <c r="J871" s="16" t="s">
        <v>114</v>
      </c>
      <c r="U871" s="15" t="s">
        <v>17977</v>
      </c>
      <c r="W871" s="15">
        <v>926</v>
      </c>
      <c r="X871" s="15">
        <v>881</v>
      </c>
      <c r="Y871" s="15" t="s">
        <v>160</v>
      </c>
      <c r="Z871" s="15" t="s">
        <v>161</v>
      </c>
      <c r="AA871" s="15" t="s">
        <v>162</v>
      </c>
      <c r="AB871" s="15" t="s">
        <v>4273</v>
      </c>
      <c r="AC871" s="15" t="s">
        <v>4273</v>
      </c>
      <c r="AD871" s="15" t="s">
        <v>4273</v>
      </c>
      <c r="AE871" s="15" t="s">
        <v>164</v>
      </c>
      <c r="AF871" s="15" t="s">
        <v>4273</v>
      </c>
      <c r="AG871" s="15" t="s">
        <v>4273</v>
      </c>
      <c r="AH871" s="20" t="s">
        <v>4274</v>
      </c>
      <c r="AL871" s="15" t="s">
        <v>4275</v>
      </c>
      <c r="AN871" s="15">
        <v>743</v>
      </c>
      <c r="AO871" s="15" t="s">
        <v>4276</v>
      </c>
      <c r="AQ871" s="20" t="s">
        <v>168</v>
      </c>
      <c r="AT871" s="15" t="s">
        <v>4277</v>
      </c>
      <c r="AU871" s="15" t="s">
        <v>4278</v>
      </c>
      <c r="AV871" s="15" t="s">
        <v>4278</v>
      </c>
      <c r="AW871" s="15" t="s">
        <v>4279</v>
      </c>
      <c r="AX871" s="15" t="s">
        <v>4280</v>
      </c>
      <c r="AY871" s="15">
        <f t="shared" si="17"/>
        <v>60</v>
      </c>
      <c r="AZ871" s="15" t="s">
        <v>604</v>
      </c>
      <c r="BA871" s="15" t="s">
        <v>174</v>
      </c>
      <c r="BB871" s="20" t="s">
        <v>4026</v>
      </c>
      <c r="BC871" s="20" t="s">
        <v>2040</v>
      </c>
      <c r="BE871" s="15" t="s">
        <v>4281</v>
      </c>
      <c r="BF871" s="15" t="s">
        <v>4282</v>
      </c>
      <c r="BJ871" s="20" t="s">
        <v>4240</v>
      </c>
      <c r="BN871" s="15" t="s">
        <v>179</v>
      </c>
      <c r="BP871" s="15" t="s">
        <v>138</v>
      </c>
      <c r="BS871" s="15" t="s">
        <v>4283</v>
      </c>
      <c r="DH871" s="15" t="s">
        <v>17982</v>
      </c>
      <c r="DI871" s="15" t="s">
        <v>17982</v>
      </c>
    </row>
    <row r="872" spans="1:113" s="15" customFormat="1" ht="12.75" x14ac:dyDescent="0.2">
      <c r="A872" s="15" t="s">
        <v>109</v>
      </c>
      <c r="B872" s="15" t="s">
        <v>110</v>
      </c>
      <c r="D872" s="15" t="s">
        <v>1045</v>
      </c>
      <c r="E872" s="15" t="s">
        <v>112</v>
      </c>
      <c r="F872" s="15" t="s">
        <v>1045</v>
      </c>
      <c r="G872" s="15" t="s">
        <v>113</v>
      </c>
      <c r="H872" s="15" t="s">
        <v>1481</v>
      </c>
      <c r="J872" s="16" t="s">
        <v>114</v>
      </c>
      <c r="U872" s="15" t="s">
        <v>17977</v>
      </c>
      <c r="W872" s="15">
        <v>150</v>
      </c>
      <c r="X872" s="15">
        <v>882</v>
      </c>
      <c r="Y872" s="15" t="s">
        <v>160</v>
      </c>
      <c r="Z872" s="15" t="s">
        <v>161</v>
      </c>
      <c r="AA872" s="15" t="s">
        <v>162</v>
      </c>
      <c r="AB872" s="15" t="s">
        <v>1061</v>
      </c>
      <c r="AC872" s="15" t="s">
        <v>1061</v>
      </c>
      <c r="AD872" s="15" t="s">
        <v>1061</v>
      </c>
      <c r="AE872" s="15" t="s">
        <v>164</v>
      </c>
      <c r="AF872" s="15" t="s">
        <v>1061</v>
      </c>
      <c r="AG872" s="15" t="s">
        <v>1061</v>
      </c>
      <c r="AH872" s="20" t="s">
        <v>1062</v>
      </c>
      <c r="AL872" s="15" t="s">
        <v>1063</v>
      </c>
      <c r="AN872" s="15">
        <v>743</v>
      </c>
      <c r="AO872" s="15" t="s">
        <v>1064</v>
      </c>
      <c r="AQ872" s="20" t="s">
        <v>168</v>
      </c>
      <c r="AT872" s="15" t="s">
        <v>1065</v>
      </c>
      <c r="AU872" s="15" t="s">
        <v>1066</v>
      </c>
      <c r="AV872" s="15" t="s">
        <v>1066</v>
      </c>
      <c r="AW872" s="15" t="s">
        <v>1067</v>
      </c>
      <c r="AX872" s="15" t="s">
        <v>1068</v>
      </c>
      <c r="AY872" s="15">
        <f t="shared" si="17"/>
        <v>57</v>
      </c>
      <c r="AZ872" s="15" t="s">
        <v>604</v>
      </c>
      <c r="BA872" s="15" t="s">
        <v>174</v>
      </c>
      <c r="BB872" s="15" t="s">
        <v>1054</v>
      </c>
      <c r="BC872" s="20" t="s">
        <v>1069</v>
      </c>
      <c r="BE872" s="20" t="s">
        <v>275</v>
      </c>
      <c r="BF872" s="20" t="s">
        <v>1070</v>
      </c>
      <c r="BG872" s="20"/>
      <c r="BH872" s="20"/>
      <c r="BI872" s="20" t="s">
        <v>1058</v>
      </c>
      <c r="BJ872" s="20" t="s">
        <v>1059</v>
      </c>
      <c r="BN872" s="15" t="s">
        <v>179</v>
      </c>
      <c r="BP872" s="15" t="s">
        <v>138</v>
      </c>
      <c r="BS872" s="15" t="s">
        <v>1071</v>
      </c>
      <c r="DH872" s="15" t="s">
        <v>17982</v>
      </c>
      <c r="DI872" s="15" t="s">
        <v>17982</v>
      </c>
    </row>
    <row r="873" spans="1:113" s="15" customFormat="1" ht="12.75" x14ac:dyDescent="0.2">
      <c r="A873" s="15" t="s">
        <v>109</v>
      </c>
      <c r="B873" s="15" t="s">
        <v>110</v>
      </c>
      <c r="D873" s="15" t="s">
        <v>1045</v>
      </c>
      <c r="E873" s="15" t="s">
        <v>112</v>
      </c>
      <c r="F873" s="15" t="s">
        <v>1045</v>
      </c>
      <c r="G873" s="15" t="s">
        <v>113</v>
      </c>
      <c r="H873" s="15" t="s">
        <v>1481</v>
      </c>
      <c r="J873" s="16" t="s">
        <v>114</v>
      </c>
      <c r="U873" s="15" t="s">
        <v>17977</v>
      </c>
      <c r="W873" s="15">
        <v>149</v>
      </c>
      <c r="X873" s="15">
        <v>883</v>
      </c>
      <c r="Y873" s="15" t="s">
        <v>160</v>
      </c>
      <c r="Z873" s="15" t="s">
        <v>161</v>
      </c>
      <c r="AA873" s="15" t="s">
        <v>162</v>
      </c>
      <c r="AB873" s="15" t="s">
        <v>1046</v>
      </c>
      <c r="AC873" s="15" t="s">
        <v>1046</v>
      </c>
      <c r="AD873" s="15" t="s">
        <v>1046</v>
      </c>
      <c r="AE873" s="15" t="s">
        <v>164</v>
      </c>
      <c r="AF873" s="15" t="s">
        <v>1046</v>
      </c>
      <c r="AG873" s="15" t="s">
        <v>1046</v>
      </c>
      <c r="AH873" s="20" t="s">
        <v>1047</v>
      </c>
      <c r="AL873" s="15" t="s">
        <v>1048</v>
      </c>
      <c r="AN873" s="15">
        <v>743</v>
      </c>
      <c r="AO873" s="15" t="s">
        <v>1049</v>
      </c>
      <c r="AQ873" s="20" t="s">
        <v>168</v>
      </c>
      <c r="AT873" s="15" t="s">
        <v>1050</v>
      </c>
      <c r="AU873" s="15" t="s">
        <v>1051</v>
      </c>
      <c r="AV873" s="15" t="s">
        <v>1051</v>
      </c>
      <c r="AW873" s="15" t="s">
        <v>1052</v>
      </c>
      <c r="AX873" s="15" t="s">
        <v>1053</v>
      </c>
      <c r="AY873" s="15">
        <f t="shared" si="17"/>
        <v>60</v>
      </c>
      <c r="AZ873" s="15" t="s">
        <v>604</v>
      </c>
      <c r="BA873" s="15" t="s">
        <v>174</v>
      </c>
      <c r="BB873" s="15" t="s">
        <v>1054</v>
      </c>
      <c r="BC873" s="15" t="s">
        <v>1055</v>
      </c>
      <c r="BE873" s="15" t="s">
        <v>1056</v>
      </c>
      <c r="BF873" s="15" t="s">
        <v>1057</v>
      </c>
      <c r="BI873" s="20" t="s">
        <v>1058</v>
      </c>
      <c r="BJ873" s="20" t="s">
        <v>1059</v>
      </c>
      <c r="BN873" s="15" t="s">
        <v>179</v>
      </c>
      <c r="BP873" s="15" t="s">
        <v>138</v>
      </c>
      <c r="BS873" s="15" t="s">
        <v>1060</v>
      </c>
      <c r="DH873" s="15" t="s">
        <v>17982</v>
      </c>
      <c r="DI873" s="15" t="s">
        <v>17982</v>
      </c>
    </row>
    <row r="874" spans="1:113" s="15" customFormat="1" ht="12.75" x14ac:dyDescent="0.2">
      <c r="A874" s="15" t="s">
        <v>109</v>
      </c>
      <c r="B874" s="15" t="s">
        <v>110</v>
      </c>
      <c r="D874" s="15" t="s">
        <v>1045</v>
      </c>
      <c r="E874" s="15" t="s">
        <v>112</v>
      </c>
      <c r="F874" s="15" t="s">
        <v>1045</v>
      </c>
      <c r="G874" s="15" t="s">
        <v>2494</v>
      </c>
      <c r="H874" s="15" t="s">
        <v>1481</v>
      </c>
      <c r="J874" s="16" t="s">
        <v>114</v>
      </c>
      <c r="U874" s="15" t="s">
        <v>17977</v>
      </c>
      <c r="W874" s="15">
        <v>937</v>
      </c>
      <c r="X874" s="15">
        <v>884</v>
      </c>
      <c r="Y874" s="15" t="s">
        <v>160</v>
      </c>
      <c r="Z874" s="15" t="s">
        <v>161</v>
      </c>
      <c r="AA874" s="15" t="s">
        <v>162</v>
      </c>
      <c r="AB874" s="15" t="s">
        <v>4386</v>
      </c>
      <c r="AC874" s="15" t="s">
        <v>4386</v>
      </c>
      <c r="AD874" s="15" t="s">
        <v>4386</v>
      </c>
      <c r="AE874" s="15" t="s">
        <v>164</v>
      </c>
      <c r="AF874" s="15" t="s">
        <v>4386</v>
      </c>
      <c r="AG874" s="15" t="s">
        <v>4386</v>
      </c>
      <c r="AH874" s="20" t="s">
        <v>4387</v>
      </c>
      <c r="AL874" s="15" t="s">
        <v>4388</v>
      </c>
      <c r="AN874" s="15">
        <v>743</v>
      </c>
      <c r="AO874" s="15" t="s">
        <v>4389</v>
      </c>
      <c r="AQ874" s="20" t="s">
        <v>168</v>
      </c>
      <c r="AT874" s="15" t="s">
        <v>4390</v>
      </c>
      <c r="AU874" s="15" t="s">
        <v>4391</v>
      </c>
      <c r="AV874" s="15" t="s">
        <v>4391</v>
      </c>
      <c r="AW874" s="15" t="s">
        <v>4392</v>
      </c>
      <c r="AX874" s="15" t="s">
        <v>4393</v>
      </c>
      <c r="AY874" s="15">
        <f t="shared" si="17"/>
        <v>55</v>
      </c>
      <c r="AZ874" s="15" t="s">
        <v>604</v>
      </c>
      <c r="BA874" s="15" t="s">
        <v>174</v>
      </c>
      <c r="BB874" s="20" t="s">
        <v>4026</v>
      </c>
      <c r="BE874" s="15" t="s">
        <v>4394</v>
      </c>
      <c r="BF874" s="15" t="s">
        <v>4395</v>
      </c>
      <c r="BJ874" s="15" t="s">
        <v>4396</v>
      </c>
      <c r="BN874" s="15" t="s">
        <v>179</v>
      </c>
      <c r="BP874" s="15" t="s">
        <v>138</v>
      </c>
      <c r="BR874" s="15" t="s">
        <v>4397</v>
      </c>
      <c r="BS874" s="15" t="s">
        <v>4398</v>
      </c>
      <c r="DH874" s="15" t="s">
        <v>17982</v>
      </c>
      <c r="DI874" s="15" t="s">
        <v>17982</v>
      </c>
    </row>
    <row r="875" spans="1:113" s="15" customFormat="1" ht="12.75" x14ac:dyDescent="0.2">
      <c r="A875" s="15" t="s">
        <v>109</v>
      </c>
      <c r="B875" s="15" t="s">
        <v>110</v>
      </c>
      <c r="D875" s="15" t="s">
        <v>1045</v>
      </c>
      <c r="E875" s="15" t="s">
        <v>112</v>
      </c>
      <c r="F875" s="15" t="s">
        <v>1045</v>
      </c>
      <c r="G875" s="15" t="s">
        <v>2494</v>
      </c>
      <c r="H875" s="15" t="s">
        <v>1481</v>
      </c>
      <c r="J875" s="16" t="s">
        <v>114</v>
      </c>
      <c r="U875" s="15" t="s">
        <v>17977</v>
      </c>
      <c r="W875" s="15">
        <v>939</v>
      </c>
      <c r="X875" s="15">
        <v>885</v>
      </c>
      <c r="Y875" s="15" t="s">
        <v>160</v>
      </c>
      <c r="Z875" s="15" t="s">
        <v>161</v>
      </c>
      <c r="AA875" s="15" t="s">
        <v>162</v>
      </c>
      <c r="AB875" s="15" t="s">
        <v>4410</v>
      </c>
      <c r="AC875" s="15" t="s">
        <v>4410</v>
      </c>
      <c r="AD875" s="15" t="s">
        <v>4410</v>
      </c>
      <c r="AE875" s="15" t="s">
        <v>164</v>
      </c>
      <c r="AF875" s="15" t="s">
        <v>4410</v>
      </c>
      <c r="AG875" s="15" t="s">
        <v>4410</v>
      </c>
      <c r="AH875" s="20" t="s">
        <v>4411</v>
      </c>
      <c r="AL875" s="15" t="s">
        <v>4412</v>
      </c>
      <c r="AN875" s="15">
        <v>743</v>
      </c>
      <c r="AO875" s="15" t="s">
        <v>4413</v>
      </c>
      <c r="AQ875" s="20" t="s">
        <v>168</v>
      </c>
      <c r="AT875" s="15" t="s">
        <v>4414</v>
      </c>
      <c r="AU875" s="15" t="s">
        <v>4415</v>
      </c>
      <c r="AV875" s="15" t="s">
        <v>4415</v>
      </c>
      <c r="AW875" s="15" t="s">
        <v>4416</v>
      </c>
      <c r="AX875" s="15" t="s">
        <v>4417</v>
      </c>
      <c r="AY875" s="15">
        <f t="shared" si="17"/>
        <v>55</v>
      </c>
      <c r="AZ875" s="15" t="s">
        <v>604</v>
      </c>
      <c r="BA875" s="15" t="s">
        <v>174</v>
      </c>
      <c r="BB875" s="20" t="s">
        <v>4026</v>
      </c>
      <c r="BE875" s="15" t="s">
        <v>4175</v>
      </c>
      <c r="BF875" s="15" t="s">
        <v>4418</v>
      </c>
      <c r="BJ875" s="15" t="s">
        <v>4396</v>
      </c>
      <c r="BN875" s="15" t="s">
        <v>179</v>
      </c>
      <c r="BP875" s="15" t="s">
        <v>138</v>
      </c>
      <c r="BR875" s="15" t="s">
        <v>4419</v>
      </c>
      <c r="BS875" s="15" t="s">
        <v>4420</v>
      </c>
      <c r="DH875" s="15" t="s">
        <v>17982</v>
      </c>
      <c r="DI875" s="15" t="s">
        <v>17982</v>
      </c>
    </row>
    <row r="876" spans="1:113" s="15" customFormat="1" ht="12.75" x14ac:dyDescent="0.2">
      <c r="A876" s="15" t="s">
        <v>109</v>
      </c>
      <c r="B876" s="15" t="s">
        <v>110</v>
      </c>
      <c r="D876" s="15" t="s">
        <v>1045</v>
      </c>
      <c r="E876" s="15" t="s">
        <v>112</v>
      </c>
      <c r="F876" s="15" t="s">
        <v>1045</v>
      </c>
      <c r="G876" s="15" t="s">
        <v>2494</v>
      </c>
      <c r="H876" s="15" t="s">
        <v>1481</v>
      </c>
      <c r="J876" s="16" t="s">
        <v>114</v>
      </c>
      <c r="U876" s="15" t="s">
        <v>17977</v>
      </c>
      <c r="W876" s="15">
        <v>938</v>
      </c>
      <c r="X876" s="15">
        <v>886</v>
      </c>
      <c r="Y876" s="15" t="s">
        <v>160</v>
      </c>
      <c r="Z876" s="15" t="s">
        <v>161</v>
      </c>
      <c r="AA876" s="15" t="s">
        <v>162</v>
      </c>
      <c r="AB876" s="15" t="s">
        <v>4399</v>
      </c>
      <c r="AC876" s="15" t="s">
        <v>4399</v>
      </c>
      <c r="AD876" s="15" t="s">
        <v>4399</v>
      </c>
      <c r="AE876" s="15" t="s">
        <v>164</v>
      </c>
      <c r="AF876" s="15" t="s">
        <v>4399</v>
      </c>
      <c r="AG876" s="15" t="s">
        <v>4399</v>
      </c>
      <c r="AH876" s="20" t="s">
        <v>4400</v>
      </c>
      <c r="AL876" s="15" t="s">
        <v>4401</v>
      </c>
      <c r="AN876" s="15">
        <v>743</v>
      </c>
      <c r="AO876" s="15" t="s">
        <v>4402</v>
      </c>
      <c r="AQ876" s="20" t="s">
        <v>168</v>
      </c>
      <c r="AT876" s="15" t="s">
        <v>4403</v>
      </c>
      <c r="AU876" s="15" t="s">
        <v>4404</v>
      </c>
      <c r="AV876" s="15" t="s">
        <v>4404</v>
      </c>
      <c r="AW876" s="15" t="s">
        <v>4405</v>
      </c>
      <c r="AX876" s="15" t="s">
        <v>4406</v>
      </c>
      <c r="AY876" s="15">
        <f t="shared" si="17"/>
        <v>57</v>
      </c>
      <c r="AZ876" s="15" t="s">
        <v>604</v>
      </c>
      <c r="BA876" s="15" t="s">
        <v>174</v>
      </c>
      <c r="BB876" s="20" t="s">
        <v>4026</v>
      </c>
      <c r="BE876" s="15" t="s">
        <v>4384</v>
      </c>
      <c r="BF876" s="15" t="s">
        <v>4407</v>
      </c>
      <c r="BJ876" s="15" t="s">
        <v>4396</v>
      </c>
      <c r="BN876" s="15" t="s">
        <v>179</v>
      </c>
      <c r="BP876" s="15" t="s">
        <v>138</v>
      </c>
      <c r="BR876" s="15" t="s">
        <v>4408</v>
      </c>
      <c r="BS876" s="15" t="s">
        <v>4409</v>
      </c>
      <c r="DH876" s="15" t="s">
        <v>17982</v>
      </c>
      <c r="DI876" s="15" t="s">
        <v>17982</v>
      </c>
    </row>
    <row r="877" spans="1:113" s="15" customFormat="1" ht="12.75" x14ac:dyDescent="0.2">
      <c r="A877" s="15" t="s">
        <v>109</v>
      </c>
      <c r="B877" s="15" t="s">
        <v>110</v>
      </c>
      <c r="D877" s="15" t="s">
        <v>1045</v>
      </c>
      <c r="E877" s="15" t="s">
        <v>112</v>
      </c>
      <c r="F877" s="15" t="s">
        <v>1045</v>
      </c>
      <c r="G877" s="15" t="s">
        <v>113</v>
      </c>
      <c r="H877" s="15" t="s">
        <v>1481</v>
      </c>
      <c r="J877" s="16" t="s">
        <v>114</v>
      </c>
      <c r="U877" s="15" t="s">
        <v>17977</v>
      </c>
      <c r="W877" s="15">
        <v>940</v>
      </c>
      <c r="X877" s="15">
        <v>887</v>
      </c>
      <c r="Y877" s="15" t="s">
        <v>160</v>
      </c>
      <c r="Z877" s="15" t="s">
        <v>161</v>
      </c>
      <c r="AA877" s="15" t="s">
        <v>162</v>
      </c>
      <c r="AB877" s="15" t="s">
        <v>4421</v>
      </c>
      <c r="AC877" s="15" t="s">
        <v>4421</v>
      </c>
      <c r="AD877" s="15" t="s">
        <v>4421</v>
      </c>
      <c r="AE877" s="15" t="s">
        <v>164</v>
      </c>
      <c r="AF877" s="15" t="s">
        <v>4421</v>
      </c>
      <c r="AG877" s="15" t="s">
        <v>4421</v>
      </c>
      <c r="AH877" s="20" t="s">
        <v>4422</v>
      </c>
      <c r="AL877" s="15" t="s">
        <v>4423</v>
      </c>
      <c r="AN877" s="15">
        <v>743</v>
      </c>
      <c r="AO877" s="15" t="s">
        <v>4424</v>
      </c>
      <c r="AQ877" s="20" t="s">
        <v>168</v>
      </c>
      <c r="AT877" s="15" t="s">
        <v>4425</v>
      </c>
      <c r="AU877" s="15" t="s">
        <v>4426</v>
      </c>
      <c r="AV877" s="15" t="s">
        <v>4426</v>
      </c>
      <c r="AW877" s="15" t="s">
        <v>4427</v>
      </c>
      <c r="AX877" s="15" t="s">
        <v>4428</v>
      </c>
      <c r="AY877" s="15">
        <f t="shared" si="17"/>
        <v>55</v>
      </c>
      <c r="AZ877" s="15" t="s">
        <v>604</v>
      </c>
      <c r="BA877" s="15" t="s">
        <v>174</v>
      </c>
      <c r="BB877" s="20" t="s">
        <v>4026</v>
      </c>
      <c r="BE877" s="15" t="s">
        <v>2405</v>
      </c>
      <c r="BF877" s="15" t="s">
        <v>4429</v>
      </c>
      <c r="BJ877" s="15" t="s">
        <v>4396</v>
      </c>
      <c r="BN877" s="15" t="s">
        <v>179</v>
      </c>
      <c r="BP877" s="15" t="s">
        <v>138</v>
      </c>
      <c r="BS877" s="15" t="s">
        <v>4430</v>
      </c>
      <c r="DH877" s="15" t="s">
        <v>17982</v>
      </c>
      <c r="DI877" s="15" t="s">
        <v>17982</v>
      </c>
    </row>
    <row r="878" spans="1:113" s="15" customFormat="1" ht="12.75" x14ac:dyDescent="0.2">
      <c r="A878" s="15" t="s">
        <v>109</v>
      </c>
      <c r="B878" s="15" t="s">
        <v>110</v>
      </c>
      <c r="D878" s="15" t="s">
        <v>1045</v>
      </c>
      <c r="E878" s="15" t="s">
        <v>112</v>
      </c>
      <c r="F878" s="15" t="s">
        <v>1045</v>
      </c>
      <c r="G878" s="15" t="s">
        <v>2494</v>
      </c>
      <c r="H878" s="15" t="s">
        <v>1481</v>
      </c>
      <c r="J878" s="16" t="s">
        <v>114</v>
      </c>
      <c r="U878" s="15" t="s">
        <v>17977</v>
      </c>
      <c r="W878" s="15">
        <v>941</v>
      </c>
      <c r="X878" s="15">
        <v>888</v>
      </c>
      <c r="Y878" s="15" t="s">
        <v>160</v>
      </c>
      <c r="Z878" s="15" t="s">
        <v>161</v>
      </c>
      <c r="AA878" s="15" t="s">
        <v>162</v>
      </c>
      <c r="AB878" s="15" t="s">
        <v>4431</v>
      </c>
      <c r="AC878" s="15" t="s">
        <v>4431</v>
      </c>
      <c r="AD878" s="15" t="s">
        <v>4431</v>
      </c>
      <c r="AE878" s="15" t="s">
        <v>164</v>
      </c>
      <c r="AF878" s="15" t="s">
        <v>4431</v>
      </c>
      <c r="AG878" s="15" t="s">
        <v>4431</v>
      </c>
      <c r="AH878" s="20" t="s">
        <v>4432</v>
      </c>
      <c r="AL878" s="15" t="s">
        <v>4433</v>
      </c>
      <c r="AN878" s="15">
        <v>743</v>
      </c>
      <c r="AO878" s="15" t="s">
        <v>4434</v>
      </c>
      <c r="AQ878" s="20" t="s">
        <v>168</v>
      </c>
      <c r="AT878" s="15" t="s">
        <v>4435</v>
      </c>
      <c r="AU878" s="15" t="s">
        <v>4436</v>
      </c>
      <c r="AV878" s="15" t="s">
        <v>4436</v>
      </c>
      <c r="AW878" s="15" t="s">
        <v>4437</v>
      </c>
      <c r="AX878" s="15" t="s">
        <v>4438</v>
      </c>
      <c r="AY878" s="15">
        <f t="shared" si="17"/>
        <v>55</v>
      </c>
      <c r="AZ878" s="15" t="s">
        <v>604</v>
      </c>
      <c r="BA878" s="15" t="s">
        <v>174</v>
      </c>
      <c r="BB878" s="20" t="s">
        <v>4026</v>
      </c>
      <c r="BE878" s="15" t="s">
        <v>4439</v>
      </c>
      <c r="BF878" s="15" t="s">
        <v>4440</v>
      </c>
      <c r="BJ878" s="15" t="s">
        <v>4396</v>
      </c>
      <c r="BN878" s="15" t="s">
        <v>179</v>
      </c>
      <c r="BP878" s="15" t="s">
        <v>138</v>
      </c>
      <c r="BR878" s="15" t="s">
        <v>4441</v>
      </c>
      <c r="BS878" s="15" t="s">
        <v>4442</v>
      </c>
      <c r="DH878" s="15" t="s">
        <v>17982</v>
      </c>
      <c r="DI878" s="15" t="s">
        <v>17982</v>
      </c>
    </row>
    <row r="879" spans="1:113" s="15" customFormat="1" ht="12.75" x14ac:dyDescent="0.2">
      <c r="A879" s="15" t="s">
        <v>109</v>
      </c>
      <c r="B879" s="15" t="s">
        <v>110</v>
      </c>
      <c r="D879" s="15" t="s">
        <v>1045</v>
      </c>
      <c r="E879" s="15" t="s">
        <v>112</v>
      </c>
      <c r="F879" s="15" t="s">
        <v>1045</v>
      </c>
      <c r="G879" s="15" t="s">
        <v>113</v>
      </c>
      <c r="H879" s="15" t="s">
        <v>1481</v>
      </c>
      <c r="J879" s="16" t="s">
        <v>114</v>
      </c>
      <c r="U879" s="15" t="s">
        <v>17977</v>
      </c>
      <c r="W879" s="15">
        <v>934</v>
      </c>
      <c r="X879" s="15">
        <v>889</v>
      </c>
      <c r="Y879" s="15" t="s">
        <v>160</v>
      </c>
      <c r="Z879" s="15" t="s">
        <v>161</v>
      </c>
      <c r="AA879" s="15" t="s">
        <v>162</v>
      </c>
      <c r="AB879" s="15" t="s">
        <v>4356</v>
      </c>
      <c r="AC879" s="15" t="s">
        <v>4356</v>
      </c>
      <c r="AD879" s="15" t="s">
        <v>4356</v>
      </c>
      <c r="AE879" s="15" t="s">
        <v>164</v>
      </c>
      <c r="AF879" s="15" t="s">
        <v>4356</v>
      </c>
      <c r="AG879" s="15" t="s">
        <v>4356</v>
      </c>
      <c r="AH879" s="20" t="s">
        <v>4357</v>
      </c>
      <c r="AL879" s="15" t="s">
        <v>4358</v>
      </c>
      <c r="AN879" s="15">
        <v>743</v>
      </c>
      <c r="AO879" s="15" t="s">
        <v>4359</v>
      </c>
      <c r="AQ879" s="20" t="s">
        <v>168</v>
      </c>
      <c r="AT879" s="15" t="s">
        <v>4360</v>
      </c>
      <c r="AU879" s="15" t="s">
        <v>4361</v>
      </c>
      <c r="AV879" s="15" t="s">
        <v>4361</v>
      </c>
      <c r="AW879" s="15" t="s">
        <v>4362</v>
      </c>
      <c r="AX879" s="15" t="s">
        <v>4362</v>
      </c>
      <c r="AY879" s="15">
        <f t="shared" si="17"/>
        <v>58</v>
      </c>
      <c r="AZ879" s="15" t="s">
        <v>604</v>
      </c>
      <c r="BA879" s="15" t="s">
        <v>174</v>
      </c>
      <c r="BB879" s="15" t="s">
        <v>4342</v>
      </c>
      <c r="BC879" s="15" t="s">
        <v>4363</v>
      </c>
      <c r="BE879" s="15" t="s">
        <v>564</v>
      </c>
      <c r="BF879" s="15" t="s">
        <v>4364</v>
      </c>
      <c r="BJ879" s="15" t="s">
        <v>2504</v>
      </c>
      <c r="BN879" s="15" t="s">
        <v>179</v>
      </c>
      <c r="BP879" s="15" t="s">
        <v>138</v>
      </c>
      <c r="BS879" s="15" t="s">
        <v>4365</v>
      </c>
      <c r="DH879" s="15" t="s">
        <v>17982</v>
      </c>
      <c r="DI879" s="15" t="s">
        <v>17982</v>
      </c>
    </row>
    <row r="880" spans="1:113" s="15" customFormat="1" ht="12.75" x14ac:dyDescent="0.2">
      <c r="A880" s="15" t="s">
        <v>109</v>
      </c>
      <c r="B880" s="15" t="s">
        <v>110</v>
      </c>
      <c r="D880" s="15" t="s">
        <v>1045</v>
      </c>
      <c r="E880" s="15" t="s">
        <v>112</v>
      </c>
      <c r="F880" s="15" t="s">
        <v>1045</v>
      </c>
      <c r="G880" s="15" t="s">
        <v>113</v>
      </c>
      <c r="H880" s="15" t="s">
        <v>1481</v>
      </c>
      <c r="J880" s="16" t="s">
        <v>114</v>
      </c>
      <c r="U880" s="15" t="s">
        <v>17977</v>
      </c>
      <c r="W880" s="15">
        <v>933</v>
      </c>
      <c r="X880" s="15">
        <v>890</v>
      </c>
      <c r="Y880" s="15" t="s">
        <v>160</v>
      </c>
      <c r="Z880" s="15" t="s">
        <v>161</v>
      </c>
      <c r="AA880" s="15" t="s">
        <v>162</v>
      </c>
      <c r="AB880" s="15" t="s">
        <v>4346</v>
      </c>
      <c r="AC880" s="15" t="s">
        <v>4346</v>
      </c>
      <c r="AD880" s="15" t="s">
        <v>4346</v>
      </c>
      <c r="AE880" s="15" t="s">
        <v>164</v>
      </c>
      <c r="AF880" s="15" t="s">
        <v>4346</v>
      </c>
      <c r="AG880" s="15" t="s">
        <v>4346</v>
      </c>
      <c r="AH880" s="20" t="s">
        <v>4347</v>
      </c>
      <c r="AL880" s="15" t="s">
        <v>4348</v>
      </c>
      <c r="AN880" s="15">
        <v>743</v>
      </c>
      <c r="AO880" s="15" t="s">
        <v>4349</v>
      </c>
      <c r="AQ880" s="20" t="s">
        <v>168</v>
      </c>
      <c r="AT880" s="15" t="s">
        <v>4350</v>
      </c>
      <c r="AU880" s="15" t="s">
        <v>4351</v>
      </c>
      <c r="AV880" s="15" t="s">
        <v>4351</v>
      </c>
      <c r="AW880" s="15" t="s">
        <v>4352</v>
      </c>
      <c r="AX880" s="15" t="s">
        <v>4353</v>
      </c>
      <c r="AY880" s="15">
        <f t="shared" si="17"/>
        <v>55</v>
      </c>
      <c r="AZ880" s="15" t="s">
        <v>604</v>
      </c>
      <c r="BA880" s="15" t="s">
        <v>174</v>
      </c>
      <c r="BB880" s="15" t="s">
        <v>4342</v>
      </c>
      <c r="BC880" s="15" t="s">
        <v>1199</v>
      </c>
      <c r="BE880" s="15" t="s">
        <v>564</v>
      </c>
      <c r="BF880" s="15" t="s">
        <v>4354</v>
      </c>
      <c r="BJ880" s="15" t="s">
        <v>2504</v>
      </c>
      <c r="BN880" s="15" t="s">
        <v>179</v>
      </c>
      <c r="BP880" s="15" t="s">
        <v>138</v>
      </c>
      <c r="BS880" s="15" t="s">
        <v>4355</v>
      </c>
      <c r="DH880" s="15" t="s">
        <v>17982</v>
      </c>
      <c r="DI880" s="15" t="s">
        <v>17982</v>
      </c>
    </row>
    <row r="881" spans="1:113" s="15" customFormat="1" ht="12.75" x14ac:dyDescent="0.2">
      <c r="A881" s="15" t="s">
        <v>109</v>
      </c>
      <c r="B881" s="15" t="s">
        <v>110</v>
      </c>
      <c r="D881" s="15" t="s">
        <v>1045</v>
      </c>
      <c r="E881" s="15" t="s">
        <v>112</v>
      </c>
      <c r="F881" s="15" t="s">
        <v>1045</v>
      </c>
      <c r="G881" s="15" t="s">
        <v>113</v>
      </c>
      <c r="H881" s="15" t="s">
        <v>1481</v>
      </c>
      <c r="J881" s="16" t="s">
        <v>114</v>
      </c>
      <c r="U881" s="15" t="s">
        <v>17977</v>
      </c>
      <c r="W881" s="15">
        <v>932</v>
      </c>
      <c r="X881" s="15">
        <v>891</v>
      </c>
      <c r="Y881" s="15" t="s">
        <v>160</v>
      </c>
      <c r="Z881" s="15" t="s">
        <v>161</v>
      </c>
      <c r="AA881" s="15" t="s">
        <v>162</v>
      </c>
      <c r="AB881" s="15" t="s">
        <v>4334</v>
      </c>
      <c r="AC881" s="15" t="s">
        <v>4334</v>
      </c>
      <c r="AD881" s="15" t="s">
        <v>4334</v>
      </c>
      <c r="AE881" s="15" t="s">
        <v>164</v>
      </c>
      <c r="AF881" s="15" t="s">
        <v>4334</v>
      </c>
      <c r="AG881" s="15" t="s">
        <v>4334</v>
      </c>
      <c r="AH881" s="20" t="s">
        <v>4335</v>
      </c>
      <c r="AL881" s="15" t="s">
        <v>4336</v>
      </c>
      <c r="AN881" s="15">
        <v>743</v>
      </c>
      <c r="AO881" s="15" t="s">
        <v>4337</v>
      </c>
      <c r="AQ881" s="20" t="s">
        <v>168</v>
      </c>
      <c r="AT881" s="15" t="s">
        <v>4338</v>
      </c>
      <c r="AU881" s="15" t="s">
        <v>4339</v>
      </c>
      <c r="AV881" s="15" t="s">
        <v>4339</v>
      </c>
      <c r="AW881" s="15" t="s">
        <v>4340</v>
      </c>
      <c r="AX881" s="15" t="s">
        <v>4341</v>
      </c>
      <c r="AY881" s="15">
        <f t="shared" ref="AY881:AY901" si="18">LEN(SUBSTITUTE(AX881, ", ",","))</f>
        <v>54</v>
      </c>
      <c r="AZ881" s="15" t="s">
        <v>604</v>
      </c>
      <c r="BA881" s="15" t="s">
        <v>174</v>
      </c>
      <c r="BB881" s="15" t="s">
        <v>4342</v>
      </c>
      <c r="BC881" s="15" t="s">
        <v>4343</v>
      </c>
      <c r="BE881" s="15" t="s">
        <v>564</v>
      </c>
      <c r="BF881" s="15" t="s">
        <v>4344</v>
      </c>
      <c r="BJ881" s="15" t="s">
        <v>2504</v>
      </c>
      <c r="BN881" s="15" t="s">
        <v>179</v>
      </c>
      <c r="BP881" s="15" t="s">
        <v>138</v>
      </c>
      <c r="BS881" s="15" t="s">
        <v>4345</v>
      </c>
      <c r="DH881" s="15" t="s">
        <v>17982</v>
      </c>
      <c r="DI881" s="15" t="s">
        <v>17982</v>
      </c>
    </row>
    <row r="882" spans="1:113" s="15" customFormat="1" ht="12.75" x14ac:dyDescent="0.2">
      <c r="A882" s="15" t="s">
        <v>109</v>
      </c>
      <c r="B882" s="15" t="s">
        <v>110</v>
      </c>
      <c r="D882" s="15" t="s">
        <v>1045</v>
      </c>
      <c r="E882" s="15" t="s">
        <v>112</v>
      </c>
      <c r="F882" s="15" t="s">
        <v>1045</v>
      </c>
      <c r="G882" s="15" t="s">
        <v>113</v>
      </c>
      <c r="H882" s="15" t="s">
        <v>1481</v>
      </c>
      <c r="J882" s="16" t="s">
        <v>114</v>
      </c>
      <c r="U882" s="15" t="s">
        <v>17977</v>
      </c>
      <c r="W882" s="15">
        <v>1420</v>
      </c>
      <c r="X882" s="15">
        <v>892</v>
      </c>
      <c r="Y882" s="15" t="s">
        <v>160</v>
      </c>
      <c r="Z882" s="15" t="s">
        <v>161</v>
      </c>
      <c r="AA882" s="15" t="s">
        <v>162</v>
      </c>
      <c r="AB882" s="15" t="s">
        <v>7158</v>
      </c>
      <c r="AC882" s="15" t="s">
        <v>7158</v>
      </c>
      <c r="AD882" s="15" t="s">
        <v>7158</v>
      </c>
      <c r="AE882" s="15" t="s">
        <v>164</v>
      </c>
      <c r="AF882" s="15" t="s">
        <v>7158</v>
      </c>
      <c r="AG882" s="15" t="s">
        <v>7158</v>
      </c>
      <c r="AH882" s="20" t="s">
        <v>7159</v>
      </c>
      <c r="AL882" s="15" t="s">
        <v>7160</v>
      </c>
      <c r="AN882" s="15">
        <v>743</v>
      </c>
      <c r="AO882" s="15" t="s">
        <v>7161</v>
      </c>
      <c r="AQ882" s="20" t="s">
        <v>168</v>
      </c>
      <c r="AR882" s="47"/>
      <c r="AS882" s="47"/>
      <c r="AT882" s="15" t="s">
        <v>7162</v>
      </c>
      <c r="AU882" s="15" t="s">
        <v>7163</v>
      </c>
      <c r="AV882" s="15" t="s">
        <v>7163</v>
      </c>
      <c r="AW882" s="15" t="s">
        <v>7164</v>
      </c>
      <c r="AX882" s="15" t="s">
        <v>7164</v>
      </c>
      <c r="AY882" s="15">
        <f t="shared" si="18"/>
        <v>55</v>
      </c>
      <c r="AZ882" s="15" t="s">
        <v>604</v>
      </c>
      <c r="BA882" s="15" t="s">
        <v>174</v>
      </c>
      <c r="BB882" s="15" t="s">
        <v>7165</v>
      </c>
      <c r="BE882" s="15" t="s">
        <v>176</v>
      </c>
      <c r="BF882" s="15" t="s">
        <v>7166</v>
      </c>
      <c r="BJ882" s="15" t="s">
        <v>2503</v>
      </c>
      <c r="BN882" s="15" t="s">
        <v>179</v>
      </c>
      <c r="BP882" s="15" t="s">
        <v>138</v>
      </c>
      <c r="BS882" s="15" t="s">
        <v>7167</v>
      </c>
      <c r="DH882" s="15" t="s">
        <v>17982</v>
      </c>
      <c r="DI882" s="15" t="s">
        <v>17982</v>
      </c>
    </row>
    <row r="883" spans="1:113" s="15" customFormat="1" ht="12.75" x14ac:dyDescent="0.2">
      <c r="A883" s="15" t="s">
        <v>109</v>
      </c>
      <c r="B883" s="15" t="s">
        <v>110</v>
      </c>
      <c r="D883" s="15" t="s">
        <v>1045</v>
      </c>
      <c r="E883" s="15" t="s">
        <v>112</v>
      </c>
      <c r="F883" s="15" t="s">
        <v>1045</v>
      </c>
      <c r="G883" s="15" t="s">
        <v>113</v>
      </c>
      <c r="H883" s="15" t="s">
        <v>1481</v>
      </c>
      <c r="J883" s="16" t="s">
        <v>114</v>
      </c>
      <c r="U883" s="15" t="s">
        <v>17977</v>
      </c>
      <c r="W883" s="15">
        <v>2526</v>
      </c>
      <c r="X883" s="15">
        <v>893</v>
      </c>
      <c r="Y883" s="15" t="s">
        <v>160</v>
      </c>
      <c r="Z883" s="15" t="s">
        <v>161</v>
      </c>
      <c r="AA883" s="15" t="s">
        <v>162</v>
      </c>
      <c r="AB883" s="15" t="s">
        <v>12427</v>
      </c>
      <c r="AC883" s="15" t="s">
        <v>12427</v>
      </c>
      <c r="AD883" s="15" t="s">
        <v>12428</v>
      </c>
      <c r="AE883" s="15" t="s">
        <v>164</v>
      </c>
      <c r="AF883" s="15" t="s">
        <v>12428</v>
      </c>
      <c r="AG883" s="15" t="s">
        <v>12427</v>
      </c>
      <c r="AH883" s="20" t="s">
        <v>12429</v>
      </c>
      <c r="AL883" s="15" t="s">
        <v>12430</v>
      </c>
      <c r="AN883" s="15">
        <v>743</v>
      </c>
      <c r="AO883" s="15" t="s">
        <v>12431</v>
      </c>
      <c r="AQ883" s="20" t="s">
        <v>168</v>
      </c>
      <c r="AT883" s="15" t="s">
        <v>12432</v>
      </c>
      <c r="AU883" s="15" t="s">
        <v>12433</v>
      </c>
      <c r="AV883" s="15" t="s">
        <v>12433</v>
      </c>
      <c r="AW883" s="15" t="s">
        <v>12434</v>
      </c>
      <c r="AX883" s="15" t="s">
        <v>12434</v>
      </c>
      <c r="AY883" s="15">
        <f t="shared" si="18"/>
        <v>51</v>
      </c>
      <c r="AZ883" s="15" t="s">
        <v>604</v>
      </c>
      <c r="BA883" s="15" t="s">
        <v>174</v>
      </c>
      <c r="BB883" s="15" t="s">
        <v>12435</v>
      </c>
      <c r="BE883" s="15" t="s">
        <v>2865</v>
      </c>
      <c r="BF883" s="15" t="s">
        <v>2613</v>
      </c>
      <c r="BI883" s="15" t="s">
        <v>1058</v>
      </c>
      <c r="BJ883" s="15" t="s">
        <v>2504</v>
      </c>
      <c r="BN883" s="15" t="s">
        <v>179</v>
      </c>
      <c r="BP883" s="15" t="s">
        <v>138</v>
      </c>
      <c r="BS883" s="15" t="s">
        <v>12436</v>
      </c>
      <c r="DH883" s="15" t="s">
        <v>17982</v>
      </c>
      <c r="DI883" s="15" t="s">
        <v>17982</v>
      </c>
    </row>
    <row r="884" spans="1:113" s="15" customFormat="1" ht="12.75" x14ac:dyDescent="0.2">
      <c r="A884" s="15" t="s">
        <v>109</v>
      </c>
      <c r="B884" s="15" t="s">
        <v>110</v>
      </c>
      <c r="D884" s="15" t="s">
        <v>1045</v>
      </c>
      <c r="E884" s="15" t="s">
        <v>112</v>
      </c>
      <c r="F884" s="15" t="s">
        <v>1045</v>
      </c>
      <c r="G884" s="15" t="s">
        <v>113</v>
      </c>
      <c r="H884" s="15" t="s">
        <v>1481</v>
      </c>
      <c r="J884" s="16" t="s">
        <v>114</v>
      </c>
      <c r="U884" s="15" t="s">
        <v>17977</v>
      </c>
      <c r="W884" s="15">
        <v>2527</v>
      </c>
      <c r="X884" s="15">
        <v>894</v>
      </c>
      <c r="Y884" s="15" t="s">
        <v>160</v>
      </c>
      <c r="Z884" s="15" t="s">
        <v>161</v>
      </c>
      <c r="AA884" s="15" t="s">
        <v>162</v>
      </c>
      <c r="AB884" s="15" t="s">
        <v>12437</v>
      </c>
      <c r="AC884" s="15" t="s">
        <v>12437</v>
      </c>
      <c r="AD884" s="15" t="s">
        <v>12438</v>
      </c>
      <c r="AE884" s="15" t="s">
        <v>164</v>
      </c>
      <c r="AF884" s="15" t="s">
        <v>12438</v>
      </c>
      <c r="AG884" s="15" t="s">
        <v>12437</v>
      </c>
      <c r="AH884" s="20" t="s">
        <v>12439</v>
      </c>
      <c r="AL884" s="15" t="s">
        <v>12440</v>
      </c>
      <c r="AN884" s="15">
        <v>743</v>
      </c>
      <c r="AO884" s="15" t="s">
        <v>12441</v>
      </c>
      <c r="AQ884" s="20" t="s">
        <v>168</v>
      </c>
      <c r="AT884" s="15" t="s">
        <v>12442</v>
      </c>
      <c r="AU884" s="15" t="s">
        <v>12443</v>
      </c>
      <c r="AV884" s="15" t="s">
        <v>12443</v>
      </c>
      <c r="AW884" s="15" t="s">
        <v>12444</v>
      </c>
      <c r="AX884" s="15" t="s">
        <v>12444</v>
      </c>
      <c r="AY884" s="15">
        <f t="shared" si="18"/>
        <v>51</v>
      </c>
      <c r="AZ884" s="15" t="s">
        <v>604</v>
      </c>
      <c r="BA884" s="15" t="s">
        <v>174</v>
      </c>
      <c r="BB884" s="15" t="s">
        <v>12435</v>
      </c>
      <c r="BE884" s="15" t="s">
        <v>2625</v>
      </c>
      <c r="BF884" s="15" t="s">
        <v>2959</v>
      </c>
      <c r="BI884" s="15" t="s">
        <v>1058</v>
      </c>
      <c r="BJ884" s="15" t="s">
        <v>2504</v>
      </c>
      <c r="BN884" s="15" t="s">
        <v>179</v>
      </c>
      <c r="BP884" s="15" t="s">
        <v>138</v>
      </c>
      <c r="BS884" s="15" t="s">
        <v>12445</v>
      </c>
      <c r="DH884" s="15" t="s">
        <v>17982</v>
      </c>
      <c r="DI884" s="15" t="s">
        <v>17982</v>
      </c>
    </row>
    <row r="885" spans="1:113" s="15" customFormat="1" ht="12.75" x14ac:dyDescent="0.2">
      <c r="A885" s="15" t="s">
        <v>109</v>
      </c>
      <c r="B885" s="15" t="s">
        <v>110</v>
      </c>
      <c r="D885" s="15" t="s">
        <v>1045</v>
      </c>
      <c r="E885" s="15" t="s">
        <v>112</v>
      </c>
      <c r="F885" s="15" t="s">
        <v>1045</v>
      </c>
      <c r="G885" s="15" t="s">
        <v>113</v>
      </c>
      <c r="H885" s="15" t="s">
        <v>1481</v>
      </c>
      <c r="J885" s="16" t="s">
        <v>114</v>
      </c>
      <c r="U885" s="15" t="s">
        <v>17977</v>
      </c>
      <c r="W885" s="15">
        <v>547</v>
      </c>
      <c r="X885" s="15">
        <v>895</v>
      </c>
      <c r="Y885" s="15" t="s">
        <v>160</v>
      </c>
      <c r="Z885" s="15" t="s">
        <v>161</v>
      </c>
      <c r="AA885" s="15" t="s">
        <v>162</v>
      </c>
      <c r="AB885" s="15" t="s">
        <v>2031</v>
      </c>
      <c r="AC885" s="15" t="s">
        <v>2031</v>
      </c>
      <c r="AD885" s="15" t="s">
        <v>2031</v>
      </c>
      <c r="AE885" s="15" t="s">
        <v>164</v>
      </c>
      <c r="AF885" s="15" t="s">
        <v>2031</v>
      </c>
      <c r="AG885" s="15" t="s">
        <v>2031</v>
      </c>
      <c r="AH885" s="20" t="s">
        <v>2032</v>
      </c>
      <c r="AL885" s="15" t="s">
        <v>2033</v>
      </c>
      <c r="AN885" s="15">
        <v>743</v>
      </c>
      <c r="AO885" s="15" t="s">
        <v>2034</v>
      </c>
      <c r="AQ885" s="20" t="s">
        <v>168</v>
      </c>
      <c r="AT885" s="15" t="s">
        <v>2035</v>
      </c>
      <c r="AU885" s="15" t="s">
        <v>2036</v>
      </c>
      <c r="AV885" s="15" t="s">
        <v>2036</v>
      </c>
      <c r="AW885" s="15" t="s">
        <v>2037</v>
      </c>
      <c r="AX885" s="15" t="s">
        <v>2038</v>
      </c>
      <c r="AY885" s="15">
        <f t="shared" si="18"/>
        <v>60</v>
      </c>
      <c r="AZ885" s="15" t="s">
        <v>604</v>
      </c>
      <c r="BA885" s="15" t="s">
        <v>174</v>
      </c>
      <c r="BB885" s="15" t="s">
        <v>2039</v>
      </c>
      <c r="BC885" s="15" t="s">
        <v>2040</v>
      </c>
      <c r="BE885" s="15" t="s">
        <v>2041</v>
      </c>
      <c r="BF885" s="15" t="s">
        <v>1688</v>
      </c>
      <c r="BJ885" s="15" t="s">
        <v>2042</v>
      </c>
      <c r="BN885" s="15" t="s">
        <v>179</v>
      </c>
      <c r="BP885" s="15" t="s">
        <v>138</v>
      </c>
      <c r="BS885" s="15" t="s">
        <v>2043</v>
      </c>
      <c r="DH885" s="15" t="s">
        <v>17982</v>
      </c>
      <c r="DI885" s="15" t="s">
        <v>17982</v>
      </c>
    </row>
    <row r="886" spans="1:113" s="15" customFormat="1" ht="12.75" x14ac:dyDescent="0.2">
      <c r="A886" s="15" t="s">
        <v>109</v>
      </c>
      <c r="B886" s="15" t="s">
        <v>110</v>
      </c>
      <c r="D886" s="15" t="s">
        <v>1045</v>
      </c>
      <c r="E886" s="15" t="s">
        <v>112</v>
      </c>
      <c r="F886" s="15" t="s">
        <v>1045</v>
      </c>
      <c r="G886" s="15" t="s">
        <v>113</v>
      </c>
      <c r="H886" s="15" t="s">
        <v>1481</v>
      </c>
      <c r="J886" s="16" t="s">
        <v>114</v>
      </c>
      <c r="U886" s="15" t="s">
        <v>17977</v>
      </c>
      <c r="W886" s="15">
        <v>2038</v>
      </c>
      <c r="X886" s="15">
        <v>896</v>
      </c>
      <c r="Y886" s="15" t="s">
        <v>160</v>
      </c>
      <c r="Z886" s="15" t="s">
        <v>161</v>
      </c>
      <c r="AA886" s="15" t="s">
        <v>162</v>
      </c>
      <c r="AB886" s="15" t="s">
        <v>10518</v>
      </c>
      <c r="AC886" s="15" t="s">
        <v>10518</v>
      </c>
      <c r="AD886" s="15" t="s">
        <v>10518</v>
      </c>
      <c r="AE886" s="15" t="s">
        <v>164</v>
      </c>
      <c r="AF886" s="15" t="s">
        <v>10518</v>
      </c>
      <c r="AG886" s="15" t="s">
        <v>10518</v>
      </c>
      <c r="AH886" s="20" t="s">
        <v>10519</v>
      </c>
      <c r="AL886" s="15" t="s">
        <v>10520</v>
      </c>
      <c r="AN886" s="15">
        <v>743</v>
      </c>
      <c r="AO886" s="15" t="s">
        <v>10521</v>
      </c>
      <c r="AQ886" s="20" t="s">
        <v>168</v>
      </c>
      <c r="AT886" s="15" t="s">
        <v>10522</v>
      </c>
      <c r="AU886" s="15" t="s">
        <v>10523</v>
      </c>
      <c r="AV886" s="15" t="s">
        <v>10523</v>
      </c>
      <c r="AW886" s="15" t="s">
        <v>10524</v>
      </c>
      <c r="AX886" s="15" t="s">
        <v>10525</v>
      </c>
      <c r="AY886" s="15">
        <f t="shared" si="18"/>
        <v>54</v>
      </c>
      <c r="AZ886" s="15" t="s">
        <v>604</v>
      </c>
      <c r="BA886" s="15" t="s">
        <v>174</v>
      </c>
      <c r="BB886" s="15" t="s">
        <v>10526</v>
      </c>
      <c r="BE886" s="15" t="s">
        <v>275</v>
      </c>
      <c r="BF886" s="15" t="s">
        <v>10527</v>
      </c>
      <c r="BI886" s="15" t="s">
        <v>1058</v>
      </c>
      <c r="BJ886" s="15" t="s">
        <v>10528</v>
      </c>
      <c r="BN886" s="15" t="s">
        <v>179</v>
      </c>
      <c r="BP886" s="15" t="s">
        <v>138</v>
      </c>
      <c r="BS886" s="15" t="s">
        <v>10529</v>
      </c>
      <c r="DH886" s="15" t="s">
        <v>17982</v>
      </c>
      <c r="DI886" s="15" t="s">
        <v>17982</v>
      </c>
    </row>
    <row r="887" spans="1:113" s="15" customFormat="1" ht="12.75" x14ac:dyDescent="0.2">
      <c r="A887" s="15" t="s">
        <v>109</v>
      </c>
      <c r="B887" s="15" t="s">
        <v>110</v>
      </c>
      <c r="D887" s="15" t="s">
        <v>1045</v>
      </c>
      <c r="E887" s="15" t="s">
        <v>112</v>
      </c>
      <c r="F887" s="15" t="s">
        <v>1045</v>
      </c>
      <c r="G887" s="15" t="s">
        <v>113</v>
      </c>
      <c r="H887" s="15" t="s">
        <v>1481</v>
      </c>
      <c r="J887" s="16" t="s">
        <v>114</v>
      </c>
      <c r="U887" s="15" t="s">
        <v>17977</v>
      </c>
      <c r="W887" s="15">
        <v>901</v>
      </c>
      <c r="X887" s="15">
        <v>897</v>
      </c>
      <c r="Y887" s="15" t="s">
        <v>160</v>
      </c>
      <c r="Z887" s="15" t="s">
        <v>161</v>
      </c>
      <c r="AA887" s="15" t="s">
        <v>162</v>
      </c>
      <c r="AB887" s="15" t="s">
        <v>4018</v>
      </c>
      <c r="AC887" s="15" t="s">
        <v>4018</v>
      </c>
      <c r="AD887" s="15" t="s">
        <v>4018</v>
      </c>
      <c r="AE887" s="15" t="s">
        <v>164</v>
      </c>
      <c r="AF887" s="15" t="s">
        <v>4018</v>
      </c>
      <c r="AG887" s="15" t="s">
        <v>4018</v>
      </c>
      <c r="AH887" s="20" t="s">
        <v>4019</v>
      </c>
      <c r="AL887" s="15" t="s">
        <v>4020</v>
      </c>
      <c r="AN887" s="15">
        <v>743</v>
      </c>
      <c r="AO887" s="15" t="s">
        <v>4021</v>
      </c>
      <c r="AQ887" s="20" t="s">
        <v>168</v>
      </c>
      <c r="AT887" s="15" t="s">
        <v>4022</v>
      </c>
      <c r="AU887" s="15" t="s">
        <v>4023</v>
      </c>
      <c r="AV887" s="15" t="s">
        <v>4023</v>
      </c>
      <c r="AW887" s="15" t="s">
        <v>4024</v>
      </c>
      <c r="AX887" s="15" t="s">
        <v>4025</v>
      </c>
      <c r="AY887" s="15">
        <f t="shared" si="18"/>
        <v>60</v>
      </c>
      <c r="AZ887" s="15" t="s">
        <v>604</v>
      </c>
      <c r="BA887" s="15" t="s">
        <v>174</v>
      </c>
      <c r="BB887" s="15" t="s">
        <v>4026</v>
      </c>
      <c r="BE887" s="15" t="s">
        <v>4027</v>
      </c>
      <c r="BF887" s="15" t="s">
        <v>2528</v>
      </c>
      <c r="BI887" s="15" t="s">
        <v>670</v>
      </c>
      <c r="BJ887" s="15" t="s">
        <v>4028</v>
      </c>
      <c r="BN887" s="15" t="s">
        <v>179</v>
      </c>
      <c r="BP887" s="15" t="s">
        <v>138</v>
      </c>
      <c r="BS887" s="15" t="s">
        <v>4029</v>
      </c>
      <c r="DH887" s="15" t="s">
        <v>17982</v>
      </c>
      <c r="DI887" s="15" t="s">
        <v>17982</v>
      </c>
    </row>
    <row r="888" spans="1:113" s="15" customFormat="1" ht="12.75" x14ac:dyDescent="0.2">
      <c r="A888" s="15" t="s">
        <v>109</v>
      </c>
      <c r="B888" s="15" t="s">
        <v>110</v>
      </c>
      <c r="D888" s="15" t="s">
        <v>1045</v>
      </c>
      <c r="E888" s="15" t="s">
        <v>112</v>
      </c>
      <c r="F888" s="15" t="s">
        <v>1045</v>
      </c>
      <c r="G888" s="15" t="s">
        <v>113</v>
      </c>
      <c r="H888" s="15" t="s">
        <v>1481</v>
      </c>
      <c r="J888" s="16" t="s">
        <v>114</v>
      </c>
      <c r="U888" s="15" t="s">
        <v>17977</v>
      </c>
      <c r="W888" s="15">
        <v>967</v>
      </c>
      <c r="X888" s="15">
        <v>898</v>
      </c>
      <c r="Y888" s="15" t="s">
        <v>160</v>
      </c>
      <c r="Z888" s="15" t="s">
        <v>161</v>
      </c>
      <c r="AA888" s="15" t="s">
        <v>162</v>
      </c>
      <c r="AB888" s="15" t="s">
        <v>4678</v>
      </c>
      <c r="AC888" s="15" t="s">
        <v>4678</v>
      </c>
      <c r="AD888" s="15" t="s">
        <v>4678</v>
      </c>
      <c r="AE888" s="15" t="s">
        <v>164</v>
      </c>
      <c r="AF888" s="15" t="s">
        <v>4678</v>
      </c>
      <c r="AG888" s="15" t="s">
        <v>4678</v>
      </c>
      <c r="AH888" s="20" t="s">
        <v>4679</v>
      </c>
      <c r="AL888" s="15" t="s">
        <v>4680</v>
      </c>
      <c r="AN888" s="15">
        <v>743</v>
      </c>
      <c r="AO888" s="15" t="s">
        <v>4681</v>
      </c>
      <c r="AQ888" s="20" t="s">
        <v>168</v>
      </c>
      <c r="AT888" s="15" t="s">
        <v>4682</v>
      </c>
      <c r="AU888" s="15" t="s">
        <v>4683</v>
      </c>
      <c r="AV888" s="15" t="s">
        <v>4683</v>
      </c>
      <c r="AW888" s="15" t="s">
        <v>4684</v>
      </c>
      <c r="AX888" s="15" t="s">
        <v>4685</v>
      </c>
      <c r="AY888" s="15">
        <f t="shared" si="18"/>
        <v>58</v>
      </c>
      <c r="AZ888" s="15" t="s">
        <v>604</v>
      </c>
      <c r="BA888" s="15" t="s">
        <v>174</v>
      </c>
      <c r="BB888" s="15" t="s">
        <v>4686</v>
      </c>
      <c r="BC888" s="15" t="s">
        <v>801</v>
      </c>
      <c r="BE888" s="15" t="s">
        <v>4687</v>
      </c>
      <c r="BF888" s="15" t="s">
        <v>4688</v>
      </c>
      <c r="BJ888" s="15" t="s">
        <v>4689</v>
      </c>
      <c r="BN888" s="15" t="s">
        <v>179</v>
      </c>
      <c r="BP888" s="15" t="s">
        <v>138</v>
      </c>
      <c r="BS888" s="15" t="s">
        <v>4690</v>
      </c>
      <c r="DH888" s="15" t="s">
        <v>17982</v>
      </c>
      <c r="DI888" s="15" t="s">
        <v>17982</v>
      </c>
    </row>
    <row r="889" spans="1:113" s="15" customFormat="1" ht="12.75" x14ac:dyDescent="0.2">
      <c r="A889" s="15" t="s">
        <v>109</v>
      </c>
      <c r="B889" s="15" t="s">
        <v>110</v>
      </c>
      <c r="D889" s="15" t="s">
        <v>1045</v>
      </c>
      <c r="E889" s="15" t="s">
        <v>112</v>
      </c>
      <c r="F889" s="15" t="s">
        <v>1045</v>
      </c>
      <c r="G889" s="15" t="s">
        <v>113</v>
      </c>
      <c r="H889" s="15" t="s">
        <v>1481</v>
      </c>
      <c r="J889" s="16" t="s">
        <v>114</v>
      </c>
      <c r="U889" s="15" t="s">
        <v>17977</v>
      </c>
      <c r="W889" s="15">
        <v>968</v>
      </c>
      <c r="X889" s="15">
        <v>899</v>
      </c>
      <c r="Y889" s="15" t="s">
        <v>160</v>
      </c>
      <c r="Z889" s="15" t="s">
        <v>161</v>
      </c>
      <c r="AA889" s="15" t="s">
        <v>162</v>
      </c>
      <c r="AB889" s="15" t="s">
        <v>4691</v>
      </c>
      <c r="AC889" s="15" t="s">
        <v>4691</v>
      </c>
      <c r="AD889" s="15" t="s">
        <v>4691</v>
      </c>
      <c r="AE889" s="15" t="s">
        <v>164</v>
      </c>
      <c r="AF889" s="15" t="s">
        <v>4691</v>
      </c>
      <c r="AG889" s="15" t="s">
        <v>4691</v>
      </c>
      <c r="AH889" s="20" t="s">
        <v>4692</v>
      </c>
      <c r="AL889" s="15" t="s">
        <v>4693</v>
      </c>
      <c r="AN889" s="15">
        <v>743</v>
      </c>
      <c r="AO889" s="15" t="s">
        <v>4694</v>
      </c>
      <c r="AQ889" s="20" t="s">
        <v>168</v>
      </c>
      <c r="AT889" s="15" t="s">
        <v>4695</v>
      </c>
      <c r="AU889" s="15" t="s">
        <v>4696</v>
      </c>
      <c r="AV889" s="15" t="s">
        <v>4696</v>
      </c>
      <c r="AW889" s="15" t="s">
        <v>4697</v>
      </c>
      <c r="AX889" s="15" t="s">
        <v>4698</v>
      </c>
      <c r="AY889" s="15">
        <f t="shared" si="18"/>
        <v>58</v>
      </c>
      <c r="AZ889" s="15" t="s">
        <v>604</v>
      </c>
      <c r="BA889" s="15" t="s">
        <v>174</v>
      </c>
      <c r="BB889" s="15" t="s">
        <v>4686</v>
      </c>
      <c r="BC889" s="15" t="s">
        <v>2040</v>
      </c>
      <c r="BE889" s="15" t="s">
        <v>4687</v>
      </c>
      <c r="BF889" s="15" t="s">
        <v>4688</v>
      </c>
      <c r="BJ889" s="15" t="s">
        <v>4689</v>
      </c>
      <c r="BN889" s="15" t="s">
        <v>179</v>
      </c>
      <c r="BP889" s="15" t="s">
        <v>138</v>
      </c>
      <c r="BS889" s="15" t="s">
        <v>4699</v>
      </c>
      <c r="DH889" s="15" t="s">
        <v>17982</v>
      </c>
      <c r="DI889" s="15" t="s">
        <v>17982</v>
      </c>
    </row>
    <row r="890" spans="1:113" s="15" customFormat="1" ht="12.75" x14ac:dyDescent="0.2">
      <c r="A890" s="15" t="s">
        <v>109</v>
      </c>
      <c r="B890" s="15" t="s">
        <v>110</v>
      </c>
      <c r="D890" s="15" t="s">
        <v>1045</v>
      </c>
      <c r="E890" s="15" t="s">
        <v>112</v>
      </c>
      <c r="F890" s="15" t="s">
        <v>1045</v>
      </c>
      <c r="G890" s="15" t="s">
        <v>113</v>
      </c>
      <c r="H890" s="15" t="s">
        <v>1481</v>
      </c>
      <c r="J890" s="16" t="s">
        <v>114</v>
      </c>
      <c r="U890" s="15" t="s">
        <v>17977</v>
      </c>
      <c r="W890" s="15">
        <v>969</v>
      </c>
      <c r="X890" s="15">
        <v>900</v>
      </c>
      <c r="Y890" s="15" t="s">
        <v>160</v>
      </c>
      <c r="Z890" s="15" t="s">
        <v>161</v>
      </c>
      <c r="AA890" s="15" t="s">
        <v>162</v>
      </c>
      <c r="AB890" s="15" t="s">
        <v>4700</v>
      </c>
      <c r="AC890" s="15" t="s">
        <v>4700</v>
      </c>
      <c r="AD890" s="15" t="s">
        <v>4700</v>
      </c>
      <c r="AE890" s="15" t="s">
        <v>164</v>
      </c>
      <c r="AF890" s="15" t="s">
        <v>4700</v>
      </c>
      <c r="AG890" s="15" t="s">
        <v>4700</v>
      </c>
      <c r="AH890" s="20" t="s">
        <v>4701</v>
      </c>
      <c r="AL890" s="15" t="s">
        <v>4702</v>
      </c>
      <c r="AN890" s="15">
        <v>743</v>
      </c>
      <c r="AO890" s="15" t="s">
        <v>4703</v>
      </c>
      <c r="AQ890" s="20" t="s">
        <v>168</v>
      </c>
      <c r="AT890" s="15" t="s">
        <v>4704</v>
      </c>
      <c r="AU890" s="15" t="s">
        <v>4705</v>
      </c>
      <c r="AV890" s="15" t="s">
        <v>4705</v>
      </c>
      <c r="AW890" s="15" t="s">
        <v>4706</v>
      </c>
      <c r="AX890" s="15" t="s">
        <v>4707</v>
      </c>
      <c r="AY890" s="15">
        <f t="shared" si="18"/>
        <v>58</v>
      </c>
      <c r="AZ890" s="15" t="s">
        <v>604</v>
      </c>
      <c r="BA890" s="15" t="s">
        <v>174</v>
      </c>
      <c r="BB890" s="15" t="s">
        <v>4686</v>
      </c>
      <c r="BC890" s="15" t="s">
        <v>884</v>
      </c>
      <c r="BE890" s="15" t="s">
        <v>4687</v>
      </c>
      <c r="BF890" s="15" t="s">
        <v>4688</v>
      </c>
      <c r="BJ890" s="15" t="s">
        <v>4689</v>
      </c>
      <c r="BN890" s="15" t="s">
        <v>179</v>
      </c>
      <c r="BP890" s="15" t="s">
        <v>138</v>
      </c>
      <c r="BS890" s="15" t="s">
        <v>4708</v>
      </c>
      <c r="DH890" s="15" t="s">
        <v>17982</v>
      </c>
      <c r="DI890" s="15" t="s">
        <v>17982</v>
      </c>
    </row>
    <row r="891" spans="1:113" s="15" customFormat="1" ht="12.75" x14ac:dyDescent="0.2">
      <c r="A891" s="15" t="s">
        <v>109</v>
      </c>
      <c r="B891" s="15" t="s">
        <v>110</v>
      </c>
      <c r="D891" s="15" t="s">
        <v>1045</v>
      </c>
      <c r="E891" s="15" t="s">
        <v>112</v>
      </c>
      <c r="F891" s="15" t="s">
        <v>1045</v>
      </c>
      <c r="G891" s="15" t="s">
        <v>113</v>
      </c>
      <c r="H891" s="15" t="s">
        <v>1481</v>
      </c>
      <c r="J891" s="16" t="s">
        <v>114</v>
      </c>
      <c r="U891" s="15" t="s">
        <v>17977</v>
      </c>
      <c r="W891" s="15">
        <v>3250</v>
      </c>
      <c r="X891" s="15">
        <v>901</v>
      </c>
      <c r="Y891" s="15" t="s">
        <v>160</v>
      </c>
      <c r="Z891" s="15" t="s">
        <v>161</v>
      </c>
      <c r="AA891" s="15" t="s">
        <v>162</v>
      </c>
      <c r="AB891" s="15" t="s">
        <v>15678</v>
      </c>
      <c r="AC891" s="15" t="s">
        <v>15678</v>
      </c>
      <c r="AD891" s="15" t="s">
        <v>15678</v>
      </c>
      <c r="AE891" s="15" t="s">
        <v>164</v>
      </c>
      <c r="AF891" s="15" t="s">
        <v>15678</v>
      </c>
      <c r="AG891" s="15" t="s">
        <v>15678</v>
      </c>
      <c r="AH891" s="20" t="s">
        <v>15679</v>
      </c>
      <c r="AL891" s="15" t="s">
        <v>15680</v>
      </c>
      <c r="AN891" s="15">
        <v>743</v>
      </c>
      <c r="AO891" s="15" t="s">
        <v>15681</v>
      </c>
      <c r="AQ891" s="20" t="s">
        <v>168</v>
      </c>
      <c r="AT891" s="15" t="s">
        <v>15682</v>
      </c>
      <c r="AU891" s="15" t="s">
        <v>15683</v>
      </c>
      <c r="AV891" s="15" t="s">
        <v>15683</v>
      </c>
      <c r="AW891" s="15" t="s">
        <v>15684</v>
      </c>
      <c r="AX891" s="15" t="s">
        <v>15685</v>
      </c>
      <c r="AY891" s="15">
        <f t="shared" si="18"/>
        <v>56</v>
      </c>
      <c r="AZ891" s="15" t="s">
        <v>604</v>
      </c>
      <c r="BA891" s="15" t="s">
        <v>174</v>
      </c>
      <c r="BB891" s="15" t="s">
        <v>15686</v>
      </c>
      <c r="BE891" s="15" t="s">
        <v>1915</v>
      </c>
      <c r="BF891" s="15" t="s">
        <v>863</v>
      </c>
      <c r="BJ891" s="15" t="s">
        <v>15687</v>
      </c>
      <c r="BN891" s="15" t="s">
        <v>179</v>
      </c>
      <c r="BP891" s="15" t="s">
        <v>138</v>
      </c>
      <c r="BS891" s="15" t="s">
        <v>15688</v>
      </c>
      <c r="DH891" s="15" t="s">
        <v>17982</v>
      </c>
      <c r="DI891" s="15" t="s">
        <v>17982</v>
      </c>
    </row>
    <row r="892" spans="1:113" s="15" customFormat="1" ht="12.75" x14ac:dyDescent="0.2">
      <c r="A892" s="15" t="s">
        <v>109</v>
      </c>
      <c r="B892" s="15" t="s">
        <v>110</v>
      </c>
      <c r="D892" s="15" t="s">
        <v>1045</v>
      </c>
      <c r="E892" s="15" t="s">
        <v>112</v>
      </c>
      <c r="F892" s="15" t="s">
        <v>1045</v>
      </c>
      <c r="G892" s="15" t="s">
        <v>113</v>
      </c>
      <c r="H892" s="15" t="s">
        <v>1481</v>
      </c>
      <c r="J892" s="16" t="s">
        <v>114</v>
      </c>
      <c r="U892" s="15" t="s">
        <v>17977</v>
      </c>
      <c r="W892" s="15">
        <v>2137</v>
      </c>
      <c r="X892" s="15">
        <v>902</v>
      </c>
      <c r="Y892" s="15" t="s">
        <v>160</v>
      </c>
      <c r="Z892" s="15" t="s">
        <v>161</v>
      </c>
      <c r="AA892" s="15" t="s">
        <v>162</v>
      </c>
      <c r="AB892" s="15" t="s">
        <v>10940</v>
      </c>
      <c r="AC892" s="15" t="s">
        <v>10940</v>
      </c>
      <c r="AD892" s="15" t="s">
        <v>10940</v>
      </c>
      <c r="AE892" s="15" t="s">
        <v>164</v>
      </c>
      <c r="AF892" s="15" t="s">
        <v>10940</v>
      </c>
      <c r="AG892" s="15" t="s">
        <v>10940</v>
      </c>
      <c r="AH892" s="20" t="s">
        <v>10941</v>
      </c>
      <c r="AL892" s="15" t="s">
        <v>10942</v>
      </c>
      <c r="AN892" s="15">
        <v>743</v>
      </c>
      <c r="AO892" s="15" t="s">
        <v>10943</v>
      </c>
      <c r="AQ892" s="15" t="s">
        <v>5692</v>
      </c>
      <c r="AT892" s="15" t="s">
        <v>10944</v>
      </c>
      <c r="AU892" s="15" t="s">
        <v>10945</v>
      </c>
      <c r="AV892" s="15" t="s">
        <v>10945</v>
      </c>
      <c r="AW892" s="15" t="s">
        <v>10946</v>
      </c>
      <c r="AX892" s="15" t="s">
        <v>10947</v>
      </c>
      <c r="AY892" s="15">
        <f t="shared" si="18"/>
        <v>59</v>
      </c>
      <c r="AZ892" s="15" t="s">
        <v>9006</v>
      </c>
      <c r="BB892" s="15" t="s">
        <v>10948</v>
      </c>
      <c r="BD892" s="15" t="s">
        <v>3045</v>
      </c>
      <c r="BE892" s="15" t="s">
        <v>10949</v>
      </c>
      <c r="BJ892" s="15" t="s">
        <v>10950</v>
      </c>
      <c r="BN892" s="15" t="s">
        <v>179</v>
      </c>
      <c r="BP892" s="15" t="s">
        <v>138</v>
      </c>
      <c r="BS892" s="15" t="s">
        <v>10951</v>
      </c>
      <c r="DH892" s="15" t="s">
        <v>17982</v>
      </c>
      <c r="DI892" s="15" t="s">
        <v>17982</v>
      </c>
    </row>
    <row r="893" spans="1:113" s="15" customFormat="1" ht="12.75" x14ac:dyDescent="0.2">
      <c r="A893" s="15" t="s">
        <v>109</v>
      </c>
      <c r="B893" s="15" t="s">
        <v>110</v>
      </c>
      <c r="D893" s="15" t="s">
        <v>1045</v>
      </c>
      <c r="E893" s="15" t="s">
        <v>112</v>
      </c>
      <c r="F893" s="15" t="s">
        <v>1045</v>
      </c>
      <c r="G893" s="15" t="s">
        <v>113</v>
      </c>
      <c r="H893" s="15" t="s">
        <v>1481</v>
      </c>
      <c r="J893" s="16" t="s">
        <v>114</v>
      </c>
      <c r="U893" s="15" t="s">
        <v>17977</v>
      </c>
      <c r="W893" s="15">
        <v>1723</v>
      </c>
      <c r="X893" s="15">
        <v>903</v>
      </c>
      <c r="Y893" s="15" t="s">
        <v>160</v>
      </c>
      <c r="Z893" s="15" t="s">
        <v>161</v>
      </c>
      <c r="AA893" s="15" t="s">
        <v>162</v>
      </c>
      <c r="AB893" s="15" t="s">
        <v>9069</v>
      </c>
      <c r="AC893" s="15" t="s">
        <v>9069</v>
      </c>
      <c r="AD893" s="15" t="s">
        <v>9069</v>
      </c>
      <c r="AE893" s="15" t="s">
        <v>164</v>
      </c>
      <c r="AF893" s="15" t="s">
        <v>9069</v>
      </c>
      <c r="AG893" s="15" t="s">
        <v>9069</v>
      </c>
      <c r="AH893" s="20" t="s">
        <v>9070</v>
      </c>
      <c r="AL893" s="15" t="s">
        <v>9071</v>
      </c>
      <c r="AN893" s="15">
        <v>743</v>
      </c>
      <c r="AO893" s="15" t="s">
        <v>9072</v>
      </c>
      <c r="AQ893" s="20" t="s">
        <v>9073</v>
      </c>
      <c r="AT893" s="15" t="s">
        <v>9074</v>
      </c>
      <c r="AU893" s="15" t="s">
        <v>9075</v>
      </c>
      <c r="AV893" s="15" t="s">
        <v>9075</v>
      </c>
      <c r="AW893" s="15" t="s">
        <v>9076</v>
      </c>
      <c r="AX893" s="15" t="s">
        <v>9076</v>
      </c>
      <c r="AY893" s="15">
        <f t="shared" si="18"/>
        <v>48</v>
      </c>
      <c r="AZ893" s="15" t="s">
        <v>9077</v>
      </c>
      <c r="BA893" s="18" t="s">
        <v>9078</v>
      </c>
      <c r="BB893" s="15" t="s">
        <v>9079</v>
      </c>
      <c r="BI893" s="15" t="s">
        <v>2755</v>
      </c>
      <c r="BJ893" s="15" t="s">
        <v>9080</v>
      </c>
      <c r="BN893" s="15" t="s">
        <v>179</v>
      </c>
      <c r="BP893" s="15" t="s">
        <v>138</v>
      </c>
      <c r="BS893" s="15" t="s">
        <v>9081</v>
      </c>
      <c r="DH893" s="15" t="s">
        <v>17982</v>
      </c>
      <c r="DI893" s="15" t="s">
        <v>17982</v>
      </c>
    </row>
    <row r="894" spans="1:113" s="15" customFormat="1" ht="12.75" x14ac:dyDescent="0.2">
      <c r="A894" s="15" t="s">
        <v>109</v>
      </c>
      <c r="B894" s="15" t="s">
        <v>110</v>
      </c>
      <c r="D894" s="15" t="s">
        <v>1045</v>
      </c>
      <c r="E894" s="15" t="s">
        <v>112</v>
      </c>
      <c r="F894" s="15" t="s">
        <v>1045</v>
      </c>
      <c r="G894" s="15" t="s">
        <v>113</v>
      </c>
      <c r="H894" s="15" t="s">
        <v>1481</v>
      </c>
      <c r="J894" s="16" t="s">
        <v>114</v>
      </c>
      <c r="U894" s="15" t="s">
        <v>17977</v>
      </c>
      <c r="W894" s="15">
        <v>986</v>
      </c>
      <c r="X894" s="15">
        <v>904</v>
      </c>
      <c r="Y894" s="15" t="s">
        <v>160</v>
      </c>
      <c r="Z894" s="15" t="s">
        <v>161</v>
      </c>
      <c r="AA894" s="15" t="s">
        <v>162</v>
      </c>
      <c r="AB894" s="15" t="s">
        <v>4847</v>
      </c>
      <c r="AC894" s="15" t="s">
        <v>4847</v>
      </c>
      <c r="AD894" s="15" t="s">
        <v>4848</v>
      </c>
      <c r="AE894" s="15" t="s">
        <v>164</v>
      </c>
      <c r="AF894" s="15" t="s">
        <v>4848</v>
      </c>
      <c r="AG894" s="15" t="s">
        <v>4847</v>
      </c>
      <c r="AH894" s="20" t="s">
        <v>4849</v>
      </c>
      <c r="AL894" s="15" t="s">
        <v>4850</v>
      </c>
      <c r="AN894" s="15">
        <v>743</v>
      </c>
      <c r="AO894" s="15" t="s">
        <v>4851</v>
      </c>
      <c r="AQ894" s="20" t="s">
        <v>168</v>
      </c>
      <c r="AT894" s="15" t="s">
        <v>4852</v>
      </c>
      <c r="AU894" s="15" t="s">
        <v>4853</v>
      </c>
      <c r="AV894" s="15" t="s">
        <v>4853</v>
      </c>
      <c r="AW894" s="15" t="s">
        <v>4854</v>
      </c>
      <c r="AX894" s="15" t="s">
        <v>4854</v>
      </c>
      <c r="AY894" s="15">
        <f t="shared" si="18"/>
        <v>51</v>
      </c>
      <c r="AZ894" s="15" t="s">
        <v>173</v>
      </c>
      <c r="BA894" s="15" t="s">
        <v>174</v>
      </c>
      <c r="BB894" s="15" t="s">
        <v>3685</v>
      </c>
      <c r="BE894" s="15" t="s">
        <v>1174</v>
      </c>
      <c r="BJ894" s="15" t="s">
        <v>4855</v>
      </c>
      <c r="BN894" s="15" t="s">
        <v>179</v>
      </c>
      <c r="BO894" s="15" t="s">
        <v>4731</v>
      </c>
      <c r="BP894" s="15" t="s">
        <v>138</v>
      </c>
      <c r="BS894" s="15" t="s">
        <v>4856</v>
      </c>
      <c r="DH894" s="15" t="s">
        <v>17982</v>
      </c>
      <c r="DI894" s="15" t="s">
        <v>17982</v>
      </c>
    </row>
    <row r="895" spans="1:113" s="15" customFormat="1" ht="12.75" x14ac:dyDescent="0.2">
      <c r="A895" s="15" t="s">
        <v>109</v>
      </c>
      <c r="B895" s="15" t="s">
        <v>110</v>
      </c>
      <c r="D895" s="15" t="s">
        <v>1045</v>
      </c>
      <c r="E895" s="15" t="s">
        <v>112</v>
      </c>
      <c r="F895" s="15" t="s">
        <v>1045</v>
      </c>
      <c r="G895" s="15" t="s">
        <v>113</v>
      </c>
      <c r="H895" s="15" t="s">
        <v>1481</v>
      </c>
      <c r="J895" s="16" t="s">
        <v>114</v>
      </c>
      <c r="U895" s="15" t="s">
        <v>17977</v>
      </c>
      <c r="W895" s="15">
        <v>987</v>
      </c>
      <c r="X895" s="15">
        <v>905</v>
      </c>
      <c r="Y895" s="15" t="s">
        <v>160</v>
      </c>
      <c r="Z895" s="15" t="s">
        <v>161</v>
      </c>
      <c r="AA895" s="15" t="s">
        <v>162</v>
      </c>
      <c r="AB895" s="15" t="s">
        <v>4857</v>
      </c>
      <c r="AC895" s="15" t="s">
        <v>4857</v>
      </c>
      <c r="AD895" s="15" t="s">
        <v>4858</v>
      </c>
      <c r="AE895" s="15" t="s">
        <v>164</v>
      </c>
      <c r="AF895" s="15" t="s">
        <v>4858</v>
      </c>
      <c r="AG895" s="15" t="s">
        <v>4857</v>
      </c>
      <c r="AH895" s="20" t="s">
        <v>4859</v>
      </c>
      <c r="AL895" s="15" t="s">
        <v>4860</v>
      </c>
      <c r="AN895" s="15">
        <v>743</v>
      </c>
      <c r="AO895" s="15" t="s">
        <v>4861</v>
      </c>
      <c r="AQ895" s="20" t="s">
        <v>168</v>
      </c>
      <c r="AT895" s="15" t="s">
        <v>4852</v>
      </c>
      <c r="AU895" s="15" t="s">
        <v>4862</v>
      </c>
      <c r="AV895" s="15" t="s">
        <v>4862</v>
      </c>
      <c r="AW895" s="15" t="s">
        <v>4863</v>
      </c>
      <c r="AX895" s="15" t="s">
        <v>4863</v>
      </c>
      <c r="AY895" s="15">
        <f t="shared" si="18"/>
        <v>53</v>
      </c>
      <c r="AZ895" s="15" t="s">
        <v>173</v>
      </c>
      <c r="BA895" s="15" t="s">
        <v>174</v>
      </c>
      <c r="BB895" s="15" t="s">
        <v>3685</v>
      </c>
      <c r="BC895" s="15" t="s">
        <v>4864</v>
      </c>
      <c r="BE895" s="15" t="s">
        <v>4865</v>
      </c>
      <c r="BJ895" s="15" t="s">
        <v>4866</v>
      </c>
      <c r="BN895" s="15" t="s">
        <v>179</v>
      </c>
      <c r="BP895" s="15" t="s">
        <v>138</v>
      </c>
      <c r="BS895" s="15" t="s">
        <v>4867</v>
      </c>
      <c r="DH895" s="15" t="s">
        <v>17982</v>
      </c>
      <c r="DI895" s="15" t="s">
        <v>17982</v>
      </c>
    </row>
    <row r="896" spans="1:113" s="15" customFormat="1" ht="12.75" x14ac:dyDescent="0.2">
      <c r="A896" s="15" t="s">
        <v>109</v>
      </c>
      <c r="B896" s="15" t="s">
        <v>110</v>
      </c>
      <c r="D896" s="15" t="s">
        <v>1045</v>
      </c>
      <c r="E896" s="15" t="s">
        <v>112</v>
      </c>
      <c r="F896" s="15" t="s">
        <v>1045</v>
      </c>
      <c r="G896" s="15" t="s">
        <v>113</v>
      </c>
      <c r="H896" s="15" t="s">
        <v>1481</v>
      </c>
      <c r="J896" s="16" t="s">
        <v>114</v>
      </c>
      <c r="U896" s="15" t="s">
        <v>17977</v>
      </c>
      <c r="W896" s="15">
        <v>917</v>
      </c>
      <c r="X896" s="15">
        <v>906</v>
      </c>
      <c r="Y896" s="15" t="s">
        <v>160</v>
      </c>
      <c r="Z896" s="15" t="s">
        <v>161</v>
      </c>
      <c r="AA896" s="15" t="s">
        <v>162</v>
      </c>
      <c r="AB896" s="15" t="s">
        <v>4179</v>
      </c>
      <c r="AC896" s="15" t="s">
        <v>4179</v>
      </c>
      <c r="AD896" s="15" t="s">
        <v>4180</v>
      </c>
      <c r="AE896" s="15" t="s">
        <v>164</v>
      </c>
      <c r="AF896" s="15" t="s">
        <v>4180</v>
      </c>
      <c r="AG896" s="15" t="s">
        <v>4179</v>
      </c>
      <c r="AH896" s="20" t="s">
        <v>4181</v>
      </c>
      <c r="AL896" s="15" t="s">
        <v>4182</v>
      </c>
      <c r="AN896" s="15">
        <v>743</v>
      </c>
      <c r="AO896" s="15" t="s">
        <v>4183</v>
      </c>
      <c r="AQ896" s="20" t="s">
        <v>168</v>
      </c>
      <c r="AT896" s="15" t="s">
        <v>4184</v>
      </c>
      <c r="AU896" s="15" t="s">
        <v>4185</v>
      </c>
      <c r="AV896" s="15" t="s">
        <v>4185</v>
      </c>
      <c r="AW896" s="15" t="s">
        <v>4186</v>
      </c>
      <c r="AX896" s="15" t="s">
        <v>4187</v>
      </c>
      <c r="AY896" s="15">
        <f t="shared" si="18"/>
        <v>56</v>
      </c>
      <c r="AZ896" s="15" t="s">
        <v>173</v>
      </c>
      <c r="BA896" s="15" t="s">
        <v>174</v>
      </c>
      <c r="BB896" s="15" t="s">
        <v>4026</v>
      </c>
      <c r="BC896" s="15" t="s">
        <v>646</v>
      </c>
      <c r="BE896" s="15" t="s">
        <v>2054</v>
      </c>
      <c r="BF896" s="15" t="s">
        <v>4188</v>
      </c>
      <c r="BJ896" s="15" t="s">
        <v>4189</v>
      </c>
      <c r="BN896" s="15" t="s">
        <v>179</v>
      </c>
      <c r="BP896" s="15" t="s">
        <v>138</v>
      </c>
      <c r="BS896" s="15" t="s">
        <v>4190</v>
      </c>
      <c r="DH896" s="15" t="s">
        <v>17982</v>
      </c>
      <c r="DI896" s="15" t="s">
        <v>17982</v>
      </c>
    </row>
    <row r="897" spans="1:113" s="15" customFormat="1" ht="12.75" x14ac:dyDescent="0.2">
      <c r="A897" s="15" t="s">
        <v>109</v>
      </c>
      <c r="B897" s="15" t="s">
        <v>110</v>
      </c>
      <c r="D897" s="15" t="s">
        <v>1045</v>
      </c>
      <c r="E897" s="15" t="s">
        <v>112</v>
      </c>
      <c r="F897" s="15" t="s">
        <v>1045</v>
      </c>
      <c r="G897" s="15" t="s">
        <v>113</v>
      </c>
      <c r="H897" s="15" t="s">
        <v>1481</v>
      </c>
      <c r="J897" s="16" t="s">
        <v>114</v>
      </c>
      <c r="U897" s="15" t="s">
        <v>17977</v>
      </c>
      <c r="W897" s="15">
        <v>1057</v>
      </c>
      <c r="X897" s="15">
        <v>907</v>
      </c>
      <c r="Y897" s="15" t="s">
        <v>160</v>
      </c>
      <c r="Z897" s="15" t="s">
        <v>161</v>
      </c>
      <c r="AA897" s="15" t="s">
        <v>162</v>
      </c>
      <c r="AB897" s="15" t="s">
        <v>5524</v>
      </c>
      <c r="AC897" s="15" t="s">
        <v>5524</v>
      </c>
      <c r="AD897" s="15" t="s">
        <v>5525</v>
      </c>
      <c r="AE897" s="15" t="s">
        <v>164</v>
      </c>
      <c r="AF897" s="15" t="s">
        <v>5525</v>
      </c>
      <c r="AG897" s="15" t="s">
        <v>5524</v>
      </c>
      <c r="AH897" s="20" t="s">
        <v>5526</v>
      </c>
      <c r="AL897" s="15" t="s">
        <v>5527</v>
      </c>
      <c r="AN897" s="15">
        <v>743</v>
      </c>
      <c r="AO897" s="15" t="s">
        <v>5528</v>
      </c>
      <c r="AQ897" s="20" t="s">
        <v>168</v>
      </c>
      <c r="AT897" s="15" t="s">
        <v>5529</v>
      </c>
      <c r="AU897" s="15" t="s">
        <v>5530</v>
      </c>
      <c r="AV897" s="15" t="s">
        <v>5530</v>
      </c>
      <c r="AW897" s="15" t="s">
        <v>5531</v>
      </c>
      <c r="AX897" s="15" t="s">
        <v>5531</v>
      </c>
      <c r="AY897" s="15">
        <f t="shared" si="18"/>
        <v>59</v>
      </c>
      <c r="AZ897" s="15" t="s">
        <v>173</v>
      </c>
      <c r="BA897" s="15" t="s">
        <v>174</v>
      </c>
      <c r="BC897" s="15" t="s">
        <v>646</v>
      </c>
      <c r="BE897" s="15" t="s">
        <v>2054</v>
      </c>
      <c r="BJ897" s="15" t="s">
        <v>5532</v>
      </c>
      <c r="BN897" s="15" t="s">
        <v>179</v>
      </c>
      <c r="BO897" s="15" t="s">
        <v>4731</v>
      </c>
      <c r="BP897" s="15" t="s">
        <v>138</v>
      </c>
      <c r="BS897" s="15" t="s">
        <v>5533</v>
      </c>
      <c r="DH897" s="15" t="s">
        <v>17982</v>
      </c>
      <c r="DI897" s="15" t="s">
        <v>17982</v>
      </c>
    </row>
    <row r="898" spans="1:113" s="15" customFormat="1" ht="12.75" x14ac:dyDescent="0.2">
      <c r="A898" s="15" t="s">
        <v>109</v>
      </c>
      <c r="B898" s="15" t="s">
        <v>110</v>
      </c>
      <c r="D898" s="15" t="s">
        <v>1045</v>
      </c>
      <c r="E898" s="15" t="s">
        <v>112</v>
      </c>
      <c r="F898" s="15" t="s">
        <v>1045</v>
      </c>
      <c r="G898" s="15" t="s">
        <v>113</v>
      </c>
      <c r="H898" s="15" t="s">
        <v>1481</v>
      </c>
      <c r="J898" s="16" t="s">
        <v>114</v>
      </c>
      <c r="U898" s="15" t="s">
        <v>17977</v>
      </c>
      <c r="W898" s="15">
        <v>1058</v>
      </c>
      <c r="X898" s="15">
        <v>908</v>
      </c>
      <c r="Y898" s="15" t="s">
        <v>160</v>
      </c>
      <c r="Z898" s="15" t="s">
        <v>161</v>
      </c>
      <c r="AA898" s="15" t="s">
        <v>162</v>
      </c>
      <c r="AB898" s="15" t="s">
        <v>5534</v>
      </c>
      <c r="AC898" s="15" t="s">
        <v>5534</v>
      </c>
      <c r="AD898" s="15" t="s">
        <v>5535</v>
      </c>
      <c r="AE898" s="15" t="s">
        <v>164</v>
      </c>
      <c r="AF898" s="15" t="s">
        <v>5535</v>
      </c>
      <c r="AG898" s="15" t="s">
        <v>5534</v>
      </c>
      <c r="AH898" s="20" t="s">
        <v>5536</v>
      </c>
      <c r="AL898" s="15" t="s">
        <v>5537</v>
      </c>
      <c r="AN898" s="15">
        <v>743</v>
      </c>
      <c r="AO898" s="15" t="s">
        <v>5538</v>
      </c>
      <c r="AQ898" s="20" t="s">
        <v>168</v>
      </c>
      <c r="AT898" s="15" t="s">
        <v>5539</v>
      </c>
      <c r="AU898" s="15" t="s">
        <v>5540</v>
      </c>
      <c r="AV898" s="15" t="s">
        <v>5540</v>
      </c>
      <c r="AW898" s="15" t="s">
        <v>5541</v>
      </c>
      <c r="AX898" s="15" t="s">
        <v>5541</v>
      </c>
      <c r="AY898" s="15">
        <f t="shared" si="18"/>
        <v>59</v>
      </c>
      <c r="AZ898" s="15" t="s">
        <v>173</v>
      </c>
      <c r="BA898" s="15" t="s">
        <v>174</v>
      </c>
      <c r="BC898" s="15" t="s">
        <v>646</v>
      </c>
      <c r="BE898" s="15" t="s">
        <v>1597</v>
      </c>
      <c r="BJ898" s="15" t="s">
        <v>5532</v>
      </c>
      <c r="BN898" s="15" t="s">
        <v>179</v>
      </c>
      <c r="BO898" s="15" t="s">
        <v>4731</v>
      </c>
      <c r="BP898" s="15" t="s">
        <v>138</v>
      </c>
      <c r="BS898" s="15" t="s">
        <v>5542</v>
      </c>
      <c r="DH898" s="15" t="s">
        <v>17982</v>
      </c>
      <c r="DI898" s="15" t="s">
        <v>17982</v>
      </c>
    </row>
    <row r="899" spans="1:113" s="15" customFormat="1" ht="12.75" x14ac:dyDescent="0.2">
      <c r="A899" s="15" t="s">
        <v>109</v>
      </c>
      <c r="B899" s="15" t="s">
        <v>110</v>
      </c>
      <c r="D899" s="15" t="s">
        <v>1045</v>
      </c>
      <c r="E899" s="15" t="s">
        <v>112</v>
      </c>
      <c r="F899" s="15" t="s">
        <v>1045</v>
      </c>
      <c r="G899" s="15" t="s">
        <v>113</v>
      </c>
      <c r="H899" s="15" t="s">
        <v>1481</v>
      </c>
      <c r="J899" s="16" t="s">
        <v>114</v>
      </c>
      <c r="U899" s="15" t="s">
        <v>17977</v>
      </c>
      <c r="W899" s="15">
        <v>1044</v>
      </c>
      <c r="X899" s="15">
        <v>909</v>
      </c>
      <c r="Y899" s="15" t="s">
        <v>160</v>
      </c>
      <c r="Z899" s="15" t="s">
        <v>161</v>
      </c>
      <c r="AA899" s="15" t="s">
        <v>162</v>
      </c>
      <c r="AB899" s="15" t="s">
        <v>5406</v>
      </c>
      <c r="AC899" s="15" t="s">
        <v>5406</v>
      </c>
      <c r="AD899" s="15" t="s">
        <v>5407</v>
      </c>
      <c r="AE899" s="15" t="s">
        <v>164</v>
      </c>
      <c r="AF899" s="15" t="s">
        <v>5407</v>
      </c>
      <c r="AG899" s="15" t="s">
        <v>5406</v>
      </c>
      <c r="AH899" s="20" t="s">
        <v>5408</v>
      </c>
      <c r="AL899" s="15" t="s">
        <v>5409</v>
      </c>
      <c r="AN899" s="15">
        <v>743</v>
      </c>
      <c r="AO899" s="15" t="s">
        <v>5410</v>
      </c>
      <c r="AQ899" s="20" t="s">
        <v>168</v>
      </c>
      <c r="AT899" s="15" t="s">
        <v>5411</v>
      </c>
      <c r="AU899" s="15" t="s">
        <v>5412</v>
      </c>
      <c r="AV899" s="15" t="s">
        <v>5412</v>
      </c>
      <c r="AW899" s="15" t="s">
        <v>5413</v>
      </c>
      <c r="AX899" s="15" t="s">
        <v>5413</v>
      </c>
      <c r="AY899" s="15">
        <f t="shared" si="18"/>
        <v>47</v>
      </c>
      <c r="AZ899" s="15" t="s">
        <v>173</v>
      </c>
      <c r="BA899" s="15" t="s">
        <v>174</v>
      </c>
      <c r="BC899" s="15" t="s">
        <v>646</v>
      </c>
      <c r="BE899" s="15" t="s">
        <v>1174</v>
      </c>
      <c r="BJ899" s="15" t="s">
        <v>5414</v>
      </c>
      <c r="BN899" s="15" t="s">
        <v>179</v>
      </c>
      <c r="BO899" s="15" t="s">
        <v>4731</v>
      </c>
      <c r="BP899" s="15" t="s">
        <v>138</v>
      </c>
      <c r="BS899" s="15" t="s">
        <v>5415</v>
      </c>
      <c r="DH899" s="15" t="s">
        <v>17982</v>
      </c>
      <c r="DI899" s="15" t="s">
        <v>17982</v>
      </c>
    </row>
    <row r="900" spans="1:113" s="15" customFormat="1" ht="12.75" x14ac:dyDescent="0.2">
      <c r="A900" s="15" t="s">
        <v>109</v>
      </c>
      <c r="B900" s="15" t="s">
        <v>110</v>
      </c>
      <c r="D900" s="15" t="s">
        <v>1045</v>
      </c>
      <c r="E900" s="15" t="s">
        <v>112</v>
      </c>
      <c r="F900" s="15" t="s">
        <v>1045</v>
      </c>
      <c r="G900" s="15" t="s">
        <v>113</v>
      </c>
      <c r="H900" s="15" t="s">
        <v>1481</v>
      </c>
      <c r="J900" s="16" t="s">
        <v>114</v>
      </c>
      <c r="U900" s="15" t="s">
        <v>17977</v>
      </c>
      <c r="W900" s="15">
        <v>973</v>
      </c>
      <c r="X900" s="15">
        <v>910</v>
      </c>
      <c r="Y900" s="15" t="s">
        <v>160</v>
      </c>
      <c r="Z900" s="15" t="s">
        <v>161</v>
      </c>
      <c r="AA900" s="15" t="s">
        <v>162</v>
      </c>
      <c r="AB900" s="15" t="s">
        <v>4721</v>
      </c>
      <c r="AC900" s="15" t="s">
        <v>4721</v>
      </c>
      <c r="AD900" s="15" t="s">
        <v>4722</v>
      </c>
      <c r="AE900" s="15" t="s">
        <v>164</v>
      </c>
      <c r="AF900" s="15" t="s">
        <v>4722</v>
      </c>
      <c r="AG900" s="15" t="s">
        <v>4721</v>
      </c>
      <c r="AH900" s="20" t="s">
        <v>4723</v>
      </c>
      <c r="AL900" s="15" t="s">
        <v>4724</v>
      </c>
      <c r="AN900" s="15">
        <v>743</v>
      </c>
      <c r="AO900" s="15" t="s">
        <v>4725</v>
      </c>
      <c r="AQ900" s="20" t="s">
        <v>168</v>
      </c>
      <c r="AT900" s="15" t="s">
        <v>4726</v>
      </c>
      <c r="AU900" s="15" t="s">
        <v>4727</v>
      </c>
      <c r="AV900" s="15" t="s">
        <v>4727</v>
      </c>
      <c r="AW900" s="15" t="s">
        <v>4728</v>
      </c>
      <c r="AX900" s="15" t="s">
        <v>4728</v>
      </c>
      <c r="AY900" s="15">
        <f t="shared" si="18"/>
        <v>54</v>
      </c>
      <c r="AZ900" s="15" t="s">
        <v>173</v>
      </c>
      <c r="BA900" s="15" t="s">
        <v>174</v>
      </c>
      <c r="BB900" s="15" t="s">
        <v>4729</v>
      </c>
      <c r="BE900" s="15" t="s">
        <v>2299</v>
      </c>
      <c r="BJ900" s="15" t="s">
        <v>4730</v>
      </c>
      <c r="BN900" s="15" t="s">
        <v>179</v>
      </c>
      <c r="BO900" s="15" t="s">
        <v>4731</v>
      </c>
      <c r="BP900" s="15" t="s">
        <v>138</v>
      </c>
      <c r="BS900" s="15" t="s">
        <v>4732</v>
      </c>
      <c r="DH900" s="15" t="s">
        <v>17982</v>
      </c>
      <c r="DI900" s="15" t="s">
        <v>17982</v>
      </c>
    </row>
    <row r="901" spans="1:113" s="15" customFormat="1" ht="12.75" x14ac:dyDescent="0.2">
      <c r="A901" s="15" t="s">
        <v>109</v>
      </c>
      <c r="B901" s="15" t="s">
        <v>110</v>
      </c>
      <c r="D901" s="15" t="s">
        <v>1045</v>
      </c>
      <c r="E901" s="15" t="s">
        <v>112</v>
      </c>
      <c r="F901" s="15" t="s">
        <v>1045</v>
      </c>
      <c r="G901" s="15" t="s">
        <v>113</v>
      </c>
      <c r="H901" s="15" t="s">
        <v>1481</v>
      </c>
      <c r="J901" s="16" t="s">
        <v>114</v>
      </c>
      <c r="U901" s="15" t="s">
        <v>17977</v>
      </c>
      <c r="W901" s="15">
        <v>2830</v>
      </c>
      <c r="X901" s="15">
        <v>911</v>
      </c>
      <c r="Y901" s="15" t="s">
        <v>160</v>
      </c>
      <c r="Z901" s="15" t="s">
        <v>161</v>
      </c>
      <c r="AA901" s="15" t="s">
        <v>162</v>
      </c>
      <c r="AB901" s="15" t="s">
        <v>13782</v>
      </c>
      <c r="AC901" s="15" t="s">
        <v>13782</v>
      </c>
      <c r="AD901" s="15" t="s">
        <v>13782</v>
      </c>
      <c r="AE901" s="15" t="s">
        <v>164</v>
      </c>
      <c r="AF901" s="15" t="s">
        <v>13782</v>
      </c>
      <c r="AG901" s="15" t="s">
        <v>13782</v>
      </c>
      <c r="AH901" s="20" t="s">
        <v>13783</v>
      </c>
      <c r="AL901" s="15" t="s">
        <v>13784</v>
      </c>
      <c r="AN901" s="15">
        <v>743</v>
      </c>
      <c r="AO901" s="15" t="s">
        <v>13785</v>
      </c>
      <c r="AQ901" s="20" t="s">
        <v>912</v>
      </c>
      <c r="AT901" s="15" t="s">
        <v>13786</v>
      </c>
      <c r="AU901" s="15" t="s">
        <v>13787</v>
      </c>
      <c r="AV901" s="15" t="s">
        <v>13787</v>
      </c>
      <c r="AW901" s="15" t="s">
        <v>13788</v>
      </c>
      <c r="AX901" s="15" t="s">
        <v>13789</v>
      </c>
      <c r="AY901" s="15">
        <f t="shared" si="18"/>
        <v>59</v>
      </c>
      <c r="AZ901" s="15" t="s">
        <v>917</v>
      </c>
      <c r="BA901" s="15" t="s">
        <v>174</v>
      </c>
      <c r="BB901" s="15" t="s">
        <v>13778</v>
      </c>
      <c r="BC901" s="15" t="s">
        <v>2841</v>
      </c>
      <c r="BE901" s="15" t="s">
        <v>1032</v>
      </c>
      <c r="BF901" s="15" t="s">
        <v>13790</v>
      </c>
      <c r="BJ901" s="15" t="s">
        <v>13791</v>
      </c>
      <c r="BN901" s="15" t="s">
        <v>179</v>
      </c>
      <c r="BP901" s="15" t="s">
        <v>138</v>
      </c>
      <c r="BS901" s="15" t="s">
        <v>13792</v>
      </c>
      <c r="DH901" s="15" t="s">
        <v>17982</v>
      </c>
      <c r="DI901" s="15" t="s">
        <v>17982</v>
      </c>
    </row>
    <row r="902" spans="1:113" s="15" customFormat="1" ht="12.75" x14ac:dyDescent="0.2">
      <c r="A902" s="15" t="s">
        <v>109</v>
      </c>
      <c r="B902" s="15" t="s">
        <v>110</v>
      </c>
      <c r="D902" s="15" t="s">
        <v>1481</v>
      </c>
      <c r="E902" s="15" t="s">
        <v>112</v>
      </c>
      <c r="F902" s="15" t="s">
        <v>1481</v>
      </c>
      <c r="G902" s="15" t="s">
        <v>113</v>
      </c>
      <c r="H902" s="15" t="s">
        <v>1481</v>
      </c>
      <c r="J902" s="16" t="s">
        <v>114</v>
      </c>
      <c r="U902" s="15" t="s">
        <v>17977</v>
      </c>
      <c r="W902" s="15">
        <v>3359</v>
      </c>
      <c r="X902" s="15">
        <v>912</v>
      </c>
      <c r="Y902" s="15" t="s">
        <v>160</v>
      </c>
      <c r="Z902" s="15" t="s">
        <v>161</v>
      </c>
      <c r="AA902" s="15" t="s">
        <v>162</v>
      </c>
      <c r="AB902" s="15" t="s">
        <v>16210</v>
      </c>
      <c r="AC902" s="15" t="s">
        <v>16210</v>
      </c>
      <c r="AD902" s="15" t="s">
        <v>16210</v>
      </c>
      <c r="AE902" s="15" t="s">
        <v>164</v>
      </c>
      <c r="AF902" s="15" t="s">
        <v>16210</v>
      </c>
      <c r="AG902" s="15" t="s">
        <v>16210</v>
      </c>
      <c r="AH902" s="15" t="s">
        <v>16211</v>
      </c>
      <c r="AL902" s="15" t="s">
        <v>16212</v>
      </c>
      <c r="AN902" s="15">
        <v>743</v>
      </c>
      <c r="AO902" s="15" t="s">
        <v>16213</v>
      </c>
      <c r="AQ902" s="15" t="s">
        <v>2747</v>
      </c>
      <c r="AT902" s="15" t="s">
        <v>16214</v>
      </c>
      <c r="AU902" s="18" t="s">
        <v>16215</v>
      </c>
      <c r="AV902" s="18" t="s">
        <v>16215</v>
      </c>
      <c r="AW902" s="15" t="s">
        <v>16216</v>
      </c>
      <c r="AX902" s="15" t="s">
        <v>16216</v>
      </c>
      <c r="AY902" s="15">
        <f t="shared" ref="AY902:AY965" si="19">LEN(SUBSTITUTE(AX902, ", "," "))</f>
        <v>58</v>
      </c>
      <c r="AZ902" s="18" t="s">
        <v>2752</v>
      </c>
      <c r="BA902" s="18" t="s">
        <v>2753</v>
      </c>
      <c r="BB902" s="18" t="s">
        <v>2370</v>
      </c>
      <c r="BE902" s="18" t="s">
        <v>16217</v>
      </c>
      <c r="BJ902" s="18" t="s">
        <v>16218</v>
      </c>
      <c r="BN902" s="18" t="s">
        <v>179</v>
      </c>
      <c r="BP902" s="18" t="s">
        <v>138</v>
      </c>
      <c r="BS902" s="15" t="s">
        <v>16219</v>
      </c>
      <c r="DH902" s="15" t="s">
        <v>17982</v>
      </c>
      <c r="DI902" s="15" t="s">
        <v>17982</v>
      </c>
    </row>
    <row r="903" spans="1:113" s="15" customFormat="1" ht="12.75" x14ac:dyDescent="0.2">
      <c r="A903" s="15" t="s">
        <v>109</v>
      </c>
      <c r="B903" s="15" t="s">
        <v>110</v>
      </c>
      <c r="D903" s="15" t="s">
        <v>1481</v>
      </c>
      <c r="E903" s="15" t="s">
        <v>112</v>
      </c>
      <c r="F903" s="15" t="s">
        <v>1481</v>
      </c>
      <c r="G903" s="15" t="s">
        <v>113</v>
      </c>
      <c r="H903" s="15" t="s">
        <v>1481</v>
      </c>
      <c r="J903" s="16" t="s">
        <v>114</v>
      </c>
      <c r="U903" s="15" t="s">
        <v>17977</v>
      </c>
      <c r="W903" s="15">
        <v>3320</v>
      </c>
      <c r="X903" s="15">
        <v>913</v>
      </c>
      <c r="Y903" s="15" t="s">
        <v>160</v>
      </c>
      <c r="Z903" s="15" t="s">
        <v>161</v>
      </c>
      <c r="AA903" s="15" t="s">
        <v>162</v>
      </c>
      <c r="AB903" s="15" t="s">
        <v>16040</v>
      </c>
      <c r="AC903" s="15" t="s">
        <v>16040</v>
      </c>
      <c r="AD903" s="15" t="s">
        <v>16040</v>
      </c>
      <c r="AE903" s="15" t="s">
        <v>164</v>
      </c>
      <c r="AF903" s="15" t="s">
        <v>16040</v>
      </c>
      <c r="AG903" s="15" t="s">
        <v>16040</v>
      </c>
      <c r="AH903" s="15" t="s">
        <v>16041</v>
      </c>
      <c r="AL903" s="15" t="s">
        <v>16042</v>
      </c>
      <c r="AN903" s="15">
        <v>743</v>
      </c>
      <c r="AO903" s="15" t="s">
        <v>16043</v>
      </c>
      <c r="AQ903" s="15" t="s">
        <v>2747</v>
      </c>
      <c r="AT903" s="15" t="s">
        <v>16044</v>
      </c>
      <c r="AU903" s="18" t="s">
        <v>16045</v>
      </c>
      <c r="AV903" s="18" t="s">
        <v>16045</v>
      </c>
      <c r="AW903" s="15" t="s">
        <v>16046</v>
      </c>
      <c r="AX903" s="15" t="s">
        <v>16047</v>
      </c>
      <c r="AY903" s="15">
        <f t="shared" si="19"/>
        <v>58</v>
      </c>
      <c r="AZ903" s="18" t="s">
        <v>2752</v>
      </c>
      <c r="BA903" s="18" t="s">
        <v>2753</v>
      </c>
      <c r="BB903" s="18" t="s">
        <v>2370</v>
      </c>
      <c r="BE903" s="18" t="s">
        <v>16048</v>
      </c>
      <c r="BI903" s="18" t="s">
        <v>3142</v>
      </c>
      <c r="BJ903" s="18" t="s">
        <v>2756</v>
      </c>
      <c r="BN903" s="18" t="s">
        <v>179</v>
      </c>
      <c r="BP903" s="18" t="s">
        <v>138</v>
      </c>
      <c r="BS903" s="15" t="s">
        <v>16049</v>
      </c>
      <c r="DH903" s="15" t="s">
        <v>17982</v>
      </c>
      <c r="DI903" s="15" t="s">
        <v>17982</v>
      </c>
    </row>
    <row r="904" spans="1:113" s="15" customFormat="1" ht="12.75" x14ac:dyDescent="0.2">
      <c r="A904" s="15" t="s">
        <v>109</v>
      </c>
      <c r="B904" s="15" t="s">
        <v>110</v>
      </c>
      <c r="D904" s="15" t="s">
        <v>1481</v>
      </c>
      <c r="E904" s="15" t="s">
        <v>112</v>
      </c>
      <c r="F904" s="15" t="s">
        <v>1481</v>
      </c>
      <c r="G904" s="15" t="s">
        <v>113</v>
      </c>
      <c r="H904" s="15" t="s">
        <v>1481</v>
      </c>
      <c r="J904" s="16" t="s">
        <v>114</v>
      </c>
      <c r="U904" s="15" t="s">
        <v>17977</v>
      </c>
      <c r="W904" s="15">
        <v>706</v>
      </c>
      <c r="X904" s="15">
        <v>914</v>
      </c>
      <c r="Y904" s="15" t="s">
        <v>160</v>
      </c>
      <c r="Z904" s="15" t="s">
        <v>161</v>
      </c>
      <c r="AA904" s="15" t="s">
        <v>162</v>
      </c>
      <c r="AB904" s="15" t="s">
        <v>2743</v>
      </c>
      <c r="AC904" s="15" t="s">
        <v>2743</v>
      </c>
      <c r="AD904" s="15" t="s">
        <v>2743</v>
      </c>
      <c r="AE904" s="15" t="s">
        <v>164</v>
      </c>
      <c r="AF904" s="15" t="s">
        <v>2743</v>
      </c>
      <c r="AG904" s="15" t="s">
        <v>2743</v>
      </c>
      <c r="AH904" s="15" t="s">
        <v>2744</v>
      </c>
      <c r="AL904" s="15" t="s">
        <v>2745</v>
      </c>
      <c r="AN904" s="15">
        <v>743</v>
      </c>
      <c r="AO904" s="15" t="s">
        <v>2746</v>
      </c>
      <c r="AQ904" s="15" t="s">
        <v>2747</v>
      </c>
      <c r="AT904" s="15" t="s">
        <v>2748</v>
      </c>
      <c r="AU904" s="18" t="s">
        <v>2749</v>
      </c>
      <c r="AV904" s="18" t="s">
        <v>2749</v>
      </c>
      <c r="AW904" s="15" t="s">
        <v>2750</v>
      </c>
      <c r="AX904" s="15" t="s">
        <v>2751</v>
      </c>
      <c r="AY904" s="15">
        <f t="shared" si="19"/>
        <v>59</v>
      </c>
      <c r="AZ904" s="18" t="s">
        <v>2752</v>
      </c>
      <c r="BA904" s="18" t="s">
        <v>2753</v>
      </c>
      <c r="BB904" s="18" t="s">
        <v>2370</v>
      </c>
      <c r="BE904" s="18" t="s">
        <v>2754</v>
      </c>
      <c r="BI904" s="18" t="s">
        <v>2755</v>
      </c>
      <c r="BJ904" s="18" t="s">
        <v>2756</v>
      </c>
      <c r="BN904" s="18" t="s">
        <v>179</v>
      </c>
      <c r="BP904" s="18" t="s">
        <v>138</v>
      </c>
      <c r="BS904" s="15" t="s">
        <v>2757</v>
      </c>
      <c r="DH904" s="15" t="s">
        <v>17982</v>
      </c>
      <c r="DI904" s="15" t="s">
        <v>17982</v>
      </c>
    </row>
    <row r="905" spans="1:113" s="15" customFormat="1" ht="12.75" x14ac:dyDescent="0.2">
      <c r="A905" s="15" t="s">
        <v>109</v>
      </c>
      <c r="B905" s="15" t="s">
        <v>110</v>
      </c>
      <c r="D905" s="15" t="s">
        <v>1481</v>
      </c>
      <c r="E905" s="15" t="s">
        <v>112</v>
      </c>
      <c r="F905" s="15" t="s">
        <v>1481</v>
      </c>
      <c r="G905" s="15" t="s">
        <v>113</v>
      </c>
      <c r="H905" s="15" t="s">
        <v>1481</v>
      </c>
      <c r="J905" s="16" t="s">
        <v>114</v>
      </c>
      <c r="U905" s="15" t="s">
        <v>17977</v>
      </c>
      <c r="W905" s="15">
        <v>738</v>
      </c>
      <c r="X905" s="15">
        <v>915</v>
      </c>
      <c r="Y905" s="15" t="s">
        <v>160</v>
      </c>
      <c r="Z905" s="15" t="s">
        <v>161</v>
      </c>
      <c r="AA905" s="15" t="s">
        <v>162</v>
      </c>
      <c r="AB905" s="15" t="s">
        <v>3092</v>
      </c>
      <c r="AC905" s="15" t="s">
        <v>3092</v>
      </c>
      <c r="AD905" s="15" t="s">
        <v>3092</v>
      </c>
      <c r="AE905" s="15" t="s">
        <v>164</v>
      </c>
      <c r="AF905" s="15" t="s">
        <v>3092</v>
      </c>
      <c r="AG905" s="15" t="s">
        <v>3092</v>
      </c>
      <c r="AH905" s="15" t="s">
        <v>3093</v>
      </c>
      <c r="AL905" s="15" t="s">
        <v>3094</v>
      </c>
      <c r="AN905" s="15">
        <v>743</v>
      </c>
      <c r="AO905" s="15" t="s">
        <v>3095</v>
      </c>
      <c r="AQ905" s="15" t="s">
        <v>2747</v>
      </c>
      <c r="AT905" s="15" t="s">
        <v>3096</v>
      </c>
      <c r="AU905" s="18" t="s">
        <v>3097</v>
      </c>
      <c r="AV905" s="18" t="s">
        <v>3097</v>
      </c>
      <c r="AW905" s="15" t="s">
        <v>3098</v>
      </c>
      <c r="AX905" s="15" t="s">
        <v>3099</v>
      </c>
      <c r="AY905" s="15">
        <f t="shared" si="19"/>
        <v>59</v>
      </c>
      <c r="AZ905" s="18" t="s">
        <v>2752</v>
      </c>
      <c r="BA905" s="18" t="s">
        <v>2753</v>
      </c>
      <c r="BB905" s="18" t="s">
        <v>2370</v>
      </c>
      <c r="BC905" s="18" t="s">
        <v>3100</v>
      </c>
      <c r="BE905" s="18" t="s">
        <v>3101</v>
      </c>
      <c r="BJ905" s="18" t="s">
        <v>3102</v>
      </c>
      <c r="BN905" s="18" t="s">
        <v>179</v>
      </c>
      <c r="BP905" s="18" t="s">
        <v>138</v>
      </c>
      <c r="BS905" s="15" t="s">
        <v>3103</v>
      </c>
      <c r="DH905" s="15" t="s">
        <v>17982</v>
      </c>
      <c r="DI905" s="15" t="s">
        <v>17982</v>
      </c>
    </row>
    <row r="906" spans="1:113" s="15" customFormat="1" ht="12.75" x14ac:dyDescent="0.2">
      <c r="A906" s="15" t="s">
        <v>109</v>
      </c>
      <c r="B906" s="15" t="s">
        <v>110</v>
      </c>
      <c r="D906" s="15" t="s">
        <v>1481</v>
      </c>
      <c r="E906" s="15" t="s">
        <v>112</v>
      </c>
      <c r="F906" s="15" t="s">
        <v>1481</v>
      </c>
      <c r="G906" s="15" t="s">
        <v>113</v>
      </c>
      <c r="H906" s="15" t="s">
        <v>1481</v>
      </c>
      <c r="J906" s="16" t="s">
        <v>114</v>
      </c>
      <c r="U906" s="15" t="s">
        <v>17977</v>
      </c>
      <c r="W906" s="15">
        <v>3370</v>
      </c>
      <c r="X906" s="15">
        <v>916</v>
      </c>
      <c r="Y906" s="15" t="s">
        <v>160</v>
      </c>
      <c r="Z906" s="15" t="s">
        <v>161</v>
      </c>
      <c r="AA906" s="15" t="s">
        <v>162</v>
      </c>
      <c r="AB906" s="15" t="s">
        <v>16318</v>
      </c>
      <c r="AC906" s="15" t="s">
        <v>16318</v>
      </c>
      <c r="AD906" s="15" t="s">
        <v>16318</v>
      </c>
      <c r="AE906" s="15" t="s">
        <v>164</v>
      </c>
      <c r="AF906" s="15" t="s">
        <v>16318</v>
      </c>
      <c r="AG906" s="15" t="s">
        <v>16318</v>
      </c>
      <c r="AH906" s="15" t="s">
        <v>16319</v>
      </c>
      <c r="AL906" s="15" t="s">
        <v>16320</v>
      </c>
      <c r="AN906" s="15">
        <v>743</v>
      </c>
      <c r="AO906" s="15" t="s">
        <v>16321</v>
      </c>
      <c r="AQ906" s="15" t="s">
        <v>2747</v>
      </c>
      <c r="AT906" s="15" t="s">
        <v>16309</v>
      </c>
      <c r="AU906" s="18" t="s">
        <v>16322</v>
      </c>
      <c r="AV906" s="18" t="s">
        <v>16322</v>
      </c>
      <c r="AW906" s="15" t="s">
        <v>16323</v>
      </c>
      <c r="AX906" s="15" t="s">
        <v>16324</v>
      </c>
      <c r="AY906" s="15">
        <f t="shared" si="19"/>
        <v>60</v>
      </c>
      <c r="AZ906" s="18" t="s">
        <v>2752</v>
      </c>
      <c r="BA906" s="18" t="s">
        <v>2753</v>
      </c>
      <c r="BB906" s="18" t="s">
        <v>16313</v>
      </c>
      <c r="BC906" s="18" t="s">
        <v>16325</v>
      </c>
      <c r="BE906" s="18" t="s">
        <v>1337</v>
      </c>
      <c r="BJ906" s="18" t="s">
        <v>16326</v>
      </c>
      <c r="BK906" s="18" t="s">
        <v>487</v>
      </c>
      <c r="BN906" s="18" t="s">
        <v>179</v>
      </c>
      <c r="BP906" s="18" t="s">
        <v>138</v>
      </c>
      <c r="BS906" s="15" t="s">
        <v>16327</v>
      </c>
      <c r="DH906" s="15" t="s">
        <v>17982</v>
      </c>
      <c r="DI906" s="15" t="s">
        <v>17982</v>
      </c>
    </row>
    <row r="907" spans="1:113" s="15" customFormat="1" ht="12.75" x14ac:dyDescent="0.2">
      <c r="A907" s="15" t="s">
        <v>109</v>
      </c>
      <c r="B907" s="15" t="s">
        <v>110</v>
      </c>
      <c r="D907" s="15" t="s">
        <v>1481</v>
      </c>
      <c r="E907" s="15" t="s">
        <v>112</v>
      </c>
      <c r="F907" s="15" t="s">
        <v>1481</v>
      </c>
      <c r="G907" s="15" t="s">
        <v>113</v>
      </c>
      <c r="H907" s="15" t="s">
        <v>1481</v>
      </c>
      <c r="J907" s="16" t="s">
        <v>114</v>
      </c>
      <c r="U907" s="15" t="s">
        <v>17977</v>
      </c>
      <c r="W907" s="15">
        <v>3369</v>
      </c>
      <c r="X907" s="15">
        <v>917</v>
      </c>
      <c r="Y907" s="15" t="s">
        <v>160</v>
      </c>
      <c r="Z907" s="15" t="s">
        <v>161</v>
      </c>
      <c r="AA907" s="15" t="s">
        <v>162</v>
      </c>
      <c r="AB907" s="15" t="s">
        <v>16305</v>
      </c>
      <c r="AC907" s="15" t="s">
        <v>16305</v>
      </c>
      <c r="AD907" s="15" t="s">
        <v>16305</v>
      </c>
      <c r="AE907" s="15" t="s">
        <v>164</v>
      </c>
      <c r="AF907" s="15" t="s">
        <v>16305</v>
      </c>
      <c r="AG907" s="15" t="s">
        <v>16305</v>
      </c>
      <c r="AH907" s="15" t="s">
        <v>16306</v>
      </c>
      <c r="AL907" s="15" t="s">
        <v>16307</v>
      </c>
      <c r="AN907" s="15">
        <v>743</v>
      </c>
      <c r="AO907" s="15" t="s">
        <v>16308</v>
      </c>
      <c r="AQ907" s="15" t="s">
        <v>2747</v>
      </c>
      <c r="AT907" s="15" t="s">
        <v>16309</v>
      </c>
      <c r="AU907" s="18" t="s">
        <v>16310</v>
      </c>
      <c r="AV907" s="18" t="s">
        <v>16310</v>
      </c>
      <c r="AW907" s="15" t="s">
        <v>16311</v>
      </c>
      <c r="AX907" s="15" t="s">
        <v>16312</v>
      </c>
      <c r="AY907" s="15">
        <f t="shared" si="19"/>
        <v>60</v>
      </c>
      <c r="AZ907" s="18" t="s">
        <v>2752</v>
      </c>
      <c r="BA907" s="18" t="s">
        <v>2753</v>
      </c>
      <c r="BB907" s="18" t="s">
        <v>16313</v>
      </c>
      <c r="BC907" s="18" t="s">
        <v>16314</v>
      </c>
      <c r="BE907" s="18" t="s">
        <v>16315</v>
      </c>
      <c r="BJ907" s="18" t="s">
        <v>16316</v>
      </c>
      <c r="BK907" s="18" t="s">
        <v>487</v>
      </c>
      <c r="BN907" s="18" t="s">
        <v>179</v>
      </c>
      <c r="BP907" s="18" t="s">
        <v>138</v>
      </c>
      <c r="BS907" s="15" t="s">
        <v>16317</v>
      </c>
      <c r="DH907" s="15" t="s">
        <v>17982</v>
      </c>
      <c r="DI907" s="15" t="s">
        <v>17982</v>
      </c>
    </row>
    <row r="908" spans="1:113" s="15" customFormat="1" ht="12.75" x14ac:dyDescent="0.2">
      <c r="A908" s="15" t="s">
        <v>109</v>
      </c>
      <c r="B908" s="15" t="s">
        <v>110</v>
      </c>
      <c r="D908" s="15" t="s">
        <v>1481</v>
      </c>
      <c r="E908" s="15" t="s">
        <v>112</v>
      </c>
      <c r="F908" s="15" t="s">
        <v>1481</v>
      </c>
      <c r="G908" s="15" t="s">
        <v>113</v>
      </c>
      <c r="H908" s="15" t="s">
        <v>1481</v>
      </c>
      <c r="J908" s="16" t="s">
        <v>114</v>
      </c>
      <c r="U908" s="15" t="s">
        <v>17977</v>
      </c>
      <c r="W908" s="15">
        <v>2829</v>
      </c>
      <c r="X908" s="15">
        <v>918</v>
      </c>
      <c r="Y908" s="15" t="s">
        <v>160</v>
      </c>
      <c r="Z908" s="15" t="s">
        <v>161</v>
      </c>
      <c r="AA908" s="15" t="s">
        <v>162</v>
      </c>
      <c r="AB908" s="15" t="s">
        <v>13770</v>
      </c>
      <c r="AC908" s="15" t="s">
        <v>13770</v>
      </c>
      <c r="AD908" s="15" t="s">
        <v>13770</v>
      </c>
      <c r="AE908" s="15" t="s">
        <v>164</v>
      </c>
      <c r="AF908" s="15" t="s">
        <v>13770</v>
      </c>
      <c r="AG908" s="15" t="s">
        <v>13770</v>
      </c>
      <c r="AH908" s="47" t="s">
        <v>13771</v>
      </c>
      <c r="AL908" s="15" t="s">
        <v>13772</v>
      </c>
      <c r="AN908" s="15">
        <v>743</v>
      </c>
      <c r="AO908" s="15" t="s">
        <v>13773</v>
      </c>
      <c r="AQ908" s="15" t="s">
        <v>912</v>
      </c>
      <c r="AT908" s="15" t="s">
        <v>13774</v>
      </c>
      <c r="AU908" s="18" t="s">
        <v>13775</v>
      </c>
      <c r="AV908" s="18" t="s">
        <v>13775</v>
      </c>
      <c r="AW908" s="15" t="s">
        <v>13776</v>
      </c>
      <c r="AX908" s="15" t="s">
        <v>13777</v>
      </c>
      <c r="AY908" s="15">
        <f t="shared" si="19"/>
        <v>58</v>
      </c>
      <c r="AZ908" s="18" t="s">
        <v>917</v>
      </c>
      <c r="BA908" s="18" t="s">
        <v>174</v>
      </c>
      <c r="BB908" s="18" t="s">
        <v>13778</v>
      </c>
      <c r="BE908" s="18" t="s">
        <v>1032</v>
      </c>
      <c r="BF908" s="18" t="s">
        <v>13779</v>
      </c>
      <c r="BJ908" s="18" t="s">
        <v>13780</v>
      </c>
      <c r="BN908" s="18" t="s">
        <v>179</v>
      </c>
      <c r="BP908" s="18" t="s">
        <v>138</v>
      </c>
      <c r="BS908" s="15" t="s">
        <v>13781</v>
      </c>
      <c r="DH908" s="15" t="s">
        <v>17982</v>
      </c>
      <c r="DI908" s="15" t="s">
        <v>17982</v>
      </c>
    </row>
    <row r="909" spans="1:113" s="15" customFormat="1" ht="12.75" x14ac:dyDescent="0.2">
      <c r="A909" s="15" t="s">
        <v>109</v>
      </c>
      <c r="B909" s="15" t="s">
        <v>110</v>
      </c>
      <c r="D909" s="15" t="s">
        <v>1481</v>
      </c>
      <c r="E909" s="15" t="s">
        <v>112</v>
      </c>
      <c r="F909" s="15" t="s">
        <v>1481</v>
      </c>
      <c r="G909" s="15" t="s">
        <v>113</v>
      </c>
      <c r="H909" s="15" t="s">
        <v>1481</v>
      </c>
      <c r="J909" s="16" t="s">
        <v>114</v>
      </c>
      <c r="U909" s="15" t="s">
        <v>17977</v>
      </c>
      <c r="W909" s="15">
        <v>2792</v>
      </c>
      <c r="X909" s="15">
        <v>919</v>
      </c>
      <c r="Y909" s="15" t="s">
        <v>160</v>
      </c>
      <c r="Z909" s="15" t="s">
        <v>161</v>
      </c>
      <c r="AA909" s="15" t="s">
        <v>162</v>
      </c>
      <c r="AB909" s="15" t="s">
        <v>13539</v>
      </c>
      <c r="AC909" s="15" t="s">
        <v>13539</v>
      </c>
      <c r="AD909" s="15" t="s">
        <v>13540</v>
      </c>
      <c r="AE909" s="15" t="s">
        <v>164</v>
      </c>
      <c r="AF909" s="15" t="s">
        <v>13540</v>
      </c>
      <c r="AG909" s="15" t="s">
        <v>13539</v>
      </c>
      <c r="AH909" s="47" t="s">
        <v>13541</v>
      </c>
      <c r="AL909" s="15" t="s">
        <v>13542</v>
      </c>
      <c r="AN909" s="15">
        <v>743</v>
      </c>
      <c r="AO909" s="15" t="s">
        <v>13543</v>
      </c>
      <c r="AQ909" s="15" t="s">
        <v>912</v>
      </c>
      <c r="AT909" s="15" t="s">
        <v>13544</v>
      </c>
      <c r="AU909" s="18" t="s">
        <v>13545</v>
      </c>
      <c r="AV909" s="18" t="s">
        <v>13545</v>
      </c>
      <c r="AW909" s="15" t="s">
        <v>13546</v>
      </c>
      <c r="AX909" s="15" t="s">
        <v>13547</v>
      </c>
      <c r="AY909" s="15">
        <f t="shared" si="19"/>
        <v>59</v>
      </c>
      <c r="AZ909" s="18" t="s">
        <v>917</v>
      </c>
      <c r="BA909" s="18" t="s">
        <v>174</v>
      </c>
      <c r="BB909" s="18" t="s">
        <v>13524</v>
      </c>
      <c r="BC909" s="15">
        <v>1</v>
      </c>
      <c r="BE909" s="18" t="s">
        <v>564</v>
      </c>
      <c r="BF909" s="18" t="s">
        <v>13548</v>
      </c>
      <c r="BI909" s="18" t="s">
        <v>13526</v>
      </c>
      <c r="BJ909" s="18" t="s">
        <v>6021</v>
      </c>
      <c r="BN909" s="18" t="s">
        <v>179</v>
      </c>
      <c r="BP909" s="18" t="s">
        <v>138</v>
      </c>
      <c r="BS909" s="15" t="s">
        <v>13549</v>
      </c>
      <c r="DH909" s="15" t="s">
        <v>17982</v>
      </c>
      <c r="DI909" s="15" t="s">
        <v>17982</v>
      </c>
    </row>
    <row r="910" spans="1:113" s="15" customFormat="1" ht="12.75" x14ac:dyDescent="0.2">
      <c r="A910" s="15" t="s">
        <v>109</v>
      </c>
      <c r="B910" s="15" t="s">
        <v>110</v>
      </c>
      <c r="D910" s="15" t="s">
        <v>1481</v>
      </c>
      <c r="E910" s="15" t="s">
        <v>112</v>
      </c>
      <c r="F910" s="15" t="s">
        <v>1481</v>
      </c>
      <c r="G910" s="15" t="s">
        <v>113</v>
      </c>
      <c r="H910" s="15" t="s">
        <v>1481</v>
      </c>
      <c r="J910" s="16" t="s">
        <v>114</v>
      </c>
      <c r="U910" s="15" t="s">
        <v>17977</v>
      </c>
      <c r="W910" s="15">
        <v>2790</v>
      </c>
      <c r="X910" s="15">
        <v>920</v>
      </c>
      <c r="Y910" s="15" t="s">
        <v>160</v>
      </c>
      <c r="Z910" s="15" t="s">
        <v>161</v>
      </c>
      <c r="AA910" s="15" t="s">
        <v>162</v>
      </c>
      <c r="AB910" s="15" t="s">
        <v>13515</v>
      </c>
      <c r="AC910" s="15" t="s">
        <v>13515</v>
      </c>
      <c r="AD910" s="15" t="s">
        <v>13516</v>
      </c>
      <c r="AE910" s="15" t="s">
        <v>164</v>
      </c>
      <c r="AF910" s="15" t="s">
        <v>13516</v>
      </c>
      <c r="AG910" s="15" t="s">
        <v>13515</v>
      </c>
      <c r="AH910" s="47" t="s">
        <v>13517</v>
      </c>
      <c r="AL910" s="15" t="s">
        <v>13518</v>
      </c>
      <c r="AN910" s="15">
        <v>743</v>
      </c>
      <c r="AO910" s="15" t="s">
        <v>13519</v>
      </c>
      <c r="AQ910" s="15" t="s">
        <v>912</v>
      </c>
      <c r="AT910" s="15" t="s">
        <v>13520</v>
      </c>
      <c r="AU910" s="18" t="s">
        <v>13521</v>
      </c>
      <c r="AV910" s="18" t="s">
        <v>13521</v>
      </c>
      <c r="AW910" s="15" t="s">
        <v>13522</v>
      </c>
      <c r="AX910" s="15" t="s">
        <v>13523</v>
      </c>
      <c r="AY910" s="15">
        <f t="shared" si="19"/>
        <v>59</v>
      </c>
      <c r="AZ910" s="18" t="s">
        <v>917</v>
      </c>
      <c r="BA910" s="18" t="s">
        <v>174</v>
      </c>
      <c r="BB910" s="18" t="s">
        <v>13524</v>
      </c>
      <c r="BC910" s="15">
        <v>2</v>
      </c>
      <c r="BE910" s="18" t="s">
        <v>564</v>
      </c>
      <c r="BF910" s="18" t="s">
        <v>13525</v>
      </c>
      <c r="BI910" s="18" t="s">
        <v>13526</v>
      </c>
      <c r="BJ910" s="18" t="s">
        <v>6021</v>
      </c>
      <c r="BN910" s="18" t="s">
        <v>179</v>
      </c>
      <c r="BP910" s="18" t="s">
        <v>138</v>
      </c>
      <c r="BS910" s="15" t="s">
        <v>13527</v>
      </c>
      <c r="DH910" s="15" t="s">
        <v>17982</v>
      </c>
      <c r="DI910" s="15" t="s">
        <v>17982</v>
      </c>
    </row>
    <row r="911" spans="1:113" s="15" customFormat="1" ht="12.75" x14ac:dyDescent="0.2">
      <c r="A911" s="15" t="s">
        <v>109</v>
      </c>
      <c r="B911" s="15" t="s">
        <v>110</v>
      </c>
      <c r="D911" s="15" t="s">
        <v>1481</v>
      </c>
      <c r="E911" s="15" t="s">
        <v>112</v>
      </c>
      <c r="F911" s="15" t="s">
        <v>1481</v>
      </c>
      <c r="G911" s="15" t="s">
        <v>113</v>
      </c>
      <c r="H911" s="15" t="s">
        <v>1481</v>
      </c>
      <c r="J911" s="16" t="s">
        <v>114</v>
      </c>
      <c r="U911" s="15" t="s">
        <v>17977</v>
      </c>
      <c r="W911" s="15">
        <v>2793</v>
      </c>
      <c r="X911" s="15">
        <v>921</v>
      </c>
      <c r="Y911" s="15" t="s">
        <v>160</v>
      </c>
      <c r="Z911" s="15" t="s">
        <v>161</v>
      </c>
      <c r="AA911" s="15" t="s">
        <v>162</v>
      </c>
      <c r="AB911" s="15" t="s">
        <v>13550</v>
      </c>
      <c r="AC911" s="15" t="s">
        <v>13550</v>
      </c>
      <c r="AD911" s="15" t="s">
        <v>13551</v>
      </c>
      <c r="AE911" s="15" t="s">
        <v>164</v>
      </c>
      <c r="AF911" s="15" t="s">
        <v>13551</v>
      </c>
      <c r="AG911" s="15" t="s">
        <v>13550</v>
      </c>
      <c r="AH911" s="47" t="s">
        <v>13552</v>
      </c>
      <c r="AL911" s="15" t="s">
        <v>13553</v>
      </c>
      <c r="AN911" s="15">
        <v>743</v>
      </c>
      <c r="AO911" s="15" t="s">
        <v>13554</v>
      </c>
      <c r="AQ911" s="15" t="s">
        <v>912</v>
      </c>
      <c r="AT911" s="15" t="s">
        <v>13555</v>
      </c>
      <c r="AU911" s="18" t="s">
        <v>13556</v>
      </c>
      <c r="AV911" s="18" t="s">
        <v>13556</v>
      </c>
      <c r="AW911" s="15" t="s">
        <v>13557</v>
      </c>
      <c r="AX911" s="15" t="s">
        <v>13558</v>
      </c>
      <c r="AY911" s="15">
        <f t="shared" si="19"/>
        <v>59</v>
      </c>
      <c r="AZ911" s="18" t="s">
        <v>917</v>
      </c>
      <c r="BA911" s="18" t="s">
        <v>174</v>
      </c>
      <c r="BB911" s="18" t="s">
        <v>13524</v>
      </c>
      <c r="BC911" s="15">
        <v>3</v>
      </c>
      <c r="BE911" s="18" t="s">
        <v>564</v>
      </c>
      <c r="BF911" s="18" t="s">
        <v>13559</v>
      </c>
      <c r="BI911" s="18" t="s">
        <v>13526</v>
      </c>
      <c r="BJ911" s="18" t="s">
        <v>6021</v>
      </c>
      <c r="BN911" s="18" t="s">
        <v>179</v>
      </c>
      <c r="BP911" s="18" t="s">
        <v>138</v>
      </c>
      <c r="BS911" s="15" t="s">
        <v>13560</v>
      </c>
      <c r="DH911" s="15" t="s">
        <v>17982</v>
      </c>
      <c r="DI911" s="15" t="s">
        <v>17982</v>
      </c>
    </row>
    <row r="912" spans="1:113" s="15" customFormat="1" ht="12.75" x14ac:dyDescent="0.2">
      <c r="A912" s="15" t="s">
        <v>109</v>
      </c>
      <c r="B912" s="15" t="s">
        <v>110</v>
      </c>
      <c r="D912" s="15" t="s">
        <v>1481</v>
      </c>
      <c r="E912" s="15" t="s">
        <v>112</v>
      </c>
      <c r="F912" s="15" t="s">
        <v>1481</v>
      </c>
      <c r="G912" s="15" t="s">
        <v>113</v>
      </c>
      <c r="H912" s="15" t="s">
        <v>1481</v>
      </c>
      <c r="J912" s="16" t="s">
        <v>114</v>
      </c>
      <c r="U912" s="15" t="s">
        <v>17977</v>
      </c>
      <c r="W912" s="15">
        <v>2791</v>
      </c>
      <c r="X912" s="15">
        <v>922</v>
      </c>
      <c r="Y912" s="15" t="s">
        <v>160</v>
      </c>
      <c r="Z912" s="15" t="s">
        <v>161</v>
      </c>
      <c r="AA912" s="15" t="s">
        <v>162</v>
      </c>
      <c r="AB912" s="15" t="s">
        <v>13528</v>
      </c>
      <c r="AC912" s="15" t="s">
        <v>13528</v>
      </c>
      <c r="AD912" s="15" t="s">
        <v>13529</v>
      </c>
      <c r="AE912" s="15" t="s">
        <v>164</v>
      </c>
      <c r="AF912" s="15" t="s">
        <v>13529</v>
      </c>
      <c r="AG912" s="15" t="s">
        <v>13528</v>
      </c>
      <c r="AH912" s="47" t="s">
        <v>13530</v>
      </c>
      <c r="AL912" s="15" t="s">
        <v>13531</v>
      </c>
      <c r="AN912" s="15">
        <v>743</v>
      </c>
      <c r="AO912" s="15" t="s">
        <v>13532</v>
      </c>
      <c r="AQ912" s="15" t="s">
        <v>912</v>
      </c>
      <c r="AT912" s="15" t="s">
        <v>13533</v>
      </c>
      <c r="AU912" s="18" t="s">
        <v>13534</v>
      </c>
      <c r="AV912" s="18" t="s">
        <v>13534</v>
      </c>
      <c r="AW912" s="15" t="s">
        <v>13535</v>
      </c>
      <c r="AX912" s="15" t="s">
        <v>13536</v>
      </c>
      <c r="AY912" s="15">
        <f t="shared" si="19"/>
        <v>59</v>
      </c>
      <c r="AZ912" s="18" t="s">
        <v>917</v>
      </c>
      <c r="BA912" s="18" t="s">
        <v>174</v>
      </c>
      <c r="BB912" s="18" t="s">
        <v>13524</v>
      </c>
      <c r="BC912" s="15">
        <v>4</v>
      </c>
      <c r="BE912" s="18" t="s">
        <v>564</v>
      </c>
      <c r="BF912" s="18" t="s">
        <v>13537</v>
      </c>
      <c r="BI912" s="18" t="s">
        <v>13526</v>
      </c>
      <c r="BJ912" s="18" t="s">
        <v>6021</v>
      </c>
      <c r="BN912" s="18" t="s">
        <v>179</v>
      </c>
      <c r="BP912" s="18" t="s">
        <v>138</v>
      </c>
      <c r="BS912" s="15" t="s">
        <v>13538</v>
      </c>
      <c r="DH912" s="15" t="s">
        <v>17982</v>
      </c>
      <c r="DI912" s="15" t="s">
        <v>17982</v>
      </c>
    </row>
    <row r="913" spans="1:113" s="15" customFormat="1" ht="12.75" x14ac:dyDescent="0.2">
      <c r="A913" s="15" t="s">
        <v>109</v>
      </c>
      <c r="B913" s="15" t="s">
        <v>110</v>
      </c>
      <c r="D913" s="15" t="s">
        <v>1481</v>
      </c>
      <c r="E913" s="15" t="s">
        <v>112</v>
      </c>
      <c r="F913" s="15" t="s">
        <v>1481</v>
      </c>
      <c r="G913" s="15" t="s">
        <v>113</v>
      </c>
      <c r="H913" s="15" t="s">
        <v>1481</v>
      </c>
      <c r="J913" s="16" t="s">
        <v>114</v>
      </c>
      <c r="U913" s="15" t="s">
        <v>17977</v>
      </c>
      <c r="W913" s="15">
        <v>2794</v>
      </c>
      <c r="X913" s="15">
        <v>923</v>
      </c>
      <c r="Y913" s="15" t="s">
        <v>160</v>
      </c>
      <c r="Z913" s="15" t="s">
        <v>161</v>
      </c>
      <c r="AA913" s="15" t="s">
        <v>162</v>
      </c>
      <c r="AB913" s="15" t="s">
        <v>13561</v>
      </c>
      <c r="AC913" s="15" t="s">
        <v>13561</v>
      </c>
      <c r="AD913" s="15" t="s">
        <v>13562</v>
      </c>
      <c r="AE913" s="15" t="s">
        <v>164</v>
      </c>
      <c r="AF913" s="15" t="s">
        <v>13562</v>
      </c>
      <c r="AG913" s="15" t="s">
        <v>13561</v>
      </c>
      <c r="AH913" s="47" t="s">
        <v>13563</v>
      </c>
      <c r="AL913" s="15" t="s">
        <v>13564</v>
      </c>
      <c r="AN913" s="15">
        <v>743</v>
      </c>
      <c r="AO913" s="15" t="s">
        <v>13565</v>
      </c>
      <c r="AQ913" s="15" t="s">
        <v>912</v>
      </c>
      <c r="AT913" s="15" t="s">
        <v>13566</v>
      </c>
      <c r="AU913" s="18" t="s">
        <v>13567</v>
      </c>
      <c r="AV913" s="18" t="s">
        <v>13567</v>
      </c>
      <c r="AW913" s="15" t="s">
        <v>13568</v>
      </c>
      <c r="AX913" s="15" t="s">
        <v>13569</v>
      </c>
      <c r="AY913" s="15">
        <f t="shared" si="19"/>
        <v>59</v>
      </c>
      <c r="AZ913" s="18" t="s">
        <v>917</v>
      </c>
      <c r="BA913" s="18" t="s">
        <v>174</v>
      </c>
      <c r="BB913" s="18" t="s">
        <v>13524</v>
      </c>
      <c r="BC913" s="15">
        <v>5</v>
      </c>
      <c r="BE913" s="18" t="s">
        <v>564</v>
      </c>
      <c r="BF913" s="18" t="s">
        <v>13570</v>
      </c>
      <c r="BI913" s="18" t="s">
        <v>13526</v>
      </c>
      <c r="BJ913" s="18" t="s">
        <v>6021</v>
      </c>
      <c r="BN913" s="18" t="s">
        <v>179</v>
      </c>
      <c r="BP913" s="18" t="s">
        <v>138</v>
      </c>
      <c r="BS913" s="15" t="s">
        <v>13571</v>
      </c>
      <c r="DH913" s="15" t="s">
        <v>17982</v>
      </c>
      <c r="DI913" s="15" t="s">
        <v>17982</v>
      </c>
    </row>
    <row r="914" spans="1:113" s="15" customFormat="1" ht="12.75" x14ac:dyDescent="0.2">
      <c r="A914" s="15" t="s">
        <v>109</v>
      </c>
      <c r="B914" s="15" t="s">
        <v>110</v>
      </c>
      <c r="D914" s="15" t="s">
        <v>1481</v>
      </c>
      <c r="E914" s="15" t="s">
        <v>112</v>
      </c>
      <c r="F914" s="15" t="s">
        <v>1481</v>
      </c>
      <c r="G914" s="15" t="s">
        <v>113</v>
      </c>
      <c r="H914" s="15" t="s">
        <v>1481</v>
      </c>
      <c r="J914" s="16" t="s">
        <v>114</v>
      </c>
      <c r="U914" s="15" t="s">
        <v>17977</v>
      </c>
      <c r="W914" s="15">
        <v>2795</v>
      </c>
      <c r="X914" s="15">
        <v>924</v>
      </c>
      <c r="Y914" s="15" t="s">
        <v>160</v>
      </c>
      <c r="Z914" s="15" t="s">
        <v>161</v>
      </c>
      <c r="AA914" s="15" t="s">
        <v>162</v>
      </c>
      <c r="AB914" s="15" t="s">
        <v>13572</v>
      </c>
      <c r="AC914" s="15" t="s">
        <v>13572</v>
      </c>
      <c r="AD914" s="15" t="s">
        <v>13573</v>
      </c>
      <c r="AE914" s="15" t="s">
        <v>164</v>
      </c>
      <c r="AF914" s="15" t="s">
        <v>13573</v>
      </c>
      <c r="AG914" s="15" t="s">
        <v>13572</v>
      </c>
      <c r="AH914" s="47" t="s">
        <v>13574</v>
      </c>
      <c r="AL914" s="15" t="s">
        <v>13575</v>
      </c>
      <c r="AN914" s="15">
        <v>743</v>
      </c>
      <c r="AO914" s="15" t="s">
        <v>13576</v>
      </c>
      <c r="AQ914" s="15" t="s">
        <v>912</v>
      </c>
      <c r="AT914" s="15" t="s">
        <v>13577</v>
      </c>
      <c r="AU914" s="18" t="s">
        <v>13578</v>
      </c>
      <c r="AV914" s="18" t="s">
        <v>13578</v>
      </c>
      <c r="AW914" s="15" t="s">
        <v>13579</v>
      </c>
      <c r="AX914" s="15" t="s">
        <v>13580</v>
      </c>
      <c r="AY914" s="15">
        <f t="shared" si="19"/>
        <v>59</v>
      </c>
      <c r="AZ914" s="18" t="s">
        <v>917</v>
      </c>
      <c r="BA914" s="18" t="s">
        <v>174</v>
      </c>
      <c r="BB914" s="18" t="s">
        <v>13524</v>
      </c>
      <c r="BC914" s="15">
        <v>6</v>
      </c>
      <c r="BE914" s="18" t="s">
        <v>564</v>
      </c>
      <c r="BF914" s="18" t="s">
        <v>13581</v>
      </c>
      <c r="BI914" s="18" t="s">
        <v>13526</v>
      </c>
      <c r="BJ914" s="18" t="s">
        <v>6021</v>
      </c>
      <c r="BN914" s="18" t="s">
        <v>179</v>
      </c>
      <c r="BP914" s="18" t="s">
        <v>138</v>
      </c>
      <c r="BS914" s="15" t="s">
        <v>13582</v>
      </c>
      <c r="DH914" s="15" t="s">
        <v>17982</v>
      </c>
      <c r="DI914" s="15" t="s">
        <v>17982</v>
      </c>
    </row>
    <row r="915" spans="1:113" s="15" customFormat="1" ht="12.75" x14ac:dyDescent="0.2">
      <c r="A915" s="15" t="s">
        <v>109</v>
      </c>
      <c r="B915" s="15" t="s">
        <v>110</v>
      </c>
      <c r="D915" s="15" t="s">
        <v>1481</v>
      </c>
      <c r="E915" s="15" t="s">
        <v>112</v>
      </c>
      <c r="F915" s="15" t="s">
        <v>1481</v>
      </c>
      <c r="G915" s="15" t="s">
        <v>113</v>
      </c>
      <c r="H915" s="15" t="s">
        <v>1481</v>
      </c>
      <c r="J915" s="16" t="s">
        <v>114</v>
      </c>
      <c r="U915" s="15" t="s">
        <v>17977</v>
      </c>
      <c r="W915" s="15">
        <v>1050</v>
      </c>
      <c r="X915" s="15">
        <v>925</v>
      </c>
      <c r="Y915" s="15" t="s">
        <v>160</v>
      </c>
      <c r="Z915" s="15" t="s">
        <v>161</v>
      </c>
      <c r="AA915" s="15" t="s">
        <v>162</v>
      </c>
      <c r="AB915" s="15" t="s">
        <v>5460</v>
      </c>
      <c r="AC915" s="15" t="s">
        <v>5460</v>
      </c>
      <c r="AD915" s="15" t="s">
        <v>5461</v>
      </c>
      <c r="AE915" s="15" t="s">
        <v>164</v>
      </c>
      <c r="AF915" s="15" t="s">
        <v>5461</v>
      </c>
      <c r="AG915" s="15" t="s">
        <v>5460</v>
      </c>
      <c r="AH915" s="15" t="s">
        <v>5462</v>
      </c>
      <c r="AL915" s="15" t="s">
        <v>5463</v>
      </c>
      <c r="AN915" s="15">
        <v>743</v>
      </c>
      <c r="AO915" s="15" t="s">
        <v>5464</v>
      </c>
      <c r="AQ915" s="15" t="s">
        <v>3598</v>
      </c>
      <c r="AT915" s="15" t="s">
        <v>5465</v>
      </c>
      <c r="AU915" s="18" t="s">
        <v>5466</v>
      </c>
      <c r="AV915" s="18" t="s">
        <v>5466</v>
      </c>
      <c r="AW915" s="15" t="s">
        <v>5467</v>
      </c>
      <c r="AX915" s="15" t="s">
        <v>5467</v>
      </c>
      <c r="AY915" s="15">
        <f t="shared" si="19"/>
        <v>55</v>
      </c>
      <c r="AZ915" s="18" t="s">
        <v>3603</v>
      </c>
      <c r="BA915" s="18" t="s">
        <v>214</v>
      </c>
      <c r="BB915" s="18" t="s">
        <v>5468</v>
      </c>
      <c r="BC915" s="18" t="s">
        <v>646</v>
      </c>
      <c r="BE915" s="18" t="s">
        <v>1317</v>
      </c>
      <c r="BJ915" s="18" t="s">
        <v>5016</v>
      </c>
      <c r="BN915" s="18" t="s">
        <v>179</v>
      </c>
      <c r="BO915" s="18" t="s">
        <v>4731</v>
      </c>
      <c r="BP915" s="18" t="s">
        <v>138</v>
      </c>
      <c r="BS915" s="15" t="s">
        <v>5469</v>
      </c>
      <c r="DH915" s="15" t="s">
        <v>17982</v>
      </c>
      <c r="DI915" s="15" t="s">
        <v>17982</v>
      </c>
    </row>
    <row r="916" spans="1:113" s="15" customFormat="1" ht="12.75" x14ac:dyDescent="0.2">
      <c r="A916" s="15" t="s">
        <v>109</v>
      </c>
      <c r="B916" s="15" t="s">
        <v>110</v>
      </c>
      <c r="D916" s="15" t="s">
        <v>1481</v>
      </c>
      <c r="E916" s="15" t="s">
        <v>112</v>
      </c>
      <c r="F916" s="15" t="s">
        <v>1481</v>
      </c>
      <c r="G916" s="15" t="s">
        <v>113</v>
      </c>
      <c r="H916" s="15" t="s">
        <v>1481</v>
      </c>
      <c r="J916" s="16" t="s">
        <v>114</v>
      </c>
      <c r="U916" s="15" t="s">
        <v>17977</v>
      </c>
      <c r="W916" s="15">
        <v>1051</v>
      </c>
      <c r="X916" s="15">
        <v>926</v>
      </c>
      <c r="Y916" s="15" t="s">
        <v>160</v>
      </c>
      <c r="Z916" s="15" t="s">
        <v>161</v>
      </c>
      <c r="AA916" s="15" t="s">
        <v>162</v>
      </c>
      <c r="AB916" s="15" t="s">
        <v>5470</v>
      </c>
      <c r="AC916" s="15" t="s">
        <v>5470</v>
      </c>
      <c r="AD916" s="15" t="s">
        <v>5471</v>
      </c>
      <c r="AE916" s="15" t="s">
        <v>164</v>
      </c>
      <c r="AF916" s="15" t="s">
        <v>5471</v>
      </c>
      <c r="AG916" s="15" t="s">
        <v>5470</v>
      </c>
      <c r="AH916" s="15" t="s">
        <v>5472</v>
      </c>
      <c r="AL916" s="15" t="s">
        <v>5463</v>
      </c>
      <c r="AN916" s="15">
        <v>743</v>
      </c>
      <c r="AO916" s="15" t="s">
        <v>5473</v>
      </c>
      <c r="AQ916" s="15" t="s">
        <v>3598</v>
      </c>
      <c r="AT916" s="15" t="s">
        <v>5474</v>
      </c>
      <c r="AU916" s="18" t="s">
        <v>5475</v>
      </c>
      <c r="AV916" s="18" t="s">
        <v>5475</v>
      </c>
      <c r="AW916" s="15" t="s">
        <v>5476</v>
      </c>
      <c r="AX916" s="15" t="s">
        <v>5476</v>
      </c>
      <c r="AY916" s="15">
        <f t="shared" si="19"/>
        <v>51</v>
      </c>
      <c r="AZ916" s="18" t="s">
        <v>3603</v>
      </c>
      <c r="BA916" s="18" t="s">
        <v>214</v>
      </c>
      <c r="BB916" s="18" t="s">
        <v>5468</v>
      </c>
      <c r="BC916" s="18" t="s">
        <v>646</v>
      </c>
      <c r="BE916" s="18" t="s">
        <v>176</v>
      </c>
      <c r="BJ916" s="18" t="s">
        <v>5016</v>
      </c>
      <c r="BN916" s="18" t="s">
        <v>179</v>
      </c>
      <c r="BO916" s="18" t="s">
        <v>4731</v>
      </c>
      <c r="BP916" s="18" t="s">
        <v>138</v>
      </c>
      <c r="BS916" s="15" t="s">
        <v>5477</v>
      </c>
      <c r="DH916" s="15" t="s">
        <v>17982</v>
      </c>
      <c r="DI916" s="15" t="s">
        <v>17982</v>
      </c>
    </row>
    <row r="917" spans="1:113" s="15" customFormat="1" ht="12.75" x14ac:dyDescent="0.2">
      <c r="A917" s="15" t="s">
        <v>109</v>
      </c>
      <c r="B917" s="15" t="s">
        <v>110</v>
      </c>
      <c r="D917" s="15" t="s">
        <v>1481</v>
      </c>
      <c r="E917" s="15" t="s">
        <v>112</v>
      </c>
      <c r="F917" s="15" t="s">
        <v>1481</v>
      </c>
      <c r="G917" s="15" t="s">
        <v>113</v>
      </c>
      <c r="H917" s="15" t="s">
        <v>1481</v>
      </c>
      <c r="J917" s="16" t="s">
        <v>114</v>
      </c>
      <c r="U917" s="15" t="s">
        <v>17977</v>
      </c>
      <c r="W917" s="15">
        <v>683</v>
      </c>
      <c r="X917" s="15">
        <v>927</v>
      </c>
      <c r="Y917" s="15" t="s">
        <v>160</v>
      </c>
      <c r="Z917" s="15" t="s">
        <v>161</v>
      </c>
      <c r="AA917" s="15" t="s">
        <v>162</v>
      </c>
      <c r="AB917" s="15" t="s">
        <v>2484</v>
      </c>
      <c r="AC917" s="15" t="s">
        <v>2484</v>
      </c>
      <c r="AD917" s="15" t="s">
        <v>2484</v>
      </c>
      <c r="AE917" s="15" t="s">
        <v>164</v>
      </c>
      <c r="AF917" s="15" t="s">
        <v>2484</v>
      </c>
      <c r="AG917" s="15" t="s">
        <v>2484</v>
      </c>
      <c r="AH917" s="15" t="s">
        <v>2485</v>
      </c>
      <c r="AL917" s="15" t="s">
        <v>2486</v>
      </c>
      <c r="AN917" s="15">
        <v>743</v>
      </c>
      <c r="AO917" s="15" t="s">
        <v>2487</v>
      </c>
      <c r="AQ917" s="15" t="s">
        <v>912</v>
      </c>
      <c r="AT917" s="15" t="s">
        <v>2488</v>
      </c>
      <c r="AU917" s="18" t="s">
        <v>2489</v>
      </c>
      <c r="AV917" s="18" t="s">
        <v>2489</v>
      </c>
      <c r="AW917" s="15" t="s">
        <v>2490</v>
      </c>
      <c r="AX917" s="15" t="s">
        <v>2491</v>
      </c>
      <c r="AY917" s="15">
        <f t="shared" si="19"/>
        <v>58</v>
      </c>
      <c r="AZ917" s="18" t="s">
        <v>917</v>
      </c>
      <c r="BA917" s="18" t="s">
        <v>174</v>
      </c>
      <c r="BB917" s="18" t="s">
        <v>2370</v>
      </c>
      <c r="BE917" s="18" t="s">
        <v>1701</v>
      </c>
      <c r="BF917" s="18" t="s">
        <v>2492</v>
      </c>
      <c r="BI917" s="18" t="s">
        <v>2472</v>
      </c>
      <c r="BJ917" s="18" t="s">
        <v>2441</v>
      </c>
      <c r="BN917" s="18" t="s">
        <v>179</v>
      </c>
      <c r="BP917" s="18" t="s">
        <v>138</v>
      </c>
      <c r="BS917" s="15" t="s">
        <v>2493</v>
      </c>
      <c r="DH917" s="15" t="s">
        <v>17982</v>
      </c>
      <c r="DI917" s="15" t="s">
        <v>17982</v>
      </c>
    </row>
    <row r="918" spans="1:113" s="15" customFormat="1" ht="12.75" x14ac:dyDescent="0.2">
      <c r="A918" s="15" t="s">
        <v>109</v>
      </c>
      <c r="B918" s="15" t="s">
        <v>110</v>
      </c>
      <c r="D918" s="15" t="s">
        <v>1481</v>
      </c>
      <c r="E918" s="15" t="s">
        <v>112</v>
      </c>
      <c r="F918" s="15" t="s">
        <v>1481</v>
      </c>
      <c r="G918" s="15" t="s">
        <v>113</v>
      </c>
      <c r="H918" s="15" t="s">
        <v>1481</v>
      </c>
      <c r="J918" s="16" t="s">
        <v>114</v>
      </c>
      <c r="U918" s="15" t="s">
        <v>17977</v>
      </c>
      <c r="W918" s="15">
        <v>682</v>
      </c>
      <c r="X918" s="15">
        <v>928</v>
      </c>
      <c r="Y918" s="15" t="s">
        <v>160</v>
      </c>
      <c r="Z918" s="15" t="s">
        <v>161</v>
      </c>
      <c r="AA918" s="15" t="s">
        <v>162</v>
      </c>
      <c r="AB918" s="15" t="s">
        <v>2474</v>
      </c>
      <c r="AC918" s="15" t="s">
        <v>2474</v>
      </c>
      <c r="AD918" s="15" t="s">
        <v>2474</v>
      </c>
      <c r="AE918" s="15" t="s">
        <v>164</v>
      </c>
      <c r="AF918" s="15" t="s">
        <v>2474</v>
      </c>
      <c r="AG918" s="15" t="s">
        <v>2474</v>
      </c>
      <c r="AH918" s="15" t="s">
        <v>2475</v>
      </c>
      <c r="AL918" s="15" t="s">
        <v>2476</v>
      </c>
      <c r="AN918" s="15">
        <v>743</v>
      </c>
      <c r="AO918" s="15" t="s">
        <v>2477</v>
      </c>
      <c r="AQ918" s="15" t="s">
        <v>912</v>
      </c>
      <c r="AT918" s="15" t="s">
        <v>2478</v>
      </c>
      <c r="AU918" s="18" t="s">
        <v>2479</v>
      </c>
      <c r="AV918" s="18" t="s">
        <v>2479</v>
      </c>
      <c r="AW918" s="15" t="s">
        <v>2480</v>
      </c>
      <c r="AX918" s="15" t="s">
        <v>2481</v>
      </c>
      <c r="AY918" s="15">
        <f t="shared" si="19"/>
        <v>58</v>
      </c>
      <c r="AZ918" s="18" t="s">
        <v>917</v>
      </c>
      <c r="BA918" s="18" t="s">
        <v>174</v>
      </c>
      <c r="BB918" s="18" t="s">
        <v>2370</v>
      </c>
      <c r="BE918" s="18" t="s">
        <v>1701</v>
      </c>
      <c r="BF918" s="18" t="s">
        <v>2482</v>
      </c>
      <c r="BI918" s="18" t="s">
        <v>2472</v>
      </c>
      <c r="BJ918" s="18" t="s">
        <v>2441</v>
      </c>
      <c r="BN918" s="18" t="s">
        <v>179</v>
      </c>
      <c r="BP918" s="18" t="s">
        <v>138</v>
      </c>
      <c r="BS918" s="15" t="s">
        <v>2483</v>
      </c>
      <c r="DH918" s="15" t="s">
        <v>17982</v>
      </c>
      <c r="DI918" s="15" t="s">
        <v>17982</v>
      </c>
    </row>
    <row r="919" spans="1:113" s="15" customFormat="1" ht="12.75" x14ac:dyDescent="0.2">
      <c r="A919" s="15" t="s">
        <v>109</v>
      </c>
      <c r="B919" s="15" t="s">
        <v>110</v>
      </c>
      <c r="D919" s="15" t="s">
        <v>1481</v>
      </c>
      <c r="E919" s="15" t="s">
        <v>112</v>
      </c>
      <c r="F919" s="15" t="s">
        <v>1481</v>
      </c>
      <c r="G919" s="15" t="s">
        <v>113</v>
      </c>
      <c r="H919" s="15" t="s">
        <v>1481</v>
      </c>
      <c r="J919" s="16" t="s">
        <v>114</v>
      </c>
      <c r="U919" s="15" t="s">
        <v>17977</v>
      </c>
      <c r="W919" s="15">
        <v>681</v>
      </c>
      <c r="X919" s="15">
        <v>929</v>
      </c>
      <c r="Y919" s="15" t="s">
        <v>160</v>
      </c>
      <c r="Z919" s="15" t="s">
        <v>161</v>
      </c>
      <c r="AA919" s="15" t="s">
        <v>162</v>
      </c>
      <c r="AB919" s="15" t="s">
        <v>2463</v>
      </c>
      <c r="AC919" s="15" t="s">
        <v>2463</v>
      </c>
      <c r="AD919" s="15" t="s">
        <v>2463</v>
      </c>
      <c r="AE919" s="15" t="s">
        <v>164</v>
      </c>
      <c r="AF919" s="15" t="s">
        <v>2463</v>
      </c>
      <c r="AG919" s="15" t="s">
        <v>2463</v>
      </c>
      <c r="AH919" s="15" t="s">
        <v>2464</v>
      </c>
      <c r="AL919" s="15" t="s">
        <v>2465</v>
      </c>
      <c r="AN919" s="15">
        <v>743</v>
      </c>
      <c r="AO919" s="15" t="s">
        <v>2466</v>
      </c>
      <c r="AQ919" s="15" t="s">
        <v>912</v>
      </c>
      <c r="AT919" s="15" t="s">
        <v>2467</v>
      </c>
      <c r="AU919" s="18" t="s">
        <v>2468</v>
      </c>
      <c r="AV919" s="18" t="s">
        <v>2468</v>
      </c>
      <c r="AW919" s="15" t="s">
        <v>2469</v>
      </c>
      <c r="AX919" s="15" t="s">
        <v>2470</v>
      </c>
      <c r="AY919" s="15">
        <f t="shared" si="19"/>
        <v>58</v>
      </c>
      <c r="AZ919" s="18" t="s">
        <v>917</v>
      </c>
      <c r="BA919" s="18" t="s">
        <v>174</v>
      </c>
      <c r="BB919" s="18" t="s">
        <v>2370</v>
      </c>
      <c r="BE919" s="18" t="s">
        <v>1701</v>
      </c>
      <c r="BF919" s="18" t="s">
        <v>2471</v>
      </c>
      <c r="BI919" s="18" t="s">
        <v>2472</v>
      </c>
      <c r="BJ919" s="18" t="s">
        <v>2441</v>
      </c>
      <c r="BN919" s="18" t="s">
        <v>179</v>
      </c>
      <c r="BP919" s="18" t="s">
        <v>138</v>
      </c>
      <c r="BS919" s="15" t="s">
        <v>2473</v>
      </c>
      <c r="DH919" s="15" t="s">
        <v>17982</v>
      </c>
      <c r="DI919" s="15" t="s">
        <v>17982</v>
      </c>
    </row>
    <row r="920" spans="1:113" s="15" customFormat="1" ht="12.75" x14ac:dyDescent="0.2">
      <c r="A920" s="15" t="s">
        <v>109</v>
      </c>
      <c r="B920" s="15" t="s">
        <v>110</v>
      </c>
      <c r="D920" s="15" t="s">
        <v>1481</v>
      </c>
      <c r="E920" s="15" t="s">
        <v>112</v>
      </c>
      <c r="F920" s="15" t="s">
        <v>1481</v>
      </c>
      <c r="G920" s="15" t="s">
        <v>113</v>
      </c>
      <c r="H920" s="15" t="s">
        <v>1481</v>
      </c>
      <c r="J920" s="16" t="s">
        <v>114</v>
      </c>
      <c r="U920" s="15" t="s">
        <v>17977</v>
      </c>
      <c r="W920" s="15">
        <v>680</v>
      </c>
      <c r="X920" s="15">
        <v>930</v>
      </c>
      <c r="Y920" s="15" t="s">
        <v>160</v>
      </c>
      <c r="Z920" s="15" t="s">
        <v>161</v>
      </c>
      <c r="AA920" s="15" t="s">
        <v>162</v>
      </c>
      <c r="AB920" s="15" t="s">
        <v>2453</v>
      </c>
      <c r="AC920" s="15" t="s">
        <v>2453</v>
      </c>
      <c r="AD920" s="15" t="s">
        <v>2453</v>
      </c>
      <c r="AE920" s="15" t="s">
        <v>164</v>
      </c>
      <c r="AF920" s="15" t="s">
        <v>2453</v>
      </c>
      <c r="AG920" s="15" t="s">
        <v>2453</v>
      </c>
      <c r="AH920" s="15" t="s">
        <v>2454</v>
      </c>
      <c r="AL920" s="15" t="s">
        <v>2455</v>
      </c>
      <c r="AN920" s="15">
        <v>743</v>
      </c>
      <c r="AO920" s="15" t="s">
        <v>2456</v>
      </c>
      <c r="AQ920" s="15" t="s">
        <v>912</v>
      </c>
      <c r="AT920" s="15" t="s">
        <v>2457</v>
      </c>
      <c r="AU920" s="18" t="s">
        <v>2458</v>
      </c>
      <c r="AV920" s="18" t="s">
        <v>2458</v>
      </c>
      <c r="AW920" s="15" t="s">
        <v>2459</v>
      </c>
      <c r="AX920" s="15" t="s">
        <v>2460</v>
      </c>
      <c r="AY920" s="15">
        <f t="shared" si="19"/>
        <v>60</v>
      </c>
      <c r="AZ920" s="18" t="s">
        <v>917</v>
      </c>
      <c r="BA920" s="18" t="s">
        <v>174</v>
      </c>
      <c r="BB920" s="18" t="s">
        <v>2370</v>
      </c>
      <c r="BE920" s="18" t="s">
        <v>1032</v>
      </c>
      <c r="BF920" s="18" t="s">
        <v>2461</v>
      </c>
      <c r="BI920" s="18" t="s">
        <v>2440</v>
      </c>
      <c r="BJ920" s="18" t="s">
        <v>2441</v>
      </c>
      <c r="BN920" s="18" t="s">
        <v>179</v>
      </c>
      <c r="BP920" s="18" t="s">
        <v>138</v>
      </c>
      <c r="BS920" s="15" t="s">
        <v>2462</v>
      </c>
      <c r="DH920" s="15" t="s">
        <v>17982</v>
      </c>
      <c r="DI920" s="15" t="s">
        <v>17982</v>
      </c>
    </row>
    <row r="921" spans="1:113" s="15" customFormat="1" ht="12.75" x14ac:dyDescent="0.2">
      <c r="A921" s="15" t="s">
        <v>109</v>
      </c>
      <c r="B921" s="15" t="s">
        <v>110</v>
      </c>
      <c r="D921" s="15" t="s">
        <v>1481</v>
      </c>
      <c r="E921" s="15" t="s">
        <v>112</v>
      </c>
      <c r="F921" s="15" t="s">
        <v>1481</v>
      </c>
      <c r="G921" s="15" t="s">
        <v>113</v>
      </c>
      <c r="H921" s="15" t="s">
        <v>1481</v>
      </c>
      <c r="J921" s="16" t="s">
        <v>114</v>
      </c>
      <c r="U921" s="15" t="s">
        <v>17977</v>
      </c>
      <c r="W921" s="15">
        <v>679</v>
      </c>
      <c r="X921" s="15">
        <v>931</v>
      </c>
      <c r="Y921" s="15" t="s">
        <v>160</v>
      </c>
      <c r="Z921" s="15" t="s">
        <v>161</v>
      </c>
      <c r="AA921" s="15" t="s">
        <v>162</v>
      </c>
      <c r="AB921" s="15" t="s">
        <v>2443</v>
      </c>
      <c r="AC921" s="15" t="s">
        <v>2443</v>
      </c>
      <c r="AD921" s="15" t="s">
        <v>2443</v>
      </c>
      <c r="AE921" s="15" t="s">
        <v>164</v>
      </c>
      <c r="AF921" s="15" t="s">
        <v>2443</v>
      </c>
      <c r="AG921" s="15" t="s">
        <v>2443</v>
      </c>
      <c r="AH921" s="15" t="s">
        <v>2444</v>
      </c>
      <c r="AL921" s="15" t="s">
        <v>2445</v>
      </c>
      <c r="AN921" s="15">
        <v>743</v>
      </c>
      <c r="AO921" s="15" t="s">
        <v>2446</v>
      </c>
      <c r="AQ921" s="15" t="s">
        <v>912</v>
      </c>
      <c r="AT921" s="15" t="s">
        <v>2447</v>
      </c>
      <c r="AU921" s="18" t="s">
        <v>2448</v>
      </c>
      <c r="AV921" s="18" t="s">
        <v>2448</v>
      </c>
      <c r="AW921" s="15" t="s">
        <v>2449</v>
      </c>
      <c r="AX921" s="15" t="s">
        <v>2450</v>
      </c>
      <c r="AY921" s="15">
        <f t="shared" si="19"/>
        <v>60</v>
      </c>
      <c r="AZ921" s="18" t="s">
        <v>917</v>
      </c>
      <c r="BA921" s="18" t="s">
        <v>174</v>
      </c>
      <c r="BB921" s="18" t="s">
        <v>2370</v>
      </c>
      <c r="BE921" s="18" t="s">
        <v>1032</v>
      </c>
      <c r="BF921" s="18" t="s">
        <v>2451</v>
      </c>
      <c r="BI921" s="18" t="s">
        <v>2440</v>
      </c>
      <c r="BJ921" s="18" t="s">
        <v>2441</v>
      </c>
      <c r="BN921" s="18" t="s">
        <v>179</v>
      </c>
      <c r="BP921" s="18" t="s">
        <v>138</v>
      </c>
      <c r="BS921" s="15" t="s">
        <v>2452</v>
      </c>
      <c r="DH921" s="15" t="s">
        <v>17982</v>
      </c>
      <c r="DI921" s="15" t="s">
        <v>17982</v>
      </c>
    </row>
    <row r="922" spans="1:113" s="15" customFormat="1" ht="12.75" x14ac:dyDescent="0.2">
      <c r="A922" s="15" t="s">
        <v>109</v>
      </c>
      <c r="B922" s="15" t="s">
        <v>110</v>
      </c>
      <c r="D922" s="15" t="s">
        <v>1481</v>
      </c>
      <c r="E922" s="15" t="s">
        <v>112</v>
      </c>
      <c r="F922" s="15" t="s">
        <v>1481</v>
      </c>
      <c r="G922" s="15" t="s">
        <v>113</v>
      </c>
      <c r="H922" s="15" t="s">
        <v>1481</v>
      </c>
      <c r="J922" s="16" t="s">
        <v>114</v>
      </c>
      <c r="U922" s="15" t="s">
        <v>17977</v>
      </c>
      <c r="W922" s="15">
        <v>678</v>
      </c>
      <c r="X922" s="15">
        <v>932</v>
      </c>
      <c r="Y922" s="15" t="s">
        <v>160</v>
      </c>
      <c r="Z922" s="15" t="s">
        <v>161</v>
      </c>
      <c r="AA922" s="15" t="s">
        <v>162</v>
      </c>
      <c r="AB922" s="15" t="s">
        <v>2431</v>
      </c>
      <c r="AC922" s="15" t="s">
        <v>2431</v>
      </c>
      <c r="AD922" s="15" t="s">
        <v>2431</v>
      </c>
      <c r="AE922" s="15" t="s">
        <v>164</v>
      </c>
      <c r="AF922" s="15" t="s">
        <v>2431</v>
      </c>
      <c r="AG922" s="15" t="s">
        <v>2431</v>
      </c>
      <c r="AH922" s="15" t="s">
        <v>2432</v>
      </c>
      <c r="AL922" s="15" t="s">
        <v>2433</v>
      </c>
      <c r="AN922" s="15">
        <v>743</v>
      </c>
      <c r="AO922" s="15" t="s">
        <v>2434</v>
      </c>
      <c r="AQ922" s="15" t="s">
        <v>912</v>
      </c>
      <c r="AT922" s="15" t="s">
        <v>2435</v>
      </c>
      <c r="AU922" s="18" t="s">
        <v>2436</v>
      </c>
      <c r="AV922" s="18" t="s">
        <v>2436</v>
      </c>
      <c r="AW922" s="15" t="s">
        <v>2437</v>
      </c>
      <c r="AX922" s="15" t="s">
        <v>2438</v>
      </c>
      <c r="AY922" s="15">
        <f t="shared" si="19"/>
        <v>59</v>
      </c>
      <c r="AZ922" s="18" t="s">
        <v>917</v>
      </c>
      <c r="BA922" s="18" t="s">
        <v>174</v>
      </c>
      <c r="BB922" s="18" t="s">
        <v>2370</v>
      </c>
      <c r="BE922" s="18" t="s">
        <v>176</v>
      </c>
      <c r="BF922" s="18" t="s">
        <v>2439</v>
      </c>
      <c r="BI922" s="18" t="s">
        <v>2440</v>
      </c>
      <c r="BJ922" s="18" t="s">
        <v>2441</v>
      </c>
      <c r="BN922" s="18" t="s">
        <v>179</v>
      </c>
      <c r="BP922" s="18" t="s">
        <v>138</v>
      </c>
      <c r="BS922" s="15" t="s">
        <v>2442</v>
      </c>
      <c r="DH922" s="15" t="s">
        <v>17982</v>
      </c>
      <c r="DI922" s="15" t="s">
        <v>17982</v>
      </c>
    </row>
    <row r="923" spans="1:113" s="15" customFormat="1" ht="12.75" x14ac:dyDescent="0.2">
      <c r="A923" s="15" t="s">
        <v>109</v>
      </c>
      <c r="B923" s="15" t="s">
        <v>110</v>
      </c>
      <c r="D923" s="15" t="s">
        <v>1481</v>
      </c>
      <c r="E923" s="15" t="s">
        <v>112</v>
      </c>
      <c r="F923" s="15" t="s">
        <v>1481</v>
      </c>
      <c r="G923" s="15" t="s">
        <v>113</v>
      </c>
      <c r="H923" s="15" t="s">
        <v>1481</v>
      </c>
      <c r="J923" s="16" t="s">
        <v>114</v>
      </c>
      <c r="U923" s="15" t="s">
        <v>17977</v>
      </c>
      <c r="W923" s="15">
        <v>1002</v>
      </c>
      <c r="X923" s="15">
        <v>933</v>
      </c>
      <c r="Y923" s="15" t="s">
        <v>160</v>
      </c>
      <c r="Z923" s="15" t="s">
        <v>161</v>
      </c>
      <c r="AA923" s="15" t="s">
        <v>162</v>
      </c>
      <c r="AB923" s="15" t="s">
        <v>5008</v>
      </c>
      <c r="AC923" s="15" t="s">
        <v>5008</v>
      </c>
      <c r="AD923" s="15" t="s">
        <v>5009</v>
      </c>
      <c r="AE923" s="15" t="s">
        <v>164</v>
      </c>
      <c r="AF923" s="15" t="s">
        <v>5009</v>
      </c>
      <c r="AG923" s="15" t="s">
        <v>5008</v>
      </c>
      <c r="AH923" s="15" t="s">
        <v>5010</v>
      </c>
      <c r="AL923" s="15" t="s">
        <v>5011</v>
      </c>
      <c r="AN923" s="15">
        <v>743</v>
      </c>
      <c r="AO923" s="15" t="s">
        <v>5012</v>
      </c>
      <c r="AQ923" s="15" t="s">
        <v>3598</v>
      </c>
      <c r="AT923" s="15" t="s">
        <v>5013</v>
      </c>
      <c r="AU923" s="18" t="s">
        <v>5014</v>
      </c>
      <c r="AV923" s="18" t="s">
        <v>5014</v>
      </c>
      <c r="AW923" s="15" t="s">
        <v>5015</v>
      </c>
      <c r="AX923" s="15" t="s">
        <v>5015</v>
      </c>
      <c r="AY923" s="15">
        <f t="shared" si="19"/>
        <v>47</v>
      </c>
      <c r="AZ923" s="18" t="s">
        <v>3603</v>
      </c>
      <c r="BA923" s="18" t="s">
        <v>214</v>
      </c>
      <c r="BB923" s="18" t="s">
        <v>5006</v>
      </c>
      <c r="BE923" s="18" t="s">
        <v>606</v>
      </c>
      <c r="BJ923" s="18" t="s">
        <v>5016</v>
      </c>
      <c r="BN923" s="18" t="s">
        <v>179</v>
      </c>
      <c r="BO923" s="18" t="s">
        <v>4731</v>
      </c>
      <c r="BP923" s="18" t="s">
        <v>138</v>
      </c>
      <c r="BS923" s="15" t="s">
        <v>5017</v>
      </c>
      <c r="DH923" s="15" t="s">
        <v>17982</v>
      </c>
      <c r="DI923" s="15" t="s">
        <v>17982</v>
      </c>
    </row>
    <row r="924" spans="1:113" s="15" customFormat="1" ht="12.75" x14ac:dyDescent="0.2">
      <c r="A924" s="15" t="s">
        <v>109</v>
      </c>
      <c r="B924" s="15" t="s">
        <v>110</v>
      </c>
      <c r="D924" s="15" t="s">
        <v>1481</v>
      </c>
      <c r="E924" s="15" t="s">
        <v>112</v>
      </c>
      <c r="F924" s="15" t="s">
        <v>1481</v>
      </c>
      <c r="G924" s="15" t="s">
        <v>113</v>
      </c>
      <c r="H924" s="15" t="s">
        <v>1481</v>
      </c>
      <c r="J924" s="16" t="s">
        <v>114</v>
      </c>
      <c r="U924" s="15" t="s">
        <v>17977</v>
      </c>
      <c r="W924" s="15">
        <v>1055</v>
      </c>
      <c r="X924" s="15">
        <v>934</v>
      </c>
      <c r="Y924" s="15" t="s">
        <v>160</v>
      </c>
      <c r="Z924" s="15" t="s">
        <v>161</v>
      </c>
      <c r="AA924" s="15" t="s">
        <v>162</v>
      </c>
      <c r="AB924" s="15" t="s">
        <v>5505</v>
      </c>
      <c r="AC924" s="15" t="s">
        <v>5505</v>
      </c>
      <c r="AD924" s="15" t="s">
        <v>5506</v>
      </c>
      <c r="AE924" s="15" t="s">
        <v>164</v>
      </c>
      <c r="AF924" s="15" t="s">
        <v>5506</v>
      </c>
      <c r="AG924" s="15" t="s">
        <v>5505</v>
      </c>
      <c r="AH924" s="15" t="s">
        <v>5507</v>
      </c>
      <c r="AL924" s="15" t="s">
        <v>5508</v>
      </c>
      <c r="AN924" s="15">
        <v>743</v>
      </c>
      <c r="AO924" s="15" t="s">
        <v>5509</v>
      </c>
      <c r="AQ924" s="15" t="s">
        <v>3598</v>
      </c>
      <c r="AT924" s="15" t="s">
        <v>5510</v>
      </c>
      <c r="AU924" s="18" t="s">
        <v>5511</v>
      </c>
      <c r="AV924" s="18" t="s">
        <v>5511</v>
      </c>
      <c r="AW924" s="15" t="s">
        <v>5512</v>
      </c>
      <c r="AX924" s="15" t="s">
        <v>5512</v>
      </c>
      <c r="AY924" s="15">
        <f t="shared" si="19"/>
        <v>60</v>
      </c>
      <c r="AZ924" s="18" t="s">
        <v>3603</v>
      </c>
      <c r="BA924" s="18" t="s">
        <v>214</v>
      </c>
      <c r="BB924" s="18" t="s">
        <v>4730</v>
      </c>
      <c r="BC924" s="18" t="s">
        <v>646</v>
      </c>
      <c r="BE924" s="18" t="s">
        <v>2299</v>
      </c>
      <c r="BJ924" s="18" t="s">
        <v>5513</v>
      </c>
      <c r="BN924" s="18" t="s">
        <v>179</v>
      </c>
      <c r="BO924" s="18" t="s">
        <v>4731</v>
      </c>
      <c r="BP924" s="18" t="s">
        <v>138</v>
      </c>
      <c r="BS924" s="15" t="s">
        <v>5514</v>
      </c>
      <c r="DH924" s="15" t="s">
        <v>17982</v>
      </c>
      <c r="DI924" s="15" t="s">
        <v>17982</v>
      </c>
    </row>
    <row r="925" spans="1:113" s="15" customFormat="1" ht="12.75" x14ac:dyDescent="0.2">
      <c r="A925" s="15" t="s">
        <v>109</v>
      </c>
      <c r="B925" s="15" t="s">
        <v>110</v>
      </c>
      <c r="D925" s="15" t="s">
        <v>1481</v>
      </c>
      <c r="E925" s="15" t="s">
        <v>112</v>
      </c>
      <c r="F925" s="15" t="s">
        <v>1481</v>
      </c>
      <c r="G925" s="15" t="s">
        <v>113</v>
      </c>
      <c r="H925" s="15" t="s">
        <v>1481</v>
      </c>
      <c r="J925" s="16" t="s">
        <v>114</v>
      </c>
      <c r="U925" s="15" t="s">
        <v>17977</v>
      </c>
      <c r="W925" s="15">
        <v>1056</v>
      </c>
      <c r="X925" s="15">
        <v>935</v>
      </c>
      <c r="Y925" s="15" t="s">
        <v>160</v>
      </c>
      <c r="Z925" s="15" t="s">
        <v>161</v>
      </c>
      <c r="AA925" s="15" t="s">
        <v>162</v>
      </c>
      <c r="AB925" s="15" t="s">
        <v>5515</v>
      </c>
      <c r="AC925" s="15" t="s">
        <v>5515</v>
      </c>
      <c r="AD925" s="15" t="s">
        <v>5516</v>
      </c>
      <c r="AE925" s="15" t="s">
        <v>164</v>
      </c>
      <c r="AF925" s="15" t="s">
        <v>5516</v>
      </c>
      <c r="AG925" s="15" t="s">
        <v>5515</v>
      </c>
      <c r="AH925" s="15" t="s">
        <v>5517</v>
      </c>
      <c r="AL925" s="15" t="s">
        <v>5518</v>
      </c>
      <c r="AN925" s="15">
        <v>743</v>
      </c>
      <c r="AO925" s="15" t="s">
        <v>5519</v>
      </c>
      <c r="AQ925" s="15" t="s">
        <v>3598</v>
      </c>
      <c r="AT925" s="15" t="s">
        <v>5520</v>
      </c>
      <c r="AU925" s="18" t="s">
        <v>5521</v>
      </c>
      <c r="AV925" s="18" t="s">
        <v>5521</v>
      </c>
      <c r="AW925" s="15" t="s">
        <v>5522</v>
      </c>
      <c r="AX925" s="15" t="s">
        <v>5522</v>
      </c>
      <c r="AY925" s="15">
        <f t="shared" si="19"/>
        <v>59</v>
      </c>
      <c r="AZ925" s="18" t="s">
        <v>3603</v>
      </c>
      <c r="BA925" s="18" t="s">
        <v>214</v>
      </c>
      <c r="BB925" s="18" t="s">
        <v>4730</v>
      </c>
      <c r="BC925" s="18" t="s">
        <v>646</v>
      </c>
      <c r="BE925" s="18" t="s">
        <v>1597</v>
      </c>
      <c r="BJ925" s="18" t="s">
        <v>5513</v>
      </c>
      <c r="BN925" s="18" t="s">
        <v>179</v>
      </c>
      <c r="BO925" s="18" t="s">
        <v>4731</v>
      </c>
      <c r="BP925" s="18" t="s">
        <v>138</v>
      </c>
      <c r="BS925" s="15" t="s">
        <v>5523</v>
      </c>
      <c r="DH925" s="15" t="s">
        <v>17982</v>
      </c>
      <c r="DI925" s="15" t="s">
        <v>17982</v>
      </c>
    </row>
    <row r="926" spans="1:113" s="15" customFormat="1" ht="12.75" x14ac:dyDescent="0.2">
      <c r="A926" s="15" t="s">
        <v>109</v>
      </c>
      <c r="B926" s="15" t="s">
        <v>110</v>
      </c>
      <c r="D926" s="15" t="s">
        <v>1481</v>
      </c>
      <c r="E926" s="15" t="s">
        <v>112</v>
      </c>
      <c r="F926" s="15" t="s">
        <v>1481</v>
      </c>
      <c r="G926" s="15" t="s">
        <v>113</v>
      </c>
      <c r="H926" s="15" t="s">
        <v>1481</v>
      </c>
      <c r="J926" s="16" t="s">
        <v>114</v>
      </c>
      <c r="U926" s="15" t="s">
        <v>17977</v>
      </c>
      <c r="W926" s="15">
        <v>1001</v>
      </c>
      <c r="X926" s="15">
        <v>936</v>
      </c>
      <c r="Y926" s="15" t="s">
        <v>160</v>
      </c>
      <c r="Z926" s="15" t="s">
        <v>161</v>
      </c>
      <c r="AA926" s="15" t="s">
        <v>162</v>
      </c>
      <c r="AB926" s="15" t="s">
        <v>4998</v>
      </c>
      <c r="AC926" s="15" t="s">
        <v>4998</v>
      </c>
      <c r="AD926" s="15" t="s">
        <v>4999</v>
      </c>
      <c r="AE926" s="15" t="s">
        <v>164</v>
      </c>
      <c r="AF926" s="15" t="s">
        <v>4999</v>
      </c>
      <c r="AG926" s="15" t="s">
        <v>4998</v>
      </c>
      <c r="AH926" s="15" t="s">
        <v>5000</v>
      </c>
      <c r="AL926" s="15" t="s">
        <v>5001</v>
      </c>
      <c r="AN926" s="15">
        <v>743</v>
      </c>
      <c r="AO926" s="15" t="s">
        <v>5002</v>
      </c>
      <c r="AQ926" s="15" t="s">
        <v>3598</v>
      </c>
      <c r="AT926" s="15" t="s">
        <v>5003</v>
      </c>
      <c r="AU926" s="18" t="s">
        <v>5004</v>
      </c>
      <c r="AV926" s="18" t="s">
        <v>5004</v>
      </c>
      <c r="AW926" s="15" t="s">
        <v>5005</v>
      </c>
      <c r="AX926" s="15" t="s">
        <v>5005</v>
      </c>
      <c r="AY926" s="15">
        <f t="shared" si="19"/>
        <v>47</v>
      </c>
      <c r="AZ926" s="18" t="s">
        <v>3603</v>
      </c>
      <c r="BA926" s="18" t="s">
        <v>214</v>
      </c>
      <c r="BB926" s="18" t="s">
        <v>5006</v>
      </c>
      <c r="BE926" s="18" t="s">
        <v>606</v>
      </c>
      <c r="BJ926" s="18" t="s">
        <v>2185</v>
      </c>
      <c r="BN926" s="18" t="s">
        <v>179</v>
      </c>
      <c r="BO926" s="18" t="s">
        <v>4731</v>
      </c>
      <c r="BP926" s="18" t="s">
        <v>138</v>
      </c>
      <c r="BS926" s="15" t="s">
        <v>5007</v>
      </c>
      <c r="DH926" s="15" t="s">
        <v>17982</v>
      </c>
      <c r="DI926" s="15" t="s">
        <v>17982</v>
      </c>
    </row>
    <row r="927" spans="1:113" s="15" customFormat="1" ht="12.75" x14ac:dyDescent="0.2">
      <c r="A927" s="15" t="s">
        <v>109</v>
      </c>
      <c r="B927" s="15" t="s">
        <v>110</v>
      </c>
      <c r="D927" s="15" t="s">
        <v>1481</v>
      </c>
      <c r="E927" s="15" t="s">
        <v>112</v>
      </c>
      <c r="F927" s="15" t="s">
        <v>1481</v>
      </c>
      <c r="G927" s="15" t="s">
        <v>113</v>
      </c>
      <c r="H927" s="15" t="s">
        <v>1481</v>
      </c>
      <c r="J927" s="16" t="s">
        <v>114</v>
      </c>
      <c r="U927" s="15" t="s">
        <v>17977</v>
      </c>
      <c r="W927" s="15">
        <v>985</v>
      </c>
      <c r="X927" s="15">
        <v>937</v>
      </c>
      <c r="Y927" s="15" t="s">
        <v>160</v>
      </c>
      <c r="Z927" s="15" t="s">
        <v>161</v>
      </c>
      <c r="AA927" s="15" t="s">
        <v>162</v>
      </c>
      <c r="AB927" s="15" t="s">
        <v>4837</v>
      </c>
      <c r="AC927" s="15" t="s">
        <v>4837</v>
      </c>
      <c r="AD927" s="15" t="s">
        <v>4838</v>
      </c>
      <c r="AE927" s="15" t="s">
        <v>164</v>
      </c>
      <c r="AF927" s="15" t="s">
        <v>4838</v>
      </c>
      <c r="AG927" s="15" t="s">
        <v>4837</v>
      </c>
      <c r="AH927" s="15" t="s">
        <v>4839</v>
      </c>
      <c r="AL927" s="15" t="s">
        <v>4840</v>
      </c>
      <c r="AN927" s="15">
        <v>743</v>
      </c>
      <c r="AO927" s="15" t="s">
        <v>4841</v>
      </c>
      <c r="AQ927" s="15" t="s">
        <v>3598</v>
      </c>
      <c r="AT927" s="15" t="s">
        <v>4842</v>
      </c>
      <c r="AU927" s="18" t="s">
        <v>4843</v>
      </c>
      <c r="AV927" s="18" t="s">
        <v>4843</v>
      </c>
      <c r="AW927" s="15" t="s">
        <v>4844</v>
      </c>
      <c r="AX927" s="15" t="s">
        <v>4844</v>
      </c>
      <c r="AY927" s="15">
        <f t="shared" si="19"/>
        <v>55</v>
      </c>
      <c r="AZ927" s="18" t="s">
        <v>3603</v>
      </c>
      <c r="BA927" s="18" t="s">
        <v>214</v>
      </c>
      <c r="BB927" s="18" t="s">
        <v>2006</v>
      </c>
      <c r="BE927" s="18" t="s">
        <v>2299</v>
      </c>
      <c r="BJ927" s="18" t="s">
        <v>4845</v>
      </c>
      <c r="BN927" s="18" t="s">
        <v>179</v>
      </c>
      <c r="BO927" s="18" t="s">
        <v>4731</v>
      </c>
      <c r="BP927" s="18" t="s">
        <v>138</v>
      </c>
      <c r="BS927" s="15" t="s">
        <v>4846</v>
      </c>
      <c r="DH927" s="15" t="s">
        <v>17982</v>
      </c>
      <c r="DI927" s="15" t="s">
        <v>17982</v>
      </c>
    </row>
    <row r="928" spans="1:113" s="15" customFormat="1" ht="12.75" x14ac:dyDescent="0.2">
      <c r="A928" s="15" t="s">
        <v>109</v>
      </c>
      <c r="B928" s="15" t="s">
        <v>110</v>
      </c>
      <c r="D928" s="15" t="s">
        <v>1481</v>
      </c>
      <c r="E928" s="15" t="s">
        <v>112</v>
      </c>
      <c r="F928" s="15" t="s">
        <v>1481</v>
      </c>
      <c r="G928" s="15" t="s">
        <v>113</v>
      </c>
      <c r="H928" s="15" t="s">
        <v>1481</v>
      </c>
      <c r="J928" s="16" t="s">
        <v>114</v>
      </c>
      <c r="U928" s="15" t="s">
        <v>17977</v>
      </c>
      <c r="W928" s="15">
        <v>980</v>
      </c>
      <c r="X928" s="15">
        <v>938</v>
      </c>
      <c r="Y928" s="15" t="s">
        <v>160</v>
      </c>
      <c r="Z928" s="15" t="s">
        <v>161</v>
      </c>
      <c r="AA928" s="15" t="s">
        <v>162</v>
      </c>
      <c r="AB928" s="15" t="s">
        <v>4790</v>
      </c>
      <c r="AC928" s="15" t="s">
        <v>4790</v>
      </c>
      <c r="AD928" s="15" t="s">
        <v>4791</v>
      </c>
      <c r="AE928" s="15" t="s">
        <v>164</v>
      </c>
      <c r="AF928" s="15" t="s">
        <v>4791</v>
      </c>
      <c r="AG928" s="15" t="s">
        <v>4790</v>
      </c>
      <c r="AH928" s="15" t="s">
        <v>4792</v>
      </c>
      <c r="AL928" s="15" t="s">
        <v>4793</v>
      </c>
      <c r="AN928" s="15">
        <v>743</v>
      </c>
      <c r="AO928" s="15" t="s">
        <v>4794</v>
      </c>
      <c r="AQ928" s="15" t="s">
        <v>3598</v>
      </c>
      <c r="AT928" s="15" t="s">
        <v>4795</v>
      </c>
      <c r="AU928" s="18" t="s">
        <v>4796</v>
      </c>
      <c r="AV928" s="18" t="s">
        <v>4796</v>
      </c>
      <c r="AW928" s="15" t="s">
        <v>4797</v>
      </c>
      <c r="AX928" s="15" t="s">
        <v>4797</v>
      </c>
      <c r="AY928" s="15">
        <f t="shared" si="19"/>
        <v>55</v>
      </c>
      <c r="AZ928" s="18" t="s">
        <v>3603</v>
      </c>
      <c r="BA928" s="18" t="s">
        <v>214</v>
      </c>
      <c r="BB928" s="18" t="s">
        <v>2006</v>
      </c>
      <c r="BE928" s="18" t="s">
        <v>2299</v>
      </c>
      <c r="BJ928" s="18" t="s">
        <v>4798</v>
      </c>
      <c r="BN928" s="18" t="s">
        <v>179</v>
      </c>
      <c r="BO928" s="18" t="s">
        <v>4731</v>
      </c>
      <c r="BP928" s="18" t="s">
        <v>138</v>
      </c>
      <c r="BS928" s="15" t="s">
        <v>4799</v>
      </c>
      <c r="DH928" s="15" t="s">
        <v>17982</v>
      </c>
      <c r="DI928" s="15" t="s">
        <v>17982</v>
      </c>
    </row>
    <row r="929" spans="1:113" s="15" customFormat="1" ht="12.75" x14ac:dyDescent="0.2">
      <c r="A929" s="15" t="s">
        <v>109</v>
      </c>
      <c r="B929" s="15" t="s">
        <v>110</v>
      </c>
      <c r="D929" s="15" t="s">
        <v>1481</v>
      </c>
      <c r="E929" s="15" t="s">
        <v>112</v>
      </c>
      <c r="F929" s="15" t="s">
        <v>1481</v>
      </c>
      <c r="G929" s="15" t="s">
        <v>113</v>
      </c>
      <c r="H929" s="15" t="s">
        <v>1481</v>
      </c>
      <c r="J929" s="16" t="s">
        <v>114</v>
      </c>
      <c r="U929" s="15" t="s">
        <v>17977</v>
      </c>
      <c r="W929" s="15">
        <v>2768</v>
      </c>
      <c r="X929" s="15">
        <v>939</v>
      </c>
      <c r="Y929" s="15" t="s">
        <v>160</v>
      </c>
      <c r="Z929" s="15" t="s">
        <v>161</v>
      </c>
      <c r="AA929" s="15" t="s">
        <v>162</v>
      </c>
      <c r="AB929" s="15" t="s">
        <v>13407</v>
      </c>
      <c r="AC929" s="15" t="s">
        <v>13407</v>
      </c>
      <c r="AD929" s="15" t="s">
        <v>13407</v>
      </c>
      <c r="AE929" s="15" t="s">
        <v>164</v>
      </c>
      <c r="AF929" s="15" t="s">
        <v>13407</v>
      </c>
      <c r="AG929" s="15" t="s">
        <v>13407</v>
      </c>
      <c r="AH929" s="47" t="s">
        <v>13408</v>
      </c>
      <c r="AI929" s="15">
        <v>42293107</v>
      </c>
      <c r="AK929" s="15" t="s">
        <v>13409</v>
      </c>
      <c r="AL929" s="15" t="s">
        <v>13410</v>
      </c>
      <c r="AN929" s="15">
        <v>743</v>
      </c>
      <c r="AO929" s="15" t="s">
        <v>13411</v>
      </c>
      <c r="AQ929" s="15" t="s">
        <v>912</v>
      </c>
      <c r="AT929" s="15" t="s">
        <v>13412</v>
      </c>
      <c r="AU929" s="18" t="s">
        <v>13413</v>
      </c>
      <c r="AV929" s="18" t="s">
        <v>13413</v>
      </c>
      <c r="AW929" s="15" t="s">
        <v>13414</v>
      </c>
      <c r="AX929" s="15" t="s">
        <v>13415</v>
      </c>
      <c r="AY929" s="15">
        <f t="shared" si="19"/>
        <v>58</v>
      </c>
      <c r="AZ929" s="18" t="s">
        <v>917</v>
      </c>
      <c r="BA929" s="18" t="s">
        <v>174</v>
      </c>
      <c r="BB929" s="18" t="s">
        <v>13387</v>
      </c>
      <c r="BE929" s="18" t="s">
        <v>1754</v>
      </c>
      <c r="BF929" s="18" t="s">
        <v>1175</v>
      </c>
      <c r="BI929" s="18" t="s">
        <v>13388</v>
      </c>
      <c r="BJ929" s="18" t="s">
        <v>6021</v>
      </c>
      <c r="BN929" s="18" t="s">
        <v>179</v>
      </c>
      <c r="BP929" s="18" t="s">
        <v>138</v>
      </c>
      <c r="BS929" s="15" t="s">
        <v>13416</v>
      </c>
      <c r="DH929" s="15" t="s">
        <v>17982</v>
      </c>
      <c r="DI929" s="15" t="s">
        <v>17982</v>
      </c>
    </row>
    <row r="930" spans="1:113" s="15" customFormat="1" ht="12.75" x14ac:dyDescent="0.2">
      <c r="A930" s="15" t="s">
        <v>109</v>
      </c>
      <c r="B930" s="15" t="s">
        <v>110</v>
      </c>
      <c r="D930" s="15" t="s">
        <v>1481</v>
      </c>
      <c r="E930" s="15" t="s">
        <v>112</v>
      </c>
      <c r="F930" s="15" t="s">
        <v>1481</v>
      </c>
      <c r="G930" s="15" t="s">
        <v>113</v>
      </c>
      <c r="H930" s="15" t="s">
        <v>1481</v>
      </c>
      <c r="J930" s="16" t="s">
        <v>114</v>
      </c>
      <c r="U930" s="15" t="s">
        <v>17977</v>
      </c>
      <c r="W930" s="15">
        <v>2769</v>
      </c>
      <c r="X930" s="15">
        <v>940</v>
      </c>
      <c r="Y930" s="15" t="s">
        <v>160</v>
      </c>
      <c r="Z930" s="15" t="s">
        <v>161</v>
      </c>
      <c r="AA930" s="15" t="s">
        <v>162</v>
      </c>
      <c r="AB930" s="15" t="s">
        <v>13417</v>
      </c>
      <c r="AC930" s="15" t="s">
        <v>13417</v>
      </c>
      <c r="AD930" s="15" t="s">
        <v>13417</v>
      </c>
      <c r="AE930" s="15" t="s">
        <v>164</v>
      </c>
      <c r="AF930" s="15" t="s">
        <v>13417</v>
      </c>
      <c r="AG930" s="15" t="s">
        <v>13417</v>
      </c>
      <c r="AH930" s="47" t="s">
        <v>13418</v>
      </c>
      <c r="AL930" s="15" t="s">
        <v>13419</v>
      </c>
      <c r="AN930" s="15">
        <v>743</v>
      </c>
      <c r="AO930" s="15" t="s">
        <v>13420</v>
      </c>
      <c r="AQ930" s="15" t="s">
        <v>912</v>
      </c>
      <c r="AT930" s="15" t="s">
        <v>13421</v>
      </c>
      <c r="AU930" s="18" t="s">
        <v>13422</v>
      </c>
      <c r="AV930" s="18" t="s">
        <v>13422</v>
      </c>
      <c r="AW930" s="15" t="s">
        <v>13423</v>
      </c>
      <c r="AX930" s="15" t="s">
        <v>13424</v>
      </c>
      <c r="AY930" s="15">
        <f t="shared" si="19"/>
        <v>59</v>
      </c>
      <c r="AZ930" s="18" t="s">
        <v>917</v>
      </c>
      <c r="BA930" s="18" t="s">
        <v>174</v>
      </c>
      <c r="BB930" s="18" t="s">
        <v>13387</v>
      </c>
      <c r="BE930" s="18" t="s">
        <v>1754</v>
      </c>
      <c r="BF930" s="18" t="s">
        <v>13425</v>
      </c>
      <c r="BI930" s="18" t="s">
        <v>13388</v>
      </c>
      <c r="BJ930" s="18" t="s">
        <v>6021</v>
      </c>
      <c r="BN930" s="18" t="s">
        <v>179</v>
      </c>
      <c r="BP930" s="18" t="s">
        <v>138</v>
      </c>
      <c r="BS930" s="15" t="s">
        <v>13426</v>
      </c>
      <c r="DH930" s="15" t="s">
        <v>17982</v>
      </c>
      <c r="DI930" s="15" t="s">
        <v>17982</v>
      </c>
    </row>
    <row r="931" spans="1:113" s="15" customFormat="1" ht="12.75" x14ac:dyDescent="0.2">
      <c r="A931" s="15" t="s">
        <v>109</v>
      </c>
      <c r="B931" s="15" t="s">
        <v>110</v>
      </c>
      <c r="D931" s="15" t="s">
        <v>1481</v>
      </c>
      <c r="E931" s="15" t="s">
        <v>112</v>
      </c>
      <c r="F931" s="15" t="s">
        <v>1481</v>
      </c>
      <c r="G931" s="15" t="s">
        <v>113</v>
      </c>
      <c r="H931" s="15" t="s">
        <v>1481</v>
      </c>
      <c r="J931" s="16" t="s">
        <v>114</v>
      </c>
      <c r="U931" s="15" t="s">
        <v>17977</v>
      </c>
      <c r="W931" s="15">
        <v>2765</v>
      </c>
      <c r="X931" s="15">
        <v>941</v>
      </c>
      <c r="Y931" s="15" t="s">
        <v>160</v>
      </c>
      <c r="Z931" s="15" t="s">
        <v>161</v>
      </c>
      <c r="AA931" s="15" t="s">
        <v>162</v>
      </c>
      <c r="AB931" s="15" t="s">
        <v>13379</v>
      </c>
      <c r="AC931" s="15" t="s">
        <v>13379</v>
      </c>
      <c r="AD931" s="15" t="s">
        <v>13379</v>
      </c>
      <c r="AE931" s="15" t="s">
        <v>164</v>
      </c>
      <c r="AF931" s="15" t="s">
        <v>13379</v>
      </c>
      <c r="AG931" s="15" t="s">
        <v>13379</v>
      </c>
      <c r="AH931" s="47" t="s">
        <v>13380</v>
      </c>
      <c r="AL931" s="15" t="s">
        <v>13381</v>
      </c>
      <c r="AN931" s="15">
        <v>743</v>
      </c>
      <c r="AO931" s="15" t="s">
        <v>13382</v>
      </c>
      <c r="AQ931" s="15" t="s">
        <v>912</v>
      </c>
      <c r="AT931" s="15" t="s">
        <v>13383</v>
      </c>
      <c r="AU931" s="18" t="s">
        <v>13384</v>
      </c>
      <c r="AV931" s="18" t="s">
        <v>13384</v>
      </c>
      <c r="AW931" s="15" t="s">
        <v>13385</v>
      </c>
      <c r="AX931" s="15" t="s">
        <v>13386</v>
      </c>
      <c r="AY931" s="15">
        <f t="shared" si="19"/>
        <v>60</v>
      </c>
      <c r="AZ931" s="18" t="s">
        <v>917</v>
      </c>
      <c r="BA931" s="18" t="s">
        <v>174</v>
      </c>
      <c r="BB931" s="18" t="s">
        <v>13387</v>
      </c>
      <c r="BE931" s="18" t="s">
        <v>395</v>
      </c>
      <c r="BF931" s="18" t="s">
        <v>7969</v>
      </c>
      <c r="BI931" s="18" t="s">
        <v>13388</v>
      </c>
      <c r="BJ931" s="18" t="s">
        <v>6021</v>
      </c>
      <c r="BN931" s="18" t="s">
        <v>179</v>
      </c>
      <c r="BP931" s="18" t="s">
        <v>138</v>
      </c>
      <c r="BS931" s="15" t="s">
        <v>13389</v>
      </c>
      <c r="DH931" s="15" t="s">
        <v>17982</v>
      </c>
      <c r="DI931" s="15" t="s">
        <v>17982</v>
      </c>
    </row>
    <row r="932" spans="1:113" s="15" customFormat="1" ht="12.75" x14ac:dyDescent="0.2">
      <c r="A932" s="15" t="s">
        <v>109</v>
      </c>
      <c r="B932" s="15" t="s">
        <v>110</v>
      </c>
      <c r="D932" s="15" t="s">
        <v>1481</v>
      </c>
      <c r="E932" s="15" t="s">
        <v>112</v>
      </c>
      <c r="F932" s="15" t="s">
        <v>1481</v>
      </c>
      <c r="G932" s="15" t="s">
        <v>113</v>
      </c>
      <c r="H932" s="15" t="s">
        <v>1481</v>
      </c>
      <c r="J932" s="16" t="s">
        <v>114</v>
      </c>
      <c r="U932" s="15" t="s">
        <v>17977</v>
      </c>
      <c r="W932" s="15">
        <v>2766</v>
      </c>
      <c r="X932" s="15">
        <v>942</v>
      </c>
      <c r="Y932" s="15" t="s">
        <v>160</v>
      </c>
      <c r="Z932" s="15" t="s">
        <v>161</v>
      </c>
      <c r="AA932" s="15" t="s">
        <v>162</v>
      </c>
      <c r="AB932" s="15" t="s">
        <v>13390</v>
      </c>
      <c r="AC932" s="15" t="s">
        <v>13390</v>
      </c>
      <c r="AD932" s="15" t="s">
        <v>13390</v>
      </c>
      <c r="AE932" s="15" t="s">
        <v>164</v>
      </c>
      <c r="AF932" s="15" t="s">
        <v>13390</v>
      </c>
      <c r="AG932" s="15" t="s">
        <v>13390</v>
      </c>
      <c r="AH932" s="47" t="s">
        <v>13391</v>
      </c>
      <c r="AL932" s="15" t="s">
        <v>13392</v>
      </c>
      <c r="AN932" s="15">
        <v>743</v>
      </c>
      <c r="AO932" s="15" t="s">
        <v>13393</v>
      </c>
      <c r="AQ932" s="15" t="s">
        <v>912</v>
      </c>
      <c r="AT932" s="15" t="s">
        <v>13394</v>
      </c>
      <c r="AU932" s="18" t="s">
        <v>13395</v>
      </c>
      <c r="AV932" s="18" t="s">
        <v>13395</v>
      </c>
      <c r="AW932" s="15" t="s">
        <v>13396</v>
      </c>
      <c r="AX932" s="15" t="s">
        <v>13397</v>
      </c>
      <c r="AY932" s="15">
        <f t="shared" si="19"/>
        <v>59</v>
      </c>
      <c r="AZ932" s="18" t="s">
        <v>917</v>
      </c>
      <c r="BA932" s="18" t="s">
        <v>174</v>
      </c>
      <c r="BB932" s="18" t="s">
        <v>13387</v>
      </c>
      <c r="BE932" s="18" t="s">
        <v>1688</v>
      </c>
      <c r="BF932" s="18" t="s">
        <v>1767</v>
      </c>
      <c r="BI932" s="18" t="s">
        <v>13388</v>
      </c>
      <c r="BJ932" s="18" t="s">
        <v>6021</v>
      </c>
      <c r="BN932" s="18" t="s">
        <v>179</v>
      </c>
      <c r="BP932" s="18" t="s">
        <v>138</v>
      </c>
      <c r="BS932" s="15" t="s">
        <v>13398</v>
      </c>
      <c r="DH932" s="15" t="s">
        <v>17982</v>
      </c>
      <c r="DI932" s="15" t="s">
        <v>17982</v>
      </c>
    </row>
    <row r="933" spans="1:113" s="15" customFormat="1" ht="12.75" x14ac:dyDescent="0.2">
      <c r="A933" s="15" t="s">
        <v>109</v>
      </c>
      <c r="B933" s="15" t="s">
        <v>110</v>
      </c>
      <c r="D933" s="15" t="s">
        <v>1481</v>
      </c>
      <c r="E933" s="15" t="s">
        <v>112</v>
      </c>
      <c r="F933" s="15" t="s">
        <v>1481</v>
      </c>
      <c r="G933" s="15" t="s">
        <v>113</v>
      </c>
      <c r="H933" s="15" t="s">
        <v>1481</v>
      </c>
      <c r="J933" s="16" t="s">
        <v>114</v>
      </c>
      <c r="U933" s="15" t="s">
        <v>17977</v>
      </c>
      <c r="W933" s="15">
        <v>981</v>
      </c>
      <c r="X933" s="15">
        <v>943</v>
      </c>
      <c r="Y933" s="15" t="s">
        <v>160</v>
      </c>
      <c r="Z933" s="15" t="s">
        <v>161</v>
      </c>
      <c r="AA933" s="15" t="s">
        <v>162</v>
      </c>
      <c r="AB933" s="15" t="s">
        <v>4800</v>
      </c>
      <c r="AC933" s="15" t="s">
        <v>4800</v>
      </c>
      <c r="AD933" s="15" t="s">
        <v>4801</v>
      </c>
      <c r="AE933" s="15" t="s">
        <v>164</v>
      </c>
      <c r="AF933" s="15" t="s">
        <v>4801</v>
      </c>
      <c r="AG933" s="15" t="s">
        <v>4800</v>
      </c>
      <c r="AH933" s="15" t="s">
        <v>4802</v>
      </c>
      <c r="AL933" s="15" t="s">
        <v>4793</v>
      </c>
      <c r="AN933" s="15">
        <v>743</v>
      </c>
      <c r="AO933" s="15" t="s">
        <v>4803</v>
      </c>
      <c r="AQ933" s="15" t="s">
        <v>3598</v>
      </c>
      <c r="AT933" s="15" t="s">
        <v>4804</v>
      </c>
      <c r="AU933" s="18" t="s">
        <v>4805</v>
      </c>
      <c r="AV933" s="18" t="s">
        <v>4805</v>
      </c>
      <c r="AW933" s="15" t="s">
        <v>4806</v>
      </c>
      <c r="AX933" s="15" t="s">
        <v>4806</v>
      </c>
      <c r="AY933" s="15">
        <f t="shared" si="19"/>
        <v>54</v>
      </c>
      <c r="AZ933" s="18" t="s">
        <v>3603</v>
      </c>
      <c r="BA933" s="18" t="s">
        <v>214</v>
      </c>
      <c r="BB933" s="18" t="s">
        <v>2006</v>
      </c>
      <c r="BE933" s="18" t="s">
        <v>1597</v>
      </c>
      <c r="BJ933" s="18" t="s">
        <v>4798</v>
      </c>
      <c r="BN933" s="18" t="s">
        <v>179</v>
      </c>
      <c r="BO933" s="18" t="s">
        <v>4731</v>
      </c>
      <c r="BP933" s="18" t="s">
        <v>138</v>
      </c>
      <c r="BS933" s="15" t="s">
        <v>4807</v>
      </c>
      <c r="DH933" s="15" t="s">
        <v>17982</v>
      </c>
      <c r="DI933" s="15" t="s">
        <v>17982</v>
      </c>
    </row>
    <row r="934" spans="1:113" s="15" customFormat="1" ht="12.75" x14ac:dyDescent="0.2">
      <c r="A934" s="15" t="s">
        <v>109</v>
      </c>
      <c r="B934" s="15" t="s">
        <v>110</v>
      </c>
      <c r="D934" s="15" t="s">
        <v>1481</v>
      </c>
      <c r="E934" s="15" t="s">
        <v>112</v>
      </c>
      <c r="F934" s="15" t="s">
        <v>1481</v>
      </c>
      <c r="G934" s="15" t="s">
        <v>113</v>
      </c>
      <c r="H934" s="15" t="s">
        <v>1481</v>
      </c>
      <c r="J934" s="16" t="s">
        <v>114</v>
      </c>
      <c r="U934" s="15" t="s">
        <v>17977</v>
      </c>
      <c r="W934" s="15">
        <v>2767</v>
      </c>
      <c r="X934" s="15">
        <v>944</v>
      </c>
      <c r="Y934" s="15" t="s">
        <v>160</v>
      </c>
      <c r="Z934" s="15" t="s">
        <v>161</v>
      </c>
      <c r="AA934" s="15" t="s">
        <v>162</v>
      </c>
      <c r="AB934" s="15" t="s">
        <v>13399</v>
      </c>
      <c r="AC934" s="15" t="s">
        <v>13399</v>
      </c>
      <c r="AD934" s="15" t="s">
        <v>13399</v>
      </c>
      <c r="AE934" s="15" t="s">
        <v>164</v>
      </c>
      <c r="AF934" s="15" t="s">
        <v>13399</v>
      </c>
      <c r="AG934" s="15" t="s">
        <v>13399</v>
      </c>
      <c r="AH934" s="47" t="s">
        <v>13400</v>
      </c>
      <c r="AL934" s="15" t="s">
        <v>13401</v>
      </c>
      <c r="AN934" s="15">
        <v>743</v>
      </c>
      <c r="AO934" s="15" t="s">
        <v>13402</v>
      </c>
      <c r="AQ934" s="15" t="s">
        <v>912</v>
      </c>
      <c r="AT934" s="15" t="s">
        <v>13403</v>
      </c>
      <c r="AU934" s="18" t="s">
        <v>13404</v>
      </c>
      <c r="AV934" s="18" t="s">
        <v>13404</v>
      </c>
      <c r="AW934" s="15" t="s">
        <v>13405</v>
      </c>
      <c r="AX934" s="15" t="s">
        <v>13405</v>
      </c>
      <c r="AY934" s="15">
        <f t="shared" si="19"/>
        <v>60</v>
      </c>
      <c r="AZ934" s="18" t="s">
        <v>917</v>
      </c>
      <c r="BA934" s="18" t="s">
        <v>174</v>
      </c>
      <c r="BB934" s="18" t="s">
        <v>13387</v>
      </c>
      <c r="BE934" s="18" t="s">
        <v>606</v>
      </c>
      <c r="BF934" s="18" t="s">
        <v>396</v>
      </c>
      <c r="BI934" s="18" t="s">
        <v>13388</v>
      </c>
      <c r="BJ934" s="18" t="s">
        <v>6021</v>
      </c>
      <c r="BN934" s="18" t="s">
        <v>179</v>
      </c>
      <c r="BP934" s="18" t="s">
        <v>138</v>
      </c>
      <c r="BS934" s="15" t="s">
        <v>13406</v>
      </c>
      <c r="DH934" s="15" t="s">
        <v>17982</v>
      </c>
      <c r="DI934" s="15" t="s">
        <v>17982</v>
      </c>
    </row>
    <row r="935" spans="1:113" s="15" customFormat="1" ht="12.75" x14ac:dyDescent="0.2">
      <c r="A935" s="15" t="s">
        <v>109</v>
      </c>
      <c r="B935" s="15" t="s">
        <v>110</v>
      </c>
      <c r="D935" s="15" t="s">
        <v>1481</v>
      </c>
      <c r="E935" s="15" t="s">
        <v>112</v>
      </c>
      <c r="F935" s="15" t="s">
        <v>1481</v>
      </c>
      <c r="G935" s="15" t="s">
        <v>113</v>
      </c>
      <c r="H935" s="15" t="s">
        <v>1481</v>
      </c>
      <c r="J935" s="16" t="s">
        <v>114</v>
      </c>
      <c r="U935" s="15" t="s">
        <v>17977</v>
      </c>
      <c r="W935" s="15">
        <v>2773</v>
      </c>
      <c r="X935" s="15">
        <v>945</v>
      </c>
      <c r="Y935" s="15" t="s">
        <v>160</v>
      </c>
      <c r="Z935" s="15" t="s">
        <v>161</v>
      </c>
      <c r="AA935" s="15" t="s">
        <v>162</v>
      </c>
      <c r="AB935" s="15" t="s">
        <v>13427</v>
      </c>
      <c r="AC935" s="15" t="s">
        <v>13427</v>
      </c>
      <c r="AD935" s="15" t="s">
        <v>13427</v>
      </c>
      <c r="AE935" s="15" t="s">
        <v>164</v>
      </c>
      <c r="AF935" s="15" t="s">
        <v>13427</v>
      </c>
      <c r="AG935" s="15" t="s">
        <v>13427</v>
      </c>
      <c r="AH935" s="47" t="s">
        <v>13428</v>
      </c>
      <c r="AL935" s="15" t="s">
        <v>13429</v>
      </c>
      <c r="AN935" s="15">
        <v>743</v>
      </c>
      <c r="AO935" s="15" t="s">
        <v>13430</v>
      </c>
      <c r="AQ935" s="15" t="s">
        <v>912</v>
      </c>
      <c r="AT935" s="15" t="s">
        <v>13431</v>
      </c>
      <c r="AU935" s="18" t="s">
        <v>13432</v>
      </c>
      <c r="AV935" s="18" t="s">
        <v>13432</v>
      </c>
      <c r="AW935" s="15" t="s">
        <v>13433</v>
      </c>
      <c r="AX935" s="15" t="s">
        <v>13434</v>
      </c>
      <c r="AY935" s="15">
        <f t="shared" si="19"/>
        <v>58</v>
      </c>
      <c r="AZ935" s="18" t="s">
        <v>917</v>
      </c>
      <c r="BA935" s="18" t="s">
        <v>174</v>
      </c>
      <c r="BB935" s="18" t="s">
        <v>13387</v>
      </c>
      <c r="BE935" s="18" t="s">
        <v>2054</v>
      </c>
      <c r="BF935" s="18" t="s">
        <v>1467</v>
      </c>
      <c r="BJ935" s="18" t="s">
        <v>13435</v>
      </c>
      <c r="BN935" s="18" t="s">
        <v>179</v>
      </c>
      <c r="BP935" s="18" t="s">
        <v>138</v>
      </c>
      <c r="BS935" s="15" t="s">
        <v>13436</v>
      </c>
      <c r="DH935" s="15" t="s">
        <v>17982</v>
      </c>
      <c r="DI935" s="15" t="s">
        <v>17982</v>
      </c>
    </row>
    <row r="936" spans="1:113" s="15" customFormat="1" ht="12.75" x14ac:dyDescent="0.2">
      <c r="A936" s="15" t="s">
        <v>109</v>
      </c>
      <c r="B936" s="15" t="s">
        <v>110</v>
      </c>
      <c r="D936" s="15" t="s">
        <v>1481</v>
      </c>
      <c r="E936" s="15" t="s">
        <v>112</v>
      </c>
      <c r="F936" s="15" t="s">
        <v>1481</v>
      </c>
      <c r="G936" s="15" t="s">
        <v>113</v>
      </c>
      <c r="H936" s="15" t="s">
        <v>1481</v>
      </c>
      <c r="J936" s="16" t="s">
        <v>114</v>
      </c>
      <c r="U936" s="15" t="s">
        <v>17977</v>
      </c>
      <c r="W936" s="15">
        <v>1059</v>
      </c>
      <c r="X936" s="15">
        <v>946</v>
      </c>
      <c r="Y936" s="15" t="s">
        <v>160</v>
      </c>
      <c r="Z936" s="15" t="s">
        <v>161</v>
      </c>
      <c r="AA936" s="15" t="s">
        <v>162</v>
      </c>
      <c r="AB936" s="15" t="s">
        <v>5543</v>
      </c>
      <c r="AC936" s="15" t="s">
        <v>5543</v>
      </c>
      <c r="AD936" s="15" t="s">
        <v>5543</v>
      </c>
      <c r="AE936" s="15" t="s">
        <v>164</v>
      </c>
      <c r="AF936" s="15" t="s">
        <v>5543</v>
      </c>
      <c r="AG936" s="15" t="s">
        <v>5543</v>
      </c>
      <c r="AH936" s="15" t="s">
        <v>5544</v>
      </c>
      <c r="AL936" s="15" t="s">
        <v>5545</v>
      </c>
      <c r="AN936" s="15">
        <v>743</v>
      </c>
      <c r="AO936" s="15" t="s">
        <v>5546</v>
      </c>
      <c r="AQ936" s="15" t="s">
        <v>3598</v>
      </c>
      <c r="AT936" s="15" t="s">
        <v>5547</v>
      </c>
      <c r="AU936" s="18" t="s">
        <v>5548</v>
      </c>
      <c r="AV936" s="18" t="s">
        <v>5548</v>
      </c>
      <c r="AW936" s="15" t="s">
        <v>5549</v>
      </c>
      <c r="AX936" s="15" t="s">
        <v>5550</v>
      </c>
      <c r="AY936" s="15">
        <f t="shared" si="19"/>
        <v>60</v>
      </c>
      <c r="AZ936" s="18" t="s">
        <v>3603</v>
      </c>
      <c r="BA936" s="18" t="s">
        <v>214</v>
      </c>
      <c r="BB936" s="18" t="s">
        <v>2006</v>
      </c>
      <c r="BE936" s="18" t="s">
        <v>1032</v>
      </c>
      <c r="BJ936" s="18" t="s">
        <v>5551</v>
      </c>
      <c r="BK936" s="18" t="s">
        <v>1714</v>
      </c>
      <c r="BN936" s="18" t="s">
        <v>179</v>
      </c>
      <c r="BO936" s="18" t="s">
        <v>4731</v>
      </c>
      <c r="BP936" s="18" t="s">
        <v>138</v>
      </c>
      <c r="BS936" s="15" t="s">
        <v>5552</v>
      </c>
      <c r="DH936" s="15" t="s">
        <v>17982</v>
      </c>
      <c r="DI936" s="15" t="s">
        <v>17982</v>
      </c>
    </row>
    <row r="937" spans="1:113" s="15" customFormat="1" ht="12.75" x14ac:dyDescent="0.2">
      <c r="A937" s="15" t="s">
        <v>109</v>
      </c>
      <c r="B937" s="15" t="s">
        <v>110</v>
      </c>
      <c r="D937" s="15" t="s">
        <v>1481</v>
      </c>
      <c r="E937" s="15" t="s">
        <v>112</v>
      </c>
      <c r="F937" s="15" t="s">
        <v>1481</v>
      </c>
      <c r="G937" s="15" t="s">
        <v>113</v>
      </c>
      <c r="H937" s="15" t="s">
        <v>1481</v>
      </c>
      <c r="J937" s="16" t="s">
        <v>114</v>
      </c>
      <c r="U937" s="15" t="s">
        <v>17977</v>
      </c>
      <c r="W937" s="15">
        <v>978</v>
      </c>
      <c r="X937" s="15">
        <v>947</v>
      </c>
      <c r="Y937" s="15" t="s">
        <v>160</v>
      </c>
      <c r="Z937" s="15" t="s">
        <v>161</v>
      </c>
      <c r="AA937" s="15" t="s">
        <v>162</v>
      </c>
      <c r="AB937" s="15" t="s">
        <v>4771</v>
      </c>
      <c r="AC937" s="15" t="s">
        <v>4771</v>
      </c>
      <c r="AD937" s="15" t="s">
        <v>4771</v>
      </c>
      <c r="AE937" s="15" t="s">
        <v>164</v>
      </c>
      <c r="AF937" s="15" t="s">
        <v>4771</v>
      </c>
      <c r="AG937" s="15" t="s">
        <v>4771</v>
      </c>
      <c r="AH937" s="15" t="s">
        <v>4772</v>
      </c>
      <c r="AL937" s="15" t="s">
        <v>4773</v>
      </c>
      <c r="AN937" s="15">
        <v>743</v>
      </c>
      <c r="AO937" s="15" t="s">
        <v>4774</v>
      </c>
      <c r="AQ937" s="15" t="s">
        <v>3598</v>
      </c>
      <c r="AT937" s="15" t="s">
        <v>4775</v>
      </c>
      <c r="AU937" s="18" t="s">
        <v>4776</v>
      </c>
      <c r="AV937" s="18" t="s">
        <v>4776</v>
      </c>
      <c r="AW937" s="15" t="s">
        <v>4777</v>
      </c>
      <c r="AX937" s="15" t="s">
        <v>4778</v>
      </c>
      <c r="AY937" s="15">
        <f t="shared" si="19"/>
        <v>59</v>
      </c>
      <c r="AZ937" s="18" t="s">
        <v>3603</v>
      </c>
      <c r="BA937" s="18" t="s">
        <v>214</v>
      </c>
      <c r="BB937" s="18" t="s">
        <v>2006</v>
      </c>
      <c r="BE937" s="18" t="s">
        <v>564</v>
      </c>
      <c r="BJ937" s="18" t="s">
        <v>4779</v>
      </c>
      <c r="BN937" s="18" t="s">
        <v>179</v>
      </c>
      <c r="BO937" s="18" t="s">
        <v>4731</v>
      </c>
      <c r="BP937" s="18" t="s">
        <v>138</v>
      </c>
      <c r="BS937" s="15" t="s">
        <v>4780</v>
      </c>
      <c r="DH937" s="15" t="s">
        <v>17982</v>
      </c>
      <c r="DI937" s="15" t="s">
        <v>17982</v>
      </c>
    </row>
    <row r="938" spans="1:113" s="15" customFormat="1" ht="12.75" x14ac:dyDescent="0.2">
      <c r="A938" s="15" t="s">
        <v>109</v>
      </c>
      <c r="B938" s="15" t="s">
        <v>110</v>
      </c>
      <c r="D938" s="15" t="s">
        <v>1481</v>
      </c>
      <c r="E938" s="15" t="s">
        <v>112</v>
      </c>
      <c r="F938" s="15" t="s">
        <v>1481</v>
      </c>
      <c r="G938" s="15" t="s">
        <v>113</v>
      </c>
      <c r="H938" s="15" t="s">
        <v>1481</v>
      </c>
      <c r="J938" s="16" t="s">
        <v>114</v>
      </c>
      <c r="U938" s="15" t="s">
        <v>17977</v>
      </c>
      <c r="W938" s="15">
        <v>979</v>
      </c>
      <c r="X938" s="15">
        <v>948</v>
      </c>
      <c r="Y938" s="15" t="s">
        <v>160</v>
      </c>
      <c r="Z938" s="15" t="s">
        <v>161</v>
      </c>
      <c r="AA938" s="15" t="s">
        <v>162</v>
      </c>
      <c r="AB938" s="15" t="s">
        <v>4781</v>
      </c>
      <c r="AC938" s="15" t="s">
        <v>4781</v>
      </c>
      <c r="AD938" s="15" t="s">
        <v>4781</v>
      </c>
      <c r="AE938" s="15" t="s">
        <v>164</v>
      </c>
      <c r="AF938" s="15" t="s">
        <v>4781</v>
      </c>
      <c r="AG938" s="15" t="s">
        <v>4781</v>
      </c>
      <c r="AH938" s="15" t="s">
        <v>4782</v>
      </c>
      <c r="AL938" s="15" t="s">
        <v>4783</v>
      </c>
      <c r="AN938" s="15">
        <v>743</v>
      </c>
      <c r="AO938" s="15" t="s">
        <v>4784</v>
      </c>
      <c r="AQ938" s="15" t="s">
        <v>3598</v>
      </c>
      <c r="AT938" s="15" t="s">
        <v>4785</v>
      </c>
      <c r="AU938" s="18" t="s">
        <v>4786</v>
      </c>
      <c r="AV938" s="18" t="s">
        <v>4786</v>
      </c>
      <c r="AW938" s="15" t="s">
        <v>4787</v>
      </c>
      <c r="AX938" s="15" t="s">
        <v>4788</v>
      </c>
      <c r="AY938" s="15">
        <f t="shared" si="19"/>
        <v>59</v>
      </c>
      <c r="AZ938" s="18" t="s">
        <v>3603</v>
      </c>
      <c r="BA938" s="18" t="s">
        <v>214</v>
      </c>
      <c r="BB938" s="18" t="s">
        <v>2006</v>
      </c>
      <c r="BE938" s="18" t="s">
        <v>1528</v>
      </c>
      <c r="BJ938" s="18" t="s">
        <v>4779</v>
      </c>
      <c r="BN938" s="18" t="s">
        <v>179</v>
      </c>
      <c r="BO938" s="18" t="s">
        <v>4731</v>
      </c>
      <c r="BP938" s="18" t="s">
        <v>138</v>
      </c>
      <c r="BS938" s="15" t="s">
        <v>4789</v>
      </c>
      <c r="DH938" s="15" t="s">
        <v>17982</v>
      </c>
      <c r="DI938" s="15" t="s">
        <v>17982</v>
      </c>
    </row>
    <row r="939" spans="1:113" s="15" customFormat="1" ht="12.75" x14ac:dyDescent="0.2">
      <c r="A939" s="15" t="s">
        <v>109</v>
      </c>
      <c r="B939" s="15" t="s">
        <v>110</v>
      </c>
      <c r="D939" s="15" t="s">
        <v>1481</v>
      </c>
      <c r="E939" s="15" t="s">
        <v>112</v>
      </c>
      <c r="F939" s="15" t="s">
        <v>1481</v>
      </c>
      <c r="G939" s="15" t="s">
        <v>113</v>
      </c>
      <c r="H939" s="15" t="s">
        <v>1481</v>
      </c>
      <c r="J939" s="16" t="s">
        <v>114</v>
      </c>
      <c r="U939" s="15" t="s">
        <v>17977</v>
      </c>
      <c r="W939" s="15">
        <v>2138</v>
      </c>
      <c r="X939" s="15">
        <v>949</v>
      </c>
      <c r="Y939" s="15" t="s">
        <v>160</v>
      </c>
      <c r="Z939" s="15" t="s">
        <v>161</v>
      </c>
      <c r="AA939" s="15" t="s">
        <v>162</v>
      </c>
      <c r="AB939" s="15" t="s">
        <v>10952</v>
      </c>
      <c r="AC939" s="15" t="s">
        <v>10952</v>
      </c>
      <c r="AD939" s="15" t="s">
        <v>10952</v>
      </c>
      <c r="AE939" s="15" t="s">
        <v>164</v>
      </c>
      <c r="AF939" s="15" t="s">
        <v>10952</v>
      </c>
      <c r="AG939" s="15" t="s">
        <v>10952</v>
      </c>
      <c r="AH939" s="15" t="s">
        <v>10953</v>
      </c>
      <c r="AL939" s="15" t="s">
        <v>10954</v>
      </c>
      <c r="AN939" s="15">
        <v>743</v>
      </c>
      <c r="AO939" s="15" t="s">
        <v>10955</v>
      </c>
      <c r="AQ939" s="15" t="s">
        <v>5692</v>
      </c>
      <c r="AT939" s="15" t="s">
        <v>10956</v>
      </c>
      <c r="AU939" s="18" t="s">
        <v>10957</v>
      </c>
      <c r="AV939" s="18" t="s">
        <v>10957</v>
      </c>
      <c r="AW939" s="15" t="s">
        <v>10958</v>
      </c>
      <c r="AX939" s="15" t="s">
        <v>10959</v>
      </c>
      <c r="AY939" s="15">
        <f t="shared" si="19"/>
        <v>60</v>
      </c>
      <c r="AZ939" s="18" t="s">
        <v>10960</v>
      </c>
      <c r="BB939" s="18" t="s">
        <v>10948</v>
      </c>
      <c r="BD939" s="18" t="s">
        <v>3021</v>
      </c>
      <c r="BE939" s="18" t="s">
        <v>1754</v>
      </c>
      <c r="BF939" s="18" t="s">
        <v>10961</v>
      </c>
      <c r="BI939" s="18" t="s">
        <v>1083</v>
      </c>
      <c r="BJ939" s="18" t="s">
        <v>10962</v>
      </c>
      <c r="BN939" s="18" t="s">
        <v>179</v>
      </c>
      <c r="BP939" s="18" t="s">
        <v>138</v>
      </c>
      <c r="BS939" s="15" t="s">
        <v>10963</v>
      </c>
      <c r="DH939" s="15" t="s">
        <v>17982</v>
      </c>
      <c r="DI939" s="15" t="s">
        <v>17982</v>
      </c>
    </row>
    <row r="940" spans="1:113" s="15" customFormat="1" ht="12.75" x14ac:dyDescent="0.2">
      <c r="A940" s="15" t="s">
        <v>109</v>
      </c>
      <c r="B940" s="15" t="s">
        <v>110</v>
      </c>
      <c r="D940" s="15" t="s">
        <v>1481</v>
      </c>
      <c r="E940" s="15" t="s">
        <v>112</v>
      </c>
      <c r="F940" s="15" t="s">
        <v>1481</v>
      </c>
      <c r="G940" s="15" t="s">
        <v>113</v>
      </c>
      <c r="H940" s="15" t="s">
        <v>1481</v>
      </c>
      <c r="J940" s="16" t="s">
        <v>114</v>
      </c>
      <c r="U940" s="15" t="s">
        <v>17977</v>
      </c>
      <c r="W940" s="15">
        <v>1021</v>
      </c>
      <c r="X940" s="15">
        <v>950</v>
      </c>
      <c r="Y940" s="15" t="s">
        <v>160</v>
      </c>
      <c r="Z940" s="15" t="s">
        <v>161</v>
      </c>
      <c r="AA940" s="15" t="s">
        <v>162</v>
      </c>
      <c r="AB940" s="15" t="s">
        <v>5189</v>
      </c>
      <c r="AC940" s="15" t="s">
        <v>5189</v>
      </c>
      <c r="AD940" s="15" t="s">
        <v>5189</v>
      </c>
      <c r="AE940" s="15" t="s">
        <v>164</v>
      </c>
      <c r="AF940" s="15" t="s">
        <v>5189</v>
      </c>
      <c r="AG940" s="15" t="s">
        <v>5189</v>
      </c>
      <c r="AH940" s="15" t="s">
        <v>5190</v>
      </c>
      <c r="AL940" s="15" t="s">
        <v>5191</v>
      </c>
      <c r="AN940" s="15">
        <v>743</v>
      </c>
      <c r="AO940" s="15" t="s">
        <v>5192</v>
      </c>
      <c r="AQ940" s="15" t="s">
        <v>3598</v>
      </c>
      <c r="AT940" s="15" t="s">
        <v>5193</v>
      </c>
      <c r="AU940" s="18" t="s">
        <v>5194</v>
      </c>
      <c r="AV940" s="18" t="s">
        <v>5194</v>
      </c>
      <c r="AW940" s="15" t="s">
        <v>5195</v>
      </c>
      <c r="AX940" s="15" t="s">
        <v>5196</v>
      </c>
      <c r="AY940" s="15">
        <f t="shared" si="19"/>
        <v>59</v>
      </c>
      <c r="AZ940" s="18" t="s">
        <v>3603</v>
      </c>
      <c r="BA940" s="18" t="s">
        <v>214</v>
      </c>
      <c r="BB940" s="18" t="s">
        <v>5006</v>
      </c>
      <c r="BE940" s="18" t="s">
        <v>564</v>
      </c>
      <c r="BJ940" s="18" t="s">
        <v>5197</v>
      </c>
      <c r="BN940" s="18" t="s">
        <v>179</v>
      </c>
      <c r="BO940" s="18" t="s">
        <v>4731</v>
      </c>
      <c r="BP940" s="18" t="s">
        <v>138</v>
      </c>
      <c r="BS940" s="15" t="s">
        <v>5198</v>
      </c>
      <c r="DH940" s="15" t="s">
        <v>17982</v>
      </c>
      <c r="DI940" s="15" t="s">
        <v>17982</v>
      </c>
    </row>
    <row r="941" spans="1:113" s="15" customFormat="1" ht="12.75" x14ac:dyDescent="0.2">
      <c r="A941" s="15" t="s">
        <v>109</v>
      </c>
      <c r="B941" s="15" t="s">
        <v>110</v>
      </c>
      <c r="D941" s="15" t="s">
        <v>1481</v>
      </c>
      <c r="E941" s="15" t="s">
        <v>112</v>
      </c>
      <c r="F941" s="15" t="s">
        <v>1481</v>
      </c>
      <c r="G941" s="15" t="s">
        <v>113</v>
      </c>
      <c r="H941" s="15" t="s">
        <v>1481</v>
      </c>
      <c r="J941" s="16" t="s">
        <v>114</v>
      </c>
      <c r="U941" s="15" t="s">
        <v>17977</v>
      </c>
      <c r="W941" s="15">
        <v>1023</v>
      </c>
      <c r="X941" s="15">
        <v>951</v>
      </c>
      <c r="Y941" s="15" t="s">
        <v>160</v>
      </c>
      <c r="Z941" s="15" t="s">
        <v>161</v>
      </c>
      <c r="AA941" s="15" t="s">
        <v>162</v>
      </c>
      <c r="AB941" s="15" t="s">
        <v>5207</v>
      </c>
      <c r="AC941" s="15" t="s">
        <v>5207</v>
      </c>
      <c r="AD941" s="15" t="s">
        <v>5207</v>
      </c>
      <c r="AE941" s="15" t="s">
        <v>164</v>
      </c>
      <c r="AF941" s="15" t="s">
        <v>5207</v>
      </c>
      <c r="AG941" s="15" t="s">
        <v>5207</v>
      </c>
      <c r="AH941" s="15" t="s">
        <v>5208</v>
      </c>
      <c r="AL941" s="15" t="s">
        <v>5209</v>
      </c>
      <c r="AN941" s="15">
        <v>743</v>
      </c>
      <c r="AO941" s="15" t="s">
        <v>5210</v>
      </c>
      <c r="AQ941" s="15" t="s">
        <v>3598</v>
      </c>
      <c r="AT941" s="15" t="s">
        <v>5211</v>
      </c>
      <c r="AU941" s="18" t="s">
        <v>5212</v>
      </c>
      <c r="AV941" s="18" t="s">
        <v>5212</v>
      </c>
      <c r="AW941" s="15" t="s">
        <v>5213</v>
      </c>
      <c r="AX941" s="15" t="s">
        <v>5214</v>
      </c>
      <c r="AY941" s="15">
        <f t="shared" si="19"/>
        <v>59</v>
      </c>
      <c r="AZ941" s="18" t="s">
        <v>3603</v>
      </c>
      <c r="BA941" s="18" t="s">
        <v>214</v>
      </c>
      <c r="BB941" s="18" t="s">
        <v>5006</v>
      </c>
      <c r="BE941" s="18" t="s">
        <v>564</v>
      </c>
      <c r="BJ941" s="18" t="s">
        <v>5215</v>
      </c>
      <c r="BN941" s="18" t="s">
        <v>179</v>
      </c>
      <c r="BO941" s="18" t="s">
        <v>4731</v>
      </c>
      <c r="BP941" s="18" t="s">
        <v>138</v>
      </c>
      <c r="BS941" s="15" t="s">
        <v>5216</v>
      </c>
      <c r="DH941" s="15" t="s">
        <v>17982</v>
      </c>
      <c r="DI941" s="15" t="s">
        <v>17982</v>
      </c>
    </row>
    <row r="942" spans="1:113" s="15" customFormat="1" ht="12.75" x14ac:dyDescent="0.2">
      <c r="A942" s="15" t="s">
        <v>109</v>
      </c>
      <c r="B942" s="15" t="s">
        <v>110</v>
      </c>
      <c r="D942" s="15" t="s">
        <v>1481</v>
      </c>
      <c r="E942" s="15" t="s">
        <v>112</v>
      </c>
      <c r="F942" s="15" t="s">
        <v>1481</v>
      </c>
      <c r="G942" s="15" t="s">
        <v>113</v>
      </c>
      <c r="H942" s="15" t="s">
        <v>1481</v>
      </c>
      <c r="J942" s="16" t="s">
        <v>114</v>
      </c>
      <c r="U942" s="15" t="s">
        <v>17977</v>
      </c>
      <c r="W942" s="15">
        <v>1022</v>
      </c>
      <c r="X942" s="15">
        <v>952</v>
      </c>
      <c r="Y942" s="15" t="s">
        <v>160</v>
      </c>
      <c r="Z942" s="15" t="s">
        <v>161</v>
      </c>
      <c r="AA942" s="15" t="s">
        <v>162</v>
      </c>
      <c r="AB942" s="15" t="s">
        <v>5199</v>
      </c>
      <c r="AC942" s="15" t="s">
        <v>5199</v>
      </c>
      <c r="AD942" s="15" t="s">
        <v>5199</v>
      </c>
      <c r="AE942" s="15" t="s">
        <v>164</v>
      </c>
      <c r="AF942" s="15" t="s">
        <v>5199</v>
      </c>
      <c r="AG942" s="15" t="s">
        <v>5199</v>
      </c>
      <c r="AH942" s="15" t="s">
        <v>5200</v>
      </c>
      <c r="AL942" s="15" t="s">
        <v>5191</v>
      </c>
      <c r="AN942" s="15">
        <v>743</v>
      </c>
      <c r="AO942" s="15" t="s">
        <v>5201</v>
      </c>
      <c r="AQ942" s="15" t="s">
        <v>3598</v>
      </c>
      <c r="AT942" s="15" t="s">
        <v>5202</v>
      </c>
      <c r="AU942" s="18" t="s">
        <v>5203</v>
      </c>
      <c r="AV942" s="18" t="s">
        <v>5203</v>
      </c>
      <c r="AW942" s="15" t="s">
        <v>5204</v>
      </c>
      <c r="AX942" s="15" t="s">
        <v>5205</v>
      </c>
      <c r="AY942" s="15">
        <f t="shared" si="19"/>
        <v>59</v>
      </c>
      <c r="AZ942" s="18" t="s">
        <v>3603</v>
      </c>
      <c r="BA942" s="18" t="s">
        <v>214</v>
      </c>
      <c r="BB942" s="18" t="s">
        <v>5006</v>
      </c>
      <c r="BE942" s="18" t="s">
        <v>1528</v>
      </c>
      <c r="BJ942" s="18" t="s">
        <v>5197</v>
      </c>
      <c r="BN942" s="18" t="s">
        <v>179</v>
      </c>
      <c r="BO942" s="18" t="s">
        <v>4731</v>
      </c>
      <c r="BP942" s="18" t="s">
        <v>138</v>
      </c>
      <c r="BS942" s="15" t="s">
        <v>5206</v>
      </c>
      <c r="DH942" s="15" t="s">
        <v>17982</v>
      </c>
      <c r="DI942" s="15" t="s">
        <v>17982</v>
      </c>
    </row>
    <row r="943" spans="1:113" s="15" customFormat="1" ht="12.75" x14ac:dyDescent="0.2">
      <c r="A943" s="15" t="s">
        <v>109</v>
      </c>
      <c r="B943" s="15" t="s">
        <v>110</v>
      </c>
      <c r="D943" s="15" t="s">
        <v>1481</v>
      </c>
      <c r="E943" s="15" t="s">
        <v>112</v>
      </c>
      <c r="F943" s="15" t="s">
        <v>1481</v>
      </c>
      <c r="G943" s="15" t="s">
        <v>113</v>
      </c>
      <c r="H943" s="15" t="s">
        <v>1481</v>
      </c>
      <c r="J943" s="16" t="s">
        <v>114</v>
      </c>
      <c r="U943" s="15" t="s">
        <v>17977</v>
      </c>
      <c r="W943" s="15">
        <v>1020</v>
      </c>
      <c r="X943" s="15">
        <v>953</v>
      </c>
      <c r="Y943" s="15" t="s">
        <v>160</v>
      </c>
      <c r="Z943" s="15" t="s">
        <v>161</v>
      </c>
      <c r="AA943" s="15" t="s">
        <v>162</v>
      </c>
      <c r="AB943" s="15" t="s">
        <v>5179</v>
      </c>
      <c r="AC943" s="15" t="s">
        <v>5179</v>
      </c>
      <c r="AD943" s="15" t="s">
        <v>5179</v>
      </c>
      <c r="AE943" s="15" t="s">
        <v>164</v>
      </c>
      <c r="AF943" s="15" t="s">
        <v>5179</v>
      </c>
      <c r="AG943" s="15" t="s">
        <v>5179</v>
      </c>
      <c r="AH943" s="15" t="s">
        <v>5180</v>
      </c>
      <c r="AL943" s="15" t="s">
        <v>5181</v>
      </c>
      <c r="AN943" s="15">
        <v>743</v>
      </c>
      <c r="AO943" s="15" t="s">
        <v>5182</v>
      </c>
      <c r="AQ943" s="15" t="s">
        <v>3598</v>
      </c>
      <c r="AT943" s="15" t="s">
        <v>5183</v>
      </c>
      <c r="AU943" s="18" t="s">
        <v>5184</v>
      </c>
      <c r="AV943" s="18" t="s">
        <v>5184</v>
      </c>
      <c r="AW943" s="15" t="s">
        <v>5185</v>
      </c>
      <c r="AX943" s="15" t="s">
        <v>5186</v>
      </c>
      <c r="AY943" s="15">
        <f t="shared" si="19"/>
        <v>58</v>
      </c>
      <c r="AZ943" s="18" t="s">
        <v>3603</v>
      </c>
      <c r="BA943" s="18" t="s">
        <v>214</v>
      </c>
      <c r="BB943" s="18" t="s">
        <v>5006</v>
      </c>
      <c r="BE943" s="18" t="s">
        <v>1528</v>
      </c>
      <c r="BJ943" s="18" t="s">
        <v>5187</v>
      </c>
      <c r="BN943" s="18" t="s">
        <v>179</v>
      </c>
      <c r="BO943" s="18" t="s">
        <v>4731</v>
      </c>
      <c r="BP943" s="18" t="s">
        <v>138</v>
      </c>
      <c r="BS943" s="15" t="s">
        <v>5188</v>
      </c>
      <c r="DH943" s="15" t="s">
        <v>17982</v>
      </c>
      <c r="DI943" s="15" t="s">
        <v>17982</v>
      </c>
    </row>
    <row r="944" spans="1:113" s="15" customFormat="1" ht="12.75" x14ac:dyDescent="0.2">
      <c r="A944" s="15" t="s">
        <v>109</v>
      </c>
      <c r="B944" s="15" t="s">
        <v>110</v>
      </c>
      <c r="D944" s="15" t="s">
        <v>1481</v>
      </c>
      <c r="E944" s="15" t="s">
        <v>112</v>
      </c>
      <c r="F944" s="15" t="s">
        <v>1481</v>
      </c>
      <c r="G944" s="15" t="s">
        <v>113</v>
      </c>
      <c r="H944" s="15" t="s">
        <v>1481</v>
      </c>
      <c r="J944" s="16" t="s">
        <v>114</v>
      </c>
      <c r="U944" s="15" t="s">
        <v>17977</v>
      </c>
      <c r="W944" s="15">
        <v>2065</v>
      </c>
      <c r="X944" s="15">
        <v>954</v>
      </c>
      <c r="Y944" s="15" t="s">
        <v>160</v>
      </c>
      <c r="Z944" s="15" t="s">
        <v>161</v>
      </c>
      <c r="AA944" s="15" t="s">
        <v>162</v>
      </c>
      <c r="AB944" s="15" t="s">
        <v>10624</v>
      </c>
      <c r="AC944" s="15" t="s">
        <v>10624</v>
      </c>
      <c r="AD944" s="15" t="s">
        <v>10624</v>
      </c>
      <c r="AE944" s="15" t="s">
        <v>164</v>
      </c>
      <c r="AF944" s="15" t="s">
        <v>10624</v>
      </c>
      <c r="AG944" s="15" t="s">
        <v>10624</v>
      </c>
      <c r="AH944" s="15" t="s">
        <v>10625</v>
      </c>
      <c r="AL944" s="15" t="s">
        <v>10626</v>
      </c>
      <c r="AN944" s="15">
        <v>743</v>
      </c>
      <c r="AO944" s="15" t="s">
        <v>10627</v>
      </c>
      <c r="AQ944" s="15" t="s">
        <v>388</v>
      </c>
      <c r="AT944" s="15" t="s">
        <v>10628</v>
      </c>
      <c r="AU944" s="18" t="s">
        <v>10629</v>
      </c>
      <c r="AV944" s="18" t="s">
        <v>10629</v>
      </c>
      <c r="AW944" s="15" t="s">
        <v>10630</v>
      </c>
      <c r="AX944" s="15" t="s">
        <v>10631</v>
      </c>
      <c r="AY944" s="15">
        <f t="shared" si="19"/>
        <v>57</v>
      </c>
      <c r="AZ944" s="18" t="s">
        <v>393</v>
      </c>
      <c r="BA944" s="18" t="s">
        <v>174</v>
      </c>
      <c r="BB944" s="18" t="s">
        <v>10632</v>
      </c>
      <c r="BE944" s="18" t="s">
        <v>275</v>
      </c>
      <c r="BJ944" s="18" t="s">
        <v>10633</v>
      </c>
      <c r="BN944" s="18" t="s">
        <v>179</v>
      </c>
      <c r="BP944" s="18" t="s">
        <v>138</v>
      </c>
      <c r="BS944" s="15" t="s">
        <v>10634</v>
      </c>
      <c r="DH944" s="15" t="s">
        <v>17982</v>
      </c>
      <c r="DI944" s="15" t="s">
        <v>17982</v>
      </c>
    </row>
    <row r="945" spans="1:113" s="15" customFormat="1" ht="12.75" x14ac:dyDescent="0.2">
      <c r="A945" s="15" t="s">
        <v>109</v>
      </c>
      <c r="B945" s="15" t="s">
        <v>110</v>
      </c>
      <c r="D945" s="15" t="s">
        <v>1481</v>
      </c>
      <c r="E945" s="15" t="s">
        <v>112</v>
      </c>
      <c r="F945" s="15" t="s">
        <v>1481</v>
      </c>
      <c r="G945" s="15" t="s">
        <v>113</v>
      </c>
      <c r="H945" s="15" t="s">
        <v>1481</v>
      </c>
      <c r="J945" s="16" t="s">
        <v>114</v>
      </c>
      <c r="U945" s="15" t="s">
        <v>17977</v>
      </c>
      <c r="W945" s="15">
        <v>1767</v>
      </c>
      <c r="X945" s="15">
        <v>955</v>
      </c>
      <c r="Y945" s="15" t="s">
        <v>160</v>
      </c>
      <c r="Z945" s="15" t="s">
        <v>161</v>
      </c>
      <c r="AA945" s="15" t="s">
        <v>162</v>
      </c>
      <c r="AB945" s="15" t="s">
        <v>9339</v>
      </c>
      <c r="AC945" s="15" t="s">
        <v>9339</v>
      </c>
      <c r="AD945" s="15" t="s">
        <v>9339</v>
      </c>
      <c r="AE945" s="15" t="s">
        <v>164</v>
      </c>
      <c r="AF945" s="15" t="s">
        <v>9339</v>
      </c>
      <c r="AG945" s="15" t="s">
        <v>9339</v>
      </c>
      <c r="AH945" s="15" t="s">
        <v>9340</v>
      </c>
      <c r="AL945" s="15" t="s">
        <v>9341</v>
      </c>
      <c r="AN945" s="15">
        <v>743</v>
      </c>
      <c r="AO945" s="15" t="s">
        <v>9342</v>
      </c>
      <c r="AQ945" s="15" t="s">
        <v>168</v>
      </c>
      <c r="AT945" s="15" t="s">
        <v>9343</v>
      </c>
      <c r="AU945" s="18" t="s">
        <v>9344</v>
      </c>
      <c r="AV945" s="18" t="s">
        <v>9344</v>
      </c>
      <c r="AW945" s="15" t="s">
        <v>9345</v>
      </c>
      <c r="AX945" s="15" t="s">
        <v>9345</v>
      </c>
      <c r="AY945" s="15">
        <f t="shared" si="19"/>
        <v>57</v>
      </c>
      <c r="AZ945" s="18" t="s">
        <v>173</v>
      </c>
      <c r="BA945" s="18" t="s">
        <v>174</v>
      </c>
      <c r="BB945" s="18" t="s">
        <v>5006</v>
      </c>
      <c r="BE945" s="18" t="s">
        <v>617</v>
      </c>
      <c r="BJ945" s="18" t="s">
        <v>9346</v>
      </c>
      <c r="BN945" s="18" t="s">
        <v>179</v>
      </c>
      <c r="BP945" s="18" t="s">
        <v>138</v>
      </c>
      <c r="BS945" s="15" t="s">
        <v>9347</v>
      </c>
      <c r="DH945" s="15" t="s">
        <v>17982</v>
      </c>
      <c r="DI945" s="15" t="s">
        <v>17982</v>
      </c>
    </row>
    <row r="946" spans="1:113" s="15" customFormat="1" ht="12.75" x14ac:dyDescent="0.2">
      <c r="A946" s="15" t="s">
        <v>109</v>
      </c>
      <c r="B946" s="15" t="s">
        <v>110</v>
      </c>
      <c r="D946" s="15" t="s">
        <v>1481</v>
      </c>
      <c r="E946" s="15" t="s">
        <v>112</v>
      </c>
      <c r="F946" s="15" t="s">
        <v>1481</v>
      </c>
      <c r="G946" s="15" t="s">
        <v>113</v>
      </c>
      <c r="H946" s="15" t="s">
        <v>1481</v>
      </c>
      <c r="J946" s="16" t="s">
        <v>114</v>
      </c>
      <c r="U946" s="15" t="s">
        <v>17977</v>
      </c>
      <c r="W946" s="15">
        <v>1766</v>
      </c>
      <c r="X946" s="15">
        <v>956</v>
      </c>
      <c r="Y946" s="15" t="s">
        <v>160</v>
      </c>
      <c r="Z946" s="15" t="s">
        <v>161</v>
      </c>
      <c r="AA946" s="15" t="s">
        <v>162</v>
      </c>
      <c r="AB946" s="15" t="s">
        <v>9329</v>
      </c>
      <c r="AC946" s="15" t="s">
        <v>9329</v>
      </c>
      <c r="AD946" s="15" t="s">
        <v>9329</v>
      </c>
      <c r="AE946" s="15" t="s">
        <v>164</v>
      </c>
      <c r="AF946" s="15" t="s">
        <v>9329</v>
      </c>
      <c r="AG946" s="15" t="s">
        <v>9329</v>
      </c>
      <c r="AH946" s="15" t="s">
        <v>9330</v>
      </c>
      <c r="AL946" s="15" t="s">
        <v>9331</v>
      </c>
      <c r="AN946" s="15">
        <v>743</v>
      </c>
      <c r="AO946" s="15" t="s">
        <v>9332</v>
      </c>
      <c r="AQ946" s="15" t="s">
        <v>168</v>
      </c>
      <c r="AT946" s="15" t="s">
        <v>9333</v>
      </c>
      <c r="AU946" s="18" t="s">
        <v>9334</v>
      </c>
      <c r="AV946" s="18" t="s">
        <v>9334</v>
      </c>
      <c r="AW946" s="15" t="s">
        <v>9335</v>
      </c>
      <c r="AX946" s="15" t="s">
        <v>9336</v>
      </c>
      <c r="AY946" s="15">
        <f t="shared" si="19"/>
        <v>59</v>
      </c>
      <c r="AZ946" s="18" t="s">
        <v>173</v>
      </c>
      <c r="BA946" s="18" t="s">
        <v>174</v>
      </c>
      <c r="BB946" s="18" t="s">
        <v>5006</v>
      </c>
      <c r="BE946" s="18" t="s">
        <v>264</v>
      </c>
      <c r="BJ946" s="18" t="s">
        <v>9337</v>
      </c>
      <c r="BN946" s="18" t="s">
        <v>179</v>
      </c>
      <c r="BP946" s="18" t="s">
        <v>138</v>
      </c>
      <c r="BS946" s="15" t="s">
        <v>9338</v>
      </c>
      <c r="DH946" s="15" t="s">
        <v>17982</v>
      </c>
      <c r="DI946" s="15" t="s">
        <v>17982</v>
      </c>
    </row>
    <row r="947" spans="1:113" s="15" customFormat="1" ht="12.75" x14ac:dyDescent="0.2">
      <c r="A947" s="15" t="s">
        <v>109</v>
      </c>
      <c r="B947" s="15" t="s">
        <v>110</v>
      </c>
      <c r="D947" s="15" t="s">
        <v>1481</v>
      </c>
      <c r="E947" s="15" t="s">
        <v>112</v>
      </c>
      <c r="F947" s="15" t="s">
        <v>1481</v>
      </c>
      <c r="G947" s="15" t="s">
        <v>113</v>
      </c>
      <c r="H947" s="15" t="s">
        <v>1481</v>
      </c>
      <c r="J947" s="16" t="s">
        <v>114</v>
      </c>
      <c r="U947" s="15" t="s">
        <v>17977</v>
      </c>
      <c r="W947" s="15">
        <v>1768</v>
      </c>
      <c r="X947" s="15">
        <v>957</v>
      </c>
      <c r="Y947" s="15" t="s">
        <v>160</v>
      </c>
      <c r="Z947" s="15" t="s">
        <v>161</v>
      </c>
      <c r="AA947" s="15" t="s">
        <v>162</v>
      </c>
      <c r="AB947" s="15" t="s">
        <v>9348</v>
      </c>
      <c r="AC947" s="15" t="s">
        <v>9348</v>
      </c>
      <c r="AD947" s="15" t="s">
        <v>9348</v>
      </c>
      <c r="AE947" s="15" t="s">
        <v>164</v>
      </c>
      <c r="AF947" s="15" t="s">
        <v>9348</v>
      </c>
      <c r="AG947" s="15" t="s">
        <v>9348</v>
      </c>
      <c r="AH947" s="15" t="s">
        <v>9349</v>
      </c>
      <c r="AL947" s="15" t="s">
        <v>9350</v>
      </c>
      <c r="AN947" s="15">
        <v>743</v>
      </c>
      <c r="AO947" s="15" t="s">
        <v>9351</v>
      </c>
      <c r="AQ947" s="15" t="s">
        <v>168</v>
      </c>
      <c r="AT947" s="15" t="s">
        <v>9352</v>
      </c>
      <c r="AU947" s="18" t="s">
        <v>9353</v>
      </c>
      <c r="AV947" s="18" t="s">
        <v>9353</v>
      </c>
      <c r="AW947" s="15" t="s">
        <v>9354</v>
      </c>
      <c r="AX947" s="15" t="s">
        <v>9355</v>
      </c>
      <c r="AY947" s="15">
        <f t="shared" si="19"/>
        <v>58</v>
      </c>
      <c r="AZ947" s="18" t="s">
        <v>173</v>
      </c>
      <c r="BA947" s="18" t="s">
        <v>174</v>
      </c>
      <c r="BB947" s="18" t="s">
        <v>5006</v>
      </c>
      <c r="BE947" s="18" t="s">
        <v>606</v>
      </c>
      <c r="BJ947" s="18" t="s">
        <v>9356</v>
      </c>
      <c r="BN947" s="18" t="s">
        <v>179</v>
      </c>
      <c r="BP947" s="18" t="s">
        <v>138</v>
      </c>
      <c r="BS947" s="15" t="s">
        <v>9357</v>
      </c>
      <c r="DH947" s="15" t="s">
        <v>17982</v>
      </c>
      <c r="DI947" s="15" t="s">
        <v>17982</v>
      </c>
    </row>
    <row r="948" spans="1:113" s="15" customFormat="1" ht="12.75" x14ac:dyDescent="0.2">
      <c r="A948" s="15" t="s">
        <v>109</v>
      </c>
      <c r="B948" s="15" t="s">
        <v>110</v>
      </c>
      <c r="D948" s="15" t="s">
        <v>1481</v>
      </c>
      <c r="E948" s="15" t="s">
        <v>112</v>
      </c>
      <c r="F948" s="15" t="s">
        <v>1481</v>
      </c>
      <c r="G948" s="15" t="s">
        <v>113</v>
      </c>
      <c r="H948" s="15" t="s">
        <v>1481</v>
      </c>
      <c r="J948" s="16" t="s">
        <v>114</v>
      </c>
      <c r="U948" s="15" t="s">
        <v>17977</v>
      </c>
      <c r="W948" s="15">
        <v>1765</v>
      </c>
      <c r="X948" s="15">
        <v>958</v>
      </c>
      <c r="Y948" s="15" t="s">
        <v>160</v>
      </c>
      <c r="Z948" s="15" t="s">
        <v>161</v>
      </c>
      <c r="AA948" s="15" t="s">
        <v>162</v>
      </c>
      <c r="AB948" s="15" t="s">
        <v>9319</v>
      </c>
      <c r="AC948" s="15" t="s">
        <v>9319</v>
      </c>
      <c r="AD948" s="15" t="s">
        <v>9319</v>
      </c>
      <c r="AE948" s="15" t="s">
        <v>164</v>
      </c>
      <c r="AF948" s="15" t="s">
        <v>9319</v>
      </c>
      <c r="AG948" s="15" t="s">
        <v>9319</v>
      </c>
      <c r="AH948" s="15" t="s">
        <v>9320</v>
      </c>
      <c r="AL948" s="15" t="s">
        <v>9321</v>
      </c>
      <c r="AN948" s="15">
        <v>743</v>
      </c>
      <c r="AO948" s="15" t="s">
        <v>9322</v>
      </c>
      <c r="AQ948" s="15" t="s">
        <v>168</v>
      </c>
      <c r="AT948" s="15" t="s">
        <v>9323</v>
      </c>
      <c r="AU948" s="18" t="s">
        <v>9324</v>
      </c>
      <c r="AV948" s="18" t="s">
        <v>9324</v>
      </c>
      <c r="AW948" s="15" t="s">
        <v>9325</v>
      </c>
      <c r="AX948" s="15" t="s">
        <v>9326</v>
      </c>
      <c r="AY948" s="15">
        <f t="shared" si="19"/>
        <v>58</v>
      </c>
      <c r="AZ948" s="18" t="s">
        <v>173</v>
      </c>
      <c r="BA948" s="18" t="s">
        <v>174</v>
      </c>
      <c r="BB948" s="18" t="s">
        <v>5006</v>
      </c>
      <c r="BE948" s="18" t="s">
        <v>1081</v>
      </c>
      <c r="BJ948" s="18" t="s">
        <v>9327</v>
      </c>
      <c r="BN948" s="18" t="s">
        <v>179</v>
      </c>
      <c r="BP948" s="18" t="s">
        <v>138</v>
      </c>
      <c r="BS948" s="15" t="s">
        <v>9328</v>
      </c>
      <c r="DH948" s="15" t="s">
        <v>17982</v>
      </c>
      <c r="DI948" s="15" t="s">
        <v>17982</v>
      </c>
    </row>
    <row r="949" spans="1:113" s="15" customFormat="1" ht="12.75" x14ac:dyDescent="0.2">
      <c r="A949" s="15" t="s">
        <v>109</v>
      </c>
      <c r="B949" s="15" t="s">
        <v>110</v>
      </c>
      <c r="D949" s="15" t="s">
        <v>1481</v>
      </c>
      <c r="E949" s="15" t="s">
        <v>112</v>
      </c>
      <c r="F949" s="15" t="s">
        <v>1481</v>
      </c>
      <c r="G949" s="15" t="s">
        <v>113</v>
      </c>
      <c r="H949" s="15" t="s">
        <v>1481</v>
      </c>
      <c r="J949" s="16" t="s">
        <v>114</v>
      </c>
      <c r="U949" s="15" t="s">
        <v>17977</v>
      </c>
      <c r="W949" s="15">
        <v>1769</v>
      </c>
      <c r="X949" s="15">
        <v>959</v>
      </c>
      <c r="Y949" s="15" t="s">
        <v>160</v>
      </c>
      <c r="Z949" s="15" t="s">
        <v>161</v>
      </c>
      <c r="AA949" s="15" t="s">
        <v>162</v>
      </c>
      <c r="AB949" s="15" t="s">
        <v>9358</v>
      </c>
      <c r="AC949" s="15" t="s">
        <v>9358</v>
      </c>
      <c r="AD949" s="15" t="s">
        <v>9358</v>
      </c>
      <c r="AE949" s="15" t="s">
        <v>164</v>
      </c>
      <c r="AF949" s="15" t="s">
        <v>9358</v>
      </c>
      <c r="AG949" s="15" t="s">
        <v>9358</v>
      </c>
      <c r="AH949" s="15" t="s">
        <v>9359</v>
      </c>
      <c r="AL949" s="15" t="s">
        <v>9360</v>
      </c>
      <c r="AN949" s="15">
        <v>743</v>
      </c>
      <c r="AO949" s="15" t="s">
        <v>9361</v>
      </c>
      <c r="AQ949" s="15" t="s">
        <v>168</v>
      </c>
      <c r="AT949" s="15" t="s">
        <v>9362</v>
      </c>
      <c r="AU949" s="18" t="s">
        <v>9363</v>
      </c>
      <c r="AV949" s="18" t="s">
        <v>9363</v>
      </c>
      <c r="AW949" s="15" t="s">
        <v>9364</v>
      </c>
      <c r="AX949" s="15" t="s">
        <v>9365</v>
      </c>
      <c r="AY949" s="15">
        <f t="shared" si="19"/>
        <v>58</v>
      </c>
      <c r="AZ949" s="18" t="s">
        <v>173</v>
      </c>
      <c r="BA949" s="18" t="s">
        <v>174</v>
      </c>
      <c r="BB949" s="18" t="s">
        <v>5006</v>
      </c>
      <c r="BE949" s="18" t="s">
        <v>176</v>
      </c>
      <c r="BJ949" s="18" t="s">
        <v>9356</v>
      </c>
      <c r="BN949" s="18" t="s">
        <v>179</v>
      </c>
      <c r="BP949" s="18" t="s">
        <v>138</v>
      </c>
      <c r="BS949" s="15" t="s">
        <v>9366</v>
      </c>
      <c r="DH949" s="15" t="s">
        <v>17982</v>
      </c>
      <c r="DI949" s="15" t="s">
        <v>17982</v>
      </c>
    </row>
    <row r="950" spans="1:113" s="15" customFormat="1" ht="12.75" x14ac:dyDescent="0.2">
      <c r="A950" s="15" t="s">
        <v>109</v>
      </c>
      <c r="B950" s="15" t="s">
        <v>110</v>
      </c>
      <c r="D950" s="15" t="s">
        <v>1481</v>
      </c>
      <c r="E950" s="15" t="s">
        <v>112</v>
      </c>
      <c r="F950" s="15" t="s">
        <v>1481</v>
      </c>
      <c r="G950" s="15" t="s">
        <v>113</v>
      </c>
      <c r="H950" s="15" t="s">
        <v>1481</v>
      </c>
      <c r="J950" s="16" t="s">
        <v>114</v>
      </c>
      <c r="U950" s="15" t="s">
        <v>17977</v>
      </c>
      <c r="W950" s="15">
        <v>1787</v>
      </c>
      <c r="X950" s="15">
        <v>960</v>
      </c>
      <c r="Y950" s="15" t="s">
        <v>160</v>
      </c>
      <c r="Z950" s="15" t="s">
        <v>161</v>
      </c>
      <c r="AA950" s="15" t="s">
        <v>162</v>
      </c>
      <c r="AB950" s="15" t="s">
        <v>9538</v>
      </c>
      <c r="AC950" s="15" t="s">
        <v>9538</v>
      </c>
      <c r="AD950" s="15" t="s">
        <v>9538</v>
      </c>
      <c r="AE950" s="15" t="s">
        <v>164</v>
      </c>
      <c r="AF950" s="15" t="s">
        <v>9538</v>
      </c>
      <c r="AG950" s="15" t="s">
        <v>9538</v>
      </c>
      <c r="AH950" s="15" t="s">
        <v>9539</v>
      </c>
      <c r="AL950" s="15" t="s">
        <v>9540</v>
      </c>
      <c r="AN950" s="15">
        <v>743</v>
      </c>
      <c r="AO950" s="15" t="s">
        <v>9541</v>
      </c>
      <c r="AQ950" s="15" t="s">
        <v>388</v>
      </c>
      <c r="AT950" s="15" t="s">
        <v>9542</v>
      </c>
      <c r="AU950" s="18" t="s">
        <v>9543</v>
      </c>
      <c r="AV950" s="18" t="s">
        <v>9543</v>
      </c>
      <c r="AW950" s="15" t="s">
        <v>9544</v>
      </c>
      <c r="AX950" s="15" t="s">
        <v>9545</v>
      </c>
      <c r="AY950" s="15">
        <f t="shared" si="19"/>
        <v>59</v>
      </c>
      <c r="AZ950" s="18" t="s">
        <v>393</v>
      </c>
      <c r="BA950" s="18" t="s">
        <v>174</v>
      </c>
      <c r="BB950" s="18" t="s">
        <v>5006</v>
      </c>
      <c r="BE950" s="18" t="s">
        <v>5789</v>
      </c>
      <c r="BF950" s="18" t="s">
        <v>9546</v>
      </c>
      <c r="BJ950" s="18" t="s">
        <v>9547</v>
      </c>
      <c r="BN950" s="18" t="s">
        <v>179</v>
      </c>
      <c r="BP950" s="18" t="s">
        <v>138</v>
      </c>
      <c r="BS950" s="15" t="s">
        <v>9548</v>
      </c>
      <c r="DH950" s="15" t="s">
        <v>17982</v>
      </c>
      <c r="DI950" s="15" t="s">
        <v>17982</v>
      </c>
    </row>
    <row r="951" spans="1:113" s="15" customFormat="1" ht="12.75" x14ac:dyDescent="0.2">
      <c r="A951" s="15" t="s">
        <v>109</v>
      </c>
      <c r="B951" s="15" t="s">
        <v>110</v>
      </c>
      <c r="D951" s="15" t="s">
        <v>1481</v>
      </c>
      <c r="E951" s="15" t="s">
        <v>112</v>
      </c>
      <c r="F951" s="15" t="s">
        <v>1481</v>
      </c>
      <c r="G951" s="15" t="s">
        <v>113</v>
      </c>
      <c r="H951" s="15" t="s">
        <v>1481</v>
      </c>
      <c r="J951" s="16" t="s">
        <v>114</v>
      </c>
      <c r="U951" s="15" t="s">
        <v>17977</v>
      </c>
      <c r="W951" s="15">
        <v>1788</v>
      </c>
      <c r="X951" s="15">
        <v>961</v>
      </c>
      <c r="Y951" s="15" t="s">
        <v>160</v>
      </c>
      <c r="Z951" s="15" t="s">
        <v>161</v>
      </c>
      <c r="AA951" s="15" t="s">
        <v>162</v>
      </c>
      <c r="AB951" s="15" t="s">
        <v>9549</v>
      </c>
      <c r="AC951" s="15" t="s">
        <v>9549</v>
      </c>
      <c r="AD951" s="15" t="s">
        <v>9549</v>
      </c>
      <c r="AE951" s="15" t="s">
        <v>164</v>
      </c>
      <c r="AF951" s="15" t="s">
        <v>9549</v>
      </c>
      <c r="AG951" s="15" t="s">
        <v>9549</v>
      </c>
      <c r="AH951" s="15" t="s">
        <v>9550</v>
      </c>
      <c r="AL951" s="15" t="s">
        <v>9551</v>
      </c>
      <c r="AN951" s="15">
        <v>743</v>
      </c>
      <c r="AO951" s="15" t="s">
        <v>9552</v>
      </c>
      <c r="AQ951" s="15" t="s">
        <v>388</v>
      </c>
      <c r="AT951" s="15" t="s">
        <v>9553</v>
      </c>
      <c r="AU951" s="18" t="s">
        <v>9554</v>
      </c>
      <c r="AV951" s="18" t="s">
        <v>9554</v>
      </c>
      <c r="AW951" s="15" t="s">
        <v>9555</v>
      </c>
      <c r="AX951" s="15" t="s">
        <v>9556</v>
      </c>
      <c r="AY951" s="15">
        <f t="shared" si="19"/>
        <v>58</v>
      </c>
      <c r="AZ951" s="18" t="s">
        <v>393</v>
      </c>
      <c r="BA951" s="18" t="s">
        <v>174</v>
      </c>
      <c r="BB951" s="18" t="s">
        <v>5006</v>
      </c>
      <c r="BE951" s="18" t="s">
        <v>1081</v>
      </c>
      <c r="BF951" s="18" t="s">
        <v>9546</v>
      </c>
      <c r="BJ951" s="18" t="s">
        <v>9547</v>
      </c>
      <c r="BN951" s="18" t="s">
        <v>179</v>
      </c>
      <c r="BP951" s="18" t="s">
        <v>138</v>
      </c>
      <c r="BS951" s="15" t="s">
        <v>9557</v>
      </c>
      <c r="DH951" s="15" t="s">
        <v>17982</v>
      </c>
      <c r="DI951" s="15" t="s">
        <v>17982</v>
      </c>
    </row>
    <row r="952" spans="1:113" s="15" customFormat="1" ht="12.75" x14ac:dyDescent="0.2">
      <c r="A952" s="15" t="s">
        <v>109</v>
      </c>
      <c r="B952" s="15" t="s">
        <v>110</v>
      </c>
      <c r="D952" s="15" t="s">
        <v>1481</v>
      </c>
      <c r="E952" s="15" t="s">
        <v>112</v>
      </c>
      <c r="F952" s="15" t="s">
        <v>1481</v>
      </c>
      <c r="G952" s="15" t="s">
        <v>113</v>
      </c>
      <c r="H952" s="15" t="s">
        <v>1481</v>
      </c>
      <c r="J952" s="16" t="s">
        <v>114</v>
      </c>
      <c r="U952" s="15" t="s">
        <v>17977</v>
      </c>
      <c r="W952" s="15">
        <v>1771</v>
      </c>
      <c r="X952" s="15">
        <v>962</v>
      </c>
      <c r="Y952" s="15" t="s">
        <v>160</v>
      </c>
      <c r="Z952" s="15" t="s">
        <v>161</v>
      </c>
      <c r="AA952" s="15" t="s">
        <v>162</v>
      </c>
      <c r="AB952" s="15" t="s">
        <v>9378</v>
      </c>
      <c r="AC952" s="15" t="s">
        <v>9378</v>
      </c>
      <c r="AD952" s="15" t="s">
        <v>9378</v>
      </c>
      <c r="AE952" s="15" t="s">
        <v>164</v>
      </c>
      <c r="AF952" s="15" t="s">
        <v>9378</v>
      </c>
      <c r="AG952" s="15" t="s">
        <v>9378</v>
      </c>
      <c r="AH952" s="15" t="s">
        <v>9379</v>
      </c>
      <c r="AL952" s="15" t="s">
        <v>9380</v>
      </c>
      <c r="AN952" s="15">
        <v>743</v>
      </c>
      <c r="AO952" s="15" t="s">
        <v>9381</v>
      </c>
      <c r="AQ952" s="15" t="s">
        <v>3843</v>
      </c>
      <c r="AT952" s="15" t="s">
        <v>9382</v>
      </c>
      <c r="AU952" s="18" t="s">
        <v>9383</v>
      </c>
      <c r="AV952" s="18" t="s">
        <v>9383</v>
      </c>
      <c r="AW952" s="15" t="s">
        <v>9384</v>
      </c>
      <c r="AX952" s="15" t="s">
        <v>9385</v>
      </c>
      <c r="AY952" s="15">
        <f t="shared" si="19"/>
        <v>56</v>
      </c>
      <c r="AZ952" s="18" t="s">
        <v>3848</v>
      </c>
      <c r="BA952" s="18" t="s">
        <v>174</v>
      </c>
      <c r="BB952" s="18" t="s">
        <v>5006</v>
      </c>
      <c r="BE952" s="18" t="s">
        <v>1123</v>
      </c>
      <c r="BF952" s="18" t="s">
        <v>9375</v>
      </c>
      <c r="BJ952" s="18" t="s">
        <v>9386</v>
      </c>
      <c r="BN952" s="18" t="s">
        <v>179</v>
      </c>
      <c r="BP952" s="18" t="s">
        <v>138</v>
      </c>
      <c r="BS952" s="15" t="s">
        <v>9387</v>
      </c>
      <c r="DH952" s="15" t="s">
        <v>17982</v>
      </c>
      <c r="DI952" s="15" t="s">
        <v>17982</v>
      </c>
    </row>
    <row r="953" spans="1:113" s="15" customFormat="1" ht="12.75" x14ac:dyDescent="0.2">
      <c r="A953" s="15" t="s">
        <v>109</v>
      </c>
      <c r="B953" s="15" t="s">
        <v>110</v>
      </c>
      <c r="D953" s="15" t="s">
        <v>1481</v>
      </c>
      <c r="E953" s="15" t="s">
        <v>112</v>
      </c>
      <c r="F953" s="15" t="s">
        <v>1481</v>
      </c>
      <c r="G953" s="15" t="s">
        <v>113</v>
      </c>
      <c r="H953" s="15" t="s">
        <v>1481</v>
      </c>
      <c r="J953" s="16" t="s">
        <v>114</v>
      </c>
      <c r="U953" s="15" t="s">
        <v>17977</v>
      </c>
      <c r="W953" s="15">
        <v>1770</v>
      </c>
      <c r="X953" s="15">
        <v>963</v>
      </c>
      <c r="Y953" s="15" t="s">
        <v>160</v>
      </c>
      <c r="Z953" s="15" t="s">
        <v>161</v>
      </c>
      <c r="AA953" s="15" t="s">
        <v>162</v>
      </c>
      <c r="AB953" s="15" t="s">
        <v>9367</v>
      </c>
      <c r="AC953" s="15" t="s">
        <v>9367</v>
      </c>
      <c r="AD953" s="15" t="s">
        <v>9367</v>
      </c>
      <c r="AE953" s="15" t="s">
        <v>164</v>
      </c>
      <c r="AF953" s="15" t="s">
        <v>9367</v>
      </c>
      <c r="AG953" s="15" t="s">
        <v>9367</v>
      </c>
      <c r="AH953" s="15" t="s">
        <v>9368</v>
      </c>
      <c r="AL953" s="15" t="s">
        <v>9369</v>
      </c>
      <c r="AN953" s="15">
        <v>743</v>
      </c>
      <c r="AO953" s="15" t="s">
        <v>9370</v>
      </c>
      <c r="AQ953" s="15" t="s">
        <v>3843</v>
      </c>
      <c r="AT953" s="15" t="s">
        <v>9371</v>
      </c>
      <c r="AU953" s="18" t="s">
        <v>9372</v>
      </c>
      <c r="AV953" s="18" t="s">
        <v>9372</v>
      </c>
      <c r="AW953" s="15" t="s">
        <v>9373</v>
      </c>
      <c r="AX953" s="15" t="s">
        <v>9374</v>
      </c>
      <c r="AY953" s="15">
        <f t="shared" si="19"/>
        <v>58</v>
      </c>
      <c r="AZ953" s="18" t="s">
        <v>3848</v>
      </c>
      <c r="BA953" s="18" t="s">
        <v>174</v>
      </c>
      <c r="BB953" s="18" t="s">
        <v>5006</v>
      </c>
      <c r="BC953" s="18" t="s">
        <v>801</v>
      </c>
      <c r="BE953" s="18" t="s">
        <v>1123</v>
      </c>
      <c r="BF953" s="18" t="s">
        <v>9375</v>
      </c>
      <c r="BJ953" s="18" t="s">
        <v>9376</v>
      </c>
      <c r="BN953" s="18" t="s">
        <v>179</v>
      </c>
      <c r="BP953" s="18" t="s">
        <v>138</v>
      </c>
      <c r="BS953" s="15" t="s">
        <v>9377</v>
      </c>
      <c r="DH953" s="15" t="s">
        <v>17982</v>
      </c>
      <c r="DI953" s="15" t="s">
        <v>17982</v>
      </c>
    </row>
    <row r="954" spans="1:113" s="15" customFormat="1" ht="12.75" x14ac:dyDescent="0.2">
      <c r="A954" s="15" t="s">
        <v>109</v>
      </c>
      <c r="B954" s="15" t="s">
        <v>110</v>
      </c>
      <c r="D954" s="15" t="s">
        <v>1481</v>
      </c>
      <c r="E954" s="15" t="s">
        <v>112</v>
      </c>
      <c r="F954" s="15" t="s">
        <v>1481</v>
      </c>
      <c r="G954" s="15" t="s">
        <v>113</v>
      </c>
      <c r="H954" s="15" t="s">
        <v>1481</v>
      </c>
      <c r="J954" s="16" t="s">
        <v>114</v>
      </c>
      <c r="U954" s="15" t="s">
        <v>17977</v>
      </c>
      <c r="W954" s="15">
        <v>1784</v>
      </c>
      <c r="X954" s="15">
        <v>964</v>
      </c>
      <c r="Y954" s="15" t="s">
        <v>160</v>
      </c>
      <c r="Z954" s="15" t="s">
        <v>161</v>
      </c>
      <c r="AA954" s="15" t="s">
        <v>162</v>
      </c>
      <c r="AB954" s="15" t="s">
        <v>9508</v>
      </c>
      <c r="AC954" s="15" t="s">
        <v>9508</v>
      </c>
      <c r="AD954" s="15" t="s">
        <v>9508</v>
      </c>
      <c r="AE954" s="15" t="s">
        <v>164</v>
      </c>
      <c r="AF954" s="15" t="s">
        <v>9508</v>
      </c>
      <c r="AG954" s="15" t="s">
        <v>9508</v>
      </c>
      <c r="AH954" s="15" t="s">
        <v>9509</v>
      </c>
      <c r="AL954" s="15" t="s">
        <v>9510</v>
      </c>
      <c r="AN954" s="15">
        <v>743</v>
      </c>
      <c r="AO954" s="15" t="s">
        <v>9511</v>
      </c>
      <c r="AQ954" s="15" t="s">
        <v>3598</v>
      </c>
      <c r="AT954" s="15" t="s">
        <v>9512</v>
      </c>
      <c r="AU954" s="18" t="s">
        <v>9513</v>
      </c>
      <c r="AV954" s="18" t="s">
        <v>9513</v>
      </c>
      <c r="AW954" s="15" t="s">
        <v>9514</v>
      </c>
      <c r="AX954" s="15" t="s">
        <v>9515</v>
      </c>
      <c r="AY954" s="15">
        <f t="shared" si="19"/>
        <v>58</v>
      </c>
      <c r="AZ954" s="18" t="s">
        <v>3603</v>
      </c>
      <c r="BA954" s="18" t="s">
        <v>214</v>
      </c>
      <c r="BB954" s="18" t="s">
        <v>5006</v>
      </c>
      <c r="BE954" s="18" t="s">
        <v>3686</v>
      </c>
      <c r="BJ954" s="18" t="s">
        <v>9516</v>
      </c>
      <c r="BN954" s="18" t="s">
        <v>179</v>
      </c>
      <c r="BP954" s="18" t="s">
        <v>138</v>
      </c>
      <c r="BS954" s="15" t="s">
        <v>9517</v>
      </c>
      <c r="DH954" s="15" t="s">
        <v>17982</v>
      </c>
      <c r="DI954" s="15" t="s">
        <v>17982</v>
      </c>
    </row>
    <row r="955" spans="1:113" s="15" customFormat="1" ht="12.75" x14ac:dyDescent="0.2">
      <c r="A955" s="15" t="s">
        <v>109</v>
      </c>
      <c r="B955" s="15" t="s">
        <v>110</v>
      </c>
      <c r="D955" s="15" t="s">
        <v>1481</v>
      </c>
      <c r="E955" s="15" t="s">
        <v>112</v>
      </c>
      <c r="F955" s="15" t="s">
        <v>1481</v>
      </c>
      <c r="G955" s="15" t="s">
        <v>113</v>
      </c>
      <c r="H955" s="15" t="s">
        <v>1481</v>
      </c>
      <c r="J955" s="16" t="s">
        <v>114</v>
      </c>
      <c r="U955" s="15" t="s">
        <v>17977</v>
      </c>
      <c r="W955" s="15">
        <v>1782</v>
      </c>
      <c r="X955" s="15">
        <v>965</v>
      </c>
      <c r="Y955" s="15" t="s">
        <v>160</v>
      </c>
      <c r="Z955" s="15" t="s">
        <v>161</v>
      </c>
      <c r="AA955" s="15" t="s">
        <v>162</v>
      </c>
      <c r="AB955" s="15" t="s">
        <v>9488</v>
      </c>
      <c r="AC955" s="15" t="s">
        <v>9488</v>
      </c>
      <c r="AD955" s="15" t="s">
        <v>9489</v>
      </c>
      <c r="AE955" s="15" t="s">
        <v>164</v>
      </c>
      <c r="AF955" s="15" t="s">
        <v>9489</v>
      </c>
      <c r="AG955" s="15" t="s">
        <v>9488</v>
      </c>
      <c r="AH955" s="15" t="s">
        <v>9490</v>
      </c>
      <c r="AL955" s="15" t="s">
        <v>9491</v>
      </c>
      <c r="AN955" s="15">
        <v>743</v>
      </c>
      <c r="AO955" s="15" t="s">
        <v>9492</v>
      </c>
      <c r="AQ955" s="15" t="s">
        <v>3598</v>
      </c>
      <c r="AT955" s="15" t="s">
        <v>9493</v>
      </c>
      <c r="AU955" s="18" t="s">
        <v>9494</v>
      </c>
      <c r="AV955" s="18" t="s">
        <v>9494</v>
      </c>
      <c r="AW955" s="15" t="s">
        <v>9495</v>
      </c>
      <c r="AX955" s="15" t="s">
        <v>9496</v>
      </c>
      <c r="AY955" s="15">
        <f t="shared" si="19"/>
        <v>58</v>
      </c>
      <c r="AZ955" s="18" t="s">
        <v>3603</v>
      </c>
      <c r="BA955" s="18" t="s">
        <v>214</v>
      </c>
      <c r="BB955" s="18" t="s">
        <v>5006</v>
      </c>
      <c r="BE955" s="18" t="s">
        <v>9497</v>
      </c>
      <c r="BJ955" s="18" t="s">
        <v>9498</v>
      </c>
      <c r="BN955" s="18" t="s">
        <v>179</v>
      </c>
      <c r="BP955" s="18" t="s">
        <v>138</v>
      </c>
      <c r="BS955" s="15" t="s">
        <v>9499</v>
      </c>
      <c r="DH955" s="15" t="s">
        <v>17982</v>
      </c>
      <c r="DI955" s="15" t="s">
        <v>17982</v>
      </c>
    </row>
    <row r="956" spans="1:113" s="15" customFormat="1" ht="12.75" x14ac:dyDescent="0.2">
      <c r="A956" s="15" t="s">
        <v>109</v>
      </c>
      <c r="B956" s="15" t="s">
        <v>110</v>
      </c>
      <c r="D956" s="15" t="s">
        <v>1481</v>
      </c>
      <c r="E956" s="15" t="s">
        <v>112</v>
      </c>
      <c r="F956" s="15" t="s">
        <v>1481</v>
      </c>
      <c r="G956" s="15" t="s">
        <v>113</v>
      </c>
      <c r="H956" s="15" t="s">
        <v>1481</v>
      </c>
      <c r="J956" s="16" t="s">
        <v>114</v>
      </c>
      <c r="U956" s="15" t="s">
        <v>17977</v>
      </c>
      <c r="W956" s="15">
        <v>3475</v>
      </c>
      <c r="X956" s="15">
        <v>966</v>
      </c>
      <c r="Y956" s="15" t="s">
        <v>160</v>
      </c>
      <c r="Z956" s="15" t="s">
        <v>161</v>
      </c>
      <c r="AA956" s="15" t="s">
        <v>162</v>
      </c>
      <c r="AB956" s="15" t="s">
        <v>16766</v>
      </c>
      <c r="AC956" s="15" t="s">
        <v>16766</v>
      </c>
      <c r="AD956" s="15" t="s">
        <v>16766</v>
      </c>
      <c r="AE956" s="15" t="s">
        <v>164</v>
      </c>
      <c r="AF956" s="15" t="s">
        <v>16766</v>
      </c>
      <c r="AG956" s="15" t="s">
        <v>16766</v>
      </c>
      <c r="AH956" s="15" t="s">
        <v>16767</v>
      </c>
      <c r="AL956" s="15" t="s">
        <v>16768</v>
      </c>
      <c r="AN956" s="15">
        <v>743</v>
      </c>
      <c r="AO956" s="15" t="s">
        <v>16769</v>
      </c>
      <c r="AQ956" s="15" t="s">
        <v>3598</v>
      </c>
      <c r="AT956" s="15" t="s">
        <v>16770</v>
      </c>
      <c r="AU956" s="18" t="s">
        <v>16771</v>
      </c>
      <c r="AV956" s="18" t="s">
        <v>16771</v>
      </c>
      <c r="AW956" s="15" t="s">
        <v>16772</v>
      </c>
      <c r="AX956" s="15" t="s">
        <v>16773</v>
      </c>
      <c r="AY956" s="15">
        <f t="shared" si="19"/>
        <v>59</v>
      </c>
      <c r="AZ956" s="18" t="s">
        <v>3603</v>
      </c>
      <c r="BA956" s="18" t="s">
        <v>214</v>
      </c>
      <c r="BB956" s="18" t="s">
        <v>5006</v>
      </c>
      <c r="BE956" s="18" t="s">
        <v>3686</v>
      </c>
      <c r="BJ956" s="18" t="s">
        <v>16774</v>
      </c>
      <c r="BN956" s="18" t="s">
        <v>179</v>
      </c>
      <c r="BO956" s="18" t="s">
        <v>16602</v>
      </c>
      <c r="BP956" s="18" t="s">
        <v>138</v>
      </c>
      <c r="BS956" s="15" t="s">
        <v>16775</v>
      </c>
      <c r="DH956" s="15" t="s">
        <v>17982</v>
      </c>
      <c r="DI956" s="15" t="s">
        <v>17982</v>
      </c>
    </row>
    <row r="957" spans="1:113" s="15" customFormat="1" ht="12.75" x14ac:dyDescent="0.2">
      <c r="A957" s="15" t="s">
        <v>109</v>
      </c>
      <c r="B957" s="15" t="s">
        <v>110</v>
      </c>
      <c r="D957" s="15" t="s">
        <v>1481</v>
      </c>
      <c r="E957" s="15" t="s">
        <v>112</v>
      </c>
      <c r="F957" s="15" t="s">
        <v>1481</v>
      </c>
      <c r="G957" s="15" t="s">
        <v>113</v>
      </c>
      <c r="H957" s="15" t="s">
        <v>1481</v>
      </c>
      <c r="J957" s="16" t="s">
        <v>114</v>
      </c>
      <c r="U957" s="15" t="s">
        <v>17977</v>
      </c>
      <c r="W957" s="15">
        <v>1785</v>
      </c>
      <c r="X957" s="15">
        <v>967</v>
      </c>
      <c r="Y957" s="15" t="s">
        <v>160</v>
      </c>
      <c r="Z957" s="15" t="s">
        <v>161</v>
      </c>
      <c r="AA957" s="15" t="s">
        <v>162</v>
      </c>
      <c r="AB957" s="15" t="s">
        <v>9518</v>
      </c>
      <c r="AC957" s="15" t="s">
        <v>9518</v>
      </c>
      <c r="AD957" s="15" t="s">
        <v>9518</v>
      </c>
      <c r="AE957" s="15" t="s">
        <v>164</v>
      </c>
      <c r="AF957" s="15" t="s">
        <v>9518</v>
      </c>
      <c r="AG957" s="15" t="s">
        <v>9518</v>
      </c>
      <c r="AH957" s="15" t="s">
        <v>9519</v>
      </c>
      <c r="AL957" s="15" t="s">
        <v>9510</v>
      </c>
      <c r="AN957" s="15">
        <v>743</v>
      </c>
      <c r="AO957" s="15" t="s">
        <v>9520</v>
      </c>
      <c r="AQ957" s="15" t="s">
        <v>3598</v>
      </c>
      <c r="AT957" s="15" t="s">
        <v>9521</v>
      </c>
      <c r="AU957" s="18" t="s">
        <v>9522</v>
      </c>
      <c r="AV957" s="18" t="s">
        <v>9522</v>
      </c>
      <c r="AW957" s="15" t="s">
        <v>9523</v>
      </c>
      <c r="AX957" s="15" t="s">
        <v>9524</v>
      </c>
      <c r="AY957" s="15">
        <f t="shared" si="19"/>
        <v>57</v>
      </c>
      <c r="AZ957" s="18" t="s">
        <v>3603</v>
      </c>
      <c r="BA957" s="18" t="s">
        <v>214</v>
      </c>
      <c r="BB957" s="18" t="s">
        <v>5006</v>
      </c>
      <c r="BE957" s="18" t="s">
        <v>1123</v>
      </c>
      <c r="BJ957" s="18" t="s">
        <v>9525</v>
      </c>
      <c r="BN957" s="18" t="s">
        <v>179</v>
      </c>
      <c r="BP957" s="18" t="s">
        <v>138</v>
      </c>
      <c r="BS957" s="15" t="s">
        <v>9526</v>
      </c>
      <c r="DH957" s="15" t="s">
        <v>17982</v>
      </c>
      <c r="DI957" s="15" t="s">
        <v>17982</v>
      </c>
    </row>
    <row r="958" spans="1:113" s="15" customFormat="1" ht="12.75" x14ac:dyDescent="0.2">
      <c r="A958" s="15" t="s">
        <v>109</v>
      </c>
      <c r="B958" s="15" t="s">
        <v>110</v>
      </c>
      <c r="D958" s="15" t="s">
        <v>1481</v>
      </c>
      <c r="E958" s="15" t="s">
        <v>112</v>
      </c>
      <c r="F958" s="15" t="s">
        <v>1481</v>
      </c>
      <c r="G958" s="15" t="s">
        <v>113</v>
      </c>
      <c r="H958" s="15" t="s">
        <v>1481</v>
      </c>
      <c r="J958" s="16" t="s">
        <v>114</v>
      </c>
      <c r="U958" s="15" t="s">
        <v>17977</v>
      </c>
      <c r="W958" s="15">
        <v>1783</v>
      </c>
      <c r="X958" s="15">
        <v>968</v>
      </c>
      <c r="Y958" s="15" t="s">
        <v>160</v>
      </c>
      <c r="Z958" s="15" t="s">
        <v>161</v>
      </c>
      <c r="AA958" s="15" t="s">
        <v>162</v>
      </c>
      <c r="AB958" s="15" t="s">
        <v>9500</v>
      </c>
      <c r="AC958" s="15" t="s">
        <v>9500</v>
      </c>
      <c r="AD958" s="15" t="s">
        <v>9501</v>
      </c>
      <c r="AE958" s="15" t="s">
        <v>164</v>
      </c>
      <c r="AF958" s="15" t="s">
        <v>9501</v>
      </c>
      <c r="AG958" s="15" t="s">
        <v>9500</v>
      </c>
      <c r="AH958" s="15" t="s">
        <v>9502</v>
      </c>
      <c r="AL958" s="15" t="s">
        <v>9491</v>
      </c>
      <c r="AN958" s="15">
        <v>743</v>
      </c>
      <c r="AO958" s="15" t="s">
        <v>9503</v>
      </c>
      <c r="AQ958" s="15" t="s">
        <v>3598</v>
      </c>
      <c r="AT958" s="15" t="s">
        <v>9504</v>
      </c>
      <c r="AU958" s="18" t="s">
        <v>9505</v>
      </c>
      <c r="AV958" s="18" t="s">
        <v>9505</v>
      </c>
      <c r="AW958" s="15" t="s">
        <v>9506</v>
      </c>
      <c r="AX958" s="15" t="s">
        <v>9506</v>
      </c>
      <c r="AY958" s="15">
        <f t="shared" si="19"/>
        <v>57</v>
      </c>
      <c r="AZ958" s="18" t="s">
        <v>3603</v>
      </c>
      <c r="BA958" s="18" t="s">
        <v>214</v>
      </c>
      <c r="BB958" s="18" t="s">
        <v>5006</v>
      </c>
      <c r="BE958" s="18" t="s">
        <v>1123</v>
      </c>
      <c r="BJ958" s="18" t="s">
        <v>9498</v>
      </c>
      <c r="BN958" s="18" t="s">
        <v>179</v>
      </c>
      <c r="BP958" s="18" t="s">
        <v>138</v>
      </c>
      <c r="BS958" s="15" t="s">
        <v>9507</v>
      </c>
      <c r="DH958" s="15" t="s">
        <v>17982</v>
      </c>
      <c r="DI958" s="15" t="s">
        <v>17982</v>
      </c>
    </row>
    <row r="959" spans="1:113" s="15" customFormat="1" ht="12.75" x14ac:dyDescent="0.2">
      <c r="A959" s="15" t="s">
        <v>109</v>
      </c>
      <c r="B959" s="15" t="s">
        <v>110</v>
      </c>
      <c r="D959" s="15" t="s">
        <v>1481</v>
      </c>
      <c r="E959" s="15" t="s">
        <v>112</v>
      </c>
      <c r="F959" s="15" t="s">
        <v>1481</v>
      </c>
      <c r="G959" s="15" t="s">
        <v>113</v>
      </c>
      <c r="H959" s="15" t="s">
        <v>1481</v>
      </c>
      <c r="J959" s="16" t="s">
        <v>114</v>
      </c>
      <c r="U959" s="15" t="s">
        <v>17977</v>
      </c>
      <c r="W959" s="15">
        <v>1962</v>
      </c>
      <c r="X959" s="15">
        <v>969</v>
      </c>
      <c r="Y959" s="15" t="s">
        <v>160</v>
      </c>
      <c r="Z959" s="15" t="s">
        <v>161</v>
      </c>
      <c r="AA959" s="15" t="s">
        <v>162</v>
      </c>
      <c r="AB959" s="15" t="s">
        <v>10259</v>
      </c>
      <c r="AC959" s="15" t="s">
        <v>10259</v>
      </c>
      <c r="AD959" s="15" t="s">
        <v>10259</v>
      </c>
      <c r="AE959" s="15" t="s">
        <v>164</v>
      </c>
      <c r="AF959" s="15" t="s">
        <v>10259</v>
      </c>
      <c r="AG959" s="15" t="s">
        <v>10259</v>
      </c>
      <c r="AH959" s="15" t="s">
        <v>10260</v>
      </c>
      <c r="AL959" s="15" t="s">
        <v>10261</v>
      </c>
      <c r="AN959" s="15">
        <v>743</v>
      </c>
      <c r="AO959" s="15" t="s">
        <v>10262</v>
      </c>
      <c r="AQ959" s="15" t="s">
        <v>912</v>
      </c>
      <c r="AT959" s="15" t="s">
        <v>10263</v>
      </c>
      <c r="AU959" s="18" t="s">
        <v>10264</v>
      </c>
      <c r="AV959" s="18" t="s">
        <v>10264</v>
      </c>
      <c r="AW959" s="15" t="s">
        <v>10265</v>
      </c>
      <c r="AX959" s="15" t="s">
        <v>10266</v>
      </c>
      <c r="AY959" s="15">
        <f t="shared" si="19"/>
        <v>60</v>
      </c>
      <c r="AZ959" s="18" t="s">
        <v>917</v>
      </c>
      <c r="BA959" s="18" t="s">
        <v>174</v>
      </c>
      <c r="BB959" s="18" t="s">
        <v>10267</v>
      </c>
      <c r="BE959" s="18" t="s">
        <v>1582</v>
      </c>
      <c r="BF959" s="18" t="s">
        <v>10268</v>
      </c>
      <c r="BJ959" s="18" t="s">
        <v>10269</v>
      </c>
      <c r="BN959" s="18" t="s">
        <v>179</v>
      </c>
      <c r="BP959" s="18" t="s">
        <v>138</v>
      </c>
      <c r="BS959" s="15" t="s">
        <v>10270</v>
      </c>
      <c r="DH959" s="15" t="s">
        <v>17982</v>
      </c>
      <c r="DI959" s="15" t="s">
        <v>17982</v>
      </c>
    </row>
    <row r="960" spans="1:113" s="15" customFormat="1" ht="12.75" x14ac:dyDescent="0.2">
      <c r="A960" s="15" t="s">
        <v>109</v>
      </c>
      <c r="B960" s="15" t="s">
        <v>110</v>
      </c>
      <c r="D960" s="15" t="s">
        <v>1481</v>
      </c>
      <c r="E960" s="15" t="s">
        <v>112</v>
      </c>
      <c r="F960" s="15" t="s">
        <v>1481</v>
      </c>
      <c r="G960" s="15" t="s">
        <v>113</v>
      </c>
      <c r="H960" s="15" t="s">
        <v>1481</v>
      </c>
      <c r="J960" s="16" t="s">
        <v>114</v>
      </c>
      <c r="U960" s="15" t="s">
        <v>17977</v>
      </c>
      <c r="W960" s="15">
        <v>3074</v>
      </c>
      <c r="X960" s="15">
        <v>970</v>
      </c>
      <c r="Y960" s="15" t="s">
        <v>160</v>
      </c>
      <c r="Z960" s="15" t="s">
        <v>161</v>
      </c>
      <c r="AA960" s="15" t="s">
        <v>162</v>
      </c>
      <c r="AB960" s="15" t="s">
        <v>14828</v>
      </c>
      <c r="AC960" s="15" t="s">
        <v>14828</v>
      </c>
      <c r="AD960" s="15" t="s">
        <v>14829</v>
      </c>
      <c r="AE960" s="15" t="s">
        <v>164</v>
      </c>
      <c r="AF960" s="15" t="s">
        <v>14829</v>
      </c>
      <c r="AG960" s="15" t="s">
        <v>14828</v>
      </c>
      <c r="AH960" s="15" t="s">
        <v>14830</v>
      </c>
      <c r="AL960" s="15" t="s">
        <v>14831</v>
      </c>
      <c r="AN960" s="15">
        <v>743</v>
      </c>
      <c r="AO960" s="15" t="s">
        <v>14832</v>
      </c>
      <c r="AQ960" s="15" t="s">
        <v>1735</v>
      </c>
      <c r="AT960" s="15" t="s">
        <v>14833</v>
      </c>
      <c r="AU960" s="18" t="s">
        <v>14834</v>
      </c>
      <c r="AV960" s="18" t="s">
        <v>14834</v>
      </c>
      <c r="AW960" s="15" t="s">
        <v>14835</v>
      </c>
      <c r="AX960" s="15" t="s">
        <v>14835</v>
      </c>
      <c r="AY960" s="15">
        <f t="shared" si="19"/>
        <v>56</v>
      </c>
      <c r="AZ960" s="18" t="s">
        <v>1740</v>
      </c>
      <c r="BA960" s="18" t="s">
        <v>174</v>
      </c>
      <c r="BB960" s="18" t="s">
        <v>14790</v>
      </c>
      <c r="BE960" s="18" t="s">
        <v>1082</v>
      </c>
      <c r="BF960" s="18" t="s">
        <v>14836</v>
      </c>
      <c r="BJ960" s="18" t="s">
        <v>14837</v>
      </c>
      <c r="BN960" s="18" t="s">
        <v>179</v>
      </c>
      <c r="BP960" s="18" t="s">
        <v>138</v>
      </c>
      <c r="BS960" s="15" t="s">
        <v>14838</v>
      </c>
      <c r="DH960" s="15" t="s">
        <v>17982</v>
      </c>
      <c r="DI960" s="15" t="s">
        <v>17982</v>
      </c>
    </row>
    <row r="961" spans="1:113" s="15" customFormat="1" ht="12.75" x14ac:dyDescent="0.2">
      <c r="A961" s="15" t="s">
        <v>109</v>
      </c>
      <c r="B961" s="15" t="s">
        <v>110</v>
      </c>
      <c r="D961" s="15" t="s">
        <v>1481</v>
      </c>
      <c r="E961" s="15" t="s">
        <v>112</v>
      </c>
      <c r="F961" s="15" t="s">
        <v>1481</v>
      </c>
      <c r="G961" s="15" t="s">
        <v>113</v>
      </c>
      <c r="H961" s="15" t="s">
        <v>1481</v>
      </c>
      <c r="J961" s="16" t="s">
        <v>114</v>
      </c>
      <c r="U961" s="15" t="s">
        <v>17977</v>
      </c>
      <c r="W961" s="15">
        <v>3075</v>
      </c>
      <c r="X961" s="15">
        <v>971</v>
      </c>
      <c r="Y961" s="15" t="s">
        <v>160</v>
      </c>
      <c r="Z961" s="15" t="s">
        <v>161</v>
      </c>
      <c r="AA961" s="15" t="s">
        <v>162</v>
      </c>
      <c r="AB961" s="15" t="s">
        <v>14839</v>
      </c>
      <c r="AC961" s="15" t="s">
        <v>14839</v>
      </c>
      <c r="AD961" s="15" t="s">
        <v>14840</v>
      </c>
      <c r="AE961" s="15" t="s">
        <v>164</v>
      </c>
      <c r="AF961" s="15" t="s">
        <v>14840</v>
      </c>
      <c r="AG961" s="15" t="s">
        <v>14839</v>
      </c>
      <c r="AH961" s="15" t="s">
        <v>14841</v>
      </c>
      <c r="AL961" s="15" t="s">
        <v>14842</v>
      </c>
      <c r="AN961" s="15">
        <v>743</v>
      </c>
      <c r="AO961" s="15" t="s">
        <v>14843</v>
      </c>
      <c r="AQ961" s="15" t="s">
        <v>1735</v>
      </c>
      <c r="AT961" s="15" t="s">
        <v>14844</v>
      </c>
      <c r="AU961" s="18" t="s">
        <v>14845</v>
      </c>
      <c r="AV961" s="18" t="s">
        <v>14845</v>
      </c>
      <c r="AW961" s="15" t="s">
        <v>14846</v>
      </c>
      <c r="AX961" s="15" t="s">
        <v>14846</v>
      </c>
      <c r="AY961" s="15">
        <f t="shared" si="19"/>
        <v>59</v>
      </c>
      <c r="AZ961" s="18" t="s">
        <v>1740</v>
      </c>
      <c r="BA961" s="18" t="s">
        <v>174</v>
      </c>
      <c r="BB961" s="18" t="s">
        <v>14790</v>
      </c>
      <c r="BE961" s="18" t="s">
        <v>2785</v>
      </c>
      <c r="BF961" s="18" t="s">
        <v>14847</v>
      </c>
      <c r="BJ961" s="18" t="s">
        <v>14837</v>
      </c>
      <c r="BN961" s="18" t="s">
        <v>179</v>
      </c>
      <c r="BP961" s="18" t="s">
        <v>138</v>
      </c>
      <c r="BS961" s="15" t="s">
        <v>14848</v>
      </c>
      <c r="DH961" s="15" t="s">
        <v>17982</v>
      </c>
      <c r="DI961" s="15" t="s">
        <v>17982</v>
      </c>
    </row>
    <row r="962" spans="1:113" s="15" customFormat="1" ht="12.75" x14ac:dyDescent="0.2">
      <c r="A962" s="15" t="s">
        <v>109</v>
      </c>
      <c r="B962" s="15" t="s">
        <v>110</v>
      </c>
      <c r="D962" s="15" t="s">
        <v>1481</v>
      </c>
      <c r="E962" s="15" t="s">
        <v>112</v>
      </c>
      <c r="F962" s="15" t="s">
        <v>1481</v>
      </c>
      <c r="G962" s="15" t="s">
        <v>113</v>
      </c>
      <c r="H962" s="15" t="s">
        <v>1481</v>
      </c>
      <c r="J962" s="16" t="s">
        <v>114</v>
      </c>
      <c r="U962" s="15" t="s">
        <v>17977</v>
      </c>
      <c r="W962" s="15">
        <v>3076</v>
      </c>
      <c r="X962" s="15">
        <v>972</v>
      </c>
      <c r="Y962" s="15" t="s">
        <v>160</v>
      </c>
      <c r="Z962" s="15" t="s">
        <v>161</v>
      </c>
      <c r="AA962" s="15" t="s">
        <v>162</v>
      </c>
      <c r="AB962" s="15" t="s">
        <v>14849</v>
      </c>
      <c r="AC962" s="15" t="s">
        <v>14849</v>
      </c>
      <c r="AD962" s="15" t="s">
        <v>14850</v>
      </c>
      <c r="AE962" s="15" t="s">
        <v>164</v>
      </c>
      <c r="AF962" s="15" t="s">
        <v>14850</v>
      </c>
      <c r="AG962" s="15" t="s">
        <v>14849</v>
      </c>
      <c r="AH962" s="15" t="s">
        <v>14851</v>
      </c>
      <c r="AL962" s="15" t="s">
        <v>14852</v>
      </c>
      <c r="AN962" s="15">
        <v>743</v>
      </c>
      <c r="AO962" s="15" t="s">
        <v>14853</v>
      </c>
      <c r="AQ962" s="15" t="s">
        <v>1735</v>
      </c>
      <c r="AT962" s="15" t="s">
        <v>14854</v>
      </c>
      <c r="AU962" s="18" t="s">
        <v>14855</v>
      </c>
      <c r="AV962" s="18" t="s">
        <v>14855</v>
      </c>
      <c r="AW962" s="15" t="s">
        <v>14856</v>
      </c>
      <c r="AX962" s="15" t="s">
        <v>14856</v>
      </c>
      <c r="AY962" s="15">
        <f t="shared" si="19"/>
        <v>59</v>
      </c>
      <c r="AZ962" s="18" t="s">
        <v>1740</v>
      </c>
      <c r="BA962" s="18" t="s">
        <v>174</v>
      </c>
      <c r="BB962" s="18" t="s">
        <v>14790</v>
      </c>
      <c r="BE962" s="18" t="s">
        <v>2785</v>
      </c>
      <c r="BF962" s="18" t="s">
        <v>14857</v>
      </c>
      <c r="BJ962" s="18" t="s">
        <v>14837</v>
      </c>
      <c r="BN962" s="18" t="s">
        <v>179</v>
      </c>
      <c r="BP962" s="18" t="s">
        <v>138</v>
      </c>
      <c r="BS962" s="15" t="s">
        <v>14858</v>
      </c>
      <c r="DH962" s="15" t="s">
        <v>17982</v>
      </c>
      <c r="DI962" s="15" t="s">
        <v>17982</v>
      </c>
    </row>
    <row r="963" spans="1:113" s="15" customFormat="1" ht="12.75" x14ac:dyDescent="0.2">
      <c r="A963" s="15" t="s">
        <v>109</v>
      </c>
      <c r="B963" s="15" t="s">
        <v>110</v>
      </c>
      <c r="D963" s="15" t="s">
        <v>1481</v>
      </c>
      <c r="E963" s="15" t="s">
        <v>112</v>
      </c>
      <c r="F963" s="15" t="s">
        <v>1481</v>
      </c>
      <c r="G963" s="15" t="s">
        <v>113</v>
      </c>
      <c r="H963" s="15" t="s">
        <v>1481</v>
      </c>
      <c r="J963" s="16" t="s">
        <v>114</v>
      </c>
      <c r="U963" s="15" t="s">
        <v>17977</v>
      </c>
      <c r="W963" s="15">
        <v>3077</v>
      </c>
      <c r="X963" s="15">
        <v>973</v>
      </c>
      <c r="Y963" s="15" t="s">
        <v>160</v>
      </c>
      <c r="Z963" s="15" t="s">
        <v>161</v>
      </c>
      <c r="AA963" s="15" t="s">
        <v>162</v>
      </c>
      <c r="AB963" s="15" t="s">
        <v>14859</v>
      </c>
      <c r="AC963" s="15" t="s">
        <v>14859</v>
      </c>
      <c r="AD963" s="15" t="s">
        <v>14860</v>
      </c>
      <c r="AE963" s="15" t="s">
        <v>164</v>
      </c>
      <c r="AF963" s="15" t="s">
        <v>14860</v>
      </c>
      <c r="AG963" s="15" t="s">
        <v>14859</v>
      </c>
      <c r="AH963" s="15" t="s">
        <v>14861</v>
      </c>
      <c r="AL963" s="15" t="s">
        <v>14862</v>
      </c>
      <c r="AN963" s="15">
        <v>743</v>
      </c>
      <c r="AO963" s="15" t="s">
        <v>14863</v>
      </c>
      <c r="AQ963" s="15" t="s">
        <v>1735</v>
      </c>
      <c r="AT963" s="15" t="s">
        <v>14864</v>
      </c>
      <c r="AU963" s="18" t="s">
        <v>14865</v>
      </c>
      <c r="AV963" s="18" t="s">
        <v>14865</v>
      </c>
      <c r="AW963" s="15" t="s">
        <v>14866</v>
      </c>
      <c r="AX963" s="15" t="s">
        <v>14866</v>
      </c>
      <c r="AY963" s="15">
        <f t="shared" si="19"/>
        <v>60</v>
      </c>
      <c r="AZ963" s="18" t="s">
        <v>1740</v>
      </c>
      <c r="BA963" s="18" t="s">
        <v>174</v>
      </c>
      <c r="BB963" s="18" t="s">
        <v>14790</v>
      </c>
      <c r="BE963" s="18" t="s">
        <v>4218</v>
      </c>
      <c r="BF963" s="18" t="s">
        <v>14867</v>
      </c>
      <c r="BJ963" s="18" t="s">
        <v>14837</v>
      </c>
      <c r="BN963" s="18" t="s">
        <v>179</v>
      </c>
      <c r="BP963" s="18" t="s">
        <v>138</v>
      </c>
      <c r="BS963" s="15" t="s">
        <v>14868</v>
      </c>
      <c r="DH963" s="15" t="s">
        <v>17982</v>
      </c>
      <c r="DI963" s="15" t="s">
        <v>17982</v>
      </c>
    </row>
    <row r="964" spans="1:113" s="15" customFormat="1" ht="12.75" x14ac:dyDescent="0.2">
      <c r="A964" s="15" t="s">
        <v>109</v>
      </c>
      <c r="B964" s="15" t="s">
        <v>110</v>
      </c>
      <c r="D964" s="15" t="s">
        <v>1481</v>
      </c>
      <c r="E964" s="15" t="s">
        <v>112</v>
      </c>
      <c r="F964" s="15" t="s">
        <v>1481</v>
      </c>
      <c r="G964" s="15" t="s">
        <v>113</v>
      </c>
      <c r="H964" s="15" t="s">
        <v>1481</v>
      </c>
      <c r="J964" s="16" t="s">
        <v>114</v>
      </c>
      <c r="U964" s="15" t="s">
        <v>17977</v>
      </c>
      <c r="W964" s="15">
        <v>3078</v>
      </c>
      <c r="X964" s="15">
        <v>974</v>
      </c>
      <c r="Y964" s="15" t="s">
        <v>160</v>
      </c>
      <c r="Z964" s="15" t="s">
        <v>161</v>
      </c>
      <c r="AA964" s="15" t="s">
        <v>162</v>
      </c>
      <c r="AB964" s="15" t="s">
        <v>14869</v>
      </c>
      <c r="AC964" s="15" t="s">
        <v>14869</v>
      </c>
      <c r="AD964" s="15" t="s">
        <v>14870</v>
      </c>
      <c r="AE964" s="15" t="s">
        <v>164</v>
      </c>
      <c r="AF964" s="15" t="s">
        <v>14870</v>
      </c>
      <c r="AG964" s="15" t="s">
        <v>14869</v>
      </c>
      <c r="AH964" s="15" t="s">
        <v>14871</v>
      </c>
      <c r="AL964" s="15" t="s">
        <v>14872</v>
      </c>
      <c r="AN964" s="15">
        <v>743</v>
      </c>
      <c r="AO964" s="15" t="s">
        <v>14873</v>
      </c>
      <c r="AQ964" s="15" t="s">
        <v>1735</v>
      </c>
      <c r="AT964" s="15" t="s">
        <v>14874</v>
      </c>
      <c r="AU964" s="18" t="s">
        <v>14875</v>
      </c>
      <c r="AV964" s="18" t="s">
        <v>14875</v>
      </c>
      <c r="AW964" s="15" t="s">
        <v>14876</v>
      </c>
      <c r="AX964" s="15" t="s">
        <v>14876</v>
      </c>
      <c r="AY964" s="15">
        <f t="shared" si="19"/>
        <v>60</v>
      </c>
      <c r="AZ964" s="18" t="s">
        <v>1740</v>
      </c>
      <c r="BA964" s="18" t="s">
        <v>174</v>
      </c>
      <c r="BB964" s="18" t="s">
        <v>14790</v>
      </c>
      <c r="BE964" s="18" t="s">
        <v>7550</v>
      </c>
      <c r="BF964" s="18" t="s">
        <v>14877</v>
      </c>
      <c r="BJ964" s="18" t="s">
        <v>14837</v>
      </c>
      <c r="BN964" s="18" t="s">
        <v>179</v>
      </c>
      <c r="BP964" s="18" t="s">
        <v>138</v>
      </c>
      <c r="BS964" s="15" t="s">
        <v>14878</v>
      </c>
      <c r="DH964" s="15" t="s">
        <v>17982</v>
      </c>
      <c r="DI964" s="15" t="s">
        <v>17982</v>
      </c>
    </row>
    <row r="965" spans="1:113" s="15" customFormat="1" ht="12.75" x14ac:dyDescent="0.2">
      <c r="A965" s="15" t="s">
        <v>109</v>
      </c>
      <c r="B965" s="15" t="s">
        <v>110</v>
      </c>
      <c r="D965" s="15" t="s">
        <v>1481</v>
      </c>
      <c r="E965" s="15" t="s">
        <v>112</v>
      </c>
      <c r="F965" s="15" t="s">
        <v>1481</v>
      </c>
      <c r="G965" s="15" t="s">
        <v>113</v>
      </c>
      <c r="H965" s="15" t="s">
        <v>1481</v>
      </c>
      <c r="J965" s="16" t="s">
        <v>114</v>
      </c>
      <c r="U965" s="15" t="s">
        <v>17977</v>
      </c>
      <c r="W965" s="15">
        <v>3080</v>
      </c>
      <c r="X965" s="15">
        <v>975</v>
      </c>
      <c r="Y965" s="15" t="s">
        <v>160</v>
      </c>
      <c r="Z965" s="15" t="s">
        <v>161</v>
      </c>
      <c r="AA965" s="15" t="s">
        <v>162</v>
      </c>
      <c r="AB965" s="15" t="s">
        <v>14889</v>
      </c>
      <c r="AC965" s="15" t="s">
        <v>14889</v>
      </c>
      <c r="AD965" s="15" t="s">
        <v>14890</v>
      </c>
      <c r="AE965" s="15" t="s">
        <v>164</v>
      </c>
      <c r="AF965" s="15" t="s">
        <v>14890</v>
      </c>
      <c r="AG965" s="15" t="s">
        <v>14889</v>
      </c>
      <c r="AH965" s="15" t="s">
        <v>14891</v>
      </c>
      <c r="AL965" s="15" t="s">
        <v>14892</v>
      </c>
      <c r="AN965" s="15">
        <v>743</v>
      </c>
      <c r="AO965" s="15" t="s">
        <v>14893</v>
      </c>
      <c r="AQ965" s="15" t="s">
        <v>1735</v>
      </c>
      <c r="AT965" s="15" t="s">
        <v>14894</v>
      </c>
      <c r="AU965" s="18" t="s">
        <v>14895</v>
      </c>
      <c r="AV965" s="18" t="s">
        <v>14895</v>
      </c>
      <c r="AW965" s="15" t="s">
        <v>14896</v>
      </c>
      <c r="AX965" s="15" t="s">
        <v>14896</v>
      </c>
      <c r="AY965" s="15">
        <f t="shared" si="19"/>
        <v>56</v>
      </c>
      <c r="AZ965" s="18" t="s">
        <v>1740</v>
      </c>
      <c r="BA965" s="18" t="s">
        <v>174</v>
      </c>
      <c r="BB965" s="18" t="s">
        <v>14790</v>
      </c>
      <c r="BE965" s="18" t="s">
        <v>251</v>
      </c>
      <c r="BF965" s="18" t="s">
        <v>14897</v>
      </c>
      <c r="BJ965" s="18" t="s">
        <v>14837</v>
      </c>
      <c r="BN965" s="18" t="s">
        <v>179</v>
      </c>
      <c r="BP965" s="18" t="s">
        <v>138</v>
      </c>
      <c r="BS965" s="15" t="s">
        <v>14898</v>
      </c>
      <c r="DH965" s="15" t="s">
        <v>17982</v>
      </c>
      <c r="DI965" s="15" t="s">
        <v>17982</v>
      </c>
    </row>
    <row r="966" spans="1:113" s="15" customFormat="1" ht="12.75" x14ac:dyDescent="0.2">
      <c r="A966" s="15" t="s">
        <v>109</v>
      </c>
      <c r="B966" s="15" t="s">
        <v>110</v>
      </c>
      <c r="D966" s="15" t="s">
        <v>1481</v>
      </c>
      <c r="E966" s="15" t="s">
        <v>112</v>
      </c>
      <c r="F966" s="15" t="s">
        <v>1481</v>
      </c>
      <c r="G966" s="15" t="s">
        <v>113</v>
      </c>
      <c r="H966" s="15" t="s">
        <v>1481</v>
      </c>
      <c r="J966" s="16" t="s">
        <v>114</v>
      </c>
      <c r="U966" s="15" t="s">
        <v>17977</v>
      </c>
      <c r="W966" s="15">
        <v>3079</v>
      </c>
      <c r="X966" s="15">
        <v>976</v>
      </c>
      <c r="Y966" s="15" t="s">
        <v>160</v>
      </c>
      <c r="Z966" s="15" t="s">
        <v>161</v>
      </c>
      <c r="AA966" s="15" t="s">
        <v>162</v>
      </c>
      <c r="AB966" s="15" t="s">
        <v>14879</v>
      </c>
      <c r="AC966" s="15" t="s">
        <v>14879</v>
      </c>
      <c r="AD966" s="15" t="s">
        <v>14880</v>
      </c>
      <c r="AE966" s="15" t="s">
        <v>164</v>
      </c>
      <c r="AF966" s="15" t="s">
        <v>14880</v>
      </c>
      <c r="AG966" s="15" t="s">
        <v>14879</v>
      </c>
      <c r="AH966" s="15" t="s">
        <v>14881</v>
      </c>
      <c r="AL966" s="15" t="s">
        <v>14882</v>
      </c>
      <c r="AN966" s="15">
        <v>743</v>
      </c>
      <c r="AO966" s="15" t="s">
        <v>14883</v>
      </c>
      <c r="AQ966" s="15" t="s">
        <v>1735</v>
      </c>
      <c r="AT966" s="15" t="s">
        <v>14884</v>
      </c>
      <c r="AU966" s="18" t="s">
        <v>14885</v>
      </c>
      <c r="AV966" s="18" t="s">
        <v>14885</v>
      </c>
      <c r="AW966" s="15" t="s">
        <v>14886</v>
      </c>
      <c r="AX966" s="15" t="s">
        <v>14886</v>
      </c>
      <c r="AY966" s="15">
        <f t="shared" ref="AY966:AY1029" si="20">LEN(SUBSTITUTE(AX966, ", "," "))</f>
        <v>58</v>
      </c>
      <c r="AZ966" s="18" t="s">
        <v>1740</v>
      </c>
      <c r="BA966" s="18" t="s">
        <v>174</v>
      </c>
      <c r="BB966" s="18" t="s">
        <v>14790</v>
      </c>
      <c r="BE966" s="18" t="s">
        <v>1081</v>
      </c>
      <c r="BF966" s="18" t="s">
        <v>14887</v>
      </c>
      <c r="BJ966" s="18" t="s">
        <v>14837</v>
      </c>
      <c r="BN966" s="18" t="s">
        <v>179</v>
      </c>
      <c r="BP966" s="18" t="s">
        <v>138</v>
      </c>
      <c r="BS966" s="15" t="s">
        <v>14888</v>
      </c>
      <c r="DH966" s="15" t="s">
        <v>17982</v>
      </c>
      <c r="DI966" s="15" t="s">
        <v>17982</v>
      </c>
    </row>
    <row r="967" spans="1:113" s="15" customFormat="1" ht="12.75" x14ac:dyDescent="0.2">
      <c r="A967" s="15" t="s">
        <v>109</v>
      </c>
      <c r="B967" s="15" t="s">
        <v>110</v>
      </c>
      <c r="D967" s="15" t="s">
        <v>1481</v>
      </c>
      <c r="E967" s="15" t="s">
        <v>112</v>
      </c>
      <c r="F967" s="15" t="s">
        <v>1481</v>
      </c>
      <c r="G967" s="15" t="s">
        <v>113</v>
      </c>
      <c r="H967" s="15" t="s">
        <v>1481</v>
      </c>
      <c r="J967" s="16" t="s">
        <v>114</v>
      </c>
      <c r="U967" s="15" t="s">
        <v>17977</v>
      </c>
      <c r="W967" s="15">
        <v>2743</v>
      </c>
      <c r="X967" s="15">
        <v>977</v>
      </c>
      <c r="Y967" s="15" t="s">
        <v>160</v>
      </c>
      <c r="Z967" s="15" t="s">
        <v>161</v>
      </c>
      <c r="AA967" s="15" t="s">
        <v>162</v>
      </c>
      <c r="AB967" s="15" t="s">
        <v>13319</v>
      </c>
      <c r="AC967" s="15" t="s">
        <v>13319</v>
      </c>
      <c r="AD967" s="15" t="s">
        <v>13320</v>
      </c>
      <c r="AE967" s="15" t="s">
        <v>164</v>
      </c>
      <c r="AF967" s="15" t="s">
        <v>13320</v>
      </c>
      <c r="AG967" s="15" t="s">
        <v>13319</v>
      </c>
      <c r="AH967" s="47" t="s">
        <v>13321</v>
      </c>
      <c r="AL967" s="15" t="s">
        <v>13322</v>
      </c>
      <c r="AN967" s="15">
        <v>743</v>
      </c>
      <c r="AO967" s="15" t="s">
        <v>13323</v>
      </c>
      <c r="AQ967" s="15" t="s">
        <v>912</v>
      </c>
      <c r="AT967" s="15" t="s">
        <v>13324</v>
      </c>
      <c r="AU967" s="18" t="s">
        <v>13325</v>
      </c>
      <c r="AV967" s="18" t="s">
        <v>13325</v>
      </c>
      <c r="AW967" s="15" t="s">
        <v>13326</v>
      </c>
      <c r="AX967" s="15" t="s">
        <v>13327</v>
      </c>
      <c r="AY967" s="15">
        <f t="shared" si="20"/>
        <v>60</v>
      </c>
      <c r="AZ967" s="18" t="s">
        <v>917</v>
      </c>
      <c r="BA967" s="18" t="s">
        <v>174</v>
      </c>
      <c r="BB967" s="18" t="s">
        <v>1083</v>
      </c>
      <c r="BC967" s="18" t="s">
        <v>1055</v>
      </c>
      <c r="BD967" s="18" t="s">
        <v>3021</v>
      </c>
      <c r="BF967" s="18" t="s">
        <v>13328</v>
      </c>
      <c r="BJ967" s="18" t="s">
        <v>13317</v>
      </c>
      <c r="BN967" s="18" t="s">
        <v>179</v>
      </c>
      <c r="BP967" s="18" t="s">
        <v>138</v>
      </c>
      <c r="BS967" s="15" t="s">
        <v>13329</v>
      </c>
      <c r="DH967" s="15" t="s">
        <v>17982</v>
      </c>
      <c r="DI967" s="15" t="s">
        <v>17982</v>
      </c>
    </row>
    <row r="968" spans="1:113" s="15" customFormat="1" ht="12.75" x14ac:dyDescent="0.2">
      <c r="A968" s="15" t="s">
        <v>109</v>
      </c>
      <c r="B968" s="15" t="s">
        <v>110</v>
      </c>
      <c r="D968" s="15" t="s">
        <v>1481</v>
      </c>
      <c r="E968" s="15" t="s">
        <v>112</v>
      </c>
      <c r="F968" s="15" t="s">
        <v>1481</v>
      </c>
      <c r="G968" s="15" t="s">
        <v>113</v>
      </c>
      <c r="H968" s="15" t="s">
        <v>1481</v>
      </c>
      <c r="J968" s="16" t="s">
        <v>114</v>
      </c>
      <c r="U968" s="15" t="s">
        <v>17977</v>
      </c>
      <c r="W968" s="15">
        <v>2742</v>
      </c>
      <c r="X968" s="15">
        <v>978</v>
      </c>
      <c r="Y968" s="15" t="s">
        <v>160</v>
      </c>
      <c r="Z968" s="15" t="s">
        <v>161</v>
      </c>
      <c r="AA968" s="15" t="s">
        <v>162</v>
      </c>
      <c r="AB968" s="15" t="s">
        <v>13307</v>
      </c>
      <c r="AC968" s="15" t="s">
        <v>13307</v>
      </c>
      <c r="AD968" s="15" t="s">
        <v>13308</v>
      </c>
      <c r="AE968" s="15" t="s">
        <v>164</v>
      </c>
      <c r="AF968" s="15" t="s">
        <v>13308</v>
      </c>
      <c r="AG968" s="15" t="s">
        <v>13307</v>
      </c>
      <c r="AH968" s="47" t="s">
        <v>13309</v>
      </c>
      <c r="AL968" s="15" t="s">
        <v>13310</v>
      </c>
      <c r="AN968" s="15">
        <v>743</v>
      </c>
      <c r="AO968" s="15" t="s">
        <v>13311</v>
      </c>
      <c r="AQ968" s="15" t="s">
        <v>912</v>
      </c>
      <c r="AT968" s="15" t="s">
        <v>13312</v>
      </c>
      <c r="AU968" s="18" t="s">
        <v>13313</v>
      </c>
      <c r="AV968" s="18" t="s">
        <v>13313</v>
      </c>
      <c r="AW968" s="15" t="s">
        <v>13314</v>
      </c>
      <c r="AX968" s="15" t="s">
        <v>13315</v>
      </c>
      <c r="AY968" s="15">
        <f t="shared" si="20"/>
        <v>59</v>
      </c>
      <c r="AZ968" s="18" t="s">
        <v>917</v>
      </c>
      <c r="BA968" s="18" t="s">
        <v>174</v>
      </c>
      <c r="BB968" s="18" t="s">
        <v>1083</v>
      </c>
      <c r="BC968" s="18" t="s">
        <v>1055</v>
      </c>
      <c r="BD968" s="18" t="s">
        <v>3021</v>
      </c>
      <c r="BF968" s="18" t="s">
        <v>13316</v>
      </c>
      <c r="BJ968" s="18" t="s">
        <v>13317</v>
      </c>
      <c r="BN968" s="18" t="s">
        <v>179</v>
      </c>
      <c r="BP968" s="18" t="s">
        <v>138</v>
      </c>
      <c r="BS968" s="15" t="s">
        <v>13318</v>
      </c>
      <c r="DH968" s="15" t="s">
        <v>17982</v>
      </c>
      <c r="DI968" s="15" t="s">
        <v>17982</v>
      </c>
    </row>
    <row r="969" spans="1:113" s="15" customFormat="1" ht="12.75" x14ac:dyDescent="0.2">
      <c r="A969" s="15" t="s">
        <v>109</v>
      </c>
      <c r="B969" s="15" t="s">
        <v>110</v>
      </c>
      <c r="D969" s="15" t="s">
        <v>1481</v>
      </c>
      <c r="E969" s="15" t="s">
        <v>112</v>
      </c>
      <c r="F969" s="15" t="s">
        <v>1481</v>
      </c>
      <c r="G969" s="15" t="s">
        <v>113</v>
      </c>
      <c r="H969" s="15" t="s">
        <v>1481</v>
      </c>
      <c r="J969" s="16" t="s">
        <v>114</v>
      </c>
      <c r="U969" s="15" t="s">
        <v>17977</v>
      </c>
      <c r="W969" s="15">
        <v>2744</v>
      </c>
      <c r="X969" s="15">
        <v>979</v>
      </c>
      <c r="Y969" s="15" t="s">
        <v>160</v>
      </c>
      <c r="Z969" s="15" t="s">
        <v>161</v>
      </c>
      <c r="AA969" s="15" t="s">
        <v>162</v>
      </c>
      <c r="AB969" s="15" t="s">
        <v>13330</v>
      </c>
      <c r="AC969" s="15" t="s">
        <v>13330</v>
      </c>
      <c r="AD969" s="15" t="s">
        <v>13331</v>
      </c>
      <c r="AE969" s="15" t="s">
        <v>164</v>
      </c>
      <c r="AF969" s="15" t="s">
        <v>13331</v>
      </c>
      <c r="AG969" s="15" t="s">
        <v>13330</v>
      </c>
      <c r="AH969" s="47" t="s">
        <v>13332</v>
      </c>
      <c r="AL969" s="15" t="s">
        <v>13333</v>
      </c>
      <c r="AN969" s="15">
        <v>743</v>
      </c>
      <c r="AO969" s="15" t="s">
        <v>13334</v>
      </c>
      <c r="AQ969" s="15" t="s">
        <v>912</v>
      </c>
      <c r="AT969" s="15" t="s">
        <v>13335</v>
      </c>
      <c r="AU969" s="18" t="s">
        <v>13336</v>
      </c>
      <c r="AV969" s="18" t="s">
        <v>13336</v>
      </c>
      <c r="AW969" s="15" t="s">
        <v>13337</v>
      </c>
      <c r="AX969" s="15" t="s">
        <v>13338</v>
      </c>
      <c r="AY969" s="15">
        <f t="shared" si="20"/>
        <v>60</v>
      </c>
      <c r="AZ969" s="18" t="s">
        <v>917</v>
      </c>
      <c r="BA969" s="18" t="s">
        <v>174</v>
      </c>
      <c r="BB969" s="18" t="s">
        <v>1083</v>
      </c>
      <c r="BC969" s="18" t="s">
        <v>1055</v>
      </c>
      <c r="BD969" s="18" t="s">
        <v>3021</v>
      </c>
      <c r="BF969" s="18" t="s">
        <v>13339</v>
      </c>
      <c r="BJ969" s="18" t="s">
        <v>13317</v>
      </c>
      <c r="BN969" s="18" t="s">
        <v>179</v>
      </c>
      <c r="BP969" s="18" t="s">
        <v>138</v>
      </c>
      <c r="BS969" s="15" t="s">
        <v>13340</v>
      </c>
      <c r="DH969" s="15" t="s">
        <v>17982</v>
      </c>
      <c r="DI969" s="15" t="s">
        <v>17982</v>
      </c>
    </row>
    <row r="970" spans="1:113" s="15" customFormat="1" ht="12.75" x14ac:dyDescent="0.2">
      <c r="A970" s="15" t="s">
        <v>109</v>
      </c>
      <c r="B970" s="15" t="s">
        <v>110</v>
      </c>
      <c r="D970" s="15" t="s">
        <v>1481</v>
      </c>
      <c r="E970" s="15" t="s">
        <v>112</v>
      </c>
      <c r="F970" s="15" t="s">
        <v>1481</v>
      </c>
      <c r="G970" s="15" t="s">
        <v>113</v>
      </c>
      <c r="H970" s="15" t="s">
        <v>1481</v>
      </c>
      <c r="J970" s="16" t="s">
        <v>114</v>
      </c>
      <c r="U970" s="15" t="s">
        <v>17977</v>
      </c>
      <c r="W970" s="15">
        <v>2745</v>
      </c>
      <c r="X970" s="15">
        <v>980</v>
      </c>
      <c r="Y970" s="15" t="s">
        <v>160</v>
      </c>
      <c r="Z970" s="15" t="s">
        <v>161</v>
      </c>
      <c r="AA970" s="15" t="s">
        <v>162</v>
      </c>
      <c r="AB970" s="15" t="s">
        <v>13341</v>
      </c>
      <c r="AC970" s="15" t="s">
        <v>13341</v>
      </c>
      <c r="AD970" s="15" t="s">
        <v>13342</v>
      </c>
      <c r="AE970" s="15" t="s">
        <v>164</v>
      </c>
      <c r="AF970" s="15" t="s">
        <v>13342</v>
      </c>
      <c r="AG970" s="15" t="s">
        <v>13341</v>
      </c>
      <c r="AH970" s="47" t="s">
        <v>13343</v>
      </c>
      <c r="AL970" s="15" t="s">
        <v>13344</v>
      </c>
      <c r="AN970" s="15">
        <v>743</v>
      </c>
      <c r="AO970" s="15" t="s">
        <v>13345</v>
      </c>
      <c r="AQ970" s="15" t="s">
        <v>912</v>
      </c>
      <c r="AT970" s="15" t="s">
        <v>13346</v>
      </c>
      <c r="AU970" s="18" t="s">
        <v>13347</v>
      </c>
      <c r="AV970" s="18" t="s">
        <v>13347</v>
      </c>
      <c r="AW970" s="15" t="s">
        <v>13348</v>
      </c>
      <c r="AX970" s="15" t="s">
        <v>13349</v>
      </c>
      <c r="AY970" s="15">
        <f t="shared" si="20"/>
        <v>59</v>
      </c>
      <c r="AZ970" s="18" t="s">
        <v>917</v>
      </c>
      <c r="BA970" s="18" t="s">
        <v>174</v>
      </c>
      <c r="BB970" s="18" t="s">
        <v>1083</v>
      </c>
      <c r="BC970" s="18" t="s">
        <v>1055</v>
      </c>
      <c r="BD970" s="18" t="s">
        <v>3021</v>
      </c>
      <c r="BF970" s="18" t="s">
        <v>13350</v>
      </c>
      <c r="BJ970" s="18" t="s">
        <v>13317</v>
      </c>
      <c r="BN970" s="18" t="s">
        <v>179</v>
      </c>
      <c r="BP970" s="18" t="s">
        <v>138</v>
      </c>
      <c r="BS970" s="15" t="s">
        <v>13351</v>
      </c>
      <c r="DH970" s="15" t="s">
        <v>17982</v>
      </c>
      <c r="DI970" s="15" t="s">
        <v>17982</v>
      </c>
    </row>
    <row r="971" spans="1:113" s="15" customFormat="1" ht="12.75" x14ac:dyDescent="0.2">
      <c r="A971" s="15" t="s">
        <v>109</v>
      </c>
      <c r="B971" s="15" t="s">
        <v>110</v>
      </c>
      <c r="D971" s="15" t="s">
        <v>1481</v>
      </c>
      <c r="E971" s="15" t="s">
        <v>112</v>
      </c>
      <c r="F971" s="15" t="s">
        <v>1481</v>
      </c>
      <c r="G971" s="15" t="s">
        <v>113</v>
      </c>
      <c r="H971" s="15" t="s">
        <v>1481</v>
      </c>
      <c r="J971" s="16" t="s">
        <v>114</v>
      </c>
      <c r="U971" s="15" t="s">
        <v>17977</v>
      </c>
      <c r="W971" s="15">
        <v>2017</v>
      </c>
      <c r="X971" s="15">
        <v>981</v>
      </c>
      <c r="Y971" s="15" t="s">
        <v>160</v>
      </c>
      <c r="Z971" s="15" t="s">
        <v>161</v>
      </c>
      <c r="AA971" s="15" t="s">
        <v>162</v>
      </c>
      <c r="AB971" s="15" t="s">
        <v>10320</v>
      </c>
      <c r="AC971" s="15" t="s">
        <v>10320</v>
      </c>
      <c r="AD971" s="15" t="s">
        <v>10320</v>
      </c>
      <c r="AE971" s="15" t="s">
        <v>164</v>
      </c>
      <c r="AF971" s="15" t="s">
        <v>10320</v>
      </c>
      <c r="AG971" s="15" t="s">
        <v>10320</v>
      </c>
      <c r="AH971" s="15" t="s">
        <v>10321</v>
      </c>
      <c r="AL971" s="15" t="s">
        <v>10322</v>
      </c>
      <c r="AN971" s="15">
        <v>743</v>
      </c>
      <c r="AO971" s="15" t="s">
        <v>10323</v>
      </c>
      <c r="AQ971" s="15" t="s">
        <v>388</v>
      </c>
      <c r="AT971" s="15" t="s">
        <v>10324</v>
      </c>
      <c r="AU971" s="18" t="s">
        <v>10325</v>
      </c>
      <c r="AV971" s="18" t="s">
        <v>10325</v>
      </c>
      <c r="AW971" s="15" t="s">
        <v>10326</v>
      </c>
      <c r="AX971" s="15" t="s">
        <v>10327</v>
      </c>
      <c r="AY971" s="15">
        <f t="shared" si="20"/>
        <v>60</v>
      </c>
      <c r="AZ971" s="18" t="s">
        <v>393</v>
      </c>
      <c r="BA971" s="18" t="s">
        <v>174</v>
      </c>
      <c r="BB971" s="18" t="s">
        <v>10328</v>
      </c>
      <c r="BE971" s="18" t="s">
        <v>2054</v>
      </c>
      <c r="BJ971" s="18" t="s">
        <v>10329</v>
      </c>
      <c r="BN971" s="18" t="s">
        <v>179</v>
      </c>
      <c r="BP971" s="18" t="s">
        <v>138</v>
      </c>
      <c r="BS971" s="15" t="s">
        <v>10330</v>
      </c>
      <c r="DH971" s="15" t="s">
        <v>17982</v>
      </c>
      <c r="DI971" s="15" t="s">
        <v>17982</v>
      </c>
    </row>
    <row r="972" spans="1:113" s="15" customFormat="1" ht="12.75" x14ac:dyDescent="0.2">
      <c r="A972" s="15" t="s">
        <v>109</v>
      </c>
      <c r="B972" s="15" t="s">
        <v>110</v>
      </c>
      <c r="D972" s="15" t="s">
        <v>1481</v>
      </c>
      <c r="E972" s="15" t="s">
        <v>112</v>
      </c>
      <c r="F972" s="15" t="s">
        <v>1481</v>
      </c>
      <c r="G972" s="15" t="s">
        <v>113</v>
      </c>
      <c r="H972" s="15" t="s">
        <v>1481</v>
      </c>
      <c r="J972" s="16" t="s">
        <v>114</v>
      </c>
      <c r="U972" s="15" t="s">
        <v>17977</v>
      </c>
      <c r="W972" s="15">
        <v>3426</v>
      </c>
      <c r="X972" s="15">
        <v>982</v>
      </c>
      <c r="Y972" s="15" t="s">
        <v>160</v>
      </c>
      <c r="Z972" s="15" t="s">
        <v>161</v>
      </c>
      <c r="AA972" s="15" t="s">
        <v>162</v>
      </c>
      <c r="AB972" s="15" t="s">
        <v>16541</v>
      </c>
      <c r="AC972" s="15" t="s">
        <v>16541</v>
      </c>
      <c r="AD972" s="15" t="s">
        <v>16541</v>
      </c>
      <c r="AE972" s="15" t="s">
        <v>164</v>
      </c>
      <c r="AF972" s="15" t="s">
        <v>16541</v>
      </c>
      <c r="AG972" s="15" t="s">
        <v>16541</v>
      </c>
      <c r="AH972" s="15" t="s">
        <v>16542</v>
      </c>
      <c r="AL972" s="15" t="s">
        <v>16543</v>
      </c>
      <c r="AN972" s="15">
        <v>743</v>
      </c>
      <c r="AO972" s="15" t="s">
        <v>16544</v>
      </c>
      <c r="AQ972" s="15" t="s">
        <v>225</v>
      </c>
      <c r="AT972" s="15" t="s">
        <v>16545</v>
      </c>
      <c r="AU972" s="18" t="s">
        <v>16546</v>
      </c>
      <c r="AV972" s="18" t="s">
        <v>16546</v>
      </c>
      <c r="AW972" s="15" t="s">
        <v>16547</v>
      </c>
      <c r="AX972" s="15" t="s">
        <v>16547</v>
      </c>
      <c r="AY972" s="15">
        <f t="shared" si="20"/>
        <v>45</v>
      </c>
      <c r="AZ972" s="18" t="s">
        <v>229</v>
      </c>
      <c r="BA972" s="18" t="s">
        <v>174</v>
      </c>
      <c r="BB972" s="18" t="s">
        <v>16548</v>
      </c>
      <c r="BC972" s="18" t="s">
        <v>884</v>
      </c>
      <c r="BE972" s="18" t="s">
        <v>1032</v>
      </c>
      <c r="BI972" s="18" t="s">
        <v>3142</v>
      </c>
      <c r="BN972" s="18" t="s">
        <v>179</v>
      </c>
      <c r="BP972" s="18" t="s">
        <v>138</v>
      </c>
      <c r="BS972" s="15" t="s">
        <v>16549</v>
      </c>
      <c r="DH972" s="15" t="s">
        <v>17982</v>
      </c>
      <c r="DI972" s="15" t="s">
        <v>17982</v>
      </c>
    </row>
    <row r="973" spans="1:113" s="15" customFormat="1" ht="12.75" x14ac:dyDescent="0.2">
      <c r="A973" s="15" t="s">
        <v>109</v>
      </c>
      <c r="B973" s="15" t="s">
        <v>110</v>
      </c>
      <c r="D973" s="15" t="s">
        <v>1481</v>
      </c>
      <c r="E973" s="15" t="s">
        <v>112</v>
      </c>
      <c r="F973" s="15" t="s">
        <v>1481</v>
      </c>
      <c r="G973" s="15" t="s">
        <v>113</v>
      </c>
      <c r="H973" s="15" t="s">
        <v>1481</v>
      </c>
      <c r="J973" s="16" t="s">
        <v>114</v>
      </c>
      <c r="U973" s="15" t="s">
        <v>17977</v>
      </c>
      <c r="W973" s="15">
        <v>2016</v>
      </c>
      <c r="X973" s="15">
        <v>983</v>
      </c>
      <c r="Y973" s="15" t="s">
        <v>160</v>
      </c>
      <c r="Z973" s="15" t="s">
        <v>161</v>
      </c>
      <c r="AA973" s="15" t="s">
        <v>162</v>
      </c>
      <c r="AB973" s="15" t="s">
        <v>10304</v>
      </c>
      <c r="AC973" s="15" t="s">
        <v>10304</v>
      </c>
      <c r="AD973" s="15" t="s">
        <v>10305</v>
      </c>
      <c r="AE973" s="15" t="s">
        <v>164</v>
      </c>
      <c r="AF973" s="15" t="s">
        <v>10305</v>
      </c>
      <c r="AG973" s="15" t="s">
        <v>10304</v>
      </c>
      <c r="AH973" s="15" t="s">
        <v>10306</v>
      </c>
      <c r="AL973" s="15" t="s">
        <v>10307</v>
      </c>
      <c r="AN973" s="15">
        <v>743</v>
      </c>
      <c r="AO973" s="15" t="s">
        <v>10308</v>
      </c>
      <c r="AQ973" s="15" t="s">
        <v>10309</v>
      </c>
      <c r="AT973" s="15" t="s">
        <v>10310</v>
      </c>
      <c r="AU973" s="18" t="s">
        <v>10311</v>
      </c>
      <c r="AV973" s="18" t="s">
        <v>10311</v>
      </c>
      <c r="AW973" s="15" t="s">
        <v>10312</v>
      </c>
      <c r="AX973" s="15" t="s">
        <v>10313</v>
      </c>
      <c r="AY973" s="15">
        <f t="shared" si="20"/>
        <v>59</v>
      </c>
      <c r="AZ973" s="18" t="s">
        <v>10314</v>
      </c>
      <c r="BA973" s="18" t="s">
        <v>10315</v>
      </c>
      <c r="BB973" s="18" t="s">
        <v>10316</v>
      </c>
      <c r="BC973" s="18" t="s">
        <v>10317</v>
      </c>
      <c r="BE973" s="18" t="s">
        <v>3101</v>
      </c>
      <c r="BJ973" s="18" t="s">
        <v>10318</v>
      </c>
      <c r="BN973" s="18" t="s">
        <v>179</v>
      </c>
      <c r="BP973" s="18" t="s">
        <v>138</v>
      </c>
      <c r="BS973" s="15" t="s">
        <v>10319</v>
      </c>
      <c r="DH973" s="15" t="s">
        <v>17982</v>
      </c>
      <c r="DI973" s="15" t="s">
        <v>17982</v>
      </c>
    </row>
    <row r="974" spans="1:113" s="15" customFormat="1" ht="12.75" x14ac:dyDescent="0.2">
      <c r="A974" s="15" t="s">
        <v>109</v>
      </c>
      <c r="B974" s="15" t="s">
        <v>110</v>
      </c>
      <c r="D974" s="15" t="s">
        <v>1481</v>
      </c>
      <c r="E974" s="15" t="s">
        <v>112</v>
      </c>
      <c r="F974" s="15" t="s">
        <v>1481</v>
      </c>
      <c r="G974" s="15" t="s">
        <v>113</v>
      </c>
      <c r="H974" s="15" t="s">
        <v>1481</v>
      </c>
      <c r="J974" s="16" t="s">
        <v>114</v>
      </c>
      <c r="U974" s="15" t="s">
        <v>17977</v>
      </c>
      <c r="W974" s="15">
        <v>3068</v>
      </c>
      <c r="X974" s="15">
        <v>984</v>
      </c>
      <c r="Y974" s="15" t="s">
        <v>160</v>
      </c>
      <c r="Z974" s="15" t="s">
        <v>161</v>
      </c>
      <c r="AA974" s="15" t="s">
        <v>162</v>
      </c>
      <c r="AB974" s="15" t="s">
        <v>14781</v>
      </c>
      <c r="AC974" s="15" t="s">
        <v>14781</v>
      </c>
      <c r="AD974" s="15" t="s">
        <v>14782</v>
      </c>
      <c r="AE974" s="15" t="s">
        <v>164</v>
      </c>
      <c r="AF974" s="15" t="s">
        <v>14782</v>
      </c>
      <c r="AG974" s="15" t="s">
        <v>14781</v>
      </c>
      <c r="AH974" s="15" t="s">
        <v>14783</v>
      </c>
      <c r="AL974" s="15" t="s">
        <v>14784</v>
      </c>
      <c r="AN974" s="15">
        <v>743</v>
      </c>
      <c r="AO974" s="15" t="s">
        <v>14785</v>
      </c>
      <c r="AQ974" s="15" t="s">
        <v>1735</v>
      </c>
      <c r="AT974" s="15" t="s">
        <v>14786</v>
      </c>
      <c r="AU974" s="18" t="s">
        <v>14787</v>
      </c>
      <c r="AV974" s="18" t="s">
        <v>14787</v>
      </c>
      <c r="AW974" s="15" t="s">
        <v>14788</v>
      </c>
      <c r="AX974" s="15" t="s">
        <v>14789</v>
      </c>
      <c r="AY974" s="15">
        <f t="shared" si="20"/>
        <v>58</v>
      </c>
      <c r="AZ974" s="18" t="s">
        <v>1740</v>
      </c>
      <c r="BA974" s="18" t="s">
        <v>174</v>
      </c>
      <c r="BB974" s="18" t="s">
        <v>14790</v>
      </c>
      <c r="BE974" s="18" t="s">
        <v>4059</v>
      </c>
      <c r="BF974" s="18" t="s">
        <v>14791</v>
      </c>
      <c r="BJ974" s="18" t="s">
        <v>14792</v>
      </c>
      <c r="BN974" s="18" t="s">
        <v>179</v>
      </c>
      <c r="BP974" s="18" t="s">
        <v>138</v>
      </c>
      <c r="BS974" s="15" t="s">
        <v>14793</v>
      </c>
      <c r="DH974" s="15" t="s">
        <v>17982</v>
      </c>
      <c r="DI974" s="15" t="s">
        <v>17982</v>
      </c>
    </row>
    <row r="975" spans="1:113" s="15" customFormat="1" ht="12.75" x14ac:dyDescent="0.2">
      <c r="A975" s="15" t="s">
        <v>109</v>
      </c>
      <c r="B975" s="15" t="s">
        <v>110</v>
      </c>
      <c r="D975" s="15" t="s">
        <v>1481</v>
      </c>
      <c r="E975" s="15" t="s">
        <v>112</v>
      </c>
      <c r="F975" s="15" t="s">
        <v>1481</v>
      </c>
      <c r="G975" s="15" t="s">
        <v>113</v>
      </c>
      <c r="H975" s="15" t="s">
        <v>1481</v>
      </c>
      <c r="J975" s="16" t="s">
        <v>114</v>
      </c>
      <c r="U975" s="15" t="s">
        <v>17977</v>
      </c>
      <c r="W975" s="15">
        <v>3069</v>
      </c>
      <c r="X975" s="15">
        <v>985</v>
      </c>
      <c r="Y975" s="15" t="s">
        <v>160</v>
      </c>
      <c r="Z975" s="15" t="s">
        <v>161</v>
      </c>
      <c r="AA975" s="15" t="s">
        <v>162</v>
      </c>
      <c r="AB975" s="15" t="s">
        <v>14794</v>
      </c>
      <c r="AC975" s="15" t="s">
        <v>14794</v>
      </c>
      <c r="AD975" s="15" t="s">
        <v>14795</v>
      </c>
      <c r="AE975" s="15" t="s">
        <v>164</v>
      </c>
      <c r="AF975" s="15" t="s">
        <v>14795</v>
      </c>
      <c r="AG975" s="15" t="s">
        <v>14794</v>
      </c>
      <c r="AH975" s="15" t="s">
        <v>14796</v>
      </c>
      <c r="AL975" s="15" t="s">
        <v>14797</v>
      </c>
      <c r="AN975" s="15">
        <v>743</v>
      </c>
      <c r="AO975" s="15" t="s">
        <v>14798</v>
      </c>
      <c r="AQ975" s="15" t="s">
        <v>1735</v>
      </c>
      <c r="AT975" s="15" t="s">
        <v>14799</v>
      </c>
      <c r="AU975" s="18" t="s">
        <v>14800</v>
      </c>
      <c r="AV975" s="18" t="s">
        <v>14800</v>
      </c>
      <c r="AW975" s="15" t="s">
        <v>14801</v>
      </c>
      <c r="AX975" s="15" t="s">
        <v>14802</v>
      </c>
      <c r="AY975" s="15">
        <f t="shared" si="20"/>
        <v>58</v>
      </c>
      <c r="AZ975" s="18" t="s">
        <v>1740</v>
      </c>
      <c r="BA975" s="18" t="s">
        <v>174</v>
      </c>
      <c r="BB975" s="18" t="s">
        <v>14790</v>
      </c>
      <c r="BE975" s="18" t="s">
        <v>4059</v>
      </c>
      <c r="BF975" s="18" t="s">
        <v>14803</v>
      </c>
      <c r="BJ975" s="18" t="s">
        <v>14792</v>
      </c>
      <c r="BN975" s="18" t="s">
        <v>179</v>
      </c>
      <c r="BP975" s="18" t="s">
        <v>138</v>
      </c>
      <c r="BS975" s="15" t="s">
        <v>14804</v>
      </c>
      <c r="DH975" s="15" t="s">
        <v>17982</v>
      </c>
      <c r="DI975" s="15" t="s">
        <v>17982</v>
      </c>
    </row>
    <row r="976" spans="1:113" s="15" customFormat="1" ht="12.75" x14ac:dyDescent="0.2">
      <c r="A976" s="15" t="s">
        <v>109</v>
      </c>
      <c r="B976" s="15" t="s">
        <v>110</v>
      </c>
      <c r="D976" s="15" t="s">
        <v>1481</v>
      </c>
      <c r="E976" s="15" t="s">
        <v>112</v>
      </c>
      <c r="F976" s="15" t="s">
        <v>1481</v>
      </c>
      <c r="G976" s="15" t="s">
        <v>113</v>
      </c>
      <c r="H976" s="15" t="s">
        <v>1481</v>
      </c>
      <c r="J976" s="16" t="s">
        <v>114</v>
      </c>
      <c r="U976" s="15" t="s">
        <v>17977</v>
      </c>
      <c r="W976" s="15">
        <v>3070</v>
      </c>
      <c r="X976" s="15">
        <v>986</v>
      </c>
      <c r="Y976" s="15" t="s">
        <v>160</v>
      </c>
      <c r="Z976" s="15" t="s">
        <v>161</v>
      </c>
      <c r="AA976" s="15" t="s">
        <v>162</v>
      </c>
      <c r="AB976" s="15" t="s">
        <v>14805</v>
      </c>
      <c r="AC976" s="15" t="s">
        <v>14805</v>
      </c>
      <c r="AD976" s="15" t="s">
        <v>14806</v>
      </c>
      <c r="AE976" s="15" t="s">
        <v>164</v>
      </c>
      <c r="AF976" s="15" t="s">
        <v>14806</v>
      </c>
      <c r="AG976" s="15" t="s">
        <v>14805</v>
      </c>
      <c r="AH976" s="15" t="s">
        <v>14807</v>
      </c>
      <c r="AL976" s="15" t="s">
        <v>14808</v>
      </c>
      <c r="AN976" s="15">
        <v>743</v>
      </c>
      <c r="AO976" s="15" t="s">
        <v>14809</v>
      </c>
      <c r="AQ976" s="15" t="s">
        <v>1735</v>
      </c>
      <c r="AT976" s="15" t="s">
        <v>14810</v>
      </c>
      <c r="AU976" s="18" t="s">
        <v>14811</v>
      </c>
      <c r="AV976" s="18" t="s">
        <v>14811</v>
      </c>
      <c r="AW976" s="15" t="s">
        <v>14812</v>
      </c>
      <c r="AX976" s="15" t="s">
        <v>14813</v>
      </c>
      <c r="AY976" s="15">
        <f t="shared" si="20"/>
        <v>58</v>
      </c>
      <c r="AZ976" s="18" t="s">
        <v>1740</v>
      </c>
      <c r="BA976" s="18" t="s">
        <v>174</v>
      </c>
      <c r="BB976" s="18" t="s">
        <v>14790</v>
      </c>
      <c r="BE976" s="18" t="s">
        <v>4059</v>
      </c>
      <c r="BF976" s="18" t="s">
        <v>14814</v>
      </c>
      <c r="BJ976" s="18" t="s">
        <v>14792</v>
      </c>
      <c r="BN976" s="18" t="s">
        <v>179</v>
      </c>
      <c r="BP976" s="18" t="s">
        <v>138</v>
      </c>
      <c r="BS976" s="15" t="s">
        <v>14815</v>
      </c>
      <c r="DH976" s="15" t="s">
        <v>17982</v>
      </c>
      <c r="DI976" s="15" t="s">
        <v>17982</v>
      </c>
    </row>
    <row r="977" spans="1:113" s="15" customFormat="1" ht="12.75" x14ac:dyDescent="0.2">
      <c r="A977" s="15" t="s">
        <v>109</v>
      </c>
      <c r="B977" s="15" t="s">
        <v>110</v>
      </c>
      <c r="D977" s="15" t="s">
        <v>1481</v>
      </c>
      <c r="E977" s="15" t="s">
        <v>112</v>
      </c>
      <c r="F977" s="15" t="s">
        <v>1481</v>
      </c>
      <c r="G977" s="15" t="s">
        <v>113</v>
      </c>
      <c r="H977" s="15" t="s">
        <v>1481</v>
      </c>
      <c r="J977" s="16" t="s">
        <v>114</v>
      </c>
      <c r="U977" s="15" t="s">
        <v>17977</v>
      </c>
      <c r="W977" s="15">
        <v>3071</v>
      </c>
      <c r="X977" s="15">
        <v>987</v>
      </c>
      <c r="Y977" s="15" t="s">
        <v>160</v>
      </c>
      <c r="Z977" s="15" t="s">
        <v>161</v>
      </c>
      <c r="AA977" s="15" t="s">
        <v>162</v>
      </c>
      <c r="AB977" s="15" t="s">
        <v>14816</v>
      </c>
      <c r="AC977" s="15" t="s">
        <v>14816</v>
      </c>
      <c r="AD977" s="15" t="s">
        <v>14817</v>
      </c>
      <c r="AE977" s="15" t="s">
        <v>164</v>
      </c>
      <c r="AF977" s="15" t="s">
        <v>14817</v>
      </c>
      <c r="AG977" s="15" t="s">
        <v>14816</v>
      </c>
      <c r="AH977" s="15" t="s">
        <v>14818</v>
      </c>
      <c r="AL977" s="15" t="s">
        <v>14819</v>
      </c>
      <c r="AN977" s="15">
        <v>743</v>
      </c>
      <c r="AO977" s="15" t="s">
        <v>14820</v>
      </c>
      <c r="AQ977" s="15" t="s">
        <v>1735</v>
      </c>
      <c r="AT977" s="15" t="s">
        <v>14821</v>
      </c>
      <c r="AU977" s="18" t="s">
        <v>14822</v>
      </c>
      <c r="AV977" s="18" t="s">
        <v>14822</v>
      </c>
      <c r="AW977" s="15" t="s">
        <v>14823</v>
      </c>
      <c r="AX977" s="15" t="s">
        <v>14824</v>
      </c>
      <c r="AY977" s="15">
        <f t="shared" si="20"/>
        <v>58</v>
      </c>
      <c r="AZ977" s="18" t="s">
        <v>1740</v>
      </c>
      <c r="BA977" s="18" t="s">
        <v>174</v>
      </c>
      <c r="BB977" s="18" t="s">
        <v>14790</v>
      </c>
      <c r="BC977" s="18" t="s">
        <v>4343</v>
      </c>
      <c r="BE977" s="18" t="s">
        <v>275</v>
      </c>
      <c r="BF977" s="18" t="s">
        <v>14825</v>
      </c>
      <c r="BJ977" s="18" t="s">
        <v>14826</v>
      </c>
      <c r="BN977" s="18" t="s">
        <v>179</v>
      </c>
      <c r="BP977" s="18" t="s">
        <v>138</v>
      </c>
      <c r="BS977" s="15" t="s">
        <v>14827</v>
      </c>
      <c r="DH977" s="15" t="s">
        <v>17982</v>
      </c>
      <c r="DI977" s="15" t="s">
        <v>17982</v>
      </c>
    </row>
    <row r="978" spans="1:113" s="15" customFormat="1" ht="12.75" x14ac:dyDescent="0.2">
      <c r="A978" s="15" t="s">
        <v>109</v>
      </c>
      <c r="B978" s="15" t="s">
        <v>110</v>
      </c>
      <c r="D978" s="15" t="s">
        <v>1481</v>
      </c>
      <c r="E978" s="15" t="s">
        <v>112</v>
      </c>
      <c r="F978" s="15" t="s">
        <v>1481</v>
      </c>
      <c r="G978" s="15" t="s">
        <v>113</v>
      </c>
      <c r="H978" s="15" t="s">
        <v>1481</v>
      </c>
      <c r="J978" s="16" t="s">
        <v>114</v>
      </c>
      <c r="U978" s="15" t="s">
        <v>17977</v>
      </c>
      <c r="W978" s="15">
        <v>2306</v>
      </c>
      <c r="X978" s="15">
        <v>988</v>
      </c>
      <c r="Y978" s="15" t="s">
        <v>160</v>
      </c>
      <c r="Z978" s="15" t="s">
        <v>161</v>
      </c>
      <c r="AA978" s="15" t="s">
        <v>162</v>
      </c>
      <c r="AB978" s="15" t="s">
        <v>11494</v>
      </c>
      <c r="AC978" s="15" t="s">
        <v>11494</v>
      </c>
      <c r="AD978" s="15" t="s">
        <v>11494</v>
      </c>
      <c r="AE978" s="15" t="s">
        <v>164</v>
      </c>
      <c r="AF978" s="15" t="s">
        <v>11494</v>
      </c>
      <c r="AG978" s="15" t="s">
        <v>11494</v>
      </c>
      <c r="AH978" s="15" t="s">
        <v>11495</v>
      </c>
      <c r="AL978" s="15" t="s">
        <v>11496</v>
      </c>
      <c r="AN978" s="15">
        <v>743</v>
      </c>
      <c r="AO978" s="15" t="s">
        <v>11497</v>
      </c>
      <c r="AQ978" s="15" t="s">
        <v>3598</v>
      </c>
      <c r="AT978" s="15" t="s">
        <v>11498</v>
      </c>
      <c r="AU978" s="18" t="s">
        <v>11499</v>
      </c>
      <c r="AV978" s="18" t="s">
        <v>11499</v>
      </c>
      <c r="AW978" s="15" t="s">
        <v>11500</v>
      </c>
      <c r="AX978" s="15" t="s">
        <v>11501</v>
      </c>
      <c r="AY978" s="15">
        <f t="shared" si="20"/>
        <v>60</v>
      </c>
      <c r="AZ978" s="18" t="s">
        <v>3603</v>
      </c>
      <c r="BA978" s="18" t="s">
        <v>214</v>
      </c>
      <c r="BB978" s="18" t="s">
        <v>11478</v>
      </c>
      <c r="BE978" s="18" t="s">
        <v>275</v>
      </c>
      <c r="BI978" s="18" t="s">
        <v>11502</v>
      </c>
      <c r="BJ978" s="18" t="s">
        <v>11503</v>
      </c>
      <c r="BN978" s="18" t="s">
        <v>179</v>
      </c>
      <c r="BP978" s="18" t="s">
        <v>138</v>
      </c>
      <c r="BS978" s="15" t="s">
        <v>11504</v>
      </c>
      <c r="DH978" s="15" t="s">
        <v>17982</v>
      </c>
      <c r="DI978" s="15" t="s">
        <v>17982</v>
      </c>
    </row>
    <row r="979" spans="1:113" s="15" customFormat="1" ht="12.75" x14ac:dyDescent="0.2">
      <c r="A979" s="15" t="s">
        <v>109</v>
      </c>
      <c r="B979" s="15" t="s">
        <v>110</v>
      </c>
      <c r="D979" s="15" t="s">
        <v>1481</v>
      </c>
      <c r="E979" s="15" t="s">
        <v>112</v>
      </c>
      <c r="F979" s="15" t="s">
        <v>1481</v>
      </c>
      <c r="G979" s="15" t="s">
        <v>113</v>
      </c>
      <c r="H979" s="15" t="s">
        <v>1481</v>
      </c>
      <c r="J979" s="16" t="s">
        <v>114</v>
      </c>
      <c r="U979" s="15" t="s">
        <v>17977</v>
      </c>
      <c r="W979" s="15">
        <v>3507</v>
      </c>
      <c r="X979" s="15">
        <v>989</v>
      </c>
      <c r="Y979" s="15" t="s">
        <v>160</v>
      </c>
      <c r="Z979" s="15" t="s">
        <v>161</v>
      </c>
      <c r="AA979" s="15" t="s">
        <v>162</v>
      </c>
      <c r="AB979" s="15" t="s">
        <v>16998</v>
      </c>
      <c r="AC979" s="15" t="s">
        <v>16998</v>
      </c>
      <c r="AD979" s="15" t="s">
        <v>16998</v>
      </c>
      <c r="AE979" s="15" t="s">
        <v>164</v>
      </c>
      <c r="AF979" s="15" t="s">
        <v>16998</v>
      </c>
      <c r="AG979" s="15" t="s">
        <v>16998</v>
      </c>
      <c r="AH979" s="15" t="s">
        <v>16999</v>
      </c>
      <c r="AL979" s="15" t="s">
        <v>17000</v>
      </c>
      <c r="AN979" s="15">
        <v>743</v>
      </c>
      <c r="AO979" s="15" t="s">
        <v>17001</v>
      </c>
      <c r="AQ979" s="15" t="s">
        <v>3598</v>
      </c>
      <c r="AT979" s="15" t="s">
        <v>17002</v>
      </c>
      <c r="AU979" s="18" t="s">
        <v>17003</v>
      </c>
      <c r="AV979" s="18" t="s">
        <v>17003</v>
      </c>
      <c r="AW979" s="15" t="s">
        <v>17004</v>
      </c>
      <c r="AX979" s="15" t="s">
        <v>17005</v>
      </c>
      <c r="AY979" s="15">
        <f t="shared" si="20"/>
        <v>60</v>
      </c>
      <c r="AZ979" s="18" t="s">
        <v>3603</v>
      </c>
      <c r="BA979" s="18" t="s">
        <v>214</v>
      </c>
      <c r="BB979" s="18" t="s">
        <v>11478</v>
      </c>
      <c r="BE979" s="18" t="s">
        <v>275</v>
      </c>
      <c r="BI979" s="18" t="s">
        <v>3142</v>
      </c>
      <c r="BJ979" s="18" t="s">
        <v>17006</v>
      </c>
      <c r="BN979" s="18" t="s">
        <v>179</v>
      </c>
      <c r="BO979" s="18" t="s">
        <v>16602</v>
      </c>
      <c r="BP979" s="18" t="s">
        <v>138</v>
      </c>
      <c r="BS979" s="15" t="s">
        <v>17007</v>
      </c>
      <c r="DH979" s="15" t="s">
        <v>17982</v>
      </c>
      <c r="DI979" s="15" t="s">
        <v>17982</v>
      </c>
    </row>
    <row r="980" spans="1:113" s="15" customFormat="1" ht="12.75" x14ac:dyDescent="0.2">
      <c r="A980" s="15" t="s">
        <v>109</v>
      </c>
      <c r="B980" s="15" t="s">
        <v>110</v>
      </c>
      <c r="D980" s="15" t="s">
        <v>1481</v>
      </c>
      <c r="E980" s="15" t="s">
        <v>112</v>
      </c>
      <c r="F980" s="15" t="s">
        <v>1481</v>
      </c>
      <c r="G980" s="15" t="s">
        <v>113</v>
      </c>
      <c r="H980" s="15" t="s">
        <v>1481</v>
      </c>
      <c r="J980" s="16" t="s">
        <v>114</v>
      </c>
      <c r="U980" s="15" t="s">
        <v>17977</v>
      </c>
      <c r="W980" s="15">
        <v>2307</v>
      </c>
      <c r="X980" s="15">
        <v>990</v>
      </c>
      <c r="Y980" s="15" t="s">
        <v>160</v>
      </c>
      <c r="Z980" s="15" t="s">
        <v>161</v>
      </c>
      <c r="AA980" s="15" t="s">
        <v>162</v>
      </c>
      <c r="AB980" s="15" t="s">
        <v>11505</v>
      </c>
      <c r="AC980" s="15" t="s">
        <v>11505</v>
      </c>
      <c r="AD980" s="15" t="s">
        <v>11506</v>
      </c>
      <c r="AE980" s="15" t="s">
        <v>164</v>
      </c>
      <c r="AF980" s="15" t="s">
        <v>11506</v>
      </c>
      <c r="AG980" s="15" t="s">
        <v>11505</v>
      </c>
      <c r="AH980" s="15" t="s">
        <v>11507</v>
      </c>
      <c r="AL980" s="15" t="s">
        <v>11508</v>
      </c>
      <c r="AN980" s="15">
        <v>743</v>
      </c>
      <c r="AO980" s="15" t="s">
        <v>11509</v>
      </c>
      <c r="AQ980" s="15" t="s">
        <v>168</v>
      </c>
      <c r="AT980" s="15" t="s">
        <v>11510</v>
      </c>
      <c r="AU980" s="18" t="s">
        <v>11511</v>
      </c>
      <c r="AV980" s="18" t="s">
        <v>11511</v>
      </c>
      <c r="AW980" s="15" t="s">
        <v>11512</v>
      </c>
      <c r="AX980" s="15" t="s">
        <v>11513</v>
      </c>
      <c r="AY980" s="15">
        <f t="shared" si="20"/>
        <v>60</v>
      </c>
      <c r="AZ980" s="18" t="s">
        <v>173</v>
      </c>
      <c r="BA980" s="18" t="s">
        <v>174</v>
      </c>
      <c r="BB980" s="18" t="s">
        <v>11478</v>
      </c>
      <c r="BC980" s="26" t="s">
        <v>11514</v>
      </c>
      <c r="BE980" s="18" t="s">
        <v>1123</v>
      </c>
      <c r="BI980" s="18" t="s">
        <v>11491</v>
      </c>
      <c r="BJ980" s="18" t="s">
        <v>11492</v>
      </c>
      <c r="BK980" s="18" t="s">
        <v>189</v>
      </c>
      <c r="BN980" s="18" t="s">
        <v>179</v>
      </c>
      <c r="BP980" s="18" t="s">
        <v>138</v>
      </c>
      <c r="BS980" s="15" t="s">
        <v>11515</v>
      </c>
      <c r="DH980" s="15" t="s">
        <v>17982</v>
      </c>
      <c r="DI980" s="15" t="s">
        <v>17982</v>
      </c>
    </row>
    <row r="981" spans="1:113" s="15" customFormat="1" ht="12.75" x14ac:dyDescent="0.2">
      <c r="A981" s="15" t="s">
        <v>109</v>
      </c>
      <c r="B981" s="15" t="s">
        <v>110</v>
      </c>
      <c r="D981" s="15" t="s">
        <v>1481</v>
      </c>
      <c r="E981" s="15" t="s">
        <v>112</v>
      </c>
      <c r="F981" s="15" t="s">
        <v>1481</v>
      </c>
      <c r="G981" s="15" t="s">
        <v>113</v>
      </c>
      <c r="H981" s="15" t="s">
        <v>1481</v>
      </c>
      <c r="J981" s="16" t="s">
        <v>114</v>
      </c>
      <c r="U981" s="15" t="s">
        <v>17977</v>
      </c>
      <c r="W981" s="15">
        <v>2305</v>
      </c>
      <c r="X981" s="15">
        <v>991</v>
      </c>
      <c r="Y981" s="15" t="s">
        <v>160</v>
      </c>
      <c r="Z981" s="15" t="s">
        <v>161</v>
      </c>
      <c r="AA981" s="15" t="s">
        <v>162</v>
      </c>
      <c r="AB981" s="15" t="s">
        <v>11482</v>
      </c>
      <c r="AC981" s="15" t="s">
        <v>11482</v>
      </c>
      <c r="AD981" s="15" t="s">
        <v>11482</v>
      </c>
      <c r="AE981" s="15" t="s">
        <v>164</v>
      </c>
      <c r="AF981" s="15" t="s">
        <v>11482</v>
      </c>
      <c r="AG981" s="15" t="s">
        <v>11482</v>
      </c>
      <c r="AH981" s="15" t="s">
        <v>11483</v>
      </c>
      <c r="AL981" s="15" t="s">
        <v>11484</v>
      </c>
      <c r="AN981" s="15">
        <v>743</v>
      </c>
      <c r="AO981" s="15" t="s">
        <v>11485</v>
      </c>
      <c r="AQ981" s="15" t="s">
        <v>168</v>
      </c>
      <c r="AT981" s="15" t="s">
        <v>11486</v>
      </c>
      <c r="AU981" s="18" t="s">
        <v>11487</v>
      </c>
      <c r="AV981" s="18" t="s">
        <v>11487</v>
      </c>
      <c r="AW981" s="15" t="s">
        <v>11488</v>
      </c>
      <c r="AX981" s="15" t="s">
        <v>11489</v>
      </c>
      <c r="AY981" s="15">
        <f t="shared" si="20"/>
        <v>60</v>
      </c>
      <c r="AZ981" s="18" t="s">
        <v>173</v>
      </c>
      <c r="BA981" s="18" t="s">
        <v>174</v>
      </c>
      <c r="BB981" s="18" t="s">
        <v>11478</v>
      </c>
      <c r="BC981" s="18" t="s">
        <v>11490</v>
      </c>
      <c r="BE981" s="18" t="s">
        <v>1123</v>
      </c>
      <c r="BI981" s="18" t="s">
        <v>11491</v>
      </c>
      <c r="BJ981" s="18" t="s">
        <v>11492</v>
      </c>
      <c r="BK981" s="18" t="s">
        <v>189</v>
      </c>
      <c r="BN981" s="18" t="s">
        <v>179</v>
      </c>
      <c r="BP981" s="18" t="s">
        <v>138</v>
      </c>
      <c r="BS981" s="15" t="s">
        <v>11493</v>
      </c>
      <c r="DH981" s="15" t="s">
        <v>17982</v>
      </c>
      <c r="DI981" s="15" t="s">
        <v>17982</v>
      </c>
    </row>
    <row r="982" spans="1:113" s="15" customFormat="1" ht="12.75" x14ac:dyDescent="0.2">
      <c r="A982" s="15" t="s">
        <v>109</v>
      </c>
      <c r="B982" s="15" t="s">
        <v>110</v>
      </c>
      <c r="D982" s="15" t="s">
        <v>1481</v>
      </c>
      <c r="E982" s="15" t="s">
        <v>112</v>
      </c>
      <c r="F982" s="15" t="s">
        <v>1481</v>
      </c>
      <c r="G982" s="15" t="s">
        <v>113</v>
      </c>
      <c r="H982" s="15" t="s">
        <v>1481</v>
      </c>
      <c r="J982" s="16" t="s">
        <v>114</v>
      </c>
      <c r="U982" s="15" t="s">
        <v>17977</v>
      </c>
      <c r="W982" s="15">
        <v>3530</v>
      </c>
      <c r="X982" s="15">
        <v>992</v>
      </c>
      <c r="Y982" s="15" t="s">
        <v>160</v>
      </c>
      <c r="Z982" s="15" t="s">
        <v>161</v>
      </c>
      <c r="AA982" s="15" t="s">
        <v>162</v>
      </c>
      <c r="AB982" s="15" t="s">
        <v>17168</v>
      </c>
      <c r="AC982" s="15" t="s">
        <v>17168</v>
      </c>
      <c r="AD982" s="15" t="s">
        <v>17168</v>
      </c>
      <c r="AE982" s="15" t="s">
        <v>164</v>
      </c>
      <c r="AF982" s="15" t="s">
        <v>17168</v>
      </c>
      <c r="AG982" s="15" t="s">
        <v>17168</v>
      </c>
      <c r="AH982" s="15" t="s">
        <v>17169</v>
      </c>
      <c r="AL982" s="15" t="s">
        <v>17170</v>
      </c>
      <c r="AN982" s="15">
        <v>743</v>
      </c>
      <c r="AO982" s="15" t="s">
        <v>17171</v>
      </c>
      <c r="AQ982" s="15" t="s">
        <v>3598</v>
      </c>
      <c r="AT982" s="15" t="s">
        <v>17172</v>
      </c>
      <c r="AU982" s="18" t="s">
        <v>17173</v>
      </c>
      <c r="AV982" s="18" t="s">
        <v>17173</v>
      </c>
      <c r="AW982" s="15" t="s">
        <v>17174</v>
      </c>
      <c r="AX982" s="15" t="s">
        <v>17175</v>
      </c>
      <c r="AY982" s="15">
        <f t="shared" si="20"/>
        <v>60</v>
      </c>
      <c r="AZ982" s="18" t="s">
        <v>3603</v>
      </c>
      <c r="BA982" s="18" t="s">
        <v>214</v>
      </c>
      <c r="BB982" s="18" t="s">
        <v>17176</v>
      </c>
      <c r="BE982" s="18" t="s">
        <v>1123</v>
      </c>
      <c r="BI982" s="18" t="s">
        <v>17177</v>
      </c>
      <c r="BJ982" s="18" t="s">
        <v>17178</v>
      </c>
      <c r="BN982" s="18" t="s">
        <v>179</v>
      </c>
      <c r="BO982" s="18" t="s">
        <v>16602</v>
      </c>
      <c r="BP982" s="18" t="s">
        <v>138</v>
      </c>
      <c r="BS982" s="15" t="s">
        <v>17179</v>
      </c>
      <c r="DH982" s="15" t="s">
        <v>17982</v>
      </c>
      <c r="DI982" s="15" t="s">
        <v>17982</v>
      </c>
    </row>
    <row r="983" spans="1:113" s="15" customFormat="1" ht="12.75" x14ac:dyDescent="0.2">
      <c r="A983" s="15" t="s">
        <v>109</v>
      </c>
      <c r="B983" s="15" t="s">
        <v>110</v>
      </c>
      <c r="D983" s="15" t="s">
        <v>1481</v>
      </c>
      <c r="E983" s="15" t="s">
        <v>112</v>
      </c>
      <c r="F983" s="15" t="s">
        <v>1481</v>
      </c>
      <c r="G983" s="15" t="s">
        <v>113</v>
      </c>
      <c r="H983" s="15" t="s">
        <v>1481</v>
      </c>
      <c r="J983" s="16" t="s">
        <v>114</v>
      </c>
      <c r="U983" s="15" t="s">
        <v>17977</v>
      </c>
      <c r="W983" s="15">
        <v>2664</v>
      </c>
      <c r="X983" s="15">
        <v>993</v>
      </c>
      <c r="Y983" s="15" t="s">
        <v>160</v>
      </c>
      <c r="Z983" s="15" t="s">
        <v>161</v>
      </c>
      <c r="AA983" s="15" t="s">
        <v>162</v>
      </c>
      <c r="AB983" s="15" t="s">
        <v>12898</v>
      </c>
      <c r="AC983" s="15" t="s">
        <v>12898</v>
      </c>
      <c r="AD983" s="15" t="s">
        <v>12899</v>
      </c>
      <c r="AE983" s="15" t="s">
        <v>164</v>
      </c>
      <c r="AF983" s="15" t="s">
        <v>12899</v>
      </c>
      <c r="AG983" s="15" t="s">
        <v>12898</v>
      </c>
      <c r="AH983" s="47" t="s">
        <v>12900</v>
      </c>
      <c r="AL983" s="15" t="s">
        <v>12901</v>
      </c>
      <c r="AN983" s="15">
        <v>743</v>
      </c>
      <c r="AO983" s="15" t="s">
        <v>12902</v>
      </c>
      <c r="AQ983" s="15" t="s">
        <v>12903</v>
      </c>
      <c r="AT983" s="15" t="s">
        <v>12904</v>
      </c>
      <c r="AU983" s="18" t="s">
        <v>12905</v>
      </c>
      <c r="AV983" s="18" t="s">
        <v>12905</v>
      </c>
      <c r="AW983" s="15" t="s">
        <v>12906</v>
      </c>
      <c r="AX983" s="15" t="s">
        <v>12907</v>
      </c>
      <c r="AY983" s="15">
        <f t="shared" si="20"/>
        <v>59</v>
      </c>
      <c r="AZ983" s="18" t="s">
        <v>12908</v>
      </c>
      <c r="BB983" s="18" t="s">
        <v>12909</v>
      </c>
      <c r="BJ983" s="18" t="s">
        <v>12910</v>
      </c>
      <c r="BN983" s="18" t="s">
        <v>179</v>
      </c>
      <c r="BP983" s="18" t="s">
        <v>138</v>
      </c>
      <c r="BS983" s="15" t="s">
        <v>12911</v>
      </c>
      <c r="DH983" s="15" t="s">
        <v>17982</v>
      </c>
      <c r="DI983" s="15" t="s">
        <v>17982</v>
      </c>
    </row>
    <row r="984" spans="1:113" s="15" customFormat="1" ht="12.75" x14ac:dyDescent="0.2">
      <c r="A984" s="15" t="s">
        <v>109</v>
      </c>
      <c r="B984" s="15" t="s">
        <v>110</v>
      </c>
      <c r="D984" s="15" t="s">
        <v>1481</v>
      </c>
      <c r="E984" s="15" t="s">
        <v>112</v>
      </c>
      <c r="F984" s="15" t="s">
        <v>1481</v>
      </c>
      <c r="G984" s="15" t="s">
        <v>113</v>
      </c>
      <c r="H984" s="15" t="s">
        <v>1481</v>
      </c>
      <c r="J984" s="16" t="s">
        <v>114</v>
      </c>
      <c r="U984" s="15" t="s">
        <v>17977</v>
      </c>
      <c r="W984" s="15">
        <v>865</v>
      </c>
      <c r="X984" s="15">
        <v>994</v>
      </c>
      <c r="Y984" s="15" t="s">
        <v>160</v>
      </c>
      <c r="Z984" s="15" t="s">
        <v>161</v>
      </c>
      <c r="AA984" s="15" t="s">
        <v>162</v>
      </c>
      <c r="AB984" s="15" t="s">
        <v>3807</v>
      </c>
      <c r="AC984" s="15" t="s">
        <v>3807</v>
      </c>
      <c r="AD984" s="15" t="s">
        <v>3807</v>
      </c>
      <c r="AE984" s="15" t="s">
        <v>164</v>
      </c>
      <c r="AF984" s="15" t="s">
        <v>3807</v>
      </c>
      <c r="AG984" s="15" t="s">
        <v>3807</v>
      </c>
      <c r="AH984" s="15" t="s">
        <v>3808</v>
      </c>
      <c r="AL984" s="15" t="s">
        <v>3809</v>
      </c>
      <c r="AN984" s="15">
        <v>743</v>
      </c>
      <c r="AO984" s="15" t="s">
        <v>3810</v>
      </c>
      <c r="AQ984" s="15" t="s">
        <v>912</v>
      </c>
      <c r="AT984" s="15" t="s">
        <v>3811</v>
      </c>
      <c r="AU984" s="18" t="s">
        <v>3812</v>
      </c>
      <c r="AV984" s="18" t="s">
        <v>3812</v>
      </c>
      <c r="AW984" s="15" t="s">
        <v>3813</v>
      </c>
      <c r="AX984" s="15" t="s">
        <v>3813</v>
      </c>
      <c r="AY984" s="15">
        <f t="shared" si="20"/>
        <v>55</v>
      </c>
      <c r="AZ984" s="18" t="s">
        <v>917</v>
      </c>
      <c r="BA984" s="18" t="s">
        <v>174</v>
      </c>
      <c r="BB984" s="18" t="s">
        <v>3814</v>
      </c>
      <c r="BF984" s="18" t="s">
        <v>3815</v>
      </c>
      <c r="BJ984" s="18" t="s">
        <v>3816</v>
      </c>
      <c r="BN984" s="18" t="s">
        <v>179</v>
      </c>
      <c r="BP984" s="18" t="s">
        <v>138</v>
      </c>
      <c r="BS984" s="15" t="s">
        <v>3817</v>
      </c>
      <c r="DH984" s="15" t="s">
        <v>17982</v>
      </c>
      <c r="DI984" s="15" t="s">
        <v>17982</v>
      </c>
    </row>
    <row r="985" spans="1:113" s="15" customFormat="1" ht="12.75" x14ac:dyDescent="0.2">
      <c r="A985" s="15" t="s">
        <v>109</v>
      </c>
      <c r="B985" s="15" t="s">
        <v>110</v>
      </c>
      <c r="D985" s="15" t="s">
        <v>1481</v>
      </c>
      <c r="E985" s="15" t="s">
        <v>112</v>
      </c>
      <c r="F985" s="15" t="s">
        <v>1481</v>
      </c>
      <c r="G985" s="15" t="s">
        <v>113</v>
      </c>
      <c r="H985" s="15" t="s">
        <v>1481</v>
      </c>
      <c r="J985" s="16" t="s">
        <v>114</v>
      </c>
      <c r="U985" s="15" t="s">
        <v>17977</v>
      </c>
      <c r="W985" s="15">
        <v>2304</v>
      </c>
      <c r="X985" s="15">
        <v>995</v>
      </c>
      <c r="Y985" s="15" t="s">
        <v>160</v>
      </c>
      <c r="Z985" s="15" t="s">
        <v>161</v>
      </c>
      <c r="AA985" s="15" t="s">
        <v>162</v>
      </c>
      <c r="AB985" s="15" t="s">
        <v>11470</v>
      </c>
      <c r="AC985" s="15" t="s">
        <v>11470</v>
      </c>
      <c r="AD985" s="15" t="s">
        <v>11471</v>
      </c>
      <c r="AE985" s="15" t="s">
        <v>164</v>
      </c>
      <c r="AF985" s="15" t="s">
        <v>11471</v>
      </c>
      <c r="AG985" s="15" t="s">
        <v>11470</v>
      </c>
      <c r="AH985" s="15" t="s">
        <v>11472</v>
      </c>
      <c r="AL985" s="15" t="s">
        <v>11473</v>
      </c>
      <c r="AN985" s="15">
        <v>743</v>
      </c>
      <c r="AO985" s="15" t="s">
        <v>11474</v>
      </c>
      <c r="AQ985" s="15" t="s">
        <v>1193</v>
      </c>
      <c r="AT985" s="15" t="s">
        <v>11475</v>
      </c>
      <c r="AU985" s="18" t="s">
        <v>11476</v>
      </c>
      <c r="AV985" s="18" t="s">
        <v>11476</v>
      </c>
      <c r="AW985" s="15" t="s">
        <v>11477</v>
      </c>
      <c r="AX985" s="15" t="s">
        <v>11477</v>
      </c>
      <c r="AY985" s="15">
        <f t="shared" si="20"/>
        <v>56</v>
      </c>
      <c r="AZ985" s="18" t="s">
        <v>1197</v>
      </c>
      <c r="BA985" s="18" t="s">
        <v>174</v>
      </c>
      <c r="BB985" s="18" t="s">
        <v>11478</v>
      </c>
      <c r="BE985" s="18" t="s">
        <v>7550</v>
      </c>
      <c r="BI985" s="18" t="s">
        <v>6350</v>
      </c>
      <c r="BJ985" s="18" t="s">
        <v>11479</v>
      </c>
      <c r="BN985" s="18" t="s">
        <v>179</v>
      </c>
      <c r="BP985" s="18" t="s">
        <v>138</v>
      </c>
      <c r="BR985" s="18" t="s">
        <v>11480</v>
      </c>
      <c r="BS985" s="15" t="s">
        <v>11481</v>
      </c>
      <c r="DH985" s="15" t="s">
        <v>17982</v>
      </c>
      <c r="DI985" s="15" t="s">
        <v>17982</v>
      </c>
    </row>
    <row r="986" spans="1:113" s="15" customFormat="1" ht="12.75" x14ac:dyDescent="0.2">
      <c r="A986" s="15" t="s">
        <v>109</v>
      </c>
      <c r="B986" s="15" t="s">
        <v>110</v>
      </c>
      <c r="D986" s="15" t="s">
        <v>1481</v>
      </c>
      <c r="E986" s="15" t="s">
        <v>112</v>
      </c>
      <c r="F986" s="15" t="s">
        <v>1481</v>
      </c>
      <c r="G986" s="15" t="s">
        <v>113</v>
      </c>
      <c r="H986" s="15" t="s">
        <v>1481</v>
      </c>
      <c r="J986" s="16" t="s">
        <v>114</v>
      </c>
      <c r="U986" s="15" t="s">
        <v>17977</v>
      </c>
      <c r="W986" s="15">
        <v>555</v>
      </c>
      <c r="X986" s="15">
        <v>996</v>
      </c>
      <c r="Y986" s="15" t="s">
        <v>160</v>
      </c>
      <c r="Z986" s="15" t="s">
        <v>161</v>
      </c>
      <c r="AA986" s="15" t="s">
        <v>162</v>
      </c>
      <c r="AB986" s="15" t="s">
        <v>2058</v>
      </c>
      <c r="AC986" s="15" t="s">
        <v>2058</v>
      </c>
      <c r="AD986" s="15" t="s">
        <v>2058</v>
      </c>
      <c r="AE986" s="15" t="s">
        <v>164</v>
      </c>
      <c r="AF986" s="15" t="s">
        <v>2058</v>
      </c>
      <c r="AG986" s="15" t="s">
        <v>2058</v>
      </c>
      <c r="AH986" s="15" t="s">
        <v>2059</v>
      </c>
      <c r="AL986" s="15" t="s">
        <v>2060</v>
      </c>
      <c r="AN986" s="15">
        <v>743</v>
      </c>
      <c r="AO986" s="15" t="s">
        <v>2061</v>
      </c>
      <c r="AQ986" s="15" t="s">
        <v>168</v>
      </c>
      <c r="AT986" s="15" t="s">
        <v>2062</v>
      </c>
      <c r="AU986" s="18" t="s">
        <v>2063</v>
      </c>
      <c r="AV986" s="18" t="s">
        <v>2063</v>
      </c>
      <c r="AW986" s="15" t="s">
        <v>2064</v>
      </c>
      <c r="AX986" s="15" t="s">
        <v>2064</v>
      </c>
      <c r="AY986" s="15">
        <f t="shared" si="20"/>
        <v>50</v>
      </c>
      <c r="AZ986" s="18" t="s">
        <v>173</v>
      </c>
      <c r="BA986" s="18" t="s">
        <v>174</v>
      </c>
      <c r="BB986" s="18" t="s">
        <v>2065</v>
      </c>
      <c r="BE986" s="18" t="s">
        <v>2066</v>
      </c>
      <c r="BF986" s="18" t="s">
        <v>606</v>
      </c>
      <c r="BJ986" s="18" t="s">
        <v>2067</v>
      </c>
      <c r="BN986" s="18" t="s">
        <v>179</v>
      </c>
      <c r="BP986" s="18" t="s">
        <v>138</v>
      </c>
      <c r="BS986" s="15" t="s">
        <v>2068</v>
      </c>
      <c r="DH986" s="15" t="s">
        <v>17982</v>
      </c>
      <c r="DI986" s="15" t="s">
        <v>17982</v>
      </c>
    </row>
    <row r="987" spans="1:113" s="15" customFormat="1" ht="12.75" x14ac:dyDescent="0.2">
      <c r="A987" s="15" t="s">
        <v>109</v>
      </c>
      <c r="B987" s="15" t="s">
        <v>110</v>
      </c>
      <c r="D987" s="15" t="s">
        <v>1481</v>
      </c>
      <c r="E987" s="15" t="s">
        <v>112</v>
      </c>
      <c r="F987" s="15" t="s">
        <v>1481</v>
      </c>
      <c r="G987" s="15" t="s">
        <v>113</v>
      </c>
      <c r="H987" s="15" t="s">
        <v>1481</v>
      </c>
      <c r="J987" s="16" t="s">
        <v>114</v>
      </c>
      <c r="U987" s="15" t="s">
        <v>17977</v>
      </c>
      <c r="W987" s="15">
        <v>559</v>
      </c>
      <c r="X987" s="15">
        <v>997</v>
      </c>
      <c r="Y987" s="15" t="s">
        <v>160</v>
      </c>
      <c r="Z987" s="15" t="s">
        <v>161</v>
      </c>
      <c r="AA987" s="15" t="s">
        <v>162</v>
      </c>
      <c r="AB987" s="15" t="s">
        <v>2097</v>
      </c>
      <c r="AC987" s="15" t="s">
        <v>2097</v>
      </c>
      <c r="AD987" s="15" t="s">
        <v>2097</v>
      </c>
      <c r="AE987" s="15" t="s">
        <v>164</v>
      </c>
      <c r="AF987" s="15" t="s">
        <v>2097</v>
      </c>
      <c r="AG987" s="15" t="s">
        <v>2097</v>
      </c>
      <c r="AH987" s="15" t="s">
        <v>2098</v>
      </c>
      <c r="AL987" s="15" t="s">
        <v>2099</v>
      </c>
      <c r="AN987" s="15">
        <v>743</v>
      </c>
      <c r="AO987" s="15" t="s">
        <v>2100</v>
      </c>
      <c r="AQ987" s="15" t="s">
        <v>168</v>
      </c>
      <c r="AT987" s="15" t="s">
        <v>2101</v>
      </c>
      <c r="AU987" s="18" t="s">
        <v>2102</v>
      </c>
      <c r="AV987" s="18" t="s">
        <v>2102</v>
      </c>
      <c r="AW987" s="15" t="s">
        <v>2103</v>
      </c>
      <c r="AX987" s="15" t="s">
        <v>2103</v>
      </c>
      <c r="AY987" s="15">
        <f t="shared" si="20"/>
        <v>54</v>
      </c>
      <c r="AZ987" s="18" t="s">
        <v>173</v>
      </c>
      <c r="BA987" s="18" t="s">
        <v>174</v>
      </c>
      <c r="BB987" s="18" t="s">
        <v>2065</v>
      </c>
      <c r="BE987" s="18" t="s">
        <v>1528</v>
      </c>
      <c r="BF987" s="18" t="s">
        <v>606</v>
      </c>
      <c r="BJ987" s="18" t="s">
        <v>2104</v>
      </c>
      <c r="BN987" s="18" t="s">
        <v>179</v>
      </c>
      <c r="BP987" s="18" t="s">
        <v>138</v>
      </c>
      <c r="BS987" s="15" t="s">
        <v>2105</v>
      </c>
      <c r="DH987" s="15" t="s">
        <v>17982</v>
      </c>
      <c r="DI987" s="15" t="s">
        <v>17982</v>
      </c>
    </row>
    <row r="988" spans="1:113" s="15" customFormat="1" ht="12.75" x14ac:dyDescent="0.2">
      <c r="A988" s="15" t="s">
        <v>109</v>
      </c>
      <c r="B988" s="15" t="s">
        <v>110</v>
      </c>
      <c r="D988" s="15" t="s">
        <v>1481</v>
      </c>
      <c r="E988" s="15" t="s">
        <v>112</v>
      </c>
      <c r="F988" s="15" t="s">
        <v>1481</v>
      </c>
      <c r="G988" s="15" t="s">
        <v>113</v>
      </c>
      <c r="H988" s="15" t="s">
        <v>1481</v>
      </c>
      <c r="J988" s="16" t="s">
        <v>114</v>
      </c>
      <c r="U988" s="15" t="s">
        <v>17977</v>
      </c>
      <c r="W988" s="15">
        <v>558</v>
      </c>
      <c r="X988" s="15">
        <v>998</v>
      </c>
      <c r="Y988" s="15" t="s">
        <v>160</v>
      </c>
      <c r="Z988" s="15" t="s">
        <v>161</v>
      </c>
      <c r="AA988" s="15" t="s">
        <v>162</v>
      </c>
      <c r="AB988" s="15" t="s">
        <v>2087</v>
      </c>
      <c r="AC988" s="15" t="s">
        <v>2087</v>
      </c>
      <c r="AD988" s="15" t="s">
        <v>2087</v>
      </c>
      <c r="AE988" s="15" t="s">
        <v>164</v>
      </c>
      <c r="AF988" s="15" t="s">
        <v>2087</v>
      </c>
      <c r="AG988" s="15" t="s">
        <v>2087</v>
      </c>
      <c r="AH988" s="15" t="s">
        <v>2088</v>
      </c>
      <c r="AL988" s="15" t="s">
        <v>2089</v>
      </c>
      <c r="AN988" s="15">
        <v>743</v>
      </c>
      <c r="AO988" s="15" t="s">
        <v>2090</v>
      </c>
      <c r="AQ988" s="15" t="s">
        <v>168</v>
      </c>
      <c r="AT988" s="15" t="s">
        <v>2091</v>
      </c>
      <c r="AU988" s="18" t="s">
        <v>2092</v>
      </c>
      <c r="AV988" s="18" t="s">
        <v>2092</v>
      </c>
      <c r="AW988" s="15" t="s">
        <v>2093</v>
      </c>
      <c r="AX988" s="15" t="s">
        <v>2093</v>
      </c>
      <c r="AY988" s="15">
        <f t="shared" si="20"/>
        <v>55</v>
      </c>
      <c r="AZ988" s="18" t="s">
        <v>173</v>
      </c>
      <c r="BA988" s="18" t="s">
        <v>174</v>
      </c>
      <c r="BB988" s="18" t="s">
        <v>2065</v>
      </c>
      <c r="BE988" s="18" t="s">
        <v>2094</v>
      </c>
      <c r="BF988" s="18" t="s">
        <v>606</v>
      </c>
      <c r="BJ988" s="18" t="s">
        <v>2095</v>
      </c>
      <c r="BN988" s="18" t="s">
        <v>179</v>
      </c>
      <c r="BP988" s="18" t="s">
        <v>138</v>
      </c>
      <c r="BS988" s="15" t="s">
        <v>2096</v>
      </c>
      <c r="DH988" s="15" t="s">
        <v>17982</v>
      </c>
      <c r="DI988" s="15" t="s">
        <v>17982</v>
      </c>
    </row>
    <row r="989" spans="1:113" s="15" customFormat="1" ht="12.75" x14ac:dyDescent="0.2">
      <c r="A989" s="15" t="s">
        <v>109</v>
      </c>
      <c r="B989" s="15" t="s">
        <v>110</v>
      </c>
      <c r="D989" s="15" t="s">
        <v>1481</v>
      </c>
      <c r="E989" s="15" t="s">
        <v>112</v>
      </c>
      <c r="F989" s="15" t="s">
        <v>1481</v>
      </c>
      <c r="G989" s="15" t="s">
        <v>113</v>
      </c>
      <c r="H989" s="15" t="s">
        <v>1481</v>
      </c>
      <c r="J989" s="16" t="s">
        <v>114</v>
      </c>
      <c r="U989" s="15" t="s">
        <v>17977</v>
      </c>
      <c r="W989" s="15">
        <v>557</v>
      </c>
      <c r="X989" s="15">
        <v>999</v>
      </c>
      <c r="Y989" s="15" t="s">
        <v>160</v>
      </c>
      <c r="Z989" s="15" t="s">
        <v>161</v>
      </c>
      <c r="AA989" s="15" t="s">
        <v>162</v>
      </c>
      <c r="AB989" s="15" t="s">
        <v>2078</v>
      </c>
      <c r="AC989" s="15" t="s">
        <v>2078</v>
      </c>
      <c r="AD989" s="15" t="s">
        <v>2078</v>
      </c>
      <c r="AE989" s="15" t="s">
        <v>164</v>
      </c>
      <c r="AF989" s="15" t="s">
        <v>2078</v>
      </c>
      <c r="AG989" s="15" t="s">
        <v>2078</v>
      </c>
      <c r="AH989" s="15" t="s">
        <v>2079</v>
      </c>
      <c r="AL989" s="15" t="s">
        <v>2080</v>
      </c>
      <c r="AN989" s="15">
        <v>743</v>
      </c>
      <c r="AO989" s="15" t="s">
        <v>2081</v>
      </c>
      <c r="AQ989" s="15" t="s">
        <v>168</v>
      </c>
      <c r="AT989" s="15" t="s">
        <v>2082</v>
      </c>
      <c r="AU989" s="18" t="s">
        <v>2083</v>
      </c>
      <c r="AV989" s="18" t="s">
        <v>2083</v>
      </c>
      <c r="AW989" s="15" t="s">
        <v>2084</v>
      </c>
      <c r="AX989" s="15" t="s">
        <v>2084</v>
      </c>
      <c r="AY989" s="15">
        <f t="shared" si="20"/>
        <v>48</v>
      </c>
      <c r="AZ989" s="18" t="s">
        <v>173</v>
      </c>
      <c r="BA989" s="18" t="s">
        <v>174</v>
      </c>
      <c r="BB989" s="18" t="s">
        <v>2065</v>
      </c>
      <c r="BE989" s="18" t="s">
        <v>2041</v>
      </c>
      <c r="BF989" s="18" t="s">
        <v>617</v>
      </c>
      <c r="BJ989" s="18" t="s">
        <v>2085</v>
      </c>
      <c r="BN989" s="18" t="s">
        <v>179</v>
      </c>
      <c r="BP989" s="18" t="s">
        <v>138</v>
      </c>
      <c r="BS989" s="15" t="s">
        <v>2086</v>
      </c>
      <c r="DH989" s="15" t="s">
        <v>17982</v>
      </c>
      <c r="DI989" s="15" t="s">
        <v>17982</v>
      </c>
    </row>
    <row r="990" spans="1:113" s="15" customFormat="1" ht="12.75" x14ac:dyDescent="0.2">
      <c r="A990" s="15" t="s">
        <v>109</v>
      </c>
      <c r="B990" s="15" t="s">
        <v>110</v>
      </c>
      <c r="D990" s="15" t="s">
        <v>1481</v>
      </c>
      <c r="E990" s="15" t="s">
        <v>112</v>
      </c>
      <c r="F990" s="15" t="s">
        <v>1481</v>
      </c>
      <c r="G990" s="15" t="s">
        <v>113</v>
      </c>
      <c r="H990" s="15" t="s">
        <v>1481</v>
      </c>
      <c r="J990" s="16" t="s">
        <v>114</v>
      </c>
      <c r="U990" s="15" t="s">
        <v>17977</v>
      </c>
      <c r="W990" s="15">
        <v>560</v>
      </c>
      <c r="X990" s="15">
        <v>1000</v>
      </c>
      <c r="Y990" s="15" t="s">
        <v>160</v>
      </c>
      <c r="Z990" s="15" t="s">
        <v>161</v>
      </c>
      <c r="AA990" s="15" t="s">
        <v>162</v>
      </c>
      <c r="AB990" s="15" t="s">
        <v>2106</v>
      </c>
      <c r="AC990" s="15" t="s">
        <v>2106</v>
      </c>
      <c r="AD990" s="15" t="s">
        <v>2106</v>
      </c>
      <c r="AE990" s="15" t="s">
        <v>164</v>
      </c>
      <c r="AF990" s="15" t="s">
        <v>2106</v>
      </c>
      <c r="AG990" s="15" t="s">
        <v>2106</v>
      </c>
      <c r="AH990" s="15" t="s">
        <v>2107</v>
      </c>
      <c r="AL990" s="15" t="s">
        <v>2099</v>
      </c>
      <c r="AN990" s="15">
        <v>743</v>
      </c>
      <c r="AO990" s="15" t="s">
        <v>2108</v>
      </c>
      <c r="AQ990" s="15" t="s">
        <v>168</v>
      </c>
      <c r="AT990" s="15" t="s">
        <v>2101</v>
      </c>
      <c r="AU990" s="18" t="s">
        <v>2109</v>
      </c>
      <c r="AV990" s="18" t="s">
        <v>2109</v>
      </c>
      <c r="AW990" s="15" t="s">
        <v>2110</v>
      </c>
      <c r="AX990" s="15" t="s">
        <v>2110</v>
      </c>
      <c r="AY990" s="15">
        <f t="shared" si="20"/>
        <v>54</v>
      </c>
      <c r="AZ990" s="18" t="s">
        <v>173</v>
      </c>
      <c r="BA990" s="18" t="s">
        <v>174</v>
      </c>
      <c r="BB990" s="18" t="s">
        <v>2065</v>
      </c>
      <c r="BE990" s="18" t="s">
        <v>1528</v>
      </c>
      <c r="BF990" s="18" t="s">
        <v>617</v>
      </c>
      <c r="BJ990" s="18" t="s">
        <v>2111</v>
      </c>
      <c r="BN990" s="18" t="s">
        <v>179</v>
      </c>
      <c r="BP990" s="18" t="s">
        <v>138</v>
      </c>
      <c r="BS990" s="15" t="s">
        <v>2112</v>
      </c>
      <c r="DH990" s="15" t="s">
        <v>17982</v>
      </c>
      <c r="DI990" s="15" t="s">
        <v>17982</v>
      </c>
    </row>
    <row r="991" spans="1:113" s="15" customFormat="1" ht="12.75" x14ac:dyDescent="0.2">
      <c r="A991" s="15" t="s">
        <v>109</v>
      </c>
      <c r="B991" s="15" t="s">
        <v>110</v>
      </c>
      <c r="D991" s="15" t="s">
        <v>1481</v>
      </c>
      <c r="E991" s="15" t="s">
        <v>112</v>
      </c>
      <c r="F991" s="15" t="s">
        <v>1481</v>
      </c>
      <c r="G991" s="15" t="s">
        <v>113</v>
      </c>
      <c r="H991" s="15" t="s">
        <v>1481</v>
      </c>
      <c r="J991" s="16" t="s">
        <v>114</v>
      </c>
      <c r="U991" s="15" t="s">
        <v>17977</v>
      </c>
      <c r="W991" s="15">
        <v>556</v>
      </c>
      <c r="X991" s="15">
        <v>1001</v>
      </c>
      <c r="Y991" s="15" t="s">
        <v>160</v>
      </c>
      <c r="Z991" s="15" t="s">
        <v>161</v>
      </c>
      <c r="AA991" s="15" t="s">
        <v>162</v>
      </c>
      <c r="AB991" s="15" t="s">
        <v>2069</v>
      </c>
      <c r="AC991" s="15" t="s">
        <v>2069</v>
      </c>
      <c r="AD991" s="15" t="s">
        <v>2069</v>
      </c>
      <c r="AE991" s="15" t="s">
        <v>164</v>
      </c>
      <c r="AF991" s="15" t="s">
        <v>2069</v>
      </c>
      <c r="AG991" s="15" t="s">
        <v>2069</v>
      </c>
      <c r="AH991" s="15" t="s">
        <v>2070</v>
      </c>
      <c r="AL991" s="15" t="s">
        <v>2071</v>
      </c>
      <c r="AN991" s="15">
        <v>743</v>
      </c>
      <c r="AO991" s="15" t="s">
        <v>2072</v>
      </c>
      <c r="AQ991" s="15" t="s">
        <v>168</v>
      </c>
      <c r="AT991" s="15" t="s">
        <v>2073</v>
      </c>
      <c r="AU991" s="18" t="s">
        <v>2074</v>
      </c>
      <c r="AV991" s="18" t="s">
        <v>2074</v>
      </c>
      <c r="AW991" s="15" t="s">
        <v>2075</v>
      </c>
      <c r="AX991" s="15" t="s">
        <v>2075</v>
      </c>
      <c r="AY991" s="15">
        <f t="shared" si="20"/>
        <v>55</v>
      </c>
      <c r="AZ991" s="18" t="s">
        <v>173</v>
      </c>
      <c r="BA991" s="18" t="s">
        <v>174</v>
      </c>
      <c r="BB991" s="18" t="s">
        <v>2065</v>
      </c>
      <c r="BE991" s="18" t="s">
        <v>2066</v>
      </c>
      <c r="BF991" s="18" t="s">
        <v>617</v>
      </c>
      <c r="BJ991" s="18" t="s">
        <v>2076</v>
      </c>
      <c r="BN991" s="18" t="s">
        <v>179</v>
      </c>
      <c r="BP991" s="18" t="s">
        <v>138</v>
      </c>
      <c r="BS991" s="15" t="s">
        <v>2077</v>
      </c>
      <c r="DH991" s="15" t="s">
        <v>17982</v>
      </c>
      <c r="DI991" s="15" t="s">
        <v>17982</v>
      </c>
    </row>
    <row r="992" spans="1:113" s="15" customFormat="1" ht="12.75" x14ac:dyDescent="0.2">
      <c r="A992" s="15" t="s">
        <v>109</v>
      </c>
      <c r="B992" s="15" t="s">
        <v>110</v>
      </c>
      <c r="D992" s="15" t="s">
        <v>1481</v>
      </c>
      <c r="E992" s="15" t="s">
        <v>112</v>
      </c>
      <c r="F992" s="15" t="s">
        <v>1481</v>
      </c>
      <c r="G992" s="15" t="s">
        <v>113</v>
      </c>
      <c r="H992" s="15" t="s">
        <v>1481</v>
      </c>
      <c r="J992" s="16" t="s">
        <v>114</v>
      </c>
      <c r="U992" s="15" t="s">
        <v>17977</v>
      </c>
      <c r="W992" s="15">
        <v>766</v>
      </c>
      <c r="X992" s="15">
        <v>1002</v>
      </c>
      <c r="Y992" s="15" t="s">
        <v>160</v>
      </c>
      <c r="Z992" s="15" t="s">
        <v>161</v>
      </c>
      <c r="AA992" s="15" t="s">
        <v>162</v>
      </c>
      <c r="AB992" s="15" t="s">
        <v>3343</v>
      </c>
      <c r="AC992" s="15" t="s">
        <v>3343</v>
      </c>
      <c r="AD992" s="15" t="s">
        <v>3343</v>
      </c>
      <c r="AE992" s="15" t="s">
        <v>164</v>
      </c>
      <c r="AF992" s="15" t="s">
        <v>3343</v>
      </c>
      <c r="AG992" s="15" t="s">
        <v>3343</v>
      </c>
      <c r="AH992" s="15" t="s">
        <v>3344</v>
      </c>
      <c r="AL992" s="15" t="s">
        <v>3345</v>
      </c>
      <c r="AN992" s="15">
        <v>743</v>
      </c>
      <c r="AO992" s="15" t="s">
        <v>3346</v>
      </c>
      <c r="AQ992" s="15" t="s">
        <v>168</v>
      </c>
      <c r="AT992" s="15" t="s">
        <v>3347</v>
      </c>
      <c r="AU992" s="18" t="s">
        <v>3348</v>
      </c>
      <c r="AV992" s="18" t="s">
        <v>3348</v>
      </c>
      <c r="AW992" s="15" t="s">
        <v>3349</v>
      </c>
      <c r="AX992" s="15" t="s">
        <v>3350</v>
      </c>
      <c r="AY992" s="15">
        <f t="shared" si="20"/>
        <v>57</v>
      </c>
      <c r="AZ992" s="18" t="s">
        <v>604</v>
      </c>
      <c r="BA992" s="18" t="s">
        <v>174</v>
      </c>
      <c r="BE992" s="18" t="s">
        <v>1491</v>
      </c>
      <c r="BJ992" s="18" t="s">
        <v>3351</v>
      </c>
      <c r="BN992" s="18" t="s">
        <v>179</v>
      </c>
      <c r="BO992" s="18" t="s">
        <v>3352</v>
      </c>
      <c r="BP992" s="18" t="s">
        <v>138</v>
      </c>
      <c r="BS992" s="15" t="s">
        <v>3353</v>
      </c>
      <c r="DH992" s="15" t="s">
        <v>17982</v>
      </c>
      <c r="DI992" s="15" t="s">
        <v>17982</v>
      </c>
    </row>
    <row r="993" spans="1:113" s="15" customFormat="1" ht="12.75" x14ac:dyDescent="0.2">
      <c r="A993" s="15" t="s">
        <v>109</v>
      </c>
      <c r="B993" s="15" t="s">
        <v>110</v>
      </c>
      <c r="D993" s="15" t="s">
        <v>1481</v>
      </c>
      <c r="E993" s="15" t="s">
        <v>112</v>
      </c>
      <c r="F993" s="15" t="s">
        <v>1481</v>
      </c>
      <c r="G993" s="15" t="s">
        <v>113</v>
      </c>
      <c r="H993" s="15" t="s">
        <v>1481</v>
      </c>
      <c r="J993" s="16" t="s">
        <v>114</v>
      </c>
      <c r="U993" s="15" t="s">
        <v>17977</v>
      </c>
      <c r="W993" s="15">
        <v>767</v>
      </c>
      <c r="X993" s="15">
        <v>1003</v>
      </c>
      <c r="Y993" s="15" t="s">
        <v>160</v>
      </c>
      <c r="Z993" s="15" t="s">
        <v>161</v>
      </c>
      <c r="AA993" s="15" t="s">
        <v>162</v>
      </c>
      <c r="AB993" s="15" t="s">
        <v>3354</v>
      </c>
      <c r="AC993" s="15" t="s">
        <v>3354</v>
      </c>
      <c r="AD993" s="15" t="s">
        <v>3354</v>
      </c>
      <c r="AE993" s="15" t="s">
        <v>164</v>
      </c>
      <c r="AF993" s="15" t="s">
        <v>3354</v>
      </c>
      <c r="AG993" s="15" t="s">
        <v>3354</v>
      </c>
      <c r="AH993" s="15" t="s">
        <v>3355</v>
      </c>
      <c r="AL993" s="15" t="s">
        <v>3356</v>
      </c>
      <c r="AN993" s="15">
        <v>743</v>
      </c>
      <c r="AO993" s="15" t="s">
        <v>3357</v>
      </c>
      <c r="AQ993" s="15" t="s">
        <v>168</v>
      </c>
      <c r="AT993" s="15" t="s">
        <v>3358</v>
      </c>
      <c r="AU993" s="18" t="s">
        <v>3359</v>
      </c>
      <c r="AV993" s="18" t="s">
        <v>3359</v>
      </c>
      <c r="AW993" s="15" t="s">
        <v>3360</v>
      </c>
      <c r="AX993" s="15" t="s">
        <v>3361</v>
      </c>
      <c r="AY993" s="15">
        <f t="shared" si="20"/>
        <v>57</v>
      </c>
      <c r="AZ993" s="18" t="s">
        <v>604</v>
      </c>
      <c r="BA993" s="18" t="s">
        <v>174</v>
      </c>
      <c r="BE993" s="18" t="s">
        <v>3362</v>
      </c>
      <c r="BJ993" s="18" t="s">
        <v>3351</v>
      </c>
      <c r="BN993" s="18" t="s">
        <v>179</v>
      </c>
      <c r="BO993" s="18" t="s">
        <v>3352</v>
      </c>
      <c r="BP993" s="18" t="s">
        <v>138</v>
      </c>
      <c r="BS993" s="15" t="s">
        <v>3363</v>
      </c>
      <c r="DH993" s="15" t="s">
        <v>17982</v>
      </c>
      <c r="DI993" s="15" t="s">
        <v>17982</v>
      </c>
    </row>
    <row r="994" spans="1:113" s="15" customFormat="1" ht="12.75" x14ac:dyDescent="0.2">
      <c r="A994" s="15" t="s">
        <v>109</v>
      </c>
      <c r="B994" s="15" t="s">
        <v>110</v>
      </c>
      <c r="D994" s="15" t="s">
        <v>1481</v>
      </c>
      <c r="E994" s="15" t="s">
        <v>112</v>
      </c>
      <c r="F994" s="15" t="s">
        <v>1481</v>
      </c>
      <c r="G994" s="15" t="s">
        <v>113</v>
      </c>
      <c r="H994" s="15" t="s">
        <v>1481</v>
      </c>
      <c r="J994" s="16" t="s">
        <v>114</v>
      </c>
      <c r="U994" s="15" t="s">
        <v>17977</v>
      </c>
      <c r="W994" s="15">
        <v>768</v>
      </c>
      <c r="X994" s="15">
        <v>1004</v>
      </c>
      <c r="Y994" s="15" t="s">
        <v>160</v>
      </c>
      <c r="Z994" s="15" t="s">
        <v>161</v>
      </c>
      <c r="AA994" s="15" t="s">
        <v>162</v>
      </c>
      <c r="AB994" s="15" t="s">
        <v>3364</v>
      </c>
      <c r="AC994" s="15" t="s">
        <v>3364</v>
      </c>
      <c r="AD994" s="15" t="s">
        <v>3364</v>
      </c>
      <c r="AE994" s="15" t="s">
        <v>164</v>
      </c>
      <c r="AF994" s="15" t="s">
        <v>3364</v>
      </c>
      <c r="AG994" s="15" t="s">
        <v>3364</v>
      </c>
      <c r="AH994" s="15" t="s">
        <v>3365</v>
      </c>
      <c r="AL994" s="15" t="s">
        <v>3366</v>
      </c>
      <c r="AN994" s="15">
        <v>743</v>
      </c>
      <c r="AO994" s="15" t="s">
        <v>3367</v>
      </c>
      <c r="AQ994" s="15" t="s">
        <v>168</v>
      </c>
      <c r="AT994" s="15" t="s">
        <v>3368</v>
      </c>
      <c r="AU994" s="18" t="s">
        <v>3369</v>
      </c>
      <c r="AV994" s="18" t="s">
        <v>3369</v>
      </c>
      <c r="AW994" s="15" t="s">
        <v>3370</v>
      </c>
      <c r="AX994" s="15" t="s">
        <v>3371</v>
      </c>
      <c r="AY994" s="15">
        <f t="shared" si="20"/>
        <v>60</v>
      </c>
      <c r="AZ994" s="18" t="s">
        <v>604</v>
      </c>
      <c r="BA994" s="18" t="s">
        <v>174</v>
      </c>
      <c r="BF994" s="18" t="s">
        <v>3372</v>
      </c>
      <c r="BJ994" s="18" t="s">
        <v>3373</v>
      </c>
      <c r="BN994" s="18" t="s">
        <v>179</v>
      </c>
      <c r="BO994" s="18" t="s">
        <v>3374</v>
      </c>
      <c r="BP994" s="18" t="s">
        <v>138</v>
      </c>
      <c r="BS994" s="15" t="s">
        <v>3375</v>
      </c>
      <c r="DH994" s="15" t="s">
        <v>17982</v>
      </c>
      <c r="DI994" s="15" t="s">
        <v>17982</v>
      </c>
    </row>
    <row r="995" spans="1:113" s="15" customFormat="1" ht="12.75" x14ac:dyDescent="0.2">
      <c r="A995" s="15" t="s">
        <v>109</v>
      </c>
      <c r="B995" s="15" t="s">
        <v>110</v>
      </c>
      <c r="D995" s="15" t="s">
        <v>1481</v>
      </c>
      <c r="E995" s="15" t="s">
        <v>112</v>
      </c>
      <c r="F995" s="15" t="s">
        <v>1481</v>
      </c>
      <c r="G995" s="15" t="s">
        <v>113</v>
      </c>
      <c r="H995" s="15" t="s">
        <v>1481</v>
      </c>
      <c r="J995" s="16" t="s">
        <v>114</v>
      </c>
      <c r="U995" s="15" t="s">
        <v>17977</v>
      </c>
      <c r="W995" s="15">
        <v>769</v>
      </c>
      <c r="X995" s="15">
        <v>1005</v>
      </c>
      <c r="Y995" s="15" t="s">
        <v>160</v>
      </c>
      <c r="Z995" s="15" t="s">
        <v>161</v>
      </c>
      <c r="AA995" s="15" t="s">
        <v>162</v>
      </c>
      <c r="AB995" s="15" t="s">
        <v>3376</v>
      </c>
      <c r="AC995" s="15" t="s">
        <v>3376</v>
      </c>
      <c r="AD995" s="15" t="s">
        <v>3376</v>
      </c>
      <c r="AE995" s="15" t="s">
        <v>164</v>
      </c>
      <c r="AF995" s="15" t="s">
        <v>3376</v>
      </c>
      <c r="AG995" s="15" t="s">
        <v>3376</v>
      </c>
      <c r="AH995" s="15" t="s">
        <v>3377</v>
      </c>
      <c r="AL995" s="15" t="s">
        <v>3378</v>
      </c>
      <c r="AN995" s="15">
        <v>743</v>
      </c>
      <c r="AO995" s="15" t="s">
        <v>3379</v>
      </c>
      <c r="AQ995" s="15" t="s">
        <v>168</v>
      </c>
      <c r="AT995" s="15" t="s">
        <v>3380</v>
      </c>
      <c r="AU995" s="18" t="s">
        <v>3381</v>
      </c>
      <c r="AV995" s="18" t="s">
        <v>3381</v>
      </c>
      <c r="AW995" s="15" t="s">
        <v>3382</v>
      </c>
      <c r="AX995" s="15" t="s">
        <v>3383</v>
      </c>
      <c r="AY995" s="15">
        <f t="shared" si="20"/>
        <v>60</v>
      </c>
      <c r="AZ995" s="18" t="s">
        <v>604</v>
      </c>
      <c r="BA995" s="18" t="s">
        <v>174</v>
      </c>
      <c r="BF995" s="18" t="s">
        <v>3384</v>
      </c>
      <c r="BJ995" s="18" t="s">
        <v>3373</v>
      </c>
      <c r="BN995" s="18" t="s">
        <v>179</v>
      </c>
      <c r="BO995" s="18" t="s">
        <v>3374</v>
      </c>
      <c r="BP995" s="18" t="s">
        <v>138</v>
      </c>
      <c r="BS995" s="15" t="s">
        <v>3385</v>
      </c>
      <c r="DH995" s="15" t="s">
        <v>17982</v>
      </c>
      <c r="DI995" s="15" t="s">
        <v>17982</v>
      </c>
    </row>
    <row r="996" spans="1:113" s="15" customFormat="1" ht="12.75" x14ac:dyDescent="0.2">
      <c r="A996" s="15" t="s">
        <v>109</v>
      </c>
      <c r="B996" s="15" t="s">
        <v>110</v>
      </c>
      <c r="D996" s="15" t="s">
        <v>1481</v>
      </c>
      <c r="E996" s="15" t="s">
        <v>112</v>
      </c>
      <c r="F996" s="15" t="s">
        <v>1481</v>
      </c>
      <c r="G996" s="15" t="s">
        <v>113</v>
      </c>
      <c r="H996" s="15" t="s">
        <v>1481</v>
      </c>
      <c r="J996" s="16" t="s">
        <v>114</v>
      </c>
      <c r="U996" s="15" t="s">
        <v>17977</v>
      </c>
      <c r="W996" s="15">
        <v>770</v>
      </c>
      <c r="X996" s="15">
        <v>1006</v>
      </c>
      <c r="Y996" s="15" t="s">
        <v>160</v>
      </c>
      <c r="Z996" s="15" t="s">
        <v>161</v>
      </c>
      <c r="AA996" s="15" t="s">
        <v>162</v>
      </c>
      <c r="AB996" s="15" t="s">
        <v>3386</v>
      </c>
      <c r="AC996" s="15" t="s">
        <v>3386</v>
      </c>
      <c r="AD996" s="15" t="s">
        <v>3386</v>
      </c>
      <c r="AE996" s="15" t="s">
        <v>164</v>
      </c>
      <c r="AF996" s="15" t="s">
        <v>3386</v>
      </c>
      <c r="AG996" s="15" t="s">
        <v>3386</v>
      </c>
      <c r="AH996" s="15" t="s">
        <v>3387</v>
      </c>
      <c r="AL996" s="15" t="s">
        <v>3388</v>
      </c>
      <c r="AN996" s="15">
        <v>743</v>
      </c>
      <c r="AO996" s="15" t="s">
        <v>3389</v>
      </c>
      <c r="AQ996" s="15" t="s">
        <v>168</v>
      </c>
      <c r="AT996" s="15" t="s">
        <v>3390</v>
      </c>
      <c r="AU996" s="18" t="s">
        <v>3391</v>
      </c>
      <c r="AV996" s="18" t="s">
        <v>3391</v>
      </c>
      <c r="AW996" s="15" t="s">
        <v>3392</v>
      </c>
      <c r="AX996" s="15" t="s">
        <v>3393</v>
      </c>
      <c r="AY996" s="15">
        <f t="shared" si="20"/>
        <v>60</v>
      </c>
      <c r="AZ996" s="18" t="s">
        <v>604</v>
      </c>
      <c r="BA996" s="18" t="s">
        <v>174</v>
      </c>
      <c r="BF996" s="18" t="s">
        <v>3394</v>
      </c>
      <c r="BJ996" s="18" t="s">
        <v>3373</v>
      </c>
      <c r="BN996" s="18" t="s">
        <v>179</v>
      </c>
      <c r="BO996" s="18" t="s">
        <v>3374</v>
      </c>
      <c r="BP996" s="18" t="s">
        <v>138</v>
      </c>
      <c r="BS996" s="15" t="s">
        <v>3395</v>
      </c>
      <c r="DH996" s="15" t="s">
        <v>17982</v>
      </c>
      <c r="DI996" s="15" t="s">
        <v>17982</v>
      </c>
    </row>
    <row r="997" spans="1:113" s="15" customFormat="1" ht="12.75" x14ac:dyDescent="0.2">
      <c r="A997" s="15" t="s">
        <v>109</v>
      </c>
      <c r="B997" s="15" t="s">
        <v>110</v>
      </c>
      <c r="D997" s="15" t="s">
        <v>1481</v>
      </c>
      <c r="E997" s="15" t="s">
        <v>112</v>
      </c>
      <c r="F997" s="15" t="s">
        <v>1481</v>
      </c>
      <c r="G997" s="15" t="s">
        <v>113</v>
      </c>
      <c r="H997" s="15" t="s">
        <v>1481</v>
      </c>
      <c r="J997" s="16" t="s">
        <v>114</v>
      </c>
      <c r="U997" s="15" t="s">
        <v>17977</v>
      </c>
      <c r="W997" s="15">
        <v>1290</v>
      </c>
      <c r="X997" s="15">
        <v>1007</v>
      </c>
      <c r="Y997" s="15" t="s">
        <v>160</v>
      </c>
      <c r="Z997" s="15" t="s">
        <v>161</v>
      </c>
      <c r="AA997" s="15" t="s">
        <v>162</v>
      </c>
      <c r="AB997" s="15" t="s">
        <v>6637</v>
      </c>
      <c r="AC997" s="15" t="s">
        <v>6637</v>
      </c>
      <c r="AD997" s="15" t="s">
        <v>6637</v>
      </c>
      <c r="AE997" s="15" t="s">
        <v>164</v>
      </c>
      <c r="AF997" s="15" t="s">
        <v>6637</v>
      </c>
      <c r="AG997" s="15" t="s">
        <v>6637</v>
      </c>
      <c r="AH997" s="15" t="s">
        <v>6638</v>
      </c>
      <c r="AL997" s="15" t="s">
        <v>6639</v>
      </c>
      <c r="AN997" s="15">
        <v>743</v>
      </c>
      <c r="AO997" s="15" t="s">
        <v>6640</v>
      </c>
      <c r="AQ997" s="15" t="s">
        <v>168</v>
      </c>
      <c r="AT997" s="15" t="s">
        <v>6641</v>
      </c>
      <c r="AU997" s="18" t="s">
        <v>6642</v>
      </c>
      <c r="AV997" s="18" t="s">
        <v>6642</v>
      </c>
      <c r="AW997" s="15" t="s">
        <v>6643</v>
      </c>
      <c r="AX997" s="15" t="s">
        <v>6644</v>
      </c>
      <c r="AY997" s="15">
        <f t="shared" si="20"/>
        <v>57</v>
      </c>
      <c r="AZ997" s="18" t="s">
        <v>173</v>
      </c>
      <c r="BA997" s="18" t="s">
        <v>174</v>
      </c>
      <c r="BE997" s="18" t="s">
        <v>6645</v>
      </c>
      <c r="BF997" s="18" t="s">
        <v>3394</v>
      </c>
      <c r="BJ997" s="18" t="s">
        <v>4730</v>
      </c>
      <c r="BN997" s="18" t="s">
        <v>179</v>
      </c>
      <c r="BO997" s="18" t="s">
        <v>6646</v>
      </c>
      <c r="BP997" s="18" t="s">
        <v>138</v>
      </c>
      <c r="BS997" s="15" t="s">
        <v>6647</v>
      </c>
      <c r="DH997" s="15" t="s">
        <v>17982</v>
      </c>
      <c r="DI997" s="15" t="s">
        <v>17982</v>
      </c>
    </row>
    <row r="998" spans="1:113" s="15" customFormat="1" ht="12.75" x14ac:dyDescent="0.2">
      <c r="A998" s="15" t="s">
        <v>109</v>
      </c>
      <c r="B998" s="15" t="s">
        <v>110</v>
      </c>
      <c r="D998" s="15" t="s">
        <v>1481</v>
      </c>
      <c r="E998" s="15" t="s">
        <v>112</v>
      </c>
      <c r="F998" s="15" t="s">
        <v>1481</v>
      </c>
      <c r="G998" s="15" t="s">
        <v>113</v>
      </c>
      <c r="H998" s="15" t="s">
        <v>1481</v>
      </c>
      <c r="J998" s="16" t="s">
        <v>114</v>
      </c>
      <c r="U998" s="15" t="s">
        <v>17977</v>
      </c>
      <c r="W998" s="15">
        <v>1292</v>
      </c>
      <c r="X998" s="15">
        <v>1008</v>
      </c>
      <c r="Y998" s="15" t="s">
        <v>160</v>
      </c>
      <c r="Z998" s="15" t="s">
        <v>161</v>
      </c>
      <c r="AA998" s="15" t="s">
        <v>162</v>
      </c>
      <c r="AB998" s="15" t="s">
        <v>6658</v>
      </c>
      <c r="AC998" s="15" t="s">
        <v>6658</v>
      </c>
      <c r="AD998" s="15" t="s">
        <v>6658</v>
      </c>
      <c r="AE998" s="15" t="s">
        <v>164</v>
      </c>
      <c r="AF998" s="15" t="s">
        <v>6658</v>
      </c>
      <c r="AG998" s="15" t="s">
        <v>6658</v>
      </c>
      <c r="AH998" s="15" t="s">
        <v>6659</v>
      </c>
      <c r="AL998" s="15" t="s">
        <v>6660</v>
      </c>
      <c r="AN998" s="15">
        <v>743</v>
      </c>
      <c r="AO998" s="15" t="s">
        <v>6661</v>
      </c>
      <c r="AQ998" s="15" t="s">
        <v>168</v>
      </c>
      <c r="AT998" s="15" t="s">
        <v>6662</v>
      </c>
      <c r="AU998" s="18" t="s">
        <v>6663</v>
      </c>
      <c r="AV998" s="18" t="s">
        <v>6663</v>
      </c>
      <c r="AW998" s="15" t="s">
        <v>6664</v>
      </c>
      <c r="AX998" s="15" t="s">
        <v>6664</v>
      </c>
      <c r="AY998" s="15">
        <f t="shared" si="20"/>
        <v>59</v>
      </c>
      <c r="AZ998" s="18" t="s">
        <v>173</v>
      </c>
      <c r="BA998" s="18" t="s">
        <v>174</v>
      </c>
      <c r="BE998" s="18" t="s">
        <v>367</v>
      </c>
      <c r="BJ998" s="18" t="s">
        <v>6665</v>
      </c>
      <c r="BN998" s="18" t="s">
        <v>179</v>
      </c>
      <c r="BO998" s="18" t="s">
        <v>6656</v>
      </c>
      <c r="BP998" s="18" t="s">
        <v>138</v>
      </c>
      <c r="BS998" s="15" t="s">
        <v>6666</v>
      </c>
      <c r="DH998" s="15" t="s">
        <v>17982</v>
      </c>
      <c r="DI998" s="15" t="s">
        <v>17982</v>
      </c>
    </row>
    <row r="999" spans="1:113" s="15" customFormat="1" ht="12.75" x14ac:dyDescent="0.2">
      <c r="A999" s="15" t="s">
        <v>109</v>
      </c>
      <c r="B999" s="15" t="s">
        <v>110</v>
      </c>
      <c r="D999" s="15" t="s">
        <v>1481</v>
      </c>
      <c r="E999" s="15" t="s">
        <v>112</v>
      </c>
      <c r="F999" s="15" t="s">
        <v>1481</v>
      </c>
      <c r="G999" s="15" t="s">
        <v>113</v>
      </c>
      <c r="H999" s="15" t="s">
        <v>1481</v>
      </c>
      <c r="J999" s="16" t="s">
        <v>114</v>
      </c>
      <c r="U999" s="15" t="s">
        <v>17977</v>
      </c>
      <c r="W999" s="15">
        <v>1291</v>
      </c>
      <c r="X999" s="15">
        <v>1009</v>
      </c>
      <c r="Y999" s="15" t="s">
        <v>160</v>
      </c>
      <c r="Z999" s="15" t="s">
        <v>161</v>
      </c>
      <c r="AA999" s="15" t="s">
        <v>162</v>
      </c>
      <c r="AB999" s="15" t="s">
        <v>6648</v>
      </c>
      <c r="AC999" s="15" t="s">
        <v>6648</v>
      </c>
      <c r="AD999" s="15" t="s">
        <v>6648</v>
      </c>
      <c r="AE999" s="15" t="s">
        <v>164</v>
      </c>
      <c r="AF999" s="15" t="s">
        <v>6648</v>
      </c>
      <c r="AG999" s="15" t="s">
        <v>6648</v>
      </c>
      <c r="AH999" s="15" t="s">
        <v>6649</v>
      </c>
      <c r="AL999" s="15" t="s">
        <v>6650</v>
      </c>
      <c r="AN999" s="15">
        <v>743</v>
      </c>
      <c r="AO999" s="15" t="s">
        <v>6651</v>
      </c>
      <c r="AQ999" s="15" t="s">
        <v>168</v>
      </c>
      <c r="AT999" s="15" t="s">
        <v>6652</v>
      </c>
      <c r="AU999" s="18" t="s">
        <v>6653</v>
      </c>
      <c r="AV999" s="18" t="s">
        <v>6653</v>
      </c>
      <c r="AW999" s="15" t="s">
        <v>6654</v>
      </c>
      <c r="AX999" s="15" t="s">
        <v>6654</v>
      </c>
      <c r="AY999" s="15">
        <f t="shared" si="20"/>
        <v>57</v>
      </c>
      <c r="AZ999" s="18" t="s">
        <v>173</v>
      </c>
      <c r="BA999" s="18" t="s">
        <v>174</v>
      </c>
      <c r="BE999" s="18" t="s">
        <v>1123</v>
      </c>
      <c r="BJ999" s="18" t="s">
        <v>6655</v>
      </c>
      <c r="BN999" s="18" t="s">
        <v>179</v>
      </c>
      <c r="BO999" s="18" t="s">
        <v>6656</v>
      </c>
      <c r="BP999" s="18" t="s">
        <v>138</v>
      </c>
      <c r="BS999" s="15" t="s">
        <v>6657</v>
      </c>
      <c r="DH999" s="15" t="s">
        <v>17982</v>
      </c>
      <c r="DI999" s="15" t="s">
        <v>17982</v>
      </c>
    </row>
    <row r="1000" spans="1:113" s="15" customFormat="1" ht="12.75" x14ac:dyDescent="0.2">
      <c r="A1000" s="15" t="s">
        <v>109</v>
      </c>
      <c r="B1000" s="15" t="s">
        <v>110</v>
      </c>
      <c r="D1000" s="15" t="s">
        <v>1481</v>
      </c>
      <c r="E1000" s="15" t="s">
        <v>112</v>
      </c>
      <c r="F1000" s="15" t="s">
        <v>1481</v>
      </c>
      <c r="G1000" s="15" t="s">
        <v>113</v>
      </c>
      <c r="H1000" s="15" t="s">
        <v>1481</v>
      </c>
      <c r="J1000" s="16" t="s">
        <v>114</v>
      </c>
      <c r="U1000" s="15" t="s">
        <v>17977</v>
      </c>
      <c r="W1000" s="15">
        <v>2383</v>
      </c>
      <c r="X1000" s="15">
        <v>1010</v>
      </c>
      <c r="Y1000" s="15" t="s">
        <v>160</v>
      </c>
      <c r="Z1000" s="15" t="s">
        <v>161</v>
      </c>
      <c r="AA1000" s="15" t="s">
        <v>162</v>
      </c>
      <c r="AB1000" s="15" t="s">
        <v>11763</v>
      </c>
      <c r="AC1000" s="15" t="s">
        <v>11763</v>
      </c>
      <c r="AD1000" s="15" t="s">
        <v>11763</v>
      </c>
      <c r="AE1000" s="15" t="s">
        <v>164</v>
      </c>
      <c r="AF1000" s="15" t="s">
        <v>11763</v>
      </c>
      <c r="AG1000" s="15" t="s">
        <v>11763</v>
      </c>
      <c r="AH1000" s="47" t="s">
        <v>11764</v>
      </c>
      <c r="AL1000" s="15" t="s">
        <v>11765</v>
      </c>
      <c r="AN1000" s="15">
        <v>743</v>
      </c>
      <c r="AO1000" s="15" t="s">
        <v>11766</v>
      </c>
      <c r="AQ1000" s="15" t="s">
        <v>11767</v>
      </c>
      <c r="AT1000" s="15" t="s">
        <v>11768</v>
      </c>
      <c r="AU1000" s="18" t="s">
        <v>11769</v>
      </c>
      <c r="AV1000" s="18" t="s">
        <v>11769</v>
      </c>
      <c r="AW1000" s="15" t="s">
        <v>11770</v>
      </c>
      <c r="AX1000" s="15" t="s">
        <v>11771</v>
      </c>
      <c r="AY1000" s="15">
        <f t="shared" si="20"/>
        <v>58</v>
      </c>
      <c r="AZ1000" s="18" t="s">
        <v>11772</v>
      </c>
      <c r="BA1000" s="18" t="s">
        <v>174</v>
      </c>
      <c r="BB1000" s="18" t="s">
        <v>11773</v>
      </c>
      <c r="BJ1000" s="18" t="s">
        <v>11774</v>
      </c>
      <c r="BK1000" s="18" t="s">
        <v>1469</v>
      </c>
      <c r="BN1000" s="18" t="s">
        <v>179</v>
      </c>
      <c r="BP1000" s="18" t="s">
        <v>138</v>
      </c>
      <c r="BS1000" s="15" t="s">
        <v>11775</v>
      </c>
      <c r="DH1000" s="15" t="s">
        <v>17982</v>
      </c>
      <c r="DI1000" s="15" t="s">
        <v>17982</v>
      </c>
    </row>
    <row r="1001" spans="1:113" s="15" customFormat="1" ht="12.75" x14ac:dyDescent="0.2">
      <c r="A1001" s="15" t="s">
        <v>109</v>
      </c>
      <c r="B1001" s="15" t="s">
        <v>110</v>
      </c>
      <c r="D1001" s="15" t="s">
        <v>1481</v>
      </c>
      <c r="E1001" s="15" t="s">
        <v>112</v>
      </c>
      <c r="F1001" s="15" t="s">
        <v>1481</v>
      </c>
      <c r="G1001" s="15" t="s">
        <v>113</v>
      </c>
      <c r="H1001" s="15" t="s">
        <v>1481</v>
      </c>
      <c r="J1001" s="16" t="s">
        <v>114</v>
      </c>
      <c r="U1001" s="15" t="s">
        <v>17977</v>
      </c>
      <c r="W1001" s="15">
        <v>1923</v>
      </c>
      <c r="X1001" s="15">
        <v>1011</v>
      </c>
      <c r="Y1001" s="15" t="s">
        <v>160</v>
      </c>
      <c r="Z1001" s="15" t="s">
        <v>161</v>
      </c>
      <c r="AA1001" s="15" t="s">
        <v>162</v>
      </c>
      <c r="AB1001" s="15" t="s">
        <v>10248</v>
      </c>
      <c r="AC1001" s="15" t="s">
        <v>10248</v>
      </c>
      <c r="AD1001" s="15" t="s">
        <v>10249</v>
      </c>
      <c r="AE1001" s="15" t="s">
        <v>164</v>
      </c>
      <c r="AF1001" s="15" t="s">
        <v>10249</v>
      </c>
      <c r="AG1001" s="15" t="s">
        <v>10248</v>
      </c>
      <c r="AH1001" s="15" t="s">
        <v>10250</v>
      </c>
      <c r="AL1001" s="15" t="s">
        <v>10251</v>
      </c>
      <c r="AN1001" s="15">
        <v>743</v>
      </c>
      <c r="AO1001" s="15" t="s">
        <v>10252</v>
      </c>
      <c r="AQ1001" s="15" t="s">
        <v>10239</v>
      </c>
      <c r="AT1001" s="15" t="s">
        <v>10253</v>
      </c>
      <c r="AU1001" s="18" t="s">
        <v>10254</v>
      </c>
      <c r="AV1001" s="18" t="s">
        <v>10254</v>
      </c>
      <c r="AW1001" s="15" t="s">
        <v>10255</v>
      </c>
      <c r="AX1001" s="15" t="s">
        <v>10256</v>
      </c>
      <c r="AY1001" s="15">
        <f t="shared" si="20"/>
        <v>58</v>
      </c>
      <c r="AZ1001" s="18" t="s">
        <v>173</v>
      </c>
      <c r="BA1001" s="18" t="s">
        <v>1363</v>
      </c>
      <c r="BB1001" s="18" t="s">
        <v>10244</v>
      </c>
      <c r="BE1001" s="18" t="s">
        <v>10257</v>
      </c>
      <c r="BJ1001" s="18" t="s">
        <v>10246</v>
      </c>
      <c r="BK1001" s="18" t="s">
        <v>487</v>
      </c>
      <c r="BN1001" s="18" t="s">
        <v>179</v>
      </c>
      <c r="BP1001" s="18" t="s">
        <v>138</v>
      </c>
      <c r="BS1001" s="15" t="s">
        <v>10258</v>
      </c>
      <c r="DH1001" s="15" t="s">
        <v>17982</v>
      </c>
      <c r="DI1001" s="15" t="s">
        <v>17982</v>
      </c>
    </row>
    <row r="1002" spans="1:113" s="15" customFormat="1" ht="12.75" x14ac:dyDescent="0.2">
      <c r="A1002" s="15" t="s">
        <v>109</v>
      </c>
      <c r="B1002" s="15" t="s">
        <v>110</v>
      </c>
      <c r="D1002" s="15" t="s">
        <v>1481</v>
      </c>
      <c r="E1002" s="15" t="s">
        <v>112</v>
      </c>
      <c r="F1002" s="15" t="s">
        <v>1481</v>
      </c>
      <c r="G1002" s="15" t="s">
        <v>113</v>
      </c>
      <c r="H1002" s="15" t="s">
        <v>1481</v>
      </c>
      <c r="J1002" s="16" t="s">
        <v>114</v>
      </c>
      <c r="U1002" s="15" t="s">
        <v>17977</v>
      </c>
      <c r="W1002" s="15">
        <v>1922</v>
      </c>
      <c r="X1002" s="15">
        <v>1012</v>
      </c>
      <c r="Y1002" s="15" t="s">
        <v>160</v>
      </c>
      <c r="Z1002" s="15" t="s">
        <v>161</v>
      </c>
      <c r="AA1002" s="15" t="s">
        <v>162</v>
      </c>
      <c r="AB1002" s="15" t="s">
        <v>10234</v>
      </c>
      <c r="AC1002" s="15" t="s">
        <v>10234</v>
      </c>
      <c r="AD1002" s="15" t="s">
        <v>10235</v>
      </c>
      <c r="AE1002" s="15" t="s">
        <v>164</v>
      </c>
      <c r="AF1002" s="15" t="s">
        <v>10235</v>
      </c>
      <c r="AG1002" s="15" t="s">
        <v>10234</v>
      </c>
      <c r="AH1002" s="15" t="s">
        <v>10236</v>
      </c>
      <c r="AL1002" s="15" t="s">
        <v>10237</v>
      </c>
      <c r="AN1002" s="15">
        <v>743</v>
      </c>
      <c r="AO1002" s="15" t="s">
        <v>10238</v>
      </c>
      <c r="AQ1002" s="15" t="s">
        <v>10239</v>
      </c>
      <c r="AT1002" s="15" t="s">
        <v>10240</v>
      </c>
      <c r="AU1002" s="18" t="s">
        <v>10241</v>
      </c>
      <c r="AV1002" s="18" t="s">
        <v>10241</v>
      </c>
      <c r="AW1002" s="15" t="s">
        <v>10242</v>
      </c>
      <c r="AX1002" s="15" t="s">
        <v>10243</v>
      </c>
      <c r="AY1002" s="15">
        <f t="shared" si="20"/>
        <v>58</v>
      </c>
      <c r="AZ1002" s="18" t="s">
        <v>173</v>
      </c>
      <c r="BA1002" s="18" t="s">
        <v>1363</v>
      </c>
      <c r="BB1002" s="18" t="s">
        <v>10244</v>
      </c>
      <c r="BE1002" s="18" t="s">
        <v>10245</v>
      </c>
      <c r="BJ1002" s="18" t="s">
        <v>10246</v>
      </c>
      <c r="BK1002" s="18" t="s">
        <v>487</v>
      </c>
      <c r="BN1002" s="18" t="s">
        <v>179</v>
      </c>
      <c r="BP1002" s="18" t="s">
        <v>138</v>
      </c>
      <c r="BS1002" s="15" t="s">
        <v>10247</v>
      </c>
      <c r="DH1002" s="15" t="s">
        <v>17982</v>
      </c>
      <c r="DI1002" s="15" t="s">
        <v>17982</v>
      </c>
    </row>
    <row r="1003" spans="1:113" s="15" customFormat="1" ht="12.75" x14ac:dyDescent="0.2">
      <c r="A1003" s="15" t="s">
        <v>109</v>
      </c>
      <c r="B1003" s="15" t="s">
        <v>110</v>
      </c>
      <c r="D1003" s="15" t="s">
        <v>1481</v>
      </c>
      <c r="E1003" s="15" t="s">
        <v>112</v>
      </c>
      <c r="F1003" s="15" t="s">
        <v>1481</v>
      </c>
      <c r="G1003" s="15" t="s">
        <v>113</v>
      </c>
      <c r="H1003" s="15" t="s">
        <v>1481</v>
      </c>
      <c r="J1003" s="16" t="s">
        <v>114</v>
      </c>
      <c r="U1003" s="15" t="s">
        <v>17977</v>
      </c>
      <c r="W1003" s="15">
        <v>1712</v>
      </c>
      <c r="X1003" s="15">
        <v>1013</v>
      </c>
      <c r="Y1003" s="15" t="s">
        <v>160</v>
      </c>
      <c r="Z1003" s="15" t="s">
        <v>161</v>
      </c>
      <c r="AA1003" s="15" t="s">
        <v>162</v>
      </c>
      <c r="AB1003" s="15" t="s">
        <v>9020</v>
      </c>
      <c r="AC1003" s="15" t="s">
        <v>9020</v>
      </c>
      <c r="AD1003" s="15" t="s">
        <v>9021</v>
      </c>
      <c r="AE1003" s="15" t="s">
        <v>164</v>
      </c>
      <c r="AF1003" s="15" t="s">
        <v>9021</v>
      </c>
      <c r="AG1003" s="15" t="s">
        <v>9020</v>
      </c>
      <c r="AH1003" s="15" t="s">
        <v>9022</v>
      </c>
      <c r="AL1003" s="15" t="s">
        <v>9023</v>
      </c>
      <c r="AN1003" s="15">
        <v>743</v>
      </c>
      <c r="AO1003" s="15" t="s">
        <v>9024</v>
      </c>
      <c r="AQ1003" s="15" t="s">
        <v>208</v>
      </c>
      <c r="AR1003" s="15" t="s">
        <v>209</v>
      </c>
      <c r="AS1003" s="15" t="s">
        <v>210</v>
      </c>
      <c r="AT1003" s="15" t="s">
        <v>9025</v>
      </c>
      <c r="AU1003" s="18" t="s">
        <v>9026</v>
      </c>
      <c r="AV1003" s="18" t="s">
        <v>9026</v>
      </c>
      <c r="AW1003" s="15" t="s">
        <v>9027</v>
      </c>
      <c r="AX1003" s="15" t="s">
        <v>9027</v>
      </c>
      <c r="AY1003" s="15">
        <f t="shared" si="20"/>
        <v>49</v>
      </c>
      <c r="AZ1003" s="18" t="s">
        <v>214</v>
      </c>
      <c r="BA1003" s="18" t="s">
        <v>9028</v>
      </c>
      <c r="BB1003" s="18" t="s">
        <v>9029</v>
      </c>
      <c r="BE1003" s="18" t="s">
        <v>9030</v>
      </c>
      <c r="BN1003" s="18" t="s">
        <v>179</v>
      </c>
      <c r="BO1003" s="18" t="s">
        <v>9031</v>
      </c>
      <c r="BP1003" s="18" t="s">
        <v>138</v>
      </c>
      <c r="BQ1003" s="18" t="s">
        <v>3269</v>
      </c>
      <c r="BS1003" s="15" t="s">
        <v>9032</v>
      </c>
      <c r="DH1003" s="15" t="s">
        <v>17982</v>
      </c>
      <c r="DI1003" s="15" t="s">
        <v>17982</v>
      </c>
    </row>
    <row r="1004" spans="1:113" s="15" customFormat="1" ht="12.75" x14ac:dyDescent="0.2">
      <c r="A1004" s="15" t="s">
        <v>109</v>
      </c>
      <c r="B1004" s="15" t="s">
        <v>110</v>
      </c>
      <c r="D1004" s="15" t="s">
        <v>1481</v>
      </c>
      <c r="E1004" s="15" t="s">
        <v>112</v>
      </c>
      <c r="F1004" s="15" t="s">
        <v>1481</v>
      </c>
      <c r="G1004" s="15" t="s">
        <v>113</v>
      </c>
      <c r="H1004" s="15" t="s">
        <v>1481</v>
      </c>
      <c r="J1004" s="16" t="s">
        <v>114</v>
      </c>
      <c r="U1004" s="15" t="s">
        <v>17977</v>
      </c>
      <c r="W1004" s="15">
        <v>1713</v>
      </c>
      <c r="X1004" s="15">
        <v>1014</v>
      </c>
      <c r="Y1004" s="15" t="s">
        <v>160</v>
      </c>
      <c r="Z1004" s="15" t="s">
        <v>161</v>
      </c>
      <c r="AA1004" s="15" t="s">
        <v>162</v>
      </c>
      <c r="AB1004" s="15" t="s">
        <v>9033</v>
      </c>
      <c r="AC1004" s="15" t="s">
        <v>9033</v>
      </c>
      <c r="AD1004" s="15" t="s">
        <v>9034</v>
      </c>
      <c r="AE1004" s="15" t="s">
        <v>164</v>
      </c>
      <c r="AF1004" s="15" t="s">
        <v>9034</v>
      </c>
      <c r="AG1004" s="15" t="s">
        <v>9033</v>
      </c>
      <c r="AH1004" s="15" t="s">
        <v>9035</v>
      </c>
      <c r="AL1004" s="15" t="s">
        <v>9036</v>
      </c>
      <c r="AN1004" s="15">
        <v>743</v>
      </c>
      <c r="AO1004" s="15" t="s">
        <v>9037</v>
      </c>
      <c r="AQ1004" s="15" t="s">
        <v>208</v>
      </c>
      <c r="AR1004" s="15" t="s">
        <v>209</v>
      </c>
      <c r="AS1004" s="15" t="s">
        <v>210</v>
      </c>
      <c r="AT1004" s="15" t="s">
        <v>9038</v>
      </c>
      <c r="AU1004" s="18" t="s">
        <v>9039</v>
      </c>
      <c r="AV1004" s="18" t="s">
        <v>9039</v>
      </c>
      <c r="AW1004" s="15" t="s">
        <v>9040</v>
      </c>
      <c r="AX1004" s="15" t="s">
        <v>9040</v>
      </c>
      <c r="AY1004" s="15">
        <f t="shared" si="20"/>
        <v>49</v>
      </c>
      <c r="AZ1004" s="18" t="s">
        <v>214</v>
      </c>
      <c r="BA1004" s="18" t="s">
        <v>9028</v>
      </c>
      <c r="BB1004" s="18" t="s">
        <v>9029</v>
      </c>
      <c r="BE1004" s="18" t="s">
        <v>9041</v>
      </c>
      <c r="BN1004" s="18" t="s">
        <v>179</v>
      </c>
      <c r="BO1004" s="18" t="s">
        <v>9031</v>
      </c>
      <c r="BP1004" s="18" t="s">
        <v>138</v>
      </c>
      <c r="BQ1004" s="18" t="s">
        <v>3269</v>
      </c>
      <c r="BS1004" s="15" t="s">
        <v>9042</v>
      </c>
      <c r="DH1004" s="15" t="s">
        <v>17982</v>
      </c>
      <c r="DI1004" s="15" t="s">
        <v>17982</v>
      </c>
    </row>
    <row r="1005" spans="1:113" s="15" customFormat="1" ht="12.75" x14ac:dyDescent="0.2">
      <c r="A1005" s="15" t="s">
        <v>109</v>
      </c>
      <c r="B1005" s="15" t="s">
        <v>110</v>
      </c>
      <c r="D1005" s="15" t="s">
        <v>620</v>
      </c>
      <c r="E1005" s="15" t="s">
        <v>112</v>
      </c>
      <c r="F1005" s="15" t="s">
        <v>620</v>
      </c>
      <c r="G1005" s="15" t="s">
        <v>113</v>
      </c>
      <c r="H1005" s="15" t="s">
        <v>1481</v>
      </c>
      <c r="J1005" s="16" t="s">
        <v>114</v>
      </c>
      <c r="U1005" s="15" t="s">
        <v>17977</v>
      </c>
      <c r="W1005" s="15">
        <v>2930</v>
      </c>
      <c r="X1005" s="15">
        <v>1015</v>
      </c>
      <c r="Y1005" s="15" t="s">
        <v>160</v>
      </c>
      <c r="Z1005" s="15" t="s">
        <v>161</v>
      </c>
      <c r="AA1005" s="15" t="s">
        <v>162</v>
      </c>
      <c r="AB1005" s="15" t="s">
        <v>14355</v>
      </c>
      <c r="AC1005" s="15" t="s">
        <v>14355</v>
      </c>
      <c r="AD1005" s="15" t="s">
        <v>14355</v>
      </c>
      <c r="AE1005" s="15" t="s">
        <v>164</v>
      </c>
      <c r="AF1005" s="15" t="s">
        <v>14355</v>
      </c>
      <c r="AG1005" s="15" t="s">
        <v>14355</v>
      </c>
      <c r="AH1005" s="15" t="s">
        <v>14356</v>
      </c>
      <c r="AL1005" s="15" t="s">
        <v>14357</v>
      </c>
      <c r="AN1005" s="15">
        <v>743</v>
      </c>
      <c r="AO1005" s="15" t="s">
        <v>14358</v>
      </c>
      <c r="AQ1005" s="15" t="s">
        <v>1776</v>
      </c>
      <c r="AT1005" s="15" t="s">
        <v>14359</v>
      </c>
      <c r="AU1005" s="15" t="s">
        <v>14360</v>
      </c>
      <c r="AV1005" s="15" t="s">
        <v>14360</v>
      </c>
      <c r="AW1005" s="15" t="s">
        <v>14361</v>
      </c>
      <c r="AX1005" s="15" t="s">
        <v>14361</v>
      </c>
      <c r="AY1005" s="15">
        <f t="shared" si="20"/>
        <v>48</v>
      </c>
      <c r="AZ1005" s="15" t="s">
        <v>1781</v>
      </c>
      <c r="BA1005" s="15" t="s">
        <v>174</v>
      </c>
      <c r="BB1005" s="15" t="s">
        <v>14362</v>
      </c>
      <c r="BE1005" s="15" t="s">
        <v>14363</v>
      </c>
      <c r="BI1005" s="15" t="s">
        <v>200</v>
      </c>
      <c r="BJ1005" s="15" t="s">
        <v>190</v>
      </c>
      <c r="BN1005" s="15" t="s">
        <v>179</v>
      </c>
      <c r="BP1005" s="15" t="s">
        <v>138</v>
      </c>
      <c r="BS1005" s="15" t="s">
        <v>14364</v>
      </c>
      <c r="DH1005" s="15" t="s">
        <v>17982</v>
      </c>
      <c r="DI1005" s="15" t="s">
        <v>17982</v>
      </c>
    </row>
    <row r="1006" spans="1:113" s="15" customFormat="1" ht="12.75" x14ac:dyDescent="0.2">
      <c r="A1006" s="15" t="s">
        <v>109</v>
      </c>
      <c r="B1006" s="15" t="s">
        <v>110</v>
      </c>
      <c r="D1006" s="15" t="s">
        <v>620</v>
      </c>
      <c r="E1006" s="15" t="s">
        <v>112</v>
      </c>
      <c r="F1006" s="15" t="s">
        <v>620</v>
      </c>
      <c r="G1006" s="15" t="s">
        <v>113</v>
      </c>
      <c r="H1006" s="15" t="s">
        <v>1481</v>
      </c>
      <c r="J1006" s="16" t="s">
        <v>114</v>
      </c>
      <c r="U1006" s="15" t="s">
        <v>17977</v>
      </c>
      <c r="W1006" s="15">
        <v>1571</v>
      </c>
      <c r="X1006" s="15">
        <v>1016</v>
      </c>
      <c r="Y1006" s="15" t="s">
        <v>160</v>
      </c>
      <c r="Z1006" s="15" t="s">
        <v>161</v>
      </c>
      <c r="AA1006" s="15" t="s">
        <v>162</v>
      </c>
      <c r="AB1006" s="15" t="s">
        <v>8227</v>
      </c>
      <c r="AC1006" s="15" t="s">
        <v>8227</v>
      </c>
      <c r="AD1006" s="15" t="s">
        <v>8228</v>
      </c>
      <c r="AE1006" s="15" t="s">
        <v>164</v>
      </c>
      <c r="AF1006" s="15" t="s">
        <v>8228</v>
      </c>
      <c r="AG1006" s="15" t="s">
        <v>8227</v>
      </c>
      <c r="AH1006" s="47" t="s">
        <v>8229</v>
      </c>
      <c r="AL1006" s="15" t="s">
        <v>8230</v>
      </c>
      <c r="AN1006" s="15">
        <v>743</v>
      </c>
      <c r="AO1006" s="15" t="s">
        <v>8231</v>
      </c>
      <c r="AQ1006" s="15" t="s">
        <v>6091</v>
      </c>
      <c r="AT1006" s="15" t="s">
        <v>8232</v>
      </c>
      <c r="AU1006" s="15" t="s">
        <v>8233</v>
      </c>
      <c r="AV1006" s="15" t="s">
        <v>8233</v>
      </c>
      <c r="AW1006" s="15" t="s">
        <v>8234</v>
      </c>
      <c r="AX1006" s="15" t="s">
        <v>8235</v>
      </c>
      <c r="AY1006" s="15">
        <f t="shared" si="20"/>
        <v>59</v>
      </c>
      <c r="AZ1006" s="15" t="s">
        <v>5831</v>
      </c>
      <c r="BA1006" s="15" t="s">
        <v>174</v>
      </c>
      <c r="BB1006" s="15" t="s">
        <v>6096</v>
      </c>
      <c r="BC1006" s="15" t="s">
        <v>8236</v>
      </c>
      <c r="BE1006" s="15" t="s">
        <v>1597</v>
      </c>
      <c r="BI1006" s="15" t="s">
        <v>200</v>
      </c>
      <c r="BJ1006" s="15" t="s">
        <v>8214</v>
      </c>
      <c r="BN1006" s="15" t="s">
        <v>179</v>
      </c>
      <c r="BP1006" s="15" t="s">
        <v>138</v>
      </c>
      <c r="BS1006" s="15" t="s">
        <v>8237</v>
      </c>
      <c r="DH1006" s="15" t="s">
        <v>17982</v>
      </c>
      <c r="DI1006" s="15" t="s">
        <v>17982</v>
      </c>
    </row>
    <row r="1007" spans="1:113" s="15" customFormat="1" ht="12.75" x14ac:dyDescent="0.2">
      <c r="A1007" s="15" t="s">
        <v>109</v>
      </c>
      <c r="B1007" s="15" t="s">
        <v>110</v>
      </c>
      <c r="D1007" s="15" t="s">
        <v>620</v>
      </c>
      <c r="E1007" s="15" t="s">
        <v>112</v>
      </c>
      <c r="F1007" s="15" t="s">
        <v>620</v>
      </c>
      <c r="G1007" s="15" t="s">
        <v>113</v>
      </c>
      <c r="H1007" s="15" t="s">
        <v>1481</v>
      </c>
      <c r="J1007" s="16" t="s">
        <v>114</v>
      </c>
      <c r="U1007" s="15" t="s">
        <v>17977</v>
      </c>
      <c r="W1007" s="15">
        <v>1569</v>
      </c>
      <c r="X1007" s="15">
        <v>1017</v>
      </c>
      <c r="Y1007" s="15" t="s">
        <v>160</v>
      </c>
      <c r="Z1007" s="15" t="s">
        <v>161</v>
      </c>
      <c r="AA1007" s="15" t="s">
        <v>162</v>
      </c>
      <c r="AB1007" s="15" t="s">
        <v>8204</v>
      </c>
      <c r="AC1007" s="15" t="s">
        <v>8204</v>
      </c>
      <c r="AD1007" s="15" t="s">
        <v>8205</v>
      </c>
      <c r="AE1007" s="15" t="s">
        <v>164</v>
      </c>
      <c r="AF1007" s="15" t="s">
        <v>8205</v>
      </c>
      <c r="AG1007" s="15" t="s">
        <v>8204</v>
      </c>
      <c r="AH1007" s="47" t="s">
        <v>8206</v>
      </c>
      <c r="AL1007" s="15" t="s">
        <v>8207</v>
      </c>
      <c r="AN1007" s="15">
        <v>743</v>
      </c>
      <c r="AO1007" s="15" t="s">
        <v>8208</v>
      </c>
      <c r="AQ1007" s="15" t="s">
        <v>6091</v>
      </c>
      <c r="AT1007" s="15" t="s">
        <v>8209</v>
      </c>
      <c r="AU1007" s="15" t="s">
        <v>8210</v>
      </c>
      <c r="AV1007" s="15" t="s">
        <v>8210</v>
      </c>
      <c r="AW1007" s="15" t="s">
        <v>8211</v>
      </c>
      <c r="AX1007" s="15" t="s">
        <v>8212</v>
      </c>
      <c r="AY1007" s="15">
        <f t="shared" si="20"/>
        <v>60</v>
      </c>
      <c r="AZ1007" s="15" t="s">
        <v>5831</v>
      </c>
      <c r="BA1007" s="15" t="s">
        <v>174</v>
      </c>
      <c r="BB1007" s="15" t="s">
        <v>6096</v>
      </c>
      <c r="BC1007" s="15" t="s">
        <v>8213</v>
      </c>
      <c r="BE1007" s="15" t="s">
        <v>1597</v>
      </c>
      <c r="BI1007" s="15" t="s">
        <v>200</v>
      </c>
      <c r="BJ1007" s="15" t="s">
        <v>8214</v>
      </c>
      <c r="BN1007" s="15" t="s">
        <v>179</v>
      </c>
      <c r="BP1007" s="15" t="s">
        <v>138</v>
      </c>
      <c r="BS1007" s="15" t="s">
        <v>8215</v>
      </c>
      <c r="DH1007" s="15" t="s">
        <v>17982</v>
      </c>
      <c r="DI1007" s="15" t="s">
        <v>17982</v>
      </c>
    </row>
    <row r="1008" spans="1:113" s="15" customFormat="1" ht="12.75" x14ac:dyDescent="0.2">
      <c r="A1008" s="15" t="s">
        <v>109</v>
      </c>
      <c r="B1008" s="15" t="s">
        <v>110</v>
      </c>
      <c r="D1008" s="15" t="s">
        <v>620</v>
      </c>
      <c r="E1008" s="15" t="s">
        <v>112</v>
      </c>
      <c r="F1008" s="15" t="s">
        <v>620</v>
      </c>
      <c r="G1008" s="15" t="s">
        <v>113</v>
      </c>
      <c r="H1008" s="15" t="s">
        <v>1481</v>
      </c>
      <c r="J1008" s="16" t="s">
        <v>114</v>
      </c>
      <c r="U1008" s="15" t="s">
        <v>17977</v>
      </c>
      <c r="W1008" s="15">
        <v>1570</v>
      </c>
      <c r="X1008" s="15">
        <v>1018</v>
      </c>
      <c r="Y1008" s="15" t="s">
        <v>160</v>
      </c>
      <c r="Z1008" s="15" t="s">
        <v>161</v>
      </c>
      <c r="AA1008" s="15" t="s">
        <v>162</v>
      </c>
      <c r="AB1008" s="15" t="s">
        <v>8216</v>
      </c>
      <c r="AC1008" s="15" t="s">
        <v>8216</v>
      </c>
      <c r="AD1008" s="15" t="s">
        <v>8217</v>
      </c>
      <c r="AE1008" s="15" t="s">
        <v>164</v>
      </c>
      <c r="AF1008" s="15" t="s">
        <v>8217</v>
      </c>
      <c r="AG1008" s="15" t="s">
        <v>8216</v>
      </c>
      <c r="AH1008" s="47" t="s">
        <v>8218</v>
      </c>
      <c r="AL1008" s="15" t="s">
        <v>8219</v>
      </c>
      <c r="AN1008" s="15">
        <v>743</v>
      </c>
      <c r="AO1008" s="15" t="s">
        <v>8220</v>
      </c>
      <c r="AQ1008" s="15" t="s">
        <v>6091</v>
      </c>
      <c r="AT1008" s="15" t="s">
        <v>8221</v>
      </c>
      <c r="AU1008" s="15" t="s">
        <v>8222</v>
      </c>
      <c r="AV1008" s="15" t="s">
        <v>8222</v>
      </c>
      <c r="AW1008" s="15" t="s">
        <v>8223</v>
      </c>
      <c r="AX1008" s="15" t="s">
        <v>8224</v>
      </c>
      <c r="AY1008" s="15">
        <f t="shared" si="20"/>
        <v>60</v>
      </c>
      <c r="AZ1008" s="15" t="s">
        <v>5831</v>
      </c>
      <c r="BA1008" s="15" t="s">
        <v>174</v>
      </c>
      <c r="BB1008" s="15" t="s">
        <v>6096</v>
      </c>
      <c r="BC1008" s="15" t="s">
        <v>8225</v>
      </c>
      <c r="BE1008" s="15" t="s">
        <v>1597</v>
      </c>
      <c r="BI1008" s="15" t="s">
        <v>200</v>
      </c>
      <c r="BJ1008" s="15" t="s">
        <v>8214</v>
      </c>
      <c r="BN1008" s="15" t="s">
        <v>179</v>
      </c>
      <c r="BP1008" s="15" t="s">
        <v>138</v>
      </c>
      <c r="BS1008" s="15" t="s">
        <v>8226</v>
      </c>
      <c r="DH1008" s="15" t="s">
        <v>17982</v>
      </c>
      <c r="DI1008" s="15" t="s">
        <v>17982</v>
      </c>
    </row>
    <row r="1009" spans="1:113" s="15" customFormat="1" ht="12.75" x14ac:dyDescent="0.2">
      <c r="A1009" s="15" t="s">
        <v>109</v>
      </c>
      <c r="B1009" s="15" t="s">
        <v>110</v>
      </c>
      <c r="D1009" s="15" t="s">
        <v>620</v>
      </c>
      <c r="E1009" s="15" t="s">
        <v>112</v>
      </c>
      <c r="F1009" s="15" t="s">
        <v>620</v>
      </c>
      <c r="G1009" s="15" t="s">
        <v>113</v>
      </c>
      <c r="H1009" s="15" t="s">
        <v>1481</v>
      </c>
      <c r="J1009" s="16" t="s">
        <v>114</v>
      </c>
      <c r="U1009" s="15" t="s">
        <v>17977</v>
      </c>
      <c r="W1009" s="15">
        <v>2931</v>
      </c>
      <c r="X1009" s="15">
        <v>1019</v>
      </c>
      <c r="Y1009" s="15" t="s">
        <v>160</v>
      </c>
      <c r="Z1009" s="15" t="s">
        <v>161</v>
      </c>
      <c r="AA1009" s="15" t="s">
        <v>162</v>
      </c>
      <c r="AB1009" s="15" t="s">
        <v>14365</v>
      </c>
      <c r="AC1009" s="15" t="s">
        <v>14365</v>
      </c>
      <c r="AD1009" s="15" t="s">
        <v>14366</v>
      </c>
      <c r="AE1009" s="15" t="s">
        <v>164</v>
      </c>
      <c r="AF1009" s="15" t="s">
        <v>14366</v>
      </c>
      <c r="AG1009" s="15" t="s">
        <v>14365</v>
      </c>
      <c r="AH1009" s="15" t="s">
        <v>14367</v>
      </c>
      <c r="AL1009" s="15" t="s">
        <v>14368</v>
      </c>
      <c r="AN1009" s="15">
        <v>743</v>
      </c>
      <c r="AO1009" s="15" t="s">
        <v>14369</v>
      </c>
      <c r="AQ1009" s="15" t="s">
        <v>1193</v>
      </c>
      <c r="AT1009" s="15" t="s">
        <v>14370</v>
      </c>
      <c r="AU1009" s="15" t="s">
        <v>14371</v>
      </c>
      <c r="AV1009" s="15" t="s">
        <v>14371</v>
      </c>
      <c r="AW1009" s="15" t="s">
        <v>14372</v>
      </c>
      <c r="AX1009" s="15" t="s">
        <v>14372</v>
      </c>
      <c r="AY1009" s="15">
        <f t="shared" si="20"/>
        <v>52</v>
      </c>
      <c r="AZ1009" s="15" t="s">
        <v>1634</v>
      </c>
      <c r="BA1009" s="15" t="s">
        <v>174</v>
      </c>
      <c r="BB1009" s="15" t="s">
        <v>14373</v>
      </c>
      <c r="BC1009" s="19" t="s">
        <v>14374</v>
      </c>
      <c r="BE1009" s="15" t="s">
        <v>1582</v>
      </c>
      <c r="BI1009" s="15" t="s">
        <v>200</v>
      </c>
      <c r="BJ1009" s="15" t="s">
        <v>14375</v>
      </c>
      <c r="BN1009" s="15" t="s">
        <v>179</v>
      </c>
      <c r="BP1009" s="15" t="s">
        <v>138</v>
      </c>
      <c r="BS1009" s="15" t="s">
        <v>14376</v>
      </c>
      <c r="DH1009" s="15" t="s">
        <v>17982</v>
      </c>
      <c r="DI1009" s="15" t="s">
        <v>17982</v>
      </c>
    </row>
    <row r="1010" spans="1:113" s="15" customFormat="1" ht="12.75" x14ac:dyDescent="0.2">
      <c r="A1010" s="15" t="s">
        <v>109</v>
      </c>
      <c r="B1010" s="15" t="s">
        <v>110</v>
      </c>
      <c r="D1010" s="15" t="s">
        <v>620</v>
      </c>
      <c r="E1010" s="15" t="s">
        <v>112</v>
      </c>
      <c r="F1010" s="15" t="s">
        <v>620</v>
      </c>
      <c r="G1010" s="15" t="s">
        <v>113</v>
      </c>
      <c r="H1010" s="15" t="s">
        <v>1481</v>
      </c>
      <c r="J1010" s="16" t="s">
        <v>114</v>
      </c>
      <c r="U1010" s="15" t="s">
        <v>17977</v>
      </c>
      <c r="W1010" s="15">
        <v>1910</v>
      </c>
      <c r="X1010" s="15">
        <v>1020</v>
      </c>
      <c r="Y1010" s="15" t="s">
        <v>160</v>
      </c>
      <c r="Z1010" s="15" t="s">
        <v>161</v>
      </c>
      <c r="AA1010" s="15" t="s">
        <v>162</v>
      </c>
      <c r="AB1010" s="15" t="s">
        <v>10223</v>
      </c>
      <c r="AC1010" s="15" t="s">
        <v>10223</v>
      </c>
      <c r="AD1010" s="15" t="s">
        <v>10223</v>
      </c>
      <c r="AE1010" s="15" t="s">
        <v>164</v>
      </c>
      <c r="AF1010" s="15" t="s">
        <v>10223</v>
      </c>
      <c r="AG1010" s="15" t="s">
        <v>10223</v>
      </c>
      <c r="AH1010" s="15" t="s">
        <v>10224</v>
      </c>
      <c r="AL1010" s="15" t="s">
        <v>10225</v>
      </c>
      <c r="AN1010" s="15">
        <v>743</v>
      </c>
      <c r="AO1010" s="15" t="s">
        <v>10226</v>
      </c>
      <c r="AQ1010" s="15" t="s">
        <v>1193</v>
      </c>
      <c r="AT1010" s="15" t="s">
        <v>10227</v>
      </c>
      <c r="AU1010" s="15" t="s">
        <v>10228</v>
      </c>
      <c r="AV1010" s="15" t="s">
        <v>10228</v>
      </c>
      <c r="AW1010" s="15" t="s">
        <v>10229</v>
      </c>
      <c r="AX1010" s="15" t="s">
        <v>10230</v>
      </c>
      <c r="AY1010" s="15">
        <f t="shared" si="20"/>
        <v>59</v>
      </c>
      <c r="AZ1010" s="15" t="s">
        <v>1634</v>
      </c>
      <c r="BA1010" s="15" t="s">
        <v>174</v>
      </c>
      <c r="BB1010" s="15" t="s">
        <v>10231</v>
      </c>
      <c r="BE1010" s="15" t="s">
        <v>1528</v>
      </c>
      <c r="BJ1010" s="15" t="s">
        <v>10232</v>
      </c>
      <c r="BN1010" s="15" t="s">
        <v>179</v>
      </c>
      <c r="BP1010" s="15" t="s">
        <v>138</v>
      </c>
      <c r="BS1010" s="15" t="s">
        <v>10233</v>
      </c>
      <c r="DH1010" s="15" t="s">
        <v>17982</v>
      </c>
      <c r="DI1010" s="15" t="s">
        <v>17982</v>
      </c>
    </row>
    <row r="1011" spans="1:113" s="15" customFormat="1" ht="12.75" x14ac:dyDescent="0.2">
      <c r="A1011" s="15" t="s">
        <v>109</v>
      </c>
      <c r="B1011" s="15" t="s">
        <v>110</v>
      </c>
      <c r="D1011" s="15" t="s">
        <v>620</v>
      </c>
      <c r="E1011" s="15" t="s">
        <v>112</v>
      </c>
      <c r="F1011" s="15" t="s">
        <v>620</v>
      </c>
      <c r="G1011" s="15" t="s">
        <v>113</v>
      </c>
      <c r="H1011" s="15" t="s">
        <v>1481</v>
      </c>
      <c r="J1011" s="16" t="s">
        <v>114</v>
      </c>
      <c r="U1011" s="15" t="s">
        <v>17977</v>
      </c>
      <c r="W1011" s="15">
        <v>1447</v>
      </c>
      <c r="X1011" s="15">
        <v>1021</v>
      </c>
      <c r="Y1011" s="15" t="s">
        <v>160</v>
      </c>
      <c r="Z1011" s="15" t="s">
        <v>161</v>
      </c>
      <c r="AA1011" s="15" t="s">
        <v>162</v>
      </c>
      <c r="AB1011" s="15" t="s">
        <v>7388</v>
      </c>
      <c r="AC1011" s="15" t="s">
        <v>7388</v>
      </c>
      <c r="AD1011" s="15" t="s">
        <v>7388</v>
      </c>
      <c r="AE1011" s="15" t="s">
        <v>164</v>
      </c>
      <c r="AF1011" s="15" t="s">
        <v>7388</v>
      </c>
      <c r="AG1011" s="15" t="s">
        <v>7388</v>
      </c>
      <c r="AH1011" s="15" t="s">
        <v>7389</v>
      </c>
      <c r="AL1011" s="15" t="s">
        <v>7390</v>
      </c>
      <c r="AN1011" s="15">
        <v>743</v>
      </c>
      <c r="AO1011" s="15" t="s">
        <v>7391</v>
      </c>
      <c r="AQ1011" s="15" t="s">
        <v>925</v>
      </c>
      <c r="AT1011" s="15" t="s">
        <v>7392</v>
      </c>
      <c r="AU1011" s="15" t="s">
        <v>7393</v>
      </c>
      <c r="AV1011" s="15" t="s">
        <v>7393</v>
      </c>
      <c r="AW1011" s="15" t="s">
        <v>7394</v>
      </c>
      <c r="AX1011" s="15" t="s">
        <v>7395</v>
      </c>
      <c r="AY1011" s="15">
        <f t="shared" si="20"/>
        <v>56</v>
      </c>
      <c r="AZ1011" s="15" t="s">
        <v>930</v>
      </c>
      <c r="BA1011" s="15" t="s">
        <v>174</v>
      </c>
      <c r="BB1011" s="15" t="s">
        <v>7396</v>
      </c>
      <c r="BC1011" s="15" t="s">
        <v>4343</v>
      </c>
      <c r="BF1011" s="15" t="s">
        <v>7397</v>
      </c>
      <c r="BI1011" s="15" t="s">
        <v>933</v>
      </c>
      <c r="BJ1011" s="15" t="s">
        <v>7398</v>
      </c>
      <c r="BN1011" s="15" t="s">
        <v>179</v>
      </c>
      <c r="BP1011" s="15" t="s">
        <v>138</v>
      </c>
      <c r="BS1011" s="15" t="s">
        <v>7399</v>
      </c>
      <c r="DH1011" s="15" t="s">
        <v>17982</v>
      </c>
      <c r="DI1011" s="15" t="s">
        <v>17982</v>
      </c>
    </row>
    <row r="1012" spans="1:113" s="15" customFormat="1" ht="12.75" x14ac:dyDescent="0.2">
      <c r="A1012" s="15" t="s">
        <v>109</v>
      </c>
      <c r="B1012" s="15" t="s">
        <v>110</v>
      </c>
      <c r="D1012" s="15" t="s">
        <v>620</v>
      </c>
      <c r="E1012" s="15" t="s">
        <v>112</v>
      </c>
      <c r="F1012" s="15" t="s">
        <v>620</v>
      </c>
      <c r="G1012" s="15" t="s">
        <v>113</v>
      </c>
      <c r="H1012" s="15" t="s">
        <v>1481</v>
      </c>
      <c r="J1012" s="16" t="s">
        <v>114</v>
      </c>
      <c r="U1012" s="15" t="s">
        <v>17977</v>
      </c>
      <c r="W1012" s="15">
        <v>1270</v>
      </c>
      <c r="X1012" s="15">
        <v>1022</v>
      </c>
      <c r="Y1012" s="15" t="s">
        <v>160</v>
      </c>
      <c r="Z1012" s="15" t="s">
        <v>161</v>
      </c>
      <c r="AA1012" s="15" t="s">
        <v>162</v>
      </c>
      <c r="AB1012" s="15" t="s">
        <v>6544</v>
      </c>
      <c r="AC1012" s="15" t="s">
        <v>6544</v>
      </c>
      <c r="AD1012" s="15" t="s">
        <v>6544</v>
      </c>
      <c r="AE1012" s="15" t="s">
        <v>164</v>
      </c>
      <c r="AF1012" s="15" t="s">
        <v>6544</v>
      </c>
      <c r="AG1012" s="15" t="s">
        <v>6544</v>
      </c>
      <c r="AH1012" s="15" t="s">
        <v>6545</v>
      </c>
      <c r="AL1012" s="15" t="s">
        <v>6546</v>
      </c>
      <c r="AN1012" s="15">
        <v>743</v>
      </c>
      <c r="AO1012" s="15" t="s">
        <v>6547</v>
      </c>
      <c r="AQ1012" s="15" t="s">
        <v>168</v>
      </c>
      <c r="AT1012" s="15" t="s">
        <v>6548</v>
      </c>
      <c r="AU1012" s="15" t="s">
        <v>6549</v>
      </c>
      <c r="AV1012" s="15" t="s">
        <v>6549</v>
      </c>
      <c r="AW1012" s="15" t="s">
        <v>6550</v>
      </c>
      <c r="AX1012" s="15" t="s">
        <v>6550</v>
      </c>
      <c r="AY1012" s="15">
        <f t="shared" si="20"/>
        <v>53</v>
      </c>
      <c r="AZ1012" s="15" t="s">
        <v>173</v>
      </c>
      <c r="BA1012" s="15" t="s">
        <v>174</v>
      </c>
      <c r="BB1012" s="15" t="s">
        <v>6551</v>
      </c>
      <c r="BE1012" s="15" t="s">
        <v>1032</v>
      </c>
      <c r="BJ1012" s="15" t="s">
        <v>190</v>
      </c>
      <c r="BN1012" s="15" t="s">
        <v>179</v>
      </c>
      <c r="BP1012" s="15" t="s">
        <v>138</v>
      </c>
      <c r="BS1012" s="15" t="s">
        <v>6552</v>
      </c>
      <c r="DH1012" s="15" t="s">
        <v>17982</v>
      </c>
      <c r="DI1012" s="15" t="s">
        <v>17982</v>
      </c>
    </row>
    <row r="1013" spans="1:113" s="15" customFormat="1" ht="12.75" x14ac:dyDescent="0.2">
      <c r="A1013" s="15" t="s">
        <v>109</v>
      </c>
      <c r="B1013" s="15" t="s">
        <v>110</v>
      </c>
      <c r="D1013" s="15" t="s">
        <v>620</v>
      </c>
      <c r="E1013" s="15" t="s">
        <v>112</v>
      </c>
      <c r="F1013" s="15" t="s">
        <v>620</v>
      </c>
      <c r="G1013" s="15" t="s">
        <v>113</v>
      </c>
      <c r="H1013" s="15" t="s">
        <v>1481</v>
      </c>
      <c r="J1013" s="16" t="s">
        <v>114</v>
      </c>
      <c r="U1013" s="15" t="s">
        <v>17977</v>
      </c>
      <c r="W1013" s="15">
        <v>1448</v>
      </c>
      <c r="X1013" s="15">
        <v>1023</v>
      </c>
      <c r="Y1013" s="15" t="s">
        <v>160</v>
      </c>
      <c r="Z1013" s="15" t="s">
        <v>161</v>
      </c>
      <c r="AA1013" s="15" t="s">
        <v>162</v>
      </c>
      <c r="AB1013" s="15" t="s">
        <v>7400</v>
      </c>
      <c r="AC1013" s="15" t="s">
        <v>7400</v>
      </c>
      <c r="AD1013" s="15" t="s">
        <v>7400</v>
      </c>
      <c r="AE1013" s="15" t="s">
        <v>164</v>
      </c>
      <c r="AF1013" s="15" t="s">
        <v>7400</v>
      </c>
      <c r="AG1013" s="15" t="s">
        <v>7400</v>
      </c>
      <c r="AH1013" s="15" t="s">
        <v>7401</v>
      </c>
      <c r="AL1013" s="15" t="s">
        <v>7402</v>
      </c>
      <c r="AN1013" s="15">
        <v>743</v>
      </c>
      <c r="AO1013" s="15" t="s">
        <v>7403</v>
      </c>
      <c r="AQ1013" s="15" t="s">
        <v>925</v>
      </c>
      <c r="AT1013" s="15" t="s">
        <v>7404</v>
      </c>
      <c r="AU1013" s="15" t="s">
        <v>7405</v>
      </c>
      <c r="AV1013" s="15" t="s">
        <v>7405</v>
      </c>
      <c r="AW1013" s="15" t="s">
        <v>7406</v>
      </c>
      <c r="AX1013" s="15" t="s">
        <v>7407</v>
      </c>
      <c r="AY1013" s="15">
        <f t="shared" si="20"/>
        <v>58</v>
      </c>
      <c r="AZ1013" s="15" t="s">
        <v>930</v>
      </c>
      <c r="BA1013" s="15" t="s">
        <v>174</v>
      </c>
      <c r="BB1013" s="15" t="s">
        <v>7396</v>
      </c>
      <c r="BC1013" s="15" t="s">
        <v>1199</v>
      </c>
      <c r="BF1013" s="15" t="s">
        <v>7408</v>
      </c>
      <c r="BI1013" s="15" t="s">
        <v>933</v>
      </c>
      <c r="BJ1013" s="15" t="s">
        <v>7409</v>
      </c>
      <c r="BN1013" s="15" t="s">
        <v>179</v>
      </c>
      <c r="BP1013" s="15" t="s">
        <v>138</v>
      </c>
      <c r="BS1013" s="15" t="s">
        <v>7410</v>
      </c>
      <c r="DH1013" s="15" t="s">
        <v>17982</v>
      </c>
      <c r="DI1013" s="15" t="s">
        <v>17982</v>
      </c>
    </row>
    <row r="1014" spans="1:113" s="15" customFormat="1" ht="12.75" x14ac:dyDescent="0.2">
      <c r="A1014" s="15" t="s">
        <v>109</v>
      </c>
      <c r="B1014" s="15" t="s">
        <v>110</v>
      </c>
      <c r="D1014" s="15" t="s">
        <v>620</v>
      </c>
      <c r="E1014" s="15" t="s">
        <v>112</v>
      </c>
      <c r="F1014" s="15" t="s">
        <v>620</v>
      </c>
      <c r="G1014" s="15" t="s">
        <v>113</v>
      </c>
      <c r="H1014" s="15" t="s">
        <v>1481</v>
      </c>
      <c r="J1014" s="16" t="s">
        <v>114</v>
      </c>
      <c r="U1014" s="15" t="s">
        <v>17977</v>
      </c>
      <c r="W1014" s="15">
        <v>126</v>
      </c>
      <c r="X1014" s="15">
        <v>1024</v>
      </c>
      <c r="Y1014" s="15" t="s">
        <v>160</v>
      </c>
      <c r="Z1014" s="15" t="s">
        <v>161</v>
      </c>
      <c r="AA1014" s="15" t="s">
        <v>162</v>
      </c>
      <c r="AB1014" s="15" t="s">
        <v>921</v>
      </c>
      <c r="AC1014" s="15" t="s">
        <v>921</v>
      </c>
      <c r="AD1014" s="15" t="s">
        <v>921</v>
      </c>
      <c r="AE1014" s="15" t="s">
        <v>164</v>
      </c>
      <c r="AF1014" s="15" t="s">
        <v>921</v>
      </c>
      <c r="AG1014" s="15" t="s">
        <v>921</v>
      </c>
      <c r="AH1014" s="15" t="s">
        <v>922</v>
      </c>
      <c r="AL1014" s="15" t="s">
        <v>923</v>
      </c>
      <c r="AN1014" s="15">
        <v>743</v>
      </c>
      <c r="AO1014" s="15" t="s">
        <v>924</v>
      </c>
      <c r="AQ1014" s="15" t="s">
        <v>925</v>
      </c>
      <c r="AT1014" s="15" t="s">
        <v>926</v>
      </c>
      <c r="AU1014" s="15" t="s">
        <v>927</v>
      </c>
      <c r="AV1014" s="15" t="s">
        <v>927</v>
      </c>
      <c r="AW1014" s="15" t="s">
        <v>928</v>
      </c>
      <c r="AX1014" s="15" t="s">
        <v>929</v>
      </c>
      <c r="AY1014" s="15">
        <f t="shared" si="20"/>
        <v>58</v>
      </c>
      <c r="AZ1014" s="15" t="s">
        <v>930</v>
      </c>
      <c r="BA1014" s="15" t="s">
        <v>174</v>
      </c>
      <c r="BB1014" s="15" t="s">
        <v>931</v>
      </c>
      <c r="BF1014" s="15" t="s">
        <v>932</v>
      </c>
      <c r="BI1014" s="15" t="s">
        <v>933</v>
      </c>
      <c r="BJ1014" s="15" t="s">
        <v>934</v>
      </c>
      <c r="BN1014" s="15" t="s">
        <v>179</v>
      </c>
      <c r="BP1014" s="15" t="s">
        <v>138</v>
      </c>
      <c r="BS1014" s="15" t="s">
        <v>935</v>
      </c>
      <c r="DH1014" s="15" t="s">
        <v>17982</v>
      </c>
      <c r="DI1014" s="15" t="s">
        <v>17982</v>
      </c>
    </row>
    <row r="1015" spans="1:113" s="15" customFormat="1" ht="12.75" x14ac:dyDescent="0.2">
      <c r="A1015" s="15" t="s">
        <v>109</v>
      </c>
      <c r="B1015" s="15" t="s">
        <v>110</v>
      </c>
      <c r="D1015" s="15" t="s">
        <v>620</v>
      </c>
      <c r="E1015" s="15" t="s">
        <v>112</v>
      </c>
      <c r="F1015" s="15" t="s">
        <v>620</v>
      </c>
      <c r="G1015" s="15" t="s">
        <v>113</v>
      </c>
      <c r="H1015" s="15" t="s">
        <v>1481</v>
      </c>
      <c r="J1015" s="16" t="s">
        <v>114</v>
      </c>
      <c r="U1015" s="15" t="s">
        <v>17977</v>
      </c>
      <c r="W1015" s="15">
        <v>2554</v>
      </c>
      <c r="X1015" s="15">
        <v>1025</v>
      </c>
      <c r="Y1015" s="15" t="s">
        <v>160</v>
      </c>
      <c r="Z1015" s="15" t="s">
        <v>161</v>
      </c>
      <c r="AA1015" s="15" t="s">
        <v>162</v>
      </c>
      <c r="AB1015" s="15" t="s">
        <v>12528</v>
      </c>
      <c r="AC1015" s="15" t="s">
        <v>12528</v>
      </c>
      <c r="AD1015" s="15" t="s">
        <v>12528</v>
      </c>
      <c r="AE1015" s="15" t="s">
        <v>164</v>
      </c>
      <c r="AF1015" s="15" t="s">
        <v>12528</v>
      </c>
      <c r="AG1015" s="15" t="s">
        <v>12528</v>
      </c>
      <c r="AH1015" s="47" t="s">
        <v>12529</v>
      </c>
      <c r="AL1015" s="15" t="s">
        <v>12530</v>
      </c>
      <c r="AN1015" s="15">
        <v>743</v>
      </c>
      <c r="AO1015" s="15" t="s">
        <v>12531</v>
      </c>
      <c r="AQ1015" s="15" t="s">
        <v>925</v>
      </c>
      <c r="AT1015" s="15" t="s">
        <v>12532</v>
      </c>
      <c r="AU1015" s="15" t="s">
        <v>12533</v>
      </c>
      <c r="AV1015" s="15" t="s">
        <v>12533</v>
      </c>
      <c r="AW1015" s="15" t="s">
        <v>12534</v>
      </c>
      <c r="AX1015" s="15" t="s">
        <v>12534</v>
      </c>
      <c r="AY1015" s="15">
        <f t="shared" si="20"/>
        <v>53</v>
      </c>
      <c r="AZ1015" s="15" t="s">
        <v>930</v>
      </c>
      <c r="BA1015" s="15" t="s">
        <v>174</v>
      </c>
      <c r="BB1015" s="15" t="s">
        <v>12515</v>
      </c>
      <c r="BC1015" s="15" t="s">
        <v>1055</v>
      </c>
      <c r="BF1015" s="15" t="s">
        <v>12535</v>
      </c>
      <c r="BI1015" s="15" t="s">
        <v>933</v>
      </c>
      <c r="BJ1015" s="15" t="s">
        <v>190</v>
      </c>
      <c r="BN1015" s="15" t="s">
        <v>179</v>
      </c>
      <c r="BP1015" s="15" t="s">
        <v>138</v>
      </c>
      <c r="BS1015" s="15" t="s">
        <v>12536</v>
      </c>
      <c r="DH1015" s="15" t="s">
        <v>17982</v>
      </c>
      <c r="DI1015" s="15" t="s">
        <v>17982</v>
      </c>
    </row>
    <row r="1016" spans="1:113" s="15" customFormat="1" ht="12.75" x14ac:dyDescent="0.2">
      <c r="A1016" s="15" t="s">
        <v>109</v>
      </c>
      <c r="B1016" s="15" t="s">
        <v>110</v>
      </c>
      <c r="D1016" s="15" t="s">
        <v>620</v>
      </c>
      <c r="E1016" s="15" t="s">
        <v>112</v>
      </c>
      <c r="F1016" s="15" t="s">
        <v>620</v>
      </c>
      <c r="G1016" s="15" t="s">
        <v>113</v>
      </c>
      <c r="H1016" s="15" t="s">
        <v>1481</v>
      </c>
      <c r="J1016" s="16" t="s">
        <v>114</v>
      </c>
      <c r="U1016" s="15" t="s">
        <v>17977</v>
      </c>
      <c r="W1016" s="15">
        <v>1535</v>
      </c>
      <c r="X1016" s="15">
        <v>1026</v>
      </c>
      <c r="Y1016" s="15" t="s">
        <v>160</v>
      </c>
      <c r="Z1016" s="15" t="s">
        <v>161</v>
      </c>
      <c r="AA1016" s="15" t="s">
        <v>162</v>
      </c>
      <c r="AB1016" s="15" t="s">
        <v>7912</v>
      </c>
      <c r="AC1016" s="15" t="s">
        <v>7912</v>
      </c>
      <c r="AD1016" s="15" t="s">
        <v>7912</v>
      </c>
      <c r="AE1016" s="15" t="s">
        <v>164</v>
      </c>
      <c r="AF1016" s="15" t="s">
        <v>7912</v>
      </c>
      <c r="AG1016" s="15" t="s">
        <v>7912</v>
      </c>
      <c r="AH1016" s="47" t="s">
        <v>7913</v>
      </c>
      <c r="AL1016" s="15" t="s">
        <v>7914</v>
      </c>
      <c r="AN1016" s="15">
        <v>743</v>
      </c>
      <c r="AO1016" s="15" t="s">
        <v>7915</v>
      </c>
      <c r="AQ1016" s="15" t="s">
        <v>168</v>
      </c>
      <c r="AT1016" s="15" t="s">
        <v>7916</v>
      </c>
      <c r="AU1016" s="15" t="s">
        <v>7917</v>
      </c>
      <c r="AV1016" s="15" t="s">
        <v>7917</v>
      </c>
      <c r="AW1016" s="15" t="s">
        <v>7918</v>
      </c>
      <c r="AX1016" s="15" t="s">
        <v>7918</v>
      </c>
      <c r="AY1016" s="15">
        <f t="shared" si="20"/>
        <v>49</v>
      </c>
      <c r="AZ1016" s="15" t="s">
        <v>173</v>
      </c>
      <c r="BA1016" s="15" t="s">
        <v>174</v>
      </c>
      <c r="BB1016" s="15" t="s">
        <v>7909</v>
      </c>
      <c r="BE1016" s="15" t="s">
        <v>348</v>
      </c>
      <c r="BJ1016" s="15" t="s">
        <v>7919</v>
      </c>
      <c r="BN1016" s="15" t="s">
        <v>179</v>
      </c>
      <c r="BP1016" s="15" t="s">
        <v>138</v>
      </c>
      <c r="BS1016" s="15" t="s">
        <v>7920</v>
      </c>
      <c r="DH1016" s="15" t="s">
        <v>17982</v>
      </c>
      <c r="DI1016" s="15" t="s">
        <v>17982</v>
      </c>
    </row>
    <row r="1017" spans="1:113" s="15" customFormat="1" ht="12.75" x14ac:dyDescent="0.2">
      <c r="A1017" s="15" t="s">
        <v>109</v>
      </c>
      <c r="B1017" s="15" t="s">
        <v>110</v>
      </c>
      <c r="D1017" s="15" t="s">
        <v>620</v>
      </c>
      <c r="E1017" s="15" t="s">
        <v>112</v>
      </c>
      <c r="F1017" s="15" t="s">
        <v>620</v>
      </c>
      <c r="G1017" s="15" t="s">
        <v>113</v>
      </c>
      <c r="H1017" s="15" t="s">
        <v>1481</v>
      </c>
      <c r="J1017" s="16" t="s">
        <v>114</v>
      </c>
      <c r="U1017" s="15" t="s">
        <v>17977</v>
      </c>
      <c r="W1017" s="15">
        <v>1539</v>
      </c>
      <c r="X1017" s="15">
        <v>1027</v>
      </c>
      <c r="Y1017" s="15" t="s">
        <v>160</v>
      </c>
      <c r="Z1017" s="15" t="s">
        <v>161</v>
      </c>
      <c r="AA1017" s="15" t="s">
        <v>162</v>
      </c>
      <c r="AB1017" s="15" t="s">
        <v>7940</v>
      </c>
      <c r="AC1017" s="15" t="s">
        <v>7940</v>
      </c>
      <c r="AD1017" s="15" t="s">
        <v>7940</v>
      </c>
      <c r="AE1017" s="15" t="s">
        <v>164</v>
      </c>
      <c r="AF1017" s="15" t="s">
        <v>7940</v>
      </c>
      <c r="AG1017" s="15" t="s">
        <v>7940</v>
      </c>
      <c r="AH1017" s="47" t="s">
        <v>7941</v>
      </c>
      <c r="AL1017" s="15" t="s">
        <v>7942</v>
      </c>
      <c r="AN1017" s="15">
        <v>743</v>
      </c>
      <c r="AO1017" s="15" t="s">
        <v>7943</v>
      </c>
      <c r="AQ1017" s="15" t="s">
        <v>168</v>
      </c>
      <c r="AT1017" s="15" t="s">
        <v>7944</v>
      </c>
      <c r="AU1017" s="15" t="s">
        <v>7945</v>
      </c>
      <c r="AV1017" s="15" t="s">
        <v>7945</v>
      </c>
      <c r="AW1017" s="15" t="s">
        <v>7946</v>
      </c>
      <c r="AX1017" s="15" t="s">
        <v>7946</v>
      </c>
      <c r="AY1017" s="15">
        <f t="shared" si="20"/>
        <v>57</v>
      </c>
      <c r="AZ1017" s="15" t="s">
        <v>173</v>
      </c>
      <c r="BA1017" s="15" t="s">
        <v>174</v>
      </c>
      <c r="BB1017" s="15" t="s">
        <v>7947</v>
      </c>
      <c r="BE1017" s="15" t="s">
        <v>1597</v>
      </c>
      <c r="BJ1017" s="15" t="s">
        <v>7919</v>
      </c>
      <c r="BN1017" s="15" t="s">
        <v>179</v>
      </c>
      <c r="BP1017" s="15" t="s">
        <v>138</v>
      </c>
      <c r="BS1017" s="15" t="s">
        <v>7948</v>
      </c>
      <c r="DH1017" s="15" t="s">
        <v>17982</v>
      </c>
      <c r="DI1017" s="15" t="s">
        <v>17982</v>
      </c>
    </row>
    <row r="1018" spans="1:113" s="15" customFormat="1" ht="12.75" x14ac:dyDescent="0.2">
      <c r="A1018" s="15" t="s">
        <v>109</v>
      </c>
      <c r="B1018" s="15" t="s">
        <v>110</v>
      </c>
      <c r="D1018" s="15" t="s">
        <v>620</v>
      </c>
      <c r="E1018" s="15" t="s">
        <v>112</v>
      </c>
      <c r="F1018" s="15" t="s">
        <v>620</v>
      </c>
      <c r="G1018" s="15" t="s">
        <v>113</v>
      </c>
      <c r="H1018" s="15" t="s">
        <v>1481</v>
      </c>
      <c r="J1018" s="16" t="s">
        <v>114</v>
      </c>
      <c r="U1018" s="15" t="s">
        <v>17977</v>
      </c>
      <c r="W1018" s="15">
        <v>190</v>
      </c>
      <c r="X1018" s="15">
        <v>1028</v>
      </c>
      <c r="Y1018" s="15" t="s">
        <v>160</v>
      </c>
      <c r="Z1018" s="15" t="s">
        <v>161</v>
      </c>
      <c r="AA1018" s="15" t="s">
        <v>162</v>
      </c>
      <c r="AB1018" s="15" t="s">
        <v>1146</v>
      </c>
      <c r="AC1018" s="15" t="s">
        <v>1146</v>
      </c>
      <c r="AD1018" s="15" t="s">
        <v>1146</v>
      </c>
      <c r="AE1018" s="15" t="s">
        <v>164</v>
      </c>
      <c r="AF1018" s="15" t="s">
        <v>1146</v>
      </c>
      <c r="AG1018" s="15" t="s">
        <v>1146</v>
      </c>
      <c r="AH1018" s="15" t="s">
        <v>1147</v>
      </c>
      <c r="AL1018" s="15" t="s">
        <v>1148</v>
      </c>
      <c r="AN1018" s="15">
        <v>743</v>
      </c>
      <c r="AO1018" s="15" t="s">
        <v>1149</v>
      </c>
      <c r="AQ1018" s="15" t="s">
        <v>168</v>
      </c>
      <c r="AT1018" s="15" t="s">
        <v>1150</v>
      </c>
      <c r="AU1018" s="15" t="s">
        <v>1151</v>
      </c>
      <c r="AV1018" s="15" t="s">
        <v>1151</v>
      </c>
      <c r="AW1018" s="15" t="s">
        <v>1152</v>
      </c>
      <c r="AX1018" s="15" t="s">
        <v>1152</v>
      </c>
      <c r="AY1018" s="15">
        <f t="shared" si="20"/>
        <v>53</v>
      </c>
      <c r="AZ1018" s="15" t="s">
        <v>173</v>
      </c>
      <c r="BA1018" s="15" t="s">
        <v>174</v>
      </c>
      <c r="BB1018" s="15" t="s">
        <v>1153</v>
      </c>
      <c r="BE1018" s="15" t="s">
        <v>348</v>
      </c>
      <c r="BJ1018" s="15" t="s">
        <v>1154</v>
      </c>
      <c r="BN1018" s="15" t="s">
        <v>179</v>
      </c>
      <c r="BP1018" s="15" t="s">
        <v>138</v>
      </c>
      <c r="BS1018" s="15" t="s">
        <v>1155</v>
      </c>
      <c r="DH1018" s="15" t="s">
        <v>17982</v>
      </c>
      <c r="DI1018" s="15" t="s">
        <v>17982</v>
      </c>
    </row>
    <row r="1019" spans="1:113" s="15" customFormat="1" ht="12.75" x14ac:dyDescent="0.2">
      <c r="A1019" s="15" t="s">
        <v>109</v>
      </c>
      <c r="B1019" s="15" t="s">
        <v>110</v>
      </c>
      <c r="D1019" s="15" t="s">
        <v>620</v>
      </c>
      <c r="E1019" s="15" t="s">
        <v>112</v>
      </c>
      <c r="F1019" s="15" t="s">
        <v>620</v>
      </c>
      <c r="G1019" s="15" t="s">
        <v>113</v>
      </c>
      <c r="H1019" s="15" t="s">
        <v>1481</v>
      </c>
      <c r="J1019" s="16" t="s">
        <v>114</v>
      </c>
      <c r="U1019" s="15" t="s">
        <v>17977</v>
      </c>
      <c r="W1019" s="15">
        <v>2552</v>
      </c>
      <c r="X1019" s="15">
        <v>1029</v>
      </c>
      <c r="Y1019" s="15" t="s">
        <v>160</v>
      </c>
      <c r="Z1019" s="15" t="s">
        <v>161</v>
      </c>
      <c r="AA1019" s="15" t="s">
        <v>162</v>
      </c>
      <c r="AB1019" s="15" t="s">
        <v>12508</v>
      </c>
      <c r="AC1019" s="15" t="s">
        <v>12508</v>
      </c>
      <c r="AD1019" s="15" t="s">
        <v>12508</v>
      </c>
      <c r="AE1019" s="15" t="s">
        <v>164</v>
      </c>
      <c r="AF1019" s="15" t="s">
        <v>12508</v>
      </c>
      <c r="AG1019" s="15" t="s">
        <v>12508</v>
      </c>
      <c r="AH1019" s="47" t="s">
        <v>12509</v>
      </c>
      <c r="AL1019" s="15" t="s">
        <v>12510</v>
      </c>
      <c r="AN1019" s="15">
        <v>743</v>
      </c>
      <c r="AO1019" s="15" t="s">
        <v>12511</v>
      </c>
      <c r="AQ1019" s="15" t="s">
        <v>925</v>
      </c>
      <c r="AT1019" s="15" t="s">
        <v>12512</v>
      </c>
      <c r="AU1019" s="15" t="s">
        <v>12513</v>
      </c>
      <c r="AV1019" s="15" t="s">
        <v>12513</v>
      </c>
      <c r="AW1019" s="15" t="s">
        <v>12514</v>
      </c>
      <c r="AX1019" s="15" t="s">
        <v>12514</v>
      </c>
      <c r="AY1019" s="15">
        <f t="shared" si="20"/>
        <v>58</v>
      </c>
      <c r="AZ1019" s="15" t="s">
        <v>930</v>
      </c>
      <c r="BA1019" s="15" t="s">
        <v>174</v>
      </c>
      <c r="BB1019" s="15" t="s">
        <v>12515</v>
      </c>
      <c r="BC1019" s="15" t="s">
        <v>4343</v>
      </c>
      <c r="BF1019" s="15" t="s">
        <v>12516</v>
      </c>
      <c r="BI1019" s="15" t="s">
        <v>933</v>
      </c>
      <c r="BJ1019" s="15" t="s">
        <v>190</v>
      </c>
      <c r="BN1019" s="15" t="s">
        <v>179</v>
      </c>
      <c r="BP1019" s="15" t="s">
        <v>138</v>
      </c>
      <c r="BS1019" s="15" t="s">
        <v>12517</v>
      </c>
      <c r="DH1019" s="15" t="s">
        <v>17982</v>
      </c>
      <c r="DI1019" s="15" t="s">
        <v>17982</v>
      </c>
    </row>
    <row r="1020" spans="1:113" s="15" customFormat="1" ht="12.75" x14ac:dyDescent="0.2">
      <c r="A1020" s="15" t="s">
        <v>109</v>
      </c>
      <c r="B1020" s="15" t="s">
        <v>110</v>
      </c>
      <c r="D1020" s="15" t="s">
        <v>620</v>
      </c>
      <c r="E1020" s="15" t="s">
        <v>112</v>
      </c>
      <c r="F1020" s="15" t="s">
        <v>620</v>
      </c>
      <c r="G1020" s="15" t="s">
        <v>113</v>
      </c>
      <c r="H1020" s="15" t="s">
        <v>1481</v>
      </c>
      <c r="J1020" s="16" t="s">
        <v>114</v>
      </c>
      <c r="U1020" s="15" t="s">
        <v>17977</v>
      </c>
      <c r="W1020" s="15">
        <v>2782</v>
      </c>
      <c r="X1020" s="15">
        <v>1030</v>
      </c>
      <c r="Y1020" s="15" t="s">
        <v>160</v>
      </c>
      <c r="Z1020" s="15" t="s">
        <v>161</v>
      </c>
      <c r="AA1020" s="15" t="s">
        <v>162</v>
      </c>
      <c r="AB1020" s="15" t="s">
        <v>13486</v>
      </c>
      <c r="AC1020" s="15" t="s">
        <v>13486</v>
      </c>
      <c r="AD1020" s="15" t="s">
        <v>13486</v>
      </c>
      <c r="AE1020" s="15" t="s">
        <v>164</v>
      </c>
      <c r="AF1020" s="15" t="s">
        <v>13486</v>
      </c>
      <c r="AG1020" s="15" t="s">
        <v>13486</v>
      </c>
      <c r="AH1020" s="47" t="s">
        <v>13487</v>
      </c>
      <c r="AL1020" s="15" t="s">
        <v>13488</v>
      </c>
      <c r="AN1020" s="15">
        <v>743</v>
      </c>
      <c r="AO1020" s="15" t="s">
        <v>13489</v>
      </c>
      <c r="AQ1020" s="15" t="s">
        <v>168</v>
      </c>
      <c r="AT1020" s="15" t="s">
        <v>13490</v>
      </c>
      <c r="AU1020" s="15" t="s">
        <v>13491</v>
      </c>
      <c r="AV1020" s="15" t="s">
        <v>13491</v>
      </c>
      <c r="AW1020" s="15" t="s">
        <v>13492</v>
      </c>
      <c r="AX1020" s="15" t="s">
        <v>13492</v>
      </c>
      <c r="AY1020" s="15">
        <f t="shared" si="20"/>
        <v>58</v>
      </c>
      <c r="AZ1020" s="15" t="s">
        <v>173</v>
      </c>
      <c r="BA1020" s="15" t="s">
        <v>174</v>
      </c>
      <c r="BB1020" s="15" t="s">
        <v>13476</v>
      </c>
      <c r="BE1020" s="15" t="s">
        <v>1701</v>
      </c>
      <c r="BJ1020" s="15" t="s">
        <v>1154</v>
      </c>
      <c r="BN1020" s="15" t="s">
        <v>179</v>
      </c>
      <c r="BP1020" s="15" t="s">
        <v>138</v>
      </c>
      <c r="BS1020" s="15" t="s">
        <v>13493</v>
      </c>
      <c r="DH1020" s="15" t="s">
        <v>17982</v>
      </c>
      <c r="DI1020" s="15" t="s">
        <v>17982</v>
      </c>
    </row>
    <row r="1021" spans="1:113" s="15" customFormat="1" ht="12.75" x14ac:dyDescent="0.2">
      <c r="A1021" s="15" t="s">
        <v>109</v>
      </c>
      <c r="B1021" s="15" t="s">
        <v>110</v>
      </c>
      <c r="D1021" s="15" t="s">
        <v>620</v>
      </c>
      <c r="E1021" s="15" t="s">
        <v>112</v>
      </c>
      <c r="F1021" s="15" t="s">
        <v>620</v>
      </c>
      <c r="G1021" s="15" t="s">
        <v>113</v>
      </c>
      <c r="H1021" s="15" t="s">
        <v>1481</v>
      </c>
      <c r="J1021" s="16" t="s">
        <v>114</v>
      </c>
      <c r="U1021" s="15" t="s">
        <v>17977</v>
      </c>
      <c r="W1021" s="15">
        <v>2783</v>
      </c>
      <c r="X1021" s="15">
        <v>1031</v>
      </c>
      <c r="Y1021" s="15" t="s">
        <v>160</v>
      </c>
      <c r="Z1021" s="15" t="s">
        <v>161</v>
      </c>
      <c r="AA1021" s="15" t="s">
        <v>162</v>
      </c>
      <c r="AB1021" s="15" t="s">
        <v>13494</v>
      </c>
      <c r="AC1021" s="15" t="s">
        <v>13494</v>
      </c>
      <c r="AD1021" s="15" t="s">
        <v>13494</v>
      </c>
      <c r="AE1021" s="15" t="s">
        <v>164</v>
      </c>
      <c r="AF1021" s="15" t="s">
        <v>13494</v>
      </c>
      <c r="AG1021" s="15" t="s">
        <v>13494</v>
      </c>
      <c r="AH1021" s="47" t="s">
        <v>13495</v>
      </c>
      <c r="AL1021" s="15" t="s">
        <v>13488</v>
      </c>
      <c r="AN1021" s="15">
        <v>743</v>
      </c>
      <c r="AO1021" s="15" t="s">
        <v>13496</v>
      </c>
      <c r="AQ1021" s="15" t="s">
        <v>168</v>
      </c>
      <c r="AT1021" s="15" t="s">
        <v>13497</v>
      </c>
      <c r="AU1021" s="15" t="s">
        <v>13498</v>
      </c>
      <c r="AV1021" s="15" t="s">
        <v>13498</v>
      </c>
      <c r="AW1021" s="15" t="s">
        <v>13499</v>
      </c>
      <c r="AX1021" s="15" t="s">
        <v>13499</v>
      </c>
      <c r="AY1021" s="15">
        <f t="shared" si="20"/>
        <v>56</v>
      </c>
      <c r="AZ1021" s="15" t="s">
        <v>173</v>
      </c>
      <c r="BA1021" s="15" t="s">
        <v>174</v>
      </c>
      <c r="BB1021" s="15" t="s">
        <v>13476</v>
      </c>
      <c r="BE1021" s="15" t="s">
        <v>564</v>
      </c>
      <c r="BJ1021" s="15" t="s">
        <v>1154</v>
      </c>
      <c r="BN1021" s="15" t="s">
        <v>179</v>
      </c>
      <c r="BP1021" s="15" t="s">
        <v>138</v>
      </c>
      <c r="BS1021" s="15" t="s">
        <v>13500</v>
      </c>
      <c r="DH1021" s="15" t="s">
        <v>17982</v>
      </c>
      <c r="DI1021" s="15" t="s">
        <v>17982</v>
      </c>
    </row>
    <row r="1022" spans="1:113" s="15" customFormat="1" ht="12.75" x14ac:dyDescent="0.2">
      <c r="A1022" s="15" t="s">
        <v>109</v>
      </c>
      <c r="B1022" s="15" t="s">
        <v>110</v>
      </c>
      <c r="D1022" s="15" t="s">
        <v>620</v>
      </c>
      <c r="E1022" s="15" t="s">
        <v>112</v>
      </c>
      <c r="F1022" s="15" t="s">
        <v>620</v>
      </c>
      <c r="G1022" s="15" t="s">
        <v>113</v>
      </c>
      <c r="H1022" s="15" t="s">
        <v>1481</v>
      </c>
      <c r="J1022" s="16" t="s">
        <v>114</v>
      </c>
      <c r="U1022" s="15" t="s">
        <v>17977</v>
      </c>
      <c r="W1022" s="15">
        <v>2780</v>
      </c>
      <c r="X1022" s="15">
        <v>1032</v>
      </c>
      <c r="Y1022" s="15" t="s">
        <v>160</v>
      </c>
      <c r="Z1022" s="15" t="s">
        <v>161</v>
      </c>
      <c r="AA1022" s="15" t="s">
        <v>162</v>
      </c>
      <c r="AB1022" s="15" t="s">
        <v>13469</v>
      </c>
      <c r="AC1022" s="15" t="s">
        <v>13469</v>
      </c>
      <c r="AD1022" s="15" t="s">
        <v>13469</v>
      </c>
      <c r="AE1022" s="15" t="s">
        <v>164</v>
      </c>
      <c r="AF1022" s="15" t="s">
        <v>13469</v>
      </c>
      <c r="AG1022" s="15" t="s">
        <v>13469</v>
      </c>
      <c r="AH1022" s="47" t="s">
        <v>13470</v>
      </c>
      <c r="AL1022" s="15" t="s">
        <v>13471</v>
      </c>
      <c r="AN1022" s="15">
        <v>743</v>
      </c>
      <c r="AO1022" s="15" t="s">
        <v>13472</v>
      </c>
      <c r="AQ1022" s="15" t="s">
        <v>168</v>
      </c>
      <c r="AT1022" s="15" t="s">
        <v>13473</v>
      </c>
      <c r="AU1022" s="15" t="s">
        <v>13474</v>
      </c>
      <c r="AV1022" s="15" t="s">
        <v>13474</v>
      </c>
      <c r="AW1022" s="15" t="s">
        <v>13475</v>
      </c>
      <c r="AX1022" s="15" t="s">
        <v>13475</v>
      </c>
      <c r="AY1022" s="15">
        <f t="shared" si="20"/>
        <v>59</v>
      </c>
      <c r="AZ1022" s="15" t="s">
        <v>173</v>
      </c>
      <c r="BA1022" s="15" t="s">
        <v>174</v>
      </c>
      <c r="BB1022" s="15" t="s">
        <v>13476</v>
      </c>
      <c r="BE1022" s="15" t="s">
        <v>13477</v>
      </c>
      <c r="BJ1022" s="15" t="s">
        <v>7919</v>
      </c>
      <c r="BN1022" s="15" t="s">
        <v>179</v>
      </c>
      <c r="BP1022" s="15" t="s">
        <v>138</v>
      </c>
      <c r="BS1022" s="15" t="s">
        <v>13478</v>
      </c>
      <c r="DH1022" s="15" t="s">
        <v>17982</v>
      </c>
      <c r="DI1022" s="15" t="s">
        <v>17982</v>
      </c>
    </row>
    <row r="1023" spans="1:113" s="15" customFormat="1" ht="12.75" x14ac:dyDescent="0.2">
      <c r="A1023" s="15" t="s">
        <v>109</v>
      </c>
      <c r="B1023" s="15" t="s">
        <v>110</v>
      </c>
      <c r="D1023" s="15" t="s">
        <v>620</v>
      </c>
      <c r="E1023" s="15" t="s">
        <v>112</v>
      </c>
      <c r="F1023" s="15" t="s">
        <v>620</v>
      </c>
      <c r="G1023" s="15" t="s">
        <v>113</v>
      </c>
      <c r="H1023" s="15" t="s">
        <v>1481</v>
      </c>
      <c r="J1023" s="16" t="s">
        <v>114</v>
      </c>
      <c r="U1023" s="15" t="s">
        <v>17977</v>
      </c>
      <c r="W1023" s="15">
        <v>2781</v>
      </c>
      <c r="X1023" s="15">
        <v>1033</v>
      </c>
      <c r="Y1023" s="15" t="s">
        <v>160</v>
      </c>
      <c r="Z1023" s="15" t="s">
        <v>161</v>
      </c>
      <c r="AA1023" s="15" t="s">
        <v>162</v>
      </c>
      <c r="AB1023" s="15" t="s">
        <v>13479</v>
      </c>
      <c r="AC1023" s="15" t="s">
        <v>13479</v>
      </c>
      <c r="AD1023" s="15" t="s">
        <v>13479</v>
      </c>
      <c r="AE1023" s="15" t="s">
        <v>164</v>
      </c>
      <c r="AF1023" s="15" t="s">
        <v>13479</v>
      </c>
      <c r="AG1023" s="15" t="s">
        <v>13479</v>
      </c>
      <c r="AH1023" s="47" t="s">
        <v>13480</v>
      </c>
      <c r="AL1023" s="15" t="s">
        <v>13471</v>
      </c>
      <c r="AN1023" s="15">
        <v>743</v>
      </c>
      <c r="AO1023" s="15" t="s">
        <v>13481</v>
      </c>
      <c r="AQ1023" s="15" t="s">
        <v>168</v>
      </c>
      <c r="AT1023" s="15" t="s">
        <v>13482</v>
      </c>
      <c r="AU1023" s="15" t="s">
        <v>13483</v>
      </c>
      <c r="AV1023" s="15" t="s">
        <v>13483</v>
      </c>
      <c r="AW1023" s="15" t="s">
        <v>13484</v>
      </c>
      <c r="AX1023" s="15" t="s">
        <v>13484</v>
      </c>
      <c r="AY1023" s="15">
        <f t="shared" si="20"/>
        <v>56</v>
      </c>
      <c r="AZ1023" s="15" t="s">
        <v>173</v>
      </c>
      <c r="BA1023" s="15" t="s">
        <v>174</v>
      </c>
      <c r="BB1023" s="15" t="s">
        <v>13476</v>
      </c>
      <c r="BE1023" s="15" t="s">
        <v>564</v>
      </c>
      <c r="BJ1023" s="15" t="s">
        <v>7919</v>
      </c>
      <c r="BN1023" s="15" t="s">
        <v>179</v>
      </c>
      <c r="BP1023" s="15" t="s">
        <v>138</v>
      </c>
      <c r="BS1023" s="15" t="s">
        <v>13485</v>
      </c>
      <c r="DH1023" s="15" t="s">
        <v>17982</v>
      </c>
      <c r="DI1023" s="15" t="s">
        <v>17982</v>
      </c>
    </row>
    <row r="1024" spans="1:113" s="15" customFormat="1" ht="12.75" x14ac:dyDescent="0.2">
      <c r="A1024" s="15" t="s">
        <v>109</v>
      </c>
      <c r="B1024" s="15" t="s">
        <v>110</v>
      </c>
      <c r="D1024" s="15" t="s">
        <v>620</v>
      </c>
      <c r="E1024" s="15" t="s">
        <v>141</v>
      </c>
      <c r="F1024" s="15" t="s">
        <v>620</v>
      </c>
      <c r="G1024" s="15" t="s">
        <v>113</v>
      </c>
      <c r="H1024" s="15" t="s">
        <v>1481</v>
      </c>
      <c r="J1024" s="16" t="s">
        <v>114</v>
      </c>
      <c r="U1024" s="15" t="s">
        <v>17977</v>
      </c>
      <c r="W1024" s="15">
        <v>1349</v>
      </c>
      <c r="X1024" s="15">
        <v>1034</v>
      </c>
      <c r="Y1024" s="15" t="s">
        <v>160</v>
      </c>
      <c r="Z1024" s="15" t="s">
        <v>161</v>
      </c>
      <c r="AA1024" s="15" t="s">
        <v>162</v>
      </c>
      <c r="AB1024" s="15" t="s">
        <v>6961</v>
      </c>
      <c r="AC1024" s="15" t="s">
        <v>6961</v>
      </c>
      <c r="AD1024" s="15" t="s">
        <v>6961</v>
      </c>
      <c r="AE1024" s="15" t="s">
        <v>164</v>
      </c>
      <c r="AF1024" s="15" t="s">
        <v>6961</v>
      </c>
      <c r="AG1024" s="15" t="s">
        <v>6961</v>
      </c>
      <c r="AH1024" s="15" t="s">
        <v>6962</v>
      </c>
      <c r="AL1024" s="15" t="s">
        <v>6963</v>
      </c>
      <c r="AN1024" s="15">
        <v>743</v>
      </c>
      <c r="AO1024" s="15" t="s">
        <v>6964</v>
      </c>
      <c r="AQ1024" s="15" t="s">
        <v>912</v>
      </c>
      <c r="AT1024" s="15" t="s">
        <v>6965</v>
      </c>
      <c r="AU1024" s="15" t="s">
        <v>6966</v>
      </c>
      <c r="AV1024" s="15" t="s">
        <v>6966</v>
      </c>
      <c r="AW1024" s="15" t="s">
        <v>6967</v>
      </c>
      <c r="AX1024" s="15" t="s">
        <v>6967</v>
      </c>
      <c r="AY1024" s="15">
        <f t="shared" si="20"/>
        <v>57</v>
      </c>
      <c r="AZ1024" s="15" t="s">
        <v>917</v>
      </c>
      <c r="BA1024" s="15" t="s">
        <v>174</v>
      </c>
      <c r="BB1024" s="15" t="s">
        <v>6956</v>
      </c>
      <c r="BF1024" s="15" t="s">
        <v>199</v>
      </c>
      <c r="BI1024" s="15" t="s">
        <v>6958</v>
      </c>
      <c r="BJ1024" s="15" t="s">
        <v>6968</v>
      </c>
      <c r="BN1024" s="15" t="s">
        <v>179</v>
      </c>
      <c r="BP1024" s="15" t="s">
        <v>138</v>
      </c>
      <c r="BS1024" s="15" t="s">
        <v>6969</v>
      </c>
      <c r="DH1024" s="15" t="s">
        <v>17982</v>
      </c>
      <c r="DI1024" s="15" t="s">
        <v>17982</v>
      </c>
    </row>
    <row r="1025" spans="1:113" s="15" customFormat="1" ht="12.75" x14ac:dyDescent="0.2">
      <c r="A1025" s="15" t="s">
        <v>109</v>
      </c>
      <c r="B1025" s="15" t="s">
        <v>110</v>
      </c>
      <c r="D1025" s="15" t="s">
        <v>620</v>
      </c>
      <c r="E1025" s="15" t="s">
        <v>112</v>
      </c>
      <c r="F1025" s="15" t="s">
        <v>620</v>
      </c>
      <c r="G1025" s="15" t="s">
        <v>113</v>
      </c>
      <c r="H1025" s="15" t="s">
        <v>1481</v>
      </c>
      <c r="J1025" s="16" t="s">
        <v>114</v>
      </c>
      <c r="U1025" s="15" t="s">
        <v>17977</v>
      </c>
      <c r="W1025" s="15">
        <v>1350</v>
      </c>
      <c r="X1025" s="15">
        <v>1035</v>
      </c>
      <c r="Y1025" s="15" t="s">
        <v>160</v>
      </c>
      <c r="Z1025" s="15" t="s">
        <v>161</v>
      </c>
      <c r="AA1025" s="15" t="s">
        <v>162</v>
      </c>
      <c r="AB1025" s="15" t="s">
        <v>6970</v>
      </c>
      <c r="AC1025" s="15" t="s">
        <v>6970</v>
      </c>
      <c r="AD1025" s="15" t="s">
        <v>6970</v>
      </c>
      <c r="AE1025" s="15" t="s">
        <v>164</v>
      </c>
      <c r="AF1025" s="15" t="s">
        <v>6970</v>
      </c>
      <c r="AG1025" s="15" t="s">
        <v>6970</v>
      </c>
      <c r="AH1025" s="15" t="s">
        <v>6971</v>
      </c>
      <c r="AL1025" s="15" t="s">
        <v>6963</v>
      </c>
      <c r="AN1025" s="15">
        <v>743</v>
      </c>
      <c r="AO1025" s="15" t="s">
        <v>6972</v>
      </c>
      <c r="AQ1025" s="15" t="s">
        <v>912</v>
      </c>
      <c r="AT1025" s="15" t="s">
        <v>6973</v>
      </c>
      <c r="AU1025" s="15" t="s">
        <v>6974</v>
      </c>
      <c r="AV1025" s="15" t="s">
        <v>6974</v>
      </c>
      <c r="AW1025" s="15" t="s">
        <v>6975</v>
      </c>
      <c r="AX1025" s="15" t="s">
        <v>6976</v>
      </c>
      <c r="AY1025" s="15">
        <f t="shared" si="20"/>
        <v>58</v>
      </c>
      <c r="AZ1025" s="15" t="s">
        <v>917</v>
      </c>
      <c r="BA1025" s="15" t="s">
        <v>174</v>
      </c>
      <c r="BB1025" s="15" t="s">
        <v>6956</v>
      </c>
      <c r="BE1025" s="15" t="s">
        <v>1095</v>
      </c>
      <c r="BI1025" s="15" t="s">
        <v>6958</v>
      </c>
      <c r="BJ1025" s="15" t="s">
        <v>6977</v>
      </c>
      <c r="BN1025" s="15" t="s">
        <v>179</v>
      </c>
      <c r="BP1025" s="15" t="s">
        <v>138</v>
      </c>
      <c r="BS1025" s="15" t="s">
        <v>6978</v>
      </c>
      <c r="DH1025" s="15" t="s">
        <v>17982</v>
      </c>
      <c r="DI1025" s="15" t="s">
        <v>17982</v>
      </c>
    </row>
    <row r="1026" spans="1:113" s="15" customFormat="1" ht="12.75" x14ac:dyDescent="0.2">
      <c r="A1026" s="15" t="s">
        <v>109</v>
      </c>
      <c r="B1026" s="15" t="s">
        <v>110</v>
      </c>
      <c r="D1026" s="15" t="s">
        <v>620</v>
      </c>
      <c r="E1026" s="15" t="s">
        <v>112</v>
      </c>
      <c r="F1026" s="15" t="s">
        <v>620</v>
      </c>
      <c r="G1026" s="15" t="s">
        <v>113</v>
      </c>
      <c r="H1026" s="15" t="s">
        <v>1481</v>
      </c>
      <c r="J1026" s="16" t="s">
        <v>114</v>
      </c>
      <c r="U1026" s="15" t="s">
        <v>17977</v>
      </c>
      <c r="W1026" s="15">
        <v>1289</v>
      </c>
      <c r="X1026" s="15">
        <v>1036</v>
      </c>
      <c r="Y1026" s="15" t="s">
        <v>160</v>
      </c>
      <c r="Z1026" s="15" t="s">
        <v>161</v>
      </c>
      <c r="AA1026" s="15" t="s">
        <v>162</v>
      </c>
      <c r="AB1026" s="15" t="s">
        <v>6628</v>
      </c>
      <c r="AC1026" s="15" t="s">
        <v>6628</v>
      </c>
      <c r="AD1026" s="15" t="s">
        <v>6628</v>
      </c>
      <c r="AE1026" s="15" t="s">
        <v>164</v>
      </c>
      <c r="AF1026" s="15" t="s">
        <v>6628</v>
      </c>
      <c r="AG1026" s="15" t="s">
        <v>6628</v>
      </c>
      <c r="AH1026" s="15" t="s">
        <v>6629</v>
      </c>
      <c r="AL1026" s="15" t="s">
        <v>6630</v>
      </c>
      <c r="AN1026" s="15">
        <v>743</v>
      </c>
      <c r="AO1026" s="15" t="s">
        <v>6631</v>
      </c>
      <c r="AQ1026" s="15" t="s">
        <v>168</v>
      </c>
      <c r="AT1026" s="15" t="s">
        <v>6632</v>
      </c>
      <c r="AU1026" s="15" t="s">
        <v>6633</v>
      </c>
      <c r="AV1026" s="15" t="s">
        <v>6633</v>
      </c>
      <c r="AW1026" s="15" t="s">
        <v>6634</v>
      </c>
      <c r="AX1026" s="15" t="s">
        <v>6634</v>
      </c>
      <c r="AY1026" s="15">
        <f t="shared" si="20"/>
        <v>60</v>
      </c>
      <c r="AZ1026" s="15" t="s">
        <v>173</v>
      </c>
      <c r="BA1026" s="15" t="s">
        <v>174</v>
      </c>
      <c r="BB1026" s="15" t="s">
        <v>6575</v>
      </c>
      <c r="BE1026" s="15" t="s">
        <v>1056</v>
      </c>
      <c r="BJ1026" s="15" t="s">
        <v>6635</v>
      </c>
      <c r="BN1026" s="15" t="s">
        <v>179</v>
      </c>
      <c r="BP1026" s="15" t="s">
        <v>138</v>
      </c>
      <c r="BS1026" s="15" t="s">
        <v>6636</v>
      </c>
      <c r="DH1026" s="15" t="s">
        <v>17982</v>
      </c>
      <c r="DI1026" s="15" t="s">
        <v>17982</v>
      </c>
    </row>
    <row r="1027" spans="1:113" s="15" customFormat="1" ht="12.75" x14ac:dyDescent="0.2">
      <c r="A1027" s="15" t="s">
        <v>109</v>
      </c>
      <c r="B1027" s="15" t="s">
        <v>110</v>
      </c>
      <c r="D1027" s="15" t="s">
        <v>620</v>
      </c>
      <c r="E1027" s="15" t="s">
        <v>112</v>
      </c>
      <c r="F1027" s="15" t="s">
        <v>620</v>
      </c>
      <c r="G1027" s="15" t="s">
        <v>113</v>
      </c>
      <c r="H1027" s="15" t="s">
        <v>1481</v>
      </c>
      <c r="J1027" s="16" t="s">
        <v>114</v>
      </c>
      <c r="U1027" s="15" t="s">
        <v>17977</v>
      </c>
      <c r="W1027" s="15">
        <v>1284</v>
      </c>
      <c r="X1027" s="15">
        <v>1037</v>
      </c>
      <c r="Y1027" s="15" t="s">
        <v>160</v>
      </c>
      <c r="Z1027" s="15" t="s">
        <v>161</v>
      </c>
      <c r="AA1027" s="15" t="s">
        <v>162</v>
      </c>
      <c r="AB1027" s="15" t="s">
        <v>6578</v>
      </c>
      <c r="AC1027" s="15" t="s">
        <v>6578</v>
      </c>
      <c r="AD1027" s="15" t="s">
        <v>6578</v>
      </c>
      <c r="AE1027" s="15" t="s">
        <v>164</v>
      </c>
      <c r="AF1027" s="15" t="s">
        <v>6578</v>
      </c>
      <c r="AG1027" s="15" t="s">
        <v>6578</v>
      </c>
      <c r="AH1027" s="15" t="s">
        <v>6579</v>
      </c>
      <c r="AI1027" s="15">
        <v>42291802</v>
      </c>
      <c r="AK1027" s="15" t="s">
        <v>1961</v>
      </c>
      <c r="AL1027" s="15" t="s">
        <v>6580</v>
      </c>
      <c r="AN1027" s="15">
        <v>743</v>
      </c>
      <c r="AO1027" s="15" t="s">
        <v>6581</v>
      </c>
      <c r="AQ1027" s="15" t="s">
        <v>168</v>
      </c>
      <c r="AT1027" s="15" t="s">
        <v>6582</v>
      </c>
      <c r="AU1027" s="15" t="s">
        <v>6583</v>
      </c>
      <c r="AV1027" s="15" t="s">
        <v>6583</v>
      </c>
      <c r="AW1027" s="15" t="s">
        <v>6584</v>
      </c>
      <c r="AX1027" s="15" t="s">
        <v>6585</v>
      </c>
      <c r="AY1027" s="15">
        <f t="shared" si="20"/>
        <v>57</v>
      </c>
      <c r="AZ1027" s="15" t="s">
        <v>173</v>
      </c>
      <c r="BA1027" s="15" t="s">
        <v>174</v>
      </c>
      <c r="BB1027" s="15" t="s">
        <v>6575</v>
      </c>
      <c r="BE1027" s="15" t="s">
        <v>1032</v>
      </c>
      <c r="BJ1027" s="15" t="s">
        <v>6586</v>
      </c>
      <c r="BN1027" s="15" t="s">
        <v>179</v>
      </c>
      <c r="BP1027" s="15" t="s">
        <v>138</v>
      </c>
      <c r="BS1027" s="15" t="s">
        <v>6587</v>
      </c>
      <c r="DH1027" s="15" t="s">
        <v>17982</v>
      </c>
      <c r="DI1027" s="15" t="s">
        <v>17982</v>
      </c>
    </row>
    <row r="1028" spans="1:113" s="15" customFormat="1" ht="12.75" x14ac:dyDescent="0.2">
      <c r="A1028" s="15" t="s">
        <v>109</v>
      </c>
      <c r="B1028" s="15" t="s">
        <v>110</v>
      </c>
      <c r="D1028" s="15" t="s">
        <v>620</v>
      </c>
      <c r="E1028" s="15" t="s">
        <v>112</v>
      </c>
      <c r="F1028" s="15" t="s">
        <v>620</v>
      </c>
      <c r="G1028" s="15" t="s">
        <v>113</v>
      </c>
      <c r="H1028" s="15" t="s">
        <v>1481</v>
      </c>
      <c r="J1028" s="16" t="s">
        <v>114</v>
      </c>
      <c r="U1028" s="15" t="s">
        <v>17977</v>
      </c>
      <c r="W1028" s="15">
        <v>2641</v>
      </c>
      <c r="X1028" s="15">
        <v>1038</v>
      </c>
      <c r="Y1028" s="15" t="s">
        <v>160</v>
      </c>
      <c r="Z1028" s="15" t="s">
        <v>161</v>
      </c>
      <c r="AA1028" s="15" t="s">
        <v>162</v>
      </c>
      <c r="AB1028" s="15" t="s">
        <v>12815</v>
      </c>
      <c r="AC1028" s="15" t="s">
        <v>12815</v>
      </c>
      <c r="AD1028" s="15" t="s">
        <v>12815</v>
      </c>
      <c r="AE1028" s="15" t="s">
        <v>164</v>
      </c>
      <c r="AF1028" s="15" t="s">
        <v>12815</v>
      </c>
      <c r="AG1028" s="15" t="s">
        <v>12815</v>
      </c>
      <c r="AH1028" s="47" t="s">
        <v>12816</v>
      </c>
      <c r="AL1028" s="15" t="s">
        <v>12817</v>
      </c>
      <c r="AN1028" s="15">
        <v>743</v>
      </c>
      <c r="AO1028" s="15" t="s">
        <v>12818</v>
      </c>
      <c r="AQ1028" s="15" t="s">
        <v>168</v>
      </c>
      <c r="AT1028" s="15" t="s">
        <v>12819</v>
      </c>
      <c r="AU1028" s="15" t="s">
        <v>12820</v>
      </c>
      <c r="AV1028" s="15" t="s">
        <v>12820</v>
      </c>
      <c r="AW1028" s="15" t="s">
        <v>12821</v>
      </c>
      <c r="AX1028" s="15" t="s">
        <v>12821</v>
      </c>
      <c r="AY1028" s="15">
        <f t="shared" si="20"/>
        <v>60</v>
      </c>
      <c r="AZ1028" s="15" t="s">
        <v>173</v>
      </c>
      <c r="BA1028" s="15" t="s">
        <v>174</v>
      </c>
      <c r="BB1028" s="15" t="s">
        <v>12822</v>
      </c>
      <c r="BC1028" s="15">
        <v>1</v>
      </c>
      <c r="BE1028" s="15" t="s">
        <v>176</v>
      </c>
      <c r="BJ1028" s="15" t="s">
        <v>12823</v>
      </c>
      <c r="BN1028" s="15" t="s">
        <v>179</v>
      </c>
      <c r="BP1028" s="15" t="s">
        <v>138</v>
      </c>
      <c r="BS1028" s="15" t="s">
        <v>12824</v>
      </c>
      <c r="DH1028" s="15" t="s">
        <v>17982</v>
      </c>
      <c r="DI1028" s="15" t="s">
        <v>17982</v>
      </c>
    </row>
    <row r="1029" spans="1:113" s="15" customFormat="1" ht="12.75" x14ac:dyDescent="0.2">
      <c r="A1029" s="15" t="s">
        <v>109</v>
      </c>
      <c r="B1029" s="15" t="s">
        <v>110</v>
      </c>
      <c r="D1029" s="15" t="s">
        <v>620</v>
      </c>
      <c r="E1029" s="15" t="s">
        <v>141</v>
      </c>
      <c r="F1029" s="15" t="s">
        <v>620</v>
      </c>
      <c r="G1029" s="15" t="s">
        <v>113</v>
      </c>
      <c r="H1029" s="15" t="s">
        <v>1481</v>
      </c>
      <c r="J1029" s="16" t="s">
        <v>114</v>
      </c>
      <c r="U1029" s="15" t="s">
        <v>17977</v>
      </c>
      <c r="W1029" s="15">
        <v>9</v>
      </c>
      <c r="X1029" s="15">
        <v>1039</v>
      </c>
      <c r="Y1029" s="15" t="s">
        <v>160</v>
      </c>
      <c r="Z1029" s="15" t="s">
        <v>161</v>
      </c>
      <c r="AA1029" s="15" t="s">
        <v>162</v>
      </c>
      <c r="AB1029" s="15" t="s">
        <v>192</v>
      </c>
      <c r="AC1029" s="15" t="s">
        <v>192</v>
      </c>
      <c r="AD1029" s="15" t="s">
        <v>192</v>
      </c>
      <c r="AE1029" s="15" t="s">
        <v>164</v>
      </c>
      <c r="AF1029" s="15" t="s">
        <v>192</v>
      </c>
      <c r="AG1029" s="15" t="s">
        <v>192</v>
      </c>
      <c r="AH1029" s="15" t="s">
        <v>193</v>
      </c>
      <c r="AL1029" s="15" t="s">
        <v>194</v>
      </c>
      <c r="AN1029" s="15">
        <v>743</v>
      </c>
      <c r="AO1029" s="15" t="s">
        <v>195</v>
      </c>
      <c r="AQ1029" s="15" t="s">
        <v>168</v>
      </c>
      <c r="AT1029" s="15" t="s">
        <v>196</v>
      </c>
      <c r="AU1029" s="15" t="s">
        <v>197</v>
      </c>
      <c r="AV1029" s="15" t="s">
        <v>197</v>
      </c>
      <c r="AW1029" s="15" t="s">
        <v>198</v>
      </c>
      <c r="AX1029" s="15" t="s">
        <v>198</v>
      </c>
      <c r="AY1029" s="15">
        <f t="shared" si="20"/>
        <v>46</v>
      </c>
      <c r="AZ1029" s="15" t="s">
        <v>173</v>
      </c>
      <c r="BA1029" s="15" t="s">
        <v>174</v>
      </c>
      <c r="BB1029" s="15" t="s">
        <v>175</v>
      </c>
      <c r="BE1029" s="15" t="s">
        <v>199</v>
      </c>
      <c r="BI1029" s="15" t="s">
        <v>200</v>
      </c>
      <c r="BJ1029" s="15" t="s">
        <v>201</v>
      </c>
      <c r="BN1029" s="15" t="s">
        <v>179</v>
      </c>
      <c r="BP1029" s="15" t="s">
        <v>138</v>
      </c>
      <c r="BS1029" s="15" t="s">
        <v>202</v>
      </c>
      <c r="DH1029" s="15" t="s">
        <v>17982</v>
      </c>
      <c r="DI1029" s="15" t="s">
        <v>17982</v>
      </c>
    </row>
    <row r="1030" spans="1:113" s="15" customFormat="1" ht="12.75" x14ac:dyDescent="0.2">
      <c r="A1030" s="15" t="s">
        <v>109</v>
      </c>
      <c r="B1030" s="15" t="s">
        <v>110</v>
      </c>
      <c r="D1030" s="15" t="s">
        <v>620</v>
      </c>
      <c r="E1030" s="15" t="s">
        <v>112</v>
      </c>
      <c r="F1030" s="15" t="s">
        <v>620</v>
      </c>
      <c r="G1030" s="15" t="s">
        <v>113</v>
      </c>
      <c r="H1030" s="15" t="s">
        <v>1481</v>
      </c>
      <c r="J1030" s="16" t="s">
        <v>114</v>
      </c>
      <c r="U1030" s="15" t="s">
        <v>17977</v>
      </c>
      <c r="W1030" s="15">
        <v>1080</v>
      </c>
      <c r="X1030" s="15">
        <v>1040</v>
      </c>
      <c r="Y1030" s="15" t="s">
        <v>160</v>
      </c>
      <c r="Z1030" s="15" t="s">
        <v>161</v>
      </c>
      <c r="AA1030" s="15" t="s">
        <v>162</v>
      </c>
      <c r="AB1030" s="15" t="s">
        <v>5688</v>
      </c>
      <c r="AC1030" s="15" t="s">
        <v>5688</v>
      </c>
      <c r="AD1030" s="15" t="s">
        <v>5688</v>
      </c>
      <c r="AE1030" s="15" t="s">
        <v>164</v>
      </c>
      <c r="AF1030" s="15" t="s">
        <v>5688</v>
      </c>
      <c r="AG1030" s="15" t="s">
        <v>5688</v>
      </c>
      <c r="AH1030" s="15" t="s">
        <v>5689</v>
      </c>
      <c r="AL1030" s="15" t="s">
        <v>5690</v>
      </c>
      <c r="AN1030" s="15">
        <v>743</v>
      </c>
      <c r="AO1030" s="15" t="s">
        <v>5691</v>
      </c>
      <c r="AQ1030" s="15" t="s">
        <v>5692</v>
      </c>
      <c r="AT1030" s="15" t="s">
        <v>5693</v>
      </c>
      <c r="AU1030" s="15" t="s">
        <v>5694</v>
      </c>
      <c r="AV1030" s="15" t="s">
        <v>5694</v>
      </c>
      <c r="AW1030" s="15" t="s">
        <v>5695</v>
      </c>
      <c r="AX1030" s="15" t="s">
        <v>5696</v>
      </c>
      <c r="AY1030" s="15">
        <f t="shared" ref="AY1030:AY1093" si="21">LEN(SUBSTITUTE(AX1030, ", "," "))</f>
        <v>57</v>
      </c>
      <c r="AZ1030" s="15" t="s">
        <v>214</v>
      </c>
      <c r="BA1030" s="15" t="s">
        <v>1515</v>
      </c>
      <c r="BB1030" s="15" t="s">
        <v>5697</v>
      </c>
      <c r="BE1030" s="15" t="s">
        <v>5698</v>
      </c>
      <c r="BJ1030" s="15" t="s">
        <v>5699</v>
      </c>
      <c r="BK1030" s="15" t="s">
        <v>487</v>
      </c>
      <c r="BN1030" s="15" t="s">
        <v>179</v>
      </c>
      <c r="BP1030" s="15" t="s">
        <v>138</v>
      </c>
      <c r="BS1030" s="15" t="s">
        <v>5700</v>
      </c>
      <c r="DH1030" s="15" t="s">
        <v>17982</v>
      </c>
      <c r="DI1030" s="15" t="s">
        <v>17982</v>
      </c>
    </row>
    <row r="1031" spans="1:113" s="15" customFormat="1" ht="12.75" x14ac:dyDescent="0.2">
      <c r="A1031" s="15" t="s">
        <v>109</v>
      </c>
      <c r="B1031" s="15" t="s">
        <v>110</v>
      </c>
      <c r="D1031" s="15" t="s">
        <v>620</v>
      </c>
      <c r="E1031" s="15" t="s">
        <v>112</v>
      </c>
      <c r="F1031" s="15" t="s">
        <v>620</v>
      </c>
      <c r="G1031" s="15" t="s">
        <v>113</v>
      </c>
      <c r="H1031" s="15" t="s">
        <v>1481</v>
      </c>
      <c r="J1031" s="16" t="s">
        <v>114</v>
      </c>
      <c r="U1031" s="15" t="s">
        <v>17977</v>
      </c>
      <c r="W1031" s="15">
        <v>2391</v>
      </c>
      <c r="X1031" s="15">
        <v>1041</v>
      </c>
      <c r="Y1031" s="15" t="s">
        <v>160</v>
      </c>
      <c r="Z1031" s="15" t="s">
        <v>161</v>
      </c>
      <c r="AA1031" s="15" t="s">
        <v>162</v>
      </c>
      <c r="AB1031" s="15" t="s">
        <v>11776</v>
      </c>
      <c r="AC1031" s="15" t="s">
        <v>11776</v>
      </c>
      <c r="AD1031" s="15" t="s">
        <v>11776</v>
      </c>
      <c r="AE1031" s="15" t="s">
        <v>164</v>
      </c>
      <c r="AF1031" s="15" t="s">
        <v>11776</v>
      </c>
      <c r="AG1031" s="15" t="s">
        <v>11776</v>
      </c>
      <c r="AH1031" s="47" t="s">
        <v>11777</v>
      </c>
      <c r="AL1031" s="15" t="s">
        <v>11778</v>
      </c>
      <c r="AN1031" s="15">
        <v>743</v>
      </c>
      <c r="AO1031" s="15" t="s">
        <v>11779</v>
      </c>
      <c r="AQ1031" s="15" t="s">
        <v>5692</v>
      </c>
      <c r="AT1031" s="15" t="s">
        <v>11780</v>
      </c>
      <c r="AU1031" s="15" t="s">
        <v>11781</v>
      </c>
      <c r="AV1031" s="15" t="s">
        <v>11781</v>
      </c>
      <c r="AW1031" s="15" t="s">
        <v>11782</v>
      </c>
      <c r="AX1031" s="15" t="s">
        <v>11783</v>
      </c>
      <c r="AY1031" s="15">
        <f t="shared" si="21"/>
        <v>55</v>
      </c>
      <c r="AZ1031" s="15" t="s">
        <v>214</v>
      </c>
      <c r="BA1031" s="15" t="s">
        <v>1515</v>
      </c>
      <c r="BB1031" s="15" t="s">
        <v>11784</v>
      </c>
      <c r="BE1031" s="15" t="s">
        <v>11785</v>
      </c>
      <c r="BJ1031" s="15" t="s">
        <v>11786</v>
      </c>
      <c r="BK1031" s="15" t="s">
        <v>487</v>
      </c>
      <c r="BN1031" s="15" t="s">
        <v>179</v>
      </c>
      <c r="BP1031" s="15" t="s">
        <v>138</v>
      </c>
      <c r="BS1031" s="15" t="s">
        <v>11787</v>
      </c>
      <c r="DH1031" s="15" t="s">
        <v>17982</v>
      </c>
      <c r="DI1031" s="15" t="s">
        <v>17982</v>
      </c>
    </row>
    <row r="1032" spans="1:113" s="15" customFormat="1" ht="12.75" x14ac:dyDescent="0.2">
      <c r="A1032" s="15" t="s">
        <v>109</v>
      </c>
      <c r="B1032" s="15" t="s">
        <v>110</v>
      </c>
      <c r="D1032" s="15" t="s">
        <v>620</v>
      </c>
      <c r="E1032" s="15" t="s">
        <v>112</v>
      </c>
      <c r="F1032" s="15" t="s">
        <v>620</v>
      </c>
      <c r="G1032" s="15" t="s">
        <v>113</v>
      </c>
      <c r="H1032" s="15" t="s">
        <v>1481</v>
      </c>
      <c r="J1032" s="16" t="s">
        <v>114</v>
      </c>
      <c r="U1032" s="15" t="s">
        <v>17977</v>
      </c>
      <c r="W1032" s="15">
        <v>376</v>
      </c>
      <c r="X1032" s="15">
        <v>1042</v>
      </c>
      <c r="Y1032" s="15" t="s">
        <v>160</v>
      </c>
      <c r="Z1032" s="15" t="s">
        <v>161</v>
      </c>
      <c r="AA1032" s="15" t="s">
        <v>162</v>
      </c>
      <c r="AB1032" s="15" t="s">
        <v>1506</v>
      </c>
      <c r="AC1032" s="15" t="s">
        <v>1506</v>
      </c>
      <c r="AD1032" s="15" t="s">
        <v>1506</v>
      </c>
      <c r="AE1032" s="15" t="s">
        <v>164</v>
      </c>
      <c r="AF1032" s="15" t="s">
        <v>1506</v>
      </c>
      <c r="AG1032" s="15" t="s">
        <v>1506</v>
      </c>
      <c r="AH1032" s="15" t="s">
        <v>1507</v>
      </c>
      <c r="AL1032" s="15" t="s">
        <v>1508</v>
      </c>
      <c r="AN1032" s="15">
        <v>743</v>
      </c>
      <c r="AO1032" s="15" t="s">
        <v>1509</v>
      </c>
      <c r="AQ1032" s="15" t="s">
        <v>225</v>
      </c>
      <c r="AT1032" s="15" t="s">
        <v>1510</v>
      </c>
      <c r="AU1032" s="15" t="s">
        <v>1511</v>
      </c>
      <c r="AV1032" s="15" t="s">
        <v>1511</v>
      </c>
      <c r="AW1032" s="15" t="s">
        <v>1512</v>
      </c>
      <c r="AX1032" s="15" t="s">
        <v>1513</v>
      </c>
      <c r="AY1032" s="15">
        <f t="shared" si="21"/>
        <v>54</v>
      </c>
      <c r="AZ1032" s="15" t="s">
        <v>1514</v>
      </c>
      <c r="BA1032" s="15" t="s">
        <v>1515</v>
      </c>
      <c r="BB1032" s="15" t="s">
        <v>1516</v>
      </c>
      <c r="BE1032" s="15" t="s">
        <v>1032</v>
      </c>
      <c r="BJ1032" s="15" t="s">
        <v>1517</v>
      </c>
      <c r="BK1032" s="15" t="s">
        <v>487</v>
      </c>
      <c r="BN1032" s="15" t="s">
        <v>179</v>
      </c>
      <c r="BP1032" s="15" t="s">
        <v>138</v>
      </c>
      <c r="BS1032" s="15" t="s">
        <v>1518</v>
      </c>
      <c r="DH1032" s="15" t="s">
        <v>17982</v>
      </c>
      <c r="DI1032" s="15" t="s">
        <v>17982</v>
      </c>
    </row>
    <row r="1033" spans="1:113" s="15" customFormat="1" ht="12.75" x14ac:dyDescent="0.2">
      <c r="A1033" s="15" t="s">
        <v>109</v>
      </c>
      <c r="B1033" s="15" t="s">
        <v>110</v>
      </c>
      <c r="D1033" s="15" t="s">
        <v>620</v>
      </c>
      <c r="E1033" s="15" t="s">
        <v>112</v>
      </c>
      <c r="F1033" s="15" t="s">
        <v>620</v>
      </c>
      <c r="G1033" s="15" t="s">
        <v>113</v>
      </c>
      <c r="H1033" s="15" t="s">
        <v>1481</v>
      </c>
      <c r="J1033" s="16" t="s">
        <v>114</v>
      </c>
      <c r="U1033" s="15" t="s">
        <v>17977</v>
      </c>
      <c r="W1033" s="15">
        <v>1572</v>
      </c>
      <c r="X1033" s="15">
        <v>1043</v>
      </c>
      <c r="Y1033" s="15" t="s">
        <v>160</v>
      </c>
      <c r="Z1033" s="15" t="s">
        <v>161</v>
      </c>
      <c r="AA1033" s="15" t="s">
        <v>162</v>
      </c>
      <c r="AB1033" s="15" t="s">
        <v>8238</v>
      </c>
      <c r="AC1033" s="15" t="s">
        <v>8238</v>
      </c>
      <c r="AD1033" s="15" t="s">
        <v>8238</v>
      </c>
      <c r="AE1033" s="15" t="s">
        <v>164</v>
      </c>
      <c r="AF1033" s="15" t="s">
        <v>8238</v>
      </c>
      <c r="AG1033" s="15" t="s">
        <v>8238</v>
      </c>
      <c r="AH1033" s="47" t="s">
        <v>8239</v>
      </c>
      <c r="AL1033" s="15" t="s">
        <v>8240</v>
      </c>
      <c r="AN1033" s="15">
        <v>743</v>
      </c>
      <c r="AO1033" s="15" t="s">
        <v>8241</v>
      </c>
      <c r="AQ1033" s="15" t="s">
        <v>6091</v>
      </c>
      <c r="AT1033" s="15" t="s">
        <v>8242</v>
      </c>
      <c r="AU1033" s="15" t="s">
        <v>8243</v>
      </c>
      <c r="AV1033" s="15" t="s">
        <v>8243</v>
      </c>
      <c r="AW1033" s="15" t="s">
        <v>8244</v>
      </c>
      <c r="AX1033" s="15" t="s">
        <v>8245</v>
      </c>
      <c r="AY1033" s="15">
        <f t="shared" si="21"/>
        <v>60</v>
      </c>
      <c r="AZ1033" s="15" t="s">
        <v>5831</v>
      </c>
      <c r="BA1033" s="15" t="s">
        <v>174</v>
      </c>
      <c r="BB1033" s="15" t="s">
        <v>6096</v>
      </c>
      <c r="BC1033" s="15" t="s">
        <v>8246</v>
      </c>
      <c r="BE1033" s="15" t="s">
        <v>367</v>
      </c>
      <c r="BI1033" s="15" t="s">
        <v>200</v>
      </c>
      <c r="BJ1033" s="15" t="s">
        <v>8247</v>
      </c>
      <c r="BK1033" s="15" t="s">
        <v>487</v>
      </c>
      <c r="BN1033" s="15" t="s">
        <v>179</v>
      </c>
      <c r="BP1033" s="15" t="s">
        <v>138</v>
      </c>
      <c r="BS1033" s="15" t="s">
        <v>8248</v>
      </c>
      <c r="DH1033" s="15" t="s">
        <v>17982</v>
      </c>
      <c r="DI1033" s="15" t="s">
        <v>17982</v>
      </c>
    </row>
    <row r="1034" spans="1:113" s="15" customFormat="1" ht="12.75" x14ac:dyDescent="0.2">
      <c r="A1034" s="15" t="s">
        <v>109</v>
      </c>
      <c r="B1034" s="15" t="s">
        <v>110</v>
      </c>
      <c r="D1034" s="15" t="s">
        <v>620</v>
      </c>
      <c r="E1034" s="15" t="s">
        <v>112</v>
      </c>
      <c r="F1034" s="15" t="s">
        <v>620</v>
      </c>
      <c r="G1034" s="15" t="s">
        <v>113</v>
      </c>
      <c r="H1034" s="15" t="s">
        <v>1481</v>
      </c>
      <c r="J1034" s="16" t="s">
        <v>114</v>
      </c>
      <c r="U1034" s="15" t="s">
        <v>17977</v>
      </c>
      <c r="W1034" s="15">
        <v>1560</v>
      </c>
      <c r="X1034" s="15">
        <v>1044</v>
      </c>
      <c r="Y1034" s="15" t="s">
        <v>160</v>
      </c>
      <c r="Z1034" s="15" t="s">
        <v>161</v>
      </c>
      <c r="AA1034" s="15" t="s">
        <v>162</v>
      </c>
      <c r="AB1034" s="15" t="s">
        <v>8112</v>
      </c>
      <c r="AC1034" s="15" t="s">
        <v>8112</v>
      </c>
      <c r="AD1034" s="15" t="s">
        <v>8113</v>
      </c>
      <c r="AE1034" s="15" t="s">
        <v>164</v>
      </c>
      <c r="AF1034" s="15" t="s">
        <v>8113</v>
      </c>
      <c r="AG1034" s="15" t="s">
        <v>8112</v>
      </c>
      <c r="AH1034" s="47" t="s">
        <v>8114</v>
      </c>
      <c r="AL1034" s="15" t="s">
        <v>8115</v>
      </c>
      <c r="AN1034" s="15">
        <v>743</v>
      </c>
      <c r="AO1034" s="15" t="s">
        <v>8116</v>
      </c>
      <c r="AQ1034" s="15" t="s">
        <v>6091</v>
      </c>
      <c r="AT1034" s="15" t="s">
        <v>8117</v>
      </c>
      <c r="AU1034" s="15" t="s">
        <v>8118</v>
      </c>
      <c r="AV1034" s="15" t="s">
        <v>8118</v>
      </c>
      <c r="AW1034" s="15" t="s">
        <v>8119</v>
      </c>
      <c r="AX1034" s="15" t="s">
        <v>8120</v>
      </c>
      <c r="AY1034" s="15">
        <f t="shared" si="21"/>
        <v>57</v>
      </c>
      <c r="AZ1034" s="15" t="s">
        <v>5831</v>
      </c>
      <c r="BA1034" s="15" t="s">
        <v>174</v>
      </c>
      <c r="BB1034" s="15" t="s">
        <v>6096</v>
      </c>
      <c r="BC1034" s="15" t="s">
        <v>217</v>
      </c>
      <c r="BE1034" s="15" t="s">
        <v>367</v>
      </c>
      <c r="BI1034" s="15" t="s">
        <v>200</v>
      </c>
      <c r="BJ1034" s="15" t="s">
        <v>7970</v>
      </c>
      <c r="BK1034" s="15" t="s">
        <v>487</v>
      </c>
      <c r="BN1034" s="15" t="s">
        <v>179</v>
      </c>
      <c r="BP1034" s="15" t="s">
        <v>138</v>
      </c>
      <c r="BS1034" s="15" t="s">
        <v>8121</v>
      </c>
      <c r="DH1034" s="15" t="s">
        <v>17982</v>
      </c>
      <c r="DI1034" s="15" t="s">
        <v>17982</v>
      </c>
    </row>
    <row r="1035" spans="1:113" s="15" customFormat="1" ht="12.75" x14ac:dyDescent="0.2">
      <c r="A1035" s="15" t="s">
        <v>109</v>
      </c>
      <c r="B1035" s="15" t="s">
        <v>110</v>
      </c>
      <c r="D1035" s="15" t="s">
        <v>620</v>
      </c>
      <c r="E1035" s="15" t="s">
        <v>112</v>
      </c>
      <c r="F1035" s="15" t="s">
        <v>620</v>
      </c>
      <c r="G1035" s="15" t="s">
        <v>113</v>
      </c>
      <c r="H1035" s="15" t="s">
        <v>1481</v>
      </c>
      <c r="J1035" s="16" t="s">
        <v>114</v>
      </c>
      <c r="U1035" s="15" t="s">
        <v>17977</v>
      </c>
      <c r="W1035" s="15">
        <v>1561</v>
      </c>
      <c r="X1035" s="15">
        <v>1045</v>
      </c>
      <c r="Y1035" s="15" t="s">
        <v>160</v>
      </c>
      <c r="Z1035" s="15" t="s">
        <v>161</v>
      </c>
      <c r="AA1035" s="15" t="s">
        <v>162</v>
      </c>
      <c r="AB1035" s="15" t="s">
        <v>8122</v>
      </c>
      <c r="AC1035" s="15" t="s">
        <v>8122</v>
      </c>
      <c r="AD1035" s="15" t="s">
        <v>8123</v>
      </c>
      <c r="AE1035" s="15" t="s">
        <v>164</v>
      </c>
      <c r="AF1035" s="15" t="s">
        <v>8123</v>
      </c>
      <c r="AG1035" s="15" t="s">
        <v>8122</v>
      </c>
      <c r="AH1035" s="47" t="s">
        <v>8124</v>
      </c>
      <c r="AL1035" s="15" t="s">
        <v>8125</v>
      </c>
      <c r="AN1035" s="15">
        <v>743</v>
      </c>
      <c r="AO1035" s="15" t="s">
        <v>8126</v>
      </c>
      <c r="AQ1035" s="15" t="s">
        <v>6091</v>
      </c>
      <c r="AT1035" s="15" t="s">
        <v>8127</v>
      </c>
      <c r="AU1035" s="15" t="s">
        <v>8128</v>
      </c>
      <c r="AV1035" s="15" t="s">
        <v>8128</v>
      </c>
      <c r="AW1035" s="15" t="s">
        <v>8129</v>
      </c>
      <c r="AX1035" s="15" t="s">
        <v>8130</v>
      </c>
      <c r="AY1035" s="15">
        <f t="shared" si="21"/>
        <v>57</v>
      </c>
      <c r="AZ1035" s="15" t="s">
        <v>5831</v>
      </c>
      <c r="BA1035" s="15" t="s">
        <v>174</v>
      </c>
      <c r="BB1035" s="15" t="s">
        <v>6096</v>
      </c>
      <c r="BC1035" s="15" t="s">
        <v>3591</v>
      </c>
      <c r="BE1035" s="15" t="s">
        <v>367</v>
      </c>
      <c r="BI1035" s="15" t="s">
        <v>200</v>
      </c>
      <c r="BJ1035" s="15" t="s">
        <v>7970</v>
      </c>
      <c r="BK1035" s="15" t="s">
        <v>487</v>
      </c>
      <c r="BN1035" s="15" t="s">
        <v>179</v>
      </c>
      <c r="BP1035" s="15" t="s">
        <v>138</v>
      </c>
      <c r="BS1035" s="15" t="s">
        <v>8131</v>
      </c>
      <c r="DH1035" s="15" t="s">
        <v>17982</v>
      </c>
      <c r="DI1035" s="15" t="s">
        <v>17982</v>
      </c>
    </row>
    <row r="1036" spans="1:113" s="15" customFormat="1" ht="12.75" x14ac:dyDescent="0.2">
      <c r="A1036" s="15" t="s">
        <v>109</v>
      </c>
      <c r="B1036" s="15" t="s">
        <v>110</v>
      </c>
      <c r="D1036" s="15" t="s">
        <v>620</v>
      </c>
      <c r="E1036" s="15" t="s">
        <v>112</v>
      </c>
      <c r="F1036" s="15" t="s">
        <v>620</v>
      </c>
      <c r="G1036" s="15" t="s">
        <v>113</v>
      </c>
      <c r="H1036" s="15" t="s">
        <v>1481</v>
      </c>
      <c r="J1036" s="16" t="s">
        <v>114</v>
      </c>
      <c r="U1036" s="15" t="s">
        <v>17977</v>
      </c>
      <c r="W1036" s="15">
        <v>1562</v>
      </c>
      <c r="X1036" s="15">
        <v>1046</v>
      </c>
      <c r="Y1036" s="15" t="s">
        <v>160</v>
      </c>
      <c r="Z1036" s="15" t="s">
        <v>161</v>
      </c>
      <c r="AA1036" s="15" t="s">
        <v>162</v>
      </c>
      <c r="AB1036" s="15" t="s">
        <v>8132</v>
      </c>
      <c r="AC1036" s="15" t="s">
        <v>8132</v>
      </c>
      <c r="AD1036" s="15" t="s">
        <v>8133</v>
      </c>
      <c r="AE1036" s="15" t="s">
        <v>164</v>
      </c>
      <c r="AF1036" s="15" t="s">
        <v>8133</v>
      </c>
      <c r="AG1036" s="15" t="s">
        <v>8132</v>
      </c>
      <c r="AH1036" s="47" t="s">
        <v>8134</v>
      </c>
      <c r="AL1036" s="15" t="s">
        <v>8135</v>
      </c>
      <c r="AN1036" s="15">
        <v>743</v>
      </c>
      <c r="AO1036" s="15" t="s">
        <v>8136</v>
      </c>
      <c r="AQ1036" s="15" t="s">
        <v>6091</v>
      </c>
      <c r="AT1036" s="15" t="s">
        <v>8137</v>
      </c>
      <c r="AU1036" s="15" t="s">
        <v>8138</v>
      </c>
      <c r="AV1036" s="15" t="s">
        <v>8138</v>
      </c>
      <c r="AW1036" s="15" t="s">
        <v>8139</v>
      </c>
      <c r="AX1036" s="15" t="s">
        <v>8140</v>
      </c>
      <c r="AY1036" s="15">
        <f t="shared" si="21"/>
        <v>57</v>
      </c>
      <c r="AZ1036" s="15" t="s">
        <v>5831</v>
      </c>
      <c r="BA1036" s="15" t="s">
        <v>174</v>
      </c>
      <c r="BB1036" s="15" t="s">
        <v>6096</v>
      </c>
      <c r="BC1036" s="15" t="s">
        <v>1608</v>
      </c>
      <c r="BE1036" s="15" t="s">
        <v>367</v>
      </c>
      <c r="BI1036" s="15" t="s">
        <v>200</v>
      </c>
      <c r="BJ1036" s="15" t="s">
        <v>8044</v>
      </c>
      <c r="BK1036" s="15" t="s">
        <v>487</v>
      </c>
      <c r="BN1036" s="15" t="s">
        <v>179</v>
      </c>
      <c r="BP1036" s="15" t="s">
        <v>138</v>
      </c>
      <c r="BS1036" s="15" t="s">
        <v>8141</v>
      </c>
      <c r="DH1036" s="15" t="s">
        <v>17982</v>
      </c>
      <c r="DI1036" s="15" t="s">
        <v>17982</v>
      </c>
    </row>
    <row r="1037" spans="1:113" s="15" customFormat="1" ht="12.75" x14ac:dyDescent="0.2">
      <c r="A1037" s="15" t="s">
        <v>109</v>
      </c>
      <c r="B1037" s="15" t="s">
        <v>110</v>
      </c>
      <c r="D1037" s="15" t="s">
        <v>620</v>
      </c>
      <c r="E1037" s="15" t="s">
        <v>112</v>
      </c>
      <c r="F1037" s="15" t="s">
        <v>620</v>
      </c>
      <c r="G1037" s="15" t="s">
        <v>113</v>
      </c>
      <c r="H1037" s="15" t="s">
        <v>1481</v>
      </c>
      <c r="J1037" s="16" t="s">
        <v>114</v>
      </c>
      <c r="U1037" s="15" t="s">
        <v>17977</v>
      </c>
      <c r="W1037" s="15">
        <v>1563</v>
      </c>
      <c r="X1037" s="15">
        <v>1047</v>
      </c>
      <c r="Y1037" s="15" t="s">
        <v>160</v>
      </c>
      <c r="Z1037" s="15" t="s">
        <v>161</v>
      </c>
      <c r="AA1037" s="15" t="s">
        <v>162</v>
      </c>
      <c r="AB1037" s="15" t="s">
        <v>8142</v>
      </c>
      <c r="AC1037" s="15" t="s">
        <v>8142</v>
      </c>
      <c r="AD1037" s="15" t="s">
        <v>8143</v>
      </c>
      <c r="AE1037" s="15" t="s">
        <v>164</v>
      </c>
      <c r="AF1037" s="15" t="s">
        <v>8143</v>
      </c>
      <c r="AG1037" s="15" t="s">
        <v>8142</v>
      </c>
      <c r="AH1037" s="47" t="s">
        <v>8144</v>
      </c>
      <c r="AL1037" s="15" t="s">
        <v>8145</v>
      </c>
      <c r="AN1037" s="15">
        <v>743</v>
      </c>
      <c r="AO1037" s="15" t="s">
        <v>8146</v>
      </c>
      <c r="AQ1037" s="15" t="s">
        <v>6091</v>
      </c>
      <c r="AT1037" s="15" t="s">
        <v>8147</v>
      </c>
      <c r="AU1037" s="15" t="s">
        <v>8148</v>
      </c>
      <c r="AV1037" s="15" t="s">
        <v>8148</v>
      </c>
      <c r="AW1037" s="15" t="s">
        <v>8149</v>
      </c>
      <c r="AX1037" s="15" t="s">
        <v>8150</v>
      </c>
      <c r="AY1037" s="15">
        <f t="shared" si="21"/>
        <v>57</v>
      </c>
      <c r="AZ1037" s="15" t="s">
        <v>5831</v>
      </c>
      <c r="BA1037" s="15" t="s">
        <v>174</v>
      </c>
      <c r="BB1037" s="15" t="s">
        <v>6096</v>
      </c>
      <c r="BC1037" s="15" t="s">
        <v>1175</v>
      </c>
      <c r="BE1037" s="15" t="s">
        <v>367</v>
      </c>
      <c r="BI1037" s="15" t="s">
        <v>200</v>
      </c>
      <c r="BJ1037" s="15" t="s">
        <v>8044</v>
      </c>
      <c r="BK1037" s="15" t="s">
        <v>487</v>
      </c>
      <c r="BN1037" s="15" t="s">
        <v>179</v>
      </c>
      <c r="BP1037" s="15" t="s">
        <v>138</v>
      </c>
      <c r="BS1037" s="15" t="s">
        <v>8151</v>
      </c>
      <c r="DH1037" s="15" t="s">
        <v>17982</v>
      </c>
      <c r="DI1037" s="15" t="s">
        <v>17982</v>
      </c>
    </row>
    <row r="1038" spans="1:113" s="15" customFormat="1" ht="12.75" x14ac:dyDescent="0.2">
      <c r="A1038" s="15" t="s">
        <v>109</v>
      </c>
      <c r="B1038" s="15" t="s">
        <v>110</v>
      </c>
      <c r="D1038" s="15" t="s">
        <v>620</v>
      </c>
      <c r="E1038" s="15" t="s">
        <v>112</v>
      </c>
      <c r="F1038" s="15" t="s">
        <v>620</v>
      </c>
      <c r="G1038" s="15" t="s">
        <v>113</v>
      </c>
      <c r="H1038" s="15" t="s">
        <v>1481</v>
      </c>
      <c r="J1038" s="16" t="s">
        <v>114</v>
      </c>
      <c r="U1038" s="15" t="s">
        <v>17977</v>
      </c>
      <c r="W1038" s="15">
        <v>1564</v>
      </c>
      <c r="X1038" s="15">
        <v>1048</v>
      </c>
      <c r="Y1038" s="15" t="s">
        <v>160</v>
      </c>
      <c r="Z1038" s="15" t="s">
        <v>161</v>
      </c>
      <c r="AA1038" s="15" t="s">
        <v>162</v>
      </c>
      <c r="AB1038" s="15" t="s">
        <v>8152</v>
      </c>
      <c r="AC1038" s="15" t="s">
        <v>8152</v>
      </c>
      <c r="AD1038" s="15" t="s">
        <v>8153</v>
      </c>
      <c r="AE1038" s="15" t="s">
        <v>164</v>
      </c>
      <c r="AF1038" s="15" t="s">
        <v>8153</v>
      </c>
      <c r="AG1038" s="15" t="s">
        <v>8152</v>
      </c>
      <c r="AH1038" s="47" t="s">
        <v>8154</v>
      </c>
      <c r="AL1038" s="15" t="s">
        <v>8155</v>
      </c>
      <c r="AN1038" s="15">
        <v>743</v>
      </c>
      <c r="AO1038" s="15" t="s">
        <v>8156</v>
      </c>
      <c r="AQ1038" s="15" t="s">
        <v>6091</v>
      </c>
      <c r="AT1038" s="15" t="s">
        <v>8157</v>
      </c>
      <c r="AU1038" s="15" t="s">
        <v>8158</v>
      </c>
      <c r="AV1038" s="15" t="s">
        <v>8158</v>
      </c>
      <c r="AW1038" s="15" t="s">
        <v>8159</v>
      </c>
      <c r="AX1038" s="15" t="s">
        <v>8160</v>
      </c>
      <c r="AY1038" s="15">
        <f t="shared" si="21"/>
        <v>57</v>
      </c>
      <c r="AZ1038" s="15" t="s">
        <v>5831</v>
      </c>
      <c r="BA1038" s="15" t="s">
        <v>174</v>
      </c>
      <c r="BB1038" s="15" t="s">
        <v>6096</v>
      </c>
      <c r="BC1038" s="15" t="s">
        <v>3738</v>
      </c>
      <c r="BE1038" s="15" t="s">
        <v>367</v>
      </c>
      <c r="BI1038" s="15" t="s">
        <v>200</v>
      </c>
      <c r="BJ1038" s="15" t="s">
        <v>7970</v>
      </c>
      <c r="BK1038" s="15" t="s">
        <v>487</v>
      </c>
      <c r="BN1038" s="15" t="s">
        <v>179</v>
      </c>
      <c r="BP1038" s="15" t="s">
        <v>138</v>
      </c>
      <c r="BS1038" s="15" t="s">
        <v>8161</v>
      </c>
      <c r="DH1038" s="15" t="s">
        <v>17982</v>
      </c>
      <c r="DI1038" s="15" t="s">
        <v>17982</v>
      </c>
    </row>
    <row r="1039" spans="1:113" s="15" customFormat="1" ht="12.75" x14ac:dyDescent="0.2">
      <c r="A1039" s="15" t="s">
        <v>109</v>
      </c>
      <c r="B1039" s="15" t="s">
        <v>110</v>
      </c>
      <c r="D1039" s="15" t="s">
        <v>620</v>
      </c>
      <c r="E1039" s="15" t="s">
        <v>112</v>
      </c>
      <c r="F1039" s="15" t="s">
        <v>620</v>
      </c>
      <c r="G1039" s="15" t="s">
        <v>113</v>
      </c>
      <c r="H1039" s="15" t="s">
        <v>1481</v>
      </c>
      <c r="J1039" s="16" t="s">
        <v>114</v>
      </c>
      <c r="U1039" s="15" t="s">
        <v>17977</v>
      </c>
      <c r="W1039" s="15">
        <v>1565</v>
      </c>
      <c r="X1039" s="15">
        <v>1049</v>
      </c>
      <c r="Y1039" s="15" t="s">
        <v>160</v>
      </c>
      <c r="Z1039" s="15" t="s">
        <v>161</v>
      </c>
      <c r="AA1039" s="15" t="s">
        <v>162</v>
      </c>
      <c r="AB1039" s="15" t="s">
        <v>8162</v>
      </c>
      <c r="AC1039" s="15" t="s">
        <v>8162</v>
      </c>
      <c r="AD1039" s="15" t="s">
        <v>8163</v>
      </c>
      <c r="AE1039" s="15" t="s">
        <v>164</v>
      </c>
      <c r="AF1039" s="15" t="s">
        <v>8163</v>
      </c>
      <c r="AG1039" s="15" t="s">
        <v>8162</v>
      </c>
      <c r="AH1039" s="47" t="s">
        <v>8164</v>
      </c>
      <c r="AL1039" s="15" t="s">
        <v>8165</v>
      </c>
      <c r="AN1039" s="15">
        <v>743</v>
      </c>
      <c r="AO1039" s="15" t="s">
        <v>8166</v>
      </c>
      <c r="AQ1039" s="15" t="s">
        <v>6091</v>
      </c>
      <c r="AT1039" s="15" t="s">
        <v>8167</v>
      </c>
      <c r="AU1039" s="15" t="s">
        <v>8168</v>
      </c>
      <c r="AV1039" s="15" t="s">
        <v>8168</v>
      </c>
      <c r="AW1039" s="15" t="s">
        <v>8169</v>
      </c>
      <c r="AX1039" s="15" t="s">
        <v>8170</v>
      </c>
      <c r="AY1039" s="15">
        <f t="shared" si="21"/>
        <v>57</v>
      </c>
      <c r="AZ1039" s="15" t="s">
        <v>5831</v>
      </c>
      <c r="BA1039" s="15" t="s">
        <v>174</v>
      </c>
      <c r="BB1039" s="15" t="s">
        <v>6096</v>
      </c>
      <c r="BC1039" s="15" t="s">
        <v>1667</v>
      </c>
      <c r="BE1039" s="15" t="s">
        <v>367</v>
      </c>
      <c r="BI1039" s="15" t="s">
        <v>200</v>
      </c>
      <c r="BJ1039" s="15" t="s">
        <v>7970</v>
      </c>
      <c r="BK1039" s="15" t="s">
        <v>487</v>
      </c>
      <c r="BN1039" s="15" t="s">
        <v>179</v>
      </c>
      <c r="BP1039" s="15" t="s">
        <v>138</v>
      </c>
      <c r="BS1039" s="15" t="s">
        <v>8171</v>
      </c>
      <c r="DH1039" s="15" t="s">
        <v>17982</v>
      </c>
      <c r="DI1039" s="15" t="s">
        <v>17982</v>
      </c>
    </row>
    <row r="1040" spans="1:113" s="15" customFormat="1" ht="12.75" x14ac:dyDescent="0.2">
      <c r="A1040" s="15" t="s">
        <v>109</v>
      </c>
      <c r="B1040" s="15" t="s">
        <v>110</v>
      </c>
      <c r="D1040" s="15" t="s">
        <v>620</v>
      </c>
      <c r="E1040" s="15" t="s">
        <v>112</v>
      </c>
      <c r="F1040" s="15" t="s">
        <v>620</v>
      </c>
      <c r="G1040" s="15" t="s">
        <v>113</v>
      </c>
      <c r="H1040" s="15" t="s">
        <v>1481</v>
      </c>
      <c r="J1040" s="16" t="s">
        <v>114</v>
      </c>
      <c r="U1040" s="15" t="s">
        <v>17977</v>
      </c>
      <c r="W1040" s="15">
        <v>1566</v>
      </c>
      <c r="X1040" s="15">
        <v>1050</v>
      </c>
      <c r="Y1040" s="15" t="s">
        <v>160</v>
      </c>
      <c r="Z1040" s="15" t="s">
        <v>161</v>
      </c>
      <c r="AA1040" s="15" t="s">
        <v>162</v>
      </c>
      <c r="AB1040" s="15" t="s">
        <v>8172</v>
      </c>
      <c r="AC1040" s="15" t="s">
        <v>8172</v>
      </c>
      <c r="AD1040" s="15" t="s">
        <v>8173</v>
      </c>
      <c r="AE1040" s="15" t="s">
        <v>164</v>
      </c>
      <c r="AF1040" s="15" t="s">
        <v>8173</v>
      </c>
      <c r="AG1040" s="15" t="s">
        <v>8172</v>
      </c>
      <c r="AH1040" s="47" t="s">
        <v>8174</v>
      </c>
      <c r="AL1040" s="15" t="s">
        <v>8175</v>
      </c>
      <c r="AN1040" s="15">
        <v>743</v>
      </c>
      <c r="AO1040" s="15" t="s">
        <v>8176</v>
      </c>
      <c r="AQ1040" s="15" t="s">
        <v>6091</v>
      </c>
      <c r="AT1040" s="15" t="s">
        <v>8177</v>
      </c>
      <c r="AU1040" s="15" t="s">
        <v>8178</v>
      </c>
      <c r="AV1040" s="15" t="s">
        <v>8178</v>
      </c>
      <c r="AW1040" s="15" t="s">
        <v>8179</v>
      </c>
      <c r="AX1040" s="15" t="s">
        <v>8180</v>
      </c>
      <c r="AY1040" s="15">
        <f t="shared" si="21"/>
        <v>57</v>
      </c>
      <c r="AZ1040" s="15" t="s">
        <v>5831</v>
      </c>
      <c r="BA1040" s="15" t="s">
        <v>174</v>
      </c>
      <c r="BB1040" s="15" t="s">
        <v>6096</v>
      </c>
      <c r="BC1040" s="15" t="s">
        <v>1467</v>
      </c>
      <c r="BE1040" s="15" t="s">
        <v>367</v>
      </c>
      <c r="BI1040" s="15" t="s">
        <v>200</v>
      </c>
      <c r="BJ1040" s="15" t="s">
        <v>7970</v>
      </c>
      <c r="BK1040" s="15" t="s">
        <v>487</v>
      </c>
      <c r="BN1040" s="15" t="s">
        <v>179</v>
      </c>
      <c r="BP1040" s="15" t="s">
        <v>138</v>
      </c>
      <c r="BS1040" s="15" t="s">
        <v>8181</v>
      </c>
      <c r="DH1040" s="15" t="s">
        <v>17982</v>
      </c>
      <c r="DI1040" s="15" t="s">
        <v>17982</v>
      </c>
    </row>
    <row r="1041" spans="1:113" s="15" customFormat="1" ht="12.75" x14ac:dyDescent="0.2">
      <c r="A1041" s="15" t="s">
        <v>109</v>
      </c>
      <c r="B1041" s="15" t="s">
        <v>110</v>
      </c>
      <c r="D1041" s="15" t="s">
        <v>620</v>
      </c>
      <c r="E1041" s="15" t="s">
        <v>112</v>
      </c>
      <c r="F1041" s="15" t="s">
        <v>620</v>
      </c>
      <c r="G1041" s="15" t="s">
        <v>113</v>
      </c>
      <c r="H1041" s="15" t="s">
        <v>1481</v>
      </c>
      <c r="J1041" s="16" t="s">
        <v>114</v>
      </c>
      <c r="U1041" s="15" t="s">
        <v>17977</v>
      </c>
      <c r="W1041" s="15">
        <v>1567</v>
      </c>
      <c r="X1041" s="15">
        <v>1051</v>
      </c>
      <c r="Y1041" s="15" t="s">
        <v>160</v>
      </c>
      <c r="Z1041" s="15" t="s">
        <v>161</v>
      </c>
      <c r="AA1041" s="15" t="s">
        <v>162</v>
      </c>
      <c r="AB1041" s="15" t="s">
        <v>8182</v>
      </c>
      <c r="AC1041" s="15" t="s">
        <v>8182</v>
      </c>
      <c r="AD1041" s="15" t="s">
        <v>8183</v>
      </c>
      <c r="AE1041" s="15" t="s">
        <v>164</v>
      </c>
      <c r="AF1041" s="15" t="s">
        <v>8183</v>
      </c>
      <c r="AG1041" s="15" t="s">
        <v>8182</v>
      </c>
      <c r="AH1041" s="47" t="s">
        <v>8184</v>
      </c>
      <c r="AL1041" s="15" t="s">
        <v>8185</v>
      </c>
      <c r="AN1041" s="15">
        <v>743</v>
      </c>
      <c r="AO1041" s="15" t="s">
        <v>8186</v>
      </c>
      <c r="AQ1041" s="15" t="s">
        <v>6091</v>
      </c>
      <c r="AT1041" s="15" t="s">
        <v>8187</v>
      </c>
      <c r="AU1041" s="15" t="s">
        <v>8188</v>
      </c>
      <c r="AV1041" s="15" t="s">
        <v>8188</v>
      </c>
      <c r="AW1041" s="15" t="s">
        <v>8189</v>
      </c>
      <c r="AX1041" s="15" t="s">
        <v>8190</v>
      </c>
      <c r="AY1041" s="15">
        <f t="shared" si="21"/>
        <v>57</v>
      </c>
      <c r="AZ1041" s="15" t="s">
        <v>5831</v>
      </c>
      <c r="BA1041" s="15" t="s">
        <v>174</v>
      </c>
      <c r="BB1041" s="15" t="s">
        <v>6096</v>
      </c>
      <c r="BC1041" s="15" t="s">
        <v>1479</v>
      </c>
      <c r="BE1041" s="15" t="s">
        <v>367</v>
      </c>
      <c r="BI1041" s="15" t="s">
        <v>200</v>
      </c>
      <c r="BJ1041" s="15" t="s">
        <v>7970</v>
      </c>
      <c r="BK1041" s="15" t="s">
        <v>487</v>
      </c>
      <c r="BN1041" s="15" t="s">
        <v>179</v>
      </c>
      <c r="BP1041" s="15" t="s">
        <v>138</v>
      </c>
      <c r="BS1041" s="15" t="s">
        <v>8191</v>
      </c>
      <c r="DH1041" s="15" t="s">
        <v>17982</v>
      </c>
      <c r="DI1041" s="15" t="s">
        <v>17982</v>
      </c>
    </row>
    <row r="1042" spans="1:113" s="15" customFormat="1" ht="12.75" x14ac:dyDescent="0.2">
      <c r="A1042" s="15" t="s">
        <v>109</v>
      </c>
      <c r="B1042" s="15" t="s">
        <v>110</v>
      </c>
      <c r="D1042" s="15" t="s">
        <v>620</v>
      </c>
      <c r="E1042" s="15" t="s">
        <v>112</v>
      </c>
      <c r="F1042" s="15" t="s">
        <v>620</v>
      </c>
      <c r="G1042" s="15" t="s">
        <v>113</v>
      </c>
      <c r="H1042" s="15" t="s">
        <v>1481</v>
      </c>
      <c r="J1042" s="16" t="s">
        <v>114</v>
      </c>
      <c r="U1042" s="15" t="s">
        <v>17977</v>
      </c>
      <c r="W1042" s="15">
        <v>1546</v>
      </c>
      <c r="X1042" s="15">
        <v>1052</v>
      </c>
      <c r="Y1042" s="15" t="s">
        <v>160</v>
      </c>
      <c r="Z1042" s="15" t="s">
        <v>161</v>
      </c>
      <c r="AA1042" s="15" t="s">
        <v>162</v>
      </c>
      <c r="AB1042" s="15" t="s">
        <v>7960</v>
      </c>
      <c r="AC1042" s="15" t="s">
        <v>7960</v>
      </c>
      <c r="AD1042" s="15" t="s">
        <v>7961</v>
      </c>
      <c r="AE1042" s="15" t="s">
        <v>164</v>
      </c>
      <c r="AF1042" s="15" t="s">
        <v>7961</v>
      </c>
      <c r="AG1042" s="15" t="s">
        <v>7960</v>
      </c>
      <c r="AH1042" s="47" t="s">
        <v>7962</v>
      </c>
      <c r="AL1042" s="15" t="s">
        <v>7963</v>
      </c>
      <c r="AN1042" s="15">
        <v>743</v>
      </c>
      <c r="AO1042" s="15" t="s">
        <v>7964</v>
      </c>
      <c r="AQ1042" s="15" t="s">
        <v>6091</v>
      </c>
      <c r="AT1042" s="15" t="s">
        <v>7965</v>
      </c>
      <c r="AU1042" s="15" t="s">
        <v>7966</v>
      </c>
      <c r="AV1042" s="15" t="s">
        <v>7966</v>
      </c>
      <c r="AW1042" s="15" t="s">
        <v>7967</v>
      </c>
      <c r="AX1042" s="15" t="s">
        <v>7968</v>
      </c>
      <c r="AY1042" s="15">
        <f t="shared" si="21"/>
        <v>58</v>
      </c>
      <c r="AZ1042" s="15" t="s">
        <v>5831</v>
      </c>
      <c r="BA1042" s="15" t="s">
        <v>174</v>
      </c>
      <c r="BB1042" s="15" t="s">
        <v>6096</v>
      </c>
      <c r="BC1042" s="15" t="s">
        <v>7969</v>
      </c>
      <c r="BE1042" s="15" t="s">
        <v>367</v>
      </c>
      <c r="BI1042" s="15" t="s">
        <v>200</v>
      </c>
      <c r="BJ1042" s="15" t="s">
        <v>7970</v>
      </c>
      <c r="BK1042" s="15" t="s">
        <v>487</v>
      </c>
      <c r="BN1042" s="15" t="s">
        <v>179</v>
      </c>
      <c r="BP1042" s="15" t="s">
        <v>138</v>
      </c>
      <c r="BS1042" s="15" t="s">
        <v>7971</v>
      </c>
      <c r="DH1042" s="15" t="s">
        <v>17982</v>
      </c>
      <c r="DI1042" s="15" t="s">
        <v>17982</v>
      </c>
    </row>
    <row r="1043" spans="1:113" s="15" customFormat="1" ht="12.75" x14ac:dyDescent="0.2">
      <c r="A1043" s="15" t="s">
        <v>109</v>
      </c>
      <c r="B1043" s="15" t="s">
        <v>110</v>
      </c>
      <c r="D1043" s="15" t="s">
        <v>620</v>
      </c>
      <c r="E1043" s="15" t="s">
        <v>112</v>
      </c>
      <c r="F1043" s="15" t="s">
        <v>620</v>
      </c>
      <c r="G1043" s="15" t="s">
        <v>113</v>
      </c>
      <c r="H1043" s="15" t="s">
        <v>1481</v>
      </c>
      <c r="J1043" s="16" t="s">
        <v>114</v>
      </c>
      <c r="U1043" s="15" t="s">
        <v>17977</v>
      </c>
      <c r="W1043" s="15">
        <v>1547</v>
      </c>
      <c r="X1043" s="15">
        <v>1053</v>
      </c>
      <c r="Y1043" s="15" t="s">
        <v>160</v>
      </c>
      <c r="Z1043" s="15" t="s">
        <v>161</v>
      </c>
      <c r="AA1043" s="15" t="s">
        <v>162</v>
      </c>
      <c r="AB1043" s="15" t="s">
        <v>7972</v>
      </c>
      <c r="AC1043" s="15" t="s">
        <v>7972</v>
      </c>
      <c r="AD1043" s="15" t="s">
        <v>7973</v>
      </c>
      <c r="AE1043" s="15" t="s">
        <v>164</v>
      </c>
      <c r="AF1043" s="15" t="s">
        <v>7973</v>
      </c>
      <c r="AG1043" s="15" t="s">
        <v>7972</v>
      </c>
      <c r="AH1043" s="47" t="s">
        <v>7974</v>
      </c>
      <c r="AL1043" s="15" t="s">
        <v>7975</v>
      </c>
      <c r="AN1043" s="15">
        <v>743</v>
      </c>
      <c r="AO1043" s="15" t="s">
        <v>7976</v>
      </c>
      <c r="AQ1043" s="15" t="s">
        <v>6091</v>
      </c>
      <c r="AT1043" s="15" t="s">
        <v>7977</v>
      </c>
      <c r="AU1043" s="15" t="s">
        <v>7978</v>
      </c>
      <c r="AV1043" s="15" t="s">
        <v>7978</v>
      </c>
      <c r="AW1043" s="15" t="s">
        <v>7979</v>
      </c>
      <c r="AX1043" s="15" t="s">
        <v>7980</v>
      </c>
      <c r="AY1043" s="15">
        <f t="shared" si="21"/>
        <v>59</v>
      </c>
      <c r="AZ1043" s="15" t="s">
        <v>5831</v>
      </c>
      <c r="BA1043" s="15" t="s">
        <v>174</v>
      </c>
      <c r="BB1043" s="15" t="s">
        <v>6096</v>
      </c>
      <c r="BC1043" s="15" t="s">
        <v>7981</v>
      </c>
      <c r="BE1043" s="15" t="s">
        <v>367</v>
      </c>
      <c r="BI1043" s="15" t="s">
        <v>200</v>
      </c>
      <c r="BJ1043" s="15" t="s">
        <v>7982</v>
      </c>
      <c r="BK1043" s="15" t="s">
        <v>487</v>
      </c>
      <c r="BN1043" s="15" t="s">
        <v>179</v>
      </c>
      <c r="BP1043" s="15" t="s">
        <v>138</v>
      </c>
      <c r="BS1043" s="15" t="s">
        <v>7983</v>
      </c>
      <c r="DH1043" s="15" t="s">
        <v>17982</v>
      </c>
      <c r="DI1043" s="15" t="s">
        <v>17982</v>
      </c>
    </row>
    <row r="1044" spans="1:113" s="15" customFormat="1" ht="12.75" x14ac:dyDescent="0.2">
      <c r="A1044" s="15" t="s">
        <v>109</v>
      </c>
      <c r="B1044" s="15" t="s">
        <v>110</v>
      </c>
      <c r="D1044" s="15" t="s">
        <v>620</v>
      </c>
      <c r="E1044" s="15" t="s">
        <v>112</v>
      </c>
      <c r="F1044" s="15" t="s">
        <v>620</v>
      </c>
      <c r="G1044" s="15" t="s">
        <v>113</v>
      </c>
      <c r="H1044" s="15" t="s">
        <v>1481</v>
      </c>
      <c r="J1044" s="16" t="s">
        <v>114</v>
      </c>
      <c r="U1044" s="15" t="s">
        <v>17977</v>
      </c>
      <c r="W1044" s="15">
        <v>1548</v>
      </c>
      <c r="X1044" s="15">
        <v>1054</v>
      </c>
      <c r="Y1044" s="15" t="s">
        <v>160</v>
      </c>
      <c r="Z1044" s="15" t="s">
        <v>161</v>
      </c>
      <c r="AA1044" s="15" t="s">
        <v>162</v>
      </c>
      <c r="AB1044" s="15" t="s">
        <v>7984</v>
      </c>
      <c r="AC1044" s="15" t="s">
        <v>7984</v>
      </c>
      <c r="AD1044" s="15" t="s">
        <v>7985</v>
      </c>
      <c r="AE1044" s="15" t="s">
        <v>164</v>
      </c>
      <c r="AF1044" s="15" t="s">
        <v>7985</v>
      </c>
      <c r="AG1044" s="15" t="s">
        <v>7984</v>
      </c>
      <c r="AH1044" s="47" t="s">
        <v>7986</v>
      </c>
      <c r="AL1044" s="15" t="s">
        <v>7987</v>
      </c>
      <c r="AN1044" s="15">
        <v>743</v>
      </c>
      <c r="AO1044" s="15" t="s">
        <v>7988</v>
      </c>
      <c r="AQ1044" s="15" t="s">
        <v>6091</v>
      </c>
      <c r="AT1044" s="15" t="s">
        <v>7989</v>
      </c>
      <c r="AU1044" s="15" t="s">
        <v>7990</v>
      </c>
      <c r="AV1044" s="15" t="s">
        <v>7990</v>
      </c>
      <c r="AW1044" s="15" t="s">
        <v>7991</v>
      </c>
      <c r="AX1044" s="15" t="s">
        <v>7992</v>
      </c>
      <c r="AY1044" s="15">
        <f t="shared" si="21"/>
        <v>59</v>
      </c>
      <c r="AZ1044" s="15" t="s">
        <v>5831</v>
      </c>
      <c r="BA1044" s="15" t="s">
        <v>174</v>
      </c>
      <c r="BB1044" s="15" t="s">
        <v>6096</v>
      </c>
      <c r="BC1044" s="15" t="s">
        <v>1767</v>
      </c>
      <c r="BE1044" s="15" t="s">
        <v>367</v>
      </c>
      <c r="BI1044" s="15" t="s">
        <v>200</v>
      </c>
      <c r="BJ1044" s="15" t="s">
        <v>7982</v>
      </c>
      <c r="BK1044" s="15" t="s">
        <v>487</v>
      </c>
      <c r="BN1044" s="15" t="s">
        <v>179</v>
      </c>
      <c r="BP1044" s="15" t="s">
        <v>138</v>
      </c>
      <c r="BS1044" s="15" t="s">
        <v>7993</v>
      </c>
      <c r="DH1044" s="15" t="s">
        <v>17982</v>
      </c>
      <c r="DI1044" s="15" t="s">
        <v>17982</v>
      </c>
    </row>
    <row r="1045" spans="1:113" s="15" customFormat="1" ht="12.75" x14ac:dyDescent="0.2">
      <c r="A1045" s="15" t="s">
        <v>109</v>
      </c>
      <c r="B1045" s="15" t="s">
        <v>110</v>
      </c>
      <c r="D1045" s="15" t="s">
        <v>620</v>
      </c>
      <c r="E1045" s="15" t="s">
        <v>112</v>
      </c>
      <c r="F1045" s="15" t="s">
        <v>620</v>
      </c>
      <c r="G1045" s="15" t="s">
        <v>113</v>
      </c>
      <c r="H1045" s="15" t="s">
        <v>1481</v>
      </c>
      <c r="J1045" s="16" t="s">
        <v>114</v>
      </c>
      <c r="U1045" s="15" t="s">
        <v>17977</v>
      </c>
      <c r="W1045" s="15">
        <v>1549</v>
      </c>
      <c r="X1045" s="15">
        <v>1055</v>
      </c>
      <c r="Y1045" s="15" t="s">
        <v>160</v>
      </c>
      <c r="Z1045" s="15" t="s">
        <v>161</v>
      </c>
      <c r="AA1045" s="15" t="s">
        <v>162</v>
      </c>
      <c r="AB1045" s="15" t="s">
        <v>7994</v>
      </c>
      <c r="AC1045" s="15" t="s">
        <v>7994</v>
      </c>
      <c r="AD1045" s="15" t="s">
        <v>7995</v>
      </c>
      <c r="AE1045" s="15" t="s">
        <v>164</v>
      </c>
      <c r="AF1045" s="15" t="s">
        <v>7995</v>
      </c>
      <c r="AG1045" s="15" t="s">
        <v>7994</v>
      </c>
      <c r="AH1045" s="47" t="s">
        <v>7996</v>
      </c>
      <c r="AL1045" s="15" t="s">
        <v>7997</v>
      </c>
      <c r="AN1045" s="15">
        <v>743</v>
      </c>
      <c r="AO1045" s="15" t="s">
        <v>7998</v>
      </c>
      <c r="AQ1045" s="15" t="s">
        <v>6091</v>
      </c>
      <c r="AT1045" s="15" t="s">
        <v>7999</v>
      </c>
      <c r="AU1045" s="15" t="s">
        <v>8000</v>
      </c>
      <c r="AV1045" s="15" t="s">
        <v>8000</v>
      </c>
      <c r="AW1045" s="15" t="s">
        <v>8001</v>
      </c>
      <c r="AX1045" s="15" t="s">
        <v>8002</v>
      </c>
      <c r="AY1045" s="15">
        <f t="shared" si="21"/>
        <v>59</v>
      </c>
      <c r="AZ1045" s="15" t="s">
        <v>5831</v>
      </c>
      <c r="BA1045" s="15" t="s">
        <v>174</v>
      </c>
      <c r="BB1045" s="15" t="s">
        <v>6096</v>
      </c>
      <c r="BC1045" s="15" t="s">
        <v>2263</v>
      </c>
      <c r="BE1045" s="15" t="s">
        <v>367</v>
      </c>
      <c r="BI1045" s="15" t="s">
        <v>200</v>
      </c>
      <c r="BJ1045" s="15" t="s">
        <v>7982</v>
      </c>
      <c r="BK1045" s="15" t="s">
        <v>487</v>
      </c>
      <c r="BN1045" s="15" t="s">
        <v>179</v>
      </c>
      <c r="BP1045" s="15" t="s">
        <v>138</v>
      </c>
      <c r="BS1045" s="15" t="s">
        <v>8003</v>
      </c>
      <c r="DH1045" s="15" t="s">
        <v>17982</v>
      </c>
      <c r="DI1045" s="15" t="s">
        <v>17982</v>
      </c>
    </row>
    <row r="1046" spans="1:113" s="15" customFormat="1" ht="12.75" x14ac:dyDescent="0.2">
      <c r="A1046" s="15" t="s">
        <v>109</v>
      </c>
      <c r="B1046" s="15" t="s">
        <v>110</v>
      </c>
      <c r="D1046" s="15" t="s">
        <v>620</v>
      </c>
      <c r="E1046" s="15" t="s">
        <v>112</v>
      </c>
      <c r="F1046" s="15" t="s">
        <v>620</v>
      </c>
      <c r="G1046" s="15" t="s">
        <v>113</v>
      </c>
      <c r="H1046" s="15" t="s">
        <v>1481</v>
      </c>
      <c r="J1046" s="16" t="s">
        <v>114</v>
      </c>
      <c r="U1046" s="15" t="s">
        <v>17977</v>
      </c>
      <c r="W1046" s="15">
        <v>1550</v>
      </c>
      <c r="X1046" s="15">
        <v>1056</v>
      </c>
      <c r="Y1046" s="15" t="s">
        <v>160</v>
      </c>
      <c r="Z1046" s="15" t="s">
        <v>161</v>
      </c>
      <c r="AA1046" s="15" t="s">
        <v>162</v>
      </c>
      <c r="AB1046" s="15" t="s">
        <v>8004</v>
      </c>
      <c r="AC1046" s="15" t="s">
        <v>8004</v>
      </c>
      <c r="AD1046" s="15" t="s">
        <v>8005</v>
      </c>
      <c r="AE1046" s="15" t="s">
        <v>164</v>
      </c>
      <c r="AF1046" s="15" t="s">
        <v>8005</v>
      </c>
      <c r="AG1046" s="15" t="s">
        <v>8004</v>
      </c>
      <c r="AH1046" s="47" t="s">
        <v>8006</v>
      </c>
      <c r="AL1046" s="15" t="s">
        <v>8007</v>
      </c>
      <c r="AN1046" s="15">
        <v>743</v>
      </c>
      <c r="AO1046" s="15" t="s">
        <v>8008</v>
      </c>
      <c r="AQ1046" s="15" t="s">
        <v>6091</v>
      </c>
      <c r="AT1046" s="15" t="s">
        <v>8009</v>
      </c>
      <c r="AU1046" s="15" t="s">
        <v>8010</v>
      </c>
      <c r="AV1046" s="15" t="s">
        <v>8010</v>
      </c>
      <c r="AW1046" s="15" t="s">
        <v>8011</v>
      </c>
      <c r="AX1046" s="15" t="s">
        <v>8012</v>
      </c>
      <c r="AY1046" s="15">
        <f t="shared" si="21"/>
        <v>59</v>
      </c>
      <c r="AZ1046" s="15" t="s">
        <v>5831</v>
      </c>
      <c r="BA1046" s="15" t="s">
        <v>174</v>
      </c>
      <c r="BB1046" s="15" t="s">
        <v>6096</v>
      </c>
      <c r="BC1046" s="15" t="s">
        <v>407</v>
      </c>
      <c r="BE1046" s="15" t="s">
        <v>367</v>
      </c>
      <c r="BI1046" s="15" t="s">
        <v>200</v>
      </c>
      <c r="BJ1046" s="15" t="s">
        <v>7982</v>
      </c>
      <c r="BK1046" s="15" t="s">
        <v>487</v>
      </c>
      <c r="BN1046" s="15" t="s">
        <v>179</v>
      </c>
      <c r="BP1046" s="15" t="s">
        <v>138</v>
      </c>
      <c r="BS1046" s="15" t="s">
        <v>8013</v>
      </c>
      <c r="DH1046" s="15" t="s">
        <v>17982</v>
      </c>
      <c r="DI1046" s="15" t="s">
        <v>17982</v>
      </c>
    </row>
    <row r="1047" spans="1:113" s="15" customFormat="1" ht="12.75" x14ac:dyDescent="0.2">
      <c r="A1047" s="15" t="s">
        <v>109</v>
      </c>
      <c r="B1047" s="15" t="s">
        <v>110</v>
      </c>
      <c r="D1047" s="15" t="s">
        <v>620</v>
      </c>
      <c r="E1047" s="15" t="s">
        <v>112</v>
      </c>
      <c r="F1047" s="15" t="s">
        <v>620</v>
      </c>
      <c r="G1047" s="15" t="s">
        <v>113</v>
      </c>
      <c r="H1047" s="15" t="s">
        <v>1481</v>
      </c>
      <c r="J1047" s="16" t="s">
        <v>114</v>
      </c>
      <c r="U1047" s="15" t="s">
        <v>17977</v>
      </c>
      <c r="W1047" s="15">
        <v>1551</v>
      </c>
      <c r="X1047" s="15">
        <v>1057</v>
      </c>
      <c r="Y1047" s="15" t="s">
        <v>160</v>
      </c>
      <c r="Z1047" s="15" t="s">
        <v>161</v>
      </c>
      <c r="AA1047" s="15" t="s">
        <v>162</v>
      </c>
      <c r="AB1047" s="15" t="s">
        <v>8014</v>
      </c>
      <c r="AC1047" s="15" t="s">
        <v>8014</v>
      </c>
      <c r="AD1047" s="15" t="s">
        <v>8015</v>
      </c>
      <c r="AE1047" s="15" t="s">
        <v>164</v>
      </c>
      <c r="AF1047" s="15" t="s">
        <v>8015</v>
      </c>
      <c r="AG1047" s="15" t="s">
        <v>8014</v>
      </c>
      <c r="AH1047" s="47" t="s">
        <v>8016</v>
      </c>
      <c r="AL1047" s="15" t="s">
        <v>8017</v>
      </c>
      <c r="AN1047" s="15">
        <v>743</v>
      </c>
      <c r="AO1047" s="15" t="s">
        <v>8018</v>
      </c>
      <c r="AQ1047" s="15" t="s">
        <v>6091</v>
      </c>
      <c r="AT1047" s="15" t="s">
        <v>8019</v>
      </c>
      <c r="AU1047" s="15" t="s">
        <v>8020</v>
      </c>
      <c r="AV1047" s="15" t="s">
        <v>8020</v>
      </c>
      <c r="AW1047" s="15" t="s">
        <v>8021</v>
      </c>
      <c r="AX1047" s="15" t="s">
        <v>8022</v>
      </c>
      <c r="AY1047" s="15">
        <f t="shared" si="21"/>
        <v>59</v>
      </c>
      <c r="AZ1047" s="15" t="s">
        <v>5831</v>
      </c>
      <c r="BA1047" s="15" t="s">
        <v>174</v>
      </c>
      <c r="BB1047" s="15" t="s">
        <v>6096</v>
      </c>
      <c r="BC1047" s="15" t="s">
        <v>8023</v>
      </c>
      <c r="BE1047" s="15" t="s">
        <v>367</v>
      </c>
      <c r="BI1047" s="15" t="s">
        <v>200</v>
      </c>
      <c r="BJ1047" s="15" t="s">
        <v>6097</v>
      </c>
      <c r="BK1047" s="15" t="s">
        <v>487</v>
      </c>
      <c r="BN1047" s="15" t="s">
        <v>179</v>
      </c>
      <c r="BP1047" s="15" t="s">
        <v>138</v>
      </c>
      <c r="BQ1047" s="15" t="s">
        <v>3269</v>
      </c>
      <c r="BS1047" s="15" t="s">
        <v>8024</v>
      </c>
      <c r="DH1047" s="15" t="s">
        <v>17982</v>
      </c>
      <c r="DI1047" s="15" t="s">
        <v>17982</v>
      </c>
    </row>
    <row r="1048" spans="1:113" s="15" customFormat="1" ht="12.75" x14ac:dyDescent="0.2">
      <c r="A1048" s="15" t="s">
        <v>109</v>
      </c>
      <c r="B1048" s="15" t="s">
        <v>110</v>
      </c>
      <c r="D1048" s="15" t="s">
        <v>620</v>
      </c>
      <c r="E1048" s="15" t="s">
        <v>112</v>
      </c>
      <c r="F1048" s="15" t="s">
        <v>620</v>
      </c>
      <c r="G1048" s="15" t="s">
        <v>113</v>
      </c>
      <c r="H1048" s="15" t="s">
        <v>1481</v>
      </c>
      <c r="J1048" s="16" t="s">
        <v>114</v>
      </c>
      <c r="U1048" s="15" t="s">
        <v>17977</v>
      </c>
      <c r="W1048" s="15">
        <v>1552</v>
      </c>
      <c r="X1048" s="15">
        <v>1058</v>
      </c>
      <c r="Y1048" s="15" t="s">
        <v>160</v>
      </c>
      <c r="Z1048" s="15" t="s">
        <v>161</v>
      </c>
      <c r="AA1048" s="15" t="s">
        <v>162</v>
      </c>
      <c r="AB1048" s="15" t="s">
        <v>8025</v>
      </c>
      <c r="AC1048" s="15" t="s">
        <v>8025</v>
      </c>
      <c r="AD1048" s="15" t="s">
        <v>8026</v>
      </c>
      <c r="AE1048" s="15" t="s">
        <v>164</v>
      </c>
      <c r="AF1048" s="15" t="s">
        <v>8026</v>
      </c>
      <c r="AG1048" s="15" t="s">
        <v>8025</v>
      </c>
      <c r="AH1048" s="47" t="s">
        <v>8027</v>
      </c>
      <c r="AL1048" s="15" t="s">
        <v>8028</v>
      </c>
      <c r="AN1048" s="15">
        <v>743</v>
      </c>
      <c r="AO1048" s="15" t="s">
        <v>8029</v>
      </c>
      <c r="AQ1048" s="15" t="s">
        <v>6091</v>
      </c>
      <c r="AT1048" s="15" t="s">
        <v>8030</v>
      </c>
      <c r="AU1048" s="15" t="s">
        <v>8031</v>
      </c>
      <c r="AV1048" s="15" t="s">
        <v>8031</v>
      </c>
      <c r="AW1048" s="15" t="s">
        <v>8032</v>
      </c>
      <c r="AX1048" s="15" t="s">
        <v>8033</v>
      </c>
      <c r="AY1048" s="15">
        <f t="shared" si="21"/>
        <v>59</v>
      </c>
      <c r="AZ1048" s="15" t="s">
        <v>5831</v>
      </c>
      <c r="BA1048" s="15" t="s">
        <v>174</v>
      </c>
      <c r="BB1048" s="15" t="s">
        <v>6096</v>
      </c>
      <c r="BC1048" s="15" t="s">
        <v>7118</v>
      </c>
      <c r="BE1048" s="15" t="s">
        <v>367</v>
      </c>
      <c r="BI1048" s="15" t="s">
        <v>200</v>
      </c>
      <c r="BJ1048" s="15" t="s">
        <v>6097</v>
      </c>
      <c r="BK1048" s="15" t="s">
        <v>487</v>
      </c>
      <c r="BN1048" s="15" t="s">
        <v>179</v>
      </c>
      <c r="BP1048" s="15" t="s">
        <v>138</v>
      </c>
      <c r="BS1048" s="15" t="s">
        <v>8034</v>
      </c>
      <c r="DH1048" s="15" t="s">
        <v>17982</v>
      </c>
      <c r="DI1048" s="15" t="s">
        <v>17982</v>
      </c>
    </row>
    <row r="1049" spans="1:113" s="15" customFormat="1" ht="12.75" x14ac:dyDescent="0.2">
      <c r="A1049" s="15" t="s">
        <v>109</v>
      </c>
      <c r="B1049" s="15" t="s">
        <v>110</v>
      </c>
      <c r="D1049" s="15" t="s">
        <v>620</v>
      </c>
      <c r="E1049" s="15" t="s">
        <v>112</v>
      </c>
      <c r="F1049" s="15" t="s">
        <v>620</v>
      </c>
      <c r="G1049" s="15" t="s">
        <v>113</v>
      </c>
      <c r="H1049" s="15" t="s">
        <v>1481</v>
      </c>
      <c r="J1049" s="16" t="s">
        <v>114</v>
      </c>
      <c r="U1049" s="15" t="s">
        <v>17977</v>
      </c>
      <c r="W1049" s="15">
        <v>1165</v>
      </c>
      <c r="X1049" s="15">
        <v>1059</v>
      </c>
      <c r="Y1049" s="15" t="s">
        <v>160</v>
      </c>
      <c r="Z1049" s="15" t="s">
        <v>161</v>
      </c>
      <c r="AA1049" s="15" t="s">
        <v>162</v>
      </c>
      <c r="AB1049" s="15" t="s">
        <v>6086</v>
      </c>
      <c r="AC1049" s="15" t="s">
        <v>6086</v>
      </c>
      <c r="AD1049" s="15" t="s">
        <v>6087</v>
      </c>
      <c r="AE1049" s="15" t="s">
        <v>164</v>
      </c>
      <c r="AF1049" s="15" t="s">
        <v>6087</v>
      </c>
      <c r="AG1049" s="15" t="s">
        <v>6086</v>
      </c>
      <c r="AH1049" s="15" t="s">
        <v>6088</v>
      </c>
      <c r="AL1049" s="15" t="s">
        <v>6089</v>
      </c>
      <c r="AN1049" s="15">
        <v>743</v>
      </c>
      <c r="AO1049" s="15" t="s">
        <v>6090</v>
      </c>
      <c r="AQ1049" s="15" t="s">
        <v>6091</v>
      </c>
      <c r="AT1049" s="15" t="s">
        <v>6092</v>
      </c>
      <c r="AU1049" s="15" t="s">
        <v>6093</v>
      </c>
      <c r="AV1049" s="15" t="s">
        <v>6093</v>
      </c>
      <c r="AW1049" s="15" t="s">
        <v>6094</v>
      </c>
      <c r="AX1049" s="15" t="s">
        <v>6095</v>
      </c>
      <c r="AY1049" s="15">
        <f t="shared" si="21"/>
        <v>59</v>
      </c>
      <c r="AZ1049" s="15" t="s">
        <v>5831</v>
      </c>
      <c r="BA1049" s="15" t="s">
        <v>174</v>
      </c>
      <c r="BB1049" s="15" t="s">
        <v>6096</v>
      </c>
      <c r="BC1049" s="15" t="s">
        <v>5758</v>
      </c>
      <c r="BE1049" s="15" t="s">
        <v>367</v>
      </c>
      <c r="BI1049" s="15" t="s">
        <v>200</v>
      </c>
      <c r="BJ1049" s="15" t="s">
        <v>6097</v>
      </c>
      <c r="BK1049" s="15" t="s">
        <v>487</v>
      </c>
      <c r="BN1049" s="15" t="s">
        <v>179</v>
      </c>
      <c r="BP1049" s="15" t="s">
        <v>138</v>
      </c>
      <c r="BQ1049" s="15" t="s">
        <v>3269</v>
      </c>
      <c r="BS1049" s="15" t="s">
        <v>6098</v>
      </c>
      <c r="DH1049" s="15" t="s">
        <v>17982</v>
      </c>
      <c r="DI1049" s="15" t="s">
        <v>17982</v>
      </c>
    </row>
    <row r="1050" spans="1:113" s="15" customFormat="1" ht="12.75" x14ac:dyDescent="0.2">
      <c r="A1050" s="15" t="s">
        <v>109</v>
      </c>
      <c r="B1050" s="15" t="s">
        <v>110</v>
      </c>
      <c r="D1050" s="15" t="s">
        <v>620</v>
      </c>
      <c r="E1050" s="15" t="s">
        <v>112</v>
      </c>
      <c r="F1050" s="15" t="s">
        <v>620</v>
      </c>
      <c r="G1050" s="15" t="s">
        <v>113</v>
      </c>
      <c r="H1050" s="15" t="s">
        <v>1481</v>
      </c>
      <c r="J1050" s="16" t="s">
        <v>114</v>
      </c>
      <c r="U1050" s="15" t="s">
        <v>17977</v>
      </c>
      <c r="W1050" s="15">
        <v>1553</v>
      </c>
      <c r="X1050" s="15">
        <v>1060</v>
      </c>
      <c r="Y1050" s="15" t="s">
        <v>160</v>
      </c>
      <c r="Z1050" s="15" t="s">
        <v>161</v>
      </c>
      <c r="AA1050" s="15" t="s">
        <v>162</v>
      </c>
      <c r="AB1050" s="15" t="s">
        <v>8035</v>
      </c>
      <c r="AC1050" s="15" t="s">
        <v>8035</v>
      </c>
      <c r="AD1050" s="15" t="s">
        <v>8036</v>
      </c>
      <c r="AE1050" s="15" t="s">
        <v>164</v>
      </c>
      <c r="AF1050" s="15" t="s">
        <v>8036</v>
      </c>
      <c r="AG1050" s="15" t="s">
        <v>8035</v>
      </c>
      <c r="AH1050" s="47" t="s">
        <v>8037</v>
      </c>
      <c r="AL1050" s="15" t="s">
        <v>8038</v>
      </c>
      <c r="AN1050" s="15">
        <v>743</v>
      </c>
      <c r="AO1050" s="15" t="s">
        <v>8039</v>
      </c>
      <c r="AQ1050" s="15" t="s">
        <v>6091</v>
      </c>
      <c r="AT1050" s="15" t="s">
        <v>8040</v>
      </c>
      <c r="AU1050" s="15" t="s">
        <v>8041</v>
      </c>
      <c r="AV1050" s="15" t="s">
        <v>8041</v>
      </c>
      <c r="AW1050" s="15" t="s">
        <v>8042</v>
      </c>
      <c r="AX1050" s="15" t="s">
        <v>8043</v>
      </c>
      <c r="AY1050" s="15">
        <f t="shared" si="21"/>
        <v>58</v>
      </c>
      <c r="AZ1050" s="15" t="s">
        <v>5831</v>
      </c>
      <c r="BA1050" s="15" t="s">
        <v>174</v>
      </c>
      <c r="BB1050" s="15" t="s">
        <v>6096</v>
      </c>
      <c r="BC1050" s="15" t="s">
        <v>5957</v>
      </c>
      <c r="BE1050" s="15" t="s">
        <v>367</v>
      </c>
      <c r="BI1050" s="15" t="s">
        <v>200</v>
      </c>
      <c r="BJ1050" s="15" t="s">
        <v>8044</v>
      </c>
      <c r="BK1050" s="15" t="s">
        <v>487</v>
      </c>
      <c r="BN1050" s="15" t="s">
        <v>179</v>
      </c>
      <c r="BP1050" s="15" t="s">
        <v>138</v>
      </c>
      <c r="BS1050" s="15" t="s">
        <v>8045</v>
      </c>
      <c r="DH1050" s="15" t="s">
        <v>17982</v>
      </c>
      <c r="DI1050" s="15" t="s">
        <v>17982</v>
      </c>
    </row>
    <row r="1051" spans="1:113" s="15" customFormat="1" ht="12.75" x14ac:dyDescent="0.2">
      <c r="A1051" s="15" t="s">
        <v>109</v>
      </c>
      <c r="B1051" s="15" t="s">
        <v>110</v>
      </c>
      <c r="D1051" s="15" t="s">
        <v>620</v>
      </c>
      <c r="E1051" s="15" t="s">
        <v>112</v>
      </c>
      <c r="F1051" s="15" t="s">
        <v>620</v>
      </c>
      <c r="G1051" s="15" t="s">
        <v>113</v>
      </c>
      <c r="H1051" s="15" t="s">
        <v>1481</v>
      </c>
      <c r="J1051" s="16" t="s">
        <v>114</v>
      </c>
      <c r="U1051" s="15" t="s">
        <v>17977</v>
      </c>
      <c r="W1051" s="15">
        <v>1554</v>
      </c>
      <c r="X1051" s="15">
        <v>1061</v>
      </c>
      <c r="Y1051" s="15" t="s">
        <v>160</v>
      </c>
      <c r="Z1051" s="15" t="s">
        <v>161</v>
      </c>
      <c r="AA1051" s="15" t="s">
        <v>162</v>
      </c>
      <c r="AB1051" s="15" t="s">
        <v>8046</v>
      </c>
      <c r="AC1051" s="15" t="s">
        <v>8046</v>
      </c>
      <c r="AD1051" s="15" t="s">
        <v>8047</v>
      </c>
      <c r="AE1051" s="15" t="s">
        <v>164</v>
      </c>
      <c r="AF1051" s="15" t="s">
        <v>8047</v>
      </c>
      <c r="AG1051" s="15" t="s">
        <v>8046</v>
      </c>
      <c r="AH1051" s="47" t="s">
        <v>8048</v>
      </c>
      <c r="AL1051" s="15" t="s">
        <v>8049</v>
      </c>
      <c r="AN1051" s="15">
        <v>743</v>
      </c>
      <c r="AO1051" s="15" t="s">
        <v>8050</v>
      </c>
      <c r="AQ1051" s="15" t="s">
        <v>6091</v>
      </c>
      <c r="AT1051" s="15" t="s">
        <v>8051</v>
      </c>
      <c r="AU1051" s="15" t="s">
        <v>8052</v>
      </c>
      <c r="AV1051" s="15" t="s">
        <v>8052</v>
      </c>
      <c r="AW1051" s="15" t="s">
        <v>8053</v>
      </c>
      <c r="AX1051" s="15" t="s">
        <v>8054</v>
      </c>
      <c r="AY1051" s="15">
        <f t="shared" si="21"/>
        <v>58</v>
      </c>
      <c r="AZ1051" s="15" t="s">
        <v>5831</v>
      </c>
      <c r="BA1051" s="15" t="s">
        <v>174</v>
      </c>
      <c r="BB1051" s="15" t="s">
        <v>6096</v>
      </c>
      <c r="BC1051" s="15" t="s">
        <v>8055</v>
      </c>
      <c r="BE1051" s="15" t="s">
        <v>367</v>
      </c>
      <c r="BI1051" s="15" t="s">
        <v>200</v>
      </c>
      <c r="BJ1051" s="15" t="s">
        <v>8044</v>
      </c>
      <c r="BK1051" s="15" t="s">
        <v>487</v>
      </c>
      <c r="BN1051" s="15" t="s">
        <v>179</v>
      </c>
      <c r="BP1051" s="15" t="s">
        <v>138</v>
      </c>
      <c r="BQ1051" s="15" t="s">
        <v>3269</v>
      </c>
      <c r="BS1051" s="15" t="s">
        <v>8056</v>
      </c>
      <c r="DH1051" s="15" t="s">
        <v>17982</v>
      </c>
      <c r="DI1051" s="15" t="s">
        <v>17982</v>
      </c>
    </row>
    <row r="1052" spans="1:113" s="15" customFormat="1" ht="12.75" x14ac:dyDescent="0.2">
      <c r="A1052" s="15" t="s">
        <v>109</v>
      </c>
      <c r="B1052" s="15" t="s">
        <v>110</v>
      </c>
      <c r="D1052" s="15" t="s">
        <v>620</v>
      </c>
      <c r="E1052" s="15" t="s">
        <v>112</v>
      </c>
      <c r="F1052" s="15" t="s">
        <v>620</v>
      </c>
      <c r="G1052" s="15" t="s">
        <v>113</v>
      </c>
      <c r="H1052" s="15" t="s">
        <v>1481</v>
      </c>
      <c r="J1052" s="16" t="s">
        <v>114</v>
      </c>
      <c r="U1052" s="15" t="s">
        <v>17977</v>
      </c>
      <c r="W1052" s="15">
        <v>1555</v>
      </c>
      <c r="X1052" s="15">
        <v>1062</v>
      </c>
      <c r="Y1052" s="15" t="s">
        <v>160</v>
      </c>
      <c r="Z1052" s="15" t="s">
        <v>161</v>
      </c>
      <c r="AA1052" s="15" t="s">
        <v>162</v>
      </c>
      <c r="AB1052" s="15" t="s">
        <v>8057</v>
      </c>
      <c r="AC1052" s="15" t="s">
        <v>8057</v>
      </c>
      <c r="AD1052" s="15" t="s">
        <v>8058</v>
      </c>
      <c r="AE1052" s="15" t="s">
        <v>164</v>
      </c>
      <c r="AF1052" s="15" t="s">
        <v>8058</v>
      </c>
      <c r="AG1052" s="15" t="s">
        <v>8057</v>
      </c>
      <c r="AH1052" s="47" t="s">
        <v>8059</v>
      </c>
      <c r="AL1052" s="15" t="s">
        <v>8060</v>
      </c>
      <c r="AN1052" s="15">
        <v>743</v>
      </c>
      <c r="AO1052" s="15" t="s">
        <v>8061</v>
      </c>
      <c r="AQ1052" s="15" t="s">
        <v>6091</v>
      </c>
      <c r="AT1052" s="15" t="s">
        <v>8062</v>
      </c>
      <c r="AU1052" s="15" t="s">
        <v>8063</v>
      </c>
      <c r="AV1052" s="15" t="s">
        <v>8063</v>
      </c>
      <c r="AW1052" s="15" t="s">
        <v>8064</v>
      </c>
      <c r="AX1052" s="15" t="s">
        <v>8065</v>
      </c>
      <c r="AY1052" s="15">
        <f t="shared" si="21"/>
        <v>58</v>
      </c>
      <c r="AZ1052" s="15" t="s">
        <v>5831</v>
      </c>
      <c r="BA1052" s="15" t="s">
        <v>174</v>
      </c>
      <c r="BB1052" s="15" t="s">
        <v>6096</v>
      </c>
      <c r="BC1052" s="15" t="s">
        <v>8066</v>
      </c>
      <c r="BE1052" s="15" t="s">
        <v>367</v>
      </c>
      <c r="BI1052" s="15" t="s">
        <v>200</v>
      </c>
      <c r="BJ1052" s="15" t="s">
        <v>8044</v>
      </c>
      <c r="BK1052" s="15" t="s">
        <v>487</v>
      </c>
      <c r="BN1052" s="15" t="s">
        <v>179</v>
      </c>
      <c r="BP1052" s="15" t="s">
        <v>138</v>
      </c>
      <c r="BS1052" s="15" t="s">
        <v>8067</v>
      </c>
      <c r="DH1052" s="15" t="s">
        <v>17982</v>
      </c>
      <c r="DI1052" s="15" t="s">
        <v>17982</v>
      </c>
    </row>
    <row r="1053" spans="1:113" s="15" customFormat="1" ht="12.75" x14ac:dyDescent="0.2">
      <c r="A1053" s="15" t="s">
        <v>109</v>
      </c>
      <c r="B1053" s="15" t="s">
        <v>110</v>
      </c>
      <c r="D1053" s="15" t="s">
        <v>620</v>
      </c>
      <c r="E1053" s="15" t="s">
        <v>112</v>
      </c>
      <c r="F1053" s="15" t="s">
        <v>620</v>
      </c>
      <c r="G1053" s="15" t="s">
        <v>113</v>
      </c>
      <c r="H1053" s="15" t="s">
        <v>1481</v>
      </c>
      <c r="J1053" s="16" t="s">
        <v>114</v>
      </c>
      <c r="U1053" s="15" t="s">
        <v>17977</v>
      </c>
      <c r="W1053" s="15">
        <v>1556</v>
      </c>
      <c r="X1053" s="15">
        <v>1063</v>
      </c>
      <c r="Y1053" s="15" t="s">
        <v>160</v>
      </c>
      <c r="Z1053" s="15" t="s">
        <v>161</v>
      </c>
      <c r="AA1053" s="15" t="s">
        <v>162</v>
      </c>
      <c r="AB1053" s="15" t="s">
        <v>8068</v>
      </c>
      <c r="AC1053" s="15" t="s">
        <v>8068</v>
      </c>
      <c r="AD1053" s="15" t="s">
        <v>8069</v>
      </c>
      <c r="AE1053" s="15" t="s">
        <v>164</v>
      </c>
      <c r="AF1053" s="15" t="s">
        <v>8069</v>
      </c>
      <c r="AG1053" s="15" t="s">
        <v>8068</v>
      </c>
      <c r="AH1053" s="47" t="s">
        <v>8070</v>
      </c>
      <c r="AL1053" s="15" t="s">
        <v>8071</v>
      </c>
      <c r="AN1053" s="15">
        <v>743</v>
      </c>
      <c r="AO1053" s="15" t="s">
        <v>8072</v>
      </c>
      <c r="AQ1053" s="15" t="s">
        <v>6091</v>
      </c>
      <c r="AT1053" s="15" t="s">
        <v>8073</v>
      </c>
      <c r="AU1053" s="15" t="s">
        <v>8074</v>
      </c>
      <c r="AV1053" s="15" t="s">
        <v>8074</v>
      </c>
      <c r="AW1053" s="15" t="s">
        <v>8075</v>
      </c>
      <c r="AX1053" s="15" t="s">
        <v>8076</v>
      </c>
      <c r="AY1053" s="15">
        <f t="shared" si="21"/>
        <v>58</v>
      </c>
      <c r="AZ1053" s="15" t="s">
        <v>5831</v>
      </c>
      <c r="BA1053" s="15" t="s">
        <v>174</v>
      </c>
      <c r="BB1053" s="15" t="s">
        <v>6096</v>
      </c>
      <c r="BC1053" s="15" t="s">
        <v>8077</v>
      </c>
      <c r="BE1053" s="15" t="s">
        <v>367</v>
      </c>
      <c r="BI1053" s="15" t="s">
        <v>200</v>
      </c>
      <c r="BJ1053" s="15" t="s">
        <v>8044</v>
      </c>
      <c r="BK1053" s="15" t="s">
        <v>487</v>
      </c>
      <c r="BN1053" s="15" t="s">
        <v>179</v>
      </c>
      <c r="BP1053" s="15" t="s">
        <v>138</v>
      </c>
      <c r="BQ1053" s="15" t="s">
        <v>3269</v>
      </c>
      <c r="BS1053" s="15" t="s">
        <v>8078</v>
      </c>
      <c r="DH1053" s="15" t="s">
        <v>17982</v>
      </c>
      <c r="DI1053" s="15" t="s">
        <v>17982</v>
      </c>
    </row>
    <row r="1054" spans="1:113" s="15" customFormat="1" ht="12.75" x14ac:dyDescent="0.2">
      <c r="A1054" s="15" t="s">
        <v>109</v>
      </c>
      <c r="B1054" s="15" t="s">
        <v>110</v>
      </c>
      <c r="D1054" s="15" t="s">
        <v>620</v>
      </c>
      <c r="E1054" s="15" t="s">
        <v>112</v>
      </c>
      <c r="F1054" s="15" t="s">
        <v>620</v>
      </c>
      <c r="G1054" s="15" t="s">
        <v>113</v>
      </c>
      <c r="H1054" s="15" t="s">
        <v>1481</v>
      </c>
      <c r="J1054" s="16" t="s">
        <v>114</v>
      </c>
      <c r="U1054" s="15" t="s">
        <v>17977</v>
      </c>
      <c r="W1054" s="15">
        <v>1557</v>
      </c>
      <c r="X1054" s="15">
        <v>1064</v>
      </c>
      <c r="Y1054" s="15" t="s">
        <v>160</v>
      </c>
      <c r="Z1054" s="15" t="s">
        <v>161</v>
      </c>
      <c r="AA1054" s="15" t="s">
        <v>162</v>
      </c>
      <c r="AB1054" s="15" t="s">
        <v>8079</v>
      </c>
      <c r="AC1054" s="15" t="s">
        <v>8079</v>
      </c>
      <c r="AD1054" s="15" t="s">
        <v>8080</v>
      </c>
      <c r="AE1054" s="15" t="s">
        <v>164</v>
      </c>
      <c r="AF1054" s="15" t="s">
        <v>8080</v>
      </c>
      <c r="AG1054" s="15" t="s">
        <v>8079</v>
      </c>
      <c r="AH1054" s="47" t="s">
        <v>8081</v>
      </c>
      <c r="AL1054" s="15" t="s">
        <v>8082</v>
      </c>
      <c r="AN1054" s="15">
        <v>743</v>
      </c>
      <c r="AO1054" s="15" t="s">
        <v>8083</v>
      </c>
      <c r="AQ1054" s="15" t="s">
        <v>6091</v>
      </c>
      <c r="AT1054" s="15" t="s">
        <v>8084</v>
      </c>
      <c r="AU1054" s="15" t="s">
        <v>8085</v>
      </c>
      <c r="AV1054" s="15" t="s">
        <v>8085</v>
      </c>
      <c r="AW1054" s="15" t="s">
        <v>8086</v>
      </c>
      <c r="AX1054" s="15" t="s">
        <v>8087</v>
      </c>
      <c r="AY1054" s="15">
        <f t="shared" si="21"/>
        <v>58</v>
      </c>
      <c r="AZ1054" s="15" t="s">
        <v>5831</v>
      </c>
      <c r="BA1054" s="15" t="s">
        <v>174</v>
      </c>
      <c r="BB1054" s="15" t="s">
        <v>6096</v>
      </c>
      <c r="BC1054" s="15" t="s">
        <v>8088</v>
      </c>
      <c r="BE1054" s="15" t="s">
        <v>367</v>
      </c>
      <c r="BI1054" s="15" t="s">
        <v>200</v>
      </c>
      <c r="BJ1054" s="15" t="s">
        <v>8044</v>
      </c>
      <c r="BK1054" s="15" t="s">
        <v>487</v>
      </c>
      <c r="BN1054" s="15" t="s">
        <v>179</v>
      </c>
      <c r="BP1054" s="15" t="s">
        <v>138</v>
      </c>
      <c r="BS1054" s="15" t="s">
        <v>8089</v>
      </c>
      <c r="DH1054" s="15" t="s">
        <v>17982</v>
      </c>
      <c r="DI1054" s="15" t="s">
        <v>17982</v>
      </c>
    </row>
    <row r="1055" spans="1:113" s="15" customFormat="1" ht="12.75" x14ac:dyDescent="0.2">
      <c r="A1055" s="15" t="s">
        <v>109</v>
      </c>
      <c r="B1055" s="15" t="s">
        <v>110</v>
      </c>
      <c r="D1055" s="15" t="s">
        <v>620</v>
      </c>
      <c r="E1055" s="15" t="s">
        <v>112</v>
      </c>
      <c r="F1055" s="15" t="s">
        <v>620</v>
      </c>
      <c r="G1055" s="15" t="s">
        <v>113</v>
      </c>
      <c r="H1055" s="15" t="s">
        <v>1481</v>
      </c>
      <c r="J1055" s="16" t="s">
        <v>114</v>
      </c>
      <c r="U1055" s="15" t="s">
        <v>17977</v>
      </c>
      <c r="W1055" s="15">
        <v>1558</v>
      </c>
      <c r="X1055" s="15">
        <v>1065</v>
      </c>
      <c r="Y1055" s="15" t="s">
        <v>160</v>
      </c>
      <c r="Z1055" s="15" t="s">
        <v>161</v>
      </c>
      <c r="AA1055" s="15" t="s">
        <v>162</v>
      </c>
      <c r="AB1055" s="15" t="s">
        <v>8090</v>
      </c>
      <c r="AC1055" s="15" t="s">
        <v>8090</v>
      </c>
      <c r="AD1055" s="15" t="s">
        <v>8091</v>
      </c>
      <c r="AE1055" s="15" t="s">
        <v>164</v>
      </c>
      <c r="AF1055" s="15" t="s">
        <v>8091</v>
      </c>
      <c r="AG1055" s="15" t="s">
        <v>8090</v>
      </c>
      <c r="AH1055" s="47" t="s">
        <v>8092</v>
      </c>
      <c r="AL1055" s="15" t="s">
        <v>8093</v>
      </c>
      <c r="AN1055" s="15">
        <v>743</v>
      </c>
      <c r="AO1055" s="15" t="s">
        <v>8094</v>
      </c>
      <c r="AQ1055" s="15" t="s">
        <v>6091</v>
      </c>
      <c r="AT1055" s="15" t="s">
        <v>8095</v>
      </c>
      <c r="AU1055" s="15" t="s">
        <v>8096</v>
      </c>
      <c r="AV1055" s="15" t="s">
        <v>8096</v>
      </c>
      <c r="AW1055" s="15" t="s">
        <v>8097</v>
      </c>
      <c r="AX1055" s="15" t="s">
        <v>8098</v>
      </c>
      <c r="AY1055" s="15">
        <f t="shared" si="21"/>
        <v>58</v>
      </c>
      <c r="AZ1055" s="15" t="s">
        <v>5831</v>
      </c>
      <c r="BA1055" s="15" t="s">
        <v>174</v>
      </c>
      <c r="BB1055" s="15" t="s">
        <v>6096</v>
      </c>
      <c r="BC1055" s="15" t="s">
        <v>8099</v>
      </c>
      <c r="BE1055" s="15" t="s">
        <v>367</v>
      </c>
      <c r="BI1055" s="15" t="s">
        <v>200</v>
      </c>
      <c r="BJ1055" s="15" t="s">
        <v>8044</v>
      </c>
      <c r="BK1055" s="15" t="s">
        <v>487</v>
      </c>
      <c r="BN1055" s="15" t="s">
        <v>179</v>
      </c>
      <c r="BP1055" s="15" t="s">
        <v>138</v>
      </c>
      <c r="BQ1055" s="15" t="s">
        <v>3269</v>
      </c>
      <c r="BS1055" s="15" t="s">
        <v>8100</v>
      </c>
      <c r="DH1055" s="15" t="s">
        <v>17982</v>
      </c>
      <c r="DI1055" s="15" t="s">
        <v>17982</v>
      </c>
    </row>
    <row r="1056" spans="1:113" s="15" customFormat="1" ht="12.75" x14ac:dyDescent="0.2">
      <c r="A1056" s="15" t="s">
        <v>109</v>
      </c>
      <c r="B1056" s="15" t="s">
        <v>110</v>
      </c>
      <c r="D1056" s="15" t="s">
        <v>620</v>
      </c>
      <c r="E1056" s="15" t="s">
        <v>112</v>
      </c>
      <c r="F1056" s="15" t="s">
        <v>620</v>
      </c>
      <c r="G1056" s="15" t="s">
        <v>113</v>
      </c>
      <c r="H1056" s="15" t="s">
        <v>1481</v>
      </c>
      <c r="J1056" s="16" t="s">
        <v>114</v>
      </c>
      <c r="U1056" s="15" t="s">
        <v>17977</v>
      </c>
      <c r="W1056" s="15">
        <v>1559</v>
      </c>
      <c r="X1056" s="15">
        <v>1066</v>
      </c>
      <c r="Y1056" s="15" t="s">
        <v>160</v>
      </c>
      <c r="Z1056" s="15" t="s">
        <v>161</v>
      </c>
      <c r="AA1056" s="15" t="s">
        <v>162</v>
      </c>
      <c r="AB1056" s="15" t="s">
        <v>8101</v>
      </c>
      <c r="AC1056" s="15" t="s">
        <v>8101</v>
      </c>
      <c r="AD1056" s="15" t="s">
        <v>8102</v>
      </c>
      <c r="AE1056" s="15" t="s">
        <v>164</v>
      </c>
      <c r="AF1056" s="15" t="s">
        <v>8102</v>
      </c>
      <c r="AG1056" s="15" t="s">
        <v>8101</v>
      </c>
      <c r="AH1056" s="47" t="s">
        <v>8103</v>
      </c>
      <c r="AL1056" s="15" t="s">
        <v>8104</v>
      </c>
      <c r="AN1056" s="15">
        <v>743</v>
      </c>
      <c r="AO1056" s="15" t="s">
        <v>8105</v>
      </c>
      <c r="AQ1056" s="15" t="s">
        <v>6091</v>
      </c>
      <c r="AT1056" s="15" t="s">
        <v>8106</v>
      </c>
      <c r="AU1056" s="15" t="s">
        <v>8107</v>
      </c>
      <c r="AV1056" s="15" t="s">
        <v>8107</v>
      </c>
      <c r="AW1056" s="15" t="s">
        <v>8108</v>
      </c>
      <c r="AX1056" s="15" t="s">
        <v>8109</v>
      </c>
      <c r="AY1056" s="15">
        <f t="shared" si="21"/>
        <v>58</v>
      </c>
      <c r="AZ1056" s="15" t="s">
        <v>5831</v>
      </c>
      <c r="BA1056" s="15" t="s">
        <v>174</v>
      </c>
      <c r="BB1056" s="15" t="s">
        <v>6096</v>
      </c>
      <c r="BC1056" s="15" t="s">
        <v>8110</v>
      </c>
      <c r="BE1056" s="15" t="s">
        <v>367</v>
      </c>
      <c r="BI1056" s="15" t="s">
        <v>200</v>
      </c>
      <c r="BJ1056" s="15" t="s">
        <v>8044</v>
      </c>
      <c r="BK1056" s="15" t="s">
        <v>487</v>
      </c>
      <c r="BN1056" s="15" t="s">
        <v>179</v>
      </c>
      <c r="BP1056" s="15" t="s">
        <v>138</v>
      </c>
      <c r="BS1056" s="15" t="s">
        <v>8111</v>
      </c>
      <c r="DH1056" s="15" t="s">
        <v>17982</v>
      </c>
      <c r="DI1056" s="15" t="s">
        <v>17982</v>
      </c>
    </row>
    <row r="1057" spans="1:113" s="15" customFormat="1" ht="12.75" x14ac:dyDescent="0.2">
      <c r="A1057" s="15" t="s">
        <v>109</v>
      </c>
      <c r="B1057" s="15" t="s">
        <v>110</v>
      </c>
      <c r="D1057" s="15" t="s">
        <v>620</v>
      </c>
      <c r="E1057" s="15" t="s">
        <v>112</v>
      </c>
      <c r="F1057" s="15" t="s">
        <v>620</v>
      </c>
      <c r="G1057" s="15" t="s">
        <v>113</v>
      </c>
      <c r="H1057" s="15" t="s">
        <v>1481</v>
      </c>
      <c r="J1057" s="16" t="s">
        <v>114</v>
      </c>
      <c r="U1057" s="15" t="s">
        <v>17977</v>
      </c>
      <c r="W1057" s="15">
        <v>1573</v>
      </c>
      <c r="X1057" s="15">
        <v>1067</v>
      </c>
      <c r="Y1057" s="15" t="s">
        <v>160</v>
      </c>
      <c r="Z1057" s="15" t="s">
        <v>161</v>
      </c>
      <c r="AA1057" s="15" t="s">
        <v>162</v>
      </c>
      <c r="AB1057" s="15" t="s">
        <v>8249</v>
      </c>
      <c r="AC1057" s="15" t="s">
        <v>8249</v>
      </c>
      <c r="AD1057" s="15" t="s">
        <v>8249</v>
      </c>
      <c r="AE1057" s="15" t="s">
        <v>164</v>
      </c>
      <c r="AF1057" s="15" t="s">
        <v>8249</v>
      </c>
      <c r="AG1057" s="15" t="s">
        <v>8249</v>
      </c>
      <c r="AH1057" s="47" t="s">
        <v>8250</v>
      </c>
      <c r="AL1057" s="15" t="s">
        <v>8251</v>
      </c>
      <c r="AN1057" s="15">
        <v>743</v>
      </c>
      <c r="AO1057" s="15" t="s">
        <v>8252</v>
      </c>
      <c r="AQ1057" s="15" t="s">
        <v>6091</v>
      </c>
      <c r="AT1057" s="15" t="s">
        <v>8253</v>
      </c>
      <c r="AU1057" s="15" t="s">
        <v>8254</v>
      </c>
      <c r="AV1057" s="15" t="s">
        <v>8254</v>
      </c>
      <c r="AW1057" s="15" t="s">
        <v>8255</v>
      </c>
      <c r="AX1057" s="15" t="s">
        <v>8256</v>
      </c>
      <c r="AY1057" s="15">
        <f t="shared" si="21"/>
        <v>60</v>
      </c>
      <c r="AZ1057" s="15" t="s">
        <v>5831</v>
      </c>
      <c r="BA1057" s="15" t="s">
        <v>174</v>
      </c>
      <c r="BB1057" s="15" t="s">
        <v>6096</v>
      </c>
      <c r="BE1057" s="15" t="s">
        <v>275</v>
      </c>
      <c r="BI1057" s="15" t="s">
        <v>200</v>
      </c>
      <c r="BJ1057" s="15" t="s">
        <v>8257</v>
      </c>
      <c r="BK1057" s="15" t="s">
        <v>487</v>
      </c>
      <c r="BN1057" s="15" t="s">
        <v>179</v>
      </c>
      <c r="BP1057" s="15" t="s">
        <v>138</v>
      </c>
      <c r="BS1057" s="15" t="s">
        <v>8258</v>
      </c>
      <c r="DH1057" s="15" t="s">
        <v>17982</v>
      </c>
      <c r="DI1057" s="15" t="s">
        <v>17982</v>
      </c>
    </row>
    <row r="1058" spans="1:113" s="15" customFormat="1" ht="12.75" x14ac:dyDescent="0.2">
      <c r="A1058" s="15" t="s">
        <v>109</v>
      </c>
      <c r="B1058" s="15" t="s">
        <v>110</v>
      </c>
      <c r="D1058" s="15" t="s">
        <v>620</v>
      </c>
      <c r="E1058" s="15" t="s">
        <v>112</v>
      </c>
      <c r="F1058" s="15" t="s">
        <v>620</v>
      </c>
      <c r="G1058" s="15" t="s">
        <v>113</v>
      </c>
      <c r="H1058" s="15" t="s">
        <v>1481</v>
      </c>
      <c r="J1058" s="16" t="s">
        <v>114</v>
      </c>
      <c r="U1058" s="15" t="s">
        <v>17977</v>
      </c>
      <c r="W1058" s="15">
        <v>1568</v>
      </c>
      <c r="X1058" s="15">
        <v>1068</v>
      </c>
      <c r="Y1058" s="15" t="s">
        <v>160</v>
      </c>
      <c r="Z1058" s="15" t="s">
        <v>161</v>
      </c>
      <c r="AA1058" s="15" t="s">
        <v>162</v>
      </c>
      <c r="AB1058" s="15" t="s">
        <v>8192</v>
      </c>
      <c r="AC1058" s="15" t="s">
        <v>8192</v>
      </c>
      <c r="AD1058" s="15" t="s">
        <v>8193</v>
      </c>
      <c r="AE1058" s="15" t="s">
        <v>164</v>
      </c>
      <c r="AF1058" s="15" t="s">
        <v>8193</v>
      </c>
      <c r="AG1058" s="15" t="s">
        <v>8192</v>
      </c>
      <c r="AH1058" s="47" t="s">
        <v>8194</v>
      </c>
      <c r="AL1058" s="15" t="s">
        <v>8195</v>
      </c>
      <c r="AN1058" s="15">
        <v>743</v>
      </c>
      <c r="AO1058" s="15" t="s">
        <v>8196</v>
      </c>
      <c r="AQ1058" s="15" t="s">
        <v>6091</v>
      </c>
      <c r="AT1058" s="15" t="s">
        <v>8197</v>
      </c>
      <c r="AU1058" s="15" t="s">
        <v>8198</v>
      </c>
      <c r="AV1058" s="15" t="s">
        <v>8198</v>
      </c>
      <c r="AW1058" s="15" t="s">
        <v>8199</v>
      </c>
      <c r="AX1058" s="15" t="s">
        <v>8200</v>
      </c>
      <c r="AY1058" s="15">
        <f t="shared" si="21"/>
        <v>60</v>
      </c>
      <c r="AZ1058" s="15" t="s">
        <v>5831</v>
      </c>
      <c r="BA1058" s="15" t="s">
        <v>174</v>
      </c>
      <c r="BB1058" s="15" t="s">
        <v>6096</v>
      </c>
      <c r="BC1058" s="15" t="s">
        <v>8201</v>
      </c>
      <c r="BE1058" s="15" t="s">
        <v>275</v>
      </c>
      <c r="BI1058" s="15" t="s">
        <v>200</v>
      </c>
      <c r="BJ1058" s="15" t="s">
        <v>8202</v>
      </c>
      <c r="BK1058" s="15" t="s">
        <v>487</v>
      </c>
      <c r="BN1058" s="15" t="s">
        <v>179</v>
      </c>
      <c r="BP1058" s="15" t="s">
        <v>138</v>
      </c>
      <c r="BS1058" s="15" t="s">
        <v>8203</v>
      </c>
      <c r="DH1058" s="15" t="s">
        <v>17982</v>
      </c>
      <c r="DI1058" s="15" t="s">
        <v>17982</v>
      </c>
    </row>
    <row r="1059" spans="1:113" s="15" customFormat="1" ht="12.75" x14ac:dyDescent="0.2">
      <c r="A1059" s="15" t="s">
        <v>109</v>
      </c>
      <c r="B1059" s="15" t="s">
        <v>110</v>
      </c>
      <c r="D1059" s="15" t="s">
        <v>620</v>
      </c>
      <c r="E1059" s="15" t="s">
        <v>112</v>
      </c>
      <c r="F1059" s="15" t="s">
        <v>620</v>
      </c>
      <c r="G1059" s="15" t="s">
        <v>113</v>
      </c>
      <c r="H1059" s="15" t="s">
        <v>1481</v>
      </c>
      <c r="J1059" s="16" t="s">
        <v>114</v>
      </c>
      <c r="U1059" s="15" t="s">
        <v>17977</v>
      </c>
      <c r="W1059" s="15">
        <v>2619</v>
      </c>
      <c r="X1059" s="15">
        <v>1069</v>
      </c>
      <c r="Y1059" s="15" t="s">
        <v>160</v>
      </c>
      <c r="Z1059" s="15" t="s">
        <v>161</v>
      </c>
      <c r="AA1059" s="15" t="s">
        <v>162</v>
      </c>
      <c r="AB1059" s="15" t="s">
        <v>12803</v>
      </c>
      <c r="AC1059" s="15" t="s">
        <v>12803</v>
      </c>
      <c r="AD1059" s="15" t="s">
        <v>12803</v>
      </c>
      <c r="AE1059" s="15" t="s">
        <v>164</v>
      </c>
      <c r="AF1059" s="15" t="s">
        <v>12803</v>
      </c>
      <c r="AG1059" s="15" t="s">
        <v>12803</v>
      </c>
      <c r="AH1059" s="47" t="s">
        <v>12804</v>
      </c>
      <c r="AL1059" s="15" t="s">
        <v>12805</v>
      </c>
      <c r="AN1059" s="15">
        <v>743</v>
      </c>
      <c r="AO1059" s="15" t="s">
        <v>12806</v>
      </c>
      <c r="AQ1059" s="15" t="s">
        <v>6091</v>
      </c>
      <c r="AT1059" s="15" t="s">
        <v>12807</v>
      </c>
      <c r="AU1059" s="15" t="s">
        <v>12808</v>
      </c>
      <c r="AV1059" s="15" t="s">
        <v>12808</v>
      </c>
      <c r="AW1059" s="15" t="s">
        <v>12809</v>
      </c>
      <c r="AX1059" s="15" t="s">
        <v>12810</v>
      </c>
      <c r="AY1059" s="15">
        <f t="shared" si="21"/>
        <v>58</v>
      </c>
      <c r="AZ1059" s="15" t="s">
        <v>5831</v>
      </c>
      <c r="BA1059" s="15" t="s">
        <v>174</v>
      </c>
      <c r="BB1059" s="15" t="s">
        <v>12811</v>
      </c>
      <c r="BE1059" s="15" t="s">
        <v>12812</v>
      </c>
      <c r="BI1059" s="15" t="s">
        <v>200</v>
      </c>
      <c r="BJ1059" s="15" t="s">
        <v>12813</v>
      </c>
      <c r="BN1059" s="15" t="s">
        <v>179</v>
      </c>
      <c r="BP1059" s="15" t="s">
        <v>138</v>
      </c>
      <c r="BS1059" s="15" t="s">
        <v>12814</v>
      </c>
      <c r="DH1059" s="15" t="s">
        <v>17982</v>
      </c>
      <c r="DI1059" s="15" t="s">
        <v>17982</v>
      </c>
    </row>
    <row r="1060" spans="1:113" s="15" customFormat="1" ht="12.75" x14ac:dyDescent="0.2">
      <c r="A1060" s="15" t="s">
        <v>109</v>
      </c>
      <c r="B1060" s="15" t="s">
        <v>110</v>
      </c>
      <c r="D1060" s="15" t="s">
        <v>620</v>
      </c>
      <c r="E1060" s="15" t="s">
        <v>112</v>
      </c>
      <c r="F1060" s="15" t="s">
        <v>620</v>
      </c>
      <c r="G1060" s="15" t="s">
        <v>113</v>
      </c>
      <c r="H1060" s="15" t="s">
        <v>1481</v>
      </c>
      <c r="J1060" s="16" t="s">
        <v>114</v>
      </c>
      <c r="U1060" s="15" t="s">
        <v>17977</v>
      </c>
      <c r="W1060" s="15">
        <v>1503</v>
      </c>
      <c r="X1060" s="15">
        <v>1070</v>
      </c>
      <c r="Y1060" s="15" t="s">
        <v>160</v>
      </c>
      <c r="Z1060" s="15" t="s">
        <v>161</v>
      </c>
      <c r="AA1060" s="15" t="s">
        <v>162</v>
      </c>
      <c r="AB1060" s="15" t="s">
        <v>7708</v>
      </c>
      <c r="AC1060" s="15" t="s">
        <v>7708</v>
      </c>
      <c r="AD1060" s="15" t="s">
        <v>7709</v>
      </c>
      <c r="AE1060" s="15" t="s">
        <v>164</v>
      </c>
      <c r="AF1060" s="15" t="s">
        <v>7709</v>
      </c>
      <c r="AG1060" s="15" t="s">
        <v>7708</v>
      </c>
      <c r="AH1060" s="47" t="s">
        <v>7710</v>
      </c>
      <c r="AL1060" s="15" t="s">
        <v>7711</v>
      </c>
      <c r="AN1060" s="15">
        <v>743</v>
      </c>
      <c r="AO1060" s="15" t="s">
        <v>7712</v>
      </c>
      <c r="AQ1060" s="15" t="s">
        <v>6091</v>
      </c>
      <c r="AT1060" s="15" t="s">
        <v>7713</v>
      </c>
      <c r="AU1060" s="15" t="s">
        <v>7714</v>
      </c>
      <c r="AV1060" s="15" t="s">
        <v>7714</v>
      </c>
      <c r="AW1060" s="15" t="s">
        <v>7715</v>
      </c>
      <c r="AX1060" s="15" t="s">
        <v>7716</v>
      </c>
      <c r="AY1060" s="15">
        <f t="shared" si="21"/>
        <v>59</v>
      </c>
      <c r="AZ1060" s="15" t="s">
        <v>5831</v>
      </c>
      <c r="BA1060" s="15" t="s">
        <v>174</v>
      </c>
      <c r="BB1060" s="15" t="s">
        <v>7671</v>
      </c>
      <c r="BE1060" s="15" t="s">
        <v>7717</v>
      </c>
      <c r="BI1060" s="15" t="s">
        <v>200</v>
      </c>
      <c r="BJ1060" s="15" t="s">
        <v>7673</v>
      </c>
      <c r="BK1060" s="15" t="s">
        <v>487</v>
      </c>
      <c r="BN1060" s="15" t="s">
        <v>179</v>
      </c>
      <c r="BP1060" s="15" t="s">
        <v>138</v>
      </c>
      <c r="BS1060" s="15" t="s">
        <v>7718</v>
      </c>
      <c r="DH1060" s="15" t="s">
        <v>17982</v>
      </c>
      <c r="DI1060" s="15" t="s">
        <v>17982</v>
      </c>
    </row>
    <row r="1061" spans="1:113" s="15" customFormat="1" ht="12.75" x14ac:dyDescent="0.2">
      <c r="A1061" s="15" t="s">
        <v>109</v>
      </c>
      <c r="B1061" s="15" t="s">
        <v>110</v>
      </c>
      <c r="D1061" s="15" t="s">
        <v>620</v>
      </c>
      <c r="E1061" s="15" t="s">
        <v>112</v>
      </c>
      <c r="F1061" s="15" t="s">
        <v>620</v>
      </c>
      <c r="G1061" s="15" t="s">
        <v>113</v>
      </c>
      <c r="H1061" s="15" t="s">
        <v>1481</v>
      </c>
      <c r="J1061" s="16" t="s">
        <v>114</v>
      </c>
      <c r="U1061" s="15" t="s">
        <v>17977</v>
      </c>
      <c r="W1061" s="15">
        <v>1504</v>
      </c>
      <c r="X1061" s="15">
        <v>1071</v>
      </c>
      <c r="Y1061" s="15" t="s">
        <v>160</v>
      </c>
      <c r="Z1061" s="15" t="s">
        <v>161</v>
      </c>
      <c r="AA1061" s="15" t="s">
        <v>162</v>
      </c>
      <c r="AB1061" s="15" t="s">
        <v>7719</v>
      </c>
      <c r="AC1061" s="15" t="s">
        <v>7719</v>
      </c>
      <c r="AD1061" s="15" t="s">
        <v>7720</v>
      </c>
      <c r="AE1061" s="15" t="s">
        <v>164</v>
      </c>
      <c r="AF1061" s="15" t="s">
        <v>7720</v>
      </c>
      <c r="AG1061" s="15" t="s">
        <v>7719</v>
      </c>
      <c r="AH1061" s="47" t="s">
        <v>7721</v>
      </c>
      <c r="AL1061" s="15" t="s">
        <v>7722</v>
      </c>
      <c r="AN1061" s="15">
        <v>743</v>
      </c>
      <c r="AO1061" s="15" t="s">
        <v>7723</v>
      </c>
      <c r="AQ1061" s="15" t="s">
        <v>6091</v>
      </c>
      <c r="AT1061" s="15" t="s">
        <v>7724</v>
      </c>
      <c r="AU1061" s="15" t="s">
        <v>7725</v>
      </c>
      <c r="AV1061" s="15" t="s">
        <v>7725</v>
      </c>
      <c r="AW1061" s="15" t="s">
        <v>7726</v>
      </c>
      <c r="AX1061" s="15" t="s">
        <v>7727</v>
      </c>
      <c r="AY1061" s="15">
        <f t="shared" si="21"/>
        <v>60</v>
      </c>
      <c r="AZ1061" s="15" t="s">
        <v>5831</v>
      </c>
      <c r="BA1061" s="15" t="s">
        <v>174</v>
      </c>
      <c r="BB1061" s="15" t="s">
        <v>7671</v>
      </c>
      <c r="BE1061" s="15" t="s">
        <v>7728</v>
      </c>
      <c r="BI1061" s="15" t="s">
        <v>200</v>
      </c>
      <c r="BJ1061" s="15" t="s">
        <v>7673</v>
      </c>
      <c r="BK1061" s="15" t="s">
        <v>487</v>
      </c>
      <c r="BN1061" s="15" t="s">
        <v>179</v>
      </c>
      <c r="BP1061" s="15" t="s">
        <v>138</v>
      </c>
      <c r="BS1061" s="15" t="s">
        <v>7729</v>
      </c>
      <c r="DH1061" s="15" t="s">
        <v>17982</v>
      </c>
      <c r="DI1061" s="15" t="s">
        <v>17982</v>
      </c>
    </row>
    <row r="1062" spans="1:113" s="15" customFormat="1" ht="12.75" x14ac:dyDescent="0.2">
      <c r="A1062" s="15" t="s">
        <v>109</v>
      </c>
      <c r="B1062" s="15" t="s">
        <v>110</v>
      </c>
      <c r="D1062" s="15" t="s">
        <v>620</v>
      </c>
      <c r="E1062" s="15" t="s">
        <v>112</v>
      </c>
      <c r="F1062" s="15" t="s">
        <v>620</v>
      </c>
      <c r="G1062" s="15" t="s">
        <v>113</v>
      </c>
      <c r="H1062" s="15" t="s">
        <v>1481</v>
      </c>
      <c r="J1062" s="16" t="s">
        <v>114</v>
      </c>
      <c r="U1062" s="15" t="s">
        <v>17977</v>
      </c>
      <c r="W1062" s="15">
        <v>1499</v>
      </c>
      <c r="X1062" s="15">
        <v>1072</v>
      </c>
      <c r="Y1062" s="15" t="s">
        <v>160</v>
      </c>
      <c r="Z1062" s="15" t="s">
        <v>161</v>
      </c>
      <c r="AA1062" s="15" t="s">
        <v>162</v>
      </c>
      <c r="AB1062" s="15" t="s">
        <v>7662</v>
      </c>
      <c r="AC1062" s="15" t="s">
        <v>7662</v>
      </c>
      <c r="AD1062" s="15" t="s">
        <v>7663</v>
      </c>
      <c r="AE1062" s="15" t="s">
        <v>164</v>
      </c>
      <c r="AF1062" s="15" t="s">
        <v>7663</v>
      </c>
      <c r="AG1062" s="15" t="s">
        <v>7662</v>
      </c>
      <c r="AH1062" s="47" t="s">
        <v>7664</v>
      </c>
      <c r="AL1062" s="15" t="s">
        <v>7665</v>
      </c>
      <c r="AN1062" s="15">
        <v>743</v>
      </c>
      <c r="AO1062" s="15" t="s">
        <v>7666</v>
      </c>
      <c r="AQ1062" s="15" t="s">
        <v>6091</v>
      </c>
      <c r="AT1062" s="15" t="s">
        <v>7667</v>
      </c>
      <c r="AU1062" s="15" t="s">
        <v>7668</v>
      </c>
      <c r="AV1062" s="15" t="s">
        <v>7668</v>
      </c>
      <c r="AW1062" s="15" t="s">
        <v>7669</v>
      </c>
      <c r="AX1062" s="15" t="s">
        <v>7670</v>
      </c>
      <c r="AY1062" s="15">
        <f t="shared" si="21"/>
        <v>60</v>
      </c>
      <c r="AZ1062" s="15" t="s">
        <v>5831</v>
      </c>
      <c r="BA1062" s="15" t="s">
        <v>174</v>
      </c>
      <c r="BB1062" s="15" t="s">
        <v>7671</v>
      </c>
      <c r="BE1062" s="15" t="s">
        <v>7672</v>
      </c>
      <c r="BI1062" s="15" t="s">
        <v>200</v>
      </c>
      <c r="BJ1062" s="15" t="s">
        <v>7673</v>
      </c>
      <c r="BK1062" s="15" t="s">
        <v>487</v>
      </c>
      <c r="BN1062" s="15" t="s">
        <v>179</v>
      </c>
      <c r="BP1062" s="15" t="s">
        <v>138</v>
      </c>
      <c r="BS1062" s="15" t="s">
        <v>7674</v>
      </c>
      <c r="DH1062" s="15" t="s">
        <v>17982</v>
      </c>
      <c r="DI1062" s="15" t="s">
        <v>17982</v>
      </c>
    </row>
    <row r="1063" spans="1:113" s="15" customFormat="1" ht="12.75" x14ac:dyDescent="0.2">
      <c r="A1063" s="15" t="s">
        <v>109</v>
      </c>
      <c r="B1063" s="15" t="s">
        <v>110</v>
      </c>
      <c r="D1063" s="15" t="s">
        <v>620</v>
      </c>
      <c r="E1063" s="15" t="s">
        <v>112</v>
      </c>
      <c r="F1063" s="15" t="s">
        <v>620</v>
      </c>
      <c r="G1063" s="15" t="s">
        <v>113</v>
      </c>
      <c r="H1063" s="15" t="s">
        <v>1481</v>
      </c>
      <c r="J1063" s="16" t="s">
        <v>114</v>
      </c>
      <c r="U1063" s="15" t="s">
        <v>17977</v>
      </c>
      <c r="W1063" s="15">
        <v>1500</v>
      </c>
      <c r="X1063" s="15">
        <v>1073</v>
      </c>
      <c r="Y1063" s="15" t="s">
        <v>160</v>
      </c>
      <c r="Z1063" s="15" t="s">
        <v>161</v>
      </c>
      <c r="AA1063" s="15" t="s">
        <v>162</v>
      </c>
      <c r="AB1063" s="15" t="s">
        <v>7675</v>
      </c>
      <c r="AC1063" s="15" t="s">
        <v>7675</v>
      </c>
      <c r="AD1063" s="15" t="s">
        <v>7676</v>
      </c>
      <c r="AE1063" s="15" t="s">
        <v>164</v>
      </c>
      <c r="AF1063" s="15" t="s">
        <v>7676</v>
      </c>
      <c r="AG1063" s="15" t="s">
        <v>7675</v>
      </c>
      <c r="AH1063" s="47" t="s">
        <v>7677</v>
      </c>
      <c r="AL1063" s="15" t="s">
        <v>7678</v>
      </c>
      <c r="AN1063" s="15">
        <v>743</v>
      </c>
      <c r="AO1063" s="15" t="s">
        <v>7679</v>
      </c>
      <c r="AQ1063" s="15" t="s">
        <v>6091</v>
      </c>
      <c r="AT1063" s="15" t="s">
        <v>7680</v>
      </c>
      <c r="AU1063" s="15" t="s">
        <v>7681</v>
      </c>
      <c r="AV1063" s="15" t="s">
        <v>7681</v>
      </c>
      <c r="AW1063" s="15" t="s">
        <v>7682</v>
      </c>
      <c r="AX1063" s="15" t="s">
        <v>7683</v>
      </c>
      <c r="AY1063" s="15">
        <f t="shared" si="21"/>
        <v>60</v>
      </c>
      <c r="AZ1063" s="15" t="s">
        <v>5831</v>
      </c>
      <c r="BA1063" s="15" t="s">
        <v>174</v>
      </c>
      <c r="BB1063" s="15" t="s">
        <v>7671</v>
      </c>
      <c r="BE1063" s="15" t="s">
        <v>7684</v>
      </c>
      <c r="BI1063" s="15" t="s">
        <v>200</v>
      </c>
      <c r="BJ1063" s="15" t="s">
        <v>7673</v>
      </c>
      <c r="BK1063" s="15" t="s">
        <v>487</v>
      </c>
      <c r="BN1063" s="15" t="s">
        <v>179</v>
      </c>
      <c r="BP1063" s="15" t="s">
        <v>138</v>
      </c>
      <c r="BS1063" s="15" t="s">
        <v>7685</v>
      </c>
      <c r="DH1063" s="15" t="s">
        <v>17982</v>
      </c>
      <c r="DI1063" s="15" t="s">
        <v>17982</v>
      </c>
    </row>
    <row r="1064" spans="1:113" s="15" customFormat="1" ht="12.75" x14ac:dyDescent="0.2">
      <c r="A1064" s="15" t="s">
        <v>109</v>
      </c>
      <c r="B1064" s="15" t="s">
        <v>110</v>
      </c>
      <c r="D1064" s="15" t="s">
        <v>620</v>
      </c>
      <c r="E1064" s="15" t="s">
        <v>112</v>
      </c>
      <c r="F1064" s="15" t="s">
        <v>620</v>
      </c>
      <c r="G1064" s="15" t="s">
        <v>113</v>
      </c>
      <c r="H1064" s="15" t="s">
        <v>1481</v>
      </c>
      <c r="J1064" s="16" t="s">
        <v>114</v>
      </c>
      <c r="U1064" s="15" t="s">
        <v>17977</v>
      </c>
      <c r="W1064" s="15">
        <v>1501</v>
      </c>
      <c r="X1064" s="15">
        <v>1074</v>
      </c>
      <c r="Y1064" s="15" t="s">
        <v>160</v>
      </c>
      <c r="Z1064" s="15" t="s">
        <v>161</v>
      </c>
      <c r="AA1064" s="15" t="s">
        <v>162</v>
      </c>
      <c r="AB1064" s="15" t="s">
        <v>7686</v>
      </c>
      <c r="AC1064" s="15" t="s">
        <v>7686</v>
      </c>
      <c r="AD1064" s="15" t="s">
        <v>7687</v>
      </c>
      <c r="AE1064" s="15" t="s">
        <v>164</v>
      </c>
      <c r="AF1064" s="15" t="s">
        <v>7687</v>
      </c>
      <c r="AG1064" s="15" t="s">
        <v>7686</v>
      </c>
      <c r="AH1064" s="47" t="s">
        <v>7688</v>
      </c>
      <c r="AL1064" s="15" t="s">
        <v>7689</v>
      </c>
      <c r="AN1064" s="15">
        <v>743</v>
      </c>
      <c r="AO1064" s="15" t="s">
        <v>7690</v>
      </c>
      <c r="AQ1064" s="15" t="s">
        <v>6091</v>
      </c>
      <c r="AT1064" s="15" t="s">
        <v>7691</v>
      </c>
      <c r="AU1064" s="15" t="s">
        <v>7692</v>
      </c>
      <c r="AV1064" s="15" t="s">
        <v>7692</v>
      </c>
      <c r="AW1064" s="15" t="s">
        <v>7693</v>
      </c>
      <c r="AX1064" s="15" t="s">
        <v>7694</v>
      </c>
      <c r="AY1064" s="15">
        <f t="shared" si="21"/>
        <v>60</v>
      </c>
      <c r="AZ1064" s="15" t="s">
        <v>5831</v>
      </c>
      <c r="BA1064" s="15" t="s">
        <v>174</v>
      </c>
      <c r="BB1064" s="15" t="s">
        <v>7671</v>
      </c>
      <c r="BE1064" s="15" t="s">
        <v>7695</v>
      </c>
      <c r="BI1064" s="15" t="s">
        <v>200</v>
      </c>
      <c r="BJ1064" s="15" t="s">
        <v>7673</v>
      </c>
      <c r="BK1064" s="15" t="s">
        <v>487</v>
      </c>
      <c r="BN1064" s="15" t="s">
        <v>179</v>
      </c>
      <c r="BP1064" s="15" t="s">
        <v>138</v>
      </c>
      <c r="BS1064" s="15" t="s">
        <v>7696</v>
      </c>
      <c r="DH1064" s="15" t="s">
        <v>17982</v>
      </c>
      <c r="DI1064" s="15" t="s">
        <v>17982</v>
      </c>
    </row>
    <row r="1065" spans="1:113" s="15" customFormat="1" ht="12.75" x14ac:dyDescent="0.2">
      <c r="A1065" s="15" t="s">
        <v>109</v>
      </c>
      <c r="B1065" s="15" t="s">
        <v>110</v>
      </c>
      <c r="D1065" s="15" t="s">
        <v>620</v>
      </c>
      <c r="E1065" s="15" t="s">
        <v>112</v>
      </c>
      <c r="F1065" s="15" t="s">
        <v>620</v>
      </c>
      <c r="G1065" s="15" t="s">
        <v>113</v>
      </c>
      <c r="H1065" s="15" t="s">
        <v>1481</v>
      </c>
      <c r="J1065" s="16" t="s">
        <v>114</v>
      </c>
      <c r="U1065" s="15" t="s">
        <v>17977</v>
      </c>
      <c r="W1065" s="15">
        <v>1502</v>
      </c>
      <c r="X1065" s="15">
        <v>1075</v>
      </c>
      <c r="Y1065" s="15" t="s">
        <v>160</v>
      </c>
      <c r="Z1065" s="15" t="s">
        <v>161</v>
      </c>
      <c r="AA1065" s="15" t="s">
        <v>162</v>
      </c>
      <c r="AB1065" s="15" t="s">
        <v>7697</v>
      </c>
      <c r="AC1065" s="15" t="s">
        <v>7697</v>
      </c>
      <c r="AD1065" s="15" t="s">
        <v>7698</v>
      </c>
      <c r="AE1065" s="15" t="s">
        <v>164</v>
      </c>
      <c r="AF1065" s="15" t="s">
        <v>7698</v>
      </c>
      <c r="AG1065" s="15" t="s">
        <v>7697</v>
      </c>
      <c r="AH1065" s="47" t="s">
        <v>7699</v>
      </c>
      <c r="AL1065" s="15" t="s">
        <v>7700</v>
      </c>
      <c r="AN1065" s="15">
        <v>743</v>
      </c>
      <c r="AO1065" s="15" t="s">
        <v>7701</v>
      </c>
      <c r="AQ1065" s="15" t="s">
        <v>6091</v>
      </c>
      <c r="AT1065" s="15" t="s">
        <v>7702</v>
      </c>
      <c r="AU1065" s="15" t="s">
        <v>7703</v>
      </c>
      <c r="AV1065" s="15" t="s">
        <v>7703</v>
      </c>
      <c r="AW1065" s="15" t="s">
        <v>7704</v>
      </c>
      <c r="AX1065" s="15" t="s">
        <v>7705</v>
      </c>
      <c r="AY1065" s="15">
        <f t="shared" si="21"/>
        <v>60</v>
      </c>
      <c r="AZ1065" s="15" t="s">
        <v>5831</v>
      </c>
      <c r="BA1065" s="15" t="s">
        <v>174</v>
      </c>
      <c r="BB1065" s="15" t="s">
        <v>7671</v>
      </c>
      <c r="BE1065" s="15" t="s">
        <v>7706</v>
      </c>
      <c r="BI1065" s="15" t="s">
        <v>200</v>
      </c>
      <c r="BJ1065" s="15" t="s">
        <v>7673</v>
      </c>
      <c r="BK1065" s="15" t="s">
        <v>487</v>
      </c>
      <c r="BN1065" s="15" t="s">
        <v>179</v>
      </c>
      <c r="BP1065" s="15" t="s">
        <v>138</v>
      </c>
      <c r="BS1065" s="15" t="s">
        <v>7707</v>
      </c>
      <c r="DH1065" s="15" t="s">
        <v>17982</v>
      </c>
      <c r="DI1065" s="15" t="s">
        <v>17982</v>
      </c>
    </row>
    <row r="1066" spans="1:113" s="15" customFormat="1" ht="12.75" x14ac:dyDescent="0.2">
      <c r="A1066" s="15" t="s">
        <v>109</v>
      </c>
      <c r="B1066" s="15" t="s">
        <v>110</v>
      </c>
      <c r="D1066" s="15" t="s">
        <v>620</v>
      </c>
      <c r="E1066" s="15" t="s">
        <v>112</v>
      </c>
      <c r="F1066" s="15" t="s">
        <v>620</v>
      </c>
      <c r="G1066" s="15" t="s">
        <v>113</v>
      </c>
      <c r="H1066" s="15" t="s">
        <v>1481</v>
      </c>
      <c r="J1066" s="16" t="s">
        <v>114</v>
      </c>
      <c r="U1066" s="15" t="s">
        <v>17977</v>
      </c>
      <c r="W1066" s="15">
        <v>3248</v>
      </c>
      <c r="X1066" s="15">
        <v>1076</v>
      </c>
      <c r="Y1066" s="15" t="s">
        <v>160</v>
      </c>
      <c r="Z1066" s="15" t="s">
        <v>161</v>
      </c>
      <c r="AA1066" s="15" t="s">
        <v>162</v>
      </c>
      <c r="AB1066" s="15" t="s">
        <v>15658</v>
      </c>
      <c r="AC1066" s="15" t="s">
        <v>15658</v>
      </c>
      <c r="AD1066" s="15" t="s">
        <v>15659</v>
      </c>
      <c r="AE1066" s="15" t="s">
        <v>164</v>
      </c>
      <c r="AF1066" s="15" t="s">
        <v>15659</v>
      </c>
      <c r="AG1066" s="15" t="s">
        <v>15658</v>
      </c>
      <c r="AH1066" s="15" t="s">
        <v>15660</v>
      </c>
      <c r="AL1066" s="15" t="s">
        <v>15661</v>
      </c>
      <c r="AN1066" s="15">
        <v>743</v>
      </c>
      <c r="AO1066" s="15" t="s">
        <v>15662</v>
      </c>
      <c r="AQ1066" s="15" t="s">
        <v>1193</v>
      </c>
      <c r="AT1066" s="15" t="s">
        <v>15663</v>
      </c>
      <c r="AU1066" s="15" t="s">
        <v>15664</v>
      </c>
      <c r="AV1066" s="15" t="s">
        <v>15664</v>
      </c>
      <c r="AW1066" s="15" t="s">
        <v>15665</v>
      </c>
      <c r="AX1066" s="15" t="s">
        <v>15665</v>
      </c>
      <c r="AY1066" s="15">
        <f t="shared" si="21"/>
        <v>47</v>
      </c>
      <c r="AZ1066" s="15" t="s">
        <v>1634</v>
      </c>
      <c r="BA1066" s="15" t="s">
        <v>174</v>
      </c>
      <c r="BB1066" s="15" t="s">
        <v>15666</v>
      </c>
      <c r="BC1066" s="15">
        <v>1</v>
      </c>
      <c r="BE1066" s="15" t="s">
        <v>1582</v>
      </c>
      <c r="BI1066" s="15" t="s">
        <v>200</v>
      </c>
      <c r="BJ1066" s="15" t="s">
        <v>15667</v>
      </c>
      <c r="BN1066" s="15" t="s">
        <v>179</v>
      </c>
      <c r="BP1066" s="15" t="s">
        <v>138</v>
      </c>
      <c r="BS1066" s="15" t="s">
        <v>15668</v>
      </c>
      <c r="DH1066" s="15" t="s">
        <v>17982</v>
      </c>
      <c r="DI1066" s="15" t="s">
        <v>17982</v>
      </c>
    </row>
    <row r="1067" spans="1:113" s="15" customFormat="1" ht="12.75" x14ac:dyDescent="0.2">
      <c r="A1067" s="15" t="s">
        <v>109</v>
      </c>
      <c r="B1067" s="15" t="s">
        <v>110</v>
      </c>
      <c r="D1067" s="15" t="s">
        <v>620</v>
      </c>
      <c r="E1067" s="15" t="s">
        <v>112</v>
      </c>
      <c r="F1067" s="15" t="s">
        <v>620</v>
      </c>
      <c r="G1067" s="15" t="s">
        <v>113</v>
      </c>
      <c r="H1067" s="15" t="s">
        <v>1481</v>
      </c>
      <c r="J1067" s="16" t="s">
        <v>114</v>
      </c>
      <c r="U1067" s="15" t="s">
        <v>17977</v>
      </c>
      <c r="W1067" s="15">
        <v>3249</v>
      </c>
      <c r="X1067" s="15">
        <v>1077</v>
      </c>
      <c r="Y1067" s="15" t="s">
        <v>160</v>
      </c>
      <c r="Z1067" s="15" t="s">
        <v>161</v>
      </c>
      <c r="AA1067" s="15" t="s">
        <v>162</v>
      </c>
      <c r="AB1067" s="15" t="s">
        <v>15669</v>
      </c>
      <c r="AC1067" s="15" t="s">
        <v>15669</v>
      </c>
      <c r="AD1067" s="15" t="s">
        <v>15670</v>
      </c>
      <c r="AE1067" s="15" t="s">
        <v>164</v>
      </c>
      <c r="AF1067" s="15" t="s">
        <v>15670</v>
      </c>
      <c r="AG1067" s="15" t="s">
        <v>15669</v>
      </c>
      <c r="AH1067" s="15" t="s">
        <v>15671</v>
      </c>
      <c r="AL1067" s="15" t="s">
        <v>15672</v>
      </c>
      <c r="AN1067" s="15">
        <v>743</v>
      </c>
      <c r="AO1067" s="15" t="s">
        <v>15673</v>
      </c>
      <c r="AQ1067" s="15" t="s">
        <v>1193</v>
      </c>
      <c r="AT1067" s="15" t="s">
        <v>15674</v>
      </c>
      <c r="AU1067" s="15" t="s">
        <v>15675</v>
      </c>
      <c r="AV1067" s="15" t="s">
        <v>15675</v>
      </c>
      <c r="AW1067" s="15" t="s">
        <v>15676</v>
      </c>
      <c r="AX1067" s="15" t="s">
        <v>15676</v>
      </c>
      <c r="AY1067" s="15">
        <f t="shared" si="21"/>
        <v>47</v>
      </c>
      <c r="AZ1067" s="15" t="s">
        <v>1634</v>
      </c>
      <c r="BA1067" s="15" t="s">
        <v>174</v>
      </c>
      <c r="BB1067" s="15" t="s">
        <v>15666</v>
      </c>
      <c r="BC1067" s="15">
        <v>2</v>
      </c>
      <c r="BE1067" s="15" t="s">
        <v>1582</v>
      </c>
      <c r="BI1067" s="15" t="s">
        <v>200</v>
      </c>
      <c r="BJ1067" s="15" t="s">
        <v>15667</v>
      </c>
      <c r="BN1067" s="15" t="s">
        <v>179</v>
      </c>
      <c r="BP1067" s="15" t="s">
        <v>138</v>
      </c>
      <c r="BS1067" s="15" t="s">
        <v>15677</v>
      </c>
      <c r="DH1067" s="15" t="s">
        <v>17982</v>
      </c>
      <c r="DI1067" s="15" t="s">
        <v>17982</v>
      </c>
    </row>
    <row r="1068" spans="1:113" s="15" customFormat="1" ht="12.75" x14ac:dyDescent="0.2">
      <c r="A1068" s="15" t="s">
        <v>109</v>
      </c>
      <c r="B1068" s="15" t="s">
        <v>110</v>
      </c>
      <c r="D1068" s="15" t="s">
        <v>620</v>
      </c>
      <c r="E1068" s="15" t="s">
        <v>112</v>
      </c>
      <c r="F1068" s="15" t="s">
        <v>620</v>
      </c>
      <c r="G1068" s="15" t="s">
        <v>113</v>
      </c>
      <c r="H1068" s="15" t="s">
        <v>1481</v>
      </c>
      <c r="J1068" s="16" t="s">
        <v>114</v>
      </c>
      <c r="U1068" s="15" t="s">
        <v>17977</v>
      </c>
      <c r="W1068" s="15">
        <v>2652</v>
      </c>
      <c r="X1068" s="15">
        <v>1078</v>
      </c>
      <c r="Y1068" s="15" t="s">
        <v>160</v>
      </c>
      <c r="Z1068" s="15" t="s">
        <v>161</v>
      </c>
      <c r="AA1068" s="15" t="s">
        <v>162</v>
      </c>
      <c r="AB1068" s="15" t="s">
        <v>12834</v>
      </c>
      <c r="AC1068" s="15" t="s">
        <v>12834</v>
      </c>
      <c r="AD1068" s="15" t="s">
        <v>12835</v>
      </c>
      <c r="AE1068" s="15" t="s">
        <v>164</v>
      </c>
      <c r="AF1068" s="15" t="s">
        <v>12835</v>
      </c>
      <c r="AG1068" s="15" t="s">
        <v>12834</v>
      </c>
      <c r="AH1068" s="47" t="s">
        <v>12836</v>
      </c>
      <c r="AL1068" s="15" t="s">
        <v>12837</v>
      </c>
      <c r="AN1068" s="15">
        <v>743</v>
      </c>
      <c r="AO1068" s="15" t="s">
        <v>12838</v>
      </c>
      <c r="AQ1068" s="15" t="s">
        <v>1193</v>
      </c>
      <c r="AT1068" s="15" t="s">
        <v>12839</v>
      </c>
      <c r="AU1068" s="15" t="s">
        <v>12840</v>
      </c>
      <c r="AV1068" s="15" t="s">
        <v>12840</v>
      </c>
      <c r="AW1068" s="15" t="s">
        <v>12841</v>
      </c>
      <c r="AX1068" s="15" t="s">
        <v>12841</v>
      </c>
      <c r="AY1068" s="15">
        <f t="shared" si="21"/>
        <v>46</v>
      </c>
      <c r="AZ1068" s="15" t="s">
        <v>1634</v>
      </c>
      <c r="BA1068" s="15" t="s">
        <v>174</v>
      </c>
      <c r="BB1068" s="15" t="s">
        <v>12842</v>
      </c>
      <c r="BC1068" s="15">
        <v>6</v>
      </c>
      <c r="BE1068" s="15" t="s">
        <v>1582</v>
      </c>
      <c r="BI1068" s="15" t="s">
        <v>200</v>
      </c>
      <c r="BJ1068" s="15" t="s">
        <v>12843</v>
      </c>
      <c r="BN1068" s="15" t="s">
        <v>179</v>
      </c>
      <c r="BP1068" s="15" t="s">
        <v>138</v>
      </c>
      <c r="BS1068" s="15" t="s">
        <v>12844</v>
      </c>
      <c r="DH1068" s="15" t="s">
        <v>17982</v>
      </c>
      <c r="DI1068" s="15" t="s">
        <v>17982</v>
      </c>
    </row>
    <row r="1069" spans="1:113" s="15" customFormat="1" ht="12.75" x14ac:dyDescent="0.2">
      <c r="A1069" s="15" t="s">
        <v>109</v>
      </c>
      <c r="B1069" s="15" t="s">
        <v>110</v>
      </c>
      <c r="D1069" s="15" t="s">
        <v>620</v>
      </c>
      <c r="E1069" s="15" t="s">
        <v>112</v>
      </c>
      <c r="F1069" s="15" t="s">
        <v>620</v>
      </c>
      <c r="G1069" s="15" t="s">
        <v>113</v>
      </c>
      <c r="H1069" s="15" t="s">
        <v>1481</v>
      </c>
      <c r="J1069" s="16" t="s">
        <v>114</v>
      </c>
      <c r="U1069" s="15" t="s">
        <v>17977</v>
      </c>
      <c r="W1069" s="15">
        <v>1895</v>
      </c>
      <c r="X1069" s="15">
        <v>1079</v>
      </c>
      <c r="Y1069" s="15" t="s">
        <v>160</v>
      </c>
      <c r="Z1069" s="15" t="s">
        <v>161</v>
      </c>
      <c r="AA1069" s="15" t="s">
        <v>162</v>
      </c>
      <c r="AB1069" s="15" t="s">
        <v>10179</v>
      </c>
      <c r="AC1069" s="15" t="s">
        <v>10179</v>
      </c>
      <c r="AD1069" s="15" t="s">
        <v>10179</v>
      </c>
      <c r="AE1069" s="15" t="s">
        <v>164</v>
      </c>
      <c r="AF1069" s="15" t="s">
        <v>10179</v>
      </c>
      <c r="AG1069" s="15" t="s">
        <v>10179</v>
      </c>
      <c r="AH1069" s="15" t="s">
        <v>10180</v>
      </c>
      <c r="AL1069" s="15" t="s">
        <v>10181</v>
      </c>
      <c r="AN1069" s="15">
        <v>743</v>
      </c>
      <c r="AO1069" s="15" t="s">
        <v>10182</v>
      </c>
      <c r="AQ1069" s="15" t="s">
        <v>1193</v>
      </c>
      <c r="AT1069" s="15" t="s">
        <v>10183</v>
      </c>
      <c r="AU1069" s="15" t="s">
        <v>10184</v>
      </c>
      <c r="AV1069" s="15" t="s">
        <v>10184</v>
      </c>
      <c r="AW1069" s="15" t="s">
        <v>10185</v>
      </c>
      <c r="AX1069" s="15" t="s">
        <v>10186</v>
      </c>
      <c r="AY1069" s="15">
        <f t="shared" si="21"/>
        <v>55</v>
      </c>
      <c r="AZ1069" s="15" t="s">
        <v>1634</v>
      </c>
      <c r="BA1069" s="15" t="s">
        <v>174</v>
      </c>
      <c r="BB1069" s="15" t="s">
        <v>10187</v>
      </c>
      <c r="BC1069" s="15">
        <v>1</v>
      </c>
      <c r="BE1069" s="15" t="s">
        <v>1032</v>
      </c>
      <c r="BI1069" s="15" t="s">
        <v>200</v>
      </c>
      <c r="BJ1069" s="15" t="s">
        <v>10188</v>
      </c>
      <c r="BK1069" s="15" t="s">
        <v>487</v>
      </c>
      <c r="BN1069" s="15" t="s">
        <v>179</v>
      </c>
      <c r="BP1069" s="15" t="s">
        <v>138</v>
      </c>
      <c r="BS1069" s="15" t="s">
        <v>10189</v>
      </c>
      <c r="DH1069" s="15" t="s">
        <v>17982</v>
      </c>
      <c r="DI1069" s="15" t="s">
        <v>17982</v>
      </c>
    </row>
    <row r="1070" spans="1:113" s="15" customFormat="1" ht="12.75" x14ac:dyDescent="0.2">
      <c r="A1070" s="15" t="s">
        <v>109</v>
      </c>
      <c r="B1070" s="15" t="s">
        <v>110</v>
      </c>
      <c r="D1070" s="15" t="s">
        <v>620</v>
      </c>
      <c r="E1070" s="15" t="s">
        <v>112</v>
      </c>
      <c r="F1070" s="15" t="s">
        <v>620</v>
      </c>
      <c r="G1070" s="15" t="s">
        <v>113</v>
      </c>
      <c r="H1070" s="15" t="s">
        <v>1481</v>
      </c>
      <c r="J1070" s="16" t="s">
        <v>114</v>
      </c>
      <c r="U1070" s="15" t="s">
        <v>17977</v>
      </c>
      <c r="W1070" s="15">
        <v>1896</v>
      </c>
      <c r="X1070" s="15">
        <v>1080</v>
      </c>
      <c r="Y1070" s="15" t="s">
        <v>160</v>
      </c>
      <c r="Z1070" s="15" t="s">
        <v>161</v>
      </c>
      <c r="AA1070" s="15" t="s">
        <v>162</v>
      </c>
      <c r="AB1070" s="15" t="s">
        <v>10190</v>
      </c>
      <c r="AC1070" s="15" t="s">
        <v>10190</v>
      </c>
      <c r="AD1070" s="15" t="s">
        <v>10190</v>
      </c>
      <c r="AE1070" s="15" t="s">
        <v>164</v>
      </c>
      <c r="AF1070" s="15" t="s">
        <v>10190</v>
      </c>
      <c r="AG1070" s="15" t="s">
        <v>10190</v>
      </c>
      <c r="AH1070" s="15" t="s">
        <v>10191</v>
      </c>
      <c r="AL1070" s="15" t="s">
        <v>10192</v>
      </c>
      <c r="AN1070" s="15">
        <v>743</v>
      </c>
      <c r="AO1070" s="15" t="s">
        <v>10193</v>
      </c>
      <c r="AQ1070" s="15" t="s">
        <v>1193</v>
      </c>
      <c r="AT1070" s="15" t="s">
        <v>10194</v>
      </c>
      <c r="AU1070" s="15" t="s">
        <v>10195</v>
      </c>
      <c r="AV1070" s="15" t="s">
        <v>10195</v>
      </c>
      <c r="AW1070" s="15" t="s">
        <v>10196</v>
      </c>
      <c r="AX1070" s="15" t="s">
        <v>10197</v>
      </c>
      <c r="AY1070" s="15">
        <f t="shared" si="21"/>
        <v>60</v>
      </c>
      <c r="AZ1070" s="15" t="s">
        <v>1634</v>
      </c>
      <c r="BA1070" s="15" t="s">
        <v>174</v>
      </c>
      <c r="BB1070" s="15" t="s">
        <v>10198</v>
      </c>
      <c r="BC1070" s="15">
        <v>2</v>
      </c>
      <c r="BE1070" s="15" t="s">
        <v>1032</v>
      </c>
      <c r="BI1070" s="15" t="s">
        <v>200</v>
      </c>
      <c r="BJ1070" s="15" t="s">
        <v>10188</v>
      </c>
      <c r="BK1070" s="15" t="s">
        <v>487</v>
      </c>
      <c r="BN1070" s="15" t="s">
        <v>179</v>
      </c>
      <c r="BP1070" s="15" t="s">
        <v>138</v>
      </c>
      <c r="BS1070" s="15" t="s">
        <v>10199</v>
      </c>
      <c r="DH1070" s="15" t="s">
        <v>17982</v>
      </c>
      <c r="DI1070" s="15" t="s">
        <v>17982</v>
      </c>
    </row>
    <row r="1071" spans="1:113" s="15" customFormat="1" ht="12.75" x14ac:dyDescent="0.2">
      <c r="A1071" s="15" t="s">
        <v>109</v>
      </c>
      <c r="B1071" s="15" t="s">
        <v>110</v>
      </c>
      <c r="D1071" s="15" t="s">
        <v>620</v>
      </c>
      <c r="E1071" s="15" t="s">
        <v>112</v>
      </c>
      <c r="F1071" s="15" t="s">
        <v>620</v>
      </c>
      <c r="G1071" s="15" t="s">
        <v>113</v>
      </c>
      <c r="H1071" s="15" t="s">
        <v>1481</v>
      </c>
      <c r="J1071" s="16" t="s">
        <v>114</v>
      </c>
      <c r="U1071" s="15" t="s">
        <v>17977</v>
      </c>
      <c r="W1071" s="15">
        <v>2508</v>
      </c>
      <c r="X1071" s="15">
        <v>1081</v>
      </c>
      <c r="Y1071" s="15" t="s">
        <v>160</v>
      </c>
      <c r="Z1071" s="15" t="s">
        <v>161</v>
      </c>
      <c r="AA1071" s="15" t="s">
        <v>162</v>
      </c>
      <c r="AB1071" s="15" t="s">
        <v>12303</v>
      </c>
      <c r="AC1071" s="15" t="s">
        <v>12303</v>
      </c>
      <c r="AD1071" s="15" t="s">
        <v>12304</v>
      </c>
      <c r="AE1071" s="15" t="s">
        <v>164</v>
      </c>
      <c r="AF1071" s="15" t="s">
        <v>12304</v>
      </c>
      <c r="AG1071" s="15" t="s">
        <v>12303</v>
      </c>
      <c r="AH1071" s="47" t="s">
        <v>12305</v>
      </c>
      <c r="AL1071" s="15" t="s">
        <v>12306</v>
      </c>
      <c r="AN1071" s="15">
        <v>743</v>
      </c>
      <c r="AO1071" s="15" t="s">
        <v>12307</v>
      </c>
      <c r="AQ1071" s="15" t="s">
        <v>168</v>
      </c>
      <c r="AT1071" s="15" t="s">
        <v>12308</v>
      </c>
      <c r="AU1071" s="15" t="s">
        <v>12309</v>
      </c>
      <c r="AV1071" s="15" t="s">
        <v>12309</v>
      </c>
      <c r="AW1071" s="15" t="s">
        <v>12310</v>
      </c>
      <c r="AX1071" s="15" t="s">
        <v>12311</v>
      </c>
      <c r="AY1071" s="15">
        <f t="shared" si="21"/>
        <v>57</v>
      </c>
      <c r="AZ1071" s="15" t="s">
        <v>173</v>
      </c>
      <c r="BA1071" s="15" t="s">
        <v>174</v>
      </c>
      <c r="BB1071" s="15" t="s">
        <v>12312</v>
      </c>
      <c r="BC1071" s="15" t="s">
        <v>12313</v>
      </c>
      <c r="BE1071" s="15" t="s">
        <v>1701</v>
      </c>
      <c r="BJ1071" s="15" t="s">
        <v>12314</v>
      </c>
      <c r="BN1071" s="15" t="s">
        <v>179</v>
      </c>
      <c r="BP1071" s="15" t="s">
        <v>138</v>
      </c>
      <c r="BS1071" s="15" t="s">
        <v>12315</v>
      </c>
      <c r="DH1071" s="15" t="s">
        <v>17982</v>
      </c>
      <c r="DI1071" s="15" t="s">
        <v>17982</v>
      </c>
    </row>
    <row r="1072" spans="1:113" s="15" customFormat="1" ht="12.75" x14ac:dyDescent="0.2">
      <c r="A1072" s="15" t="s">
        <v>109</v>
      </c>
      <c r="B1072" s="15" t="s">
        <v>110</v>
      </c>
      <c r="D1072" s="15" t="s">
        <v>620</v>
      </c>
      <c r="E1072" s="15" t="s">
        <v>112</v>
      </c>
      <c r="F1072" s="15" t="s">
        <v>620</v>
      </c>
      <c r="G1072" s="15" t="s">
        <v>113</v>
      </c>
      <c r="H1072" s="15" t="s">
        <v>1481</v>
      </c>
      <c r="J1072" s="16" t="s">
        <v>114</v>
      </c>
      <c r="U1072" s="15" t="s">
        <v>17977</v>
      </c>
      <c r="W1072" s="15">
        <v>2849</v>
      </c>
      <c r="X1072" s="15">
        <v>1082</v>
      </c>
      <c r="Y1072" s="15" t="s">
        <v>160</v>
      </c>
      <c r="Z1072" s="15" t="s">
        <v>161</v>
      </c>
      <c r="AA1072" s="15" t="s">
        <v>162</v>
      </c>
      <c r="AB1072" s="15" t="s">
        <v>13901</v>
      </c>
      <c r="AC1072" s="15" t="s">
        <v>13901</v>
      </c>
      <c r="AD1072" s="15" t="s">
        <v>13901</v>
      </c>
      <c r="AE1072" s="15" t="s">
        <v>164</v>
      </c>
      <c r="AF1072" s="15" t="s">
        <v>13901</v>
      </c>
      <c r="AG1072" s="15" t="s">
        <v>13901</v>
      </c>
      <c r="AH1072" s="47" t="s">
        <v>13902</v>
      </c>
      <c r="AL1072" s="15" t="s">
        <v>13903</v>
      </c>
      <c r="AN1072" s="15">
        <v>743</v>
      </c>
      <c r="AO1072" s="15" t="s">
        <v>13904</v>
      </c>
      <c r="AQ1072" s="15" t="s">
        <v>342</v>
      </c>
      <c r="AT1072" s="15" t="s">
        <v>13905</v>
      </c>
      <c r="AU1072" s="15" t="s">
        <v>13906</v>
      </c>
      <c r="AV1072" s="15" t="s">
        <v>13906</v>
      </c>
      <c r="AW1072" s="15" t="s">
        <v>13907</v>
      </c>
      <c r="AX1072" s="15" t="s">
        <v>13908</v>
      </c>
      <c r="AY1072" s="15">
        <f t="shared" si="21"/>
        <v>55</v>
      </c>
      <c r="AZ1072" s="15" t="s">
        <v>173</v>
      </c>
      <c r="BA1072" s="15" t="s">
        <v>483</v>
      </c>
      <c r="BB1072" s="15" t="s">
        <v>13909</v>
      </c>
      <c r="BE1072" s="15" t="s">
        <v>348</v>
      </c>
      <c r="BI1072" s="15" t="s">
        <v>200</v>
      </c>
      <c r="BJ1072" s="15" t="s">
        <v>13910</v>
      </c>
      <c r="BK1072" s="15" t="s">
        <v>487</v>
      </c>
      <c r="BN1072" s="15" t="s">
        <v>179</v>
      </c>
      <c r="BP1072" s="15" t="s">
        <v>138</v>
      </c>
      <c r="BS1072" s="15" t="s">
        <v>13911</v>
      </c>
      <c r="DH1072" s="15" t="s">
        <v>17982</v>
      </c>
      <c r="DI1072" s="15" t="s">
        <v>17982</v>
      </c>
    </row>
    <row r="1073" spans="1:113" s="15" customFormat="1" ht="12.75" x14ac:dyDescent="0.2">
      <c r="A1073" s="15" t="s">
        <v>109</v>
      </c>
      <c r="B1073" s="15" t="s">
        <v>110</v>
      </c>
      <c r="D1073" s="15" t="s">
        <v>620</v>
      </c>
      <c r="E1073" s="15" t="s">
        <v>112</v>
      </c>
      <c r="F1073" s="15" t="s">
        <v>620</v>
      </c>
      <c r="G1073" s="15" t="s">
        <v>113</v>
      </c>
      <c r="H1073" s="15" t="s">
        <v>1481</v>
      </c>
      <c r="J1073" s="16" t="s">
        <v>114</v>
      </c>
      <c r="U1073" s="15" t="s">
        <v>17977</v>
      </c>
      <c r="W1073" s="15">
        <v>2850</v>
      </c>
      <c r="X1073" s="15">
        <v>1083</v>
      </c>
      <c r="Y1073" s="15" t="s">
        <v>160</v>
      </c>
      <c r="Z1073" s="15" t="s">
        <v>161</v>
      </c>
      <c r="AA1073" s="15" t="s">
        <v>162</v>
      </c>
      <c r="AB1073" s="15" t="s">
        <v>13912</v>
      </c>
      <c r="AC1073" s="15" t="s">
        <v>13912</v>
      </c>
      <c r="AD1073" s="15" t="s">
        <v>13912</v>
      </c>
      <c r="AE1073" s="15" t="s">
        <v>164</v>
      </c>
      <c r="AF1073" s="15" t="s">
        <v>13912</v>
      </c>
      <c r="AG1073" s="15" t="s">
        <v>13912</v>
      </c>
      <c r="AH1073" s="47" t="s">
        <v>13913</v>
      </c>
      <c r="AL1073" s="15" t="s">
        <v>13914</v>
      </c>
      <c r="AN1073" s="15">
        <v>743</v>
      </c>
      <c r="AO1073" s="15" t="s">
        <v>13915</v>
      </c>
      <c r="AQ1073" s="15" t="s">
        <v>342</v>
      </c>
      <c r="AT1073" s="15" t="s">
        <v>13916</v>
      </c>
      <c r="AU1073" s="15" t="s">
        <v>13917</v>
      </c>
      <c r="AV1073" s="15" t="s">
        <v>13917</v>
      </c>
      <c r="AW1073" s="15" t="s">
        <v>13918</v>
      </c>
      <c r="AX1073" s="15" t="s">
        <v>13919</v>
      </c>
      <c r="AY1073" s="15">
        <f t="shared" si="21"/>
        <v>57</v>
      </c>
      <c r="AZ1073" s="15" t="s">
        <v>173</v>
      </c>
      <c r="BA1073" s="15" t="s">
        <v>483</v>
      </c>
      <c r="BB1073" s="15" t="s">
        <v>13909</v>
      </c>
      <c r="BE1073" s="15" t="s">
        <v>13920</v>
      </c>
      <c r="BI1073" s="15" t="s">
        <v>200</v>
      </c>
      <c r="BJ1073" s="15" t="s">
        <v>13921</v>
      </c>
      <c r="BK1073" s="15" t="s">
        <v>487</v>
      </c>
      <c r="BN1073" s="15" t="s">
        <v>179</v>
      </c>
      <c r="BP1073" s="15" t="s">
        <v>138</v>
      </c>
      <c r="BS1073" s="15" t="s">
        <v>13922</v>
      </c>
      <c r="DH1073" s="15" t="s">
        <v>17982</v>
      </c>
      <c r="DI1073" s="15" t="s">
        <v>17982</v>
      </c>
    </row>
    <row r="1074" spans="1:113" s="15" customFormat="1" ht="12.75" x14ac:dyDescent="0.2">
      <c r="A1074" s="15" t="s">
        <v>109</v>
      </c>
      <c r="B1074" s="15" t="s">
        <v>110</v>
      </c>
      <c r="D1074" s="15" t="s">
        <v>620</v>
      </c>
      <c r="E1074" s="15" t="s">
        <v>112</v>
      </c>
      <c r="F1074" s="15" t="s">
        <v>620</v>
      </c>
      <c r="G1074" s="15" t="s">
        <v>113</v>
      </c>
      <c r="H1074" s="15" t="s">
        <v>1481</v>
      </c>
      <c r="J1074" s="16" t="s">
        <v>114</v>
      </c>
      <c r="U1074" s="15" t="s">
        <v>17977</v>
      </c>
      <c r="W1074" s="15">
        <v>3421</v>
      </c>
      <c r="X1074" s="15">
        <v>1084</v>
      </c>
      <c r="Y1074" s="15" t="s">
        <v>160</v>
      </c>
      <c r="Z1074" s="15" t="s">
        <v>161</v>
      </c>
      <c r="AA1074" s="15" t="s">
        <v>162</v>
      </c>
      <c r="AB1074" s="15" t="s">
        <v>16531</v>
      </c>
      <c r="AC1074" s="15" t="s">
        <v>16531</v>
      </c>
      <c r="AD1074" s="15" t="s">
        <v>16531</v>
      </c>
      <c r="AE1074" s="15" t="s">
        <v>164</v>
      </c>
      <c r="AF1074" s="15" t="s">
        <v>16531</v>
      </c>
      <c r="AG1074" s="15" t="s">
        <v>16531</v>
      </c>
      <c r="AH1074" s="15" t="s">
        <v>16532</v>
      </c>
      <c r="AL1074" s="15" t="s">
        <v>16533</v>
      </c>
      <c r="AN1074" s="15">
        <v>743</v>
      </c>
      <c r="AO1074" s="15" t="s">
        <v>16534</v>
      </c>
      <c r="AQ1074" s="15" t="s">
        <v>342</v>
      </c>
      <c r="AT1074" s="15" t="s">
        <v>16535</v>
      </c>
      <c r="AU1074" s="15" t="s">
        <v>16536</v>
      </c>
      <c r="AV1074" s="15" t="s">
        <v>16536</v>
      </c>
      <c r="AW1074" s="15" t="s">
        <v>16537</v>
      </c>
      <c r="AX1074" s="15" t="s">
        <v>16537</v>
      </c>
      <c r="AY1074" s="15">
        <f t="shared" si="21"/>
        <v>57</v>
      </c>
      <c r="AZ1074" s="15" t="s">
        <v>173</v>
      </c>
      <c r="BA1074" s="15" t="s">
        <v>483</v>
      </c>
      <c r="BB1074" s="15" t="s">
        <v>16538</v>
      </c>
      <c r="BE1074" s="15" t="s">
        <v>564</v>
      </c>
      <c r="BI1074" s="15" t="s">
        <v>200</v>
      </c>
      <c r="BJ1074" s="15" t="s">
        <v>16539</v>
      </c>
      <c r="BN1074" s="15" t="s">
        <v>179</v>
      </c>
      <c r="BP1074" s="15" t="s">
        <v>138</v>
      </c>
      <c r="BS1074" s="15" t="s">
        <v>16540</v>
      </c>
      <c r="DH1074" s="15" t="s">
        <v>17982</v>
      </c>
      <c r="DI1074" s="15" t="s">
        <v>17982</v>
      </c>
    </row>
    <row r="1075" spans="1:113" s="15" customFormat="1" ht="12.75" x14ac:dyDescent="0.2">
      <c r="A1075" s="15" t="s">
        <v>109</v>
      </c>
      <c r="B1075" s="15" t="s">
        <v>110</v>
      </c>
      <c r="D1075" s="15" t="s">
        <v>620</v>
      </c>
      <c r="E1075" s="15" t="s">
        <v>112</v>
      </c>
      <c r="F1075" s="15" t="s">
        <v>620</v>
      </c>
      <c r="G1075" s="15" t="s">
        <v>113</v>
      </c>
      <c r="H1075" s="15" t="s">
        <v>1481</v>
      </c>
      <c r="J1075" s="16" t="s">
        <v>114</v>
      </c>
      <c r="U1075" s="15" t="s">
        <v>17977</v>
      </c>
      <c r="W1075" s="15">
        <v>3266</v>
      </c>
      <c r="X1075" s="15">
        <v>1085</v>
      </c>
      <c r="Y1075" s="15" t="s">
        <v>160</v>
      </c>
      <c r="Z1075" s="15" t="s">
        <v>161</v>
      </c>
      <c r="AA1075" s="15" t="s">
        <v>162</v>
      </c>
      <c r="AB1075" s="15" t="s">
        <v>15733</v>
      </c>
      <c r="AC1075" s="15" t="s">
        <v>15733</v>
      </c>
      <c r="AD1075" s="15" t="s">
        <v>15733</v>
      </c>
      <c r="AE1075" s="15" t="s">
        <v>164</v>
      </c>
      <c r="AF1075" s="15" t="s">
        <v>15733</v>
      </c>
      <c r="AG1075" s="15" t="s">
        <v>15733</v>
      </c>
      <c r="AH1075" s="15" t="s">
        <v>15734</v>
      </c>
      <c r="AL1075" s="15" t="s">
        <v>15735</v>
      </c>
      <c r="AN1075" s="15">
        <v>743</v>
      </c>
      <c r="AO1075" s="15" t="s">
        <v>15736</v>
      </c>
      <c r="AQ1075" s="15" t="s">
        <v>342</v>
      </c>
      <c r="AT1075" s="15" t="s">
        <v>15737</v>
      </c>
      <c r="AU1075" s="15" t="s">
        <v>15738</v>
      </c>
      <c r="AV1075" s="15" t="s">
        <v>15738</v>
      </c>
      <c r="AW1075" s="15" t="s">
        <v>15739</v>
      </c>
      <c r="AX1075" s="15" t="s">
        <v>15740</v>
      </c>
      <c r="AY1075" s="15">
        <f t="shared" si="21"/>
        <v>58</v>
      </c>
      <c r="AZ1075" s="15" t="s">
        <v>173</v>
      </c>
      <c r="BA1075" s="15" t="s">
        <v>483</v>
      </c>
      <c r="BB1075" s="15" t="s">
        <v>15718</v>
      </c>
      <c r="BE1075" s="15" t="s">
        <v>3686</v>
      </c>
      <c r="BI1075" s="15" t="s">
        <v>15720</v>
      </c>
      <c r="BJ1075" s="15" t="s">
        <v>15741</v>
      </c>
      <c r="BN1075" s="15" t="s">
        <v>179</v>
      </c>
      <c r="BP1075" s="15" t="s">
        <v>138</v>
      </c>
      <c r="BS1075" s="15" t="s">
        <v>15742</v>
      </c>
      <c r="DH1075" s="15" t="s">
        <v>17982</v>
      </c>
      <c r="DI1075" s="15" t="s">
        <v>17982</v>
      </c>
    </row>
    <row r="1076" spans="1:113" s="15" customFormat="1" ht="12.75" x14ac:dyDescent="0.2">
      <c r="A1076" s="15" t="s">
        <v>109</v>
      </c>
      <c r="B1076" s="15" t="s">
        <v>110</v>
      </c>
      <c r="D1076" s="15" t="s">
        <v>620</v>
      </c>
      <c r="E1076" s="15" t="s">
        <v>112</v>
      </c>
      <c r="F1076" s="15" t="s">
        <v>620</v>
      </c>
      <c r="G1076" s="15" t="s">
        <v>113</v>
      </c>
      <c r="H1076" s="15" t="s">
        <v>1481</v>
      </c>
      <c r="J1076" s="16" t="s">
        <v>114</v>
      </c>
      <c r="U1076" s="15" t="s">
        <v>17977</v>
      </c>
      <c r="W1076" s="15">
        <v>3265</v>
      </c>
      <c r="X1076" s="15">
        <v>1086</v>
      </c>
      <c r="Y1076" s="15" t="s">
        <v>160</v>
      </c>
      <c r="Z1076" s="15" t="s">
        <v>161</v>
      </c>
      <c r="AA1076" s="15" t="s">
        <v>162</v>
      </c>
      <c r="AB1076" s="15" t="s">
        <v>15723</v>
      </c>
      <c r="AC1076" s="15" t="s">
        <v>15723</v>
      </c>
      <c r="AD1076" s="15" t="s">
        <v>15723</v>
      </c>
      <c r="AE1076" s="15" t="s">
        <v>164</v>
      </c>
      <c r="AF1076" s="15" t="s">
        <v>15723</v>
      </c>
      <c r="AG1076" s="15" t="s">
        <v>15723</v>
      </c>
      <c r="AH1076" s="15" t="s">
        <v>15724</v>
      </c>
      <c r="AL1076" s="15" t="s">
        <v>15725</v>
      </c>
      <c r="AN1076" s="15">
        <v>743</v>
      </c>
      <c r="AO1076" s="15" t="s">
        <v>15726</v>
      </c>
      <c r="AQ1076" s="15" t="s">
        <v>342</v>
      </c>
      <c r="AT1076" s="15" t="s">
        <v>15727</v>
      </c>
      <c r="AU1076" s="15" t="s">
        <v>15728</v>
      </c>
      <c r="AV1076" s="15" t="s">
        <v>15728</v>
      </c>
      <c r="AW1076" s="15" t="s">
        <v>15729</v>
      </c>
      <c r="AX1076" s="15" t="s">
        <v>15730</v>
      </c>
      <c r="AY1076" s="15">
        <f t="shared" si="21"/>
        <v>56</v>
      </c>
      <c r="AZ1076" s="15" t="s">
        <v>173</v>
      </c>
      <c r="BA1076" s="15" t="s">
        <v>483</v>
      </c>
      <c r="BB1076" s="15" t="s">
        <v>15718</v>
      </c>
      <c r="BE1076" s="15" t="s">
        <v>1528</v>
      </c>
      <c r="BF1076" s="15" t="s">
        <v>15731</v>
      </c>
      <c r="BI1076" s="15" t="s">
        <v>15720</v>
      </c>
      <c r="BJ1076" s="15" t="s">
        <v>15721</v>
      </c>
      <c r="BN1076" s="15" t="s">
        <v>179</v>
      </c>
      <c r="BP1076" s="15" t="s">
        <v>138</v>
      </c>
      <c r="BS1076" s="15" t="s">
        <v>15732</v>
      </c>
      <c r="DH1076" s="15" t="s">
        <v>17982</v>
      </c>
      <c r="DI1076" s="15" t="s">
        <v>17982</v>
      </c>
    </row>
    <row r="1077" spans="1:113" s="15" customFormat="1" ht="12.75" x14ac:dyDescent="0.2">
      <c r="A1077" s="15" t="s">
        <v>109</v>
      </c>
      <c r="B1077" s="15" t="s">
        <v>110</v>
      </c>
      <c r="D1077" s="15" t="s">
        <v>620</v>
      </c>
      <c r="E1077" s="15" t="s">
        <v>112</v>
      </c>
      <c r="F1077" s="15" t="s">
        <v>620</v>
      </c>
      <c r="G1077" s="15" t="s">
        <v>113</v>
      </c>
      <c r="H1077" s="15" t="s">
        <v>1481</v>
      </c>
      <c r="J1077" s="16" t="s">
        <v>114</v>
      </c>
      <c r="U1077" s="15" t="s">
        <v>17977</v>
      </c>
      <c r="W1077" s="15">
        <v>3264</v>
      </c>
      <c r="X1077" s="15">
        <v>1087</v>
      </c>
      <c r="Y1077" s="15" t="s">
        <v>160</v>
      </c>
      <c r="Z1077" s="15" t="s">
        <v>161</v>
      </c>
      <c r="AA1077" s="15" t="s">
        <v>162</v>
      </c>
      <c r="AB1077" s="15" t="s">
        <v>15710</v>
      </c>
      <c r="AC1077" s="15" t="s">
        <v>15710</v>
      </c>
      <c r="AD1077" s="15" t="s">
        <v>15710</v>
      </c>
      <c r="AE1077" s="15" t="s">
        <v>164</v>
      </c>
      <c r="AF1077" s="15" t="s">
        <v>15710</v>
      </c>
      <c r="AG1077" s="15" t="s">
        <v>15710</v>
      </c>
      <c r="AH1077" s="15" t="s">
        <v>15711</v>
      </c>
      <c r="AL1077" s="15" t="s">
        <v>15712</v>
      </c>
      <c r="AN1077" s="15">
        <v>743</v>
      </c>
      <c r="AO1077" s="15" t="s">
        <v>15713</v>
      </c>
      <c r="AQ1077" s="15" t="s">
        <v>342</v>
      </c>
      <c r="AT1077" s="15" t="s">
        <v>15714</v>
      </c>
      <c r="AU1077" s="15" t="s">
        <v>15715</v>
      </c>
      <c r="AV1077" s="15" t="s">
        <v>15715</v>
      </c>
      <c r="AW1077" s="15" t="s">
        <v>15716</v>
      </c>
      <c r="AX1077" s="15" t="s">
        <v>15717</v>
      </c>
      <c r="AY1077" s="15">
        <f t="shared" si="21"/>
        <v>56</v>
      </c>
      <c r="AZ1077" s="15" t="s">
        <v>173</v>
      </c>
      <c r="BA1077" s="15" t="s">
        <v>483</v>
      </c>
      <c r="BB1077" s="15" t="s">
        <v>15718</v>
      </c>
      <c r="BE1077" s="15" t="s">
        <v>1528</v>
      </c>
      <c r="BF1077" s="15" t="s">
        <v>15719</v>
      </c>
      <c r="BI1077" s="15" t="s">
        <v>15720</v>
      </c>
      <c r="BJ1077" s="15" t="s">
        <v>15721</v>
      </c>
      <c r="BN1077" s="15" t="s">
        <v>179</v>
      </c>
      <c r="BP1077" s="15" t="s">
        <v>138</v>
      </c>
      <c r="BS1077" s="15" t="s">
        <v>15722</v>
      </c>
      <c r="DH1077" s="15" t="s">
        <v>17982</v>
      </c>
      <c r="DI1077" s="15" t="s">
        <v>17982</v>
      </c>
    </row>
    <row r="1078" spans="1:113" s="15" customFormat="1" ht="12.75" x14ac:dyDescent="0.2">
      <c r="A1078" s="15" t="s">
        <v>109</v>
      </c>
      <c r="B1078" s="15" t="s">
        <v>110</v>
      </c>
      <c r="D1078" s="15" t="s">
        <v>620</v>
      </c>
      <c r="E1078" s="15" t="s">
        <v>112</v>
      </c>
      <c r="F1078" s="15" t="s">
        <v>620</v>
      </c>
      <c r="G1078" s="15" t="s">
        <v>113</v>
      </c>
      <c r="H1078" s="15" t="s">
        <v>1481</v>
      </c>
      <c r="J1078" s="16" t="s">
        <v>114</v>
      </c>
      <c r="U1078" s="15" t="s">
        <v>17977</v>
      </c>
      <c r="W1078" s="15">
        <v>1450</v>
      </c>
      <c r="X1078" s="15">
        <v>1088</v>
      </c>
      <c r="Y1078" s="15" t="s">
        <v>160</v>
      </c>
      <c r="Z1078" s="15" t="s">
        <v>161</v>
      </c>
      <c r="AA1078" s="15" t="s">
        <v>162</v>
      </c>
      <c r="AB1078" s="15" t="s">
        <v>7422</v>
      </c>
      <c r="AC1078" s="15" t="s">
        <v>7422</v>
      </c>
      <c r="AD1078" s="15" t="s">
        <v>7422</v>
      </c>
      <c r="AE1078" s="15" t="s">
        <v>164</v>
      </c>
      <c r="AF1078" s="15" t="s">
        <v>7422</v>
      </c>
      <c r="AG1078" s="15" t="s">
        <v>7422</v>
      </c>
      <c r="AH1078" s="15" t="s">
        <v>7423</v>
      </c>
      <c r="AL1078" s="15" t="s">
        <v>7424</v>
      </c>
      <c r="AN1078" s="15">
        <v>743</v>
      </c>
      <c r="AO1078" s="15" t="s">
        <v>7425</v>
      </c>
      <c r="AQ1078" s="15" t="s">
        <v>925</v>
      </c>
      <c r="AT1078" s="15" t="s">
        <v>7426</v>
      </c>
      <c r="AU1078" s="15" t="s">
        <v>7427</v>
      </c>
      <c r="AV1078" s="15" t="s">
        <v>7427</v>
      </c>
      <c r="AW1078" s="15" t="s">
        <v>7428</v>
      </c>
      <c r="AX1078" s="15" t="s">
        <v>7429</v>
      </c>
      <c r="AY1078" s="15">
        <f t="shared" si="21"/>
        <v>59</v>
      </c>
      <c r="AZ1078" s="15" t="s">
        <v>7430</v>
      </c>
      <c r="BA1078" s="15" t="s">
        <v>933</v>
      </c>
      <c r="BB1078" s="15" t="s">
        <v>7396</v>
      </c>
      <c r="BC1078" s="15" t="s">
        <v>4343</v>
      </c>
      <c r="BF1078" s="15" t="s">
        <v>7431</v>
      </c>
      <c r="BJ1078" s="15" t="s">
        <v>7432</v>
      </c>
      <c r="BN1078" s="15" t="s">
        <v>179</v>
      </c>
      <c r="BP1078" s="15" t="s">
        <v>138</v>
      </c>
      <c r="BS1078" s="15" t="s">
        <v>7433</v>
      </c>
      <c r="DH1078" s="15" t="s">
        <v>17982</v>
      </c>
      <c r="DI1078" s="15" t="s">
        <v>17982</v>
      </c>
    </row>
    <row r="1079" spans="1:113" s="15" customFormat="1" ht="12.75" x14ac:dyDescent="0.2">
      <c r="A1079" s="15" t="s">
        <v>109</v>
      </c>
      <c r="B1079" s="15" t="s">
        <v>110</v>
      </c>
      <c r="D1079" s="15" t="s">
        <v>620</v>
      </c>
      <c r="E1079" s="15" t="s">
        <v>112</v>
      </c>
      <c r="F1079" s="15" t="s">
        <v>620</v>
      </c>
      <c r="G1079" s="15" t="s">
        <v>113</v>
      </c>
      <c r="H1079" s="15" t="s">
        <v>1481</v>
      </c>
      <c r="J1079" s="16" t="s">
        <v>114</v>
      </c>
      <c r="U1079" s="15" t="s">
        <v>17977</v>
      </c>
      <c r="W1079" s="15">
        <v>2497</v>
      </c>
      <c r="X1079" s="15">
        <v>1089</v>
      </c>
      <c r="Y1079" s="15" t="s">
        <v>160</v>
      </c>
      <c r="Z1079" s="15" t="s">
        <v>161</v>
      </c>
      <c r="AA1079" s="15" t="s">
        <v>162</v>
      </c>
      <c r="AB1079" s="15" t="s">
        <v>12202</v>
      </c>
      <c r="AC1079" s="15" t="s">
        <v>12202</v>
      </c>
      <c r="AD1079" s="15" t="s">
        <v>12202</v>
      </c>
      <c r="AE1079" s="15" t="s">
        <v>164</v>
      </c>
      <c r="AF1079" s="15" t="s">
        <v>12202</v>
      </c>
      <c r="AG1079" s="15" t="s">
        <v>12202</v>
      </c>
      <c r="AH1079" s="47" t="s">
        <v>12203</v>
      </c>
      <c r="AL1079" s="15" t="s">
        <v>12204</v>
      </c>
      <c r="AN1079" s="15">
        <v>743</v>
      </c>
      <c r="AO1079" s="15" t="s">
        <v>12205</v>
      </c>
      <c r="AQ1079" s="15" t="s">
        <v>925</v>
      </c>
      <c r="AT1079" s="15" t="s">
        <v>12206</v>
      </c>
      <c r="AU1079" s="15" t="s">
        <v>12207</v>
      </c>
      <c r="AV1079" s="15" t="s">
        <v>12207</v>
      </c>
      <c r="AW1079" s="15" t="s">
        <v>12208</v>
      </c>
      <c r="AX1079" s="15" t="s">
        <v>12208</v>
      </c>
      <c r="AY1079" s="15">
        <f t="shared" si="21"/>
        <v>59</v>
      </c>
      <c r="AZ1079" s="15" t="s">
        <v>7430</v>
      </c>
      <c r="BA1079" s="15" t="s">
        <v>933</v>
      </c>
      <c r="BB1079" s="15" t="s">
        <v>12209</v>
      </c>
      <c r="BE1079" s="15" t="s">
        <v>12210</v>
      </c>
      <c r="BJ1079" s="15" t="s">
        <v>12211</v>
      </c>
      <c r="BN1079" s="15" t="s">
        <v>179</v>
      </c>
      <c r="BP1079" s="15" t="s">
        <v>138</v>
      </c>
      <c r="BS1079" s="15" t="s">
        <v>12212</v>
      </c>
      <c r="DH1079" s="15" t="s">
        <v>17982</v>
      </c>
      <c r="DI1079" s="15" t="s">
        <v>17982</v>
      </c>
    </row>
    <row r="1080" spans="1:113" s="15" customFormat="1" ht="12.75" x14ac:dyDescent="0.2">
      <c r="A1080" s="15" t="s">
        <v>109</v>
      </c>
      <c r="B1080" s="15" t="s">
        <v>110</v>
      </c>
      <c r="D1080" s="15" t="s">
        <v>620</v>
      </c>
      <c r="E1080" s="15" t="s">
        <v>112</v>
      </c>
      <c r="F1080" s="15" t="s">
        <v>620</v>
      </c>
      <c r="G1080" s="15" t="s">
        <v>113</v>
      </c>
      <c r="H1080" s="15" t="s">
        <v>1481</v>
      </c>
      <c r="J1080" s="16" t="s">
        <v>114</v>
      </c>
      <c r="U1080" s="15" t="s">
        <v>17977</v>
      </c>
      <c r="W1080" s="15">
        <v>1820</v>
      </c>
      <c r="X1080" s="15">
        <v>1090</v>
      </c>
      <c r="Y1080" s="15" t="s">
        <v>160</v>
      </c>
      <c r="Z1080" s="15" t="s">
        <v>161</v>
      </c>
      <c r="AA1080" s="15" t="s">
        <v>162</v>
      </c>
      <c r="AB1080" s="15" t="s">
        <v>9756</v>
      </c>
      <c r="AC1080" s="15" t="s">
        <v>9756</v>
      </c>
      <c r="AD1080" s="15" t="s">
        <v>9756</v>
      </c>
      <c r="AE1080" s="15" t="s">
        <v>164</v>
      </c>
      <c r="AF1080" s="15" t="s">
        <v>9756</v>
      </c>
      <c r="AG1080" s="15" t="s">
        <v>9756</v>
      </c>
      <c r="AH1080" s="15" t="s">
        <v>9757</v>
      </c>
      <c r="AL1080" s="15" t="s">
        <v>9758</v>
      </c>
      <c r="AN1080" s="15">
        <v>743</v>
      </c>
      <c r="AO1080" s="15" t="s">
        <v>9759</v>
      </c>
      <c r="AQ1080" s="15" t="s">
        <v>9760</v>
      </c>
      <c r="AT1080" s="15" t="s">
        <v>9761</v>
      </c>
      <c r="AU1080" s="15" t="s">
        <v>9762</v>
      </c>
      <c r="AV1080" s="15" t="s">
        <v>9762</v>
      </c>
      <c r="AW1080" s="15" t="s">
        <v>9763</v>
      </c>
      <c r="AX1080" s="15" t="s">
        <v>9763</v>
      </c>
      <c r="AY1080" s="15">
        <f t="shared" si="21"/>
        <v>48</v>
      </c>
      <c r="AZ1080" s="15" t="s">
        <v>288</v>
      </c>
      <c r="BA1080" s="15" t="s">
        <v>174</v>
      </c>
      <c r="BB1080" s="15" t="s">
        <v>9764</v>
      </c>
      <c r="BE1080" s="15" t="s">
        <v>1597</v>
      </c>
      <c r="BI1080" s="15" t="s">
        <v>200</v>
      </c>
      <c r="BJ1080" s="15" t="s">
        <v>9765</v>
      </c>
      <c r="BN1080" s="15" t="s">
        <v>179</v>
      </c>
      <c r="BP1080" s="15" t="s">
        <v>138</v>
      </c>
      <c r="BS1080" s="15" t="s">
        <v>9766</v>
      </c>
      <c r="DH1080" s="15" t="s">
        <v>17982</v>
      </c>
      <c r="DI1080" s="15" t="s">
        <v>17982</v>
      </c>
    </row>
    <row r="1081" spans="1:113" s="15" customFormat="1" ht="12.75" x14ac:dyDescent="0.2">
      <c r="A1081" s="15" t="s">
        <v>109</v>
      </c>
      <c r="B1081" s="15" t="s">
        <v>110</v>
      </c>
      <c r="D1081" s="15" t="s">
        <v>620</v>
      </c>
      <c r="E1081" s="15" t="s">
        <v>112</v>
      </c>
      <c r="F1081" s="15" t="s">
        <v>620</v>
      </c>
      <c r="G1081" s="15" t="s">
        <v>113</v>
      </c>
      <c r="H1081" s="15" t="s">
        <v>1481</v>
      </c>
      <c r="J1081" s="16" t="s">
        <v>114</v>
      </c>
      <c r="U1081" s="15" t="s">
        <v>17977</v>
      </c>
      <c r="W1081" s="15">
        <v>1821</v>
      </c>
      <c r="X1081" s="15">
        <v>1091</v>
      </c>
      <c r="Y1081" s="15" t="s">
        <v>160</v>
      </c>
      <c r="Z1081" s="15" t="s">
        <v>161</v>
      </c>
      <c r="AA1081" s="15" t="s">
        <v>162</v>
      </c>
      <c r="AB1081" s="15" t="s">
        <v>9767</v>
      </c>
      <c r="AC1081" s="15" t="s">
        <v>9767</v>
      </c>
      <c r="AD1081" s="15" t="s">
        <v>9768</v>
      </c>
      <c r="AE1081" s="15" t="s">
        <v>164</v>
      </c>
      <c r="AF1081" s="15" t="s">
        <v>9768</v>
      </c>
      <c r="AG1081" s="15" t="s">
        <v>9767</v>
      </c>
      <c r="AH1081" s="15" t="s">
        <v>9769</v>
      </c>
      <c r="AL1081" s="15" t="s">
        <v>9770</v>
      </c>
      <c r="AN1081" s="15">
        <v>743</v>
      </c>
      <c r="AO1081" s="15" t="s">
        <v>9771</v>
      </c>
      <c r="AQ1081" s="15" t="s">
        <v>9760</v>
      </c>
      <c r="AT1081" s="15" t="s">
        <v>9772</v>
      </c>
      <c r="AU1081" s="15" t="s">
        <v>9773</v>
      </c>
      <c r="AV1081" s="15" t="s">
        <v>9773</v>
      </c>
      <c r="AW1081" s="15" t="s">
        <v>9774</v>
      </c>
      <c r="AX1081" s="15" t="s">
        <v>9775</v>
      </c>
      <c r="AY1081" s="15">
        <f t="shared" si="21"/>
        <v>57</v>
      </c>
      <c r="AZ1081" s="15" t="s">
        <v>288</v>
      </c>
      <c r="BA1081" s="15" t="s">
        <v>174</v>
      </c>
      <c r="BB1081" s="15" t="s">
        <v>9764</v>
      </c>
      <c r="BE1081" s="15" t="s">
        <v>9776</v>
      </c>
      <c r="BI1081" s="15" t="s">
        <v>200</v>
      </c>
      <c r="BJ1081" s="15" t="s">
        <v>9777</v>
      </c>
      <c r="BN1081" s="15" t="s">
        <v>179</v>
      </c>
      <c r="BP1081" s="15" t="s">
        <v>138</v>
      </c>
      <c r="BS1081" s="15" t="s">
        <v>9778</v>
      </c>
      <c r="DH1081" s="15" t="s">
        <v>17982</v>
      </c>
      <c r="DI1081" s="15" t="s">
        <v>17982</v>
      </c>
    </row>
    <row r="1082" spans="1:113" s="15" customFormat="1" ht="12.75" x14ac:dyDescent="0.2">
      <c r="A1082" s="15" t="s">
        <v>109</v>
      </c>
      <c r="B1082" s="15" t="s">
        <v>110</v>
      </c>
      <c r="D1082" s="15" t="s">
        <v>620</v>
      </c>
      <c r="E1082" s="15" t="s">
        <v>112</v>
      </c>
      <c r="F1082" s="15" t="s">
        <v>620</v>
      </c>
      <c r="G1082" s="15" t="s">
        <v>113</v>
      </c>
      <c r="H1082" s="15" t="s">
        <v>1481</v>
      </c>
      <c r="J1082" s="16" t="s">
        <v>114</v>
      </c>
      <c r="U1082" s="15" t="s">
        <v>17977</v>
      </c>
      <c r="W1082" s="15">
        <v>2983</v>
      </c>
      <c r="X1082" s="15">
        <v>1092</v>
      </c>
      <c r="Y1082" s="15" t="s">
        <v>160</v>
      </c>
      <c r="Z1082" s="15" t="s">
        <v>161</v>
      </c>
      <c r="AA1082" s="15" t="s">
        <v>162</v>
      </c>
      <c r="AB1082" s="15" t="s">
        <v>14630</v>
      </c>
      <c r="AC1082" s="15" t="s">
        <v>14630</v>
      </c>
      <c r="AD1082" s="15" t="s">
        <v>14630</v>
      </c>
      <c r="AE1082" s="15" t="s">
        <v>164</v>
      </c>
      <c r="AF1082" s="15" t="s">
        <v>14630</v>
      </c>
      <c r="AG1082" s="15" t="s">
        <v>14630</v>
      </c>
      <c r="AH1082" s="15" t="s">
        <v>14631</v>
      </c>
      <c r="AL1082" s="15" t="s">
        <v>14632</v>
      </c>
      <c r="AN1082" s="15">
        <v>743</v>
      </c>
      <c r="AO1082" s="15" t="s">
        <v>14633</v>
      </c>
      <c r="AQ1082" s="15" t="s">
        <v>168</v>
      </c>
      <c r="AT1082" s="15" t="s">
        <v>14634</v>
      </c>
      <c r="AU1082" s="15" t="s">
        <v>14635</v>
      </c>
      <c r="AV1082" s="15" t="s">
        <v>14635</v>
      </c>
      <c r="AW1082" s="15" t="s">
        <v>14636</v>
      </c>
      <c r="AX1082" s="15" t="s">
        <v>14637</v>
      </c>
      <c r="AY1082" s="15">
        <f t="shared" si="21"/>
        <v>58</v>
      </c>
      <c r="AZ1082" s="15" t="s">
        <v>173</v>
      </c>
      <c r="BA1082" s="15" t="s">
        <v>174</v>
      </c>
      <c r="BB1082" s="15" t="s">
        <v>14638</v>
      </c>
      <c r="BE1082" s="15" t="s">
        <v>3686</v>
      </c>
      <c r="BI1082" s="15" t="s">
        <v>200</v>
      </c>
      <c r="BJ1082" s="15" t="s">
        <v>14639</v>
      </c>
      <c r="BN1082" s="15" t="s">
        <v>179</v>
      </c>
      <c r="BP1082" s="15" t="s">
        <v>138</v>
      </c>
      <c r="BS1082" s="15" t="s">
        <v>14640</v>
      </c>
      <c r="DH1082" s="15" t="s">
        <v>17982</v>
      </c>
      <c r="DI1082" s="15" t="s">
        <v>17982</v>
      </c>
    </row>
    <row r="1083" spans="1:113" s="15" customFormat="1" ht="12.75" x14ac:dyDescent="0.2">
      <c r="A1083" s="15" t="s">
        <v>109</v>
      </c>
      <c r="B1083" s="15" t="s">
        <v>110</v>
      </c>
      <c r="D1083" s="15" t="s">
        <v>620</v>
      </c>
      <c r="E1083" s="15" t="s">
        <v>112</v>
      </c>
      <c r="F1083" s="15" t="s">
        <v>620</v>
      </c>
      <c r="G1083" s="15" t="s">
        <v>113</v>
      </c>
      <c r="H1083" s="15" t="s">
        <v>1481</v>
      </c>
      <c r="J1083" s="16" t="s">
        <v>114</v>
      </c>
      <c r="U1083" s="15" t="s">
        <v>17977</v>
      </c>
      <c r="W1083" s="15">
        <v>1540</v>
      </c>
      <c r="X1083" s="15">
        <v>1093</v>
      </c>
      <c r="Y1083" s="15" t="s">
        <v>160</v>
      </c>
      <c r="Z1083" s="15" t="s">
        <v>161</v>
      </c>
      <c r="AA1083" s="15" t="s">
        <v>162</v>
      </c>
      <c r="AB1083" s="15" t="s">
        <v>7949</v>
      </c>
      <c r="AC1083" s="15" t="s">
        <v>7949</v>
      </c>
      <c r="AD1083" s="15" t="s">
        <v>7949</v>
      </c>
      <c r="AE1083" s="15" t="s">
        <v>164</v>
      </c>
      <c r="AF1083" s="15" t="s">
        <v>7949</v>
      </c>
      <c r="AG1083" s="15" t="s">
        <v>7949</v>
      </c>
      <c r="AH1083" s="47" t="s">
        <v>7950</v>
      </c>
      <c r="AI1083" s="15">
        <v>42291802</v>
      </c>
      <c r="AK1083" s="15" t="s">
        <v>1961</v>
      </c>
      <c r="AL1083" s="15" t="s">
        <v>7951</v>
      </c>
      <c r="AN1083" s="15">
        <v>743</v>
      </c>
      <c r="AO1083" s="15" t="s">
        <v>7952</v>
      </c>
      <c r="AQ1083" s="15" t="s">
        <v>168</v>
      </c>
      <c r="AT1083" s="15" t="s">
        <v>7953</v>
      </c>
      <c r="AU1083" s="15" t="s">
        <v>7954</v>
      </c>
      <c r="AV1083" s="15" t="s">
        <v>7954</v>
      </c>
      <c r="AW1083" s="15" t="s">
        <v>7955</v>
      </c>
      <c r="AX1083" s="15" t="s">
        <v>7956</v>
      </c>
      <c r="AY1083" s="15">
        <f t="shared" si="21"/>
        <v>58</v>
      </c>
      <c r="AZ1083" s="15" t="s">
        <v>173</v>
      </c>
      <c r="BA1083" s="15" t="s">
        <v>174</v>
      </c>
      <c r="BB1083" s="15" t="s">
        <v>7957</v>
      </c>
      <c r="BE1083" s="15" t="s">
        <v>1597</v>
      </c>
      <c r="BI1083" s="15" t="s">
        <v>200</v>
      </c>
      <c r="BJ1083" s="15" t="s">
        <v>7958</v>
      </c>
      <c r="BN1083" s="15" t="s">
        <v>179</v>
      </c>
      <c r="BP1083" s="15" t="s">
        <v>138</v>
      </c>
      <c r="BS1083" s="15" t="s">
        <v>7959</v>
      </c>
      <c r="DH1083" s="15" t="s">
        <v>17982</v>
      </c>
      <c r="DI1083" s="15" t="s">
        <v>17982</v>
      </c>
    </row>
    <row r="1084" spans="1:113" s="15" customFormat="1" ht="12.75" x14ac:dyDescent="0.2">
      <c r="A1084" s="15" t="s">
        <v>109</v>
      </c>
      <c r="B1084" s="15" t="s">
        <v>110</v>
      </c>
      <c r="D1084" s="15" t="s">
        <v>620</v>
      </c>
      <c r="E1084" s="15" t="s">
        <v>112</v>
      </c>
      <c r="F1084" s="15" t="s">
        <v>620</v>
      </c>
      <c r="G1084" s="15" t="s">
        <v>113</v>
      </c>
      <c r="H1084" s="15" t="s">
        <v>1481</v>
      </c>
      <c r="J1084" s="16" t="s">
        <v>114</v>
      </c>
      <c r="U1084" s="15" t="s">
        <v>17977</v>
      </c>
      <c r="W1084" s="15">
        <v>2934</v>
      </c>
      <c r="X1084" s="15">
        <v>1094</v>
      </c>
      <c r="Y1084" s="15" t="s">
        <v>160</v>
      </c>
      <c r="Z1084" s="15" t="s">
        <v>161</v>
      </c>
      <c r="AA1084" s="15" t="s">
        <v>162</v>
      </c>
      <c r="AB1084" s="15" t="s">
        <v>14397</v>
      </c>
      <c r="AC1084" s="15" t="s">
        <v>14397</v>
      </c>
      <c r="AD1084" s="15" t="s">
        <v>14397</v>
      </c>
      <c r="AE1084" s="15" t="s">
        <v>164</v>
      </c>
      <c r="AF1084" s="15" t="s">
        <v>14397</v>
      </c>
      <c r="AG1084" s="15" t="s">
        <v>14397</v>
      </c>
      <c r="AH1084" s="15" t="s">
        <v>14398</v>
      </c>
      <c r="AL1084" s="15" t="s">
        <v>14399</v>
      </c>
      <c r="AN1084" s="15">
        <v>743</v>
      </c>
      <c r="AO1084" s="15" t="s">
        <v>14400</v>
      </c>
      <c r="AQ1084" s="15" t="s">
        <v>912</v>
      </c>
      <c r="AT1084" s="15" t="s">
        <v>14401</v>
      </c>
      <c r="AU1084" s="15" t="s">
        <v>14402</v>
      </c>
      <c r="AV1084" s="15" t="s">
        <v>14402</v>
      </c>
      <c r="AW1084" s="15" t="s">
        <v>14403</v>
      </c>
      <c r="AX1084" s="15" t="s">
        <v>14403</v>
      </c>
      <c r="AY1084" s="15">
        <f t="shared" si="21"/>
        <v>46</v>
      </c>
      <c r="AZ1084" s="15" t="s">
        <v>917</v>
      </c>
      <c r="BA1084" s="15" t="s">
        <v>174</v>
      </c>
      <c r="BB1084" s="15" t="s">
        <v>14373</v>
      </c>
      <c r="BF1084" s="15" t="s">
        <v>14404</v>
      </c>
      <c r="BI1084" s="15" t="s">
        <v>933</v>
      </c>
      <c r="BJ1084" s="15" t="s">
        <v>2840</v>
      </c>
      <c r="BN1084" s="15" t="s">
        <v>179</v>
      </c>
      <c r="BP1084" s="15" t="s">
        <v>138</v>
      </c>
      <c r="BS1084" s="15" t="s">
        <v>14405</v>
      </c>
      <c r="DH1084" s="15" t="s">
        <v>17982</v>
      </c>
      <c r="DI1084" s="15" t="s">
        <v>17982</v>
      </c>
    </row>
    <row r="1085" spans="1:113" s="15" customFormat="1" ht="12.75" x14ac:dyDescent="0.2">
      <c r="A1085" s="15" t="s">
        <v>109</v>
      </c>
      <c r="B1085" s="15" t="s">
        <v>110</v>
      </c>
      <c r="D1085" s="15" t="s">
        <v>620</v>
      </c>
      <c r="E1085" s="15" t="s">
        <v>112</v>
      </c>
      <c r="F1085" s="15" t="s">
        <v>620</v>
      </c>
      <c r="G1085" s="15" t="s">
        <v>113</v>
      </c>
      <c r="H1085" s="15" t="s">
        <v>1481</v>
      </c>
      <c r="J1085" s="16" t="s">
        <v>114</v>
      </c>
      <c r="U1085" s="15" t="s">
        <v>17977</v>
      </c>
      <c r="W1085" s="15">
        <v>1417</v>
      </c>
      <c r="X1085" s="15">
        <v>1095</v>
      </c>
      <c r="Y1085" s="15" t="s">
        <v>160</v>
      </c>
      <c r="Z1085" s="15" t="s">
        <v>161</v>
      </c>
      <c r="AA1085" s="15" t="s">
        <v>162</v>
      </c>
      <c r="AB1085" s="15" t="s">
        <v>7140</v>
      </c>
      <c r="AC1085" s="15" t="s">
        <v>7140</v>
      </c>
      <c r="AD1085" s="15" t="s">
        <v>7141</v>
      </c>
      <c r="AE1085" s="15" t="s">
        <v>164</v>
      </c>
      <c r="AF1085" s="15" t="s">
        <v>7141</v>
      </c>
      <c r="AG1085" s="15" t="s">
        <v>7140</v>
      </c>
      <c r="AH1085" s="15" t="s">
        <v>7142</v>
      </c>
      <c r="AL1085" s="15" t="s">
        <v>7143</v>
      </c>
      <c r="AN1085" s="15">
        <v>743</v>
      </c>
      <c r="AO1085" s="15" t="s">
        <v>7144</v>
      </c>
      <c r="AQ1085" s="15" t="s">
        <v>168</v>
      </c>
      <c r="AR1085" s="47"/>
      <c r="AS1085" s="47"/>
      <c r="AT1085" s="15" t="s">
        <v>7145</v>
      </c>
      <c r="AU1085" s="15" t="s">
        <v>7146</v>
      </c>
      <c r="AV1085" s="15" t="s">
        <v>7146</v>
      </c>
      <c r="AW1085" s="15" t="s">
        <v>7147</v>
      </c>
      <c r="AX1085" s="15" t="s">
        <v>7147</v>
      </c>
      <c r="AY1085" s="15">
        <f t="shared" si="21"/>
        <v>46</v>
      </c>
      <c r="AZ1085" s="15" t="s">
        <v>173</v>
      </c>
      <c r="BA1085" s="15" t="s">
        <v>174</v>
      </c>
      <c r="BB1085" s="15" t="s">
        <v>7136</v>
      </c>
      <c r="BE1085" s="15" t="s">
        <v>1597</v>
      </c>
      <c r="BI1085" s="15" t="s">
        <v>200</v>
      </c>
      <c r="BJ1085" s="15" t="s">
        <v>3604</v>
      </c>
      <c r="BN1085" s="15" t="s">
        <v>179</v>
      </c>
      <c r="BP1085" s="15" t="s">
        <v>138</v>
      </c>
      <c r="BS1085" s="15" t="s">
        <v>7148</v>
      </c>
      <c r="DH1085" s="15" t="s">
        <v>17982</v>
      </c>
      <c r="DI1085" s="15" t="s">
        <v>17982</v>
      </c>
    </row>
    <row r="1086" spans="1:113" s="15" customFormat="1" ht="12.75" x14ac:dyDescent="0.2">
      <c r="A1086" s="15" t="s">
        <v>109</v>
      </c>
      <c r="B1086" s="15" t="s">
        <v>110</v>
      </c>
      <c r="D1086" s="15" t="s">
        <v>620</v>
      </c>
      <c r="E1086" s="15" t="s">
        <v>112</v>
      </c>
      <c r="F1086" s="15" t="s">
        <v>620</v>
      </c>
      <c r="G1086" s="15" t="s">
        <v>113</v>
      </c>
      <c r="H1086" s="15" t="s">
        <v>1481</v>
      </c>
      <c r="J1086" s="16" t="s">
        <v>114</v>
      </c>
      <c r="U1086" s="15" t="s">
        <v>17977</v>
      </c>
      <c r="W1086" s="15">
        <v>1418</v>
      </c>
      <c r="X1086" s="15">
        <v>1096</v>
      </c>
      <c r="Y1086" s="15" t="s">
        <v>160</v>
      </c>
      <c r="Z1086" s="15" t="s">
        <v>161</v>
      </c>
      <c r="AA1086" s="15" t="s">
        <v>162</v>
      </c>
      <c r="AB1086" s="15" t="s">
        <v>7149</v>
      </c>
      <c r="AC1086" s="15" t="s">
        <v>7149</v>
      </c>
      <c r="AD1086" s="15" t="s">
        <v>7150</v>
      </c>
      <c r="AE1086" s="15" t="s">
        <v>164</v>
      </c>
      <c r="AF1086" s="15" t="s">
        <v>7150</v>
      </c>
      <c r="AG1086" s="15" t="s">
        <v>7149</v>
      </c>
      <c r="AH1086" s="15" t="s">
        <v>7151</v>
      </c>
      <c r="AL1086" s="15" t="s">
        <v>7152</v>
      </c>
      <c r="AN1086" s="15">
        <v>743</v>
      </c>
      <c r="AO1086" s="15" t="s">
        <v>7153</v>
      </c>
      <c r="AQ1086" s="15" t="s">
        <v>168</v>
      </c>
      <c r="AR1086" s="47"/>
      <c r="AS1086" s="47"/>
      <c r="AT1086" s="15" t="s">
        <v>7154</v>
      </c>
      <c r="AU1086" s="15" t="s">
        <v>7155</v>
      </c>
      <c r="AV1086" s="15" t="s">
        <v>7155</v>
      </c>
      <c r="AW1086" s="15" t="s">
        <v>7156</v>
      </c>
      <c r="AX1086" s="15" t="s">
        <v>7156</v>
      </c>
      <c r="AY1086" s="15">
        <f t="shared" si="21"/>
        <v>46</v>
      </c>
      <c r="AZ1086" s="15" t="s">
        <v>173</v>
      </c>
      <c r="BA1086" s="15" t="s">
        <v>174</v>
      </c>
      <c r="BB1086" s="15" t="s">
        <v>7136</v>
      </c>
      <c r="BE1086" s="15" t="s">
        <v>1597</v>
      </c>
      <c r="BI1086" s="15" t="s">
        <v>200</v>
      </c>
      <c r="BJ1086" s="15" t="s">
        <v>3673</v>
      </c>
      <c r="BN1086" s="15" t="s">
        <v>179</v>
      </c>
      <c r="BP1086" s="15" t="s">
        <v>138</v>
      </c>
      <c r="BS1086" s="15" t="s">
        <v>7157</v>
      </c>
      <c r="DH1086" s="15" t="s">
        <v>17982</v>
      </c>
      <c r="DI1086" s="15" t="s">
        <v>17982</v>
      </c>
    </row>
    <row r="1087" spans="1:113" s="15" customFormat="1" ht="12.75" x14ac:dyDescent="0.2">
      <c r="A1087" s="15" t="s">
        <v>109</v>
      </c>
      <c r="B1087" s="15" t="s">
        <v>110</v>
      </c>
      <c r="D1087" s="15" t="s">
        <v>620</v>
      </c>
      <c r="E1087" s="15" t="s">
        <v>112</v>
      </c>
      <c r="F1087" s="15" t="s">
        <v>620</v>
      </c>
      <c r="G1087" s="15" t="s">
        <v>113</v>
      </c>
      <c r="H1087" s="15" t="s">
        <v>1481</v>
      </c>
      <c r="J1087" s="16" t="s">
        <v>114</v>
      </c>
      <c r="U1087" s="15" t="s">
        <v>17977</v>
      </c>
      <c r="W1087" s="15">
        <v>1534</v>
      </c>
      <c r="X1087" s="15">
        <v>1097</v>
      </c>
      <c r="Y1087" s="15" t="s">
        <v>160</v>
      </c>
      <c r="Z1087" s="15" t="s">
        <v>161</v>
      </c>
      <c r="AA1087" s="15" t="s">
        <v>162</v>
      </c>
      <c r="AB1087" s="15" t="s">
        <v>7902</v>
      </c>
      <c r="AC1087" s="15" t="s">
        <v>7902</v>
      </c>
      <c r="AD1087" s="15" t="s">
        <v>7902</v>
      </c>
      <c r="AE1087" s="15" t="s">
        <v>164</v>
      </c>
      <c r="AF1087" s="15" t="s">
        <v>7902</v>
      </c>
      <c r="AG1087" s="15" t="s">
        <v>7902</v>
      </c>
      <c r="AH1087" s="47" t="s">
        <v>7903</v>
      </c>
      <c r="AL1087" s="15" t="s">
        <v>7904</v>
      </c>
      <c r="AN1087" s="15">
        <v>743</v>
      </c>
      <c r="AO1087" s="15" t="s">
        <v>7905</v>
      </c>
      <c r="AQ1087" s="15" t="s">
        <v>168</v>
      </c>
      <c r="AT1087" s="15" t="s">
        <v>7906</v>
      </c>
      <c r="AU1087" s="15" t="s">
        <v>7907</v>
      </c>
      <c r="AV1087" s="15" t="s">
        <v>7907</v>
      </c>
      <c r="AW1087" s="15" t="s">
        <v>7908</v>
      </c>
      <c r="AX1087" s="15" t="s">
        <v>7908</v>
      </c>
      <c r="AY1087" s="15">
        <f t="shared" si="21"/>
        <v>45</v>
      </c>
      <c r="AZ1087" s="15" t="s">
        <v>173</v>
      </c>
      <c r="BA1087" s="15" t="s">
        <v>174</v>
      </c>
      <c r="BB1087" s="15" t="s">
        <v>7909</v>
      </c>
      <c r="BE1087" s="15" t="s">
        <v>1528</v>
      </c>
      <c r="BI1087" s="15" t="s">
        <v>200</v>
      </c>
      <c r="BJ1087" s="15" t="s">
        <v>7910</v>
      </c>
      <c r="BN1087" s="15" t="s">
        <v>179</v>
      </c>
      <c r="BP1087" s="15" t="s">
        <v>138</v>
      </c>
      <c r="BS1087" s="15" t="s">
        <v>7911</v>
      </c>
      <c r="DH1087" s="15" t="s">
        <v>17982</v>
      </c>
      <c r="DI1087" s="15" t="s">
        <v>17982</v>
      </c>
    </row>
    <row r="1088" spans="1:113" s="15" customFormat="1" ht="12.75" x14ac:dyDescent="0.2">
      <c r="A1088" s="15" t="s">
        <v>109</v>
      </c>
      <c r="B1088" s="15" t="s">
        <v>110</v>
      </c>
      <c r="D1088" s="15" t="s">
        <v>620</v>
      </c>
      <c r="E1088" s="15" t="s">
        <v>112</v>
      </c>
      <c r="F1088" s="15" t="s">
        <v>620</v>
      </c>
      <c r="G1088" s="15" t="s">
        <v>113</v>
      </c>
      <c r="H1088" s="15" t="s">
        <v>1481</v>
      </c>
      <c r="J1088" s="16" t="s">
        <v>114</v>
      </c>
      <c r="U1088" s="15" t="s">
        <v>17977</v>
      </c>
      <c r="W1088" s="15">
        <v>2580</v>
      </c>
      <c r="X1088" s="15">
        <v>1098</v>
      </c>
      <c r="Y1088" s="15" t="s">
        <v>160</v>
      </c>
      <c r="Z1088" s="15" t="s">
        <v>161</v>
      </c>
      <c r="AA1088" s="15" t="s">
        <v>162</v>
      </c>
      <c r="AB1088" s="15" t="s">
        <v>12582</v>
      </c>
      <c r="AC1088" s="15" t="s">
        <v>12582</v>
      </c>
      <c r="AD1088" s="15" t="s">
        <v>12582</v>
      </c>
      <c r="AE1088" s="15" t="s">
        <v>164</v>
      </c>
      <c r="AF1088" s="15" t="s">
        <v>12582</v>
      </c>
      <c r="AG1088" s="15" t="s">
        <v>12582</v>
      </c>
      <c r="AH1088" s="47" t="s">
        <v>12583</v>
      </c>
      <c r="AL1088" s="15" t="s">
        <v>12584</v>
      </c>
      <c r="AN1088" s="15">
        <v>743</v>
      </c>
      <c r="AO1088" s="15" t="s">
        <v>12585</v>
      </c>
      <c r="AQ1088" s="15" t="s">
        <v>168</v>
      </c>
      <c r="AT1088" s="15" t="s">
        <v>12586</v>
      </c>
      <c r="AU1088" s="15" t="s">
        <v>12587</v>
      </c>
      <c r="AV1088" s="15" t="s">
        <v>12587</v>
      </c>
      <c r="AW1088" s="15" t="s">
        <v>12588</v>
      </c>
      <c r="AX1088" s="15" t="s">
        <v>12589</v>
      </c>
      <c r="AY1088" s="15">
        <f t="shared" si="21"/>
        <v>59</v>
      </c>
      <c r="AZ1088" s="15" t="s">
        <v>173</v>
      </c>
      <c r="BA1088" s="15" t="s">
        <v>174</v>
      </c>
      <c r="BB1088" s="15" t="s">
        <v>12579</v>
      </c>
      <c r="BE1088" s="15" t="s">
        <v>1597</v>
      </c>
      <c r="BI1088" s="15" t="s">
        <v>200</v>
      </c>
      <c r="BJ1088" s="15" t="s">
        <v>12590</v>
      </c>
      <c r="BN1088" s="15" t="s">
        <v>179</v>
      </c>
      <c r="BP1088" s="15" t="s">
        <v>138</v>
      </c>
      <c r="BS1088" s="15" t="s">
        <v>12591</v>
      </c>
      <c r="DH1088" s="15" t="s">
        <v>17982</v>
      </c>
      <c r="DI1088" s="15" t="s">
        <v>17982</v>
      </c>
    </row>
    <row r="1089" spans="1:113" s="15" customFormat="1" ht="12.75" x14ac:dyDescent="0.2">
      <c r="A1089" s="15" t="s">
        <v>109</v>
      </c>
      <c r="B1089" s="15" t="s">
        <v>110</v>
      </c>
      <c r="D1089" s="15" t="s">
        <v>620</v>
      </c>
      <c r="E1089" s="15" t="s">
        <v>112</v>
      </c>
      <c r="F1089" s="15" t="s">
        <v>620</v>
      </c>
      <c r="G1089" s="15" t="s">
        <v>113</v>
      </c>
      <c r="H1089" s="15" t="s">
        <v>1481</v>
      </c>
      <c r="J1089" s="16" t="s">
        <v>114</v>
      </c>
      <c r="U1089" s="15" t="s">
        <v>17977</v>
      </c>
      <c r="W1089" s="15">
        <v>2579</v>
      </c>
      <c r="X1089" s="15">
        <v>1099</v>
      </c>
      <c r="Y1089" s="15" t="s">
        <v>160</v>
      </c>
      <c r="Z1089" s="15" t="s">
        <v>161</v>
      </c>
      <c r="AA1089" s="15" t="s">
        <v>162</v>
      </c>
      <c r="AB1089" s="15" t="s">
        <v>12571</v>
      </c>
      <c r="AC1089" s="15" t="s">
        <v>12571</v>
      </c>
      <c r="AD1089" s="15" t="s">
        <v>12571</v>
      </c>
      <c r="AE1089" s="15" t="s">
        <v>164</v>
      </c>
      <c r="AF1089" s="15" t="s">
        <v>12571</v>
      </c>
      <c r="AG1089" s="15" t="s">
        <v>12571</v>
      </c>
      <c r="AH1089" s="47" t="s">
        <v>12572</v>
      </c>
      <c r="AL1089" s="15" t="s">
        <v>12573</v>
      </c>
      <c r="AN1089" s="15">
        <v>743</v>
      </c>
      <c r="AO1089" s="15" t="s">
        <v>12574</v>
      </c>
      <c r="AQ1089" s="15" t="s">
        <v>168</v>
      </c>
      <c r="AT1089" s="15" t="s">
        <v>12575</v>
      </c>
      <c r="AU1089" s="15" t="s">
        <v>12576</v>
      </c>
      <c r="AV1089" s="15" t="s">
        <v>12576</v>
      </c>
      <c r="AW1089" s="15" t="s">
        <v>12577</v>
      </c>
      <c r="AX1089" s="15" t="s">
        <v>12578</v>
      </c>
      <c r="AY1089" s="15">
        <f t="shared" si="21"/>
        <v>57</v>
      </c>
      <c r="AZ1089" s="15" t="s">
        <v>173</v>
      </c>
      <c r="BA1089" s="15" t="s">
        <v>174</v>
      </c>
      <c r="BB1089" s="15" t="s">
        <v>12579</v>
      </c>
      <c r="BE1089" s="15" t="s">
        <v>1597</v>
      </c>
      <c r="BI1089" s="15" t="s">
        <v>200</v>
      </c>
      <c r="BJ1089" s="15" t="s">
        <v>12580</v>
      </c>
      <c r="BN1089" s="15" t="s">
        <v>179</v>
      </c>
      <c r="BP1089" s="15" t="s">
        <v>138</v>
      </c>
      <c r="BS1089" s="15" t="s">
        <v>12581</v>
      </c>
      <c r="DH1089" s="15" t="s">
        <v>17982</v>
      </c>
      <c r="DI1089" s="15" t="s">
        <v>17982</v>
      </c>
    </row>
    <row r="1090" spans="1:113" s="15" customFormat="1" ht="12.75" x14ac:dyDescent="0.2">
      <c r="A1090" s="15" t="s">
        <v>109</v>
      </c>
      <c r="B1090" s="15" t="s">
        <v>110</v>
      </c>
      <c r="D1090" s="15" t="s">
        <v>620</v>
      </c>
      <c r="E1090" s="15" t="s">
        <v>112</v>
      </c>
      <c r="F1090" s="15" t="s">
        <v>620</v>
      </c>
      <c r="G1090" s="15" t="s">
        <v>113</v>
      </c>
      <c r="H1090" s="15" t="s">
        <v>1481</v>
      </c>
      <c r="J1090" s="16" t="s">
        <v>114</v>
      </c>
      <c r="U1090" s="15" t="s">
        <v>17977</v>
      </c>
      <c r="W1090" s="15">
        <v>2553</v>
      </c>
      <c r="X1090" s="15">
        <v>1100</v>
      </c>
      <c r="Y1090" s="15" t="s">
        <v>160</v>
      </c>
      <c r="Z1090" s="15" t="s">
        <v>161</v>
      </c>
      <c r="AA1090" s="15" t="s">
        <v>162</v>
      </c>
      <c r="AB1090" s="15" t="s">
        <v>12518</v>
      </c>
      <c r="AC1090" s="15" t="s">
        <v>12518</v>
      </c>
      <c r="AD1090" s="15" t="s">
        <v>12518</v>
      </c>
      <c r="AE1090" s="15" t="s">
        <v>164</v>
      </c>
      <c r="AF1090" s="15" t="s">
        <v>12518</v>
      </c>
      <c r="AG1090" s="15" t="s">
        <v>12518</v>
      </c>
      <c r="AH1090" s="47" t="s">
        <v>12519</v>
      </c>
      <c r="AL1090" s="15" t="s">
        <v>12520</v>
      </c>
      <c r="AN1090" s="15">
        <v>743</v>
      </c>
      <c r="AO1090" s="15" t="s">
        <v>12521</v>
      </c>
      <c r="AQ1090" s="15" t="s">
        <v>925</v>
      </c>
      <c r="AT1090" s="15" t="s">
        <v>12522</v>
      </c>
      <c r="AU1090" s="15" t="s">
        <v>12523</v>
      </c>
      <c r="AV1090" s="15" t="s">
        <v>12523</v>
      </c>
      <c r="AW1090" s="15" t="s">
        <v>12524</v>
      </c>
      <c r="AX1090" s="15" t="s">
        <v>12524</v>
      </c>
      <c r="AY1090" s="15">
        <f t="shared" si="21"/>
        <v>59</v>
      </c>
      <c r="AZ1090" s="15" t="s">
        <v>7430</v>
      </c>
      <c r="BA1090" s="15" t="s">
        <v>933</v>
      </c>
      <c r="BB1090" s="15" t="s">
        <v>12525</v>
      </c>
      <c r="BC1090" s="15" t="s">
        <v>4343</v>
      </c>
      <c r="BF1090" s="15" t="s">
        <v>12516</v>
      </c>
      <c r="BJ1090" s="15" t="s">
        <v>12526</v>
      </c>
      <c r="BN1090" s="15" t="s">
        <v>179</v>
      </c>
      <c r="BP1090" s="15" t="s">
        <v>138</v>
      </c>
      <c r="BS1090" s="15" t="s">
        <v>12527</v>
      </c>
      <c r="DH1090" s="15" t="s">
        <v>17982</v>
      </c>
      <c r="DI1090" s="15" t="s">
        <v>17982</v>
      </c>
    </row>
    <row r="1091" spans="1:113" s="15" customFormat="1" ht="12.75" x14ac:dyDescent="0.2">
      <c r="A1091" s="15" t="s">
        <v>109</v>
      </c>
      <c r="B1091" s="15" t="s">
        <v>110</v>
      </c>
      <c r="D1091" s="15" t="s">
        <v>620</v>
      </c>
      <c r="E1091" s="15" t="s">
        <v>112</v>
      </c>
      <c r="F1091" s="15" t="s">
        <v>620</v>
      </c>
      <c r="G1091" s="15" t="s">
        <v>113</v>
      </c>
      <c r="H1091" s="15" t="s">
        <v>1481</v>
      </c>
      <c r="J1091" s="16" t="s">
        <v>114</v>
      </c>
      <c r="U1091" s="15" t="s">
        <v>17977</v>
      </c>
      <c r="W1091" s="15">
        <v>2776</v>
      </c>
      <c r="X1091" s="15">
        <v>1101</v>
      </c>
      <c r="Y1091" s="15" t="s">
        <v>160</v>
      </c>
      <c r="Z1091" s="15" t="s">
        <v>161</v>
      </c>
      <c r="AA1091" s="15" t="s">
        <v>162</v>
      </c>
      <c r="AB1091" s="15" t="s">
        <v>13457</v>
      </c>
      <c r="AC1091" s="15" t="s">
        <v>13457</v>
      </c>
      <c r="AD1091" s="15" t="s">
        <v>13457</v>
      </c>
      <c r="AE1091" s="15" t="s">
        <v>164</v>
      </c>
      <c r="AF1091" s="15" t="s">
        <v>13457</v>
      </c>
      <c r="AG1091" s="15" t="s">
        <v>13457</v>
      </c>
      <c r="AH1091" s="34" t="s">
        <v>13458</v>
      </c>
      <c r="AL1091" s="15" t="s">
        <v>13459</v>
      </c>
      <c r="AN1091" s="15">
        <v>743</v>
      </c>
      <c r="AO1091" s="15" t="s">
        <v>13460</v>
      </c>
      <c r="AQ1091" s="15" t="s">
        <v>168</v>
      </c>
      <c r="AT1091" s="15" t="s">
        <v>13461</v>
      </c>
      <c r="AU1091" s="15" t="s">
        <v>13462</v>
      </c>
      <c r="AV1091" s="15" t="s">
        <v>13462</v>
      </c>
      <c r="AW1091" s="15" t="s">
        <v>13463</v>
      </c>
      <c r="AX1091" s="15" t="s">
        <v>13464</v>
      </c>
      <c r="AY1091" s="15">
        <f t="shared" si="21"/>
        <v>59</v>
      </c>
      <c r="AZ1091" s="15" t="s">
        <v>173</v>
      </c>
      <c r="BA1091" s="15" t="s">
        <v>174</v>
      </c>
      <c r="BB1091" s="15" t="s">
        <v>13465</v>
      </c>
      <c r="BE1091" s="15" t="s">
        <v>13466</v>
      </c>
      <c r="BI1091" s="15" t="s">
        <v>200</v>
      </c>
      <c r="BJ1091" s="15" t="s">
        <v>13467</v>
      </c>
      <c r="BN1091" s="15" t="s">
        <v>179</v>
      </c>
      <c r="BP1091" s="15" t="s">
        <v>138</v>
      </c>
      <c r="BS1091" s="15" t="s">
        <v>13468</v>
      </c>
      <c r="DH1091" s="15" t="s">
        <v>17982</v>
      </c>
      <c r="DI1091" s="15" t="s">
        <v>17982</v>
      </c>
    </row>
    <row r="1092" spans="1:113" s="15" customFormat="1" ht="12.75" x14ac:dyDescent="0.2">
      <c r="A1092" s="15" t="s">
        <v>109</v>
      </c>
      <c r="B1092" s="15" t="s">
        <v>110</v>
      </c>
      <c r="D1092" s="15" t="s">
        <v>620</v>
      </c>
      <c r="E1092" s="15" t="s">
        <v>112</v>
      </c>
      <c r="F1092" s="15" t="s">
        <v>620</v>
      </c>
      <c r="G1092" s="15" t="s">
        <v>113</v>
      </c>
      <c r="H1092" s="15" t="s">
        <v>1481</v>
      </c>
      <c r="J1092" s="16" t="s">
        <v>114</v>
      </c>
      <c r="U1092" s="15" t="s">
        <v>17977</v>
      </c>
      <c r="W1092" s="15">
        <v>2775</v>
      </c>
      <c r="X1092" s="15">
        <v>1102</v>
      </c>
      <c r="Y1092" s="15" t="s">
        <v>160</v>
      </c>
      <c r="Z1092" s="15" t="s">
        <v>161</v>
      </c>
      <c r="AA1092" s="15" t="s">
        <v>162</v>
      </c>
      <c r="AB1092" s="15" t="s">
        <v>13448</v>
      </c>
      <c r="AC1092" s="15" t="s">
        <v>13448</v>
      </c>
      <c r="AD1092" s="15" t="s">
        <v>13448</v>
      </c>
      <c r="AE1092" s="15" t="s">
        <v>164</v>
      </c>
      <c r="AF1092" s="15" t="s">
        <v>13448</v>
      </c>
      <c r="AG1092" s="15" t="s">
        <v>13448</v>
      </c>
      <c r="AH1092" s="34" t="s">
        <v>13449</v>
      </c>
      <c r="AL1092" s="15" t="s">
        <v>13450</v>
      </c>
      <c r="AN1092" s="15">
        <v>743</v>
      </c>
      <c r="AO1092" s="15" t="s">
        <v>13451</v>
      </c>
      <c r="AQ1092" s="15" t="s">
        <v>168</v>
      </c>
      <c r="AT1092" s="15" t="s">
        <v>13452</v>
      </c>
      <c r="AU1092" s="15" t="s">
        <v>13453</v>
      </c>
      <c r="AV1092" s="15" t="s">
        <v>13453</v>
      </c>
      <c r="AW1092" s="15" t="s">
        <v>13454</v>
      </c>
      <c r="AX1092" s="15" t="s">
        <v>13455</v>
      </c>
      <c r="AY1092" s="15">
        <f t="shared" si="21"/>
        <v>54</v>
      </c>
      <c r="AZ1092" s="15" t="s">
        <v>173</v>
      </c>
      <c r="BA1092" s="15" t="s">
        <v>174</v>
      </c>
      <c r="BB1092" s="15" t="s">
        <v>13445</v>
      </c>
      <c r="BE1092" s="15" t="s">
        <v>176</v>
      </c>
      <c r="BI1092" s="15" t="s">
        <v>200</v>
      </c>
      <c r="BJ1092" s="15" t="s">
        <v>13446</v>
      </c>
      <c r="BN1092" s="15" t="s">
        <v>179</v>
      </c>
      <c r="BP1092" s="15" t="s">
        <v>138</v>
      </c>
      <c r="BS1092" s="15" t="s">
        <v>13456</v>
      </c>
      <c r="DH1092" s="15" t="s">
        <v>17982</v>
      </c>
      <c r="DI1092" s="15" t="s">
        <v>17982</v>
      </c>
    </row>
    <row r="1093" spans="1:113" s="15" customFormat="1" ht="12.75" x14ac:dyDescent="0.2">
      <c r="A1093" s="15" t="s">
        <v>109</v>
      </c>
      <c r="B1093" s="15" t="s">
        <v>110</v>
      </c>
      <c r="D1093" s="15" t="s">
        <v>620</v>
      </c>
      <c r="E1093" s="15" t="s">
        <v>112</v>
      </c>
      <c r="F1093" s="15" t="s">
        <v>620</v>
      </c>
      <c r="G1093" s="15" t="s">
        <v>113</v>
      </c>
      <c r="H1093" s="15" t="s">
        <v>1481</v>
      </c>
      <c r="J1093" s="16" t="s">
        <v>114</v>
      </c>
      <c r="U1093" s="15" t="s">
        <v>17977</v>
      </c>
      <c r="W1093" s="15">
        <v>2774</v>
      </c>
      <c r="X1093" s="15">
        <v>1103</v>
      </c>
      <c r="Y1093" s="15" t="s">
        <v>160</v>
      </c>
      <c r="Z1093" s="15" t="s">
        <v>161</v>
      </c>
      <c r="AA1093" s="15" t="s">
        <v>162</v>
      </c>
      <c r="AB1093" s="15" t="s">
        <v>13437</v>
      </c>
      <c r="AC1093" s="15" t="s">
        <v>13437</v>
      </c>
      <c r="AD1093" s="15" t="s">
        <v>13437</v>
      </c>
      <c r="AE1093" s="15" t="s">
        <v>164</v>
      </c>
      <c r="AF1093" s="15" t="s">
        <v>13437</v>
      </c>
      <c r="AG1093" s="15" t="s">
        <v>13437</v>
      </c>
      <c r="AH1093" s="34" t="s">
        <v>13438</v>
      </c>
      <c r="AL1093" s="15" t="s">
        <v>13439</v>
      </c>
      <c r="AN1093" s="15">
        <v>743</v>
      </c>
      <c r="AO1093" s="15" t="s">
        <v>13440</v>
      </c>
      <c r="AQ1093" s="15" t="s">
        <v>168</v>
      </c>
      <c r="AT1093" s="15" t="s">
        <v>13441</v>
      </c>
      <c r="AU1093" s="15" t="s">
        <v>13442</v>
      </c>
      <c r="AV1093" s="15" t="s">
        <v>13442</v>
      </c>
      <c r="AW1093" s="15" t="s">
        <v>13443</v>
      </c>
      <c r="AX1093" s="15" t="s">
        <v>13444</v>
      </c>
      <c r="AY1093" s="15">
        <f t="shared" si="21"/>
        <v>55</v>
      </c>
      <c r="AZ1093" s="15" t="s">
        <v>173</v>
      </c>
      <c r="BA1093" s="15" t="s">
        <v>174</v>
      </c>
      <c r="BB1093" s="15" t="s">
        <v>13445</v>
      </c>
      <c r="BE1093" s="15" t="s">
        <v>564</v>
      </c>
      <c r="BI1093" s="15" t="s">
        <v>200</v>
      </c>
      <c r="BJ1093" s="15" t="s">
        <v>13446</v>
      </c>
      <c r="BN1093" s="15" t="s">
        <v>179</v>
      </c>
      <c r="BP1093" s="15" t="s">
        <v>138</v>
      </c>
      <c r="BS1093" s="15" t="s">
        <v>13447</v>
      </c>
      <c r="DH1093" s="15" t="s">
        <v>17982</v>
      </c>
      <c r="DI1093" s="15" t="s">
        <v>17982</v>
      </c>
    </row>
    <row r="1094" spans="1:113" s="15" customFormat="1" ht="12.75" x14ac:dyDescent="0.2">
      <c r="A1094" s="15" t="s">
        <v>109</v>
      </c>
      <c r="B1094" s="15" t="s">
        <v>110</v>
      </c>
      <c r="D1094" s="15" t="s">
        <v>620</v>
      </c>
      <c r="E1094" s="15" t="s">
        <v>112</v>
      </c>
      <c r="F1094" s="15" t="s">
        <v>620</v>
      </c>
      <c r="G1094" s="15" t="s">
        <v>113</v>
      </c>
      <c r="H1094" s="15" t="s">
        <v>1481</v>
      </c>
      <c r="J1094" s="16" t="s">
        <v>114</v>
      </c>
      <c r="U1094" s="15" t="s">
        <v>17977</v>
      </c>
      <c r="W1094" s="15">
        <v>2813</v>
      </c>
      <c r="X1094" s="15">
        <v>1104</v>
      </c>
      <c r="Y1094" s="15" t="s">
        <v>160</v>
      </c>
      <c r="Z1094" s="15" t="s">
        <v>161</v>
      </c>
      <c r="AA1094" s="15" t="s">
        <v>162</v>
      </c>
      <c r="AB1094" s="15" t="s">
        <v>13676</v>
      </c>
      <c r="AC1094" s="15" t="s">
        <v>13676</v>
      </c>
      <c r="AD1094" s="15" t="s">
        <v>13676</v>
      </c>
      <c r="AE1094" s="15" t="s">
        <v>164</v>
      </c>
      <c r="AF1094" s="15" t="s">
        <v>13676</v>
      </c>
      <c r="AG1094" s="15" t="s">
        <v>13676</v>
      </c>
      <c r="AH1094" s="34" t="s">
        <v>13677</v>
      </c>
      <c r="AL1094" s="15" t="s">
        <v>13678</v>
      </c>
      <c r="AN1094" s="15">
        <v>743</v>
      </c>
      <c r="AO1094" s="15" t="s">
        <v>13679</v>
      </c>
      <c r="AQ1094" s="15" t="s">
        <v>168</v>
      </c>
      <c r="AT1094" s="15" t="s">
        <v>13680</v>
      </c>
      <c r="AU1094" s="15" t="s">
        <v>13681</v>
      </c>
      <c r="AV1094" s="15" t="s">
        <v>13681</v>
      </c>
      <c r="AW1094" s="15" t="s">
        <v>13682</v>
      </c>
      <c r="AX1094" s="15" t="s">
        <v>13683</v>
      </c>
      <c r="AY1094" s="15">
        <f t="shared" ref="AY1094:AY1157" si="22">LEN(SUBSTITUTE(AX1094, ", "," "))</f>
        <v>50</v>
      </c>
      <c r="AZ1094" s="15" t="s">
        <v>173</v>
      </c>
      <c r="BA1094" s="15" t="s">
        <v>174</v>
      </c>
      <c r="BB1094" s="15" t="s">
        <v>13673</v>
      </c>
      <c r="BE1094" s="15" t="s">
        <v>275</v>
      </c>
      <c r="BI1094" s="15" t="s">
        <v>200</v>
      </c>
      <c r="BJ1094" s="15" t="s">
        <v>13684</v>
      </c>
      <c r="BN1094" s="15" t="s">
        <v>179</v>
      </c>
      <c r="BP1094" s="15" t="s">
        <v>138</v>
      </c>
      <c r="BS1094" s="15" t="s">
        <v>13685</v>
      </c>
      <c r="DH1094" s="15" t="s">
        <v>17982</v>
      </c>
      <c r="DI1094" s="15" t="s">
        <v>17982</v>
      </c>
    </row>
    <row r="1095" spans="1:113" s="15" customFormat="1" ht="12.75" x14ac:dyDescent="0.2">
      <c r="A1095" s="15" t="s">
        <v>109</v>
      </c>
      <c r="B1095" s="15" t="s">
        <v>110</v>
      </c>
      <c r="D1095" s="15" t="s">
        <v>620</v>
      </c>
      <c r="E1095" s="15" t="s">
        <v>112</v>
      </c>
      <c r="F1095" s="15" t="s">
        <v>620</v>
      </c>
      <c r="G1095" s="15" t="s">
        <v>113</v>
      </c>
      <c r="H1095" s="15" t="s">
        <v>1481</v>
      </c>
      <c r="J1095" s="16" t="s">
        <v>114</v>
      </c>
      <c r="U1095" s="15" t="s">
        <v>17977</v>
      </c>
      <c r="W1095" s="15">
        <v>2814</v>
      </c>
      <c r="X1095" s="15">
        <v>1105</v>
      </c>
      <c r="Y1095" s="15" t="s">
        <v>160</v>
      </c>
      <c r="Z1095" s="15" t="s">
        <v>161</v>
      </c>
      <c r="AA1095" s="15" t="s">
        <v>162</v>
      </c>
      <c r="AB1095" s="15" t="s">
        <v>13686</v>
      </c>
      <c r="AC1095" s="15" t="s">
        <v>13686</v>
      </c>
      <c r="AD1095" s="15" t="s">
        <v>13686</v>
      </c>
      <c r="AE1095" s="15" t="s">
        <v>164</v>
      </c>
      <c r="AF1095" s="15" t="s">
        <v>13686</v>
      </c>
      <c r="AG1095" s="15" t="s">
        <v>13686</v>
      </c>
      <c r="AH1095" s="34" t="s">
        <v>13687</v>
      </c>
      <c r="AL1095" s="15" t="s">
        <v>13688</v>
      </c>
      <c r="AN1095" s="15">
        <v>743</v>
      </c>
      <c r="AO1095" s="15" t="s">
        <v>13689</v>
      </c>
      <c r="AQ1095" s="15" t="s">
        <v>168</v>
      </c>
      <c r="AT1095" s="15" t="s">
        <v>13690</v>
      </c>
      <c r="AU1095" s="15" t="s">
        <v>13691</v>
      </c>
      <c r="AV1095" s="15" t="s">
        <v>13691</v>
      </c>
      <c r="AW1095" s="15" t="s">
        <v>13692</v>
      </c>
      <c r="AX1095" s="15" t="s">
        <v>13693</v>
      </c>
      <c r="AY1095" s="15">
        <f t="shared" si="22"/>
        <v>53</v>
      </c>
      <c r="AZ1095" s="15" t="s">
        <v>173</v>
      </c>
      <c r="BA1095" s="15" t="s">
        <v>174</v>
      </c>
      <c r="BB1095" s="15" t="s">
        <v>13673</v>
      </c>
      <c r="BE1095" s="15" t="s">
        <v>1056</v>
      </c>
      <c r="BI1095" s="15" t="s">
        <v>200</v>
      </c>
      <c r="BJ1095" s="15" t="s">
        <v>13684</v>
      </c>
      <c r="BN1095" s="15" t="s">
        <v>179</v>
      </c>
      <c r="BP1095" s="15" t="s">
        <v>138</v>
      </c>
      <c r="BS1095" s="15" t="s">
        <v>13694</v>
      </c>
      <c r="DH1095" s="15" t="s">
        <v>17982</v>
      </c>
      <c r="DI1095" s="15" t="s">
        <v>17982</v>
      </c>
    </row>
    <row r="1096" spans="1:113" s="15" customFormat="1" ht="12.75" x14ac:dyDescent="0.2">
      <c r="A1096" s="15" t="s">
        <v>109</v>
      </c>
      <c r="B1096" s="15" t="s">
        <v>110</v>
      </c>
      <c r="D1096" s="15" t="s">
        <v>620</v>
      </c>
      <c r="E1096" s="15" t="s">
        <v>112</v>
      </c>
      <c r="F1096" s="15" t="s">
        <v>620</v>
      </c>
      <c r="G1096" s="15" t="s">
        <v>113</v>
      </c>
      <c r="H1096" s="15" t="s">
        <v>1481</v>
      </c>
      <c r="J1096" s="16" t="s">
        <v>114</v>
      </c>
      <c r="U1096" s="15" t="s">
        <v>17977</v>
      </c>
      <c r="W1096" s="15">
        <v>2812</v>
      </c>
      <c r="X1096" s="15">
        <v>1106</v>
      </c>
      <c r="Y1096" s="15" t="s">
        <v>160</v>
      </c>
      <c r="Z1096" s="15" t="s">
        <v>161</v>
      </c>
      <c r="AA1096" s="15" t="s">
        <v>162</v>
      </c>
      <c r="AB1096" s="15" t="s">
        <v>13665</v>
      </c>
      <c r="AC1096" s="15" t="s">
        <v>13665</v>
      </c>
      <c r="AD1096" s="15" t="s">
        <v>13665</v>
      </c>
      <c r="AE1096" s="15" t="s">
        <v>164</v>
      </c>
      <c r="AF1096" s="15" t="s">
        <v>13665</v>
      </c>
      <c r="AG1096" s="15" t="s">
        <v>13665</v>
      </c>
      <c r="AH1096" s="34" t="s">
        <v>13666</v>
      </c>
      <c r="AL1096" s="15" t="s">
        <v>13667</v>
      </c>
      <c r="AN1096" s="15">
        <v>743</v>
      </c>
      <c r="AO1096" s="15" t="s">
        <v>13668</v>
      </c>
      <c r="AQ1096" s="15" t="s">
        <v>168</v>
      </c>
      <c r="AT1096" s="15" t="s">
        <v>13669</v>
      </c>
      <c r="AU1096" s="15" t="s">
        <v>13670</v>
      </c>
      <c r="AV1096" s="15" t="s">
        <v>13670</v>
      </c>
      <c r="AW1096" s="15" t="s">
        <v>13671</v>
      </c>
      <c r="AX1096" s="15" t="s">
        <v>13672</v>
      </c>
      <c r="AY1096" s="15">
        <f t="shared" si="22"/>
        <v>50</v>
      </c>
      <c r="AZ1096" s="15" t="s">
        <v>173</v>
      </c>
      <c r="BA1096" s="15" t="s">
        <v>174</v>
      </c>
      <c r="BB1096" s="15" t="s">
        <v>13673</v>
      </c>
      <c r="BE1096" s="15" t="s">
        <v>275</v>
      </c>
      <c r="BI1096" s="15" t="s">
        <v>200</v>
      </c>
      <c r="BJ1096" s="15" t="s">
        <v>13674</v>
      </c>
      <c r="BN1096" s="15" t="s">
        <v>179</v>
      </c>
      <c r="BP1096" s="15" t="s">
        <v>138</v>
      </c>
      <c r="BS1096" s="15" t="s">
        <v>13675</v>
      </c>
      <c r="DH1096" s="15" t="s">
        <v>17982</v>
      </c>
      <c r="DI1096" s="15" t="s">
        <v>17982</v>
      </c>
    </row>
    <row r="1097" spans="1:113" s="15" customFormat="1" ht="12.75" x14ac:dyDescent="0.2">
      <c r="A1097" s="15" t="s">
        <v>109</v>
      </c>
      <c r="B1097" s="15" t="s">
        <v>110</v>
      </c>
      <c r="D1097" s="15" t="s">
        <v>620</v>
      </c>
      <c r="E1097" s="15" t="s">
        <v>112</v>
      </c>
      <c r="F1097" s="15" t="s">
        <v>620</v>
      </c>
      <c r="G1097" s="15" t="s">
        <v>113</v>
      </c>
      <c r="H1097" s="15" t="s">
        <v>1481</v>
      </c>
      <c r="J1097" s="16" t="s">
        <v>114</v>
      </c>
      <c r="U1097" s="15" t="s">
        <v>17977</v>
      </c>
      <c r="W1097" s="15">
        <v>2332</v>
      </c>
      <c r="X1097" s="15">
        <v>1107</v>
      </c>
      <c r="Y1097" s="15" t="s">
        <v>160</v>
      </c>
      <c r="Z1097" s="15" t="s">
        <v>161</v>
      </c>
      <c r="AA1097" s="15" t="s">
        <v>162</v>
      </c>
      <c r="AB1097" s="15" t="s">
        <v>11661</v>
      </c>
      <c r="AC1097" s="15" t="s">
        <v>11661</v>
      </c>
      <c r="AD1097" s="15" t="s">
        <v>11661</v>
      </c>
      <c r="AE1097" s="34" t="s">
        <v>164</v>
      </c>
      <c r="AF1097" s="15" t="s">
        <v>11661</v>
      </c>
      <c r="AG1097" s="15" t="s">
        <v>11661</v>
      </c>
      <c r="AH1097" s="34" t="s">
        <v>11662</v>
      </c>
      <c r="AL1097" s="15" t="s">
        <v>11663</v>
      </c>
      <c r="AN1097" s="15">
        <v>743</v>
      </c>
      <c r="AO1097" s="15" t="s">
        <v>11664</v>
      </c>
      <c r="AQ1097" s="15" t="s">
        <v>168</v>
      </c>
      <c r="AT1097" s="15" t="s">
        <v>11665</v>
      </c>
      <c r="AU1097" s="15" t="s">
        <v>11666</v>
      </c>
      <c r="AV1097" s="15" t="s">
        <v>11666</v>
      </c>
      <c r="AW1097" s="15" t="s">
        <v>11667</v>
      </c>
      <c r="AX1097" s="15" t="s">
        <v>11667</v>
      </c>
      <c r="AY1097" s="15">
        <f t="shared" si="22"/>
        <v>50</v>
      </c>
      <c r="AZ1097" s="15" t="s">
        <v>173</v>
      </c>
      <c r="BA1097" s="15" t="s">
        <v>174</v>
      </c>
      <c r="BB1097" s="15" t="s">
        <v>11668</v>
      </c>
      <c r="BE1097" s="15" t="s">
        <v>1032</v>
      </c>
      <c r="BJ1097" s="15" t="s">
        <v>219</v>
      </c>
      <c r="BN1097" s="15" t="s">
        <v>179</v>
      </c>
      <c r="BP1097" s="15" t="s">
        <v>138</v>
      </c>
      <c r="BS1097" s="15" t="s">
        <v>11669</v>
      </c>
      <c r="DH1097" s="15" t="s">
        <v>17982</v>
      </c>
      <c r="DI1097" s="15" t="s">
        <v>17982</v>
      </c>
    </row>
    <row r="1098" spans="1:113" s="15" customFormat="1" ht="12.75" x14ac:dyDescent="0.2">
      <c r="A1098" s="15" t="s">
        <v>109</v>
      </c>
      <c r="B1098" s="15" t="s">
        <v>110</v>
      </c>
      <c r="D1098" s="15" t="s">
        <v>620</v>
      </c>
      <c r="E1098" s="15" t="s">
        <v>112</v>
      </c>
      <c r="F1098" s="15" t="s">
        <v>620</v>
      </c>
      <c r="G1098" s="15" t="s">
        <v>113</v>
      </c>
      <c r="H1098" s="15" t="s">
        <v>1481</v>
      </c>
      <c r="J1098" s="16" t="s">
        <v>114</v>
      </c>
      <c r="U1098" s="15" t="s">
        <v>17977</v>
      </c>
      <c r="W1098" s="15">
        <v>2134</v>
      </c>
      <c r="X1098" s="15">
        <v>1108</v>
      </c>
      <c r="Y1098" s="15" t="s">
        <v>160</v>
      </c>
      <c r="Z1098" s="15" t="s">
        <v>161</v>
      </c>
      <c r="AA1098" s="15" t="s">
        <v>162</v>
      </c>
      <c r="AB1098" s="15" t="s">
        <v>10928</v>
      </c>
      <c r="AC1098" s="15" t="s">
        <v>10928</v>
      </c>
      <c r="AD1098" s="15" t="s">
        <v>10928</v>
      </c>
      <c r="AE1098" s="34" t="s">
        <v>164</v>
      </c>
      <c r="AF1098" s="15" t="s">
        <v>10928</v>
      </c>
      <c r="AG1098" s="15" t="s">
        <v>10928</v>
      </c>
      <c r="AH1098" s="34" t="s">
        <v>10929</v>
      </c>
      <c r="AL1098" s="15" t="s">
        <v>10930</v>
      </c>
      <c r="AN1098" s="15">
        <v>743</v>
      </c>
      <c r="AO1098" s="15" t="s">
        <v>10931</v>
      </c>
      <c r="AQ1098" s="15" t="s">
        <v>168</v>
      </c>
      <c r="AT1098" s="15" t="s">
        <v>10932</v>
      </c>
      <c r="AU1098" s="15" t="s">
        <v>10933</v>
      </c>
      <c r="AV1098" s="15" t="s">
        <v>10933</v>
      </c>
      <c r="AW1098" s="15" t="s">
        <v>10934</v>
      </c>
      <c r="AX1098" s="15" t="s">
        <v>10935</v>
      </c>
      <c r="AY1098" s="15">
        <f t="shared" si="22"/>
        <v>56</v>
      </c>
      <c r="AZ1098" s="15" t="s">
        <v>173</v>
      </c>
      <c r="BA1098" s="15" t="s">
        <v>174</v>
      </c>
      <c r="BB1098" s="15" t="s">
        <v>10936</v>
      </c>
      <c r="BE1098" s="15" t="s">
        <v>348</v>
      </c>
      <c r="BJ1098" s="15" t="s">
        <v>10937</v>
      </c>
      <c r="BK1098" s="15" t="s">
        <v>10938</v>
      </c>
      <c r="BN1098" s="15" t="s">
        <v>179</v>
      </c>
      <c r="BP1098" s="15" t="s">
        <v>138</v>
      </c>
      <c r="BS1098" s="15" t="s">
        <v>10939</v>
      </c>
      <c r="DH1098" s="15" t="s">
        <v>17982</v>
      </c>
      <c r="DI1098" s="15" t="s">
        <v>17982</v>
      </c>
    </row>
    <row r="1099" spans="1:113" s="15" customFormat="1" ht="12.75" x14ac:dyDescent="0.2">
      <c r="A1099" s="15" t="s">
        <v>109</v>
      </c>
      <c r="B1099" s="15" t="s">
        <v>110</v>
      </c>
      <c r="D1099" s="15" t="s">
        <v>620</v>
      </c>
      <c r="E1099" s="15" t="s">
        <v>112</v>
      </c>
      <c r="F1099" s="15" t="s">
        <v>620</v>
      </c>
      <c r="G1099" s="15" t="s">
        <v>113</v>
      </c>
      <c r="H1099" s="15" t="s">
        <v>1481</v>
      </c>
      <c r="J1099" s="16" t="s">
        <v>114</v>
      </c>
      <c r="U1099" s="15" t="s">
        <v>17977</v>
      </c>
      <c r="W1099" s="15">
        <v>3679</v>
      </c>
      <c r="X1099" s="15">
        <v>1109</v>
      </c>
      <c r="Y1099" s="15" t="s">
        <v>160</v>
      </c>
      <c r="Z1099" s="15" t="s">
        <v>161</v>
      </c>
      <c r="AA1099" s="15" t="s">
        <v>162</v>
      </c>
      <c r="AB1099" s="15" t="s">
        <v>17829</v>
      </c>
      <c r="AC1099" s="15" t="s">
        <v>17829</v>
      </c>
      <c r="AD1099" s="15" t="s">
        <v>17829</v>
      </c>
      <c r="AE1099" s="34" t="s">
        <v>164</v>
      </c>
      <c r="AF1099" s="15" t="s">
        <v>17829</v>
      </c>
      <c r="AG1099" s="15" t="s">
        <v>17829</v>
      </c>
      <c r="AH1099" s="34" t="s">
        <v>17830</v>
      </c>
      <c r="AL1099" s="15" t="s">
        <v>17831</v>
      </c>
      <c r="AN1099" s="15">
        <v>743</v>
      </c>
      <c r="AO1099" s="15" t="s">
        <v>17832</v>
      </c>
      <c r="AQ1099" s="15" t="s">
        <v>168</v>
      </c>
      <c r="AT1099" s="15" t="s">
        <v>17833</v>
      </c>
      <c r="AU1099" s="15" t="s">
        <v>17834</v>
      </c>
      <c r="AV1099" s="15" t="s">
        <v>17834</v>
      </c>
      <c r="AW1099" s="15" t="s">
        <v>17835</v>
      </c>
      <c r="AX1099" s="15" t="s">
        <v>17835</v>
      </c>
      <c r="AY1099" s="15">
        <f t="shared" si="22"/>
        <v>31</v>
      </c>
      <c r="AZ1099" s="15" t="s">
        <v>173</v>
      </c>
      <c r="BA1099" s="15" t="s">
        <v>174</v>
      </c>
      <c r="BB1099" s="15" t="s">
        <v>17836</v>
      </c>
      <c r="BE1099" s="15" t="s">
        <v>585</v>
      </c>
      <c r="BN1099" s="15" t="s">
        <v>179</v>
      </c>
      <c r="BP1099" s="15" t="s">
        <v>138</v>
      </c>
      <c r="BS1099" s="15" t="s">
        <v>17837</v>
      </c>
      <c r="DH1099" s="15" t="s">
        <v>17982</v>
      </c>
      <c r="DI1099" s="15" t="s">
        <v>17982</v>
      </c>
    </row>
    <row r="1100" spans="1:113" s="15" customFormat="1" ht="12.75" x14ac:dyDescent="0.2">
      <c r="A1100" s="15" t="s">
        <v>109</v>
      </c>
      <c r="B1100" s="15" t="s">
        <v>110</v>
      </c>
      <c r="D1100" s="15" t="s">
        <v>620</v>
      </c>
      <c r="E1100" s="15" t="s">
        <v>112</v>
      </c>
      <c r="F1100" s="15" t="s">
        <v>620</v>
      </c>
      <c r="G1100" s="15" t="s">
        <v>113</v>
      </c>
      <c r="H1100" s="15" t="s">
        <v>1481</v>
      </c>
      <c r="J1100" s="16" t="s">
        <v>114</v>
      </c>
      <c r="U1100" s="15" t="s">
        <v>17977</v>
      </c>
      <c r="W1100" s="15">
        <v>1705</v>
      </c>
      <c r="X1100" s="15">
        <v>1110</v>
      </c>
      <c r="Y1100" s="15" t="s">
        <v>160</v>
      </c>
      <c r="Z1100" s="15" t="s">
        <v>161</v>
      </c>
      <c r="AA1100" s="15" t="s">
        <v>162</v>
      </c>
      <c r="AB1100" s="15" t="s">
        <v>8985</v>
      </c>
      <c r="AC1100" s="15" t="s">
        <v>8985</v>
      </c>
      <c r="AD1100" s="15" t="s">
        <v>8985</v>
      </c>
      <c r="AE1100" s="34" t="s">
        <v>164</v>
      </c>
      <c r="AF1100" s="15" t="s">
        <v>8985</v>
      </c>
      <c r="AG1100" s="15" t="s">
        <v>8985</v>
      </c>
      <c r="AH1100" s="34" t="s">
        <v>8986</v>
      </c>
      <c r="AL1100" s="15" t="s">
        <v>8987</v>
      </c>
      <c r="AN1100" s="15">
        <v>743</v>
      </c>
      <c r="AO1100" s="15" t="s">
        <v>8988</v>
      </c>
      <c r="AQ1100" s="15" t="s">
        <v>925</v>
      </c>
      <c r="AT1100" s="15" t="s">
        <v>8989</v>
      </c>
      <c r="AU1100" s="15" t="s">
        <v>8990</v>
      </c>
      <c r="AV1100" s="15" t="s">
        <v>8990</v>
      </c>
      <c r="AW1100" s="15" t="s">
        <v>8991</v>
      </c>
      <c r="AX1100" s="15" t="s">
        <v>8991</v>
      </c>
      <c r="AY1100" s="15">
        <f t="shared" si="22"/>
        <v>49</v>
      </c>
      <c r="AZ1100" s="15" t="s">
        <v>7430</v>
      </c>
      <c r="BA1100" s="15" t="s">
        <v>933</v>
      </c>
      <c r="BB1100" s="15" t="s">
        <v>8992</v>
      </c>
      <c r="BF1100" s="15" t="s">
        <v>8993</v>
      </c>
      <c r="BN1100" s="15" t="s">
        <v>179</v>
      </c>
      <c r="BP1100" s="15" t="s">
        <v>138</v>
      </c>
      <c r="BS1100" s="15" t="s">
        <v>8994</v>
      </c>
      <c r="DH1100" s="15" t="s">
        <v>17982</v>
      </c>
      <c r="DI1100" s="15" t="s">
        <v>17982</v>
      </c>
    </row>
    <row r="1101" spans="1:113" s="15" customFormat="1" ht="12.75" x14ac:dyDescent="0.2">
      <c r="A1101" s="15" t="s">
        <v>109</v>
      </c>
      <c r="B1101" s="15" t="s">
        <v>110</v>
      </c>
      <c r="D1101" s="15" t="s">
        <v>620</v>
      </c>
      <c r="E1101" s="15" t="s">
        <v>112</v>
      </c>
      <c r="F1101" s="15" t="s">
        <v>620</v>
      </c>
      <c r="G1101" s="15" t="s">
        <v>113</v>
      </c>
      <c r="H1101" s="15" t="s">
        <v>1481</v>
      </c>
      <c r="J1101" s="16" t="s">
        <v>114</v>
      </c>
      <c r="U1101" s="15" t="s">
        <v>17977</v>
      </c>
      <c r="W1101" s="15">
        <v>2933</v>
      </c>
      <c r="X1101" s="15">
        <v>1111</v>
      </c>
      <c r="Y1101" s="15" t="s">
        <v>160</v>
      </c>
      <c r="Z1101" s="15" t="s">
        <v>161</v>
      </c>
      <c r="AA1101" s="15" t="s">
        <v>162</v>
      </c>
      <c r="AB1101" s="15" t="s">
        <v>14387</v>
      </c>
      <c r="AC1101" s="15" t="s">
        <v>14387</v>
      </c>
      <c r="AD1101" s="15" t="s">
        <v>14387</v>
      </c>
      <c r="AE1101" s="34" t="s">
        <v>164</v>
      </c>
      <c r="AF1101" s="15" t="s">
        <v>14387</v>
      </c>
      <c r="AG1101" s="15" t="s">
        <v>14387</v>
      </c>
      <c r="AH1101" s="34" t="s">
        <v>14388</v>
      </c>
      <c r="AL1101" s="15" t="s">
        <v>14389</v>
      </c>
      <c r="AN1101" s="15">
        <v>743</v>
      </c>
      <c r="AO1101" s="15" t="s">
        <v>14390</v>
      </c>
      <c r="AQ1101" s="15" t="s">
        <v>388</v>
      </c>
      <c r="AT1101" s="15" t="s">
        <v>14391</v>
      </c>
      <c r="AU1101" s="15" t="s">
        <v>14392</v>
      </c>
      <c r="AV1101" s="15" t="s">
        <v>14392</v>
      </c>
      <c r="AW1101" s="15" t="s">
        <v>14393</v>
      </c>
      <c r="AX1101" s="15" t="s">
        <v>14394</v>
      </c>
      <c r="AY1101" s="15">
        <f t="shared" si="22"/>
        <v>60</v>
      </c>
      <c r="AZ1101" s="15" t="s">
        <v>393</v>
      </c>
      <c r="BA1101" s="15" t="s">
        <v>174</v>
      </c>
      <c r="BB1101" s="15" t="s">
        <v>14373</v>
      </c>
      <c r="BE1101" s="15" t="s">
        <v>275</v>
      </c>
      <c r="BI1101" s="15" t="s">
        <v>200</v>
      </c>
      <c r="BJ1101" s="15" t="s">
        <v>14395</v>
      </c>
      <c r="BK1101" s="15" t="s">
        <v>487</v>
      </c>
      <c r="BN1101" s="15" t="s">
        <v>179</v>
      </c>
      <c r="BP1101" s="15" t="s">
        <v>138</v>
      </c>
      <c r="BS1101" s="15" t="s">
        <v>14396</v>
      </c>
      <c r="DH1101" s="15" t="s">
        <v>17982</v>
      </c>
      <c r="DI1101" s="15" t="s">
        <v>17982</v>
      </c>
    </row>
    <row r="1102" spans="1:113" s="15" customFormat="1" ht="12.75" x14ac:dyDescent="0.2">
      <c r="A1102" s="15" t="s">
        <v>109</v>
      </c>
      <c r="B1102" s="15" t="s">
        <v>110</v>
      </c>
      <c r="D1102" s="15" t="s">
        <v>620</v>
      </c>
      <c r="E1102" s="15" t="s">
        <v>112</v>
      </c>
      <c r="F1102" s="15" t="s">
        <v>620</v>
      </c>
      <c r="G1102" s="15" t="s">
        <v>113</v>
      </c>
      <c r="H1102" s="15" t="s">
        <v>1481</v>
      </c>
      <c r="J1102" s="16" t="s">
        <v>114</v>
      </c>
      <c r="U1102" s="15" t="s">
        <v>17977</v>
      </c>
      <c r="W1102" s="15">
        <v>2932</v>
      </c>
      <c r="X1102" s="15">
        <v>1112</v>
      </c>
      <c r="Y1102" s="15" t="s">
        <v>160</v>
      </c>
      <c r="Z1102" s="15" t="s">
        <v>161</v>
      </c>
      <c r="AA1102" s="15" t="s">
        <v>162</v>
      </c>
      <c r="AB1102" s="15" t="s">
        <v>14377</v>
      </c>
      <c r="AC1102" s="15" t="s">
        <v>14377</v>
      </c>
      <c r="AD1102" s="15" t="s">
        <v>14377</v>
      </c>
      <c r="AE1102" s="34" t="s">
        <v>164</v>
      </c>
      <c r="AF1102" s="15" t="s">
        <v>14377</v>
      </c>
      <c r="AG1102" s="15" t="s">
        <v>14377</v>
      </c>
      <c r="AH1102" s="34" t="s">
        <v>14378</v>
      </c>
      <c r="AL1102" s="15" t="s">
        <v>14379</v>
      </c>
      <c r="AN1102" s="15">
        <v>743</v>
      </c>
      <c r="AO1102" s="15" t="s">
        <v>14380</v>
      </c>
      <c r="AQ1102" s="15" t="s">
        <v>388</v>
      </c>
      <c r="AT1102" s="15" t="s">
        <v>14381</v>
      </c>
      <c r="AU1102" s="15" t="s">
        <v>14382</v>
      </c>
      <c r="AV1102" s="15" t="s">
        <v>14382</v>
      </c>
      <c r="AW1102" s="15" t="s">
        <v>14383</v>
      </c>
      <c r="AX1102" s="15" t="s">
        <v>14384</v>
      </c>
      <c r="AY1102" s="15">
        <f t="shared" si="22"/>
        <v>60</v>
      </c>
      <c r="AZ1102" s="15" t="s">
        <v>393</v>
      </c>
      <c r="BA1102" s="15" t="s">
        <v>174</v>
      </c>
      <c r="BB1102" s="15" t="s">
        <v>14373</v>
      </c>
      <c r="BE1102" s="15" t="s">
        <v>275</v>
      </c>
      <c r="BI1102" s="15" t="s">
        <v>200</v>
      </c>
      <c r="BJ1102" s="15" t="s">
        <v>14385</v>
      </c>
      <c r="BK1102" s="15" t="s">
        <v>487</v>
      </c>
      <c r="BN1102" s="15" t="s">
        <v>179</v>
      </c>
      <c r="BP1102" s="15" t="s">
        <v>138</v>
      </c>
      <c r="BS1102" s="15" t="s">
        <v>14386</v>
      </c>
      <c r="DH1102" s="15" t="s">
        <v>17982</v>
      </c>
      <c r="DI1102" s="15" t="s">
        <v>17982</v>
      </c>
    </row>
    <row r="1103" spans="1:113" s="15" customFormat="1" ht="12.75" x14ac:dyDescent="0.2">
      <c r="A1103" s="15" t="s">
        <v>109</v>
      </c>
      <c r="B1103" s="15" t="s">
        <v>110</v>
      </c>
      <c r="D1103" s="15" t="s">
        <v>620</v>
      </c>
      <c r="E1103" s="15" t="s">
        <v>112</v>
      </c>
      <c r="F1103" s="15" t="s">
        <v>620</v>
      </c>
      <c r="G1103" s="15" t="s">
        <v>113</v>
      </c>
      <c r="H1103" s="15" t="s">
        <v>1481</v>
      </c>
      <c r="J1103" s="16" t="s">
        <v>114</v>
      </c>
      <c r="U1103" s="15" t="s">
        <v>17977</v>
      </c>
      <c r="W1103" s="15">
        <v>3527</v>
      </c>
      <c r="X1103" s="15">
        <v>1113</v>
      </c>
      <c r="Y1103" s="15" t="s">
        <v>160</v>
      </c>
      <c r="Z1103" s="15" t="s">
        <v>161</v>
      </c>
      <c r="AA1103" s="15" t="s">
        <v>162</v>
      </c>
      <c r="AB1103" s="15" t="s">
        <v>17139</v>
      </c>
      <c r="AC1103" s="15" t="s">
        <v>17139</v>
      </c>
      <c r="AD1103" s="15" t="s">
        <v>17139</v>
      </c>
      <c r="AE1103" s="34" t="s">
        <v>164</v>
      </c>
      <c r="AF1103" s="15" t="s">
        <v>17139</v>
      </c>
      <c r="AG1103" s="15" t="s">
        <v>17139</v>
      </c>
      <c r="AH1103" s="34" t="s">
        <v>17140</v>
      </c>
      <c r="AL1103" s="15" t="s">
        <v>17141</v>
      </c>
      <c r="AN1103" s="15">
        <v>743</v>
      </c>
      <c r="AO1103" s="15" t="s">
        <v>17142</v>
      </c>
      <c r="AQ1103" s="15" t="s">
        <v>388</v>
      </c>
      <c r="AT1103" s="15" t="s">
        <v>17143</v>
      </c>
      <c r="AU1103" s="15" t="s">
        <v>17144</v>
      </c>
      <c r="AV1103" s="15" t="s">
        <v>17144</v>
      </c>
      <c r="AW1103" s="15" t="s">
        <v>17145</v>
      </c>
      <c r="AX1103" s="15" t="s">
        <v>17146</v>
      </c>
      <c r="AY1103" s="15">
        <f t="shared" si="22"/>
        <v>53</v>
      </c>
      <c r="AZ1103" s="15" t="s">
        <v>393</v>
      </c>
      <c r="BA1103" s="15" t="s">
        <v>174</v>
      </c>
      <c r="BE1103" s="15" t="s">
        <v>176</v>
      </c>
      <c r="BJ1103" s="15" t="s">
        <v>17147</v>
      </c>
      <c r="BK1103" s="15" t="s">
        <v>1585</v>
      </c>
      <c r="BN1103" s="15" t="s">
        <v>179</v>
      </c>
      <c r="BP1103" s="15" t="s">
        <v>138</v>
      </c>
      <c r="BS1103" s="15" t="s">
        <v>17148</v>
      </c>
      <c r="DH1103" s="15" t="s">
        <v>17982</v>
      </c>
      <c r="DI1103" s="15" t="s">
        <v>17982</v>
      </c>
    </row>
    <row r="1104" spans="1:113" s="15" customFormat="1" ht="12.75" x14ac:dyDescent="0.2">
      <c r="A1104" s="15" t="s">
        <v>109</v>
      </c>
      <c r="B1104" s="15" t="s">
        <v>110</v>
      </c>
      <c r="D1104" s="15" t="s">
        <v>620</v>
      </c>
      <c r="E1104" s="15" t="s">
        <v>112</v>
      </c>
      <c r="F1104" s="15" t="s">
        <v>620</v>
      </c>
      <c r="G1104" s="15" t="s">
        <v>113</v>
      </c>
      <c r="H1104" s="15" t="s">
        <v>1481</v>
      </c>
      <c r="J1104" s="16" t="s">
        <v>114</v>
      </c>
      <c r="U1104" s="15" t="s">
        <v>17977</v>
      </c>
      <c r="W1104" s="15">
        <v>3526</v>
      </c>
      <c r="X1104" s="15">
        <v>1114</v>
      </c>
      <c r="Y1104" s="15" t="s">
        <v>160</v>
      </c>
      <c r="Z1104" s="15" t="s">
        <v>161</v>
      </c>
      <c r="AA1104" s="15" t="s">
        <v>162</v>
      </c>
      <c r="AB1104" s="15" t="s">
        <v>17128</v>
      </c>
      <c r="AC1104" s="15" t="s">
        <v>17128</v>
      </c>
      <c r="AD1104" s="15" t="s">
        <v>17129</v>
      </c>
      <c r="AE1104" s="34" t="s">
        <v>164</v>
      </c>
      <c r="AF1104" s="15" t="s">
        <v>17129</v>
      </c>
      <c r="AG1104" s="15" t="s">
        <v>17128</v>
      </c>
      <c r="AH1104" s="34" t="s">
        <v>17130</v>
      </c>
      <c r="AL1104" s="15" t="s">
        <v>17131</v>
      </c>
      <c r="AN1104" s="15">
        <v>743</v>
      </c>
      <c r="AO1104" s="15" t="s">
        <v>17132</v>
      </c>
      <c r="AQ1104" s="15" t="s">
        <v>388</v>
      </c>
      <c r="AT1104" s="15" t="s">
        <v>17133</v>
      </c>
      <c r="AU1104" s="15" t="s">
        <v>17134</v>
      </c>
      <c r="AV1104" s="15" t="s">
        <v>17134</v>
      </c>
      <c r="AW1104" s="15" t="s">
        <v>17135</v>
      </c>
      <c r="AX1104" s="15" t="s">
        <v>17136</v>
      </c>
      <c r="AY1104" s="15">
        <f t="shared" si="22"/>
        <v>54</v>
      </c>
      <c r="AZ1104" s="15" t="s">
        <v>393</v>
      </c>
      <c r="BA1104" s="15" t="s">
        <v>174</v>
      </c>
      <c r="BE1104" s="15" t="s">
        <v>176</v>
      </c>
      <c r="BJ1104" s="15" t="s">
        <v>17137</v>
      </c>
      <c r="BK1104" s="15" t="s">
        <v>1585</v>
      </c>
      <c r="BN1104" s="15" t="s">
        <v>179</v>
      </c>
      <c r="BP1104" s="15" t="s">
        <v>138</v>
      </c>
      <c r="BS1104" s="15" t="s">
        <v>17138</v>
      </c>
      <c r="DH1104" s="15" t="s">
        <v>17982</v>
      </c>
      <c r="DI1104" s="15" t="s">
        <v>17982</v>
      </c>
    </row>
    <row r="1105" spans="1:113" s="15" customFormat="1" ht="12.75" x14ac:dyDescent="0.2">
      <c r="A1105" s="15" t="s">
        <v>109</v>
      </c>
      <c r="B1105" s="15" t="s">
        <v>110</v>
      </c>
      <c r="D1105" s="15" t="s">
        <v>620</v>
      </c>
      <c r="E1105" s="15" t="s">
        <v>112</v>
      </c>
      <c r="F1105" s="15" t="s">
        <v>620</v>
      </c>
      <c r="G1105" s="15" t="s">
        <v>113</v>
      </c>
      <c r="H1105" s="15" t="s">
        <v>1481</v>
      </c>
      <c r="J1105" s="16" t="s">
        <v>114</v>
      </c>
      <c r="U1105" s="15" t="s">
        <v>17977</v>
      </c>
      <c r="W1105" s="15">
        <v>3528</v>
      </c>
      <c r="X1105" s="15">
        <v>1115</v>
      </c>
      <c r="Y1105" s="15" t="s">
        <v>160</v>
      </c>
      <c r="Z1105" s="15" t="s">
        <v>161</v>
      </c>
      <c r="AA1105" s="15" t="s">
        <v>162</v>
      </c>
      <c r="AB1105" s="15" t="s">
        <v>17149</v>
      </c>
      <c r="AC1105" s="15" t="s">
        <v>17149</v>
      </c>
      <c r="AD1105" s="15" t="s">
        <v>17149</v>
      </c>
      <c r="AE1105" s="34" t="s">
        <v>164</v>
      </c>
      <c r="AF1105" s="15" t="s">
        <v>17149</v>
      </c>
      <c r="AG1105" s="15" t="s">
        <v>17149</v>
      </c>
      <c r="AH1105" s="34" t="s">
        <v>17150</v>
      </c>
      <c r="AL1105" s="15" t="s">
        <v>17141</v>
      </c>
      <c r="AN1105" s="15">
        <v>743</v>
      </c>
      <c r="AO1105" s="15" t="s">
        <v>17151</v>
      </c>
      <c r="AQ1105" s="15" t="s">
        <v>388</v>
      </c>
      <c r="AT1105" s="15" t="s">
        <v>17152</v>
      </c>
      <c r="AU1105" s="15" t="s">
        <v>17153</v>
      </c>
      <c r="AV1105" s="15" t="s">
        <v>17153</v>
      </c>
      <c r="AW1105" s="15" t="s">
        <v>17154</v>
      </c>
      <c r="AX1105" s="15" t="s">
        <v>17155</v>
      </c>
      <c r="AY1105" s="15">
        <f t="shared" si="22"/>
        <v>58</v>
      </c>
      <c r="AZ1105" s="15" t="s">
        <v>393</v>
      </c>
      <c r="BA1105" s="15" t="s">
        <v>174</v>
      </c>
      <c r="BE1105" s="15" t="s">
        <v>17156</v>
      </c>
      <c r="BJ1105" s="15" t="s">
        <v>17147</v>
      </c>
      <c r="BK1105" s="15" t="s">
        <v>1585</v>
      </c>
      <c r="BN1105" s="15" t="s">
        <v>179</v>
      </c>
      <c r="BP1105" s="15" t="s">
        <v>138</v>
      </c>
      <c r="BS1105" s="15" t="s">
        <v>17157</v>
      </c>
      <c r="DH1105" s="15" t="s">
        <v>17982</v>
      </c>
      <c r="DI1105" s="15" t="s">
        <v>17982</v>
      </c>
    </row>
    <row r="1106" spans="1:113" s="15" customFormat="1" ht="12.75" x14ac:dyDescent="0.2">
      <c r="A1106" s="15" t="s">
        <v>109</v>
      </c>
      <c r="B1106" s="15" t="s">
        <v>110</v>
      </c>
      <c r="D1106" s="15" t="s">
        <v>620</v>
      </c>
      <c r="E1106" s="15" t="s">
        <v>112</v>
      </c>
      <c r="F1106" s="15" t="s">
        <v>620</v>
      </c>
      <c r="G1106" s="15" t="s">
        <v>113</v>
      </c>
      <c r="H1106" s="15" t="s">
        <v>1481</v>
      </c>
      <c r="J1106" s="16" t="s">
        <v>114</v>
      </c>
      <c r="U1106" s="15" t="s">
        <v>17977</v>
      </c>
      <c r="W1106" s="15">
        <v>3529</v>
      </c>
      <c r="X1106" s="15">
        <v>1116</v>
      </c>
      <c r="Y1106" s="15" t="s">
        <v>160</v>
      </c>
      <c r="Z1106" s="15" t="s">
        <v>161</v>
      </c>
      <c r="AA1106" s="15" t="s">
        <v>162</v>
      </c>
      <c r="AB1106" s="15" t="s">
        <v>17158</v>
      </c>
      <c r="AC1106" s="15" t="s">
        <v>17158</v>
      </c>
      <c r="AD1106" s="15" t="s">
        <v>17158</v>
      </c>
      <c r="AE1106" s="34" t="s">
        <v>164</v>
      </c>
      <c r="AF1106" s="15" t="s">
        <v>17158</v>
      </c>
      <c r="AG1106" s="15" t="s">
        <v>17158</v>
      </c>
      <c r="AH1106" s="34" t="s">
        <v>17159</v>
      </c>
      <c r="AL1106" s="15" t="s">
        <v>17141</v>
      </c>
      <c r="AN1106" s="15">
        <v>743</v>
      </c>
      <c r="AO1106" s="15" t="s">
        <v>17160</v>
      </c>
      <c r="AQ1106" s="15" t="s">
        <v>388</v>
      </c>
      <c r="AT1106" s="15" t="s">
        <v>17161</v>
      </c>
      <c r="AU1106" s="15" t="s">
        <v>17162</v>
      </c>
      <c r="AV1106" s="15" t="s">
        <v>17162</v>
      </c>
      <c r="AW1106" s="15" t="s">
        <v>17163</v>
      </c>
      <c r="AX1106" s="15" t="s">
        <v>17164</v>
      </c>
      <c r="AY1106" s="15">
        <f t="shared" si="22"/>
        <v>58</v>
      </c>
      <c r="AZ1106" s="15" t="s">
        <v>393</v>
      </c>
      <c r="BA1106" s="15" t="s">
        <v>174</v>
      </c>
      <c r="BE1106" s="15" t="s">
        <v>17165</v>
      </c>
      <c r="BJ1106" s="15" t="s">
        <v>17166</v>
      </c>
      <c r="BK1106" s="15" t="s">
        <v>1585</v>
      </c>
      <c r="BN1106" s="15" t="s">
        <v>179</v>
      </c>
      <c r="BP1106" s="15" t="s">
        <v>138</v>
      </c>
      <c r="BS1106" s="15" t="s">
        <v>17167</v>
      </c>
      <c r="DH1106" s="15" t="s">
        <v>17982</v>
      </c>
      <c r="DI1106" s="15" t="s">
        <v>17982</v>
      </c>
    </row>
    <row r="1107" spans="1:113" s="15" customFormat="1" ht="12.75" x14ac:dyDescent="0.2">
      <c r="A1107" s="15" t="s">
        <v>109</v>
      </c>
      <c r="B1107" s="15" t="s">
        <v>110</v>
      </c>
      <c r="D1107" s="15" t="s">
        <v>620</v>
      </c>
      <c r="E1107" s="15" t="s">
        <v>112</v>
      </c>
      <c r="F1107" s="15" t="s">
        <v>620</v>
      </c>
      <c r="G1107" s="15" t="s">
        <v>113</v>
      </c>
      <c r="H1107" s="15" t="s">
        <v>1481</v>
      </c>
      <c r="J1107" s="16" t="s">
        <v>114</v>
      </c>
      <c r="U1107" s="15" t="s">
        <v>17977</v>
      </c>
      <c r="W1107" s="15">
        <v>2848</v>
      </c>
      <c r="X1107" s="15">
        <v>1117</v>
      </c>
      <c r="Y1107" s="15" t="s">
        <v>160</v>
      </c>
      <c r="Z1107" s="15" t="s">
        <v>161</v>
      </c>
      <c r="AA1107" s="15" t="s">
        <v>162</v>
      </c>
      <c r="AB1107" s="15" t="s">
        <v>13890</v>
      </c>
      <c r="AC1107" s="15" t="s">
        <v>13890</v>
      </c>
      <c r="AD1107" s="15" t="s">
        <v>13890</v>
      </c>
      <c r="AE1107" s="34" t="s">
        <v>164</v>
      </c>
      <c r="AF1107" s="15" t="s">
        <v>13890</v>
      </c>
      <c r="AG1107" s="15" t="s">
        <v>13890</v>
      </c>
      <c r="AH1107" s="34" t="s">
        <v>13891</v>
      </c>
      <c r="AL1107" s="15" t="s">
        <v>13892</v>
      </c>
      <c r="AN1107" s="15">
        <v>743</v>
      </c>
      <c r="AO1107" s="15" t="s">
        <v>13893</v>
      </c>
      <c r="AQ1107" s="15" t="s">
        <v>388</v>
      </c>
      <c r="AT1107" s="15" t="s">
        <v>13894</v>
      </c>
      <c r="AU1107" s="15" t="s">
        <v>13895</v>
      </c>
      <c r="AV1107" s="15" t="s">
        <v>13895</v>
      </c>
      <c r="AW1107" s="15" t="s">
        <v>13896</v>
      </c>
      <c r="AX1107" s="15" t="s">
        <v>13897</v>
      </c>
      <c r="AY1107" s="15">
        <f t="shared" si="22"/>
        <v>55</v>
      </c>
      <c r="AZ1107" s="15" t="s">
        <v>393</v>
      </c>
      <c r="BA1107" s="15" t="s">
        <v>174</v>
      </c>
      <c r="BB1107" s="15" t="s">
        <v>13898</v>
      </c>
      <c r="BE1107" s="15" t="s">
        <v>1597</v>
      </c>
      <c r="BJ1107" s="15" t="s">
        <v>13899</v>
      </c>
      <c r="BN1107" s="15" t="s">
        <v>179</v>
      </c>
      <c r="BP1107" s="15" t="s">
        <v>138</v>
      </c>
      <c r="BS1107" s="15" t="s">
        <v>13900</v>
      </c>
      <c r="DH1107" s="15" t="s">
        <v>17982</v>
      </c>
      <c r="DI1107" s="15" t="s">
        <v>17982</v>
      </c>
    </row>
    <row r="1108" spans="1:113" s="15" customFormat="1" ht="140.25" x14ac:dyDescent="0.2">
      <c r="A1108" s="15" t="s">
        <v>109</v>
      </c>
      <c r="B1108" s="15" t="s">
        <v>110</v>
      </c>
      <c r="D1108" s="15" t="s">
        <v>620</v>
      </c>
      <c r="E1108" s="15" t="s">
        <v>112</v>
      </c>
      <c r="F1108" s="15" t="s">
        <v>620</v>
      </c>
      <c r="G1108" s="15" t="s">
        <v>113</v>
      </c>
      <c r="H1108" s="15" t="s">
        <v>1481</v>
      </c>
      <c r="J1108" s="16" t="s">
        <v>114</v>
      </c>
      <c r="U1108" s="15" t="s">
        <v>17977</v>
      </c>
      <c r="W1108" s="15">
        <v>70</v>
      </c>
      <c r="X1108" s="15">
        <v>1118</v>
      </c>
      <c r="Y1108" s="15" t="s">
        <v>160</v>
      </c>
      <c r="Z1108" s="15" t="s">
        <v>161</v>
      </c>
      <c r="AA1108" s="15" t="s">
        <v>162</v>
      </c>
      <c r="AB1108" s="15" t="s">
        <v>609</v>
      </c>
      <c r="AC1108" s="15" t="s">
        <v>609</v>
      </c>
      <c r="AD1108" s="15" t="s">
        <v>609</v>
      </c>
      <c r="AE1108" s="15" t="s">
        <v>164</v>
      </c>
      <c r="AF1108" s="15" t="s">
        <v>609</v>
      </c>
      <c r="AG1108" s="15" t="s">
        <v>609</v>
      </c>
      <c r="AH1108" s="34" t="s">
        <v>610</v>
      </c>
      <c r="AL1108" s="15" t="s">
        <v>611</v>
      </c>
      <c r="AN1108" s="15">
        <v>743</v>
      </c>
      <c r="AO1108" s="15" t="s">
        <v>612</v>
      </c>
      <c r="AQ1108" s="15" t="s">
        <v>388</v>
      </c>
      <c r="AT1108" s="15" t="s">
        <v>613</v>
      </c>
      <c r="AU1108" s="15" t="s">
        <v>614</v>
      </c>
      <c r="AV1108" s="15" t="s">
        <v>614</v>
      </c>
      <c r="AW1108" s="27" t="s">
        <v>615</v>
      </c>
      <c r="AX1108" s="27" t="s">
        <v>616</v>
      </c>
      <c r="AY1108" s="15">
        <f t="shared" si="22"/>
        <v>56</v>
      </c>
      <c r="AZ1108" s="15" t="s">
        <v>393</v>
      </c>
      <c r="BA1108" s="15" t="s">
        <v>174</v>
      </c>
      <c r="BE1108" s="15" t="s">
        <v>617</v>
      </c>
      <c r="BJ1108" s="15" t="s">
        <v>618</v>
      </c>
      <c r="BN1108" s="15" t="s">
        <v>179</v>
      </c>
      <c r="BP1108" s="15" t="s">
        <v>138</v>
      </c>
      <c r="BS1108" s="15" t="s">
        <v>619</v>
      </c>
      <c r="DH1108" s="15" t="s">
        <v>17982</v>
      </c>
      <c r="DI1108" s="15" t="s">
        <v>17982</v>
      </c>
    </row>
    <row r="1109" spans="1:113" s="15" customFormat="1" ht="12.75" x14ac:dyDescent="0.2">
      <c r="A1109" s="15" t="s">
        <v>109</v>
      </c>
      <c r="B1109" s="15" t="s">
        <v>110</v>
      </c>
      <c r="D1109" s="15" t="s">
        <v>620</v>
      </c>
      <c r="E1109" s="15" t="s">
        <v>112</v>
      </c>
      <c r="F1109" s="15" t="s">
        <v>620</v>
      </c>
      <c r="G1109" s="15" t="s">
        <v>113</v>
      </c>
      <c r="H1109" s="15" t="s">
        <v>1481</v>
      </c>
      <c r="J1109" s="16" t="s">
        <v>114</v>
      </c>
      <c r="U1109" s="15" t="s">
        <v>17977</v>
      </c>
      <c r="W1109" s="15">
        <v>1416</v>
      </c>
      <c r="X1109" s="15">
        <v>1119</v>
      </c>
      <c r="Y1109" s="15" t="s">
        <v>160</v>
      </c>
      <c r="Z1109" s="15" t="s">
        <v>161</v>
      </c>
      <c r="AA1109" s="15" t="s">
        <v>162</v>
      </c>
      <c r="AB1109" s="15" t="s">
        <v>7129</v>
      </c>
      <c r="AC1109" s="15" t="s">
        <v>7129</v>
      </c>
      <c r="AD1109" s="15" t="s">
        <v>7129</v>
      </c>
      <c r="AE1109" s="15" t="s">
        <v>164</v>
      </c>
      <c r="AF1109" s="15" t="s">
        <v>7129</v>
      </c>
      <c r="AG1109" s="15" t="s">
        <v>7129</v>
      </c>
      <c r="AH1109" s="34" t="s">
        <v>7130</v>
      </c>
      <c r="AL1109" s="15" t="s">
        <v>7131</v>
      </c>
      <c r="AN1109" s="15">
        <v>743</v>
      </c>
      <c r="AO1109" s="15" t="s">
        <v>7132</v>
      </c>
      <c r="AQ1109" s="15" t="s">
        <v>912</v>
      </c>
      <c r="AT1109" s="15" t="s">
        <v>7133</v>
      </c>
      <c r="AU1109" s="15" t="s">
        <v>7134</v>
      </c>
      <c r="AV1109" s="15" t="s">
        <v>7134</v>
      </c>
      <c r="AW1109" s="15" t="s">
        <v>7135</v>
      </c>
      <c r="AX1109" s="15" t="s">
        <v>7135</v>
      </c>
      <c r="AY1109" s="15">
        <f t="shared" si="22"/>
        <v>55</v>
      </c>
      <c r="AZ1109" s="15" t="s">
        <v>917</v>
      </c>
      <c r="BA1109" s="15" t="s">
        <v>174</v>
      </c>
      <c r="BB1109" s="15" t="s">
        <v>7136</v>
      </c>
      <c r="BE1109" s="15" t="s">
        <v>7137</v>
      </c>
      <c r="BF1109" s="15" t="s">
        <v>7138</v>
      </c>
      <c r="BJ1109" s="15" t="s">
        <v>2840</v>
      </c>
      <c r="BN1109" s="15" t="s">
        <v>179</v>
      </c>
      <c r="BP1109" s="15" t="s">
        <v>138</v>
      </c>
      <c r="BS1109" s="15" t="s">
        <v>7139</v>
      </c>
      <c r="DH1109" s="15" t="s">
        <v>17982</v>
      </c>
      <c r="DI1109" s="15" t="s">
        <v>17982</v>
      </c>
    </row>
    <row r="1110" spans="1:113" s="15" customFormat="1" ht="12.75" x14ac:dyDescent="0.2">
      <c r="A1110" s="15" t="s">
        <v>109</v>
      </c>
      <c r="B1110" s="15" t="s">
        <v>110</v>
      </c>
      <c r="D1110" s="15" t="s">
        <v>620</v>
      </c>
      <c r="E1110" s="15" t="s">
        <v>112</v>
      </c>
      <c r="F1110" s="15" t="s">
        <v>620</v>
      </c>
      <c r="G1110" s="15" t="s">
        <v>113</v>
      </c>
      <c r="H1110" s="15" t="s">
        <v>1481</v>
      </c>
      <c r="J1110" s="16" t="s">
        <v>114</v>
      </c>
      <c r="U1110" s="15" t="s">
        <v>17977</v>
      </c>
      <c r="W1110" s="15">
        <v>3693</v>
      </c>
      <c r="X1110" s="15">
        <v>1120</v>
      </c>
      <c r="Y1110" s="15" t="s">
        <v>160</v>
      </c>
      <c r="Z1110" s="15" t="s">
        <v>161</v>
      </c>
      <c r="AA1110" s="15" t="s">
        <v>162</v>
      </c>
      <c r="AB1110" s="15" t="s">
        <v>17967</v>
      </c>
      <c r="AC1110" s="15" t="s">
        <v>17967</v>
      </c>
      <c r="AD1110" s="15" t="s">
        <v>17968</v>
      </c>
      <c r="AE1110" s="15" t="s">
        <v>164</v>
      </c>
      <c r="AF1110" s="15" t="s">
        <v>17968</v>
      </c>
      <c r="AG1110" s="15" t="s">
        <v>17967</v>
      </c>
      <c r="AH1110" s="34" t="s">
        <v>17969</v>
      </c>
      <c r="AL1110" s="15" t="s">
        <v>17970</v>
      </c>
      <c r="AN1110" s="15">
        <v>743</v>
      </c>
      <c r="AO1110" s="15" t="s">
        <v>17971</v>
      </c>
      <c r="AQ1110" s="15" t="s">
        <v>168</v>
      </c>
      <c r="AT1110" s="15" t="s">
        <v>17972</v>
      </c>
      <c r="AU1110" s="15" t="s">
        <v>17973</v>
      </c>
      <c r="AV1110" s="15" t="s">
        <v>17973</v>
      </c>
      <c r="AW1110" s="15" t="s">
        <v>17974</v>
      </c>
      <c r="AX1110" s="15" t="s">
        <v>17975</v>
      </c>
      <c r="AY1110" s="15">
        <f t="shared" si="22"/>
        <v>58</v>
      </c>
      <c r="AZ1110" s="15" t="s">
        <v>604</v>
      </c>
      <c r="BA1110" s="15" t="s">
        <v>174</v>
      </c>
      <c r="BB1110" s="15" t="s">
        <v>17867</v>
      </c>
      <c r="BE1110" s="15" t="s">
        <v>1056</v>
      </c>
      <c r="BI1110" s="15" t="s">
        <v>200</v>
      </c>
      <c r="BJ1110" s="15" t="s">
        <v>17965</v>
      </c>
      <c r="BN1110" s="15" t="s">
        <v>179</v>
      </c>
      <c r="BP1110" s="15" t="s">
        <v>138</v>
      </c>
      <c r="BS1110" s="15" t="s">
        <v>17976</v>
      </c>
      <c r="DH1110" s="15" t="s">
        <v>17982</v>
      </c>
      <c r="DI1110" s="15" t="s">
        <v>17982</v>
      </c>
    </row>
    <row r="1111" spans="1:113" s="15" customFormat="1" ht="12.75" x14ac:dyDescent="0.2">
      <c r="A1111" s="15" t="s">
        <v>109</v>
      </c>
      <c r="B1111" s="15" t="s">
        <v>110</v>
      </c>
      <c r="D1111" s="15" t="s">
        <v>620</v>
      </c>
      <c r="E1111" s="15" t="s">
        <v>112</v>
      </c>
      <c r="F1111" s="15" t="s">
        <v>620</v>
      </c>
      <c r="G1111" s="15" t="s">
        <v>113</v>
      </c>
      <c r="H1111" s="15" t="s">
        <v>1481</v>
      </c>
      <c r="J1111" s="16" t="s">
        <v>114</v>
      </c>
      <c r="U1111" s="15" t="s">
        <v>17977</v>
      </c>
      <c r="W1111" s="15">
        <v>3689</v>
      </c>
      <c r="X1111" s="15">
        <v>1121</v>
      </c>
      <c r="Y1111" s="15" t="s">
        <v>160</v>
      </c>
      <c r="Z1111" s="15" t="s">
        <v>161</v>
      </c>
      <c r="AA1111" s="15" t="s">
        <v>162</v>
      </c>
      <c r="AB1111" s="15" t="s">
        <v>17927</v>
      </c>
      <c r="AC1111" s="15" t="s">
        <v>17927</v>
      </c>
      <c r="AD1111" s="15" t="s">
        <v>17928</v>
      </c>
      <c r="AE1111" s="15" t="s">
        <v>164</v>
      </c>
      <c r="AF1111" s="15" t="s">
        <v>17928</v>
      </c>
      <c r="AG1111" s="15" t="s">
        <v>17927</v>
      </c>
      <c r="AH1111" s="34" t="s">
        <v>17929</v>
      </c>
      <c r="AL1111" s="15" t="s">
        <v>17930</v>
      </c>
      <c r="AN1111" s="15">
        <v>743</v>
      </c>
      <c r="AO1111" s="15" t="s">
        <v>17931</v>
      </c>
      <c r="AQ1111" s="15" t="s">
        <v>168</v>
      </c>
      <c r="AT1111" s="15" t="s">
        <v>17932</v>
      </c>
      <c r="AU1111" s="15" t="s">
        <v>17933</v>
      </c>
      <c r="AV1111" s="15" t="s">
        <v>17933</v>
      </c>
      <c r="AW1111" s="15" t="s">
        <v>17934</v>
      </c>
      <c r="AX1111" s="15" t="s">
        <v>17934</v>
      </c>
      <c r="AY1111" s="15">
        <f t="shared" si="22"/>
        <v>52</v>
      </c>
      <c r="AZ1111" s="15" t="s">
        <v>604</v>
      </c>
      <c r="BA1111" s="15" t="s">
        <v>174</v>
      </c>
      <c r="BB1111" s="15" t="s">
        <v>17867</v>
      </c>
      <c r="BE1111" s="15" t="s">
        <v>1032</v>
      </c>
      <c r="BI1111" s="15" t="s">
        <v>200</v>
      </c>
      <c r="BJ1111" s="15" t="s">
        <v>17925</v>
      </c>
      <c r="BN1111" s="15" t="s">
        <v>179</v>
      </c>
      <c r="BP1111" s="15" t="s">
        <v>138</v>
      </c>
      <c r="BS1111" s="15" t="s">
        <v>17935</v>
      </c>
      <c r="DH1111" s="15" t="s">
        <v>17982</v>
      </c>
      <c r="DI1111" s="15" t="s">
        <v>17982</v>
      </c>
    </row>
    <row r="1112" spans="1:113" s="15" customFormat="1" ht="12.75" x14ac:dyDescent="0.2">
      <c r="A1112" s="15" t="s">
        <v>109</v>
      </c>
      <c r="B1112" s="15" t="s">
        <v>110</v>
      </c>
      <c r="D1112" s="15" t="s">
        <v>620</v>
      </c>
      <c r="E1112" s="15" t="s">
        <v>112</v>
      </c>
      <c r="F1112" s="15" t="s">
        <v>620</v>
      </c>
      <c r="G1112" s="15" t="s">
        <v>113</v>
      </c>
      <c r="H1112" s="15" t="s">
        <v>1481</v>
      </c>
      <c r="J1112" s="16" t="s">
        <v>114</v>
      </c>
      <c r="U1112" s="15" t="s">
        <v>17977</v>
      </c>
      <c r="W1112" s="15">
        <v>3685</v>
      </c>
      <c r="X1112" s="15">
        <v>1122</v>
      </c>
      <c r="Y1112" s="15" t="s">
        <v>160</v>
      </c>
      <c r="Z1112" s="15" t="s">
        <v>161</v>
      </c>
      <c r="AA1112" s="15" t="s">
        <v>162</v>
      </c>
      <c r="AB1112" s="15" t="s">
        <v>17889</v>
      </c>
      <c r="AC1112" s="15" t="s">
        <v>17889</v>
      </c>
      <c r="AD1112" s="15" t="s">
        <v>17890</v>
      </c>
      <c r="AE1112" s="15" t="s">
        <v>164</v>
      </c>
      <c r="AF1112" s="15" t="s">
        <v>17890</v>
      </c>
      <c r="AG1112" s="15" t="s">
        <v>17889</v>
      </c>
      <c r="AH1112" s="34" t="s">
        <v>17891</v>
      </c>
      <c r="AL1112" s="15" t="s">
        <v>17892</v>
      </c>
      <c r="AN1112" s="15">
        <v>743</v>
      </c>
      <c r="AO1112" s="15" t="s">
        <v>17893</v>
      </c>
      <c r="AQ1112" s="15" t="s">
        <v>168</v>
      </c>
      <c r="AT1112" s="15" t="s">
        <v>17894</v>
      </c>
      <c r="AU1112" s="15" t="s">
        <v>17895</v>
      </c>
      <c r="AV1112" s="15" t="s">
        <v>17895</v>
      </c>
      <c r="AW1112" s="15" t="s">
        <v>17896</v>
      </c>
      <c r="AX1112" s="15" t="s">
        <v>17896</v>
      </c>
      <c r="AY1112" s="15">
        <f t="shared" si="22"/>
        <v>56</v>
      </c>
      <c r="AZ1112" s="15" t="s">
        <v>604</v>
      </c>
      <c r="BA1112" s="15" t="s">
        <v>174</v>
      </c>
      <c r="BB1112" s="15" t="s">
        <v>17867</v>
      </c>
      <c r="BE1112" s="15" t="s">
        <v>1701</v>
      </c>
      <c r="BI1112" s="15" t="s">
        <v>200</v>
      </c>
      <c r="BJ1112" s="15" t="s">
        <v>17887</v>
      </c>
      <c r="BN1112" s="15" t="s">
        <v>179</v>
      </c>
      <c r="BP1112" s="15" t="s">
        <v>138</v>
      </c>
      <c r="BS1112" s="15" t="s">
        <v>17897</v>
      </c>
      <c r="DH1112" s="15" t="s">
        <v>17982</v>
      </c>
      <c r="DI1112" s="15" t="s">
        <v>17982</v>
      </c>
    </row>
    <row r="1113" spans="1:113" s="15" customFormat="1" ht="12.75" x14ac:dyDescent="0.2">
      <c r="A1113" s="15" t="s">
        <v>109</v>
      </c>
      <c r="B1113" s="15" t="s">
        <v>110</v>
      </c>
      <c r="D1113" s="15" t="s">
        <v>620</v>
      </c>
      <c r="E1113" s="15" t="s">
        <v>112</v>
      </c>
      <c r="F1113" s="15" t="s">
        <v>620</v>
      </c>
      <c r="G1113" s="15" t="s">
        <v>113</v>
      </c>
      <c r="H1113" s="15" t="s">
        <v>1481</v>
      </c>
      <c r="J1113" s="16" t="s">
        <v>114</v>
      </c>
      <c r="U1113" s="15" t="s">
        <v>17977</v>
      </c>
      <c r="W1113" s="15">
        <v>3683</v>
      </c>
      <c r="X1113" s="15">
        <v>1123</v>
      </c>
      <c r="Y1113" s="15" t="s">
        <v>160</v>
      </c>
      <c r="Z1113" s="15" t="s">
        <v>161</v>
      </c>
      <c r="AA1113" s="15" t="s">
        <v>162</v>
      </c>
      <c r="AB1113" s="15" t="s">
        <v>17870</v>
      </c>
      <c r="AC1113" s="15" t="s">
        <v>17870</v>
      </c>
      <c r="AD1113" s="15" t="s">
        <v>17871</v>
      </c>
      <c r="AE1113" s="15" t="s">
        <v>164</v>
      </c>
      <c r="AF1113" s="15" t="s">
        <v>17871</v>
      </c>
      <c r="AG1113" s="15" t="s">
        <v>17870</v>
      </c>
      <c r="AH1113" s="34" t="s">
        <v>17872</v>
      </c>
      <c r="AL1113" s="15" t="s">
        <v>17873</v>
      </c>
      <c r="AN1113" s="15">
        <v>743</v>
      </c>
      <c r="AO1113" s="15" t="s">
        <v>17874</v>
      </c>
      <c r="AQ1113" s="15" t="s">
        <v>168</v>
      </c>
      <c r="AT1113" s="15" t="s">
        <v>17875</v>
      </c>
      <c r="AU1113" s="15" t="s">
        <v>17876</v>
      </c>
      <c r="AV1113" s="15" t="s">
        <v>17876</v>
      </c>
      <c r="AW1113" s="15" t="s">
        <v>17877</v>
      </c>
      <c r="AX1113" s="15" t="s">
        <v>17877</v>
      </c>
      <c r="AY1113" s="15">
        <f t="shared" si="22"/>
        <v>55</v>
      </c>
      <c r="AZ1113" s="15" t="s">
        <v>604</v>
      </c>
      <c r="BA1113" s="15" t="s">
        <v>174</v>
      </c>
      <c r="BB1113" s="15" t="s">
        <v>17867</v>
      </c>
      <c r="BE1113" s="15" t="s">
        <v>1032</v>
      </c>
      <c r="BI1113" s="15" t="s">
        <v>200</v>
      </c>
      <c r="BJ1113" s="15" t="s">
        <v>17868</v>
      </c>
      <c r="BN1113" s="15" t="s">
        <v>179</v>
      </c>
      <c r="BP1113" s="15" t="s">
        <v>138</v>
      </c>
      <c r="BS1113" s="15" t="s">
        <v>17878</v>
      </c>
      <c r="DH1113" s="15" t="s">
        <v>17982</v>
      </c>
      <c r="DI1113" s="15" t="s">
        <v>17982</v>
      </c>
    </row>
    <row r="1114" spans="1:113" s="15" customFormat="1" ht="12.75" x14ac:dyDescent="0.2">
      <c r="A1114" s="15" t="s">
        <v>109</v>
      </c>
      <c r="B1114" s="15" t="s">
        <v>110</v>
      </c>
      <c r="D1114" s="15" t="s">
        <v>620</v>
      </c>
      <c r="E1114" s="15" t="s">
        <v>112</v>
      </c>
      <c r="F1114" s="15" t="s">
        <v>620</v>
      </c>
      <c r="G1114" s="15" t="s">
        <v>113</v>
      </c>
      <c r="H1114" s="15" t="s">
        <v>1481</v>
      </c>
      <c r="J1114" s="16" t="s">
        <v>114</v>
      </c>
      <c r="U1114" s="15" t="s">
        <v>17977</v>
      </c>
      <c r="W1114" s="15">
        <v>3691</v>
      </c>
      <c r="X1114" s="15">
        <v>1124</v>
      </c>
      <c r="Y1114" s="15" t="s">
        <v>160</v>
      </c>
      <c r="Z1114" s="15" t="s">
        <v>161</v>
      </c>
      <c r="AA1114" s="15" t="s">
        <v>162</v>
      </c>
      <c r="AB1114" s="15" t="s">
        <v>17946</v>
      </c>
      <c r="AC1114" s="15" t="s">
        <v>17946</v>
      </c>
      <c r="AD1114" s="15" t="s">
        <v>17947</v>
      </c>
      <c r="AE1114" s="15" t="s">
        <v>164</v>
      </c>
      <c r="AF1114" s="15" t="s">
        <v>17947</v>
      </c>
      <c r="AG1114" s="15" t="s">
        <v>17946</v>
      </c>
      <c r="AH1114" s="34" t="s">
        <v>17948</v>
      </c>
      <c r="AL1114" s="15" t="s">
        <v>17949</v>
      </c>
      <c r="AN1114" s="15">
        <v>743</v>
      </c>
      <c r="AO1114" s="15" t="s">
        <v>17950</v>
      </c>
      <c r="AQ1114" s="15" t="s">
        <v>168</v>
      </c>
      <c r="AT1114" s="15" t="s">
        <v>17951</v>
      </c>
      <c r="AU1114" s="15" t="s">
        <v>17952</v>
      </c>
      <c r="AV1114" s="15" t="s">
        <v>17952</v>
      </c>
      <c r="AW1114" s="15" t="s">
        <v>17953</v>
      </c>
      <c r="AX1114" s="15" t="s">
        <v>17954</v>
      </c>
      <c r="AY1114" s="15">
        <f t="shared" si="22"/>
        <v>58</v>
      </c>
      <c r="AZ1114" s="15" t="s">
        <v>604</v>
      </c>
      <c r="BA1114" s="15" t="s">
        <v>174</v>
      </c>
      <c r="BB1114" s="15" t="s">
        <v>17867</v>
      </c>
      <c r="BE1114" s="15" t="s">
        <v>1701</v>
      </c>
      <c r="BI1114" s="15" t="s">
        <v>200</v>
      </c>
      <c r="BJ1114" s="15" t="s">
        <v>17955</v>
      </c>
      <c r="BN1114" s="15" t="s">
        <v>179</v>
      </c>
      <c r="BP1114" s="15" t="s">
        <v>138</v>
      </c>
      <c r="BS1114" s="15" t="s">
        <v>17956</v>
      </c>
      <c r="DH1114" s="15" t="s">
        <v>17982</v>
      </c>
      <c r="DI1114" s="15" t="s">
        <v>17982</v>
      </c>
    </row>
    <row r="1115" spans="1:113" s="15" customFormat="1" ht="12.75" x14ac:dyDescent="0.2">
      <c r="A1115" s="15" t="s">
        <v>109</v>
      </c>
      <c r="B1115" s="15" t="s">
        <v>110</v>
      </c>
      <c r="D1115" s="15" t="s">
        <v>620</v>
      </c>
      <c r="E1115" s="15" t="s">
        <v>112</v>
      </c>
      <c r="F1115" s="15" t="s">
        <v>620</v>
      </c>
      <c r="G1115" s="15" t="s">
        <v>113</v>
      </c>
      <c r="H1115" s="15" t="s">
        <v>1481</v>
      </c>
      <c r="J1115" s="16" t="s">
        <v>114</v>
      </c>
      <c r="U1115" s="15" t="s">
        <v>17977</v>
      </c>
      <c r="W1115" s="15">
        <v>3687</v>
      </c>
      <c r="X1115" s="15">
        <v>1125</v>
      </c>
      <c r="Y1115" s="15" t="s">
        <v>160</v>
      </c>
      <c r="Z1115" s="15" t="s">
        <v>161</v>
      </c>
      <c r="AA1115" s="15" t="s">
        <v>162</v>
      </c>
      <c r="AB1115" s="15" t="s">
        <v>17908</v>
      </c>
      <c r="AC1115" s="15" t="s">
        <v>17908</v>
      </c>
      <c r="AD1115" s="15" t="s">
        <v>17909</v>
      </c>
      <c r="AE1115" s="15" t="s">
        <v>164</v>
      </c>
      <c r="AF1115" s="15" t="s">
        <v>17909</v>
      </c>
      <c r="AG1115" s="15" t="s">
        <v>17908</v>
      </c>
      <c r="AH1115" s="34" t="s">
        <v>17910</v>
      </c>
      <c r="AL1115" s="15" t="s">
        <v>17911</v>
      </c>
      <c r="AN1115" s="15">
        <v>743</v>
      </c>
      <c r="AO1115" s="15" t="s">
        <v>17912</v>
      </c>
      <c r="AQ1115" s="15" t="s">
        <v>168</v>
      </c>
      <c r="AT1115" s="15" t="s">
        <v>17913</v>
      </c>
      <c r="AU1115" s="15" t="s">
        <v>17914</v>
      </c>
      <c r="AV1115" s="15" t="s">
        <v>17914</v>
      </c>
      <c r="AW1115" s="15" t="s">
        <v>17915</v>
      </c>
      <c r="AX1115" s="15" t="s">
        <v>17915</v>
      </c>
      <c r="AY1115" s="15">
        <f t="shared" si="22"/>
        <v>53</v>
      </c>
      <c r="AZ1115" s="15" t="s">
        <v>604</v>
      </c>
      <c r="BA1115" s="15" t="s">
        <v>174</v>
      </c>
      <c r="BB1115" s="15" t="s">
        <v>17867</v>
      </c>
      <c r="BE1115" s="15" t="s">
        <v>176</v>
      </c>
      <c r="BI1115" s="15" t="s">
        <v>200</v>
      </c>
      <c r="BJ1115" s="15" t="s">
        <v>17906</v>
      </c>
      <c r="BN1115" s="15" t="s">
        <v>179</v>
      </c>
      <c r="BP1115" s="15" t="s">
        <v>138</v>
      </c>
      <c r="BS1115" s="15" t="s">
        <v>17916</v>
      </c>
      <c r="DH1115" s="15" t="s">
        <v>17982</v>
      </c>
      <c r="DI1115" s="15" t="s">
        <v>17982</v>
      </c>
    </row>
    <row r="1116" spans="1:113" s="15" customFormat="1" ht="12.75" x14ac:dyDescent="0.2">
      <c r="A1116" s="15" t="s">
        <v>109</v>
      </c>
      <c r="B1116" s="15" t="s">
        <v>110</v>
      </c>
      <c r="D1116" s="15" t="s">
        <v>620</v>
      </c>
      <c r="E1116" s="15" t="s">
        <v>112</v>
      </c>
      <c r="F1116" s="15" t="s">
        <v>620</v>
      </c>
      <c r="G1116" s="15" t="s">
        <v>113</v>
      </c>
      <c r="H1116" s="15" t="s">
        <v>1481</v>
      </c>
      <c r="J1116" s="16" t="s">
        <v>114</v>
      </c>
      <c r="U1116" s="15" t="s">
        <v>17977</v>
      </c>
      <c r="W1116" s="15">
        <v>3690</v>
      </c>
      <c r="X1116" s="15">
        <v>1126</v>
      </c>
      <c r="Y1116" s="15" t="s">
        <v>160</v>
      </c>
      <c r="Z1116" s="15" t="s">
        <v>161</v>
      </c>
      <c r="AA1116" s="15" t="s">
        <v>162</v>
      </c>
      <c r="AB1116" s="15" t="s">
        <v>17936</v>
      </c>
      <c r="AC1116" s="15" t="s">
        <v>17936</v>
      </c>
      <c r="AD1116" s="15" t="s">
        <v>17937</v>
      </c>
      <c r="AE1116" s="15" t="s">
        <v>164</v>
      </c>
      <c r="AF1116" s="15" t="s">
        <v>17937</v>
      </c>
      <c r="AG1116" s="15" t="s">
        <v>17936</v>
      </c>
      <c r="AH1116" s="34" t="s">
        <v>17938</v>
      </c>
      <c r="AL1116" s="15" t="s">
        <v>17939</v>
      </c>
      <c r="AN1116" s="15">
        <v>743</v>
      </c>
      <c r="AO1116" s="15" t="s">
        <v>17940</v>
      </c>
      <c r="AQ1116" s="15" t="s">
        <v>168</v>
      </c>
      <c r="AT1116" s="15" t="s">
        <v>17941</v>
      </c>
      <c r="AU1116" s="15" t="s">
        <v>17942</v>
      </c>
      <c r="AV1116" s="15" t="s">
        <v>17942</v>
      </c>
      <c r="AW1116" s="15" t="s">
        <v>17943</v>
      </c>
      <c r="AX1116" s="15" t="s">
        <v>17943</v>
      </c>
      <c r="AY1116" s="15">
        <f t="shared" si="22"/>
        <v>60</v>
      </c>
      <c r="AZ1116" s="15" t="s">
        <v>604</v>
      </c>
      <c r="BA1116" s="15" t="s">
        <v>174</v>
      </c>
      <c r="BB1116" s="15" t="s">
        <v>17867</v>
      </c>
      <c r="BE1116" s="15" t="s">
        <v>1528</v>
      </c>
      <c r="BI1116" s="15" t="s">
        <v>200</v>
      </c>
      <c r="BJ1116" s="15" t="s">
        <v>17944</v>
      </c>
      <c r="BN1116" s="15" t="s">
        <v>179</v>
      </c>
      <c r="BP1116" s="15" t="s">
        <v>138</v>
      </c>
      <c r="BS1116" s="15" t="s">
        <v>17945</v>
      </c>
      <c r="DH1116" s="15" t="s">
        <v>17982</v>
      </c>
      <c r="DI1116" s="15" t="s">
        <v>17982</v>
      </c>
    </row>
    <row r="1117" spans="1:113" s="15" customFormat="1" ht="12.75" x14ac:dyDescent="0.2">
      <c r="A1117" s="15" t="s">
        <v>109</v>
      </c>
      <c r="B1117" s="15" t="s">
        <v>110</v>
      </c>
      <c r="D1117" s="15" t="s">
        <v>620</v>
      </c>
      <c r="E1117" s="15" t="s">
        <v>112</v>
      </c>
      <c r="F1117" s="15" t="s">
        <v>620</v>
      </c>
      <c r="G1117" s="15" t="s">
        <v>113</v>
      </c>
      <c r="H1117" s="15" t="s">
        <v>1481</v>
      </c>
      <c r="J1117" s="16" t="s">
        <v>114</v>
      </c>
      <c r="U1117" s="15" t="s">
        <v>17977</v>
      </c>
      <c r="W1117" s="15">
        <v>3686</v>
      </c>
      <c r="X1117" s="15">
        <v>1127</v>
      </c>
      <c r="Y1117" s="15" t="s">
        <v>160</v>
      </c>
      <c r="Z1117" s="15" t="s">
        <v>161</v>
      </c>
      <c r="AA1117" s="15" t="s">
        <v>162</v>
      </c>
      <c r="AB1117" s="15" t="s">
        <v>17898</v>
      </c>
      <c r="AC1117" s="15" t="s">
        <v>17898</v>
      </c>
      <c r="AD1117" s="15" t="s">
        <v>17899</v>
      </c>
      <c r="AE1117" s="15" t="s">
        <v>164</v>
      </c>
      <c r="AF1117" s="15" t="s">
        <v>17899</v>
      </c>
      <c r="AG1117" s="15" t="s">
        <v>17898</v>
      </c>
      <c r="AH1117" s="34" t="s">
        <v>17900</v>
      </c>
      <c r="AL1117" s="15" t="s">
        <v>17901</v>
      </c>
      <c r="AN1117" s="15">
        <v>743</v>
      </c>
      <c r="AO1117" s="15" t="s">
        <v>17902</v>
      </c>
      <c r="AQ1117" s="15" t="s">
        <v>168</v>
      </c>
      <c r="AT1117" s="15" t="s">
        <v>17903</v>
      </c>
      <c r="AU1117" s="15" t="s">
        <v>17904</v>
      </c>
      <c r="AV1117" s="15" t="s">
        <v>17904</v>
      </c>
      <c r="AW1117" s="15" t="s">
        <v>17905</v>
      </c>
      <c r="AX1117" s="15" t="s">
        <v>17905</v>
      </c>
      <c r="AY1117" s="15">
        <f t="shared" si="22"/>
        <v>54</v>
      </c>
      <c r="AZ1117" s="15" t="s">
        <v>604</v>
      </c>
      <c r="BA1117" s="15" t="s">
        <v>174</v>
      </c>
      <c r="BB1117" s="15" t="s">
        <v>17867</v>
      </c>
      <c r="BE1117" s="15" t="s">
        <v>1528</v>
      </c>
      <c r="BI1117" s="15" t="s">
        <v>200</v>
      </c>
      <c r="BJ1117" s="15" t="s">
        <v>17906</v>
      </c>
      <c r="BN1117" s="15" t="s">
        <v>179</v>
      </c>
      <c r="BP1117" s="15" t="s">
        <v>138</v>
      </c>
      <c r="BS1117" s="15" t="s">
        <v>17907</v>
      </c>
      <c r="DH1117" s="15" t="s">
        <v>17982</v>
      </c>
      <c r="DI1117" s="15" t="s">
        <v>17982</v>
      </c>
    </row>
    <row r="1118" spans="1:113" s="15" customFormat="1" ht="12.75" x14ac:dyDescent="0.2">
      <c r="A1118" s="15" t="s">
        <v>109</v>
      </c>
      <c r="B1118" s="15" t="s">
        <v>110</v>
      </c>
      <c r="D1118" s="15" t="s">
        <v>620</v>
      </c>
      <c r="E1118" s="15" t="s">
        <v>112</v>
      </c>
      <c r="F1118" s="15" t="s">
        <v>620</v>
      </c>
      <c r="G1118" s="15" t="s">
        <v>113</v>
      </c>
      <c r="H1118" s="15" t="s">
        <v>1481</v>
      </c>
      <c r="J1118" s="16" t="s">
        <v>114</v>
      </c>
      <c r="U1118" s="15" t="s">
        <v>17977</v>
      </c>
      <c r="W1118" s="15">
        <v>3692</v>
      </c>
      <c r="X1118" s="15">
        <v>1128</v>
      </c>
      <c r="Y1118" s="15" t="s">
        <v>160</v>
      </c>
      <c r="Z1118" s="15" t="s">
        <v>161</v>
      </c>
      <c r="AA1118" s="15" t="s">
        <v>162</v>
      </c>
      <c r="AB1118" s="15" t="s">
        <v>17957</v>
      </c>
      <c r="AC1118" s="15" t="s">
        <v>17957</v>
      </c>
      <c r="AD1118" s="15" t="s">
        <v>17958</v>
      </c>
      <c r="AE1118" s="15" t="s">
        <v>164</v>
      </c>
      <c r="AF1118" s="15" t="s">
        <v>17958</v>
      </c>
      <c r="AG1118" s="15" t="s">
        <v>17957</v>
      </c>
      <c r="AH1118" s="34" t="s">
        <v>17959</v>
      </c>
      <c r="AL1118" s="15" t="s">
        <v>17960</v>
      </c>
      <c r="AN1118" s="15">
        <v>743</v>
      </c>
      <c r="AO1118" s="15" t="s">
        <v>17961</v>
      </c>
      <c r="AQ1118" s="15" t="s">
        <v>168</v>
      </c>
      <c r="AT1118" s="15" t="s">
        <v>17962</v>
      </c>
      <c r="AU1118" s="15" t="s">
        <v>17963</v>
      </c>
      <c r="AV1118" s="15" t="s">
        <v>17963</v>
      </c>
      <c r="AW1118" s="15" t="s">
        <v>17964</v>
      </c>
      <c r="AX1118" s="15" t="s">
        <v>17964</v>
      </c>
      <c r="AY1118" s="15">
        <f t="shared" si="22"/>
        <v>60</v>
      </c>
      <c r="AZ1118" s="15" t="s">
        <v>604</v>
      </c>
      <c r="BA1118" s="15" t="s">
        <v>174</v>
      </c>
      <c r="BB1118" s="15" t="s">
        <v>17867</v>
      </c>
      <c r="BE1118" s="15" t="s">
        <v>585</v>
      </c>
      <c r="BI1118" s="15" t="s">
        <v>200</v>
      </c>
      <c r="BJ1118" s="15" t="s">
        <v>17965</v>
      </c>
      <c r="BN1118" s="15" t="s">
        <v>179</v>
      </c>
      <c r="BP1118" s="15" t="s">
        <v>138</v>
      </c>
      <c r="BS1118" s="15" t="s">
        <v>17966</v>
      </c>
      <c r="DH1118" s="15" t="s">
        <v>17982</v>
      </c>
      <c r="DI1118" s="15" t="s">
        <v>17982</v>
      </c>
    </row>
    <row r="1119" spans="1:113" s="15" customFormat="1" ht="12.75" x14ac:dyDescent="0.2">
      <c r="A1119" s="15" t="s">
        <v>109</v>
      </c>
      <c r="B1119" s="15" t="s">
        <v>110</v>
      </c>
      <c r="D1119" s="15" t="s">
        <v>620</v>
      </c>
      <c r="E1119" s="15" t="s">
        <v>112</v>
      </c>
      <c r="F1119" s="15" t="s">
        <v>620</v>
      </c>
      <c r="G1119" s="15" t="s">
        <v>113</v>
      </c>
      <c r="H1119" s="15" t="s">
        <v>1481</v>
      </c>
      <c r="J1119" s="16" t="s">
        <v>114</v>
      </c>
      <c r="U1119" s="15" t="s">
        <v>17977</v>
      </c>
      <c r="W1119" s="15">
        <v>3688</v>
      </c>
      <c r="X1119" s="15">
        <v>1129</v>
      </c>
      <c r="Y1119" s="15" t="s">
        <v>160</v>
      </c>
      <c r="Z1119" s="15" t="s">
        <v>161</v>
      </c>
      <c r="AA1119" s="15" t="s">
        <v>162</v>
      </c>
      <c r="AB1119" s="15" t="s">
        <v>17917</v>
      </c>
      <c r="AC1119" s="15" t="s">
        <v>17917</v>
      </c>
      <c r="AD1119" s="15" t="s">
        <v>17918</v>
      </c>
      <c r="AE1119" s="15" t="s">
        <v>164</v>
      </c>
      <c r="AF1119" s="15" t="s">
        <v>17918</v>
      </c>
      <c r="AG1119" s="15" t="s">
        <v>17917</v>
      </c>
      <c r="AH1119" s="34" t="s">
        <v>17919</v>
      </c>
      <c r="AL1119" s="15" t="s">
        <v>17920</v>
      </c>
      <c r="AN1119" s="15">
        <v>743</v>
      </c>
      <c r="AO1119" s="15" t="s">
        <v>17921</v>
      </c>
      <c r="AQ1119" s="15" t="s">
        <v>168</v>
      </c>
      <c r="AT1119" s="15" t="s">
        <v>17922</v>
      </c>
      <c r="AU1119" s="15" t="s">
        <v>17923</v>
      </c>
      <c r="AV1119" s="15" t="s">
        <v>17923</v>
      </c>
      <c r="AW1119" s="15" t="s">
        <v>17924</v>
      </c>
      <c r="AX1119" s="15" t="s">
        <v>17924</v>
      </c>
      <c r="AY1119" s="15">
        <f t="shared" si="22"/>
        <v>51</v>
      </c>
      <c r="AZ1119" s="15" t="s">
        <v>604</v>
      </c>
      <c r="BA1119" s="15" t="s">
        <v>174</v>
      </c>
      <c r="BB1119" s="15" t="s">
        <v>17867</v>
      </c>
      <c r="BE1119" s="15" t="s">
        <v>585</v>
      </c>
      <c r="BI1119" s="15" t="s">
        <v>200</v>
      </c>
      <c r="BJ1119" s="15" t="s">
        <v>17925</v>
      </c>
      <c r="BN1119" s="15" t="s">
        <v>179</v>
      </c>
      <c r="BP1119" s="15" t="s">
        <v>138</v>
      </c>
      <c r="BS1119" s="15" t="s">
        <v>17926</v>
      </c>
      <c r="DH1119" s="15" t="s">
        <v>17982</v>
      </c>
      <c r="DI1119" s="15" t="s">
        <v>17982</v>
      </c>
    </row>
    <row r="1120" spans="1:113" s="15" customFormat="1" ht="12.75" x14ac:dyDescent="0.2">
      <c r="A1120" s="15" t="s">
        <v>109</v>
      </c>
      <c r="B1120" s="15" t="s">
        <v>110</v>
      </c>
      <c r="D1120" s="15" t="s">
        <v>620</v>
      </c>
      <c r="E1120" s="15" t="s">
        <v>112</v>
      </c>
      <c r="F1120" s="15" t="s">
        <v>620</v>
      </c>
      <c r="G1120" s="15" t="s">
        <v>113</v>
      </c>
      <c r="H1120" s="15" t="s">
        <v>1481</v>
      </c>
      <c r="J1120" s="16" t="s">
        <v>114</v>
      </c>
      <c r="U1120" s="15" t="s">
        <v>17977</v>
      </c>
      <c r="W1120" s="15">
        <v>3684</v>
      </c>
      <c r="X1120" s="15">
        <v>1130</v>
      </c>
      <c r="Y1120" s="15" t="s">
        <v>160</v>
      </c>
      <c r="Z1120" s="15" t="s">
        <v>161</v>
      </c>
      <c r="AA1120" s="15" t="s">
        <v>162</v>
      </c>
      <c r="AB1120" s="15" t="s">
        <v>17879</v>
      </c>
      <c r="AC1120" s="15" t="s">
        <v>17879</v>
      </c>
      <c r="AD1120" s="15" t="s">
        <v>17880</v>
      </c>
      <c r="AE1120" s="15" t="s">
        <v>164</v>
      </c>
      <c r="AF1120" s="15" t="s">
        <v>17880</v>
      </c>
      <c r="AG1120" s="15" t="s">
        <v>17879</v>
      </c>
      <c r="AH1120" s="34" t="s">
        <v>17881</v>
      </c>
      <c r="AL1120" s="15" t="s">
        <v>17882</v>
      </c>
      <c r="AN1120" s="15">
        <v>743</v>
      </c>
      <c r="AO1120" s="15" t="s">
        <v>17883</v>
      </c>
      <c r="AQ1120" s="15" t="s">
        <v>168</v>
      </c>
      <c r="AT1120" s="15" t="s">
        <v>17884</v>
      </c>
      <c r="AU1120" s="15" t="s">
        <v>17885</v>
      </c>
      <c r="AV1120" s="15" t="s">
        <v>17885</v>
      </c>
      <c r="AW1120" s="15" t="s">
        <v>17886</v>
      </c>
      <c r="AX1120" s="15" t="s">
        <v>17886</v>
      </c>
      <c r="AY1120" s="15">
        <f t="shared" si="22"/>
        <v>54</v>
      </c>
      <c r="AZ1120" s="15" t="s">
        <v>604</v>
      </c>
      <c r="BA1120" s="15" t="s">
        <v>174</v>
      </c>
      <c r="BB1120" s="15" t="s">
        <v>17867</v>
      </c>
      <c r="BE1120" s="15" t="s">
        <v>585</v>
      </c>
      <c r="BI1120" s="15" t="s">
        <v>200</v>
      </c>
      <c r="BJ1120" s="15" t="s">
        <v>17887</v>
      </c>
      <c r="BN1120" s="15" t="s">
        <v>179</v>
      </c>
      <c r="BP1120" s="15" t="s">
        <v>138</v>
      </c>
      <c r="BS1120" s="15" t="s">
        <v>17888</v>
      </c>
      <c r="DH1120" s="15" t="s">
        <v>17982</v>
      </c>
      <c r="DI1120" s="15" t="s">
        <v>17982</v>
      </c>
    </row>
    <row r="1121" spans="1:113" s="15" customFormat="1" ht="12.75" x14ac:dyDescent="0.2">
      <c r="A1121" s="15" t="s">
        <v>109</v>
      </c>
      <c r="B1121" s="15" t="s">
        <v>110</v>
      </c>
      <c r="D1121" s="15" t="s">
        <v>620</v>
      </c>
      <c r="E1121" s="15" t="s">
        <v>112</v>
      </c>
      <c r="F1121" s="15" t="s">
        <v>620</v>
      </c>
      <c r="G1121" s="15" t="s">
        <v>113</v>
      </c>
      <c r="H1121" s="15" t="s">
        <v>1481</v>
      </c>
      <c r="J1121" s="16" t="s">
        <v>114</v>
      </c>
      <c r="U1121" s="15" t="s">
        <v>17977</v>
      </c>
      <c r="W1121" s="15">
        <v>3682</v>
      </c>
      <c r="X1121" s="15">
        <v>1131</v>
      </c>
      <c r="Y1121" s="15" t="s">
        <v>160</v>
      </c>
      <c r="Z1121" s="15" t="s">
        <v>161</v>
      </c>
      <c r="AA1121" s="15" t="s">
        <v>162</v>
      </c>
      <c r="AB1121" s="15" t="s">
        <v>17859</v>
      </c>
      <c r="AC1121" s="15" t="s">
        <v>17859</v>
      </c>
      <c r="AD1121" s="15" t="s">
        <v>17860</v>
      </c>
      <c r="AE1121" s="15" t="s">
        <v>164</v>
      </c>
      <c r="AF1121" s="15" t="s">
        <v>17860</v>
      </c>
      <c r="AG1121" s="15" t="s">
        <v>17859</v>
      </c>
      <c r="AH1121" s="34" t="s">
        <v>17861</v>
      </c>
      <c r="AL1121" s="15" t="s">
        <v>17862</v>
      </c>
      <c r="AN1121" s="15">
        <v>743</v>
      </c>
      <c r="AO1121" s="15" t="s">
        <v>17863</v>
      </c>
      <c r="AQ1121" s="15" t="s">
        <v>168</v>
      </c>
      <c r="AT1121" s="15" t="s">
        <v>17864</v>
      </c>
      <c r="AU1121" s="15" t="s">
        <v>17865</v>
      </c>
      <c r="AV1121" s="15" t="s">
        <v>17865</v>
      </c>
      <c r="AW1121" s="15" t="s">
        <v>17866</v>
      </c>
      <c r="AX1121" s="15" t="s">
        <v>17866</v>
      </c>
      <c r="AY1121" s="15">
        <f t="shared" si="22"/>
        <v>54</v>
      </c>
      <c r="AZ1121" s="15" t="s">
        <v>604</v>
      </c>
      <c r="BA1121" s="15" t="s">
        <v>174</v>
      </c>
      <c r="BB1121" s="15" t="s">
        <v>17867</v>
      </c>
      <c r="BE1121" s="15" t="s">
        <v>585</v>
      </c>
      <c r="BI1121" s="15" t="s">
        <v>200</v>
      </c>
      <c r="BJ1121" s="15" t="s">
        <v>17868</v>
      </c>
      <c r="BN1121" s="15" t="s">
        <v>179</v>
      </c>
      <c r="BP1121" s="15" t="s">
        <v>138</v>
      </c>
      <c r="BS1121" s="15" t="s">
        <v>17869</v>
      </c>
      <c r="DH1121" s="15" t="s">
        <v>17982</v>
      </c>
      <c r="DI1121" s="15" t="s">
        <v>17982</v>
      </c>
    </row>
    <row r="1122" spans="1:113" s="15" customFormat="1" ht="12.75" x14ac:dyDescent="0.2">
      <c r="A1122" s="15" t="s">
        <v>109</v>
      </c>
      <c r="B1122" s="15" t="s">
        <v>110</v>
      </c>
      <c r="D1122" s="15" t="s">
        <v>620</v>
      </c>
      <c r="E1122" s="15" t="s">
        <v>112</v>
      </c>
      <c r="F1122" s="15" t="s">
        <v>620</v>
      </c>
      <c r="G1122" s="15" t="s">
        <v>113</v>
      </c>
      <c r="H1122" s="15" t="s">
        <v>1481</v>
      </c>
      <c r="J1122" s="16" t="s">
        <v>114</v>
      </c>
      <c r="U1122" s="15" t="s">
        <v>17977</v>
      </c>
      <c r="W1122" s="15">
        <v>1538</v>
      </c>
      <c r="X1122" s="15">
        <v>1132</v>
      </c>
      <c r="Y1122" s="15" t="s">
        <v>160</v>
      </c>
      <c r="Z1122" s="15" t="s">
        <v>161</v>
      </c>
      <c r="AA1122" s="15" t="s">
        <v>162</v>
      </c>
      <c r="AB1122" s="15" t="s">
        <v>7930</v>
      </c>
      <c r="AC1122" s="15" t="s">
        <v>7930</v>
      </c>
      <c r="AD1122" s="15" t="s">
        <v>7930</v>
      </c>
      <c r="AE1122" s="15" t="s">
        <v>164</v>
      </c>
      <c r="AF1122" s="15" t="s">
        <v>7930</v>
      </c>
      <c r="AG1122" s="15" t="s">
        <v>7930</v>
      </c>
      <c r="AH1122" s="34" t="s">
        <v>7931</v>
      </c>
      <c r="AL1122" s="15" t="s">
        <v>7932</v>
      </c>
      <c r="AN1122" s="15">
        <v>743</v>
      </c>
      <c r="AO1122" s="15" t="s">
        <v>7933</v>
      </c>
      <c r="AQ1122" s="15" t="s">
        <v>912</v>
      </c>
      <c r="AT1122" s="15" t="s">
        <v>7934</v>
      </c>
      <c r="AU1122" s="15" t="s">
        <v>7935</v>
      </c>
      <c r="AV1122" s="15" t="s">
        <v>7935</v>
      </c>
      <c r="AW1122" s="15" t="s">
        <v>7936</v>
      </c>
      <c r="AX1122" s="15" t="s">
        <v>7937</v>
      </c>
      <c r="AY1122" s="15">
        <f t="shared" si="22"/>
        <v>57</v>
      </c>
      <c r="AZ1122" s="15" t="s">
        <v>917</v>
      </c>
      <c r="BA1122" s="15" t="s">
        <v>174</v>
      </c>
      <c r="BB1122" s="15" t="s">
        <v>7909</v>
      </c>
      <c r="BC1122" s="15" t="s">
        <v>1199</v>
      </c>
      <c r="BE1122" s="15" t="s">
        <v>2054</v>
      </c>
      <c r="BF1122" s="15" t="s">
        <v>7938</v>
      </c>
      <c r="BJ1122" s="15" t="s">
        <v>2840</v>
      </c>
      <c r="BN1122" s="15" t="s">
        <v>179</v>
      </c>
      <c r="BP1122" s="15" t="s">
        <v>138</v>
      </c>
      <c r="BS1122" s="15" t="s">
        <v>7939</v>
      </c>
      <c r="DH1122" s="15" t="s">
        <v>17982</v>
      </c>
      <c r="DI1122" s="15" t="s">
        <v>17982</v>
      </c>
    </row>
    <row r="1123" spans="1:113" s="15" customFormat="1" ht="12.75" x14ac:dyDescent="0.2">
      <c r="A1123" s="15" t="s">
        <v>109</v>
      </c>
      <c r="B1123" s="15" t="s">
        <v>110</v>
      </c>
      <c r="D1123" s="15" t="s">
        <v>620</v>
      </c>
      <c r="E1123" s="15" t="s">
        <v>112</v>
      </c>
      <c r="F1123" s="15" t="s">
        <v>620</v>
      </c>
      <c r="G1123" s="15" t="s">
        <v>113</v>
      </c>
      <c r="H1123" s="15" t="s">
        <v>1481</v>
      </c>
      <c r="J1123" s="16" t="s">
        <v>114</v>
      </c>
      <c r="U1123" s="15" t="s">
        <v>17977</v>
      </c>
      <c r="W1123" s="15">
        <v>1537</v>
      </c>
      <c r="X1123" s="15">
        <v>1133</v>
      </c>
      <c r="Y1123" s="15" t="s">
        <v>160</v>
      </c>
      <c r="Z1123" s="15" t="s">
        <v>161</v>
      </c>
      <c r="AA1123" s="15" t="s">
        <v>162</v>
      </c>
      <c r="AB1123" s="15" t="s">
        <v>7921</v>
      </c>
      <c r="AC1123" s="15" t="s">
        <v>7921</v>
      </c>
      <c r="AD1123" s="15" t="s">
        <v>7921</v>
      </c>
      <c r="AE1123" s="15" t="s">
        <v>164</v>
      </c>
      <c r="AF1123" s="15" t="s">
        <v>7921</v>
      </c>
      <c r="AG1123" s="15" t="s">
        <v>7921</v>
      </c>
      <c r="AH1123" s="34" t="s">
        <v>7922</v>
      </c>
      <c r="AL1123" s="15" t="s">
        <v>7923</v>
      </c>
      <c r="AN1123" s="15">
        <v>743</v>
      </c>
      <c r="AO1123" s="15" t="s">
        <v>7924</v>
      </c>
      <c r="AQ1123" s="15" t="s">
        <v>912</v>
      </c>
      <c r="AT1123" s="15" t="s">
        <v>7925</v>
      </c>
      <c r="AU1123" s="15" t="s">
        <v>7926</v>
      </c>
      <c r="AV1123" s="15" t="s">
        <v>7926</v>
      </c>
      <c r="AW1123" s="15" t="s">
        <v>7927</v>
      </c>
      <c r="AX1123" s="15" t="s">
        <v>7927</v>
      </c>
      <c r="AY1123" s="15">
        <f t="shared" si="22"/>
        <v>59</v>
      </c>
      <c r="AZ1123" s="15" t="s">
        <v>917</v>
      </c>
      <c r="BA1123" s="15" t="s">
        <v>174</v>
      </c>
      <c r="BB1123" s="15" t="s">
        <v>7909</v>
      </c>
      <c r="BC1123" s="15" t="s">
        <v>4343</v>
      </c>
      <c r="BE1123" s="15" t="s">
        <v>2054</v>
      </c>
      <c r="BF1123" s="15" t="s">
        <v>7928</v>
      </c>
      <c r="BJ1123" s="15" t="s">
        <v>2840</v>
      </c>
      <c r="BN1123" s="15" t="s">
        <v>179</v>
      </c>
      <c r="BP1123" s="15" t="s">
        <v>138</v>
      </c>
      <c r="BS1123" s="15" t="s">
        <v>7929</v>
      </c>
      <c r="DH1123" s="15" t="s">
        <v>17982</v>
      </c>
      <c r="DI1123" s="15" t="s">
        <v>17982</v>
      </c>
    </row>
    <row r="1124" spans="1:113" s="15" customFormat="1" ht="12.75" x14ac:dyDescent="0.2">
      <c r="A1124" s="15" t="s">
        <v>109</v>
      </c>
      <c r="B1124" s="15" t="s">
        <v>110</v>
      </c>
      <c r="D1124" s="15" t="s">
        <v>620</v>
      </c>
      <c r="E1124" s="15" t="s">
        <v>112</v>
      </c>
      <c r="F1124" s="15" t="s">
        <v>620</v>
      </c>
      <c r="G1124" s="15" t="s">
        <v>113</v>
      </c>
      <c r="H1124" s="15" t="s">
        <v>1481</v>
      </c>
      <c r="J1124" s="16" t="s">
        <v>114</v>
      </c>
      <c r="U1124" s="15" t="s">
        <v>17977</v>
      </c>
      <c r="W1124" s="15">
        <v>1164</v>
      </c>
      <c r="X1124" s="15">
        <v>1134</v>
      </c>
      <c r="Y1124" s="15" t="s">
        <v>160</v>
      </c>
      <c r="Z1124" s="15" t="s">
        <v>161</v>
      </c>
      <c r="AA1124" s="15" t="s">
        <v>162</v>
      </c>
      <c r="AB1124" s="15" t="s">
        <v>6077</v>
      </c>
      <c r="AC1124" s="15" t="s">
        <v>6077</v>
      </c>
      <c r="AD1124" s="15" t="s">
        <v>6077</v>
      </c>
      <c r="AE1124" s="15" t="s">
        <v>164</v>
      </c>
      <c r="AF1124" s="15" t="s">
        <v>6077</v>
      </c>
      <c r="AG1124" s="15" t="s">
        <v>6077</v>
      </c>
      <c r="AH1124" s="34" t="s">
        <v>6078</v>
      </c>
      <c r="AL1124" s="15" t="s">
        <v>6079</v>
      </c>
      <c r="AN1124" s="15">
        <v>743</v>
      </c>
      <c r="AO1124" s="15" t="s">
        <v>6080</v>
      </c>
      <c r="AQ1124" s="15" t="s">
        <v>912</v>
      </c>
      <c r="AT1124" s="15" t="s">
        <v>6081</v>
      </c>
      <c r="AU1124" s="15" t="s">
        <v>6082</v>
      </c>
      <c r="AV1124" s="15" t="s">
        <v>6082</v>
      </c>
      <c r="AW1124" s="15" t="s">
        <v>6083</v>
      </c>
      <c r="AX1124" s="15" t="s">
        <v>6083</v>
      </c>
      <c r="AY1124" s="15">
        <f t="shared" si="22"/>
        <v>54</v>
      </c>
      <c r="AZ1124" s="15" t="s">
        <v>917</v>
      </c>
      <c r="BA1124" s="15" t="s">
        <v>174</v>
      </c>
      <c r="BB1124" s="15" t="s">
        <v>6074</v>
      </c>
      <c r="BC1124" s="15" t="s">
        <v>1199</v>
      </c>
      <c r="BE1124" s="15" t="s">
        <v>6084</v>
      </c>
      <c r="BI1124" s="15" t="s">
        <v>933</v>
      </c>
      <c r="BJ1124" s="15" t="s">
        <v>2840</v>
      </c>
      <c r="BN1124" s="15" t="s">
        <v>179</v>
      </c>
      <c r="BP1124" s="15" t="s">
        <v>138</v>
      </c>
      <c r="BS1124" s="15" t="s">
        <v>6085</v>
      </c>
      <c r="DH1124" s="15" t="s">
        <v>17982</v>
      </c>
      <c r="DI1124" s="15" t="s">
        <v>17982</v>
      </c>
    </row>
    <row r="1125" spans="1:113" s="15" customFormat="1" ht="12.75" x14ac:dyDescent="0.2">
      <c r="A1125" s="15" t="s">
        <v>109</v>
      </c>
      <c r="B1125" s="15" t="s">
        <v>110</v>
      </c>
      <c r="D1125" s="15" t="s">
        <v>620</v>
      </c>
      <c r="E1125" s="15" t="s">
        <v>112</v>
      </c>
      <c r="F1125" s="15" t="s">
        <v>620</v>
      </c>
      <c r="G1125" s="15" t="s">
        <v>113</v>
      </c>
      <c r="H1125" s="15" t="s">
        <v>1481</v>
      </c>
      <c r="J1125" s="16" t="s">
        <v>114</v>
      </c>
      <c r="U1125" s="15" t="s">
        <v>17977</v>
      </c>
      <c r="W1125" s="15">
        <v>2280</v>
      </c>
      <c r="X1125" s="15">
        <v>1135</v>
      </c>
      <c r="Y1125" s="15" t="s">
        <v>160</v>
      </c>
      <c r="Z1125" s="15" t="s">
        <v>161</v>
      </c>
      <c r="AA1125" s="15" t="s">
        <v>162</v>
      </c>
      <c r="AB1125" s="15" t="s">
        <v>11347</v>
      </c>
      <c r="AC1125" s="15" t="s">
        <v>11347</v>
      </c>
      <c r="AD1125" s="15" t="s">
        <v>11347</v>
      </c>
      <c r="AE1125" s="15" t="s">
        <v>164</v>
      </c>
      <c r="AF1125" s="15" t="s">
        <v>11347</v>
      </c>
      <c r="AG1125" s="15" t="s">
        <v>11347</v>
      </c>
      <c r="AH1125" s="34" t="s">
        <v>11348</v>
      </c>
      <c r="AL1125" s="15" t="s">
        <v>11349</v>
      </c>
      <c r="AN1125" s="15">
        <v>743</v>
      </c>
      <c r="AO1125" s="15" t="s">
        <v>11350</v>
      </c>
      <c r="AQ1125" s="15" t="s">
        <v>168</v>
      </c>
      <c r="AT1125" s="15" t="s">
        <v>11351</v>
      </c>
      <c r="AU1125" s="15" t="s">
        <v>11352</v>
      </c>
      <c r="AV1125" s="15" t="s">
        <v>11352</v>
      </c>
      <c r="AW1125" s="15" t="s">
        <v>11353</v>
      </c>
      <c r="AX1125" s="15" t="s">
        <v>11354</v>
      </c>
      <c r="AY1125" s="15">
        <f t="shared" si="22"/>
        <v>51</v>
      </c>
      <c r="AZ1125" s="15" t="s">
        <v>173</v>
      </c>
      <c r="BA1125" s="15" t="s">
        <v>174</v>
      </c>
      <c r="BC1125" s="15" t="s">
        <v>11355</v>
      </c>
      <c r="BE1125" s="15" t="s">
        <v>606</v>
      </c>
      <c r="BF1125" s="15" t="s">
        <v>3738</v>
      </c>
      <c r="BI1125" s="15" t="s">
        <v>189</v>
      </c>
      <c r="BJ1125" s="15" t="s">
        <v>11356</v>
      </c>
      <c r="BK1125" s="15" t="s">
        <v>487</v>
      </c>
      <c r="BN1125" s="15" t="s">
        <v>179</v>
      </c>
      <c r="BP1125" s="15" t="s">
        <v>138</v>
      </c>
      <c r="BS1125" s="15" t="s">
        <v>11357</v>
      </c>
      <c r="DH1125" s="15" t="s">
        <v>17982</v>
      </c>
      <c r="DI1125" s="15" t="s">
        <v>17982</v>
      </c>
    </row>
    <row r="1126" spans="1:113" s="15" customFormat="1" ht="114.75" x14ac:dyDescent="0.2">
      <c r="A1126" s="15" t="s">
        <v>109</v>
      </c>
      <c r="B1126" s="15" t="s">
        <v>110</v>
      </c>
      <c r="D1126" s="15" t="s">
        <v>620</v>
      </c>
      <c r="E1126" s="15" t="s">
        <v>112</v>
      </c>
      <c r="F1126" s="15" t="s">
        <v>620</v>
      </c>
      <c r="G1126" s="15" t="s">
        <v>113</v>
      </c>
      <c r="H1126" s="15" t="s">
        <v>1481</v>
      </c>
      <c r="J1126" s="16" t="s">
        <v>114</v>
      </c>
      <c r="U1126" s="15" t="s">
        <v>17977</v>
      </c>
      <c r="W1126" s="15">
        <v>2281</v>
      </c>
      <c r="X1126" s="15">
        <v>1136</v>
      </c>
      <c r="Y1126" s="15" t="s">
        <v>160</v>
      </c>
      <c r="Z1126" s="15" t="s">
        <v>161</v>
      </c>
      <c r="AA1126" s="15" t="s">
        <v>162</v>
      </c>
      <c r="AB1126" s="15" t="s">
        <v>11358</v>
      </c>
      <c r="AC1126" s="15" t="s">
        <v>11358</v>
      </c>
      <c r="AD1126" s="15" t="s">
        <v>11358</v>
      </c>
      <c r="AE1126" s="15" t="s">
        <v>164</v>
      </c>
      <c r="AF1126" s="15" t="s">
        <v>11358</v>
      </c>
      <c r="AG1126" s="15" t="s">
        <v>11358</v>
      </c>
      <c r="AH1126" s="34" t="s">
        <v>11359</v>
      </c>
      <c r="AL1126" s="15" t="s">
        <v>11360</v>
      </c>
      <c r="AN1126" s="15">
        <v>743</v>
      </c>
      <c r="AO1126" s="15" t="s">
        <v>11361</v>
      </c>
      <c r="AQ1126" s="15" t="s">
        <v>168</v>
      </c>
      <c r="AT1126" s="15" t="s">
        <v>11362</v>
      </c>
      <c r="AU1126" s="15" t="s">
        <v>11363</v>
      </c>
      <c r="AV1126" s="15" t="s">
        <v>11363</v>
      </c>
      <c r="AW1126" s="27" t="s">
        <v>11364</v>
      </c>
      <c r="AX1126" s="15" t="s">
        <v>11365</v>
      </c>
      <c r="AY1126" s="15">
        <f t="shared" si="22"/>
        <v>58</v>
      </c>
      <c r="AZ1126" s="15" t="s">
        <v>173</v>
      </c>
      <c r="BA1126" s="15" t="s">
        <v>174</v>
      </c>
      <c r="BC1126" s="15" t="s">
        <v>646</v>
      </c>
      <c r="BE1126" s="15" t="s">
        <v>606</v>
      </c>
      <c r="BF1126" s="15" t="s">
        <v>11366</v>
      </c>
      <c r="BI1126" s="15" t="s">
        <v>189</v>
      </c>
      <c r="BJ1126" s="15" t="s">
        <v>11367</v>
      </c>
      <c r="BN1126" s="15" t="s">
        <v>179</v>
      </c>
      <c r="BP1126" s="15" t="s">
        <v>138</v>
      </c>
      <c r="BS1126" s="15" t="s">
        <v>11368</v>
      </c>
      <c r="DH1126" s="15" t="s">
        <v>17982</v>
      </c>
      <c r="DI1126" s="15" t="s">
        <v>17982</v>
      </c>
    </row>
    <row r="1127" spans="1:113" s="15" customFormat="1" ht="12.75" x14ac:dyDescent="0.2">
      <c r="A1127" s="15" t="s">
        <v>109</v>
      </c>
      <c r="B1127" s="15" t="s">
        <v>110</v>
      </c>
      <c r="D1127" s="15" t="s">
        <v>620</v>
      </c>
      <c r="E1127" s="15" t="s">
        <v>112</v>
      </c>
      <c r="F1127" s="15" t="s">
        <v>620</v>
      </c>
      <c r="G1127" s="15" t="s">
        <v>113</v>
      </c>
      <c r="H1127" s="15" t="s">
        <v>1481</v>
      </c>
      <c r="J1127" s="16" t="s">
        <v>114</v>
      </c>
      <c r="U1127" s="15" t="s">
        <v>17977</v>
      </c>
      <c r="W1127" s="15">
        <v>1163</v>
      </c>
      <c r="X1127" s="15">
        <v>1137</v>
      </c>
      <c r="Y1127" s="15" t="s">
        <v>160</v>
      </c>
      <c r="Z1127" s="15" t="s">
        <v>161</v>
      </c>
      <c r="AA1127" s="15" t="s">
        <v>162</v>
      </c>
      <c r="AB1127" s="15" t="s">
        <v>6067</v>
      </c>
      <c r="AC1127" s="15" t="s">
        <v>6067</v>
      </c>
      <c r="AD1127" s="15" t="s">
        <v>6067</v>
      </c>
      <c r="AE1127" s="15" t="s">
        <v>164</v>
      </c>
      <c r="AF1127" s="15" t="s">
        <v>6067</v>
      </c>
      <c r="AG1127" s="15" t="s">
        <v>6067</v>
      </c>
      <c r="AH1127" s="34" t="s">
        <v>6068</v>
      </c>
      <c r="AL1127" s="15" t="s">
        <v>6069</v>
      </c>
      <c r="AN1127" s="15">
        <v>743</v>
      </c>
      <c r="AO1127" s="15" t="s">
        <v>6070</v>
      </c>
      <c r="AQ1127" s="15" t="s">
        <v>912</v>
      </c>
      <c r="AT1127" s="15" t="s">
        <v>6071</v>
      </c>
      <c r="AU1127" s="15" t="s">
        <v>6072</v>
      </c>
      <c r="AV1127" s="15" t="s">
        <v>6072</v>
      </c>
      <c r="AW1127" s="15" t="s">
        <v>6073</v>
      </c>
      <c r="AX1127" s="15" t="s">
        <v>6073</v>
      </c>
      <c r="AY1127" s="15">
        <f t="shared" si="22"/>
        <v>60</v>
      </c>
      <c r="AZ1127" s="15" t="s">
        <v>917</v>
      </c>
      <c r="BA1127" s="15" t="s">
        <v>174</v>
      </c>
      <c r="BB1127" s="15" t="s">
        <v>6074</v>
      </c>
      <c r="BC1127" s="15" t="s">
        <v>4343</v>
      </c>
      <c r="BE1127" s="15" t="s">
        <v>1174</v>
      </c>
      <c r="BF1127" s="15" t="s">
        <v>6075</v>
      </c>
      <c r="BI1127" s="15" t="s">
        <v>933</v>
      </c>
      <c r="BJ1127" s="15" t="s">
        <v>2840</v>
      </c>
      <c r="BN1127" s="15" t="s">
        <v>179</v>
      </c>
      <c r="BP1127" s="15" t="s">
        <v>138</v>
      </c>
      <c r="BS1127" s="15" t="s">
        <v>6076</v>
      </c>
      <c r="DH1127" s="15" t="s">
        <v>17982</v>
      </c>
      <c r="DI1127" s="15" t="s">
        <v>17982</v>
      </c>
    </row>
    <row r="1128" spans="1:113" s="15" customFormat="1" ht="12.75" x14ac:dyDescent="0.2">
      <c r="A1128" s="15" t="s">
        <v>109</v>
      </c>
      <c r="B1128" s="15" t="s">
        <v>110</v>
      </c>
      <c r="D1128" s="15" t="s">
        <v>620</v>
      </c>
      <c r="E1128" s="15" t="s">
        <v>112</v>
      </c>
      <c r="F1128" s="15" t="s">
        <v>620</v>
      </c>
      <c r="G1128" s="15" t="s">
        <v>113</v>
      </c>
      <c r="H1128" s="15" t="s">
        <v>1481</v>
      </c>
      <c r="J1128" s="16" t="s">
        <v>114</v>
      </c>
      <c r="U1128" s="15" t="s">
        <v>17977</v>
      </c>
      <c r="W1128" s="15">
        <v>2276</v>
      </c>
      <c r="X1128" s="15">
        <v>1138</v>
      </c>
      <c r="Y1128" s="15" t="s">
        <v>160</v>
      </c>
      <c r="Z1128" s="15" t="s">
        <v>161</v>
      </c>
      <c r="AA1128" s="15" t="s">
        <v>162</v>
      </c>
      <c r="AB1128" s="15" t="s">
        <v>11308</v>
      </c>
      <c r="AC1128" s="15" t="s">
        <v>11308</v>
      </c>
      <c r="AD1128" s="15" t="s">
        <v>11308</v>
      </c>
      <c r="AE1128" s="15" t="s">
        <v>164</v>
      </c>
      <c r="AF1128" s="15" t="s">
        <v>11308</v>
      </c>
      <c r="AG1128" s="15" t="s">
        <v>11308</v>
      </c>
      <c r="AH1128" s="34" t="s">
        <v>11309</v>
      </c>
      <c r="AL1128" s="15" t="s">
        <v>11310</v>
      </c>
      <c r="AN1128" s="15">
        <v>743</v>
      </c>
      <c r="AO1128" s="15" t="s">
        <v>11311</v>
      </c>
      <c r="AQ1128" s="15" t="s">
        <v>388</v>
      </c>
      <c r="AT1128" s="15" t="s">
        <v>11312</v>
      </c>
      <c r="AU1128" s="15" t="s">
        <v>11313</v>
      </c>
      <c r="AV1128" s="15" t="s">
        <v>11313</v>
      </c>
      <c r="AW1128" s="15" t="s">
        <v>11314</v>
      </c>
      <c r="AX1128" s="15" t="s">
        <v>11315</v>
      </c>
      <c r="AY1128" s="15">
        <f t="shared" si="22"/>
        <v>55</v>
      </c>
      <c r="AZ1128" s="15" t="s">
        <v>393</v>
      </c>
      <c r="BA1128" s="15" t="s">
        <v>174</v>
      </c>
      <c r="BE1128" s="15" t="s">
        <v>1123</v>
      </c>
      <c r="BJ1128" s="15" t="s">
        <v>11316</v>
      </c>
      <c r="BN1128" s="15" t="s">
        <v>179</v>
      </c>
      <c r="BP1128" s="15" t="s">
        <v>138</v>
      </c>
      <c r="BS1128" s="15" t="s">
        <v>11317</v>
      </c>
      <c r="DH1128" s="15" t="s">
        <v>17982</v>
      </c>
      <c r="DI1128" s="15" t="s">
        <v>17982</v>
      </c>
    </row>
    <row r="1129" spans="1:113" s="15" customFormat="1" ht="12.75" x14ac:dyDescent="0.2">
      <c r="A1129" s="15" t="s">
        <v>109</v>
      </c>
      <c r="B1129" s="15" t="s">
        <v>110</v>
      </c>
      <c r="D1129" s="15" t="s">
        <v>620</v>
      </c>
      <c r="E1129" s="15" t="s">
        <v>112</v>
      </c>
      <c r="F1129" s="15" t="s">
        <v>620</v>
      </c>
      <c r="G1129" s="15" t="s">
        <v>113</v>
      </c>
      <c r="H1129" s="15" t="s">
        <v>1481</v>
      </c>
      <c r="J1129" s="16" t="s">
        <v>114</v>
      </c>
      <c r="U1129" s="15" t="s">
        <v>17977</v>
      </c>
      <c r="W1129" s="15">
        <v>2275</v>
      </c>
      <c r="X1129" s="15">
        <v>1139</v>
      </c>
      <c r="Y1129" s="15" t="s">
        <v>160</v>
      </c>
      <c r="Z1129" s="15" t="s">
        <v>161</v>
      </c>
      <c r="AA1129" s="15" t="s">
        <v>162</v>
      </c>
      <c r="AB1129" s="15" t="s">
        <v>11299</v>
      </c>
      <c r="AC1129" s="15" t="s">
        <v>11299</v>
      </c>
      <c r="AD1129" s="15" t="s">
        <v>11299</v>
      </c>
      <c r="AE1129" s="15" t="s">
        <v>164</v>
      </c>
      <c r="AF1129" s="15" t="s">
        <v>11299</v>
      </c>
      <c r="AG1129" s="15" t="s">
        <v>11299</v>
      </c>
      <c r="AH1129" s="34" t="s">
        <v>11300</v>
      </c>
      <c r="AL1129" s="15" t="s">
        <v>11301</v>
      </c>
      <c r="AN1129" s="15">
        <v>743</v>
      </c>
      <c r="AO1129" s="15" t="s">
        <v>11302</v>
      </c>
      <c r="AQ1129" s="15" t="s">
        <v>3598</v>
      </c>
      <c r="AT1129" s="15" t="s">
        <v>11303</v>
      </c>
      <c r="AU1129" s="15" t="s">
        <v>11304</v>
      </c>
      <c r="AV1129" s="15" t="s">
        <v>11304</v>
      </c>
      <c r="AW1129" s="15" t="s">
        <v>11305</v>
      </c>
      <c r="AX1129" s="15" t="s">
        <v>11305</v>
      </c>
      <c r="AY1129" s="15">
        <f t="shared" si="22"/>
        <v>49</v>
      </c>
      <c r="AZ1129" s="15" t="s">
        <v>3603</v>
      </c>
      <c r="BA1129" s="15" t="s">
        <v>214</v>
      </c>
      <c r="BE1129" s="15" t="s">
        <v>1123</v>
      </c>
      <c r="BJ1129" s="15" t="s">
        <v>11306</v>
      </c>
      <c r="BN1129" s="15" t="s">
        <v>179</v>
      </c>
      <c r="BP1129" s="15" t="s">
        <v>138</v>
      </c>
      <c r="BS1129" s="15" t="s">
        <v>11307</v>
      </c>
      <c r="DH1129" s="15" t="s">
        <v>17982</v>
      </c>
      <c r="DI1129" s="15" t="s">
        <v>17982</v>
      </c>
    </row>
    <row r="1130" spans="1:113" s="15" customFormat="1" ht="12.75" x14ac:dyDescent="0.2">
      <c r="A1130" s="15" t="s">
        <v>109</v>
      </c>
      <c r="B1130" s="15" t="s">
        <v>110</v>
      </c>
      <c r="D1130" s="15" t="s">
        <v>620</v>
      </c>
      <c r="E1130" s="15" t="s">
        <v>112</v>
      </c>
      <c r="F1130" s="15" t="s">
        <v>620</v>
      </c>
      <c r="G1130" s="15" t="s">
        <v>113</v>
      </c>
      <c r="H1130" s="15" t="s">
        <v>1481</v>
      </c>
      <c r="J1130" s="16" t="s">
        <v>114</v>
      </c>
      <c r="U1130" s="15" t="s">
        <v>17977</v>
      </c>
      <c r="W1130" s="15">
        <v>2013</v>
      </c>
      <c r="X1130" s="15">
        <v>1140</v>
      </c>
      <c r="Y1130" s="15" t="s">
        <v>160</v>
      </c>
      <c r="Z1130" s="15" t="s">
        <v>161</v>
      </c>
      <c r="AA1130" s="15" t="s">
        <v>162</v>
      </c>
      <c r="AB1130" s="15" t="s">
        <v>10282</v>
      </c>
      <c r="AC1130" s="15" t="s">
        <v>10282</v>
      </c>
      <c r="AD1130" s="15" t="s">
        <v>10282</v>
      </c>
      <c r="AE1130" s="15" t="s">
        <v>164</v>
      </c>
      <c r="AF1130" s="15" t="s">
        <v>10282</v>
      </c>
      <c r="AG1130" s="15" t="s">
        <v>10282</v>
      </c>
      <c r="AH1130" s="34" t="s">
        <v>10283</v>
      </c>
      <c r="AL1130" s="15" t="s">
        <v>10284</v>
      </c>
      <c r="AN1130" s="15">
        <v>743</v>
      </c>
      <c r="AO1130" s="15" t="s">
        <v>10285</v>
      </c>
      <c r="AQ1130" s="15" t="s">
        <v>912</v>
      </c>
      <c r="AT1130" s="15" t="s">
        <v>10286</v>
      </c>
      <c r="AU1130" s="15" t="s">
        <v>10287</v>
      </c>
      <c r="AV1130" s="15" t="s">
        <v>10287</v>
      </c>
      <c r="AW1130" s="15" t="s">
        <v>10288</v>
      </c>
      <c r="AX1130" s="15" t="s">
        <v>10289</v>
      </c>
      <c r="AY1130" s="15">
        <f t="shared" si="22"/>
        <v>58</v>
      </c>
      <c r="AZ1130" s="15" t="s">
        <v>917</v>
      </c>
      <c r="BA1130" s="15" t="s">
        <v>174</v>
      </c>
      <c r="BB1130" s="15" t="s">
        <v>10290</v>
      </c>
      <c r="BF1130" s="15" t="s">
        <v>2528</v>
      </c>
      <c r="BI1130" s="15" t="s">
        <v>10279</v>
      </c>
      <c r="BJ1130" s="15" t="s">
        <v>10291</v>
      </c>
      <c r="BK1130" s="15" t="s">
        <v>487</v>
      </c>
      <c r="BS1130" s="15" t="s">
        <v>10292</v>
      </c>
      <c r="DH1130" s="15" t="s">
        <v>17982</v>
      </c>
      <c r="DI1130" s="15" t="s">
        <v>17982</v>
      </c>
    </row>
    <row r="1131" spans="1:113" s="15" customFormat="1" ht="12.75" x14ac:dyDescent="0.2">
      <c r="A1131" s="15" t="s">
        <v>109</v>
      </c>
      <c r="B1131" s="15" t="s">
        <v>110</v>
      </c>
      <c r="D1131" s="15" t="s">
        <v>620</v>
      </c>
      <c r="E1131" s="15" t="s">
        <v>112</v>
      </c>
      <c r="F1131" s="15" t="s">
        <v>620</v>
      </c>
      <c r="G1131" s="15" t="s">
        <v>113</v>
      </c>
      <c r="H1131" s="15" t="s">
        <v>1481</v>
      </c>
      <c r="J1131" s="16" t="s">
        <v>114</v>
      </c>
      <c r="U1131" s="15" t="s">
        <v>17977</v>
      </c>
      <c r="W1131" s="15">
        <v>2653</v>
      </c>
      <c r="X1131" s="15">
        <v>1141</v>
      </c>
      <c r="Y1131" s="15" t="s">
        <v>160</v>
      </c>
      <c r="Z1131" s="15" t="s">
        <v>161</v>
      </c>
      <c r="AA1131" s="15" t="s">
        <v>162</v>
      </c>
      <c r="AB1131" s="15" t="s">
        <v>12845</v>
      </c>
      <c r="AC1131" s="15" t="s">
        <v>12845</v>
      </c>
      <c r="AD1131" s="15" t="s">
        <v>12845</v>
      </c>
      <c r="AE1131" s="15" t="s">
        <v>164</v>
      </c>
      <c r="AF1131" s="15" t="s">
        <v>12845</v>
      </c>
      <c r="AG1131" s="15" t="s">
        <v>12845</v>
      </c>
      <c r="AH1131" s="34" t="s">
        <v>12846</v>
      </c>
      <c r="AL1131" s="15" t="s">
        <v>12847</v>
      </c>
      <c r="AN1131" s="15">
        <v>743</v>
      </c>
      <c r="AO1131" s="15" t="s">
        <v>12848</v>
      </c>
      <c r="AQ1131" s="15" t="s">
        <v>912</v>
      </c>
      <c r="AT1131" s="15" t="s">
        <v>12849</v>
      </c>
      <c r="AU1131" s="15" t="s">
        <v>12850</v>
      </c>
      <c r="AV1131" s="15" t="s">
        <v>12850</v>
      </c>
      <c r="AW1131" s="15" t="s">
        <v>12851</v>
      </c>
      <c r="AX1131" s="15" t="s">
        <v>12852</v>
      </c>
      <c r="AY1131" s="15">
        <f t="shared" si="22"/>
        <v>48</v>
      </c>
      <c r="AZ1131" s="15" t="s">
        <v>917</v>
      </c>
      <c r="BA1131" s="15" t="s">
        <v>174</v>
      </c>
      <c r="BB1131" s="15" t="s">
        <v>10290</v>
      </c>
      <c r="BE1131" s="15" t="s">
        <v>1123</v>
      </c>
      <c r="BF1131" s="15" t="s">
        <v>1095</v>
      </c>
      <c r="BJ1131" s="15" t="s">
        <v>12853</v>
      </c>
      <c r="BS1131" s="15" t="s">
        <v>12854</v>
      </c>
      <c r="DH1131" s="15" t="s">
        <v>17982</v>
      </c>
      <c r="DI1131" s="15" t="s">
        <v>17982</v>
      </c>
    </row>
    <row r="1132" spans="1:113" s="15" customFormat="1" ht="12.75" x14ac:dyDescent="0.2">
      <c r="A1132" s="15" t="s">
        <v>109</v>
      </c>
      <c r="B1132" s="15" t="s">
        <v>110</v>
      </c>
      <c r="D1132" s="15" t="s">
        <v>620</v>
      </c>
      <c r="E1132" s="15" t="s">
        <v>112</v>
      </c>
      <c r="F1132" s="15" t="s">
        <v>620</v>
      </c>
      <c r="G1132" s="15" t="s">
        <v>113</v>
      </c>
      <c r="H1132" s="15" t="s">
        <v>1481</v>
      </c>
      <c r="J1132" s="16" t="s">
        <v>114</v>
      </c>
      <c r="U1132" s="15" t="s">
        <v>17977</v>
      </c>
      <c r="W1132" s="15">
        <v>378</v>
      </c>
      <c r="X1132" s="15">
        <v>1142</v>
      </c>
      <c r="Y1132" s="15" t="s">
        <v>160</v>
      </c>
      <c r="Z1132" s="15" t="s">
        <v>161</v>
      </c>
      <c r="AA1132" s="15" t="s">
        <v>162</v>
      </c>
      <c r="AB1132" s="15" t="s">
        <v>1519</v>
      </c>
      <c r="AC1132" s="15" t="s">
        <v>1519</v>
      </c>
      <c r="AD1132" s="15" t="s">
        <v>1519</v>
      </c>
      <c r="AE1132" s="15" t="s">
        <v>164</v>
      </c>
      <c r="AF1132" s="15" t="s">
        <v>1519</v>
      </c>
      <c r="AG1132" s="15" t="s">
        <v>1519</v>
      </c>
      <c r="AH1132" s="34" t="s">
        <v>1520</v>
      </c>
      <c r="AL1132" s="15" t="s">
        <v>1521</v>
      </c>
      <c r="AN1132" s="15">
        <v>743</v>
      </c>
      <c r="AO1132" s="15" t="s">
        <v>1522</v>
      </c>
      <c r="AQ1132" s="15" t="s">
        <v>925</v>
      </c>
      <c r="AT1132" s="15" t="s">
        <v>1523</v>
      </c>
      <c r="AU1132" s="15" t="s">
        <v>1524</v>
      </c>
      <c r="AV1132" s="15" t="s">
        <v>1524</v>
      </c>
      <c r="AW1132" s="15" t="s">
        <v>1525</v>
      </c>
      <c r="AX1132" s="15" t="s">
        <v>1526</v>
      </c>
      <c r="AY1132" s="15">
        <f t="shared" si="22"/>
        <v>52</v>
      </c>
      <c r="AZ1132" s="15" t="s">
        <v>930</v>
      </c>
      <c r="BA1132" s="15" t="s">
        <v>933</v>
      </c>
      <c r="BB1132" s="15" t="s">
        <v>1527</v>
      </c>
      <c r="BE1132" s="15" t="s">
        <v>1528</v>
      </c>
      <c r="BF1132" s="15" t="s">
        <v>1529</v>
      </c>
      <c r="BJ1132" s="15" t="s">
        <v>1530</v>
      </c>
      <c r="BN1132" s="15" t="s">
        <v>179</v>
      </c>
      <c r="BP1132" s="15" t="s">
        <v>138</v>
      </c>
      <c r="BS1132" s="15" t="s">
        <v>1531</v>
      </c>
      <c r="DH1132" s="15" t="s">
        <v>17982</v>
      </c>
      <c r="DI1132" s="15" t="s">
        <v>17982</v>
      </c>
    </row>
    <row r="1133" spans="1:113" s="15" customFormat="1" ht="12.75" x14ac:dyDescent="0.2">
      <c r="A1133" s="15" t="s">
        <v>109</v>
      </c>
      <c r="B1133" s="15" t="s">
        <v>110</v>
      </c>
      <c r="D1133" s="15" t="s">
        <v>620</v>
      </c>
      <c r="E1133" s="15" t="s">
        <v>112</v>
      </c>
      <c r="F1133" s="15" t="s">
        <v>620</v>
      </c>
      <c r="G1133" s="15" t="s">
        <v>113</v>
      </c>
      <c r="H1133" s="15" t="s">
        <v>1481</v>
      </c>
      <c r="J1133" s="16" t="s">
        <v>114</v>
      </c>
      <c r="U1133" s="15" t="s">
        <v>17977</v>
      </c>
      <c r="W1133" s="15">
        <v>379</v>
      </c>
      <c r="X1133" s="15">
        <v>1143</v>
      </c>
      <c r="Y1133" s="15" t="s">
        <v>160</v>
      </c>
      <c r="Z1133" s="15" t="s">
        <v>161</v>
      </c>
      <c r="AA1133" s="15" t="s">
        <v>162</v>
      </c>
      <c r="AB1133" s="15" t="s">
        <v>1532</v>
      </c>
      <c r="AC1133" s="15" t="s">
        <v>1532</v>
      </c>
      <c r="AD1133" s="15" t="s">
        <v>1532</v>
      </c>
      <c r="AE1133" s="15" t="s">
        <v>164</v>
      </c>
      <c r="AF1133" s="15" t="s">
        <v>1532</v>
      </c>
      <c r="AG1133" s="15" t="s">
        <v>1532</v>
      </c>
      <c r="AH1133" s="34" t="s">
        <v>1533</v>
      </c>
      <c r="AI1133" s="15">
        <v>42293303</v>
      </c>
      <c r="AK1133" s="15" t="s">
        <v>1534</v>
      </c>
      <c r="AL1133" s="15" t="s">
        <v>1535</v>
      </c>
      <c r="AN1133" s="15">
        <v>743</v>
      </c>
      <c r="AO1133" s="15" t="s">
        <v>1536</v>
      </c>
      <c r="AQ1133" s="15" t="s">
        <v>925</v>
      </c>
      <c r="AT1133" s="15" t="s">
        <v>1537</v>
      </c>
      <c r="AU1133" s="15" t="s">
        <v>1538</v>
      </c>
      <c r="AV1133" s="15" t="s">
        <v>1538</v>
      </c>
      <c r="AW1133" s="15" t="s">
        <v>1539</v>
      </c>
      <c r="AX1133" s="15" t="s">
        <v>1540</v>
      </c>
      <c r="AY1133" s="15">
        <f t="shared" si="22"/>
        <v>56</v>
      </c>
      <c r="AZ1133" s="15" t="s">
        <v>930</v>
      </c>
      <c r="BA1133" s="15" t="s">
        <v>933</v>
      </c>
      <c r="BB1133" s="15" t="s">
        <v>1527</v>
      </c>
      <c r="BE1133" s="15" t="s">
        <v>1528</v>
      </c>
      <c r="BF1133" s="15" t="s">
        <v>1541</v>
      </c>
      <c r="BJ1133" s="15" t="s">
        <v>1530</v>
      </c>
      <c r="BN1133" s="15" t="s">
        <v>179</v>
      </c>
      <c r="BP1133" s="15" t="s">
        <v>138</v>
      </c>
      <c r="BS1133" s="15" t="s">
        <v>1542</v>
      </c>
      <c r="DH1133" s="15" t="s">
        <v>17982</v>
      </c>
      <c r="DI1133" s="15" t="s">
        <v>17982</v>
      </c>
    </row>
    <row r="1134" spans="1:113" s="15" customFormat="1" ht="12.75" x14ac:dyDescent="0.2">
      <c r="A1134" s="15" t="s">
        <v>109</v>
      </c>
      <c r="B1134" s="15" t="s">
        <v>110</v>
      </c>
      <c r="D1134" s="15" t="s">
        <v>620</v>
      </c>
      <c r="E1134" s="15" t="s">
        <v>112</v>
      </c>
      <c r="F1134" s="15" t="s">
        <v>620</v>
      </c>
      <c r="G1134" s="15" t="s">
        <v>113</v>
      </c>
      <c r="H1134" s="15" t="s">
        <v>1481</v>
      </c>
      <c r="J1134" s="16" t="s">
        <v>114</v>
      </c>
      <c r="U1134" s="15" t="s">
        <v>17977</v>
      </c>
      <c r="W1134" s="15">
        <v>380</v>
      </c>
      <c r="X1134" s="15">
        <v>1144</v>
      </c>
      <c r="Y1134" s="15" t="s">
        <v>160</v>
      </c>
      <c r="Z1134" s="15" t="s">
        <v>161</v>
      </c>
      <c r="AA1134" s="15" t="s">
        <v>162</v>
      </c>
      <c r="AB1134" s="15" t="s">
        <v>1543</v>
      </c>
      <c r="AC1134" s="15" t="s">
        <v>1543</v>
      </c>
      <c r="AD1134" s="15" t="s">
        <v>1543</v>
      </c>
      <c r="AE1134" s="15" t="s">
        <v>164</v>
      </c>
      <c r="AF1134" s="15" t="s">
        <v>1543</v>
      </c>
      <c r="AG1134" s="15" t="s">
        <v>1543</v>
      </c>
      <c r="AH1134" s="34" t="s">
        <v>1544</v>
      </c>
      <c r="AL1134" s="15" t="s">
        <v>1545</v>
      </c>
      <c r="AN1134" s="15">
        <v>743</v>
      </c>
      <c r="AO1134" s="15" t="s">
        <v>1546</v>
      </c>
      <c r="AQ1134" s="15" t="s">
        <v>925</v>
      </c>
      <c r="AT1134" s="15" t="s">
        <v>1547</v>
      </c>
      <c r="AU1134" s="15" t="s">
        <v>1548</v>
      </c>
      <c r="AV1134" s="15" t="s">
        <v>1548</v>
      </c>
      <c r="AW1134" s="15" t="s">
        <v>1549</v>
      </c>
      <c r="AX1134" s="15" t="s">
        <v>1550</v>
      </c>
      <c r="AY1134" s="15">
        <f t="shared" si="22"/>
        <v>55</v>
      </c>
      <c r="AZ1134" s="15" t="s">
        <v>930</v>
      </c>
      <c r="BA1134" s="15" t="s">
        <v>933</v>
      </c>
      <c r="BB1134" s="15" t="s">
        <v>1527</v>
      </c>
      <c r="BE1134" s="15" t="s">
        <v>1528</v>
      </c>
      <c r="BF1134" s="15" t="s">
        <v>1551</v>
      </c>
      <c r="BJ1134" s="15" t="s">
        <v>1530</v>
      </c>
      <c r="BN1134" s="15" t="s">
        <v>179</v>
      </c>
      <c r="BP1134" s="15" t="s">
        <v>138</v>
      </c>
      <c r="BS1134" s="15" t="s">
        <v>1552</v>
      </c>
      <c r="DH1134" s="15" t="s">
        <v>17982</v>
      </c>
      <c r="DI1134" s="15" t="s">
        <v>17982</v>
      </c>
    </row>
    <row r="1135" spans="1:113" s="15" customFormat="1" ht="12.75" x14ac:dyDescent="0.2">
      <c r="A1135" s="15" t="s">
        <v>109</v>
      </c>
      <c r="B1135" s="15" t="s">
        <v>110</v>
      </c>
      <c r="D1135" s="15" t="s">
        <v>620</v>
      </c>
      <c r="E1135" s="15" t="s">
        <v>112</v>
      </c>
      <c r="F1135" s="15" t="s">
        <v>620</v>
      </c>
      <c r="G1135" s="15" t="s">
        <v>113</v>
      </c>
      <c r="H1135" s="15" t="s">
        <v>1481</v>
      </c>
      <c r="J1135" s="16" t="s">
        <v>114</v>
      </c>
      <c r="U1135" s="15" t="s">
        <v>17977</v>
      </c>
      <c r="W1135" s="15">
        <v>381</v>
      </c>
      <c r="X1135" s="15">
        <v>1145</v>
      </c>
      <c r="Y1135" s="15" t="s">
        <v>160</v>
      </c>
      <c r="Z1135" s="15" t="s">
        <v>161</v>
      </c>
      <c r="AA1135" s="15" t="s">
        <v>162</v>
      </c>
      <c r="AB1135" s="15" t="s">
        <v>1553</v>
      </c>
      <c r="AC1135" s="15" t="s">
        <v>1553</v>
      </c>
      <c r="AD1135" s="15" t="s">
        <v>1553</v>
      </c>
      <c r="AE1135" s="15" t="s">
        <v>164</v>
      </c>
      <c r="AF1135" s="15" t="s">
        <v>1553</v>
      </c>
      <c r="AG1135" s="15" t="s">
        <v>1553</v>
      </c>
      <c r="AH1135" s="34" t="s">
        <v>1554</v>
      </c>
      <c r="AL1135" s="15" t="s">
        <v>1555</v>
      </c>
      <c r="AN1135" s="15">
        <v>743</v>
      </c>
      <c r="AO1135" s="15" t="s">
        <v>1556</v>
      </c>
      <c r="AQ1135" s="15" t="s">
        <v>925</v>
      </c>
      <c r="AT1135" s="15" t="s">
        <v>1557</v>
      </c>
      <c r="AU1135" s="15" t="s">
        <v>1558</v>
      </c>
      <c r="AV1135" s="15" t="s">
        <v>1558</v>
      </c>
      <c r="AW1135" s="15" t="s">
        <v>1559</v>
      </c>
      <c r="AX1135" s="15" t="s">
        <v>1560</v>
      </c>
      <c r="AY1135" s="15">
        <f t="shared" si="22"/>
        <v>54</v>
      </c>
      <c r="AZ1135" s="15" t="s">
        <v>930</v>
      </c>
      <c r="BA1135" s="15" t="s">
        <v>933</v>
      </c>
      <c r="BB1135" s="15" t="s">
        <v>1527</v>
      </c>
      <c r="BE1135" s="15" t="s">
        <v>1528</v>
      </c>
      <c r="BF1135" s="15" t="s">
        <v>1561</v>
      </c>
      <c r="BJ1135" s="15" t="s">
        <v>1530</v>
      </c>
      <c r="BN1135" s="15" t="s">
        <v>179</v>
      </c>
      <c r="BP1135" s="15" t="s">
        <v>138</v>
      </c>
      <c r="BS1135" s="15" t="s">
        <v>1562</v>
      </c>
      <c r="DH1135" s="15" t="s">
        <v>17982</v>
      </c>
      <c r="DI1135" s="15" t="s">
        <v>17982</v>
      </c>
    </row>
    <row r="1136" spans="1:113" s="15" customFormat="1" ht="12.75" x14ac:dyDescent="0.2">
      <c r="A1136" s="15" t="s">
        <v>109</v>
      </c>
      <c r="B1136" s="15" t="s">
        <v>110</v>
      </c>
      <c r="D1136" s="15" t="s">
        <v>620</v>
      </c>
      <c r="E1136" s="15" t="s">
        <v>112</v>
      </c>
      <c r="F1136" s="15" t="s">
        <v>620</v>
      </c>
      <c r="G1136" s="15" t="s">
        <v>113</v>
      </c>
      <c r="H1136" s="15" t="s">
        <v>1481</v>
      </c>
      <c r="J1136" s="16" t="s">
        <v>114</v>
      </c>
      <c r="U1136" s="15" t="s">
        <v>17977</v>
      </c>
      <c r="W1136" s="15">
        <v>2139</v>
      </c>
      <c r="X1136" s="15">
        <v>1146</v>
      </c>
      <c r="Y1136" s="15" t="s">
        <v>160</v>
      </c>
      <c r="Z1136" s="15" t="s">
        <v>161</v>
      </c>
      <c r="AA1136" s="15" t="s">
        <v>162</v>
      </c>
      <c r="AB1136" s="15" t="s">
        <v>10964</v>
      </c>
      <c r="AC1136" s="15" t="s">
        <v>10964</v>
      </c>
      <c r="AD1136" s="15" t="s">
        <v>10964</v>
      </c>
      <c r="AE1136" s="15" t="s">
        <v>164</v>
      </c>
      <c r="AF1136" s="15" t="s">
        <v>10964</v>
      </c>
      <c r="AG1136" s="15" t="s">
        <v>10964</v>
      </c>
      <c r="AH1136" s="34" t="s">
        <v>10965</v>
      </c>
      <c r="AL1136" s="15" t="s">
        <v>10966</v>
      </c>
      <c r="AN1136" s="15">
        <v>743</v>
      </c>
      <c r="AO1136" s="15" t="s">
        <v>10967</v>
      </c>
      <c r="AQ1136" s="15" t="s">
        <v>925</v>
      </c>
      <c r="AT1136" s="15" t="s">
        <v>10968</v>
      </c>
      <c r="AU1136" s="15" t="s">
        <v>10969</v>
      </c>
      <c r="AV1136" s="15" t="s">
        <v>10969</v>
      </c>
      <c r="AW1136" s="15" t="s">
        <v>10970</v>
      </c>
      <c r="AX1136" s="15" t="s">
        <v>10971</v>
      </c>
      <c r="AY1136" s="15">
        <f t="shared" si="22"/>
        <v>51</v>
      </c>
      <c r="AZ1136" s="15" t="s">
        <v>930</v>
      </c>
      <c r="BA1136" s="15" t="s">
        <v>933</v>
      </c>
      <c r="BB1136" s="15" t="s">
        <v>10972</v>
      </c>
      <c r="BE1136" s="15" t="s">
        <v>10973</v>
      </c>
      <c r="BF1136" s="15" t="s">
        <v>10974</v>
      </c>
      <c r="BJ1136" s="15" t="s">
        <v>1530</v>
      </c>
      <c r="BN1136" s="15" t="s">
        <v>179</v>
      </c>
      <c r="BP1136" s="15" t="s">
        <v>138</v>
      </c>
      <c r="BS1136" s="15" t="s">
        <v>10975</v>
      </c>
      <c r="DH1136" s="15" t="s">
        <v>17982</v>
      </c>
      <c r="DI1136" s="15" t="s">
        <v>17982</v>
      </c>
    </row>
    <row r="1137" spans="1:113" s="15" customFormat="1" ht="12.75" x14ac:dyDescent="0.2">
      <c r="A1137" s="15" t="s">
        <v>109</v>
      </c>
      <c r="B1137" s="15" t="s">
        <v>110</v>
      </c>
      <c r="D1137" s="15" t="s">
        <v>620</v>
      </c>
      <c r="E1137" s="15" t="s">
        <v>112</v>
      </c>
      <c r="F1137" s="15" t="s">
        <v>620</v>
      </c>
      <c r="G1137" s="15" t="s">
        <v>113</v>
      </c>
      <c r="H1137" s="15" t="s">
        <v>1481</v>
      </c>
      <c r="J1137" s="16" t="s">
        <v>114</v>
      </c>
      <c r="U1137" s="15" t="s">
        <v>17977</v>
      </c>
      <c r="W1137" s="15">
        <v>890</v>
      </c>
      <c r="X1137" s="15">
        <v>1147</v>
      </c>
      <c r="Y1137" s="15" t="s">
        <v>160</v>
      </c>
      <c r="Z1137" s="15" t="s">
        <v>161</v>
      </c>
      <c r="AA1137" s="15" t="s">
        <v>162</v>
      </c>
      <c r="AB1137" s="15" t="s">
        <v>3978</v>
      </c>
      <c r="AC1137" s="15" t="s">
        <v>3978</v>
      </c>
      <c r="AD1137" s="15" t="s">
        <v>3978</v>
      </c>
      <c r="AE1137" s="15" t="s">
        <v>164</v>
      </c>
      <c r="AF1137" s="15" t="s">
        <v>3978</v>
      </c>
      <c r="AG1137" s="15" t="s">
        <v>3978</v>
      </c>
      <c r="AH1137" s="34" t="s">
        <v>3979</v>
      </c>
      <c r="AL1137" s="15" t="s">
        <v>3980</v>
      </c>
      <c r="AN1137" s="15">
        <v>743</v>
      </c>
      <c r="AO1137" s="15" t="s">
        <v>3981</v>
      </c>
      <c r="AQ1137" s="15" t="s">
        <v>912</v>
      </c>
      <c r="AT1137" s="15" t="s">
        <v>3982</v>
      </c>
      <c r="AU1137" s="15" t="s">
        <v>3983</v>
      </c>
      <c r="AV1137" s="15" t="s">
        <v>3983</v>
      </c>
      <c r="AW1137" s="15" t="s">
        <v>3984</v>
      </c>
      <c r="AX1137" s="15" t="s">
        <v>3984</v>
      </c>
      <c r="AY1137" s="15">
        <f t="shared" si="22"/>
        <v>54</v>
      </c>
      <c r="AZ1137" s="15" t="s">
        <v>917</v>
      </c>
      <c r="BA1137" s="15" t="s">
        <v>174</v>
      </c>
      <c r="BB1137" s="15" t="s">
        <v>3974</v>
      </c>
      <c r="BE1137" s="15" t="s">
        <v>564</v>
      </c>
      <c r="BF1137" s="15" t="s">
        <v>3975</v>
      </c>
      <c r="BI1137" s="15" t="s">
        <v>218</v>
      </c>
      <c r="BN1137" s="15" t="s">
        <v>179</v>
      </c>
      <c r="BP1137" s="15" t="s">
        <v>138</v>
      </c>
      <c r="BS1137" s="15" t="s">
        <v>3985</v>
      </c>
      <c r="DH1137" s="15" t="s">
        <v>17982</v>
      </c>
      <c r="DI1137" s="15" t="s">
        <v>17982</v>
      </c>
    </row>
    <row r="1138" spans="1:113" s="15" customFormat="1" ht="12.75" x14ac:dyDescent="0.2">
      <c r="A1138" s="15" t="s">
        <v>109</v>
      </c>
      <c r="B1138" s="15" t="s">
        <v>110</v>
      </c>
      <c r="D1138" s="15" t="s">
        <v>620</v>
      </c>
      <c r="E1138" s="15" t="s">
        <v>112</v>
      </c>
      <c r="F1138" s="15" t="s">
        <v>620</v>
      </c>
      <c r="G1138" s="15" t="s">
        <v>113</v>
      </c>
      <c r="H1138" s="15" t="s">
        <v>1481</v>
      </c>
      <c r="J1138" s="16" t="s">
        <v>114</v>
      </c>
      <c r="U1138" s="15" t="s">
        <v>17977</v>
      </c>
      <c r="W1138" s="15">
        <v>889</v>
      </c>
      <c r="X1138" s="15">
        <v>1148</v>
      </c>
      <c r="Y1138" s="15" t="s">
        <v>160</v>
      </c>
      <c r="Z1138" s="15" t="s">
        <v>161</v>
      </c>
      <c r="AA1138" s="15" t="s">
        <v>162</v>
      </c>
      <c r="AB1138" s="15" t="s">
        <v>3967</v>
      </c>
      <c r="AC1138" s="15" t="s">
        <v>3967</v>
      </c>
      <c r="AD1138" s="15" t="s">
        <v>3967</v>
      </c>
      <c r="AE1138" s="15" t="s">
        <v>164</v>
      </c>
      <c r="AF1138" s="15" t="s">
        <v>3967</v>
      </c>
      <c r="AG1138" s="15" t="s">
        <v>3967</v>
      </c>
      <c r="AH1138" s="34" t="s">
        <v>3968</v>
      </c>
      <c r="AL1138" s="15" t="s">
        <v>3969</v>
      </c>
      <c r="AN1138" s="15">
        <v>743</v>
      </c>
      <c r="AO1138" s="15" t="s">
        <v>3970</v>
      </c>
      <c r="AQ1138" s="15" t="s">
        <v>912</v>
      </c>
      <c r="AT1138" s="15" t="s">
        <v>3971</v>
      </c>
      <c r="AU1138" s="15" t="s">
        <v>3972</v>
      </c>
      <c r="AV1138" s="15" t="s">
        <v>3972</v>
      </c>
      <c r="AW1138" s="15" t="s">
        <v>3973</v>
      </c>
      <c r="AX1138" s="15" t="s">
        <v>3973</v>
      </c>
      <c r="AY1138" s="15">
        <f t="shared" si="22"/>
        <v>54</v>
      </c>
      <c r="AZ1138" s="15" t="s">
        <v>917</v>
      </c>
      <c r="BA1138" s="15" t="s">
        <v>174</v>
      </c>
      <c r="BB1138" s="15" t="s">
        <v>3974</v>
      </c>
      <c r="BE1138" s="15" t="s">
        <v>564</v>
      </c>
      <c r="BF1138" s="15" t="s">
        <v>3975</v>
      </c>
      <c r="BI1138" s="15" t="s">
        <v>3976</v>
      </c>
      <c r="BN1138" s="15" t="s">
        <v>179</v>
      </c>
      <c r="BP1138" s="15" t="s">
        <v>138</v>
      </c>
      <c r="BS1138" s="15" t="s">
        <v>3977</v>
      </c>
      <c r="DH1138" s="15" t="s">
        <v>17982</v>
      </c>
      <c r="DI1138" s="15" t="s">
        <v>17982</v>
      </c>
    </row>
    <row r="1139" spans="1:113" s="15" customFormat="1" ht="12.75" x14ac:dyDescent="0.2">
      <c r="A1139" s="15" t="s">
        <v>109</v>
      </c>
      <c r="B1139" s="15" t="s">
        <v>110</v>
      </c>
      <c r="D1139" s="15" t="s">
        <v>620</v>
      </c>
      <c r="E1139" s="15" t="s">
        <v>112</v>
      </c>
      <c r="F1139" s="15" t="s">
        <v>620</v>
      </c>
      <c r="G1139" s="15" t="s">
        <v>113</v>
      </c>
      <c r="H1139" s="15" t="s">
        <v>1481</v>
      </c>
      <c r="J1139" s="16" t="s">
        <v>114</v>
      </c>
      <c r="U1139" s="15" t="s">
        <v>17977</v>
      </c>
      <c r="W1139" s="15">
        <v>2140</v>
      </c>
      <c r="X1139" s="15">
        <v>1149</v>
      </c>
      <c r="Y1139" s="15" t="s">
        <v>160</v>
      </c>
      <c r="Z1139" s="15" t="s">
        <v>161</v>
      </c>
      <c r="AA1139" s="15" t="s">
        <v>162</v>
      </c>
      <c r="AB1139" s="15" t="s">
        <v>10976</v>
      </c>
      <c r="AC1139" s="15" t="s">
        <v>10976</v>
      </c>
      <c r="AD1139" s="15" t="s">
        <v>10976</v>
      </c>
      <c r="AE1139" s="15" t="s">
        <v>164</v>
      </c>
      <c r="AF1139" s="15" t="s">
        <v>10976</v>
      </c>
      <c r="AG1139" s="15" t="s">
        <v>10976</v>
      </c>
      <c r="AH1139" s="34" t="s">
        <v>10977</v>
      </c>
      <c r="AL1139" s="15" t="s">
        <v>10978</v>
      </c>
      <c r="AN1139" s="15">
        <v>743</v>
      </c>
      <c r="AO1139" s="15" t="s">
        <v>10979</v>
      </c>
      <c r="AQ1139" s="15" t="s">
        <v>925</v>
      </c>
      <c r="AT1139" s="15" t="s">
        <v>10980</v>
      </c>
      <c r="AU1139" s="15" t="s">
        <v>10981</v>
      </c>
      <c r="AV1139" s="15" t="s">
        <v>10981</v>
      </c>
      <c r="AW1139" s="15" t="s">
        <v>10982</v>
      </c>
      <c r="AX1139" s="15" t="s">
        <v>10982</v>
      </c>
      <c r="AY1139" s="15">
        <f t="shared" si="22"/>
        <v>41</v>
      </c>
      <c r="AZ1139" s="15" t="s">
        <v>930</v>
      </c>
      <c r="BA1139" s="15" t="s">
        <v>933</v>
      </c>
      <c r="BB1139" s="15" t="s">
        <v>10972</v>
      </c>
      <c r="BE1139" s="15" t="s">
        <v>10983</v>
      </c>
      <c r="BN1139" s="15" t="s">
        <v>179</v>
      </c>
      <c r="BP1139" s="15" t="s">
        <v>138</v>
      </c>
      <c r="BS1139" s="15" t="s">
        <v>10984</v>
      </c>
      <c r="DH1139" s="15" t="s">
        <v>17982</v>
      </c>
      <c r="DI1139" s="15" t="s">
        <v>17982</v>
      </c>
    </row>
    <row r="1140" spans="1:113" s="15" customFormat="1" ht="12.75" x14ac:dyDescent="0.2">
      <c r="A1140" s="15" t="s">
        <v>109</v>
      </c>
      <c r="B1140" s="15" t="s">
        <v>110</v>
      </c>
      <c r="D1140" s="15" t="s">
        <v>620</v>
      </c>
      <c r="E1140" s="15" t="s">
        <v>112</v>
      </c>
      <c r="F1140" s="15" t="s">
        <v>620</v>
      </c>
      <c r="G1140" s="15" t="s">
        <v>113</v>
      </c>
      <c r="H1140" s="15" t="s">
        <v>1481</v>
      </c>
      <c r="J1140" s="16" t="s">
        <v>114</v>
      </c>
      <c r="U1140" s="15" t="s">
        <v>17977</v>
      </c>
      <c r="W1140" s="15">
        <v>2012</v>
      </c>
      <c r="X1140" s="15">
        <v>1150</v>
      </c>
      <c r="Y1140" s="15" t="s">
        <v>160</v>
      </c>
      <c r="Z1140" s="15" t="s">
        <v>161</v>
      </c>
      <c r="AA1140" s="15" t="s">
        <v>162</v>
      </c>
      <c r="AB1140" s="15" t="s">
        <v>10271</v>
      </c>
      <c r="AC1140" s="15" t="s">
        <v>10271</v>
      </c>
      <c r="AD1140" s="15" t="s">
        <v>10271</v>
      </c>
      <c r="AE1140" s="15" t="s">
        <v>164</v>
      </c>
      <c r="AF1140" s="15" t="s">
        <v>10271</v>
      </c>
      <c r="AG1140" s="15" t="s">
        <v>10271</v>
      </c>
      <c r="AH1140" s="34" t="s">
        <v>10272</v>
      </c>
      <c r="AL1140" s="15" t="s">
        <v>10273</v>
      </c>
      <c r="AN1140" s="15">
        <v>743</v>
      </c>
      <c r="AO1140" s="15" t="s">
        <v>10274</v>
      </c>
      <c r="AQ1140" s="15" t="s">
        <v>925</v>
      </c>
      <c r="AT1140" s="15" t="s">
        <v>10275</v>
      </c>
      <c r="AU1140" s="15" t="s">
        <v>10276</v>
      </c>
      <c r="AV1140" s="15" t="s">
        <v>10276</v>
      </c>
      <c r="AW1140" s="15" t="s">
        <v>10277</v>
      </c>
      <c r="AX1140" s="15" t="s">
        <v>10278</v>
      </c>
      <c r="AY1140" s="15">
        <f t="shared" si="22"/>
        <v>50</v>
      </c>
      <c r="AZ1140" s="15" t="s">
        <v>930</v>
      </c>
      <c r="BA1140" s="15" t="s">
        <v>933</v>
      </c>
      <c r="BE1140" s="15" t="s">
        <v>1582</v>
      </c>
      <c r="BI1140" s="15" t="s">
        <v>10279</v>
      </c>
      <c r="BJ1140" s="15" t="s">
        <v>10280</v>
      </c>
      <c r="BN1140" s="15" t="s">
        <v>179</v>
      </c>
      <c r="BP1140" s="15" t="s">
        <v>138</v>
      </c>
      <c r="BS1140" s="15" t="s">
        <v>10281</v>
      </c>
      <c r="DH1140" s="15" t="s">
        <v>17982</v>
      </c>
      <c r="DI1140" s="15" t="s">
        <v>17982</v>
      </c>
    </row>
    <row r="1141" spans="1:113" s="15" customFormat="1" ht="12.75" x14ac:dyDescent="0.2">
      <c r="A1141" s="15" t="s">
        <v>109</v>
      </c>
      <c r="B1141" s="15" t="s">
        <v>110</v>
      </c>
      <c r="D1141" s="15" t="s">
        <v>620</v>
      </c>
      <c r="E1141" s="15" t="s">
        <v>112</v>
      </c>
      <c r="F1141" s="15" t="s">
        <v>620</v>
      </c>
      <c r="G1141" s="15" t="s">
        <v>113</v>
      </c>
      <c r="H1141" s="15" t="s">
        <v>1481</v>
      </c>
      <c r="J1141" s="16" t="s">
        <v>114</v>
      </c>
      <c r="U1141" s="15" t="s">
        <v>17977</v>
      </c>
      <c r="W1141" s="15">
        <v>651</v>
      </c>
      <c r="X1141" s="15">
        <v>1151</v>
      </c>
      <c r="Y1141" s="15" t="s">
        <v>160</v>
      </c>
      <c r="Z1141" s="15" t="s">
        <v>161</v>
      </c>
      <c r="AA1141" s="15" t="s">
        <v>162</v>
      </c>
      <c r="AB1141" s="15" t="s">
        <v>2277</v>
      </c>
      <c r="AC1141" s="15" t="s">
        <v>2277</v>
      </c>
      <c r="AD1141" s="15" t="s">
        <v>2277</v>
      </c>
      <c r="AE1141" s="15" t="s">
        <v>164</v>
      </c>
      <c r="AF1141" s="15" t="s">
        <v>2277</v>
      </c>
      <c r="AG1141" s="15" t="s">
        <v>2277</v>
      </c>
      <c r="AH1141" s="34" t="s">
        <v>2278</v>
      </c>
      <c r="AL1141" s="15" t="s">
        <v>2279</v>
      </c>
      <c r="AN1141" s="15">
        <v>743</v>
      </c>
      <c r="AO1141" s="15" t="s">
        <v>2280</v>
      </c>
      <c r="AQ1141" s="15" t="s">
        <v>2281</v>
      </c>
      <c r="AT1141" s="15" t="s">
        <v>2282</v>
      </c>
      <c r="AU1141" s="15" t="s">
        <v>2283</v>
      </c>
      <c r="AV1141" s="15" t="s">
        <v>2283</v>
      </c>
      <c r="AW1141" s="15" t="s">
        <v>2284</v>
      </c>
      <c r="AX1141" s="15" t="s">
        <v>2285</v>
      </c>
      <c r="AY1141" s="15">
        <f t="shared" si="22"/>
        <v>60</v>
      </c>
      <c r="AZ1141" s="15" t="s">
        <v>2286</v>
      </c>
      <c r="BA1141" s="15" t="s">
        <v>174</v>
      </c>
      <c r="BB1141" s="15" t="s">
        <v>2287</v>
      </c>
      <c r="BJ1141" s="15" t="s">
        <v>2288</v>
      </c>
      <c r="BN1141" s="15" t="s">
        <v>179</v>
      </c>
      <c r="BP1141" s="15" t="s">
        <v>138</v>
      </c>
      <c r="BS1141" s="15" t="s">
        <v>2289</v>
      </c>
      <c r="DH1141" s="15" t="s">
        <v>17982</v>
      </c>
      <c r="DI1141" s="15" t="s">
        <v>17982</v>
      </c>
    </row>
    <row r="1142" spans="1:113" s="15" customFormat="1" ht="12.75" x14ac:dyDescent="0.2">
      <c r="A1142" s="15" t="s">
        <v>109</v>
      </c>
      <c r="B1142" s="15" t="s">
        <v>110</v>
      </c>
      <c r="D1142" s="15" t="s">
        <v>620</v>
      </c>
      <c r="E1142" s="15" t="s">
        <v>112</v>
      </c>
      <c r="F1142" s="15" t="s">
        <v>620</v>
      </c>
      <c r="G1142" s="15" t="s">
        <v>113</v>
      </c>
      <c r="H1142" s="15" t="s">
        <v>1481</v>
      </c>
      <c r="J1142" s="16" t="s">
        <v>114</v>
      </c>
      <c r="U1142" s="15" t="s">
        <v>17977</v>
      </c>
      <c r="W1142" s="15">
        <v>1351</v>
      </c>
      <c r="X1142" s="15">
        <v>1152</v>
      </c>
      <c r="Y1142" s="15" t="s">
        <v>160</v>
      </c>
      <c r="Z1142" s="15" t="s">
        <v>161</v>
      </c>
      <c r="AA1142" s="15" t="s">
        <v>162</v>
      </c>
      <c r="AB1142" s="15" t="s">
        <v>6979</v>
      </c>
      <c r="AC1142" s="15" t="s">
        <v>6979</v>
      </c>
      <c r="AD1142" s="15" t="s">
        <v>6979</v>
      </c>
      <c r="AE1142" s="15" t="s">
        <v>164</v>
      </c>
      <c r="AF1142" s="15" t="s">
        <v>6979</v>
      </c>
      <c r="AG1142" s="15" t="s">
        <v>6979</v>
      </c>
      <c r="AH1142" s="34" t="s">
        <v>6980</v>
      </c>
      <c r="AL1142" s="15" t="s">
        <v>6981</v>
      </c>
      <c r="AN1142" s="15">
        <v>743</v>
      </c>
      <c r="AO1142" s="15" t="s">
        <v>6982</v>
      </c>
      <c r="AQ1142" s="15" t="s">
        <v>912</v>
      </c>
      <c r="AT1142" s="15" t="s">
        <v>6983</v>
      </c>
      <c r="AU1142" s="15" t="s">
        <v>6984</v>
      </c>
      <c r="AV1142" s="15" t="s">
        <v>6984</v>
      </c>
      <c r="AW1142" s="15" t="s">
        <v>6985</v>
      </c>
      <c r="AX1142" s="15" t="s">
        <v>6986</v>
      </c>
      <c r="AY1142" s="15">
        <f t="shared" si="22"/>
        <v>57</v>
      </c>
      <c r="AZ1142" s="15" t="s">
        <v>917</v>
      </c>
      <c r="BA1142" s="15" t="s">
        <v>174</v>
      </c>
      <c r="BB1142" s="15" t="s">
        <v>6956</v>
      </c>
      <c r="BE1142" s="15" t="s">
        <v>2008</v>
      </c>
      <c r="BF1142" s="15" t="s">
        <v>6987</v>
      </c>
      <c r="BI1142" s="15" t="s">
        <v>6958</v>
      </c>
      <c r="BJ1142" s="15" t="s">
        <v>6988</v>
      </c>
      <c r="BN1142" s="15" t="s">
        <v>179</v>
      </c>
      <c r="BP1142" s="15" t="s">
        <v>138</v>
      </c>
      <c r="BS1142" s="15" t="s">
        <v>6989</v>
      </c>
      <c r="DH1142" s="15" t="s">
        <v>17982</v>
      </c>
      <c r="DI1142" s="15" t="s">
        <v>17982</v>
      </c>
    </row>
    <row r="1143" spans="1:113" s="15" customFormat="1" ht="12.75" x14ac:dyDescent="0.2">
      <c r="A1143" s="15" t="s">
        <v>109</v>
      </c>
      <c r="B1143" s="15" t="s">
        <v>110</v>
      </c>
      <c r="D1143" s="15" t="s">
        <v>620</v>
      </c>
      <c r="E1143" s="15" t="s">
        <v>112</v>
      </c>
      <c r="F1143" s="15" t="s">
        <v>620</v>
      </c>
      <c r="G1143" s="15" t="s">
        <v>113</v>
      </c>
      <c r="H1143" s="15" t="s">
        <v>1481</v>
      </c>
      <c r="J1143" s="16" t="s">
        <v>114</v>
      </c>
      <c r="U1143" s="15" t="s">
        <v>17977</v>
      </c>
      <c r="W1143" s="15">
        <v>1352</v>
      </c>
      <c r="X1143" s="15">
        <v>1153</v>
      </c>
      <c r="Y1143" s="15" t="s">
        <v>160</v>
      </c>
      <c r="Z1143" s="15" t="s">
        <v>161</v>
      </c>
      <c r="AA1143" s="15" t="s">
        <v>162</v>
      </c>
      <c r="AB1143" s="15" t="s">
        <v>6990</v>
      </c>
      <c r="AC1143" s="15" t="s">
        <v>6990</v>
      </c>
      <c r="AD1143" s="15" t="s">
        <v>6990</v>
      </c>
      <c r="AE1143" s="15" t="s">
        <v>164</v>
      </c>
      <c r="AF1143" s="15" t="s">
        <v>6990</v>
      </c>
      <c r="AG1143" s="15" t="s">
        <v>6990</v>
      </c>
      <c r="AH1143" s="34" t="s">
        <v>6991</v>
      </c>
      <c r="AL1143" s="15" t="s">
        <v>6981</v>
      </c>
      <c r="AN1143" s="15">
        <v>743</v>
      </c>
      <c r="AO1143" s="15" t="s">
        <v>6992</v>
      </c>
      <c r="AQ1143" s="15" t="s">
        <v>912</v>
      </c>
      <c r="AT1143" s="15" t="s">
        <v>6993</v>
      </c>
      <c r="AU1143" s="15" t="s">
        <v>6994</v>
      </c>
      <c r="AV1143" s="15" t="s">
        <v>6994</v>
      </c>
      <c r="AW1143" s="15" t="s">
        <v>6995</v>
      </c>
      <c r="AX1143" s="15" t="s">
        <v>6996</v>
      </c>
      <c r="AY1143" s="15">
        <f t="shared" si="22"/>
        <v>60</v>
      </c>
      <c r="AZ1143" s="15" t="s">
        <v>917</v>
      </c>
      <c r="BA1143" s="15" t="s">
        <v>174</v>
      </c>
      <c r="BB1143" s="15" t="s">
        <v>6956</v>
      </c>
      <c r="BE1143" s="15" t="s">
        <v>1337</v>
      </c>
      <c r="BF1143" s="15" t="s">
        <v>6997</v>
      </c>
      <c r="BI1143" s="15" t="s">
        <v>6958</v>
      </c>
      <c r="BJ1143" s="15" t="s">
        <v>6988</v>
      </c>
      <c r="BN1143" s="15" t="s">
        <v>179</v>
      </c>
      <c r="BP1143" s="15" t="s">
        <v>138</v>
      </c>
      <c r="BS1143" s="15" t="s">
        <v>6998</v>
      </c>
      <c r="DH1143" s="15" t="s">
        <v>17982</v>
      </c>
      <c r="DI1143" s="15" t="s">
        <v>17982</v>
      </c>
    </row>
    <row r="1144" spans="1:113" s="15" customFormat="1" ht="12.75" x14ac:dyDescent="0.2">
      <c r="A1144" s="15" t="s">
        <v>109</v>
      </c>
      <c r="B1144" s="15" t="s">
        <v>110</v>
      </c>
      <c r="D1144" s="15" t="s">
        <v>620</v>
      </c>
      <c r="E1144" s="15" t="s">
        <v>112</v>
      </c>
      <c r="F1144" s="15" t="s">
        <v>620</v>
      </c>
      <c r="G1144" s="15" t="s">
        <v>113</v>
      </c>
      <c r="H1144" s="15" t="s">
        <v>1481</v>
      </c>
      <c r="J1144" s="16" t="s">
        <v>114</v>
      </c>
      <c r="U1144" s="15" t="s">
        <v>17977</v>
      </c>
      <c r="W1144" s="15">
        <v>1348</v>
      </c>
      <c r="X1144" s="15">
        <v>1154</v>
      </c>
      <c r="Y1144" s="15" t="s">
        <v>160</v>
      </c>
      <c r="Z1144" s="15" t="s">
        <v>161</v>
      </c>
      <c r="AA1144" s="15" t="s">
        <v>162</v>
      </c>
      <c r="AB1144" s="15" t="s">
        <v>6948</v>
      </c>
      <c r="AC1144" s="15" t="s">
        <v>6948</v>
      </c>
      <c r="AD1144" s="15" t="s">
        <v>6948</v>
      </c>
      <c r="AE1144" s="15" t="s">
        <v>164</v>
      </c>
      <c r="AF1144" s="15" t="s">
        <v>6948</v>
      </c>
      <c r="AG1144" s="15" t="s">
        <v>6948</v>
      </c>
      <c r="AH1144" s="34" t="s">
        <v>6949</v>
      </c>
      <c r="AL1144" s="15" t="s">
        <v>6950</v>
      </c>
      <c r="AN1144" s="15">
        <v>743</v>
      </c>
      <c r="AO1144" s="15" t="s">
        <v>6951</v>
      </c>
      <c r="AQ1144" s="15" t="s">
        <v>912</v>
      </c>
      <c r="AT1144" s="15" t="s">
        <v>6952</v>
      </c>
      <c r="AU1144" s="15" t="s">
        <v>6953</v>
      </c>
      <c r="AV1144" s="15" t="s">
        <v>6953</v>
      </c>
      <c r="AW1144" s="15" t="s">
        <v>6954</v>
      </c>
      <c r="AX1144" s="15" t="s">
        <v>6955</v>
      </c>
      <c r="AY1144" s="15">
        <f t="shared" si="22"/>
        <v>57</v>
      </c>
      <c r="AZ1144" s="15" t="s">
        <v>917</v>
      </c>
      <c r="BA1144" s="15" t="s">
        <v>174</v>
      </c>
      <c r="BB1144" s="15" t="s">
        <v>6956</v>
      </c>
      <c r="BE1144" s="15" t="s">
        <v>1123</v>
      </c>
      <c r="BF1144" s="15" t="s">
        <v>6957</v>
      </c>
      <c r="BI1144" s="15" t="s">
        <v>6958</v>
      </c>
      <c r="BJ1144" s="15" t="s">
        <v>6959</v>
      </c>
      <c r="BN1144" s="15" t="s">
        <v>179</v>
      </c>
      <c r="BP1144" s="15" t="s">
        <v>138</v>
      </c>
      <c r="BS1144" s="15" t="s">
        <v>6960</v>
      </c>
      <c r="DH1144" s="15" t="s">
        <v>17982</v>
      </c>
      <c r="DI1144" s="15" t="s">
        <v>17982</v>
      </c>
    </row>
    <row r="1145" spans="1:113" s="15" customFormat="1" ht="12.75" x14ac:dyDescent="0.2">
      <c r="A1145" s="15" t="s">
        <v>109</v>
      </c>
      <c r="B1145" s="15" t="s">
        <v>110</v>
      </c>
      <c r="D1145" s="15" t="s">
        <v>620</v>
      </c>
      <c r="E1145" s="15" t="s">
        <v>112</v>
      </c>
      <c r="F1145" s="15" t="s">
        <v>620</v>
      </c>
      <c r="G1145" s="15" t="s">
        <v>113</v>
      </c>
      <c r="H1145" s="15" t="s">
        <v>1481</v>
      </c>
      <c r="J1145" s="16" t="s">
        <v>114</v>
      </c>
      <c r="U1145" s="15" t="s">
        <v>17977</v>
      </c>
      <c r="W1145" s="15">
        <v>891</v>
      </c>
      <c r="X1145" s="15">
        <v>1155</v>
      </c>
      <c r="Y1145" s="15" t="s">
        <v>160</v>
      </c>
      <c r="Z1145" s="15" t="s">
        <v>161</v>
      </c>
      <c r="AA1145" s="15" t="s">
        <v>162</v>
      </c>
      <c r="AB1145" s="15" t="s">
        <v>3986</v>
      </c>
      <c r="AC1145" s="15" t="s">
        <v>3986</v>
      </c>
      <c r="AD1145" s="15" t="s">
        <v>3987</v>
      </c>
      <c r="AE1145" s="15" t="s">
        <v>164</v>
      </c>
      <c r="AF1145" s="15" t="s">
        <v>3987</v>
      </c>
      <c r="AG1145" s="15" t="s">
        <v>3986</v>
      </c>
      <c r="AH1145" s="34" t="s">
        <v>3988</v>
      </c>
      <c r="AL1145" s="15" t="s">
        <v>3989</v>
      </c>
      <c r="AN1145" s="15">
        <v>743</v>
      </c>
      <c r="AO1145" s="15" t="s">
        <v>3990</v>
      </c>
      <c r="AQ1145" s="15" t="s">
        <v>168</v>
      </c>
      <c r="AT1145" s="15" t="s">
        <v>3991</v>
      </c>
      <c r="AU1145" s="15" t="s">
        <v>3992</v>
      </c>
      <c r="AV1145" s="15" t="s">
        <v>3992</v>
      </c>
      <c r="AW1145" s="15" t="s">
        <v>3993</v>
      </c>
      <c r="AX1145" s="15" t="s">
        <v>3993</v>
      </c>
      <c r="AY1145" s="15">
        <f t="shared" si="22"/>
        <v>57</v>
      </c>
      <c r="AZ1145" s="15" t="s">
        <v>173</v>
      </c>
      <c r="BA1145" s="15" t="s">
        <v>174</v>
      </c>
      <c r="BB1145" s="15" t="s">
        <v>3994</v>
      </c>
      <c r="BE1145" s="15" t="s">
        <v>1528</v>
      </c>
      <c r="BJ1145" s="15" t="s">
        <v>3995</v>
      </c>
      <c r="BK1145" s="15" t="s">
        <v>487</v>
      </c>
      <c r="BN1145" s="15" t="s">
        <v>179</v>
      </c>
      <c r="BP1145" s="15" t="s">
        <v>138</v>
      </c>
      <c r="BS1145" s="15" t="s">
        <v>3996</v>
      </c>
      <c r="DH1145" s="15" t="s">
        <v>17982</v>
      </c>
      <c r="DI1145" s="15" t="s">
        <v>17982</v>
      </c>
    </row>
    <row r="1146" spans="1:113" s="15" customFormat="1" ht="12.75" x14ac:dyDescent="0.2">
      <c r="A1146" s="15" t="s">
        <v>109</v>
      </c>
      <c r="B1146" s="15" t="s">
        <v>110</v>
      </c>
      <c r="D1146" s="15" t="s">
        <v>620</v>
      </c>
      <c r="E1146" s="15" t="s">
        <v>141</v>
      </c>
      <c r="F1146" s="15" t="s">
        <v>620</v>
      </c>
      <c r="G1146" s="15" t="s">
        <v>113</v>
      </c>
      <c r="H1146" s="15" t="s">
        <v>1481</v>
      </c>
      <c r="J1146" s="16" t="s">
        <v>114</v>
      </c>
      <c r="U1146" s="15" t="s">
        <v>17977</v>
      </c>
      <c r="W1146" s="15">
        <v>2102</v>
      </c>
      <c r="X1146" s="15">
        <v>1156</v>
      </c>
      <c r="Y1146" s="15" t="s">
        <v>160</v>
      </c>
      <c r="Z1146" s="15" t="s">
        <v>161</v>
      </c>
      <c r="AA1146" s="15" t="s">
        <v>162</v>
      </c>
      <c r="AB1146" s="15" t="s">
        <v>10795</v>
      </c>
      <c r="AC1146" s="15" t="s">
        <v>10795</v>
      </c>
      <c r="AD1146" s="15" t="s">
        <v>10795</v>
      </c>
      <c r="AE1146" s="15" t="s">
        <v>164</v>
      </c>
      <c r="AF1146" s="15" t="s">
        <v>10795</v>
      </c>
      <c r="AG1146" s="15" t="s">
        <v>10795</v>
      </c>
      <c r="AH1146" s="34" t="s">
        <v>10796</v>
      </c>
      <c r="AL1146" s="15" t="s">
        <v>10797</v>
      </c>
      <c r="AN1146" s="15">
        <v>743</v>
      </c>
      <c r="AO1146" s="15" t="s">
        <v>10798</v>
      </c>
      <c r="AQ1146" s="15" t="s">
        <v>168</v>
      </c>
      <c r="AT1146" s="15" t="s">
        <v>10799</v>
      </c>
      <c r="AU1146" s="15" t="s">
        <v>10800</v>
      </c>
      <c r="AV1146" s="15" t="s">
        <v>10800</v>
      </c>
      <c r="AW1146" s="15" t="s">
        <v>10801</v>
      </c>
      <c r="AX1146" s="15" t="s">
        <v>10802</v>
      </c>
      <c r="AY1146" s="15">
        <f t="shared" si="22"/>
        <v>58</v>
      </c>
      <c r="AZ1146" s="15" t="s">
        <v>173</v>
      </c>
      <c r="BA1146" s="15" t="s">
        <v>174</v>
      </c>
      <c r="BB1146" s="15" t="s">
        <v>10803</v>
      </c>
      <c r="BE1146" s="15" t="s">
        <v>10804</v>
      </c>
      <c r="BJ1146" s="15" t="s">
        <v>10805</v>
      </c>
      <c r="BN1146" s="15" t="s">
        <v>179</v>
      </c>
      <c r="BP1146" s="15" t="s">
        <v>138</v>
      </c>
      <c r="BS1146" s="15" t="s">
        <v>10806</v>
      </c>
      <c r="DH1146" s="15" t="s">
        <v>17982</v>
      </c>
      <c r="DI1146" s="15" t="s">
        <v>17982</v>
      </c>
    </row>
    <row r="1147" spans="1:113" s="15" customFormat="1" ht="12.75" x14ac:dyDescent="0.2">
      <c r="A1147" s="15" t="s">
        <v>109</v>
      </c>
      <c r="B1147" s="15" t="s">
        <v>110</v>
      </c>
      <c r="D1147" s="15" t="s">
        <v>620</v>
      </c>
      <c r="E1147" s="15" t="s">
        <v>141</v>
      </c>
      <c r="F1147" s="15" t="s">
        <v>620</v>
      </c>
      <c r="G1147" s="15" t="s">
        <v>113</v>
      </c>
      <c r="H1147" s="15" t="s">
        <v>1481</v>
      </c>
      <c r="J1147" s="16" t="s">
        <v>114</v>
      </c>
      <c r="U1147" s="15" t="s">
        <v>17977</v>
      </c>
      <c r="W1147" s="15">
        <v>2225</v>
      </c>
      <c r="X1147" s="15">
        <v>1157</v>
      </c>
      <c r="Y1147" s="15" t="s">
        <v>160</v>
      </c>
      <c r="Z1147" s="15" t="s">
        <v>161</v>
      </c>
      <c r="AA1147" s="15" t="s">
        <v>162</v>
      </c>
      <c r="AB1147" s="15" t="s">
        <v>11155</v>
      </c>
      <c r="AC1147" s="15" t="s">
        <v>11155</v>
      </c>
      <c r="AD1147" s="15" t="s">
        <v>11156</v>
      </c>
      <c r="AE1147" s="15" t="s">
        <v>164</v>
      </c>
      <c r="AF1147" s="15" t="s">
        <v>11156</v>
      </c>
      <c r="AG1147" s="15" t="s">
        <v>11155</v>
      </c>
      <c r="AH1147" s="34" t="s">
        <v>11157</v>
      </c>
      <c r="AL1147" s="15" t="s">
        <v>11158</v>
      </c>
      <c r="AN1147" s="15">
        <v>743</v>
      </c>
      <c r="AO1147" s="15" t="s">
        <v>11159</v>
      </c>
      <c r="AQ1147" s="15" t="s">
        <v>168</v>
      </c>
      <c r="AT1147" s="15" t="s">
        <v>11160</v>
      </c>
      <c r="AU1147" s="15" t="s">
        <v>11161</v>
      </c>
      <c r="AV1147" s="15" t="s">
        <v>11161</v>
      </c>
      <c r="AW1147" s="15" t="s">
        <v>11162</v>
      </c>
      <c r="AX1147" s="15" t="s">
        <v>11163</v>
      </c>
      <c r="AY1147" s="15">
        <f t="shared" si="22"/>
        <v>59</v>
      </c>
      <c r="AZ1147" s="15" t="s">
        <v>173</v>
      </c>
      <c r="BA1147" s="15" t="s">
        <v>174</v>
      </c>
      <c r="BB1147" s="15" t="s">
        <v>11164</v>
      </c>
      <c r="BC1147" s="15" t="s">
        <v>379</v>
      </c>
      <c r="BE1147" s="15" t="s">
        <v>11165</v>
      </c>
      <c r="BJ1147" s="15" t="s">
        <v>10805</v>
      </c>
      <c r="BN1147" s="15" t="s">
        <v>179</v>
      </c>
      <c r="BP1147" s="15" t="s">
        <v>138</v>
      </c>
      <c r="BS1147" s="15" t="s">
        <v>11166</v>
      </c>
      <c r="DH1147" s="15" t="s">
        <v>17982</v>
      </c>
      <c r="DI1147" s="15" t="s">
        <v>17982</v>
      </c>
    </row>
    <row r="1148" spans="1:113" s="15" customFormat="1" ht="12.75" x14ac:dyDescent="0.2">
      <c r="A1148" s="15" t="s">
        <v>109</v>
      </c>
      <c r="B1148" s="15" t="s">
        <v>110</v>
      </c>
      <c r="D1148" s="15" t="s">
        <v>620</v>
      </c>
      <c r="E1148" s="15" t="s">
        <v>112</v>
      </c>
      <c r="F1148" s="15" t="s">
        <v>620</v>
      </c>
      <c r="G1148" s="15" t="s">
        <v>113</v>
      </c>
      <c r="H1148" s="15" t="s">
        <v>1481</v>
      </c>
      <c r="J1148" s="16" t="s">
        <v>114</v>
      </c>
      <c r="U1148" s="15" t="s">
        <v>17977</v>
      </c>
      <c r="W1148" s="15">
        <v>249</v>
      </c>
      <c r="X1148" s="15">
        <v>1158</v>
      </c>
      <c r="Y1148" s="15" t="s">
        <v>160</v>
      </c>
      <c r="Z1148" s="15" t="s">
        <v>161</v>
      </c>
      <c r="AA1148" s="15" t="s">
        <v>162</v>
      </c>
      <c r="AB1148" s="15" t="s">
        <v>1178</v>
      </c>
      <c r="AC1148" s="15" t="s">
        <v>1178</v>
      </c>
      <c r="AD1148" s="15" t="s">
        <v>1178</v>
      </c>
      <c r="AE1148" s="15" t="s">
        <v>164</v>
      </c>
      <c r="AF1148" s="15" t="s">
        <v>1178</v>
      </c>
      <c r="AG1148" s="15" t="s">
        <v>1178</v>
      </c>
      <c r="AH1148" s="34" t="s">
        <v>1179</v>
      </c>
      <c r="AL1148" s="15" t="s">
        <v>1180</v>
      </c>
      <c r="AN1148" s="15">
        <v>743</v>
      </c>
      <c r="AO1148" s="15" t="s">
        <v>1181</v>
      </c>
      <c r="AQ1148" s="15" t="s">
        <v>1182</v>
      </c>
      <c r="AT1148" s="15" t="s">
        <v>1183</v>
      </c>
      <c r="AU1148" s="15" t="s">
        <v>1184</v>
      </c>
      <c r="AV1148" s="15" t="s">
        <v>1184</v>
      </c>
      <c r="AW1148" s="15" t="s">
        <v>1185</v>
      </c>
      <c r="AX1148" s="15" t="s">
        <v>1185</v>
      </c>
      <c r="AY1148" s="15">
        <f t="shared" si="22"/>
        <v>27</v>
      </c>
      <c r="AZ1148" s="15" t="s">
        <v>274</v>
      </c>
      <c r="BA1148" s="15" t="s">
        <v>1186</v>
      </c>
      <c r="BB1148" s="15" t="s">
        <v>1187</v>
      </c>
      <c r="BN1148" s="15" t="s">
        <v>179</v>
      </c>
      <c r="BP1148" s="15" t="s">
        <v>138</v>
      </c>
      <c r="BS1148" s="15" t="s">
        <v>1188</v>
      </c>
      <c r="DH1148" s="15" t="s">
        <v>17982</v>
      </c>
      <c r="DI1148" s="15" t="s">
        <v>17982</v>
      </c>
    </row>
    <row r="1149" spans="1:113" s="15" customFormat="1" ht="12.75" x14ac:dyDescent="0.2">
      <c r="A1149" s="15" t="s">
        <v>109</v>
      </c>
      <c r="B1149" s="15" t="s">
        <v>110</v>
      </c>
      <c r="D1149" s="15" t="s">
        <v>620</v>
      </c>
      <c r="E1149" s="15" t="s">
        <v>112</v>
      </c>
      <c r="F1149" s="15" t="s">
        <v>620</v>
      </c>
      <c r="G1149" s="15" t="s">
        <v>113</v>
      </c>
      <c r="H1149" s="15" t="s">
        <v>1481</v>
      </c>
      <c r="J1149" s="16" t="s">
        <v>114</v>
      </c>
      <c r="U1149" s="15" t="s">
        <v>17977</v>
      </c>
      <c r="W1149" s="15">
        <v>1889</v>
      </c>
      <c r="X1149" s="15">
        <v>1159</v>
      </c>
      <c r="Y1149" s="15" t="s">
        <v>160</v>
      </c>
      <c r="Z1149" s="15" t="s">
        <v>161</v>
      </c>
      <c r="AA1149" s="15" t="s">
        <v>162</v>
      </c>
      <c r="AB1149" s="15" t="s">
        <v>10170</v>
      </c>
      <c r="AC1149" s="15" t="s">
        <v>10170</v>
      </c>
      <c r="AD1149" s="15" t="s">
        <v>10170</v>
      </c>
      <c r="AE1149" s="15" t="s">
        <v>164</v>
      </c>
      <c r="AF1149" s="15" t="s">
        <v>10170</v>
      </c>
      <c r="AG1149" s="15" t="s">
        <v>10170</v>
      </c>
      <c r="AH1149" s="34" t="s">
        <v>10171</v>
      </c>
      <c r="AL1149" s="15" t="s">
        <v>10172</v>
      </c>
      <c r="AN1149" s="15">
        <v>743</v>
      </c>
      <c r="AO1149" s="15" t="s">
        <v>10173</v>
      </c>
      <c r="AQ1149" s="15" t="s">
        <v>168</v>
      </c>
      <c r="AT1149" s="15" t="s">
        <v>10174</v>
      </c>
      <c r="AU1149" s="15" t="s">
        <v>10175</v>
      </c>
      <c r="AV1149" s="15" t="s">
        <v>10175</v>
      </c>
      <c r="AW1149" s="15" t="s">
        <v>10176</v>
      </c>
      <c r="AX1149" s="15" t="s">
        <v>10176</v>
      </c>
      <c r="AY1149" s="15">
        <f t="shared" si="22"/>
        <v>58</v>
      </c>
      <c r="AZ1149" s="15" t="s">
        <v>173</v>
      </c>
      <c r="BA1149" s="15" t="s">
        <v>174</v>
      </c>
      <c r="BB1149" s="15" t="s">
        <v>10167</v>
      </c>
      <c r="BE1149" s="15" t="s">
        <v>2041</v>
      </c>
      <c r="BI1149" s="15" t="s">
        <v>8350</v>
      </c>
      <c r="BJ1149" s="15" t="s">
        <v>10177</v>
      </c>
      <c r="BN1149" s="15" t="s">
        <v>179</v>
      </c>
      <c r="BP1149" s="15" t="s">
        <v>138</v>
      </c>
      <c r="BS1149" s="15" t="s">
        <v>10178</v>
      </c>
      <c r="DH1149" s="15" t="s">
        <v>17982</v>
      </c>
      <c r="DI1149" s="15" t="s">
        <v>17982</v>
      </c>
    </row>
    <row r="1150" spans="1:113" s="15" customFormat="1" ht="12.75" x14ac:dyDescent="0.2">
      <c r="A1150" s="15" t="s">
        <v>109</v>
      </c>
      <c r="B1150" s="15" t="s">
        <v>110</v>
      </c>
      <c r="D1150" s="15" t="s">
        <v>620</v>
      </c>
      <c r="E1150" s="15" t="s">
        <v>112</v>
      </c>
      <c r="F1150" s="15" t="s">
        <v>620</v>
      </c>
      <c r="G1150" s="15" t="s">
        <v>113</v>
      </c>
      <c r="H1150" s="15" t="s">
        <v>1481</v>
      </c>
      <c r="J1150" s="16" t="s">
        <v>114</v>
      </c>
      <c r="U1150" s="15" t="s">
        <v>17977</v>
      </c>
      <c r="W1150" s="15">
        <v>1621</v>
      </c>
      <c r="X1150" s="15">
        <v>1160</v>
      </c>
      <c r="Y1150" s="15" t="s">
        <v>160</v>
      </c>
      <c r="Z1150" s="15" t="s">
        <v>161</v>
      </c>
      <c r="AA1150" s="15" t="s">
        <v>162</v>
      </c>
      <c r="AB1150" s="15" t="s">
        <v>8342</v>
      </c>
      <c r="AC1150" s="15" t="s">
        <v>8342</v>
      </c>
      <c r="AD1150" s="15" t="s">
        <v>8342</v>
      </c>
      <c r="AE1150" s="15" t="s">
        <v>164</v>
      </c>
      <c r="AF1150" s="15" t="s">
        <v>8342</v>
      </c>
      <c r="AG1150" s="15" t="s">
        <v>8342</v>
      </c>
      <c r="AH1150" s="34" t="s">
        <v>8343</v>
      </c>
      <c r="AL1150" s="15" t="s">
        <v>8344</v>
      </c>
      <c r="AN1150" s="15">
        <v>743</v>
      </c>
      <c r="AO1150" s="15" t="s">
        <v>8345</v>
      </c>
      <c r="AQ1150" s="15" t="s">
        <v>168</v>
      </c>
      <c r="AT1150" s="15" t="s">
        <v>8346</v>
      </c>
      <c r="AU1150" s="15" t="s">
        <v>8347</v>
      </c>
      <c r="AV1150" s="15" t="s">
        <v>8347</v>
      </c>
      <c r="AW1150" s="15" t="s">
        <v>8348</v>
      </c>
      <c r="AX1150" s="15" t="s">
        <v>8348</v>
      </c>
      <c r="AY1150" s="15">
        <f t="shared" si="22"/>
        <v>56</v>
      </c>
      <c r="AZ1150" s="15" t="s">
        <v>173</v>
      </c>
      <c r="BA1150" s="15" t="s">
        <v>174</v>
      </c>
      <c r="BB1150" s="15" t="s">
        <v>8349</v>
      </c>
      <c r="BE1150" s="15" t="s">
        <v>1582</v>
      </c>
      <c r="BI1150" s="15" t="s">
        <v>8350</v>
      </c>
      <c r="BJ1150" s="15" t="s">
        <v>8351</v>
      </c>
      <c r="BN1150" s="15" t="s">
        <v>179</v>
      </c>
      <c r="BP1150" s="15" t="s">
        <v>138</v>
      </c>
      <c r="BS1150" s="15" t="s">
        <v>8352</v>
      </c>
      <c r="DH1150" s="15" t="s">
        <v>17982</v>
      </c>
      <c r="DI1150" s="15" t="s">
        <v>17982</v>
      </c>
    </row>
    <row r="1151" spans="1:113" s="15" customFormat="1" ht="12.75" x14ac:dyDescent="0.2">
      <c r="A1151" s="15" t="s">
        <v>109</v>
      </c>
      <c r="B1151" s="15" t="s">
        <v>110</v>
      </c>
      <c r="D1151" s="15" t="s">
        <v>620</v>
      </c>
      <c r="E1151" s="15" t="s">
        <v>112</v>
      </c>
      <c r="F1151" s="15" t="s">
        <v>620</v>
      </c>
      <c r="G1151" s="15" t="s">
        <v>113</v>
      </c>
      <c r="H1151" s="15" t="s">
        <v>1481</v>
      </c>
      <c r="J1151" s="16" t="s">
        <v>114</v>
      </c>
      <c r="U1151" s="15" t="s">
        <v>17977</v>
      </c>
      <c r="W1151" s="15">
        <v>367</v>
      </c>
      <c r="X1151" s="15">
        <v>1161</v>
      </c>
      <c r="Y1151" s="15" t="s">
        <v>160</v>
      </c>
      <c r="Z1151" s="15" t="s">
        <v>161</v>
      </c>
      <c r="AA1151" s="15" t="s">
        <v>162</v>
      </c>
      <c r="AB1151" s="15" t="s">
        <v>1494</v>
      </c>
      <c r="AC1151" s="15" t="s">
        <v>1494</v>
      </c>
      <c r="AD1151" s="15" t="s">
        <v>1495</v>
      </c>
      <c r="AE1151" s="15" t="s">
        <v>164</v>
      </c>
      <c r="AF1151" s="15" t="s">
        <v>1495</v>
      </c>
      <c r="AG1151" s="15" t="s">
        <v>1494</v>
      </c>
      <c r="AH1151" s="34" t="s">
        <v>1496</v>
      </c>
      <c r="AL1151" s="15" t="s">
        <v>1497</v>
      </c>
      <c r="AN1151" s="15">
        <v>743</v>
      </c>
      <c r="AO1151" s="15" t="s">
        <v>1498</v>
      </c>
      <c r="AQ1151" s="15" t="s">
        <v>168</v>
      </c>
      <c r="AT1151" s="15" t="s">
        <v>1499</v>
      </c>
      <c r="AU1151" s="15" t="s">
        <v>1500</v>
      </c>
      <c r="AV1151" s="15" t="s">
        <v>1500</v>
      </c>
      <c r="AW1151" s="15" t="s">
        <v>1501</v>
      </c>
      <c r="AX1151" s="15" t="s">
        <v>1502</v>
      </c>
      <c r="AY1151" s="15">
        <f t="shared" si="22"/>
        <v>56</v>
      </c>
      <c r="AZ1151" s="15" t="s">
        <v>173</v>
      </c>
      <c r="BA1151" s="15" t="s">
        <v>174</v>
      </c>
      <c r="BB1151" s="15" t="s">
        <v>1503</v>
      </c>
      <c r="BE1151" s="15" t="s">
        <v>564</v>
      </c>
      <c r="BI1151" s="15" t="s">
        <v>200</v>
      </c>
      <c r="BJ1151" s="15" t="s">
        <v>1504</v>
      </c>
      <c r="BN1151" s="15" t="s">
        <v>179</v>
      </c>
      <c r="BP1151" s="15" t="s">
        <v>138</v>
      </c>
      <c r="BS1151" s="15" t="s">
        <v>1505</v>
      </c>
      <c r="DH1151" s="15" t="s">
        <v>17982</v>
      </c>
      <c r="DI1151" s="15" t="s">
        <v>17982</v>
      </c>
    </row>
    <row r="1152" spans="1:113" s="15" customFormat="1" ht="12.75" x14ac:dyDescent="0.2">
      <c r="A1152" s="15" t="s">
        <v>109</v>
      </c>
      <c r="B1152" s="15" t="s">
        <v>110</v>
      </c>
      <c r="D1152" s="15" t="s">
        <v>620</v>
      </c>
      <c r="E1152" s="15" t="s">
        <v>112</v>
      </c>
      <c r="F1152" s="15" t="s">
        <v>620</v>
      </c>
      <c r="G1152" s="15" t="s">
        <v>113</v>
      </c>
      <c r="H1152" s="15" t="s">
        <v>1481</v>
      </c>
      <c r="J1152" s="16" t="s">
        <v>114</v>
      </c>
      <c r="U1152" s="15" t="s">
        <v>17977</v>
      </c>
      <c r="W1152" s="15">
        <v>892</v>
      </c>
      <c r="X1152" s="15">
        <v>1162</v>
      </c>
      <c r="Y1152" s="15" t="s">
        <v>160</v>
      </c>
      <c r="Z1152" s="15" t="s">
        <v>161</v>
      </c>
      <c r="AA1152" s="15" t="s">
        <v>162</v>
      </c>
      <c r="AB1152" s="15" t="s">
        <v>3997</v>
      </c>
      <c r="AC1152" s="15" t="s">
        <v>3997</v>
      </c>
      <c r="AD1152" s="15" t="s">
        <v>3997</v>
      </c>
      <c r="AE1152" s="15" t="s">
        <v>164</v>
      </c>
      <c r="AF1152" s="15" t="s">
        <v>3997</v>
      </c>
      <c r="AG1152" s="15" t="s">
        <v>3997</v>
      </c>
      <c r="AH1152" s="34" t="s">
        <v>3998</v>
      </c>
      <c r="AL1152" s="15" t="s">
        <v>3999</v>
      </c>
      <c r="AN1152" s="15">
        <v>743</v>
      </c>
      <c r="AO1152" s="15" t="s">
        <v>4000</v>
      </c>
      <c r="AQ1152" s="15" t="s">
        <v>168</v>
      </c>
      <c r="AT1152" s="15" t="s">
        <v>4001</v>
      </c>
      <c r="AU1152" s="15" t="s">
        <v>4002</v>
      </c>
      <c r="AV1152" s="15" t="s">
        <v>4002</v>
      </c>
      <c r="AW1152" s="15" t="s">
        <v>4003</v>
      </c>
      <c r="AX1152" s="15" t="s">
        <v>4003</v>
      </c>
      <c r="AY1152" s="15">
        <f t="shared" si="22"/>
        <v>46</v>
      </c>
      <c r="AZ1152" s="15" t="s">
        <v>173</v>
      </c>
      <c r="BA1152" s="15" t="s">
        <v>174</v>
      </c>
      <c r="BB1152" s="15" t="s">
        <v>3994</v>
      </c>
      <c r="BE1152" s="15" t="s">
        <v>4004</v>
      </c>
      <c r="BI1152" s="15" t="s">
        <v>200</v>
      </c>
      <c r="BJ1152" s="15" t="s">
        <v>4005</v>
      </c>
      <c r="BN1152" s="15" t="s">
        <v>179</v>
      </c>
      <c r="BP1152" s="15" t="s">
        <v>138</v>
      </c>
      <c r="BS1152" s="15" t="s">
        <v>4006</v>
      </c>
      <c r="DH1152" s="15" t="s">
        <v>17982</v>
      </c>
      <c r="DI1152" s="15" t="s">
        <v>17982</v>
      </c>
    </row>
    <row r="1153" spans="1:113" s="15" customFormat="1" ht="12.75" x14ac:dyDescent="0.2">
      <c r="A1153" s="15" t="s">
        <v>109</v>
      </c>
      <c r="B1153" s="15" t="s">
        <v>110</v>
      </c>
      <c r="D1153" s="15" t="s">
        <v>620</v>
      </c>
      <c r="E1153" s="15" t="s">
        <v>112</v>
      </c>
      <c r="F1153" s="15" t="s">
        <v>620</v>
      </c>
      <c r="G1153" s="15" t="s">
        <v>113</v>
      </c>
      <c r="H1153" s="15" t="s">
        <v>1481</v>
      </c>
      <c r="J1153" s="16" t="s">
        <v>114</v>
      </c>
      <c r="U1153" s="15" t="s">
        <v>17977</v>
      </c>
      <c r="W1153" s="15">
        <v>1288</v>
      </c>
      <c r="X1153" s="15">
        <v>1163</v>
      </c>
      <c r="Y1153" s="15" t="s">
        <v>160</v>
      </c>
      <c r="Z1153" s="15" t="s">
        <v>161</v>
      </c>
      <c r="AA1153" s="15" t="s">
        <v>162</v>
      </c>
      <c r="AB1153" s="15" t="s">
        <v>6618</v>
      </c>
      <c r="AC1153" s="15" t="s">
        <v>6618</v>
      </c>
      <c r="AD1153" s="15" t="s">
        <v>6618</v>
      </c>
      <c r="AE1153" s="15" t="s">
        <v>164</v>
      </c>
      <c r="AF1153" s="15" t="s">
        <v>6618</v>
      </c>
      <c r="AG1153" s="15" t="s">
        <v>6618</v>
      </c>
      <c r="AH1153" s="34" t="s">
        <v>6619</v>
      </c>
      <c r="AL1153" s="15" t="s">
        <v>6620</v>
      </c>
      <c r="AN1153" s="15">
        <v>743</v>
      </c>
      <c r="AO1153" s="15" t="s">
        <v>6621</v>
      </c>
      <c r="AQ1153" s="15" t="s">
        <v>168</v>
      </c>
      <c r="AT1153" s="15" t="s">
        <v>6622</v>
      </c>
      <c r="AU1153" s="15" t="s">
        <v>6623</v>
      </c>
      <c r="AV1153" s="15" t="s">
        <v>6623</v>
      </c>
      <c r="AW1153" s="15" t="s">
        <v>6624</v>
      </c>
      <c r="AX1153" s="15" t="s">
        <v>6625</v>
      </c>
      <c r="AY1153" s="15">
        <f t="shared" si="22"/>
        <v>60</v>
      </c>
      <c r="AZ1153" s="15" t="s">
        <v>173</v>
      </c>
      <c r="BA1153" s="15" t="s">
        <v>174</v>
      </c>
      <c r="BB1153" s="15" t="s">
        <v>6575</v>
      </c>
      <c r="BE1153" s="15" t="s">
        <v>1056</v>
      </c>
      <c r="BJ1153" s="15" t="s">
        <v>6626</v>
      </c>
      <c r="BN1153" s="15" t="s">
        <v>179</v>
      </c>
      <c r="BP1153" s="15" t="s">
        <v>138</v>
      </c>
      <c r="BS1153" s="15" t="s">
        <v>6627</v>
      </c>
      <c r="DH1153" s="15" t="s">
        <v>17982</v>
      </c>
      <c r="DI1153" s="15" t="s">
        <v>17982</v>
      </c>
    </row>
    <row r="1154" spans="1:113" s="15" customFormat="1" ht="12.75" x14ac:dyDescent="0.2">
      <c r="A1154" s="15" t="s">
        <v>109</v>
      </c>
      <c r="B1154" s="15" t="s">
        <v>110</v>
      </c>
      <c r="D1154" s="15" t="s">
        <v>620</v>
      </c>
      <c r="E1154" s="15" t="s">
        <v>112</v>
      </c>
      <c r="F1154" s="15" t="s">
        <v>620</v>
      </c>
      <c r="G1154" s="15" t="s">
        <v>113</v>
      </c>
      <c r="H1154" s="15" t="s">
        <v>1481</v>
      </c>
      <c r="J1154" s="16" t="s">
        <v>114</v>
      </c>
      <c r="U1154" s="15" t="s">
        <v>17977</v>
      </c>
      <c r="W1154" s="15">
        <v>1283</v>
      </c>
      <c r="X1154" s="15">
        <v>1164</v>
      </c>
      <c r="Y1154" s="15" t="s">
        <v>160</v>
      </c>
      <c r="Z1154" s="15" t="s">
        <v>161</v>
      </c>
      <c r="AA1154" s="15" t="s">
        <v>162</v>
      </c>
      <c r="AB1154" s="15" t="s">
        <v>6566</v>
      </c>
      <c r="AC1154" s="15" t="s">
        <v>6566</v>
      </c>
      <c r="AD1154" s="15" t="s">
        <v>6567</v>
      </c>
      <c r="AE1154" s="15" t="s">
        <v>164</v>
      </c>
      <c r="AF1154" s="15" t="s">
        <v>6567</v>
      </c>
      <c r="AG1154" s="15" t="s">
        <v>6566</v>
      </c>
      <c r="AH1154" s="34" t="s">
        <v>6568</v>
      </c>
      <c r="AL1154" s="15" t="s">
        <v>6569</v>
      </c>
      <c r="AN1154" s="15">
        <v>743</v>
      </c>
      <c r="AO1154" s="15" t="s">
        <v>6570</v>
      </c>
      <c r="AQ1154" s="15" t="s">
        <v>168</v>
      </c>
      <c r="AT1154" s="15" t="s">
        <v>6571</v>
      </c>
      <c r="AU1154" s="15" t="s">
        <v>6572</v>
      </c>
      <c r="AV1154" s="15" t="s">
        <v>6572</v>
      </c>
      <c r="AW1154" s="15" t="s">
        <v>6573</v>
      </c>
      <c r="AX1154" s="15" t="s">
        <v>6574</v>
      </c>
      <c r="AY1154" s="15">
        <f t="shared" si="22"/>
        <v>57</v>
      </c>
      <c r="AZ1154" s="15" t="s">
        <v>173</v>
      </c>
      <c r="BA1154" s="15" t="s">
        <v>174</v>
      </c>
      <c r="BB1154" s="15" t="s">
        <v>6575</v>
      </c>
      <c r="BE1154" s="15" t="s">
        <v>1056</v>
      </c>
      <c r="BJ1154" s="15" t="s">
        <v>6576</v>
      </c>
      <c r="BK1154" s="15" t="s">
        <v>487</v>
      </c>
      <c r="BN1154" s="15" t="s">
        <v>179</v>
      </c>
      <c r="BP1154" s="15" t="s">
        <v>138</v>
      </c>
      <c r="BS1154" s="15" t="s">
        <v>6577</v>
      </c>
      <c r="DH1154" s="15" t="s">
        <v>17982</v>
      </c>
      <c r="DI1154" s="15" t="s">
        <v>17982</v>
      </c>
    </row>
    <row r="1155" spans="1:113" s="15" customFormat="1" ht="12.75" x14ac:dyDescent="0.2">
      <c r="A1155" s="15" t="s">
        <v>109</v>
      </c>
      <c r="B1155" s="15" t="s">
        <v>110</v>
      </c>
      <c r="D1155" s="15" t="s">
        <v>620</v>
      </c>
      <c r="E1155" s="15" t="s">
        <v>112</v>
      </c>
      <c r="F1155" s="15" t="s">
        <v>620</v>
      </c>
      <c r="G1155" s="15" t="s">
        <v>113</v>
      </c>
      <c r="H1155" s="15" t="s">
        <v>1481</v>
      </c>
      <c r="J1155" s="16" t="s">
        <v>114</v>
      </c>
      <c r="U1155" s="15" t="s">
        <v>17977</v>
      </c>
      <c r="W1155" s="15">
        <v>1286</v>
      </c>
      <c r="X1155" s="15">
        <v>1165</v>
      </c>
      <c r="Y1155" s="15" t="s">
        <v>160</v>
      </c>
      <c r="Z1155" s="15" t="s">
        <v>161</v>
      </c>
      <c r="AA1155" s="15" t="s">
        <v>162</v>
      </c>
      <c r="AB1155" s="15" t="s">
        <v>6598</v>
      </c>
      <c r="AC1155" s="15" t="s">
        <v>6598</v>
      </c>
      <c r="AD1155" s="15" t="s">
        <v>6598</v>
      </c>
      <c r="AE1155" s="15" t="s">
        <v>164</v>
      </c>
      <c r="AF1155" s="15" t="s">
        <v>6598</v>
      </c>
      <c r="AG1155" s="15" t="s">
        <v>6598</v>
      </c>
      <c r="AH1155" s="34" t="s">
        <v>6599</v>
      </c>
      <c r="AL1155" s="15" t="s">
        <v>6600</v>
      </c>
      <c r="AN1155" s="15">
        <v>743</v>
      </c>
      <c r="AO1155" s="15" t="s">
        <v>6601</v>
      </c>
      <c r="AQ1155" s="15" t="s">
        <v>168</v>
      </c>
      <c r="AT1155" s="15" t="s">
        <v>6602</v>
      </c>
      <c r="AU1155" s="15" t="s">
        <v>6603</v>
      </c>
      <c r="AV1155" s="15" t="s">
        <v>6603</v>
      </c>
      <c r="AW1155" s="15" t="s">
        <v>6604</v>
      </c>
      <c r="AX1155" s="15" t="s">
        <v>6605</v>
      </c>
      <c r="AY1155" s="15">
        <f t="shared" si="22"/>
        <v>59</v>
      </c>
      <c r="AZ1155" s="15" t="s">
        <v>173</v>
      </c>
      <c r="BA1155" s="15" t="s">
        <v>174</v>
      </c>
      <c r="BB1155" s="15" t="s">
        <v>6575</v>
      </c>
      <c r="BE1155" s="15" t="s">
        <v>1528</v>
      </c>
      <c r="BJ1155" s="15" t="s">
        <v>6606</v>
      </c>
      <c r="BK1155" s="15" t="s">
        <v>487</v>
      </c>
      <c r="BN1155" s="15" t="s">
        <v>179</v>
      </c>
      <c r="BP1155" s="15" t="s">
        <v>138</v>
      </c>
      <c r="BS1155" s="15" t="s">
        <v>6607</v>
      </c>
      <c r="DH1155" s="15" t="s">
        <v>17982</v>
      </c>
      <c r="DI1155" s="15" t="s">
        <v>17982</v>
      </c>
    </row>
    <row r="1156" spans="1:113" s="15" customFormat="1" ht="12.75" x14ac:dyDescent="0.2">
      <c r="A1156" s="15" t="s">
        <v>109</v>
      </c>
      <c r="B1156" s="15" t="s">
        <v>110</v>
      </c>
      <c r="D1156" s="15" t="s">
        <v>620</v>
      </c>
      <c r="E1156" s="15" t="s">
        <v>112</v>
      </c>
      <c r="F1156" s="15" t="s">
        <v>620</v>
      </c>
      <c r="G1156" s="15" t="s">
        <v>113</v>
      </c>
      <c r="H1156" s="15" t="s">
        <v>1481</v>
      </c>
      <c r="J1156" s="16" t="s">
        <v>114</v>
      </c>
      <c r="U1156" s="15" t="s">
        <v>17977</v>
      </c>
      <c r="W1156" s="15">
        <v>1287</v>
      </c>
      <c r="X1156" s="15">
        <v>1166</v>
      </c>
      <c r="Y1156" s="15" t="s">
        <v>160</v>
      </c>
      <c r="Z1156" s="15" t="s">
        <v>161</v>
      </c>
      <c r="AA1156" s="15" t="s">
        <v>162</v>
      </c>
      <c r="AB1156" s="15" t="s">
        <v>6608</v>
      </c>
      <c r="AC1156" s="15" t="s">
        <v>6608</v>
      </c>
      <c r="AD1156" s="15" t="s">
        <v>6608</v>
      </c>
      <c r="AE1156" s="15" t="s">
        <v>164</v>
      </c>
      <c r="AF1156" s="15" t="s">
        <v>6608</v>
      </c>
      <c r="AG1156" s="15" t="s">
        <v>6608</v>
      </c>
      <c r="AH1156" s="34" t="s">
        <v>6609</v>
      </c>
      <c r="AL1156" s="15" t="s">
        <v>6610</v>
      </c>
      <c r="AN1156" s="15">
        <v>743</v>
      </c>
      <c r="AO1156" s="15" t="s">
        <v>6611</v>
      </c>
      <c r="AQ1156" s="15" t="s">
        <v>168</v>
      </c>
      <c r="AT1156" s="15" t="s">
        <v>6612</v>
      </c>
      <c r="AU1156" s="15" t="s">
        <v>6613</v>
      </c>
      <c r="AV1156" s="15" t="s">
        <v>6613</v>
      </c>
      <c r="AW1156" s="15" t="s">
        <v>6614</v>
      </c>
      <c r="AX1156" s="15" t="s">
        <v>6615</v>
      </c>
      <c r="AY1156" s="15">
        <f t="shared" si="22"/>
        <v>59</v>
      </c>
      <c r="AZ1156" s="15" t="s">
        <v>173</v>
      </c>
      <c r="BA1156" s="15" t="s">
        <v>174</v>
      </c>
      <c r="BB1156" s="15" t="s">
        <v>6575</v>
      </c>
      <c r="BE1156" s="15" t="s">
        <v>6616</v>
      </c>
      <c r="BJ1156" s="15" t="s">
        <v>6606</v>
      </c>
      <c r="BK1156" s="15" t="s">
        <v>487</v>
      </c>
      <c r="BN1156" s="15" t="s">
        <v>179</v>
      </c>
      <c r="BP1156" s="15" t="s">
        <v>138</v>
      </c>
      <c r="BS1156" s="15" t="s">
        <v>6617</v>
      </c>
      <c r="DH1156" s="15" t="s">
        <v>17982</v>
      </c>
      <c r="DI1156" s="15" t="s">
        <v>17982</v>
      </c>
    </row>
    <row r="1157" spans="1:113" s="15" customFormat="1" ht="12.75" x14ac:dyDescent="0.2">
      <c r="A1157" s="15" t="s">
        <v>109</v>
      </c>
      <c r="B1157" s="15" t="s">
        <v>110</v>
      </c>
      <c r="D1157" s="15" t="s">
        <v>620</v>
      </c>
      <c r="E1157" s="15" t="s">
        <v>112</v>
      </c>
      <c r="F1157" s="15" t="s">
        <v>620</v>
      </c>
      <c r="G1157" s="15" t="s">
        <v>113</v>
      </c>
      <c r="H1157" s="15" t="s">
        <v>1481</v>
      </c>
      <c r="J1157" s="16" t="s">
        <v>114</v>
      </c>
      <c r="U1157" s="15" t="s">
        <v>17977</v>
      </c>
      <c r="W1157" s="15">
        <v>1285</v>
      </c>
      <c r="X1157" s="15">
        <v>1167</v>
      </c>
      <c r="Y1157" s="15" t="s">
        <v>160</v>
      </c>
      <c r="Z1157" s="15" t="s">
        <v>161</v>
      </c>
      <c r="AA1157" s="15" t="s">
        <v>162</v>
      </c>
      <c r="AB1157" s="15" t="s">
        <v>6588</v>
      </c>
      <c r="AC1157" s="15" t="s">
        <v>6588</v>
      </c>
      <c r="AD1157" s="15" t="s">
        <v>6588</v>
      </c>
      <c r="AE1157" s="15" t="s">
        <v>164</v>
      </c>
      <c r="AF1157" s="15" t="s">
        <v>6588</v>
      </c>
      <c r="AG1157" s="15" t="s">
        <v>6588</v>
      </c>
      <c r="AH1157" s="34" t="s">
        <v>6589</v>
      </c>
      <c r="AL1157" s="15" t="s">
        <v>6590</v>
      </c>
      <c r="AN1157" s="15">
        <v>743</v>
      </c>
      <c r="AO1157" s="15" t="s">
        <v>6591</v>
      </c>
      <c r="AQ1157" s="15" t="s">
        <v>168</v>
      </c>
      <c r="AT1157" s="15" t="s">
        <v>6592</v>
      </c>
      <c r="AU1157" s="15" t="s">
        <v>6593</v>
      </c>
      <c r="AV1157" s="15" t="s">
        <v>6593</v>
      </c>
      <c r="AW1157" s="15" t="s">
        <v>6594</v>
      </c>
      <c r="AX1157" s="15" t="s">
        <v>6595</v>
      </c>
      <c r="AY1157" s="15">
        <f t="shared" si="22"/>
        <v>58</v>
      </c>
      <c r="AZ1157" s="15" t="s">
        <v>173</v>
      </c>
      <c r="BA1157" s="15" t="s">
        <v>174</v>
      </c>
      <c r="BB1157" s="15" t="s">
        <v>6575</v>
      </c>
      <c r="BE1157" s="15" t="s">
        <v>4027</v>
      </c>
      <c r="BJ1157" s="15" t="s">
        <v>6596</v>
      </c>
      <c r="BN1157" s="15" t="s">
        <v>179</v>
      </c>
      <c r="BP1157" s="15" t="s">
        <v>138</v>
      </c>
      <c r="BS1157" s="15" t="s">
        <v>6597</v>
      </c>
      <c r="DH1157" s="15" t="s">
        <v>17982</v>
      </c>
      <c r="DI1157" s="15" t="s">
        <v>17982</v>
      </c>
    </row>
    <row r="1158" spans="1:113" s="15" customFormat="1" ht="12.75" x14ac:dyDescent="0.2">
      <c r="A1158" s="15" t="s">
        <v>109</v>
      </c>
      <c r="B1158" s="15" t="s">
        <v>110</v>
      </c>
      <c r="D1158" s="15" t="s">
        <v>620</v>
      </c>
      <c r="E1158" s="15" t="s">
        <v>112</v>
      </c>
      <c r="F1158" s="15" t="s">
        <v>620</v>
      </c>
      <c r="G1158" s="15" t="s">
        <v>113</v>
      </c>
      <c r="H1158" s="15" t="s">
        <v>1481</v>
      </c>
      <c r="J1158" s="16" t="s">
        <v>114</v>
      </c>
      <c r="U1158" s="15" t="s">
        <v>17977</v>
      </c>
      <c r="W1158" s="15">
        <v>1060</v>
      </c>
      <c r="X1158" s="15">
        <v>1168</v>
      </c>
      <c r="Y1158" s="15" t="s">
        <v>160</v>
      </c>
      <c r="Z1158" s="15" t="s">
        <v>161</v>
      </c>
      <c r="AA1158" s="15" t="s">
        <v>162</v>
      </c>
      <c r="AB1158" s="15" t="s">
        <v>5553</v>
      </c>
      <c r="AC1158" s="15" t="s">
        <v>5553</v>
      </c>
      <c r="AD1158" s="15" t="s">
        <v>5553</v>
      </c>
      <c r="AE1158" s="15" t="s">
        <v>164</v>
      </c>
      <c r="AF1158" s="15" t="s">
        <v>5553</v>
      </c>
      <c r="AG1158" s="15" t="s">
        <v>5553</v>
      </c>
      <c r="AH1158" s="34" t="s">
        <v>5554</v>
      </c>
      <c r="AL1158" s="15" t="s">
        <v>5555</v>
      </c>
      <c r="AN1158" s="15">
        <v>743</v>
      </c>
      <c r="AO1158" s="15" t="s">
        <v>5556</v>
      </c>
      <c r="AQ1158" s="15" t="s">
        <v>168</v>
      </c>
      <c r="AT1158" s="15" t="s">
        <v>5557</v>
      </c>
      <c r="AU1158" s="15" t="s">
        <v>5558</v>
      </c>
      <c r="AV1158" s="15" t="s">
        <v>5558</v>
      </c>
      <c r="AW1158" s="15" t="s">
        <v>5559</v>
      </c>
      <c r="AX1158" s="15" t="s">
        <v>5559</v>
      </c>
      <c r="AY1158" s="15">
        <f t="shared" ref="AY1158:AY1221" si="23">LEN(SUBSTITUTE(AX1158, ", "," "))</f>
        <v>58</v>
      </c>
      <c r="AZ1158" s="15" t="s">
        <v>173</v>
      </c>
      <c r="BA1158" s="15" t="s">
        <v>174</v>
      </c>
      <c r="BB1158" s="15" t="s">
        <v>3994</v>
      </c>
      <c r="BE1158" s="15" t="s">
        <v>1032</v>
      </c>
      <c r="BJ1158" s="15" t="s">
        <v>5560</v>
      </c>
      <c r="BN1158" s="15" t="s">
        <v>179</v>
      </c>
      <c r="BP1158" s="15" t="s">
        <v>138</v>
      </c>
      <c r="BS1158" s="15" t="s">
        <v>5561</v>
      </c>
      <c r="DH1158" s="15" t="s">
        <v>17982</v>
      </c>
      <c r="DI1158" s="15" t="s">
        <v>17982</v>
      </c>
    </row>
    <row r="1159" spans="1:113" s="15" customFormat="1" ht="12.75" x14ac:dyDescent="0.2">
      <c r="A1159" s="15" t="s">
        <v>109</v>
      </c>
      <c r="B1159" s="15" t="s">
        <v>110</v>
      </c>
      <c r="D1159" s="15" t="s">
        <v>620</v>
      </c>
      <c r="E1159" s="15" t="s">
        <v>112</v>
      </c>
      <c r="F1159" s="15" t="s">
        <v>620</v>
      </c>
      <c r="G1159" s="15" t="s">
        <v>113</v>
      </c>
      <c r="H1159" s="15" t="s">
        <v>1481</v>
      </c>
      <c r="J1159" s="16" t="s">
        <v>114</v>
      </c>
      <c r="U1159" s="15" t="s">
        <v>17977</v>
      </c>
      <c r="W1159" s="15">
        <v>1174</v>
      </c>
      <c r="X1159" s="15">
        <v>1169</v>
      </c>
      <c r="Y1159" s="15" t="s">
        <v>160</v>
      </c>
      <c r="Z1159" s="15" t="s">
        <v>161</v>
      </c>
      <c r="AA1159" s="15" t="s">
        <v>162</v>
      </c>
      <c r="AB1159" s="15" t="s">
        <v>6132</v>
      </c>
      <c r="AC1159" s="15" t="s">
        <v>6132</v>
      </c>
      <c r="AD1159" s="15" t="s">
        <v>6133</v>
      </c>
      <c r="AE1159" s="15" t="s">
        <v>164</v>
      </c>
      <c r="AF1159" s="15" t="s">
        <v>6133</v>
      </c>
      <c r="AG1159" s="15" t="s">
        <v>6132</v>
      </c>
      <c r="AH1159" s="34" t="s">
        <v>6134</v>
      </c>
      <c r="AL1159" s="15" t="s">
        <v>6135</v>
      </c>
      <c r="AN1159" s="15">
        <v>743</v>
      </c>
      <c r="AO1159" s="15" t="s">
        <v>6136</v>
      </c>
      <c r="AQ1159" s="15" t="s">
        <v>225</v>
      </c>
      <c r="AT1159" s="15" t="s">
        <v>6137</v>
      </c>
      <c r="AU1159" s="15" t="s">
        <v>6138</v>
      </c>
      <c r="AV1159" s="15" t="s">
        <v>6138</v>
      </c>
      <c r="AW1159" s="15" t="s">
        <v>6139</v>
      </c>
      <c r="AX1159" s="15" t="s">
        <v>6139</v>
      </c>
      <c r="AY1159" s="15">
        <f t="shared" si="23"/>
        <v>46</v>
      </c>
      <c r="AZ1159" s="15" t="s">
        <v>229</v>
      </c>
      <c r="BA1159" s="15" t="s">
        <v>174</v>
      </c>
      <c r="BB1159" s="15" t="s">
        <v>6121</v>
      </c>
      <c r="BC1159" s="15">
        <v>1</v>
      </c>
      <c r="BE1159" s="15" t="s">
        <v>176</v>
      </c>
      <c r="BJ1159" s="15" t="s">
        <v>6140</v>
      </c>
      <c r="BN1159" s="15" t="s">
        <v>179</v>
      </c>
      <c r="BP1159" s="15" t="s">
        <v>138</v>
      </c>
      <c r="BS1159" s="15" t="s">
        <v>6141</v>
      </c>
      <c r="DH1159" s="15" t="s">
        <v>17982</v>
      </c>
      <c r="DI1159" s="15" t="s">
        <v>17982</v>
      </c>
    </row>
    <row r="1160" spans="1:113" s="15" customFormat="1" ht="12.75" x14ac:dyDescent="0.2">
      <c r="A1160" s="15" t="s">
        <v>109</v>
      </c>
      <c r="B1160" s="15" t="s">
        <v>110</v>
      </c>
      <c r="D1160" s="15" t="s">
        <v>620</v>
      </c>
      <c r="E1160" s="15" t="s">
        <v>112</v>
      </c>
      <c r="F1160" s="15" t="s">
        <v>620</v>
      </c>
      <c r="G1160" s="15" t="s">
        <v>113</v>
      </c>
      <c r="H1160" s="15" t="s">
        <v>1481</v>
      </c>
      <c r="J1160" s="16" t="s">
        <v>114</v>
      </c>
      <c r="U1160" s="15" t="s">
        <v>17977</v>
      </c>
      <c r="W1160" s="15">
        <v>1172</v>
      </c>
      <c r="X1160" s="15">
        <v>1170</v>
      </c>
      <c r="Y1160" s="15" t="s">
        <v>160</v>
      </c>
      <c r="Z1160" s="15" t="s">
        <v>161</v>
      </c>
      <c r="AA1160" s="15" t="s">
        <v>162</v>
      </c>
      <c r="AB1160" s="15" t="s">
        <v>6114</v>
      </c>
      <c r="AC1160" s="15" t="s">
        <v>6114</v>
      </c>
      <c r="AD1160" s="15" t="s">
        <v>6114</v>
      </c>
      <c r="AE1160" s="15" t="s">
        <v>164</v>
      </c>
      <c r="AF1160" s="15" t="s">
        <v>6114</v>
      </c>
      <c r="AG1160" s="15" t="s">
        <v>6114</v>
      </c>
      <c r="AH1160" s="34" t="s">
        <v>6115</v>
      </c>
      <c r="AL1160" s="15" t="s">
        <v>6116</v>
      </c>
      <c r="AN1160" s="15">
        <v>743</v>
      </c>
      <c r="AO1160" s="15" t="s">
        <v>6117</v>
      </c>
      <c r="AQ1160" s="15" t="s">
        <v>225</v>
      </c>
      <c r="AT1160" s="15" t="s">
        <v>6118</v>
      </c>
      <c r="AU1160" s="15" t="s">
        <v>6119</v>
      </c>
      <c r="AV1160" s="15" t="s">
        <v>6119</v>
      </c>
      <c r="AW1160" s="15" t="s">
        <v>6120</v>
      </c>
      <c r="AX1160" s="15" t="s">
        <v>6120</v>
      </c>
      <c r="AY1160" s="15">
        <f t="shared" si="23"/>
        <v>41</v>
      </c>
      <c r="AZ1160" s="15" t="s">
        <v>229</v>
      </c>
      <c r="BA1160" s="15" t="s">
        <v>174</v>
      </c>
      <c r="BB1160" s="15" t="s">
        <v>6121</v>
      </c>
      <c r="BC1160" s="15">
        <v>2</v>
      </c>
      <c r="BE1160" s="15" t="s">
        <v>176</v>
      </c>
      <c r="BJ1160" s="15" t="s">
        <v>6122</v>
      </c>
      <c r="BN1160" s="15" t="s">
        <v>179</v>
      </c>
      <c r="BP1160" s="15" t="s">
        <v>138</v>
      </c>
      <c r="BS1160" s="15" t="s">
        <v>6123</v>
      </c>
      <c r="DH1160" s="15" t="s">
        <v>17982</v>
      </c>
      <c r="DI1160" s="15" t="s">
        <v>17982</v>
      </c>
    </row>
    <row r="1161" spans="1:113" s="15" customFormat="1" ht="12.75" x14ac:dyDescent="0.2">
      <c r="A1161" s="15" t="s">
        <v>109</v>
      </c>
      <c r="B1161" s="15" t="s">
        <v>110</v>
      </c>
      <c r="D1161" s="15" t="s">
        <v>620</v>
      </c>
      <c r="E1161" s="15" t="s">
        <v>112</v>
      </c>
      <c r="F1161" s="15" t="s">
        <v>620</v>
      </c>
      <c r="G1161" s="15" t="s">
        <v>113</v>
      </c>
      <c r="H1161" s="15" t="s">
        <v>1481</v>
      </c>
      <c r="J1161" s="16" t="s">
        <v>114</v>
      </c>
      <c r="U1161" s="15" t="s">
        <v>17977</v>
      </c>
      <c r="W1161" s="15">
        <v>1173</v>
      </c>
      <c r="X1161" s="15">
        <v>1171</v>
      </c>
      <c r="Y1161" s="15" t="s">
        <v>160</v>
      </c>
      <c r="Z1161" s="15" t="s">
        <v>161</v>
      </c>
      <c r="AA1161" s="15" t="s">
        <v>162</v>
      </c>
      <c r="AB1161" s="15" t="s">
        <v>6124</v>
      </c>
      <c r="AC1161" s="15" t="s">
        <v>6124</v>
      </c>
      <c r="AD1161" s="15" t="s">
        <v>6124</v>
      </c>
      <c r="AE1161" s="15" t="s">
        <v>164</v>
      </c>
      <c r="AF1161" s="15" t="s">
        <v>6124</v>
      </c>
      <c r="AG1161" s="15" t="s">
        <v>6124</v>
      </c>
      <c r="AH1161" s="34" t="s">
        <v>6125</v>
      </c>
      <c r="AL1161" s="15" t="s">
        <v>6126</v>
      </c>
      <c r="AN1161" s="15">
        <v>743</v>
      </c>
      <c r="AO1161" s="15" t="s">
        <v>6127</v>
      </c>
      <c r="AQ1161" s="15" t="s">
        <v>225</v>
      </c>
      <c r="AT1161" s="15" t="s">
        <v>6128</v>
      </c>
      <c r="AU1161" s="15" t="s">
        <v>6129</v>
      </c>
      <c r="AV1161" s="15" t="s">
        <v>6129</v>
      </c>
      <c r="AW1161" s="15" t="s">
        <v>6130</v>
      </c>
      <c r="AX1161" s="15" t="s">
        <v>6130</v>
      </c>
      <c r="AY1161" s="15">
        <f t="shared" si="23"/>
        <v>41</v>
      </c>
      <c r="AZ1161" s="15" t="s">
        <v>229</v>
      </c>
      <c r="BA1161" s="15" t="s">
        <v>174</v>
      </c>
      <c r="BB1161" s="15" t="s">
        <v>6121</v>
      </c>
      <c r="BC1161" s="15">
        <v>3</v>
      </c>
      <c r="BE1161" s="15" t="s">
        <v>176</v>
      </c>
      <c r="BJ1161" s="15" t="s">
        <v>6122</v>
      </c>
      <c r="BN1161" s="15" t="s">
        <v>179</v>
      </c>
      <c r="BP1161" s="15" t="s">
        <v>138</v>
      </c>
      <c r="BS1161" s="15" t="s">
        <v>6131</v>
      </c>
      <c r="DH1161" s="15" t="s">
        <v>17982</v>
      </c>
      <c r="DI1161" s="15" t="s">
        <v>17982</v>
      </c>
    </row>
    <row r="1162" spans="1:113" s="15" customFormat="1" ht="12.75" x14ac:dyDescent="0.2">
      <c r="A1162" s="15" t="s">
        <v>109</v>
      </c>
      <c r="B1162" s="15" t="s">
        <v>110</v>
      </c>
      <c r="D1162" s="15" t="s">
        <v>620</v>
      </c>
      <c r="E1162" s="15" t="s">
        <v>112</v>
      </c>
      <c r="F1162" s="15" t="s">
        <v>620</v>
      </c>
      <c r="G1162" s="15" t="s">
        <v>113</v>
      </c>
      <c r="H1162" s="15" t="s">
        <v>1481</v>
      </c>
      <c r="J1162" s="16" t="s">
        <v>114</v>
      </c>
      <c r="U1162" s="15" t="s">
        <v>17977</v>
      </c>
      <c r="W1162" s="15">
        <v>226</v>
      </c>
      <c r="X1162" s="15">
        <v>1172</v>
      </c>
      <c r="Y1162" s="15" t="s">
        <v>160</v>
      </c>
      <c r="Z1162" s="15" t="s">
        <v>161</v>
      </c>
      <c r="AA1162" s="15" t="s">
        <v>162</v>
      </c>
      <c r="AB1162" s="15" t="s">
        <v>1156</v>
      </c>
      <c r="AC1162" s="15" t="s">
        <v>1156</v>
      </c>
      <c r="AD1162" s="15" t="s">
        <v>1156</v>
      </c>
      <c r="AE1162" s="15" t="s">
        <v>164</v>
      </c>
      <c r="AF1162" s="15" t="s">
        <v>1156</v>
      </c>
      <c r="AG1162" s="15" t="s">
        <v>1156</v>
      </c>
      <c r="AH1162" s="34" t="s">
        <v>1157</v>
      </c>
      <c r="AL1162" s="15" t="s">
        <v>1158</v>
      </c>
      <c r="AN1162" s="15">
        <v>743</v>
      </c>
      <c r="AO1162" s="15" t="s">
        <v>1159</v>
      </c>
      <c r="AQ1162" s="15" t="s">
        <v>168</v>
      </c>
      <c r="AT1162" s="15" t="s">
        <v>1160</v>
      </c>
      <c r="AU1162" s="15" t="s">
        <v>1161</v>
      </c>
      <c r="AV1162" s="15" t="s">
        <v>1161</v>
      </c>
      <c r="AW1162" s="15" t="s">
        <v>1162</v>
      </c>
      <c r="AX1162" s="15" t="s">
        <v>1162</v>
      </c>
      <c r="AY1162" s="15">
        <f t="shared" si="23"/>
        <v>59</v>
      </c>
      <c r="AZ1162" s="15" t="s">
        <v>173</v>
      </c>
      <c r="BA1162" s="15" t="s">
        <v>174</v>
      </c>
      <c r="BB1162" s="15" t="s">
        <v>1163</v>
      </c>
      <c r="BE1162" s="15" t="s">
        <v>241</v>
      </c>
      <c r="BI1162" s="15" t="s">
        <v>200</v>
      </c>
      <c r="BJ1162" s="15" t="s">
        <v>1164</v>
      </c>
      <c r="BN1162" s="15" t="s">
        <v>179</v>
      </c>
      <c r="BP1162" s="15" t="s">
        <v>138</v>
      </c>
      <c r="BS1162" s="15" t="s">
        <v>1165</v>
      </c>
      <c r="DH1162" s="15" t="s">
        <v>17982</v>
      </c>
      <c r="DI1162" s="15" t="s">
        <v>17982</v>
      </c>
    </row>
    <row r="1163" spans="1:113" s="15" customFormat="1" ht="12.75" x14ac:dyDescent="0.2">
      <c r="A1163" s="15" t="s">
        <v>109</v>
      </c>
      <c r="B1163" s="15" t="s">
        <v>110</v>
      </c>
      <c r="D1163" s="15" t="s">
        <v>620</v>
      </c>
      <c r="E1163" s="15" t="s">
        <v>112</v>
      </c>
      <c r="F1163" s="15" t="s">
        <v>620</v>
      </c>
      <c r="G1163" s="15" t="s">
        <v>113</v>
      </c>
      <c r="H1163" s="15" t="s">
        <v>1481</v>
      </c>
      <c r="J1163" s="16" t="s">
        <v>114</v>
      </c>
      <c r="U1163" s="15" t="s">
        <v>17977</v>
      </c>
      <c r="W1163" s="15">
        <v>2961</v>
      </c>
      <c r="X1163" s="15">
        <v>1173</v>
      </c>
      <c r="Y1163" s="15" t="s">
        <v>160</v>
      </c>
      <c r="Z1163" s="15" t="s">
        <v>161</v>
      </c>
      <c r="AA1163" s="15" t="s">
        <v>162</v>
      </c>
      <c r="AB1163" s="15" t="s">
        <v>14522</v>
      </c>
      <c r="AC1163" s="15" t="s">
        <v>14522</v>
      </c>
      <c r="AD1163" s="15" t="s">
        <v>14522</v>
      </c>
      <c r="AE1163" s="15" t="s">
        <v>164</v>
      </c>
      <c r="AF1163" s="15" t="s">
        <v>14522</v>
      </c>
      <c r="AG1163" s="15" t="s">
        <v>14522</v>
      </c>
      <c r="AH1163" s="34" t="s">
        <v>14523</v>
      </c>
      <c r="AL1163" s="15" t="s">
        <v>14524</v>
      </c>
      <c r="AN1163" s="15">
        <v>743</v>
      </c>
      <c r="AO1163" s="15" t="s">
        <v>14525</v>
      </c>
      <c r="AQ1163" s="15" t="s">
        <v>168</v>
      </c>
      <c r="AT1163" s="15" t="s">
        <v>14526</v>
      </c>
      <c r="AU1163" s="15" t="s">
        <v>14527</v>
      </c>
      <c r="AV1163" s="15" t="s">
        <v>14527</v>
      </c>
      <c r="AW1163" s="15" t="s">
        <v>14528</v>
      </c>
      <c r="AX1163" s="15" t="s">
        <v>14528</v>
      </c>
      <c r="AY1163" s="15">
        <f t="shared" si="23"/>
        <v>55</v>
      </c>
      <c r="AZ1163" s="15" t="s">
        <v>173</v>
      </c>
      <c r="BA1163" s="15" t="s">
        <v>174</v>
      </c>
      <c r="BB1163" s="15" t="s">
        <v>14529</v>
      </c>
      <c r="BE1163" s="15" t="s">
        <v>4027</v>
      </c>
      <c r="BI1163" s="15" t="s">
        <v>200</v>
      </c>
      <c r="BJ1163" s="15" t="s">
        <v>14530</v>
      </c>
      <c r="BN1163" s="15" t="s">
        <v>179</v>
      </c>
      <c r="BP1163" s="15" t="s">
        <v>138</v>
      </c>
      <c r="BS1163" s="15" t="s">
        <v>14531</v>
      </c>
      <c r="DH1163" s="15" t="s">
        <v>17982</v>
      </c>
      <c r="DI1163" s="15" t="s">
        <v>17982</v>
      </c>
    </row>
    <row r="1164" spans="1:113" s="15" customFormat="1" ht="12.75" x14ac:dyDescent="0.2">
      <c r="A1164" s="15" t="s">
        <v>109</v>
      </c>
      <c r="B1164" s="15" t="s">
        <v>110</v>
      </c>
      <c r="D1164" s="15" t="s">
        <v>620</v>
      </c>
      <c r="E1164" s="15" t="s">
        <v>112</v>
      </c>
      <c r="F1164" s="15" t="s">
        <v>620</v>
      </c>
      <c r="G1164" s="15" t="s">
        <v>113</v>
      </c>
      <c r="H1164" s="15" t="s">
        <v>1481</v>
      </c>
      <c r="J1164" s="16" t="s">
        <v>114</v>
      </c>
      <c r="U1164" s="15" t="s">
        <v>17977</v>
      </c>
      <c r="W1164" s="15">
        <v>1761</v>
      </c>
      <c r="X1164" s="15">
        <v>1174</v>
      </c>
      <c r="Y1164" s="15" t="s">
        <v>160</v>
      </c>
      <c r="Z1164" s="15" t="s">
        <v>161</v>
      </c>
      <c r="AA1164" s="15" t="s">
        <v>162</v>
      </c>
      <c r="AB1164" s="15" t="s">
        <v>9279</v>
      </c>
      <c r="AC1164" s="15" t="s">
        <v>9279</v>
      </c>
      <c r="AD1164" s="15" t="s">
        <v>9279</v>
      </c>
      <c r="AE1164" s="15" t="s">
        <v>164</v>
      </c>
      <c r="AF1164" s="15" t="s">
        <v>9279</v>
      </c>
      <c r="AG1164" s="15" t="s">
        <v>9279</v>
      </c>
      <c r="AH1164" s="34" t="s">
        <v>9280</v>
      </c>
      <c r="AL1164" s="15" t="s">
        <v>9281</v>
      </c>
      <c r="AN1164" s="15">
        <v>743</v>
      </c>
      <c r="AO1164" s="15" t="s">
        <v>9282</v>
      </c>
      <c r="AQ1164" s="15" t="s">
        <v>168</v>
      </c>
      <c r="AT1164" s="15" t="s">
        <v>9283</v>
      </c>
      <c r="AU1164" s="15" t="s">
        <v>9284</v>
      </c>
      <c r="AV1164" s="15" t="s">
        <v>9284</v>
      </c>
      <c r="AW1164" s="15" t="s">
        <v>9285</v>
      </c>
      <c r="AX1164" s="15" t="s">
        <v>9286</v>
      </c>
      <c r="AY1164" s="15">
        <f t="shared" si="23"/>
        <v>57</v>
      </c>
      <c r="AZ1164" s="15" t="s">
        <v>173</v>
      </c>
      <c r="BA1164" s="15" t="s">
        <v>174</v>
      </c>
      <c r="BB1164" s="15" t="s">
        <v>9287</v>
      </c>
      <c r="BE1164" s="15" t="s">
        <v>1597</v>
      </c>
      <c r="BI1164" s="15" t="s">
        <v>200</v>
      </c>
      <c r="BJ1164" s="15" t="s">
        <v>9288</v>
      </c>
      <c r="BN1164" s="15" t="s">
        <v>179</v>
      </c>
      <c r="BP1164" s="15" t="s">
        <v>138</v>
      </c>
      <c r="BS1164" s="15" t="s">
        <v>9289</v>
      </c>
      <c r="DH1164" s="15" t="s">
        <v>17982</v>
      </c>
      <c r="DI1164" s="15" t="s">
        <v>17982</v>
      </c>
    </row>
    <row r="1165" spans="1:113" s="15" customFormat="1" ht="12.75" x14ac:dyDescent="0.2">
      <c r="A1165" s="15" t="s">
        <v>109</v>
      </c>
      <c r="B1165" s="15" t="s">
        <v>110</v>
      </c>
      <c r="D1165" s="15" t="s">
        <v>620</v>
      </c>
      <c r="E1165" s="15" t="s">
        <v>112</v>
      </c>
      <c r="F1165" s="15" t="s">
        <v>620</v>
      </c>
      <c r="G1165" s="15" t="s">
        <v>113</v>
      </c>
      <c r="H1165" s="15" t="s">
        <v>1481</v>
      </c>
      <c r="J1165" s="16" t="s">
        <v>114</v>
      </c>
      <c r="U1165" s="15" t="s">
        <v>17977</v>
      </c>
      <c r="W1165" s="15">
        <v>3636</v>
      </c>
      <c r="X1165" s="15">
        <v>1175</v>
      </c>
      <c r="Y1165" s="15" t="s">
        <v>160</v>
      </c>
      <c r="Z1165" s="15" t="s">
        <v>161</v>
      </c>
      <c r="AA1165" s="15" t="s">
        <v>162</v>
      </c>
      <c r="AB1165" s="15" t="s">
        <v>17534</v>
      </c>
      <c r="AC1165" s="15" t="s">
        <v>17534</v>
      </c>
      <c r="AD1165" s="15" t="s">
        <v>17534</v>
      </c>
      <c r="AE1165" s="34" t="s">
        <v>164</v>
      </c>
      <c r="AF1165" s="15" t="s">
        <v>17534</v>
      </c>
      <c r="AG1165" s="15" t="s">
        <v>17534</v>
      </c>
      <c r="AH1165" s="34" t="s">
        <v>17535</v>
      </c>
      <c r="AL1165" s="15" t="s">
        <v>17536</v>
      </c>
      <c r="AN1165" s="15">
        <v>743</v>
      </c>
      <c r="AO1165" s="15" t="s">
        <v>17537</v>
      </c>
      <c r="AQ1165" s="15" t="s">
        <v>17538</v>
      </c>
      <c r="AT1165" s="15" t="s">
        <v>17539</v>
      </c>
      <c r="AU1165" s="15" t="s">
        <v>17540</v>
      </c>
      <c r="AV1165" s="15" t="s">
        <v>17540</v>
      </c>
      <c r="AW1165" s="15" t="s">
        <v>17541</v>
      </c>
      <c r="AX1165" s="15" t="s">
        <v>17542</v>
      </c>
      <c r="AY1165" s="15">
        <f t="shared" si="23"/>
        <v>58</v>
      </c>
      <c r="AZ1165" s="15" t="s">
        <v>17543</v>
      </c>
      <c r="BA1165" s="15" t="s">
        <v>7086</v>
      </c>
      <c r="BE1165" s="15" t="s">
        <v>17544</v>
      </c>
      <c r="BJ1165" s="15" t="s">
        <v>17545</v>
      </c>
      <c r="BN1165" s="15" t="s">
        <v>179</v>
      </c>
      <c r="BP1165" s="15" t="s">
        <v>138</v>
      </c>
      <c r="BS1165" s="15" t="s">
        <v>17546</v>
      </c>
      <c r="DH1165" s="15" t="s">
        <v>17982</v>
      </c>
      <c r="DI1165" s="15" t="s">
        <v>17982</v>
      </c>
    </row>
    <row r="1166" spans="1:113" s="15" customFormat="1" ht="12.75" x14ac:dyDescent="0.2">
      <c r="A1166" s="15" t="s">
        <v>109</v>
      </c>
      <c r="B1166" s="15" t="s">
        <v>110</v>
      </c>
      <c r="D1166" s="15" t="s">
        <v>620</v>
      </c>
      <c r="E1166" s="15" t="s">
        <v>112</v>
      </c>
      <c r="F1166" s="15" t="s">
        <v>620</v>
      </c>
      <c r="G1166" s="15" t="s">
        <v>113</v>
      </c>
      <c r="H1166" s="15" t="s">
        <v>1481</v>
      </c>
      <c r="J1166" s="16" t="s">
        <v>114</v>
      </c>
      <c r="U1166" s="15" t="s">
        <v>17977</v>
      </c>
      <c r="W1166" s="15">
        <v>389</v>
      </c>
      <c r="X1166" s="15">
        <v>1176</v>
      </c>
      <c r="Y1166" s="15" t="s">
        <v>160</v>
      </c>
      <c r="Z1166" s="15" t="s">
        <v>161</v>
      </c>
      <c r="AA1166" s="15" t="s">
        <v>162</v>
      </c>
      <c r="AB1166" s="15" t="s">
        <v>1587</v>
      </c>
      <c r="AC1166" s="15" t="s">
        <v>1587</v>
      </c>
      <c r="AD1166" s="15" t="s">
        <v>1587</v>
      </c>
      <c r="AE1166" s="15" t="s">
        <v>164</v>
      </c>
      <c r="AF1166" s="15" t="s">
        <v>1587</v>
      </c>
      <c r="AG1166" s="15" t="s">
        <v>1587</v>
      </c>
      <c r="AH1166" s="34" t="s">
        <v>1588</v>
      </c>
      <c r="AL1166" s="15" t="s">
        <v>1589</v>
      </c>
      <c r="AN1166" s="15">
        <v>743</v>
      </c>
      <c r="AO1166" s="15" t="s">
        <v>1590</v>
      </c>
      <c r="AQ1166" s="15" t="s">
        <v>1591</v>
      </c>
      <c r="AT1166" s="15" t="s">
        <v>1592</v>
      </c>
      <c r="AU1166" s="15" t="s">
        <v>1593</v>
      </c>
      <c r="AV1166" s="15" t="s">
        <v>1593</v>
      </c>
      <c r="AW1166" s="15" t="s">
        <v>1594</v>
      </c>
      <c r="AX1166" s="15" t="s">
        <v>1595</v>
      </c>
      <c r="AY1166" s="15">
        <f t="shared" si="23"/>
        <v>57</v>
      </c>
      <c r="AZ1166" s="15" t="s">
        <v>288</v>
      </c>
      <c r="BA1166" s="15" t="s">
        <v>174</v>
      </c>
      <c r="BB1166" s="15" t="s">
        <v>1596</v>
      </c>
      <c r="BE1166" s="15" t="s">
        <v>1597</v>
      </c>
      <c r="BJ1166" s="15" t="s">
        <v>1598</v>
      </c>
      <c r="BN1166" s="15" t="s">
        <v>179</v>
      </c>
      <c r="BP1166" s="15" t="s">
        <v>138</v>
      </c>
      <c r="BS1166" s="15" t="s">
        <v>1599</v>
      </c>
      <c r="DH1166" s="15" t="s">
        <v>17982</v>
      </c>
      <c r="DI1166" s="15" t="s">
        <v>17982</v>
      </c>
    </row>
    <row r="1167" spans="1:113" s="15" customFormat="1" ht="12.75" x14ac:dyDescent="0.2">
      <c r="A1167" s="15" t="s">
        <v>109</v>
      </c>
      <c r="B1167" s="15" t="s">
        <v>110</v>
      </c>
      <c r="D1167" s="15" t="s">
        <v>620</v>
      </c>
      <c r="E1167" s="15" t="s">
        <v>112</v>
      </c>
      <c r="F1167" s="15" t="s">
        <v>620</v>
      </c>
      <c r="G1167" s="15" t="s">
        <v>113</v>
      </c>
      <c r="H1167" s="15" t="s">
        <v>1481</v>
      </c>
      <c r="J1167" s="16" t="s">
        <v>114</v>
      </c>
      <c r="U1167" s="15" t="s">
        <v>17977</v>
      </c>
      <c r="W1167" s="15">
        <v>2498</v>
      </c>
      <c r="X1167" s="15">
        <v>1177</v>
      </c>
      <c r="Y1167" s="15" t="s">
        <v>160</v>
      </c>
      <c r="Z1167" s="15" t="s">
        <v>161</v>
      </c>
      <c r="AA1167" s="15" t="s">
        <v>162</v>
      </c>
      <c r="AB1167" s="15" t="s">
        <v>12213</v>
      </c>
      <c r="AC1167" s="15" t="s">
        <v>12213</v>
      </c>
      <c r="AD1167" s="15" t="s">
        <v>12214</v>
      </c>
      <c r="AE1167" s="15" t="s">
        <v>164</v>
      </c>
      <c r="AF1167" s="15" t="s">
        <v>12214</v>
      </c>
      <c r="AG1167" s="15" t="s">
        <v>12213</v>
      </c>
      <c r="AH1167" s="34" t="s">
        <v>12215</v>
      </c>
      <c r="AI1167" s="15">
        <v>42292601</v>
      </c>
      <c r="AK1167" s="15" t="s">
        <v>12216</v>
      </c>
      <c r="AL1167" s="15" t="s">
        <v>12217</v>
      </c>
      <c r="AN1167" s="15">
        <v>743</v>
      </c>
      <c r="AO1167" s="15" t="s">
        <v>12218</v>
      </c>
      <c r="AQ1167" s="15" t="s">
        <v>12219</v>
      </c>
      <c r="AT1167" s="15" t="s">
        <v>12220</v>
      </c>
      <c r="AU1167" s="15" t="s">
        <v>12221</v>
      </c>
      <c r="AV1167" s="15" t="s">
        <v>12221</v>
      </c>
      <c r="AW1167" s="15" t="s">
        <v>12222</v>
      </c>
      <c r="AX1167" s="15" t="s">
        <v>12222</v>
      </c>
      <c r="AY1167" s="15">
        <f t="shared" si="23"/>
        <v>59</v>
      </c>
      <c r="AZ1167" s="15" t="s">
        <v>12223</v>
      </c>
      <c r="BA1167" s="15" t="s">
        <v>174</v>
      </c>
      <c r="BB1167" s="15" t="s">
        <v>12224</v>
      </c>
      <c r="BE1167" s="15" t="s">
        <v>12225</v>
      </c>
      <c r="BJ1167" s="15" t="s">
        <v>12226</v>
      </c>
      <c r="BN1167" s="15" t="s">
        <v>179</v>
      </c>
      <c r="BP1167" s="15" t="s">
        <v>138</v>
      </c>
      <c r="BS1167" s="15" t="s">
        <v>12227</v>
      </c>
      <c r="DH1167" s="15" t="s">
        <v>17982</v>
      </c>
      <c r="DI1167" s="15" t="s">
        <v>17982</v>
      </c>
    </row>
    <row r="1168" spans="1:113" s="15" customFormat="1" ht="12.75" x14ac:dyDescent="0.2">
      <c r="A1168" s="15" t="s">
        <v>109</v>
      </c>
      <c r="B1168" s="15" t="s">
        <v>110</v>
      </c>
      <c r="D1168" s="15" t="s">
        <v>620</v>
      </c>
      <c r="E1168" s="15" t="s">
        <v>112</v>
      </c>
      <c r="F1168" s="15" t="s">
        <v>620</v>
      </c>
      <c r="G1168" s="15" t="s">
        <v>113</v>
      </c>
      <c r="H1168" s="15" t="s">
        <v>1481</v>
      </c>
      <c r="J1168" s="16" t="s">
        <v>114</v>
      </c>
      <c r="U1168" s="15" t="s">
        <v>17977</v>
      </c>
      <c r="W1168" s="15">
        <v>2499</v>
      </c>
      <c r="X1168" s="15">
        <v>1178</v>
      </c>
      <c r="Y1168" s="15" t="s">
        <v>160</v>
      </c>
      <c r="Z1168" s="15" t="s">
        <v>161</v>
      </c>
      <c r="AA1168" s="15" t="s">
        <v>162</v>
      </c>
      <c r="AB1168" s="15" t="s">
        <v>12228</v>
      </c>
      <c r="AC1168" s="15" t="s">
        <v>12228</v>
      </c>
      <c r="AD1168" s="15" t="s">
        <v>12229</v>
      </c>
      <c r="AE1168" s="15" t="s">
        <v>164</v>
      </c>
      <c r="AF1168" s="15" t="s">
        <v>12229</v>
      </c>
      <c r="AG1168" s="15" t="s">
        <v>12228</v>
      </c>
      <c r="AH1168" s="34" t="s">
        <v>12230</v>
      </c>
      <c r="AI1168" s="15">
        <v>42293605</v>
      </c>
      <c r="AK1168" s="15" t="s">
        <v>9890</v>
      </c>
      <c r="AL1168" s="15" t="s">
        <v>12231</v>
      </c>
      <c r="AN1168" s="15">
        <v>743</v>
      </c>
      <c r="AO1168" s="15" t="s">
        <v>12232</v>
      </c>
      <c r="AQ1168" s="15" t="s">
        <v>12219</v>
      </c>
      <c r="AT1168" s="15" t="s">
        <v>12233</v>
      </c>
      <c r="AU1168" s="15" t="s">
        <v>12234</v>
      </c>
      <c r="AV1168" s="15" t="s">
        <v>12234</v>
      </c>
      <c r="AW1168" s="15" t="s">
        <v>12235</v>
      </c>
      <c r="AX1168" s="15" t="s">
        <v>12235</v>
      </c>
      <c r="AY1168" s="15">
        <f t="shared" si="23"/>
        <v>59</v>
      </c>
      <c r="AZ1168" s="15" t="s">
        <v>12223</v>
      </c>
      <c r="BA1168" s="15" t="s">
        <v>174</v>
      </c>
      <c r="BB1168" s="15" t="s">
        <v>12224</v>
      </c>
      <c r="BE1168" s="15" t="s">
        <v>12236</v>
      </c>
      <c r="BJ1168" s="15" t="s">
        <v>12226</v>
      </c>
      <c r="BN1168" s="15" t="s">
        <v>179</v>
      </c>
      <c r="BP1168" s="15" t="s">
        <v>138</v>
      </c>
      <c r="BS1168" s="15" t="s">
        <v>12237</v>
      </c>
      <c r="DH1168" s="15" t="s">
        <v>17982</v>
      </c>
      <c r="DI1168" s="15" t="s">
        <v>17982</v>
      </c>
    </row>
    <row r="1169" spans="1:113" s="15" customFormat="1" ht="12.75" x14ac:dyDescent="0.2">
      <c r="A1169" s="15" t="s">
        <v>109</v>
      </c>
      <c r="B1169" s="15" t="s">
        <v>110</v>
      </c>
      <c r="D1169" s="15" t="s">
        <v>620</v>
      </c>
      <c r="E1169" s="15" t="s">
        <v>112</v>
      </c>
      <c r="F1169" s="15" t="s">
        <v>620</v>
      </c>
      <c r="G1169" s="15" t="s">
        <v>113</v>
      </c>
      <c r="H1169" s="15" t="s">
        <v>1481</v>
      </c>
      <c r="J1169" s="16" t="s">
        <v>114</v>
      </c>
      <c r="U1169" s="15" t="s">
        <v>17977</v>
      </c>
      <c r="W1169" s="15">
        <v>2500</v>
      </c>
      <c r="X1169" s="15">
        <v>1179</v>
      </c>
      <c r="Y1169" s="15" t="s">
        <v>160</v>
      </c>
      <c r="Z1169" s="15" t="s">
        <v>161</v>
      </c>
      <c r="AA1169" s="15" t="s">
        <v>162</v>
      </c>
      <c r="AB1169" s="15" t="s">
        <v>12238</v>
      </c>
      <c r="AC1169" s="15" t="s">
        <v>12238</v>
      </c>
      <c r="AD1169" s="15" t="s">
        <v>12239</v>
      </c>
      <c r="AE1169" s="15" t="s">
        <v>164</v>
      </c>
      <c r="AF1169" s="15" t="s">
        <v>12239</v>
      </c>
      <c r="AG1169" s="15" t="s">
        <v>12238</v>
      </c>
      <c r="AH1169" s="34" t="s">
        <v>12240</v>
      </c>
      <c r="AI1169" s="15">
        <v>42293605</v>
      </c>
      <c r="AK1169" s="15" t="s">
        <v>9890</v>
      </c>
      <c r="AL1169" s="15" t="s">
        <v>12241</v>
      </c>
      <c r="AN1169" s="15">
        <v>743</v>
      </c>
      <c r="AO1169" s="15" t="s">
        <v>12242</v>
      </c>
      <c r="AQ1169" s="15" t="s">
        <v>12219</v>
      </c>
      <c r="AT1169" s="15" t="s">
        <v>12243</v>
      </c>
      <c r="AU1169" s="15" t="s">
        <v>12244</v>
      </c>
      <c r="AV1169" s="15" t="s">
        <v>12244</v>
      </c>
      <c r="AW1169" s="15" t="s">
        <v>12245</v>
      </c>
      <c r="AX1169" s="15" t="s">
        <v>12245</v>
      </c>
      <c r="AY1169" s="15">
        <f t="shared" si="23"/>
        <v>59</v>
      </c>
      <c r="AZ1169" s="15" t="s">
        <v>12223</v>
      </c>
      <c r="BA1169" s="15" t="s">
        <v>174</v>
      </c>
      <c r="BB1169" s="15" t="s">
        <v>12224</v>
      </c>
      <c r="BE1169" s="15" t="s">
        <v>12246</v>
      </c>
      <c r="BJ1169" s="15" t="s">
        <v>12226</v>
      </c>
      <c r="BN1169" s="15" t="s">
        <v>179</v>
      </c>
      <c r="BP1169" s="15" t="s">
        <v>138</v>
      </c>
      <c r="BS1169" s="15" t="s">
        <v>12247</v>
      </c>
      <c r="DH1169" s="15" t="s">
        <v>17982</v>
      </c>
      <c r="DI1169" s="15" t="s">
        <v>17982</v>
      </c>
    </row>
    <row r="1170" spans="1:113" s="15" customFormat="1" ht="12.75" x14ac:dyDescent="0.2">
      <c r="A1170" s="15" t="s">
        <v>109</v>
      </c>
      <c r="B1170" s="15" t="s">
        <v>110</v>
      </c>
      <c r="D1170" s="15" t="s">
        <v>620</v>
      </c>
      <c r="E1170" s="15" t="s">
        <v>112</v>
      </c>
      <c r="F1170" s="15" t="s">
        <v>620</v>
      </c>
      <c r="G1170" s="15" t="s">
        <v>113</v>
      </c>
      <c r="H1170" s="15" t="s">
        <v>1481</v>
      </c>
      <c r="J1170" s="16" t="s">
        <v>114</v>
      </c>
      <c r="U1170" s="15" t="s">
        <v>17977</v>
      </c>
      <c r="W1170" s="15">
        <v>2799</v>
      </c>
      <c r="X1170" s="15">
        <v>1180</v>
      </c>
      <c r="Y1170" s="15" t="s">
        <v>160</v>
      </c>
      <c r="Z1170" s="15" t="s">
        <v>161</v>
      </c>
      <c r="AA1170" s="15" t="s">
        <v>162</v>
      </c>
      <c r="AB1170" s="15" t="s">
        <v>13597</v>
      </c>
      <c r="AC1170" s="15" t="s">
        <v>13597</v>
      </c>
      <c r="AD1170" s="15" t="s">
        <v>13598</v>
      </c>
      <c r="AE1170" s="15" t="s">
        <v>164</v>
      </c>
      <c r="AF1170" s="15" t="s">
        <v>13598</v>
      </c>
      <c r="AG1170" s="15" t="s">
        <v>13597</v>
      </c>
      <c r="AH1170" s="34" t="s">
        <v>13599</v>
      </c>
      <c r="AL1170" s="15" t="s">
        <v>13600</v>
      </c>
      <c r="AN1170" s="15">
        <v>743</v>
      </c>
      <c r="AO1170" s="15" t="s">
        <v>13601</v>
      </c>
      <c r="AQ1170" s="15" t="s">
        <v>13602</v>
      </c>
      <c r="AT1170" s="15" t="s">
        <v>13603</v>
      </c>
      <c r="AU1170" s="15" t="s">
        <v>13604</v>
      </c>
      <c r="AV1170" s="15" t="s">
        <v>13604</v>
      </c>
      <c r="AW1170" s="15" t="s">
        <v>13605</v>
      </c>
      <c r="AX1170" s="15" t="s">
        <v>13605</v>
      </c>
      <c r="AY1170" s="15">
        <f t="shared" si="23"/>
        <v>39</v>
      </c>
      <c r="AZ1170" s="15" t="s">
        <v>13606</v>
      </c>
      <c r="BA1170" s="15" t="s">
        <v>174</v>
      </c>
      <c r="BB1170" s="15" t="s">
        <v>13607</v>
      </c>
      <c r="BE1170" s="15" t="s">
        <v>13608</v>
      </c>
      <c r="BJ1170" s="15" t="s">
        <v>13609</v>
      </c>
      <c r="BN1170" s="15" t="s">
        <v>179</v>
      </c>
      <c r="BS1170" s="15" t="s">
        <v>13610</v>
      </c>
      <c r="DH1170" s="15" t="s">
        <v>17982</v>
      </c>
      <c r="DI1170" s="15" t="s">
        <v>17982</v>
      </c>
    </row>
    <row r="1171" spans="1:113" s="15" customFormat="1" ht="12.75" x14ac:dyDescent="0.2">
      <c r="A1171" s="15" t="s">
        <v>109</v>
      </c>
      <c r="B1171" s="15" t="s">
        <v>110</v>
      </c>
      <c r="D1171" s="15" t="s">
        <v>620</v>
      </c>
      <c r="E1171" s="15" t="s">
        <v>112</v>
      </c>
      <c r="F1171" s="15" t="s">
        <v>620</v>
      </c>
      <c r="G1171" s="15" t="s">
        <v>113</v>
      </c>
      <c r="H1171" s="15" t="s">
        <v>1481</v>
      </c>
      <c r="J1171" s="16" t="s">
        <v>114</v>
      </c>
      <c r="U1171" s="15" t="s">
        <v>17977</v>
      </c>
      <c r="W1171" s="15">
        <v>3566</v>
      </c>
      <c r="X1171" s="15">
        <v>1181</v>
      </c>
      <c r="Y1171" s="15" t="s">
        <v>160</v>
      </c>
      <c r="Z1171" s="15" t="s">
        <v>161</v>
      </c>
      <c r="AA1171" s="15" t="s">
        <v>162</v>
      </c>
      <c r="AB1171" s="15" t="s">
        <v>17201</v>
      </c>
      <c r="AC1171" s="15" t="s">
        <v>17201</v>
      </c>
      <c r="AD1171" s="15" t="s">
        <v>17202</v>
      </c>
      <c r="AE1171" s="15" t="s">
        <v>164</v>
      </c>
      <c r="AF1171" s="15" t="s">
        <v>17202</v>
      </c>
      <c r="AG1171" s="15" t="s">
        <v>17201</v>
      </c>
      <c r="AH1171" s="34" t="s">
        <v>17203</v>
      </c>
      <c r="AL1171" s="15" t="s">
        <v>17204</v>
      </c>
      <c r="AN1171" s="15">
        <v>743</v>
      </c>
      <c r="AO1171" s="15" t="s">
        <v>17205</v>
      </c>
      <c r="AQ1171" s="15" t="s">
        <v>1776</v>
      </c>
      <c r="AT1171" s="15" t="s">
        <v>17206</v>
      </c>
      <c r="AU1171" s="15" t="s">
        <v>17207</v>
      </c>
      <c r="AV1171" s="15" t="s">
        <v>17207</v>
      </c>
      <c r="AW1171" s="15" t="s">
        <v>17208</v>
      </c>
      <c r="AX1171" s="15" t="s">
        <v>17209</v>
      </c>
      <c r="AY1171" s="15">
        <f t="shared" si="23"/>
        <v>57</v>
      </c>
      <c r="AZ1171" s="15" t="s">
        <v>1781</v>
      </c>
      <c r="BA1171" s="15" t="s">
        <v>174</v>
      </c>
      <c r="BB1171" s="15" t="s">
        <v>17198</v>
      </c>
      <c r="BE1171" s="15" t="s">
        <v>1806</v>
      </c>
      <c r="BJ1171" s="15" t="s">
        <v>17210</v>
      </c>
      <c r="BS1171" s="15" t="s">
        <v>17211</v>
      </c>
      <c r="DH1171" s="15" t="s">
        <v>17982</v>
      </c>
      <c r="DI1171" s="15" t="s">
        <v>17982</v>
      </c>
    </row>
    <row r="1172" spans="1:113" s="15" customFormat="1" ht="12.75" x14ac:dyDescent="0.2">
      <c r="A1172" s="15" t="s">
        <v>109</v>
      </c>
      <c r="B1172" s="15" t="s">
        <v>110</v>
      </c>
      <c r="D1172" s="15" t="s">
        <v>620</v>
      </c>
      <c r="E1172" s="15" t="s">
        <v>112</v>
      </c>
      <c r="F1172" s="15" t="s">
        <v>620</v>
      </c>
      <c r="G1172" s="15" t="s">
        <v>113</v>
      </c>
      <c r="H1172" s="15" t="s">
        <v>1481</v>
      </c>
      <c r="J1172" s="16" t="s">
        <v>114</v>
      </c>
      <c r="U1172" s="15" t="s">
        <v>17977</v>
      </c>
      <c r="W1172" s="15">
        <v>3567</v>
      </c>
      <c r="X1172" s="15">
        <v>1182</v>
      </c>
      <c r="Y1172" s="15" t="s">
        <v>160</v>
      </c>
      <c r="Z1172" s="15" t="s">
        <v>161</v>
      </c>
      <c r="AA1172" s="15" t="s">
        <v>162</v>
      </c>
      <c r="AB1172" s="15" t="s">
        <v>17212</v>
      </c>
      <c r="AC1172" s="15" t="s">
        <v>17212</v>
      </c>
      <c r="AD1172" s="15" t="s">
        <v>17213</v>
      </c>
      <c r="AE1172" s="15" t="s">
        <v>164</v>
      </c>
      <c r="AF1172" s="15" t="s">
        <v>17213</v>
      </c>
      <c r="AG1172" s="15" t="s">
        <v>17212</v>
      </c>
      <c r="AH1172" s="34" t="s">
        <v>17214</v>
      </c>
      <c r="AL1172" s="15" t="s">
        <v>17215</v>
      </c>
      <c r="AN1172" s="15">
        <v>743</v>
      </c>
      <c r="AO1172" s="15" t="s">
        <v>17216</v>
      </c>
      <c r="AQ1172" s="15" t="s">
        <v>1776</v>
      </c>
      <c r="AT1172" s="15" t="s">
        <v>17217</v>
      </c>
      <c r="AU1172" s="15" t="s">
        <v>17218</v>
      </c>
      <c r="AV1172" s="15" t="s">
        <v>17218</v>
      </c>
      <c r="AW1172" s="15" t="s">
        <v>17219</v>
      </c>
      <c r="AX1172" s="15" t="s">
        <v>17220</v>
      </c>
      <c r="AY1172" s="15">
        <f t="shared" si="23"/>
        <v>57</v>
      </c>
      <c r="AZ1172" s="15" t="s">
        <v>1781</v>
      </c>
      <c r="BA1172" s="15" t="s">
        <v>174</v>
      </c>
      <c r="BB1172" s="15" t="s">
        <v>17198</v>
      </c>
      <c r="BE1172" s="15" t="s">
        <v>1817</v>
      </c>
      <c r="BJ1172" s="15" t="s">
        <v>17210</v>
      </c>
      <c r="BS1172" s="15" t="s">
        <v>17221</v>
      </c>
      <c r="DH1172" s="15" t="s">
        <v>17982</v>
      </c>
      <c r="DI1172" s="15" t="s">
        <v>17982</v>
      </c>
    </row>
    <row r="1173" spans="1:113" s="15" customFormat="1" ht="12.75" x14ac:dyDescent="0.2">
      <c r="A1173" s="15" t="s">
        <v>109</v>
      </c>
      <c r="B1173" s="15" t="s">
        <v>110</v>
      </c>
      <c r="D1173" s="15" t="s">
        <v>620</v>
      </c>
      <c r="E1173" s="15" t="s">
        <v>112</v>
      </c>
      <c r="F1173" s="15" t="s">
        <v>620</v>
      </c>
      <c r="G1173" s="15" t="s">
        <v>113</v>
      </c>
      <c r="H1173" s="15" t="s">
        <v>1481</v>
      </c>
      <c r="J1173" s="16" t="s">
        <v>114</v>
      </c>
      <c r="U1173" s="15" t="s">
        <v>17977</v>
      </c>
      <c r="W1173" s="15">
        <v>3568</v>
      </c>
      <c r="X1173" s="15">
        <v>1183</v>
      </c>
      <c r="Y1173" s="15" t="s">
        <v>160</v>
      </c>
      <c r="Z1173" s="15" t="s">
        <v>161</v>
      </c>
      <c r="AA1173" s="15" t="s">
        <v>162</v>
      </c>
      <c r="AB1173" s="15" t="s">
        <v>17222</v>
      </c>
      <c r="AC1173" s="15" t="s">
        <v>17222</v>
      </c>
      <c r="AD1173" s="15" t="s">
        <v>17223</v>
      </c>
      <c r="AE1173" s="15" t="s">
        <v>164</v>
      </c>
      <c r="AF1173" s="15" t="s">
        <v>17223</v>
      </c>
      <c r="AG1173" s="15" t="s">
        <v>17222</v>
      </c>
      <c r="AH1173" s="34" t="s">
        <v>17224</v>
      </c>
      <c r="AL1173" s="15" t="s">
        <v>17225</v>
      </c>
      <c r="AN1173" s="15">
        <v>743</v>
      </c>
      <c r="AO1173" s="15" t="s">
        <v>17226</v>
      </c>
      <c r="AQ1173" s="15" t="s">
        <v>1776</v>
      </c>
      <c r="AT1173" s="15" t="s">
        <v>17227</v>
      </c>
      <c r="AU1173" s="15" t="s">
        <v>17228</v>
      </c>
      <c r="AV1173" s="15" t="s">
        <v>17228</v>
      </c>
      <c r="AW1173" s="15" t="s">
        <v>17229</v>
      </c>
      <c r="AX1173" s="15" t="s">
        <v>17230</v>
      </c>
      <c r="AY1173" s="15">
        <f t="shared" si="23"/>
        <v>57</v>
      </c>
      <c r="AZ1173" s="15" t="s">
        <v>1781</v>
      </c>
      <c r="BA1173" s="15" t="s">
        <v>174</v>
      </c>
      <c r="BB1173" s="15" t="s">
        <v>17198</v>
      </c>
      <c r="BE1173" s="15" t="s">
        <v>1828</v>
      </c>
      <c r="BJ1173" s="15" t="s">
        <v>17210</v>
      </c>
      <c r="BS1173" s="15" t="s">
        <v>17231</v>
      </c>
      <c r="DH1173" s="15" t="s">
        <v>17982</v>
      </c>
      <c r="DI1173" s="15" t="s">
        <v>17982</v>
      </c>
    </row>
    <row r="1174" spans="1:113" s="15" customFormat="1" ht="12.75" x14ac:dyDescent="0.2">
      <c r="A1174" s="15" t="s">
        <v>109</v>
      </c>
      <c r="B1174" s="15" t="s">
        <v>110</v>
      </c>
      <c r="D1174" s="15" t="s">
        <v>620</v>
      </c>
      <c r="E1174" s="15" t="s">
        <v>112</v>
      </c>
      <c r="F1174" s="15" t="s">
        <v>620</v>
      </c>
      <c r="G1174" s="15" t="s">
        <v>113</v>
      </c>
      <c r="H1174" s="15" t="s">
        <v>1481</v>
      </c>
      <c r="J1174" s="16" t="s">
        <v>114</v>
      </c>
      <c r="U1174" s="15" t="s">
        <v>17977</v>
      </c>
      <c r="W1174" s="15">
        <v>3569</v>
      </c>
      <c r="X1174" s="15">
        <v>1184</v>
      </c>
      <c r="Y1174" s="15" t="s">
        <v>160</v>
      </c>
      <c r="Z1174" s="15" t="s">
        <v>161</v>
      </c>
      <c r="AA1174" s="15" t="s">
        <v>162</v>
      </c>
      <c r="AB1174" s="15" t="s">
        <v>17232</v>
      </c>
      <c r="AC1174" s="15" t="s">
        <v>17232</v>
      </c>
      <c r="AD1174" s="15" t="s">
        <v>17233</v>
      </c>
      <c r="AE1174" s="15" t="s">
        <v>164</v>
      </c>
      <c r="AF1174" s="15" t="s">
        <v>17233</v>
      </c>
      <c r="AG1174" s="15" t="s">
        <v>17232</v>
      </c>
      <c r="AH1174" s="34" t="s">
        <v>17234</v>
      </c>
      <c r="AL1174" s="15" t="s">
        <v>17235</v>
      </c>
      <c r="AN1174" s="15">
        <v>743</v>
      </c>
      <c r="AO1174" s="15" t="s">
        <v>17236</v>
      </c>
      <c r="AQ1174" s="15" t="s">
        <v>1776</v>
      </c>
      <c r="AT1174" s="15" t="s">
        <v>17237</v>
      </c>
      <c r="AU1174" s="15" t="s">
        <v>17238</v>
      </c>
      <c r="AV1174" s="15" t="s">
        <v>17238</v>
      </c>
      <c r="AW1174" s="15" t="s">
        <v>17239</v>
      </c>
      <c r="AX1174" s="15" t="s">
        <v>17240</v>
      </c>
      <c r="AY1174" s="15">
        <f t="shared" si="23"/>
        <v>57</v>
      </c>
      <c r="AZ1174" s="15" t="s">
        <v>1781</v>
      </c>
      <c r="BA1174" s="15" t="s">
        <v>174</v>
      </c>
      <c r="BB1174" s="15" t="s">
        <v>17198</v>
      </c>
      <c r="BE1174" s="15" t="s">
        <v>1839</v>
      </c>
      <c r="BJ1174" s="15" t="s">
        <v>17210</v>
      </c>
      <c r="BS1174" s="15" t="s">
        <v>17241</v>
      </c>
      <c r="DH1174" s="15" t="s">
        <v>17982</v>
      </c>
      <c r="DI1174" s="15" t="s">
        <v>17982</v>
      </c>
    </row>
    <row r="1175" spans="1:113" s="15" customFormat="1" ht="12.75" x14ac:dyDescent="0.2">
      <c r="A1175" s="15" t="s">
        <v>109</v>
      </c>
      <c r="B1175" s="15" t="s">
        <v>110</v>
      </c>
      <c r="D1175" s="15" t="s">
        <v>620</v>
      </c>
      <c r="E1175" s="15" t="s">
        <v>112</v>
      </c>
      <c r="F1175" s="15" t="s">
        <v>620</v>
      </c>
      <c r="G1175" s="15" t="s">
        <v>113</v>
      </c>
      <c r="H1175" s="15" t="s">
        <v>1481</v>
      </c>
      <c r="J1175" s="16" t="s">
        <v>114</v>
      </c>
      <c r="U1175" s="15" t="s">
        <v>17977</v>
      </c>
      <c r="W1175" s="15">
        <v>3570</v>
      </c>
      <c r="X1175" s="15">
        <v>1185</v>
      </c>
      <c r="Y1175" s="15" t="s">
        <v>160</v>
      </c>
      <c r="Z1175" s="15" t="s">
        <v>161</v>
      </c>
      <c r="AA1175" s="15" t="s">
        <v>162</v>
      </c>
      <c r="AB1175" s="15" t="s">
        <v>17242</v>
      </c>
      <c r="AC1175" s="15" t="s">
        <v>17242</v>
      </c>
      <c r="AD1175" s="15" t="s">
        <v>17243</v>
      </c>
      <c r="AE1175" s="15" t="s">
        <v>164</v>
      </c>
      <c r="AF1175" s="15" t="s">
        <v>17243</v>
      </c>
      <c r="AG1175" s="15" t="s">
        <v>17242</v>
      </c>
      <c r="AH1175" s="34" t="s">
        <v>17244</v>
      </c>
      <c r="AL1175" s="15" t="s">
        <v>17245</v>
      </c>
      <c r="AN1175" s="15">
        <v>743</v>
      </c>
      <c r="AO1175" s="15" t="s">
        <v>17246</v>
      </c>
      <c r="AQ1175" s="15" t="s">
        <v>1776</v>
      </c>
      <c r="AT1175" s="15" t="s">
        <v>17247</v>
      </c>
      <c r="AU1175" s="15" t="s">
        <v>17248</v>
      </c>
      <c r="AV1175" s="15" t="s">
        <v>17248</v>
      </c>
      <c r="AW1175" s="15" t="s">
        <v>17249</v>
      </c>
      <c r="AX1175" s="15" t="s">
        <v>17250</v>
      </c>
      <c r="AY1175" s="15">
        <f t="shared" si="23"/>
        <v>57</v>
      </c>
      <c r="AZ1175" s="15" t="s">
        <v>1781</v>
      </c>
      <c r="BA1175" s="15" t="s">
        <v>174</v>
      </c>
      <c r="BB1175" s="15" t="s">
        <v>17198</v>
      </c>
      <c r="BE1175" s="15" t="s">
        <v>1850</v>
      </c>
      <c r="BJ1175" s="15" t="s">
        <v>17210</v>
      </c>
      <c r="BS1175" s="15" t="s">
        <v>17251</v>
      </c>
      <c r="DH1175" s="15" t="s">
        <v>17982</v>
      </c>
      <c r="DI1175" s="15" t="s">
        <v>17982</v>
      </c>
    </row>
    <row r="1176" spans="1:113" s="15" customFormat="1" ht="12.75" x14ac:dyDescent="0.2">
      <c r="A1176" s="15" t="s">
        <v>109</v>
      </c>
      <c r="B1176" s="15" t="s">
        <v>110</v>
      </c>
      <c r="D1176" s="15" t="s">
        <v>620</v>
      </c>
      <c r="E1176" s="15" t="s">
        <v>112</v>
      </c>
      <c r="F1176" s="15" t="s">
        <v>620</v>
      </c>
      <c r="G1176" s="15" t="s">
        <v>113</v>
      </c>
      <c r="H1176" s="15" t="s">
        <v>1481</v>
      </c>
      <c r="J1176" s="16" t="s">
        <v>114</v>
      </c>
      <c r="U1176" s="15" t="s">
        <v>17977</v>
      </c>
      <c r="W1176" s="15">
        <v>3571</v>
      </c>
      <c r="X1176" s="15">
        <v>1186</v>
      </c>
      <c r="Y1176" s="15" t="s">
        <v>160</v>
      </c>
      <c r="Z1176" s="15" t="s">
        <v>161</v>
      </c>
      <c r="AA1176" s="15" t="s">
        <v>162</v>
      </c>
      <c r="AB1176" s="15" t="s">
        <v>17252</v>
      </c>
      <c r="AC1176" s="15" t="s">
        <v>17252</v>
      </c>
      <c r="AD1176" s="15" t="s">
        <v>17253</v>
      </c>
      <c r="AE1176" s="15" t="s">
        <v>164</v>
      </c>
      <c r="AF1176" s="15" t="s">
        <v>17253</v>
      </c>
      <c r="AG1176" s="15" t="s">
        <v>17252</v>
      </c>
      <c r="AH1176" s="34" t="s">
        <v>17254</v>
      </c>
      <c r="AL1176" s="15" t="s">
        <v>17255</v>
      </c>
      <c r="AN1176" s="15">
        <v>743</v>
      </c>
      <c r="AO1176" s="15" t="s">
        <v>17256</v>
      </c>
      <c r="AQ1176" s="15" t="s">
        <v>1776</v>
      </c>
      <c r="AT1176" s="15" t="s">
        <v>17257</v>
      </c>
      <c r="AU1176" s="15" t="s">
        <v>17258</v>
      </c>
      <c r="AV1176" s="15" t="s">
        <v>17258</v>
      </c>
      <c r="AW1176" s="15" t="s">
        <v>17259</v>
      </c>
      <c r="AX1176" s="15" t="s">
        <v>17260</v>
      </c>
      <c r="AY1176" s="15">
        <f t="shared" si="23"/>
        <v>57</v>
      </c>
      <c r="AZ1176" s="15" t="s">
        <v>1781</v>
      </c>
      <c r="BA1176" s="15" t="s">
        <v>174</v>
      </c>
      <c r="BB1176" s="15" t="s">
        <v>17198</v>
      </c>
      <c r="BE1176" s="15" t="s">
        <v>9960</v>
      </c>
      <c r="BJ1176" s="15" t="s">
        <v>17210</v>
      </c>
      <c r="BS1176" s="15" t="s">
        <v>17261</v>
      </c>
      <c r="DH1176" s="15" t="s">
        <v>17982</v>
      </c>
      <c r="DI1176" s="15" t="s">
        <v>17982</v>
      </c>
    </row>
    <row r="1177" spans="1:113" s="15" customFormat="1" ht="12.75" x14ac:dyDescent="0.2">
      <c r="A1177" s="15" t="s">
        <v>109</v>
      </c>
      <c r="B1177" s="15" t="s">
        <v>110</v>
      </c>
      <c r="D1177" s="15" t="s">
        <v>620</v>
      </c>
      <c r="E1177" s="15" t="s">
        <v>112</v>
      </c>
      <c r="F1177" s="15" t="s">
        <v>620</v>
      </c>
      <c r="G1177" s="15" t="s">
        <v>113</v>
      </c>
      <c r="H1177" s="15" t="s">
        <v>1481</v>
      </c>
      <c r="J1177" s="16" t="s">
        <v>114</v>
      </c>
      <c r="U1177" s="15" t="s">
        <v>17977</v>
      </c>
      <c r="W1177" s="15">
        <v>3572</v>
      </c>
      <c r="X1177" s="15">
        <v>1187</v>
      </c>
      <c r="Y1177" s="15" t="s">
        <v>160</v>
      </c>
      <c r="Z1177" s="15" t="s">
        <v>161</v>
      </c>
      <c r="AA1177" s="15" t="s">
        <v>162</v>
      </c>
      <c r="AB1177" s="15" t="s">
        <v>17262</v>
      </c>
      <c r="AC1177" s="15" t="s">
        <v>17262</v>
      </c>
      <c r="AD1177" s="15" t="s">
        <v>17263</v>
      </c>
      <c r="AE1177" s="15" t="s">
        <v>164</v>
      </c>
      <c r="AF1177" s="15" t="s">
        <v>17263</v>
      </c>
      <c r="AG1177" s="15" t="s">
        <v>17262</v>
      </c>
      <c r="AH1177" s="34" t="s">
        <v>17264</v>
      </c>
      <c r="AL1177" s="15" t="s">
        <v>17265</v>
      </c>
      <c r="AN1177" s="15">
        <v>743</v>
      </c>
      <c r="AO1177" s="15" t="s">
        <v>17266</v>
      </c>
      <c r="AQ1177" s="15" t="s">
        <v>1776</v>
      </c>
      <c r="AT1177" s="15" t="s">
        <v>17267</v>
      </c>
      <c r="AU1177" s="15" t="s">
        <v>17268</v>
      </c>
      <c r="AV1177" s="15" t="s">
        <v>17268</v>
      </c>
      <c r="AW1177" s="15" t="s">
        <v>17269</v>
      </c>
      <c r="AX1177" s="15" t="s">
        <v>17270</v>
      </c>
      <c r="AY1177" s="15">
        <f t="shared" si="23"/>
        <v>57</v>
      </c>
      <c r="AZ1177" s="15" t="s">
        <v>1781</v>
      </c>
      <c r="BA1177" s="15" t="s">
        <v>174</v>
      </c>
      <c r="BB1177" s="15" t="s">
        <v>17198</v>
      </c>
      <c r="BE1177" s="15" t="s">
        <v>9971</v>
      </c>
      <c r="BJ1177" s="15" t="s">
        <v>17210</v>
      </c>
      <c r="BS1177" s="15" t="s">
        <v>17271</v>
      </c>
      <c r="DH1177" s="15" t="s">
        <v>17982</v>
      </c>
      <c r="DI1177" s="15" t="s">
        <v>17982</v>
      </c>
    </row>
    <row r="1178" spans="1:113" s="15" customFormat="1" ht="12.75" x14ac:dyDescent="0.2">
      <c r="A1178" s="15" t="s">
        <v>109</v>
      </c>
      <c r="B1178" s="15" t="s">
        <v>110</v>
      </c>
      <c r="D1178" s="15" t="s">
        <v>620</v>
      </c>
      <c r="E1178" s="15" t="s">
        <v>112</v>
      </c>
      <c r="F1178" s="15" t="s">
        <v>620</v>
      </c>
      <c r="G1178" s="15" t="s">
        <v>113</v>
      </c>
      <c r="H1178" s="15" t="s">
        <v>1481</v>
      </c>
      <c r="J1178" s="16" t="s">
        <v>114</v>
      </c>
      <c r="U1178" s="15" t="s">
        <v>17977</v>
      </c>
      <c r="W1178" s="15">
        <v>3573</v>
      </c>
      <c r="X1178" s="15">
        <v>1188</v>
      </c>
      <c r="Y1178" s="15" t="s">
        <v>160</v>
      </c>
      <c r="Z1178" s="15" t="s">
        <v>161</v>
      </c>
      <c r="AA1178" s="15" t="s">
        <v>162</v>
      </c>
      <c r="AB1178" s="15" t="s">
        <v>17272</v>
      </c>
      <c r="AC1178" s="15" t="s">
        <v>17272</v>
      </c>
      <c r="AD1178" s="15" t="s">
        <v>17273</v>
      </c>
      <c r="AE1178" s="15" t="s">
        <v>164</v>
      </c>
      <c r="AF1178" s="15" t="s">
        <v>17273</v>
      </c>
      <c r="AG1178" s="15" t="s">
        <v>17272</v>
      </c>
      <c r="AH1178" s="34" t="s">
        <v>17274</v>
      </c>
      <c r="AL1178" s="15" t="s">
        <v>17275</v>
      </c>
      <c r="AN1178" s="15">
        <v>743</v>
      </c>
      <c r="AO1178" s="15" t="s">
        <v>17276</v>
      </c>
      <c r="AQ1178" s="15" t="s">
        <v>1776</v>
      </c>
      <c r="AT1178" s="15" t="s">
        <v>17277</v>
      </c>
      <c r="AU1178" s="15" t="s">
        <v>17278</v>
      </c>
      <c r="AV1178" s="15" t="s">
        <v>17278</v>
      </c>
      <c r="AW1178" s="15" t="s">
        <v>17279</v>
      </c>
      <c r="AX1178" s="15" t="s">
        <v>17280</v>
      </c>
      <c r="AY1178" s="15">
        <f t="shared" si="23"/>
        <v>57</v>
      </c>
      <c r="AZ1178" s="15" t="s">
        <v>1781</v>
      </c>
      <c r="BA1178" s="15" t="s">
        <v>174</v>
      </c>
      <c r="BB1178" s="15" t="s">
        <v>17198</v>
      </c>
      <c r="BE1178" s="15" t="s">
        <v>9982</v>
      </c>
      <c r="BJ1178" s="15" t="s">
        <v>17210</v>
      </c>
      <c r="BS1178" s="15" t="s">
        <v>17281</v>
      </c>
      <c r="DH1178" s="15" t="s">
        <v>17982</v>
      </c>
      <c r="DI1178" s="15" t="s">
        <v>17982</v>
      </c>
    </row>
    <row r="1179" spans="1:113" s="15" customFormat="1" ht="12.75" x14ac:dyDescent="0.2">
      <c r="A1179" s="15" t="s">
        <v>109</v>
      </c>
      <c r="B1179" s="15" t="s">
        <v>110</v>
      </c>
      <c r="D1179" s="15" t="s">
        <v>620</v>
      </c>
      <c r="E1179" s="15" t="s">
        <v>112</v>
      </c>
      <c r="F1179" s="15" t="s">
        <v>620</v>
      </c>
      <c r="G1179" s="15" t="s">
        <v>113</v>
      </c>
      <c r="H1179" s="15" t="s">
        <v>1481</v>
      </c>
      <c r="J1179" s="16" t="s">
        <v>114</v>
      </c>
      <c r="U1179" s="15" t="s">
        <v>17977</v>
      </c>
      <c r="W1179" s="15">
        <v>3574</v>
      </c>
      <c r="X1179" s="15">
        <v>1189</v>
      </c>
      <c r="Y1179" s="15" t="s">
        <v>160</v>
      </c>
      <c r="Z1179" s="15" t="s">
        <v>161</v>
      </c>
      <c r="AA1179" s="15" t="s">
        <v>162</v>
      </c>
      <c r="AB1179" s="15" t="s">
        <v>17282</v>
      </c>
      <c r="AC1179" s="15" t="s">
        <v>17282</v>
      </c>
      <c r="AD1179" s="15" t="s">
        <v>17283</v>
      </c>
      <c r="AE1179" s="15" t="s">
        <v>164</v>
      </c>
      <c r="AF1179" s="15" t="s">
        <v>17283</v>
      </c>
      <c r="AG1179" s="15" t="s">
        <v>17282</v>
      </c>
      <c r="AH1179" s="34" t="s">
        <v>17284</v>
      </c>
      <c r="AL1179" s="15" t="s">
        <v>17285</v>
      </c>
      <c r="AN1179" s="15">
        <v>743</v>
      </c>
      <c r="AO1179" s="15" t="s">
        <v>17286</v>
      </c>
      <c r="AQ1179" s="15" t="s">
        <v>1776</v>
      </c>
      <c r="AT1179" s="15" t="s">
        <v>17287</v>
      </c>
      <c r="AU1179" s="15" t="s">
        <v>17288</v>
      </c>
      <c r="AV1179" s="15" t="s">
        <v>17288</v>
      </c>
      <c r="AW1179" s="15" t="s">
        <v>17289</v>
      </c>
      <c r="AX1179" s="15" t="s">
        <v>17290</v>
      </c>
      <c r="AY1179" s="15">
        <f t="shared" si="23"/>
        <v>57</v>
      </c>
      <c r="AZ1179" s="15" t="s">
        <v>1781</v>
      </c>
      <c r="BA1179" s="15" t="s">
        <v>174</v>
      </c>
      <c r="BB1179" s="15" t="s">
        <v>17198</v>
      </c>
      <c r="BE1179" s="15" t="s">
        <v>9993</v>
      </c>
      <c r="BJ1179" s="15" t="s">
        <v>17210</v>
      </c>
      <c r="BS1179" s="15" t="s">
        <v>17291</v>
      </c>
      <c r="DH1179" s="15" t="s">
        <v>17982</v>
      </c>
      <c r="DI1179" s="15" t="s">
        <v>17982</v>
      </c>
    </row>
    <row r="1180" spans="1:113" s="15" customFormat="1" ht="12.75" x14ac:dyDescent="0.2">
      <c r="A1180" s="15" t="s">
        <v>109</v>
      </c>
      <c r="B1180" s="15" t="s">
        <v>110</v>
      </c>
      <c r="D1180" s="15" t="s">
        <v>620</v>
      </c>
      <c r="E1180" s="15" t="s">
        <v>112</v>
      </c>
      <c r="F1180" s="15" t="s">
        <v>620</v>
      </c>
      <c r="G1180" s="15" t="s">
        <v>113</v>
      </c>
      <c r="H1180" s="15" t="s">
        <v>1481</v>
      </c>
      <c r="J1180" s="16" t="s">
        <v>114</v>
      </c>
      <c r="U1180" s="15" t="s">
        <v>17977</v>
      </c>
      <c r="W1180" s="15">
        <v>2029</v>
      </c>
      <c r="X1180" s="15">
        <v>1190</v>
      </c>
      <c r="Y1180" s="15" t="s">
        <v>160</v>
      </c>
      <c r="Z1180" s="15" t="s">
        <v>161</v>
      </c>
      <c r="AA1180" s="15" t="s">
        <v>162</v>
      </c>
      <c r="AB1180" s="15" t="s">
        <v>10454</v>
      </c>
      <c r="AC1180" s="15" t="s">
        <v>10454</v>
      </c>
      <c r="AD1180" s="15" t="s">
        <v>10455</v>
      </c>
      <c r="AE1180" s="15" t="s">
        <v>164</v>
      </c>
      <c r="AF1180" s="15" t="s">
        <v>10455</v>
      </c>
      <c r="AG1180" s="15" t="s">
        <v>10454</v>
      </c>
      <c r="AH1180" s="34" t="s">
        <v>10456</v>
      </c>
      <c r="AL1180" s="15" t="s">
        <v>10457</v>
      </c>
      <c r="AN1180" s="15">
        <v>743</v>
      </c>
      <c r="AO1180" s="15" t="s">
        <v>10458</v>
      </c>
      <c r="AQ1180" s="15" t="s">
        <v>1776</v>
      </c>
      <c r="AT1180" s="15" t="s">
        <v>10459</v>
      </c>
      <c r="AU1180" s="15" t="s">
        <v>10460</v>
      </c>
      <c r="AV1180" s="15" t="s">
        <v>10460</v>
      </c>
      <c r="AW1180" s="15" t="s">
        <v>10461</v>
      </c>
      <c r="AX1180" s="15" t="s">
        <v>10462</v>
      </c>
      <c r="AY1180" s="15">
        <f t="shared" si="23"/>
        <v>59</v>
      </c>
      <c r="AZ1180" s="15" t="s">
        <v>1781</v>
      </c>
      <c r="BA1180" s="15" t="s">
        <v>9897</v>
      </c>
      <c r="BB1180" s="15" t="s">
        <v>10350</v>
      </c>
      <c r="BE1180" s="15" t="s">
        <v>10463</v>
      </c>
      <c r="BF1180" s="15" t="s">
        <v>10352</v>
      </c>
      <c r="BJ1180" s="15" t="s">
        <v>10353</v>
      </c>
      <c r="BN1180" s="15" t="s">
        <v>179</v>
      </c>
      <c r="BP1180" s="15" t="s">
        <v>138</v>
      </c>
      <c r="BS1180" s="15" t="s">
        <v>10464</v>
      </c>
      <c r="DH1180" s="15" t="s">
        <v>17982</v>
      </c>
      <c r="DI1180" s="15" t="s">
        <v>17982</v>
      </c>
    </row>
    <row r="1181" spans="1:113" s="15" customFormat="1" ht="12.75" x14ac:dyDescent="0.2">
      <c r="A1181" s="15" t="s">
        <v>109</v>
      </c>
      <c r="B1181" s="15" t="s">
        <v>110</v>
      </c>
      <c r="D1181" s="15" t="s">
        <v>620</v>
      </c>
      <c r="E1181" s="15" t="s">
        <v>112</v>
      </c>
      <c r="F1181" s="15" t="s">
        <v>620</v>
      </c>
      <c r="G1181" s="15" t="s">
        <v>113</v>
      </c>
      <c r="H1181" s="15" t="s">
        <v>1481</v>
      </c>
      <c r="J1181" s="16" t="s">
        <v>114</v>
      </c>
      <c r="U1181" s="15" t="s">
        <v>17977</v>
      </c>
      <c r="W1181" s="15">
        <v>2019</v>
      </c>
      <c r="X1181" s="15">
        <v>1191</v>
      </c>
      <c r="Y1181" s="15" t="s">
        <v>160</v>
      </c>
      <c r="Z1181" s="15" t="s">
        <v>161</v>
      </c>
      <c r="AA1181" s="15" t="s">
        <v>162</v>
      </c>
      <c r="AB1181" s="15" t="s">
        <v>10341</v>
      </c>
      <c r="AC1181" s="15" t="s">
        <v>10341</v>
      </c>
      <c r="AD1181" s="15" t="s">
        <v>10342</v>
      </c>
      <c r="AE1181" s="15" t="s">
        <v>164</v>
      </c>
      <c r="AF1181" s="15" t="s">
        <v>10342</v>
      </c>
      <c r="AG1181" s="15" t="s">
        <v>10341</v>
      </c>
      <c r="AH1181" s="34" t="s">
        <v>10343</v>
      </c>
      <c r="AL1181" s="15" t="s">
        <v>10344</v>
      </c>
      <c r="AN1181" s="15">
        <v>743</v>
      </c>
      <c r="AO1181" s="15" t="s">
        <v>10345</v>
      </c>
      <c r="AQ1181" s="15" t="s">
        <v>1776</v>
      </c>
      <c r="AT1181" s="15" t="s">
        <v>10346</v>
      </c>
      <c r="AU1181" s="15" t="s">
        <v>10347</v>
      </c>
      <c r="AV1181" s="15" t="s">
        <v>10347</v>
      </c>
      <c r="AW1181" s="15" t="s">
        <v>10348</v>
      </c>
      <c r="AX1181" s="15" t="s">
        <v>10349</v>
      </c>
      <c r="AY1181" s="15">
        <f t="shared" si="23"/>
        <v>60</v>
      </c>
      <c r="AZ1181" s="15" t="s">
        <v>1781</v>
      </c>
      <c r="BA1181" s="15" t="s">
        <v>9897</v>
      </c>
      <c r="BB1181" s="15" t="s">
        <v>10350</v>
      </c>
      <c r="BE1181" s="15" t="s">
        <v>10351</v>
      </c>
      <c r="BF1181" s="15" t="s">
        <v>10352</v>
      </c>
      <c r="BJ1181" s="15" t="s">
        <v>10353</v>
      </c>
      <c r="BN1181" s="15" t="s">
        <v>179</v>
      </c>
      <c r="BP1181" s="15" t="s">
        <v>138</v>
      </c>
      <c r="BS1181" s="15" t="s">
        <v>10354</v>
      </c>
      <c r="DH1181" s="15" t="s">
        <v>17982</v>
      </c>
      <c r="DI1181" s="15" t="s">
        <v>17982</v>
      </c>
    </row>
    <row r="1182" spans="1:113" s="15" customFormat="1" ht="12.75" x14ac:dyDescent="0.2">
      <c r="A1182" s="15" t="s">
        <v>109</v>
      </c>
      <c r="B1182" s="15" t="s">
        <v>110</v>
      </c>
      <c r="D1182" s="15" t="s">
        <v>620</v>
      </c>
      <c r="E1182" s="15" t="s">
        <v>112</v>
      </c>
      <c r="F1182" s="15" t="s">
        <v>620</v>
      </c>
      <c r="G1182" s="15" t="s">
        <v>113</v>
      </c>
      <c r="H1182" s="15" t="s">
        <v>1481</v>
      </c>
      <c r="J1182" s="16" t="s">
        <v>114</v>
      </c>
      <c r="U1182" s="15" t="s">
        <v>17977</v>
      </c>
      <c r="W1182" s="15">
        <v>2020</v>
      </c>
      <c r="X1182" s="15">
        <v>1192</v>
      </c>
      <c r="Y1182" s="15" t="s">
        <v>160</v>
      </c>
      <c r="Z1182" s="15" t="s">
        <v>161</v>
      </c>
      <c r="AA1182" s="15" t="s">
        <v>162</v>
      </c>
      <c r="AB1182" s="15" t="s">
        <v>10355</v>
      </c>
      <c r="AC1182" s="15" t="s">
        <v>10355</v>
      </c>
      <c r="AD1182" s="15" t="s">
        <v>10356</v>
      </c>
      <c r="AE1182" s="15" t="s">
        <v>164</v>
      </c>
      <c r="AF1182" s="15" t="s">
        <v>10356</v>
      </c>
      <c r="AG1182" s="15" t="s">
        <v>10355</v>
      </c>
      <c r="AH1182" s="34" t="s">
        <v>10357</v>
      </c>
      <c r="AL1182" s="15" t="s">
        <v>10358</v>
      </c>
      <c r="AN1182" s="15">
        <v>743</v>
      </c>
      <c r="AO1182" s="15" t="s">
        <v>10359</v>
      </c>
      <c r="AQ1182" s="15" t="s">
        <v>1776</v>
      </c>
      <c r="AT1182" s="15" t="s">
        <v>10360</v>
      </c>
      <c r="AU1182" s="15" t="s">
        <v>10361</v>
      </c>
      <c r="AV1182" s="15" t="s">
        <v>10361</v>
      </c>
      <c r="AW1182" s="15" t="s">
        <v>10362</v>
      </c>
      <c r="AX1182" s="15" t="s">
        <v>10363</v>
      </c>
      <c r="AY1182" s="15">
        <f t="shared" si="23"/>
        <v>60</v>
      </c>
      <c r="AZ1182" s="15" t="s">
        <v>1781</v>
      </c>
      <c r="BA1182" s="15" t="s">
        <v>9897</v>
      </c>
      <c r="BB1182" s="15" t="s">
        <v>10350</v>
      </c>
      <c r="BE1182" s="15" t="s">
        <v>10364</v>
      </c>
      <c r="BF1182" s="15" t="s">
        <v>10352</v>
      </c>
      <c r="BJ1182" s="15" t="s">
        <v>10353</v>
      </c>
      <c r="BN1182" s="15" t="s">
        <v>179</v>
      </c>
      <c r="BP1182" s="15" t="s">
        <v>138</v>
      </c>
      <c r="BS1182" s="15" t="s">
        <v>10365</v>
      </c>
      <c r="DH1182" s="15" t="s">
        <v>17982</v>
      </c>
      <c r="DI1182" s="15" t="s">
        <v>17982</v>
      </c>
    </row>
    <row r="1183" spans="1:113" s="15" customFormat="1" ht="12.75" x14ac:dyDescent="0.2">
      <c r="A1183" s="15" t="s">
        <v>109</v>
      </c>
      <c r="B1183" s="15" t="s">
        <v>110</v>
      </c>
      <c r="D1183" s="15" t="s">
        <v>620</v>
      </c>
      <c r="E1183" s="15" t="s">
        <v>112</v>
      </c>
      <c r="F1183" s="15" t="s">
        <v>620</v>
      </c>
      <c r="G1183" s="15" t="s">
        <v>113</v>
      </c>
      <c r="H1183" s="15" t="s">
        <v>1481</v>
      </c>
      <c r="J1183" s="16" t="s">
        <v>114</v>
      </c>
      <c r="U1183" s="15" t="s">
        <v>17977</v>
      </c>
      <c r="W1183" s="15">
        <v>2021</v>
      </c>
      <c r="X1183" s="15">
        <v>1193</v>
      </c>
      <c r="Y1183" s="15" t="s">
        <v>160</v>
      </c>
      <c r="Z1183" s="15" t="s">
        <v>161</v>
      </c>
      <c r="AA1183" s="15" t="s">
        <v>162</v>
      </c>
      <c r="AB1183" s="15" t="s">
        <v>10366</v>
      </c>
      <c r="AC1183" s="15" t="s">
        <v>10366</v>
      </c>
      <c r="AD1183" s="15" t="s">
        <v>10367</v>
      </c>
      <c r="AE1183" s="15" t="s">
        <v>164</v>
      </c>
      <c r="AF1183" s="15" t="s">
        <v>10367</v>
      </c>
      <c r="AG1183" s="15" t="s">
        <v>10366</v>
      </c>
      <c r="AH1183" s="34" t="s">
        <v>10368</v>
      </c>
      <c r="AL1183" s="15" t="s">
        <v>10369</v>
      </c>
      <c r="AN1183" s="15">
        <v>743</v>
      </c>
      <c r="AO1183" s="15" t="s">
        <v>10370</v>
      </c>
      <c r="AQ1183" s="15" t="s">
        <v>1776</v>
      </c>
      <c r="AT1183" s="15" t="s">
        <v>10371</v>
      </c>
      <c r="AU1183" s="15" t="s">
        <v>10372</v>
      </c>
      <c r="AV1183" s="15" t="s">
        <v>10372</v>
      </c>
      <c r="AW1183" s="15" t="s">
        <v>10373</v>
      </c>
      <c r="AX1183" s="15" t="s">
        <v>10374</v>
      </c>
      <c r="AY1183" s="15">
        <f t="shared" si="23"/>
        <v>60</v>
      </c>
      <c r="AZ1183" s="15" t="s">
        <v>1781</v>
      </c>
      <c r="BA1183" s="15" t="s">
        <v>9897</v>
      </c>
      <c r="BB1183" s="15" t="s">
        <v>10350</v>
      </c>
      <c r="BE1183" s="15" t="s">
        <v>10375</v>
      </c>
      <c r="BF1183" s="15" t="s">
        <v>10352</v>
      </c>
      <c r="BJ1183" s="15" t="s">
        <v>10353</v>
      </c>
      <c r="BN1183" s="15" t="s">
        <v>179</v>
      </c>
      <c r="BP1183" s="15" t="s">
        <v>138</v>
      </c>
      <c r="BS1183" s="15" t="s">
        <v>10376</v>
      </c>
      <c r="DH1183" s="15" t="s">
        <v>17982</v>
      </c>
      <c r="DI1183" s="15" t="s">
        <v>17982</v>
      </c>
    </row>
    <row r="1184" spans="1:113" s="15" customFormat="1" ht="12.75" x14ac:dyDescent="0.2">
      <c r="A1184" s="15" t="s">
        <v>109</v>
      </c>
      <c r="B1184" s="15" t="s">
        <v>110</v>
      </c>
      <c r="D1184" s="15" t="s">
        <v>620</v>
      </c>
      <c r="E1184" s="15" t="s">
        <v>112</v>
      </c>
      <c r="F1184" s="15" t="s">
        <v>620</v>
      </c>
      <c r="G1184" s="15" t="s">
        <v>113</v>
      </c>
      <c r="H1184" s="15" t="s">
        <v>1481</v>
      </c>
      <c r="J1184" s="16" t="s">
        <v>114</v>
      </c>
      <c r="U1184" s="15" t="s">
        <v>17977</v>
      </c>
      <c r="W1184" s="15">
        <v>2022</v>
      </c>
      <c r="X1184" s="15">
        <v>1194</v>
      </c>
      <c r="Y1184" s="15" t="s">
        <v>160</v>
      </c>
      <c r="Z1184" s="15" t="s">
        <v>161</v>
      </c>
      <c r="AA1184" s="15" t="s">
        <v>162</v>
      </c>
      <c r="AB1184" s="15" t="s">
        <v>10377</v>
      </c>
      <c r="AC1184" s="15" t="s">
        <v>10377</v>
      </c>
      <c r="AD1184" s="15" t="s">
        <v>10378</v>
      </c>
      <c r="AE1184" s="15" t="s">
        <v>164</v>
      </c>
      <c r="AF1184" s="15" t="s">
        <v>10378</v>
      </c>
      <c r="AG1184" s="15" t="s">
        <v>10377</v>
      </c>
      <c r="AH1184" s="34" t="s">
        <v>10379</v>
      </c>
      <c r="AL1184" s="15" t="s">
        <v>10380</v>
      </c>
      <c r="AN1184" s="15">
        <v>743</v>
      </c>
      <c r="AO1184" s="15" t="s">
        <v>10381</v>
      </c>
      <c r="AQ1184" s="15" t="s">
        <v>1776</v>
      </c>
      <c r="AT1184" s="15" t="s">
        <v>10382</v>
      </c>
      <c r="AU1184" s="15" t="s">
        <v>10383</v>
      </c>
      <c r="AV1184" s="15" t="s">
        <v>10383</v>
      </c>
      <c r="AW1184" s="15" t="s">
        <v>10384</v>
      </c>
      <c r="AX1184" s="15" t="s">
        <v>10385</v>
      </c>
      <c r="AY1184" s="15">
        <f t="shared" si="23"/>
        <v>60</v>
      </c>
      <c r="AZ1184" s="15" t="s">
        <v>1781</v>
      </c>
      <c r="BA1184" s="15" t="s">
        <v>9897</v>
      </c>
      <c r="BB1184" s="15" t="s">
        <v>10350</v>
      </c>
      <c r="BE1184" s="15" t="s">
        <v>10386</v>
      </c>
      <c r="BF1184" s="15" t="s">
        <v>10352</v>
      </c>
      <c r="BJ1184" s="15" t="s">
        <v>10353</v>
      </c>
      <c r="BN1184" s="15" t="s">
        <v>179</v>
      </c>
      <c r="BP1184" s="15" t="s">
        <v>138</v>
      </c>
      <c r="BS1184" s="15" t="s">
        <v>10387</v>
      </c>
      <c r="DH1184" s="15" t="s">
        <v>17982</v>
      </c>
      <c r="DI1184" s="15" t="s">
        <v>17982</v>
      </c>
    </row>
    <row r="1185" spans="1:113" s="15" customFormat="1" ht="12.75" x14ac:dyDescent="0.2">
      <c r="A1185" s="15" t="s">
        <v>109</v>
      </c>
      <c r="B1185" s="15" t="s">
        <v>110</v>
      </c>
      <c r="D1185" s="15" t="s">
        <v>620</v>
      </c>
      <c r="E1185" s="15" t="s">
        <v>112</v>
      </c>
      <c r="F1185" s="15" t="s">
        <v>620</v>
      </c>
      <c r="G1185" s="15" t="s">
        <v>113</v>
      </c>
      <c r="H1185" s="15" t="s">
        <v>1481</v>
      </c>
      <c r="J1185" s="16" t="s">
        <v>114</v>
      </c>
      <c r="U1185" s="15" t="s">
        <v>17977</v>
      </c>
      <c r="W1185" s="15">
        <v>2023</v>
      </c>
      <c r="X1185" s="15">
        <v>1195</v>
      </c>
      <c r="Y1185" s="15" t="s">
        <v>160</v>
      </c>
      <c r="Z1185" s="15" t="s">
        <v>161</v>
      </c>
      <c r="AA1185" s="15" t="s">
        <v>162</v>
      </c>
      <c r="AB1185" s="15" t="s">
        <v>10388</v>
      </c>
      <c r="AC1185" s="15" t="s">
        <v>10388</v>
      </c>
      <c r="AD1185" s="15" t="s">
        <v>10389</v>
      </c>
      <c r="AE1185" s="15" t="s">
        <v>164</v>
      </c>
      <c r="AF1185" s="15" t="s">
        <v>10389</v>
      </c>
      <c r="AG1185" s="15" t="s">
        <v>10388</v>
      </c>
      <c r="AH1185" s="34" t="s">
        <v>10390</v>
      </c>
      <c r="AL1185" s="15" t="s">
        <v>10391</v>
      </c>
      <c r="AN1185" s="15">
        <v>743</v>
      </c>
      <c r="AO1185" s="15" t="s">
        <v>10392</v>
      </c>
      <c r="AQ1185" s="15" t="s">
        <v>1776</v>
      </c>
      <c r="AT1185" s="15" t="s">
        <v>10393</v>
      </c>
      <c r="AU1185" s="15" t="s">
        <v>10394</v>
      </c>
      <c r="AV1185" s="15" t="s">
        <v>10394</v>
      </c>
      <c r="AW1185" s="15" t="s">
        <v>10395</v>
      </c>
      <c r="AX1185" s="15" t="s">
        <v>10396</v>
      </c>
      <c r="AY1185" s="15">
        <f t="shared" si="23"/>
        <v>60</v>
      </c>
      <c r="AZ1185" s="15" t="s">
        <v>1781</v>
      </c>
      <c r="BA1185" s="15" t="s">
        <v>9897</v>
      </c>
      <c r="BB1185" s="15" t="s">
        <v>10350</v>
      </c>
      <c r="BE1185" s="15" t="s">
        <v>10397</v>
      </c>
      <c r="BF1185" s="15" t="s">
        <v>10352</v>
      </c>
      <c r="BJ1185" s="15" t="s">
        <v>10353</v>
      </c>
      <c r="BN1185" s="15" t="s">
        <v>179</v>
      </c>
      <c r="BP1185" s="15" t="s">
        <v>138</v>
      </c>
      <c r="BS1185" s="15" t="s">
        <v>10398</v>
      </c>
      <c r="DH1185" s="15" t="s">
        <v>17982</v>
      </c>
      <c r="DI1185" s="15" t="s">
        <v>17982</v>
      </c>
    </row>
    <row r="1186" spans="1:113" s="15" customFormat="1" ht="12.75" x14ac:dyDescent="0.2">
      <c r="A1186" s="15" t="s">
        <v>109</v>
      </c>
      <c r="B1186" s="15" t="s">
        <v>110</v>
      </c>
      <c r="D1186" s="15" t="s">
        <v>620</v>
      </c>
      <c r="E1186" s="15" t="s">
        <v>112</v>
      </c>
      <c r="F1186" s="15" t="s">
        <v>620</v>
      </c>
      <c r="G1186" s="15" t="s">
        <v>113</v>
      </c>
      <c r="H1186" s="15" t="s">
        <v>1481</v>
      </c>
      <c r="J1186" s="16" t="s">
        <v>114</v>
      </c>
      <c r="U1186" s="15" t="s">
        <v>17977</v>
      </c>
      <c r="W1186" s="15">
        <v>2024</v>
      </c>
      <c r="X1186" s="15">
        <v>1196</v>
      </c>
      <c r="Y1186" s="15" t="s">
        <v>160</v>
      </c>
      <c r="Z1186" s="15" t="s">
        <v>161</v>
      </c>
      <c r="AA1186" s="15" t="s">
        <v>162</v>
      </c>
      <c r="AB1186" s="15" t="s">
        <v>10399</v>
      </c>
      <c r="AC1186" s="15" t="s">
        <v>10399</v>
      </c>
      <c r="AD1186" s="15" t="s">
        <v>10400</v>
      </c>
      <c r="AE1186" s="15" t="s">
        <v>164</v>
      </c>
      <c r="AF1186" s="15" t="s">
        <v>10400</v>
      </c>
      <c r="AG1186" s="15" t="s">
        <v>10399</v>
      </c>
      <c r="AH1186" s="34" t="s">
        <v>10401</v>
      </c>
      <c r="AL1186" s="15" t="s">
        <v>10402</v>
      </c>
      <c r="AN1186" s="15">
        <v>743</v>
      </c>
      <c r="AO1186" s="15" t="s">
        <v>10403</v>
      </c>
      <c r="AQ1186" s="15" t="s">
        <v>1776</v>
      </c>
      <c r="AT1186" s="15" t="s">
        <v>10404</v>
      </c>
      <c r="AU1186" s="15" t="s">
        <v>10405</v>
      </c>
      <c r="AV1186" s="15" t="s">
        <v>10405</v>
      </c>
      <c r="AW1186" s="15" t="s">
        <v>10406</v>
      </c>
      <c r="AX1186" s="15" t="s">
        <v>10407</v>
      </c>
      <c r="AY1186" s="15">
        <f t="shared" si="23"/>
        <v>60</v>
      </c>
      <c r="AZ1186" s="15" t="s">
        <v>1781</v>
      </c>
      <c r="BA1186" s="15" t="s">
        <v>9897</v>
      </c>
      <c r="BB1186" s="15" t="s">
        <v>10350</v>
      </c>
      <c r="BE1186" s="15" t="s">
        <v>10408</v>
      </c>
      <c r="BF1186" s="15" t="s">
        <v>10352</v>
      </c>
      <c r="BJ1186" s="15" t="s">
        <v>10353</v>
      </c>
      <c r="BN1186" s="15" t="s">
        <v>179</v>
      </c>
      <c r="BP1186" s="15" t="s">
        <v>138</v>
      </c>
      <c r="BS1186" s="15" t="s">
        <v>10409</v>
      </c>
      <c r="DH1186" s="15" t="s">
        <v>17982</v>
      </c>
      <c r="DI1186" s="15" t="s">
        <v>17982</v>
      </c>
    </row>
    <row r="1187" spans="1:113" s="15" customFormat="1" ht="12.75" x14ac:dyDescent="0.2">
      <c r="A1187" s="15" t="s">
        <v>109</v>
      </c>
      <c r="B1187" s="15" t="s">
        <v>110</v>
      </c>
      <c r="D1187" s="15" t="s">
        <v>620</v>
      </c>
      <c r="E1187" s="15" t="s">
        <v>112</v>
      </c>
      <c r="F1187" s="15" t="s">
        <v>620</v>
      </c>
      <c r="G1187" s="15" t="s">
        <v>113</v>
      </c>
      <c r="H1187" s="15" t="s">
        <v>1481</v>
      </c>
      <c r="J1187" s="16" t="s">
        <v>114</v>
      </c>
      <c r="U1187" s="15" t="s">
        <v>17977</v>
      </c>
      <c r="W1187" s="15">
        <v>2025</v>
      </c>
      <c r="X1187" s="15">
        <v>1197</v>
      </c>
      <c r="Y1187" s="15" t="s">
        <v>160</v>
      </c>
      <c r="Z1187" s="15" t="s">
        <v>161</v>
      </c>
      <c r="AA1187" s="15" t="s">
        <v>162</v>
      </c>
      <c r="AB1187" s="15" t="s">
        <v>10410</v>
      </c>
      <c r="AC1187" s="15" t="s">
        <v>10410</v>
      </c>
      <c r="AD1187" s="15" t="s">
        <v>10411</v>
      </c>
      <c r="AE1187" s="15" t="s">
        <v>164</v>
      </c>
      <c r="AF1187" s="15" t="s">
        <v>10411</v>
      </c>
      <c r="AG1187" s="15" t="s">
        <v>10410</v>
      </c>
      <c r="AH1187" s="34" t="s">
        <v>10412</v>
      </c>
      <c r="AL1187" s="15" t="s">
        <v>10413</v>
      </c>
      <c r="AN1187" s="15">
        <v>743</v>
      </c>
      <c r="AO1187" s="15" t="s">
        <v>10414</v>
      </c>
      <c r="AQ1187" s="15" t="s">
        <v>1776</v>
      </c>
      <c r="AT1187" s="15" t="s">
        <v>10415</v>
      </c>
      <c r="AU1187" s="15" t="s">
        <v>10416</v>
      </c>
      <c r="AV1187" s="15" t="s">
        <v>10416</v>
      </c>
      <c r="AW1187" s="15" t="s">
        <v>10417</v>
      </c>
      <c r="AX1187" s="15" t="s">
        <v>10418</v>
      </c>
      <c r="AY1187" s="15">
        <f t="shared" si="23"/>
        <v>60</v>
      </c>
      <c r="AZ1187" s="15" t="s">
        <v>1781</v>
      </c>
      <c r="BA1187" s="15" t="s">
        <v>9897</v>
      </c>
      <c r="BB1187" s="15" t="s">
        <v>10350</v>
      </c>
      <c r="BE1187" s="15" t="s">
        <v>10419</v>
      </c>
      <c r="BF1187" s="15" t="s">
        <v>10352</v>
      </c>
      <c r="BJ1187" s="15" t="s">
        <v>10353</v>
      </c>
      <c r="BN1187" s="15" t="s">
        <v>179</v>
      </c>
      <c r="BP1187" s="15" t="s">
        <v>138</v>
      </c>
      <c r="BS1187" s="15" t="s">
        <v>10420</v>
      </c>
      <c r="DH1187" s="15" t="s">
        <v>17982</v>
      </c>
      <c r="DI1187" s="15" t="s">
        <v>17982</v>
      </c>
    </row>
    <row r="1188" spans="1:113" s="15" customFormat="1" ht="12.75" x14ac:dyDescent="0.2">
      <c r="A1188" s="15" t="s">
        <v>109</v>
      </c>
      <c r="B1188" s="15" t="s">
        <v>110</v>
      </c>
      <c r="D1188" s="15" t="s">
        <v>620</v>
      </c>
      <c r="E1188" s="15" t="s">
        <v>112</v>
      </c>
      <c r="F1188" s="15" t="s">
        <v>620</v>
      </c>
      <c r="G1188" s="15" t="s">
        <v>113</v>
      </c>
      <c r="H1188" s="15" t="s">
        <v>1481</v>
      </c>
      <c r="J1188" s="16" t="s">
        <v>114</v>
      </c>
      <c r="U1188" s="15" t="s">
        <v>17977</v>
      </c>
      <c r="W1188" s="15">
        <v>2026</v>
      </c>
      <c r="X1188" s="15">
        <v>1198</v>
      </c>
      <c r="Y1188" s="15" t="s">
        <v>160</v>
      </c>
      <c r="Z1188" s="15" t="s">
        <v>161</v>
      </c>
      <c r="AA1188" s="15" t="s">
        <v>162</v>
      </c>
      <c r="AB1188" s="15" t="s">
        <v>10421</v>
      </c>
      <c r="AC1188" s="15" t="s">
        <v>10421</v>
      </c>
      <c r="AD1188" s="15" t="s">
        <v>10422</v>
      </c>
      <c r="AE1188" s="15" t="s">
        <v>164</v>
      </c>
      <c r="AF1188" s="15" t="s">
        <v>10422</v>
      </c>
      <c r="AG1188" s="15" t="s">
        <v>10421</v>
      </c>
      <c r="AH1188" s="34" t="s">
        <v>10423</v>
      </c>
      <c r="AL1188" s="15" t="s">
        <v>10424</v>
      </c>
      <c r="AN1188" s="15">
        <v>743</v>
      </c>
      <c r="AO1188" s="15" t="s">
        <v>10425</v>
      </c>
      <c r="AQ1188" s="15" t="s">
        <v>1776</v>
      </c>
      <c r="AT1188" s="15" t="s">
        <v>10426</v>
      </c>
      <c r="AU1188" s="15" t="s">
        <v>10427</v>
      </c>
      <c r="AV1188" s="15" t="s">
        <v>10427</v>
      </c>
      <c r="AW1188" s="15" t="s">
        <v>10428</v>
      </c>
      <c r="AX1188" s="15" t="s">
        <v>10429</v>
      </c>
      <c r="AY1188" s="15">
        <f t="shared" si="23"/>
        <v>60</v>
      </c>
      <c r="AZ1188" s="15" t="s">
        <v>1781</v>
      </c>
      <c r="BA1188" s="15" t="s">
        <v>9897</v>
      </c>
      <c r="BB1188" s="15" t="s">
        <v>10350</v>
      </c>
      <c r="BE1188" s="15" t="s">
        <v>10430</v>
      </c>
      <c r="BF1188" s="15" t="s">
        <v>10352</v>
      </c>
      <c r="BJ1188" s="15" t="s">
        <v>10353</v>
      </c>
      <c r="BN1188" s="15" t="s">
        <v>179</v>
      </c>
      <c r="BP1188" s="15" t="s">
        <v>138</v>
      </c>
      <c r="BS1188" s="15" t="s">
        <v>10431</v>
      </c>
      <c r="DH1188" s="15" t="s">
        <v>17982</v>
      </c>
      <c r="DI1188" s="15" t="s">
        <v>17982</v>
      </c>
    </row>
    <row r="1189" spans="1:113" s="15" customFormat="1" ht="12.75" x14ac:dyDescent="0.2">
      <c r="A1189" s="15" t="s">
        <v>109</v>
      </c>
      <c r="B1189" s="15" t="s">
        <v>110</v>
      </c>
      <c r="D1189" s="15" t="s">
        <v>620</v>
      </c>
      <c r="E1189" s="15" t="s">
        <v>112</v>
      </c>
      <c r="F1189" s="15" t="s">
        <v>620</v>
      </c>
      <c r="G1189" s="15" t="s">
        <v>113</v>
      </c>
      <c r="H1189" s="15" t="s">
        <v>1481</v>
      </c>
      <c r="J1189" s="16" t="s">
        <v>114</v>
      </c>
      <c r="U1189" s="15" t="s">
        <v>17977</v>
      </c>
      <c r="W1189" s="15">
        <v>2027</v>
      </c>
      <c r="X1189" s="15">
        <v>1199</v>
      </c>
      <c r="Y1189" s="15" t="s">
        <v>160</v>
      </c>
      <c r="Z1189" s="15" t="s">
        <v>161</v>
      </c>
      <c r="AA1189" s="15" t="s">
        <v>162</v>
      </c>
      <c r="AB1189" s="15" t="s">
        <v>10432</v>
      </c>
      <c r="AC1189" s="15" t="s">
        <v>10432</v>
      </c>
      <c r="AD1189" s="15" t="s">
        <v>10433</v>
      </c>
      <c r="AE1189" s="15" t="s">
        <v>164</v>
      </c>
      <c r="AF1189" s="15" t="s">
        <v>10433</v>
      </c>
      <c r="AG1189" s="15" t="s">
        <v>10432</v>
      </c>
      <c r="AH1189" s="34" t="s">
        <v>10434</v>
      </c>
      <c r="AL1189" s="15" t="s">
        <v>10435</v>
      </c>
      <c r="AN1189" s="15">
        <v>743</v>
      </c>
      <c r="AO1189" s="15" t="s">
        <v>10436</v>
      </c>
      <c r="AQ1189" s="15" t="s">
        <v>1776</v>
      </c>
      <c r="AT1189" s="15" t="s">
        <v>10437</v>
      </c>
      <c r="AU1189" s="15" t="s">
        <v>10438</v>
      </c>
      <c r="AV1189" s="15" t="s">
        <v>10438</v>
      </c>
      <c r="AW1189" s="15" t="s">
        <v>10439</v>
      </c>
      <c r="AX1189" s="15" t="s">
        <v>10440</v>
      </c>
      <c r="AY1189" s="15">
        <f t="shared" si="23"/>
        <v>60</v>
      </c>
      <c r="AZ1189" s="15" t="s">
        <v>1781</v>
      </c>
      <c r="BA1189" s="15" t="s">
        <v>9897</v>
      </c>
      <c r="BB1189" s="15" t="s">
        <v>10350</v>
      </c>
      <c r="BE1189" s="15" t="s">
        <v>10441</v>
      </c>
      <c r="BF1189" s="15" t="s">
        <v>10352</v>
      </c>
      <c r="BJ1189" s="15" t="s">
        <v>10353</v>
      </c>
      <c r="BN1189" s="15" t="s">
        <v>179</v>
      </c>
      <c r="BP1189" s="15" t="s">
        <v>138</v>
      </c>
      <c r="BS1189" s="15" t="s">
        <v>10442</v>
      </c>
      <c r="DH1189" s="15" t="s">
        <v>17982</v>
      </c>
      <c r="DI1189" s="15" t="s">
        <v>17982</v>
      </c>
    </row>
    <row r="1190" spans="1:113" s="15" customFormat="1" ht="12.75" x14ac:dyDescent="0.2">
      <c r="A1190" s="15" t="s">
        <v>109</v>
      </c>
      <c r="B1190" s="15" t="s">
        <v>110</v>
      </c>
      <c r="D1190" s="15" t="s">
        <v>620</v>
      </c>
      <c r="E1190" s="15" t="s">
        <v>112</v>
      </c>
      <c r="F1190" s="15" t="s">
        <v>620</v>
      </c>
      <c r="G1190" s="15" t="s">
        <v>113</v>
      </c>
      <c r="H1190" s="15" t="s">
        <v>1481</v>
      </c>
      <c r="J1190" s="16" t="s">
        <v>114</v>
      </c>
      <c r="U1190" s="15" t="s">
        <v>17977</v>
      </c>
      <c r="W1190" s="15">
        <v>2028</v>
      </c>
      <c r="X1190" s="15">
        <v>1200</v>
      </c>
      <c r="Y1190" s="15" t="s">
        <v>160</v>
      </c>
      <c r="Z1190" s="15" t="s">
        <v>161</v>
      </c>
      <c r="AA1190" s="15" t="s">
        <v>162</v>
      </c>
      <c r="AB1190" s="15" t="s">
        <v>10443</v>
      </c>
      <c r="AC1190" s="15" t="s">
        <v>10443</v>
      </c>
      <c r="AD1190" s="15" t="s">
        <v>10444</v>
      </c>
      <c r="AE1190" s="15" t="s">
        <v>164</v>
      </c>
      <c r="AF1190" s="15" t="s">
        <v>10444</v>
      </c>
      <c r="AG1190" s="15" t="s">
        <v>10443</v>
      </c>
      <c r="AH1190" s="34" t="s">
        <v>10445</v>
      </c>
      <c r="AL1190" s="15" t="s">
        <v>10446</v>
      </c>
      <c r="AN1190" s="15">
        <v>743</v>
      </c>
      <c r="AO1190" s="15" t="s">
        <v>10447</v>
      </c>
      <c r="AQ1190" s="15" t="s">
        <v>1776</v>
      </c>
      <c r="AT1190" s="15" t="s">
        <v>10448</v>
      </c>
      <c r="AU1190" s="15" t="s">
        <v>10449</v>
      </c>
      <c r="AV1190" s="15" t="s">
        <v>10449</v>
      </c>
      <c r="AW1190" s="15" t="s">
        <v>10450</v>
      </c>
      <c r="AX1190" s="15" t="s">
        <v>10451</v>
      </c>
      <c r="AY1190" s="15">
        <f t="shared" si="23"/>
        <v>60</v>
      </c>
      <c r="AZ1190" s="15" t="s">
        <v>1781</v>
      </c>
      <c r="BA1190" s="15" t="s">
        <v>9897</v>
      </c>
      <c r="BB1190" s="15" t="s">
        <v>10350</v>
      </c>
      <c r="BE1190" s="15" t="s">
        <v>10452</v>
      </c>
      <c r="BF1190" s="15" t="s">
        <v>10352</v>
      </c>
      <c r="BJ1190" s="15" t="s">
        <v>10353</v>
      </c>
      <c r="BN1190" s="15" t="s">
        <v>179</v>
      </c>
      <c r="BP1190" s="15" t="s">
        <v>138</v>
      </c>
      <c r="BS1190" s="15" t="s">
        <v>10453</v>
      </c>
      <c r="DH1190" s="15" t="s">
        <v>17982</v>
      </c>
      <c r="DI1190" s="15" t="s">
        <v>17982</v>
      </c>
    </row>
    <row r="1191" spans="1:113" s="15" customFormat="1" ht="12.75" x14ac:dyDescent="0.2">
      <c r="A1191" s="15" t="s">
        <v>109</v>
      </c>
      <c r="B1191" s="15" t="s">
        <v>110</v>
      </c>
      <c r="D1191" s="15" t="s">
        <v>620</v>
      </c>
      <c r="E1191" s="15" t="s">
        <v>112</v>
      </c>
      <c r="F1191" s="15" t="s">
        <v>620</v>
      </c>
      <c r="G1191" s="15" t="s">
        <v>113</v>
      </c>
      <c r="H1191" s="15" t="s">
        <v>1481</v>
      </c>
      <c r="J1191" s="16" t="s">
        <v>114</v>
      </c>
      <c r="U1191" s="15" t="s">
        <v>17977</v>
      </c>
      <c r="W1191" s="15">
        <v>1839</v>
      </c>
      <c r="X1191" s="15">
        <v>1201</v>
      </c>
      <c r="Y1191" s="15" t="s">
        <v>160</v>
      </c>
      <c r="Z1191" s="15" t="s">
        <v>161</v>
      </c>
      <c r="AA1191" s="15" t="s">
        <v>162</v>
      </c>
      <c r="AB1191" s="15" t="s">
        <v>9887</v>
      </c>
      <c r="AC1191" s="15" t="s">
        <v>9887</v>
      </c>
      <c r="AD1191" s="15" t="s">
        <v>9888</v>
      </c>
      <c r="AE1191" s="15" t="s">
        <v>164</v>
      </c>
      <c r="AF1191" s="15" t="s">
        <v>9888</v>
      </c>
      <c r="AG1191" s="15" t="s">
        <v>9887</v>
      </c>
      <c r="AH1191" s="34" t="s">
        <v>9889</v>
      </c>
      <c r="AI1191" s="15">
        <v>42293605</v>
      </c>
      <c r="AK1191" s="15" t="s">
        <v>9890</v>
      </c>
      <c r="AL1191" s="15" t="s">
        <v>9891</v>
      </c>
      <c r="AN1191" s="15">
        <v>743</v>
      </c>
      <c r="AO1191" s="15" t="s">
        <v>9892</v>
      </c>
      <c r="AQ1191" s="15" t="s">
        <v>1776</v>
      </c>
      <c r="AT1191" s="15" t="s">
        <v>9893</v>
      </c>
      <c r="AU1191" s="15" t="s">
        <v>9894</v>
      </c>
      <c r="AV1191" s="15" t="s">
        <v>9894</v>
      </c>
      <c r="AW1191" s="15" t="s">
        <v>9895</v>
      </c>
      <c r="AX1191" s="15" t="s">
        <v>9896</v>
      </c>
      <c r="AY1191" s="15">
        <f t="shared" si="23"/>
        <v>60</v>
      </c>
      <c r="AZ1191" s="15" t="s">
        <v>1781</v>
      </c>
      <c r="BA1191" s="15" t="s">
        <v>9897</v>
      </c>
      <c r="BB1191" s="15" t="s">
        <v>9898</v>
      </c>
      <c r="BE1191" s="15" t="s">
        <v>1795</v>
      </c>
      <c r="BJ1191" s="15" t="s">
        <v>9899</v>
      </c>
      <c r="BN1191" s="15" t="s">
        <v>179</v>
      </c>
      <c r="BP1191" s="15" t="s">
        <v>138</v>
      </c>
      <c r="BS1191" s="15" t="s">
        <v>9900</v>
      </c>
      <c r="DH1191" s="15" t="s">
        <v>17982</v>
      </c>
      <c r="DI1191" s="15" t="s">
        <v>17982</v>
      </c>
    </row>
    <row r="1192" spans="1:113" s="15" customFormat="1" ht="12.75" x14ac:dyDescent="0.2">
      <c r="A1192" s="15" t="s">
        <v>109</v>
      </c>
      <c r="B1192" s="15" t="s">
        <v>110</v>
      </c>
      <c r="D1192" s="15" t="s">
        <v>620</v>
      </c>
      <c r="E1192" s="15" t="s">
        <v>112</v>
      </c>
      <c r="F1192" s="15" t="s">
        <v>620</v>
      </c>
      <c r="G1192" s="15" t="s">
        <v>113</v>
      </c>
      <c r="H1192" s="15" t="s">
        <v>1481</v>
      </c>
      <c r="J1192" s="16" t="s">
        <v>114</v>
      </c>
      <c r="U1192" s="15" t="s">
        <v>17977</v>
      </c>
      <c r="W1192" s="15">
        <v>1840</v>
      </c>
      <c r="X1192" s="15">
        <v>1202</v>
      </c>
      <c r="Y1192" s="15" t="s">
        <v>160</v>
      </c>
      <c r="Z1192" s="15" t="s">
        <v>161</v>
      </c>
      <c r="AA1192" s="15" t="s">
        <v>162</v>
      </c>
      <c r="AB1192" s="15" t="s">
        <v>9901</v>
      </c>
      <c r="AC1192" s="15" t="s">
        <v>9901</v>
      </c>
      <c r="AD1192" s="15" t="s">
        <v>9902</v>
      </c>
      <c r="AE1192" s="15" t="s">
        <v>164</v>
      </c>
      <c r="AF1192" s="15" t="s">
        <v>9902</v>
      </c>
      <c r="AG1192" s="15" t="s">
        <v>9901</v>
      </c>
      <c r="AH1192" s="34" t="s">
        <v>9903</v>
      </c>
      <c r="AI1192" s="15">
        <v>42293605</v>
      </c>
      <c r="AK1192" s="15" t="s">
        <v>9890</v>
      </c>
      <c r="AL1192" s="15" t="s">
        <v>9904</v>
      </c>
      <c r="AN1192" s="15">
        <v>743</v>
      </c>
      <c r="AO1192" s="15" t="s">
        <v>9905</v>
      </c>
      <c r="AQ1192" s="15" t="s">
        <v>1776</v>
      </c>
      <c r="AT1192" s="15" t="s">
        <v>9906</v>
      </c>
      <c r="AU1192" s="15" t="s">
        <v>9907</v>
      </c>
      <c r="AV1192" s="15" t="s">
        <v>9907</v>
      </c>
      <c r="AW1192" s="15" t="s">
        <v>9908</v>
      </c>
      <c r="AX1192" s="15" t="s">
        <v>9909</v>
      </c>
      <c r="AY1192" s="15">
        <f t="shared" si="23"/>
        <v>60</v>
      </c>
      <c r="AZ1192" s="15" t="s">
        <v>1781</v>
      </c>
      <c r="BA1192" s="15" t="s">
        <v>9897</v>
      </c>
      <c r="BB1192" s="15" t="s">
        <v>9898</v>
      </c>
      <c r="BE1192" s="15" t="s">
        <v>1806</v>
      </c>
      <c r="BJ1192" s="15" t="s">
        <v>9899</v>
      </c>
      <c r="BN1192" s="15" t="s">
        <v>179</v>
      </c>
      <c r="BP1192" s="15" t="s">
        <v>138</v>
      </c>
      <c r="BS1192" s="15" t="s">
        <v>9910</v>
      </c>
      <c r="DH1192" s="15" t="s">
        <v>17982</v>
      </c>
      <c r="DI1192" s="15" t="s">
        <v>17982</v>
      </c>
    </row>
    <row r="1193" spans="1:113" s="15" customFormat="1" ht="12.75" x14ac:dyDescent="0.2">
      <c r="A1193" s="15" t="s">
        <v>109</v>
      </c>
      <c r="B1193" s="15" t="s">
        <v>110</v>
      </c>
      <c r="D1193" s="15" t="s">
        <v>620</v>
      </c>
      <c r="E1193" s="15" t="s">
        <v>112</v>
      </c>
      <c r="F1193" s="15" t="s">
        <v>620</v>
      </c>
      <c r="G1193" s="15" t="s">
        <v>113</v>
      </c>
      <c r="H1193" s="15" t="s">
        <v>1481</v>
      </c>
      <c r="J1193" s="16" t="s">
        <v>114</v>
      </c>
      <c r="U1193" s="15" t="s">
        <v>17977</v>
      </c>
      <c r="W1193" s="15">
        <v>1841</v>
      </c>
      <c r="X1193" s="15">
        <v>1203</v>
      </c>
      <c r="Y1193" s="15" t="s">
        <v>160</v>
      </c>
      <c r="Z1193" s="15" t="s">
        <v>161</v>
      </c>
      <c r="AA1193" s="15" t="s">
        <v>162</v>
      </c>
      <c r="AB1193" s="15" t="s">
        <v>9911</v>
      </c>
      <c r="AC1193" s="15" t="s">
        <v>9911</v>
      </c>
      <c r="AD1193" s="15" t="s">
        <v>9912</v>
      </c>
      <c r="AE1193" s="15" t="s">
        <v>164</v>
      </c>
      <c r="AF1193" s="15" t="s">
        <v>9912</v>
      </c>
      <c r="AG1193" s="15" t="s">
        <v>9911</v>
      </c>
      <c r="AH1193" s="34" t="s">
        <v>9913</v>
      </c>
      <c r="AI1193" s="15">
        <v>42293605</v>
      </c>
      <c r="AK1193" s="15" t="s">
        <v>9890</v>
      </c>
      <c r="AL1193" s="15" t="s">
        <v>9914</v>
      </c>
      <c r="AN1193" s="15">
        <v>743</v>
      </c>
      <c r="AO1193" s="15" t="s">
        <v>9915</v>
      </c>
      <c r="AQ1193" s="15" t="s">
        <v>1776</v>
      </c>
      <c r="AT1193" s="15" t="s">
        <v>9916</v>
      </c>
      <c r="AU1193" s="15" t="s">
        <v>9917</v>
      </c>
      <c r="AV1193" s="15" t="s">
        <v>9917</v>
      </c>
      <c r="AW1193" s="15" t="s">
        <v>9918</v>
      </c>
      <c r="AX1193" s="15" t="s">
        <v>9919</v>
      </c>
      <c r="AY1193" s="15">
        <f t="shared" si="23"/>
        <v>60</v>
      </c>
      <c r="AZ1193" s="15" t="s">
        <v>1781</v>
      </c>
      <c r="BA1193" s="15" t="s">
        <v>9897</v>
      </c>
      <c r="BB1193" s="15" t="s">
        <v>9898</v>
      </c>
      <c r="BE1193" s="15" t="s">
        <v>1817</v>
      </c>
      <c r="BJ1193" s="15" t="s">
        <v>9899</v>
      </c>
      <c r="BN1193" s="15" t="s">
        <v>179</v>
      </c>
      <c r="BP1193" s="15" t="s">
        <v>138</v>
      </c>
      <c r="BS1193" s="15" t="s">
        <v>9920</v>
      </c>
      <c r="DH1193" s="15" t="s">
        <v>17982</v>
      </c>
      <c r="DI1193" s="15" t="s">
        <v>17982</v>
      </c>
    </row>
    <row r="1194" spans="1:113" s="15" customFormat="1" ht="12.75" x14ac:dyDescent="0.2">
      <c r="A1194" s="15" t="s">
        <v>109</v>
      </c>
      <c r="B1194" s="15" t="s">
        <v>110</v>
      </c>
      <c r="D1194" s="15" t="s">
        <v>620</v>
      </c>
      <c r="E1194" s="15" t="s">
        <v>112</v>
      </c>
      <c r="F1194" s="15" t="s">
        <v>620</v>
      </c>
      <c r="G1194" s="15" t="s">
        <v>113</v>
      </c>
      <c r="H1194" s="15" t="s">
        <v>1481</v>
      </c>
      <c r="J1194" s="16" t="s">
        <v>114</v>
      </c>
      <c r="U1194" s="15" t="s">
        <v>17977</v>
      </c>
      <c r="W1194" s="15">
        <v>1842</v>
      </c>
      <c r="X1194" s="15">
        <v>1204</v>
      </c>
      <c r="Y1194" s="15" t="s">
        <v>160</v>
      </c>
      <c r="Z1194" s="15" t="s">
        <v>161</v>
      </c>
      <c r="AA1194" s="15" t="s">
        <v>162</v>
      </c>
      <c r="AB1194" s="15" t="s">
        <v>9921</v>
      </c>
      <c r="AC1194" s="15" t="s">
        <v>9921</v>
      </c>
      <c r="AD1194" s="15" t="s">
        <v>9922</v>
      </c>
      <c r="AE1194" s="15" t="s">
        <v>164</v>
      </c>
      <c r="AF1194" s="15" t="s">
        <v>9922</v>
      </c>
      <c r="AG1194" s="15" t="s">
        <v>9921</v>
      </c>
      <c r="AH1194" s="34" t="s">
        <v>9923</v>
      </c>
      <c r="AI1194" s="15">
        <v>42293605</v>
      </c>
      <c r="AK1194" s="15" t="s">
        <v>9890</v>
      </c>
      <c r="AL1194" s="15" t="s">
        <v>9924</v>
      </c>
      <c r="AN1194" s="15">
        <v>743</v>
      </c>
      <c r="AO1194" s="15" t="s">
        <v>9925</v>
      </c>
      <c r="AQ1194" s="15" t="s">
        <v>1776</v>
      </c>
      <c r="AT1194" s="15" t="s">
        <v>9926</v>
      </c>
      <c r="AU1194" s="15" t="s">
        <v>9927</v>
      </c>
      <c r="AV1194" s="15" t="s">
        <v>9927</v>
      </c>
      <c r="AW1194" s="15" t="s">
        <v>9928</v>
      </c>
      <c r="AX1194" s="15" t="s">
        <v>9929</v>
      </c>
      <c r="AY1194" s="15">
        <f t="shared" si="23"/>
        <v>60</v>
      </c>
      <c r="AZ1194" s="15" t="s">
        <v>1781</v>
      </c>
      <c r="BA1194" s="15" t="s">
        <v>9897</v>
      </c>
      <c r="BB1194" s="15" t="s">
        <v>9898</v>
      </c>
      <c r="BE1194" s="15" t="s">
        <v>1828</v>
      </c>
      <c r="BJ1194" s="15" t="s">
        <v>9899</v>
      </c>
      <c r="BN1194" s="15" t="s">
        <v>179</v>
      </c>
      <c r="BP1194" s="15" t="s">
        <v>138</v>
      </c>
      <c r="BS1194" s="15" t="s">
        <v>9930</v>
      </c>
      <c r="DH1194" s="15" t="s">
        <v>17982</v>
      </c>
      <c r="DI1194" s="15" t="s">
        <v>17982</v>
      </c>
    </row>
    <row r="1195" spans="1:113" s="15" customFormat="1" ht="12.75" x14ac:dyDescent="0.2">
      <c r="A1195" s="15" t="s">
        <v>109</v>
      </c>
      <c r="B1195" s="15" t="s">
        <v>110</v>
      </c>
      <c r="D1195" s="15" t="s">
        <v>620</v>
      </c>
      <c r="E1195" s="15" t="s">
        <v>112</v>
      </c>
      <c r="F1195" s="15" t="s">
        <v>620</v>
      </c>
      <c r="G1195" s="15" t="s">
        <v>113</v>
      </c>
      <c r="H1195" s="15" t="s">
        <v>1481</v>
      </c>
      <c r="J1195" s="16" t="s">
        <v>114</v>
      </c>
      <c r="U1195" s="15" t="s">
        <v>17977</v>
      </c>
      <c r="W1195" s="15">
        <v>1843</v>
      </c>
      <c r="X1195" s="15">
        <v>1205</v>
      </c>
      <c r="Y1195" s="15" t="s">
        <v>160</v>
      </c>
      <c r="Z1195" s="15" t="s">
        <v>161</v>
      </c>
      <c r="AA1195" s="15" t="s">
        <v>162</v>
      </c>
      <c r="AB1195" s="15" t="s">
        <v>9931</v>
      </c>
      <c r="AC1195" s="15" t="s">
        <v>9931</v>
      </c>
      <c r="AD1195" s="15" t="s">
        <v>9932</v>
      </c>
      <c r="AE1195" s="15" t="s">
        <v>164</v>
      </c>
      <c r="AF1195" s="15" t="s">
        <v>9932</v>
      </c>
      <c r="AG1195" s="15" t="s">
        <v>9931</v>
      </c>
      <c r="AH1195" s="34" t="s">
        <v>9933</v>
      </c>
      <c r="AI1195" s="15">
        <v>42293605</v>
      </c>
      <c r="AK1195" s="15" t="s">
        <v>9890</v>
      </c>
      <c r="AL1195" s="15" t="s">
        <v>9934</v>
      </c>
      <c r="AN1195" s="15">
        <v>743</v>
      </c>
      <c r="AO1195" s="15" t="s">
        <v>9935</v>
      </c>
      <c r="AQ1195" s="15" t="s">
        <v>1776</v>
      </c>
      <c r="AT1195" s="15" t="s">
        <v>9936</v>
      </c>
      <c r="AU1195" s="15" t="s">
        <v>9937</v>
      </c>
      <c r="AV1195" s="15" t="s">
        <v>9937</v>
      </c>
      <c r="AW1195" s="15" t="s">
        <v>9938</v>
      </c>
      <c r="AX1195" s="15" t="s">
        <v>9939</v>
      </c>
      <c r="AY1195" s="15">
        <f t="shared" si="23"/>
        <v>60</v>
      </c>
      <c r="AZ1195" s="15" t="s">
        <v>1781</v>
      </c>
      <c r="BA1195" s="15" t="s">
        <v>9897</v>
      </c>
      <c r="BB1195" s="15" t="s">
        <v>9898</v>
      </c>
      <c r="BE1195" s="15" t="s">
        <v>1839</v>
      </c>
      <c r="BJ1195" s="15" t="s">
        <v>9899</v>
      </c>
      <c r="BN1195" s="15" t="s">
        <v>179</v>
      </c>
      <c r="BP1195" s="15" t="s">
        <v>138</v>
      </c>
      <c r="BS1195" s="15" t="s">
        <v>9940</v>
      </c>
      <c r="DH1195" s="15" t="s">
        <v>17982</v>
      </c>
      <c r="DI1195" s="15" t="s">
        <v>17982</v>
      </c>
    </row>
    <row r="1196" spans="1:113" s="15" customFormat="1" ht="12.75" x14ac:dyDescent="0.2">
      <c r="A1196" s="15" t="s">
        <v>109</v>
      </c>
      <c r="B1196" s="15" t="s">
        <v>110</v>
      </c>
      <c r="D1196" s="15" t="s">
        <v>620</v>
      </c>
      <c r="E1196" s="15" t="s">
        <v>112</v>
      </c>
      <c r="F1196" s="15" t="s">
        <v>620</v>
      </c>
      <c r="G1196" s="15" t="s">
        <v>113</v>
      </c>
      <c r="H1196" s="15" t="s">
        <v>1481</v>
      </c>
      <c r="J1196" s="16" t="s">
        <v>114</v>
      </c>
      <c r="U1196" s="15" t="s">
        <v>17977</v>
      </c>
      <c r="W1196" s="15">
        <v>1844</v>
      </c>
      <c r="X1196" s="15">
        <v>1206</v>
      </c>
      <c r="Y1196" s="15" t="s">
        <v>160</v>
      </c>
      <c r="Z1196" s="15" t="s">
        <v>161</v>
      </c>
      <c r="AA1196" s="15" t="s">
        <v>162</v>
      </c>
      <c r="AB1196" s="15" t="s">
        <v>9941</v>
      </c>
      <c r="AC1196" s="15" t="s">
        <v>9941</v>
      </c>
      <c r="AD1196" s="15" t="s">
        <v>9942</v>
      </c>
      <c r="AE1196" s="15" t="s">
        <v>164</v>
      </c>
      <c r="AF1196" s="15" t="s">
        <v>9942</v>
      </c>
      <c r="AG1196" s="15" t="s">
        <v>9941</v>
      </c>
      <c r="AH1196" s="34" t="s">
        <v>9943</v>
      </c>
      <c r="AI1196" s="15">
        <v>42293605</v>
      </c>
      <c r="AK1196" s="15" t="s">
        <v>9890</v>
      </c>
      <c r="AL1196" s="15" t="s">
        <v>9944</v>
      </c>
      <c r="AN1196" s="15">
        <v>743</v>
      </c>
      <c r="AO1196" s="15" t="s">
        <v>9945</v>
      </c>
      <c r="AQ1196" s="15" t="s">
        <v>1776</v>
      </c>
      <c r="AT1196" s="15" t="s">
        <v>9946</v>
      </c>
      <c r="AU1196" s="15" t="s">
        <v>9947</v>
      </c>
      <c r="AV1196" s="15" t="s">
        <v>9947</v>
      </c>
      <c r="AW1196" s="15" t="s">
        <v>9948</v>
      </c>
      <c r="AX1196" s="15" t="s">
        <v>9949</v>
      </c>
      <c r="AY1196" s="15">
        <f t="shared" si="23"/>
        <v>60</v>
      </c>
      <c r="AZ1196" s="15" t="s">
        <v>1781</v>
      </c>
      <c r="BA1196" s="15" t="s">
        <v>9897</v>
      </c>
      <c r="BB1196" s="15" t="s">
        <v>9898</v>
      </c>
      <c r="BE1196" s="15" t="s">
        <v>1850</v>
      </c>
      <c r="BJ1196" s="15" t="s">
        <v>9899</v>
      </c>
      <c r="BN1196" s="15" t="s">
        <v>179</v>
      </c>
      <c r="BP1196" s="15" t="s">
        <v>138</v>
      </c>
      <c r="BS1196" s="15" t="s">
        <v>9950</v>
      </c>
      <c r="DH1196" s="15" t="s">
        <v>17982</v>
      </c>
      <c r="DI1196" s="15" t="s">
        <v>17982</v>
      </c>
    </row>
    <row r="1197" spans="1:113" s="15" customFormat="1" ht="12.75" x14ac:dyDescent="0.2">
      <c r="A1197" s="15" t="s">
        <v>109</v>
      </c>
      <c r="B1197" s="15" t="s">
        <v>110</v>
      </c>
      <c r="D1197" s="15" t="s">
        <v>620</v>
      </c>
      <c r="E1197" s="15" t="s">
        <v>112</v>
      </c>
      <c r="F1197" s="15" t="s">
        <v>620</v>
      </c>
      <c r="G1197" s="15" t="s">
        <v>113</v>
      </c>
      <c r="H1197" s="15" t="s">
        <v>1481</v>
      </c>
      <c r="J1197" s="16" t="s">
        <v>114</v>
      </c>
      <c r="U1197" s="15" t="s">
        <v>17977</v>
      </c>
      <c r="W1197" s="15">
        <v>1845</v>
      </c>
      <c r="X1197" s="15">
        <v>1207</v>
      </c>
      <c r="Y1197" s="15" t="s">
        <v>160</v>
      </c>
      <c r="Z1197" s="15" t="s">
        <v>161</v>
      </c>
      <c r="AA1197" s="15" t="s">
        <v>162</v>
      </c>
      <c r="AB1197" s="15" t="s">
        <v>9951</v>
      </c>
      <c r="AC1197" s="15" t="s">
        <v>9951</v>
      </c>
      <c r="AD1197" s="15" t="s">
        <v>9952</v>
      </c>
      <c r="AE1197" s="15" t="s">
        <v>164</v>
      </c>
      <c r="AF1197" s="15" t="s">
        <v>9952</v>
      </c>
      <c r="AG1197" s="15" t="s">
        <v>9951</v>
      </c>
      <c r="AH1197" s="34" t="s">
        <v>9953</v>
      </c>
      <c r="AI1197" s="15">
        <v>42293605</v>
      </c>
      <c r="AK1197" s="15" t="s">
        <v>9890</v>
      </c>
      <c r="AL1197" s="15" t="s">
        <v>9954</v>
      </c>
      <c r="AN1197" s="15">
        <v>743</v>
      </c>
      <c r="AO1197" s="15" t="s">
        <v>9955</v>
      </c>
      <c r="AQ1197" s="15" t="s">
        <v>1776</v>
      </c>
      <c r="AT1197" s="15" t="s">
        <v>9956</v>
      </c>
      <c r="AU1197" s="15" t="s">
        <v>9957</v>
      </c>
      <c r="AV1197" s="15" t="s">
        <v>9957</v>
      </c>
      <c r="AW1197" s="15" t="s">
        <v>9958</v>
      </c>
      <c r="AX1197" s="15" t="s">
        <v>9959</v>
      </c>
      <c r="AY1197" s="15">
        <f t="shared" si="23"/>
        <v>60</v>
      </c>
      <c r="AZ1197" s="15" t="s">
        <v>1781</v>
      </c>
      <c r="BA1197" s="15" t="s">
        <v>9897</v>
      </c>
      <c r="BB1197" s="15" t="s">
        <v>9898</v>
      </c>
      <c r="BE1197" s="15" t="s">
        <v>9960</v>
      </c>
      <c r="BJ1197" s="15" t="s">
        <v>9899</v>
      </c>
      <c r="BN1197" s="15" t="s">
        <v>179</v>
      </c>
      <c r="BP1197" s="15" t="s">
        <v>138</v>
      </c>
      <c r="BS1197" s="15" t="s">
        <v>9961</v>
      </c>
      <c r="DH1197" s="15" t="s">
        <v>17982</v>
      </c>
      <c r="DI1197" s="15" t="s">
        <v>17982</v>
      </c>
    </row>
    <row r="1198" spans="1:113" s="15" customFormat="1" ht="12.75" x14ac:dyDescent="0.2">
      <c r="A1198" s="15" t="s">
        <v>109</v>
      </c>
      <c r="B1198" s="15" t="s">
        <v>110</v>
      </c>
      <c r="D1198" s="15" t="s">
        <v>620</v>
      </c>
      <c r="E1198" s="15" t="s">
        <v>112</v>
      </c>
      <c r="F1198" s="15" t="s">
        <v>620</v>
      </c>
      <c r="G1198" s="15" t="s">
        <v>113</v>
      </c>
      <c r="H1198" s="15" t="s">
        <v>1481</v>
      </c>
      <c r="J1198" s="16" t="s">
        <v>114</v>
      </c>
      <c r="U1198" s="15" t="s">
        <v>17977</v>
      </c>
      <c r="W1198" s="15">
        <v>1846</v>
      </c>
      <c r="X1198" s="15">
        <v>1208</v>
      </c>
      <c r="Y1198" s="15" t="s">
        <v>160</v>
      </c>
      <c r="Z1198" s="15" t="s">
        <v>161</v>
      </c>
      <c r="AA1198" s="15" t="s">
        <v>162</v>
      </c>
      <c r="AB1198" s="15" t="s">
        <v>9962</v>
      </c>
      <c r="AC1198" s="15" t="s">
        <v>9962</v>
      </c>
      <c r="AD1198" s="15" t="s">
        <v>9963</v>
      </c>
      <c r="AE1198" s="15" t="s">
        <v>164</v>
      </c>
      <c r="AF1198" s="15" t="s">
        <v>9963</v>
      </c>
      <c r="AG1198" s="15" t="s">
        <v>9962</v>
      </c>
      <c r="AH1198" s="34" t="s">
        <v>9964</v>
      </c>
      <c r="AI1198" s="15">
        <v>42293605</v>
      </c>
      <c r="AK1198" s="15" t="s">
        <v>9890</v>
      </c>
      <c r="AL1198" s="15" t="s">
        <v>9965</v>
      </c>
      <c r="AN1198" s="15">
        <v>743</v>
      </c>
      <c r="AO1198" s="15" t="s">
        <v>9966</v>
      </c>
      <c r="AQ1198" s="15" t="s">
        <v>1776</v>
      </c>
      <c r="AT1198" s="15" t="s">
        <v>9967</v>
      </c>
      <c r="AU1198" s="15" t="s">
        <v>9968</v>
      </c>
      <c r="AV1198" s="15" t="s">
        <v>9968</v>
      </c>
      <c r="AW1198" s="15" t="s">
        <v>9969</v>
      </c>
      <c r="AX1198" s="15" t="s">
        <v>9970</v>
      </c>
      <c r="AY1198" s="15">
        <f t="shared" si="23"/>
        <v>60</v>
      </c>
      <c r="AZ1198" s="15" t="s">
        <v>1781</v>
      </c>
      <c r="BA1198" s="15" t="s">
        <v>9897</v>
      </c>
      <c r="BB1198" s="15" t="s">
        <v>9898</v>
      </c>
      <c r="BE1198" s="15" t="s">
        <v>9971</v>
      </c>
      <c r="BJ1198" s="15" t="s">
        <v>9899</v>
      </c>
      <c r="BN1198" s="15" t="s">
        <v>179</v>
      </c>
      <c r="BP1198" s="15" t="s">
        <v>138</v>
      </c>
      <c r="BS1198" s="15" t="s">
        <v>9972</v>
      </c>
      <c r="DH1198" s="15" t="s">
        <v>17982</v>
      </c>
      <c r="DI1198" s="15" t="s">
        <v>17982</v>
      </c>
    </row>
    <row r="1199" spans="1:113" s="15" customFormat="1" ht="12.75" x14ac:dyDescent="0.2">
      <c r="A1199" s="15" t="s">
        <v>109</v>
      </c>
      <c r="B1199" s="15" t="s">
        <v>110</v>
      </c>
      <c r="D1199" s="15" t="s">
        <v>620</v>
      </c>
      <c r="E1199" s="15" t="s">
        <v>112</v>
      </c>
      <c r="F1199" s="15" t="s">
        <v>620</v>
      </c>
      <c r="G1199" s="15" t="s">
        <v>113</v>
      </c>
      <c r="H1199" s="15" t="s">
        <v>1481</v>
      </c>
      <c r="J1199" s="16" t="s">
        <v>114</v>
      </c>
      <c r="U1199" s="15" t="s">
        <v>17977</v>
      </c>
      <c r="W1199" s="15">
        <v>1847</v>
      </c>
      <c r="X1199" s="15">
        <v>1209</v>
      </c>
      <c r="Y1199" s="15" t="s">
        <v>160</v>
      </c>
      <c r="Z1199" s="15" t="s">
        <v>161</v>
      </c>
      <c r="AA1199" s="15" t="s">
        <v>162</v>
      </c>
      <c r="AB1199" s="15" t="s">
        <v>9973</v>
      </c>
      <c r="AC1199" s="15" t="s">
        <v>9973</v>
      </c>
      <c r="AD1199" s="15" t="s">
        <v>9974</v>
      </c>
      <c r="AE1199" s="15" t="s">
        <v>164</v>
      </c>
      <c r="AF1199" s="15" t="s">
        <v>9974</v>
      </c>
      <c r="AG1199" s="15" t="s">
        <v>9973</v>
      </c>
      <c r="AH1199" s="34" t="s">
        <v>9975</v>
      </c>
      <c r="AI1199" s="15">
        <v>42293605</v>
      </c>
      <c r="AK1199" s="15" t="s">
        <v>9890</v>
      </c>
      <c r="AL1199" s="15" t="s">
        <v>9976</v>
      </c>
      <c r="AN1199" s="15">
        <v>743</v>
      </c>
      <c r="AO1199" s="15" t="s">
        <v>9977</v>
      </c>
      <c r="AQ1199" s="15" t="s">
        <v>1776</v>
      </c>
      <c r="AT1199" s="15" t="s">
        <v>9978</v>
      </c>
      <c r="AU1199" s="15" t="s">
        <v>9979</v>
      </c>
      <c r="AV1199" s="15" t="s">
        <v>9979</v>
      </c>
      <c r="AW1199" s="15" t="s">
        <v>9980</v>
      </c>
      <c r="AX1199" s="15" t="s">
        <v>9981</v>
      </c>
      <c r="AY1199" s="15">
        <f t="shared" si="23"/>
        <v>60</v>
      </c>
      <c r="AZ1199" s="15" t="s">
        <v>1781</v>
      </c>
      <c r="BA1199" s="15" t="s">
        <v>9897</v>
      </c>
      <c r="BB1199" s="15" t="s">
        <v>9898</v>
      </c>
      <c r="BE1199" s="15" t="s">
        <v>9982</v>
      </c>
      <c r="BJ1199" s="15" t="s">
        <v>9899</v>
      </c>
      <c r="BN1199" s="15" t="s">
        <v>179</v>
      </c>
      <c r="BP1199" s="15" t="s">
        <v>138</v>
      </c>
      <c r="BS1199" s="15" t="s">
        <v>9983</v>
      </c>
      <c r="DH1199" s="15" t="s">
        <v>17982</v>
      </c>
      <c r="DI1199" s="15" t="s">
        <v>17982</v>
      </c>
    </row>
    <row r="1200" spans="1:113" s="15" customFormat="1" ht="12.75" x14ac:dyDescent="0.2">
      <c r="A1200" s="15" t="s">
        <v>109</v>
      </c>
      <c r="B1200" s="15" t="s">
        <v>110</v>
      </c>
      <c r="D1200" s="15" t="s">
        <v>620</v>
      </c>
      <c r="E1200" s="15" t="s">
        <v>112</v>
      </c>
      <c r="F1200" s="15" t="s">
        <v>620</v>
      </c>
      <c r="G1200" s="15" t="s">
        <v>113</v>
      </c>
      <c r="H1200" s="15" t="s">
        <v>1481</v>
      </c>
      <c r="J1200" s="16" t="s">
        <v>114</v>
      </c>
      <c r="U1200" s="15" t="s">
        <v>17977</v>
      </c>
      <c r="W1200" s="15">
        <v>1848</v>
      </c>
      <c r="X1200" s="15">
        <v>1210</v>
      </c>
      <c r="Y1200" s="15" t="s">
        <v>160</v>
      </c>
      <c r="Z1200" s="15" t="s">
        <v>161</v>
      </c>
      <c r="AA1200" s="15" t="s">
        <v>162</v>
      </c>
      <c r="AB1200" s="15" t="s">
        <v>9984</v>
      </c>
      <c r="AC1200" s="15" t="s">
        <v>9984</v>
      </c>
      <c r="AD1200" s="15" t="s">
        <v>9985</v>
      </c>
      <c r="AE1200" s="15" t="s">
        <v>164</v>
      </c>
      <c r="AF1200" s="15" t="s">
        <v>9985</v>
      </c>
      <c r="AG1200" s="15" t="s">
        <v>9984</v>
      </c>
      <c r="AH1200" s="34" t="s">
        <v>9986</v>
      </c>
      <c r="AI1200" s="15">
        <v>42293605</v>
      </c>
      <c r="AK1200" s="15" t="s">
        <v>9890</v>
      </c>
      <c r="AL1200" s="15" t="s">
        <v>9987</v>
      </c>
      <c r="AN1200" s="15">
        <v>743</v>
      </c>
      <c r="AO1200" s="15" t="s">
        <v>9988</v>
      </c>
      <c r="AQ1200" s="15" t="s">
        <v>1776</v>
      </c>
      <c r="AT1200" s="15" t="s">
        <v>9989</v>
      </c>
      <c r="AU1200" s="15" t="s">
        <v>9990</v>
      </c>
      <c r="AV1200" s="15" t="s">
        <v>9990</v>
      </c>
      <c r="AW1200" s="15" t="s">
        <v>9991</v>
      </c>
      <c r="AX1200" s="15" t="s">
        <v>9992</v>
      </c>
      <c r="AY1200" s="15">
        <f t="shared" si="23"/>
        <v>60</v>
      </c>
      <c r="AZ1200" s="15" t="s">
        <v>1781</v>
      </c>
      <c r="BA1200" s="15" t="s">
        <v>9897</v>
      </c>
      <c r="BB1200" s="15" t="s">
        <v>9898</v>
      </c>
      <c r="BE1200" s="15" t="s">
        <v>9993</v>
      </c>
      <c r="BJ1200" s="15" t="s">
        <v>9899</v>
      </c>
      <c r="BN1200" s="15" t="s">
        <v>179</v>
      </c>
      <c r="BP1200" s="15" t="s">
        <v>138</v>
      </c>
      <c r="BS1200" s="15" t="s">
        <v>9994</v>
      </c>
      <c r="DH1200" s="15" t="s">
        <v>17982</v>
      </c>
      <c r="DI1200" s="15" t="s">
        <v>17982</v>
      </c>
    </row>
    <row r="1201" spans="1:113" s="15" customFormat="1" ht="12.75" x14ac:dyDescent="0.2">
      <c r="A1201" s="15" t="s">
        <v>109</v>
      </c>
      <c r="B1201" s="15" t="s">
        <v>110</v>
      </c>
      <c r="D1201" s="15" t="s">
        <v>620</v>
      </c>
      <c r="E1201" s="15" t="s">
        <v>112</v>
      </c>
      <c r="F1201" s="15" t="s">
        <v>620</v>
      </c>
      <c r="G1201" s="15" t="s">
        <v>113</v>
      </c>
      <c r="H1201" s="15" t="s">
        <v>1481</v>
      </c>
      <c r="J1201" s="16" t="s">
        <v>114</v>
      </c>
      <c r="U1201" s="15" t="s">
        <v>17977</v>
      </c>
      <c r="W1201" s="15">
        <v>1849</v>
      </c>
      <c r="X1201" s="15">
        <v>1211</v>
      </c>
      <c r="Y1201" s="15" t="s">
        <v>160</v>
      </c>
      <c r="Z1201" s="15" t="s">
        <v>161</v>
      </c>
      <c r="AA1201" s="15" t="s">
        <v>162</v>
      </c>
      <c r="AB1201" s="15" t="s">
        <v>9995</v>
      </c>
      <c r="AC1201" s="15" t="s">
        <v>9995</v>
      </c>
      <c r="AD1201" s="15" t="s">
        <v>9996</v>
      </c>
      <c r="AE1201" s="15" t="s">
        <v>164</v>
      </c>
      <c r="AF1201" s="15" t="s">
        <v>9996</v>
      </c>
      <c r="AG1201" s="15" t="s">
        <v>9995</v>
      </c>
      <c r="AH1201" s="34" t="s">
        <v>9997</v>
      </c>
      <c r="AI1201" s="15">
        <v>42293605</v>
      </c>
      <c r="AK1201" s="15" t="s">
        <v>9890</v>
      </c>
      <c r="AL1201" s="15" t="s">
        <v>9998</v>
      </c>
      <c r="AN1201" s="15">
        <v>743</v>
      </c>
      <c r="AO1201" s="15" t="s">
        <v>9999</v>
      </c>
      <c r="AQ1201" s="15" t="s">
        <v>1776</v>
      </c>
      <c r="AT1201" s="15" t="s">
        <v>10000</v>
      </c>
      <c r="AU1201" s="15" t="s">
        <v>10001</v>
      </c>
      <c r="AV1201" s="15" t="s">
        <v>10001</v>
      </c>
      <c r="AW1201" s="15" t="s">
        <v>10002</v>
      </c>
      <c r="AX1201" s="15" t="s">
        <v>10003</v>
      </c>
      <c r="AY1201" s="15">
        <f t="shared" si="23"/>
        <v>60</v>
      </c>
      <c r="AZ1201" s="15" t="s">
        <v>1781</v>
      </c>
      <c r="BA1201" s="15" t="s">
        <v>9897</v>
      </c>
      <c r="BB1201" s="15" t="s">
        <v>9898</v>
      </c>
      <c r="BE1201" s="15" t="s">
        <v>10004</v>
      </c>
      <c r="BJ1201" s="15" t="s">
        <v>9899</v>
      </c>
      <c r="BN1201" s="15" t="s">
        <v>179</v>
      </c>
      <c r="BP1201" s="15" t="s">
        <v>138</v>
      </c>
      <c r="BS1201" s="15" t="s">
        <v>10005</v>
      </c>
      <c r="DH1201" s="15" t="s">
        <v>17982</v>
      </c>
      <c r="DI1201" s="15" t="s">
        <v>17982</v>
      </c>
    </row>
    <row r="1202" spans="1:113" s="15" customFormat="1" ht="12.75" x14ac:dyDescent="0.2">
      <c r="A1202" s="15" t="s">
        <v>109</v>
      </c>
      <c r="B1202" s="15" t="s">
        <v>110</v>
      </c>
      <c r="D1202" s="15" t="s">
        <v>620</v>
      </c>
      <c r="E1202" s="15" t="s">
        <v>112</v>
      </c>
      <c r="F1202" s="15" t="s">
        <v>620</v>
      </c>
      <c r="G1202" s="15" t="s">
        <v>113</v>
      </c>
      <c r="H1202" s="15" t="s">
        <v>1481</v>
      </c>
      <c r="J1202" s="16" t="s">
        <v>114</v>
      </c>
      <c r="U1202" s="15" t="s">
        <v>17977</v>
      </c>
      <c r="W1202" s="15">
        <v>459</v>
      </c>
      <c r="X1202" s="15">
        <v>1212</v>
      </c>
      <c r="Y1202" s="15" t="s">
        <v>160</v>
      </c>
      <c r="Z1202" s="15" t="s">
        <v>161</v>
      </c>
      <c r="AA1202" s="15" t="s">
        <v>162</v>
      </c>
      <c r="AB1202" s="15" t="s">
        <v>1852</v>
      </c>
      <c r="AC1202" s="15" t="s">
        <v>1852</v>
      </c>
      <c r="AD1202" s="15" t="s">
        <v>1853</v>
      </c>
      <c r="AE1202" s="15" t="s">
        <v>164</v>
      </c>
      <c r="AF1202" s="15" t="s">
        <v>1853</v>
      </c>
      <c r="AG1202" s="15" t="s">
        <v>1852</v>
      </c>
      <c r="AH1202" s="34" t="s">
        <v>1854</v>
      </c>
      <c r="AL1202" s="15" t="s">
        <v>1855</v>
      </c>
      <c r="AN1202" s="15">
        <v>743</v>
      </c>
      <c r="AO1202" s="15" t="s">
        <v>1856</v>
      </c>
      <c r="AQ1202" s="15" t="s">
        <v>1776</v>
      </c>
      <c r="AT1202" s="15" t="s">
        <v>1857</v>
      </c>
      <c r="AU1202" s="15" t="s">
        <v>1858</v>
      </c>
      <c r="AV1202" s="15" t="s">
        <v>1858</v>
      </c>
      <c r="AW1202" s="15" t="s">
        <v>1859</v>
      </c>
      <c r="AX1202" s="15" t="s">
        <v>1860</v>
      </c>
      <c r="AY1202" s="15">
        <f t="shared" si="23"/>
        <v>53</v>
      </c>
      <c r="AZ1202" s="15" t="s">
        <v>1781</v>
      </c>
      <c r="BA1202" s="15" t="s">
        <v>174</v>
      </c>
      <c r="BB1202" s="15" t="s">
        <v>1782</v>
      </c>
      <c r="BE1202" s="15" t="s">
        <v>1861</v>
      </c>
      <c r="BJ1202" s="15" t="s">
        <v>1784</v>
      </c>
      <c r="BN1202" s="15" t="s">
        <v>179</v>
      </c>
      <c r="BP1202" s="15" t="s">
        <v>138</v>
      </c>
      <c r="BS1202" s="15" t="s">
        <v>1862</v>
      </c>
      <c r="DH1202" s="15" t="s">
        <v>17982</v>
      </c>
      <c r="DI1202" s="15" t="s">
        <v>17982</v>
      </c>
    </row>
    <row r="1203" spans="1:113" s="15" customFormat="1" ht="12.75" x14ac:dyDescent="0.2">
      <c r="A1203" s="15" t="s">
        <v>109</v>
      </c>
      <c r="B1203" s="15" t="s">
        <v>110</v>
      </c>
      <c r="D1203" s="15" t="s">
        <v>620</v>
      </c>
      <c r="E1203" s="15" t="s">
        <v>112</v>
      </c>
      <c r="F1203" s="15" t="s">
        <v>620</v>
      </c>
      <c r="G1203" s="15" t="s">
        <v>113</v>
      </c>
      <c r="H1203" s="15" t="s">
        <v>1481</v>
      </c>
      <c r="J1203" s="16" t="s">
        <v>114</v>
      </c>
      <c r="U1203" s="15" t="s">
        <v>17977</v>
      </c>
      <c r="W1203" s="15">
        <v>460</v>
      </c>
      <c r="X1203" s="15">
        <v>1213</v>
      </c>
      <c r="Y1203" s="15" t="s">
        <v>160</v>
      </c>
      <c r="Z1203" s="15" t="s">
        <v>161</v>
      </c>
      <c r="AA1203" s="15" t="s">
        <v>162</v>
      </c>
      <c r="AB1203" s="15" t="s">
        <v>1863</v>
      </c>
      <c r="AC1203" s="15" t="s">
        <v>1863</v>
      </c>
      <c r="AD1203" s="15" t="s">
        <v>1864</v>
      </c>
      <c r="AE1203" s="15" t="s">
        <v>164</v>
      </c>
      <c r="AF1203" s="15" t="s">
        <v>1864</v>
      </c>
      <c r="AG1203" s="15" t="s">
        <v>1863</v>
      </c>
      <c r="AH1203" s="34" t="s">
        <v>1865</v>
      </c>
      <c r="AL1203" s="15" t="s">
        <v>1866</v>
      </c>
      <c r="AN1203" s="15">
        <v>743</v>
      </c>
      <c r="AO1203" s="15" t="s">
        <v>1867</v>
      </c>
      <c r="AQ1203" s="15" t="s">
        <v>1776</v>
      </c>
      <c r="AT1203" s="15" t="s">
        <v>1868</v>
      </c>
      <c r="AU1203" s="15" t="s">
        <v>1869</v>
      </c>
      <c r="AV1203" s="15" t="s">
        <v>1869</v>
      </c>
      <c r="AW1203" s="15" t="s">
        <v>1870</v>
      </c>
      <c r="AX1203" s="15" t="s">
        <v>1871</v>
      </c>
      <c r="AY1203" s="15">
        <f t="shared" si="23"/>
        <v>53</v>
      </c>
      <c r="AZ1203" s="15" t="s">
        <v>1781</v>
      </c>
      <c r="BA1203" s="15" t="s">
        <v>174</v>
      </c>
      <c r="BB1203" s="15" t="s">
        <v>1782</v>
      </c>
      <c r="BE1203" s="15" t="s">
        <v>1872</v>
      </c>
      <c r="BJ1203" s="15" t="s">
        <v>1784</v>
      </c>
      <c r="BN1203" s="15" t="s">
        <v>179</v>
      </c>
      <c r="BP1203" s="15" t="s">
        <v>138</v>
      </c>
      <c r="BS1203" s="15" t="s">
        <v>1873</v>
      </c>
      <c r="DH1203" s="15" t="s">
        <v>17982</v>
      </c>
      <c r="DI1203" s="15" t="s">
        <v>17982</v>
      </c>
    </row>
    <row r="1204" spans="1:113" s="15" customFormat="1" ht="12.75" x14ac:dyDescent="0.2">
      <c r="A1204" s="15" t="s">
        <v>109</v>
      </c>
      <c r="B1204" s="15" t="s">
        <v>110</v>
      </c>
      <c r="D1204" s="15" t="s">
        <v>620</v>
      </c>
      <c r="E1204" s="15" t="s">
        <v>112</v>
      </c>
      <c r="F1204" s="15" t="s">
        <v>620</v>
      </c>
      <c r="G1204" s="15" t="s">
        <v>113</v>
      </c>
      <c r="H1204" s="15" t="s">
        <v>1481</v>
      </c>
      <c r="J1204" s="16" t="s">
        <v>114</v>
      </c>
      <c r="U1204" s="15" t="s">
        <v>17977</v>
      </c>
      <c r="W1204" s="15">
        <v>452</v>
      </c>
      <c r="X1204" s="15">
        <v>1214</v>
      </c>
      <c r="Y1204" s="15" t="s">
        <v>160</v>
      </c>
      <c r="Z1204" s="15" t="s">
        <v>161</v>
      </c>
      <c r="AA1204" s="15" t="s">
        <v>162</v>
      </c>
      <c r="AB1204" s="15" t="s">
        <v>1771</v>
      </c>
      <c r="AC1204" s="15" t="s">
        <v>1771</v>
      </c>
      <c r="AD1204" s="15" t="s">
        <v>1772</v>
      </c>
      <c r="AE1204" s="15" t="s">
        <v>164</v>
      </c>
      <c r="AF1204" s="15" t="s">
        <v>1772</v>
      </c>
      <c r="AG1204" s="15" t="s">
        <v>1771</v>
      </c>
      <c r="AH1204" s="34" t="s">
        <v>1773</v>
      </c>
      <c r="AL1204" s="15" t="s">
        <v>1774</v>
      </c>
      <c r="AN1204" s="15">
        <v>743</v>
      </c>
      <c r="AO1204" s="15" t="s">
        <v>1775</v>
      </c>
      <c r="AQ1204" s="15" t="s">
        <v>1776</v>
      </c>
      <c r="AT1204" s="15" t="s">
        <v>1777</v>
      </c>
      <c r="AU1204" s="15" t="s">
        <v>1778</v>
      </c>
      <c r="AV1204" s="15" t="s">
        <v>1778</v>
      </c>
      <c r="AW1204" s="15" t="s">
        <v>1779</v>
      </c>
      <c r="AX1204" s="15" t="s">
        <v>1780</v>
      </c>
      <c r="AY1204" s="15">
        <f t="shared" si="23"/>
        <v>54</v>
      </c>
      <c r="AZ1204" s="15" t="s">
        <v>1781</v>
      </c>
      <c r="BA1204" s="15" t="s">
        <v>174</v>
      </c>
      <c r="BB1204" s="15" t="s">
        <v>1782</v>
      </c>
      <c r="BE1204" s="15" t="s">
        <v>1783</v>
      </c>
      <c r="BJ1204" s="15" t="s">
        <v>1784</v>
      </c>
      <c r="BN1204" s="15" t="s">
        <v>179</v>
      </c>
      <c r="BP1204" s="15" t="s">
        <v>138</v>
      </c>
      <c r="BS1204" s="15" t="s">
        <v>1785</v>
      </c>
      <c r="DH1204" s="15" t="s">
        <v>17982</v>
      </c>
      <c r="DI1204" s="15" t="s">
        <v>17982</v>
      </c>
    </row>
    <row r="1205" spans="1:113" s="15" customFormat="1" ht="12.75" x14ac:dyDescent="0.2">
      <c r="A1205" s="15" t="s">
        <v>109</v>
      </c>
      <c r="B1205" s="15" t="s">
        <v>110</v>
      </c>
      <c r="D1205" s="15" t="s">
        <v>620</v>
      </c>
      <c r="E1205" s="15" t="s">
        <v>112</v>
      </c>
      <c r="F1205" s="15" t="s">
        <v>620</v>
      </c>
      <c r="G1205" s="15" t="s">
        <v>113</v>
      </c>
      <c r="H1205" s="15" t="s">
        <v>1481</v>
      </c>
      <c r="J1205" s="16" t="s">
        <v>114</v>
      </c>
      <c r="U1205" s="15" t="s">
        <v>17977</v>
      </c>
      <c r="W1205" s="15">
        <v>453</v>
      </c>
      <c r="X1205" s="15">
        <v>1215</v>
      </c>
      <c r="Y1205" s="15" t="s">
        <v>160</v>
      </c>
      <c r="Z1205" s="15" t="s">
        <v>161</v>
      </c>
      <c r="AA1205" s="15" t="s">
        <v>162</v>
      </c>
      <c r="AB1205" s="15" t="s">
        <v>1786</v>
      </c>
      <c r="AC1205" s="15" t="s">
        <v>1786</v>
      </c>
      <c r="AD1205" s="15" t="s">
        <v>1787</v>
      </c>
      <c r="AE1205" s="15" t="s">
        <v>164</v>
      </c>
      <c r="AF1205" s="15" t="s">
        <v>1787</v>
      </c>
      <c r="AG1205" s="15" t="s">
        <v>1786</v>
      </c>
      <c r="AH1205" s="34" t="s">
        <v>1788</v>
      </c>
      <c r="AL1205" s="15" t="s">
        <v>1789</v>
      </c>
      <c r="AN1205" s="15">
        <v>743</v>
      </c>
      <c r="AO1205" s="15" t="s">
        <v>1790</v>
      </c>
      <c r="AQ1205" s="15" t="s">
        <v>1776</v>
      </c>
      <c r="AT1205" s="15" t="s">
        <v>1791</v>
      </c>
      <c r="AU1205" s="15" t="s">
        <v>1792</v>
      </c>
      <c r="AV1205" s="15" t="s">
        <v>1792</v>
      </c>
      <c r="AW1205" s="15" t="s">
        <v>1793</v>
      </c>
      <c r="AX1205" s="15" t="s">
        <v>1794</v>
      </c>
      <c r="AY1205" s="15">
        <f t="shared" si="23"/>
        <v>54</v>
      </c>
      <c r="AZ1205" s="15" t="s">
        <v>1781</v>
      </c>
      <c r="BA1205" s="15" t="s">
        <v>174</v>
      </c>
      <c r="BB1205" s="15" t="s">
        <v>1782</v>
      </c>
      <c r="BE1205" s="15" t="s">
        <v>1795</v>
      </c>
      <c r="BJ1205" s="15" t="s">
        <v>1784</v>
      </c>
      <c r="BN1205" s="15" t="s">
        <v>179</v>
      </c>
      <c r="BP1205" s="15" t="s">
        <v>138</v>
      </c>
      <c r="BS1205" s="15" t="s">
        <v>1796</v>
      </c>
      <c r="DH1205" s="15" t="s">
        <v>17982</v>
      </c>
      <c r="DI1205" s="15" t="s">
        <v>17982</v>
      </c>
    </row>
    <row r="1206" spans="1:113" s="15" customFormat="1" ht="12.75" x14ac:dyDescent="0.2">
      <c r="A1206" s="15" t="s">
        <v>109</v>
      </c>
      <c r="B1206" s="15" t="s">
        <v>110</v>
      </c>
      <c r="D1206" s="15" t="s">
        <v>620</v>
      </c>
      <c r="E1206" s="15" t="s">
        <v>112</v>
      </c>
      <c r="F1206" s="15" t="s">
        <v>620</v>
      </c>
      <c r="G1206" s="15" t="s">
        <v>113</v>
      </c>
      <c r="H1206" s="15" t="s">
        <v>1481</v>
      </c>
      <c r="J1206" s="16" t="s">
        <v>114</v>
      </c>
      <c r="U1206" s="15" t="s">
        <v>17977</v>
      </c>
      <c r="W1206" s="15">
        <v>454</v>
      </c>
      <c r="X1206" s="15">
        <v>1216</v>
      </c>
      <c r="Y1206" s="15" t="s">
        <v>160</v>
      </c>
      <c r="Z1206" s="15" t="s">
        <v>161</v>
      </c>
      <c r="AA1206" s="15" t="s">
        <v>162</v>
      </c>
      <c r="AB1206" s="15" t="s">
        <v>1797</v>
      </c>
      <c r="AC1206" s="15" t="s">
        <v>1797</v>
      </c>
      <c r="AD1206" s="15" t="s">
        <v>1798</v>
      </c>
      <c r="AE1206" s="15" t="s">
        <v>164</v>
      </c>
      <c r="AF1206" s="15" t="s">
        <v>1798</v>
      </c>
      <c r="AG1206" s="15" t="s">
        <v>1797</v>
      </c>
      <c r="AH1206" s="34" t="s">
        <v>1799</v>
      </c>
      <c r="AL1206" s="15" t="s">
        <v>1800</v>
      </c>
      <c r="AN1206" s="15">
        <v>743</v>
      </c>
      <c r="AO1206" s="15" t="s">
        <v>1801</v>
      </c>
      <c r="AQ1206" s="15" t="s">
        <v>1776</v>
      </c>
      <c r="AT1206" s="15" t="s">
        <v>1802</v>
      </c>
      <c r="AU1206" s="15" t="s">
        <v>1803</v>
      </c>
      <c r="AV1206" s="15" t="s">
        <v>1803</v>
      </c>
      <c r="AW1206" s="15" t="s">
        <v>1804</v>
      </c>
      <c r="AX1206" s="15" t="s">
        <v>1805</v>
      </c>
      <c r="AY1206" s="15">
        <f t="shared" si="23"/>
        <v>54</v>
      </c>
      <c r="AZ1206" s="15" t="s">
        <v>1781</v>
      </c>
      <c r="BA1206" s="15" t="s">
        <v>174</v>
      </c>
      <c r="BB1206" s="15" t="s">
        <v>1782</v>
      </c>
      <c r="BE1206" s="15" t="s">
        <v>1806</v>
      </c>
      <c r="BJ1206" s="15" t="s">
        <v>1784</v>
      </c>
      <c r="BN1206" s="15" t="s">
        <v>179</v>
      </c>
      <c r="BP1206" s="15" t="s">
        <v>138</v>
      </c>
      <c r="BS1206" s="15" t="s">
        <v>1807</v>
      </c>
      <c r="DH1206" s="15" t="s">
        <v>17982</v>
      </c>
      <c r="DI1206" s="15" t="s">
        <v>17982</v>
      </c>
    </row>
    <row r="1207" spans="1:113" s="15" customFormat="1" ht="12.75" x14ac:dyDescent="0.2">
      <c r="A1207" s="15" t="s">
        <v>109</v>
      </c>
      <c r="B1207" s="15" t="s">
        <v>110</v>
      </c>
      <c r="D1207" s="15" t="s">
        <v>620</v>
      </c>
      <c r="E1207" s="15" t="s">
        <v>112</v>
      </c>
      <c r="F1207" s="15" t="s">
        <v>620</v>
      </c>
      <c r="G1207" s="15" t="s">
        <v>113</v>
      </c>
      <c r="H1207" s="15" t="s">
        <v>1481</v>
      </c>
      <c r="J1207" s="16" t="s">
        <v>114</v>
      </c>
      <c r="U1207" s="15" t="s">
        <v>17977</v>
      </c>
      <c r="W1207" s="15">
        <v>455</v>
      </c>
      <c r="X1207" s="15">
        <v>1217</v>
      </c>
      <c r="Y1207" s="15" t="s">
        <v>160</v>
      </c>
      <c r="Z1207" s="15" t="s">
        <v>161</v>
      </c>
      <c r="AA1207" s="15" t="s">
        <v>162</v>
      </c>
      <c r="AB1207" s="15" t="s">
        <v>1808</v>
      </c>
      <c r="AC1207" s="15" t="s">
        <v>1808</v>
      </c>
      <c r="AD1207" s="15" t="s">
        <v>1809</v>
      </c>
      <c r="AE1207" s="15" t="s">
        <v>164</v>
      </c>
      <c r="AF1207" s="15" t="s">
        <v>1809</v>
      </c>
      <c r="AG1207" s="15" t="s">
        <v>1808</v>
      </c>
      <c r="AH1207" s="34" t="s">
        <v>1810</v>
      </c>
      <c r="AL1207" s="15" t="s">
        <v>1811</v>
      </c>
      <c r="AN1207" s="15">
        <v>743</v>
      </c>
      <c r="AO1207" s="15" t="s">
        <v>1812</v>
      </c>
      <c r="AQ1207" s="15" t="s">
        <v>1776</v>
      </c>
      <c r="AT1207" s="15" t="s">
        <v>1813</v>
      </c>
      <c r="AU1207" s="15" t="s">
        <v>1814</v>
      </c>
      <c r="AV1207" s="15" t="s">
        <v>1814</v>
      </c>
      <c r="AW1207" s="15" t="s">
        <v>1815</v>
      </c>
      <c r="AX1207" s="15" t="s">
        <v>1816</v>
      </c>
      <c r="AY1207" s="15">
        <f t="shared" si="23"/>
        <v>54</v>
      </c>
      <c r="AZ1207" s="15" t="s">
        <v>1781</v>
      </c>
      <c r="BA1207" s="15" t="s">
        <v>174</v>
      </c>
      <c r="BB1207" s="15" t="s">
        <v>1782</v>
      </c>
      <c r="BE1207" s="15" t="s">
        <v>1817</v>
      </c>
      <c r="BJ1207" s="15" t="s">
        <v>1784</v>
      </c>
      <c r="BN1207" s="15" t="s">
        <v>179</v>
      </c>
      <c r="BP1207" s="15" t="s">
        <v>138</v>
      </c>
      <c r="BS1207" s="15" t="s">
        <v>1818</v>
      </c>
      <c r="DH1207" s="15" t="s">
        <v>17982</v>
      </c>
      <c r="DI1207" s="15" t="s">
        <v>17982</v>
      </c>
    </row>
    <row r="1208" spans="1:113" s="15" customFormat="1" ht="12.75" x14ac:dyDescent="0.2">
      <c r="A1208" s="15" t="s">
        <v>109</v>
      </c>
      <c r="B1208" s="15" t="s">
        <v>110</v>
      </c>
      <c r="D1208" s="15" t="s">
        <v>620</v>
      </c>
      <c r="E1208" s="15" t="s">
        <v>112</v>
      </c>
      <c r="F1208" s="15" t="s">
        <v>620</v>
      </c>
      <c r="G1208" s="15" t="s">
        <v>113</v>
      </c>
      <c r="H1208" s="15" t="s">
        <v>1481</v>
      </c>
      <c r="J1208" s="16" t="s">
        <v>114</v>
      </c>
      <c r="U1208" s="15" t="s">
        <v>17977</v>
      </c>
      <c r="W1208" s="15">
        <v>456</v>
      </c>
      <c r="X1208" s="15">
        <v>1218</v>
      </c>
      <c r="Y1208" s="15" t="s">
        <v>160</v>
      </c>
      <c r="Z1208" s="15" t="s">
        <v>161</v>
      </c>
      <c r="AA1208" s="15" t="s">
        <v>162</v>
      </c>
      <c r="AB1208" s="15" t="s">
        <v>1819</v>
      </c>
      <c r="AC1208" s="15" t="s">
        <v>1819</v>
      </c>
      <c r="AD1208" s="15" t="s">
        <v>1820</v>
      </c>
      <c r="AE1208" s="15" t="s">
        <v>164</v>
      </c>
      <c r="AF1208" s="15" t="s">
        <v>1820</v>
      </c>
      <c r="AG1208" s="15" t="s">
        <v>1819</v>
      </c>
      <c r="AH1208" s="34" t="s">
        <v>1821</v>
      </c>
      <c r="AL1208" s="15" t="s">
        <v>1822</v>
      </c>
      <c r="AN1208" s="15">
        <v>743</v>
      </c>
      <c r="AO1208" s="15" t="s">
        <v>1823</v>
      </c>
      <c r="AQ1208" s="15" t="s">
        <v>1776</v>
      </c>
      <c r="AT1208" s="15" t="s">
        <v>1824</v>
      </c>
      <c r="AU1208" s="15" t="s">
        <v>1825</v>
      </c>
      <c r="AV1208" s="15" t="s">
        <v>1825</v>
      </c>
      <c r="AW1208" s="15" t="s">
        <v>1826</v>
      </c>
      <c r="AX1208" s="15" t="s">
        <v>1827</v>
      </c>
      <c r="AY1208" s="15">
        <f t="shared" si="23"/>
        <v>54</v>
      </c>
      <c r="AZ1208" s="15" t="s">
        <v>1781</v>
      </c>
      <c r="BA1208" s="15" t="s">
        <v>174</v>
      </c>
      <c r="BB1208" s="15" t="s">
        <v>1782</v>
      </c>
      <c r="BE1208" s="15" t="s">
        <v>1828</v>
      </c>
      <c r="BJ1208" s="15" t="s">
        <v>1784</v>
      </c>
      <c r="BN1208" s="15" t="s">
        <v>179</v>
      </c>
      <c r="BP1208" s="15" t="s">
        <v>138</v>
      </c>
      <c r="BS1208" s="15" t="s">
        <v>1829</v>
      </c>
      <c r="DH1208" s="15" t="s">
        <v>17982</v>
      </c>
      <c r="DI1208" s="15" t="s">
        <v>17982</v>
      </c>
    </row>
    <row r="1209" spans="1:113" s="15" customFormat="1" ht="12.75" x14ac:dyDescent="0.2">
      <c r="A1209" s="15" t="s">
        <v>109</v>
      </c>
      <c r="B1209" s="15" t="s">
        <v>110</v>
      </c>
      <c r="D1209" s="15" t="s">
        <v>620</v>
      </c>
      <c r="E1209" s="15" t="s">
        <v>112</v>
      </c>
      <c r="F1209" s="15" t="s">
        <v>620</v>
      </c>
      <c r="G1209" s="15" t="s">
        <v>113</v>
      </c>
      <c r="H1209" s="15" t="s">
        <v>1481</v>
      </c>
      <c r="J1209" s="16" t="s">
        <v>114</v>
      </c>
      <c r="U1209" s="15" t="s">
        <v>17977</v>
      </c>
      <c r="W1209" s="15">
        <v>457</v>
      </c>
      <c r="X1209" s="15">
        <v>1219</v>
      </c>
      <c r="Y1209" s="15" t="s">
        <v>160</v>
      </c>
      <c r="Z1209" s="15" t="s">
        <v>161</v>
      </c>
      <c r="AA1209" s="15" t="s">
        <v>162</v>
      </c>
      <c r="AB1209" s="15" t="s">
        <v>1830</v>
      </c>
      <c r="AC1209" s="15" t="s">
        <v>1830</v>
      </c>
      <c r="AD1209" s="15" t="s">
        <v>1831</v>
      </c>
      <c r="AE1209" s="15" t="s">
        <v>164</v>
      </c>
      <c r="AF1209" s="15" t="s">
        <v>1831</v>
      </c>
      <c r="AG1209" s="15" t="s">
        <v>1830</v>
      </c>
      <c r="AH1209" s="34" t="s">
        <v>1832</v>
      </c>
      <c r="AL1209" s="15" t="s">
        <v>1833</v>
      </c>
      <c r="AN1209" s="15">
        <v>743</v>
      </c>
      <c r="AO1209" s="15" t="s">
        <v>1834</v>
      </c>
      <c r="AQ1209" s="15" t="s">
        <v>1776</v>
      </c>
      <c r="AT1209" s="15" t="s">
        <v>1835</v>
      </c>
      <c r="AU1209" s="15" t="s">
        <v>1836</v>
      </c>
      <c r="AV1209" s="15" t="s">
        <v>1836</v>
      </c>
      <c r="AW1209" s="15" t="s">
        <v>1837</v>
      </c>
      <c r="AX1209" s="15" t="s">
        <v>1838</v>
      </c>
      <c r="AY1209" s="15">
        <f t="shared" si="23"/>
        <v>54</v>
      </c>
      <c r="AZ1209" s="15" t="s">
        <v>1781</v>
      </c>
      <c r="BA1209" s="15" t="s">
        <v>174</v>
      </c>
      <c r="BB1209" s="15" t="s">
        <v>1782</v>
      </c>
      <c r="BE1209" s="15" t="s">
        <v>1839</v>
      </c>
      <c r="BJ1209" s="15" t="s">
        <v>1784</v>
      </c>
      <c r="BN1209" s="15" t="s">
        <v>179</v>
      </c>
      <c r="BP1209" s="15" t="s">
        <v>138</v>
      </c>
      <c r="BS1209" s="15" t="s">
        <v>1840</v>
      </c>
      <c r="DH1209" s="15" t="s">
        <v>17982</v>
      </c>
      <c r="DI1209" s="15" t="s">
        <v>17982</v>
      </c>
    </row>
    <row r="1210" spans="1:113" s="15" customFormat="1" ht="12.75" x14ac:dyDescent="0.2">
      <c r="A1210" s="15" t="s">
        <v>109</v>
      </c>
      <c r="B1210" s="15" t="s">
        <v>110</v>
      </c>
      <c r="D1210" s="15" t="s">
        <v>620</v>
      </c>
      <c r="E1210" s="15" t="s">
        <v>112</v>
      </c>
      <c r="F1210" s="15" t="s">
        <v>620</v>
      </c>
      <c r="G1210" s="15" t="s">
        <v>113</v>
      </c>
      <c r="H1210" s="15" t="s">
        <v>1481</v>
      </c>
      <c r="J1210" s="16" t="s">
        <v>114</v>
      </c>
      <c r="U1210" s="15" t="s">
        <v>17977</v>
      </c>
      <c r="W1210" s="15">
        <v>458</v>
      </c>
      <c r="X1210" s="15">
        <v>1220</v>
      </c>
      <c r="Y1210" s="15" t="s">
        <v>160</v>
      </c>
      <c r="Z1210" s="15" t="s">
        <v>161</v>
      </c>
      <c r="AA1210" s="15" t="s">
        <v>162</v>
      </c>
      <c r="AB1210" s="15" t="s">
        <v>1841</v>
      </c>
      <c r="AC1210" s="15" t="s">
        <v>1841</v>
      </c>
      <c r="AD1210" s="15" t="s">
        <v>1842</v>
      </c>
      <c r="AE1210" s="15" t="s">
        <v>164</v>
      </c>
      <c r="AF1210" s="15" t="s">
        <v>1842</v>
      </c>
      <c r="AG1210" s="15" t="s">
        <v>1841</v>
      </c>
      <c r="AH1210" s="34" t="s">
        <v>1843</v>
      </c>
      <c r="AL1210" s="15" t="s">
        <v>1844</v>
      </c>
      <c r="AN1210" s="15">
        <v>743</v>
      </c>
      <c r="AO1210" s="15" t="s">
        <v>1845</v>
      </c>
      <c r="AQ1210" s="15" t="s">
        <v>1776</v>
      </c>
      <c r="AT1210" s="15" t="s">
        <v>1846</v>
      </c>
      <c r="AU1210" s="15" t="s">
        <v>1847</v>
      </c>
      <c r="AV1210" s="15" t="s">
        <v>1847</v>
      </c>
      <c r="AW1210" s="15" t="s">
        <v>1848</v>
      </c>
      <c r="AX1210" s="15" t="s">
        <v>1849</v>
      </c>
      <c r="AY1210" s="15">
        <f t="shared" si="23"/>
        <v>54</v>
      </c>
      <c r="AZ1210" s="15" t="s">
        <v>1781</v>
      </c>
      <c r="BA1210" s="15" t="s">
        <v>174</v>
      </c>
      <c r="BB1210" s="15" t="s">
        <v>1782</v>
      </c>
      <c r="BE1210" s="15" t="s">
        <v>1850</v>
      </c>
      <c r="BJ1210" s="15" t="s">
        <v>1784</v>
      </c>
      <c r="BN1210" s="15" t="s">
        <v>179</v>
      </c>
      <c r="BP1210" s="15" t="s">
        <v>138</v>
      </c>
      <c r="BS1210" s="15" t="s">
        <v>1851</v>
      </c>
      <c r="DH1210" s="15" t="s">
        <v>17982</v>
      </c>
      <c r="DI1210" s="15" t="s">
        <v>17982</v>
      </c>
    </row>
    <row r="1211" spans="1:113" s="15" customFormat="1" ht="12.75" x14ac:dyDescent="0.2">
      <c r="A1211" s="15" t="s">
        <v>109</v>
      </c>
      <c r="B1211" s="15" t="s">
        <v>110</v>
      </c>
      <c r="D1211" s="15" t="s">
        <v>620</v>
      </c>
      <c r="E1211" s="15" t="s">
        <v>112</v>
      </c>
      <c r="F1211" s="15" t="s">
        <v>620</v>
      </c>
      <c r="G1211" s="15" t="s">
        <v>113</v>
      </c>
      <c r="H1211" s="15" t="s">
        <v>1481</v>
      </c>
      <c r="J1211" s="16" t="s">
        <v>114</v>
      </c>
      <c r="U1211" s="15" t="s">
        <v>17977</v>
      </c>
      <c r="W1211" s="15">
        <v>2190</v>
      </c>
      <c r="X1211" s="15">
        <v>1221</v>
      </c>
      <c r="Y1211" s="15" t="s">
        <v>160</v>
      </c>
      <c r="Z1211" s="15" t="s">
        <v>161</v>
      </c>
      <c r="AA1211" s="15" t="s">
        <v>162</v>
      </c>
      <c r="AB1211" s="15" t="s">
        <v>11074</v>
      </c>
      <c r="AC1211" s="15" t="s">
        <v>11074</v>
      </c>
      <c r="AD1211" s="15" t="s">
        <v>11075</v>
      </c>
      <c r="AE1211" s="15" t="s">
        <v>164</v>
      </c>
      <c r="AF1211" s="15" t="s">
        <v>11075</v>
      </c>
      <c r="AG1211" s="15" t="s">
        <v>11074</v>
      </c>
      <c r="AH1211" s="34" t="s">
        <v>11076</v>
      </c>
      <c r="AL1211" s="15" t="s">
        <v>11077</v>
      </c>
      <c r="AN1211" s="15">
        <v>743</v>
      </c>
      <c r="AO1211" s="15" t="s">
        <v>11078</v>
      </c>
      <c r="AQ1211" s="15" t="s">
        <v>1776</v>
      </c>
      <c r="AT1211" s="15" t="s">
        <v>11079</v>
      </c>
      <c r="AU1211" s="15" t="s">
        <v>11080</v>
      </c>
      <c r="AV1211" s="15" t="s">
        <v>11080</v>
      </c>
      <c r="AW1211" s="15" t="s">
        <v>11081</v>
      </c>
      <c r="AX1211" s="15" t="s">
        <v>11082</v>
      </c>
      <c r="AY1211" s="15">
        <f t="shared" si="23"/>
        <v>54</v>
      </c>
      <c r="AZ1211" s="15" t="s">
        <v>1781</v>
      </c>
      <c r="BA1211" s="15" t="s">
        <v>174</v>
      </c>
      <c r="BB1211" s="15" t="s">
        <v>11083</v>
      </c>
      <c r="BE1211" s="15" t="s">
        <v>11084</v>
      </c>
      <c r="BH1211" s="15" t="s">
        <v>11085</v>
      </c>
      <c r="BJ1211" s="15" t="s">
        <v>1530</v>
      </c>
      <c r="BN1211" s="15" t="s">
        <v>179</v>
      </c>
      <c r="BP1211" s="15" t="s">
        <v>138</v>
      </c>
      <c r="BS1211" s="15" t="s">
        <v>11086</v>
      </c>
      <c r="DH1211" s="15" t="s">
        <v>17982</v>
      </c>
      <c r="DI1211" s="15" t="s">
        <v>17982</v>
      </c>
    </row>
    <row r="1212" spans="1:113" s="15" customFormat="1" ht="12.75" x14ac:dyDescent="0.2">
      <c r="A1212" s="15" t="s">
        <v>109</v>
      </c>
      <c r="B1212" s="15" t="s">
        <v>110</v>
      </c>
      <c r="D1212" s="15" t="s">
        <v>620</v>
      </c>
      <c r="E1212" s="15" t="s">
        <v>112</v>
      </c>
      <c r="F1212" s="15" t="s">
        <v>620</v>
      </c>
      <c r="G1212" s="15" t="s">
        <v>113</v>
      </c>
      <c r="H1212" s="15" t="s">
        <v>1481</v>
      </c>
      <c r="J1212" s="16" t="s">
        <v>114</v>
      </c>
      <c r="U1212" s="15" t="s">
        <v>17977</v>
      </c>
      <c r="W1212" s="15">
        <v>2191</v>
      </c>
      <c r="X1212" s="15">
        <v>1222</v>
      </c>
      <c r="Y1212" s="15" t="s">
        <v>160</v>
      </c>
      <c r="Z1212" s="15" t="s">
        <v>161</v>
      </c>
      <c r="AA1212" s="15" t="s">
        <v>162</v>
      </c>
      <c r="AB1212" s="15" t="s">
        <v>11087</v>
      </c>
      <c r="AC1212" s="15" t="s">
        <v>11087</v>
      </c>
      <c r="AD1212" s="15" t="s">
        <v>11088</v>
      </c>
      <c r="AE1212" s="15" t="s">
        <v>164</v>
      </c>
      <c r="AF1212" s="15" t="s">
        <v>11088</v>
      </c>
      <c r="AG1212" s="15" t="s">
        <v>11087</v>
      </c>
      <c r="AH1212" s="34" t="s">
        <v>11089</v>
      </c>
      <c r="AL1212" s="15" t="s">
        <v>11090</v>
      </c>
      <c r="AN1212" s="15">
        <v>743</v>
      </c>
      <c r="AO1212" s="15" t="s">
        <v>11091</v>
      </c>
      <c r="AQ1212" s="15" t="s">
        <v>1776</v>
      </c>
      <c r="AT1212" s="15" t="s">
        <v>11092</v>
      </c>
      <c r="AU1212" s="15" t="s">
        <v>11093</v>
      </c>
      <c r="AV1212" s="15" t="s">
        <v>11093</v>
      </c>
      <c r="AW1212" s="15" t="s">
        <v>11094</v>
      </c>
      <c r="AX1212" s="15" t="s">
        <v>11095</v>
      </c>
      <c r="AY1212" s="15">
        <f t="shared" si="23"/>
        <v>54</v>
      </c>
      <c r="AZ1212" s="15" t="s">
        <v>1781</v>
      </c>
      <c r="BA1212" s="15" t="s">
        <v>174</v>
      </c>
      <c r="BB1212" s="15" t="s">
        <v>11083</v>
      </c>
      <c r="BE1212" s="15" t="s">
        <v>11096</v>
      </c>
      <c r="BH1212" s="15" t="s">
        <v>11085</v>
      </c>
      <c r="BJ1212" s="15" t="s">
        <v>1530</v>
      </c>
      <c r="BN1212" s="15" t="s">
        <v>179</v>
      </c>
      <c r="BP1212" s="15" t="s">
        <v>138</v>
      </c>
      <c r="BS1212" s="15" t="s">
        <v>11097</v>
      </c>
      <c r="DH1212" s="15" t="s">
        <v>17982</v>
      </c>
      <c r="DI1212" s="15" t="s">
        <v>17982</v>
      </c>
    </row>
    <row r="1213" spans="1:113" s="15" customFormat="1" ht="12.75" x14ac:dyDescent="0.2">
      <c r="A1213" s="15" t="s">
        <v>109</v>
      </c>
      <c r="B1213" s="15" t="s">
        <v>110</v>
      </c>
      <c r="D1213" s="15" t="s">
        <v>620</v>
      </c>
      <c r="E1213" s="15" t="s">
        <v>112</v>
      </c>
      <c r="F1213" s="15" t="s">
        <v>620</v>
      </c>
      <c r="G1213" s="15" t="s">
        <v>113</v>
      </c>
      <c r="H1213" s="15" t="s">
        <v>1481</v>
      </c>
      <c r="J1213" s="16" t="s">
        <v>114</v>
      </c>
      <c r="U1213" s="15" t="s">
        <v>17977</v>
      </c>
      <c r="W1213" s="15">
        <v>2192</v>
      </c>
      <c r="X1213" s="15">
        <v>1223</v>
      </c>
      <c r="Y1213" s="15" t="s">
        <v>160</v>
      </c>
      <c r="Z1213" s="15" t="s">
        <v>161</v>
      </c>
      <c r="AA1213" s="15" t="s">
        <v>162</v>
      </c>
      <c r="AB1213" s="15" t="s">
        <v>11098</v>
      </c>
      <c r="AC1213" s="15" t="s">
        <v>11098</v>
      </c>
      <c r="AD1213" s="15" t="s">
        <v>11099</v>
      </c>
      <c r="AE1213" s="15" t="s">
        <v>164</v>
      </c>
      <c r="AF1213" s="15" t="s">
        <v>11099</v>
      </c>
      <c r="AG1213" s="15" t="s">
        <v>11098</v>
      </c>
      <c r="AH1213" s="34" t="s">
        <v>11100</v>
      </c>
      <c r="AL1213" s="15" t="s">
        <v>11101</v>
      </c>
      <c r="AN1213" s="15">
        <v>743</v>
      </c>
      <c r="AO1213" s="15" t="s">
        <v>11102</v>
      </c>
      <c r="AQ1213" s="15" t="s">
        <v>1776</v>
      </c>
      <c r="AT1213" s="15" t="s">
        <v>11103</v>
      </c>
      <c r="AU1213" s="15" t="s">
        <v>11104</v>
      </c>
      <c r="AV1213" s="15" t="s">
        <v>11104</v>
      </c>
      <c r="AW1213" s="15" t="s">
        <v>11105</v>
      </c>
      <c r="AX1213" s="15" t="s">
        <v>11106</v>
      </c>
      <c r="AY1213" s="15">
        <f t="shared" si="23"/>
        <v>54</v>
      </c>
      <c r="AZ1213" s="15" t="s">
        <v>1781</v>
      </c>
      <c r="BA1213" s="15" t="s">
        <v>174</v>
      </c>
      <c r="BB1213" s="15" t="s">
        <v>11083</v>
      </c>
      <c r="BE1213" s="15" t="s">
        <v>11107</v>
      </c>
      <c r="BH1213" s="15" t="s">
        <v>11085</v>
      </c>
      <c r="BJ1213" s="15" t="s">
        <v>1530</v>
      </c>
      <c r="BN1213" s="15" t="s">
        <v>179</v>
      </c>
      <c r="BP1213" s="15" t="s">
        <v>138</v>
      </c>
      <c r="BS1213" s="15" t="s">
        <v>11108</v>
      </c>
      <c r="DH1213" s="15" t="s">
        <v>17982</v>
      </c>
      <c r="DI1213" s="15" t="s">
        <v>17982</v>
      </c>
    </row>
    <row r="1214" spans="1:113" s="15" customFormat="1" ht="12.75" x14ac:dyDescent="0.2">
      <c r="A1214" s="15" t="s">
        <v>109</v>
      </c>
      <c r="B1214" s="15" t="s">
        <v>110</v>
      </c>
      <c r="D1214" s="15" t="s">
        <v>620</v>
      </c>
      <c r="E1214" s="15" t="s">
        <v>112</v>
      </c>
      <c r="F1214" s="15" t="s">
        <v>620</v>
      </c>
      <c r="G1214" s="15" t="s">
        <v>113</v>
      </c>
      <c r="H1214" s="15" t="s">
        <v>1481</v>
      </c>
      <c r="J1214" s="16" t="s">
        <v>114</v>
      </c>
      <c r="U1214" s="15" t="s">
        <v>17977</v>
      </c>
      <c r="W1214" s="15">
        <v>2501</v>
      </c>
      <c r="X1214" s="15">
        <v>1224</v>
      </c>
      <c r="Y1214" s="15" t="s">
        <v>160</v>
      </c>
      <c r="Z1214" s="15" t="s">
        <v>161</v>
      </c>
      <c r="AA1214" s="15" t="s">
        <v>162</v>
      </c>
      <c r="AB1214" s="15" t="s">
        <v>12248</v>
      </c>
      <c r="AC1214" s="15" t="s">
        <v>12248</v>
      </c>
      <c r="AD1214" s="15" t="s">
        <v>12248</v>
      </c>
      <c r="AE1214" s="15" t="s">
        <v>164</v>
      </c>
      <c r="AF1214" s="15" t="s">
        <v>12248</v>
      </c>
      <c r="AG1214" s="15" t="s">
        <v>12248</v>
      </c>
      <c r="AH1214" s="34" t="s">
        <v>12249</v>
      </c>
      <c r="AL1214" s="15" t="s">
        <v>12250</v>
      </c>
      <c r="AN1214" s="15">
        <v>743</v>
      </c>
      <c r="AO1214" s="15" t="s">
        <v>12251</v>
      </c>
      <c r="AQ1214" s="15" t="s">
        <v>12252</v>
      </c>
      <c r="AT1214" s="15" t="s">
        <v>12253</v>
      </c>
      <c r="AU1214" s="15" t="s">
        <v>12254</v>
      </c>
      <c r="AV1214" s="15" t="s">
        <v>12254</v>
      </c>
      <c r="AW1214" s="15" t="s">
        <v>12255</v>
      </c>
      <c r="AX1214" s="15" t="s">
        <v>12256</v>
      </c>
      <c r="AY1214" s="15">
        <f t="shared" si="23"/>
        <v>60</v>
      </c>
      <c r="AZ1214" s="15" t="s">
        <v>12257</v>
      </c>
      <c r="BA1214" s="15" t="s">
        <v>483</v>
      </c>
      <c r="BB1214" s="15" t="s">
        <v>12224</v>
      </c>
      <c r="BE1214" s="15" t="s">
        <v>8970</v>
      </c>
      <c r="BF1214" s="15" t="s">
        <v>10352</v>
      </c>
      <c r="BJ1214" s="15" t="s">
        <v>12258</v>
      </c>
      <c r="BN1214" s="15" t="s">
        <v>179</v>
      </c>
      <c r="BP1214" s="15" t="s">
        <v>138</v>
      </c>
      <c r="BS1214" s="15" t="s">
        <v>12259</v>
      </c>
      <c r="DH1214" s="15" t="s">
        <v>17982</v>
      </c>
      <c r="DI1214" s="15" t="s">
        <v>17982</v>
      </c>
    </row>
    <row r="1215" spans="1:113" s="15" customFormat="1" ht="12.75" x14ac:dyDescent="0.2">
      <c r="A1215" s="15" t="s">
        <v>109</v>
      </c>
      <c r="B1215" s="15" t="s">
        <v>110</v>
      </c>
      <c r="D1215" s="15" t="s">
        <v>620</v>
      </c>
      <c r="E1215" s="15" t="s">
        <v>112</v>
      </c>
      <c r="F1215" s="15" t="s">
        <v>620</v>
      </c>
      <c r="G1215" s="15" t="s">
        <v>113</v>
      </c>
      <c r="H1215" s="15" t="s">
        <v>1481</v>
      </c>
      <c r="J1215" s="16" t="s">
        <v>114</v>
      </c>
      <c r="U1215" s="15" t="s">
        <v>17977</v>
      </c>
      <c r="W1215" s="15">
        <v>69</v>
      </c>
      <c r="X1215" s="15">
        <v>1225</v>
      </c>
      <c r="Y1215" s="15" t="s">
        <v>160</v>
      </c>
      <c r="Z1215" s="15" t="s">
        <v>161</v>
      </c>
      <c r="AA1215" s="15" t="s">
        <v>162</v>
      </c>
      <c r="AB1215" s="15" t="s">
        <v>597</v>
      </c>
      <c r="AC1215" s="15" t="s">
        <v>597</v>
      </c>
      <c r="AD1215" s="15" t="s">
        <v>597</v>
      </c>
      <c r="AE1215" s="15" t="s">
        <v>164</v>
      </c>
      <c r="AF1215" s="15" t="s">
        <v>597</v>
      </c>
      <c r="AG1215" s="15" t="s">
        <v>597</v>
      </c>
      <c r="AH1215" s="34" t="s">
        <v>598</v>
      </c>
      <c r="AL1215" s="15" t="s">
        <v>599</v>
      </c>
      <c r="AN1215" s="15">
        <v>743</v>
      </c>
      <c r="AO1215" s="15" t="s">
        <v>600</v>
      </c>
      <c r="AQ1215" s="15" t="s">
        <v>168</v>
      </c>
      <c r="AT1215" s="15" t="s">
        <v>601</v>
      </c>
      <c r="AU1215" s="15" t="s">
        <v>602</v>
      </c>
      <c r="AV1215" s="15" t="s">
        <v>602</v>
      </c>
      <c r="AW1215" s="15" t="s">
        <v>603</v>
      </c>
      <c r="AX1215" s="15" t="s">
        <v>603</v>
      </c>
      <c r="AY1215" s="15">
        <f t="shared" si="23"/>
        <v>55</v>
      </c>
      <c r="AZ1215" s="15" t="s">
        <v>604</v>
      </c>
      <c r="BA1215" s="15" t="s">
        <v>174</v>
      </c>
      <c r="BB1215" s="15" t="s">
        <v>605</v>
      </c>
      <c r="BE1215" s="15" t="s">
        <v>606</v>
      </c>
      <c r="BJ1215" s="15" t="s">
        <v>607</v>
      </c>
      <c r="BN1215" s="15" t="s">
        <v>179</v>
      </c>
      <c r="BP1215" s="15" t="s">
        <v>138</v>
      </c>
      <c r="BS1215" s="15" t="s">
        <v>608</v>
      </c>
      <c r="DH1215" s="15" t="s">
        <v>17982</v>
      </c>
      <c r="DI1215" s="15" t="s">
        <v>17982</v>
      </c>
    </row>
    <row r="1216" spans="1:113" s="15" customFormat="1" ht="12.75" x14ac:dyDescent="0.2">
      <c r="A1216" s="15" t="s">
        <v>109</v>
      </c>
      <c r="B1216" s="15" t="s">
        <v>110</v>
      </c>
      <c r="D1216" s="15" t="s">
        <v>620</v>
      </c>
      <c r="E1216" s="15" t="s">
        <v>112</v>
      </c>
      <c r="F1216" s="15" t="s">
        <v>620</v>
      </c>
      <c r="G1216" s="15" t="s">
        <v>113</v>
      </c>
      <c r="H1216" s="15" t="s">
        <v>1481</v>
      </c>
      <c r="J1216" s="16" t="s">
        <v>114</v>
      </c>
      <c r="U1216" s="15" t="s">
        <v>17977</v>
      </c>
      <c r="W1216" s="15">
        <v>2015</v>
      </c>
      <c r="X1216" s="15">
        <v>1226</v>
      </c>
      <c r="Y1216" s="15" t="s">
        <v>160</v>
      </c>
      <c r="Z1216" s="15" t="s">
        <v>161</v>
      </c>
      <c r="AA1216" s="15" t="s">
        <v>162</v>
      </c>
      <c r="AB1216" s="15" t="s">
        <v>10293</v>
      </c>
      <c r="AC1216" s="15" t="s">
        <v>10293</v>
      </c>
      <c r="AD1216" s="15" t="s">
        <v>10293</v>
      </c>
      <c r="AE1216" s="15" t="s">
        <v>164</v>
      </c>
      <c r="AF1216" s="15" t="s">
        <v>10293</v>
      </c>
      <c r="AG1216" s="15" t="s">
        <v>10293</v>
      </c>
      <c r="AH1216" s="34" t="s">
        <v>10294</v>
      </c>
      <c r="AL1216" s="15" t="s">
        <v>10295</v>
      </c>
      <c r="AN1216" s="15">
        <v>743</v>
      </c>
      <c r="AO1216" s="15" t="s">
        <v>10296</v>
      </c>
      <c r="AQ1216" s="15" t="s">
        <v>168</v>
      </c>
      <c r="AT1216" s="15" t="s">
        <v>10297</v>
      </c>
      <c r="AU1216" s="15" t="s">
        <v>10298</v>
      </c>
      <c r="AV1216" s="15" t="s">
        <v>10298</v>
      </c>
      <c r="AW1216" s="15" t="s">
        <v>10299</v>
      </c>
      <c r="AX1216" s="15" t="s">
        <v>10300</v>
      </c>
      <c r="AY1216" s="15">
        <f t="shared" si="23"/>
        <v>55</v>
      </c>
      <c r="AZ1216" s="15" t="s">
        <v>173</v>
      </c>
      <c r="BA1216" s="15" t="s">
        <v>174</v>
      </c>
      <c r="BB1216" s="15" t="s">
        <v>10301</v>
      </c>
      <c r="BE1216" s="15" t="s">
        <v>5789</v>
      </c>
      <c r="BJ1216" s="15" t="s">
        <v>10302</v>
      </c>
      <c r="BK1216" s="15" t="s">
        <v>487</v>
      </c>
      <c r="BN1216" s="15" t="s">
        <v>179</v>
      </c>
      <c r="BP1216" s="15" t="s">
        <v>138</v>
      </c>
      <c r="BS1216" s="15" t="s">
        <v>10303</v>
      </c>
      <c r="DH1216" s="15" t="s">
        <v>17982</v>
      </c>
      <c r="DI1216" s="15" t="s">
        <v>17982</v>
      </c>
    </row>
    <row r="1217" spans="1:113" s="15" customFormat="1" ht="12.75" x14ac:dyDescent="0.2">
      <c r="A1217" s="15" t="s">
        <v>109</v>
      </c>
      <c r="B1217" s="15" t="s">
        <v>110</v>
      </c>
      <c r="D1217" s="15" t="s">
        <v>620</v>
      </c>
      <c r="E1217" s="15" t="s">
        <v>112</v>
      </c>
      <c r="F1217" s="15" t="s">
        <v>620</v>
      </c>
      <c r="G1217" s="15" t="s">
        <v>113</v>
      </c>
      <c r="H1217" s="15" t="s">
        <v>1481</v>
      </c>
      <c r="J1217" s="16" t="s">
        <v>114</v>
      </c>
      <c r="U1217" s="15" t="s">
        <v>17977</v>
      </c>
      <c r="W1217" s="15">
        <v>2821</v>
      </c>
      <c r="X1217" s="15">
        <v>1227</v>
      </c>
      <c r="Y1217" s="15" t="s">
        <v>160</v>
      </c>
      <c r="Z1217" s="15" t="s">
        <v>161</v>
      </c>
      <c r="AA1217" s="15" t="s">
        <v>162</v>
      </c>
      <c r="AB1217" s="15" t="s">
        <v>13706</v>
      </c>
      <c r="AC1217" s="15" t="s">
        <v>13706</v>
      </c>
      <c r="AD1217" s="15" t="s">
        <v>13706</v>
      </c>
      <c r="AE1217" s="15" t="s">
        <v>164</v>
      </c>
      <c r="AF1217" s="15" t="s">
        <v>13706</v>
      </c>
      <c r="AG1217" s="15" t="s">
        <v>13706</v>
      </c>
      <c r="AH1217" s="34" t="s">
        <v>13707</v>
      </c>
      <c r="AL1217" s="15" t="s">
        <v>13708</v>
      </c>
      <c r="AN1217" s="15">
        <v>743</v>
      </c>
      <c r="AO1217" s="15" t="s">
        <v>13709</v>
      </c>
      <c r="AQ1217" s="15" t="s">
        <v>168</v>
      </c>
      <c r="AT1217" s="15" t="s">
        <v>13710</v>
      </c>
      <c r="AU1217" s="15" t="s">
        <v>13711</v>
      </c>
      <c r="AV1217" s="15" t="s">
        <v>13711</v>
      </c>
      <c r="AW1217" s="15" t="s">
        <v>13712</v>
      </c>
      <c r="AX1217" s="15" t="s">
        <v>13712</v>
      </c>
      <c r="AY1217" s="15">
        <f t="shared" si="23"/>
        <v>45</v>
      </c>
      <c r="AZ1217" s="15" t="s">
        <v>173</v>
      </c>
      <c r="BA1217" s="15" t="s">
        <v>174</v>
      </c>
      <c r="BB1217" s="15" t="s">
        <v>13713</v>
      </c>
      <c r="BE1217" s="15" t="s">
        <v>1915</v>
      </c>
      <c r="BJ1217" s="15" t="s">
        <v>11810</v>
      </c>
      <c r="BN1217" s="15" t="s">
        <v>179</v>
      </c>
      <c r="BP1217" s="15" t="s">
        <v>138</v>
      </c>
      <c r="BS1217" s="15" t="s">
        <v>13714</v>
      </c>
      <c r="DH1217" s="15" t="s">
        <v>17982</v>
      </c>
      <c r="DI1217" s="15" t="s">
        <v>17982</v>
      </c>
    </row>
    <row r="1218" spans="1:113" s="15" customFormat="1" ht="12.75" x14ac:dyDescent="0.2">
      <c r="A1218" s="15" t="s">
        <v>109</v>
      </c>
      <c r="B1218" s="15" t="s">
        <v>110</v>
      </c>
      <c r="D1218" s="15" t="s">
        <v>620</v>
      </c>
      <c r="E1218" s="15" t="s">
        <v>112</v>
      </c>
      <c r="F1218" s="15" t="s">
        <v>620</v>
      </c>
      <c r="G1218" s="15" t="s">
        <v>113</v>
      </c>
      <c r="H1218" s="15" t="s">
        <v>1481</v>
      </c>
      <c r="J1218" s="16" t="s">
        <v>114</v>
      </c>
      <c r="U1218" s="15" t="s">
        <v>17977</v>
      </c>
      <c r="W1218" s="15">
        <v>2398</v>
      </c>
      <c r="X1218" s="15">
        <v>1228</v>
      </c>
      <c r="Y1218" s="15" t="s">
        <v>160</v>
      </c>
      <c r="Z1218" s="15" t="s">
        <v>161</v>
      </c>
      <c r="AA1218" s="15" t="s">
        <v>162</v>
      </c>
      <c r="AB1218" s="15" t="s">
        <v>11802</v>
      </c>
      <c r="AC1218" s="15" t="s">
        <v>11802</v>
      </c>
      <c r="AD1218" s="15" t="s">
        <v>11802</v>
      </c>
      <c r="AE1218" s="15" t="s">
        <v>164</v>
      </c>
      <c r="AF1218" s="15" t="s">
        <v>11802</v>
      </c>
      <c r="AG1218" s="15" t="s">
        <v>11802</v>
      </c>
      <c r="AH1218" s="34" t="s">
        <v>11803</v>
      </c>
      <c r="AL1218" s="15" t="s">
        <v>11804</v>
      </c>
      <c r="AN1218" s="15">
        <v>743</v>
      </c>
      <c r="AO1218" s="15" t="s">
        <v>11805</v>
      </c>
      <c r="AQ1218" s="15" t="s">
        <v>168</v>
      </c>
      <c r="AT1218" s="15" t="s">
        <v>11806</v>
      </c>
      <c r="AU1218" s="15" t="s">
        <v>11807</v>
      </c>
      <c r="AV1218" s="15" t="s">
        <v>11807</v>
      </c>
      <c r="AW1218" s="15" t="s">
        <v>11808</v>
      </c>
      <c r="AX1218" s="15" t="s">
        <v>11809</v>
      </c>
      <c r="AY1218" s="15">
        <f t="shared" si="23"/>
        <v>60</v>
      </c>
      <c r="AZ1218" s="15" t="s">
        <v>173</v>
      </c>
      <c r="BA1218" s="15" t="s">
        <v>174</v>
      </c>
      <c r="BB1218" s="15" t="s">
        <v>11810</v>
      </c>
      <c r="BE1218" s="15" t="s">
        <v>1095</v>
      </c>
      <c r="BF1218" s="19" t="s">
        <v>5769</v>
      </c>
      <c r="BJ1218" s="15" t="s">
        <v>11811</v>
      </c>
      <c r="BN1218" s="15" t="s">
        <v>179</v>
      </c>
      <c r="BP1218" s="15" t="s">
        <v>138</v>
      </c>
      <c r="BS1218" s="15" t="s">
        <v>11812</v>
      </c>
      <c r="DH1218" s="15" t="s">
        <v>17982</v>
      </c>
      <c r="DI1218" s="15" t="s">
        <v>17982</v>
      </c>
    </row>
    <row r="1219" spans="1:113" s="15" customFormat="1" ht="12.75" x14ac:dyDescent="0.2">
      <c r="A1219" s="15" t="s">
        <v>109</v>
      </c>
      <c r="B1219" s="15" t="s">
        <v>110</v>
      </c>
      <c r="D1219" s="15" t="s">
        <v>620</v>
      </c>
      <c r="E1219" s="15" t="s">
        <v>112</v>
      </c>
      <c r="F1219" s="15" t="s">
        <v>620</v>
      </c>
      <c r="G1219" s="15" t="s">
        <v>113</v>
      </c>
      <c r="H1219" s="15" t="s">
        <v>1481</v>
      </c>
      <c r="J1219" s="16" t="s">
        <v>114</v>
      </c>
      <c r="U1219" s="15" t="s">
        <v>17977</v>
      </c>
      <c r="W1219" s="15">
        <v>2923</v>
      </c>
      <c r="X1219" s="15">
        <v>1229</v>
      </c>
      <c r="Y1219" s="15" t="s">
        <v>160</v>
      </c>
      <c r="Z1219" s="15" t="s">
        <v>161</v>
      </c>
      <c r="AA1219" s="15" t="s">
        <v>162</v>
      </c>
      <c r="AB1219" s="15" t="s">
        <v>14292</v>
      </c>
      <c r="AC1219" s="15" t="s">
        <v>14292</v>
      </c>
      <c r="AD1219" s="15" t="s">
        <v>14292</v>
      </c>
      <c r="AE1219" s="15" t="s">
        <v>164</v>
      </c>
      <c r="AF1219" s="15" t="s">
        <v>14292</v>
      </c>
      <c r="AG1219" s="15" t="s">
        <v>14292</v>
      </c>
      <c r="AH1219" s="34" t="s">
        <v>14293</v>
      </c>
      <c r="AL1219" s="15" t="s">
        <v>14294</v>
      </c>
      <c r="AN1219" s="15">
        <v>743</v>
      </c>
      <c r="AO1219" s="15" t="s">
        <v>14295</v>
      </c>
      <c r="AQ1219" s="15" t="s">
        <v>3598</v>
      </c>
      <c r="AT1219" s="15" t="s">
        <v>14296</v>
      </c>
      <c r="AU1219" s="15" t="s">
        <v>14297</v>
      </c>
      <c r="AV1219" s="15" t="s">
        <v>14297</v>
      </c>
      <c r="AW1219" s="15" t="s">
        <v>14298</v>
      </c>
      <c r="AX1219" s="15" t="s">
        <v>14299</v>
      </c>
      <c r="AY1219" s="15">
        <f t="shared" si="23"/>
        <v>57</v>
      </c>
      <c r="AZ1219" s="15" t="s">
        <v>3603</v>
      </c>
      <c r="BA1219" s="15" t="s">
        <v>214</v>
      </c>
      <c r="BB1219" s="15" t="s">
        <v>14300</v>
      </c>
      <c r="BC1219" s="15" t="s">
        <v>646</v>
      </c>
      <c r="BE1219" s="15" t="s">
        <v>1754</v>
      </c>
      <c r="BJ1219" s="15" t="s">
        <v>14301</v>
      </c>
      <c r="BN1219" s="15" t="s">
        <v>179</v>
      </c>
      <c r="BP1219" s="15" t="s">
        <v>138</v>
      </c>
      <c r="BS1219" s="15" t="s">
        <v>14302</v>
      </c>
      <c r="DH1219" s="15" t="s">
        <v>17982</v>
      </c>
      <c r="DI1219" s="15" t="s">
        <v>17982</v>
      </c>
    </row>
    <row r="1220" spans="1:113" s="15" customFormat="1" ht="12.75" x14ac:dyDescent="0.2">
      <c r="A1220" s="15" t="s">
        <v>109</v>
      </c>
      <c r="B1220" s="15" t="s">
        <v>110</v>
      </c>
      <c r="D1220" s="15" t="s">
        <v>620</v>
      </c>
      <c r="E1220" s="15" t="s">
        <v>112</v>
      </c>
      <c r="F1220" s="15" t="s">
        <v>620</v>
      </c>
      <c r="G1220" s="15" t="s">
        <v>113</v>
      </c>
      <c r="H1220" s="15" t="s">
        <v>1481</v>
      </c>
      <c r="J1220" s="16" t="s">
        <v>114</v>
      </c>
      <c r="U1220" s="15" t="s">
        <v>17977</v>
      </c>
      <c r="W1220" s="15">
        <v>2133</v>
      </c>
      <c r="X1220" s="15">
        <v>1230</v>
      </c>
      <c r="Y1220" s="15" t="s">
        <v>160</v>
      </c>
      <c r="Z1220" s="15" t="s">
        <v>161</v>
      </c>
      <c r="AA1220" s="15" t="s">
        <v>162</v>
      </c>
      <c r="AB1220" s="15" t="s">
        <v>10915</v>
      </c>
      <c r="AC1220" s="15" t="s">
        <v>10915</v>
      </c>
      <c r="AD1220" s="15" t="s">
        <v>10915</v>
      </c>
      <c r="AE1220" s="15" t="s">
        <v>164</v>
      </c>
      <c r="AF1220" s="15" t="s">
        <v>10915</v>
      </c>
      <c r="AG1220" s="15" t="s">
        <v>10915</v>
      </c>
      <c r="AH1220" s="34" t="s">
        <v>10916</v>
      </c>
      <c r="AL1220" s="15" t="s">
        <v>10917</v>
      </c>
      <c r="AN1220" s="15">
        <v>743</v>
      </c>
      <c r="AO1220" s="15" t="s">
        <v>10918</v>
      </c>
      <c r="AQ1220" s="15" t="s">
        <v>912</v>
      </c>
      <c r="AT1220" s="15" t="s">
        <v>10919</v>
      </c>
      <c r="AU1220" s="15" t="s">
        <v>10920</v>
      </c>
      <c r="AV1220" s="15" t="s">
        <v>10920</v>
      </c>
      <c r="AW1220" s="15" t="s">
        <v>10921</v>
      </c>
      <c r="AX1220" s="15" t="s">
        <v>10922</v>
      </c>
      <c r="AY1220" s="15">
        <f t="shared" si="23"/>
        <v>54</v>
      </c>
      <c r="AZ1220" s="15" t="s">
        <v>917</v>
      </c>
      <c r="BA1220" s="15" t="s">
        <v>174</v>
      </c>
      <c r="BB1220" s="15" t="s">
        <v>10923</v>
      </c>
      <c r="BE1220" s="15" t="s">
        <v>4865</v>
      </c>
      <c r="BF1220" s="15" t="s">
        <v>10924</v>
      </c>
      <c r="BI1220" s="15" t="s">
        <v>10925</v>
      </c>
      <c r="BJ1220" s="15" t="s">
        <v>10926</v>
      </c>
      <c r="BN1220" s="15" t="s">
        <v>179</v>
      </c>
      <c r="BP1220" s="15" t="s">
        <v>138</v>
      </c>
      <c r="BS1220" s="15" t="s">
        <v>10927</v>
      </c>
      <c r="DH1220" s="15" t="s">
        <v>17982</v>
      </c>
      <c r="DI1220" s="15" t="s">
        <v>17982</v>
      </c>
    </row>
    <row r="1221" spans="1:113" s="15" customFormat="1" ht="12.75" x14ac:dyDescent="0.2">
      <c r="A1221" s="15" t="s">
        <v>109</v>
      </c>
      <c r="B1221" s="15" t="s">
        <v>110</v>
      </c>
      <c r="D1221" s="15" t="s">
        <v>620</v>
      </c>
      <c r="E1221" s="15" t="s">
        <v>112</v>
      </c>
      <c r="F1221" s="15" t="s">
        <v>620</v>
      </c>
      <c r="G1221" s="15" t="s">
        <v>113</v>
      </c>
      <c r="H1221" s="15" t="s">
        <v>1481</v>
      </c>
      <c r="J1221" s="16" t="s">
        <v>114</v>
      </c>
      <c r="U1221" s="15" t="s">
        <v>17977</v>
      </c>
      <c r="W1221" s="15">
        <v>3650</v>
      </c>
      <c r="X1221" s="15">
        <v>1231</v>
      </c>
      <c r="Y1221" s="15" t="s">
        <v>160</v>
      </c>
      <c r="Z1221" s="15" t="s">
        <v>161</v>
      </c>
      <c r="AA1221" s="15" t="s">
        <v>162</v>
      </c>
      <c r="AB1221" s="15" t="s">
        <v>17650</v>
      </c>
      <c r="AC1221" s="15" t="s">
        <v>17650</v>
      </c>
      <c r="AD1221" s="15" t="s">
        <v>17650</v>
      </c>
      <c r="AE1221" s="15" t="s">
        <v>164</v>
      </c>
      <c r="AF1221" s="15" t="s">
        <v>17650</v>
      </c>
      <c r="AG1221" s="15" t="s">
        <v>17650</v>
      </c>
      <c r="AH1221" s="34" t="s">
        <v>17651</v>
      </c>
      <c r="AL1221" s="15" t="s">
        <v>17652</v>
      </c>
      <c r="AN1221" s="15">
        <v>743</v>
      </c>
      <c r="AO1221" s="15" t="s">
        <v>17653</v>
      </c>
      <c r="AQ1221" s="15" t="s">
        <v>912</v>
      </c>
      <c r="AT1221" s="15" t="s">
        <v>17654</v>
      </c>
      <c r="AU1221" s="15" t="s">
        <v>17655</v>
      </c>
      <c r="AV1221" s="15" t="s">
        <v>17655</v>
      </c>
      <c r="AW1221" s="15" t="s">
        <v>17656</v>
      </c>
      <c r="AX1221" s="15" t="s">
        <v>17656</v>
      </c>
      <c r="AY1221" s="15">
        <f t="shared" si="23"/>
        <v>52</v>
      </c>
      <c r="AZ1221" s="15" t="s">
        <v>917</v>
      </c>
      <c r="BA1221" s="15" t="s">
        <v>174</v>
      </c>
      <c r="BB1221" s="15" t="s">
        <v>17647</v>
      </c>
      <c r="BC1221" s="15" t="s">
        <v>11590</v>
      </c>
      <c r="BE1221" s="15" t="s">
        <v>6645</v>
      </c>
      <c r="BF1221" s="15" t="s">
        <v>11141</v>
      </c>
      <c r="BN1221" s="15" t="s">
        <v>179</v>
      </c>
      <c r="BP1221" s="15" t="s">
        <v>138</v>
      </c>
      <c r="BS1221" s="15" t="s">
        <v>17657</v>
      </c>
      <c r="DH1221" s="15" t="s">
        <v>17982</v>
      </c>
      <c r="DI1221" s="15" t="s">
        <v>17982</v>
      </c>
    </row>
    <row r="1222" spans="1:113" s="15" customFormat="1" ht="12.75" x14ac:dyDescent="0.2">
      <c r="A1222" s="15" t="s">
        <v>109</v>
      </c>
      <c r="B1222" s="15" t="s">
        <v>110</v>
      </c>
      <c r="D1222" s="15" t="s">
        <v>620</v>
      </c>
      <c r="E1222" s="15" t="s">
        <v>112</v>
      </c>
      <c r="F1222" s="15" t="s">
        <v>620</v>
      </c>
      <c r="G1222" s="15" t="s">
        <v>113</v>
      </c>
      <c r="H1222" s="15" t="s">
        <v>1481</v>
      </c>
      <c r="J1222" s="16" t="s">
        <v>114</v>
      </c>
      <c r="U1222" s="15" t="s">
        <v>17977</v>
      </c>
      <c r="W1222" s="15">
        <v>3649</v>
      </c>
      <c r="X1222" s="15">
        <v>1232</v>
      </c>
      <c r="Y1222" s="15" t="s">
        <v>160</v>
      </c>
      <c r="Z1222" s="15" t="s">
        <v>161</v>
      </c>
      <c r="AA1222" s="15" t="s">
        <v>162</v>
      </c>
      <c r="AB1222" s="15" t="s">
        <v>17640</v>
      </c>
      <c r="AC1222" s="15" t="s">
        <v>17640</v>
      </c>
      <c r="AD1222" s="15" t="s">
        <v>17640</v>
      </c>
      <c r="AE1222" s="15" t="s">
        <v>164</v>
      </c>
      <c r="AF1222" s="15" t="s">
        <v>17640</v>
      </c>
      <c r="AG1222" s="15" t="s">
        <v>17640</v>
      </c>
      <c r="AH1222" s="34" t="s">
        <v>17641</v>
      </c>
      <c r="AL1222" s="15" t="s">
        <v>17642</v>
      </c>
      <c r="AN1222" s="15">
        <v>743</v>
      </c>
      <c r="AO1222" s="15" t="s">
        <v>17643</v>
      </c>
      <c r="AQ1222" s="15" t="s">
        <v>912</v>
      </c>
      <c r="AT1222" s="15" t="s">
        <v>17644</v>
      </c>
      <c r="AU1222" s="15" t="s">
        <v>17645</v>
      </c>
      <c r="AV1222" s="15" t="s">
        <v>17645</v>
      </c>
      <c r="AW1222" s="15" t="s">
        <v>17646</v>
      </c>
      <c r="AX1222" s="15" t="s">
        <v>17646</v>
      </c>
      <c r="AY1222" s="15">
        <f t="shared" ref="AY1222:AY1246" si="24">LEN(SUBSTITUTE(AX1222, ", "," "))</f>
        <v>51</v>
      </c>
      <c r="AZ1222" s="15" t="s">
        <v>917</v>
      </c>
      <c r="BA1222" s="15" t="s">
        <v>174</v>
      </c>
      <c r="BB1222" s="15" t="s">
        <v>17647</v>
      </c>
      <c r="BC1222" s="15" t="s">
        <v>379</v>
      </c>
      <c r="BE1222" s="15" t="s">
        <v>2041</v>
      </c>
      <c r="BF1222" s="15" t="s">
        <v>17648</v>
      </c>
      <c r="BN1222" s="15" t="s">
        <v>179</v>
      </c>
      <c r="BP1222" s="15" t="s">
        <v>138</v>
      </c>
      <c r="BS1222" s="15" t="s">
        <v>17649</v>
      </c>
      <c r="DH1222" s="15" t="s">
        <v>17982</v>
      </c>
      <c r="DI1222" s="15" t="s">
        <v>17982</v>
      </c>
    </row>
    <row r="1223" spans="1:113" s="15" customFormat="1" ht="12.75" x14ac:dyDescent="0.2">
      <c r="A1223" s="15" t="s">
        <v>109</v>
      </c>
      <c r="B1223" s="15" t="s">
        <v>110</v>
      </c>
      <c r="D1223" s="15" t="s">
        <v>620</v>
      </c>
      <c r="E1223" s="15" t="s">
        <v>112</v>
      </c>
      <c r="F1223" s="15" t="s">
        <v>620</v>
      </c>
      <c r="G1223" s="15" t="s">
        <v>113</v>
      </c>
      <c r="H1223" s="15" t="s">
        <v>1481</v>
      </c>
      <c r="J1223" s="16" t="s">
        <v>114</v>
      </c>
      <c r="U1223" s="15" t="s">
        <v>17977</v>
      </c>
      <c r="W1223" s="15">
        <v>3675</v>
      </c>
      <c r="X1223" s="15">
        <v>1233</v>
      </c>
      <c r="Y1223" s="15" t="s">
        <v>160</v>
      </c>
      <c r="Z1223" s="15" t="s">
        <v>161</v>
      </c>
      <c r="AA1223" s="15" t="s">
        <v>162</v>
      </c>
      <c r="AB1223" s="15" t="s">
        <v>17790</v>
      </c>
      <c r="AC1223" s="15" t="s">
        <v>17790</v>
      </c>
      <c r="AD1223" s="15" t="s">
        <v>17790</v>
      </c>
      <c r="AE1223" s="15" t="s">
        <v>164</v>
      </c>
      <c r="AF1223" s="15" t="s">
        <v>17790</v>
      </c>
      <c r="AG1223" s="15" t="s">
        <v>17790</v>
      </c>
      <c r="AH1223" s="34" t="s">
        <v>17791</v>
      </c>
      <c r="AL1223" s="15" t="s">
        <v>17792</v>
      </c>
      <c r="AN1223" s="15">
        <v>743</v>
      </c>
      <c r="AO1223" s="15" t="s">
        <v>17793</v>
      </c>
      <c r="AQ1223" s="15" t="s">
        <v>912</v>
      </c>
      <c r="AT1223" s="15" t="s">
        <v>17794</v>
      </c>
      <c r="AU1223" s="15" t="s">
        <v>17795</v>
      </c>
      <c r="AV1223" s="15" t="s">
        <v>17795</v>
      </c>
      <c r="AW1223" s="15" t="s">
        <v>17796</v>
      </c>
      <c r="AX1223" s="15" t="s">
        <v>17797</v>
      </c>
      <c r="AY1223" s="15">
        <f t="shared" si="24"/>
        <v>60</v>
      </c>
      <c r="AZ1223" s="15" t="s">
        <v>917</v>
      </c>
      <c r="BA1223" s="15" t="s">
        <v>174</v>
      </c>
      <c r="BB1223" s="15" t="s">
        <v>17774</v>
      </c>
      <c r="BE1223" s="15" t="s">
        <v>1597</v>
      </c>
      <c r="BF1223" s="15" t="s">
        <v>17798</v>
      </c>
      <c r="BI1223" s="15" t="s">
        <v>10279</v>
      </c>
      <c r="BJ1223" s="15" t="s">
        <v>17799</v>
      </c>
      <c r="BN1223" s="15" t="s">
        <v>179</v>
      </c>
      <c r="BP1223" s="15" t="s">
        <v>138</v>
      </c>
      <c r="BS1223" s="15" t="s">
        <v>17800</v>
      </c>
      <c r="DH1223" s="15" t="s">
        <v>17982</v>
      </c>
      <c r="DI1223" s="15" t="s">
        <v>17982</v>
      </c>
    </row>
    <row r="1224" spans="1:113" s="15" customFormat="1" ht="12.75" x14ac:dyDescent="0.2">
      <c r="A1224" s="15" t="s">
        <v>109</v>
      </c>
      <c r="B1224" s="15" t="s">
        <v>110</v>
      </c>
      <c r="D1224" s="15" t="s">
        <v>620</v>
      </c>
      <c r="E1224" s="15" t="s">
        <v>112</v>
      </c>
      <c r="F1224" s="15" t="s">
        <v>620</v>
      </c>
      <c r="G1224" s="15" t="s">
        <v>113</v>
      </c>
      <c r="H1224" s="15" t="s">
        <v>1481</v>
      </c>
      <c r="J1224" s="16" t="s">
        <v>114</v>
      </c>
      <c r="U1224" s="15" t="s">
        <v>17977</v>
      </c>
      <c r="W1224" s="15">
        <v>3673</v>
      </c>
      <c r="X1224" s="15">
        <v>1234</v>
      </c>
      <c r="Y1224" s="15" t="s">
        <v>160</v>
      </c>
      <c r="Z1224" s="15" t="s">
        <v>161</v>
      </c>
      <c r="AA1224" s="15" t="s">
        <v>162</v>
      </c>
      <c r="AB1224" s="15" t="s">
        <v>17766</v>
      </c>
      <c r="AC1224" s="15" t="s">
        <v>17766</v>
      </c>
      <c r="AD1224" s="15" t="s">
        <v>17766</v>
      </c>
      <c r="AE1224" s="15" t="s">
        <v>164</v>
      </c>
      <c r="AF1224" s="15" t="s">
        <v>17766</v>
      </c>
      <c r="AG1224" s="15" t="s">
        <v>17766</v>
      </c>
      <c r="AH1224" s="34" t="s">
        <v>17767</v>
      </c>
      <c r="AL1224" s="15" t="s">
        <v>17768</v>
      </c>
      <c r="AN1224" s="15">
        <v>743</v>
      </c>
      <c r="AO1224" s="15" t="s">
        <v>17769</v>
      </c>
      <c r="AQ1224" s="15" t="s">
        <v>912</v>
      </c>
      <c r="AT1224" s="15" t="s">
        <v>17770</v>
      </c>
      <c r="AU1224" s="15" t="s">
        <v>17771</v>
      </c>
      <c r="AV1224" s="15" t="s">
        <v>17771</v>
      </c>
      <c r="AW1224" s="15" t="s">
        <v>17772</v>
      </c>
      <c r="AX1224" s="15" t="s">
        <v>17773</v>
      </c>
      <c r="AY1224" s="15">
        <f t="shared" si="24"/>
        <v>59</v>
      </c>
      <c r="AZ1224" s="15" t="s">
        <v>917</v>
      </c>
      <c r="BA1224" s="15" t="s">
        <v>174</v>
      </c>
      <c r="BB1224" s="15" t="s">
        <v>17774</v>
      </c>
      <c r="BE1224" s="15" t="s">
        <v>2299</v>
      </c>
      <c r="BF1224" s="15" t="s">
        <v>17775</v>
      </c>
      <c r="BI1224" s="15" t="s">
        <v>8553</v>
      </c>
      <c r="BJ1224" s="15" t="s">
        <v>17776</v>
      </c>
      <c r="BN1224" s="15" t="s">
        <v>179</v>
      </c>
      <c r="BP1224" s="15" t="s">
        <v>138</v>
      </c>
      <c r="BS1224" s="15" t="s">
        <v>17777</v>
      </c>
      <c r="DH1224" s="15" t="s">
        <v>17982</v>
      </c>
      <c r="DI1224" s="15" t="s">
        <v>17982</v>
      </c>
    </row>
    <row r="1225" spans="1:113" s="15" customFormat="1" ht="12.75" x14ac:dyDescent="0.2">
      <c r="A1225" s="15" t="s">
        <v>109</v>
      </c>
      <c r="B1225" s="15" t="s">
        <v>110</v>
      </c>
      <c r="D1225" s="15" t="s">
        <v>620</v>
      </c>
      <c r="E1225" s="15" t="s">
        <v>112</v>
      </c>
      <c r="F1225" s="15" t="s">
        <v>620</v>
      </c>
      <c r="G1225" s="15" t="s">
        <v>113</v>
      </c>
      <c r="H1225" s="15" t="s">
        <v>1481</v>
      </c>
      <c r="J1225" s="16" t="s">
        <v>114</v>
      </c>
      <c r="U1225" s="15" t="s">
        <v>17977</v>
      </c>
      <c r="W1225" s="15">
        <v>3674</v>
      </c>
      <c r="X1225" s="15">
        <v>1235</v>
      </c>
      <c r="Y1225" s="15" t="s">
        <v>160</v>
      </c>
      <c r="Z1225" s="15" t="s">
        <v>161</v>
      </c>
      <c r="AA1225" s="15" t="s">
        <v>162</v>
      </c>
      <c r="AB1225" s="15" t="s">
        <v>17778</v>
      </c>
      <c r="AC1225" s="15" t="s">
        <v>17778</v>
      </c>
      <c r="AD1225" s="15" t="s">
        <v>17778</v>
      </c>
      <c r="AE1225" s="15" t="s">
        <v>164</v>
      </c>
      <c r="AF1225" s="15" t="s">
        <v>17778</v>
      </c>
      <c r="AG1225" s="15" t="s">
        <v>17778</v>
      </c>
      <c r="AH1225" s="34" t="s">
        <v>17779</v>
      </c>
      <c r="AL1225" s="15" t="s">
        <v>17780</v>
      </c>
      <c r="AN1225" s="15">
        <v>743</v>
      </c>
      <c r="AO1225" s="15" t="s">
        <v>17781</v>
      </c>
      <c r="AQ1225" s="15" t="s">
        <v>912</v>
      </c>
      <c r="AT1225" s="15" t="s">
        <v>17782</v>
      </c>
      <c r="AU1225" s="15" t="s">
        <v>17783</v>
      </c>
      <c r="AV1225" s="15" t="s">
        <v>17783</v>
      </c>
      <c r="AW1225" s="15" t="s">
        <v>17784</v>
      </c>
      <c r="AX1225" s="15" t="s">
        <v>17785</v>
      </c>
      <c r="AY1225" s="15">
        <f t="shared" si="24"/>
        <v>48</v>
      </c>
      <c r="AZ1225" s="15" t="s">
        <v>917</v>
      </c>
      <c r="BA1225" s="15" t="s">
        <v>174</v>
      </c>
      <c r="BB1225" s="15" t="s">
        <v>17786</v>
      </c>
      <c r="BE1225" s="15" t="s">
        <v>1317</v>
      </c>
      <c r="BF1225" s="15" t="s">
        <v>17787</v>
      </c>
      <c r="BJ1225" s="15" t="s">
        <v>17788</v>
      </c>
      <c r="BN1225" s="15" t="s">
        <v>179</v>
      </c>
      <c r="BP1225" s="15" t="s">
        <v>138</v>
      </c>
      <c r="BS1225" s="15" t="s">
        <v>17789</v>
      </c>
      <c r="DH1225" s="15" t="s">
        <v>17982</v>
      </c>
      <c r="DI1225" s="15" t="s">
        <v>17982</v>
      </c>
    </row>
    <row r="1226" spans="1:113" s="15" customFormat="1" ht="12.75" x14ac:dyDescent="0.2">
      <c r="A1226" s="15" t="s">
        <v>109</v>
      </c>
      <c r="B1226" s="15" t="s">
        <v>110</v>
      </c>
      <c r="D1226" s="15" t="s">
        <v>620</v>
      </c>
      <c r="E1226" s="15" t="s">
        <v>112</v>
      </c>
      <c r="F1226" s="15" t="s">
        <v>620</v>
      </c>
      <c r="G1226" s="15" t="s">
        <v>113</v>
      </c>
      <c r="H1226" s="15" t="s">
        <v>1481</v>
      </c>
      <c r="J1226" s="16" t="s">
        <v>114</v>
      </c>
      <c r="U1226" s="15" t="s">
        <v>17977</v>
      </c>
      <c r="W1226" s="15">
        <v>2096</v>
      </c>
      <c r="X1226" s="15">
        <v>1236</v>
      </c>
      <c r="Y1226" s="15" t="s">
        <v>160</v>
      </c>
      <c r="Z1226" s="15" t="s">
        <v>161</v>
      </c>
      <c r="AA1226" s="15" t="s">
        <v>162</v>
      </c>
      <c r="AB1226" s="15" t="s">
        <v>10751</v>
      </c>
      <c r="AC1226" s="15" t="s">
        <v>10751</v>
      </c>
      <c r="AD1226" s="15" t="s">
        <v>10751</v>
      </c>
      <c r="AE1226" s="15" t="s">
        <v>164</v>
      </c>
      <c r="AF1226" s="15" t="s">
        <v>10751</v>
      </c>
      <c r="AG1226" s="15" t="s">
        <v>10751</v>
      </c>
      <c r="AH1226" s="34" t="s">
        <v>10752</v>
      </c>
      <c r="AL1226" s="15" t="s">
        <v>10753</v>
      </c>
      <c r="AN1226" s="15">
        <v>743</v>
      </c>
      <c r="AO1226" s="15" t="s">
        <v>10754</v>
      </c>
      <c r="AQ1226" s="15" t="s">
        <v>10755</v>
      </c>
      <c r="AT1226" s="15" t="s">
        <v>10756</v>
      </c>
      <c r="AU1226" s="15" t="s">
        <v>10757</v>
      </c>
      <c r="AV1226" s="15" t="s">
        <v>10757</v>
      </c>
      <c r="AW1226" s="15" t="s">
        <v>10758</v>
      </c>
      <c r="AX1226" s="15" t="s">
        <v>10758</v>
      </c>
      <c r="AY1226" s="15">
        <f t="shared" si="24"/>
        <v>45</v>
      </c>
      <c r="AZ1226" s="15" t="s">
        <v>10759</v>
      </c>
      <c r="BA1226" s="15" t="s">
        <v>174</v>
      </c>
      <c r="BB1226" s="15" t="s">
        <v>10760</v>
      </c>
      <c r="BE1226" s="15" t="s">
        <v>10761</v>
      </c>
      <c r="BJ1226" s="15" t="s">
        <v>4919</v>
      </c>
      <c r="BN1226" s="15" t="s">
        <v>179</v>
      </c>
      <c r="BP1226" s="15" t="s">
        <v>138</v>
      </c>
      <c r="BS1226" s="15" t="s">
        <v>10762</v>
      </c>
      <c r="DH1226" s="15" t="s">
        <v>17982</v>
      </c>
      <c r="DI1226" s="15" t="s">
        <v>17982</v>
      </c>
    </row>
    <row r="1227" spans="1:113" s="15" customFormat="1" ht="12.75" x14ac:dyDescent="0.2">
      <c r="A1227" s="15" t="s">
        <v>109</v>
      </c>
      <c r="B1227" s="15" t="s">
        <v>110</v>
      </c>
      <c r="D1227" s="15" t="s">
        <v>620</v>
      </c>
      <c r="E1227" s="15" t="s">
        <v>112</v>
      </c>
      <c r="F1227" s="15" t="s">
        <v>620</v>
      </c>
      <c r="G1227" s="15" t="s">
        <v>113</v>
      </c>
      <c r="H1227" s="15" t="s">
        <v>1481</v>
      </c>
      <c r="J1227" s="16" t="s">
        <v>114</v>
      </c>
      <c r="U1227" s="15" t="s">
        <v>17977</v>
      </c>
      <c r="W1227" s="15">
        <v>2097</v>
      </c>
      <c r="X1227" s="15">
        <v>1237</v>
      </c>
      <c r="Y1227" s="15" t="s">
        <v>160</v>
      </c>
      <c r="Z1227" s="15" t="s">
        <v>161</v>
      </c>
      <c r="AA1227" s="15" t="s">
        <v>162</v>
      </c>
      <c r="AB1227" s="15" t="s">
        <v>10763</v>
      </c>
      <c r="AC1227" s="15" t="s">
        <v>10763</v>
      </c>
      <c r="AD1227" s="15" t="s">
        <v>10763</v>
      </c>
      <c r="AE1227" s="15" t="s">
        <v>164</v>
      </c>
      <c r="AF1227" s="15" t="s">
        <v>10763</v>
      </c>
      <c r="AG1227" s="15" t="s">
        <v>10763</v>
      </c>
      <c r="AH1227" s="34" t="s">
        <v>10764</v>
      </c>
      <c r="AL1227" s="15" t="s">
        <v>10765</v>
      </c>
      <c r="AN1227" s="15">
        <v>743</v>
      </c>
      <c r="AO1227" s="15" t="s">
        <v>10766</v>
      </c>
      <c r="AQ1227" s="15" t="s">
        <v>10755</v>
      </c>
      <c r="AT1227" s="15" t="s">
        <v>10767</v>
      </c>
      <c r="AU1227" s="15" t="s">
        <v>10768</v>
      </c>
      <c r="AV1227" s="15" t="s">
        <v>10768</v>
      </c>
      <c r="AW1227" s="15" t="s">
        <v>10769</v>
      </c>
      <c r="AX1227" s="15" t="s">
        <v>10769</v>
      </c>
      <c r="AY1227" s="15">
        <f t="shared" si="24"/>
        <v>42</v>
      </c>
      <c r="AZ1227" s="15" t="s">
        <v>10759</v>
      </c>
      <c r="BA1227" s="15" t="s">
        <v>174</v>
      </c>
      <c r="BB1227" s="15" t="s">
        <v>10760</v>
      </c>
      <c r="BE1227" s="15" t="s">
        <v>10770</v>
      </c>
      <c r="BJ1227" s="15" t="s">
        <v>4730</v>
      </c>
      <c r="BN1227" s="15" t="s">
        <v>179</v>
      </c>
      <c r="BP1227" s="15" t="s">
        <v>138</v>
      </c>
      <c r="BS1227" s="15" t="s">
        <v>10771</v>
      </c>
      <c r="DH1227" s="15" t="s">
        <v>17982</v>
      </c>
      <c r="DI1227" s="15" t="s">
        <v>17982</v>
      </c>
    </row>
    <row r="1228" spans="1:113" s="15" customFormat="1" ht="12.75" x14ac:dyDescent="0.2">
      <c r="A1228" s="15" t="s">
        <v>109</v>
      </c>
      <c r="B1228" s="15" t="s">
        <v>110</v>
      </c>
      <c r="D1228" s="15" t="s">
        <v>620</v>
      </c>
      <c r="E1228" s="15" t="s">
        <v>112</v>
      </c>
      <c r="F1228" s="15" t="s">
        <v>620</v>
      </c>
      <c r="G1228" s="15" t="s">
        <v>113</v>
      </c>
      <c r="H1228" s="15" t="s">
        <v>1481</v>
      </c>
      <c r="J1228" s="16" t="s">
        <v>114</v>
      </c>
      <c r="U1228" s="15" t="s">
        <v>17977</v>
      </c>
      <c r="W1228" s="15">
        <v>2642</v>
      </c>
      <c r="X1228" s="15">
        <v>1238</v>
      </c>
      <c r="Y1228" s="15" t="s">
        <v>160</v>
      </c>
      <c r="Z1228" s="15" t="s">
        <v>161</v>
      </c>
      <c r="AA1228" s="15" t="s">
        <v>162</v>
      </c>
      <c r="AB1228" s="15" t="s">
        <v>12825</v>
      </c>
      <c r="AC1228" s="15" t="s">
        <v>12825</v>
      </c>
      <c r="AD1228" s="15" t="s">
        <v>12825</v>
      </c>
      <c r="AE1228" s="15" t="s">
        <v>164</v>
      </c>
      <c r="AF1228" s="15" t="s">
        <v>12825</v>
      </c>
      <c r="AG1228" s="15" t="s">
        <v>12825</v>
      </c>
      <c r="AH1228" s="34" t="s">
        <v>12826</v>
      </c>
      <c r="AL1228" s="15" t="s">
        <v>12827</v>
      </c>
      <c r="AN1228" s="15">
        <v>743</v>
      </c>
      <c r="AO1228" s="15" t="s">
        <v>12828</v>
      </c>
      <c r="AQ1228" s="15" t="s">
        <v>168</v>
      </c>
      <c r="AT1228" s="15" t="s">
        <v>12829</v>
      </c>
      <c r="AU1228" s="15" t="s">
        <v>12830</v>
      </c>
      <c r="AV1228" s="15" t="s">
        <v>12830</v>
      </c>
      <c r="AW1228" s="15" t="s">
        <v>12831</v>
      </c>
      <c r="AX1228" s="15" t="s">
        <v>12831</v>
      </c>
      <c r="AY1228" s="15">
        <f t="shared" si="24"/>
        <v>53</v>
      </c>
      <c r="AZ1228" s="15" t="s">
        <v>173</v>
      </c>
      <c r="BA1228" s="15" t="s">
        <v>174</v>
      </c>
      <c r="BB1228" s="15" t="s">
        <v>12822</v>
      </c>
      <c r="BC1228" s="15">
        <v>3</v>
      </c>
      <c r="BE1228" s="15" t="s">
        <v>275</v>
      </c>
      <c r="BJ1228" s="15" t="s">
        <v>12832</v>
      </c>
      <c r="BN1228" s="15" t="s">
        <v>179</v>
      </c>
      <c r="BP1228" s="15" t="s">
        <v>138</v>
      </c>
      <c r="BS1228" s="15" t="s">
        <v>12833</v>
      </c>
      <c r="DH1228" s="15" t="s">
        <v>17982</v>
      </c>
      <c r="DI1228" s="15" t="s">
        <v>17982</v>
      </c>
    </row>
    <row r="1229" spans="1:113" s="15" customFormat="1" ht="12.75" x14ac:dyDescent="0.2">
      <c r="A1229" s="15" t="s">
        <v>109</v>
      </c>
      <c r="B1229" s="15" t="s">
        <v>110</v>
      </c>
      <c r="D1229" s="15" t="s">
        <v>620</v>
      </c>
      <c r="E1229" s="15" t="s">
        <v>112</v>
      </c>
      <c r="F1229" s="15" t="s">
        <v>620</v>
      </c>
      <c r="G1229" s="15" t="s">
        <v>113</v>
      </c>
      <c r="H1229" s="15" t="s">
        <v>1481</v>
      </c>
      <c r="J1229" s="16" t="s">
        <v>114</v>
      </c>
      <c r="U1229" s="15" t="s">
        <v>17977</v>
      </c>
      <c r="W1229" s="15">
        <v>1387</v>
      </c>
      <c r="X1229" s="15">
        <v>1239</v>
      </c>
      <c r="Y1229" s="15" t="s">
        <v>160</v>
      </c>
      <c r="Z1229" s="15" t="s">
        <v>161</v>
      </c>
      <c r="AA1229" s="15" t="s">
        <v>162</v>
      </c>
      <c r="AB1229" s="15" t="s">
        <v>7120</v>
      </c>
      <c r="AC1229" s="15" t="s">
        <v>7120</v>
      </c>
      <c r="AD1229" s="15" t="s">
        <v>7120</v>
      </c>
      <c r="AE1229" s="15" t="s">
        <v>164</v>
      </c>
      <c r="AF1229" s="15" t="s">
        <v>7120</v>
      </c>
      <c r="AG1229" s="15" t="s">
        <v>7120</v>
      </c>
      <c r="AH1229" s="34" t="s">
        <v>7121</v>
      </c>
      <c r="AL1229" s="15" t="s">
        <v>7122</v>
      </c>
      <c r="AN1229" s="15">
        <v>743</v>
      </c>
      <c r="AO1229" s="15" t="s">
        <v>7123</v>
      </c>
      <c r="AQ1229" s="15" t="s">
        <v>912</v>
      </c>
      <c r="AT1229" s="15" t="s">
        <v>7124</v>
      </c>
      <c r="AU1229" s="15" t="s">
        <v>7125</v>
      </c>
      <c r="AV1229" s="15" t="s">
        <v>7125</v>
      </c>
      <c r="AW1229" s="15" t="s">
        <v>7126</v>
      </c>
      <c r="AX1229" s="15" t="s">
        <v>7127</v>
      </c>
      <c r="AY1229" s="15">
        <f t="shared" si="24"/>
        <v>60</v>
      </c>
      <c r="AZ1229" s="15" t="s">
        <v>917</v>
      </c>
      <c r="BA1229" s="15" t="s">
        <v>174</v>
      </c>
      <c r="BB1229" s="15" t="s">
        <v>7098</v>
      </c>
      <c r="BE1229" s="15" t="s">
        <v>4004</v>
      </c>
      <c r="BF1229" s="15" t="s">
        <v>1479</v>
      </c>
      <c r="BJ1229" s="15" t="s">
        <v>7099</v>
      </c>
      <c r="BN1229" s="15" t="s">
        <v>179</v>
      </c>
      <c r="BP1229" s="15" t="s">
        <v>138</v>
      </c>
      <c r="BS1229" s="15" t="s">
        <v>7128</v>
      </c>
      <c r="DH1229" s="15" t="s">
        <v>17982</v>
      </c>
      <c r="DI1229" s="15" t="s">
        <v>17982</v>
      </c>
    </row>
    <row r="1230" spans="1:113" s="15" customFormat="1" ht="12.75" x14ac:dyDescent="0.2">
      <c r="A1230" s="15" t="s">
        <v>109</v>
      </c>
      <c r="B1230" s="15" t="s">
        <v>110</v>
      </c>
      <c r="D1230" s="15" t="s">
        <v>620</v>
      </c>
      <c r="E1230" s="15" t="s">
        <v>112</v>
      </c>
      <c r="F1230" s="15" t="s">
        <v>620</v>
      </c>
      <c r="G1230" s="15" t="s">
        <v>113</v>
      </c>
      <c r="H1230" s="15" t="s">
        <v>1481</v>
      </c>
      <c r="J1230" s="16" t="s">
        <v>114</v>
      </c>
      <c r="U1230" s="15" t="s">
        <v>17977</v>
      </c>
      <c r="W1230" s="15">
        <v>3651</v>
      </c>
      <c r="X1230" s="15">
        <v>1240</v>
      </c>
      <c r="Y1230" s="15" t="s">
        <v>160</v>
      </c>
      <c r="Z1230" s="15" t="s">
        <v>161</v>
      </c>
      <c r="AA1230" s="15" t="s">
        <v>162</v>
      </c>
      <c r="AB1230" s="15" t="s">
        <v>17658</v>
      </c>
      <c r="AC1230" s="15" t="s">
        <v>17658</v>
      </c>
      <c r="AD1230" s="15" t="s">
        <v>17658</v>
      </c>
      <c r="AE1230" s="15" t="s">
        <v>164</v>
      </c>
      <c r="AF1230" s="15" t="s">
        <v>17658</v>
      </c>
      <c r="AG1230" s="15" t="s">
        <v>17658</v>
      </c>
      <c r="AH1230" s="34" t="s">
        <v>17659</v>
      </c>
      <c r="AL1230" s="15" t="s">
        <v>17660</v>
      </c>
      <c r="AN1230" s="15">
        <v>743</v>
      </c>
      <c r="AO1230" s="15" t="s">
        <v>17661</v>
      </c>
      <c r="AQ1230" s="15" t="s">
        <v>912</v>
      </c>
      <c r="AT1230" s="15" t="s">
        <v>17662</v>
      </c>
      <c r="AU1230" s="15" t="s">
        <v>17663</v>
      </c>
      <c r="AV1230" s="15" t="s">
        <v>17663</v>
      </c>
      <c r="AW1230" s="15" t="s">
        <v>17664</v>
      </c>
      <c r="AX1230" s="15" t="s">
        <v>17665</v>
      </c>
      <c r="AY1230" s="15">
        <f t="shared" si="24"/>
        <v>55</v>
      </c>
      <c r="AZ1230" s="15" t="s">
        <v>917</v>
      </c>
      <c r="BA1230" s="15" t="s">
        <v>174</v>
      </c>
      <c r="BB1230" s="15" t="s">
        <v>7098</v>
      </c>
      <c r="BE1230" s="15" t="s">
        <v>4004</v>
      </c>
      <c r="BF1230" s="15" t="s">
        <v>7981</v>
      </c>
      <c r="BJ1230" s="15" t="s">
        <v>7099</v>
      </c>
      <c r="BN1230" s="15" t="s">
        <v>179</v>
      </c>
      <c r="BP1230" s="15" t="s">
        <v>138</v>
      </c>
      <c r="BS1230" s="15" t="s">
        <v>17666</v>
      </c>
      <c r="DH1230" s="15" t="s">
        <v>17982</v>
      </c>
      <c r="DI1230" s="15" t="s">
        <v>17982</v>
      </c>
    </row>
    <row r="1231" spans="1:113" s="15" customFormat="1" ht="12.75" x14ac:dyDescent="0.2">
      <c r="A1231" s="15" t="s">
        <v>109</v>
      </c>
      <c r="B1231" s="15" t="s">
        <v>110</v>
      </c>
      <c r="D1231" s="15" t="s">
        <v>620</v>
      </c>
      <c r="E1231" s="15" t="s">
        <v>112</v>
      </c>
      <c r="F1231" s="15" t="s">
        <v>620</v>
      </c>
      <c r="G1231" s="15" t="s">
        <v>113</v>
      </c>
      <c r="H1231" s="15" t="s">
        <v>1481</v>
      </c>
      <c r="J1231" s="16" t="s">
        <v>114</v>
      </c>
      <c r="U1231" s="15" t="s">
        <v>17977</v>
      </c>
      <c r="W1231" s="15">
        <v>1384</v>
      </c>
      <c r="X1231" s="15">
        <v>1241</v>
      </c>
      <c r="Y1231" s="15" t="s">
        <v>160</v>
      </c>
      <c r="Z1231" s="15" t="s">
        <v>161</v>
      </c>
      <c r="AA1231" s="15" t="s">
        <v>162</v>
      </c>
      <c r="AB1231" s="15" t="s">
        <v>7090</v>
      </c>
      <c r="AC1231" s="15" t="s">
        <v>7090</v>
      </c>
      <c r="AD1231" s="15" t="s">
        <v>7090</v>
      </c>
      <c r="AE1231" s="15" t="s">
        <v>164</v>
      </c>
      <c r="AF1231" s="15" t="s">
        <v>7090</v>
      </c>
      <c r="AG1231" s="15" t="s">
        <v>7090</v>
      </c>
      <c r="AH1231" s="34" t="s">
        <v>7091</v>
      </c>
      <c r="AL1231" s="15" t="s">
        <v>7092</v>
      </c>
      <c r="AN1231" s="15">
        <v>743</v>
      </c>
      <c r="AO1231" s="15" t="s">
        <v>7093</v>
      </c>
      <c r="AQ1231" s="15" t="s">
        <v>912</v>
      </c>
      <c r="AT1231" s="15" t="s">
        <v>7094</v>
      </c>
      <c r="AU1231" s="15" t="s">
        <v>7095</v>
      </c>
      <c r="AV1231" s="15" t="s">
        <v>7095</v>
      </c>
      <c r="AW1231" s="15" t="s">
        <v>7096</v>
      </c>
      <c r="AX1231" s="15" t="s">
        <v>7097</v>
      </c>
      <c r="AY1231" s="15">
        <f t="shared" si="24"/>
        <v>55</v>
      </c>
      <c r="AZ1231" s="15" t="s">
        <v>917</v>
      </c>
      <c r="BA1231" s="15" t="s">
        <v>174</v>
      </c>
      <c r="BB1231" s="15" t="s">
        <v>7098</v>
      </c>
      <c r="BE1231" s="15" t="s">
        <v>4004</v>
      </c>
      <c r="BF1231" s="15" t="s">
        <v>2263</v>
      </c>
      <c r="BJ1231" s="15" t="s">
        <v>7099</v>
      </c>
      <c r="BN1231" s="15" t="s">
        <v>179</v>
      </c>
      <c r="BP1231" s="15" t="s">
        <v>138</v>
      </c>
      <c r="BS1231" s="15" t="s">
        <v>7100</v>
      </c>
      <c r="DH1231" s="15" t="s">
        <v>17982</v>
      </c>
      <c r="DI1231" s="15" t="s">
        <v>17982</v>
      </c>
    </row>
    <row r="1232" spans="1:113" s="15" customFormat="1" ht="12.75" x14ac:dyDescent="0.2">
      <c r="A1232" s="15" t="s">
        <v>109</v>
      </c>
      <c r="B1232" s="15" t="s">
        <v>110</v>
      </c>
      <c r="D1232" s="15" t="s">
        <v>620</v>
      </c>
      <c r="E1232" s="15" t="s">
        <v>112</v>
      </c>
      <c r="F1232" s="15" t="s">
        <v>620</v>
      </c>
      <c r="G1232" s="15" t="s">
        <v>113</v>
      </c>
      <c r="H1232" s="15" t="s">
        <v>1481</v>
      </c>
      <c r="J1232" s="16" t="s">
        <v>114</v>
      </c>
      <c r="U1232" s="15" t="s">
        <v>17977</v>
      </c>
      <c r="W1232" s="15">
        <v>1385</v>
      </c>
      <c r="X1232" s="15">
        <v>1242</v>
      </c>
      <c r="Y1232" s="15" t="s">
        <v>160</v>
      </c>
      <c r="Z1232" s="15" t="s">
        <v>161</v>
      </c>
      <c r="AA1232" s="15" t="s">
        <v>162</v>
      </c>
      <c r="AB1232" s="15" t="s">
        <v>7101</v>
      </c>
      <c r="AC1232" s="15" t="s">
        <v>7101</v>
      </c>
      <c r="AD1232" s="15" t="s">
        <v>7101</v>
      </c>
      <c r="AE1232" s="15" t="s">
        <v>164</v>
      </c>
      <c r="AF1232" s="15" t="s">
        <v>7101</v>
      </c>
      <c r="AG1232" s="15" t="s">
        <v>7101</v>
      </c>
      <c r="AH1232" s="34" t="s">
        <v>7102</v>
      </c>
      <c r="AL1232" s="15" t="s">
        <v>7103</v>
      </c>
      <c r="AN1232" s="15">
        <v>743</v>
      </c>
      <c r="AO1232" s="15" t="s">
        <v>7104</v>
      </c>
      <c r="AQ1232" s="15" t="s">
        <v>912</v>
      </c>
      <c r="AT1232" s="15" t="s">
        <v>7105</v>
      </c>
      <c r="AU1232" s="15" t="s">
        <v>7106</v>
      </c>
      <c r="AV1232" s="15" t="s">
        <v>7106</v>
      </c>
      <c r="AW1232" s="15" t="s">
        <v>7107</v>
      </c>
      <c r="AX1232" s="15" t="s">
        <v>7108</v>
      </c>
      <c r="AY1232" s="15">
        <f t="shared" si="24"/>
        <v>55</v>
      </c>
      <c r="AZ1232" s="15" t="s">
        <v>917</v>
      </c>
      <c r="BA1232" s="15" t="s">
        <v>174</v>
      </c>
      <c r="BB1232" s="15" t="s">
        <v>7098</v>
      </c>
      <c r="BE1232" s="15" t="s">
        <v>4004</v>
      </c>
      <c r="BF1232" s="15" t="s">
        <v>396</v>
      </c>
      <c r="BJ1232" s="15" t="s">
        <v>7099</v>
      </c>
      <c r="BN1232" s="15" t="s">
        <v>179</v>
      </c>
      <c r="BP1232" s="15" t="s">
        <v>138</v>
      </c>
      <c r="BS1232" s="15" t="s">
        <v>7109</v>
      </c>
      <c r="DH1232" s="15" t="s">
        <v>17982</v>
      </c>
      <c r="DI1232" s="15" t="s">
        <v>17982</v>
      </c>
    </row>
    <row r="1233" spans="1:113" s="15" customFormat="1" ht="12.75" x14ac:dyDescent="0.2">
      <c r="A1233" s="15" t="s">
        <v>109</v>
      </c>
      <c r="B1233" s="15" t="s">
        <v>110</v>
      </c>
      <c r="D1233" s="15" t="s">
        <v>620</v>
      </c>
      <c r="E1233" s="15" t="s">
        <v>112</v>
      </c>
      <c r="F1233" s="15" t="s">
        <v>620</v>
      </c>
      <c r="G1233" s="15" t="s">
        <v>113</v>
      </c>
      <c r="H1233" s="15" t="s">
        <v>1481</v>
      </c>
      <c r="J1233" s="16" t="s">
        <v>114</v>
      </c>
      <c r="U1233" s="15" t="s">
        <v>17977</v>
      </c>
      <c r="W1233" s="15">
        <v>1386</v>
      </c>
      <c r="X1233" s="15">
        <v>1243</v>
      </c>
      <c r="Y1233" s="15" t="s">
        <v>160</v>
      </c>
      <c r="Z1233" s="15" t="s">
        <v>161</v>
      </c>
      <c r="AA1233" s="15" t="s">
        <v>162</v>
      </c>
      <c r="AB1233" s="15" t="s">
        <v>7110</v>
      </c>
      <c r="AC1233" s="15" t="s">
        <v>7110</v>
      </c>
      <c r="AD1233" s="15" t="s">
        <v>7110</v>
      </c>
      <c r="AE1233" s="15" t="s">
        <v>164</v>
      </c>
      <c r="AF1233" s="15" t="s">
        <v>7110</v>
      </c>
      <c r="AG1233" s="15" t="s">
        <v>7110</v>
      </c>
      <c r="AH1233" s="34" t="s">
        <v>7111</v>
      </c>
      <c r="AL1233" s="15" t="s">
        <v>7112</v>
      </c>
      <c r="AN1233" s="15">
        <v>743</v>
      </c>
      <c r="AO1233" s="15" t="s">
        <v>7113</v>
      </c>
      <c r="AQ1233" s="15" t="s">
        <v>912</v>
      </c>
      <c r="AT1233" s="15" t="s">
        <v>7114</v>
      </c>
      <c r="AU1233" s="15" t="s">
        <v>7115</v>
      </c>
      <c r="AV1233" s="15" t="s">
        <v>7115</v>
      </c>
      <c r="AW1233" s="15" t="s">
        <v>7116</v>
      </c>
      <c r="AX1233" s="15" t="s">
        <v>7117</v>
      </c>
      <c r="AY1233" s="15">
        <f t="shared" si="24"/>
        <v>55</v>
      </c>
      <c r="AZ1233" s="15" t="s">
        <v>917</v>
      </c>
      <c r="BA1233" s="15" t="s">
        <v>174</v>
      </c>
      <c r="BB1233" s="15" t="s">
        <v>7098</v>
      </c>
      <c r="BE1233" s="15" t="s">
        <v>4004</v>
      </c>
      <c r="BF1233" s="15" t="s">
        <v>7118</v>
      </c>
      <c r="BJ1233" s="15" t="s">
        <v>7099</v>
      </c>
      <c r="BN1233" s="15" t="s">
        <v>179</v>
      </c>
      <c r="BP1233" s="15" t="s">
        <v>138</v>
      </c>
      <c r="BS1233" s="15" t="s">
        <v>7119</v>
      </c>
      <c r="DH1233" s="15" t="s">
        <v>17982</v>
      </c>
      <c r="DI1233" s="15" t="s">
        <v>17982</v>
      </c>
    </row>
    <row r="1234" spans="1:113" s="15" customFormat="1" ht="12.75" x14ac:dyDescent="0.2">
      <c r="A1234" s="15" t="s">
        <v>109</v>
      </c>
      <c r="B1234" s="15" t="s">
        <v>110</v>
      </c>
      <c r="D1234" s="15" t="s">
        <v>620</v>
      </c>
      <c r="E1234" s="15" t="s">
        <v>112</v>
      </c>
      <c r="F1234" s="15" t="s">
        <v>620</v>
      </c>
      <c r="G1234" s="15" t="s">
        <v>113</v>
      </c>
      <c r="H1234" s="15" t="s">
        <v>1481</v>
      </c>
      <c r="J1234" s="16" t="s">
        <v>114</v>
      </c>
      <c r="U1234" s="15" t="s">
        <v>17977</v>
      </c>
      <c r="W1234" s="15">
        <v>1585</v>
      </c>
      <c r="X1234" s="15">
        <v>1244</v>
      </c>
      <c r="Y1234" s="15" t="s">
        <v>160</v>
      </c>
      <c r="Z1234" s="15" t="s">
        <v>161</v>
      </c>
      <c r="AA1234" s="15" t="s">
        <v>162</v>
      </c>
      <c r="AB1234" s="15" t="s">
        <v>8330</v>
      </c>
      <c r="AC1234" s="15" t="s">
        <v>8330</v>
      </c>
      <c r="AD1234" s="15" t="s">
        <v>8330</v>
      </c>
      <c r="AE1234" s="15" t="s">
        <v>164</v>
      </c>
      <c r="AF1234" s="15" t="s">
        <v>8330</v>
      </c>
      <c r="AG1234" s="15" t="s">
        <v>8330</v>
      </c>
      <c r="AH1234" s="34" t="s">
        <v>8331</v>
      </c>
      <c r="AL1234" s="15" t="s">
        <v>8332</v>
      </c>
      <c r="AN1234" s="15">
        <v>743</v>
      </c>
      <c r="AO1234" s="15" t="s">
        <v>8333</v>
      </c>
      <c r="AQ1234" s="15" t="s">
        <v>168</v>
      </c>
      <c r="AT1234" s="15" t="s">
        <v>8334</v>
      </c>
      <c r="AU1234" s="15" t="s">
        <v>8335</v>
      </c>
      <c r="AV1234" s="15" t="s">
        <v>8335</v>
      </c>
      <c r="AW1234" s="15" t="s">
        <v>8336</v>
      </c>
      <c r="AX1234" s="15" t="s">
        <v>8337</v>
      </c>
      <c r="AY1234" s="15">
        <f t="shared" si="24"/>
        <v>59</v>
      </c>
      <c r="AZ1234" s="15" t="s">
        <v>604</v>
      </c>
      <c r="BA1234" s="15" t="s">
        <v>174</v>
      </c>
      <c r="BB1234" s="15" t="s">
        <v>8338</v>
      </c>
      <c r="BE1234" s="15" t="s">
        <v>1032</v>
      </c>
      <c r="BI1234" s="15" t="s">
        <v>8339</v>
      </c>
      <c r="BJ1234" s="15" t="s">
        <v>8340</v>
      </c>
      <c r="BN1234" s="15" t="s">
        <v>179</v>
      </c>
      <c r="BP1234" s="15" t="s">
        <v>138</v>
      </c>
      <c r="BS1234" s="15" t="s">
        <v>8341</v>
      </c>
      <c r="DH1234" s="15" t="s">
        <v>17982</v>
      </c>
      <c r="DI1234" s="15" t="s">
        <v>17982</v>
      </c>
    </row>
    <row r="1235" spans="1:113" s="15" customFormat="1" ht="12.75" x14ac:dyDescent="0.2">
      <c r="A1235" s="15" t="s">
        <v>109</v>
      </c>
      <c r="B1235" s="15" t="s">
        <v>110</v>
      </c>
      <c r="D1235" s="15" t="s">
        <v>620</v>
      </c>
      <c r="E1235" s="15" t="s">
        <v>112</v>
      </c>
      <c r="F1235" s="15" t="s">
        <v>620</v>
      </c>
      <c r="G1235" s="15" t="s">
        <v>113</v>
      </c>
      <c r="H1235" s="15" t="s">
        <v>1481</v>
      </c>
      <c r="J1235" s="16" t="s">
        <v>114</v>
      </c>
      <c r="U1235" s="15" t="s">
        <v>17977</v>
      </c>
      <c r="W1235" s="15">
        <v>3565</v>
      </c>
      <c r="X1235" s="15">
        <v>1245</v>
      </c>
      <c r="Y1235" s="15" t="s">
        <v>160</v>
      </c>
      <c r="Z1235" s="15" t="s">
        <v>161</v>
      </c>
      <c r="AA1235" s="15" t="s">
        <v>162</v>
      </c>
      <c r="AB1235" s="15" t="s">
        <v>17190</v>
      </c>
      <c r="AC1235" s="15" t="s">
        <v>17190</v>
      </c>
      <c r="AD1235" s="15" t="s">
        <v>17190</v>
      </c>
      <c r="AE1235" s="15" t="s">
        <v>164</v>
      </c>
      <c r="AF1235" s="15" t="s">
        <v>17190</v>
      </c>
      <c r="AG1235" s="15" t="s">
        <v>17190</v>
      </c>
      <c r="AH1235" s="34" t="s">
        <v>17191</v>
      </c>
      <c r="AL1235" s="15" t="s">
        <v>17192</v>
      </c>
      <c r="AN1235" s="15">
        <v>743</v>
      </c>
      <c r="AO1235" s="15" t="s">
        <v>17193</v>
      </c>
      <c r="AQ1235" s="15" t="s">
        <v>168</v>
      </c>
      <c r="AT1235" s="15" t="s">
        <v>17194</v>
      </c>
      <c r="AU1235" s="15" t="s">
        <v>17195</v>
      </c>
      <c r="AV1235" s="15" t="s">
        <v>17195</v>
      </c>
      <c r="AW1235" s="15" t="s">
        <v>17196</v>
      </c>
      <c r="AX1235" s="15" t="s">
        <v>17197</v>
      </c>
      <c r="AY1235" s="15">
        <f t="shared" si="24"/>
        <v>60</v>
      </c>
      <c r="AZ1235" s="15" t="s">
        <v>604</v>
      </c>
      <c r="BA1235" s="15" t="s">
        <v>174</v>
      </c>
      <c r="BB1235" s="15" t="s">
        <v>17198</v>
      </c>
      <c r="BE1235" s="15" t="s">
        <v>1056</v>
      </c>
      <c r="BI1235" s="15" t="s">
        <v>8339</v>
      </c>
      <c r="BJ1235" s="15" t="s">
        <v>17199</v>
      </c>
      <c r="BN1235" s="15" t="s">
        <v>179</v>
      </c>
      <c r="BP1235" s="15" t="s">
        <v>138</v>
      </c>
      <c r="BS1235" s="15" t="s">
        <v>17200</v>
      </c>
      <c r="DH1235" s="15" t="s">
        <v>17982</v>
      </c>
      <c r="DI1235" s="15" t="s">
        <v>17982</v>
      </c>
    </row>
    <row r="1236" spans="1:113" s="15" customFormat="1" ht="12.75" x14ac:dyDescent="0.2">
      <c r="A1236" s="15" t="s">
        <v>109</v>
      </c>
      <c r="B1236" s="15" t="s">
        <v>110</v>
      </c>
      <c r="D1236" s="15" t="s">
        <v>620</v>
      </c>
      <c r="E1236" s="15" t="s">
        <v>112</v>
      </c>
      <c r="F1236" s="15" t="s">
        <v>620</v>
      </c>
      <c r="G1236" s="15" t="s">
        <v>113</v>
      </c>
      <c r="H1236" s="15" t="s">
        <v>1481</v>
      </c>
      <c r="J1236" s="16" t="s">
        <v>114</v>
      </c>
      <c r="U1236" s="15" t="s">
        <v>17977</v>
      </c>
      <c r="W1236" s="15">
        <v>1299</v>
      </c>
      <c r="X1236" s="15">
        <v>1246</v>
      </c>
      <c r="Y1236" s="15" t="s">
        <v>160</v>
      </c>
      <c r="Z1236" s="15" t="s">
        <v>161</v>
      </c>
      <c r="AA1236" s="15" t="s">
        <v>162</v>
      </c>
      <c r="AB1236" s="15" t="s">
        <v>6667</v>
      </c>
      <c r="AC1236" s="15" t="s">
        <v>6667</v>
      </c>
      <c r="AD1236" s="15" t="s">
        <v>6668</v>
      </c>
      <c r="AE1236" s="15" t="s">
        <v>164</v>
      </c>
      <c r="AF1236" s="15" t="s">
        <v>6668</v>
      </c>
      <c r="AG1236" s="15" t="s">
        <v>6667</v>
      </c>
      <c r="AH1236" s="34" t="s">
        <v>6669</v>
      </c>
      <c r="AL1236" s="15" t="s">
        <v>6670</v>
      </c>
      <c r="AN1236" s="15">
        <v>743</v>
      </c>
      <c r="AO1236" s="15" t="s">
        <v>6671</v>
      </c>
      <c r="AQ1236" s="15" t="s">
        <v>168</v>
      </c>
      <c r="AT1236" s="15" t="s">
        <v>6672</v>
      </c>
      <c r="AU1236" s="15" t="s">
        <v>6673</v>
      </c>
      <c r="AV1236" s="15" t="s">
        <v>6673</v>
      </c>
      <c r="AW1236" s="15" t="s">
        <v>6674</v>
      </c>
      <c r="AX1236" s="15" t="s">
        <v>6675</v>
      </c>
      <c r="AY1236" s="15">
        <f t="shared" si="24"/>
        <v>60</v>
      </c>
      <c r="AZ1236" s="15" t="s">
        <v>173</v>
      </c>
      <c r="BA1236" s="15" t="s">
        <v>174</v>
      </c>
      <c r="BB1236" s="15" t="s">
        <v>6676</v>
      </c>
      <c r="BE1236" s="15" t="s">
        <v>367</v>
      </c>
      <c r="BI1236" s="15" t="s">
        <v>189</v>
      </c>
      <c r="BJ1236" s="15" t="s">
        <v>6677</v>
      </c>
      <c r="BN1236" s="15" t="s">
        <v>179</v>
      </c>
      <c r="BP1236" s="15" t="s">
        <v>138</v>
      </c>
      <c r="BS1236" s="15" t="s">
        <v>6678</v>
      </c>
      <c r="DH1236" s="15" t="s">
        <v>17982</v>
      </c>
      <c r="DI1236" s="15" t="s">
        <v>17982</v>
      </c>
    </row>
    <row r="1237" spans="1:113" s="15" customFormat="1" ht="12.75" x14ac:dyDescent="0.2">
      <c r="A1237" s="15" t="s">
        <v>109</v>
      </c>
      <c r="B1237" s="15" t="s">
        <v>110</v>
      </c>
      <c r="D1237" s="15" t="s">
        <v>620</v>
      </c>
      <c r="E1237" s="15" t="s">
        <v>112</v>
      </c>
      <c r="F1237" s="15" t="s">
        <v>620</v>
      </c>
      <c r="G1237" s="15" t="s">
        <v>113</v>
      </c>
      <c r="H1237" s="15" t="s">
        <v>1481</v>
      </c>
      <c r="J1237" s="16" t="s">
        <v>114</v>
      </c>
      <c r="U1237" s="15" t="s">
        <v>17977</v>
      </c>
      <c r="W1237" s="15">
        <v>3442</v>
      </c>
      <c r="X1237" s="15">
        <v>1247</v>
      </c>
      <c r="Y1237" s="15" t="s">
        <v>160</v>
      </c>
      <c r="Z1237" s="15" t="s">
        <v>161</v>
      </c>
      <c r="AA1237" s="15" t="s">
        <v>162</v>
      </c>
      <c r="AB1237" s="15" t="s">
        <v>16580</v>
      </c>
      <c r="AC1237" s="15" t="s">
        <v>16580</v>
      </c>
      <c r="AD1237" s="15" t="s">
        <v>16581</v>
      </c>
      <c r="AE1237" s="15" t="s">
        <v>164</v>
      </c>
      <c r="AF1237" s="15" t="s">
        <v>16581</v>
      </c>
      <c r="AG1237" s="15" t="s">
        <v>16580</v>
      </c>
      <c r="AH1237" s="34" t="s">
        <v>16582</v>
      </c>
      <c r="AL1237" s="15" t="s">
        <v>16583</v>
      </c>
      <c r="AN1237" s="15">
        <v>743</v>
      </c>
      <c r="AO1237" s="15" t="s">
        <v>16584</v>
      </c>
      <c r="AQ1237" s="15" t="s">
        <v>16585</v>
      </c>
      <c r="AT1237" s="15" t="s">
        <v>16586</v>
      </c>
      <c r="AU1237" s="15" t="s">
        <v>16587</v>
      </c>
      <c r="AV1237" s="15" t="s">
        <v>16587</v>
      </c>
      <c r="AW1237" s="15" t="s">
        <v>16588</v>
      </c>
      <c r="AX1237" s="15" t="s">
        <v>16588</v>
      </c>
      <c r="AY1237" s="15">
        <f t="shared" si="24"/>
        <v>24</v>
      </c>
      <c r="AZ1237" s="15" t="s">
        <v>16589</v>
      </c>
      <c r="BA1237" s="15" t="s">
        <v>16590</v>
      </c>
      <c r="BB1237" s="15" t="s">
        <v>1055</v>
      </c>
      <c r="BN1237" s="15" t="s">
        <v>136</v>
      </c>
      <c r="BR1237" s="15" t="s">
        <v>16591</v>
      </c>
      <c r="BS1237" s="15" t="s">
        <v>16592</v>
      </c>
      <c r="DH1237" s="15" t="s">
        <v>17982</v>
      </c>
      <c r="DI1237" s="15" t="s">
        <v>17982</v>
      </c>
    </row>
    <row r="1238" spans="1:113" s="15" customFormat="1" ht="12.75" x14ac:dyDescent="0.2">
      <c r="A1238" s="15" t="s">
        <v>109</v>
      </c>
      <c r="B1238" s="15" t="s">
        <v>110</v>
      </c>
      <c r="D1238" s="15" t="s">
        <v>1481</v>
      </c>
      <c r="E1238" s="15" t="s">
        <v>112</v>
      </c>
      <c r="F1238" s="15" t="s">
        <v>1481</v>
      </c>
      <c r="G1238" s="15" t="s">
        <v>113</v>
      </c>
      <c r="H1238" s="15" t="s">
        <v>1481</v>
      </c>
      <c r="J1238" s="16" t="s">
        <v>114</v>
      </c>
      <c r="U1238" s="15" t="s">
        <v>17977</v>
      </c>
      <c r="W1238" s="15">
        <v>561</v>
      </c>
      <c r="X1238" s="15">
        <v>1248</v>
      </c>
      <c r="Y1238" s="15" t="s">
        <v>160</v>
      </c>
      <c r="Z1238" s="15" t="s">
        <v>161</v>
      </c>
      <c r="AA1238" s="15" t="s">
        <v>162</v>
      </c>
      <c r="AB1238" s="15" t="s">
        <v>2113</v>
      </c>
      <c r="AC1238" s="15" t="s">
        <v>2113</v>
      </c>
      <c r="AD1238" s="15" t="s">
        <v>2114</v>
      </c>
      <c r="AE1238" s="15" t="s">
        <v>164</v>
      </c>
      <c r="AF1238" s="15" t="s">
        <v>2114</v>
      </c>
      <c r="AG1238" s="15" t="s">
        <v>2113</v>
      </c>
      <c r="AH1238" s="34" t="s">
        <v>2115</v>
      </c>
      <c r="AL1238" s="15" t="s">
        <v>2116</v>
      </c>
      <c r="AN1238" s="15">
        <v>743</v>
      </c>
      <c r="AO1238" s="15" t="s">
        <v>2117</v>
      </c>
      <c r="AQ1238" s="15" t="s">
        <v>342</v>
      </c>
      <c r="AT1238" s="15" t="s">
        <v>2118</v>
      </c>
      <c r="AU1238" s="18" t="s">
        <v>2119</v>
      </c>
      <c r="AV1238" s="18" t="s">
        <v>2119</v>
      </c>
      <c r="AW1238" s="15" t="s">
        <v>2120</v>
      </c>
      <c r="AX1238" s="15" t="s">
        <v>2121</v>
      </c>
      <c r="AY1238" s="15">
        <f t="shared" si="24"/>
        <v>60</v>
      </c>
      <c r="AZ1238" s="18" t="s">
        <v>604</v>
      </c>
      <c r="BA1238" s="18" t="s">
        <v>483</v>
      </c>
      <c r="BB1238" s="18" t="s">
        <v>2122</v>
      </c>
      <c r="BE1238" s="18" t="s">
        <v>1175</v>
      </c>
      <c r="BJ1238" s="18" t="s">
        <v>2123</v>
      </c>
      <c r="BN1238" s="18" t="s">
        <v>179</v>
      </c>
      <c r="BP1238" s="18" t="s">
        <v>138</v>
      </c>
      <c r="BS1238" s="15" t="s">
        <v>2124</v>
      </c>
      <c r="DH1238" s="15" t="s">
        <v>17982</v>
      </c>
      <c r="DI1238" s="15" t="s">
        <v>17982</v>
      </c>
    </row>
    <row r="1239" spans="1:113" s="15" customFormat="1" ht="12.75" x14ac:dyDescent="0.2">
      <c r="A1239" s="15" t="s">
        <v>109</v>
      </c>
      <c r="B1239" s="15" t="s">
        <v>110</v>
      </c>
      <c r="D1239" s="15" t="s">
        <v>1481</v>
      </c>
      <c r="E1239" s="15" t="s">
        <v>112</v>
      </c>
      <c r="F1239" s="15" t="s">
        <v>1481</v>
      </c>
      <c r="G1239" s="15" t="s">
        <v>113</v>
      </c>
      <c r="H1239" s="15" t="s">
        <v>1481</v>
      </c>
      <c r="J1239" s="16" t="s">
        <v>114</v>
      </c>
      <c r="U1239" s="15" t="s">
        <v>17977</v>
      </c>
      <c r="W1239" s="15">
        <v>2948</v>
      </c>
      <c r="X1239" s="15">
        <v>1249</v>
      </c>
      <c r="Y1239" s="15" t="s">
        <v>160</v>
      </c>
      <c r="Z1239" s="15" t="s">
        <v>161</v>
      </c>
      <c r="AA1239" s="15" t="s">
        <v>162</v>
      </c>
      <c r="AB1239" s="15" t="s">
        <v>14512</v>
      </c>
      <c r="AC1239" s="15" t="s">
        <v>14512</v>
      </c>
      <c r="AD1239" s="15" t="s">
        <v>14513</v>
      </c>
      <c r="AE1239" s="15" t="s">
        <v>164</v>
      </c>
      <c r="AF1239" s="15" t="s">
        <v>14513</v>
      </c>
      <c r="AG1239" s="15" t="s">
        <v>14512</v>
      </c>
      <c r="AH1239" s="34" t="s">
        <v>14514</v>
      </c>
      <c r="AL1239" s="15" t="s">
        <v>14515</v>
      </c>
      <c r="AN1239" s="15">
        <v>743</v>
      </c>
      <c r="AO1239" s="15" t="s">
        <v>14516</v>
      </c>
      <c r="AQ1239" s="15" t="s">
        <v>3598</v>
      </c>
      <c r="AT1239" s="15" t="s">
        <v>14517</v>
      </c>
      <c r="AU1239" s="18" t="s">
        <v>14518</v>
      </c>
      <c r="AV1239" s="18" t="s">
        <v>14518</v>
      </c>
      <c r="AW1239" s="15" t="s">
        <v>14519</v>
      </c>
      <c r="AX1239" s="15" t="s">
        <v>14520</v>
      </c>
      <c r="AY1239" s="15">
        <f t="shared" si="24"/>
        <v>56</v>
      </c>
      <c r="AZ1239" s="18" t="s">
        <v>3603</v>
      </c>
      <c r="BA1239" s="18" t="s">
        <v>214</v>
      </c>
      <c r="BB1239" s="18" t="s">
        <v>4730</v>
      </c>
      <c r="BE1239" s="18" t="s">
        <v>1175</v>
      </c>
      <c r="BJ1239" s="18" t="s">
        <v>14500</v>
      </c>
      <c r="BN1239" s="18" t="s">
        <v>179</v>
      </c>
      <c r="BP1239" s="18" t="s">
        <v>138</v>
      </c>
      <c r="BS1239" s="15" t="s">
        <v>14521</v>
      </c>
      <c r="DH1239" s="15" t="s">
        <v>17982</v>
      </c>
      <c r="DI1239" s="15" t="s">
        <v>17982</v>
      </c>
    </row>
    <row r="1240" spans="1:113" s="15" customFormat="1" ht="12.75" x14ac:dyDescent="0.2">
      <c r="A1240" s="15" t="s">
        <v>109</v>
      </c>
      <c r="B1240" s="15" t="s">
        <v>110</v>
      </c>
      <c r="D1240" s="15" t="s">
        <v>1481</v>
      </c>
      <c r="E1240" s="15" t="s">
        <v>112</v>
      </c>
      <c r="F1240" s="15" t="s">
        <v>1481</v>
      </c>
      <c r="G1240" s="15" t="s">
        <v>113</v>
      </c>
      <c r="H1240" s="15" t="s">
        <v>1481</v>
      </c>
      <c r="J1240" s="16" t="s">
        <v>114</v>
      </c>
      <c r="U1240" s="15" t="s">
        <v>17977</v>
      </c>
      <c r="W1240" s="15">
        <v>2946</v>
      </c>
      <c r="X1240" s="15">
        <v>1250</v>
      </c>
      <c r="Y1240" s="15" t="s">
        <v>160</v>
      </c>
      <c r="Z1240" s="15" t="s">
        <v>161</v>
      </c>
      <c r="AA1240" s="15" t="s">
        <v>162</v>
      </c>
      <c r="AB1240" s="15" t="s">
        <v>14491</v>
      </c>
      <c r="AC1240" s="15" t="s">
        <v>14491</v>
      </c>
      <c r="AD1240" s="15" t="s">
        <v>14492</v>
      </c>
      <c r="AE1240" s="15" t="s">
        <v>164</v>
      </c>
      <c r="AF1240" s="15" t="s">
        <v>14492</v>
      </c>
      <c r="AG1240" s="15" t="s">
        <v>14491</v>
      </c>
      <c r="AH1240" s="34" t="s">
        <v>14493</v>
      </c>
      <c r="AL1240" s="15" t="s">
        <v>14494</v>
      </c>
      <c r="AN1240" s="15">
        <v>743</v>
      </c>
      <c r="AO1240" s="15" t="s">
        <v>14495</v>
      </c>
      <c r="AQ1240" s="15" t="s">
        <v>3598</v>
      </c>
      <c r="AT1240" s="15" t="s">
        <v>14496</v>
      </c>
      <c r="AU1240" s="18" t="s">
        <v>14497</v>
      </c>
      <c r="AV1240" s="18" t="s">
        <v>14497</v>
      </c>
      <c r="AW1240" s="15" t="s">
        <v>14498</v>
      </c>
      <c r="AX1240" s="15" t="s">
        <v>14499</v>
      </c>
      <c r="AY1240" s="15">
        <f t="shared" si="24"/>
        <v>59</v>
      </c>
      <c r="AZ1240" s="18" t="s">
        <v>3603</v>
      </c>
      <c r="BA1240" s="18" t="s">
        <v>214</v>
      </c>
      <c r="BB1240" s="18" t="s">
        <v>3604</v>
      </c>
      <c r="BE1240" s="18" t="s">
        <v>1175</v>
      </c>
      <c r="BJ1240" s="18" t="s">
        <v>14500</v>
      </c>
      <c r="BN1240" s="18" t="s">
        <v>179</v>
      </c>
      <c r="BP1240" s="18" t="s">
        <v>138</v>
      </c>
      <c r="BS1240" s="15" t="s">
        <v>14501</v>
      </c>
      <c r="DH1240" s="15" t="s">
        <v>17982</v>
      </c>
      <c r="DI1240" s="15" t="s">
        <v>17982</v>
      </c>
    </row>
    <row r="1241" spans="1:113" s="15" customFormat="1" ht="12.75" x14ac:dyDescent="0.2">
      <c r="A1241" s="15" t="s">
        <v>109</v>
      </c>
      <c r="B1241" s="15" t="s">
        <v>110</v>
      </c>
      <c r="D1241" s="15" t="s">
        <v>1481</v>
      </c>
      <c r="E1241" s="15" t="s">
        <v>112</v>
      </c>
      <c r="F1241" s="15" t="s">
        <v>1481</v>
      </c>
      <c r="G1241" s="15" t="s">
        <v>113</v>
      </c>
      <c r="H1241" s="15" t="s">
        <v>1481</v>
      </c>
      <c r="J1241" s="16" t="s">
        <v>114</v>
      </c>
      <c r="U1241" s="15" t="s">
        <v>17977</v>
      </c>
      <c r="W1241" s="15">
        <v>2947</v>
      </c>
      <c r="X1241" s="15">
        <v>1251</v>
      </c>
      <c r="Y1241" s="15" t="s">
        <v>160</v>
      </c>
      <c r="Z1241" s="15" t="s">
        <v>161</v>
      </c>
      <c r="AA1241" s="15" t="s">
        <v>162</v>
      </c>
      <c r="AB1241" s="15" t="s">
        <v>14502</v>
      </c>
      <c r="AC1241" s="15" t="s">
        <v>14502</v>
      </c>
      <c r="AD1241" s="15" t="s">
        <v>14503</v>
      </c>
      <c r="AE1241" s="15" t="s">
        <v>164</v>
      </c>
      <c r="AF1241" s="15" t="s">
        <v>14503</v>
      </c>
      <c r="AG1241" s="15" t="s">
        <v>14502</v>
      </c>
      <c r="AH1241" s="34" t="s">
        <v>14504</v>
      </c>
      <c r="AL1241" s="15" t="s">
        <v>14505</v>
      </c>
      <c r="AN1241" s="15">
        <v>743</v>
      </c>
      <c r="AO1241" s="15" t="s">
        <v>14506</v>
      </c>
      <c r="AQ1241" s="15" t="s">
        <v>3598</v>
      </c>
      <c r="AT1241" s="15" t="s">
        <v>14507</v>
      </c>
      <c r="AU1241" s="18" t="s">
        <v>14508</v>
      </c>
      <c r="AV1241" s="18" t="s">
        <v>14508</v>
      </c>
      <c r="AW1241" s="15" t="s">
        <v>14509</v>
      </c>
      <c r="AX1241" s="15" t="s">
        <v>14510</v>
      </c>
      <c r="AY1241" s="15">
        <f t="shared" si="24"/>
        <v>59</v>
      </c>
      <c r="AZ1241" s="18" t="s">
        <v>3603</v>
      </c>
      <c r="BA1241" s="18" t="s">
        <v>214</v>
      </c>
      <c r="BB1241" s="18" t="s">
        <v>3673</v>
      </c>
      <c r="BE1241" s="18" t="s">
        <v>1175</v>
      </c>
      <c r="BJ1241" s="18" t="s">
        <v>14500</v>
      </c>
      <c r="BN1241" s="18" t="s">
        <v>179</v>
      </c>
      <c r="BP1241" s="18" t="s">
        <v>138</v>
      </c>
      <c r="BS1241" s="15" t="s">
        <v>14511</v>
      </c>
      <c r="DH1241" s="15" t="s">
        <v>17982</v>
      </c>
      <c r="DI1241" s="15" t="s">
        <v>17982</v>
      </c>
    </row>
    <row r="1242" spans="1:113" s="15" customFormat="1" ht="12.75" x14ac:dyDescent="0.2">
      <c r="A1242" s="15" t="s">
        <v>109</v>
      </c>
      <c r="B1242" s="15" t="s">
        <v>110</v>
      </c>
      <c r="D1242" s="15" t="s">
        <v>1481</v>
      </c>
      <c r="E1242" s="15" t="s">
        <v>112</v>
      </c>
      <c r="F1242" s="15" t="s">
        <v>1481</v>
      </c>
      <c r="G1242" s="15" t="s">
        <v>113</v>
      </c>
      <c r="H1242" s="15" t="s">
        <v>1481</v>
      </c>
      <c r="J1242" s="16" t="s">
        <v>114</v>
      </c>
      <c r="U1242" s="15" t="s">
        <v>17977</v>
      </c>
      <c r="W1242" s="15">
        <v>2797</v>
      </c>
      <c r="X1242" s="15">
        <v>1252</v>
      </c>
      <c r="Y1242" s="15" t="s">
        <v>160</v>
      </c>
      <c r="Z1242" s="15" t="s">
        <v>161</v>
      </c>
      <c r="AA1242" s="15" t="s">
        <v>162</v>
      </c>
      <c r="AB1242" s="15" t="s">
        <v>13583</v>
      </c>
      <c r="AC1242" s="15" t="s">
        <v>13583</v>
      </c>
      <c r="AD1242" s="15" t="s">
        <v>13583</v>
      </c>
      <c r="AE1242" s="15" t="s">
        <v>164</v>
      </c>
      <c r="AF1242" s="15" t="s">
        <v>13583</v>
      </c>
      <c r="AG1242" s="15" t="s">
        <v>13583</v>
      </c>
      <c r="AH1242" s="34" t="s">
        <v>13584</v>
      </c>
      <c r="AL1242" s="15" t="s">
        <v>13585</v>
      </c>
      <c r="AN1242" s="15">
        <v>743</v>
      </c>
      <c r="AO1242" s="15" t="s">
        <v>13586</v>
      </c>
      <c r="AQ1242" s="15" t="s">
        <v>13587</v>
      </c>
      <c r="AT1242" s="15" t="s">
        <v>13588</v>
      </c>
      <c r="AU1242" s="18" t="s">
        <v>13589</v>
      </c>
      <c r="AV1242" s="18" t="s">
        <v>13589</v>
      </c>
      <c r="AW1242" s="15" t="s">
        <v>13590</v>
      </c>
      <c r="AX1242" s="15" t="s">
        <v>13590</v>
      </c>
      <c r="AY1242" s="15">
        <f t="shared" si="24"/>
        <v>60</v>
      </c>
      <c r="AZ1242" s="18" t="s">
        <v>13591</v>
      </c>
      <c r="BA1242" s="18" t="s">
        <v>13592</v>
      </c>
      <c r="BB1242" s="18" t="s">
        <v>13593</v>
      </c>
      <c r="BE1242" s="18" t="s">
        <v>13594</v>
      </c>
      <c r="BJ1242" s="18" t="s">
        <v>13595</v>
      </c>
      <c r="BN1242" s="18" t="s">
        <v>179</v>
      </c>
      <c r="BP1242" s="18" t="s">
        <v>138</v>
      </c>
      <c r="BS1242" s="15" t="s">
        <v>13596</v>
      </c>
      <c r="DH1242" s="15" t="s">
        <v>17982</v>
      </c>
      <c r="DI1242" s="15" t="s">
        <v>17982</v>
      </c>
    </row>
    <row r="1243" spans="1:113" s="15" customFormat="1" ht="12.75" x14ac:dyDescent="0.2">
      <c r="A1243" s="15" t="s">
        <v>109</v>
      </c>
      <c r="B1243" s="15" t="s">
        <v>110</v>
      </c>
      <c r="D1243" s="15" t="s">
        <v>1481</v>
      </c>
      <c r="E1243" s="15" t="s">
        <v>112</v>
      </c>
      <c r="F1243" s="15" t="s">
        <v>1481</v>
      </c>
      <c r="G1243" s="15" t="s">
        <v>113</v>
      </c>
      <c r="H1243" s="15" t="s">
        <v>1481</v>
      </c>
      <c r="J1243" s="16" t="s">
        <v>114</v>
      </c>
      <c r="U1243" s="15" t="s">
        <v>17977</v>
      </c>
      <c r="W1243" s="15">
        <v>2964</v>
      </c>
      <c r="X1243" s="15">
        <v>1253</v>
      </c>
      <c r="Y1243" s="15" t="s">
        <v>160</v>
      </c>
      <c r="Z1243" s="15" t="s">
        <v>161</v>
      </c>
      <c r="AA1243" s="15" t="s">
        <v>162</v>
      </c>
      <c r="AB1243" s="15" t="s">
        <v>14543</v>
      </c>
      <c r="AC1243" s="15" t="s">
        <v>14543</v>
      </c>
      <c r="AD1243" s="15" t="s">
        <v>14543</v>
      </c>
      <c r="AE1243" s="15" t="s">
        <v>164</v>
      </c>
      <c r="AF1243" s="15" t="s">
        <v>14543</v>
      </c>
      <c r="AG1243" s="15" t="s">
        <v>14543</v>
      </c>
      <c r="AH1243" s="34" t="s">
        <v>14544</v>
      </c>
      <c r="AL1243" s="15" t="s">
        <v>14545</v>
      </c>
      <c r="AN1243" s="15">
        <v>743</v>
      </c>
      <c r="AO1243" s="15" t="s">
        <v>14546</v>
      </c>
      <c r="AQ1243" s="15" t="s">
        <v>342</v>
      </c>
      <c r="AT1243" s="15" t="s">
        <v>14547</v>
      </c>
      <c r="AU1243" s="18" t="s">
        <v>14548</v>
      </c>
      <c r="AV1243" s="18" t="s">
        <v>14548</v>
      </c>
      <c r="AW1243" s="15" t="s">
        <v>14549</v>
      </c>
      <c r="AX1243" s="15" t="s">
        <v>14550</v>
      </c>
      <c r="AY1243" s="15">
        <f t="shared" si="24"/>
        <v>58</v>
      </c>
      <c r="AZ1243" s="18" t="s">
        <v>482</v>
      </c>
      <c r="BA1243" s="18" t="s">
        <v>483</v>
      </c>
      <c r="BB1243" s="18" t="s">
        <v>814</v>
      </c>
      <c r="BE1243" s="18" t="s">
        <v>485</v>
      </c>
      <c r="BJ1243" s="18" t="s">
        <v>14551</v>
      </c>
      <c r="BN1243" s="18" t="s">
        <v>179</v>
      </c>
      <c r="BP1243" s="18" t="s">
        <v>138</v>
      </c>
      <c r="BS1243" s="15" t="s">
        <v>14552</v>
      </c>
      <c r="DH1243" s="15" t="s">
        <v>17982</v>
      </c>
      <c r="DI1243" s="15" t="s">
        <v>17982</v>
      </c>
    </row>
    <row r="1244" spans="1:113" s="15" customFormat="1" ht="12.75" x14ac:dyDescent="0.2">
      <c r="A1244" s="15" t="s">
        <v>109</v>
      </c>
      <c r="B1244" s="15" t="s">
        <v>110</v>
      </c>
      <c r="D1244" s="15" t="s">
        <v>1481</v>
      </c>
      <c r="E1244" s="15" t="s">
        <v>112</v>
      </c>
      <c r="F1244" s="15" t="s">
        <v>1481</v>
      </c>
      <c r="G1244" s="15" t="s">
        <v>113</v>
      </c>
      <c r="H1244" s="15" t="s">
        <v>1481</v>
      </c>
      <c r="J1244" s="16" t="s">
        <v>114</v>
      </c>
      <c r="U1244" s="15" t="s">
        <v>17977</v>
      </c>
      <c r="W1244" s="15">
        <v>2966</v>
      </c>
      <c r="X1244" s="15">
        <v>1254</v>
      </c>
      <c r="Y1244" s="15" t="s">
        <v>160</v>
      </c>
      <c r="Z1244" s="15" t="s">
        <v>161</v>
      </c>
      <c r="AA1244" s="15" t="s">
        <v>162</v>
      </c>
      <c r="AB1244" s="15" t="s">
        <v>14563</v>
      </c>
      <c r="AC1244" s="15" t="s">
        <v>14563</v>
      </c>
      <c r="AD1244" s="15" t="s">
        <v>14563</v>
      </c>
      <c r="AE1244" s="15" t="s">
        <v>164</v>
      </c>
      <c r="AF1244" s="15" t="s">
        <v>14563</v>
      </c>
      <c r="AG1244" s="15" t="s">
        <v>14563</v>
      </c>
      <c r="AH1244" s="34" t="s">
        <v>14564</v>
      </c>
      <c r="AL1244" s="15" t="s">
        <v>14565</v>
      </c>
      <c r="AN1244" s="15">
        <v>743</v>
      </c>
      <c r="AO1244" s="15" t="s">
        <v>14566</v>
      </c>
      <c r="AQ1244" s="15" t="s">
        <v>342</v>
      </c>
      <c r="AT1244" s="15" t="s">
        <v>14557</v>
      </c>
      <c r="AU1244" s="18" t="s">
        <v>14567</v>
      </c>
      <c r="AV1244" s="18" t="s">
        <v>14567</v>
      </c>
      <c r="AW1244" s="15" t="s">
        <v>14568</v>
      </c>
      <c r="AX1244" s="15" t="s">
        <v>14569</v>
      </c>
      <c r="AY1244" s="15">
        <f t="shared" si="24"/>
        <v>58</v>
      </c>
      <c r="AZ1244" s="18" t="s">
        <v>482</v>
      </c>
      <c r="BA1244" s="18" t="s">
        <v>483</v>
      </c>
      <c r="BB1244" s="18" t="s">
        <v>10726</v>
      </c>
      <c r="BE1244" s="18" t="s">
        <v>485</v>
      </c>
      <c r="BJ1244" s="18" t="s">
        <v>14551</v>
      </c>
      <c r="BN1244" s="18" t="s">
        <v>179</v>
      </c>
      <c r="BP1244" s="18" t="s">
        <v>138</v>
      </c>
      <c r="BS1244" s="15" t="s">
        <v>14570</v>
      </c>
      <c r="DH1244" s="15" t="s">
        <v>17982</v>
      </c>
      <c r="DI1244" s="15" t="s">
        <v>17982</v>
      </c>
    </row>
    <row r="1245" spans="1:113" s="15" customFormat="1" ht="12.75" x14ac:dyDescent="0.2">
      <c r="A1245" s="15" t="s">
        <v>109</v>
      </c>
      <c r="B1245" s="15" t="s">
        <v>110</v>
      </c>
      <c r="D1245" s="15" t="s">
        <v>1481</v>
      </c>
      <c r="E1245" s="15" t="s">
        <v>112</v>
      </c>
      <c r="F1245" s="15" t="s">
        <v>1481</v>
      </c>
      <c r="G1245" s="15" t="s">
        <v>113</v>
      </c>
      <c r="H1245" s="15" t="s">
        <v>1481</v>
      </c>
      <c r="J1245" s="16" t="s">
        <v>114</v>
      </c>
      <c r="U1245" s="15" t="s">
        <v>17977</v>
      </c>
      <c r="W1245" s="15">
        <v>2965</v>
      </c>
      <c r="X1245" s="15">
        <v>1255</v>
      </c>
      <c r="Y1245" s="15" t="s">
        <v>160</v>
      </c>
      <c r="Z1245" s="15" t="s">
        <v>161</v>
      </c>
      <c r="AA1245" s="15" t="s">
        <v>162</v>
      </c>
      <c r="AB1245" s="15" t="s">
        <v>14553</v>
      </c>
      <c r="AC1245" s="15" t="s">
        <v>14553</v>
      </c>
      <c r="AD1245" s="15" t="s">
        <v>14553</v>
      </c>
      <c r="AE1245" s="15" t="s">
        <v>164</v>
      </c>
      <c r="AF1245" s="15" t="s">
        <v>14553</v>
      </c>
      <c r="AG1245" s="15" t="s">
        <v>14553</v>
      </c>
      <c r="AH1245" s="34" t="s">
        <v>14554</v>
      </c>
      <c r="AL1245" s="15" t="s">
        <v>14555</v>
      </c>
      <c r="AN1245" s="15">
        <v>743</v>
      </c>
      <c r="AO1245" s="15" t="s">
        <v>14556</v>
      </c>
      <c r="AQ1245" s="15" t="s">
        <v>342</v>
      </c>
      <c r="AT1245" s="15" t="s">
        <v>14557</v>
      </c>
      <c r="AU1245" s="18" t="s">
        <v>14558</v>
      </c>
      <c r="AV1245" s="18" t="s">
        <v>14558</v>
      </c>
      <c r="AW1245" s="15" t="s">
        <v>14559</v>
      </c>
      <c r="AX1245" s="15" t="s">
        <v>14560</v>
      </c>
      <c r="AY1245" s="15">
        <f t="shared" si="24"/>
        <v>59</v>
      </c>
      <c r="AZ1245" s="18" t="s">
        <v>482</v>
      </c>
      <c r="BA1245" s="18" t="s">
        <v>483</v>
      </c>
      <c r="BB1245" s="18" t="s">
        <v>10726</v>
      </c>
      <c r="BE1245" s="18" t="s">
        <v>485</v>
      </c>
      <c r="BJ1245" s="18" t="s">
        <v>14561</v>
      </c>
      <c r="BN1245" s="18" t="s">
        <v>179</v>
      </c>
      <c r="BP1245" s="18" t="s">
        <v>138</v>
      </c>
      <c r="BS1245" s="15" t="s">
        <v>14562</v>
      </c>
      <c r="DH1245" s="15" t="s">
        <v>17982</v>
      </c>
      <c r="DI1245" s="15" t="s">
        <v>17982</v>
      </c>
    </row>
    <row r="1246" spans="1:113" s="15" customFormat="1" ht="12.75" x14ac:dyDescent="0.2">
      <c r="A1246" s="15" t="s">
        <v>109</v>
      </c>
      <c r="B1246" s="15" t="s">
        <v>110</v>
      </c>
      <c r="D1246" s="15" t="s">
        <v>1481</v>
      </c>
      <c r="E1246" s="15" t="s">
        <v>112</v>
      </c>
      <c r="F1246" s="15" t="s">
        <v>1481</v>
      </c>
      <c r="G1246" s="15" t="s">
        <v>113</v>
      </c>
      <c r="H1246" s="15" t="s">
        <v>1481</v>
      </c>
      <c r="J1246" s="16" t="s">
        <v>114</v>
      </c>
      <c r="U1246" s="15" t="s">
        <v>17977</v>
      </c>
      <c r="W1246" s="15">
        <v>359</v>
      </c>
      <c r="X1246" s="15">
        <v>1256</v>
      </c>
      <c r="Y1246" s="15" t="s">
        <v>160</v>
      </c>
      <c r="Z1246" s="15" t="s">
        <v>161</v>
      </c>
      <c r="AA1246" s="15" t="s">
        <v>162</v>
      </c>
      <c r="AB1246" s="15" t="s">
        <v>1482</v>
      </c>
      <c r="AC1246" s="15" t="s">
        <v>1482</v>
      </c>
      <c r="AD1246" s="15" t="s">
        <v>1482</v>
      </c>
      <c r="AE1246" s="15" t="s">
        <v>164</v>
      </c>
      <c r="AF1246" s="15" t="s">
        <v>1482</v>
      </c>
      <c r="AG1246" s="15" t="s">
        <v>1482</v>
      </c>
      <c r="AH1246" s="34" t="s">
        <v>1483</v>
      </c>
      <c r="AL1246" s="15" t="s">
        <v>1484</v>
      </c>
      <c r="AN1246" s="15">
        <v>743</v>
      </c>
      <c r="AO1246" s="15" t="s">
        <v>1485</v>
      </c>
      <c r="AQ1246" s="15" t="s">
        <v>342</v>
      </c>
      <c r="AT1246" s="15" t="s">
        <v>1486</v>
      </c>
      <c r="AU1246" s="18" t="s">
        <v>1487</v>
      </c>
      <c r="AV1246" s="18" t="s">
        <v>1487</v>
      </c>
      <c r="AW1246" s="15" t="s">
        <v>1488</v>
      </c>
      <c r="AX1246" s="15" t="s">
        <v>1489</v>
      </c>
      <c r="AY1246" s="15">
        <f t="shared" si="24"/>
        <v>58</v>
      </c>
      <c r="AZ1246" s="18" t="s">
        <v>482</v>
      </c>
      <c r="BA1246" s="18" t="s">
        <v>483</v>
      </c>
      <c r="BB1246" s="18" t="s">
        <v>1490</v>
      </c>
      <c r="BE1246" s="18" t="s">
        <v>512</v>
      </c>
      <c r="BF1246" s="18" t="s">
        <v>1491</v>
      </c>
      <c r="BJ1246" s="18" t="s">
        <v>1492</v>
      </c>
      <c r="BK1246" s="18" t="s">
        <v>487</v>
      </c>
      <c r="BN1246" s="18" t="s">
        <v>179</v>
      </c>
      <c r="BP1246" s="18" t="s">
        <v>138</v>
      </c>
      <c r="BR1246" s="18" t="s">
        <v>173</v>
      </c>
      <c r="BS1246" s="15" t="s">
        <v>1493</v>
      </c>
      <c r="DH1246" s="15" t="s">
        <v>17982</v>
      </c>
      <c r="DI1246" s="15" t="s">
        <v>17982</v>
      </c>
    </row>
    <row r="1247" spans="1:113" s="15" customFormat="1" ht="12.75" x14ac:dyDescent="0.2">
      <c r="A1247" s="15" t="s">
        <v>109</v>
      </c>
      <c r="B1247" s="15" t="s">
        <v>110</v>
      </c>
      <c r="D1247" s="15" t="s">
        <v>472</v>
      </c>
      <c r="E1247" s="15" t="s">
        <v>112</v>
      </c>
      <c r="F1247" s="15" t="s">
        <v>472</v>
      </c>
      <c r="G1247" s="15" t="s">
        <v>113</v>
      </c>
      <c r="H1247" s="15" t="s">
        <v>1481</v>
      </c>
      <c r="J1247" s="16" t="s">
        <v>114</v>
      </c>
      <c r="U1247" s="15" t="s">
        <v>17977</v>
      </c>
      <c r="W1247" s="15">
        <v>2278</v>
      </c>
      <c r="X1247" s="15">
        <v>1257</v>
      </c>
      <c r="Y1247" s="15" t="s">
        <v>160</v>
      </c>
      <c r="Z1247" s="15" t="s">
        <v>161</v>
      </c>
      <c r="AA1247" s="15" t="s">
        <v>162</v>
      </c>
      <c r="AB1247" s="15" t="s">
        <v>11328</v>
      </c>
      <c r="AC1247" s="15" t="s">
        <v>11328</v>
      </c>
      <c r="AD1247" s="15" t="s">
        <v>11328</v>
      </c>
      <c r="AE1247" s="15" t="s">
        <v>164</v>
      </c>
      <c r="AF1247" s="15" t="s">
        <v>11328</v>
      </c>
      <c r="AG1247" s="25" t="s">
        <v>11328</v>
      </c>
      <c r="AH1247" s="34" t="s">
        <v>11329</v>
      </c>
      <c r="AL1247" s="15" t="s">
        <v>11330</v>
      </c>
      <c r="AN1247" s="15">
        <v>743</v>
      </c>
      <c r="AO1247" s="15" t="s">
        <v>11331</v>
      </c>
      <c r="AQ1247" s="17" t="s">
        <v>3622</v>
      </c>
      <c r="AT1247" s="15" t="s">
        <v>11332</v>
      </c>
      <c r="AU1247" s="15" t="s">
        <v>11333</v>
      </c>
      <c r="AV1247" s="15" t="s">
        <v>11333</v>
      </c>
      <c r="AW1247" s="18" t="s">
        <v>11334</v>
      </c>
      <c r="AX1247" s="18" t="s">
        <v>11335</v>
      </c>
      <c r="AY1247" s="23">
        <f t="shared" ref="AY1247:AY1278" si="25">LEN(SUBSTITUTE(AX1247, ", ",","))</f>
        <v>54</v>
      </c>
      <c r="AZ1247" s="18" t="s">
        <v>393</v>
      </c>
      <c r="BA1247" s="18" t="s">
        <v>483</v>
      </c>
      <c r="BB1247" s="18" t="s">
        <v>3604</v>
      </c>
      <c r="BC1247" s="18" t="s">
        <v>646</v>
      </c>
      <c r="BD1247" s="18"/>
      <c r="BE1247" s="18" t="s">
        <v>512</v>
      </c>
      <c r="BF1247" s="18"/>
      <c r="BG1247" s="18"/>
      <c r="BH1247" s="18"/>
      <c r="BI1247" s="18"/>
      <c r="BJ1247" s="32" t="s">
        <v>11336</v>
      </c>
      <c r="BK1247" s="18" t="s">
        <v>487</v>
      </c>
      <c r="BL1247" s="18"/>
      <c r="BM1247" s="18"/>
      <c r="BN1247" s="18" t="s">
        <v>179</v>
      </c>
      <c r="BO1247" s="18"/>
      <c r="BP1247" s="18" t="s">
        <v>138</v>
      </c>
      <c r="BQ1247" s="18"/>
      <c r="BR1247" s="18"/>
      <c r="BS1247" s="15" t="s">
        <v>11337</v>
      </c>
      <c r="DH1247" s="15" t="s">
        <v>17982</v>
      </c>
      <c r="DI1247" s="15" t="s">
        <v>17982</v>
      </c>
    </row>
    <row r="1248" spans="1:113" s="15" customFormat="1" ht="12.75" x14ac:dyDescent="0.2">
      <c r="A1248" s="15" t="s">
        <v>109</v>
      </c>
      <c r="B1248" s="15" t="s">
        <v>110</v>
      </c>
      <c r="D1248" s="15" t="s">
        <v>472</v>
      </c>
      <c r="E1248" s="15" t="s">
        <v>112</v>
      </c>
      <c r="F1248" s="15" t="s">
        <v>472</v>
      </c>
      <c r="G1248" s="15" t="s">
        <v>113</v>
      </c>
      <c r="H1248" s="15" t="s">
        <v>1481</v>
      </c>
      <c r="J1248" s="16" t="s">
        <v>114</v>
      </c>
      <c r="U1248" s="15" t="s">
        <v>17977</v>
      </c>
      <c r="W1248" s="15">
        <v>2279</v>
      </c>
      <c r="X1248" s="15">
        <v>1258</v>
      </c>
      <c r="Y1248" s="15" t="s">
        <v>160</v>
      </c>
      <c r="Z1248" s="15" t="s">
        <v>161</v>
      </c>
      <c r="AA1248" s="15" t="s">
        <v>162</v>
      </c>
      <c r="AB1248" s="15" t="s">
        <v>11338</v>
      </c>
      <c r="AC1248" s="15" t="s">
        <v>11338</v>
      </c>
      <c r="AD1248" s="15" t="s">
        <v>11338</v>
      </c>
      <c r="AE1248" s="15" t="s">
        <v>164</v>
      </c>
      <c r="AF1248" s="15" t="s">
        <v>11338</v>
      </c>
      <c r="AG1248" s="25" t="s">
        <v>11338</v>
      </c>
      <c r="AH1248" s="34" t="s">
        <v>11339</v>
      </c>
      <c r="AL1248" s="15" t="s">
        <v>11340</v>
      </c>
      <c r="AN1248" s="15">
        <v>743</v>
      </c>
      <c r="AO1248" s="15" t="s">
        <v>11341</v>
      </c>
      <c r="AQ1248" s="17" t="s">
        <v>3622</v>
      </c>
      <c r="AT1248" s="15" t="s">
        <v>11342</v>
      </c>
      <c r="AU1248" s="15" t="s">
        <v>11343</v>
      </c>
      <c r="AV1248" s="15" t="s">
        <v>11343</v>
      </c>
      <c r="AW1248" s="18" t="s">
        <v>11344</v>
      </c>
      <c r="AX1248" s="18" t="s">
        <v>11345</v>
      </c>
      <c r="AY1248" s="23">
        <f t="shared" si="25"/>
        <v>59</v>
      </c>
      <c r="AZ1248" s="18" t="s">
        <v>393</v>
      </c>
      <c r="BA1248" s="18" t="s">
        <v>483</v>
      </c>
      <c r="BB1248" s="18" t="s">
        <v>4730</v>
      </c>
      <c r="BC1248" s="18" t="s">
        <v>646</v>
      </c>
      <c r="BD1248" s="18"/>
      <c r="BE1248" s="18" t="s">
        <v>512</v>
      </c>
      <c r="BF1248" s="18"/>
      <c r="BG1248" s="18"/>
      <c r="BH1248" s="18"/>
      <c r="BI1248" s="18"/>
      <c r="BJ1248" s="32" t="s">
        <v>11336</v>
      </c>
      <c r="BK1248" s="18" t="s">
        <v>487</v>
      </c>
      <c r="BL1248" s="18"/>
      <c r="BM1248" s="18"/>
      <c r="BN1248" s="18" t="s">
        <v>179</v>
      </c>
      <c r="BO1248" s="18"/>
      <c r="BP1248" s="18" t="s">
        <v>138</v>
      </c>
      <c r="BQ1248" s="18"/>
      <c r="BR1248" s="18"/>
      <c r="BS1248" s="15" t="s">
        <v>11346</v>
      </c>
      <c r="DH1248" s="15" t="s">
        <v>17982</v>
      </c>
      <c r="DI1248" s="15" t="s">
        <v>17982</v>
      </c>
    </row>
    <row r="1249" spans="1:113" s="15" customFormat="1" ht="12.75" x14ac:dyDescent="0.2">
      <c r="A1249" s="15" t="s">
        <v>109</v>
      </c>
      <c r="B1249" s="15" t="s">
        <v>110</v>
      </c>
      <c r="D1249" s="15" t="s">
        <v>472</v>
      </c>
      <c r="E1249" s="15" t="s">
        <v>112</v>
      </c>
      <c r="F1249" s="15" t="s">
        <v>472</v>
      </c>
      <c r="G1249" s="15" t="s">
        <v>113</v>
      </c>
      <c r="H1249" s="15" t="s">
        <v>1481</v>
      </c>
      <c r="J1249" s="16" t="s">
        <v>114</v>
      </c>
      <c r="U1249" s="15" t="s">
        <v>17977</v>
      </c>
      <c r="W1249" s="15">
        <v>3143</v>
      </c>
      <c r="X1249" s="15">
        <v>1259</v>
      </c>
      <c r="Y1249" s="15" t="s">
        <v>160</v>
      </c>
      <c r="Z1249" s="15" t="s">
        <v>161</v>
      </c>
      <c r="AA1249" s="15" t="s">
        <v>162</v>
      </c>
      <c r="AB1249" s="15" t="s">
        <v>15145</v>
      </c>
      <c r="AC1249" s="15" t="s">
        <v>15145</v>
      </c>
      <c r="AD1249" s="15" t="s">
        <v>15145</v>
      </c>
      <c r="AE1249" s="15" t="s">
        <v>164</v>
      </c>
      <c r="AF1249" s="15" t="s">
        <v>15145</v>
      </c>
      <c r="AG1249" s="25" t="s">
        <v>15145</v>
      </c>
      <c r="AH1249" s="34" t="s">
        <v>15146</v>
      </c>
      <c r="AL1249" s="15" t="s">
        <v>15147</v>
      </c>
      <c r="AN1249" s="15">
        <v>743</v>
      </c>
      <c r="AO1249" s="15" t="s">
        <v>15148</v>
      </c>
      <c r="AQ1249" s="17" t="s">
        <v>3622</v>
      </c>
      <c r="AT1249" s="15" t="s">
        <v>15149</v>
      </c>
      <c r="AU1249" s="15" t="s">
        <v>15150</v>
      </c>
      <c r="AV1249" s="15" t="s">
        <v>15150</v>
      </c>
      <c r="AW1249" s="18" t="s">
        <v>15151</v>
      </c>
      <c r="AX1249" s="18" t="s">
        <v>15152</v>
      </c>
      <c r="AY1249" s="23">
        <f t="shared" si="25"/>
        <v>56</v>
      </c>
      <c r="AZ1249" s="18" t="s">
        <v>393</v>
      </c>
      <c r="BA1249" s="18" t="s">
        <v>483</v>
      </c>
      <c r="BB1249" s="18" t="s">
        <v>4730</v>
      </c>
      <c r="BC1249" s="18"/>
      <c r="BD1249" s="18"/>
      <c r="BE1249" s="18" t="s">
        <v>512</v>
      </c>
      <c r="BF1249" s="18"/>
      <c r="BG1249" s="18"/>
      <c r="BH1249" s="18"/>
      <c r="BI1249" s="18"/>
      <c r="BJ1249" s="32" t="s">
        <v>15153</v>
      </c>
      <c r="BK1249" s="18" t="s">
        <v>487</v>
      </c>
      <c r="BL1249" s="18"/>
      <c r="BM1249" s="18"/>
      <c r="BN1249" s="18" t="s">
        <v>179</v>
      </c>
      <c r="BO1249" s="18"/>
      <c r="BP1249" s="18" t="s">
        <v>138</v>
      </c>
      <c r="BQ1249" s="18"/>
      <c r="BR1249" s="18"/>
      <c r="BS1249" s="15" t="s">
        <v>15154</v>
      </c>
      <c r="DH1249" s="15" t="s">
        <v>17982</v>
      </c>
      <c r="DI1249" s="15" t="s">
        <v>17982</v>
      </c>
    </row>
    <row r="1250" spans="1:113" s="15" customFormat="1" ht="12.75" x14ac:dyDescent="0.2">
      <c r="A1250" s="15" t="s">
        <v>109</v>
      </c>
      <c r="B1250" s="15" t="s">
        <v>110</v>
      </c>
      <c r="D1250" s="15" t="s">
        <v>472</v>
      </c>
      <c r="E1250" s="15" t="s">
        <v>112</v>
      </c>
      <c r="F1250" s="15" t="s">
        <v>472</v>
      </c>
      <c r="G1250" s="15" t="s">
        <v>113</v>
      </c>
      <c r="H1250" s="15" t="s">
        <v>1481</v>
      </c>
      <c r="J1250" s="16" t="s">
        <v>114</v>
      </c>
      <c r="U1250" s="15" t="s">
        <v>17977</v>
      </c>
      <c r="W1250" s="15">
        <v>3144</v>
      </c>
      <c r="X1250" s="15">
        <v>1260</v>
      </c>
      <c r="Y1250" s="15" t="s">
        <v>160</v>
      </c>
      <c r="Z1250" s="15" t="s">
        <v>161</v>
      </c>
      <c r="AA1250" s="15" t="s">
        <v>162</v>
      </c>
      <c r="AB1250" s="15" t="s">
        <v>15155</v>
      </c>
      <c r="AC1250" s="15" t="s">
        <v>15155</v>
      </c>
      <c r="AD1250" s="15" t="s">
        <v>15156</v>
      </c>
      <c r="AE1250" s="15" t="s">
        <v>164</v>
      </c>
      <c r="AF1250" s="15" t="s">
        <v>15156</v>
      </c>
      <c r="AG1250" s="25" t="s">
        <v>15155</v>
      </c>
      <c r="AH1250" s="34" t="s">
        <v>15157</v>
      </c>
      <c r="AL1250" s="15" t="s">
        <v>15158</v>
      </c>
      <c r="AN1250" s="15">
        <v>743</v>
      </c>
      <c r="AO1250" s="15" t="s">
        <v>15159</v>
      </c>
      <c r="AQ1250" s="17" t="s">
        <v>3622</v>
      </c>
      <c r="AT1250" s="15" t="s">
        <v>15160</v>
      </c>
      <c r="AU1250" s="15" t="s">
        <v>15161</v>
      </c>
      <c r="AV1250" s="15" t="s">
        <v>15161</v>
      </c>
      <c r="AW1250" s="18" t="s">
        <v>15162</v>
      </c>
      <c r="AX1250" s="18" t="s">
        <v>15163</v>
      </c>
      <c r="AY1250" s="23">
        <f t="shared" si="25"/>
        <v>56</v>
      </c>
      <c r="AZ1250" s="18" t="s">
        <v>393</v>
      </c>
      <c r="BA1250" s="18" t="s">
        <v>483</v>
      </c>
      <c r="BB1250" s="18" t="s">
        <v>4730</v>
      </c>
      <c r="BC1250" s="18"/>
      <c r="BD1250" s="18"/>
      <c r="BE1250" s="18" t="s">
        <v>499</v>
      </c>
      <c r="BF1250" s="18"/>
      <c r="BG1250" s="18"/>
      <c r="BH1250" s="18"/>
      <c r="BI1250" s="18"/>
      <c r="BJ1250" s="32" t="s">
        <v>15153</v>
      </c>
      <c r="BK1250" s="18" t="s">
        <v>487</v>
      </c>
      <c r="BL1250" s="18"/>
      <c r="BM1250" s="18"/>
      <c r="BN1250" s="18" t="s">
        <v>179</v>
      </c>
      <c r="BO1250" s="18"/>
      <c r="BP1250" s="18" t="s">
        <v>138</v>
      </c>
      <c r="BQ1250" s="18"/>
      <c r="BR1250" s="18"/>
      <c r="BS1250" s="15" t="s">
        <v>15164</v>
      </c>
      <c r="DH1250" s="15" t="s">
        <v>17982</v>
      </c>
      <c r="DI1250" s="15" t="s">
        <v>17982</v>
      </c>
    </row>
    <row r="1251" spans="1:113" s="15" customFormat="1" ht="12.75" x14ac:dyDescent="0.2">
      <c r="A1251" s="15" t="s">
        <v>109</v>
      </c>
      <c r="B1251" s="15" t="s">
        <v>110</v>
      </c>
      <c r="D1251" s="15" t="s">
        <v>472</v>
      </c>
      <c r="E1251" s="15" t="s">
        <v>112</v>
      </c>
      <c r="F1251" s="15" t="s">
        <v>472</v>
      </c>
      <c r="G1251" s="15" t="s">
        <v>113</v>
      </c>
      <c r="H1251" s="15" t="s">
        <v>1481</v>
      </c>
      <c r="J1251" s="16" t="s">
        <v>114</v>
      </c>
      <c r="U1251" s="15" t="s">
        <v>17977</v>
      </c>
      <c r="W1251" s="15">
        <v>3145</v>
      </c>
      <c r="X1251" s="15">
        <v>1261</v>
      </c>
      <c r="Y1251" s="15" t="s">
        <v>160</v>
      </c>
      <c r="Z1251" s="15" t="s">
        <v>161</v>
      </c>
      <c r="AA1251" s="15" t="s">
        <v>162</v>
      </c>
      <c r="AB1251" s="15" t="s">
        <v>15165</v>
      </c>
      <c r="AC1251" s="15" t="s">
        <v>15165</v>
      </c>
      <c r="AD1251" s="15" t="s">
        <v>15165</v>
      </c>
      <c r="AE1251" s="15" t="s">
        <v>164</v>
      </c>
      <c r="AF1251" s="15" t="s">
        <v>15165</v>
      </c>
      <c r="AG1251" s="25" t="s">
        <v>15165</v>
      </c>
      <c r="AH1251" s="34" t="s">
        <v>15166</v>
      </c>
      <c r="AL1251" s="15" t="s">
        <v>15167</v>
      </c>
      <c r="AN1251" s="15">
        <v>743</v>
      </c>
      <c r="AO1251" s="15" t="s">
        <v>15168</v>
      </c>
      <c r="AQ1251" s="17" t="s">
        <v>3622</v>
      </c>
      <c r="AT1251" s="15" t="s">
        <v>15169</v>
      </c>
      <c r="AU1251" s="15" t="s">
        <v>15170</v>
      </c>
      <c r="AV1251" s="15" t="s">
        <v>15170</v>
      </c>
      <c r="AW1251" s="18" t="s">
        <v>15171</v>
      </c>
      <c r="AX1251" s="18" t="s">
        <v>15172</v>
      </c>
      <c r="AY1251" s="23">
        <f t="shared" si="25"/>
        <v>58</v>
      </c>
      <c r="AZ1251" s="18" t="s">
        <v>393</v>
      </c>
      <c r="BA1251" s="18" t="s">
        <v>483</v>
      </c>
      <c r="BB1251" s="18" t="s">
        <v>4919</v>
      </c>
      <c r="BC1251" s="18"/>
      <c r="BD1251" s="18"/>
      <c r="BE1251" s="18" t="s">
        <v>512</v>
      </c>
      <c r="BF1251" s="18"/>
      <c r="BG1251" s="18"/>
      <c r="BH1251" s="18"/>
      <c r="BI1251" s="18"/>
      <c r="BJ1251" s="32" t="s">
        <v>15173</v>
      </c>
      <c r="BK1251" s="18" t="s">
        <v>487</v>
      </c>
      <c r="BL1251" s="18"/>
      <c r="BM1251" s="18"/>
      <c r="BN1251" s="18" t="s">
        <v>179</v>
      </c>
      <c r="BO1251" s="18"/>
      <c r="BP1251" s="18" t="s">
        <v>138</v>
      </c>
      <c r="BQ1251" s="18"/>
      <c r="BR1251" s="18"/>
      <c r="BS1251" s="15" t="s">
        <v>15174</v>
      </c>
      <c r="DH1251" s="15" t="s">
        <v>17982</v>
      </c>
      <c r="DI1251" s="15" t="s">
        <v>17982</v>
      </c>
    </row>
    <row r="1252" spans="1:113" s="15" customFormat="1" ht="12.75" x14ac:dyDescent="0.2">
      <c r="A1252" s="15" t="s">
        <v>109</v>
      </c>
      <c r="B1252" s="15" t="s">
        <v>110</v>
      </c>
      <c r="D1252" s="15" t="s">
        <v>472</v>
      </c>
      <c r="E1252" s="15" t="s">
        <v>112</v>
      </c>
      <c r="F1252" s="15" t="s">
        <v>472</v>
      </c>
      <c r="G1252" s="15" t="s">
        <v>113</v>
      </c>
      <c r="H1252" s="15" t="s">
        <v>1481</v>
      </c>
      <c r="J1252" s="16" t="s">
        <v>114</v>
      </c>
      <c r="U1252" s="15" t="s">
        <v>17977</v>
      </c>
      <c r="W1252" s="15">
        <v>3146</v>
      </c>
      <c r="X1252" s="15">
        <v>1262</v>
      </c>
      <c r="Y1252" s="15" t="s">
        <v>160</v>
      </c>
      <c r="Z1252" s="15" t="s">
        <v>161</v>
      </c>
      <c r="AA1252" s="15" t="s">
        <v>162</v>
      </c>
      <c r="AB1252" s="15" t="s">
        <v>15175</v>
      </c>
      <c r="AC1252" s="15" t="s">
        <v>15175</v>
      </c>
      <c r="AD1252" s="15" t="s">
        <v>15176</v>
      </c>
      <c r="AE1252" s="15" t="s">
        <v>164</v>
      </c>
      <c r="AF1252" s="15" t="s">
        <v>15176</v>
      </c>
      <c r="AG1252" s="25" t="s">
        <v>15175</v>
      </c>
      <c r="AH1252" s="34" t="s">
        <v>15177</v>
      </c>
      <c r="AL1252" s="15" t="s">
        <v>15178</v>
      </c>
      <c r="AN1252" s="15">
        <v>743</v>
      </c>
      <c r="AO1252" s="15" t="s">
        <v>15179</v>
      </c>
      <c r="AQ1252" s="17" t="s">
        <v>3622</v>
      </c>
      <c r="AT1252" s="15" t="s">
        <v>15180</v>
      </c>
      <c r="AU1252" s="15" t="s">
        <v>15181</v>
      </c>
      <c r="AV1252" s="15" t="s">
        <v>15181</v>
      </c>
      <c r="AW1252" s="18" t="s">
        <v>15182</v>
      </c>
      <c r="AX1252" s="18" t="s">
        <v>15183</v>
      </c>
      <c r="AY1252" s="23">
        <f t="shared" si="25"/>
        <v>58</v>
      </c>
      <c r="AZ1252" s="18" t="s">
        <v>393</v>
      </c>
      <c r="BA1252" s="18" t="s">
        <v>483</v>
      </c>
      <c r="BB1252" s="18" t="s">
        <v>4919</v>
      </c>
      <c r="BC1252" s="18"/>
      <c r="BD1252" s="18"/>
      <c r="BE1252" s="18" t="s">
        <v>499</v>
      </c>
      <c r="BF1252" s="18"/>
      <c r="BG1252" s="18"/>
      <c r="BH1252" s="18"/>
      <c r="BI1252" s="18"/>
      <c r="BJ1252" s="32" t="s">
        <v>15173</v>
      </c>
      <c r="BK1252" s="18" t="s">
        <v>487</v>
      </c>
      <c r="BL1252" s="18"/>
      <c r="BM1252" s="18"/>
      <c r="BN1252" s="18" t="s">
        <v>179</v>
      </c>
      <c r="BO1252" s="18"/>
      <c r="BP1252" s="18" t="s">
        <v>138</v>
      </c>
      <c r="BQ1252" s="18"/>
      <c r="BR1252" s="18"/>
      <c r="BS1252" s="15" t="s">
        <v>15184</v>
      </c>
      <c r="DH1252" s="15" t="s">
        <v>17982</v>
      </c>
      <c r="DI1252" s="15" t="s">
        <v>17982</v>
      </c>
    </row>
    <row r="1253" spans="1:113" s="15" customFormat="1" ht="12.75" x14ac:dyDescent="0.2">
      <c r="A1253" s="15" t="s">
        <v>109</v>
      </c>
      <c r="B1253" s="15" t="s">
        <v>110</v>
      </c>
      <c r="D1253" s="15" t="s">
        <v>472</v>
      </c>
      <c r="E1253" s="15" t="s">
        <v>112</v>
      </c>
      <c r="F1253" s="15" t="s">
        <v>472</v>
      </c>
      <c r="G1253" s="15" t="s">
        <v>113</v>
      </c>
      <c r="H1253" s="15" t="s">
        <v>1481</v>
      </c>
      <c r="J1253" s="16" t="s">
        <v>114</v>
      </c>
      <c r="U1253" s="15" t="s">
        <v>17977</v>
      </c>
      <c r="W1253" s="15">
        <v>1650</v>
      </c>
      <c r="X1253" s="15">
        <v>1263</v>
      </c>
      <c r="Y1253" s="15" t="s">
        <v>160</v>
      </c>
      <c r="Z1253" s="15" t="s">
        <v>161</v>
      </c>
      <c r="AA1253" s="15" t="s">
        <v>162</v>
      </c>
      <c r="AB1253" s="15" t="s">
        <v>8464</v>
      </c>
      <c r="AC1253" s="15" t="s">
        <v>8464</v>
      </c>
      <c r="AD1253" s="15" t="s">
        <v>8464</v>
      </c>
      <c r="AE1253" s="15" t="s">
        <v>164</v>
      </c>
      <c r="AF1253" s="15" t="s">
        <v>8464</v>
      </c>
      <c r="AG1253" s="25" t="s">
        <v>8464</v>
      </c>
      <c r="AH1253" s="34" t="s">
        <v>8465</v>
      </c>
      <c r="AL1253" s="15" t="s">
        <v>8466</v>
      </c>
      <c r="AN1253" s="15">
        <v>743</v>
      </c>
      <c r="AO1253" s="15" t="s">
        <v>8467</v>
      </c>
      <c r="AQ1253" s="17" t="s">
        <v>3622</v>
      </c>
      <c r="AT1253" s="15" t="s">
        <v>8468</v>
      </c>
      <c r="AU1253" s="15" t="s">
        <v>8469</v>
      </c>
      <c r="AV1253" s="15" t="s">
        <v>8469</v>
      </c>
      <c r="AW1253" s="18" t="s">
        <v>8470</v>
      </c>
      <c r="AX1253" s="18" t="s">
        <v>8471</v>
      </c>
      <c r="AY1253" s="23">
        <f t="shared" si="25"/>
        <v>56</v>
      </c>
      <c r="AZ1253" s="18" t="s">
        <v>393</v>
      </c>
      <c r="BA1253" s="18" t="s">
        <v>483</v>
      </c>
      <c r="BB1253" s="18" t="s">
        <v>229</v>
      </c>
      <c r="BC1253" s="18"/>
      <c r="BD1253" s="18"/>
      <c r="BE1253" s="18" t="s">
        <v>512</v>
      </c>
      <c r="BF1253" s="18"/>
      <c r="BG1253" s="18"/>
      <c r="BH1253" s="18"/>
      <c r="BI1253" s="18"/>
      <c r="BJ1253" s="32" t="s">
        <v>8472</v>
      </c>
      <c r="BK1253" s="18" t="s">
        <v>487</v>
      </c>
      <c r="BL1253" s="18"/>
      <c r="BM1253" s="18"/>
      <c r="BN1253" s="18" t="s">
        <v>179</v>
      </c>
      <c r="BO1253" s="18"/>
      <c r="BP1253" s="18" t="s">
        <v>138</v>
      </c>
      <c r="BQ1253" s="18"/>
      <c r="BR1253" s="18"/>
      <c r="BS1253" s="15" t="s">
        <v>8473</v>
      </c>
      <c r="DH1253" s="15" t="s">
        <v>17982</v>
      </c>
      <c r="DI1253" s="15" t="s">
        <v>17982</v>
      </c>
    </row>
    <row r="1254" spans="1:113" s="15" customFormat="1" ht="12.75" x14ac:dyDescent="0.2">
      <c r="A1254" s="15" t="s">
        <v>109</v>
      </c>
      <c r="B1254" s="15" t="s">
        <v>110</v>
      </c>
      <c r="D1254" s="15" t="s">
        <v>472</v>
      </c>
      <c r="E1254" s="15" t="s">
        <v>112</v>
      </c>
      <c r="F1254" s="15" t="s">
        <v>472</v>
      </c>
      <c r="G1254" s="15" t="s">
        <v>113</v>
      </c>
      <c r="H1254" s="15" t="s">
        <v>1481</v>
      </c>
      <c r="J1254" s="16" t="s">
        <v>114</v>
      </c>
      <c r="U1254" s="15" t="s">
        <v>17977</v>
      </c>
      <c r="W1254" s="15">
        <v>1651</v>
      </c>
      <c r="X1254" s="15">
        <v>1264</v>
      </c>
      <c r="Y1254" s="15" t="s">
        <v>160</v>
      </c>
      <c r="Z1254" s="15" t="s">
        <v>161</v>
      </c>
      <c r="AA1254" s="15" t="s">
        <v>162</v>
      </c>
      <c r="AB1254" s="15" t="s">
        <v>8474</v>
      </c>
      <c r="AC1254" s="15" t="s">
        <v>8474</v>
      </c>
      <c r="AD1254" s="15" t="s">
        <v>8475</v>
      </c>
      <c r="AE1254" s="15" t="s">
        <v>164</v>
      </c>
      <c r="AF1254" s="15" t="s">
        <v>8475</v>
      </c>
      <c r="AG1254" s="25" t="s">
        <v>8474</v>
      </c>
      <c r="AH1254" s="34" t="s">
        <v>8476</v>
      </c>
      <c r="AL1254" s="15" t="s">
        <v>8477</v>
      </c>
      <c r="AN1254" s="15">
        <v>743</v>
      </c>
      <c r="AO1254" s="15" t="s">
        <v>8478</v>
      </c>
      <c r="AQ1254" s="17" t="s">
        <v>3622</v>
      </c>
      <c r="AT1254" s="15" t="s">
        <v>8479</v>
      </c>
      <c r="AU1254" s="15" t="s">
        <v>8480</v>
      </c>
      <c r="AV1254" s="15" t="s">
        <v>8480</v>
      </c>
      <c r="AW1254" s="18" t="s">
        <v>8481</v>
      </c>
      <c r="AX1254" s="18" t="s">
        <v>8482</v>
      </c>
      <c r="AY1254" s="23">
        <f t="shared" si="25"/>
        <v>56</v>
      </c>
      <c r="AZ1254" s="18" t="s">
        <v>393</v>
      </c>
      <c r="BA1254" s="18" t="s">
        <v>483</v>
      </c>
      <c r="BB1254" s="18" t="s">
        <v>229</v>
      </c>
      <c r="BC1254" s="18"/>
      <c r="BD1254" s="18"/>
      <c r="BE1254" s="18" t="s">
        <v>499</v>
      </c>
      <c r="BF1254" s="18"/>
      <c r="BG1254" s="18"/>
      <c r="BH1254" s="18"/>
      <c r="BI1254" s="18"/>
      <c r="BJ1254" s="32" t="s">
        <v>8472</v>
      </c>
      <c r="BK1254" s="18" t="s">
        <v>487</v>
      </c>
      <c r="BL1254" s="18"/>
      <c r="BM1254" s="18"/>
      <c r="BN1254" s="18" t="s">
        <v>179</v>
      </c>
      <c r="BO1254" s="18"/>
      <c r="BP1254" s="18" t="s">
        <v>138</v>
      </c>
      <c r="BQ1254" s="18"/>
      <c r="BR1254" s="18"/>
      <c r="BS1254" s="15" t="s">
        <v>8483</v>
      </c>
      <c r="DH1254" s="15" t="s">
        <v>17982</v>
      </c>
      <c r="DI1254" s="15" t="s">
        <v>17982</v>
      </c>
    </row>
    <row r="1255" spans="1:113" s="15" customFormat="1" ht="12.75" x14ac:dyDescent="0.2">
      <c r="A1255" s="15" t="s">
        <v>109</v>
      </c>
      <c r="B1255" s="15" t="s">
        <v>110</v>
      </c>
      <c r="D1255" s="15" t="s">
        <v>472</v>
      </c>
      <c r="E1255" s="15" t="s">
        <v>112</v>
      </c>
      <c r="F1255" s="15" t="s">
        <v>472</v>
      </c>
      <c r="G1255" s="15" t="s">
        <v>113</v>
      </c>
      <c r="H1255" s="15" t="s">
        <v>1481</v>
      </c>
      <c r="J1255" s="16" t="s">
        <v>114</v>
      </c>
      <c r="U1255" s="15" t="s">
        <v>17977</v>
      </c>
      <c r="W1255" s="15">
        <v>1649</v>
      </c>
      <c r="X1255" s="15">
        <v>1265</v>
      </c>
      <c r="Y1255" s="15" t="s">
        <v>160</v>
      </c>
      <c r="Z1255" s="15" t="s">
        <v>161</v>
      </c>
      <c r="AA1255" s="15" t="s">
        <v>162</v>
      </c>
      <c r="AB1255" s="15" t="s">
        <v>8454</v>
      </c>
      <c r="AC1255" s="15" t="s">
        <v>8454</v>
      </c>
      <c r="AD1255" s="15" t="s">
        <v>8454</v>
      </c>
      <c r="AE1255" s="15" t="s">
        <v>164</v>
      </c>
      <c r="AF1255" s="15" t="s">
        <v>8454</v>
      </c>
      <c r="AG1255" s="25" t="s">
        <v>8454</v>
      </c>
      <c r="AH1255" s="34" t="s">
        <v>8455</v>
      </c>
      <c r="AL1255" s="15" t="s">
        <v>8456</v>
      </c>
      <c r="AN1255" s="15">
        <v>743</v>
      </c>
      <c r="AO1255" s="15" t="s">
        <v>8457</v>
      </c>
      <c r="AQ1255" s="17" t="s">
        <v>3622</v>
      </c>
      <c r="AT1255" s="15" t="s">
        <v>8458</v>
      </c>
      <c r="AU1255" s="15" t="s">
        <v>8459</v>
      </c>
      <c r="AV1255" s="15" t="s">
        <v>8459</v>
      </c>
      <c r="AW1255" s="18" t="s">
        <v>8460</v>
      </c>
      <c r="AX1255" s="18" t="s">
        <v>8461</v>
      </c>
      <c r="AY1255" s="23">
        <f t="shared" si="25"/>
        <v>58</v>
      </c>
      <c r="AZ1255" s="18" t="s">
        <v>393</v>
      </c>
      <c r="BA1255" s="18" t="s">
        <v>483</v>
      </c>
      <c r="BB1255" s="18" t="s">
        <v>229</v>
      </c>
      <c r="BC1255" s="18"/>
      <c r="BD1255" s="18"/>
      <c r="BE1255" s="18" t="s">
        <v>512</v>
      </c>
      <c r="BF1255" s="18"/>
      <c r="BG1255" s="18"/>
      <c r="BH1255" s="18"/>
      <c r="BI1255" s="18"/>
      <c r="BJ1255" s="32" t="s">
        <v>8462</v>
      </c>
      <c r="BK1255" s="18" t="s">
        <v>487</v>
      </c>
      <c r="BL1255" s="18"/>
      <c r="BM1255" s="18"/>
      <c r="BN1255" s="18" t="s">
        <v>179</v>
      </c>
      <c r="BO1255" s="18"/>
      <c r="BP1255" s="18" t="s">
        <v>138</v>
      </c>
      <c r="BQ1255" s="18"/>
      <c r="BR1255" s="18"/>
      <c r="BS1255" s="15" t="s">
        <v>8463</v>
      </c>
      <c r="DH1255" s="15" t="s">
        <v>17982</v>
      </c>
      <c r="DI1255" s="15" t="s">
        <v>17982</v>
      </c>
    </row>
    <row r="1256" spans="1:113" s="15" customFormat="1" ht="12.75" x14ac:dyDescent="0.2">
      <c r="A1256" s="15" t="s">
        <v>109</v>
      </c>
      <c r="B1256" s="15" t="s">
        <v>110</v>
      </c>
      <c r="D1256" s="15" t="s">
        <v>472</v>
      </c>
      <c r="E1256" s="15" t="s">
        <v>112</v>
      </c>
      <c r="F1256" s="15" t="s">
        <v>472</v>
      </c>
      <c r="G1256" s="15" t="s">
        <v>113</v>
      </c>
      <c r="H1256" s="15" t="s">
        <v>1481</v>
      </c>
      <c r="J1256" s="16" t="s">
        <v>114</v>
      </c>
      <c r="U1256" s="15" t="s">
        <v>17977</v>
      </c>
      <c r="W1256" s="15">
        <v>1646</v>
      </c>
      <c r="X1256" s="15">
        <v>1266</v>
      </c>
      <c r="Y1256" s="15" t="s">
        <v>160</v>
      </c>
      <c r="Z1256" s="15" t="s">
        <v>161</v>
      </c>
      <c r="AA1256" s="15" t="s">
        <v>162</v>
      </c>
      <c r="AB1256" s="15" t="s">
        <v>8422</v>
      </c>
      <c r="AC1256" s="15" t="s">
        <v>8422</v>
      </c>
      <c r="AD1256" s="15" t="s">
        <v>8422</v>
      </c>
      <c r="AE1256" s="15" t="s">
        <v>164</v>
      </c>
      <c r="AF1256" s="15" t="s">
        <v>8422</v>
      </c>
      <c r="AG1256" s="25" t="s">
        <v>8422</v>
      </c>
      <c r="AH1256" s="34" t="s">
        <v>8423</v>
      </c>
      <c r="AL1256" s="15" t="s">
        <v>8424</v>
      </c>
      <c r="AN1256" s="15">
        <v>743</v>
      </c>
      <c r="AO1256" s="15" t="s">
        <v>8425</v>
      </c>
      <c r="AQ1256" s="17" t="s">
        <v>3622</v>
      </c>
      <c r="AT1256" s="15" t="s">
        <v>8426</v>
      </c>
      <c r="AU1256" s="15" t="s">
        <v>8427</v>
      </c>
      <c r="AV1256" s="15" t="s">
        <v>8427</v>
      </c>
      <c r="AW1256" s="18" t="s">
        <v>8428</v>
      </c>
      <c r="AX1256" s="18" t="s">
        <v>8429</v>
      </c>
      <c r="AY1256" s="23">
        <f t="shared" si="25"/>
        <v>54</v>
      </c>
      <c r="AZ1256" s="18" t="s">
        <v>393</v>
      </c>
      <c r="BA1256" s="18" t="s">
        <v>483</v>
      </c>
      <c r="BB1256" s="18" t="s">
        <v>229</v>
      </c>
      <c r="BC1256" s="18"/>
      <c r="BD1256" s="18"/>
      <c r="BE1256" s="18" t="s">
        <v>512</v>
      </c>
      <c r="BF1256" s="18"/>
      <c r="BG1256" s="18"/>
      <c r="BH1256" s="18"/>
      <c r="BI1256" s="18"/>
      <c r="BJ1256" s="32" t="s">
        <v>8430</v>
      </c>
      <c r="BK1256" s="18" t="s">
        <v>487</v>
      </c>
      <c r="BL1256" s="18"/>
      <c r="BM1256" s="18"/>
      <c r="BN1256" s="18" t="s">
        <v>179</v>
      </c>
      <c r="BO1256" s="18"/>
      <c r="BP1256" s="18" t="s">
        <v>138</v>
      </c>
      <c r="BQ1256" s="18"/>
      <c r="BR1256" s="18"/>
      <c r="BS1256" s="15" t="s">
        <v>8431</v>
      </c>
      <c r="DH1256" s="15" t="s">
        <v>17982</v>
      </c>
      <c r="DI1256" s="15" t="s">
        <v>17982</v>
      </c>
    </row>
    <row r="1257" spans="1:113" s="15" customFormat="1" ht="12.75" x14ac:dyDescent="0.2">
      <c r="A1257" s="15" t="s">
        <v>109</v>
      </c>
      <c r="B1257" s="15" t="s">
        <v>110</v>
      </c>
      <c r="D1257" s="15" t="s">
        <v>472</v>
      </c>
      <c r="E1257" s="15" t="s">
        <v>112</v>
      </c>
      <c r="F1257" s="15" t="s">
        <v>472</v>
      </c>
      <c r="G1257" s="15" t="s">
        <v>113</v>
      </c>
      <c r="H1257" s="15" t="s">
        <v>1481</v>
      </c>
      <c r="J1257" s="16" t="s">
        <v>114</v>
      </c>
      <c r="U1257" s="15" t="s">
        <v>17977</v>
      </c>
      <c r="W1257" s="15">
        <v>1647</v>
      </c>
      <c r="X1257" s="15">
        <v>1267</v>
      </c>
      <c r="Y1257" s="15" t="s">
        <v>160</v>
      </c>
      <c r="Z1257" s="15" t="s">
        <v>161</v>
      </c>
      <c r="AA1257" s="15" t="s">
        <v>162</v>
      </c>
      <c r="AB1257" s="15" t="s">
        <v>8432</v>
      </c>
      <c r="AC1257" s="15" t="s">
        <v>8432</v>
      </c>
      <c r="AD1257" s="15" t="s">
        <v>8433</v>
      </c>
      <c r="AE1257" s="15" t="s">
        <v>164</v>
      </c>
      <c r="AF1257" s="15" t="s">
        <v>8433</v>
      </c>
      <c r="AG1257" s="25" t="s">
        <v>8432</v>
      </c>
      <c r="AH1257" s="34" t="s">
        <v>8434</v>
      </c>
      <c r="AL1257" s="15" t="s">
        <v>8435</v>
      </c>
      <c r="AN1257" s="15">
        <v>743</v>
      </c>
      <c r="AO1257" s="15" t="s">
        <v>8436</v>
      </c>
      <c r="AQ1257" s="17" t="s">
        <v>3622</v>
      </c>
      <c r="AT1257" s="15" t="s">
        <v>8437</v>
      </c>
      <c r="AU1257" s="15" t="s">
        <v>8438</v>
      </c>
      <c r="AV1257" s="15" t="s">
        <v>8438</v>
      </c>
      <c r="AW1257" s="18" t="s">
        <v>8439</v>
      </c>
      <c r="AX1257" s="18" t="s">
        <v>8440</v>
      </c>
      <c r="AY1257" s="23">
        <f t="shared" si="25"/>
        <v>54</v>
      </c>
      <c r="AZ1257" s="18" t="s">
        <v>393</v>
      </c>
      <c r="BA1257" s="18" t="s">
        <v>483</v>
      </c>
      <c r="BB1257" s="18" t="s">
        <v>229</v>
      </c>
      <c r="BC1257" s="18"/>
      <c r="BD1257" s="18"/>
      <c r="BE1257" s="18" t="s">
        <v>499</v>
      </c>
      <c r="BF1257" s="18"/>
      <c r="BG1257" s="18"/>
      <c r="BH1257" s="18"/>
      <c r="BI1257" s="18"/>
      <c r="BJ1257" s="32" t="s">
        <v>8430</v>
      </c>
      <c r="BK1257" s="18" t="s">
        <v>487</v>
      </c>
      <c r="BL1257" s="18"/>
      <c r="BM1257" s="18"/>
      <c r="BN1257" s="18" t="s">
        <v>179</v>
      </c>
      <c r="BO1257" s="18"/>
      <c r="BP1257" s="18" t="s">
        <v>138</v>
      </c>
      <c r="BQ1257" s="18"/>
      <c r="BR1257" s="18"/>
      <c r="BS1257" s="15" t="s">
        <v>8441</v>
      </c>
      <c r="DH1257" s="15" t="s">
        <v>17982</v>
      </c>
      <c r="DI1257" s="15" t="s">
        <v>17982</v>
      </c>
    </row>
    <row r="1258" spans="1:113" s="15" customFormat="1" ht="12.75" x14ac:dyDescent="0.2">
      <c r="A1258" s="15" t="s">
        <v>109</v>
      </c>
      <c r="B1258" s="15" t="s">
        <v>110</v>
      </c>
      <c r="D1258" s="15" t="s">
        <v>472</v>
      </c>
      <c r="E1258" s="15" t="s">
        <v>112</v>
      </c>
      <c r="F1258" s="15" t="s">
        <v>472</v>
      </c>
      <c r="G1258" s="15" t="s">
        <v>502</v>
      </c>
      <c r="H1258" s="15" t="s">
        <v>1481</v>
      </c>
      <c r="J1258" s="16" t="s">
        <v>114</v>
      </c>
      <c r="U1258" s="15" t="s">
        <v>17977</v>
      </c>
      <c r="W1258" s="15">
        <v>1440</v>
      </c>
      <c r="X1258" s="15">
        <v>1268</v>
      </c>
      <c r="Y1258" s="15" t="s">
        <v>160</v>
      </c>
      <c r="Z1258" s="15" t="s">
        <v>161</v>
      </c>
      <c r="AA1258" s="15" t="s">
        <v>162</v>
      </c>
      <c r="AB1258" s="15" t="s">
        <v>7313</v>
      </c>
      <c r="AC1258" s="15" t="s">
        <v>7313</v>
      </c>
      <c r="AD1258" s="15" t="s">
        <v>7313</v>
      </c>
      <c r="AE1258" s="15" t="s">
        <v>164</v>
      </c>
      <c r="AF1258" s="15" t="s">
        <v>7313</v>
      </c>
      <c r="AG1258" s="25" t="s">
        <v>7313</v>
      </c>
      <c r="AH1258" s="34" t="s">
        <v>7314</v>
      </c>
      <c r="AL1258" s="15" t="s">
        <v>7315</v>
      </c>
      <c r="AN1258" s="15">
        <v>743</v>
      </c>
      <c r="AO1258" s="15" t="s">
        <v>7316</v>
      </c>
      <c r="AQ1258" s="17" t="s">
        <v>342</v>
      </c>
      <c r="AR1258" s="47"/>
      <c r="AS1258" s="47"/>
      <c r="AT1258" s="15" t="s">
        <v>7317</v>
      </c>
      <c r="AU1258" s="15" t="s">
        <v>7318</v>
      </c>
      <c r="AV1258" s="15" t="s">
        <v>7318</v>
      </c>
      <c r="AW1258" s="18" t="s">
        <v>7319</v>
      </c>
      <c r="AX1258" s="18" t="s">
        <v>7320</v>
      </c>
      <c r="AY1258" s="23">
        <f t="shared" si="25"/>
        <v>55</v>
      </c>
      <c r="AZ1258" s="18" t="s">
        <v>482</v>
      </c>
      <c r="BA1258" s="18" t="s">
        <v>483</v>
      </c>
      <c r="BB1258" s="18" t="s">
        <v>4730</v>
      </c>
      <c r="BC1258" s="26"/>
      <c r="BD1258" s="18"/>
      <c r="BE1258" s="18" t="s">
        <v>512</v>
      </c>
      <c r="BF1258" s="18"/>
      <c r="BG1258" s="18"/>
      <c r="BH1258" s="18"/>
      <c r="BI1258" s="18"/>
      <c r="BJ1258" s="18" t="s">
        <v>7321</v>
      </c>
      <c r="BK1258" s="18" t="s">
        <v>487</v>
      </c>
      <c r="BL1258" s="18"/>
      <c r="BM1258" s="18"/>
      <c r="BN1258" s="18" t="s">
        <v>179</v>
      </c>
      <c r="BO1258" s="18"/>
      <c r="BP1258" s="18" t="s">
        <v>138</v>
      </c>
      <c r="BQ1258" s="18"/>
      <c r="BR1258" s="18" t="s">
        <v>1022</v>
      </c>
      <c r="BS1258" s="15" t="s">
        <v>7322</v>
      </c>
      <c r="DH1258" s="15" t="s">
        <v>17982</v>
      </c>
      <c r="DI1258" s="15" t="s">
        <v>17982</v>
      </c>
    </row>
    <row r="1259" spans="1:113" s="15" customFormat="1" ht="12.75" x14ac:dyDescent="0.2">
      <c r="A1259" s="15" t="s">
        <v>109</v>
      </c>
      <c r="B1259" s="15" t="s">
        <v>110</v>
      </c>
      <c r="D1259" s="15" t="s">
        <v>472</v>
      </c>
      <c r="E1259" s="15" t="s">
        <v>112</v>
      </c>
      <c r="F1259" s="15" t="s">
        <v>472</v>
      </c>
      <c r="G1259" s="15" t="s">
        <v>502</v>
      </c>
      <c r="H1259" s="15" t="s">
        <v>1481</v>
      </c>
      <c r="J1259" s="16" t="s">
        <v>114</v>
      </c>
      <c r="U1259" s="15" t="s">
        <v>17977</v>
      </c>
      <c r="W1259" s="15">
        <v>1437</v>
      </c>
      <c r="X1259" s="15">
        <v>1269</v>
      </c>
      <c r="Y1259" s="15" t="s">
        <v>160</v>
      </c>
      <c r="Z1259" s="15" t="s">
        <v>161</v>
      </c>
      <c r="AA1259" s="15" t="s">
        <v>162</v>
      </c>
      <c r="AB1259" s="15" t="s">
        <v>7281</v>
      </c>
      <c r="AC1259" s="15" t="s">
        <v>7281</v>
      </c>
      <c r="AD1259" s="15" t="s">
        <v>7281</v>
      </c>
      <c r="AE1259" s="15" t="s">
        <v>164</v>
      </c>
      <c r="AF1259" s="15" t="s">
        <v>7281</v>
      </c>
      <c r="AG1259" s="25" t="s">
        <v>7281</v>
      </c>
      <c r="AH1259" s="34" t="s">
        <v>7282</v>
      </c>
      <c r="AL1259" s="15" t="s">
        <v>7283</v>
      </c>
      <c r="AN1259" s="15">
        <v>743</v>
      </c>
      <c r="AO1259" s="15" t="s">
        <v>7284</v>
      </c>
      <c r="AQ1259" s="17" t="s">
        <v>342</v>
      </c>
      <c r="AR1259" s="47"/>
      <c r="AS1259" s="47"/>
      <c r="AT1259" s="15" t="s">
        <v>7285</v>
      </c>
      <c r="AU1259" s="15" t="s">
        <v>7286</v>
      </c>
      <c r="AV1259" s="15" t="s">
        <v>7286</v>
      </c>
      <c r="AW1259" s="18" t="s">
        <v>7287</v>
      </c>
      <c r="AX1259" s="18" t="s">
        <v>7288</v>
      </c>
      <c r="AY1259" s="23">
        <f t="shared" si="25"/>
        <v>57</v>
      </c>
      <c r="AZ1259" s="18" t="s">
        <v>482</v>
      </c>
      <c r="BA1259" s="18" t="s">
        <v>483</v>
      </c>
      <c r="BB1259" s="18" t="s">
        <v>4730</v>
      </c>
      <c r="BC1259" s="26"/>
      <c r="BD1259" s="18"/>
      <c r="BE1259" s="18" t="s">
        <v>512</v>
      </c>
      <c r="BF1259" s="18"/>
      <c r="BG1259" s="18"/>
      <c r="BH1259" s="18"/>
      <c r="BI1259" s="18"/>
      <c r="BJ1259" s="18" t="s">
        <v>7289</v>
      </c>
      <c r="BK1259" s="18" t="s">
        <v>487</v>
      </c>
      <c r="BL1259" s="18"/>
      <c r="BM1259" s="18"/>
      <c r="BN1259" s="18" t="s">
        <v>179</v>
      </c>
      <c r="BO1259" s="18"/>
      <c r="BP1259" s="18" t="s">
        <v>138</v>
      </c>
      <c r="BQ1259" s="18"/>
      <c r="BR1259" s="18" t="s">
        <v>173</v>
      </c>
      <c r="BS1259" s="15" t="s">
        <v>7290</v>
      </c>
      <c r="BT1259" s="19"/>
      <c r="DH1259" s="15" t="s">
        <v>17982</v>
      </c>
      <c r="DI1259" s="15" t="s">
        <v>17982</v>
      </c>
    </row>
    <row r="1260" spans="1:113" s="15" customFormat="1" ht="12.75" x14ac:dyDescent="0.2">
      <c r="A1260" s="15" t="s">
        <v>109</v>
      </c>
      <c r="B1260" s="15" t="s">
        <v>110</v>
      </c>
      <c r="D1260" s="15" t="s">
        <v>472</v>
      </c>
      <c r="E1260" s="15" t="s">
        <v>112</v>
      </c>
      <c r="F1260" s="15" t="s">
        <v>472</v>
      </c>
      <c r="G1260" s="15" t="s">
        <v>502</v>
      </c>
      <c r="H1260" s="15" t="s">
        <v>1481</v>
      </c>
      <c r="J1260" s="16" t="s">
        <v>114</v>
      </c>
      <c r="U1260" s="15" t="s">
        <v>17977</v>
      </c>
      <c r="W1260" s="15">
        <v>1438</v>
      </c>
      <c r="X1260" s="15">
        <v>1270</v>
      </c>
      <c r="Y1260" s="15" t="s">
        <v>160</v>
      </c>
      <c r="Z1260" s="15" t="s">
        <v>161</v>
      </c>
      <c r="AA1260" s="15" t="s">
        <v>162</v>
      </c>
      <c r="AB1260" s="15" t="s">
        <v>7291</v>
      </c>
      <c r="AC1260" s="15" t="s">
        <v>7291</v>
      </c>
      <c r="AD1260" s="15" t="s">
        <v>7291</v>
      </c>
      <c r="AE1260" s="15" t="s">
        <v>164</v>
      </c>
      <c r="AF1260" s="15" t="s">
        <v>7291</v>
      </c>
      <c r="AG1260" s="25" t="s">
        <v>7291</v>
      </c>
      <c r="AH1260" s="34" t="s">
        <v>7292</v>
      </c>
      <c r="AL1260" s="15" t="s">
        <v>7293</v>
      </c>
      <c r="AN1260" s="15">
        <v>743</v>
      </c>
      <c r="AO1260" s="15" t="s">
        <v>7294</v>
      </c>
      <c r="AQ1260" s="17" t="s">
        <v>342</v>
      </c>
      <c r="AR1260" s="47"/>
      <c r="AS1260" s="47"/>
      <c r="AT1260" s="15" t="s">
        <v>7295</v>
      </c>
      <c r="AU1260" s="15" t="s">
        <v>7296</v>
      </c>
      <c r="AV1260" s="15" t="s">
        <v>7296</v>
      </c>
      <c r="AW1260" s="18" t="s">
        <v>7297</v>
      </c>
      <c r="AX1260" s="18" t="s">
        <v>7298</v>
      </c>
      <c r="AY1260" s="23">
        <f t="shared" si="25"/>
        <v>57</v>
      </c>
      <c r="AZ1260" s="18" t="s">
        <v>1725</v>
      </c>
      <c r="BA1260" s="18" t="s">
        <v>483</v>
      </c>
      <c r="BB1260" s="18" t="s">
        <v>4730</v>
      </c>
      <c r="BC1260" s="26"/>
      <c r="BD1260" s="18"/>
      <c r="BE1260" s="18" t="s">
        <v>512</v>
      </c>
      <c r="BF1260" s="18"/>
      <c r="BG1260" s="18"/>
      <c r="BH1260" s="18"/>
      <c r="BI1260" s="18"/>
      <c r="BJ1260" s="18" t="s">
        <v>7299</v>
      </c>
      <c r="BK1260" s="18" t="s">
        <v>487</v>
      </c>
      <c r="BL1260" s="18"/>
      <c r="BM1260" s="18"/>
      <c r="BN1260" s="18" t="s">
        <v>179</v>
      </c>
      <c r="BO1260" s="18"/>
      <c r="BP1260" s="18" t="s">
        <v>138</v>
      </c>
      <c r="BQ1260" s="18"/>
      <c r="BR1260" s="18" t="s">
        <v>1728</v>
      </c>
      <c r="BS1260" s="15" t="s">
        <v>7300</v>
      </c>
      <c r="BT1260" s="19"/>
      <c r="DH1260" s="15" t="s">
        <v>17982</v>
      </c>
      <c r="DI1260" s="15" t="s">
        <v>17982</v>
      </c>
    </row>
    <row r="1261" spans="1:113" s="15" customFormat="1" ht="12.75" x14ac:dyDescent="0.2">
      <c r="A1261" s="15" t="s">
        <v>109</v>
      </c>
      <c r="B1261" s="15" t="s">
        <v>110</v>
      </c>
      <c r="D1261" s="15" t="s">
        <v>472</v>
      </c>
      <c r="E1261" s="15" t="s">
        <v>112</v>
      </c>
      <c r="F1261" s="15" t="s">
        <v>472</v>
      </c>
      <c r="G1261" s="15" t="s">
        <v>502</v>
      </c>
      <c r="H1261" s="15" t="s">
        <v>1481</v>
      </c>
      <c r="J1261" s="16" t="s">
        <v>114</v>
      </c>
      <c r="U1261" s="15" t="s">
        <v>17977</v>
      </c>
      <c r="W1261" s="15">
        <v>1442</v>
      </c>
      <c r="X1261" s="15">
        <v>1271</v>
      </c>
      <c r="Y1261" s="15" t="s">
        <v>160</v>
      </c>
      <c r="Z1261" s="15" t="s">
        <v>161</v>
      </c>
      <c r="AA1261" s="15" t="s">
        <v>162</v>
      </c>
      <c r="AB1261" s="15" t="s">
        <v>7334</v>
      </c>
      <c r="AC1261" s="15" t="s">
        <v>7334</v>
      </c>
      <c r="AD1261" s="15" t="s">
        <v>7335</v>
      </c>
      <c r="AE1261" s="15" t="s">
        <v>164</v>
      </c>
      <c r="AF1261" s="15" t="s">
        <v>7335</v>
      </c>
      <c r="AG1261" s="25" t="s">
        <v>7334</v>
      </c>
      <c r="AH1261" s="34" t="s">
        <v>7336</v>
      </c>
      <c r="AL1261" s="15" t="s">
        <v>7337</v>
      </c>
      <c r="AN1261" s="15">
        <v>743</v>
      </c>
      <c r="AO1261" s="15" t="s">
        <v>7338</v>
      </c>
      <c r="AQ1261" s="17" t="s">
        <v>342</v>
      </c>
      <c r="AR1261" s="47"/>
      <c r="AS1261" s="47"/>
      <c r="AT1261" s="15" t="s">
        <v>7339</v>
      </c>
      <c r="AU1261" s="15" t="s">
        <v>7340</v>
      </c>
      <c r="AV1261" s="15" t="s">
        <v>7340</v>
      </c>
      <c r="AW1261" s="18" t="s">
        <v>7341</v>
      </c>
      <c r="AX1261" s="18" t="s">
        <v>7342</v>
      </c>
      <c r="AY1261" s="23">
        <f t="shared" si="25"/>
        <v>58</v>
      </c>
      <c r="AZ1261" s="18" t="s">
        <v>1725</v>
      </c>
      <c r="BA1261" s="18" t="s">
        <v>483</v>
      </c>
      <c r="BB1261" s="18" t="s">
        <v>4730</v>
      </c>
      <c r="BC1261" s="26"/>
      <c r="BD1261" s="18"/>
      <c r="BE1261" s="18" t="s">
        <v>499</v>
      </c>
      <c r="BF1261" s="18"/>
      <c r="BG1261" s="18"/>
      <c r="BH1261" s="18"/>
      <c r="BI1261" s="18"/>
      <c r="BJ1261" s="18" t="s">
        <v>7299</v>
      </c>
      <c r="BK1261" s="18" t="s">
        <v>487</v>
      </c>
      <c r="BL1261" s="18"/>
      <c r="BM1261" s="18"/>
      <c r="BN1261" s="18" t="s">
        <v>179</v>
      </c>
      <c r="BO1261" s="18"/>
      <c r="BP1261" s="18" t="s">
        <v>138</v>
      </c>
      <c r="BQ1261" s="18"/>
      <c r="BR1261" s="18" t="s">
        <v>1728</v>
      </c>
      <c r="BS1261" s="15" t="s">
        <v>7343</v>
      </c>
      <c r="BT1261" s="19"/>
      <c r="DH1261" s="15" t="s">
        <v>17982</v>
      </c>
      <c r="DI1261" s="15" t="s">
        <v>17982</v>
      </c>
    </row>
    <row r="1262" spans="1:113" s="15" customFormat="1" ht="12.75" x14ac:dyDescent="0.2">
      <c r="A1262" s="15" t="s">
        <v>109</v>
      </c>
      <c r="B1262" s="15" t="s">
        <v>110</v>
      </c>
      <c r="D1262" s="15" t="s">
        <v>472</v>
      </c>
      <c r="E1262" s="15" t="s">
        <v>112</v>
      </c>
      <c r="F1262" s="15" t="s">
        <v>472</v>
      </c>
      <c r="G1262" s="15" t="s">
        <v>502</v>
      </c>
      <c r="H1262" s="15" t="s">
        <v>1481</v>
      </c>
      <c r="J1262" s="16" t="s">
        <v>114</v>
      </c>
      <c r="U1262" s="15" t="s">
        <v>17977</v>
      </c>
      <c r="W1262" s="15">
        <v>1441</v>
      </c>
      <c r="X1262" s="15">
        <v>1272</v>
      </c>
      <c r="Y1262" s="15" t="s">
        <v>160</v>
      </c>
      <c r="Z1262" s="15" t="s">
        <v>161</v>
      </c>
      <c r="AA1262" s="15" t="s">
        <v>162</v>
      </c>
      <c r="AB1262" s="15" t="s">
        <v>7323</v>
      </c>
      <c r="AC1262" s="15" t="s">
        <v>7323</v>
      </c>
      <c r="AD1262" s="15" t="s">
        <v>7324</v>
      </c>
      <c r="AE1262" s="15" t="s">
        <v>164</v>
      </c>
      <c r="AF1262" s="15" t="s">
        <v>7324</v>
      </c>
      <c r="AG1262" s="25" t="s">
        <v>7323</v>
      </c>
      <c r="AH1262" s="34" t="s">
        <v>7325</v>
      </c>
      <c r="AL1262" s="15" t="s">
        <v>7326</v>
      </c>
      <c r="AN1262" s="15">
        <v>743</v>
      </c>
      <c r="AO1262" s="15" t="s">
        <v>7327</v>
      </c>
      <c r="AQ1262" s="17" t="s">
        <v>342</v>
      </c>
      <c r="AR1262" s="47"/>
      <c r="AS1262" s="47"/>
      <c r="AT1262" s="15" t="s">
        <v>7328</v>
      </c>
      <c r="AU1262" s="15" t="s">
        <v>7329</v>
      </c>
      <c r="AV1262" s="15" t="s">
        <v>7329</v>
      </c>
      <c r="AW1262" s="18" t="s">
        <v>7330</v>
      </c>
      <c r="AX1262" s="18" t="s">
        <v>7331</v>
      </c>
      <c r="AY1262" s="23">
        <f t="shared" si="25"/>
        <v>57</v>
      </c>
      <c r="AZ1262" s="18" t="s">
        <v>1725</v>
      </c>
      <c r="BA1262" s="18" t="s">
        <v>483</v>
      </c>
      <c r="BB1262" s="18" t="s">
        <v>4730</v>
      </c>
      <c r="BC1262" s="26"/>
      <c r="BD1262" s="18"/>
      <c r="BE1262" s="18" t="s">
        <v>499</v>
      </c>
      <c r="BF1262" s="18"/>
      <c r="BG1262" s="18"/>
      <c r="BH1262" s="18"/>
      <c r="BI1262" s="18"/>
      <c r="BJ1262" s="18" t="s">
        <v>7332</v>
      </c>
      <c r="BK1262" s="18" t="s">
        <v>487</v>
      </c>
      <c r="BL1262" s="18"/>
      <c r="BM1262" s="18"/>
      <c r="BN1262" s="18" t="s">
        <v>179</v>
      </c>
      <c r="BO1262" s="18"/>
      <c r="BP1262" s="18" t="s">
        <v>138</v>
      </c>
      <c r="BQ1262" s="18"/>
      <c r="BR1262" s="18" t="s">
        <v>1728</v>
      </c>
      <c r="BS1262" s="15" t="s">
        <v>7333</v>
      </c>
      <c r="BT1262" s="19"/>
      <c r="DH1262" s="15" t="s">
        <v>17982</v>
      </c>
      <c r="DI1262" s="15" t="s">
        <v>17982</v>
      </c>
    </row>
    <row r="1263" spans="1:113" s="15" customFormat="1" ht="12.75" x14ac:dyDescent="0.2">
      <c r="A1263" s="15" t="s">
        <v>109</v>
      </c>
      <c r="B1263" s="15" t="s">
        <v>110</v>
      </c>
      <c r="D1263" s="15" t="s">
        <v>472</v>
      </c>
      <c r="E1263" s="15" t="s">
        <v>112</v>
      </c>
      <c r="F1263" s="15" t="s">
        <v>472</v>
      </c>
      <c r="G1263" s="15" t="s">
        <v>502</v>
      </c>
      <c r="H1263" s="15" t="s">
        <v>1481</v>
      </c>
      <c r="J1263" s="16" t="s">
        <v>114</v>
      </c>
      <c r="U1263" s="15" t="s">
        <v>17977</v>
      </c>
      <c r="W1263" s="15">
        <v>439</v>
      </c>
      <c r="X1263" s="15">
        <v>1273</v>
      </c>
      <c r="Y1263" s="15" t="s">
        <v>160</v>
      </c>
      <c r="Z1263" s="15" t="s">
        <v>161</v>
      </c>
      <c r="AA1263" s="15" t="s">
        <v>162</v>
      </c>
      <c r="AB1263" s="15" t="s">
        <v>1717</v>
      </c>
      <c r="AC1263" s="15" t="s">
        <v>1717</v>
      </c>
      <c r="AD1263" s="15" t="s">
        <v>1717</v>
      </c>
      <c r="AE1263" s="15" t="s">
        <v>164</v>
      </c>
      <c r="AF1263" s="15" t="s">
        <v>1717</v>
      </c>
      <c r="AG1263" s="25" t="s">
        <v>1717</v>
      </c>
      <c r="AH1263" s="34" t="s">
        <v>1718</v>
      </c>
      <c r="AL1263" s="15" t="s">
        <v>1719</v>
      </c>
      <c r="AN1263" s="15">
        <v>743</v>
      </c>
      <c r="AO1263" s="15" t="s">
        <v>1720</v>
      </c>
      <c r="AQ1263" s="17" t="s">
        <v>342</v>
      </c>
      <c r="AT1263" s="15" t="s">
        <v>1721</v>
      </c>
      <c r="AU1263" s="15" t="s">
        <v>1722</v>
      </c>
      <c r="AV1263" s="15" t="s">
        <v>1722</v>
      </c>
      <c r="AW1263" s="18" t="s">
        <v>1723</v>
      </c>
      <c r="AX1263" s="18" t="s">
        <v>1724</v>
      </c>
      <c r="AY1263" s="23">
        <f t="shared" si="25"/>
        <v>60</v>
      </c>
      <c r="AZ1263" s="18" t="s">
        <v>1725</v>
      </c>
      <c r="BA1263" s="18" t="s">
        <v>483</v>
      </c>
      <c r="BB1263" s="18" t="s">
        <v>1726</v>
      </c>
      <c r="BC1263" s="26"/>
      <c r="BD1263" s="18"/>
      <c r="BE1263" s="18" t="s">
        <v>512</v>
      </c>
      <c r="BF1263" s="18"/>
      <c r="BG1263" s="18"/>
      <c r="BH1263" s="18"/>
      <c r="BI1263" s="18"/>
      <c r="BJ1263" s="18" t="s">
        <v>1727</v>
      </c>
      <c r="BK1263" s="18" t="s">
        <v>487</v>
      </c>
      <c r="BL1263" s="18"/>
      <c r="BM1263" s="18"/>
      <c r="BN1263" s="18" t="s">
        <v>179</v>
      </c>
      <c r="BO1263" s="18"/>
      <c r="BP1263" s="18" t="s">
        <v>138</v>
      </c>
      <c r="BQ1263" s="18"/>
      <c r="BR1263" s="18" t="s">
        <v>1728</v>
      </c>
      <c r="BS1263" s="15" t="s">
        <v>1729</v>
      </c>
      <c r="BT1263" s="19"/>
      <c r="DH1263" s="15" t="s">
        <v>17982</v>
      </c>
      <c r="DI1263" s="15" t="s">
        <v>17982</v>
      </c>
    </row>
    <row r="1264" spans="1:113" s="15" customFormat="1" ht="12.75" x14ac:dyDescent="0.2">
      <c r="A1264" s="15" t="s">
        <v>109</v>
      </c>
      <c r="B1264" s="15" t="s">
        <v>110</v>
      </c>
      <c r="D1264" s="15" t="s">
        <v>472</v>
      </c>
      <c r="E1264" s="15" t="s">
        <v>112</v>
      </c>
      <c r="F1264" s="15" t="s">
        <v>472</v>
      </c>
      <c r="G1264" s="15" t="s">
        <v>502</v>
      </c>
      <c r="H1264" s="15" t="s">
        <v>1481</v>
      </c>
      <c r="J1264" s="16" t="s">
        <v>114</v>
      </c>
      <c r="U1264" s="15" t="s">
        <v>17977</v>
      </c>
      <c r="W1264" s="15">
        <v>1443</v>
      </c>
      <c r="X1264" s="15">
        <v>1274</v>
      </c>
      <c r="Y1264" s="15" t="s">
        <v>160</v>
      </c>
      <c r="Z1264" s="15" t="s">
        <v>161</v>
      </c>
      <c r="AA1264" s="15" t="s">
        <v>162</v>
      </c>
      <c r="AB1264" s="15" t="s">
        <v>7344</v>
      </c>
      <c r="AC1264" s="15" t="s">
        <v>7344</v>
      </c>
      <c r="AD1264" s="15" t="s">
        <v>7344</v>
      </c>
      <c r="AE1264" s="15" t="s">
        <v>164</v>
      </c>
      <c r="AF1264" s="15" t="s">
        <v>7344</v>
      </c>
      <c r="AG1264" s="25" t="s">
        <v>7344</v>
      </c>
      <c r="AH1264" s="34" t="s">
        <v>7345</v>
      </c>
      <c r="AL1264" s="15" t="s">
        <v>7346</v>
      </c>
      <c r="AN1264" s="15">
        <v>743</v>
      </c>
      <c r="AO1264" s="15" t="s">
        <v>7347</v>
      </c>
      <c r="AQ1264" s="17" t="s">
        <v>342</v>
      </c>
      <c r="AR1264" s="47"/>
      <c r="AS1264" s="47"/>
      <c r="AT1264" s="15" t="s">
        <v>7348</v>
      </c>
      <c r="AU1264" s="15" t="s">
        <v>7349</v>
      </c>
      <c r="AV1264" s="15" t="s">
        <v>7349</v>
      </c>
      <c r="AW1264" s="18" t="s">
        <v>7350</v>
      </c>
      <c r="AX1264" s="18" t="s">
        <v>7351</v>
      </c>
      <c r="AY1264" s="23">
        <f t="shared" si="25"/>
        <v>59</v>
      </c>
      <c r="AZ1264" s="18" t="s">
        <v>482</v>
      </c>
      <c r="BA1264" s="18" t="s">
        <v>483</v>
      </c>
      <c r="BB1264" s="18" t="s">
        <v>7352</v>
      </c>
      <c r="BC1264" s="26"/>
      <c r="BD1264" s="18"/>
      <c r="BE1264" s="18" t="s">
        <v>7353</v>
      </c>
      <c r="BF1264" s="18"/>
      <c r="BG1264" s="18"/>
      <c r="BH1264" s="18"/>
      <c r="BI1264" s="18"/>
      <c r="BJ1264" s="18" t="s">
        <v>7354</v>
      </c>
      <c r="BK1264" s="18" t="s">
        <v>314</v>
      </c>
      <c r="BL1264" s="18"/>
      <c r="BM1264" s="18"/>
      <c r="BN1264" s="18" t="s">
        <v>179</v>
      </c>
      <c r="BO1264" s="18"/>
      <c r="BP1264" s="18" t="s">
        <v>138</v>
      </c>
      <c r="BQ1264" s="18"/>
      <c r="BR1264" s="18"/>
      <c r="BS1264" s="15" t="s">
        <v>7355</v>
      </c>
      <c r="BT1264" s="19"/>
      <c r="DH1264" s="15" t="s">
        <v>17982</v>
      </c>
      <c r="DI1264" s="15" t="s">
        <v>17982</v>
      </c>
    </row>
    <row r="1265" spans="1:113" s="15" customFormat="1" ht="12.75" x14ac:dyDescent="0.2">
      <c r="A1265" s="15" t="s">
        <v>109</v>
      </c>
      <c r="B1265" s="15" t="s">
        <v>110</v>
      </c>
      <c r="D1265" s="15" t="s">
        <v>472</v>
      </c>
      <c r="E1265" s="15" t="s">
        <v>112</v>
      </c>
      <c r="F1265" s="15" t="s">
        <v>472</v>
      </c>
      <c r="G1265" s="15" t="s">
        <v>502</v>
      </c>
      <c r="H1265" s="15" t="s">
        <v>1481</v>
      </c>
      <c r="J1265" s="16" t="s">
        <v>114</v>
      </c>
      <c r="U1265" s="15" t="s">
        <v>17977</v>
      </c>
      <c r="W1265" s="15">
        <v>1444</v>
      </c>
      <c r="X1265" s="15">
        <v>1275</v>
      </c>
      <c r="Y1265" s="15" t="s">
        <v>160</v>
      </c>
      <c r="Z1265" s="15" t="s">
        <v>161</v>
      </c>
      <c r="AA1265" s="15" t="s">
        <v>162</v>
      </c>
      <c r="AB1265" s="15" t="s">
        <v>7356</v>
      </c>
      <c r="AC1265" s="15" t="s">
        <v>7356</v>
      </c>
      <c r="AD1265" s="15" t="s">
        <v>7356</v>
      </c>
      <c r="AE1265" s="15" t="s">
        <v>164</v>
      </c>
      <c r="AF1265" s="15" t="s">
        <v>7356</v>
      </c>
      <c r="AG1265" s="25" t="s">
        <v>7356</v>
      </c>
      <c r="AH1265" s="34" t="s">
        <v>7357</v>
      </c>
      <c r="AL1265" s="15" t="s">
        <v>7358</v>
      </c>
      <c r="AN1265" s="15">
        <v>743</v>
      </c>
      <c r="AO1265" s="15" t="s">
        <v>7359</v>
      </c>
      <c r="AQ1265" s="17" t="s">
        <v>342</v>
      </c>
      <c r="AT1265" s="15" t="s">
        <v>7360</v>
      </c>
      <c r="AU1265" s="15" t="s">
        <v>7361</v>
      </c>
      <c r="AV1265" s="15" t="s">
        <v>7361</v>
      </c>
      <c r="AW1265" s="18" t="s">
        <v>7362</v>
      </c>
      <c r="AX1265" s="18" t="s">
        <v>7363</v>
      </c>
      <c r="AY1265" s="23">
        <f t="shared" si="25"/>
        <v>59</v>
      </c>
      <c r="AZ1265" s="18" t="s">
        <v>1725</v>
      </c>
      <c r="BA1265" s="18" t="s">
        <v>483</v>
      </c>
      <c r="BB1265" s="18" t="s">
        <v>7364</v>
      </c>
      <c r="BC1265" s="26"/>
      <c r="BD1265" s="18"/>
      <c r="BE1265" s="18" t="s">
        <v>512</v>
      </c>
      <c r="BF1265" s="18"/>
      <c r="BG1265" s="18"/>
      <c r="BH1265" s="18"/>
      <c r="BI1265" s="18"/>
      <c r="BJ1265" s="18" t="s">
        <v>7365</v>
      </c>
      <c r="BK1265" s="18" t="s">
        <v>487</v>
      </c>
      <c r="BL1265" s="18"/>
      <c r="BM1265" s="18"/>
      <c r="BN1265" s="18" t="s">
        <v>179</v>
      </c>
      <c r="BO1265" s="18"/>
      <c r="BP1265" s="18" t="s">
        <v>138</v>
      </c>
      <c r="BQ1265" s="18"/>
      <c r="BR1265" s="18" t="s">
        <v>1022</v>
      </c>
      <c r="BS1265" s="15" t="s">
        <v>7366</v>
      </c>
      <c r="BT1265" s="19"/>
      <c r="DH1265" s="15" t="s">
        <v>17982</v>
      </c>
      <c r="DI1265" s="15" t="s">
        <v>17982</v>
      </c>
    </row>
    <row r="1266" spans="1:113" s="15" customFormat="1" ht="12.75" x14ac:dyDescent="0.2">
      <c r="A1266" s="15" t="s">
        <v>109</v>
      </c>
      <c r="B1266" s="15" t="s">
        <v>110</v>
      </c>
      <c r="D1266" s="15" t="s">
        <v>472</v>
      </c>
      <c r="E1266" s="15" t="s">
        <v>112</v>
      </c>
      <c r="F1266" s="15" t="s">
        <v>472</v>
      </c>
      <c r="G1266" s="15" t="s">
        <v>502</v>
      </c>
      <c r="H1266" s="15" t="s">
        <v>1481</v>
      </c>
      <c r="J1266" s="16" t="s">
        <v>114</v>
      </c>
      <c r="U1266" s="15" t="s">
        <v>17977</v>
      </c>
      <c r="W1266" s="15">
        <v>2270</v>
      </c>
      <c r="X1266" s="15">
        <v>1276</v>
      </c>
      <c r="Y1266" s="15" t="s">
        <v>160</v>
      </c>
      <c r="Z1266" s="15" t="s">
        <v>161</v>
      </c>
      <c r="AA1266" s="15" t="s">
        <v>162</v>
      </c>
      <c r="AB1266" s="15" t="s">
        <v>11262</v>
      </c>
      <c r="AC1266" s="15" t="s">
        <v>11262</v>
      </c>
      <c r="AD1266" s="15" t="s">
        <v>11262</v>
      </c>
      <c r="AE1266" s="15" t="s">
        <v>164</v>
      </c>
      <c r="AF1266" s="15" t="s">
        <v>11262</v>
      </c>
      <c r="AG1266" s="25" t="s">
        <v>11262</v>
      </c>
      <c r="AH1266" s="34" t="s">
        <v>11263</v>
      </c>
      <c r="AL1266" s="15" t="s">
        <v>11264</v>
      </c>
      <c r="AN1266" s="15">
        <v>743</v>
      </c>
      <c r="AO1266" s="15" t="s">
        <v>11265</v>
      </c>
      <c r="AQ1266" s="17" t="s">
        <v>342</v>
      </c>
      <c r="AT1266" s="15" t="s">
        <v>11266</v>
      </c>
      <c r="AU1266" s="15" t="s">
        <v>11267</v>
      </c>
      <c r="AV1266" s="15" t="s">
        <v>11267</v>
      </c>
      <c r="AW1266" s="18" t="s">
        <v>11268</v>
      </c>
      <c r="AX1266" s="18" t="s">
        <v>11269</v>
      </c>
      <c r="AY1266" s="23">
        <f t="shared" si="25"/>
        <v>57</v>
      </c>
      <c r="AZ1266" s="18" t="s">
        <v>1725</v>
      </c>
      <c r="BA1266" s="18" t="s">
        <v>483</v>
      </c>
      <c r="BB1266" s="18" t="s">
        <v>6362</v>
      </c>
      <c r="BC1266" s="26" t="s">
        <v>646</v>
      </c>
      <c r="BD1266" s="18"/>
      <c r="BE1266" s="18" t="s">
        <v>512</v>
      </c>
      <c r="BF1266" s="18"/>
      <c r="BG1266" s="18"/>
      <c r="BH1266" s="18"/>
      <c r="BI1266" s="18"/>
      <c r="BJ1266" s="18" t="s">
        <v>11270</v>
      </c>
      <c r="BK1266" s="18" t="s">
        <v>487</v>
      </c>
      <c r="BL1266" s="18"/>
      <c r="BM1266" s="18"/>
      <c r="BN1266" s="18" t="s">
        <v>179</v>
      </c>
      <c r="BO1266" s="18"/>
      <c r="BP1266" s="18" t="s">
        <v>138</v>
      </c>
      <c r="BQ1266" s="18"/>
      <c r="BR1266" s="18" t="s">
        <v>173</v>
      </c>
      <c r="BS1266" s="15" t="s">
        <v>11271</v>
      </c>
      <c r="BT1266" s="19"/>
      <c r="DH1266" s="15" t="s">
        <v>17982</v>
      </c>
      <c r="DI1266" s="15" t="s">
        <v>17982</v>
      </c>
    </row>
    <row r="1267" spans="1:113" s="15" customFormat="1" ht="12.75" x14ac:dyDescent="0.2">
      <c r="A1267" s="15" t="s">
        <v>109</v>
      </c>
      <c r="B1267" s="15" t="s">
        <v>110</v>
      </c>
      <c r="D1267" s="15" t="s">
        <v>472</v>
      </c>
      <c r="E1267" s="15" t="s">
        <v>112</v>
      </c>
      <c r="F1267" s="15" t="s">
        <v>472</v>
      </c>
      <c r="G1267" s="15" t="s">
        <v>502</v>
      </c>
      <c r="H1267" s="15" t="s">
        <v>1481</v>
      </c>
      <c r="J1267" s="16" t="s">
        <v>114</v>
      </c>
      <c r="U1267" s="15" t="s">
        <v>17977</v>
      </c>
      <c r="W1267" s="15">
        <v>3210</v>
      </c>
      <c r="X1267" s="15">
        <v>1277</v>
      </c>
      <c r="Y1267" s="15" t="s">
        <v>160</v>
      </c>
      <c r="Z1267" s="15" t="s">
        <v>161</v>
      </c>
      <c r="AA1267" s="15" t="s">
        <v>162</v>
      </c>
      <c r="AB1267" s="15" t="s">
        <v>15516</v>
      </c>
      <c r="AC1267" s="15" t="s">
        <v>15516</v>
      </c>
      <c r="AD1267" s="15" t="s">
        <v>15516</v>
      </c>
      <c r="AE1267" s="15" t="s">
        <v>164</v>
      </c>
      <c r="AF1267" s="15" t="s">
        <v>15516</v>
      </c>
      <c r="AG1267" s="25" t="s">
        <v>15516</v>
      </c>
      <c r="AH1267" s="34" t="s">
        <v>15517</v>
      </c>
      <c r="AL1267" s="15" t="s">
        <v>15518</v>
      </c>
      <c r="AN1267" s="15">
        <v>743</v>
      </c>
      <c r="AO1267" s="15" t="s">
        <v>15519</v>
      </c>
      <c r="AQ1267" s="17" t="s">
        <v>342</v>
      </c>
      <c r="AT1267" s="15" t="s">
        <v>15520</v>
      </c>
      <c r="AU1267" s="15" t="s">
        <v>15521</v>
      </c>
      <c r="AV1267" s="15" t="s">
        <v>15521</v>
      </c>
      <c r="AW1267" s="18" t="s">
        <v>15522</v>
      </c>
      <c r="AX1267" s="18" t="s">
        <v>15523</v>
      </c>
      <c r="AY1267" s="23">
        <f t="shared" si="25"/>
        <v>58</v>
      </c>
      <c r="AZ1267" s="18" t="s">
        <v>1725</v>
      </c>
      <c r="BA1267" s="18" t="s">
        <v>483</v>
      </c>
      <c r="BB1267" s="18" t="s">
        <v>12325</v>
      </c>
      <c r="BC1267" s="26"/>
      <c r="BD1267" s="18"/>
      <c r="BE1267" s="18" t="s">
        <v>512</v>
      </c>
      <c r="BF1267" s="18"/>
      <c r="BG1267" s="18"/>
      <c r="BH1267" s="18"/>
      <c r="BI1267" s="18"/>
      <c r="BJ1267" s="18" t="s">
        <v>15524</v>
      </c>
      <c r="BK1267" s="18" t="s">
        <v>487</v>
      </c>
      <c r="BL1267" s="18"/>
      <c r="BM1267" s="18"/>
      <c r="BN1267" s="18" t="s">
        <v>179</v>
      </c>
      <c r="BO1267" s="18"/>
      <c r="BP1267" s="18" t="s">
        <v>138</v>
      </c>
      <c r="BQ1267" s="18"/>
      <c r="BR1267" s="18" t="s">
        <v>173</v>
      </c>
      <c r="BS1267" s="15" t="s">
        <v>15525</v>
      </c>
      <c r="DH1267" s="15" t="s">
        <v>17982</v>
      </c>
      <c r="DI1267" s="15" t="s">
        <v>17982</v>
      </c>
    </row>
    <row r="1268" spans="1:113" s="15" customFormat="1" ht="12.75" x14ac:dyDescent="0.2">
      <c r="A1268" s="15" t="s">
        <v>109</v>
      </c>
      <c r="B1268" s="15" t="s">
        <v>110</v>
      </c>
      <c r="D1268" s="15" t="s">
        <v>472</v>
      </c>
      <c r="E1268" s="15" t="s">
        <v>112</v>
      </c>
      <c r="F1268" s="15" t="s">
        <v>472</v>
      </c>
      <c r="G1268" s="15" t="s">
        <v>502</v>
      </c>
      <c r="H1268" s="15" t="s">
        <v>1481</v>
      </c>
      <c r="J1268" s="16" t="s">
        <v>114</v>
      </c>
      <c r="U1268" s="15" t="s">
        <v>17977</v>
      </c>
      <c r="W1268" s="15">
        <v>3211</v>
      </c>
      <c r="X1268" s="15">
        <v>1278</v>
      </c>
      <c r="Y1268" s="15" t="s">
        <v>160</v>
      </c>
      <c r="Z1268" s="15" t="s">
        <v>161</v>
      </c>
      <c r="AA1268" s="15" t="s">
        <v>162</v>
      </c>
      <c r="AB1268" s="15" t="s">
        <v>15526</v>
      </c>
      <c r="AC1268" s="15" t="s">
        <v>15526</v>
      </c>
      <c r="AD1268" s="15" t="s">
        <v>15526</v>
      </c>
      <c r="AE1268" s="15" t="s">
        <v>164</v>
      </c>
      <c r="AF1268" s="15" t="s">
        <v>15526</v>
      </c>
      <c r="AG1268" s="25" t="s">
        <v>15526</v>
      </c>
      <c r="AH1268" s="34" t="s">
        <v>15527</v>
      </c>
      <c r="AL1268" s="15" t="s">
        <v>15528</v>
      </c>
      <c r="AN1268" s="15">
        <v>743</v>
      </c>
      <c r="AO1268" s="15" t="s">
        <v>15529</v>
      </c>
      <c r="AQ1268" s="17" t="s">
        <v>342</v>
      </c>
      <c r="AT1268" s="15" t="s">
        <v>15530</v>
      </c>
      <c r="AU1268" s="15" t="s">
        <v>15531</v>
      </c>
      <c r="AV1268" s="15" t="s">
        <v>15531</v>
      </c>
      <c r="AW1268" s="18" t="s">
        <v>15532</v>
      </c>
      <c r="AX1268" s="18" t="s">
        <v>15533</v>
      </c>
      <c r="AY1268" s="23">
        <f t="shared" si="25"/>
        <v>58</v>
      </c>
      <c r="AZ1268" s="18" t="s">
        <v>1725</v>
      </c>
      <c r="BA1268" s="18" t="s">
        <v>483</v>
      </c>
      <c r="BB1268" s="18" t="s">
        <v>12325</v>
      </c>
      <c r="BC1268" s="26"/>
      <c r="BD1268" s="18"/>
      <c r="BE1268" s="18" t="s">
        <v>512</v>
      </c>
      <c r="BF1268" s="18"/>
      <c r="BG1268" s="18"/>
      <c r="BH1268" s="18"/>
      <c r="BI1268" s="18"/>
      <c r="BJ1268" s="18" t="s">
        <v>15534</v>
      </c>
      <c r="BK1268" s="18" t="s">
        <v>487</v>
      </c>
      <c r="BL1268" s="18"/>
      <c r="BM1268" s="18"/>
      <c r="BN1268" s="18" t="s">
        <v>179</v>
      </c>
      <c r="BO1268" s="18"/>
      <c r="BP1268" s="18" t="s">
        <v>138</v>
      </c>
      <c r="BQ1268" s="18"/>
      <c r="BR1268" s="18" t="s">
        <v>1022</v>
      </c>
      <c r="BS1268" s="15" t="s">
        <v>15535</v>
      </c>
      <c r="BT1268" s="19"/>
      <c r="DH1268" s="15" t="s">
        <v>17982</v>
      </c>
      <c r="DI1268" s="15" t="s">
        <v>17982</v>
      </c>
    </row>
    <row r="1269" spans="1:113" s="15" customFormat="1" ht="12.75" x14ac:dyDescent="0.2">
      <c r="A1269" s="15" t="s">
        <v>109</v>
      </c>
      <c r="B1269" s="15" t="s">
        <v>110</v>
      </c>
      <c r="D1269" s="15" t="s">
        <v>472</v>
      </c>
      <c r="E1269" s="15" t="s">
        <v>112</v>
      </c>
      <c r="F1269" s="15" t="s">
        <v>472</v>
      </c>
      <c r="G1269" s="15" t="s">
        <v>502</v>
      </c>
      <c r="H1269" s="15" t="s">
        <v>1481</v>
      </c>
      <c r="J1269" s="16" t="s">
        <v>114</v>
      </c>
      <c r="U1269" s="15" t="s">
        <v>17977</v>
      </c>
      <c r="W1269" s="15">
        <v>3213</v>
      </c>
      <c r="X1269" s="15">
        <v>1279</v>
      </c>
      <c r="Y1269" s="15" t="s">
        <v>160</v>
      </c>
      <c r="Z1269" s="15" t="s">
        <v>161</v>
      </c>
      <c r="AA1269" s="15" t="s">
        <v>162</v>
      </c>
      <c r="AB1269" s="15" t="s">
        <v>15546</v>
      </c>
      <c r="AC1269" s="15" t="s">
        <v>15546</v>
      </c>
      <c r="AD1269" s="15" t="s">
        <v>15546</v>
      </c>
      <c r="AE1269" s="15" t="s">
        <v>164</v>
      </c>
      <c r="AF1269" s="15" t="s">
        <v>15546</v>
      </c>
      <c r="AG1269" s="25" t="s">
        <v>15546</v>
      </c>
      <c r="AH1269" s="34" t="s">
        <v>15547</v>
      </c>
      <c r="AL1269" s="15" t="s">
        <v>15548</v>
      </c>
      <c r="AN1269" s="15">
        <v>743</v>
      </c>
      <c r="AO1269" s="15" t="s">
        <v>15549</v>
      </c>
      <c r="AQ1269" s="17" t="s">
        <v>342</v>
      </c>
      <c r="AT1269" s="15" t="s">
        <v>15550</v>
      </c>
      <c r="AU1269" s="15" t="s">
        <v>15551</v>
      </c>
      <c r="AV1269" s="15" t="s">
        <v>15551</v>
      </c>
      <c r="AW1269" s="18" t="s">
        <v>15552</v>
      </c>
      <c r="AX1269" s="18" t="s">
        <v>15553</v>
      </c>
      <c r="AY1269" s="23">
        <f t="shared" si="25"/>
        <v>57</v>
      </c>
      <c r="AZ1269" s="18" t="s">
        <v>1725</v>
      </c>
      <c r="BA1269" s="18" t="s">
        <v>483</v>
      </c>
      <c r="BB1269" s="18" t="s">
        <v>10858</v>
      </c>
      <c r="BC1269" s="26"/>
      <c r="BD1269" s="18"/>
      <c r="BE1269" s="18" t="s">
        <v>512</v>
      </c>
      <c r="BF1269" s="18"/>
      <c r="BG1269" s="18"/>
      <c r="BH1269" s="18"/>
      <c r="BI1269" s="18"/>
      <c r="BJ1269" s="18" t="s">
        <v>15554</v>
      </c>
      <c r="BK1269" s="18" t="s">
        <v>487</v>
      </c>
      <c r="BL1269" s="18"/>
      <c r="BM1269" s="18"/>
      <c r="BN1269" s="18" t="s">
        <v>179</v>
      </c>
      <c r="BO1269" s="18"/>
      <c r="BP1269" s="18" t="s">
        <v>138</v>
      </c>
      <c r="BQ1269" s="18"/>
      <c r="BR1269" s="18" t="s">
        <v>1022</v>
      </c>
      <c r="BS1269" s="15" t="s">
        <v>15555</v>
      </c>
      <c r="BT1269" s="19"/>
      <c r="DH1269" s="15" t="s">
        <v>17982</v>
      </c>
      <c r="DI1269" s="15" t="s">
        <v>17982</v>
      </c>
    </row>
    <row r="1270" spans="1:113" s="15" customFormat="1" ht="12.75" x14ac:dyDescent="0.2">
      <c r="A1270" s="15" t="s">
        <v>109</v>
      </c>
      <c r="B1270" s="15" t="s">
        <v>110</v>
      </c>
      <c r="D1270" s="15" t="s">
        <v>472</v>
      </c>
      <c r="E1270" s="15" t="s">
        <v>112</v>
      </c>
      <c r="F1270" s="15" t="s">
        <v>472</v>
      </c>
      <c r="G1270" s="15" t="s">
        <v>502</v>
      </c>
      <c r="H1270" s="15" t="s">
        <v>1481</v>
      </c>
      <c r="J1270" s="16" t="s">
        <v>114</v>
      </c>
      <c r="U1270" s="15" t="s">
        <v>17977</v>
      </c>
      <c r="W1270" s="15">
        <v>3214</v>
      </c>
      <c r="X1270" s="15">
        <v>1280</v>
      </c>
      <c r="Y1270" s="15" t="s">
        <v>160</v>
      </c>
      <c r="Z1270" s="15" t="s">
        <v>161</v>
      </c>
      <c r="AA1270" s="15" t="s">
        <v>162</v>
      </c>
      <c r="AB1270" s="15" t="s">
        <v>15556</v>
      </c>
      <c r="AC1270" s="15" t="s">
        <v>15556</v>
      </c>
      <c r="AD1270" s="15" t="s">
        <v>15556</v>
      </c>
      <c r="AE1270" s="15" t="s">
        <v>164</v>
      </c>
      <c r="AF1270" s="15" t="s">
        <v>15556</v>
      </c>
      <c r="AG1270" s="25" t="s">
        <v>15556</v>
      </c>
      <c r="AH1270" s="34" t="s">
        <v>15557</v>
      </c>
      <c r="AL1270" s="15" t="s">
        <v>15558</v>
      </c>
      <c r="AN1270" s="15">
        <v>743</v>
      </c>
      <c r="AO1270" s="15" t="s">
        <v>15559</v>
      </c>
      <c r="AQ1270" s="17" t="s">
        <v>342</v>
      </c>
      <c r="AT1270" s="15" t="s">
        <v>15560</v>
      </c>
      <c r="AU1270" s="15" t="s">
        <v>15561</v>
      </c>
      <c r="AV1270" s="15" t="s">
        <v>15561</v>
      </c>
      <c r="AW1270" s="18" t="s">
        <v>15562</v>
      </c>
      <c r="AX1270" s="18" t="s">
        <v>15563</v>
      </c>
      <c r="AY1270" s="23">
        <f t="shared" si="25"/>
        <v>58</v>
      </c>
      <c r="AZ1270" s="18" t="s">
        <v>1725</v>
      </c>
      <c r="BA1270" s="18" t="s">
        <v>483</v>
      </c>
      <c r="BB1270" s="18" t="s">
        <v>10858</v>
      </c>
      <c r="BC1270" s="26"/>
      <c r="BD1270" s="18"/>
      <c r="BE1270" s="18" t="s">
        <v>512</v>
      </c>
      <c r="BF1270" s="18"/>
      <c r="BG1270" s="18"/>
      <c r="BH1270" s="18"/>
      <c r="BI1270" s="18"/>
      <c r="BJ1270" s="18" t="s">
        <v>10859</v>
      </c>
      <c r="BK1270" s="18" t="s">
        <v>487</v>
      </c>
      <c r="BL1270" s="18"/>
      <c r="BM1270" s="18"/>
      <c r="BN1270" s="18" t="s">
        <v>179</v>
      </c>
      <c r="BO1270" s="18"/>
      <c r="BP1270" s="18" t="s">
        <v>138</v>
      </c>
      <c r="BQ1270" s="18"/>
      <c r="BR1270" s="18" t="s">
        <v>1022</v>
      </c>
      <c r="BS1270" s="15" t="s">
        <v>15564</v>
      </c>
      <c r="BT1270" s="19"/>
      <c r="DH1270" s="15" t="s">
        <v>17982</v>
      </c>
      <c r="DI1270" s="15" t="s">
        <v>17982</v>
      </c>
    </row>
    <row r="1271" spans="1:113" s="15" customFormat="1" ht="12.75" x14ac:dyDescent="0.2">
      <c r="A1271" s="15" t="s">
        <v>109</v>
      </c>
      <c r="B1271" s="15" t="s">
        <v>110</v>
      </c>
      <c r="D1271" s="15" t="s">
        <v>472</v>
      </c>
      <c r="E1271" s="15" t="s">
        <v>112</v>
      </c>
      <c r="F1271" s="15" t="s">
        <v>472</v>
      </c>
      <c r="G1271" s="15" t="s">
        <v>502</v>
      </c>
      <c r="H1271" s="15" t="s">
        <v>1481</v>
      </c>
      <c r="J1271" s="16" t="s">
        <v>114</v>
      </c>
      <c r="U1271" s="15" t="s">
        <v>17977</v>
      </c>
      <c r="W1271" s="15">
        <v>2126</v>
      </c>
      <c r="X1271" s="15">
        <v>1281</v>
      </c>
      <c r="Y1271" s="15" t="s">
        <v>160</v>
      </c>
      <c r="Z1271" s="15" t="s">
        <v>161</v>
      </c>
      <c r="AA1271" s="15" t="s">
        <v>162</v>
      </c>
      <c r="AB1271" s="15" t="s">
        <v>10849</v>
      </c>
      <c r="AC1271" s="15" t="s">
        <v>10849</v>
      </c>
      <c r="AD1271" s="15" t="s">
        <v>10850</v>
      </c>
      <c r="AE1271" s="15" t="s">
        <v>164</v>
      </c>
      <c r="AF1271" s="15" t="s">
        <v>10850</v>
      </c>
      <c r="AG1271" s="25" t="s">
        <v>10849</v>
      </c>
      <c r="AH1271" s="34" t="s">
        <v>10851</v>
      </c>
      <c r="AL1271" s="15" t="s">
        <v>10852</v>
      </c>
      <c r="AN1271" s="15">
        <v>743</v>
      </c>
      <c r="AO1271" s="15" t="s">
        <v>10853</v>
      </c>
      <c r="AQ1271" s="17" t="s">
        <v>342</v>
      </c>
      <c r="AT1271" s="15" t="s">
        <v>10854</v>
      </c>
      <c r="AU1271" s="15" t="s">
        <v>10855</v>
      </c>
      <c r="AV1271" s="15" t="s">
        <v>10855</v>
      </c>
      <c r="AW1271" s="18" t="s">
        <v>10856</v>
      </c>
      <c r="AX1271" s="18" t="s">
        <v>10857</v>
      </c>
      <c r="AY1271" s="23">
        <f t="shared" si="25"/>
        <v>55</v>
      </c>
      <c r="AZ1271" s="18" t="s">
        <v>1725</v>
      </c>
      <c r="BA1271" s="18" t="s">
        <v>483</v>
      </c>
      <c r="BB1271" s="18" t="s">
        <v>10858</v>
      </c>
      <c r="BC1271" s="26"/>
      <c r="BD1271" s="18"/>
      <c r="BE1271" s="18" t="s">
        <v>499</v>
      </c>
      <c r="BF1271" s="18"/>
      <c r="BG1271" s="18"/>
      <c r="BH1271" s="18"/>
      <c r="BI1271" s="18"/>
      <c r="BJ1271" s="18" t="s">
        <v>10859</v>
      </c>
      <c r="BK1271" s="18" t="s">
        <v>487</v>
      </c>
      <c r="BL1271" s="18"/>
      <c r="BM1271" s="18"/>
      <c r="BN1271" s="18" t="s">
        <v>179</v>
      </c>
      <c r="BO1271" s="18"/>
      <c r="BP1271" s="18" t="s">
        <v>138</v>
      </c>
      <c r="BQ1271" s="18"/>
      <c r="BR1271" s="18" t="s">
        <v>1022</v>
      </c>
      <c r="BS1271" s="15" t="s">
        <v>10860</v>
      </c>
      <c r="BT1271" s="19"/>
      <c r="DH1271" s="15" t="s">
        <v>17982</v>
      </c>
      <c r="DI1271" s="15" t="s">
        <v>17982</v>
      </c>
    </row>
    <row r="1272" spans="1:113" s="15" customFormat="1" ht="12.75" x14ac:dyDescent="0.2">
      <c r="A1272" s="15" t="s">
        <v>109</v>
      </c>
      <c r="B1272" s="15" t="s">
        <v>110</v>
      </c>
      <c r="D1272" s="15" t="s">
        <v>472</v>
      </c>
      <c r="E1272" s="15" t="s">
        <v>112</v>
      </c>
      <c r="F1272" s="15" t="s">
        <v>472</v>
      </c>
      <c r="G1272" s="15" t="s">
        <v>502</v>
      </c>
      <c r="H1272" s="15" t="s">
        <v>1481</v>
      </c>
      <c r="J1272" s="16" t="s">
        <v>114</v>
      </c>
      <c r="U1272" s="15" t="s">
        <v>17977</v>
      </c>
      <c r="W1272" s="15">
        <v>3215</v>
      </c>
      <c r="X1272" s="15">
        <v>1282</v>
      </c>
      <c r="Y1272" s="15" t="s">
        <v>160</v>
      </c>
      <c r="Z1272" s="15" t="s">
        <v>161</v>
      </c>
      <c r="AA1272" s="15" t="s">
        <v>162</v>
      </c>
      <c r="AB1272" s="15" t="s">
        <v>15565</v>
      </c>
      <c r="AC1272" s="15" t="s">
        <v>15565</v>
      </c>
      <c r="AD1272" s="15" t="s">
        <v>15566</v>
      </c>
      <c r="AE1272" s="15" t="s">
        <v>164</v>
      </c>
      <c r="AF1272" s="15" t="s">
        <v>15566</v>
      </c>
      <c r="AG1272" s="25" t="s">
        <v>15565</v>
      </c>
      <c r="AH1272" s="34" t="s">
        <v>15567</v>
      </c>
      <c r="AL1272" s="15" t="s">
        <v>15568</v>
      </c>
      <c r="AN1272" s="15">
        <v>743</v>
      </c>
      <c r="AO1272" s="15" t="s">
        <v>15569</v>
      </c>
      <c r="AQ1272" s="17" t="s">
        <v>342</v>
      </c>
      <c r="AT1272" s="15" t="s">
        <v>15570</v>
      </c>
      <c r="AU1272" s="15" t="s">
        <v>15571</v>
      </c>
      <c r="AV1272" s="15" t="s">
        <v>15571</v>
      </c>
      <c r="AW1272" s="18" t="s">
        <v>15572</v>
      </c>
      <c r="AX1272" s="18" t="s">
        <v>15573</v>
      </c>
      <c r="AY1272" s="23">
        <f t="shared" si="25"/>
        <v>53</v>
      </c>
      <c r="AZ1272" s="18" t="s">
        <v>1725</v>
      </c>
      <c r="BA1272" s="18" t="s">
        <v>483</v>
      </c>
      <c r="BB1272" s="18" t="s">
        <v>10858</v>
      </c>
      <c r="BC1272" s="26"/>
      <c r="BD1272" s="18"/>
      <c r="BE1272" s="18" t="s">
        <v>499</v>
      </c>
      <c r="BF1272" s="18"/>
      <c r="BG1272" s="18"/>
      <c r="BH1272" s="18"/>
      <c r="BI1272" s="18"/>
      <c r="BJ1272" s="18" t="s">
        <v>15574</v>
      </c>
      <c r="BK1272" s="18" t="s">
        <v>487</v>
      </c>
      <c r="BL1272" s="18"/>
      <c r="BM1272" s="18"/>
      <c r="BN1272" s="18" t="s">
        <v>179</v>
      </c>
      <c r="BO1272" s="18"/>
      <c r="BP1272" s="18" t="s">
        <v>138</v>
      </c>
      <c r="BQ1272" s="18"/>
      <c r="BR1272" s="18" t="s">
        <v>1022</v>
      </c>
      <c r="BS1272" s="15" t="s">
        <v>15575</v>
      </c>
      <c r="BT1272" s="19"/>
      <c r="DH1272" s="15" t="s">
        <v>17982</v>
      </c>
      <c r="DI1272" s="15" t="s">
        <v>17982</v>
      </c>
    </row>
    <row r="1273" spans="1:113" s="15" customFormat="1" ht="12.75" x14ac:dyDescent="0.2">
      <c r="A1273" s="15" t="s">
        <v>109</v>
      </c>
      <c r="B1273" s="15" t="s">
        <v>110</v>
      </c>
      <c r="D1273" s="15" t="s">
        <v>472</v>
      </c>
      <c r="E1273" s="15" t="s">
        <v>112</v>
      </c>
      <c r="F1273" s="15" t="s">
        <v>472</v>
      </c>
      <c r="G1273" s="15" t="s">
        <v>502</v>
      </c>
      <c r="H1273" s="15" t="s">
        <v>1481</v>
      </c>
      <c r="J1273" s="16" t="s">
        <v>114</v>
      </c>
      <c r="U1273" s="15" t="s">
        <v>17977</v>
      </c>
      <c r="W1273" s="15">
        <v>1158</v>
      </c>
      <c r="X1273" s="15">
        <v>1283</v>
      </c>
      <c r="Y1273" s="15" t="s">
        <v>160</v>
      </c>
      <c r="Z1273" s="15" t="s">
        <v>161</v>
      </c>
      <c r="AA1273" s="15" t="s">
        <v>162</v>
      </c>
      <c r="AB1273" s="15" t="s">
        <v>6023</v>
      </c>
      <c r="AC1273" s="15" t="s">
        <v>6023</v>
      </c>
      <c r="AD1273" s="15" t="s">
        <v>6023</v>
      </c>
      <c r="AE1273" s="15" t="s">
        <v>164</v>
      </c>
      <c r="AF1273" s="15" t="s">
        <v>6023</v>
      </c>
      <c r="AG1273" s="25" t="s">
        <v>6023</v>
      </c>
      <c r="AH1273" s="34" t="s">
        <v>6024</v>
      </c>
      <c r="AL1273" s="15" t="s">
        <v>6025</v>
      </c>
      <c r="AN1273" s="15">
        <v>743</v>
      </c>
      <c r="AO1273" s="15" t="s">
        <v>6026</v>
      </c>
      <c r="AQ1273" s="17" t="s">
        <v>342</v>
      </c>
      <c r="AT1273" s="15" t="s">
        <v>6027</v>
      </c>
      <c r="AU1273" s="15" t="s">
        <v>6028</v>
      </c>
      <c r="AV1273" s="15" t="s">
        <v>6028</v>
      </c>
      <c r="AW1273" s="18" t="s">
        <v>6029</v>
      </c>
      <c r="AX1273" s="18" t="s">
        <v>6030</v>
      </c>
      <c r="AY1273" s="23">
        <f t="shared" si="25"/>
        <v>58</v>
      </c>
      <c r="AZ1273" s="18" t="s">
        <v>482</v>
      </c>
      <c r="BA1273" s="18" t="s">
        <v>483</v>
      </c>
      <c r="BB1273" s="18" t="s">
        <v>6031</v>
      </c>
      <c r="BC1273" s="26"/>
      <c r="BD1273" s="18"/>
      <c r="BE1273" s="18" t="s">
        <v>512</v>
      </c>
      <c r="BF1273" s="18"/>
      <c r="BG1273" s="18"/>
      <c r="BH1273" s="18"/>
      <c r="BI1273" s="18"/>
      <c r="BJ1273" s="18" t="s">
        <v>6032</v>
      </c>
      <c r="BK1273" s="18" t="s">
        <v>487</v>
      </c>
      <c r="BL1273" s="18"/>
      <c r="BM1273" s="18"/>
      <c r="BN1273" s="18" t="s">
        <v>179</v>
      </c>
      <c r="BO1273" s="18"/>
      <c r="BP1273" s="18" t="s">
        <v>138</v>
      </c>
      <c r="BQ1273" s="18"/>
      <c r="BR1273" s="18" t="s">
        <v>1022</v>
      </c>
      <c r="BS1273" s="15" t="s">
        <v>6033</v>
      </c>
      <c r="BT1273" s="19"/>
      <c r="DH1273" s="15" t="s">
        <v>17982</v>
      </c>
      <c r="DI1273" s="15" t="s">
        <v>17982</v>
      </c>
    </row>
    <row r="1274" spans="1:113" s="15" customFormat="1" ht="12.75" x14ac:dyDescent="0.2">
      <c r="A1274" s="15" t="s">
        <v>109</v>
      </c>
      <c r="B1274" s="15" t="s">
        <v>110</v>
      </c>
      <c r="D1274" s="15" t="s">
        <v>472</v>
      </c>
      <c r="E1274" s="15" t="s">
        <v>112</v>
      </c>
      <c r="F1274" s="15" t="s">
        <v>472</v>
      </c>
      <c r="G1274" s="15" t="s">
        <v>502</v>
      </c>
      <c r="H1274" s="15" t="s">
        <v>1481</v>
      </c>
      <c r="J1274" s="16" t="s">
        <v>114</v>
      </c>
      <c r="U1274" s="15" t="s">
        <v>17977</v>
      </c>
      <c r="W1274" s="15">
        <v>1159</v>
      </c>
      <c r="X1274" s="15">
        <v>1284</v>
      </c>
      <c r="Y1274" s="15" t="s">
        <v>160</v>
      </c>
      <c r="Z1274" s="15" t="s">
        <v>161</v>
      </c>
      <c r="AA1274" s="15" t="s">
        <v>162</v>
      </c>
      <c r="AB1274" s="15" t="s">
        <v>6034</v>
      </c>
      <c r="AC1274" s="15" t="s">
        <v>6034</v>
      </c>
      <c r="AD1274" s="15" t="s">
        <v>6035</v>
      </c>
      <c r="AE1274" s="15" t="s">
        <v>164</v>
      </c>
      <c r="AF1274" s="15" t="s">
        <v>6035</v>
      </c>
      <c r="AG1274" s="25" t="s">
        <v>6034</v>
      </c>
      <c r="AH1274" s="34" t="s">
        <v>6036</v>
      </c>
      <c r="AL1274" s="15" t="s">
        <v>6037</v>
      </c>
      <c r="AN1274" s="15">
        <v>743</v>
      </c>
      <c r="AO1274" s="15" t="s">
        <v>6038</v>
      </c>
      <c r="AQ1274" s="17" t="s">
        <v>342</v>
      </c>
      <c r="AT1274" s="15" t="s">
        <v>6039</v>
      </c>
      <c r="AU1274" s="15" t="s">
        <v>6040</v>
      </c>
      <c r="AV1274" s="15" t="s">
        <v>6040</v>
      </c>
      <c r="AW1274" s="18" t="s">
        <v>6041</v>
      </c>
      <c r="AX1274" s="18" t="s">
        <v>6042</v>
      </c>
      <c r="AY1274" s="23">
        <f t="shared" si="25"/>
        <v>58</v>
      </c>
      <c r="AZ1274" s="18" t="s">
        <v>482</v>
      </c>
      <c r="BA1274" s="18" t="s">
        <v>483</v>
      </c>
      <c r="BB1274" s="18" t="s">
        <v>6031</v>
      </c>
      <c r="BC1274" s="18"/>
      <c r="BD1274" s="18"/>
      <c r="BE1274" s="18" t="s">
        <v>499</v>
      </c>
      <c r="BF1274" s="18"/>
      <c r="BG1274" s="18"/>
      <c r="BH1274" s="18"/>
      <c r="BI1274" s="18"/>
      <c r="BJ1274" s="18" t="s">
        <v>6032</v>
      </c>
      <c r="BK1274" s="18" t="s">
        <v>487</v>
      </c>
      <c r="BL1274" s="18"/>
      <c r="BM1274" s="18"/>
      <c r="BN1274" s="18" t="s">
        <v>179</v>
      </c>
      <c r="BO1274" s="18"/>
      <c r="BP1274" s="18" t="s">
        <v>138</v>
      </c>
      <c r="BQ1274" s="18"/>
      <c r="BR1274" s="18" t="s">
        <v>1022</v>
      </c>
      <c r="BS1274" s="15" t="s">
        <v>6043</v>
      </c>
      <c r="BT1274" s="19"/>
      <c r="DH1274" s="15" t="s">
        <v>17982</v>
      </c>
      <c r="DI1274" s="15" t="s">
        <v>17982</v>
      </c>
    </row>
    <row r="1275" spans="1:113" s="15" customFormat="1" ht="12.75" x14ac:dyDescent="0.2">
      <c r="A1275" s="15" t="s">
        <v>109</v>
      </c>
      <c r="B1275" s="15" t="s">
        <v>110</v>
      </c>
      <c r="D1275" s="15" t="s">
        <v>472</v>
      </c>
      <c r="E1275" s="15" t="s">
        <v>112</v>
      </c>
      <c r="F1275" s="15" t="s">
        <v>472</v>
      </c>
      <c r="G1275" s="15" t="s">
        <v>502</v>
      </c>
      <c r="H1275" s="15" t="s">
        <v>1481</v>
      </c>
      <c r="J1275" s="16" t="s">
        <v>114</v>
      </c>
      <c r="U1275" s="15" t="s">
        <v>17977</v>
      </c>
      <c r="W1275" s="15">
        <v>3111</v>
      </c>
      <c r="X1275" s="15">
        <v>1285</v>
      </c>
      <c r="Y1275" s="15" t="s">
        <v>160</v>
      </c>
      <c r="Z1275" s="15" t="s">
        <v>161</v>
      </c>
      <c r="AA1275" s="15" t="s">
        <v>162</v>
      </c>
      <c r="AB1275" s="15" t="s">
        <v>14990</v>
      </c>
      <c r="AC1275" s="15" t="s">
        <v>14990</v>
      </c>
      <c r="AD1275" s="15" t="s">
        <v>14990</v>
      </c>
      <c r="AE1275" s="15" t="s">
        <v>164</v>
      </c>
      <c r="AF1275" s="15" t="s">
        <v>14990</v>
      </c>
      <c r="AG1275" s="25" t="s">
        <v>14990</v>
      </c>
      <c r="AH1275" s="34" t="s">
        <v>14991</v>
      </c>
      <c r="AL1275" s="15" t="s">
        <v>14992</v>
      </c>
      <c r="AN1275" s="15">
        <v>743</v>
      </c>
      <c r="AO1275" s="15" t="s">
        <v>14993</v>
      </c>
      <c r="AQ1275" s="17" t="s">
        <v>342</v>
      </c>
      <c r="AT1275" s="15" t="s">
        <v>14994</v>
      </c>
      <c r="AU1275" s="15" t="s">
        <v>14995</v>
      </c>
      <c r="AV1275" s="15" t="s">
        <v>14995</v>
      </c>
      <c r="AW1275" s="18" t="s">
        <v>14996</v>
      </c>
      <c r="AX1275" s="18" t="s">
        <v>14997</v>
      </c>
      <c r="AY1275" s="23">
        <f t="shared" si="25"/>
        <v>57</v>
      </c>
      <c r="AZ1275" s="18" t="s">
        <v>482</v>
      </c>
      <c r="BA1275" s="18" t="s">
        <v>483</v>
      </c>
      <c r="BB1275" s="18" t="s">
        <v>14998</v>
      </c>
      <c r="BC1275" s="26"/>
      <c r="BD1275" s="18"/>
      <c r="BE1275" s="18" t="s">
        <v>512</v>
      </c>
      <c r="BF1275" s="18"/>
      <c r="BG1275" s="18"/>
      <c r="BH1275" s="18"/>
      <c r="BI1275" s="18"/>
      <c r="BJ1275" s="18" t="s">
        <v>14999</v>
      </c>
      <c r="BK1275" s="18" t="s">
        <v>487</v>
      </c>
      <c r="BL1275" s="18"/>
      <c r="BM1275" s="18"/>
      <c r="BN1275" s="18" t="s">
        <v>179</v>
      </c>
      <c r="BO1275" s="18"/>
      <c r="BP1275" s="18" t="s">
        <v>138</v>
      </c>
      <c r="BQ1275" s="18"/>
      <c r="BR1275" s="18" t="s">
        <v>15000</v>
      </c>
      <c r="BS1275" s="15" t="s">
        <v>15001</v>
      </c>
      <c r="BT1275" s="19"/>
      <c r="DH1275" s="15" t="s">
        <v>17982</v>
      </c>
      <c r="DI1275" s="15" t="s">
        <v>17982</v>
      </c>
    </row>
    <row r="1276" spans="1:113" s="15" customFormat="1" ht="12.75" x14ac:dyDescent="0.2">
      <c r="A1276" s="15" t="s">
        <v>109</v>
      </c>
      <c r="B1276" s="15" t="s">
        <v>110</v>
      </c>
      <c r="D1276" s="15" t="s">
        <v>472</v>
      </c>
      <c r="E1276" s="15" t="s">
        <v>112</v>
      </c>
      <c r="F1276" s="15" t="s">
        <v>472</v>
      </c>
      <c r="G1276" s="15" t="s">
        <v>502</v>
      </c>
      <c r="H1276" s="15" t="s">
        <v>1481</v>
      </c>
      <c r="J1276" s="16" t="s">
        <v>114</v>
      </c>
      <c r="U1276" s="15" t="s">
        <v>17977</v>
      </c>
      <c r="W1276" s="15">
        <v>2077</v>
      </c>
      <c r="X1276" s="15">
        <v>1286</v>
      </c>
      <c r="Y1276" s="15" t="s">
        <v>160</v>
      </c>
      <c r="Z1276" s="15" t="s">
        <v>161</v>
      </c>
      <c r="AA1276" s="15" t="s">
        <v>162</v>
      </c>
      <c r="AB1276" s="15" t="s">
        <v>10668</v>
      </c>
      <c r="AC1276" s="15" t="s">
        <v>10668</v>
      </c>
      <c r="AD1276" s="15" t="s">
        <v>10668</v>
      </c>
      <c r="AE1276" s="15" t="s">
        <v>164</v>
      </c>
      <c r="AF1276" s="15" t="s">
        <v>10668</v>
      </c>
      <c r="AG1276" s="25" t="s">
        <v>10668</v>
      </c>
      <c r="AH1276" s="34" t="s">
        <v>10669</v>
      </c>
      <c r="AL1276" s="15" t="s">
        <v>10670</v>
      </c>
      <c r="AN1276" s="15">
        <v>743</v>
      </c>
      <c r="AO1276" s="15" t="s">
        <v>10671</v>
      </c>
      <c r="AQ1276" s="17" t="s">
        <v>342</v>
      </c>
      <c r="AT1276" s="15" t="s">
        <v>10672</v>
      </c>
      <c r="AU1276" s="15" t="s">
        <v>10673</v>
      </c>
      <c r="AV1276" s="15" t="s">
        <v>10673</v>
      </c>
      <c r="AW1276" s="18" t="s">
        <v>10674</v>
      </c>
      <c r="AX1276" s="18" t="s">
        <v>10675</v>
      </c>
      <c r="AY1276" s="23">
        <f t="shared" si="25"/>
        <v>57</v>
      </c>
      <c r="AZ1276" s="18" t="s">
        <v>482</v>
      </c>
      <c r="BA1276" s="18" t="s">
        <v>483</v>
      </c>
      <c r="BB1276" s="18" t="s">
        <v>511</v>
      </c>
      <c r="BC1276" s="26" t="s">
        <v>379</v>
      </c>
      <c r="BD1276" s="18"/>
      <c r="BE1276" s="18" t="s">
        <v>7353</v>
      </c>
      <c r="BF1276" s="18" t="s">
        <v>5758</v>
      </c>
      <c r="BG1276" s="18"/>
      <c r="BH1276" s="18"/>
      <c r="BI1276" s="18"/>
      <c r="BJ1276" s="18" t="s">
        <v>10676</v>
      </c>
      <c r="BK1276" s="18" t="s">
        <v>487</v>
      </c>
      <c r="BL1276" s="18"/>
      <c r="BM1276" s="18"/>
      <c r="BN1276" s="18" t="s">
        <v>179</v>
      </c>
      <c r="BO1276" s="18"/>
      <c r="BP1276" s="18" t="s">
        <v>138</v>
      </c>
      <c r="BQ1276" s="18"/>
      <c r="BR1276" s="26" t="s">
        <v>1728</v>
      </c>
      <c r="BS1276" s="15" t="s">
        <v>10677</v>
      </c>
      <c r="BT1276" s="19"/>
      <c r="DH1276" s="15" t="s">
        <v>17982</v>
      </c>
      <c r="DI1276" s="15" t="s">
        <v>17982</v>
      </c>
    </row>
    <row r="1277" spans="1:113" s="15" customFormat="1" ht="12.75" x14ac:dyDescent="0.2">
      <c r="A1277" s="15" t="s">
        <v>109</v>
      </c>
      <c r="B1277" s="15" t="s">
        <v>110</v>
      </c>
      <c r="D1277" s="15" t="s">
        <v>472</v>
      </c>
      <c r="E1277" s="15" t="s">
        <v>112</v>
      </c>
      <c r="F1277" s="15" t="s">
        <v>472</v>
      </c>
      <c r="G1277" s="15" t="s">
        <v>502</v>
      </c>
      <c r="H1277" s="15" t="s">
        <v>111</v>
      </c>
      <c r="J1277" s="16" t="s">
        <v>114</v>
      </c>
      <c r="U1277" s="15" t="s">
        <v>17977</v>
      </c>
      <c r="W1277" s="15">
        <v>51</v>
      </c>
      <c r="X1277" s="15">
        <v>1287</v>
      </c>
      <c r="Y1277" s="15" t="s">
        <v>160</v>
      </c>
      <c r="Z1277" s="15" t="s">
        <v>161</v>
      </c>
      <c r="AA1277" s="15" t="s">
        <v>162</v>
      </c>
      <c r="AB1277" s="15" t="s">
        <v>503</v>
      </c>
      <c r="AC1277" s="15" t="s">
        <v>503</v>
      </c>
      <c r="AD1277" s="15" t="s">
        <v>503</v>
      </c>
      <c r="AE1277" s="15" t="s">
        <v>164</v>
      </c>
      <c r="AF1277" s="15" t="s">
        <v>503</v>
      </c>
      <c r="AG1277" s="25" t="s">
        <v>503</v>
      </c>
      <c r="AH1277" s="34" t="s">
        <v>504</v>
      </c>
      <c r="AL1277" s="15" t="s">
        <v>505</v>
      </c>
      <c r="AN1277" s="15">
        <v>743</v>
      </c>
      <c r="AO1277" s="15" t="s">
        <v>506</v>
      </c>
      <c r="AQ1277" s="41" t="s">
        <v>342</v>
      </c>
      <c r="AT1277" s="15" t="s">
        <v>507</v>
      </c>
      <c r="AU1277" s="15" t="s">
        <v>508</v>
      </c>
      <c r="AV1277" s="15" t="s">
        <v>508</v>
      </c>
      <c r="AW1277" s="18" t="s">
        <v>509</v>
      </c>
      <c r="AX1277" s="18" t="s">
        <v>510</v>
      </c>
      <c r="AY1277" s="23">
        <f t="shared" si="25"/>
        <v>58</v>
      </c>
      <c r="AZ1277" s="18" t="s">
        <v>482</v>
      </c>
      <c r="BA1277" s="18" t="s">
        <v>483</v>
      </c>
      <c r="BB1277" s="18" t="s">
        <v>511</v>
      </c>
      <c r="BC1277" s="26"/>
      <c r="BD1277" s="18"/>
      <c r="BE1277" s="18" t="s">
        <v>512</v>
      </c>
      <c r="BF1277" s="18"/>
      <c r="BG1277" s="18"/>
      <c r="BH1277" s="18"/>
      <c r="BI1277" s="18"/>
      <c r="BJ1277" s="18" t="s">
        <v>513</v>
      </c>
      <c r="BK1277" s="18" t="s">
        <v>487</v>
      </c>
      <c r="BL1277" s="18"/>
      <c r="BM1277" s="18"/>
      <c r="BN1277" s="18" t="s">
        <v>179</v>
      </c>
      <c r="BO1277" s="18"/>
      <c r="BP1277" s="18" t="s">
        <v>138</v>
      </c>
      <c r="BQ1277" s="18"/>
      <c r="BR1277" s="18" t="s">
        <v>173</v>
      </c>
      <c r="BS1277" s="15" t="s">
        <v>514</v>
      </c>
      <c r="BT1277" s="19"/>
      <c r="DH1277" s="15" t="s">
        <v>17982</v>
      </c>
      <c r="DI1277" s="15" t="s">
        <v>17982</v>
      </c>
    </row>
    <row r="1278" spans="1:113" s="15" customFormat="1" ht="12.75" x14ac:dyDescent="0.2">
      <c r="A1278" s="15" t="s">
        <v>109</v>
      </c>
      <c r="B1278" s="15" t="s">
        <v>110</v>
      </c>
      <c r="D1278" s="15" t="s">
        <v>472</v>
      </c>
      <c r="E1278" s="15" t="s">
        <v>112</v>
      </c>
      <c r="F1278" s="15" t="s">
        <v>472</v>
      </c>
      <c r="G1278" s="15" t="s">
        <v>502</v>
      </c>
      <c r="H1278" s="15" t="s">
        <v>111</v>
      </c>
      <c r="J1278" s="16" t="s">
        <v>114</v>
      </c>
      <c r="U1278" s="15" t="s">
        <v>17977</v>
      </c>
      <c r="W1278" s="15">
        <v>2376</v>
      </c>
      <c r="X1278" s="15">
        <v>1288</v>
      </c>
      <c r="Y1278" s="15" t="s">
        <v>160</v>
      </c>
      <c r="Z1278" s="15" t="s">
        <v>161</v>
      </c>
      <c r="AA1278" s="15" t="s">
        <v>162</v>
      </c>
      <c r="AB1278" s="15" t="s">
        <v>11723</v>
      </c>
      <c r="AC1278" s="15" t="s">
        <v>11723</v>
      </c>
      <c r="AD1278" s="15" t="s">
        <v>11723</v>
      </c>
      <c r="AE1278" s="15" t="s">
        <v>164</v>
      </c>
      <c r="AF1278" s="15" t="s">
        <v>11723</v>
      </c>
      <c r="AG1278" s="25" t="s">
        <v>11723</v>
      </c>
      <c r="AH1278" s="34" t="s">
        <v>11724</v>
      </c>
      <c r="AL1278" s="15" t="s">
        <v>11725</v>
      </c>
      <c r="AN1278" s="15">
        <v>743</v>
      </c>
      <c r="AO1278" s="15" t="s">
        <v>11726</v>
      </c>
      <c r="AQ1278" s="17" t="s">
        <v>342</v>
      </c>
      <c r="AT1278" s="15" t="s">
        <v>11727</v>
      </c>
      <c r="AU1278" s="15" t="s">
        <v>11728</v>
      </c>
      <c r="AV1278" s="15" t="s">
        <v>11728</v>
      </c>
      <c r="AW1278" s="18" t="s">
        <v>11729</v>
      </c>
      <c r="AX1278" s="18" t="s">
        <v>11730</v>
      </c>
      <c r="AY1278" s="23">
        <f t="shared" si="25"/>
        <v>58</v>
      </c>
      <c r="AZ1278" s="18" t="s">
        <v>1725</v>
      </c>
      <c r="BA1278" s="18" t="s">
        <v>483</v>
      </c>
      <c r="BB1278" s="18" t="s">
        <v>11720</v>
      </c>
      <c r="BC1278" s="26"/>
      <c r="BD1278" s="18"/>
      <c r="BE1278" s="18" t="s">
        <v>512</v>
      </c>
      <c r="BF1278" s="18"/>
      <c r="BG1278" s="18"/>
      <c r="BH1278" s="18"/>
      <c r="BI1278" s="18"/>
      <c r="BJ1278" s="18" t="s">
        <v>11731</v>
      </c>
      <c r="BK1278" s="18" t="s">
        <v>487</v>
      </c>
      <c r="BL1278" s="18"/>
      <c r="BM1278" s="18"/>
      <c r="BN1278" s="18" t="s">
        <v>179</v>
      </c>
      <c r="BO1278" s="18"/>
      <c r="BP1278" s="18" t="s">
        <v>138</v>
      </c>
      <c r="BQ1278" s="18"/>
      <c r="BR1278" s="18" t="s">
        <v>1022</v>
      </c>
      <c r="BS1278" s="15" t="s">
        <v>11732</v>
      </c>
      <c r="BT1278" s="19"/>
      <c r="DH1278" s="15" t="s">
        <v>17982</v>
      </c>
      <c r="DI1278" s="15" t="s">
        <v>17982</v>
      </c>
    </row>
    <row r="1279" spans="1:113" s="15" customFormat="1" ht="12.75" x14ac:dyDescent="0.2">
      <c r="A1279" s="15" t="s">
        <v>109</v>
      </c>
      <c r="B1279" s="15" t="s">
        <v>110</v>
      </c>
      <c r="D1279" s="15" t="s">
        <v>472</v>
      </c>
      <c r="E1279" s="15" t="s">
        <v>112</v>
      </c>
      <c r="F1279" s="15" t="s">
        <v>472</v>
      </c>
      <c r="G1279" s="15" t="s">
        <v>502</v>
      </c>
      <c r="H1279" s="15" t="s">
        <v>111</v>
      </c>
      <c r="J1279" s="16" t="s">
        <v>114</v>
      </c>
      <c r="U1279" s="15" t="s">
        <v>17977</v>
      </c>
      <c r="W1279" s="15">
        <v>2079</v>
      </c>
      <c r="X1279" s="15">
        <v>1289</v>
      </c>
      <c r="Y1279" s="15" t="s">
        <v>160</v>
      </c>
      <c r="Z1279" s="15" t="s">
        <v>161</v>
      </c>
      <c r="AA1279" s="15" t="s">
        <v>162</v>
      </c>
      <c r="AB1279" s="15" t="s">
        <v>10689</v>
      </c>
      <c r="AC1279" s="15" t="s">
        <v>10689</v>
      </c>
      <c r="AD1279" s="15" t="s">
        <v>10689</v>
      </c>
      <c r="AE1279" s="15" t="s">
        <v>164</v>
      </c>
      <c r="AF1279" s="15" t="s">
        <v>10689</v>
      </c>
      <c r="AG1279" s="25" t="s">
        <v>10689</v>
      </c>
      <c r="AH1279" s="34" t="s">
        <v>10690</v>
      </c>
      <c r="AL1279" s="15" t="s">
        <v>10691</v>
      </c>
      <c r="AN1279" s="15">
        <v>743</v>
      </c>
      <c r="AO1279" s="15" t="s">
        <v>10692</v>
      </c>
      <c r="AQ1279" s="17" t="s">
        <v>342</v>
      </c>
      <c r="AT1279" s="15" t="s">
        <v>10693</v>
      </c>
      <c r="AU1279" s="15" t="s">
        <v>10694</v>
      </c>
      <c r="AV1279" s="15" t="s">
        <v>10694</v>
      </c>
      <c r="AW1279" s="18" t="s">
        <v>10695</v>
      </c>
      <c r="AX1279" s="18" t="s">
        <v>10696</v>
      </c>
      <c r="AY1279" s="23">
        <f t="shared" ref="AY1279:AY1310" si="26">LEN(SUBSTITUTE(AX1279, ", ",","))</f>
        <v>57</v>
      </c>
      <c r="AZ1279" s="18" t="s">
        <v>482</v>
      </c>
      <c r="BA1279" s="18" t="s">
        <v>483</v>
      </c>
      <c r="BB1279" s="18" t="s">
        <v>7310</v>
      </c>
      <c r="BC1279" s="26" t="s">
        <v>379</v>
      </c>
      <c r="BD1279" s="18"/>
      <c r="BE1279" s="18" t="s">
        <v>7353</v>
      </c>
      <c r="BF1279" s="18"/>
      <c r="BG1279" s="18"/>
      <c r="BH1279" s="18"/>
      <c r="BI1279" s="18"/>
      <c r="BJ1279" s="18" t="s">
        <v>10697</v>
      </c>
      <c r="BK1279" s="18" t="s">
        <v>487</v>
      </c>
      <c r="BL1279" s="18"/>
      <c r="BM1279" s="18"/>
      <c r="BN1279" s="18" t="s">
        <v>179</v>
      </c>
      <c r="BO1279" s="18"/>
      <c r="BP1279" s="18" t="s">
        <v>138</v>
      </c>
      <c r="BQ1279" s="18"/>
      <c r="BR1279" s="18" t="s">
        <v>1022</v>
      </c>
      <c r="BS1279" s="15" t="s">
        <v>10698</v>
      </c>
      <c r="BT1279" s="19"/>
      <c r="DH1279" s="15" t="s">
        <v>17982</v>
      </c>
      <c r="DI1279" s="15" t="s">
        <v>17982</v>
      </c>
    </row>
    <row r="1280" spans="1:113" s="15" customFormat="1" ht="12.75" x14ac:dyDescent="0.2">
      <c r="A1280" s="15" t="s">
        <v>109</v>
      </c>
      <c r="B1280" s="15" t="s">
        <v>110</v>
      </c>
      <c r="D1280" s="15" t="s">
        <v>472</v>
      </c>
      <c r="E1280" s="15" t="s">
        <v>112</v>
      </c>
      <c r="F1280" s="15" t="s">
        <v>472</v>
      </c>
      <c r="G1280" s="15" t="s">
        <v>502</v>
      </c>
      <c r="H1280" s="15" t="s">
        <v>111</v>
      </c>
      <c r="J1280" s="16" t="s">
        <v>114</v>
      </c>
      <c r="U1280" s="15" t="s">
        <v>17977</v>
      </c>
      <c r="W1280" s="15">
        <v>2080</v>
      </c>
      <c r="X1280" s="15">
        <v>1290</v>
      </c>
      <c r="Y1280" s="15" t="s">
        <v>160</v>
      </c>
      <c r="Z1280" s="15" t="s">
        <v>161</v>
      </c>
      <c r="AA1280" s="15" t="s">
        <v>162</v>
      </c>
      <c r="AB1280" s="15" t="s">
        <v>10699</v>
      </c>
      <c r="AC1280" s="15" t="s">
        <v>10699</v>
      </c>
      <c r="AD1280" s="15" t="s">
        <v>10699</v>
      </c>
      <c r="AE1280" s="15" t="s">
        <v>164</v>
      </c>
      <c r="AF1280" s="15" t="s">
        <v>10699</v>
      </c>
      <c r="AG1280" s="25" t="s">
        <v>10699</v>
      </c>
      <c r="AH1280" s="34" t="s">
        <v>10700</v>
      </c>
      <c r="AL1280" s="15" t="s">
        <v>10701</v>
      </c>
      <c r="AN1280" s="15">
        <v>743</v>
      </c>
      <c r="AO1280" s="15" t="s">
        <v>10702</v>
      </c>
      <c r="AQ1280" s="17" t="s">
        <v>342</v>
      </c>
      <c r="AT1280" s="15" t="s">
        <v>10703</v>
      </c>
      <c r="AU1280" s="15" t="s">
        <v>10704</v>
      </c>
      <c r="AV1280" s="15" t="s">
        <v>10704</v>
      </c>
      <c r="AW1280" s="18" t="s">
        <v>10705</v>
      </c>
      <c r="AX1280" s="18" t="s">
        <v>10706</v>
      </c>
      <c r="AY1280" s="23">
        <f t="shared" si="26"/>
        <v>54</v>
      </c>
      <c r="AZ1280" s="18" t="s">
        <v>482</v>
      </c>
      <c r="BA1280" s="18" t="s">
        <v>483</v>
      </c>
      <c r="BB1280" s="18" t="s">
        <v>7310</v>
      </c>
      <c r="BC1280" s="26" t="s">
        <v>379</v>
      </c>
      <c r="BD1280" s="18"/>
      <c r="BE1280" s="18" t="s">
        <v>7353</v>
      </c>
      <c r="BF1280" s="18"/>
      <c r="BG1280" s="18"/>
      <c r="BH1280" s="18"/>
      <c r="BI1280" s="18"/>
      <c r="BJ1280" s="18" t="s">
        <v>7311</v>
      </c>
      <c r="BK1280" s="18" t="s">
        <v>487</v>
      </c>
      <c r="BL1280" s="18"/>
      <c r="BM1280" s="18"/>
      <c r="BN1280" s="18" t="s">
        <v>179</v>
      </c>
      <c r="BO1280" s="18"/>
      <c r="BP1280" s="18" t="s">
        <v>138</v>
      </c>
      <c r="BQ1280" s="18"/>
      <c r="BR1280" s="18" t="s">
        <v>1022</v>
      </c>
      <c r="BS1280" s="15" t="s">
        <v>10707</v>
      </c>
      <c r="BT1280" s="19"/>
      <c r="DH1280" s="15" t="s">
        <v>17982</v>
      </c>
      <c r="DI1280" s="15" t="s">
        <v>17982</v>
      </c>
    </row>
    <row r="1281" spans="1:113" s="15" customFormat="1" ht="12.75" x14ac:dyDescent="0.2">
      <c r="A1281" s="15" t="s">
        <v>109</v>
      </c>
      <c r="B1281" s="15" t="s">
        <v>110</v>
      </c>
      <c r="D1281" s="15" t="s">
        <v>472</v>
      </c>
      <c r="E1281" s="15" t="s">
        <v>112</v>
      </c>
      <c r="F1281" s="15" t="s">
        <v>472</v>
      </c>
      <c r="G1281" s="15" t="s">
        <v>502</v>
      </c>
      <c r="H1281" s="15" t="s">
        <v>111</v>
      </c>
      <c r="J1281" s="16" t="s">
        <v>114</v>
      </c>
      <c r="U1281" s="15" t="s">
        <v>17977</v>
      </c>
      <c r="W1281" s="15">
        <v>1439</v>
      </c>
      <c r="X1281" s="15">
        <v>1291</v>
      </c>
      <c r="Y1281" s="15" t="s">
        <v>160</v>
      </c>
      <c r="Z1281" s="15" t="s">
        <v>161</v>
      </c>
      <c r="AA1281" s="15" t="s">
        <v>162</v>
      </c>
      <c r="AB1281" s="15" t="s">
        <v>7301</v>
      </c>
      <c r="AC1281" s="15" t="s">
        <v>7301</v>
      </c>
      <c r="AD1281" s="15" t="s">
        <v>7302</v>
      </c>
      <c r="AE1281" s="15" t="s">
        <v>164</v>
      </c>
      <c r="AF1281" s="15" t="s">
        <v>7302</v>
      </c>
      <c r="AG1281" s="25" t="s">
        <v>7301</v>
      </c>
      <c r="AH1281" s="34" t="s">
        <v>7303</v>
      </c>
      <c r="AL1281" s="15" t="s">
        <v>7304</v>
      </c>
      <c r="AN1281" s="15">
        <v>743</v>
      </c>
      <c r="AO1281" s="15" t="s">
        <v>7305</v>
      </c>
      <c r="AQ1281" s="17" t="s">
        <v>342</v>
      </c>
      <c r="AR1281" s="47"/>
      <c r="AS1281" s="47"/>
      <c r="AT1281" s="15" t="s">
        <v>7306</v>
      </c>
      <c r="AU1281" s="15" t="s">
        <v>7307</v>
      </c>
      <c r="AV1281" s="15" t="s">
        <v>7307</v>
      </c>
      <c r="AW1281" s="18" t="s">
        <v>7308</v>
      </c>
      <c r="AX1281" s="18" t="s">
        <v>7309</v>
      </c>
      <c r="AY1281" s="23">
        <f t="shared" si="26"/>
        <v>54</v>
      </c>
      <c r="AZ1281" s="18" t="s">
        <v>482</v>
      </c>
      <c r="BA1281" s="18" t="s">
        <v>483</v>
      </c>
      <c r="BB1281" s="18" t="s">
        <v>7310</v>
      </c>
      <c r="BC1281" s="26" t="s">
        <v>379</v>
      </c>
      <c r="BD1281" s="18"/>
      <c r="BE1281" s="18" t="s">
        <v>499</v>
      </c>
      <c r="BF1281" s="18"/>
      <c r="BG1281" s="18"/>
      <c r="BH1281" s="18"/>
      <c r="BI1281" s="18"/>
      <c r="BJ1281" s="18" t="s">
        <v>7311</v>
      </c>
      <c r="BK1281" s="18" t="s">
        <v>487</v>
      </c>
      <c r="BL1281" s="18"/>
      <c r="BM1281" s="18"/>
      <c r="BN1281" s="18" t="s">
        <v>179</v>
      </c>
      <c r="BO1281" s="18"/>
      <c r="BP1281" s="18" t="s">
        <v>138</v>
      </c>
      <c r="BQ1281" s="18"/>
      <c r="BR1281" s="18" t="s">
        <v>1022</v>
      </c>
      <c r="BS1281" s="15" t="s">
        <v>7312</v>
      </c>
      <c r="BT1281" s="19"/>
      <c r="DH1281" s="15" t="s">
        <v>17982</v>
      </c>
      <c r="DI1281" s="15" t="s">
        <v>17982</v>
      </c>
    </row>
    <row r="1282" spans="1:113" s="15" customFormat="1" ht="12.75" x14ac:dyDescent="0.2">
      <c r="A1282" s="15" t="s">
        <v>109</v>
      </c>
      <c r="B1282" s="15" t="s">
        <v>110</v>
      </c>
      <c r="D1282" s="15" t="s">
        <v>472</v>
      </c>
      <c r="E1282" s="15" t="s">
        <v>112</v>
      </c>
      <c r="F1282" s="15" t="s">
        <v>472</v>
      </c>
      <c r="G1282" s="15" t="s">
        <v>502</v>
      </c>
      <c r="H1282" s="15" t="s">
        <v>111</v>
      </c>
      <c r="J1282" s="16" t="s">
        <v>114</v>
      </c>
      <c r="U1282" s="15" t="s">
        <v>17977</v>
      </c>
      <c r="W1282" s="15">
        <v>2083</v>
      </c>
      <c r="X1282" s="15">
        <v>1292</v>
      </c>
      <c r="Y1282" s="15" t="s">
        <v>160</v>
      </c>
      <c r="Z1282" s="15" t="s">
        <v>161</v>
      </c>
      <c r="AA1282" s="15" t="s">
        <v>162</v>
      </c>
      <c r="AB1282" s="15" t="s">
        <v>10729</v>
      </c>
      <c r="AC1282" s="15" t="s">
        <v>10729</v>
      </c>
      <c r="AD1282" s="15" t="s">
        <v>10729</v>
      </c>
      <c r="AE1282" s="15" t="s">
        <v>164</v>
      </c>
      <c r="AF1282" s="15" t="s">
        <v>10729</v>
      </c>
      <c r="AG1282" s="25" t="s">
        <v>10729</v>
      </c>
      <c r="AH1282" s="34" t="s">
        <v>10730</v>
      </c>
      <c r="AL1282" s="15" t="s">
        <v>10731</v>
      </c>
      <c r="AN1282" s="15">
        <v>743</v>
      </c>
      <c r="AO1282" s="15" t="s">
        <v>10732</v>
      </c>
      <c r="AQ1282" s="17" t="s">
        <v>342</v>
      </c>
      <c r="AT1282" s="15" t="s">
        <v>10733</v>
      </c>
      <c r="AU1282" s="15" t="s">
        <v>10734</v>
      </c>
      <c r="AV1282" s="15" t="s">
        <v>10734</v>
      </c>
      <c r="AW1282" s="18" t="s">
        <v>10735</v>
      </c>
      <c r="AX1282" s="18" t="s">
        <v>10736</v>
      </c>
      <c r="AY1282" s="23">
        <f t="shared" si="26"/>
        <v>59</v>
      </c>
      <c r="AZ1282" s="18" t="s">
        <v>482</v>
      </c>
      <c r="BA1282" s="18" t="s">
        <v>483</v>
      </c>
      <c r="BB1282" s="18" t="s">
        <v>10726</v>
      </c>
      <c r="BC1282" s="26" t="s">
        <v>379</v>
      </c>
      <c r="BD1282" s="18"/>
      <c r="BE1282" s="18" t="s">
        <v>7353</v>
      </c>
      <c r="BF1282" s="18"/>
      <c r="BG1282" s="18"/>
      <c r="BH1282" s="18"/>
      <c r="BI1282" s="18"/>
      <c r="BJ1282" s="18" t="s">
        <v>10737</v>
      </c>
      <c r="BK1282" s="18" t="s">
        <v>487</v>
      </c>
      <c r="BL1282" s="18"/>
      <c r="BM1282" s="18"/>
      <c r="BN1282" s="18" t="s">
        <v>179</v>
      </c>
      <c r="BO1282" s="18"/>
      <c r="BP1282" s="18" t="s">
        <v>138</v>
      </c>
      <c r="BQ1282" s="18"/>
      <c r="BR1282" s="18" t="s">
        <v>1022</v>
      </c>
      <c r="BS1282" s="15" t="s">
        <v>10738</v>
      </c>
      <c r="BT1282" s="19"/>
      <c r="DH1282" s="15" t="s">
        <v>17982</v>
      </c>
      <c r="DI1282" s="15" t="s">
        <v>17982</v>
      </c>
    </row>
    <row r="1283" spans="1:113" s="15" customFormat="1" ht="12.75" x14ac:dyDescent="0.2">
      <c r="A1283" s="15" t="s">
        <v>109</v>
      </c>
      <c r="B1283" s="15" t="s">
        <v>110</v>
      </c>
      <c r="D1283" s="15" t="s">
        <v>472</v>
      </c>
      <c r="E1283" s="15" t="s">
        <v>112</v>
      </c>
      <c r="F1283" s="15" t="s">
        <v>472</v>
      </c>
      <c r="G1283" s="15" t="s">
        <v>502</v>
      </c>
      <c r="H1283" s="15" t="s">
        <v>111</v>
      </c>
      <c r="J1283" s="16" t="s">
        <v>114</v>
      </c>
      <c r="U1283" s="15" t="s">
        <v>17977</v>
      </c>
      <c r="W1283" s="15">
        <v>2082</v>
      </c>
      <c r="X1283" s="15">
        <v>1293</v>
      </c>
      <c r="Y1283" s="15" t="s">
        <v>160</v>
      </c>
      <c r="Z1283" s="15" t="s">
        <v>161</v>
      </c>
      <c r="AA1283" s="15" t="s">
        <v>162</v>
      </c>
      <c r="AB1283" s="15" t="s">
        <v>10718</v>
      </c>
      <c r="AC1283" s="15" t="s">
        <v>10718</v>
      </c>
      <c r="AD1283" s="15" t="s">
        <v>10718</v>
      </c>
      <c r="AE1283" s="15" t="s">
        <v>164</v>
      </c>
      <c r="AF1283" s="15" t="s">
        <v>10718</v>
      </c>
      <c r="AG1283" s="25" t="s">
        <v>10718</v>
      </c>
      <c r="AH1283" s="34" t="s">
        <v>10719</v>
      </c>
      <c r="AL1283" s="15" t="s">
        <v>10720</v>
      </c>
      <c r="AN1283" s="15">
        <v>743</v>
      </c>
      <c r="AO1283" s="15" t="s">
        <v>10721</v>
      </c>
      <c r="AQ1283" s="17" t="s">
        <v>342</v>
      </c>
      <c r="AT1283" s="15" t="s">
        <v>10722</v>
      </c>
      <c r="AU1283" s="15" t="s">
        <v>10723</v>
      </c>
      <c r="AV1283" s="15" t="s">
        <v>10723</v>
      </c>
      <c r="AW1283" s="18" t="s">
        <v>10724</v>
      </c>
      <c r="AX1283" s="18" t="s">
        <v>10725</v>
      </c>
      <c r="AY1283" s="23">
        <f t="shared" si="26"/>
        <v>56</v>
      </c>
      <c r="AZ1283" s="18" t="s">
        <v>482</v>
      </c>
      <c r="BA1283" s="18" t="s">
        <v>483</v>
      </c>
      <c r="BB1283" s="18" t="s">
        <v>10726</v>
      </c>
      <c r="BC1283" s="26" t="s">
        <v>379</v>
      </c>
      <c r="BD1283" s="18"/>
      <c r="BE1283" s="18" t="s">
        <v>7353</v>
      </c>
      <c r="BF1283" s="18"/>
      <c r="BG1283" s="18"/>
      <c r="BH1283" s="18"/>
      <c r="BI1283" s="18"/>
      <c r="BJ1283" s="18" t="s">
        <v>10727</v>
      </c>
      <c r="BK1283" s="18" t="s">
        <v>487</v>
      </c>
      <c r="BL1283" s="18"/>
      <c r="BM1283" s="18"/>
      <c r="BN1283" s="18" t="s">
        <v>179</v>
      </c>
      <c r="BO1283" s="18"/>
      <c r="BP1283" s="18" t="s">
        <v>138</v>
      </c>
      <c r="BQ1283" s="18"/>
      <c r="BR1283" s="18" t="s">
        <v>1022</v>
      </c>
      <c r="BS1283" s="15" t="s">
        <v>10728</v>
      </c>
      <c r="BT1283" s="19"/>
      <c r="DH1283" s="15" t="s">
        <v>17982</v>
      </c>
      <c r="DI1283" s="15" t="s">
        <v>17982</v>
      </c>
    </row>
    <row r="1284" spans="1:113" s="15" customFormat="1" ht="12.75" x14ac:dyDescent="0.2">
      <c r="A1284" s="15" t="s">
        <v>109</v>
      </c>
      <c r="B1284" s="15" t="s">
        <v>110</v>
      </c>
      <c r="D1284" s="15" t="s">
        <v>472</v>
      </c>
      <c r="E1284" s="15" t="s">
        <v>112</v>
      </c>
      <c r="F1284" s="15" t="s">
        <v>472</v>
      </c>
      <c r="G1284" s="15" t="s">
        <v>502</v>
      </c>
      <c r="H1284" s="15" t="s">
        <v>111</v>
      </c>
      <c r="J1284" s="16" t="s">
        <v>114</v>
      </c>
      <c r="U1284" s="15" t="s">
        <v>17977</v>
      </c>
      <c r="W1284" s="15">
        <v>2078</v>
      </c>
      <c r="X1284" s="15">
        <v>1294</v>
      </c>
      <c r="Y1284" s="15" t="s">
        <v>160</v>
      </c>
      <c r="Z1284" s="15" t="s">
        <v>161</v>
      </c>
      <c r="AA1284" s="15" t="s">
        <v>162</v>
      </c>
      <c r="AB1284" s="15" t="s">
        <v>10678</v>
      </c>
      <c r="AC1284" s="15" t="s">
        <v>10678</v>
      </c>
      <c r="AD1284" s="15" t="s">
        <v>10678</v>
      </c>
      <c r="AE1284" s="15" t="s">
        <v>164</v>
      </c>
      <c r="AF1284" s="15" t="s">
        <v>10678</v>
      </c>
      <c r="AG1284" s="25" t="s">
        <v>10678</v>
      </c>
      <c r="AH1284" s="34" t="s">
        <v>10679</v>
      </c>
      <c r="AL1284" s="15" t="s">
        <v>10680</v>
      </c>
      <c r="AN1284" s="15">
        <v>743</v>
      </c>
      <c r="AO1284" s="15" t="s">
        <v>10681</v>
      </c>
      <c r="AQ1284" s="17" t="s">
        <v>342</v>
      </c>
      <c r="AT1284" s="15" t="s">
        <v>10682</v>
      </c>
      <c r="AU1284" s="15" t="s">
        <v>10683</v>
      </c>
      <c r="AV1284" s="15" t="s">
        <v>10683</v>
      </c>
      <c r="AW1284" s="18" t="s">
        <v>10684</v>
      </c>
      <c r="AX1284" s="18" t="s">
        <v>10685</v>
      </c>
      <c r="AY1284" s="23">
        <f t="shared" si="26"/>
        <v>59</v>
      </c>
      <c r="AZ1284" s="18" t="s">
        <v>482</v>
      </c>
      <c r="BA1284" s="18" t="s">
        <v>483</v>
      </c>
      <c r="BB1284" s="18" t="s">
        <v>10686</v>
      </c>
      <c r="BC1284" s="26" t="s">
        <v>379</v>
      </c>
      <c r="BD1284" s="18"/>
      <c r="BE1284" s="18" t="s">
        <v>7353</v>
      </c>
      <c r="BF1284" s="18"/>
      <c r="BG1284" s="18"/>
      <c r="BH1284" s="18"/>
      <c r="BI1284" s="18"/>
      <c r="BJ1284" s="26" t="s">
        <v>10687</v>
      </c>
      <c r="BK1284" s="18" t="s">
        <v>487</v>
      </c>
      <c r="BL1284" s="18"/>
      <c r="BM1284" s="18"/>
      <c r="BN1284" s="18" t="s">
        <v>179</v>
      </c>
      <c r="BO1284" s="18"/>
      <c r="BP1284" s="18" t="s">
        <v>138</v>
      </c>
      <c r="BQ1284" s="18"/>
      <c r="BR1284" s="18" t="s">
        <v>1022</v>
      </c>
      <c r="BS1284" s="15" t="s">
        <v>10688</v>
      </c>
      <c r="BT1284" s="19"/>
      <c r="DH1284" s="15" t="s">
        <v>17982</v>
      </c>
      <c r="DI1284" s="15" t="s">
        <v>17982</v>
      </c>
    </row>
    <row r="1285" spans="1:113" s="15" customFormat="1" ht="12.75" x14ac:dyDescent="0.2">
      <c r="A1285" s="15" t="s">
        <v>109</v>
      </c>
      <c r="B1285" s="15" t="s">
        <v>110</v>
      </c>
      <c r="D1285" s="15" t="s">
        <v>472</v>
      </c>
      <c r="E1285" s="15" t="s">
        <v>112</v>
      </c>
      <c r="F1285" s="15" t="s">
        <v>472</v>
      </c>
      <c r="G1285" s="15" t="s">
        <v>502</v>
      </c>
      <c r="H1285" s="15" t="s">
        <v>111</v>
      </c>
      <c r="J1285" s="16" t="s">
        <v>114</v>
      </c>
      <c r="U1285" s="15" t="s">
        <v>17977</v>
      </c>
      <c r="W1285" s="15">
        <v>52</v>
      </c>
      <c r="X1285" s="15">
        <v>1295</v>
      </c>
      <c r="Y1285" s="15" t="s">
        <v>160</v>
      </c>
      <c r="Z1285" s="15" t="s">
        <v>161</v>
      </c>
      <c r="AA1285" s="15" t="s">
        <v>162</v>
      </c>
      <c r="AB1285" s="15" t="s">
        <v>515</v>
      </c>
      <c r="AC1285" s="15" t="s">
        <v>515</v>
      </c>
      <c r="AD1285" s="15" t="s">
        <v>515</v>
      </c>
      <c r="AE1285" s="15" t="s">
        <v>164</v>
      </c>
      <c r="AF1285" s="15" t="s">
        <v>515</v>
      </c>
      <c r="AG1285" s="25" t="s">
        <v>515</v>
      </c>
      <c r="AH1285" s="34" t="s">
        <v>516</v>
      </c>
      <c r="AL1285" s="15" t="s">
        <v>517</v>
      </c>
      <c r="AN1285" s="15">
        <v>743</v>
      </c>
      <c r="AO1285" s="15" t="s">
        <v>518</v>
      </c>
      <c r="AQ1285" s="17" t="s">
        <v>342</v>
      </c>
      <c r="AT1285" s="15" t="s">
        <v>519</v>
      </c>
      <c r="AU1285" s="15" t="s">
        <v>520</v>
      </c>
      <c r="AV1285" s="15" t="s">
        <v>520</v>
      </c>
      <c r="AW1285" s="18" t="s">
        <v>521</v>
      </c>
      <c r="AX1285" s="18" t="s">
        <v>522</v>
      </c>
      <c r="AY1285" s="23">
        <f t="shared" si="26"/>
        <v>53</v>
      </c>
      <c r="AZ1285" s="18" t="s">
        <v>482</v>
      </c>
      <c r="BA1285" s="18" t="s">
        <v>483</v>
      </c>
      <c r="BB1285" s="18" t="s">
        <v>511</v>
      </c>
      <c r="BC1285" s="18"/>
      <c r="BD1285" s="18"/>
      <c r="BE1285" s="18" t="s">
        <v>512</v>
      </c>
      <c r="BF1285" s="18"/>
      <c r="BG1285" s="18"/>
      <c r="BH1285" s="18"/>
      <c r="BI1285" s="18"/>
      <c r="BJ1285" s="26" t="s">
        <v>523</v>
      </c>
      <c r="BK1285" s="18" t="s">
        <v>487</v>
      </c>
      <c r="BL1285" s="18"/>
      <c r="BM1285" s="18"/>
      <c r="BN1285" s="18" t="s">
        <v>179</v>
      </c>
      <c r="BO1285" s="18"/>
      <c r="BP1285" s="18" t="s">
        <v>138</v>
      </c>
      <c r="BQ1285" s="18"/>
      <c r="BR1285" s="18" t="s">
        <v>173</v>
      </c>
      <c r="BS1285" s="15" t="s">
        <v>524</v>
      </c>
      <c r="BT1285" s="19"/>
      <c r="DH1285" s="15" t="s">
        <v>17982</v>
      </c>
      <c r="DI1285" s="15" t="s">
        <v>17982</v>
      </c>
    </row>
    <row r="1286" spans="1:113" s="15" customFormat="1" ht="12.75" x14ac:dyDescent="0.2">
      <c r="A1286" s="15" t="s">
        <v>109</v>
      </c>
      <c r="B1286" s="15" t="s">
        <v>110</v>
      </c>
      <c r="D1286" s="15" t="s">
        <v>472</v>
      </c>
      <c r="E1286" s="15" t="s">
        <v>112</v>
      </c>
      <c r="F1286" s="15" t="s">
        <v>472</v>
      </c>
      <c r="G1286" s="15" t="s">
        <v>502</v>
      </c>
      <c r="H1286" s="15" t="s">
        <v>111</v>
      </c>
      <c r="J1286" s="16" t="s">
        <v>114</v>
      </c>
      <c r="U1286" s="15" t="s">
        <v>17977</v>
      </c>
      <c r="W1286" s="15">
        <v>53</v>
      </c>
      <c r="X1286" s="15">
        <v>1296</v>
      </c>
      <c r="Y1286" s="15" t="s">
        <v>160</v>
      </c>
      <c r="Z1286" s="15" t="s">
        <v>161</v>
      </c>
      <c r="AA1286" s="15" t="s">
        <v>162</v>
      </c>
      <c r="AB1286" s="15" t="s">
        <v>525</v>
      </c>
      <c r="AC1286" s="15" t="s">
        <v>525</v>
      </c>
      <c r="AD1286" s="15" t="s">
        <v>525</v>
      </c>
      <c r="AE1286" s="15" t="s">
        <v>164</v>
      </c>
      <c r="AF1286" s="15" t="s">
        <v>525</v>
      </c>
      <c r="AG1286" s="25" t="s">
        <v>525</v>
      </c>
      <c r="AH1286" s="34" t="s">
        <v>526</v>
      </c>
      <c r="AL1286" s="15" t="s">
        <v>517</v>
      </c>
      <c r="AN1286" s="15">
        <v>743</v>
      </c>
      <c r="AO1286" s="15" t="s">
        <v>527</v>
      </c>
      <c r="AQ1286" s="17" t="s">
        <v>342</v>
      </c>
      <c r="AT1286" s="15" t="s">
        <v>528</v>
      </c>
      <c r="AU1286" s="15" t="s">
        <v>529</v>
      </c>
      <c r="AV1286" s="15" t="s">
        <v>529</v>
      </c>
      <c r="AW1286" s="18" t="s">
        <v>530</v>
      </c>
      <c r="AX1286" s="18" t="s">
        <v>531</v>
      </c>
      <c r="AY1286" s="23">
        <f t="shared" si="26"/>
        <v>51</v>
      </c>
      <c r="AZ1286" s="18" t="s">
        <v>482</v>
      </c>
      <c r="BA1286" s="18" t="s">
        <v>483</v>
      </c>
      <c r="BB1286" s="18" t="s">
        <v>511</v>
      </c>
      <c r="BC1286" s="26"/>
      <c r="BD1286" s="18"/>
      <c r="BE1286" s="18" t="s">
        <v>512</v>
      </c>
      <c r="BF1286" s="18"/>
      <c r="BG1286" s="18"/>
      <c r="BH1286" s="18"/>
      <c r="BI1286" s="18"/>
      <c r="BJ1286" s="18" t="s">
        <v>532</v>
      </c>
      <c r="BK1286" s="18" t="s">
        <v>487</v>
      </c>
      <c r="BL1286" s="18"/>
      <c r="BM1286" s="18"/>
      <c r="BN1286" s="18" t="s">
        <v>179</v>
      </c>
      <c r="BO1286" s="18"/>
      <c r="BP1286" s="18" t="s">
        <v>138</v>
      </c>
      <c r="BQ1286" s="18"/>
      <c r="BR1286" s="18" t="s">
        <v>173</v>
      </c>
      <c r="BS1286" s="15" t="s">
        <v>533</v>
      </c>
      <c r="BT1286" s="19"/>
      <c r="DH1286" s="15" t="s">
        <v>17982</v>
      </c>
      <c r="DI1286" s="15" t="s">
        <v>17982</v>
      </c>
    </row>
    <row r="1287" spans="1:113" s="15" customFormat="1" ht="12.75" x14ac:dyDescent="0.2">
      <c r="A1287" s="15" t="s">
        <v>109</v>
      </c>
      <c r="B1287" s="15" t="s">
        <v>110</v>
      </c>
      <c r="D1287" s="15" t="s">
        <v>472</v>
      </c>
      <c r="E1287" s="15" t="s">
        <v>112</v>
      </c>
      <c r="F1287" s="15" t="s">
        <v>472</v>
      </c>
      <c r="G1287" s="15" t="s">
        <v>502</v>
      </c>
      <c r="H1287" s="15" t="s">
        <v>111</v>
      </c>
      <c r="J1287" s="16" t="s">
        <v>114</v>
      </c>
      <c r="U1287" s="15" t="s">
        <v>17977</v>
      </c>
      <c r="W1287" s="15">
        <v>2980</v>
      </c>
      <c r="X1287" s="15">
        <v>1297</v>
      </c>
      <c r="Y1287" s="15" t="s">
        <v>160</v>
      </c>
      <c r="Z1287" s="15" t="s">
        <v>161</v>
      </c>
      <c r="AA1287" s="15" t="s">
        <v>162</v>
      </c>
      <c r="AB1287" s="15" t="s">
        <v>14610</v>
      </c>
      <c r="AC1287" s="15" t="s">
        <v>14610</v>
      </c>
      <c r="AD1287" s="15" t="s">
        <v>14610</v>
      </c>
      <c r="AE1287" s="15" t="s">
        <v>164</v>
      </c>
      <c r="AF1287" s="15" t="s">
        <v>14610</v>
      </c>
      <c r="AG1287" s="25" t="s">
        <v>14610</v>
      </c>
      <c r="AH1287" s="34" t="s">
        <v>14611</v>
      </c>
      <c r="AL1287" s="15" t="s">
        <v>14612</v>
      </c>
      <c r="AN1287" s="15">
        <v>743</v>
      </c>
      <c r="AO1287" s="15" t="s">
        <v>14613</v>
      </c>
      <c r="AQ1287" s="17" t="s">
        <v>342</v>
      </c>
      <c r="AT1287" s="15" t="s">
        <v>14614</v>
      </c>
      <c r="AU1287" s="15" t="s">
        <v>14615</v>
      </c>
      <c r="AV1287" s="15" t="s">
        <v>14615</v>
      </c>
      <c r="AW1287" s="18" t="s">
        <v>14616</v>
      </c>
      <c r="AX1287" s="18" t="s">
        <v>14617</v>
      </c>
      <c r="AY1287" s="23">
        <f t="shared" si="26"/>
        <v>52</v>
      </c>
      <c r="AZ1287" s="18" t="s">
        <v>482</v>
      </c>
      <c r="BA1287" s="18" t="s">
        <v>483</v>
      </c>
      <c r="BB1287" s="18" t="s">
        <v>14618</v>
      </c>
      <c r="BC1287" s="18"/>
      <c r="BD1287" s="18"/>
      <c r="BE1287" s="18" t="s">
        <v>512</v>
      </c>
      <c r="BF1287" s="18"/>
      <c r="BG1287" s="18"/>
      <c r="BH1287" s="18"/>
      <c r="BI1287" s="18"/>
      <c r="BJ1287" s="18" t="s">
        <v>14619</v>
      </c>
      <c r="BK1287" s="18" t="s">
        <v>487</v>
      </c>
      <c r="BL1287" s="18"/>
      <c r="BM1287" s="18"/>
      <c r="BN1287" s="18" t="s">
        <v>179</v>
      </c>
      <c r="BO1287" s="18"/>
      <c r="BP1287" s="18" t="s">
        <v>138</v>
      </c>
      <c r="BQ1287" s="18"/>
      <c r="BR1287" s="18" t="s">
        <v>14620</v>
      </c>
      <c r="BS1287" s="15" t="s">
        <v>14621</v>
      </c>
      <c r="BT1287" s="19"/>
      <c r="DH1287" s="15" t="s">
        <v>17982</v>
      </c>
      <c r="DI1287" s="15" t="s">
        <v>17982</v>
      </c>
    </row>
    <row r="1288" spans="1:113" s="15" customFormat="1" ht="12.75" x14ac:dyDescent="0.2">
      <c r="A1288" s="15" t="s">
        <v>109</v>
      </c>
      <c r="B1288" s="15" t="s">
        <v>110</v>
      </c>
      <c r="D1288" s="15" t="s">
        <v>472</v>
      </c>
      <c r="E1288" s="15" t="s">
        <v>112</v>
      </c>
      <c r="F1288" s="15" t="s">
        <v>472</v>
      </c>
      <c r="G1288" s="15" t="s">
        <v>502</v>
      </c>
      <c r="H1288" s="15" t="s">
        <v>111</v>
      </c>
      <c r="J1288" s="16" t="s">
        <v>114</v>
      </c>
      <c r="U1288" s="15" t="s">
        <v>17977</v>
      </c>
      <c r="W1288" s="15">
        <v>2981</v>
      </c>
      <c r="X1288" s="15">
        <v>1298</v>
      </c>
      <c r="Y1288" s="15" t="s">
        <v>160</v>
      </c>
      <c r="Z1288" s="15" t="s">
        <v>161</v>
      </c>
      <c r="AA1288" s="15" t="s">
        <v>162</v>
      </c>
      <c r="AB1288" s="15" t="s">
        <v>14622</v>
      </c>
      <c r="AC1288" s="15" t="s">
        <v>14622</v>
      </c>
      <c r="AD1288" s="15" t="s">
        <v>14622</v>
      </c>
      <c r="AE1288" s="15" t="s">
        <v>164</v>
      </c>
      <c r="AF1288" s="15" t="s">
        <v>14622</v>
      </c>
      <c r="AG1288" s="25" t="s">
        <v>14622</v>
      </c>
      <c r="AH1288" s="34" t="s">
        <v>14623</v>
      </c>
      <c r="AL1288" s="15" t="s">
        <v>14612</v>
      </c>
      <c r="AN1288" s="15">
        <v>743</v>
      </c>
      <c r="AO1288" s="15" t="s">
        <v>14624</v>
      </c>
      <c r="AQ1288" s="17" t="s">
        <v>342</v>
      </c>
      <c r="AT1288" s="15" t="s">
        <v>14625</v>
      </c>
      <c r="AU1288" s="15" t="s">
        <v>14626</v>
      </c>
      <c r="AV1288" s="15" t="s">
        <v>14626</v>
      </c>
      <c r="AW1288" s="18" t="s">
        <v>14627</v>
      </c>
      <c r="AX1288" s="18" t="s">
        <v>14628</v>
      </c>
      <c r="AY1288" s="23">
        <f t="shared" si="26"/>
        <v>50</v>
      </c>
      <c r="AZ1288" s="18" t="s">
        <v>482</v>
      </c>
      <c r="BA1288" s="18" t="s">
        <v>483</v>
      </c>
      <c r="BB1288" s="18" t="s">
        <v>14618</v>
      </c>
      <c r="BC1288" s="26"/>
      <c r="BD1288" s="18"/>
      <c r="BE1288" s="18" t="s">
        <v>512</v>
      </c>
      <c r="BF1288" s="18"/>
      <c r="BG1288" s="18"/>
      <c r="BH1288" s="18"/>
      <c r="BI1288" s="18"/>
      <c r="BJ1288" s="18" t="s">
        <v>10716</v>
      </c>
      <c r="BK1288" s="18" t="s">
        <v>487</v>
      </c>
      <c r="BL1288" s="18"/>
      <c r="BM1288" s="18"/>
      <c r="BN1288" s="18" t="s">
        <v>179</v>
      </c>
      <c r="BO1288" s="18"/>
      <c r="BP1288" s="18" t="s">
        <v>138</v>
      </c>
      <c r="BQ1288" s="18"/>
      <c r="BR1288" s="18" t="s">
        <v>14620</v>
      </c>
      <c r="BS1288" s="15" t="s">
        <v>14629</v>
      </c>
      <c r="BT1288" s="19"/>
      <c r="DH1288" s="15" t="s">
        <v>17982</v>
      </c>
      <c r="DI1288" s="15" t="s">
        <v>17982</v>
      </c>
    </row>
    <row r="1289" spans="1:113" s="15" customFormat="1" ht="12.75" x14ac:dyDescent="0.2">
      <c r="A1289" s="15" t="s">
        <v>109</v>
      </c>
      <c r="B1289" s="15" t="s">
        <v>110</v>
      </c>
      <c r="D1289" s="15" t="s">
        <v>472</v>
      </c>
      <c r="E1289" s="15" t="s">
        <v>112</v>
      </c>
      <c r="F1289" s="15" t="s">
        <v>472</v>
      </c>
      <c r="G1289" s="15" t="s">
        <v>502</v>
      </c>
      <c r="H1289" s="15" t="s">
        <v>111</v>
      </c>
      <c r="J1289" s="16" t="s">
        <v>114</v>
      </c>
      <c r="U1289" s="15" t="s">
        <v>17977</v>
      </c>
      <c r="W1289" s="15">
        <v>2081</v>
      </c>
      <c r="X1289" s="15">
        <v>1299</v>
      </c>
      <c r="Y1289" s="15" t="s">
        <v>160</v>
      </c>
      <c r="Z1289" s="15" t="s">
        <v>161</v>
      </c>
      <c r="AA1289" s="15" t="s">
        <v>162</v>
      </c>
      <c r="AB1289" s="15" t="s">
        <v>10708</v>
      </c>
      <c r="AC1289" s="15" t="s">
        <v>10708</v>
      </c>
      <c r="AD1289" s="15" t="s">
        <v>10708</v>
      </c>
      <c r="AE1289" s="15" t="s">
        <v>164</v>
      </c>
      <c r="AF1289" s="15" t="s">
        <v>10708</v>
      </c>
      <c r="AG1289" s="25" t="s">
        <v>10708</v>
      </c>
      <c r="AH1289" s="34" t="s">
        <v>10709</v>
      </c>
      <c r="AL1289" s="15" t="s">
        <v>10710</v>
      </c>
      <c r="AN1289" s="15">
        <v>743</v>
      </c>
      <c r="AO1289" s="15" t="s">
        <v>10711</v>
      </c>
      <c r="AQ1289" s="17" t="s">
        <v>342</v>
      </c>
      <c r="AT1289" s="15" t="s">
        <v>10712</v>
      </c>
      <c r="AU1289" s="15" t="s">
        <v>10713</v>
      </c>
      <c r="AV1289" s="15" t="s">
        <v>10713</v>
      </c>
      <c r="AW1289" s="18" t="s">
        <v>10714</v>
      </c>
      <c r="AX1289" s="18" t="s">
        <v>10715</v>
      </c>
      <c r="AY1289" s="23">
        <f t="shared" si="26"/>
        <v>59</v>
      </c>
      <c r="AZ1289" s="18" t="s">
        <v>482</v>
      </c>
      <c r="BA1289" s="18" t="s">
        <v>483</v>
      </c>
      <c r="BB1289" s="18"/>
      <c r="BC1289" s="18" t="s">
        <v>379</v>
      </c>
      <c r="BD1289" s="18"/>
      <c r="BE1289" s="18" t="s">
        <v>512</v>
      </c>
      <c r="BF1289" s="18" t="s">
        <v>8066</v>
      </c>
      <c r="BG1289" s="18"/>
      <c r="BH1289" s="18"/>
      <c r="BI1289" s="18"/>
      <c r="BJ1289" s="18" t="s">
        <v>10716</v>
      </c>
      <c r="BK1289" s="18" t="s">
        <v>314</v>
      </c>
      <c r="BL1289" s="18"/>
      <c r="BM1289" s="18"/>
      <c r="BN1289" s="18" t="s">
        <v>179</v>
      </c>
      <c r="BO1289" s="18"/>
      <c r="BP1289" s="18" t="s">
        <v>138</v>
      </c>
      <c r="BQ1289" s="18"/>
      <c r="BR1289" s="18" t="s">
        <v>1022</v>
      </c>
      <c r="BS1289" s="15" t="s">
        <v>10717</v>
      </c>
      <c r="BT1289" s="19"/>
      <c r="DH1289" s="15" t="s">
        <v>17982</v>
      </c>
      <c r="DI1289" s="15" t="s">
        <v>17982</v>
      </c>
    </row>
    <row r="1290" spans="1:113" s="15" customFormat="1" ht="12.75" x14ac:dyDescent="0.2">
      <c r="A1290" s="15" t="s">
        <v>109</v>
      </c>
      <c r="B1290" s="15" t="s">
        <v>110</v>
      </c>
      <c r="D1290" s="15" t="s">
        <v>472</v>
      </c>
      <c r="E1290" s="15" t="s">
        <v>112</v>
      </c>
      <c r="F1290" s="15" t="s">
        <v>472</v>
      </c>
      <c r="G1290" s="15" t="s">
        <v>502</v>
      </c>
      <c r="H1290" s="15" t="s">
        <v>111</v>
      </c>
      <c r="J1290" s="16" t="s">
        <v>114</v>
      </c>
      <c r="U1290" s="15" t="s">
        <v>17977</v>
      </c>
      <c r="W1290" s="15">
        <v>134</v>
      </c>
      <c r="X1290" s="15">
        <v>1300</v>
      </c>
      <c r="Y1290" s="15" t="s">
        <v>160</v>
      </c>
      <c r="Z1290" s="15" t="s">
        <v>161</v>
      </c>
      <c r="AA1290" s="15" t="s">
        <v>162</v>
      </c>
      <c r="AB1290" s="15" t="s">
        <v>1014</v>
      </c>
      <c r="AC1290" s="15" t="s">
        <v>1014</v>
      </c>
      <c r="AD1290" s="15" t="s">
        <v>1014</v>
      </c>
      <c r="AE1290" s="15" t="s">
        <v>164</v>
      </c>
      <c r="AF1290" s="15" t="s">
        <v>1014</v>
      </c>
      <c r="AG1290" s="25" t="s">
        <v>1014</v>
      </c>
      <c r="AH1290" s="34" t="s">
        <v>1015</v>
      </c>
      <c r="AL1290" s="15" t="s">
        <v>1016</v>
      </c>
      <c r="AN1290" s="15">
        <v>743</v>
      </c>
      <c r="AO1290" s="15" t="s">
        <v>1017</v>
      </c>
      <c r="AQ1290" s="41" t="s">
        <v>342</v>
      </c>
      <c r="AT1290" s="19" t="s">
        <v>1018</v>
      </c>
      <c r="AU1290" s="15" t="s">
        <v>1019</v>
      </c>
      <c r="AV1290" s="15" t="s">
        <v>1019</v>
      </c>
      <c r="AW1290" s="18" t="s">
        <v>1020</v>
      </c>
      <c r="AX1290" s="18" t="s">
        <v>1021</v>
      </c>
      <c r="AY1290" s="23">
        <f t="shared" si="26"/>
        <v>57</v>
      </c>
      <c r="AZ1290" s="18" t="s">
        <v>482</v>
      </c>
      <c r="BA1290" s="18" t="s">
        <v>483</v>
      </c>
      <c r="BB1290" s="18" t="s">
        <v>968</v>
      </c>
      <c r="BC1290" s="26"/>
      <c r="BD1290" s="18"/>
      <c r="BE1290" s="18" t="s">
        <v>512</v>
      </c>
      <c r="BF1290" s="18"/>
      <c r="BG1290" s="18"/>
      <c r="BH1290" s="18"/>
      <c r="BI1290" s="18"/>
      <c r="BJ1290" s="18" t="s">
        <v>1012</v>
      </c>
      <c r="BK1290" s="18" t="s">
        <v>487</v>
      </c>
      <c r="BL1290" s="18"/>
      <c r="BM1290" s="18"/>
      <c r="BN1290" s="18" t="s">
        <v>179</v>
      </c>
      <c r="BO1290" s="26" t="s">
        <v>488</v>
      </c>
      <c r="BP1290" s="18" t="s">
        <v>138</v>
      </c>
      <c r="BQ1290" s="18"/>
      <c r="BR1290" s="18" t="s">
        <v>1022</v>
      </c>
      <c r="BS1290" s="15" t="s">
        <v>1023</v>
      </c>
      <c r="BT1290" s="19"/>
      <c r="DH1290" s="15" t="s">
        <v>17982</v>
      </c>
      <c r="DI1290" s="15" t="s">
        <v>17982</v>
      </c>
    </row>
    <row r="1291" spans="1:113" s="15" customFormat="1" ht="12.75" x14ac:dyDescent="0.2">
      <c r="A1291" s="15" t="s">
        <v>109</v>
      </c>
      <c r="B1291" s="15" t="s">
        <v>110</v>
      </c>
      <c r="D1291" s="15" t="s">
        <v>472</v>
      </c>
      <c r="E1291" s="15" t="s">
        <v>112</v>
      </c>
      <c r="F1291" s="15" t="s">
        <v>472</v>
      </c>
      <c r="G1291" s="15" t="s">
        <v>502</v>
      </c>
      <c r="H1291" s="15" t="s">
        <v>111</v>
      </c>
      <c r="J1291" s="16" t="s">
        <v>114</v>
      </c>
      <c r="U1291" s="15" t="s">
        <v>17977</v>
      </c>
      <c r="W1291" s="15">
        <v>133</v>
      </c>
      <c r="X1291" s="15">
        <v>1301</v>
      </c>
      <c r="Y1291" s="15" t="s">
        <v>160</v>
      </c>
      <c r="Z1291" s="15" t="s">
        <v>161</v>
      </c>
      <c r="AA1291" s="15" t="s">
        <v>162</v>
      </c>
      <c r="AB1291" s="15" t="s">
        <v>1003</v>
      </c>
      <c r="AC1291" s="15" t="s">
        <v>1003</v>
      </c>
      <c r="AD1291" s="15" t="s">
        <v>1004</v>
      </c>
      <c r="AE1291" s="15" t="s">
        <v>164</v>
      </c>
      <c r="AF1291" s="15" t="s">
        <v>1004</v>
      </c>
      <c r="AG1291" s="25" t="s">
        <v>1003</v>
      </c>
      <c r="AH1291" s="34" t="s">
        <v>1005</v>
      </c>
      <c r="AL1291" s="15" t="s">
        <v>1006</v>
      </c>
      <c r="AN1291" s="15">
        <v>743</v>
      </c>
      <c r="AO1291" s="15" t="s">
        <v>1007</v>
      </c>
      <c r="AQ1291" s="17" t="s">
        <v>342</v>
      </c>
      <c r="AT1291" s="19" t="s">
        <v>1008</v>
      </c>
      <c r="AU1291" s="15" t="s">
        <v>1009</v>
      </c>
      <c r="AV1291" s="15" t="s">
        <v>1009</v>
      </c>
      <c r="AW1291" s="18" t="s">
        <v>1010</v>
      </c>
      <c r="AX1291" s="18" t="s">
        <v>1011</v>
      </c>
      <c r="AY1291" s="23">
        <f t="shared" si="26"/>
        <v>57</v>
      </c>
      <c r="AZ1291" s="18" t="s">
        <v>482</v>
      </c>
      <c r="BA1291" s="18" t="s">
        <v>483</v>
      </c>
      <c r="BB1291" s="18" t="s">
        <v>968</v>
      </c>
      <c r="BC1291" s="26"/>
      <c r="BD1291" s="18"/>
      <c r="BE1291" s="18" t="s">
        <v>499</v>
      </c>
      <c r="BF1291" s="18"/>
      <c r="BG1291" s="18"/>
      <c r="BH1291" s="18"/>
      <c r="BI1291" s="18"/>
      <c r="BJ1291" s="18" t="s">
        <v>1012</v>
      </c>
      <c r="BK1291" s="18" t="s">
        <v>487</v>
      </c>
      <c r="BL1291" s="18"/>
      <c r="BM1291" s="18"/>
      <c r="BN1291" s="18" t="s">
        <v>179</v>
      </c>
      <c r="BO1291" s="26" t="s">
        <v>488</v>
      </c>
      <c r="BP1291" s="18" t="s">
        <v>138</v>
      </c>
      <c r="BQ1291" s="18"/>
      <c r="BR1291" s="18" t="s">
        <v>173</v>
      </c>
      <c r="BS1291" s="15" t="s">
        <v>1013</v>
      </c>
      <c r="BT1291" s="19"/>
      <c r="DH1291" s="15" t="s">
        <v>17982</v>
      </c>
      <c r="DI1291" s="15" t="s">
        <v>17982</v>
      </c>
    </row>
    <row r="1292" spans="1:113" s="15" customFormat="1" ht="12.75" x14ac:dyDescent="0.2">
      <c r="A1292" s="15" t="s">
        <v>109</v>
      </c>
      <c r="B1292" s="15" t="s">
        <v>110</v>
      </c>
      <c r="D1292" s="15" t="s">
        <v>472</v>
      </c>
      <c r="E1292" s="15" t="s">
        <v>112</v>
      </c>
      <c r="F1292" s="15" t="s">
        <v>472</v>
      </c>
      <c r="G1292" s="15" t="s">
        <v>502</v>
      </c>
      <c r="H1292" s="15" t="s">
        <v>111</v>
      </c>
      <c r="J1292" s="16" t="s">
        <v>114</v>
      </c>
      <c r="U1292" s="15" t="s">
        <v>17977</v>
      </c>
      <c r="W1292" s="15">
        <v>2511</v>
      </c>
      <c r="X1292" s="15">
        <v>1302</v>
      </c>
      <c r="Y1292" s="15" t="s">
        <v>160</v>
      </c>
      <c r="Z1292" s="15" t="s">
        <v>161</v>
      </c>
      <c r="AA1292" s="15" t="s">
        <v>162</v>
      </c>
      <c r="AB1292" s="15" t="s">
        <v>12336</v>
      </c>
      <c r="AC1292" s="15" t="s">
        <v>12336</v>
      </c>
      <c r="AD1292" s="15" t="s">
        <v>12336</v>
      </c>
      <c r="AE1292" s="15" t="s">
        <v>164</v>
      </c>
      <c r="AF1292" s="15" t="s">
        <v>12336</v>
      </c>
      <c r="AG1292" s="25" t="s">
        <v>12336</v>
      </c>
      <c r="AH1292" s="34" t="s">
        <v>12337</v>
      </c>
      <c r="AL1292" s="15" t="s">
        <v>12338</v>
      </c>
      <c r="AN1292" s="15">
        <v>743</v>
      </c>
      <c r="AO1292" s="15" t="s">
        <v>12339</v>
      </c>
      <c r="AQ1292" s="17" t="s">
        <v>342</v>
      </c>
      <c r="AT1292" s="19" t="s">
        <v>12340</v>
      </c>
      <c r="AU1292" s="15" t="s">
        <v>12341</v>
      </c>
      <c r="AV1292" s="15" t="s">
        <v>12341</v>
      </c>
      <c r="AW1292" s="18" t="s">
        <v>12342</v>
      </c>
      <c r="AX1292" s="18" t="s">
        <v>12343</v>
      </c>
      <c r="AY1292" s="23">
        <f t="shared" si="26"/>
        <v>54</v>
      </c>
      <c r="AZ1292" s="18" t="s">
        <v>482</v>
      </c>
      <c r="BA1292" s="18" t="s">
        <v>483</v>
      </c>
      <c r="BB1292" s="18" t="s">
        <v>968</v>
      </c>
      <c r="BC1292" s="26"/>
      <c r="BD1292" s="18"/>
      <c r="BE1292" s="18" t="s">
        <v>7353</v>
      </c>
      <c r="BF1292" s="18"/>
      <c r="BG1292" s="18"/>
      <c r="BH1292" s="18"/>
      <c r="BI1292" s="18"/>
      <c r="BJ1292" s="18" t="s">
        <v>12344</v>
      </c>
      <c r="BK1292" s="18" t="s">
        <v>487</v>
      </c>
      <c r="BL1292" s="18"/>
      <c r="BM1292" s="18"/>
      <c r="BN1292" s="18" t="s">
        <v>179</v>
      </c>
      <c r="BO1292" s="26" t="s">
        <v>488</v>
      </c>
      <c r="BP1292" s="18" t="s">
        <v>138</v>
      </c>
      <c r="BQ1292" s="18"/>
      <c r="BR1292" s="18" t="s">
        <v>1022</v>
      </c>
      <c r="BS1292" s="15" t="s">
        <v>12345</v>
      </c>
      <c r="BT1292" s="19"/>
      <c r="DH1292" s="15" t="s">
        <v>17982</v>
      </c>
      <c r="DI1292" s="15" t="s">
        <v>17982</v>
      </c>
    </row>
    <row r="1293" spans="1:113" s="15" customFormat="1" ht="12.75" x14ac:dyDescent="0.2">
      <c r="A1293" s="15" t="s">
        <v>109</v>
      </c>
      <c r="B1293" s="15" t="s">
        <v>110</v>
      </c>
      <c r="D1293" s="15" t="s">
        <v>472</v>
      </c>
      <c r="E1293" s="15" t="s">
        <v>112</v>
      </c>
      <c r="F1293" s="15" t="s">
        <v>472</v>
      </c>
      <c r="G1293" s="15" t="s">
        <v>502</v>
      </c>
      <c r="H1293" s="15" t="s">
        <v>111</v>
      </c>
      <c r="J1293" s="16" t="s">
        <v>114</v>
      </c>
      <c r="U1293" s="15" t="s">
        <v>17977</v>
      </c>
      <c r="W1293" s="15">
        <v>3228</v>
      </c>
      <c r="X1293" s="15">
        <v>1303</v>
      </c>
      <c r="Y1293" s="15" t="s">
        <v>160</v>
      </c>
      <c r="Z1293" s="15" t="s">
        <v>161</v>
      </c>
      <c r="AA1293" s="15" t="s">
        <v>162</v>
      </c>
      <c r="AB1293" s="15" t="s">
        <v>15608</v>
      </c>
      <c r="AC1293" s="15" t="s">
        <v>15608</v>
      </c>
      <c r="AD1293" s="15" t="s">
        <v>15608</v>
      </c>
      <c r="AE1293" s="15" t="s">
        <v>164</v>
      </c>
      <c r="AF1293" s="15" t="s">
        <v>15608</v>
      </c>
      <c r="AG1293" s="25" t="s">
        <v>15608</v>
      </c>
      <c r="AH1293" s="34" t="s">
        <v>15609</v>
      </c>
      <c r="AL1293" s="15" t="s">
        <v>15610</v>
      </c>
      <c r="AN1293" s="15">
        <v>743</v>
      </c>
      <c r="AO1293" s="15" t="s">
        <v>15611</v>
      </c>
      <c r="AQ1293" s="17" t="s">
        <v>342</v>
      </c>
      <c r="AT1293" s="19" t="s">
        <v>15612</v>
      </c>
      <c r="AU1293" s="15" t="s">
        <v>15613</v>
      </c>
      <c r="AV1293" s="15" t="s">
        <v>15613</v>
      </c>
      <c r="AW1293" s="18" t="s">
        <v>15614</v>
      </c>
      <c r="AX1293" s="18" t="s">
        <v>15615</v>
      </c>
      <c r="AY1293" s="23">
        <f t="shared" si="26"/>
        <v>58</v>
      </c>
      <c r="AZ1293" s="18" t="s">
        <v>482</v>
      </c>
      <c r="BA1293" s="18" t="s">
        <v>483</v>
      </c>
      <c r="BB1293" s="18" t="s">
        <v>15596</v>
      </c>
      <c r="BC1293" s="26" t="s">
        <v>379</v>
      </c>
      <c r="BD1293" s="18"/>
      <c r="BE1293" s="18" t="s">
        <v>512</v>
      </c>
      <c r="BF1293" s="18"/>
      <c r="BG1293" s="18"/>
      <c r="BH1293" s="18"/>
      <c r="BI1293" s="18"/>
      <c r="BJ1293" s="18" t="s">
        <v>15616</v>
      </c>
      <c r="BK1293" s="18" t="s">
        <v>487</v>
      </c>
      <c r="BL1293" s="18"/>
      <c r="BM1293" s="18"/>
      <c r="BN1293" s="18" t="s">
        <v>179</v>
      </c>
      <c r="BO1293" s="26" t="s">
        <v>488</v>
      </c>
      <c r="BP1293" s="18" t="s">
        <v>138</v>
      </c>
      <c r="BQ1293" s="18"/>
      <c r="BR1293" s="18" t="s">
        <v>1022</v>
      </c>
      <c r="BS1293" s="15" t="s">
        <v>15617</v>
      </c>
      <c r="BT1293" s="19"/>
      <c r="DH1293" s="15" t="s">
        <v>17982</v>
      </c>
      <c r="DI1293" s="15" t="s">
        <v>17982</v>
      </c>
    </row>
    <row r="1294" spans="1:113" s="15" customFormat="1" ht="12.75" x14ac:dyDescent="0.2">
      <c r="A1294" s="15" t="s">
        <v>109</v>
      </c>
      <c r="B1294" s="15" t="s">
        <v>110</v>
      </c>
      <c r="D1294" s="15" t="s">
        <v>472</v>
      </c>
      <c r="E1294" s="15" t="s">
        <v>112</v>
      </c>
      <c r="F1294" s="15" t="s">
        <v>472</v>
      </c>
      <c r="G1294" s="15" t="s">
        <v>502</v>
      </c>
      <c r="H1294" s="15" t="s">
        <v>111</v>
      </c>
      <c r="J1294" s="16" t="s">
        <v>114</v>
      </c>
      <c r="U1294" s="15" t="s">
        <v>17977</v>
      </c>
      <c r="W1294" s="15">
        <v>2316</v>
      </c>
      <c r="X1294" s="15">
        <v>1304</v>
      </c>
      <c r="Y1294" s="15" t="s">
        <v>160</v>
      </c>
      <c r="Z1294" s="15" t="s">
        <v>161</v>
      </c>
      <c r="AA1294" s="15" t="s">
        <v>162</v>
      </c>
      <c r="AB1294" s="15" t="s">
        <v>11582</v>
      </c>
      <c r="AC1294" s="15" t="s">
        <v>11582</v>
      </c>
      <c r="AD1294" s="15" t="s">
        <v>11582</v>
      </c>
      <c r="AE1294" s="15" t="s">
        <v>164</v>
      </c>
      <c r="AF1294" s="15" t="s">
        <v>11582</v>
      </c>
      <c r="AG1294" s="25" t="s">
        <v>11582</v>
      </c>
      <c r="AH1294" s="34" t="s">
        <v>11583</v>
      </c>
      <c r="AL1294" s="15" t="s">
        <v>11584</v>
      </c>
      <c r="AN1294" s="15">
        <v>743</v>
      </c>
      <c r="AO1294" s="15" t="s">
        <v>11585</v>
      </c>
      <c r="AQ1294" s="17" t="s">
        <v>342</v>
      </c>
      <c r="AT1294" s="19" t="s">
        <v>11586</v>
      </c>
      <c r="AU1294" s="15" t="s">
        <v>11587</v>
      </c>
      <c r="AV1294" s="15" t="s">
        <v>11587</v>
      </c>
      <c r="AW1294" s="18" t="s">
        <v>11588</v>
      </c>
      <c r="AX1294" s="18" t="s">
        <v>11589</v>
      </c>
      <c r="AY1294" s="23">
        <f t="shared" si="26"/>
        <v>60</v>
      </c>
      <c r="AZ1294" s="18" t="s">
        <v>1725</v>
      </c>
      <c r="BA1294" s="18" t="s">
        <v>483</v>
      </c>
      <c r="BB1294" s="18" t="s">
        <v>11526</v>
      </c>
      <c r="BC1294" s="26" t="s">
        <v>11590</v>
      </c>
      <c r="BD1294" s="18"/>
      <c r="BE1294" s="18" t="s">
        <v>512</v>
      </c>
      <c r="BF1294" s="18"/>
      <c r="BG1294" s="18"/>
      <c r="BH1294" s="18"/>
      <c r="BI1294" s="18"/>
      <c r="BJ1294" s="18" t="s">
        <v>11591</v>
      </c>
      <c r="BK1294" s="18" t="s">
        <v>487</v>
      </c>
      <c r="BL1294" s="18"/>
      <c r="BM1294" s="18"/>
      <c r="BN1294" s="18" t="s">
        <v>179</v>
      </c>
      <c r="BO1294" s="26" t="s">
        <v>488</v>
      </c>
      <c r="BP1294" s="18" t="s">
        <v>138</v>
      </c>
      <c r="BQ1294" s="18"/>
      <c r="BR1294" s="18" t="s">
        <v>11580</v>
      </c>
      <c r="BS1294" s="15" t="s">
        <v>11592</v>
      </c>
      <c r="BT1294" s="19"/>
      <c r="DH1294" s="15" t="s">
        <v>17982</v>
      </c>
      <c r="DI1294" s="15" t="s">
        <v>17982</v>
      </c>
    </row>
    <row r="1295" spans="1:113" s="15" customFormat="1" ht="12.75" x14ac:dyDescent="0.2">
      <c r="A1295" s="15" t="s">
        <v>109</v>
      </c>
      <c r="B1295" s="15" t="s">
        <v>110</v>
      </c>
      <c r="D1295" s="15" t="s">
        <v>472</v>
      </c>
      <c r="E1295" s="15" t="s">
        <v>112</v>
      </c>
      <c r="F1295" s="15" t="s">
        <v>472</v>
      </c>
      <c r="G1295" s="15" t="s">
        <v>502</v>
      </c>
      <c r="H1295" s="15" t="s">
        <v>111</v>
      </c>
      <c r="J1295" s="16" t="s">
        <v>114</v>
      </c>
      <c r="U1295" s="15" t="s">
        <v>17977</v>
      </c>
      <c r="W1295" s="15">
        <v>3297</v>
      </c>
      <c r="X1295" s="15">
        <v>1305</v>
      </c>
      <c r="Y1295" s="15" t="s">
        <v>160</v>
      </c>
      <c r="Z1295" s="15" t="s">
        <v>161</v>
      </c>
      <c r="AA1295" s="15" t="s">
        <v>162</v>
      </c>
      <c r="AB1295" s="15" t="s">
        <v>15932</v>
      </c>
      <c r="AC1295" s="15" t="s">
        <v>15932</v>
      </c>
      <c r="AD1295" s="15" t="s">
        <v>15932</v>
      </c>
      <c r="AE1295" s="15" t="s">
        <v>164</v>
      </c>
      <c r="AF1295" s="15" t="s">
        <v>15932</v>
      </c>
      <c r="AG1295" s="28" t="s">
        <v>15932</v>
      </c>
      <c r="AH1295" s="34" t="s">
        <v>15933</v>
      </c>
      <c r="AL1295" s="15" t="s">
        <v>15934</v>
      </c>
      <c r="AN1295" s="15">
        <v>743</v>
      </c>
      <c r="AO1295" s="15" t="s">
        <v>15935</v>
      </c>
      <c r="AQ1295" s="17" t="s">
        <v>1290</v>
      </c>
      <c r="AT1295" s="15" t="s">
        <v>15936</v>
      </c>
      <c r="AU1295" s="15" t="s">
        <v>15937</v>
      </c>
      <c r="AV1295" s="15" t="s">
        <v>15937</v>
      </c>
      <c r="AW1295" s="18" t="s">
        <v>15938</v>
      </c>
      <c r="AX1295" s="18" t="s">
        <v>15939</v>
      </c>
      <c r="AY1295" s="23">
        <f t="shared" si="26"/>
        <v>57</v>
      </c>
      <c r="AZ1295" s="18" t="s">
        <v>1295</v>
      </c>
      <c r="BA1295" s="18" t="s">
        <v>483</v>
      </c>
      <c r="BB1295" s="18" t="s">
        <v>1296</v>
      </c>
      <c r="BC1295" s="26"/>
      <c r="BD1295" s="18"/>
      <c r="BE1295" s="18" t="s">
        <v>512</v>
      </c>
      <c r="BF1295" s="18"/>
      <c r="BG1295" s="18"/>
      <c r="BH1295" s="18"/>
      <c r="BI1295" s="18"/>
      <c r="BJ1295" s="18" t="s">
        <v>15940</v>
      </c>
      <c r="BK1295" s="18" t="s">
        <v>487</v>
      </c>
      <c r="BL1295" s="18"/>
      <c r="BM1295" s="18"/>
      <c r="BN1295" s="18" t="s">
        <v>179</v>
      </c>
      <c r="BO1295" s="18"/>
      <c r="BP1295" s="18" t="s">
        <v>138</v>
      </c>
      <c r="BQ1295" s="18"/>
      <c r="BR1295" s="18" t="s">
        <v>1022</v>
      </c>
      <c r="BS1295" s="15" t="s">
        <v>15941</v>
      </c>
      <c r="BT1295" s="19"/>
      <c r="DH1295" s="15" t="s">
        <v>17982</v>
      </c>
      <c r="DI1295" s="15" t="s">
        <v>17982</v>
      </c>
    </row>
    <row r="1296" spans="1:113" s="15" customFormat="1" ht="12.75" x14ac:dyDescent="0.2">
      <c r="A1296" s="15" t="s">
        <v>109</v>
      </c>
      <c r="B1296" s="15" t="s">
        <v>110</v>
      </c>
      <c r="D1296" s="15" t="s">
        <v>472</v>
      </c>
      <c r="E1296" s="15" t="s">
        <v>112</v>
      </c>
      <c r="F1296" s="15" t="s">
        <v>472</v>
      </c>
      <c r="G1296" s="15" t="s">
        <v>502</v>
      </c>
      <c r="H1296" s="15" t="s">
        <v>111</v>
      </c>
      <c r="J1296" s="16" t="s">
        <v>114</v>
      </c>
      <c r="U1296" s="15" t="s">
        <v>17977</v>
      </c>
      <c r="W1296" s="15">
        <v>3298</v>
      </c>
      <c r="X1296" s="15">
        <v>1306</v>
      </c>
      <c r="Y1296" s="15" t="s">
        <v>160</v>
      </c>
      <c r="Z1296" s="15" t="s">
        <v>161</v>
      </c>
      <c r="AA1296" s="15" t="s">
        <v>162</v>
      </c>
      <c r="AB1296" s="15" t="s">
        <v>15942</v>
      </c>
      <c r="AC1296" s="15" t="s">
        <v>15942</v>
      </c>
      <c r="AD1296" s="15" t="s">
        <v>15943</v>
      </c>
      <c r="AE1296" s="15" t="s">
        <v>164</v>
      </c>
      <c r="AF1296" s="15" t="s">
        <v>15943</v>
      </c>
      <c r="AG1296" s="28" t="s">
        <v>15942</v>
      </c>
      <c r="AH1296" s="34" t="s">
        <v>15944</v>
      </c>
      <c r="AL1296" s="15" t="s">
        <v>15945</v>
      </c>
      <c r="AN1296" s="15">
        <v>743</v>
      </c>
      <c r="AO1296" s="15" t="s">
        <v>15946</v>
      </c>
      <c r="AQ1296" s="41" t="s">
        <v>1290</v>
      </c>
      <c r="AT1296" s="15" t="s">
        <v>15947</v>
      </c>
      <c r="AU1296" s="15" t="s">
        <v>15948</v>
      </c>
      <c r="AV1296" s="15" t="s">
        <v>15948</v>
      </c>
      <c r="AW1296" s="18" t="s">
        <v>15949</v>
      </c>
      <c r="AX1296" s="18" t="s">
        <v>15950</v>
      </c>
      <c r="AY1296" s="23">
        <f t="shared" si="26"/>
        <v>57</v>
      </c>
      <c r="AZ1296" s="18" t="s">
        <v>1295</v>
      </c>
      <c r="BA1296" s="18" t="s">
        <v>483</v>
      </c>
      <c r="BB1296" s="18" t="s">
        <v>1296</v>
      </c>
      <c r="BC1296" s="26"/>
      <c r="BD1296" s="18"/>
      <c r="BE1296" s="18" t="s">
        <v>499</v>
      </c>
      <c r="BF1296" s="18"/>
      <c r="BG1296" s="18"/>
      <c r="BH1296" s="18"/>
      <c r="BI1296" s="18"/>
      <c r="BJ1296" s="18" t="s">
        <v>15940</v>
      </c>
      <c r="BK1296" s="18" t="s">
        <v>487</v>
      </c>
      <c r="BL1296" s="18"/>
      <c r="BM1296" s="18"/>
      <c r="BN1296" s="18" t="s">
        <v>179</v>
      </c>
      <c r="BO1296" s="18"/>
      <c r="BP1296" s="18" t="s">
        <v>138</v>
      </c>
      <c r="BQ1296" s="18"/>
      <c r="BR1296" s="18" t="s">
        <v>1022</v>
      </c>
      <c r="BS1296" s="15" t="s">
        <v>15951</v>
      </c>
      <c r="BT1296" s="19"/>
      <c r="DH1296" s="15" t="s">
        <v>17982</v>
      </c>
      <c r="DI1296" s="15" t="s">
        <v>17982</v>
      </c>
    </row>
    <row r="1297" spans="1:113" s="15" customFormat="1" ht="12.75" x14ac:dyDescent="0.2">
      <c r="A1297" s="15" t="s">
        <v>109</v>
      </c>
      <c r="B1297" s="15" t="s">
        <v>110</v>
      </c>
      <c r="D1297" s="15" t="s">
        <v>472</v>
      </c>
      <c r="E1297" s="15" t="s">
        <v>112</v>
      </c>
      <c r="F1297" s="15" t="s">
        <v>472</v>
      </c>
      <c r="G1297" s="15" t="s">
        <v>502</v>
      </c>
      <c r="H1297" s="15" t="s">
        <v>111</v>
      </c>
      <c r="J1297" s="16" t="s">
        <v>114</v>
      </c>
      <c r="U1297" s="15" t="s">
        <v>17977</v>
      </c>
      <c r="W1297" s="15">
        <v>2503</v>
      </c>
      <c r="X1297" s="15">
        <v>1307</v>
      </c>
      <c r="Y1297" s="15" t="s">
        <v>160</v>
      </c>
      <c r="Z1297" s="15" t="s">
        <v>161</v>
      </c>
      <c r="AA1297" s="15" t="s">
        <v>162</v>
      </c>
      <c r="AB1297" s="15" t="s">
        <v>12271</v>
      </c>
      <c r="AC1297" s="15" t="s">
        <v>12271</v>
      </c>
      <c r="AD1297" s="15" t="s">
        <v>12271</v>
      </c>
      <c r="AE1297" s="15" t="s">
        <v>164</v>
      </c>
      <c r="AF1297" s="15" t="s">
        <v>12271</v>
      </c>
      <c r="AG1297" s="28" t="s">
        <v>12271</v>
      </c>
      <c r="AH1297" s="34" t="s">
        <v>12272</v>
      </c>
      <c r="AL1297" s="15" t="s">
        <v>12273</v>
      </c>
      <c r="AN1297" s="15">
        <v>743</v>
      </c>
      <c r="AO1297" s="15" t="s">
        <v>12274</v>
      </c>
      <c r="AQ1297" s="41" t="s">
        <v>1290</v>
      </c>
      <c r="AT1297" s="15" t="s">
        <v>12275</v>
      </c>
      <c r="AU1297" s="15" t="s">
        <v>12276</v>
      </c>
      <c r="AV1297" s="15" t="s">
        <v>12276</v>
      </c>
      <c r="AW1297" s="18" t="s">
        <v>12277</v>
      </c>
      <c r="AX1297" s="18" t="s">
        <v>12278</v>
      </c>
      <c r="AY1297" s="23">
        <f t="shared" si="26"/>
        <v>59</v>
      </c>
      <c r="AZ1297" s="18" t="s">
        <v>1295</v>
      </c>
      <c r="BA1297" s="18" t="s">
        <v>483</v>
      </c>
      <c r="BB1297" s="18" t="s">
        <v>1296</v>
      </c>
      <c r="BC1297" s="26"/>
      <c r="BD1297" s="18"/>
      <c r="BE1297" s="18" t="s">
        <v>512</v>
      </c>
      <c r="BF1297" s="18"/>
      <c r="BG1297" s="18"/>
      <c r="BH1297" s="18"/>
      <c r="BI1297" s="18"/>
      <c r="BJ1297" s="18" t="s">
        <v>12269</v>
      </c>
      <c r="BK1297" s="18" t="s">
        <v>487</v>
      </c>
      <c r="BL1297" s="18"/>
      <c r="BM1297" s="18"/>
      <c r="BN1297" s="18" t="s">
        <v>179</v>
      </c>
      <c r="BO1297" s="18"/>
      <c r="BP1297" s="18" t="s">
        <v>138</v>
      </c>
      <c r="BQ1297" s="18"/>
      <c r="BR1297" s="18" t="s">
        <v>1022</v>
      </c>
      <c r="BS1297" s="15" t="s">
        <v>12279</v>
      </c>
      <c r="BT1297" s="19"/>
      <c r="DH1297" s="15" t="s">
        <v>17982</v>
      </c>
      <c r="DI1297" s="15" t="s">
        <v>17982</v>
      </c>
    </row>
    <row r="1298" spans="1:113" s="15" customFormat="1" ht="12.75" x14ac:dyDescent="0.2">
      <c r="A1298" s="15" t="s">
        <v>109</v>
      </c>
      <c r="B1298" s="15" t="s">
        <v>110</v>
      </c>
      <c r="D1298" s="15" t="s">
        <v>472</v>
      </c>
      <c r="E1298" s="15" t="s">
        <v>112</v>
      </c>
      <c r="F1298" s="15" t="s">
        <v>472</v>
      </c>
      <c r="G1298" s="15" t="s">
        <v>502</v>
      </c>
      <c r="H1298" s="15" t="s">
        <v>111</v>
      </c>
      <c r="J1298" s="16" t="s">
        <v>114</v>
      </c>
      <c r="U1298" s="15" t="s">
        <v>17977</v>
      </c>
      <c r="W1298" s="15">
        <v>2502</v>
      </c>
      <c r="X1298" s="15">
        <v>1308</v>
      </c>
      <c r="Y1298" s="15" t="s">
        <v>160</v>
      </c>
      <c r="Z1298" s="15" t="s">
        <v>161</v>
      </c>
      <c r="AA1298" s="15" t="s">
        <v>162</v>
      </c>
      <c r="AB1298" s="15" t="s">
        <v>12260</v>
      </c>
      <c r="AC1298" s="15" t="s">
        <v>12260</v>
      </c>
      <c r="AD1298" s="15" t="s">
        <v>12261</v>
      </c>
      <c r="AE1298" s="15" t="s">
        <v>164</v>
      </c>
      <c r="AF1298" s="15" t="s">
        <v>12261</v>
      </c>
      <c r="AG1298" s="28" t="s">
        <v>12260</v>
      </c>
      <c r="AH1298" s="34" t="s">
        <v>12262</v>
      </c>
      <c r="AL1298" s="15" t="s">
        <v>12263</v>
      </c>
      <c r="AN1298" s="15">
        <v>743</v>
      </c>
      <c r="AO1298" s="15" t="s">
        <v>12264</v>
      </c>
      <c r="AQ1298" s="41" t="s">
        <v>1290</v>
      </c>
      <c r="AT1298" s="15" t="s">
        <v>12265</v>
      </c>
      <c r="AU1298" s="15" t="s">
        <v>12266</v>
      </c>
      <c r="AV1298" s="15" t="s">
        <v>12266</v>
      </c>
      <c r="AW1298" s="18" t="s">
        <v>12267</v>
      </c>
      <c r="AX1298" s="18" t="s">
        <v>12268</v>
      </c>
      <c r="AY1298" s="23">
        <f t="shared" si="26"/>
        <v>59</v>
      </c>
      <c r="AZ1298" s="18" t="s">
        <v>1295</v>
      </c>
      <c r="BA1298" s="18" t="s">
        <v>483</v>
      </c>
      <c r="BB1298" s="18" t="s">
        <v>1296</v>
      </c>
      <c r="BC1298" s="26"/>
      <c r="BD1298" s="18"/>
      <c r="BE1298" s="18" t="s">
        <v>499</v>
      </c>
      <c r="BF1298" s="18"/>
      <c r="BG1298" s="18"/>
      <c r="BH1298" s="18"/>
      <c r="BI1298" s="18"/>
      <c r="BJ1298" s="18" t="s">
        <v>12269</v>
      </c>
      <c r="BK1298" s="18" t="s">
        <v>487</v>
      </c>
      <c r="BL1298" s="18"/>
      <c r="BM1298" s="18"/>
      <c r="BN1298" s="18" t="s">
        <v>179</v>
      </c>
      <c r="BO1298" s="18"/>
      <c r="BP1298" s="18" t="s">
        <v>138</v>
      </c>
      <c r="BQ1298" s="18"/>
      <c r="BR1298" s="18" t="s">
        <v>1022</v>
      </c>
      <c r="BS1298" s="15" t="s">
        <v>12270</v>
      </c>
      <c r="BT1298" s="19"/>
      <c r="DH1298" s="15" t="s">
        <v>17982</v>
      </c>
      <c r="DI1298" s="15" t="s">
        <v>17982</v>
      </c>
    </row>
    <row r="1299" spans="1:113" s="15" customFormat="1" ht="12.75" x14ac:dyDescent="0.2">
      <c r="A1299" s="15" t="s">
        <v>109</v>
      </c>
      <c r="B1299" s="15" t="s">
        <v>110</v>
      </c>
      <c r="D1299" s="15" t="s">
        <v>472</v>
      </c>
      <c r="E1299" s="15" t="s">
        <v>112</v>
      </c>
      <c r="F1299" s="15" t="s">
        <v>472</v>
      </c>
      <c r="G1299" s="15" t="s">
        <v>113</v>
      </c>
      <c r="H1299" s="15" t="s">
        <v>111</v>
      </c>
      <c r="J1299" s="16" t="s">
        <v>114</v>
      </c>
      <c r="U1299" s="15" t="s">
        <v>17977</v>
      </c>
      <c r="W1299" s="15">
        <v>3299</v>
      </c>
      <c r="X1299" s="15">
        <v>1309</v>
      </c>
      <c r="Y1299" s="15" t="s">
        <v>160</v>
      </c>
      <c r="Z1299" s="15" t="s">
        <v>161</v>
      </c>
      <c r="AA1299" s="15" t="s">
        <v>162</v>
      </c>
      <c r="AB1299" s="15" t="s">
        <v>15952</v>
      </c>
      <c r="AC1299" s="15" t="s">
        <v>15952</v>
      </c>
      <c r="AD1299" s="15" t="s">
        <v>15953</v>
      </c>
      <c r="AE1299" s="15" t="s">
        <v>164</v>
      </c>
      <c r="AF1299" s="15" t="s">
        <v>15953</v>
      </c>
      <c r="AG1299" s="28" t="s">
        <v>15952</v>
      </c>
      <c r="AH1299" s="34" t="s">
        <v>15954</v>
      </c>
      <c r="AL1299" s="15" t="s">
        <v>15955</v>
      </c>
      <c r="AN1299" s="15">
        <v>743</v>
      </c>
      <c r="AO1299" s="15" t="s">
        <v>15956</v>
      </c>
      <c r="AQ1299" s="41" t="s">
        <v>1290</v>
      </c>
      <c r="AT1299" s="15" t="s">
        <v>15957</v>
      </c>
      <c r="AU1299" s="15" t="s">
        <v>15958</v>
      </c>
      <c r="AV1299" s="15" t="s">
        <v>15958</v>
      </c>
      <c r="AW1299" s="18" t="s">
        <v>15959</v>
      </c>
      <c r="AX1299" s="18" t="s">
        <v>15960</v>
      </c>
      <c r="AY1299" s="23">
        <f t="shared" si="26"/>
        <v>57</v>
      </c>
      <c r="AZ1299" s="18" t="s">
        <v>1295</v>
      </c>
      <c r="BA1299" s="18" t="s">
        <v>483</v>
      </c>
      <c r="BB1299" s="18" t="s">
        <v>1296</v>
      </c>
      <c r="BC1299" s="26"/>
      <c r="BD1299" s="18"/>
      <c r="BE1299" s="18" t="s">
        <v>512</v>
      </c>
      <c r="BF1299" s="18"/>
      <c r="BG1299" s="18"/>
      <c r="BH1299" s="18"/>
      <c r="BI1299" s="18"/>
      <c r="BJ1299" s="18" t="s">
        <v>15961</v>
      </c>
      <c r="BK1299" s="18" t="s">
        <v>487</v>
      </c>
      <c r="BL1299" s="18"/>
      <c r="BM1299" s="18"/>
      <c r="BN1299" s="18" t="s">
        <v>179</v>
      </c>
      <c r="BO1299" s="18"/>
      <c r="BP1299" s="18" t="s">
        <v>138</v>
      </c>
      <c r="BQ1299" s="18"/>
      <c r="BR1299" s="18" t="s">
        <v>1022</v>
      </c>
      <c r="BS1299" s="15" t="s">
        <v>15962</v>
      </c>
      <c r="BT1299" s="19"/>
      <c r="DH1299" s="15" t="s">
        <v>17982</v>
      </c>
      <c r="DI1299" s="15" t="s">
        <v>17982</v>
      </c>
    </row>
    <row r="1300" spans="1:113" s="15" customFormat="1" ht="12.75" x14ac:dyDescent="0.2">
      <c r="A1300" s="15" t="s">
        <v>109</v>
      </c>
      <c r="B1300" s="15" t="s">
        <v>110</v>
      </c>
      <c r="D1300" s="15" t="s">
        <v>472</v>
      </c>
      <c r="E1300" s="15" t="s">
        <v>112</v>
      </c>
      <c r="F1300" s="15" t="s">
        <v>472</v>
      </c>
      <c r="G1300" s="15" t="s">
        <v>113</v>
      </c>
      <c r="H1300" s="15" t="s">
        <v>111</v>
      </c>
      <c r="J1300" s="16" t="s">
        <v>114</v>
      </c>
      <c r="U1300" s="15" t="s">
        <v>17977</v>
      </c>
      <c r="W1300" s="15">
        <v>1641</v>
      </c>
      <c r="X1300" s="15">
        <v>1310</v>
      </c>
      <c r="Y1300" s="15" t="s">
        <v>160</v>
      </c>
      <c r="Z1300" s="15" t="s">
        <v>161</v>
      </c>
      <c r="AA1300" s="15" t="s">
        <v>162</v>
      </c>
      <c r="AB1300" s="15" t="s">
        <v>8374</v>
      </c>
      <c r="AC1300" s="15" t="s">
        <v>8374</v>
      </c>
      <c r="AD1300" s="15" t="s">
        <v>8374</v>
      </c>
      <c r="AE1300" s="15" t="s">
        <v>164</v>
      </c>
      <c r="AF1300" s="15" t="s">
        <v>8374</v>
      </c>
      <c r="AG1300" s="28" t="s">
        <v>8374</v>
      </c>
      <c r="AH1300" s="34" t="s">
        <v>8375</v>
      </c>
      <c r="AL1300" s="15" t="s">
        <v>8376</v>
      </c>
      <c r="AN1300" s="15">
        <v>743</v>
      </c>
      <c r="AO1300" s="15" t="s">
        <v>8377</v>
      </c>
      <c r="AQ1300" s="17" t="s">
        <v>1290</v>
      </c>
      <c r="AT1300" s="15" t="s">
        <v>8378</v>
      </c>
      <c r="AU1300" s="15" t="s">
        <v>8379</v>
      </c>
      <c r="AV1300" s="15" t="s">
        <v>8379</v>
      </c>
      <c r="AW1300" s="18" t="s">
        <v>8380</v>
      </c>
      <c r="AX1300" s="18" t="s">
        <v>8381</v>
      </c>
      <c r="AY1300" s="23">
        <f t="shared" si="26"/>
        <v>54</v>
      </c>
      <c r="AZ1300" s="18" t="s">
        <v>1295</v>
      </c>
      <c r="BA1300" s="18" t="s">
        <v>483</v>
      </c>
      <c r="BB1300" s="18" t="s">
        <v>1296</v>
      </c>
      <c r="BC1300" s="26"/>
      <c r="BD1300" s="18"/>
      <c r="BE1300" s="18" t="s">
        <v>512</v>
      </c>
      <c r="BF1300" s="18"/>
      <c r="BG1300" s="18"/>
      <c r="BH1300" s="18"/>
      <c r="BI1300" s="18"/>
      <c r="BJ1300" s="18" t="s">
        <v>8372</v>
      </c>
      <c r="BK1300" s="18" t="s">
        <v>487</v>
      </c>
      <c r="BL1300" s="18"/>
      <c r="BM1300" s="18"/>
      <c r="BN1300" s="18" t="s">
        <v>179</v>
      </c>
      <c r="BO1300" s="18"/>
      <c r="BP1300" s="18" t="s">
        <v>138</v>
      </c>
      <c r="BQ1300" s="18"/>
      <c r="BR1300" s="18"/>
      <c r="BS1300" s="15" t="s">
        <v>8382</v>
      </c>
      <c r="BT1300" s="19"/>
      <c r="DH1300" s="15" t="s">
        <v>17982</v>
      </c>
      <c r="DI1300" s="15" t="s">
        <v>17982</v>
      </c>
    </row>
    <row r="1301" spans="1:113" s="15" customFormat="1" ht="12.75" x14ac:dyDescent="0.2">
      <c r="A1301" s="15" t="s">
        <v>109</v>
      </c>
      <c r="B1301" s="15" t="s">
        <v>110</v>
      </c>
      <c r="D1301" s="15" t="s">
        <v>472</v>
      </c>
      <c r="E1301" s="15" t="s">
        <v>112</v>
      </c>
      <c r="F1301" s="15" t="s">
        <v>472</v>
      </c>
      <c r="G1301" s="15" t="s">
        <v>113</v>
      </c>
      <c r="H1301" s="15" t="s">
        <v>111</v>
      </c>
      <c r="J1301" s="16" t="s">
        <v>114</v>
      </c>
      <c r="U1301" s="15" t="s">
        <v>17977</v>
      </c>
      <c r="W1301" s="15">
        <v>1640</v>
      </c>
      <c r="X1301" s="15">
        <v>1311</v>
      </c>
      <c r="Y1301" s="15" t="s">
        <v>160</v>
      </c>
      <c r="Z1301" s="15" t="s">
        <v>161</v>
      </c>
      <c r="AA1301" s="15" t="s">
        <v>162</v>
      </c>
      <c r="AB1301" s="15" t="s">
        <v>8363</v>
      </c>
      <c r="AC1301" s="15" t="s">
        <v>8363</v>
      </c>
      <c r="AD1301" s="15" t="s">
        <v>8364</v>
      </c>
      <c r="AE1301" s="15" t="s">
        <v>164</v>
      </c>
      <c r="AF1301" s="15" t="s">
        <v>8364</v>
      </c>
      <c r="AG1301" s="28" t="s">
        <v>8363</v>
      </c>
      <c r="AH1301" s="34" t="s">
        <v>8365</v>
      </c>
      <c r="AL1301" s="15" t="s">
        <v>8366</v>
      </c>
      <c r="AN1301" s="15">
        <v>743</v>
      </c>
      <c r="AO1301" s="15" t="s">
        <v>8367</v>
      </c>
      <c r="AQ1301" s="17" t="s">
        <v>1290</v>
      </c>
      <c r="AT1301" s="15" t="s">
        <v>8368</v>
      </c>
      <c r="AU1301" s="15" t="s">
        <v>8369</v>
      </c>
      <c r="AV1301" s="15" t="s">
        <v>8369</v>
      </c>
      <c r="AW1301" s="18" t="s">
        <v>8370</v>
      </c>
      <c r="AX1301" s="18" t="s">
        <v>8371</v>
      </c>
      <c r="AY1301" s="23">
        <f t="shared" si="26"/>
        <v>54</v>
      </c>
      <c r="AZ1301" s="18" t="s">
        <v>1295</v>
      </c>
      <c r="BA1301" s="18" t="s">
        <v>483</v>
      </c>
      <c r="BB1301" s="18" t="s">
        <v>1296</v>
      </c>
      <c r="BC1301" s="26"/>
      <c r="BD1301" s="18"/>
      <c r="BE1301" s="18" t="s">
        <v>499</v>
      </c>
      <c r="BF1301" s="18"/>
      <c r="BG1301" s="18"/>
      <c r="BH1301" s="18"/>
      <c r="BI1301" s="18"/>
      <c r="BJ1301" s="18" t="s">
        <v>8372</v>
      </c>
      <c r="BK1301" s="18" t="s">
        <v>487</v>
      </c>
      <c r="BL1301" s="18"/>
      <c r="BM1301" s="18"/>
      <c r="BN1301" s="18" t="s">
        <v>179</v>
      </c>
      <c r="BO1301" s="18"/>
      <c r="BP1301" s="18" t="s">
        <v>138</v>
      </c>
      <c r="BQ1301" s="18"/>
      <c r="BR1301" s="18"/>
      <c r="BS1301" s="15" t="s">
        <v>8373</v>
      </c>
      <c r="BT1301" s="19"/>
      <c r="DH1301" s="15" t="s">
        <v>17982</v>
      </c>
      <c r="DI1301" s="15" t="s">
        <v>17982</v>
      </c>
    </row>
    <row r="1302" spans="1:113" s="15" customFormat="1" ht="12.75" x14ac:dyDescent="0.2">
      <c r="A1302" s="15" t="s">
        <v>109</v>
      </c>
      <c r="B1302" s="15" t="s">
        <v>110</v>
      </c>
      <c r="D1302" s="15" t="s">
        <v>472</v>
      </c>
      <c r="E1302" s="15" t="s">
        <v>112</v>
      </c>
      <c r="F1302" s="15" t="s">
        <v>472</v>
      </c>
      <c r="G1302" s="15" t="s">
        <v>113</v>
      </c>
      <c r="H1302" s="15" t="s">
        <v>111</v>
      </c>
      <c r="J1302" s="16" t="s">
        <v>114</v>
      </c>
      <c r="U1302" s="15" t="s">
        <v>17977</v>
      </c>
      <c r="W1302" s="15">
        <v>264</v>
      </c>
      <c r="X1302" s="15">
        <v>1312</v>
      </c>
      <c r="Y1302" s="15" t="s">
        <v>160</v>
      </c>
      <c r="Z1302" s="15" t="s">
        <v>161</v>
      </c>
      <c r="AA1302" s="15" t="s">
        <v>162</v>
      </c>
      <c r="AB1302" s="15" t="s">
        <v>1286</v>
      </c>
      <c r="AC1302" s="15" t="s">
        <v>1286</v>
      </c>
      <c r="AD1302" s="15" t="s">
        <v>1286</v>
      </c>
      <c r="AE1302" s="15" t="s">
        <v>164</v>
      </c>
      <c r="AF1302" s="15" t="s">
        <v>1286</v>
      </c>
      <c r="AG1302" s="28" t="s">
        <v>1286</v>
      </c>
      <c r="AH1302" s="34" t="s">
        <v>1287</v>
      </c>
      <c r="AL1302" s="15" t="s">
        <v>1288</v>
      </c>
      <c r="AN1302" s="15">
        <v>743</v>
      </c>
      <c r="AO1302" s="15" t="s">
        <v>1289</v>
      </c>
      <c r="AQ1302" s="17" t="s">
        <v>1290</v>
      </c>
      <c r="AT1302" s="15" t="s">
        <v>1291</v>
      </c>
      <c r="AU1302" s="15" t="s">
        <v>1292</v>
      </c>
      <c r="AV1302" s="15" t="s">
        <v>1292</v>
      </c>
      <c r="AW1302" s="18" t="s">
        <v>1293</v>
      </c>
      <c r="AX1302" s="18" t="s">
        <v>1294</v>
      </c>
      <c r="AY1302" s="23">
        <f t="shared" si="26"/>
        <v>57</v>
      </c>
      <c r="AZ1302" s="18" t="s">
        <v>1295</v>
      </c>
      <c r="BA1302" s="18" t="s">
        <v>483</v>
      </c>
      <c r="BB1302" s="18" t="s">
        <v>1296</v>
      </c>
      <c r="BC1302" s="26"/>
      <c r="BD1302" s="18"/>
      <c r="BE1302" s="18" t="s">
        <v>512</v>
      </c>
      <c r="BF1302" s="18"/>
      <c r="BG1302" s="18"/>
      <c r="BH1302" s="18"/>
      <c r="BI1302" s="18"/>
      <c r="BJ1302" s="18" t="s">
        <v>1297</v>
      </c>
      <c r="BK1302" s="18" t="s">
        <v>487</v>
      </c>
      <c r="BL1302" s="18"/>
      <c r="BM1302" s="18"/>
      <c r="BN1302" s="18" t="s">
        <v>179</v>
      </c>
      <c r="BO1302" s="18"/>
      <c r="BP1302" s="18" t="s">
        <v>138</v>
      </c>
      <c r="BQ1302" s="18"/>
      <c r="BR1302" s="18"/>
      <c r="BS1302" s="15" t="s">
        <v>1298</v>
      </c>
      <c r="BT1302" s="19"/>
      <c r="DH1302" s="15" t="s">
        <v>17982</v>
      </c>
      <c r="DI1302" s="15" t="s">
        <v>17982</v>
      </c>
    </row>
    <row r="1303" spans="1:113" s="15" customFormat="1" ht="12.75" x14ac:dyDescent="0.2">
      <c r="A1303" s="15" t="s">
        <v>109</v>
      </c>
      <c r="B1303" s="15" t="s">
        <v>110</v>
      </c>
      <c r="D1303" s="15" t="s">
        <v>472</v>
      </c>
      <c r="E1303" s="15" t="s">
        <v>112</v>
      </c>
      <c r="F1303" s="15" t="s">
        <v>472</v>
      </c>
      <c r="G1303" s="15" t="s">
        <v>113</v>
      </c>
      <c r="H1303" s="15" t="s">
        <v>111</v>
      </c>
      <c r="J1303" s="16" t="s">
        <v>114</v>
      </c>
      <c r="U1303" s="15" t="s">
        <v>17977</v>
      </c>
      <c r="W1303" s="15">
        <v>265</v>
      </c>
      <c r="X1303" s="15">
        <v>1313</v>
      </c>
      <c r="Y1303" s="15" t="s">
        <v>160</v>
      </c>
      <c r="Z1303" s="15" t="s">
        <v>161</v>
      </c>
      <c r="AA1303" s="15" t="s">
        <v>162</v>
      </c>
      <c r="AB1303" s="15" t="s">
        <v>1299</v>
      </c>
      <c r="AC1303" s="15" t="s">
        <v>1299</v>
      </c>
      <c r="AD1303" s="15" t="s">
        <v>1300</v>
      </c>
      <c r="AE1303" s="15" t="s">
        <v>164</v>
      </c>
      <c r="AF1303" s="15" t="s">
        <v>1300</v>
      </c>
      <c r="AG1303" s="28" t="s">
        <v>1299</v>
      </c>
      <c r="AH1303" s="34" t="s">
        <v>1301</v>
      </c>
      <c r="AL1303" s="15" t="s">
        <v>1302</v>
      </c>
      <c r="AN1303" s="15">
        <v>743</v>
      </c>
      <c r="AO1303" s="15" t="s">
        <v>1303</v>
      </c>
      <c r="AQ1303" s="17" t="s">
        <v>1290</v>
      </c>
      <c r="AT1303" s="15" t="s">
        <v>1304</v>
      </c>
      <c r="AU1303" s="15" t="s">
        <v>1305</v>
      </c>
      <c r="AV1303" s="15" t="s">
        <v>1305</v>
      </c>
      <c r="AW1303" s="18" t="s">
        <v>1306</v>
      </c>
      <c r="AX1303" s="18" t="s">
        <v>1307</v>
      </c>
      <c r="AY1303" s="23">
        <f t="shared" si="26"/>
        <v>57</v>
      </c>
      <c r="AZ1303" s="18" t="s">
        <v>1295</v>
      </c>
      <c r="BA1303" s="18" t="s">
        <v>483</v>
      </c>
      <c r="BB1303" s="18" t="s">
        <v>1296</v>
      </c>
      <c r="BC1303" s="26"/>
      <c r="BD1303" s="18"/>
      <c r="BE1303" s="18" t="s">
        <v>499</v>
      </c>
      <c r="BF1303" s="18"/>
      <c r="BG1303" s="18"/>
      <c r="BH1303" s="18"/>
      <c r="BI1303" s="18"/>
      <c r="BJ1303" s="18" t="s">
        <v>1297</v>
      </c>
      <c r="BK1303" s="18" t="s">
        <v>487</v>
      </c>
      <c r="BL1303" s="18"/>
      <c r="BM1303" s="18"/>
      <c r="BN1303" s="18" t="s">
        <v>179</v>
      </c>
      <c r="BO1303" s="18"/>
      <c r="BP1303" s="18" t="s">
        <v>138</v>
      </c>
      <c r="BQ1303" s="18"/>
      <c r="BR1303" s="18"/>
      <c r="BS1303" s="15" t="s">
        <v>1308</v>
      </c>
      <c r="BT1303" s="19"/>
      <c r="DH1303" s="15" t="s">
        <v>17982</v>
      </c>
      <c r="DI1303" s="15" t="s">
        <v>17982</v>
      </c>
    </row>
    <row r="1304" spans="1:113" s="15" customFormat="1" ht="12.75" x14ac:dyDescent="0.2">
      <c r="A1304" s="15" t="s">
        <v>109</v>
      </c>
      <c r="B1304" s="15" t="s">
        <v>110</v>
      </c>
      <c r="D1304" s="15" t="s">
        <v>472</v>
      </c>
      <c r="E1304" s="15" t="s">
        <v>112</v>
      </c>
      <c r="F1304" s="15" t="s">
        <v>472</v>
      </c>
      <c r="G1304" s="15" t="s">
        <v>113</v>
      </c>
      <c r="H1304" s="15" t="s">
        <v>111</v>
      </c>
      <c r="J1304" s="16" t="s">
        <v>114</v>
      </c>
      <c r="U1304" s="15" t="s">
        <v>17977</v>
      </c>
      <c r="W1304" s="15">
        <v>3066</v>
      </c>
      <c r="X1304" s="15">
        <v>1314</v>
      </c>
      <c r="Y1304" s="15" t="s">
        <v>160</v>
      </c>
      <c r="Z1304" s="15" t="s">
        <v>161</v>
      </c>
      <c r="AA1304" s="15" t="s">
        <v>162</v>
      </c>
      <c r="AB1304" s="15" t="s">
        <v>14761</v>
      </c>
      <c r="AC1304" s="15" t="s">
        <v>14761</v>
      </c>
      <c r="AD1304" s="15" t="s">
        <v>14761</v>
      </c>
      <c r="AE1304" s="15" t="s">
        <v>164</v>
      </c>
      <c r="AF1304" s="15" t="s">
        <v>14761</v>
      </c>
      <c r="AG1304" s="28" t="s">
        <v>14761</v>
      </c>
      <c r="AH1304" s="34" t="s">
        <v>14762</v>
      </c>
      <c r="AL1304" s="15" t="s">
        <v>14763</v>
      </c>
      <c r="AN1304" s="15">
        <v>743</v>
      </c>
      <c r="AO1304" s="15" t="s">
        <v>14764</v>
      </c>
      <c r="AQ1304" s="17" t="s">
        <v>342</v>
      </c>
      <c r="AT1304" s="15" t="s">
        <v>14765</v>
      </c>
      <c r="AU1304" s="15" t="s">
        <v>14766</v>
      </c>
      <c r="AV1304" s="15" t="s">
        <v>14766</v>
      </c>
      <c r="AW1304" s="18" t="s">
        <v>14767</v>
      </c>
      <c r="AX1304" s="18" t="s">
        <v>14768</v>
      </c>
      <c r="AY1304" s="23">
        <f t="shared" si="26"/>
        <v>58</v>
      </c>
      <c r="AZ1304" s="18" t="s">
        <v>173</v>
      </c>
      <c r="BA1304" s="18" t="s">
        <v>483</v>
      </c>
      <c r="BB1304" s="18" t="s">
        <v>10244</v>
      </c>
      <c r="BC1304" s="26" t="s">
        <v>8419</v>
      </c>
      <c r="BD1304" s="18"/>
      <c r="BE1304" s="18" t="s">
        <v>512</v>
      </c>
      <c r="BF1304" s="18" t="s">
        <v>3591</v>
      </c>
      <c r="BG1304" s="18"/>
      <c r="BH1304" s="18"/>
      <c r="BI1304" s="18"/>
      <c r="BJ1304" s="18" t="s">
        <v>14769</v>
      </c>
      <c r="BK1304" s="18" t="s">
        <v>487</v>
      </c>
      <c r="BL1304" s="18"/>
      <c r="BM1304" s="18"/>
      <c r="BN1304" s="18" t="s">
        <v>179</v>
      </c>
      <c r="BO1304" s="18"/>
      <c r="BP1304" s="18" t="s">
        <v>138</v>
      </c>
      <c r="BQ1304" s="18"/>
      <c r="BR1304" s="18"/>
      <c r="BS1304" s="15" t="s">
        <v>14770</v>
      </c>
      <c r="BT1304" s="19"/>
      <c r="DH1304" s="15" t="s">
        <v>17982</v>
      </c>
      <c r="DI1304" s="15" t="s">
        <v>17982</v>
      </c>
    </row>
    <row r="1305" spans="1:113" s="15" customFormat="1" ht="12.75" x14ac:dyDescent="0.2">
      <c r="A1305" s="15" t="s">
        <v>109</v>
      </c>
      <c r="B1305" s="15" t="s">
        <v>110</v>
      </c>
      <c r="D1305" s="15" t="s">
        <v>472</v>
      </c>
      <c r="E1305" s="15" t="s">
        <v>112</v>
      </c>
      <c r="F1305" s="15" t="s">
        <v>472</v>
      </c>
      <c r="G1305" s="15" t="s">
        <v>113</v>
      </c>
      <c r="H1305" s="15" t="s">
        <v>111</v>
      </c>
      <c r="J1305" s="16" t="s">
        <v>114</v>
      </c>
      <c r="U1305" s="15" t="s">
        <v>17977</v>
      </c>
      <c r="W1305" s="15">
        <v>3067</v>
      </c>
      <c r="X1305" s="15">
        <v>1315</v>
      </c>
      <c r="Y1305" s="15" t="s">
        <v>160</v>
      </c>
      <c r="Z1305" s="15" t="s">
        <v>161</v>
      </c>
      <c r="AA1305" s="15" t="s">
        <v>162</v>
      </c>
      <c r="AB1305" s="15" t="s">
        <v>14771</v>
      </c>
      <c r="AC1305" s="15" t="s">
        <v>14771</v>
      </c>
      <c r="AD1305" s="15" t="s">
        <v>14772</v>
      </c>
      <c r="AE1305" s="15" t="s">
        <v>164</v>
      </c>
      <c r="AF1305" s="15" t="s">
        <v>14772</v>
      </c>
      <c r="AG1305" s="28" t="s">
        <v>14771</v>
      </c>
      <c r="AH1305" s="34" t="s">
        <v>14773</v>
      </c>
      <c r="AL1305" s="15" t="s">
        <v>14774</v>
      </c>
      <c r="AN1305" s="15">
        <v>743</v>
      </c>
      <c r="AO1305" s="15" t="s">
        <v>14775</v>
      </c>
      <c r="AQ1305" s="17" t="s">
        <v>342</v>
      </c>
      <c r="AT1305" s="15" t="s">
        <v>14776</v>
      </c>
      <c r="AU1305" s="15" t="s">
        <v>14777</v>
      </c>
      <c r="AV1305" s="15" t="s">
        <v>14777</v>
      </c>
      <c r="AW1305" s="18" t="s">
        <v>14778</v>
      </c>
      <c r="AX1305" s="18" t="s">
        <v>14779</v>
      </c>
      <c r="AY1305" s="23">
        <f t="shared" si="26"/>
        <v>58</v>
      </c>
      <c r="AZ1305" s="18" t="s">
        <v>173</v>
      </c>
      <c r="BA1305" s="18" t="s">
        <v>483</v>
      </c>
      <c r="BB1305" s="18" t="s">
        <v>10244</v>
      </c>
      <c r="BC1305" s="26" t="s">
        <v>8419</v>
      </c>
      <c r="BD1305" s="18"/>
      <c r="BE1305" s="18" t="s">
        <v>499</v>
      </c>
      <c r="BF1305" s="18" t="s">
        <v>3591</v>
      </c>
      <c r="BG1305" s="18"/>
      <c r="BH1305" s="18"/>
      <c r="BI1305" s="18"/>
      <c r="BJ1305" s="18" t="s">
        <v>14769</v>
      </c>
      <c r="BK1305" s="18" t="s">
        <v>487</v>
      </c>
      <c r="BL1305" s="18"/>
      <c r="BM1305" s="18"/>
      <c r="BN1305" s="18" t="s">
        <v>179</v>
      </c>
      <c r="BO1305" s="18"/>
      <c r="BP1305" s="18" t="s">
        <v>138</v>
      </c>
      <c r="BQ1305" s="18"/>
      <c r="BR1305" s="18"/>
      <c r="BS1305" s="15" t="s">
        <v>14780</v>
      </c>
      <c r="BT1305" s="19"/>
      <c r="DH1305" s="15" t="s">
        <v>17982</v>
      </c>
      <c r="DI1305" s="15" t="s">
        <v>17982</v>
      </c>
    </row>
    <row r="1306" spans="1:113" s="15" customFormat="1" ht="12.75" x14ac:dyDescent="0.2">
      <c r="A1306" s="15" t="s">
        <v>109</v>
      </c>
      <c r="B1306" s="15" t="s">
        <v>110</v>
      </c>
      <c r="D1306" s="15" t="s">
        <v>472</v>
      </c>
      <c r="E1306" s="15" t="s">
        <v>112</v>
      </c>
      <c r="F1306" s="15" t="s">
        <v>472</v>
      </c>
      <c r="G1306" s="15" t="s">
        <v>113</v>
      </c>
      <c r="H1306" s="15" t="s">
        <v>111</v>
      </c>
      <c r="J1306" s="16" t="s">
        <v>114</v>
      </c>
      <c r="U1306" s="15" t="s">
        <v>17977</v>
      </c>
      <c r="W1306" s="15">
        <v>1445</v>
      </c>
      <c r="X1306" s="15">
        <v>1316</v>
      </c>
      <c r="Y1306" s="15" t="s">
        <v>160</v>
      </c>
      <c r="Z1306" s="15" t="s">
        <v>161</v>
      </c>
      <c r="AA1306" s="15" t="s">
        <v>162</v>
      </c>
      <c r="AB1306" s="15" t="s">
        <v>7367</v>
      </c>
      <c r="AC1306" s="15" t="s">
        <v>7367</v>
      </c>
      <c r="AD1306" s="15" t="s">
        <v>7367</v>
      </c>
      <c r="AE1306" s="15" t="s">
        <v>164</v>
      </c>
      <c r="AF1306" s="15" t="s">
        <v>7367</v>
      </c>
      <c r="AG1306" s="28" t="s">
        <v>7367</v>
      </c>
      <c r="AH1306" s="34" t="s">
        <v>7368</v>
      </c>
      <c r="AL1306" s="15" t="s">
        <v>7369</v>
      </c>
      <c r="AN1306" s="15">
        <v>743</v>
      </c>
      <c r="AO1306" s="15" t="s">
        <v>7370</v>
      </c>
      <c r="AQ1306" s="17" t="s">
        <v>342</v>
      </c>
      <c r="AT1306" s="15" t="s">
        <v>7371</v>
      </c>
      <c r="AU1306" s="15" t="s">
        <v>7372</v>
      </c>
      <c r="AV1306" s="15" t="s">
        <v>7372</v>
      </c>
      <c r="AW1306" s="18" t="s">
        <v>7373</v>
      </c>
      <c r="AX1306" s="18" t="s">
        <v>7374</v>
      </c>
      <c r="AY1306" s="23">
        <f t="shared" si="26"/>
        <v>57</v>
      </c>
      <c r="AZ1306" s="18" t="s">
        <v>173</v>
      </c>
      <c r="BA1306" s="18" t="s">
        <v>483</v>
      </c>
      <c r="BB1306" s="18" t="s">
        <v>7364</v>
      </c>
      <c r="BC1306" s="26"/>
      <c r="BD1306" s="18"/>
      <c r="BE1306" s="18" t="s">
        <v>7375</v>
      </c>
      <c r="BF1306" s="18"/>
      <c r="BG1306" s="18"/>
      <c r="BH1306" s="18"/>
      <c r="BI1306" s="18"/>
      <c r="BJ1306" s="18" t="s">
        <v>7376</v>
      </c>
      <c r="BK1306" s="18" t="s">
        <v>487</v>
      </c>
      <c r="BL1306" s="18"/>
      <c r="BM1306" s="18"/>
      <c r="BN1306" s="18" t="s">
        <v>179</v>
      </c>
      <c r="BO1306" s="18"/>
      <c r="BP1306" s="18" t="s">
        <v>138</v>
      </c>
      <c r="BQ1306" s="18"/>
      <c r="BR1306" s="18"/>
      <c r="BS1306" s="15" t="s">
        <v>7377</v>
      </c>
      <c r="BT1306" s="19"/>
      <c r="DH1306" s="15" t="s">
        <v>17982</v>
      </c>
      <c r="DI1306" s="15" t="s">
        <v>17982</v>
      </c>
    </row>
    <row r="1307" spans="1:113" s="15" customFormat="1" ht="12.75" x14ac:dyDescent="0.2">
      <c r="A1307" s="15" t="s">
        <v>109</v>
      </c>
      <c r="B1307" s="15" t="s">
        <v>110</v>
      </c>
      <c r="D1307" s="15" t="s">
        <v>472</v>
      </c>
      <c r="E1307" s="15" t="s">
        <v>112</v>
      </c>
      <c r="F1307" s="15" t="s">
        <v>472</v>
      </c>
      <c r="G1307" s="15" t="s">
        <v>113</v>
      </c>
      <c r="H1307" s="15" t="s">
        <v>111</v>
      </c>
      <c r="J1307" s="16" t="s">
        <v>114</v>
      </c>
      <c r="U1307" s="15" t="s">
        <v>17977</v>
      </c>
      <c r="W1307" s="15">
        <v>1446</v>
      </c>
      <c r="X1307" s="15">
        <v>1317</v>
      </c>
      <c r="Y1307" s="15" t="s">
        <v>160</v>
      </c>
      <c r="Z1307" s="15" t="s">
        <v>161</v>
      </c>
      <c r="AA1307" s="15" t="s">
        <v>162</v>
      </c>
      <c r="AB1307" s="15" t="s">
        <v>7378</v>
      </c>
      <c r="AC1307" s="15" t="s">
        <v>7378</v>
      </c>
      <c r="AD1307" s="15" t="s">
        <v>7379</v>
      </c>
      <c r="AE1307" s="15" t="s">
        <v>164</v>
      </c>
      <c r="AF1307" s="15" t="s">
        <v>7379</v>
      </c>
      <c r="AG1307" s="28" t="s">
        <v>7378</v>
      </c>
      <c r="AH1307" s="34" t="s">
        <v>7380</v>
      </c>
      <c r="AL1307" s="15" t="s">
        <v>7381</v>
      </c>
      <c r="AN1307" s="15">
        <v>743</v>
      </c>
      <c r="AO1307" s="15" t="s">
        <v>7382</v>
      </c>
      <c r="AQ1307" s="17" t="s">
        <v>342</v>
      </c>
      <c r="AT1307" s="15" t="s">
        <v>7383</v>
      </c>
      <c r="AU1307" s="15" t="s">
        <v>7384</v>
      </c>
      <c r="AV1307" s="15" t="s">
        <v>7384</v>
      </c>
      <c r="AW1307" s="18" t="s">
        <v>7385</v>
      </c>
      <c r="AX1307" s="18" t="s">
        <v>7386</v>
      </c>
      <c r="AY1307" s="23">
        <f t="shared" si="26"/>
        <v>57</v>
      </c>
      <c r="AZ1307" s="18" t="s">
        <v>173</v>
      </c>
      <c r="BA1307" s="18" t="s">
        <v>483</v>
      </c>
      <c r="BB1307" s="18" t="s">
        <v>7364</v>
      </c>
      <c r="BC1307" s="26"/>
      <c r="BD1307" s="18"/>
      <c r="BE1307" s="18" t="s">
        <v>499</v>
      </c>
      <c r="BF1307" s="18"/>
      <c r="BG1307" s="18"/>
      <c r="BH1307" s="18"/>
      <c r="BI1307" s="18"/>
      <c r="BJ1307" s="18" t="s">
        <v>7376</v>
      </c>
      <c r="BK1307" s="18" t="s">
        <v>487</v>
      </c>
      <c r="BL1307" s="18"/>
      <c r="BM1307" s="18"/>
      <c r="BN1307" s="18" t="s">
        <v>179</v>
      </c>
      <c r="BO1307" s="18"/>
      <c r="BP1307" s="18" t="s">
        <v>138</v>
      </c>
      <c r="BQ1307" s="18"/>
      <c r="BR1307" s="18"/>
      <c r="BS1307" s="15" t="s">
        <v>7387</v>
      </c>
      <c r="BT1307" s="19"/>
      <c r="DH1307" s="15" t="s">
        <v>17982</v>
      </c>
      <c r="DI1307" s="15" t="s">
        <v>17982</v>
      </c>
    </row>
    <row r="1308" spans="1:113" s="15" customFormat="1" ht="12.75" x14ac:dyDescent="0.2">
      <c r="A1308" s="15" t="s">
        <v>109</v>
      </c>
      <c r="B1308" s="15" t="s">
        <v>110</v>
      </c>
      <c r="D1308" s="15" t="s">
        <v>472</v>
      </c>
      <c r="E1308" s="15" t="s">
        <v>112</v>
      </c>
      <c r="F1308" s="15" t="s">
        <v>472</v>
      </c>
      <c r="G1308" s="15" t="s">
        <v>502</v>
      </c>
      <c r="H1308" s="15" t="s">
        <v>111</v>
      </c>
      <c r="J1308" s="16" t="s">
        <v>114</v>
      </c>
      <c r="U1308" s="15" t="s">
        <v>17977</v>
      </c>
      <c r="W1308" s="15">
        <v>3212</v>
      </c>
      <c r="X1308" s="15">
        <v>1318</v>
      </c>
      <c r="Y1308" s="15" t="s">
        <v>160</v>
      </c>
      <c r="Z1308" s="15" t="s">
        <v>161</v>
      </c>
      <c r="AA1308" s="15" t="s">
        <v>162</v>
      </c>
      <c r="AB1308" s="15" t="s">
        <v>15536</v>
      </c>
      <c r="AC1308" s="15" t="s">
        <v>15536</v>
      </c>
      <c r="AD1308" s="15" t="s">
        <v>15536</v>
      </c>
      <c r="AE1308" s="15" t="s">
        <v>164</v>
      </c>
      <c r="AF1308" s="15" t="s">
        <v>15536</v>
      </c>
      <c r="AG1308" s="28" t="s">
        <v>15536</v>
      </c>
      <c r="AH1308" s="34" t="s">
        <v>15537</v>
      </c>
      <c r="AL1308" s="15" t="s">
        <v>15538</v>
      </c>
      <c r="AN1308" s="15">
        <v>743</v>
      </c>
      <c r="AO1308" s="15" t="s">
        <v>15539</v>
      </c>
      <c r="AQ1308" s="17" t="s">
        <v>342</v>
      </c>
      <c r="AT1308" s="15" t="s">
        <v>15540</v>
      </c>
      <c r="AU1308" s="15" t="s">
        <v>15541</v>
      </c>
      <c r="AV1308" s="15" t="s">
        <v>15541</v>
      </c>
      <c r="AW1308" s="18" t="s">
        <v>15542</v>
      </c>
      <c r="AX1308" s="18" t="s">
        <v>15543</v>
      </c>
      <c r="AY1308" s="23">
        <f t="shared" si="26"/>
        <v>59</v>
      </c>
      <c r="AZ1308" s="18" t="s">
        <v>1725</v>
      </c>
      <c r="BA1308" s="18" t="s">
        <v>483</v>
      </c>
      <c r="BB1308" s="18" t="s">
        <v>10858</v>
      </c>
      <c r="BC1308" s="26"/>
      <c r="BD1308" s="18"/>
      <c r="BE1308" s="18" t="s">
        <v>6064</v>
      </c>
      <c r="BF1308" s="18"/>
      <c r="BG1308" s="18"/>
      <c r="BH1308" s="18"/>
      <c r="BI1308" s="18"/>
      <c r="BJ1308" s="18" t="s">
        <v>15544</v>
      </c>
      <c r="BK1308" s="18" t="s">
        <v>487</v>
      </c>
      <c r="BL1308" s="18"/>
      <c r="BM1308" s="18"/>
      <c r="BN1308" s="18" t="s">
        <v>179</v>
      </c>
      <c r="BO1308" s="18"/>
      <c r="BP1308" s="18" t="s">
        <v>138</v>
      </c>
      <c r="BQ1308" s="18"/>
      <c r="BR1308" s="18" t="s">
        <v>1022</v>
      </c>
      <c r="BS1308" s="15" t="s">
        <v>15545</v>
      </c>
      <c r="BT1308" s="19"/>
      <c r="DH1308" s="15" t="s">
        <v>17982</v>
      </c>
      <c r="DI1308" s="15" t="s">
        <v>17982</v>
      </c>
    </row>
    <row r="1309" spans="1:113" s="15" customFormat="1" ht="12.75" x14ac:dyDescent="0.2">
      <c r="A1309" s="15" t="s">
        <v>109</v>
      </c>
      <c r="B1309" s="15" t="s">
        <v>110</v>
      </c>
      <c r="D1309" s="15" t="s">
        <v>472</v>
      </c>
      <c r="E1309" s="15" t="s">
        <v>112</v>
      </c>
      <c r="F1309" s="15" t="s">
        <v>472</v>
      </c>
      <c r="G1309" s="15" t="s">
        <v>502</v>
      </c>
      <c r="H1309" s="15" t="s">
        <v>111</v>
      </c>
      <c r="J1309" s="16" t="s">
        <v>114</v>
      </c>
      <c r="U1309" s="15" t="s">
        <v>17977</v>
      </c>
      <c r="W1309" s="15">
        <v>2967</v>
      </c>
      <c r="X1309" s="15">
        <v>1319</v>
      </c>
      <c r="Y1309" s="15" t="s">
        <v>160</v>
      </c>
      <c r="Z1309" s="15" t="s">
        <v>161</v>
      </c>
      <c r="AA1309" s="15" t="s">
        <v>162</v>
      </c>
      <c r="AB1309" s="15" t="s">
        <v>14571</v>
      </c>
      <c r="AC1309" s="15" t="s">
        <v>14571</v>
      </c>
      <c r="AD1309" s="15" t="s">
        <v>14571</v>
      </c>
      <c r="AE1309" s="15" t="s">
        <v>164</v>
      </c>
      <c r="AF1309" s="15" t="s">
        <v>14571</v>
      </c>
      <c r="AG1309" s="28" t="s">
        <v>14571</v>
      </c>
      <c r="AH1309" s="34" t="s">
        <v>14572</v>
      </c>
      <c r="AL1309" s="15" t="s">
        <v>14573</v>
      </c>
      <c r="AN1309" s="15">
        <v>743</v>
      </c>
      <c r="AO1309" s="15" t="s">
        <v>14574</v>
      </c>
      <c r="AQ1309" s="17" t="s">
        <v>342</v>
      </c>
      <c r="AT1309" s="15" t="s">
        <v>14575</v>
      </c>
      <c r="AU1309" s="15" t="s">
        <v>14576</v>
      </c>
      <c r="AV1309" s="15" t="s">
        <v>14576</v>
      </c>
      <c r="AW1309" s="18" t="s">
        <v>14577</v>
      </c>
      <c r="AX1309" s="18" t="s">
        <v>14578</v>
      </c>
      <c r="AY1309" s="23">
        <f t="shared" si="26"/>
        <v>59</v>
      </c>
      <c r="AZ1309" s="18" t="s">
        <v>1725</v>
      </c>
      <c r="BA1309" s="18" t="s">
        <v>483</v>
      </c>
      <c r="BB1309" s="18" t="s">
        <v>10858</v>
      </c>
      <c r="BC1309" s="18" t="s">
        <v>379</v>
      </c>
      <c r="BD1309" s="18"/>
      <c r="BE1309" s="18" t="s">
        <v>6064</v>
      </c>
      <c r="BF1309" s="18"/>
      <c r="BG1309" s="18"/>
      <c r="BH1309" s="18"/>
      <c r="BI1309" s="18"/>
      <c r="BJ1309" s="26" t="s">
        <v>14579</v>
      </c>
      <c r="BK1309" s="18" t="s">
        <v>487</v>
      </c>
      <c r="BL1309" s="18"/>
      <c r="BM1309" s="18"/>
      <c r="BN1309" s="18" t="s">
        <v>179</v>
      </c>
      <c r="BO1309" s="18"/>
      <c r="BP1309" s="18" t="s">
        <v>138</v>
      </c>
      <c r="BQ1309" s="18"/>
      <c r="BR1309" s="18" t="s">
        <v>1022</v>
      </c>
      <c r="BS1309" s="15" t="s">
        <v>14580</v>
      </c>
      <c r="BT1309" s="19"/>
      <c r="DH1309" s="15" t="s">
        <v>17982</v>
      </c>
      <c r="DI1309" s="15" t="s">
        <v>17982</v>
      </c>
    </row>
    <row r="1310" spans="1:113" s="15" customFormat="1" ht="12.75" x14ac:dyDescent="0.2">
      <c r="A1310" s="15" t="s">
        <v>109</v>
      </c>
      <c r="B1310" s="15" t="s">
        <v>110</v>
      </c>
      <c r="D1310" s="15" t="s">
        <v>472</v>
      </c>
      <c r="E1310" s="15" t="s">
        <v>112</v>
      </c>
      <c r="F1310" s="15" t="s">
        <v>472</v>
      </c>
      <c r="G1310" s="15" t="s">
        <v>502</v>
      </c>
      <c r="H1310" s="15" t="s">
        <v>111</v>
      </c>
      <c r="J1310" s="16" t="s">
        <v>114</v>
      </c>
      <c r="U1310" s="15" t="s">
        <v>17977</v>
      </c>
      <c r="W1310" s="15">
        <v>132</v>
      </c>
      <c r="X1310" s="15">
        <v>1320</v>
      </c>
      <c r="Y1310" s="15" t="s">
        <v>160</v>
      </c>
      <c r="Z1310" s="15" t="s">
        <v>161</v>
      </c>
      <c r="AA1310" s="15" t="s">
        <v>162</v>
      </c>
      <c r="AB1310" s="15" t="s">
        <v>993</v>
      </c>
      <c r="AC1310" s="15" t="s">
        <v>993</v>
      </c>
      <c r="AD1310" s="15" t="s">
        <v>993</v>
      </c>
      <c r="AE1310" s="15" t="s">
        <v>164</v>
      </c>
      <c r="AF1310" s="15" t="s">
        <v>993</v>
      </c>
      <c r="AG1310" s="28" t="s">
        <v>993</v>
      </c>
      <c r="AH1310" s="34" t="s">
        <v>994</v>
      </c>
      <c r="AL1310" s="15" t="s">
        <v>995</v>
      </c>
      <c r="AN1310" s="15">
        <v>743</v>
      </c>
      <c r="AO1310" s="15" t="s">
        <v>996</v>
      </c>
      <c r="AQ1310" s="17" t="s">
        <v>342</v>
      </c>
      <c r="AT1310" s="15" t="s">
        <v>997</v>
      </c>
      <c r="AU1310" s="15" t="s">
        <v>998</v>
      </c>
      <c r="AV1310" s="15" t="s">
        <v>998</v>
      </c>
      <c r="AW1310" s="18" t="s">
        <v>999</v>
      </c>
      <c r="AX1310" s="18" t="s">
        <v>1000</v>
      </c>
      <c r="AY1310" s="23">
        <f t="shared" si="26"/>
        <v>59</v>
      </c>
      <c r="AZ1310" s="18" t="s">
        <v>482</v>
      </c>
      <c r="BA1310" s="18" t="s">
        <v>483</v>
      </c>
      <c r="BB1310" s="18" t="s">
        <v>968</v>
      </c>
      <c r="BC1310" s="26"/>
      <c r="BD1310" s="18"/>
      <c r="BE1310" s="18" t="s">
        <v>632</v>
      </c>
      <c r="BF1310" s="18"/>
      <c r="BG1310" s="18"/>
      <c r="BH1310" s="18"/>
      <c r="BI1310" s="18"/>
      <c r="BJ1310" s="18" t="s">
        <v>1001</v>
      </c>
      <c r="BK1310" s="18" t="s">
        <v>487</v>
      </c>
      <c r="BL1310" s="18"/>
      <c r="BM1310" s="18"/>
      <c r="BN1310" s="18" t="s">
        <v>179</v>
      </c>
      <c r="BO1310" s="18"/>
      <c r="BP1310" s="18" t="s">
        <v>138</v>
      </c>
      <c r="BQ1310" s="18"/>
      <c r="BR1310" s="18" t="s">
        <v>173</v>
      </c>
      <c r="BS1310" s="15" t="s">
        <v>1002</v>
      </c>
      <c r="BT1310" s="19"/>
      <c r="DH1310" s="15" t="s">
        <v>17982</v>
      </c>
      <c r="DI1310" s="15" t="s">
        <v>17982</v>
      </c>
    </row>
    <row r="1311" spans="1:113" s="15" customFormat="1" ht="12.75" x14ac:dyDescent="0.2">
      <c r="A1311" s="15" t="s">
        <v>109</v>
      </c>
      <c r="B1311" s="15" t="s">
        <v>110</v>
      </c>
      <c r="D1311" s="15" t="s">
        <v>472</v>
      </c>
      <c r="E1311" s="15" t="s">
        <v>112</v>
      </c>
      <c r="F1311" s="15" t="s">
        <v>472</v>
      </c>
      <c r="G1311" s="15" t="s">
        <v>502</v>
      </c>
      <c r="H1311" s="15" t="s">
        <v>111</v>
      </c>
      <c r="J1311" s="16" t="s">
        <v>114</v>
      </c>
      <c r="U1311" s="15" t="s">
        <v>17977</v>
      </c>
      <c r="W1311" s="15">
        <v>3613</v>
      </c>
      <c r="X1311" s="15">
        <v>1321</v>
      </c>
      <c r="Y1311" s="15" t="s">
        <v>160</v>
      </c>
      <c r="Z1311" s="15" t="s">
        <v>161</v>
      </c>
      <c r="AA1311" s="15" t="s">
        <v>162</v>
      </c>
      <c r="AB1311" s="15" t="s">
        <v>17406</v>
      </c>
      <c r="AC1311" s="15" t="s">
        <v>17406</v>
      </c>
      <c r="AD1311" s="15" t="s">
        <v>17406</v>
      </c>
      <c r="AE1311" s="15" t="s">
        <v>164</v>
      </c>
      <c r="AF1311" s="15" t="s">
        <v>17406</v>
      </c>
      <c r="AG1311" s="28" t="s">
        <v>17406</v>
      </c>
      <c r="AH1311" s="34" t="s">
        <v>17407</v>
      </c>
      <c r="AL1311" s="15" t="s">
        <v>17408</v>
      </c>
      <c r="AN1311" s="15">
        <v>743</v>
      </c>
      <c r="AO1311" s="15" t="s">
        <v>17409</v>
      </c>
      <c r="AQ1311" s="17" t="s">
        <v>342</v>
      </c>
      <c r="AT1311" s="15" t="s">
        <v>17410</v>
      </c>
      <c r="AU1311" s="15" t="s">
        <v>17411</v>
      </c>
      <c r="AV1311" s="15" t="s">
        <v>17411</v>
      </c>
      <c r="AW1311" s="18" t="s">
        <v>17412</v>
      </c>
      <c r="AX1311" s="18" t="s">
        <v>17413</v>
      </c>
      <c r="AY1311" s="23">
        <f t="shared" ref="AY1311:AY1342" si="27">LEN(SUBSTITUTE(AX1311, ", ",","))</f>
        <v>55</v>
      </c>
      <c r="AZ1311" s="18" t="s">
        <v>482</v>
      </c>
      <c r="BA1311" s="18" t="s">
        <v>483</v>
      </c>
      <c r="BB1311" s="18" t="s">
        <v>968</v>
      </c>
      <c r="BC1311" s="26"/>
      <c r="BD1311" s="18"/>
      <c r="BE1311" s="18" t="s">
        <v>632</v>
      </c>
      <c r="BF1311" s="18"/>
      <c r="BG1311" s="18"/>
      <c r="BH1311" s="18"/>
      <c r="BI1311" s="18"/>
      <c r="BJ1311" s="18" t="s">
        <v>17414</v>
      </c>
      <c r="BK1311" s="18" t="s">
        <v>487</v>
      </c>
      <c r="BL1311" s="18"/>
      <c r="BM1311" s="18"/>
      <c r="BN1311" s="18" t="s">
        <v>179</v>
      </c>
      <c r="BO1311" s="18"/>
      <c r="BP1311" s="18" t="s">
        <v>138</v>
      </c>
      <c r="BQ1311" s="18"/>
      <c r="BR1311" s="18" t="s">
        <v>1022</v>
      </c>
      <c r="BS1311" s="15" t="s">
        <v>17415</v>
      </c>
      <c r="BT1311" s="19"/>
      <c r="DH1311" s="15" t="s">
        <v>17982</v>
      </c>
      <c r="DI1311" s="15" t="s">
        <v>17982</v>
      </c>
    </row>
    <row r="1312" spans="1:113" s="15" customFormat="1" ht="12.75" x14ac:dyDescent="0.2">
      <c r="A1312" s="15" t="s">
        <v>109</v>
      </c>
      <c r="B1312" s="15" t="s">
        <v>110</v>
      </c>
      <c r="D1312" s="15" t="s">
        <v>472</v>
      </c>
      <c r="E1312" s="15" t="s">
        <v>112</v>
      </c>
      <c r="F1312" s="15" t="s">
        <v>472</v>
      </c>
      <c r="G1312" s="15" t="s">
        <v>502</v>
      </c>
      <c r="H1312" s="15" t="s">
        <v>111</v>
      </c>
      <c r="J1312" s="16" t="s">
        <v>114</v>
      </c>
      <c r="U1312" s="15" t="s">
        <v>17977</v>
      </c>
      <c r="W1312" s="15">
        <v>2315</v>
      </c>
      <c r="X1312" s="15">
        <v>1322</v>
      </c>
      <c r="Y1312" s="15" t="s">
        <v>160</v>
      </c>
      <c r="Z1312" s="15" t="s">
        <v>161</v>
      </c>
      <c r="AA1312" s="15" t="s">
        <v>162</v>
      </c>
      <c r="AB1312" s="15" t="s">
        <v>11571</v>
      </c>
      <c r="AC1312" s="15" t="s">
        <v>11571</v>
      </c>
      <c r="AD1312" s="15" t="s">
        <v>11571</v>
      </c>
      <c r="AE1312" s="15" t="s">
        <v>164</v>
      </c>
      <c r="AF1312" s="15" t="s">
        <v>11571</v>
      </c>
      <c r="AG1312" s="28" t="s">
        <v>11571</v>
      </c>
      <c r="AH1312" s="34" t="s">
        <v>11572</v>
      </c>
      <c r="AL1312" s="15" t="s">
        <v>11573</v>
      </c>
      <c r="AN1312" s="15">
        <v>743</v>
      </c>
      <c r="AO1312" s="15" t="s">
        <v>11574</v>
      </c>
      <c r="AQ1312" s="17" t="s">
        <v>342</v>
      </c>
      <c r="AT1312" s="15" t="s">
        <v>11575</v>
      </c>
      <c r="AU1312" s="15" t="s">
        <v>11576</v>
      </c>
      <c r="AV1312" s="15" t="s">
        <v>11576</v>
      </c>
      <c r="AW1312" s="18" t="s">
        <v>11577</v>
      </c>
      <c r="AX1312" s="18" t="s">
        <v>11578</v>
      </c>
      <c r="AY1312" s="23">
        <f t="shared" si="27"/>
        <v>58</v>
      </c>
      <c r="AZ1312" s="18" t="s">
        <v>1725</v>
      </c>
      <c r="BA1312" s="18" t="s">
        <v>483</v>
      </c>
      <c r="BB1312" s="18" t="s">
        <v>11526</v>
      </c>
      <c r="BC1312" s="26"/>
      <c r="BD1312" s="18"/>
      <c r="BE1312" s="18" t="s">
        <v>6064</v>
      </c>
      <c r="BF1312" s="18"/>
      <c r="BG1312" s="18"/>
      <c r="BH1312" s="18"/>
      <c r="BI1312" s="18"/>
      <c r="BJ1312" s="18" t="s">
        <v>11579</v>
      </c>
      <c r="BK1312" s="18" t="s">
        <v>487</v>
      </c>
      <c r="BL1312" s="18"/>
      <c r="BM1312" s="18"/>
      <c r="BN1312" s="18" t="s">
        <v>179</v>
      </c>
      <c r="BO1312" s="18"/>
      <c r="BP1312" s="18" t="s">
        <v>138</v>
      </c>
      <c r="BQ1312" s="18"/>
      <c r="BR1312" s="18" t="s">
        <v>11580</v>
      </c>
      <c r="BS1312" s="15" t="s">
        <v>11581</v>
      </c>
      <c r="BT1312" s="19"/>
      <c r="DH1312" s="15" t="s">
        <v>17982</v>
      </c>
      <c r="DI1312" s="15" t="s">
        <v>17982</v>
      </c>
    </row>
    <row r="1313" spans="1:113" s="15" customFormat="1" ht="12.75" x14ac:dyDescent="0.2">
      <c r="A1313" s="15" t="s">
        <v>109</v>
      </c>
      <c r="B1313" s="15" t="s">
        <v>110</v>
      </c>
      <c r="D1313" s="15" t="s">
        <v>472</v>
      </c>
      <c r="E1313" s="15" t="s">
        <v>112</v>
      </c>
      <c r="F1313" s="15" t="s">
        <v>472</v>
      </c>
      <c r="G1313" s="15" t="s">
        <v>502</v>
      </c>
      <c r="H1313" s="15" t="s">
        <v>111</v>
      </c>
      <c r="J1313" s="16" t="s">
        <v>114</v>
      </c>
      <c r="U1313" s="15" t="s">
        <v>17977</v>
      </c>
      <c r="W1313" s="15">
        <v>1161</v>
      </c>
      <c r="X1313" s="15">
        <v>1323</v>
      </c>
      <c r="Y1313" s="15" t="s">
        <v>160</v>
      </c>
      <c r="Z1313" s="15" t="s">
        <v>161</v>
      </c>
      <c r="AA1313" s="15" t="s">
        <v>162</v>
      </c>
      <c r="AB1313" s="15" t="s">
        <v>6055</v>
      </c>
      <c r="AC1313" s="15" t="s">
        <v>6055</v>
      </c>
      <c r="AD1313" s="15" t="s">
        <v>6055</v>
      </c>
      <c r="AE1313" s="15" t="s">
        <v>164</v>
      </c>
      <c r="AF1313" s="15" t="s">
        <v>6055</v>
      </c>
      <c r="AG1313" s="28" t="s">
        <v>6055</v>
      </c>
      <c r="AH1313" s="34" t="s">
        <v>6056</v>
      </c>
      <c r="AL1313" s="15" t="s">
        <v>6057</v>
      </c>
      <c r="AN1313" s="15">
        <v>743</v>
      </c>
      <c r="AO1313" s="15" t="s">
        <v>6058</v>
      </c>
      <c r="AQ1313" s="17" t="s">
        <v>342</v>
      </c>
      <c r="AT1313" s="15" t="s">
        <v>6059</v>
      </c>
      <c r="AU1313" s="15" t="s">
        <v>6060</v>
      </c>
      <c r="AV1313" s="15" t="s">
        <v>6060</v>
      </c>
      <c r="AW1313" s="18" t="s">
        <v>6061</v>
      </c>
      <c r="AX1313" s="18" t="s">
        <v>6062</v>
      </c>
      <c r="AY1313" s="23">
        <f t="shared" si="27"/>
        <v>59</v>
      </c>
      <c r="AZ1313" s="18" t="s">
        <v>482</v>
      </c>
      <c r="BA1313" s="18" t="s">
        <v>483</v>
      </c>
      <c r="BB1313" s="18" t="s">
        <v>6063</v>
      </c>
      <c r="BC1313" s="18"/>
      <c r="BD1313" s="18"/>
      <c r="BE1313" s="18" t="s">
        <v>6064</v>
      </c>
      <c r="BF1313" s="18"/>
      <c r="BG1313" s="18"/>
      <c r="BH1313" s="18"/>
      <c r="BI1313" s="18"/>
      <c r="BJ1313" s="26" t="s">
        <v>6065</v>
      </c>
      <c r="BK1313" s="18" t="s">
        <v>487</v>
      </c>
      <c r="BL1313" s="18"/>
      <c r="BM1313" s="18"/>
      <c r="BN1313" s="18" t="s">
        <v>179</v>
      </c>
      <c r="BO1313" s="18" t="s">
        <v>488</v>
      </c>
      <c r="BP1313" s="18" t="s">
        <v>138</v>
      </c>
      <c r="BQ1313" s="18"/>
      <c r="BR1313" s="18" t="s">
        <v>173</v>
      </c>
      <c r="BS1313" s="15" t="s">
        <v>6066</v>
      </c>
      <c r="BT1313" s="19"/>
      <c r="DH1313" s="15" t="s">
        <v>17982</v>
      </c>
      <c r="DI1313" s="15" t="s">
        <v>17982</v>
      </c>
    </row>
    <row r="1314" spans="1:113" s="15" customFormat="1" ht="12.75" x14ac:dyDescent="0.2">
      <c r="A1314" s="15" t="s">
        <v>109</v>
      </c>
      <c r="B1314" s="15" t="s">
        <v>110</v>
      </c>
      <c r="D1314" s="15" t="s">
        <v>472</v>
      </c>
      <c r="E1314" s="15" t="s">
        <v>112</v>
      </c>
      <c r="F1314" s="15" t="s">
        <v>472</v>
      </c>
      <c r="G1314" s="15" t="s">
        <v>113</v>
      </c>
      <c r="H1314" s="15" t="s">
        <v>111</v>
      </c>
      <c r="J1314" s="16" t="s">
        <v>114</v>
      </c>
      <c r="U1314" s="15" t="s">
        <v>17977</v>
      </c>
      <c r="W1314" s="15">
        <v>2373</v>
      </c>
      <c r="X1314" s="15">
        <v>1324</v>
      </c>
      <c r="Y1314" s="15" t="s">
        <v>160</v>
      </c>
      <c r="Z1314" s="15" t="s">
        <v>161</v>
      </c>
      <c r="AA1314" s="15" t="s">
        <v>162</v>
      </c>
      <c r="AB1314" s="15" t="s">
        <v>11690</v>
      </c>
      <c r="AC1314" s="15" t="s">
        <v>11690</v>
      </c>
      <c r="AD1314" s="15" t="s">
        <v>11690</v>
      </c>
      <c r="AE1314" s="15" t="s">
        <v>164</v>
      </c>
      <c r="AF1314" s="15" t="s">
        <v>11690</v>
      </c>
      <c r="AG1314" s="28" t="s">
        <v>11690</v>
      </c>
      <c r="AH1314" s="34" t="s">
        <v>11691</v>
      </c>
      <c r="AL1314" s="15" t="s">
        <v>11692</v>
      </c>
      <c r="AN1314" s="15">
        <v>743</v>
      </c>
      <c r="AO1314" s="15" t="s">
        <v>11693</v>
      </c>
      <c r="AQ1314" s="17" t="s">
        <v>3598</v>
      </c>
      <c r="AT1314" s="15" t="s">
        <v>11694</v>
      </c>
      <c r="AU1314" s="15" t="s">
        <v>11695</v>
      </c>
      <c r="AV1314" s="15" t="s">
        <v>11695</v>
      </c>
      <c r="AW1314" s="18" t="s">
        <v>11696</v>
      </c>
      <c r="AX1314" s="18" t="s">
        <v>11697</v>
      </c>
      <c r="AY1314" s="23">
        <f t="shared" si="27"/>
        <v>57</v>
      </c>
      <c r="AZ1314" s="18" t="s">
        <v>3603</v>
      </c>
      <c r="BA1314" s="40" t="s">
        <v>214</v>
      </c>
      <c r="BB1314" s="18"/>
      <c r="BC1314" s="18"/>
      <c r="BD1314" s="18"/>
      <c r="BE1314" s="18" t="s">
        <v>11698</v>
      </c>
      <c r="BF1314" s="18"/>
      <c r="BG1314" s="18"/>
      <c r="BH1314" s="18"/>
      <c r="BI1314" s="18"/>
      <c r="BJ1314" s="26" t="s">
        <v>11699</v>
      </c>
      <c r="BK1314" s="18" t="s">
        <v>487</v>
      </c>
      <c r="BL1314" s="18"/>
      <c r="BM1314" s="18"/>
      <c r="BN1314" s="18" t="s">
        <v>179</v>
      </c>
      <c r="BO1314" s="18"/>
      <c r="BP1314" s="18" t="s">
        <v>138</v>
      </c>
      <c r="BQ1314" s="18"/>
      <c r="BR1314" s="18"/>
      <c r="BS1314" s="15" t="s">
        <v>11700</v>
      </c>
      <c r="BT1314" s="19"/>
      <c r="DH1314" s="15" t="s">
        <v>17982</v>
      </c>
      <c r="DI1314" s="15" t="s">
        <v>17982</v>
      </c>
    </row>
    <row r="1315" spans="1:113" s="15" customFormat="1" ht="12.75" x14ac:dyDescent="0.2">
      <c r="A1315" s="15" t="s">
        <v>109</v>
      </c>
      <c r="B1315" s="15" t="s">
        <v>110</v>
      </c>
      <c r="D1315" s="15" t="s">
        <v>472</v>
      </c>
      <c r="E1315" s="15" t="s">
        <v>112</v>
      </c>
      <c r="F1315" s="15" t="s">
        <v>472</v>
      </c>
      <c r="G1315" s="15" t="s">
        <v>113</v>
      </c>
      <c r="H1315" s="15" t="s">
        <v>111</v>
      </c>
      <c r="J1315" s="16" t="s">
        <v>114</v>
      </c>
      <c r="U1315" s="15" t="s">
        <v>17977</v>
      </c>
      <c r="W1315" s="15">
        <v>2374</v>
      </c>
      <c r="X1315" s="15">
        <v>1325</v>
      </c>
      <c r="Y1315" s="15" t="s">
        <v>160</v>
      </c>
      <c r="Z1315" s="15" t="s">
        <v>161</v>
      </c>
      <c r="AA1315" s="15" t="s">
        <v>162</v>
      </c>
      <c r="AB1315" s="15" t="s">
        <v>11701</v>
      </c>
      <c r="AC1315" s="15" t="s">
        <v>11701</v>
      </c>
      <c r="AD1315" s="15" t="s">
        <v>11701</v>
      </c>
      <c r="AE1315" s="15" t="s">
        <v>164</v>
      </c>
      <c r="AF1315" s="15" t="s">
        <v>11701</v>
      </c>
      <c r="AG1315" s="28" t="s">
        <v>11701</v>
      </c>
      <c r="AH1315" s="34" t="s">
        <v>11702</v>
      </c>
      <c r="AL1315" s="15" t="s">
        <v>11703</v>
      </c>
      <c r="AN1315" s="15">
        <v>743</v>
      </c>
      <c r="AO1315" s="15" t="s">
        <v>11704</v>
      </c>
      <c r="AQ1315" s="17" t="s">
        <v>3598</v>
      </c>
      <c r="AT1315" s="15" t="s">
        <v>11705</v>
      </c>
      <c r="AU1315" s="15" t="s">
        <v>11706</v>
      </c>
      <c r="AV1315" s="15" t="s">
        <v>11706</v>
      </c>
      <c r="AW1315" s="18" t="s">
        <v>11707</v>
      </c>
      <c r="AX1315" s="18" t="s">
        <v>11708</v>
      </c>
      <c r="AY1315" s="23">
        <f t="shared" si="27"/>
        <v>57</v>
      </c>
      <c r="AZ1315" s="18" t="s">
        <v>3603</v>
      </c>
      <c r="BA1315" s="40" t="s">
        <v>214</v>
      </c>
      <c r="BB1315" s="18"/>
      <c r="BC1315" s="18"/>
      <c r="BD1315" s="18"/>
      <c r="BE1315" s="18" t="s">
        <v>512</v>
      </c>
      <c r="BF1315" s="18"/>
      <c r="BG1315" s="18"/>
      <c r="BH1315" s="18"/>
      <c r="BI1315" s="18"/>
      <c r="BJ1315" s="26" t="s">
        <v>11699</v>
      </c>
      <c r="BK1315" s="18" t="s">
        <v>487</v>
      </c>
      <c r="BL1315" s="18"/>
      <c r="BM1315" s="18"/>
      <c r="BN1315" s="18" t="s">
        <v>179</v>
      </c>
      <c r="BO1315" s="18"/>
      <c r="BP1315" s="18" t="s">
        <v>138</v>
      </c>
      <c r="BQ1315" s="18"/>
      <c r="BR1315" s="18"/>
      <c r="BS1315" s="15" t="s">
        <v>11709</v>
      </c>
      <c r="BT1315" s="19"/>
      <c r="DH1315" s="15" t="s">
        <v>17982</v>
      </c>
      <c r="DI1315" s="15" t="s">
        <v>17982</v>
      </c>
    </row>
    <row r="1316" spans="1:113" s="15" customFormat="1" ht="12.75" x14ac:dyDescent="0.2">
      <c r="A1316" s="15" t="s">
        <v>109</v>
      </c>
      <c r="B1316" s="15" t="s">
        <v>110</v>
      </c>
      <c r="D1316" s="15" t="s">
        <v>472</v>
      </c>
      <c r="E1316" s="15" t="s">
        <v>112</v>
      </c>
      <c r="F1316" s="15" t="s">
        <v>472</v>
      </c>
      <c r="G1316" s="15" t="s">
        <v>113</v>
      </c>
      <c r="H1316" s="15" t="s">
        <v>111</v>
      </c>
      <c r="J1316" s="16" t="s">
        <v>114</v>
      </c>
      <c r="U1316" s="15" t="s">
        <v>17977</v>
      </c>
      <c r="W1316" s="15">
        <v>3189</v>
      </c>
      <c r="X1316" s="15">
        <v>1326</v>
      </c>
      <c r="Y1316" s="15" t="s">
        <v>160</v>
      </c>
      <c r="Z1316" s="15" t="s">
        <v>161</v>
      </c>
      <c r="AA1316" s="15" t="s">
        <v>162</v>
      </c>
      <c r="AB1316" s="15" t="s">
        <v>15369</v>
      </c>
      <c r="AC1316" s="15" t="s">
        <v>15369</v>
      </c>
      <c r="AD1316" s="15" t="s">
        <v>15369</v>
      </c>
      <c r="AE1316" s="15" t="s">
        <v>164</v>
      </c>
      <c r="AF1316" s="15" t="s">
        <v>15369</v>
      </c>
      <c r="AG1316" s="28" t="s">
        <v>15369</v>
      </c>
      <c r="AH1316" s="15" t="s">
        <v>15370</v>
      </c>
      <c r="AL1316" s="15" t="s">
        <v>15371</v>
      </c>
      <c r="AN1316" s="15">
        <v>743</v>
      </c>
      <c r="AO1316" s="15" t="s">
        <v>15372</v>
      </c>
      <c r="AQ1316" s="17" t="s">
        <v>3598</v>
      </c>
      <c r="AT1316" s="15" t="s">
        <v>15373</v>
      </c>
      <c r="AU1316" s="15" t="s">
        <v>15374</v>
      </c>
      <c r="AV1316" s="15" t="s">
        <v>15374</v>
      </c>
      <c r="AW1316" s="18" t="s">
        <v>15375</v>
      </c>
      <c r="AX1316" s="18" t="s">
        <v>15376</v>
      </c>
      <c r="AY1316" s="23">
        <f t="shared" si="27"/>
        <v>60</v>
      </c>
      <c r="AZ1316" s="18" t="s">
        <v>3603</v>
      </c>
      <c r="BA1316" s="40" t="s">
        <v>214</v>
      </c>
      <c r="BB1316" s="18" t="s">
        <v>3604</v>
      </c>
      <c r="BC1316" s="18"/>
      <c r="BD1316" s="18"/>
      <c r="BE1316" s="18" t="s">
        <v>512</v>
      </c>
      <c r="BF1316" s="18"/>
      <c r="BG1316" s="18"/>
      <c r="BH1316" s="18"/>
      <c r="BI1316" s="18"/>
      <c r="BJ1316" s="18" t="s">
        <v>15367</v>
      </c>
      <c r="BK1316" s="18" t="s">
        <v>314</v>
      </c>
      <c r="BL1316" s="18"/>
      <c r="BM1316" s="18"/>
      <c r="BN1316" s="18" t="s">
        <v>179</v>
      </c>
      <c r="BO1316" s="18"/>
      <c r="BP1316" s="18" t="s">
        <v>138</v>
      </c>
      <c r="BQ1316" s="18"/>
      <c r="BR1316" s="18"/>
      <c r="BS1316" s="15" t="s">
        <v>15377</v>
      </c>
      <c r="BT1316" s="19"/>
      <c r="DH1316" s="15" t="s">
        <v>17982</v>
      </c>
      <c r="DI1316" s="15" t="s">
        <v>17982</v>
      </c>
    </row>
    <row r="1317" spans="1:113" s="15" customFormat="1" ht="12.75" x14ac:dyDescent="0.2">
      <c r="A1317" s="15" t="s">
        <v>109</v>
      </c>
      <c r="B1317" s="15" t="s">
        <v>110</v>
      </c>
      <c r="D1317" s="15" t="s">
        <v>472</v>
      </c>
      <c r="E1317" s="15" t="s">
        <v>112</v>
      </c>
      <c r="F1317" s="15" t="s">
        <v>472</v>
      </c>
      <c r="G1317" s="15" t="s">
        <v>113</v>
      </c>
      <c r="H1317" s="15" t="s">
        <v>111</v>
      </c>
      <c r="J1317" s="16" t="s">
        <v>114</v>
      </c>
      <c r="U1317" s="15" t="s">
        <v>17977</v>
      </c>
      <c r="W1317" s="15">
        <v>3188</v>
      </c>
      <c r="X1317" s="15">
        <v>1327</v>
      </c>
      <c r="Y1317" s="15" t="s">
        <v>160</v>
      </c>
      <c r="Z1317" s="15" t="s">
        <v>161</v>
      </c>
      <c r="AA1317" s="15" t="s">
        <v>162</v>
      </c>
      <c r="AB1317" s="15" t="s">
        <v>15359</v>
      </c>
      <c r="AC1317" s="15" t="s">
        <v>15359</v>
      </c>
      <c r="AD1317" s="15" t="s">
        <v>15359</v>
      </c>
      <c r="AE1317" s="15" t="s">
        <v>164</v>
      </c>
      <c r="AF1317" s="15" t="s">
        <v>15359</v>
      </c>
      <c r="AG1317" s="28" t="s">
        <v>15359</v>
      </c>
      <c r="AH1317" s="15" t="s">
        <v>15360</v>
      </c>
      <c r="AL1317" s="15" t="s">
        <v>15361</v>
      </c>
      <c r="AN1317" s="15">
        <v>743</v>
      </c>
      <c r="AO1317" s="15" t="s">
        <v>15362</v>
      </c>
      <c r="AQ1317" s="17" t="s">
        <v>3598</v>
      </c>
      <c r="AT1317" s="15" t="s">
        <v>15363</v>
      </c>
      <c r="AU1317" s="15" t="s">
        <v>15364</v>
      </c>
      <c r="AV1317" s="15" t="s">
        <v>15364</v>
      </c>
      <c r="AW1317" s="18" t="s">
        <v>15365</v>
      </c>
      <c r="AX1317" s="18" t="s">
        <v>15366</v>
      </c>
      <c r="AY1317" s="23">
        <f t="shared" si="27"/>
        <v>57</v>
      </c>
      <c r="AZ1317" s="18" t="s">
        <v>3603</v>
      </c>
      <c r="BA1317" s="40" t="s">
        <v>214</v>
      </c>
      <c r="BB1317" s="18" t="s">
        <v>4730</v>
      </c>
      <c r="BC1317" s="18"/>
      <c r="BD1317" s="18"/>
      <c r="BE1317" s="18" t="s">
        <v>512</v>
      </c>
      <c r="BF1317" s="18"/>
      <c r="BG1317" s="18"/>
      <c r="BH1317" s="18"/>
      <c r="BI1317" s="18"/>
      <c r="BJ1317" s="18" t="s">
        <v>15367</v>
      </c>
      <c r="BK1317" s="18" t="s">
        <v>314</v>
      </c>
      <c r="BL1317" s="18"/>
      <c r="BM1317" s="18"/>
      <c r="BN1317" s="18" t="s">
        <v>179</v>
      </c>
      <c r="BO1317" s="18"/>
      <c r="BP1317" s="18" t="s">
        <v>138</v>
      </c>
      <c r="BQ1317" s="18"/>
      <c r="BR1317" s="18"/>
      <c r="BS1317" s="15" t="s">
        <v>15368</v>
      </c>
      <c r="BT1317" s="19"/>
      <c r="DH1317" s="15" t="s">
        <v>17982</v>
      </c>
      <c r="DI1317" s="15" t="s">
        <v>17982</v>
      </c>
    </row>
    <row r="1318" spans="1:113" s="15" customFormat="1" ht="12.75" x14ac:dyDescent="0.2">
      <c r="A1318" s="15" t="s">
        <v>109</v>
      </c>
      <c r="B1318" s="15" t="s">
        <v>110</v>
      </c>
      <c r="D1318" s="15" t="s">
        <v>472</v>
      </c>
      <c r="E1318" s="15" t="s">
        <v>112</v>
      </c>
      <c r="F1318" s="15" t="s">
        <v>472</v>
      </c>
      <c r="G1318" s="15" t="s">
        <v>113</v>
      </c>
      <c r="H1318" s="15" t="s">
        <v>111</v>
      </c>
      <c r="J1318" s="16" t="s">
        <v>114</v>
      </c>
      <c r="U1318" s="15" t="s">
        <v>17977</v>
      </c>
      <c r="W1318" s="15">
        <v>3190</v>
      </c>
      <c r="X1318" s="15">
        <v>1328</v>
      </c>
      <c r="Y1318" s="15" t="s">
        <v>160</v>
      </c>
      <c r="Z1318" s="15" t="s">
        <v>161</v>
      </c>
      <c r="AA1318" s="15" t="s">
        <v>162</v>
      </c>
      <c r="AB1318" s="15" t="s">
        <v>15378</v>
      </c>
      <c r="AC1318" s="15" t="s">
        <v>15378</v>
      </c>
      <c r="AD1318" s="15" t="s">
        <v>15378</v>
      </c>
      <c r="AE1318" s="15" t="s">
        <v>164</v>
      </c>
      <c r="AF1318" s="15" t="s">
        <v>15378</v>
      </c>
      <c r="AG1318" s="28" t="s">
        <v>15378</v>
      </c>
      <c r="AH1318" s="15" t="s">
        <v>15379</v>
      </c>
      <c r="AL1318" s="15" t="s">
        <v>15380</v>
      </c>
      <c r="AN1318" s="15">
        <v>743</v>
      </c>
      <c r="AO1318" s="15" t="s">
        <v>15381</v>
      </c>
      <c r="AQ1318" s="17" t="s">
        <v>3598</v>
      </c>
      <c r="AT1318" s="15" t="s">
        <v>15382</v>
      </c>
      <c r="AU1318" s="15" t="s">
        <v>15383</v>
      </c>
      <c r="AV1318" s="15" t="s">
        <v>15383</v>
      </c>
      <c r="AW1318" s="18" t="s">
        <v>15384</v>
      </c>
      <c r="AX1318" s="18" t="s">
        <v>15385</v>
      </c>
      <c r="AY1318" s="23">
        <f t="shared" si="27"/>
        <v>57</v>
      </c>
      <c r="AZ1318" s="18" t="s">
        <v>3603</v>
      </c>
      <c r="BA1318" s="18" t="s">
        <v>214</v>
      </c>
      <c r="BB1318" s="18" t="s">
        <v>4730</v>
      </c>
      <c r="BC1318" s="18"/>
      <c r="BD1318" s="18"/>
      <c r="BE1318" s="18" t="s">
        <v>512</v>
      </c>
      <c r="BF1318" s="18"/>
      <c r="BG1318" s="18"/>
      <c r="BH1318" s="18"/>
      <c r="BI1318" s="18"/>
      <c r="BJ1318" s="26" t="s">
        <v>15386</v>
      </c>
      <c r="BK1318" s="18" t="s">
        <v>314</v>
      </c>
      <c r="BL1318" s="18"/>
      <c r="BM1318" s="18"/>
      <c r="BN1318" s="18" t="s">
        <v>179</v>
      </c>
      <c r="BO1318" s="18"/>
      <c r="BP1318" s="18" t="s">
        <v>138</v>
      </c>
      <c r="BQ1318" s="18"/>
      <c r="BR1318" s="18"/>
      <c r="BS1318" s="15" t="s">
        <v>15387</v>
      </c>
      <c r="BT1318" s="19"/>
      <c r="DH1318" s="15" t="s">
        <v>17982</v>
      </c>
      <c r="DI1318" s="15" t="s">
        <v>17982</v>
      </c>
    </row>
    <row r="1319" spans="1:113" s="15" customFormat="1" ht="12.75" x14ac:dyDescent="0.2">
      <c r="A1319" s="15" t="s">
        <v>109</v>
      </c>
      <c r="B1319" s="15" t="s">
        <v>110</v>
      </c>
      <c r="D1319" s="15" t="s">
        <v>472</v>
      </c>
      <c r="E1319" s="15" t="s">
        <v>112</v>
      </c>
      <c r="F1319" s="15" t="s">
        <v>472</v>
      </c>
      <c r="G1319" s="15" t="s">
        <v>113</v>
      </c>
      <c r="H1319" s="15" t="s">
        <v>111</v>
      </c>
      <c r="J1319" s="16" t="s">
        <v>114</v>
      </c>
      <c r="U1319" s="15" t="s">
        <v>17977</v>
      </c>
      <c r="W1319" s="15">
        <v>3187</v>
      </c>
      <c r="X1319" s="15">
        <v>1329</v>
      </c>
      <c r="Y1319" s="15" t="s">
        <v>160</v>
      </c>
      <c r="Z1319" s="15" t="s">
        <v>161</v>
      </c>
      <c r="AA1319" s="15" t="s">
        <v>162</v>
      </c>
      <c r="AB1319" s="15" t="s">
        <v>15350</v>
      </c>
      <c r="AC1319" s="15" t="s">
        <v>15350</v>
      </c>
      <c r="AD1319" s="15" t="s">
        <v>15350</v>
      </c>
      <c r="AE1319" s="15" t="s">
        <v>164</v>
      </c>
      <c r="AF1319" s="15" t="s">
        <v>15350</v>
      </c>
      <c r="AG1319" s="28" t="s">
        <v>15350</v>
      </c>
      <c r="AH1319" s="15" t="s">
        <v>15351</v>
      </c>
      <c r="AL1319" s="15" t="s">
        <v>15352</v>
      </c>
      <c r="AN1319" s="15">
        <v>743</v>
      </c>
      <c r="AO1319" s="15" t="s">
        <v>15353</v>
      </c>
      <c r="AQ1319" s="17" t="s">
        <v>3598</v>
      </c>
      <c r="AT1319" s="15" t="s">
        <v>15354</v>
      </c>
      <c r="AU1319" s="15" t="s">
        <v>15355</v>
      </c>
      <c r="AV1319" s="15" t="s">
        <v>15355</v>
      </c>
      <c r="AW1319" s="18" t="s">
        <v>15356</v>
      </c>
      <c r="AX1319" s="18" t="s">
        <v>15357</v>
      </c>
      <c r="AY1319" s="23">
        <f t="shared" si="27"/>
        <v>55</v>
      </c>
      <c r="AZ1319" s="18" t="s">
        <v>3603</v>
      </c>
      <c r="BA1319" s="18" t="s">
        <v>214</v>
      </c>
      <c r="BB1319" s="18" t="s">
        <v>4730</v>
      </c>
      <c r="BC1319" s="18"/>
      <c r="BD1319" s="18"/>
      <c r="BE1319" s="18" t="s">
        <v>512</v>
      </c>
      <c r="BF1319" s="18"/>
      <c r="BG1319" s="18"/>
      <c r="BH1319" s="18"/>
      <c r="BI1319" s="18"/>
      <c r="BJ1319" s="26" t="s">
        <v>15347</v>
      </c>
      <c r="BK1319" s="18" t="s">
        <v>314</v>
      </c>
      <c r="BL1319" s="18"/>
      <c r="BM1319" s="18"/>
      <c r="BN1319" s="18" t="s">
        <v>179</v>
      </c>
      <c r="BO1319" s="18"/>
      <c r="BP1319" s="18" t="s">
        <v>138</v>
      </c>
      <c r="BQ1319" s="18"/>
      <c r="BR1319" s="18"/>
      <c r="BS1319" s="15" t="s">
        <v>15358</v>
      </c>
      <c r="BT1319" s="19"/>
      <c r="DH1319" s="15" t="s">
        <v>17982</v>
      </c>
      <c r="DI1319" s="15" t="s">
        <v>17982</v>
      </c>
    </row>
    <row r="1320" spans="1:113" s="15" customFormat="1" ht="12.75" x14ac:dyDescent="0.2">
      <c r="A1320" s="15" t="s">
        <v>109</v>
      </c>
      <c r="B1320" s="15" t="s">
        <v>110</v>
      </c>
      <c r="D1320" s="15" t="s">
        <v>472</v>
      </c>
      <c r="E1320" s="15" t="s">
        <v>112</v>
      </c>
      <c r="F1320" s="15" t="s">
        <v>472</v>
      </c>
      <c r="G1320" s="15" t="s">
        <v>113</v>
      </c>
      <c r="H1320" s="15" t="s">
        <v>111</v>
      </c>
      <c r="J1320" s="16" t="s">
        <v>114</v>
      </c>
      <c r="U1320" s="15" t="s">
        <v>17977</v>
      </c>
      <c r="W1320" s="15">
        <v>3186</v>
      </c>
      <c r="X1320" s="15">
        <v>1330</v>
      </c>
      <c r="Y1320" s="15" t="s">
        <v>160</v>
      </c>
      <c r="Z1320" s="15" t="s">
        <v>161</v>
      </c>
      <c r="AA1320" s="15" t="s">
        <v>162</v>
      </c>
      <c r="AB1320" s="15" t="s">
        <v>15338</v>
      </c>
      <c r="AC1320" s="15" t="s">
        <v>15338</v>
      </c>
      <c r="AD1320" s="15" t="s">
        <v>15339</v>
      </c>
      <c r="AE1320" s="15" t="s">
        <v>164</v>
      </c>
      <c r="AF1320" s="15" t="s">
        <v>15339</v>
      </c>
      <c r="AG1320" s="28" t="s">
        <v>15338</v>
      </c>
      <c r="AH1320" s="15" t="s">
        <v>15340</v>
      </c>
      <c r="AL1320" s="15" t="s">
        <v>15341</v>
      </c>
      <c r="AN1320" s="15">
        <v>743</v>
      </c>
      <c r="AO1320" s="15" t="s">
        <v>15342</v>
      </c>
      <c r="AQ1320" s="17" t="s">
        <v>3598</v>
      </c>
      <c r="AT1320" s="15" t="s">
        <v>15343</v>
      </c>
      <c r="AU1320" s="15" t="s">
        <v>15344</v>
      </c>
      <c r="AV1320" s="15" t="s">
        <v>15344</v>
      </c>
      <c r="AW1320" s="18" t="s">
        <v>15345</v>
      </c>
      <c r="AX1320" s="18" t="s">
        <v>15346</v>
      </c>
      <c r="AY1320" s="23">
        <f t="shared" si="27"/>
        <v>58</v>
      </c>
      <c r="AZ1320" s="18" t="s">
        <v>3603</v>
      </c>
      <c r="BA1320" s="18" t="s">
        <v>214</v>
      </c>
      <c r="BB1320" s="18" t="s">
        <v>3604</v>
      </c>
      <c r="BC1320" s="18"/>
      <c r="BD1320" s="18"/>
      <c r="BE1320" s="18" t="s">
        <v>499</v>
      </c>
      <c r="BF1320" s="18"/>
      <c r="BG1320" s="18"/>
      <c r="BH1320" s="18"/>
      <c r="BI1320" s="18"/>
      <c r="BJ1320" s="26" t="s">
        <v>15347</v>
      </c>
      <c r="BK1320" s="18" t="s">
        <v>314</v>
      </c>
      <c r="BL1320" s="18"/>
      <c r="BM1320" s="18"/>
      <c r="BN1320" s="18" t="s">
        <v>179</v>
      </c>
      <c r="BO1320" s="18"/>
      <c r="BP1320" s="18" t="s">
        <v>138</v>
      </c>
      <c r="BQ1320" s="18"/>
      <c r="BR1320" s="18" t="s">
        <v>15348</v>
      </c>
      <c r="BS1320" s="15" t="s">
        <v>15349</v>
      </c>
      <c r="BT1320" s="19"/>
      <c r="DH1320" s="15" t="s">
        <v>17982</v>
      </c>
      <c r="DI1320" s="15" t="s">
        <v>17982</v>
      </c>
    </row>
    <row r="1321" spans="1:113" s="15" customFormat="1" ht="12.75" x14ac:dyDescent="0.2">
      <c r="A1321" s="15" t="s">
        <v>109</v>
      </c>
      <c r="B1321" s="15" t="s">
        <v>110</v>
      </c>
      <c r="D1321" s="15" t="s">
        <v>472</v>
      </c>
      <c r="E1321" s="15" t="s">
        <v>112</v>
      </c>
      <c r="F1321" s="15" t="s">
        <v>472</v>
      </c>
      <c r="G1321" s="15" t="s">
        <v>113</v>
      </c>
      <c r="H1321" s="15" t="s">
        <v>111</v>
      </c>
      <c r="J1321" s="16" t="s">
        <v>114</v>
      </c>
      <c r="U1321" s="15" t="s">
        <v>17977</v>
      </c>
      <c r="W1321" s="15">
        <v>3261</v>
      </c>
      <c r="X1321" s="15">
        <v>1331</v>
      </c>
      <c r="Y1321" s="15" t="s">
        <v>160</v>
      </c>
      <c r="Z1321" s="15" t="s">
        <v>161</v>
      </c>
      <c r="AA1321" s="15" t="s">
        <v>162</v>
      </c>
      <c r="AB1321" s="15" t="s">
        <v>15699</v>
      </c>
      <c r="AC1321" s="15" t="s">
        <v>15699</v>
      </c>
      <c r="AD1321" s="15" t="s">
        <v>15699</v>
      </c>
      <c r="AE1321" s="15" t="s">
        <v>164</v>
      </c>
      <c r="AF1321" s="15" t="s">
        <v>15699</v>
      </c>
      <c r="AG1321" s="28" t="s">
        <v>15699</v>
      </c>
      <c r="AH1321" s="15" t="s">
        <v>15700</v>
      </c>
      <c r="AL1321" s="15" t="s">
        <v>15701</v>
      </c>
      <c r="AN1321" s="15">
        <v>743</v>
      </c>
      <c r="AO1321" s="15" t="s">
        <v>15702</v>
      </c>
      <c r="AQ1321" s="17" t="s">
        <v>6520</v>
      </c>
      <c r="AT1321" s="15" t="s">
        <v>15703</v>
      </c>
      <c r="AU1321" s="15" t="s">
        <v>15704</v>
      </c>
      <c r="AV1321" s="15" t="s">
        <v>15704</v>
      </c>
      <c r="AW1321" s="18" t="s">
        <v>15705</v>
      </c>
      <c r="AX1321" s="18" t="s">
        <v>15706</v>
      </c>
      <c r="AY1321" s="23">
        <f t="shared" si="27"/>
        <v>51</v>
      </c>
      <c r="AZ1321" s="18" t="s">
        <v>917</v>
      </c>
      <c r="BA1321" s="18" t="s">
        <v>483</v>
      </c>
      <c r="BB1321" s="18" t="s">
        <v>6525</v>
      </c>
      <c r="BC1321" s="26"/>
      <c r="BD1321" s="18"/>
      <c r="BE1321" s="18" t="s">
        <v>13594</v>
      </c>
      <c r="BF1321" s="18" t="s">
        <v>15707</v>
      </c>
      <c r="BG1321" s="18"/>
      <c r="BH1321" s="18"/>
      <c r="BI1321" s="18"/>
      <c r="BJ1321" s="18" t="s">
        <v>15708</v>
      </c>
      <c r="BK1321" s="18" t="s">
        <v>487</v>
      </c>
      <c r="BL1321" s="18"/>
      <c r="BM1321" s="18"/>
      <c r="BN1321" s="18" t="s">
        <v>179</v>
      </c>
      <c r="BO1321" s="18"/>
      <c r="BP1321" s="18" t="s">
        <v>138</v>
      </c>
      <c r="BQ1321" s="18"/>
      <c r="BR1321" s="18" t="s">
        <v>15707</v>
      </c>
      <c r="BS1321" s="15" t="s">
        <v>15709</v>
      </c>
      <c r="BT1321" s="19"/>
      <c r="DH1321" s="15" t="s">
        <v>17982</v>
      </c>
      <c r="DI1321" s="15" t="s">
        <v>17982</v>
      </c>
    </row>
    <row r="1322" spans="1:113" s="15" customFormat="1" ht="12.75" x14ac:dyDescent="0.2">
      <c r="A1322" s="15" t="s">
        <v>109</v>
      </c>
      <c r="B1322" s="15" t="s">
        <v>110</v>
      </c>
      <c r="D1322" s="15" t="s">
        <v>472</v>
      </c>
      <c r="E1322" s="15" t="s">
        <v>112</v>
      </c>
      <c r="F1322" s="15" t="s">
        <v>472</v>
      </c>
      <c r="G1322" s="15" t="s">
        <v>113</v>
      </c>
      <c r="H1322" s="15" t="s">
        <v>111</v>
      </c>
      <c r="J1322" s="16" t="s">
        <v>114</v>
      </c>
      <c r="U1322" s="15" t="s">
        <v>17977</v>
      </c>
      <c r="W1322" s="15">
        <v>1263</v>
      </c>
      <c r="X1322" s="15">
        <v>1332</v>
      </c>
      <c r="Y1322" s="15" t="s">
        <v>160</v>
      </c>
      <c r="Z1322" s="15" t="s">
        <v>161</v>
      </c>
      <c r="AA1322" s="15" t="s">
        <v>162</v>
      </c>
      <c r="AB1322" s="15" t="s">
        <v>6516</v>
      </c>
      <c r="AC1322" s="15" t="s">
        <v>6516</v>
      </c>
      <c r="AD1322" s="15" t="s">
        <v>6516</v>
      </c>
      <c r="AE1322" s="15" t="s">
        <v>164</v>
      </c>
      <c r="AF1322" s="15" t="s">
        <v>6516</v>
      </c>
      <c r="AG1322" s="28" t="s">
        <v>6516</v>
      </c>
      <c r="AH1322" s="15" t="s">
        <v>6517</v>
      </c>
      <c r="AL1322" s="15" t="s">
        <v>6518</v>
      </c>
      <c r="AN1322" s="15">
        <v>743</v>
      </c>
      <c r="AO1322" s="15" t="s">
        <v>6519</v>
      </c>
      <c r="AQ1322" s="17" t="s">
        <v>6520</v>
      </c>
      <c r="AT1322" s="15" t="s">
        <v>6521</v>
      </c>
      <c r="AU1322" s="15" t="s">
        <v>6522</v>
      </c>
      <c r="AV1322" s="15" t="s">
        <v>6522</v>
      </c>
      <c r="AW1322" s="18" t="s">
        <v>6523</v>
      </c>
      <c r="AX1322" s="18" t="s">
        <v>6524</v>
      </c>
      <c r="AY1322" s="23">
        <f t="shared" si="27"/>
        <v>55</v>
      </c>
      <c r="AZ1322" s="18" t="s">
        <v>917</v>
      </c>
      <c r="BA1322" s="18" t="s">
        <v>483</v>
      </c>
      <c r="BB1322" s="18" t="s">
        <v>6525</v>
      </c>
      <c r="BC1322" s="26"/>
      <c r="BD1322" s="18"/>
      <c r="BE1322" s="18" t="s">
        <v>6526</v>
      </c>
      <c r="BF1322" s="18" t="s">
        <v>6527</v>
      </c>
      <c r="BG1322" s="18"/>
      <c r="BH1322" s="18"/>
      <c r="BI1322" s="18"/>
      <c r="BJ1322" s="18" t="s">
        <v>6528</v>
      </c>
      <c r="BK1322" s="18" t="s">
        <v>487</v>
      </c>
      <c r="BL1322" s="18"/>
      <c r="BM1322" s="18"/>
      <c r="BN1322" s="18" t="s">
        <v>179</v>
      </c>
      <c r="BO1322" s="18"/>
      <c r="BP1322" s="18" t="s">
        <v>138</v>
      </c>
      <c r="BQ1322" s="18"/>
      <c r="BR1322" s="18" t="s">
        <v>6529</v>
      </c>
      <c r="BS1322" s="15" t="s">
        <v>6530</v>
      </c>
      <c r="BT1322" s="19"/>
      <c r="DH1322" s="15" t="s">
        <v>17982</v>
      </c>
      <c r="DI1322" s="15" t="s">
        <v>17982</v>
      </c>
    </row>
    <row r="1323" spans="1:113" s="15" customFormat="1" ht="12.75" x14ac:dyDescent="0.2">
      <c r="A1323" s="15" t="s">
        <v>109</v>
      </c>
      <c r="B1323" s="15" t="s">
        <v>110</v>
      </c>
      <c r="D1323" s="15" t="s">
        <v>472</v>
      </c>
      <c r="E1323" s="15" t="s">
        <v>112</v>
      </c>
      <c r="F1323" s="15" t="s">
        <v>472</v>
      </c>
      <c r="G1323" s="15" t="s">
        <v>113</v>
      </c>
      <c r="H1323" s="15" t="s">
        <v>111</v>
      </c>
      <c r="J1323" s="16" t="s">
        <v>114</v>
      </c>
      <c r="U1323" s="15" t="s">
        <v>17977</v>
      </c>
      <c r="W1323" s="15">
        <v>314</v>
      </c>
      <c r="X1323" s="15">
        <v>1333</v>
      </c>
      <c r="Y1323" s="15" t="s">
        <v>160</v>
      </c>
      <c r="Z1323" s="15" t="s">
        <v>161</v>
      </c>
      <c r="AA1323" s="15" t="s">
        <v>162</v>
      </c>
      <c r="AB1323" s="15" t="s">
        <v>1351</v>
      </c>
      <c r="AC1323" s="15" t="s">
        <v>1351</v>
      </c>
      <c r="AD1323" s="15" t="s">
        <v>1351</v>
      </c>
      <c r="AE1323" s="15" t="s">
        <v>164</v>
      </c>
      <c r="AF1323" s="15" t="s">
        <v>1351</v>
      </c>
      <c r="AG1323" s="28" t="s">
        <v>1351</v>
      </c>
      <c r="AH1323" s="15" t="s">
        <v>1352</v>
      </c>
      <c r="AL1323" s="15" t="s">
        <v>1353</v>
      </c>
      <c r="AN1323" s="15">
        <v>743</v>
      </c>
      <c r="AO1323" s="15" t="s">
        <v>1354</v>
      </c>
      <c r="AQ1323" s="17" t="s">
        <v>1355</v>
      </c>
      <c r="AR1323" s="31" t="s">
        <v>1356</v>
      </c>
      <c r="AS1323" s="31" t="s">
        <v>1357</v>
      </c>
      <c r="AT1323" s="15" t="s">
        <v>1358</v>
      </c>
      <c r="AU1323" s="15" t="s">
        <v>1359</v>
      </c>
      <c r="AV1323" s="15" t="s">
        <v>1359</v>
      </c>
      <c r="AW1323" s="18" t="s">
        <v>1360</v>
      </c>
      <c r="AX1323" s="18" t="s">
        <v>1361</v>
      </c>
      <c r="AY1323" s="23">
        <f t="shared" si="27"/>
        <v>56</v>
      </c>
      <c r="AZ1323" s="18" t="s">
        <v>1362</v>
      </c>
      <c r="BA1323" s="18" t="s">
        <v>1363</v>
      </c>
      <c r="BB1323" s="18" t="s">
        <v>214</v>
      </c>
      <c r="BC1323" s="18"/>
      <c r="BD1323" s="18"/>
      <c r="BE1323" s="18" t="s">
        <v>1364</v>
      </c>
      <c r="BF1323" s="18"/>
      <c r="BG1323" s="18"/>
      <c r="BH1323" s="18"/>
      <c r="BI1323" s="18"/>
      <c r="BJ1323" s="18" t="s">
        <v>1365</v>
      </c>
      <c r="BK1323" s="18" t="s">
        <v>487</v>
      </c>
      <c r="BL1323" s="18"/>
      <c r="BM1323" s="18"/>
      <c r="BN1323" s="18" t="s">
        <v>179</v>
      </c>
      <c r="BO1323" s="18"/>
      <c r="BP1323" s="18" t="s">
        <v>138</v>
      </c>
      <c r="BQ1323" s="18"/>
      <c r="BR1323" s="18"/>
      <c r="BS1323" s="15" t="s">
        <v>1366</v>
      </c>
      <c r="BT1323" s="19"/>
      <c r="DH1323" s="15" t="s">
        <v>17982</v>
      </c>
      <c r="DI1323" s="15" t="s">
        <v>17982</v>
      </c>
    </row>
    <row r="1324" spans="1:113" s="15" customFormat="1" ht="12.75" x14ac:dyDescent="0.2">
      <c r="A1324" s="15" t="s">
        <v>109</v>
      </c>
      <c r="B1324" s="15" t="s">
        <v>110</v>
      </c>
      <c r="D1324" s="15" t="s">
        <v>472</v>
      </c>
      <c r="E1324" s="15" t="s">
        <v>112</v>
      </c>
      <c r="F1324" s="15" t="s">
        <v>472</v>
      </c>
      <c r="G1324" s="15" t="s">
        <v>113</v>
      </c>
      <c r="H1324" s="15" t="s">
        <v>111</v>
      </c>
      <c r="J1324" s="16" t="s">
        <v>114</v>
      </c>
      <c r="U1324" s="15" t="s">
        <v>17977</v>
      </c>
      <c r="W1324" s="15">
        <v>1642</v>
      </c>
      <c r="X1324" s="15">
        <v>1334</v>
      </c>
      <c r="Y1324" s="15" t="s">
        <v>160</v>
      </c>
      <c r="Z1324" s="15" t="s">
        <v>161</v>
      </c>
      <c r="AA1324" s="15" t="s">
        <v>162</v>
      </c>
      <c r="AB1324" s="15" t="s">
        <v>8383</v>
      </c>
      <c r="AC1324" s="15" t="s">
        <v>8383</v>
      </c>
      <c r="AD1324" s="15" t="s">
        <v>8383</v>
      </c>
      <c r="AE1324" s="15" t="s">
        <v>164</v>
      </c>
      <c r="AF1324" s="15" t="s">
        <v>8383</v>
      </c>
      <c r="AG1324" s="28" t="s">
        <v>8383</v>
      </c>
      <c r="AH1324" s="47" t="s">
        <v>8384</v>
      </c>
      <c r="AL1324" s="15" t="s">
        <v>8385</v>
      </c>
      <c r="AN1324" s="15">
        <v>743</v>
      </c>
      <c r="AO1324" s="15" t="s">
        <v>8386</v>
      </c>
      <c r="AQ1324" s="17" t="s">
        <v>1355</v>
      </c>
      <c r="AR1324" s="31" t="s">
        <v>1356</v>
      </c>
      <c r="AS1324" s="31" t="s">
        <v>1357</v>
      </c>
      <c r="AT1324" s="15" t="s">
        <v>8387</v>
      </c>
      <c r="AU1324" s="15" t="s">
        <v>8388</v>
      </c>
      <c r="AV1324" s="15" t="s">
        <v>8388</v>
      </c>
      <c r="AW1324" s="18" t="s">
        <v>8389</v>
      </c>
      <c r="AX1324" s="18" t="s">
        <v>8390</v>
      </c>
      <c r="AY1324" s="23">
        <f t="shared" si="27"/>
        <v>56</v>
      </c>
      <c r="AZ1324" s="18" t="s">
        <v>1362</v>
      </c>
      <c r="BA1324" s="18" t="s">
        <v>1363</v>
      </c>
      <c r="BB1324" s="18" t="s">
        <v>229</v>
      </c>
      <c r="BC1324" s="18" t="s">
        <v>884</v>
      </c>
      <c r="BD1324" s="18"/>
      <c r="BE1324" s="18" t="s">
        <v>1364</v>
      </c>
      <c r="BF1324" s="18"/>
      <c r="BG1324" s="18"/>
      <c r="BH1324" s="18"/>
      <c r="BI1324" s="18"/>
      <c r="BJ1324" s="18" t="s">
        <v>8391</v>
      </c>
      <c r="BK1324" s="18"/>
      <c r="BL1324" s="18"/>
      <c r="BM1324" s="18"/>
      <c r="BN1324" s="18" t="s">
        <v>179</v>
      </c>
      <c r="BO1324" s="18"/>
      <c r="BP1324" s="18" t="s">
        <v>138</v>
      </c>
      <c r="BQ1324" s="18"/>
      <c r="BR1324" s="18"/>
      <c r="BS1324" s="15" t="s">
        <v>8392</v>
      </c>
      <c r="BT1324" s="19"/>
      <c r="DH1324" s="15" t="s">
        <v>17982</v>
      </c>
      <c r="DI1324" s="15" t="s">
        <v>17982</v>
      </c>
    </row>
    <row r="1325" spans="1:113" s="15" customFormat="1" ht="12.75" x14ac:dyDescent="0.2">
      <c r="A1325" s="15" t="s">
        <v>109</v>
      </c>
      <c r="B1325" s="15" t="s">
        <v>110</v>
      </c>
      <c r="D1325" s="15" t="s">
        <v>472</v>
      </c>
      <c r="E1325" s="15" t="s">
        <v>112</v>
      </c>
      <c r="F1325" s="15" t="s">
        <v>472</v>
      </c>
      <c r="G1325" s="15" t="s">
        <v>113</v>
      </c>
      <c r="H1325" s="15" t="s">
        <v>111</v>
      </c>
      <c r="J1325" s="16" t="s">
        <v>114</v>
      </c>
      <c r="U1325" s="15" t="s">
        <v>17977</v>
      </c>
      <c r="W1325" s="15">
        <v>1643</v>
      </c>
      <c r="X1325" s="15">
        <v>1335</v>
      </c>
      <c r="Y1325" s="15" t="s">
        <v>160</v>
      </c>
      <c r="Z1325" s="15" t="s">
        <v>161</v>
      </c>
      <c r="AA1325" s="15" t="s">
        <v>162</v>
      </c>
      <c r="AB1325" s="15" t="s">
        <v>8393</v>
      </c>
      <c r="AC1325" s="15" t="s">
        <v>8393</v>
      </c>
      <c r="AD1325" s="15" t="s">
        <v>8394</v>
      </c>
      <c r="AE1325" s="15" t="s">
        <v>164</v>
      </c>
      <c r="AF1325" s="15" t="s">
        <v>8394</v>
      </c>
      <c r="AG1325" s="28" t="s">
        <v>8393</v>
      </c>
      <c r="AH1325" s="47" t="s">
        <v>8395</v>
      </c>
      <c r="AL1325" s="15" t="s">
        <v>8396</v>
      </c>
      <c r="AN1325" s="15">
        <v>743</v>
      </c>
      <c r="AO1325" s="15" t="s">
        <v>8397</v>
      </c>
      <c r="AQ1325" s="17" t="s">
        <v>1355</v>
      </c>
      <c r="AR1325" s="31" t="s">
        <v>1356</v>
      </c>
      <c r="AS1325" s="31" t="s">
        <v>1357</v>
      </c>
      <c r="AT1325" s="15" t="s">
        <v>8398</v>
      </c>
      <c r="AU1325" s="15" t="s">
        <v>8399</v>
      </c>
      <c r="AV1325" s="15" t="s">
        <v>8399</v>
      </c>
      <c r="AW1325" s="18" t="s">
        <v>8400</v>
      </c>
      <c r="AX1325" s="18" t="s">
        <v>8401</v>
      </c>
      <c r="AY1325" s="23">
        <f t="shared" si="27"/>
        <v>56</v>
      </c>
      <c r="AZ1325" s="18" t="s">
        <v>1362</v>
      </c>
      <c r="BA1325" s="18" t="s">
        <v>1363</v>
      </c>
      <c r="BB1325" s="18" t="s">
        <v>229</v>
      </c>
      <c r="BC1325" s="18" t="s">
        <v>884</v>
      </c>
      <c r="BD1325" s="18"/>
      <c r="BE1325" s="18" t="s">
        <v>499</v>
      </c>
      <c r="BF1325" s="18"/>
      <c r="BG1325" s="18"/>
      <c r="BH1325" s="18"/>
      <c r="BI1325" s="18"/>
      <c r="BJ1325" s="18" t="s">
        <v>8391</v>
      </c>
      <c r="BK1325" s="18"/>
      <c r="BL1325" s="18"/>
      <c r="BM1325" s="18"/>
      <c r="BN1325" s="18" t="s">
        <v>179</v>
      </c>
      <c r="BO1325" s="18"/>
      <c r="BP1325" s="18" t="s">
        <v>138</v>
      </c>
      <c r="BQ1325" s="18"/>
      <c r="BR1325" s="18"/>
      <c r="BS1325" s="15" t="s">
        <v>8402</v>
      </c>
      <c r="BT1325" s="19"/>
      <c r="DH1325" s="15" t="s">
        <v>17982</v>
      </c>
      <c r="DI1325" s="15" t="s">
        <v>17982</v>
      </c>
    </row>
    <row r="1326" spans="1:113" s="15" customFormat="1" ht="12.75" x14ac:dyDescent="0.2">
      <c r="A1326" s="15" t="s">
        <v>109</v>
      </c>
      <c r="B1326" s="15" t="s">
        <v>110</v>
      </c>
      <c r="D1326" s="15" t="s">
        <v>472</v>
      </c>
      <c r="E1326" s="15" t="s">
        <v>112</v>
      </c>
      <c r="F1326" s="15" t="s">
        <v>472</v>
      </c>
      <c r="G1326" s="15" t="s">
        <v>113</v>
      </c>
      <c r="H1326" s="15" t="s">
        <v>111</v>
      </c>
      <c r="J1326" s="16" t="s">
        <v>114</v>
      </c>
      <c r="U1326" s="15" t="s">
        <v>17977</v>
      </c>
      <c r="W1326" s="15">
        <v>3414</v>
      </c>
      <c r="X1326" s="15">
        <v>1336</v>
      </c>
      <c r="Y1326" s="15" t="s">
        <v>160</v>
      </c>
      <c r="Z1326" s="15" t="s">
        <v>161</v>
      </c>
      <c r="AA1326" s="15" t="s">
        <v>162</v>
      </c>
      <c r="AB1326" s="15" t="s">
        <v>16501</v>
      </c>
      <c r="AC1326" s="15" t="s">
        <v>16501</v>
      </c>
      <c r="AD1326" s="15" t="s">
        <v>16501</v>
      </c>
      <c r="AE1326" s="15" t="s">
        <v>164</v>
      </c>
      <c r="AF1326" s="15" t="s">
        <v>16501</v>
      </c>
      <c r="AG1326" s="28" t="s">
        <v>16501</v>
      </c>
      <c r="AH1326" s="15" t="s">
        <v>16502</v>
      </c>
      <c r="AL1326" s="15" t="s">
        <v>16503</v>
      </c>
      <c r="AN1326" s="15">
        <v>743</v>
      </c>
      <c r="AO1326" s="15" t="s">
        <v>16504</v>
      </c>
      <c r="AQ1326" s="17" t="s">
        <v>1355</v>
      </c>
      <c r="AR1326" s="31" t="s">
        <v>1356</v>
      </c>
      <c r="AS1326" s="31" t="s">
        <v>1357</v>
      </c>
      <c r="AT1326" s="15" t="s">
        <v>16505</v>
      </c>
      <c r="AU1326" s="15" t="s">
        <v>16506</v>
      </c>
      <c r="AV1326" s="15" t="s">
        <v>16506</v>
      </c>
      <c r="AW1326" s="18" t="s">
        <v>16507</v>
      </c>
      <c r="AX1326" s="18" t="s">
        <v>16508</v>
      </c>
      <c r="AY1326" s="23">
        <f t="shared" si="27"/>
        <v>56</v>
      </c>
      <c r="AZ1326" s="18" t="s">
        <v>1362</v>
      </c>
      <c r="BA1326" s="18" t="s">
        <v>1363</v>
      </c>
      <c r="BB1326" s="18" t="s">
        <v>16509</v>
      </c>
      <c r="BC1326" s="18"/>
      <c r="BD1326" s="18"/>
      <c r="BE1326" s="32" t="s">
        <v>1364</v>
      </c>
      <c r="BF1326" s="18"/>
      <c r="BG1326" s="18"/>
      <c r="BH1326" s="18"/>
      <c r="BI1326" s="18"/>
      <c r="BJ1326" s="18" t="s">
        <v>16510</v>
      </c>
      <c r="BK1326" s="18" t="s">
        <v>487</v>
      </c>
      <c r="BL1326" s="18"/>
      <c r="BM1326" s="18"/>
      <c r="BN1326" s="18" t="s">
        <v>179</v>
      </c>
      <c r="BO1326" s="18"/>
      <c r="BP1326" s="18" t="s">
        <v>138</v>
      </c>
      <c r="BQ1326" s="18"/>
      <c r="BR1326" s="18"/>
      <c r="BS1326" s="15" t="s">
        <v>16511</v>
      </c>
      <c r="BT1326" s="19"/>
      <c r="DH1326" s="15" t="s">
        <v>17982</v>
      </c>
      <c r="DI1326" s="15" t="s">
        <v>17982</v>
      </c>
    </row>
    <row r="1327" spans="1:113" s="15" customFormat="1" ht="12.75" x14ac:dyDescent="0.2">
      <c r="A1327" s="15" t="s">
        <v>109</v>
      </c>
      <c r="B1327" s="15" t="s">
        <v>110</v>
      </c>
      <c r="D1327" s="15" t="s">
        <v>472</v>
      </c>
      <c r="E1327" s="15" t="s">
        <v>112</v>
      </c>
      <c r="F1327" s="15" t="s">
        <v>472</v>
      </c>
      <c r="G1327" s="15" t="s">
        <v>113</v>
      </c>
      <c r="H1327" s="15" t="s">
        <v>111</v>
      </c>
      <c r="J1327" s="16" t="s">
        <v>114</v>
      </c>
      <c r="U1327" s="15" t="s">
        <v>17977</v>
      </c>
      <c r="W1327" s="15">
        <v>1744</v>
      </c>
      <c r="X1327" s="15">
        <v>1337</v>
      </c>
      <c r="Y1327" s="15" t="s">
        <v>160</v>
      </c>
      <c r="Z1327" s="15" t="s">
        <v>161</v>
      </c>
      <c r="AA1327" s="15" t="s">
        <v>162</v>
      </c>
      <c r="AB1327" s="15" t="s">
        <v>9121</v>
      </c>
      <c r="AC1327" s="15" t="s">
        <v>9121</v>
      </c>
      <c r="AD1327" s="15" t="s">
        <v>9121</v>
      </c>
      <c r="AE1327" s="15" t="s">
        <v>164</v>
      </c>
      <c r="AF1327" s="15" t="s">
        <v>9121</v>
      </c>
      <c r="AG1327" s="28" t="s">
        <v>9121</v>
      </c>
      <c r="AH1327" s="15" t="s">
        <v>9122</v>
      </c>
      <c r="AL1327" s="15" t="s">
        <v>9123</v>
      </c>
      <c r="AN1327" s="15">
        <v>743</v>
      </c>
      <c r="AO1327" s="15" t="s">
        <v>9124</v>
      </c>
      <c r="AQ1327" s="17" t="s">
        <v>1355</v>
      </c>
      <c r="AR1327" s="31" t="s">
        <v>1356</v>
      </c>
      <c r="AS1327" s="31" t="s">
        <v>1357</v>
      </c>
      <c r="AT1327" s="15" t="s">
        <v>9125</v>
      </c>
      <c r="AU1327" s="15" t="s">
        <v>9126</v>
      </c>
      <c r="AV1327" s="15" t="s">
        <v>9126</v>
      </c>
      <c r="AW1327" s="18" t="s">
        <v>9127</v>
      </c>
      <c r="AX1327" s="18" t="s">
        <v>9127</v>
      </c>
      <c r="AY1327" s="23">
        <f t="shared" si="27"/>
        <v>60</v>
      </c>
      <c r="AZ1327" s="18" t="s">
        <v>1362</v>
      </c>
      <c r="BA1327" s="18" t="s">
        <v>1363</v>
      </c>
      <c r="BB1327" s="18" t="s">
        <v>9128</v>
      </c>
      <c r="BC1327" s="18"/>
      <c r="BD1327" s="18"/>
      <c r="BE1327" s="32" t="s">
        <v>1364</v>
      </c>
      <c r="BF1327" s="18"/>
      <c r="BG1327" s="18"/>
      <c r="BH1327" s="18"/>
      <c r="BI1327" s="18"/>
      <c r="BJ1327" s="18" t="s">
        <v>9129</v>
      </c>
      <c r="BK1327" s="18"/>
      <c r="BL1327" s="18"/>
      <c r="BM1327" s="18"/>
      <c r="BN1327" s="18" t="s">
        <v>179</v>
      </c>
      <c r="BO1327" s="18"/>
      <c r="BP1327" s="18" t="s">
        <v>138</v>
      </c>
      <c r="BQ1327" s="18"/>
      <c r="BR1327" s="18"/>
      <c r="BS1327" s="15" t="s">
        <v>9130</v>
      </c>
      <c r="BT1327" s="19"/>
      <c r="DH1327" s="15" t="s">
        <v>17982</v>
      </c>
      <c r="DI1327" s="15" t="s">
        <v>17982</v>
      </c>
    </row>
    <row r="1328" spans="1:113" s="15" customFormat="1" ht="12.75" x14ac:dyDescent="0.2">
      <c r="A1328" s="15" t="s">
        <v>109</v>
      </c>
      <c r="B1328" s="15" t="s">
        <v>110</v>
      </c>
      <c r="D1328" s="15" t="s">
        <v>472</v>
      </c>
      <c r="E1328" s="15" t="s">
        <v>112</v>
      </c>
      <c r="F1328" s="15" t="s">
        <v>472</v>
      </c>
      <c r="G1328" s="15" t="s">
        <v>113</v>
      </c>
      <c r="H1328" s="15" t="s">
        <v>111</v>
      </c>
      <c r="J1328" s="16" t="s">
        <v>114</v>
      </c>
      <c r="U1328" s="15" t="s">
        <v>17977</v>
      </c>
      <c r="W1328" s="15">
        <v>1745</v>
      </c>
      <c r="X1328" s="15">
        <v>1338</v>
      </c>
      <c r="Y1328" s="15" t="s">
        <v>160</v>
      </c>
      <c r="Z1328" s="15" t="s">
        <v>161</v>
      </c>
      <c r="AA1328" s="15" t="s">
        <v>162</v>
      </c>
      <c r="AB1328" s="15" t="s">
        <v>9131</v>
      </c>
      <c r="AC1328" s="15" t="s">
        <v>9131</v>
      </c>
      <c r="AD1328" s="15" t="s">
        <v>9132</v>
      </c>
      <c r="AE1328" s="15" t="s">
        <v>164</v>
      </c>
      <c r="AF1328" s="15" t="s">
        <v>9132</v>
      </c>
      <c r="AG1328" s="28" t="s">
        <v>9131</v>
      </c>
      <c r="AH1328" s="15" t="s">
        <v>9133</v>
      </c>
      <c r="AL1328" s="15" t="s">
        <v>9134</v>
      </c>
      <c r="AN1328" s="15">
        <v>743</v>
      </c>
      <c r="AO1328" s="15" t="s">
        <v>9135</v>
      </c>
      <c r="AQ1328" s="17" t="s">
        <v>1355</v>
      </c>
      <c r="AR1328" s="31" t="s">
        <v>1356</v>
      </c>
      <c r="AS1328" s="31" t="s">
        <v>1357</v>
      </c>
      <c r="AT1328" s="15" t="s">
        <v>9136</v>
      </c>
      <c r="AU1328" s="15" t="s">
        <v>9137</v>
      </c>
      <c r="AV1328" s="15" t="s">
        <v>9137</v>
      </c>
      <c r="AW1328" s="18" t="s">
        <v>9138</v>
      </c>
      <c r="AX1328" s="18" t="s">
        <v>9138</v>
      </c>
      <c r="AY1328" s="23">
        <f t="shared" si="27"/>
        <v>60</v>
      </c>
      <c r="AZ1328" s="18" t="s">
        <v>1362</v>
      </c>
      <c r="BA1328" s="18" t="s">
        <v>1363</v>
      </c>
      <c r="BB1328" s="18" t="s">
        <v>9128</v>
      </c>
      <c r="BC1328" s="18"/>
      <c r="BD1328" s="18"/>
      <c r="BE1328" s="18" t="s">
        <v>499</v>
      </c>
      <c r="BF1328" s="18"/>
      <c r="BG1328" s="18"/>
      <c r="BH1328" s="18"/>
      <c r="BI1328" s="18"/>
      <c r="BJ1328" s="18" t="s">
        <v>9129</v>
      </c>
      <c r="BK1328" s="18"/>
      <c r="BL1328" s="18"/>
      <c r="BM1328" s="18"/>
      <c r="BN1328" s="18" t="s">
        <v>179</v>
      </c>
      <c r="BO1328" s="18"/>
      <c r="BP1328" s="18" t="s">
        <v>138</v>
      </c>
      <c r="BQ1328" s="18"/>
      <c r="BR1328" s="18"/>
      <c r="BS1328" s="15" t="s">
        <v>9139</v>
      </c>
      <c r="BT1328" s="19"/>
      <c r="DH1328" s="15" t="s">
        <v>17982</v>
      </c>
      <c r="DI1328" s="15" t="s">
        <v>17982</v>
      </c>
    </row>
    <row r="1329" spans="1:113" s="15" customFormat="1" ht="12.75" x14ac:dyDescent="0.2">
      <c r="A1329" s="15" t="s">
        <v>109</v>
      </c>
      <c r="B1329" s="15" t="s">
        <v>110</v>
      </c>
      <c r="D1329" s="15" t="s">
        <v>472</v>
      </c>
      <c r="E1329" s="15" t="s">
        <v>112</v>
      </c>
      <c r="F1329" s="15" t="s">
        <v>472</v>
      </c>
      <c r="G1329" s="15" t="s">
        <v>113</v>
      </c>
      <c r="H1329" s="15" t="s">
        <v>111</v>
      </c>
      <c r="J1329" s="16" t="s">
        <v>114</v>
      </c>
      <c r="U1329" s="15" t="s">
        <v>17977</v>
      </c>
      <c r="W1329" s="15">
        <v>2984</v>
      </c>
      <c r="X1329" s="15">
        <v>1339</v>
      </c>
      <c r="Y1329" s="15" t="s">
        <v>160</v>
      </c>
      <c r="Z1329" s="15" t="s">
        <v>161</v>
      </c>
      <c r="AA1329" s="15" t="s">
        <v>162</v>
      </c>
      <c r="AB1329" s="15" t="s">
        <v>14641</v>
      </c>
      <c r="AC1329" s="15" t="s">
        <v>14641</v>
      </c>
      <c r="AD1329" s="15" t="s">
        <v>14641</v>
      </c>
      <c r="AE1329" s="15" t="s">
        <v>164</v>
      </c>
      <c r="AF1329" s="15" t="s">
        <v>14641</v>
      </c>
      <c r="AG1329" s="28" t="s">
        <v>14641</v>
      </c>
      <c r="AH1329" s="15" t="s">
        <v>14642</v>
      </c>
      <c r="AL1329" s="15" t="s">
        <v>14643</v>
      </c>
      <c r="AN1329" s="15">
        <v>743</v>
      </c>
      <c r="AO1329" s="15" t="s">
        <v>14644</v>
      </c>
      <c r="AQ1329" s="17" t="s">
        <v>1355</v>
      </c>
      <c r="AR1329" s="31" t="s">
        <v>1356</v>
      </c>
      <c r="AS1329" s="31" t="s">
        <v>1357</v>
      </c>
      <c r="AT1329" s="42" t="s">
        <v>14645</v>
      </c>
      <c r="AU1329" s="43" t="s">
        <v>14646</v>
      </c>
      <c r="AV1329" s="43" t="s">
        <v>14646</v>
      </c>
      <c r="AW1329" s="44" t="s">
        <v>14647</v>
      </c>
      <c r="AX1329" s="44" t="s">
        <v>14647</v>
      </c>
      <c r="AY1329" s="23">
        <f t="shared" si="27"/>
        <v>59</v>
      </c>
      <c r="AZ1329" s="44" t="s">
        <v>1362</v>
      </c>
      <c r="BA1329" s="45" t="s">
        <v>1363</v>
      </c>
      <c r="BB1329" s="32" t="s">
        <v>3848</v>
      </c>
      <c r="BC1329" s="32"/>
      <c r="BD1329" s="32"/>
      <c r="BE1329" s="32" t="s">
        <v>1364</v>
      </c>
      <c r="BF1329" s="32"/>
      <c r="BG1329" s="32"/>
      <c r="BH1329" s="32"/>
      <c r="BI1329" s="32"/>
      <c r="BJ1329" s="32" t="s">
        <v>14648</v>
      </c>
      <c r="BK1329" s="32"/>
      <c r="BL1329" s="32"/>
      <c r="BM1329" s="32"/>
      <c r="BN1329" s="18" t="s">
        <v>179</v>
      </c>
      <c r="BO1329" s="32"/>
      <c r="BP1329" s="18" t="s">
        <v>138</v>
      </c>
      <c r="BQ1329" s="18"/>
      <c r="BR1329" s="32"/>
      <c r="BS1329" s="42" t="s">
        <v>14649</v>
      </c>
      <c r="BT1329" s="19"/>
      <c r="DH1329" s="15" t="s">
        <v>17982</v>
      </c>
      <c r="DI1329" s="15" t="s">
        <v>17982</v>
      </c>
    </row>
    <row r="1330" spans="1:113" s="15" customFormat="1" ht="12.75" x14ac:dyDescent="0.2">
      <c r="A1330" s="15" t="s">
        <v>109</v>
      </c>
      <c r="B1330" s="15" t="s">
        <v>110</v>
      </c>
      <c r="D1330" s="15" t="s">
        <v>472</v>
      </c>
      <c r="E1330" s="15" t="s">
        <v>112</v>
      </c>
      <c r="F1330" s="15" t="s">
        <v>472</v>
      </c>
      <c r="G1330" s="15" t="s">
        <v>113</v>
      </c>
      <c r="H1330" s="15" t="s">
        <v>111</v>
      </c>
      <c r="J1330" s="16" t="s">
        <v>114</v>
      </c>
      <c r="U1330" s="15" t="s">
        <v>17977</v>
      </c>
      <c r="W1330" s="15">
        <v>2985</v>
      </c>
      <c r="X1330" s="15">
        <v>1340</v>
      </c>
      <c r="Y1330" s="15" t="s">
        <v>160</v>
      </c>
      <c r="Z1330" s="15" t="s">
        <v>161</v>
      </c>
      <c r="AA1330" s="15" t="s">
        <v>162</v>
      </c>
      <c r="AB1330" s="15" t="s">
        <v>14650</v>
      </c>
      <c r="AC1330" s="15" t="s">
        <v>14650</v>
      </c>
      <c r="AD1330" s="15" t="s">
        <v>14651</v>
      </c>
      <c r="AE1330" s="15" t="s">
        <v>164</v>
      </c>
      <c r="AF1330" s="15" t="s">
        <v>14651</v>
      </c>
      <c r="AG1330" s="28" t="s">
        <v>14650</v>
      </c>
      <c r="AH1330" s="15" t="s">
        <v>14652</v>
      </c>
      <c r="AL1330" s="15" t="s">
        <v>14653</v>
      </c>
      <c r="AN1330" s="15">
        <v>743</v>
      </c>
      <c r="AO1330" s="15" t="s">
        <v>14654</v>
      </c>
      <c r="AQ1330" s="17" t="s">
        <v>1355</v>
      </c>
      <c r="AR1330" s="31" t="s">
        <v>1356</v>
      </c>
      <c r="AS1330" s="31" t="s">
        <v>1357</v>
      </c>
      <c r="AT1330" s="15" t="s">
        <v>14655</v>
      </c>
      <c r="AU1330" s="15" t="s">
        <v>14656</v>
      </c>
      <c r="AV1330" s="15" t="s">
        <v>14656</v>
      </c>
      <c r="AW1330" s="18" t="s">
        <v>14657</v>
      </c>
      <c r="AX1330" s="18" t="s">
        <v>14657</v>
      </c>
      <c r="AY1330" s="23">
        <f t="shared" si="27"/>
        <v>59</v>
      </c>
      <c r="AZ1330" s="18" t="s">
        <v>1362</v>
      </c>
      <c r="BA1330" s="18" t="s">
        <v>1363</v>
      </c>
      <c r="BB1330" s="18" t="s">
        <v>3848</v>
      </c>
      <c r="BC1330" s="18"/>
      <c r="BD1330" s="18"/>
      <c r="BE1330" s="18" t="s">
        <v>499</v>
      </c>
      <c r="BF1330" s="18"/>
      <c r="BG1330" s="18"/>
      <c r="BH1330" s="18"/>
      <c r="BI1330" s="18"/>
      <c r="BJ1330" s="32" t="s">
        <v>14648</v>
      </c>
      <c r="BK1330" s="18"/>
      <c r="BL1330" s="18"/>
      <c r="BM1330" s="18"/>
      <c r="BN1330" s="18" t="s">
        <v>179</v>
      </c>
      <c r="BO1330" s="18"/>
      <c r="BP1330" s="18" t="s">
        <v>138</v>
      </c>
      <c r="BQ1330" s="18"/>
      <c r="BR1330" s="18"/>
      <c r="BS1330" s="15" t="s">
        <v>14658</v>
      </c>
      <c r="BT1330" s="19"/>
      <c r="DH1330" s="15" t="s">
        <v>17982</v>
      </c>
      <c r="DI1330" s="15" t="s">
        <v>17982</v>
      </c>
    </row>
    <row r="1331" spans="1:113" s="15" customFormat="1" ht="12.75" x14ac:dyDescent="0.2">
      <c r="A1331" s="15" t="s">
        <v>109</v>
      </c>
      <c r="B1331" s="15" t="s">
        <v>110</v>
      </c>
      <c r="D1331" s="15" t="s">
        <v>472</v>
      </c>
      <c r="E1331" s="15" t="s">
        <v>112</v>
      </c>
      <c r="F1331" s="15" t="s">
        <v>472</v>
      </c>
      <c r="G1331" s="15" t="s">
        <v>113</v>
      </c>
      <c r="H1331" s="15" t="s">
        <v>111</v>
      </c>
      <c r="J1331" s="16" t="s">
        <v>114</v>
      </c>
      <c r="U1331" s="15" t="s">
        <v>17977</v>
      </c>
      <c r="W1331" s="15">
        <v>315</v>
      </c>
      <c r="X1331" s="15">
        <v>1341</v>
      </c>
      <c r="Y1331" s="15" t="s">
        <v>160</v>
      </c>
      <c r="Z1331" s="15" t="s">
        <v>161</v>
      </c>
      <c r="AA1331" s="15" t="s">
        <v>162</v>
      </c>
      <c r="AB1331" s="15" t="s">
        <v>1367</v>
      </c>
      <c r="AC1331" s="15" t="s">
        <v>1367</v>
      </c>
      <c r="AD1331" s="15" t="s">
        <v>1367</v>
      </c>
      <c r="AE1331" s="15" t="s">
        <v>164</v>
      </c>
      <c r="AF1331" s="15" t="s">
        <v>1367</v>
      </c>
      <c r="AG1331" s="28" t="s">
        <v>1367</v>
      </c>
      <c r="AH1331" s="15" t="s">
        <v>1368</v>
      </c>
      <c r="AL1331" s="15" t="s">
        <v>1369</v>
      </c>
      <c r="AN1331" s="15">
        <v>743</v>
      </c>
      <c r="AO1331" s="15" t="s">
        <v>1370</v>
      </c>
      <c r="AQ1331" s="17" t="s">
        <v>1355</v>
      </c>
      <c r="AR1331" s="31" t="s">
        <v>1356</v>
      </c>
      <c r="AS1331" s="31" t="s">
        <v>1357</v>
      </c>
      <c r="AT1331" s="15" t="s">
        <v>1371</v>
      </c>
      <c r="AU1331" s="15" t="s">
        <v>1372</v>
      </c>
      <c r="AV1331" s="15" t="s">
        <v>1372</v>
      </c>
      <c r="AW1331" s="18" t="s">
        <v>1373</v>
      </c>
      <c r="AX1331" s="18" t="s">
        <v>1374</v>
      </c>
      <c r="AY1331" s="23">
        <f t="shared" si="27"/>
        <v>57</v>
      </c>
      <c r="AZ1331" s="18" t="s">
        <v>1362</v>
      </c>
      <c r="BA1331" s="18" t="s">
        <v>1363</v>
      </c>
      <c r="BB1331" s="18" t="s">
        <v>1375</v>
      </c>
      <c r="BC1331" s="18"/>
      <c r="BD1331" s="18"/>
      <c r="BE1331" s="32" t="s">
        <v>1364</v>
      </c>
      <c r="BF1331" s="18"/>
      <c r="BG1331" s="18"/>
      <c r="BH1331" s="18"/>
      <c r="BI1331" s="18"/>
      <c r="BJ1331" s="18" t="s">
        <v>1376</v>
      </c>
      <c r="BK1331" s="18"/>
      <c r="BL1331" s="18"/>
      <c r="BM1331" s="18"/>
      <c r="BN1331" s="18" t="s">
        <v>179</v>
      </c>
      <c r="BO1331" s="18"/>
      <c r="BP1331" s="18" t="s">
        <v>138</v>
      </c>
      <c r="BQ1331" s="18"/>
      <c r="BR1331" s="18"/>
      <c r="BS1331" s="15" t="s">
        <v>1377</v>
      </c>
      <c r="BT1331" s="19"/>
      <c r="DH1331" s="15" t="s">
        <v>17982</v>
      </c>
      <c r="DI1331" s="15" t="s">
        <v>17982</v>
      </c>
    </row>
    <row r="1332" spans="1:113" s="15" customFormat="1" ht="12.75" x14ac:dyDescent="0.2">
      <c r="A1332" s="15" t="s">
        <v>109</v>
      </c>
      <c r="B1332" s="15" t="s">
        <v>110</v>
      </c>
      <c r="D1332" s="15" t="s">
        <v>472</v>
      </c>
      <c r="E1332" s="15" t="s">
        <v>112</v>
      </c>
      <c r="F1332" s="15" t="s">
        <v>472</v>
      </c>
      <c r="G1332" s="15" t="s">
        <v>113</v>
      </c>
      <c r="H1332" s="15" t="s">
        <v>111</v>
      </c>
      <c r="J1332" s="16" t="s">
        <v>114</v>
      </c>
      <c r="U1332" s="15" t="s">
        <v>17977</v>
      </c>
      <c r="W1332" s="15">
        <v>316</v>
      </c>
      <c r="X1332" s="15">
        <v>1342</v>
      </c>
      <c r="Y1332" s="15" t="s">
        <v>160</v>
      </c>
      <c r="Z1332" s="15" t="s">
        <v>161</v>
      </c>
      <c r="AA1332" s="15" t="s">
        <v>162</v>
      </c>
      <c r="AB1332" s="15" t="s">
        <v>1378</v>
      </c>
      <c r="AC1332" s="15" t="s">
        <v>1378</v>
      </c>
      <c r="AD1332" s="15" t="s">
        <v>1379</v>
      </c>
      <c r="AE1332" s="15" t="s">
        <v>164</v>
      </c>
      <c r="AF1332" s="15" t="s">
        <v>1379</v>
      </c>
      <c r="AG1332" s="28" t="s">
        <v>1378</v>
      </c>
      <c r="AH1332" s="15" t="s">
        <v>1380</v>
      </c>
      <c r="AL1332" s="15" t="s">
        <v>1381</v>
      </c>
      <c r="AN1332" s="15">
        <v>743</v>
      </c>
      <c r="AO1332" s="15" t="s">
        <v>1382</v>
      </c>
      <c r="AQ1332" s="17" t="s">
        <v>1355</v>
      </c>
      <c r="AR1332" s="31" t="s">
        <v>1356</v>
      </c>
      <c r="AS1332" s="31" t="s">
        <v>1357</v>
      </c>
      <c r="AT1332" s="15" t="s">
        <v>1383</v>
      </c>
      <c r="AU1332" s="15" t="s">
        <v>1384</v>
      </c>
      <c r="AV1332" s="15" t="s">
        <v>1384</v>
      </c>
      <c r="AW1332" s="18" t="s">
        <v>1385</v>
      </c>
      <c r="AX1332" s="18" t="s">
        <v>1386</v>
      </c>
      <c r="AY1332" s="23">
        <f t="shared" si="27"/>
        <v>57</v>
      </c>
      <c r="AZ1332" s="18" t="s">
        <v>1362</v>
      </c>
      <c r="BA1332" s="18" t="s">
        <v>1363</v>
      </c>
      <c r="BB1332" s="18" t="s">
        <v>1375</v>
      </c>
      <c r="BC1332" s="18"/>
      <c r="BD1332" s="18"/>
      <c r="BE1332" s="18" t="s">
        <v>499</v>
      </c>
      <c r="BF1332" s="18"/>
      <c r="BG1332" s="18"/>
      <c r="BH1332" s="18"/>
      <c r="BI1332" s="18"/>
      <c r="BJ1332" s="18" t="s">
        <v>1376</v>
      </c>
      <c r="BK1332" s="18"/>
      <c r="BL1332" s="18"/>
      <c r="BM1332" s="18"/>
      <c r="BN1332" s="18" t="s">
        <v>179</v>
      </c>
      <c r="BO1332" s="18"/>
      <c r="BP1332" s="18" t="s">
        <v>138</v>
      </c>
      <c r="BQ1332" s="18"/>
      <c r="BR1332" s="18"/>
      <c r="BS1332" s="15" t="s">
        <v>1387</v>
      </c>
      <c r="BT1332" s="19"/>
      <c r="DH1332" s="15" t="s">
        <v>17982</v>
      </c>
      <c r="DI1332" s="15" t="s">
        <v>17982</v>
      </c>
    </row>
    <row r="1333" spans="1:113" s="15" customFormat="1" ht="12.75" x14ac:dyDescent="0.2">
      <c r="A1333" s="15" t="s">
        <v>109</v>
      </c>
      <c r="B1333" s="15" t="s">
        <v>110</v>
      </c>
      <c r="D1333" s="15" t="s">
        <v>472</v>
      </c>
      <c r="E1333" s="15" t="s">
        <v>112</v>
      </c>
      <c r="F1333" s="15" t="s">
        <v>472</v>
      </c>
      <c r="G1333" s="15" t="s">
        <v>113</v>
      </c>
      <c r="H1333" s="15" t="s">
        <v>111</v>
      </c>
      <c r="J1333" s="16" t="s">
        <v>114</v>
      </c>
      <c r="U1333" s="15" t="s">
        <v>17977</v>
      </c>
      <c r="W1333" s="15">
        <v>1652</v>
      </c>
      <c r="X1333" s="15">
        <v>1343</v>
      </c>
      <c r="Y1333" s="15" t="s">
        <v>160</v>
      </c>
      <c r="Z1333" s="15" t="s">
        <v>161</v>
      </c>
      <c r="AA1333" s="15" t="s">
        <v>162</v>
      </c>
      <c r="AB1333" s="15" t="s">
        <v>8484</v>
      </c>
      <c r="AC1333" s="15" t="s">
        <v>8484</v>
      </c>
      <c r="AD1333" s="15" t="s">
        <v>8484</v>
      </c>
      <c r="AE1333" s="15" t="s">
        <v>164</v>
      </c>
      <c r="AF1333" s="15" t="s">
        <v>8484</v>
      </c>
      <c r="AG1333" s="28" t="s">
        <v>8484</v>
      </c>
      <c r="AH1333" s="47" t="s">
        <v>8485</v>
      </c>
      <c r="AL1333" s="15" t="s">
        <v>8486</v>
      </c>
      <c r="AN1333" s="15">
        <v>743</v>
      </c>
      <c r="AO1333" s="15" t="s">
        <v>8487</v>
      </c>
      <c r="AQ1333" s="17" t="s">
        <v>1355</v>
      </c>
      <c r="AR1333" s="31" t="s">
        <v>1356</v>
      </c>
      <c r="AS1333" s="31" t="s">
        <v>1357</v>
      </c>
      <c r="AT1333" s="15" t="s">
        <v>8488</v>
      </c>
      <c r="AU1333" s="15" t="s">
        <v>8489</v>
      </c>
      <c r="AV1333" s="15" t="s">
        <v>8489</v>
      </c>
      <c r="AW1333" s="18" t="s">
        <v>8490</v>
      </c>
      <c r="AX1333" s="18" t="s">
        <v>8491</v>
      </c>
      <c r="AY1333" s="23">
        <f t="shared" si="27"/>
        <v>60</v>
      </c>
      <c r="AZ1333" s="18" t="s">
        <v>1362</v>
      </c>
      <c r="BA1333" s="18" t="s">
        <v>1363</v>
      </c>
      <c r="BB1333" s="18" t="s">
        <v>229</v>
      </c>
      <c r="BC1333" s="18"/>
      <c r="BD1333" s="18"/>
      <c r="BE1333" s="18" t="s">
        <v>1364</v>
      </c>
      <c r="BF1333" s="18"/>
      <c r="BG1333" s="18"/>
      <c r="BH1333" s="18"/>
      <c r="BI1333" s="18"/>
      <c r="BJ1333" s="18" t="s">
        <v>8391</v>
      </c>
      <c r="BK1333" s="18"/>
      <c r="BL1333" s="18"/>
      <c r="BM1333" s="18"/>
      <c r="BN1333" s="18" t="s">
        <v>179</v>
      </c>
      <c r="BO1333" s="18"/>
      <c r="BP1333" s="18" t="s">
        <v>138</v>
      </c>
      <c r="BQ1333" s="18"/>
      <c r="BR1333" s="18"/>
      <c r="BS1333" s="15" t="s">
        <v>8492</v>
      </c>
      <c r="BT1333" s="19"/>
      <c r="DH1333" s="15" t="s">
        <v>17982</v>
      </c>
      <c r="DI1333" s="15" t="s">
        <v>17982</v>
      </c>
    </row>
    <row r="1334" spans="1:113" s="15" customFormat="1" ht="12.75" x14ac:dyDescent="0.2">
      <c r="A1334" s="15" t="s">
        <v>109</v>
      </c>
      <c r="B1334" s="15" t="s">
        <v>110</v>
      </c>
      <c r="D1334" s="15" t="s">
        <v>472</v>
      </c>
      <c r="E1334" s="15" t="s">
        <v>112</v>
      </c>
      <c r="F1334" s="15" t="s">
        <v>472</v>
      </c>
      <c r="G1334" s="15" t="s">
        <v>113</v>
      </c>
      <c r="H1334" s="15" t="s">
        <v>111</v>
      </c>
      <c r="J1334" s="16" t="s">
        <v>114</v>
      </c>
      <c r="U1334" s="15" t="s">
        <v>17977</v>
      </c>
      <c r="W1334" s="15">
        <v>1653</v>
      </c>
      <c r="X1334" s="15">
        <v>1344</v>
      </c>
      <c r="Y1334" s="15" t="s">
        <v>160</v>
      </c>
      <c r="Z1334" s="15" t="s">
        <v>161</v>
      </c>
      <c r="AA1334" s="15" t="s">
        <v>162</v>
      </c>
      <c r="AB1334" s="15" t="s">
        <v>8493</v>
      </c>
      <c r="AC1334" s="15" t="s">
        <v>8493</v>
      </c>
      <c r="AD1334" s="15" t="s">
        <v>8494</v>
      </c>
      <c r="AE1334" s="15" t="s">
        <v>164</v>
      </c>
      <c r="AF1334" s="15" t="s">
        <v>8494</v>
      </c>
      <c r="AG1334" s="28" t="s">
        <v>8493</v>
      </c>
      <c r="AH1334" s="47" t="s">
        <v>8495</v>
      </c>
      <c r="AL1334" s="15" t="s">
        <v>8496</v>
      </c>
      <c r="AN1334" s="15">
        <v>743</v>
      </c>
      <c r="AO1334" s="15" t="s">
        <v>8497</v>
      </c>
      <c r="AQ1334" s="17" t="s">
        <v>1355</v>
      </c>
      <c r="AR1334" s="31" t="s">
        <v>1356</v>
      </c>
      <c r="AS1334" s="31" t="s">
        <v>1357</v>
      </c>
      <c r="AT1334" s="15" t="s">
        <v>8498</v>
      </c>
      <c r="AU1334" s="15" t="s">
        <v>8499</v>
      </c>
      <c r="AV1334" s="15" t="s">
        <v>8499</v>
      </c>
      <c r="AW1334" s="18" t="s">
        <v>8500</v>
      </c>
      <c r="AX1334" s="18" t="s">
        <v>8501</v>
      </c>
      <c r="AY1334" s="23">
        <f t="shared" si="27"/>
        <v>60</v>
      </c>
      <c r="AZ1334" s="18" t="s">
        <v>1362</v>
      </c>
      <c r="BA1334" s="18" t="s">
        <v>1363</v>
      </c>
      <c r="BB1334" s="18" t="s">
        <v>229</v>
      </c>
      <c r="BC1334" s="18"/>
      <c r="BD1334" s="18"/>
      <c r="BE1334" s="18" t="s">
        <v>499</v>
      </c>
      <c r="BF1334" s="18"/>
      <c r="BG1334" s="18"/>
      <c r="BH1334" s="18"/>
      <c r="BI1334" s="18"/>
      <c r="BJ1334" s="18" t="s">
        <v>8391</v>
      </c>
      <c r="BK1334" s="18"/>
      <c r="BL1334" s="18"/>
      <c r="BM1334" s="18"/>
      <c r="BN1334" s="18" t="s">
        <v>179</v>
      </c>
      <c r="BO1334" s="18"/>
      <c r="BP1334" s="18" t="s">
        <v>138</v>
      </c>
      <c r="BQ1334" s="18"/>
      <c r="BR1334" s="18"/>
      <c r="BS1334" s="15" t="s">
        <v>8502</v>
      </c>
      <c r="BT1334" s="19"/>
      <c r="DH1334" s="15" t="s">
        <v>17982</v>
      </c>
      <c r="DI1334" s="15" t="s">
        <v>17982</v>
      </c>
    </row>
    <row r="1335" spans="1:113" s="15" customFormat="1" ht="12.75" x14ac:dyDescent="0.2">
      <c r="A1335" s="15" t="s">
        <v>109</v>
      </c>
      <c r="B1335" s="15" t="s">
        <v>110</v>
      </c>
      <c r="D1335" s="15" t="s">
        <v>472</v>
      </c>
      <c r="E1335" s="15" t="s">
        <v>112</v>
      </c>
      <c r="F1335" s="15" t="s">
        <v>472</v>
      </c>
      <c r="G1335" s="15" t="s">
        <v>113</v>
      </c>
      <c r="H1335" s="15" t="s">
        <v>111</v>
      </c>
      <c r="J1335" s="16" t="s">
        <v>114</v>
      </c>
      <c r="U1335" s="15" t="s">
        <v>17977</v>
      </c>
      <c r="W1335" s="15">
        <v>1746</v>
      </c>
      <c r="X1335" s="15">
        <v>1345</v>
      </c>
      <c r="Y1335" s="15" t="s">
        <v>160</v>
      </c>
      <c r="Z1335" s="15" t="s">
        <v>161</v>
      </c>
      <c r="AA1335" s="15" t="s">
        <v>162</v>
      </c>
      <c r="AB1335" s="15" t="s">
        <v>9140</v>
      </c>
      <c r="AC1335" s="15" t="s">
        <v>9140</v>
      </c>
      <c r="AD1335" s="15" t="s">
        <v>9140</v>
      </c>
      <c r="AE1335" s="15" t="s">
        <v>164</v>
      </c>
      <c r="AF1335" s="15" t="s">
        <v>9140</v>
      </c>
      <c r="AG1335" s="28" t="s">
        <v>9140</v>
      </c>
      <c r="AH1335" s="15" t="s">
        <v>9141</v>
      </c>
      <c r="AL1335" s="15" t="s">
        <v>9142</v>
      </c>
      <c r="AN1335" s="15">
        <v>743</v>
      </c>
      <c r="AO1335" s="15" t="s">
        <v>9143</v>
      </c>
      <c r="AQ1335" s="17" t="s">
        <v>1355</v>
      </c>
      <c r="AR1335" s="31" t="s">
        <v>1356</v>
      </c>
      <c r="AS1335" s="31" t="s">
        <v>1357</v>
      </c>
      <c r="AT1335" s="15" t="s">
        <v>9125</v>
      </c>
      <c r="AU1335" s="15" t="s">
        <v>9126</v>
      </c>
      <c r="AV1335" s="15" t="s">
        <v>9144</v>
      </c>
      <c r="AW1335" s="18" t="s">
        <v>9127</v>
      </c>
      <c r="AX1335" s="18" t="s">
        <v>9145</v>
      </c>
      <c r="AY1335" s="23">
        <f t="shared" si="27"/>
        <v>60</v>
      </c>
      <c r="AZ1335" s="18" t="s">
        <v>1362</v>
      </c>
      <c r="BA1335" s="18" t="s">
        <v>1363</v>
      </c>
      <c r="BB1335" s="18" t="s">
        <v>9128</v>
      </c>
      <c r="BC1335" s="18"/>
      <c r="BD1335" s="18"/>
      <c r="BE1335" s="18" t="s">
        <v>1364</v>
      </c>
      <c r="BF1335" s="18"/>
      <c r="BG1335" s="18"/>
      <c r="BH1335" s="18"/>
      <c r="BI1335" s="18"/>
      <c r="BJ1335" s="18" t="s">
        <v>9129</v>
      </c>
      <c r="BK1335" s="18"/>
      <c r="BL1335" s="18"/>
      <c r="BM1335" s="18"/>
      <c r="BN1335" s="18" t="s">
        <v>179</v>
      </c>
      <c r="BO1335" s="18"/>
      <c r="BP1335" s="18" t="s">
        <v>138</v>
      </c>
      <c r="BQ1335" s="18"/>
      <c r="BR1335" s="18"/>
      <c r="BS1335" s="15" t="s">
        <v>9146</v>
      </c>
      <c r="BT1335" s="19"/>
      <c r="BV1335" s="15" t="s">
        <v>9147</v>
      </c>
      <c r="DH1335" s="15" t="s">
        <v>17982</v>
      </c>
      <c r="DI1335" s="15" t="s">
        <v>17982</v>
      </c>
    </row>
    <row r="1336" spans="1:113" s="15" customFormat="1" ht="12.75" x14ac:dyDescent="0.2">
      <c r="A1336" s="15" t="s">
        <v>109</v>
      </c>
      <c r="B1336" s="15" t="s">
        <v>110</v>
      </c>
      <c r="D1336" s="15" t="s">
        <v>472</v>
      </c>
      <c r="E1336" s="15" t="s">
        <v>112</v>
      </c>
      <c r="F1336" s="15" t="s">
        <v>472</v>
      </c>
      <c r="G1336" s="15" t="s">
        <v>113</v>
      </c>
      <c r="H1336" s="15" t="s">
        <v>111</v>
      </c>
      <c r="J1336" s="16" t="s">
        <v>114</v>
      </c>
      <c r="U1336" s="15" t="s">
        <v>17977</v>
      </c>
      <c r="W1336" s="15">
        <v>2987</v>
      </c>
      <c r="X1336" s="15">
        <v>1346</v>
      </c>
      <c r="Y1336" s="15" t="s">
        <v>160</v>
      </c>
      <c r="Z1336" s="15" t="s">
        <v>161</v>
      </c>
      <c r="AA1336" s="15" t="s">
        <v>162</v>
      </c>
      <c r="AB1336" s="15" t="s">
        <v>14668</v>
      </c>
      <c r="AC1336" s="15" t="s">
        <v>14668</v>
      </c>
      <c r="AD1336" s="15" t="s">
        <v>14668</v>
      </c>
      <c r="AE1336" s="15" t="s">
        <v>164</v>
      </c>
      <c r="AF1336" s="15" t="s">
        <v>14668</v>
      </c>
      <c r="AG1336" s="28" t="s">
        <v>14668</v>
      </c>
      <c r="AH1336" s="15" t="s">
        <v>14669</v>
      </c>
      <c r="AL1336" s="15" t="s">
        <v>14670</v>
      </c>
      <c r="AN1336" s="15">
        <v>743</v>
      </c>
      <c r="AO1336" s="15" t="s">
        <v>14671</v>
      </c>
      <c r="AQ1336" s="17" t="s">
        <v>1355</v>
      </c>
      <c r="AR1336" s="31" t="s">
        <v>1356</v>
      </c>
      <c r="AS1336" s="31" t="s">
        <v>1357</v>
      </c>
      <c r="AT1336" s="15" t="s">
        <v>14645</v>
      </c>
      <c r="AU1336" s="15" t="s">
        <v>14646</v>
      </c>
      <c r="AV1336" s="15" t="s">
        <v>14672</v>
      </c>
      <c r="AW1336" s="18" t="s">
        <v>14647</v>
      </c>
      <c r="AX1336" s="18" t="s">
        <v>14673</v>
      </c>
      <c r="AY1336" s="23">
        <f t="shared" si="27"/>
        <v>59</v>
      </c>
      <c r="AZ1336" s="18" t="s">
        <v>1362</v>
      </c>
      <c r="BA1336" s="18" t="s">
        <v>1363</v>
      </c>
      <c r="BB1336" s="18" t="s">
        <v>3848</v>
      </c>
      <c r="BC1336" s="18"/>
      <c r="BD1336" s="18"/>
      <c r="BE1336" s="18" t="s">
        <v>1364</v>
      </c>
      <c r="BF1336" s="18"/>
      <c r="BG1336" s="18"/>
      <c r="BH1336" s="18"/>
      <c r="BI1336" s="18"/>
      <c r="BJ1336" s="18" t="s">
        <v>14648</v>
      </c>
      <c r="BK1336" s="18"/>
      <c r="BL1336" s="18"/>
      <c r="BM1336" s="18"/>
      <c r="BN1336" s="18" t="s">
        <v>179</v>
      </c>
      <c r="BO1336" s="18"/>
      <c r="BP1336" s="18" t="s">
        <v>138</v>
      </c>
      <c r="BQ1336" s="18"/>
      <c r="BR1336" s="18"/>
      <c r="BS1336" s="15" t="s">
        <v>14674</v>
      </c>
      <c r="BT1336" s="19"/>
      <c r="BV1336" s="15" t="s">
        <v>9147</v>
      </c>
      <c r="DH1336" s="15" t="s">
        <v>17982</v>
      </c>
      <c r="DI1336" s="15" t="s">
        <v>17982</v>
      </c>
    </row>
    <row r="1337" spans="1:113" s="15" customFormat="1" ht="12.75" x14ac:dyDescent="0.2">
      <c r="A1337" s="15" t="s">
        <v>109</v>
      </c>
      <c r="B1337" s="15" t="s">
        <v>110</v>
      </c>
      <c r="D1337" s="15" t="s">
        <v>472</v>
      </c>
      <c r="E1337" s="15" t="s">
        <v>112</v>
      </c>
      <c r="F1337" s="15" t="s">
        <v>472</v>
      </c>
      <c r="G1337" s="15" t="s">
        <v>113</v>
      </c>
      <c r="H1337" s="15" t="s">
        <v>111</v>
      </c>
      <c r="J1337" s="16" t="s">
        <v>114</v>
      </c>
      <c r="U1337" s="15" t="s">
        <v>17977</v>
      </c>
      <c r="W1337" s="15">
        <v>319</v>
      </c>
      <c r="X1337" s="15">
        <v>1347</v>
      </c>
      <c r="Y1337" s="15" t="s">
        <v>160</v>
      </c>
      <c r="Z1337" s="15" t="s">
        <v>161</v>
      </c>
      <c r="AA1337" s="15" t="s">
        <v>162</v>
      </c>
      <c r="AB1337" s="15" t="s">
        <v>1408</v>
      </c>
      <c r="AC1337" s="15" t="s">
        <v>1408</v>
      </c>
      <c r="AD1337" s="15" t="s">
        <v>1408</v>
      </c>
      <c r="AE1337" s="15" t="s">
        <v>164</v>
      </c>
      <c r="AF1337" s="15" t="s">
        <v>1408</v>
      </c>
      <c r="AG1337" s="28" t="s">
        <v>1408</v>
      </c>
      <c r="AH1337" s="15" t="s">
        <v>1409</v>
      </c>
      <c r="AL1337" s="15" t="s">
        <v>1410</v>
      </c>
      <c r="AN1337" s="15">
        <v>743</v>
      </c>
      <c r="AO1337" s="15" t="s">
        <v>1411</v>
      </c>
      <c r="AQ1337" s="17" t="s">
        <v>1355</v>
      </c>
      <c r="AR1337" s="31" t="s">
        <v>1356</v>
      </c>
      <c r="AS1337" s="31" t="s">
        <v>1357</v>
      </c>
      <c r="AT1337" s="15" t="s">
        <v>1412</v>
      </c>
      <c r="AU1337" s="15" t="s">
        <v>1413</v>
      </c>
      <c r="AV1337" s="15" t="s">
        <v>1413</v>
      </c>
      <c r="AW1337" s="18" t="s">
        <v>1414</v>
      </c>
      <c r="AX1337" s="18" t="s">
        <v>1415</v>
      </c>
      <c r="AY1337" s="23">
        <f t="shared" si="27"/>
        <v>57</v>
      </c>
      <c r="AZ1337" s="18" t="s">
        <v>1362</v>
      </c>
      <c r="BA1337" s="18" t="s">
        <v>1363</v>
      </c>
      <c r="BB1337" s="18" t="s">
        <v>1375</v>
      </c>
      <c r="BC1337" s="18"/>
      <c r="BD1337" s="18"/>
      <c r="BE1337" s="18" t="s">
        <v>1364</v>
      </c>
      <c r="BF1337" s="18"/>
      <c r="BG1337" s="18"/>
      <c r="BH1337" s="18"/>
      <c r="BI1337" s="18"/>
      <c r="BJ1337" s="18" t="s">
        <v>1365</v>
      </c>
      <c r="BK1337" s="18" t="s">
        <v>487</v>
      </c>
      <c r="BL1337" s="18"/>
      <c r="BM1337" s="18"/>
      <c r="BN1337" s="18" t="s">
        <v>179</v>
      </c>
      <c r="BO1337" s="18"/>
      <c r="BP1337" s="18" t="s">
        <v>138</v>
      </c>
      <c r="BQ1337" s="18"/>
      <c r="BR1337" s="18"/>
      <c r="BS1337" s="15" t="s">
        <v>1416</v>
      </c>
      <c r="BT1337" s="19"/>
      <c r="DH1337" s="15" t="s">
        <v>17982</v>
      </c>
      <c r="DI1337" s="15" t="s">
        <v>17982</v>
      </c>
    </row>
    <row r="1338" spans="1:113" s="15" customFormat="1" ht="12.75" x14ac:dyDescent="0.2">
      <c r="A1338" s="15" t="s">
        <v>109</v>
      </c>
      <c r="B1338" s="15" t="s">
        <v>110</v>
      </c>
      <c r="D1338" s="15" t="s">
        <v>472</v>
      </c>
      <c r="E1338" s="15" t="s">
        <v>112</v>
      </c>
      <c r="F1338" s="15" t="s">
        <v>472</v>
      </c>
      <c r="G1338" s="15" t="s">
        <v>113</v>
      </c>
      <c r="H1338" s="15" t="s">
        <v>111</v>
      </c>
      <c r="J1338" s="16" t="s">
        <v>114</v>
      </c>
      <c r="U1338" s="15" t="s">
        <v>17977</v>
      </c>
      <c r="W1338" s="15">
        <v>320</v>
      </c>
      <c r="X1338" s="15">
        <v>1348</v>
      </c>
      <c r="Y1338" s="15" t="s">
        <v>160</v>
      </c>
      <c r="Z1338" s="15" t="s">
        <v>161</v>
      </c>
      <c r="AA1338" s="15" t="s">
        <v>162</v>
      </c>
      <c r="AB1338" s="15" t="s">
        <v>1417</v>
      </c>
      <c r="AC1338" s="15" t="s">
        <v>1417</v>
      </c>
      <c r="AD1338" s="15" t="s">
        <v>1418</v>
      </c>
      <c r="AE1338" s="15" t="s">
        <v>164</v>
      </c>
      <c r="AF1338" s="15" t="s">
        <v>1418</v>
      </c>
      <c r="AG1338" s="28" t="s">
        <v>1417</v>
      </c>
      <c r="AH1338" s="15" t="s">
        <v>1419</v>
      </c>
      <c r="AL1338" s="15" t="s">
        <v>1420</v>
      </c>
      <c r="AN1338" s="15">
        <v>743</v>
      </c>
      <c r="AO1338" s="15" t="s">
        <v>1421</v>
      </c>
      <c r="AQ1338" s="17" t="s">
        <v>1355</v>
      </c>
      <c r="AR1338" s="31" t="s">
        <v>1356</v>
      </c>
      <c r="AS1338" s="31" t="s">
        <v>1357</v>
      </c>
      <c r="AT1338" s="15" t="s">
        <v>1422</v>
      </c>
      <c r="AU1338" s="15" t="s">
        <v>1423</v>
      </c>
      <c r="AV1338" s="15" t="s">
        <v>1423</v>
      </c>
      <c r="AW1338" s="18" t="s">
        <v>1424</v>
      </c>
      <c r="AX1338" s="18" t="s">
        <v>1425</v>
      </c>
      <c r="AY1338" s="23">
        <f t="shared" si="27"/>
        <v>57</v>
      </c>
      <c r="AZ1338" s="18" t="s">
        <v>1362</v>
      </c>
      <c r="BA1338" s="18" t="s">
        <v>1363</v>
      </c>
      <c r="BB1338" s="18" t="s">
        <v>1375</v>
      </c>
      <c r="BC1338" s="18"/>
      <c r="BD1338" s="18"/>
      <c r="BE1338" s="18" t="s">
        <v>499</v>
      </c>
      <c r="BF1338" s="18"/>
      <c r="BG1338" s="18"/>
      <c r="BH1338" s="18"/>
      <c r="BI1338" s="18"/>
      <c r="BJ1338" s="18" t="s">
        <v>1365</v>
      </c>
      <c r="BK1338" s="18" t="s">
        <v>487</v>
      </c>
      <c r="BL1338" s="18"/>
      <c r="BM1338" s="18"/>
      <c r="BN1338" s="18" t="s">
        <v>179</v>
      </c>
      <c r="BO1338" s="18"/>
      <c r="BP1338" s="18" t="s">
        <v>138</v>
      </c>
      <c r="BQ1338" s="18"/>
      <c r="BR1338" s="18"/>
      <c r="BS1338" s="15" t="s">
        <v>1426</v>
      </c>
      <c r="BT1338" s="19"/>
      <c r="DH1338" s="15" t="s">
        <v>17982</v>
      </c>
      <c r="DI1338" s="15" t="s">
        <v>17982</v>
      </c>
    </row>
    <row r="1339" spans="1:113" s="15" customFormat="1" ht="12.75" x14ac:dyDescent="0.2">
      <c r="A1339" s="15" t="s">
        <v>109</v>
      </c>
      <c r="B1339" s="15" t="s">
        <v>110</v>
      </c>
      <c r="D1339" s="15" t="s">
        <v>472</v>
      </c>
      <c r="E1339" s="15" t="s">
        <v>112</v>
      </c>
      <c r="F1339" s="15" t="s">
        <v>472</v>
      </c>
      <c r="G1339" s="15" t="s">
        <v>113</v>
      </c>
      <c r="H1339" s="15" t="s">
        <v>111</v>
      </c>
      <c r="J1339" s="16" t="s">
        <v>114</v>
      </c>
      <c r="U1339" s="15" t="s">
        <v>17977</v>
      </c>
      <c r="W1339" s="15">
        <v>1654</v>
      </c>
      <c r="X1339" s="15">
        <v>1349</v>
      </c>
      <c r="Y1339" s="15" t="s">
        <v>160</v>
      </c>
      <c r="Z1339" s="15" t="s">
        <v>161</v>
      </c>
      <c r="AA1339" s="15" t="s">
        <v>162</v>
      </c>
      <c r="AB1339" s="15" t="s">
        <v>8503</v>
      </c>
      <c r="AC1339" s="15" t="s">
        <v>8503</v>
      </c>
      <c r="AD1339" s="15" t="s">
        <v>8503</v>
      </c>
      <c r="AE1339" s="15" t="s">
        <v>164</v>
      </c>
      <c r="AF1339" s="15" t="s">
        <v>8503</v>
      </c>
      <c r="AG1339" s="28" t="s">
        <v>8503</v>
      </c>
      <c r="AH1339" s="47" t="s">
        <v>8504</v>
      </c>
      <c r="AL1339" s="15" t="s">
        <v>8505</v>
      </c>
      <c r="AN1339" s="15">
        <v>743</v>
      </c>
      <c r="AO1339" s="15" t="s">
        <v>8506</v>
      </c>
      <c r="AQ1339" s="17" t="s">
        <v>1355</v>
      </c>
      <c r="AR1339" s="31" t="s">
        <v>1356</v>
      </c>
      <c r="AS1339" s="31" t="s">
        <v>1357</v>
      </c>
      <c r="AT1339" s="15" t="s">
        <v>8507</v>
      </c>
      <c r="AU1339" s="15" t="s">
        <v>8508</v>
      </c>
      <c r="AV1339" s="15" t="s">
        <v>8508</v>
      </c>
      <c r="AW1339" s="18" t="s">
        <v>8509</v>
      </c>
      <c r="AX1339" s="18" t="s">
        <v>8510</v>
      </c>
      <c r="AY1339" s="23">
        <f t="shared" si="27"/>
        <v>57</v>
      </c>
      <c r="AZ1339" s="18" t="s">
        <v>1362</v>
      </c>
      <c r="BA1339" s="18" t="s">
        <v>1363</v>
      </c>
      <c r="BB1339" s="18" t="s">
        <v>229</v>
      </c>
      <c r="BC1339" s="18"/>
      <c r="BD1339" s="18"/>
      <c r="BE1339" s="18" t="s">
        <v>1364</v>
      </c>
      <c r="BF1339" s="18"/>
      <c r="BG1339" s="18"/>
      <c r="BH1339" s="18"/>
      <c r="BI1339" s="18"/>
      <c r="BJ1339" s="18" t="s">
        <v>8511</v>
      </c>
      <c r="BK1339" s="18"/>
      <c r="BL1339" s="18"/>
      <c r="BM1339" s="18"/>
      <c r="BN1339" s="18" t="s">
        <v>179</v>
      </c>
      <c r="BO1339" s="18"/>
      <c r="BP1339" s="18" t="s">
        <v>138</v>
      </c>
      <c r="BQ1339" s="18"/>
      <c r="BR1339" s="18"/>
      <c r="BS1339" s="15" t="s">
        <v>8512</v>
      </c>
      <c r="BT1339" s="19"/>
      <c r="DH1339" s="15" t="s">
        <v>17982</v>
      </c>
      <c r="DI1339" s="15" t="s">
        <v>17982</v>
      </c>
    </row>
    <row r="1340" spans="1:113" s="15" customFormat="1" ht="12.75" x14ac:dyDescent="0.2">
      <c r="A1340" s="15" t="s">
        <v>109</v>
      </c>
      <c r="B1340" s="15" t="s">
        <v>110</v>
      </c>
      <c r="D1340" s="15" t="s">
        <v>472</v>
      </c>
      <c r="E1340" s="15" t="s">
        <v>112</v>
      </c>
      <c r="F1340" s="15" t="s">
        <v>472</v>
      </c>
      <c r="G1340" s="15" t="s">
        <v>113</v>
      </c>
      <c r="H1340" s="15" t="s">
        <v>111</v>
      </c>
      <c r="J1340" s="16" t="s">
        <v>114</v>
      </c>
      <c r="U1340" s="15" t="s">
        <v>17977</v>
      </c>
      <c r="W1340" s="15">
        <v>1655</v>
      </c>
      <c r="X1340" s="15">
        <v>1350</v>
      </c>
      <c r="Y1340" s="15" t="s">
        <v>160</v>
      </c>
      <c r="Z1340" s="15" t="s">
        <v>161</v>
      </c>
      <c r="AA1340" s="15" t="s">
        <v>162</v>
      </c>
      <c r="AB1340" s="15" t="s">
        <v>8513</v>
      </c>
      <c r="AC1340" s="15" t="s">
        <v>8513</v>
      </c>
      <c r="AD1340" s="15" t="s">
        <v>8514</v>
      </c>
      <c r="AE1340" s="15" t="s">
        <v>164</v>
      </c>
      <c r="AF1340" s="15" t="s">
        <v>8514</v>
      </c>
      <c r="AG1340" s="28" t="s">
        <v>8513</v>
      </c>
      <c r="AH1340" s="47" t="s">
        <v>8515</v>
      </c>
      <c r="AL1340" s="15" t="s">
        <v>8516</v>
      </c>
      <c r="AN1340" s="15">
        <v>743</v>
      </c>
      <c r="AO1340" s="15" t="s">
        <v>8517</v>
      </c>
      <c r="AQ1340" s="17" t="s">
        <v>1355</v>
      </c>
      <c r="AR1340" s="31" t="s">
        <v>1356</v>
      </c>
      <c r="AS1340" s="31" t="s">
        <v>1357</v>
      </c>
      <c r="AT1340" s="15" t="s">
        <v>8518</v>
      </c>
      <c r="AU1340" s="15" t="s">
        <v>8519</v>
      </c>
      <c r="AV1340" s="15" t="s">
        <v>8519</v>
      </c>
      <c r="AW1340" s="18" t="s">
        <v>8520</v>
      </c>
      <c r="AX1340" s="18" t="s">
        <v>8521</v>
      </c>
      <c r="AY1340" s="23">
        <f t="shared" si="27"/>
        <v>57</v>
      </c>
      <c r="AZ1340" s="18" t="s">
        <v>1362</v>
      </c>
      <c r="BA1340" s="18" t="s">
        <v>1363</v>
      </c>
      <c r="BB1340" s="18" t="s">
        <v>229</v>
      </c>
      <c r="BC1340" s="18"/>
      <c r="BD1340" s="18"/>
      <c r="BE1340" s="18" t="s">
        <v>499</v>
      </c>
      <c r="BF1340" s="18"/>
      <c r="BG1340" s="18"/>
      <c r="BH1340" s="18"/>
      <c r="BI1340" s="18"/>
      <c r="BJ1340" s="18" t="s">
        <v>8511</v>
      </c>
      <c r="BK1340" s="18"/>
      <c r="BL1340" s="18"/>
      <c r="BM1340" s="18"/>
      <c r="BN1340" s="18" t="s">
        <v>179</v>
      </c>
      <c r="BO1340" s="18"/>
      <c r="BP1340" s="18" t="s">
        <v>138</v>
      </c>
      <c r="BQ1340" s="18"/>
      <c r="BR1340" s="18"/>
      <c r="BS1340" s="15" t="s">
        <v>8522</v>
      </c>
      <c r="BT1340" s="19"/>
      <c r="DH1340" s="15" t="s">
        <v>17982</v>
      </c>
      <c r="DI1340" s="15" t="s">
        <v>17982</v>
      </c>
    </row>
    <row r="1341" spans="1:113" s="15" customFormat="1" ht="12.75" x14ac:dyDescent="0.2">
      <c r="A1341" s="15" t="s">
        <v>109</v>
      </c>
      <c r="B1341" s="15" t="s">
        <v>110</v>
      </c>
      <c r="D1341" s="15" t="s">
        <v>472</v>
      </c>
      <c r="E1341" s="15" t="s">
        <v>112</v>
      </c>
      <c r="F1341" s="15" t="s">
        <v>472</v>
      </c>
      <c r="G1341" s="15" t="s">
        <v>113</v>
      </c>
      <c r="H1341" s="15" t="s">
        <v>111</v>
      </c>
      <c r="J1341" s="16" t="s">
        <v>114</v>
      </c>
      <c r="U1341" s="15" t="s">
        <v>17977</v>
      </c>
      <c r="W1341" s="15">
        <v>2986</v>
      </c>
      <c r="X1341" s="15">
        <v>1351</v>
      </c>
      <c r="Y1341" s="15" t="s">
        <v>160</v>
      </c>
      <c r="Z1341" s="15" t="s">
        <v>161</v>
      </c>
      <c r="AA1341" s="15" t="s">
        <v>162</v>
      </c>
      <c r="AB1341" s="15" t="s">
        <v>14659</v>
      </c>
      <c r="AC1341" s="15" t="s">
        <v>14659</v>
      </c>
      <c r="AD1341" s="15" t="s">
        <v>14659</v>
      </c>
      <c r="AE1341" s="15" t="s">
        <v>164</v>
      </c>
      <c r="AF1341" s="15" t="s">
        <v>14659</v>
      </c>
      <c r="AG1341" s="28" t="s">
        <v>14659</v>
      </c>
      <c r="AH1341" s="15" t="s">
        <v>14660</v>
      </c>
      <c r="AL1341" s="15" t="s">
        <v>14661</v>
      </c>
      <c r="AN1341" s="15">
        <v>743</v>
      </c>
      <c r="AO1341" s="15" t="s">
        <v>14662</v>
      </c>
      <c r="AQ1341" s="17" t="s">
        <v>1355</v>
      </c>
      <c r="AR1341" s="31" t="s">
        <v>1356</v>
      </c>
      <c r="AS1341" s="31" t="s">
        <v>1357</v>
      </c>
      <c r="AT1341" s="15" t="s">
        <v>14663</v>
      </c>
      <c r="AU1341" s="15" t="s">
        <v>14664</v>
      </c>
      <c r="AV1341" s="15" t="s">
        <v>14664</v>
      </c>
      <c r="AW1341" s="18" t="s">
        <v>14665</v>
      </c>
      <c r="AX1341" s="18" t="s">
        <v>14665</v>
      </c>
      <c r="AY1341" s="23">
        <f t="shared" si="27"/>
        <v>56</v>
      </c>
      <c r="AZ1341" s="18" t="s">
        <v>1362</v>
      </c>
      <c r="BA1341" s="18" t="s">
        <v>1363</v>
      </c>
      <c r="BB1341" s="18" t="s">
        <v>3848</v>
      </c>
      <c r="BC1341" s="18"/>
      <c r="BD1341" s="18"/>
      <c r="BE1341" s="18" t="s">
        <v>1364</v>
      </c>
      <c r="BF1341" s="18"/>
      <c r="BG1341" s="18"/>
      <c r="BH1341" s="18"/>
      <c r="BI1341" s="18"/>
      <c r="BJ1341" s="18" t="s">
        <v>14666</v>
      </c>
      <c r="BK1341" s="18"/>
      <c r="BL1341" s="18"/>
      <c r="BM1341" s="18"/>
      <c r="BN1341" s="18" t="s">
        <v>179</v>
      </c>
      <c r="BO1341" s="18"/>
      <c r="BP1341" s="18" t="s">
        <v>138</v>
      </c>
      <c r="BQ1341" s="18"/>
      <c r="BR1341" s="18"/>
      <c r="BS1341" s="15" t="s">
        <v>14667</v>
      </c>
      <c r="BT1341" s="19"/>
      <c r="DH1341" s="15" t="s">
        <v>17982</v>
      </c>
      <c r="DI1341" s="15" t="s">
        <v>17982</v>
      </c>
    </row>
    <row r="1342" spans="1:113" s="15" customFormat="1" ht="12.75" x14ac:dyDescent="0.2">
      <c r="A1342" s="15" t="s">
        <v>109</v>
      </c>
      <c r="B1342" s="15" t="s">
        <v>110</v>
      </c>
      <c r="D1342" s="15" t="s">
        <v>472</v>
      </c>
      <c r="E1342" s="15" t="s">
        <v>112</v>
      </c>
      <c r="F1342" s="15" t="s">
        <v>472</v>
      </c>
      <c r="G1342" s="15" t="s">
        <v>113</v>
      </c>
      <c r="H1342" s="15" t="s">
        <v>111</v>
      </c>
      <c r="J1342" s="16" t="s">
        <v>114</v>
      </c>
      <c r="U1342" s="15" t="s">
        <v>17977</v>
      </c>
      <c r="W1342" s="15">
        <v>317</v>
      </c>
      <c r="X1342" s="15">
        <v>1352</v>
      </c>
      <c r="Y1342" s="15" t="s">
        <v>160</v>
      </c>
      <c r="Z1342" s="15" t="s">
        <v>161</v>
      </c>
      <c r="AA1342" s="15" t="s">
        <v>162</v>
      </c>
      <c r="AB1342" s="15" t="s">
        <v>1388</v>
      </c>
      <c r="AC1342" s="15" t="s">
        <v>1388</v>
      </c>
      <c r="AD1342" s="15" t="s">
        <v>1388</v>
      </c>
      <c r="AE1342" s="15" t="s">
        <v>164</v>
      </c>
      <c r="AF1342" s="15" t="s">
        <v>1388</v>
      </c>
      <c r="AG1342" s="28" t="s">
        <v>1388</v>
      </c>
      <c r="AH1342" s="15" t="s">
        <v>1389</v>
      </c>
      <c r="AL1342" s="15" t="s">
        <v>1390</v>
      </c>
      <c r="AN1342" s="15">
        <v>743</v>
      </c>
      <c r="AO1342" s="15" t="s">
        <v>1391</v>
      </c>
      <c r="AQ1342" s="17" t="s">
        <v>1355</v>
      </c>
      <c r="AR1342" s="31" t="s">
        <v>1356</v>
      </c>
      <c r="AS1342" s="31" t="s">
        <v>1357</v>
      </c>
      <c r="AT1342" s="15" t="s">
        <v>1392</v>
      </c>
      <c r="AU1342" s="15" t="s">
        <v>1393</v>
      </c>
      <c r="AV1342" s="15" t="s">
        <v>1393</v>
      </c>
      <c r="AW1342" s="18" t="s">
        <v>1394</v>
      </c>
      <c r="AX1342" s="18" t="s">
        <v>1395</v>
      </c>
      <c r="AY1342" s="23">
        <f t="shared" si="27"/>
        <v>54</v>
      </c>
      <c r="AZ1342" s="18" t="s">
        <v>1362</v>
      </c>
      <c r="BA1342" s="18" t="s">
        <v>1363</v>
      </c>
      <c r="BB1342" s="18" t="s">
        <v>1375</v>
      </c>
      <c r="BC1342" s="18"/>
      <c r="BD1342" s="18"/>
      <c r="BE1342" s="18" t="s">
        <v>1364</v>
      </c>
      <c r="BF1342" s="18"/>
      <c r="BG1342" s="18"/>
      <c r="BH1342" s="18"/>
      <c r="BI1342" s="18"/>
      <c r="BJ1342" s="18" t="s">
        <v>1396</v>
      </c>
      <c r="BK1342" s="18" t="s">
        <v>487</v>
      </c>
      <c r="BL1342" s="18"/>
      <c r="BM1342" s="18"/>
      <c r="BN1342" s="18" t="s">
        <v>179</v>
      </c>
      <c r="BO1342" s="18"/>
      <c r="BP1342" s="18" t="s">
        <v>138</v>
      </c>
      <c r="BQ1342" s="18"/>
      <c r="BR1342" s="18"/>
      <c r="BS1342" s="15" t="s">
        <v>1397</v>
      </c>
      <c r="BT1342" s="19"/>
      <c r="DH1342" s="15" t="s">
        <v>17982</v>
      </c>
      <c r="DI1342" s="15" t="s">
        <v>17982</v>
      </c>
    </row>
    <row r="1343" spans="1:113" s="15" customFormat="1" ht="12.75" x14ac:dyDescent="0.2">
      <c r="A1343" s="15" t="s">
        <v>109</v>
      </c>
      <c r="B1343" s="15" t="s">
        <v>110</v>
      </c>
      <c r="D1343" s="15" t="s">
        <v>472</v>
      </c>
      <c r="E1343" s="15" t="s">
        <v>112</v>
      </c>
      <c r="F1343" s="15" t="s">
        <v>472</v>
      </c>
      <c r="G1343" s="15" t="s">
        <v>113</v>
      </c>
      <c r="H1343" s="15" t="s">
        <v>111</v>
      </c>
      <c r="J1343" s="16" t="s">
        <v>114</v>
      </c>
      <c r="U1343" s="15" t="s">
        <v>17977</v>
      </c>
      <c r="W1343" s="15">
        <v>318</v>
      </c>
      <c r="X1343" s="15">
        <v>1353</v>
      </c>
      <c r="Y1343" s="15" t="s">
        <v>160</v>
      </c>
      <c r="Z1343" s="15" t="s">
        <v>161</v>
      </c>
      <c r="AA1343" s="15" t="s">
        <v>162</v>
      </c>
      <c r="AB1343" s="15" t="s">
        <v>1398</v>
      </c>
      <c r="AC1343" s="15" t="s">
        <v>1398</v>
      </c>
      <c r="AD1343" s="15" t="s">
        <v>1399</v>
      </c>
      <c r="AE1343" s="15" t="s">
        <v>164</v>
      </c>
      <c r="AF1343" s="15" t="s">
        <v>1399</v>
      </c>
      <c r="AG1343" s="28" t="s">
        <v>1398</v>
      </c>
      <c r="AH1343" s="15" t="s">
        <v>1400</v>
      </c>
      <c r="AL1343" s="15" t="s">
        <v>1401</v>
      </c>
      <c r="AN1343" s="15">
        <v>743</v>
      </c>
      <c r="AO1343" s="15" t="s">
        <v>1402</v>
      </c>
      <c r="AQ1343" s="17" t="s">
        <v>1355</v>
      </c>
      <c r="AR1343" s="31" t="s">
        <v>1356</v>
      </c>
      <c r="AS1343" s="31" t="s">
        <v>1357</v>
      </c>
      <c r="AT1343" s="15" t="s">
        <v>1403</v>
      </c>
      <c r="AU1343" s="15" t="s">
        <v>1404</v>
      </c>
      <c r="AV1343" s="15" t="s">
        <v>1404</v>
      </c>
      <c r="AW1343" s="18" t="s">
        <v>1405</v>
      </c>
      <c r="AX1343" s="18" t="s">
        <v>1406</v>
      </c>
      <c r="AY1343" s="23">
        <f t="shared" ref="AY1343:AY1368" si="28">LEN(SUBSTITUTE(AX1343, ", ",","))</f>
        <v>54</v>
      </c>
      <c r="AZ1343" s="18" t="s">
        <v>1362</v>
      </c>
      <c r="BA1343" s="18" t="s">
        <v>1363</v>
      </c>
      <c r="BB1343" s="18" t="s">
        <v>1375</v>
      </c>
      <c r="BC1343" s="18"/>
      <c r="BD1343" s="18"/>
      <c r="BE1343" s="18" t="s">
        <v>499</v>
      </c>
      <c r="BF1343" s="18"/>
      <c r="BG1343" s="18"/>
      <c r="BH1343" s="18"/>
      <c r="BI1343" s="18"/>
      <c r="BJ1343" s="18" t="s">
        <v>1396</v>
      </c>
      <c r="BK1343" s="18" t="s">
        <v>487</v>
      </c>
      <c r="BL1343" s="18"/>
      <c r="BM1343" s="18"/>
      <c r="BN1343" s="18" t="s">
        <v>179</v>
      </c>
      <c r="BO1343" s="18"/>
      <c r="BP1343" s="18" t="s">
        <v>138</v>
      </c>
      <c r="BQ1343" s="18"/>
      <c r="BR1343" s="18"/>
      <c r="BS1343" s="15" t="s">
        <v>1407</v>
      </c>
      <c r="BT1343" s="19"/>
      <c r="DH1343" s="15" t="s">
        <v>17982</v>
      </c>
      <c r="DI1343" s="15" t="s">
        <v>17982</v>
      </c>
    </row>
    <row r="1344" spans="1:113" s="15" customFormat="1" ht="12.75" x14ac:dyDescent="0.2">
      <c r="A1344" s="15" t="s">
        <v>109</v>
      </c>
      <c r="B1344" s="15" t="s">
        <v>110</v>
      </c>
      <c r="D1344" s="15" t="s">
        <v>472</v>
      </c>
      <c r="E1344" s="15" t="s">
        <v>112</v>
      </c>
      <c r="F1344" s="15" t="s">
        <v>472</v>
      </c>
      <c r="G1344" s="15" t="s">
        <v>113</v>
      </c>
      <c r="H1344" s="15" t="s">
        <v>111</v>
      </c>
      <c r="J1344" s="16" t="s">
        <v>114</v>
      </c>
      <c r="U1344" s="15" t="s">
        <v>17977</v>
      </c>
      <c r="W1344" s="15">
        <v>259</v>
      </c>
      <c r="X1344" s="15">
        <v>1354</v>
      </c>
      <c r="Y1344" s="15" t="s">
        <v>160</v>
      </c>
      <c r="Z1344" s="15" t="s">
        <v>161</v>
      </c>
      <c r="AA1344" s="15" t="s">
        <v>162</v>
      </c>
      <c r="AB1344" s="15" t="s">
        <v>1242</v>
      </c>
      <c r="AC1344" s="15" t="s">
        <v>1242</v>
      </c>
      <c r="AD1344" s="15" t="s">
        <v>1243</v>
      </c>
      <c r="AE1344" s="15" t="s">
        <v>164</v>
      </c>
      <c r="AF1344" s="15" t="s">
        <v>1243</v>
      </c>
      <c r="AG1344" s="22" t="s">
        <v>1242</v>
      </c>
      <c r="AH1344" s="15" t="s">
        <v>1244</v>
      </c>
      <c r="AL1344" s="15" t="s">
        <v>1245</v>
      </c>
      <c r="AN1344" s="15">
        <v>743</v>
      </c>
      <c r="AO1344" s="15" t="s">
        <v>1246</v>
      </c>
      <c r="AQ1344" s="17" t="s">
        <v>342</v>
      </c>
      <c r="AT1344" s="15" t="s">
        <v>1247</v>
      </c>
      <c r="AU1344" s="15" t="s">
        <v>1248</v>
      </c>
      <c r="AV1344" s="15" t="s">
        <v>1248</v>
      </c>
      <c r="AW1344" s="18" t="s">
        <v>1249</v>
      </c>
      <c r="AX1344" s="18" t="s">
        <v>1250</v>
      </c>
      <c r="AY1344" s="23">
        <f t="shared" si="28"/>
        <v>58</v>
      </c>
      <c r="AZ1344" s="18" t="s">
        <v>482</v>
      </c>
      <c r="BA1344" s="18" t="s">
        <v>483</v>
      </c>
      <c r="BB1344" s="18" t="s">
        <v>1225</v>
      </c>
      <c r="BC1344" s="18"/>
      <c r="BD1344" s="18"/>
      <c r="BE1344" s="18" t="s">
        <v>1251</v>
      </c>
      <c r="BF1344" s="18"/>
      <c r="BG1344" s="18"/>
      <c r="BH1344" s="18"/>
      <c r="BI1344" s="18"/>
      <c r="BJ1344" s="18" t="s">
        <v>1252</v>
      </c>
      <c r="BK1344" s="18"/>
      <c r="BL1344" s="18"/>
      <c r="BM1344" s="18"/>
      <c r="BN1344" s="18" t="s">
        <v>179</v>
      </c>
      <c r="BO1344" s="18"/>
      <c r="BP1344" s="18" t="s">
        <v>138</v>
      </c>
      <c r="BQ1344" s="18"/>
      <c r="BR1344" s="18"/>
      <c r="BS1344" s="15" t="s">
        <v>1253</v>
      </c>
      <c r="BT1344" s="19"/>
      <c r="DH1344" s="15" t="s">
        <v>17982</v>
      </c>
      <c r="DI1344" s="15" t="s">
        <v>17982</v>
      </c>
    </row>
    <row r="1345" spans="1:113" s="15" customFormat="1" ht="12.75" x14ac:dyDescent="0.2">
      <c r="A1345" s="15" t="s">
        <v>109</v>
      </c>
      <c r="B1345" s="15" t="s">
        <v>110</v>
      </c>
      <c r="D1345" s="15" t="s">
        <v>472</v>
      </c>
      <c r="E1345" s="15" t="s">
        <v>112</v>
      </c>
      <c r="F1345" s="15" t="s">
        <v>472</v>
      </c>
      <c r="G1345" s="15" t="s">
        <v>113</v>
      </c>
      <c r="H1345" s="15" t="s">
        <v>111</v>
      </c>
      <c r="J1345" s="16" t="s">
        <v>114</v>
      </c>
      <c r="U1345" s="15" t="s">
        <v>17977</v>
      </c>
      <c r="W1345" s="15">
        <v>842</v>
      </c>
      <c r="X1345" s="15">
        <v>1355</v>
      </c>
      <c r="Y1345" s="15" t="s">
        <v>160</v>
      </c>
      <c r="Z1345" s="15" t="s">
        <v>161</v>
      </c>
      <c r="AA1345" s="15" t="s">
        <v>162</v>
      </c>
      <c r="AB1345" s="15" t="s">
        <v>3617</v>
      </c>
      <c r="AC1345" s="15" t="s">
        <v>3617</v>
      </c>
      <c r="AD1345" s="15" t="s">
        <v>3618</v>
      </c>
      <c r="AE1345" s="15" t="s">
        <v>164</v>
      </c>
      <c r="AF1345" s="15" t="s">
        <v>3618</v>
      </c>
      <c r="AG1345" s="22" t="s">
        <v>3617</v>
      </c>
      <c r="AH1345" s="15" t="s">
        <v>3619</v>
      </c>
      <c r="AL1345" s="15" t="s">
        <v>3620</v>
      </c>
      <c r="AN1345" s="15">
        <v>743</v>
      </c>
      <c r="AO1345" s="15" t="s">
        <v>3621</v>
      </c>
      <c r="AQ1345" s="17" t="s">
        <v>3622</v>
      </c>
      <c r="AT1345" s="15" t="s">
        <v>3623</v>
      </c>
      <c r="AU1345" s="15" t="s">
        <v>3624</v>
      </c>
      <c r="AV1345" s="15" t="s">
        <v>3624</v>
      </c>
      <c r="AW1345" s="18" t="s">
        <v>3625</v>
      </c>
      <c r="AX1345" s="18" t="s">
        <v>3626</v>
      </c>
      <c r="AY1345" s="23">
        <f t="shared" si="28"/>
        <v>59</v>
      </c>
      <c r="AZ1345" s="18" t="s">
        <v>393</v>
      </c>
      <c r="BA1345" s="18" t="s">
        <v>483</v>
      </c>
      <c r="BB1345" s="26" t="s">
        <v>3627</v>
      </c>
      <c r="BC1345" s="18"/>
      <c r="BD1345" s="18"/>
      <c r="BE1345" s="18" t="s">
        <v>1251</v>
      </c>
      <c r="BF1345" s="18"/>
      <c r="BG1345" s="18"/>
      <c r="BH1345" s="18"/>
      <c r="BI1345" s="18"/>
      <c r="BJ1345" s="18" t="s">
        <v>3628</v>
      </c>
      <c r="BK1345" s="18"/>
      <c r="BL1345" s="18"/>
      <c r="BM1345" s="18"/>
      <c r="BN1345" s="18" t="s">
        <v>179</v>
      </c>
      <c r="BO1345" s="18"/>
      <c r="BP1345" s="18" t="s">
        <v>138</v>
      </c>
      <c r="BQ1345" s="18"/>
      <c r="BR1345" s="18"/>
      <c r="BS1345" s="15" t="s">
        <v>3629</v>
      </c>
      <c r="BT1345" s="19"/>
      <c r="DH1345" s="15" t="s">
        <v>17982</v>
      </c>
      <c r="DI1345" s="15" t="s">
        <v>17982</v>
      </c>
    </row>
    <row r="1346" spans="1:113" s="15" customFormat="1" ht="12.75" x14ac:dyDescent="0.2">
      <c r="A1346" s="15" t="s">
        <v>109</v>
      </c>
      <c r="B1346" s="15" t="s">
        <v>110</v>
      </c>
      <c r="D1346" s="15" t="s">
        <v>472</v>
      </c>
      <c r="E1346" s="15" t="s">
        <v>112</v>
      </c>
      <c r="F1346" s="15" t="s">
        <v>472</v>
      </c>
      <c r="G1346" s="15" t="s">
        <v>502</v>
      </c>
      <c r="H1346" s="15" t="s">
        <v>111</v>
      </c>
      <c r="J1346" s="16" t="s">
        <v>114</v>
      </c>
      <c r="U1346" s="15" t="s">
        <v>17977</v>
      </c>
      <c r="W1346" s="15">
        <v>2127</v>
      </c>
      <c r="X1346" s="15">
        <v>1356</v>
      </c>
      <c r="Y1346" s="15" t="s">
        <v>160</v>
      </c>
      <c r="Z1346" s="15" t="s">
        <v>161</v>
      </c>
      <c r="AA1346" s="15" t="s">
        <v>162</v>
      </c>
      <c r="AB1346" s="15" t="s">
        <v>10861</v>
      </c>
      <c r="AC1346" s="15" t="s">
        <v>10861</v>
      </c>
      <c r="AD1346" s="15" t="s">
        <v>10862</v>
      </c>
      <c r="AE1346" s="15" t="s">
        <v>164</v>
      </c>
      <c r="AF1346" s="15" t="s">
        <v>10862</v>
      </c>
      <c r="AG1346" s="22" t="s">
        <v>10861</v>
      </c>
      <c r="AH1346" s="15" t="s">
        <v>10863</v>
      </c>
      <c r="AL1346" s="15" t="s">
        <v>10864</v>
      </c>
      <c r="AN1346" s="15">
        <v>743</v>
      </c>
      <c r="AO1346" s="15" t="s">
        <v>10865</v>
      </c>
      <c r="AQ1346" s="17" t="s">
        <v>342</v>
      </c>
      <c r="AT1346" s="15" t="s">
        <v>10866</v>
      </c>
      <c r="AU1346" s="15" t="s">
        <v>10867</v>
      </c>
      <c r="AV1346" s="15" t="s">
        <v>10867</v>
      </c>
      <c r="AW1346" s="18" t="s">
        <v>10868</v>
      </c>
      <c r="AX1346" s="18" t="s">
        <v>10869</v>
      </c>
      <c r="AY1346" s="23">
        <f t="shared" si="28"/>
        <v>56</v>
      </c>
      <c r="AZ1346" s="18" t="s">
        <v>1725</v>
      </c>
      <c r="BA1346" s="18" t="s">
        <v>483</v>
      </c>
      <c r="BB1346" s="18" t="s">
        <v>10858</v>
      </c>
      <c r="BC1346" s="18"/>
      <c r="BD1346" s="18"/>
      <c r="BE1346" s="18" t="s">
        <v>1251</v>
      </c>
      <c r="BF1346" s="18"/>
      <c r="BG1346" s="18"/>
      <c r="BH1346" s="18"/>
      <c r="BI1346" s="18"/>
      <c r="BJ1346" s="18" t="s">
        <v>981</v>
      </c>
      <c r="BK1346" s="18"/>
      <c r="BL1346" s="18"/>
      <c r="BM1346" s="18"/>
      <c r="BN1346" s="18" t="s">
        <v>179</v>
      </c>
      <c r="BO1346" s="18"/>
      <c r="BP1346" s="18" t="s">
        <v>138</v>
      </c>
      <c r="BQ1346" s="18"/>
      <c r="BR1346" s="18" t="s">
        <v>482</v>
      </c>
      <c r="BS1346" s="15" t="s">
        <v>10870</v>
      </c>
      <c r="BT1346" s="19"/>
      <c r="DH1346" s="15" t="s">
        <v>17982</v>
      </c>
      <c r="DI1346" s="15" t="s">
        <v>17982</v>
      </c>
    </row>
    <row r="1347" spans="1:113" s="15" customFormat="1" ht="12.75" x14ac:dyDescent="0.2">
      <c r="A1347" s="15" t="s">
        <v>109</v>
      </c>
      <c r="B1347" s="15" t="s">
        <v>110</v>
      </c>
      <c r="D1347" s="15" t="s">
        <v>472</v>
      </c>
      <c r="E1347" s="15" t="s">
        <v>112</v>
      </c>
      <c r="F1347" s="15" t="s">
        <v>472</v>
      </c>
      <c r="G1347" s="15" t="s">
        <v>113</v>
      </c>
      <c r="H1347" s="15" t="s">
        <v>111</v>
      </c>
      <c r="J1347" s="16" t="s">
        <v>114</v>
      </c>
      <c r="U1347" s="15" t="s">
        <v>17977</v>
      </c>
      <c r="W1347" s="15">
        <v>843</v>
      </c>
      <c r="X1347" s="15">
        <v>1357</v>
      </c>
      <c r="Y1347" s="15" t="s">
        <v>160</v>
      </c>
      <c r="Z1347" s="15" t="s">
        <v>161</v>
      </c>
      <c r="AA1347" s="15" t="s">
        <v>162</v>
      </c>
      <c r="AB1347" s="15" t="s">
        <v>3630</v>
      </c>
      <c r="AC1347" s="15" t="s">
        <v>3630</v>
      </c>
      <c r="AD1347" s="15" t="s">
        <v>3631</v>
      </c>
      <c r="AE1347" s="15" t="s">
        <v>164</v>
      </c>
      <c r="AF1347" s="15" t="s">
        <v>3631</v>
      </c>
      <c r="AG1347" s="22" t="s">
        <v>3630</v>
      </c>
      <c r="AH1347" s="15" t="s">
        <v>3632</v>
      </c>
      <c r="AL1347" s="15" t="s">
        <v>3633</v>
      </c>
      <c r="AN1347" s="15">
        <v>743</v>
      </c>
      <c r="AO1347" s="15" t="s">
        <v>3634</v>
      </c>
      <c r="AQ1347" s="17" t="s">
        <v>3622</v>
      </c>
      <c r="AT1347" s="15" t="s">
        <v>3635</v>
      </c>
      <c r="AU1347" s="15" t="s">
        <v>3636</v>
      </c>
      <c r="AV1347" s="15" t="s">
        <v>3636</v>
      </c>
      <c r="AW1347" s="18" t="s">
        <v>3637</v>
      </c>
      <c r="AX1347" s="18" t="s">
        <v>3638</v>
      </c>
      <c r="AY1347" s="23">
        <f t="shared" si="28"/>
        <v>59</v>
      </c>
      <c r="AZ1347" s="18" t="s">
        <v>393</v>
      </c>
      <c r="BA1347" s="18" t="s">
        <v>483</v>
      </c>
      <c r="BB1347" s="26" t="s">
        <v>3627</v>
      </c>
      <c r="BC1347" s="18"/>
      <c r="BD1347" s="18"/>
      <c r="BE1347" s="18" t="s">
        <v>3639</v>
      </c>
      <c r="BF1347" s="18"/>
      <c r="BG1347" s="18"/>
      <c r="BH1347" s="18"/>
      <c r="BI1347" s="18"/>
      <c r="BJ1347" s="18" t="s">
        <v>3628</v>
      </c>
      <c r="BK1347" s="18"/>
      <c r="BL1347" s="18"/>
      <c r="BM1347" s="18"/>
      <c r="BN1347" s="18" t="s">
        <v>179</v>
      </c>
      <c r="BO1347" s="18"/>
      <c r="BP1347" s="18" t="s">
        <v>138</v>
      </c>
      <c r="BQ1347" s="18"/>
      <c r="BR1347" s="18"/>
      <c r="BS1347" s="15" t="s">
        <v>3640</v>
      </c>
      <c r="BT1347" s="19"/>
      <c r="DH1347" s="15" t="s">
        <v>17982</v>
      </c>
      <c r="DI1347" s="15" t="s">
        <v>17982</v>
      </c>
    </row>
    <row r="1348" spans="1:113" s="15" customFormat="1" ht="12.75" x14ac:dyDescent="0.2">
      <c r="A1348" s="15" t="s">
        <v>109</v>
      </c>
      <c r="B1348" s="15" t="s">
        <v>110</v>
      </c>
      <c r="D1348" s="15" t="s">
        <v>472</v>
      </c>
      <c r="E1348" s="15" t="s">
        <v>112</v>
      </c>
      <c r="F1348" s="15" t="s">
        <v>472</v>
      </c>
      <c r="G1348" s="15" t="s">
        <v>113</v>
      </c>
      <c r="H1348" s="15" t="s">
        <v>111</v>
      </c>
      <c r="J1348" s="16" t="s">
        <v>114</v>
      </c>
      <c r="U1348" s="15" t="s">
        <v>17977</v>
      </c>
      <c r="W1348" s="15">
        <v>2128</v>
      </c>
      <c r="X1348" s="15">
        <v>1358</v>
      </c>
      <c r="Y1348" s="15" t="s">
        <v>160</v>
      </c>
      <c r="Z1348" s="15" t="s">
        <v>161</v>
      </c>
      <c r="AA1348" s="15" t="s">
        <v>162</v>
      </c>
      <c r="AB1348" s="15" t="s">
        <v>10871</v>
      </c>
      <c r="AC1348" s="15" t="s">
        <v>10871</v>
      </c>
      <c r="AD1348" s="15" t="s">
        <v>10872</v>
      </c>
      <c r="AE1348" s="15" t="s">
        <v>164</v>
      </c>
      <c r="AF1348" s="15" t="s">
        <v>10872</v>
      </c>
      <c r="AG1348" s="22" t="s">
        <v>10871</v>
      </c>
      <c r="AH1348" s="15" t="s">
        <v>10873</v>
      </c>
      <c r="AL1348" s="15" t="s">
        <v>10874</v>
      </c>
      <c r="AN1348" s="15">
        <v>743</v>
      </c>
      <c r="AO1348" s="15" t="s">
        <v>10875</v>
      </c>
      <c r="AQ1348" s="17" t="s">
        <v>342</v>
      </c>
      <c r="AT1348" s="15" t="s">
        <v>10876</v>
      </c>
      <c r="AU1348" s="15" t="s">
        <v>10877</v>
      </c>
      <c r="AV1348" s="15" t="s">
        <v>10877</v>
      </c>
      <c r="AW1348" s="18" t="s">
        <v>10878</v>
      </c>
      <c r="AX1348" s="18" t="s">
        <v>10879</v>
      </c>
      <c r="AY1348" s="23">
        <f t="shared" si="28"/>
        <v>59</v>
      </c>
      <c r="AZ1348" s="18" t="s">
        <v>482</v>
      </c>
      <c r="BA1348" s="18" t="s">
        <v>483</v>
      </c>
      <c r="BB1348" s="18" t="s">
        <v>10858</v>
      </c>
      <c r="BC1348" s="18"/>
      <c r="BD1348" s="18"/>
      <c r="BE1348" s="18" t="s">
        <v>3639</v>
      </c>
      <c r="BF1348" s="18"/>
      <c r="BG1348" s="18"/>
      <c r="BH1348" s="18"/>
      <c r="BI1348" s="18"/>
      <c r="BJ1348" s="18" t="s">
        <v>981</v>
      </c>
      <c r="BK1348" s="18"/>
      <c r="BL1348" s="18"/>
      <c r="BM1348" s="18"/>
      <c r="BN1348" s="18" t="s">
        <v>179</v>
      </c>
      <c r="BO1348" s="18"/>
      <c r="BP1348" s="18" t="s">
        <v>138</v>
      </c>
      <c r="BQ1348" s="18"/>
      <c r="BR1348" s="18"/>
      <c r="BS1348" s="15" t="s">
        <v>10880</v>
      </c>
      <c r="BT1348" s="19"/>
      <c r="DH1348" s="15" t="s">
        <v>17982</v>
      </c>
      <c r="DI1348" s="15" t="s">
        <v>17982</v>
      </c>
    </row>
    <row r="1349" spans="1:113" s="15" customFormat="1" ht="12.75" x14ac:dyDescent="0.2">
      <c r="A1349" s="15" t="s">
        <v>109</v>
      </c>
      <c r="B1349" s="15" t="s">
        <v>110</v>
      </c>
      <c r="D1349" s="15" t="s">
        <v>472</v>
      </c>
      <c r="E1349" s="15" t="s">
        <v>112</v>
      </c>
      <c r="F1349" s="15" t="s">
        <v>472</v>
      </c>
      <c r="G1349" s="15" t="s">
        <v>113</v>
      </c>
      <c r="H1349" s="15" t="s">
        <v>111</v>
      </c>
      <c r="J1349" s="16" t="s">
        <v>114</v>
      </c>
      <c r="U1349" s="15" t="s">
        <v>17977</v>
      </c>
      <c r="W1349" s="15">
        <v>2898</v>
      </c>
      <c r="X1349" s="15">
        <v>1359</v>
      </c>
      <c r="Y1349" s="15" t="s">
        <v>160</v>
      </c>
      <c r="Z1349" s="15" t="s">
        <v>161</v>
      </c>
      <c r="AA1349" s="15" t="s">
        <v>162</v>
      </c>
      <c r="AB1349" s="15" t="s">
        <v>14160</v>
      </c>
      <c r="AC1349" s="15" t="s">
        <v>14160</v>
      </c>
      <c r="AD1349" s="15" t="s">
        <v>14161</v>
      </c>
      <c r="AE1349" s="15" t="s">
        <v>164</v>
      </c>
      <c r="AF1349" s="15" t="s">
        <v>14161</v>
      </c>
      <c r="AG1349" s="22" t="s">
        <v>14160</v>
      </c>
      <c r="AH1349" s="15" t="s">
        <v>14162</v>
      </c>
      <c r="AL1349" s="15" t="s">
        <v>14163</v>
      </c>
      <c r="AN1349" s="15">
        <v>743</v>
      </c>
      <c r="AO1349" s="15" t="s">
        <v>14164</v>
      </c>
      <c r="AQ1349" s="17" t="s">
        <v>14165</v>
      </c>
      <c r="AT1349" s="15" t="s">
        <v>14166</v>
      </c>
      <c r="AU1349" s="15" t="s">
        <v>14167</v>
      </c>
      <c r="AV1349" s="15" t="s">
        <v>14167</v>
      </c>
      <c r="AW1349" s="18" t="s">
        <v>14168</v>
      </c>
      <c r="AX1349" s="18" t="s">
        <v>14168</v>
      </c>
      <c r="AY1349" s="23">
        <f t="shared" si="28"/>
        <v>60</v>
      </c>
      <c r="AZ1349" s="18" t="s">
        <v>14158</v>
      </c>
      <c r="BA1349" s="18" t="s">
        <v>9078</v>
      </c>
      <c r="BB1349" s="18"/>
      <c r="BC1349" s="18"/>
      <c r="BD1349" s="18"/>
      <c r="BE1349" s="18" t="s">
        <v>485</v>
      </c>
      <c r="BF1349" s="18"/>
      <c r="BG1349" s="18"/>
      <c r="BH1349" s="18"/>
      <c r="BI1349" s="18"/>
      <c r="BJ1349" s="18" t="s">
        <v>14169</v>
      </c>
      <c r="BK1349" s="18"/>
      <c r="BL1349" s="18"/>
      <c r="BM1349" s="18"/>
      <c r="BN1349" s="18" t="s">
        <v>179</v>
      </c>
      <c r="BO1349" s="18" t="s">
        <v>488</v>
      </c>
      <c r="BP1349" s="18" t="s">
        <v>138</v>
      </c>
      <c r="BQ1349" s="18"/>
      <c r="BR1349" s="18"/>
      <c r="BS1349" s="15" t="s">
        <v>14170</v>
      </c>
      <c r="BT1349" s="19"/>
      <c r="BX1349" s="15" t="s">
        <v>14171</v>
      </c>
      <c r="DH1349" s="15" t="s">
        <v>17982</v>
      </c>
      <c r="DI1349" s="15" t="s">
        <v>17982</v>
      </c>
    </row>
    <row r="1350" spans="1:113" s="15" customFormat="1" ht="12.75" x14ac:dyDescent="0.2">
      <c r="A1350" s="15" t="s">
        <v>109</v>
      </c>
      <c r="B1350" s="15" t="s">
        <v>110</v>
      </c>
      <c r="D1350" s="15" t="s">
        <v>472</v>
      </c>
      <c r="E1350" s="15" t="s">
        <v>112</v>
      </c>
      <c r="F1350" s="15" t="s">
        <v>472</v>
      </c>
      <c r="G1350" s="15" t="s">
        <v>113</v>
      </c>
      <c r="H1350" s="15" t="s">
        <v>111</v>
      </c>
      <c r="J1350" s="16" t="s">
        <v>114</v>
      </c>
      <c r="U1350" s="15" t="s">
        <v>17977</v>
      </c>
      <c r="W1350" s="15">
        <v>54</v>
      </c>
      <c r="X1350" s="15">
        <v>1360</v>
      </c>
      <c r="Y1350" s="15" t="s">
        <v>160</v>
      </c>
      <c r="Z1350" s="15" t="s">
        <v>161</v>
      </c>
      <c r="AA1350" s="15" t="s">
        <v>162</v>
      </c>
      <c r="AB1350" s="15" t="s">
        <v>534</v>
      </c>
      <c r="AC1350" s="15" t="s">
        <v>534</v>
      </c>
      <c r="AD1350" s="15" t="s">
        <v>535</v>
      </c>
      <c r="AE1350" s="15" t="s">
        <v>164</v>
      </c>
      <c r="AF1350" s="15" t="s">
        <v>535</v>
      </c>
      <c r="AG1350" s="22" t="s">
        <v>534</v>
      </c>
      <c r="AH1350" s="15" t="s">
        <v>536</v>
      </c>
      <c r="AL1350" s="15" t="s">
        <v>537</v>
      </c>
      <c r="AN1350" s="15">
        <v>743</v>
      </c>
      <c r="AO1350" s="15" t="s">
        <v>538</v>
      </c>
      <c r="AQ1350" s="17" t="s">
        <v>342</v>
      </c>
      <c r="AT1350" s="15" t="s">
        <v>539</v>
      </c>
      <c r="AU1350" s="15" t="s">
        <v>540</v>
      </c>
      <c r="AV1350" s="15" t="s">
        <v>540</v>
      </c>
      <c r="AW1350" s="18" t="s">
        <v>541</v>
      </c>
      <c r="AX1350" s="18" t="s">
        <v>542</v>
      </c>
      <c r="AY1350" s="23">
        <f t="shared" si="28"/>
        <v>57</v>
      </c>
      <c r="AZ1350" s="18" t="s">
        <v>482</v>
      </c>
      <c r="BA1350" s="18" t="s">
        <v>483</v>
      </c>
      <c r="BB1350" s="18" t="s">
        <v>511</v>
      </c>
      <c r="BC1350" s="18"/>
      <c r="BD1350" s="18"/>
      <c r="BE1350" s="18" t="s">
        <v>485</v>
      </c>
      <c r="BF1350" s="18"/>
      <c r="BG1350" s="18"/>
      <c r="BH1350" s="18"/>
      <c r="BI1350" s="18"/>
      <c r="BJ1350" s="18" t="s">
        <v>543</v>
      </c>
      <c r="BK1350" s="18"/>
      <c r="BL1350" s="18"/>
      <c r="BM1350" s="18"/>
      <c r="BN1350" s="18" t="s">
        <v>179</v>
      </c>
      <c r="BO1350" s="18" t="s">
        <v>488</v>
      </c>
      <c r="BP1350" s="18" t="s">
        <v>138</v>
      </c>
      <c r="BQ1350" s="18"/>
      <c r="BR1350" s="18"/>
      <c r="BS1350" s="15" t="s">
        <v>544</v>
      </c>
      <c r="BT1350" s="19"/>
      <c r="DH1350" s="15" t="s">
        <v>17982</v>
      </c>
      <c r="DI1350" s="15" t="s">
        <v>17982</v>
      </c>
    </row>
    <row r="1351" spans="1:113" s="15" customFormat="1" ht="12.75" x14ac:dyDescent="0.2">
      <c r="A1351" s="15" t="s">
        <v>109</v>
      </c>
      <c r="B1351" s="15" t="s">
        <v>110</v>
      </c>
      <c r="D1351" s="15" t="s">
        <v>472</v>
      </c>
      <c r="E1351" s="15" t="s">
        <v>112</v>
      </c>
      <c r="F1351" s="15" t="s">
        <v>472</v>
      </c>
      <c r="G1351" s="15" t="s">
        <v>113</v>
      </c>
      <c r="H1351" s="15" t="s">
        <v>111</v>
      </c>
      <c r="J1351" s="16" t="s">
        <v>114</v>
      </c>
      <c r="U1351" s="15" t="s">
        <v>17977</v>
      </c>
      <c r="W1351" s="15">
        <v>49</v>
      </c>
      <c r="X1351" s="15">
        <v>1361</v>
      </c>
      <c r="Y1351" s="15" t="s">
        <v>160</v>
      </c>
      <c r="Z1351" s="15" t="s">
        <v>161</v>
      </c>
      <c r="AA1351" s="15" t="s">
        <v>162</v>
      </c>
      <c r="AB1351" s="15" t="s">
        <v>473</v>
      </c>
      <c r="AC1351" s="15" t="s">
        <v>473</v>
      </c>
      <c r="AD1351" s="15" t="s">
        <v>474</v>
      </c>
      <c r="AE1351" s="15" t="s">
        <v>164</v>
      </c>
      <c r="AF1351" s="15" t="s">
        <v>474</v>
      </c>
      <c r="AG1351" s="22" t="s">
        <v>473</v>
      </c>
      <c r="AH1351" s="15" t="s">
        <v>475</v>
      </c>
      <c r="AL1351" s="15" t="s">
        <v>476</v>
      </c>
      <c r="AN1351" s="15">
        <v>743</v>
      </c>
      <c r="AO1351" s="15" t="s">
        <v>477</v>
      </c>
      <c r="AQ1351" s="17" t="s">
        <v>342</v>
      </c>
      <c r="AT1351" s="15" t="s">
        <v>478</v>
      </c>
      <c r="AU1351" s="15" t="s">
        <v>479</v>
      </c>
      <c r="AV1351" s="15" t="s">
        <v>479</v>
      </c>
      <c r="AW1351" s="18" t="s">
        <v>480</v>
      </c>
      <c r="AX1351" s="18" t="s">
        <v>481</v>
      </c>
      <c r="AY1351" s="23">
        <f t="shared" si="28"/>
        <v>60</v>
      </c>
      <c r="AZ1351" s="18" t="s">
        <v>482</v>
      </c>
      <c r="BA1351" s="18" t="s">
        <v>483</v>
      </c>
      <c r="BB1351" s="18" t="s">
        <v>484</v>
      </c>
      <c r="BC1351" s="18"/>
      <c r="BD1351" s="18"/>
      <c r="BE1351" s="18" t="s">
        <v>485</v>
      </c>
      <c r="BF1351" s="18"/>
      <c r="BG1351" s="18"/>
      <c r="BH1351" s="18"/>
      <c r="BI1351" s="18"/>
      <c r="BJ1351" s="18" t="s">
        <v>486</v>
      </c>
      <c r="BK1351" s="18" t="s">
        <v>487</v>
      </c>
      <c r="BL1351" s="18"/>
      <c r="BM1351" s="18"/>
      <c r="BN1351" s="18" t="s">
        <v>179</v>
      </c>
      <c r="BO1351" s="18" t="s">
        <v>488</v>
      </c>
      <c r="BP1351" s="18" t="s">
        <v>138</v>
      </c>
      <c r="BQ1351" s="18"/>
      <c r="BR1351" s="18"/>
      <c r="BS1351" s="15" t="s">
        <v>489</v>
      </c>
      <c r="BT1351" s="19"/>
      <c r="DH1351" s="15" t="s">
        <v>17982</v>
      </c>
      <c r="DI1351" s="15" t="s">
        <v>17982</v>
      </c>
    </row>
    <row r="1352" spans="1:113" s="15" customFormat="1" ht="12.75" x14ac:dyDescent="0.2">
      <c r="A1352" s="15" t="s">
        <v>109</v>
      </c>
      <c r="B1352" s="15" t="s">
        <v>110</v>
      </c>
      <c r="D1352" s="15" t="s">
        <v>472</v>
      </c>
      <c r="E1352" s="15" t="s">
        <v>112</v>
      </c>
      <c r="F1352" s="15" t="s">
        <v>472</v>
      </c>
      <c r="G1352" s="15" t="s">
        <v>113</v>
      </c>
      <c r="H1352" s="15" t="s">
        <v>111</v>
      </c>
      <c r="J1352" s="16" t="s">
        <v>114</v>
      </c>
      <c r="U1352" s="15" t="s">
        <v>17977</v>
      </c>
      <c r="W1352" s="15">
        <v>108</v>
      </c>
      <c r="X1352" s="15">
        <v>1362</v>
      </c>
      <c r="Y1352" s="15" t="s">
        <v>160</v>
      </c>
      <c r="Z1352" s="15" t="s">
        <v>161</v>
      </c>
      <c r="AA1352" s="15" t="s">
        <v>162</v>
      </c>
      <c r="AB1352" s="15" t="s">
        <v>805</v>
      </c>
      <c r="AC1352" s="15" t="s">
        <v>805</v>
      </c>
      <c r="AD1352" s="15" t="s">
        <v>806</v>
      </c>
      <c r="AE1352" s="15" t="s">
        <v>164</v>
      </c>
      <c r="AF1352" s="15" t="s">
        <v>806</v>
      </c>
      <c r="AG1352" s="22" t="s">
        <v>805</v>
      </c>
      <c r="AH1352" s="15" t="s">
        <v>807</v>
      </c>
      <c r="AL1352" s="15" t="s">
        <v>808</v>
      </c>
      <c r="AN1352" s="15">
        <v>743</v>
      </c>
      <c r="AO1352" s="15" t="s">
        <v>809</v>
      </c>
      <c r="AQ1352" s="17" t="s">
        <v>342</v>
      </c>
      <c r="AT1352" s="15" t="s">
        <v>810</v>
      </c>
      <c r="AU1352" s="15" t="s">
        <v>811</v>
      </c>
      <c r="AV1352" s="15" t="s">
        <v>811</v>
      </c>
      <c r="AW1352" s="18" t="s">
        <v>812</v>
      </c>
      <c r="AX1352" s="18" t="s">
        <v>813</v>
      </c>
      <c r="AY1352" s="23">
        <f t="shared" si="28"/>
        <v>58</v>
      </c>
      <c r="AZ1352" s="18" t="s">
        <v>482</v>
      </c>
      <c r="BA1352" s="18" t="s">
        <v>483</v>
      </c>
      <c r="BB1352" s="18" t="s">
        <v>814</v>
      </c>
      <c r="BC1352" s="18"/>
      <c r="BD1352" s="18"/>
      <c r="BE1352" s="18" t="s">
        <v>485</v>
      </c>
      <c r="BF1352" s="18"/>
      <c r="BG1352" s="18"/>
      <c r="BH1352" s="18"/>
      <c r="BI1352" s="18"/>
      <c r="BJ1352" s="18" t="s">
        <v>543</v>
      </c>
      <c r="BK1352" s="18"/>
      <c r="BL1352" s="18"/>
      <c r="BM1352" s="18"/>
      <c r="BN1352" s="18" t="s">
        <v>179</v>
      </c>
      <c r="BO1352" s="18" t="s">
        <v>488</v>
      </c>
      <c r="BP1352" s="18" t="s">
        <v>138</v>
      </c>
      <c r="BQ1352" s="18"/>
      <c r="BR1352" s="18"/>
      <c r="BS1352" s="15" t="s">
        <v>815</v>
      </c>
      <c r="BT1352" s="19"/>
      <c r="DH1352" s="15" t="s">
        <v>17982</v>
      </c>
      <c r="DI1352" s="15" t="s">
        <v>17982</v>
      </c>
    </row>
    <row r="1353" spans="1:113" s="15" customFormat="1" ht="12.75" x14ac:dyDescent="0.2">
      <c r="A1353" s="15" t="s">
        <v>109</v>
      </c>
      <c r="B1353" s="15" t="s">
        <v>110</v>
      </c>
      <c r="D1353" s="15" t="s">
        <v>472</v>
      </c>
      <c r="E1353" s="15" t="s">
        <v>112</v>
      </c>
      <c r="F1353" s="15" t="s">
        <v>472</v>
      </c>
      <c r="G1353" s="15" t="s">
        <v>113</v>
      </c>
      <c r="H1353" s="15" t="s">
        <v>111</v>
      </c>
      <c r="J1353" s="16" t="s">
        <v>114</v>
      </c>
      <c r="U1353" s="15" t="s">
        <v>17977</v>
      </c>
      <c r="W1353" s="15">
        <v>257</v>
      </c>
      <c r="X1353" s="15">
        <v>1363</v>
      </c>
      <c r="Y1353" s="15" t="s">
        <v>160</v>
      </c>
      <c r="Z1353" s="15" t="s">
        <v>161</v>
      </c>
      <c r="AA1353" s="15" t="s">
        <v>162</v>
      </c>
      <c r="AB1353" s="15" t="s">
        <v>1216</v>
      </c>
      <c r="AC1353" s="15" t="s">
        <v>1216</v>
      </c>
      <c r="AD1353" s="15" t="s">
        <v>1217</v>
      </c>
      <c r="AE1353" s="15" t="s">
        <v>164</v>
      </c>
      <c r="AF1353" s="15" t="s">
        <v>1217</v>
      </c>
      <c r="AG1353" s="22" t="s">
        <v>1216</v>
      </c>
      <c r="AH1353" s="15" t="s">
        <v>1218</v>
      </c>
      <c r="AL1353" s="15" t="s">
        <v>1219</v>
      </c>
      <c r="AN1353" s="15">
        <v>743</v>
      </c>
      <c r="AO1353" s="15" t="s">
        <v>1220</v>
      </c>
      <c r="AQ1353" s="17" t="s">
        <v>342</v>
      </c>
      <c r="AT1353" s="15" t="s">
        <v>1221</v>
      </c>
      <c r="AU1353" s="15" t="s">
        <v>1222</v>
      </c>
      <c r="AV1353" s="15" t="s">
        <v>1222</v>
      </c>
      <c r="AW1353" s="18" t="s">
        <v>1223</v>
      </c>
      <c r="AX1353" s="18" t="s">
        <v>1224</v>
      </c>
      <c r="AY1353" s="23">
        <f t="shared" si="28"/>
        <v>57</v>
      </c>
      <c r="AZ1353" s="18" t="s">
        <v>482</v>
      </c>
      <c r="BA1353" s="18" t="s">
        <v>483</v>
      </c>
      <c r="BB1353" s="18" t="s">
        <v>1225</v>
      </c>
      <c r="BC1353" s="18"/>
      <c r="BD1353" s="18"/>
      <c r="BE1353" s="18" t="s">
        <v>485</v>
      </c>
      <c r="BF1353" s="18"/>
      <c r="BG1353" s="18"/>
      <c r="BH1353" s="18"/>
      <c r="BI1353" s="18"/>
      <c r="BJ1353" s="18" t="s">
        <v>1226</v>
      </c>
      <c r="BK1353" s="26" t="s">
        <v>1227</v>
      </c>
      <c r="BL1353" s="18"/>
      <c r="BM1353" s="18"/>
      <c r="BN1353" s="18" t="s">
        <v>179</v>
      </c>
      <c r="BO1353" s="18" t="s">
        <v>488</v>
      </c>
      <c r="BP1353" s="18" t="s">
        <v>138</v>
      </c>
      <c r="BQ1353" s="18"/>
      <c r="BR1353" s="18"/>
      <c r="BS1353" s="15" t="s">
        <v>1228</v>
      </c>
      <c r="BT1353" s="19"/>
      <c r="DH1353" s="15" t="s">
        <v>17982</v>
      </c>
      <c r="DI1353" s="15" t="s">
        <v>17982</v>
      </c>
    </row>
    <row r="1354" spans="1:113" s="15" customFormat="1" ht="12.75" x14ac:dyDescent="0.2">
      <c r="A1354" s="15" t="s">
        <v>109</v>
      </c>
      <c r="B1354" s="15" t="s">
        <v>110</v>
      </c>
      <c r="D1354" s="15" t="s">
        <v>472</v>
      </c>
      <c r="E1354" s="15" t="s">
        <v>112</v>
      </c>
      <c r="F1354" s="15" t="s">
        <v>472</v>
      </c>
      <c r="G1354" s="15" t="s">
        <v>113</v>
      </c>
      <c r="H1354" s="15" t="s">
        <v>111</v>
      </c>
      <c r="J1354" s="16" t="s">
        <v>114</v>
      </c>
      <c r="U1354" s="15" t="s">
        <v>17977</v>
      </c>
      <c r="W1354" s="15">
        <v>260</v>
      </c>
      <c r="X1354" s="15">
        <v>1364</v>
      </c>
      <c r="Y1354" s="15" t="s">
        <v>160</v>
      </c>
      <c r="Z1354" s="15" t="s">
        <v>161</v>
      </c>
      <c r="AA1354" s="15" t="s">
        <v>162</v>
      </c>
      <c r="AB1354" s="15" t="s">
        <v>1254</v>
      </c>
      <c r="AC1354" s="15" t="s">
        <v>1254</v>
      </c>
      <c r="AD1354" s="15" t="s">
        <v>1255</v>
      </c>
      <c r="AE1354" s="15" t="s">
        <v>164</v>
      </c>
      <c r="AF1354" s="15" t="s">
        <v>1255</v>
      </c>
      <c r="AG1354" s="22" t="s">
        <v>1254</v>
      </c>
      <c r="AH1354" s="15" t="s">
        <v>1256</v>
      </c>
      <c r="AL1354" s="15" t="s">
        <v>1257</v>
      </c>
      <c r="AN1354" s="15">
        <v>743</v>
      </c>
      <c r="AO1354" s="15" t="s">
        <v>1258</v>
      </c>
      <c r="AQ1354" s="17" t="s">
        <v>342</v>
      </c>
      <c r="AT1354" s="15" t="s">
        <v>1259</v>
      </c>
      <c r="AU1354" s="15" t="s">
        <v>1260</v>
      </c>
      <c r="AV1354" s="15" t="s">
        <v>1260</v>
      </c>
      <c r="AW1354" s="18" t="s">
        <v>1261</v>
      </c>
      <c r="AX1354" s="18" t="s">
        <v>1262</v>
      </c>
      <c r="AY1354" s="23">
        <f t="shared" si="28"/>
        <v>58</v>
      </c>
      <c r="AZ1354" s="18" t="s">
        <v>482</v>
      </c>
      <c r="BA1354" s="18" t="s">
        <v>483</v>
      </c>
      <c r="BB1354" s="18" t="s">
        <v>1225</v>
      </c>
      <c r="BC1354" s="18"/>
      <c r="BD1354" s="18"/>
      <c r="BE1354" s="18" t="s">
        <v>485</v>
      </c>
      <c r="BF1354" s="18"/>
      <c r="BG1354" s="18"/>
      <c r="BH1354" s="18"/>
      <c r="BI1354" s="18"/>
      <c r="BJ1354" s="18" t="s">
        <v>1252</v>
      </c>
      <c r="BK1354" s="18"/>
      <c r="BL1354" s="18"/>
      <c r="BM1354" s="18"/>
      <c r="BN1354" s="18" t="s">
        <v>179</v>
      </c>
      <c r="BO1354" s="18" t="s">
        <v>488</v>
      </c>
      <c r="BP1354" s="18" t="s">
        <v>138</v>
      </c>
      <c r="BQ1354" s="18"/>
      <c r="BR1354" s="18"/>
      <c r="BS1354" s="15" t="s">
        <v>1263</v>
      </c>
      <c r="BT1354" s="19"/>
      <c r="DH1354" s="15" t="s">
        <v>17982</v>
      </c>
      <c r="DI1354" s="15" t="s">
        <v>17982</v>
      </c>
    </row>
    <row r="1355" spans="1:113" s="15" customFormat="1" ht="12.75" x14ac:dyDescent="0.2">
      <c r="A1355" s="15" t="s">
        <v>109</v>
      </c>
      <c r="B1355" s="15" t="s">
        <v>110</v>
      </c>
      <c r="D1355" s="15" t="s">
        <v>472</v>
      </c>
      <c r="E1355" s="15" t="s">
        <v>112</v>
      </c>
      <c r="F1355" s="15" t="s">
        <v>472</v>
      </c>
      <c r="G1355" s="15" t="s">
        <v>113</v>
      </c>
      <c r="H1355" s="15" t="s">
        <v>111</v>
      </c>
      <c r="J1355" s="16" t="s">
        <v>114</v>
      </c>
      <c r="U1355" s="15" t="s">
        <v>17977</v>
      </c>
      <c r="W1355" s="15">
        <v>313</v>
      </c>
      <c r="X1355" s="15">
        <v>1365</v>
      </c>
      <c r="Y1355" s="15" t="s">
        <v>160</v>
      </c>
      <c r="Z1355" s="15" t="s">
        <v>161</v>
      </c>
      <c r="AA1355" s="15" t="s">
        <v>162</v>
      </c>
      <c r="AB1355" s="15" t="s">
        <v>1340</v>
      </c>
      <c r="AC1355" s="15" t="s">
        <v>1340</v>
      </c>
      <c r="AD1355" s="15" t="s">
        <v>1341</v>
      </c>
      <c r="AE1355" s="15" t="s">
        <v>164</v>
      </c>
      <c r="AF1355" s="15" t="s">
        <v>1341</v>
      </c>
      <c r="AG1355" s="22" t="s">
        <v>1340</v>
      </c>
      <c r="AH1355" s="15" t="s">
        <v>1342</v>
      </c>
      <c r="AL1355" s="15" t="s">
        <v>1343</v>
      </c>
      <c r="AN1355" s="15">
        <v>743</v>
      </c>
      <c r="AO1355" s="15" t="s">
        <v>1344</v>
      </c>
      <c r="AQ1355" s="17" t="s">
        <v>342</v>
      </c>
      <c r="AT1355" s="15" t="s">
        <v>1345</v>
      </c>
      <c r="AU1355" s="15" t="s">
        <v>1346</v>
      </c>
      <c r="AV1355" s="15" t="s">
        <v>1346</v>
      </c>
      <c r="AW1355" s="18" t="s">
        <v>1347</v>
      </c>
      <c r="AX1355" s="18" t="s">
        <v>1348</v>
      </c>
      <c r="AY1355" s="23">
        <f t="shared" si="28"/>
        <v>58</v>
      </c>
      <c r="AZ1355" s="18" t="s">
        <v>482</v>
      </c>
      <c r="BA1355" s="18" t="s">
        <v>483</v>
      </c>
      <c r="BB1355" s="18"/>
      <c r="BC1355" s="18"/>
      <c r="BD1355" s="18"/>
      <c r="BE1355" s="18" t="s">
        <v>485</v>
      </c>
      <c r="BF1355" s="18"/>
      <c r="BG1355" s="18"/>
      <c r="BH1355" s="18"/>
      <c r="BI1355" s="18"/>
      <c r="BJ1355" s="18" t="s">
        <v>1349</v>
      </c>
      <c r="BK1355" s="18"/>
      <c r="BL1355" s="18"/>
      <c r="BM1355" s="18"/>
      <c r="BN1355" s="18" t="s">
        <v>179</v>
      </c>
      <c r="BO1355" s="18" t="s">
        <v>488</v>
      </c>
      <c r="BP1355" s="18" t="s">
        <v>138</v>
      </c>
      <c r="BQ1355" s="18"/>
      <c r="BR1355" s="18"/>
      <c r="BS1355" s="15" t="s">
        <v>1350</v>
      </c>
      <c r="BT1355" s="19"/>
      <c r="DH1355" s="15" t="s">
        <v>17982</v>
      </c>
      <c r="DI1355" s="15" t="s">
        <v>17982</v>
      </c>
    </row>
    <row r="1356" spans="1:113" s="15" customFormat="1" ht="12.75" x14ac:dyDescent="0.2">
      <c r="A1356" s="15" t="s">
        <v>109</v>
      </c>
      <c r="B1356" s="15" t="s">
        <v>110</v>
      </c>
      <c r="D1356" s="15" t="s">
        <v>472</v>
      </c>
      <c r="E1356" s="15" t="s">
        <v>112</v>
      </c>
      <c r="F1356" s="15" t="s">
        <v>472</v>
      </c>
      <c r="G1356" s="15" t="s">
        <v>113</v>
      </c>
      <c r="H1356" s="15" t="s">
        <v>111</v>
      </c>
      <c r="J1356" s="16" t="s">
        <v>114</v>
      </c>
      <c r="U1356" s="15" t="s">
        <v>17977</v>
      </c>
      <c r="W1356" s="15">
        <v>130</v>
      </c>
      <c r="X1356" s="15">
        <v>1366</v>
      </c>
      <c r="Y1356" s="15" t="s">
        <v>160</v>
      </c>
      <c r="Z1356" s="15" t="s">
        <v>161</v>
      </c>
      <c r="AA1356" s="15" t="s">
        <v>162</v>
      </c>
      <c r="AB1356" s="15" t="s">
        <v>972</v>
      </c>
      <c r="AC1356" s="15" t="s">
        <v>972</v>
      </c>
      <c r="AD1356" s="15" t="s">
        <v>973</v>
      </c>
      <c r="AE1356" s="15" t="s">
        <v>164</v>
      </c>
      <c r="AF1356" s="15" t="s">
        <v>973</v>
      </c>
      <c r="AG1356" s="22" t="s">
        <v>972</v>
      </c>
      <c r="AH1356" s="15" t="s">
        <v>974</v>
      </c>
      <c r="AL1356" s="15" t="s">
        <v>975</v>
      </c>
      <c r="AN1356" s="15">
        <v>743</v>
      </c>
      <c r="AO1356" s="15" t="s">
        <v>976</v>
      </c>
      <c r="AQ1356" s="17" t="s">
        <v>342</v>
      </c>
      <c r="AT1356" s="15" t="s">
        <v>977</v>
      </c>
      <c r="AU1356" s="15" t="s">
        <v>978</v>
      </c>
      <c r="AV1356" s="15" t="s">
        <v>978</v>
      </c>
      <c r="AW1356" s="18" t="s">
        <v>979</v>
      </c>
      <c r="AX1356" s="18" t="s">
        <v>980</v>
      </c>
      <c r="AY1356" s="23">
        <f t="shared" si="28"/>
        <v>55</v>
      </c>
      <c r="AZ1356" s="18" t="s">
        <v>604</v>
      </c>
      <c r="BA1356" s="18" t="s">
        <v>483</v>
      </c>
      <c r="BB1356" s="18" t="s">
        <v>968</v>
      </c>
      <c r="BC1356" s="18"/>
      <c r="BD1356" s="18"/>
      <c r="BE1356" s="18" t="s">
        <v>485</v>
      </c>
      <c r="BF1356" s="18"/>
      <c r="BG1356" s="18"/>
      <c r="BH1356" s="18"/>
      <c r="BI1356" s="18"/>
      <c r="BJ1356" s="18" t="s">
        <v>981</v>
      </c>
      <c r="BK1356" s="18"/>
      <c r="BL1356" s="18"/>
      <c r="BM1356" s="18"/>
      <c r="BN1356" s="18" t="s">
        <v>179</v>
      </c>
      <c r="BO1356" s="18" t="s">
        <v>488</v>
      </c>
      <c r="BP1356" s="18" t="s">
        <v>138</v>
      </c>
      <c r="BQ1356" s="18"/>
      <c r="BR1356" s="18"/>
      <c r="BS1356" s="15" t="s">
        <v>982</v>
      </c>
      <c r="BT1356" s="19"/>
      <c r="DH1356" s="15" t="s">
        <v>17982</v>
      </c>
      <c r="DI1356" s="15" t="s">
        <v>17982</v>
      </c>
    </row>
    <row r="1357" spans="1:113" s="15" customFormat="1" ht="12.75" x14ac:dyDescent="0.2">
      <c r="A1357" s="15" t="s">
        <v>109</v>
      </c>
      <c r="B1357" s="15" t="s">
        <v>110</v>
      </c>
      <c r="D1357" s="15" t="s">
        <v>472</v>
      </c>
      <c r="E1357" s="15" t="s">
        <v>112</v>
      </c>
      <c r="F1357" s="15" t="s">
        <v>472</v>
      </c>
      <c r="G1357" s="15" t="s">
        <v>502</v>
      </c>
      <c r="H1357" s="15" t="s">
        <v>111</v>
      </c>
      <c r="J1357" s="16" t="s">
        <v>114</v>
      </c>
      <c r="U1357" s="15" t="s">
        <v>17977</v>
      </c>
      <c r="W1357" s="15">
        <v>263</v>
      </c>
      <c r="X1357" s="15">
        <v>1367</v>
      </c>
      <c r="Y1357" s="15" t="s">
        <v>160</v>
      </c>
      <c r="Z1357" s="15" t="s">
        <v>161</v>
      </c>
      <c r="AA1357" s="15" t="s">
        <v>162</v>
      </c>
      <c r="AB1357" s="15" t="s">
        <v>1275</v>
      </c>
      <c r="AC1357" s="15" t="s">
        <v>1275</v>
      </c>
      <c r="AD1357" s="15" t="s">
        <v>1276</v>
      </c>
      <c r="AE1357" s="15" t="s">
        <v>164</v>
      </c>
      <c r="AF1357" s="15" t="s">
        <v>1276</v>
      </c>
      <c r="AG1357" s="22" t="s">
        <v>1275</v>
      </c>
      <c r="AH1357" s="15" t="s">
        <v>1277</v>
      </c>
      <c r="AL1357" s="15" t="s">
        <v>1278</v>
      </c>
      <c r="AN1357" s="15">
        <v>743</v>
      </c>
      <c r="AO1357" s="15" t="s">
        <v>1279</v>
      </c>
      <c r="AQ1357" s="17" t="s">
        <v>342</v>
      </c>
      <c r="AT1357" s="15" t="s">
        <v>1280</v>
      </c>
      <c r="AU1357" s="15" t="s">
        <v>1281</v>
      </c>
      <c r="AV1357" s="15" t="s">
        <v>1281</v>
      </c>
      <c r="AW1357" s="18" t="s">
        <v>1282</v>
      </c>
      <c r="AX1357" s="18" t="s">
        <v>1283</v>
      </c>
      <c r="AY1357" s="23">
        <f t="shared" si="28"/>
        <v>60</v>
      </c>
      <c r="AZ1357" s="18" t="s">
        <v>482</v>
      </c>
      <c r="BA1357" s="18" t="s">
        <v>483</v>
      </c>
      <c r="BB1357" s="18" t="s">
        <v>1225</v>
      </c>
      <c r="BC1357" s="18"/>
      <c r="BD1357" s="18"/>
      <c r="BE1357" s="18" t="s">
        <v>485</v>
      </c>
      <c r="BF1357" s="18"/>
      <c r="BG1357" s="18"/>
      <c r="BH1357" s="18"/>
      <c r="BI1357" s="18"/>
      <c r="BJ1357" s="18" t="s">
        <v>1284</v>
      </c>
      <c r="BK1357" s="18"/>
      <c r="BL1357" s="18"/>
      <c r="BM1357" s="18"/>
      <c r="BN1357" s="18" t="s">
        <v>179</v>
      </c>
      <c r="BO1357" s="18" t="s">
        <v>488</v>
      </c>
      <c r="BP1357" s="18" t="s">
        <v>138</v>
      </c>
      <c r="BQ1357" s="18"/>
      <c r="BR1357" s="18"/>
      <c r="BS1357" s="15" t="s">
        <v>1285</v>
      </c>
      <c r="BT1357" s="19"/>
      <c r="DH1357" s="15" t="s">
        <v>17982</v>
      </c>
      <c r="DI1357" s="15" t="s">
        <v>17982</v>
      </c>
    </row>
    <row r="1358" spans="1:113" s="15" customFormat="1" ht="12.75" x14ac:dyDescent="0.2">
      <c r="A1358" s="15" t="s">
        <v>109</v>
      </c>
      <c r="B1358" s="15" t="s">
        <v>110</v>
      </c>
      <c r="D1358" s="15" t="s">
        <v>472</v>
      </c>
      <c r="E1358" s="15" t="s">
        <v>112</v>
      </c>
      <c r="F1358" s="15" t="s">
        <v>472</v>
      </c>
      <c r="G1358" s="15" t="s">
        <v>113</v>
      </c>
      <c r="H1358" s="15" t="s">
        <v>111</v>
      </c>
      <c r="J1358" s="16" t="s">
        <v>114</v>
      </c>
      <c r="U1358" s="15" t="s">
        <v>17977</v>
      </c>
      <c r="W1358" s="15">
        <v>583</v>
      </c>
      <c r="X1358" s="15">
        <v>1368</v>
      </c>
      <c r="Y1358" s="15" t="s">
        <v>160</v>
      </c>
      <c r="Z1358" s="15" t="s">
        <v>161</v>
      </c>
      <c r="AA1358" s="15" t="s">
        <v>162</v>
      </c>
      <c r="AB1358" s="15" t="s">
        <v>2221</v>
      </c>
      <c r="AC1358" s="15" t="s">
        <v>2221</v>
      </c>
      <c r="AD1358" s="15" t="s">
        <v>2222</v>
      </c>
      <c r="AE1358" s="15" t="s">
        <v>164</v>
      </c>
      <c r="AF1358" s="15" t="s">
        <v>2222</v>
      </c>
      <c r="AG1358" s="22" t="s">
        <v>2221</v>
      </c>
      <c r="AH1358" s="15" t="s">
        <v>2223</v>
      </c>
      <c r="AL1358" s="15" t="s">
        <v>2224</v>
      </c>
      <c r="AN1358" s="15">
        <v>743</v>
      </c>
      <c r="AO1358" s="15" t="s">
        <v>2225</v>
      </c>
      <c r="AQ1358" s="17" t="s">
        <v>342</v>
      </c>
      <c r="AT1358" s="15" t="s">
        <v>2226</v>
      </c>
      <c r="AU1358" s="15" t="s">
        <v>2227</v>
      </c>
      <c r="AV1358" s="15" t="s">
        <v>2227</v>
      </c>
      <c r="AW1358" s="18" t="s">
        <v>2228</v>
      </c>
      <c r="AX1358" s="18" t="s">
        <v>2229</v>
      </c>
      <c r="AY1358" s="23">
        <f t="shared" si="28"/>
        <v>56</v>
      </c>
      <c r="AZ1358" s="18" t="s">
        <v>482</v>
      </c>
      <c r="BA1358" s="18" t="s">
        <v>483</v>
      </c>
      <c r="BB1358" s="18" t="s">
        <v>2230</v>
      </c>
      <c r="BC1358" s="18"/>
      <c r="BD1358" s="18"/>
      <c r="BE1358" s="18" t="s">
        <v>485</v>
      </c>
      <c r="BF1358" s="18"/>
      <c r="BG1358" s="18"/>
      <c r="BH1358" s="18"/>
      <c r="BI1358" s="18"/>
      <c r="BJ1358" s="18" t="s">
        <v>981</v>
      </c>
      <c r="BK1358" s="18"/>
      <c r="BL1358" s="18"/>
      <c r="BM1358" s="18"/>
      <c r="BN1358" s="18" t="s">
        <v>179</v>
      </c>
      <c r="BO1358" s="18" t="s">
        <v>488</v>
      </c>
      <c r="BP1358" s="18" t="s">
        <v>138</v>
      </c>
      <c r="BQ1358" s="18"/>
      <c r="BR1358" s="18"/>
      <c r="BS1358" s="15" t="s">
        <v>2231</v>
      </c>
      <c r="BT1358" s="19"/>
      <c r="DH1358" s="15" t="s">
        <v>17982</v>
      </c>
      <c r="DI1358" s="15" t="s">
        <v>17982</v>
      </c>
    </row>
    <row r="1359" spans="1:113" s="15" customFormat="1" ht="12.75" x14ac:dyDescent="0.2">
      <c r="A1359" s="15" t="s">
        <v>109</v>
      </c>
      <c r="B1359" s="15" t="s">
        <v>110</v>
      </c>
      <c r="D1359" s="15" t="s">
        <v>472</v>
      </c>
      <c r="E1359" s="15" t="s">
        <v>112</v>
      </c>
      <c r="F1359" s="15" t="s">
        <v>472</v>
      </c>
      <c r="G1359" s="15" t="s">
        <v>113</v>
      </c>
      <c r="H1359" s="15" t="s">
        <v>111</v>
      </c>
      <c r="J1359" s="16" t="s">
        <v>114</v>
      </c>
      <c r="U1359" s="15" t="s">
        <v>17977</v>
      </c>
      <c r="W1359" s="15">
        <v>844</v>
      </c>
      <c r="X1359" s="15">
        <v>1369</v>
      </c>
      <c r="Y1359" s="15" t="s">
        <v>160</v>
      </c>
      <c r="Z1359" s="15" t="s">
        <v>161</v>
      </c>
      <c r="AA1359" s="15" t="s">
        <v>162</v>
      </c>
      <c r="AB1359" s="15" t="s">
        <v>3641</v>
      </c>
      <c r="AC1359" s="15" t="s">
        <v>3641</v>
      </c>
      <c r="AD1359" s="15" t="s">
        <v>3642</v>
      </c>
      <c r="AE1359" s="15" t="s">
        <v>164</v>
      </c>
      <c r="AF1359" s="15" t="s">
        <v>3642</v>
      </c>
      <c r="AG1359" s="22" t="s">
        <v>3641</v>
      </c>
      <c r="AH1359" s="15" t="s">
        <v>3643</v>
      </c>
      <c r="AL1359" s="15" t="s">
        <v>3644</v>
      </c>
      <c r="AN1359" s="15">
        <v>743</v>
      </c>
      <c r="AO1359" s="15" t="s">
        <v>3645</v>
      </c>
      <c r="AQ1359" s="17" t="s">
        <v>3622</v>
      </c>
      <c r="AT1359" s="15" t="s">
        <v>3646</v>
      </c>
      <c r="AU1359" s="15" t="s">
        <v>3647</v>
      </c>
      <c r="AV1359" s="15" t="s">
        <v>3647</v>
      </c>
      <c r="AW1359" s="18" t="s">
        <v>3648</v>
      </c>
      <c r="AX1359" s="18" t="s">
        <v>3649</v>
      </c>
      <c r="AY1359" s="23">
        <f t="shared" si="28"/>
        <v>58</v>
      </c>
      <c r="AZ1359" s="18" t="s">
        <v>393</v>
      </c>
      <c r="BA1359" s="18" t="s">
        <v>483</v>
      </c>
      <c r="BB1359" s="26" t="s">
        <v>3627</v>
      </c>
      <c r="BC1359" s="18"/>
      <c r="BD1359" s="18"/>
      <c r="BE1359" s="18" t="s">
        <v>485</v>
      </c>
      <c r="BF1359" s="18"/>
      <c r="BG1359" s="18"/>
      <c r="BH1359" s="18"/>
      <c r="BI1359" s="18"/>
      <c r="BJ1359" s="18" t="s">
        <v>3628</v>
      </c>
      <c r="BK1359" s="18"/>
      <c r="BL1359" s="18"/>
      <c r="BM1359" s="18"/>
      <c r="BN1359" s="18" t="s">
        <v>179</v>
      </c>
      <c r="BO1359" s="18" t="s">
        <v>488</v>
      </c>
      <c r="BP1359" s="18" t="s">
        <v>138</v>
      </c>
      <c r="BQ1359" s="18"/>
      <c r="BR1359" s="18"/>
      <c r="BS1359" s="15" t="s">
        <v>3650</v>
      </c>
      <c r="BT1359" s="19"/>
      <c r="DH1359" s="15" t="s">
        <v>17982</v>
      </c>
      <c r="DI1359" s="15" t="s">
        <v>17982</v>
      </c>
    </row>
    <row r="1360" spans="1:113" s="15" customFormat="1" ht="12.75" x14ac:dyDescent="0.2">
      <c r="A1360" s="15" t="s">
        <v>109</v>
      </c>
      <c r="B1360" s="15" t="s">
        <v>110</v>
      </c>
      <c r="D1360" s="15" t="s">
        <v>472</v>
      </c>
      <c r="E1360" s="15" t="s">
        <v>112</v>
      </c>
      <c r="F1360" s="15" t="s">
        <v>472</v>
      </c>
      <c r="G1360" s="15" t="s">
        <v>113</v>
      </c>
      <c r="H1360" s="15" t="s">
        <v>111</v>
      </c>
      <c r="J1360" s="16" t="s">
        <v>114</v>
      </c>
      <c r="U1360" s="15" t="s">
        <v>17977</v>
      </c>
      <c r="W1360" s="15">
        <v>624</v>
      </c>
      <c r="X1360" s="15">
        <v>1370</v>
      </c>
      <c r="Y1360" s="15" t="s">
        <v>160</v>
      </c>
      <c r="Z1360" s="15" t="s">
        <v>161</v>
      </c>
      <c r="AA1360" s="15" t="s">
        <v>162</v>
      </c>
      <c r="AB1360" s="15" t="s">
        <v>2266</v>
      </c>
      <c r="AC1360" s="15" t="s">
        <v>2266</v>
      </c>
      <c r="AD1360" s="15" t="s">
        <v>2267</v>
      </c>
      <c r="AE1360" s="15" t="s">
        <v>164</v>
      </c>
      <c r="AF1360" s="15" t="s">
        <v>2267</v>
      </c>
      <c r="AG1360" s="22" t="s">
        <v>2266</v>
      </c>
      <c r="AH1360" s="15" t="s">
        <v>2268</v>
      </c>
      <c r="AL1360" s="15" t="s">
        <v>2269</v>
      </c>
      <c r="AN1360" s="15">
        <v>743</v>
      </c>
      <c r="AO1360" s="15" t="s">
        <v>2270</v>
      </c>
      <c r="AQ1360" s="17" t="s">
        <v>342</v>
      </c>
      <c r="AT1360" s="15" t="s">
        <v>2271</v>
      </c>
      <c r="AU1360" s="15" t="s">
        <v>2272</v>
      </c>
      <c r="AV1360" s="15" t="s">
        <v>2272</v>
      </c>
      <c r="AW1360" s="18" t="s">
        <v>2273</v>
      </c>
      <c r="AX1360" s="18" t="s">
        <v>2274</v>
      </c>
      <c r="AY1360" s="23">
        <f t="shared" si="28"/>
        <v>55</v>
      </c>
      <c r="AZ1360" s="18" t="s">
        <v>482</v>
      </c>
      <c r="BA1360" s="18" t="s">
        <v>483</v>
      </c>
      <c r="BB1360" s="18" t="s">
        <v>2275</v>
      </c>
      <c r="BC1360" s="18"/>
      <c r="BD1360" s="18"/>
      <c r="BE1360" s="18" t="s">
        <v>485</v>
      </c>
      <c r="BF1360" s="18"/>
      <c r="BG1360" s="18"/>
      <c r="BH1360" s="18"/>
      <c r="BI1360" s="18"/>
      <c r="BJ1360" s="18" t="s">
        <v>981</v>
      </c>
      <c r="BK1360" s="18"/>
      <c r="BL1360" s="18"/>
      <c r="BM1360" s="18"/>
      <c r="BN1360" s="18" t="s">
        <v>179</v>
      </c>
      <c r="BO1360" s="18" t="s">
        <v>488</v>
      </c>
      <c r="BP1360" s="18" t="s">
        <v>138</v>
      </c>
      <c r="BQ1360" s="18"/>
      <c r="BR1360" s="18"/>
      <c r="BS1360" s="15" t="s">
        <v>2276</v>
      </c>
      <c r="BT1360" s="19"/>
      <c r="DH1360" s="15" t="s">
        <v>17982</v>
      </c>
      <c r="DI1360" s="15" t="s">
        <v>17982</v>
      </c>
    </row>
    <row r="1361" spans="1:113" s="15" customFormat="1" ht="12.75" x14ac:dyDescent="0.2">
      <c r="A1361" s="15" t="s">
        <v>109</v>
      </c>
      <c r="B1361" s="15" t="s">
        <v>110</v>
      </c>
      <c r="D1361" s="15" t="s">
        <v>472</v>
      </c>
      <c r="E1361" s="15" t="s">
        <v>112</v>
      </c>
      <c r="F1361" s="15" t="s">
        <v>472</v>
      </c>
      <c r="G1361" s="15" t="s">
        <v>113</v>
      </c>
      <c r="H1361" s="15" t="s">
        <v>111</v>
      </c>
      <c r="J1361" s="16" t="s">
        <v>114</v>
      </c>
      <c r="U1361" s="15" t="s">
        <v>17977</v>
      </c>
      <c r="W1361" s="15">
        <v>580</v>
      </c>
      <c r="X1361" s="15">
        <v>1371</v>
      </c>
      <c r="Y1361" s="15" t="s">
        <v>160</v>
      </c>
      <c r="Z1361" s="15" t="s">
        <v>161</v>
      </c>
      <c r="AA1361" s="15" t="s">
        <v>162</v>
      </c>
      <c r="AB1361" s="15" t="s">
        <v>2200</v>
      </c>
      <c r="AC1361" s="15" t="s">
        <v>2200</v>
      </c>
      <c r="AD1361" s="15" t="s">
        <v>2201</v>
      </c>
      <c r="AE1361" s="15" t="s">
        <v>164</v>
      </c>
      <c r="AF1361" s="15" t="s">
        <v>2201</v>
      </c>
      <c r="AG1361" s="22" t="s">
        <v>2200</v>
      </c>
      <c r="AH1361" s="15" t="s">
        <v>2202</v>
      </c>
      <c r="AL1361" s="15" t="s">
        <v>2203</v>
      </c>
      <c r="AN1361" s="15">
        <v>743</v>
      </c>
      <c r="AO1361" s="15" t="s">
        <v>2204</v>
      </c>
      <c r="AQ1361" s="17" t="s">
        <v>342</v>
      </c>
      <c r="AT1361" s="15" t="s">
        <v>2205</v>
      </c>
      <c r="AU1361" s="15" t="s">
        <v>2206</v>
      </c>
      <c r="AV1361" s="15" t="s">
        <v>2206</v>
      </c>
      <c r="AW1361" s="18" t="s">
        <v>2207</v>
      </c>
      <c r="AX1361" s="18" t="s">
        <v>2208</v>
      </c>
      <c r="AY1361" s="23">
        <f t="shared" si="28"/>
        <v>56</v>
      </c>
      <c r="AZ1361" s="18" t="s">
        <v>482</v>
      </c>
      <c r="BA1361" s="18" t="s">
        <v>483</v>
      </c>
      <c r="BB1361" s="18" t="s">
        <v>2197</v>
      </c>
      <c r="BC1361" s="18"/>
      <c r="BD1361" s="18"/>
      <c r="BE1361" s="18" t="s">
        <v>485</v>
      </c>
      <c r="BF1361" s="18"/>
      <c r="BG1361" s="18"/>
      <c r="BH1361" s="18"/>
      <c r="BI1361" s="18"/>
      <c r="BJ1361" s="18" t="s">
        <v>2209</v>
      </c>
      <c r="BK1361" s="18"/>
      <c r="BL1361" s="18"/>
      <c r="BM1361" s="18"/>
      <c r="BN1361" s="18" t="s">
        <v>179</v>
      </c>
      <c r="BO1361" s="18" t="s">
        <v>488</v>
      </c>
      <c r="BP1361" s="18" t="s">
        <v>138</v>
      </c>
      <c r="BQ1361" s="18"/>
      <c r="BR1361" s="18"/>
      <c r="BS1361" s="15" t="s">
        <v>2210</v>
      </c>
      <c r="BT1361" s="19"/>
      <c r="DH1361" s="15" t="s">
        <v>17982</v>
      </c>
      <c r="DI1361" s="15" t="s">
        <v>17982</v>
      </c>
    </row>
    <row r="1362" spans="1:113" s="15" customFormat="1" ht="12.75" x14ac:dyDescent="0.2">
      <c r="A1362" s="15" t="s">
        <v>109</v>
      </c>
      <c r="B1362" s="15" t="s">
        <v>110</v>
      </c>
      <c r="D1362" s="15" t="s">
        <v>472</v>
      </c>
      <c r="E1362" s="15" t="s">
        <v>112</v>
      </c>
      <c r="F1362" s="15" t="s">
        <v>472</v>
      </c>
      <c r="G1362" s="15" t="s">
        <v>113</v>
      </c>
      <c r="H1362" s="15" t="s">
        <v>111</v>
      </c>
      <c r="J1362" s="16" t="s">
        <v>114</v>
      </c>
      <c r="U1362" s="15" t="s">
        <v>17977</v>
      </c>
      <c r="W1362" s="15">
        <v>2662</v>
      </c>
      <c r="X1362" s="15">
        <v>1372</v>
      </c>
      <c r="Y1362" s="15" t="s">
        <v>160</v>
      </c>
      <c r="Z1362" s="15" t="s">
        <v>161</v>
      </c>
      <c r="AA1362" s="15" t="s">
        <v>162</v>
      </c>
      <c r="AB1362" s="15" t="s">
        <v>12874</v>
      </c>
      <c r="AC1362" s="15" t="s">
        <v>12874</v>
      </c>
      <c r="AD1362" s="15" t="s">
        <v>12875</v>
      </c>
      <c r="AE1362" s="15" t="s">
        <v>164</v>
      </c>
      <c r="AF1362" s="15" t="s">
        <v>12875</v>
      </c>
      <c r="AG1362" s="22" t="s">
        <v>12874</v>
      </c>
      <c r="AH1362" s="47" t="s">
        <v>12876</v>
      </c>
      <c r="AL1362" s="15" t="s">
        <v>12877</v>
      </c>
      <c r="AN1362" s="15">
        <v>743</v>
      </c>
      <c r="AO1362" s="15" t="s">
        <v>12878</v>
      </c>
      <c r="AQ1362" s="17" t="s">
        <v>342</v>
      </c>
      <c r="AT1362" s="15" t="s">
        <v>12879</v>
      </c>
      <c r="AU1362" s="15" t="s">
        <v>12880</v>
      </c>
      <c r="AV1362" s="15" t="s">
        <v>12880</v>
      </c>
      <c r="AW1362" s="18" t="s">
        <v>12881</v>
      </c>
      <c r="AX1362" s="18" t="s">
        <v>12882</v>
      </c>
      <c r="AY1362" s="23">
        <f t="shared" si="28"/>
        <v>59</v>
      </c>
      <c r="AZ1362" s="18" t="s">
        <v>482</v>
      </c>
      <c r="BA1362" s="18" t="s">
        <v>483</v>
      </c>
      <c r="BB1362" s="18" t="s">
        <v>10726</v>
      </c>
      <c r="BC1362" s="18"/>
      <c r="BD1362" s="18"/>
      <c r="BE1362" s="18" t="s">
        <v>485</v>
      </c>
      <c r="BF1362" s="18"/>
      <c r="BG1362" s="18"/>
      <c r="BH1362" s="18"/>
      <c r="BI1362" s="18"/>
      <c r="BJ1362" s="18" t="s">
        <v>12883</v>
      </c>
      <c r="BK1362" s="18"/>
      <c r="BL1362" s="18"/>
      <c r="BM1362" s="18"/>
      <c r="BN1362" s="18" t="s">
        <v>179</v>
      </c>
      <c r="BO1362" s="18" t="s">
        <v>488</v>
      </c>
      <c r="BP1362" s="18" t="s">
        <v>138</v>
      </c>
      <c r="BQ1362" s="18"/>
      <c r="BR1362" s="18"/>
      <c r="BS1362" s="15" t="s">
        <v>12884</v>
      </c>
      <c r="BT1362" s="19"/>
      <c r="DH1362" s="15" t="s">
        <v>17982</v>
      </c>
      <c r="DI1362" s="15" t="s">
        <v>17982</v>
      </c>
    </row>
    <row r="1363" spans="1:113" s="15" customFormat="1" ht="12.75" x14ac:dyDescent="0.2">
      <c r="A1363" s="15" t="s">
        <v>109</v>
      </c>
      <c r="B1363" s="15" t="s">
        <v>110</v>
      </c>
      <c r="D1363" s="15" t="s">
        <v>472</v>
      </c>
      <c r="E1363" s="15" t="s">
        <v>112</v>
      </c>
      <c r="F1363" s="15" t="s">
        <v>472</v>
      </c>
      <c r="G1363" s="15" t="s">
        <v>113</v>
      </c>
      <c r="H1363" s="15" t="s">
        <v>111</v>
      </c>
      <c r="J1363" s="16" t="s">
        <v>114</v>
      </c>
      <c r="U1363" s="15" t="s">
        <v>17977</v>
      </c>
      <c r="W1363" s="15">
        <v>912</v>
      </c>
      <c r="X1363" s="15">
        <v>1373</v>
      </c>
      <c r="Y1363" s="15" t="s">
        <v>160</v>
      </c>
      <c r="Z1363" s="15" t="s">
        <v>161</v>
      </c>
      <c r="AA1363" s="15" t="s">
        <v>162</v>
      </c>
      <c r="AB1363" s="15" t="s">
        <v>4126</v>
      </c>
      <c r="AC1363" s="15" t="s">
        <v>4126</v>
      </c>
      <c r="AD1363" s="15" t="s">
        <v>4127</v>
      </c>
      <c r="AE1363" s="15" t="s">
        <v>164</v>
      </c>
      <c r="AF1363" s="15" t="s">
        <v>4127</v>
      </c>
      <c r="AG1363" s="22" t="s">
        <v>4126</v>
      </c>
      <c r="AH1363" s="15" t="s">
        <v>4128</v>
      </c>
      <c r="AL1363" s="15" t="s">
        <v>4129</v>
      </c>
      <c r="AN1363" s="15">
        <v>743</v>
      </c>
      <c r="AO1363" s="15" t="s">
        <v>4130</v>
      </c>
      <c r="AQ1363" s="17" t="s">
        <v>342</v>
      </c>
      <c r="AT1363" s="15" t="s">
        <v>4131</v>
      </c>
      <c r="AU1363" s="15" t="s">
        <v>4132</v>
      </c>
      <c r="AV1363" s="15" t="s">
        <v>4132</v>
      </c>
      <c r="AW1363" s="18" t="s">
        <v>4133</v>
      </c>
      <c r="AX1363" s="18" t="s">
        <v>4134</v>
      </c>
      <c r="AY1363" s="23">
        <f t="shared" si="28"/>
        <v>55</v>
      </c>
      <c r="AZ1363" s="18" t="s">
        <v>604</v>
      </c>
      <c r="BA1363" s="18" t="s">
        <v>483</v>
      </c>
      <c r="BB1363" s="18" t="s">
        <v>4026</v>
      </c>
      <c r="BC1363" s="18"/>
      <c r="BD1363" s="18"/>
      <c r="BE1363" s="18" t="s">
        <v>485</v>
      </c>
      <c r="BF1363" s="18"/>
      <c r="BG1363" s="18"/>
      <c r="BH1363" s="18"/>
      <c r="BI1363" s="18"/>
      <c r="BJ1363" s="18" t="s">
        <v>4135</v>
      </c>
      <c r="BK1363" s="18"/>
      <c r="BL1363" s="18"/>
      <c r="BM1363" s="18"/>
      <c r="BN1363" s="18" t="s">
        <v>179</v>
      </c>
      <c r="BO1363" s="18" t="s">
        <v>488</v>
      </c>
      <c r="BP1363" s="18" t="s">
        <v>138</v>
      </c>
      <c r="BQ1363" s="18"/>
      <c r="BR1363" s="18"/>
      <c r="BS1363" s="15" t="s">
        <v>4136</v>
      </c>
      <c r="BT1363" s="19"/>
      <c r="DH1363" s="15" t="s">
        <v>17982</v>
      </c>
      <c r="DI1363" s="15" t="s">
        <v>17982</v>
      </c>
    </row>
    <row r="1364" spans="1:113" s="15" customFormat="1" ht="12.75" x14ac:dyDescent="0.2">
      <c r="A1364" s="15" t="s">
        <v>109</v>
      </c>
      <c r="B1364" s="15" t="s">
        <v>110</v>
      </c>
      <c r="D1364" s="15" t="s">
        <v>472</v>
      </c>
      <c r="E1364" s="15" t="s">
        <v>112</v>
      </c>
      <c r="F1364" s="15" t="s">
        <v>472</v>
      </c>
      <c r="G1364" s="15" t="s">
        <v>113</v>
      </c>
      <c r="H1364" s="15" t="s">
        <v>111</v>
      </c>
      <c r="J1364" s="16" t="s">
        <v>114</v>
      </c>
      <c r="U1364" s="15" t="s">
        <v>17977</v>
      </c>
      <c r="W1364" s="15">
        <v>1214</v>
      </c>
      <c r="X1364" s="15">
        <v>1374</v>
      </c>
      <c r="Y1364" s="15" t="s">
        <v>160</v>
      </c>
      <c r="Z1364" s="15" t="s">
        <v>161</v>
      </c>
      <c r="AA1364" s="15" t="s">
        <v>162</v>
      </c>
      <c r="AB1364" s="15" t="s">
        <v>6353</v>
      </c>
      <c r="AC1364" s="15" t="s">
        <v>6353</v>
      </c>
      <c r="AD1364" s="15" t="s">
        <v>6354</v>
      </c>
      <c r="AE1364" s="15" t="s">
        <v>164</v>
      </c>
      <c r="AF1364" s="15" t="s">
        <v>6354</v>
      </c>
      <c r="AG1364" s="22" t="s">
        <v>6353</v>
      </c>
      <c r="AH1364" s="15" t="s">
        <v>6355</v>
      </c>
      <c r="AL1364" s="15" t="s">
        <v>6356</v>
      </c>
      <c r="AN1364" s="15">
        <v>743</v>
      </c>
      <c r="AO1364" s="15" t="s">
        <v>6357</v>
      </c>
      <c r="AQ1364" s="17" t="s">
        <v>342</v>
      </c>
      <c r="AT1364" s="15" t="s">
        <v>6358</v>
      </c>
      <c r="AU1364" s="15" t="s">
        <v>6359</v>
      </c>
      <c r="AV1364" s="15" t="s">
        <v>6359</v>
      </c>
      <c r="AW1364" s="18" t="s">
        <v>6360</v>
      </c>
      <c r="AX1364" s="18" t="s">
        <v>6361</v>
      </c>
      <c r="AY1364" s="23">
        <f t="shared" si="28"/>
        <v>57</v>
      </c>
      <c r="AZ1364" s="18" t="s">
        <v>1725</v>
      </c>
      <c r="BA1364" s="18" t="s">
        <v>483</v>
      </c>
      <c r="BB1364" s="18" t="s">
        <v>6362</v>
      </c>
      <c r="BC1364" s="18"/>
      <c r="BD1364" s="18"/>
      <c r="BE1364" s="18" t="s">
        <v>485</v>
      </c>
      <c r="BF1364" s="18"/>
      <c r="BG1364" s="18"/>
      <c r="BH1364" s="18"/>
      <c r="BI1364" s="18"/>
      <c r="BJ1364" s="18" t="s">
        <v>543</v>
      </c>
      <c r="BK1364" s="18"/>
      <c r="BL1364" s="18"/>
      <c r="BM1364" s="18"/>
      <c r="BN1364" s="18" t="s">
        <v>179</v>
      </c>
      <c r="BO1364" s="18" t="s">
        <v>488</v>
      </c>
      <c r="BP1364" s="18" t="s">
        <v>138</v>
      </c>
      <c r="BQ1364" s="18"/>
      <c r="BR1364" s="18"/>
      <c r="BS1364" s="15" t="s">
        <v>6363</v>
      </c>
      <c r="BT1364" s="19"/>
      <c r="DH1364" s="15" t="s">
        <v>17982</v>
      </c>
      <c r="DI1364" s="15" t="s">
        <v>17982</v>
      </c>
    </row>
    <row r="1365" spans="1:113" s="15" customFormat="1" ht="12.75" x14ac:dyDescent="0.2">
      <c r="A1365" s="15" t="s">
        <v>109</v>
      </c>
      <c r="B1365" s="15" t="s">
        <v>110</v>
      </c>
      <c r="D1365" s="15" t="s">
        <v>472</v>
      </c>
      <c r="E1365" s="15" t="s">
        <v>112</v>
      </c>
      <c r="F1365" s="15" t="s">
        <v>472</v>
      </c>
      <c r="G1365" s="15" t="s">
        <v>113</v>
      </c>
      <c r="H1365" s="15" t="s">
        <v>111</v>
      </c>
      <c r="J1365" s="16" t="s">
        <v>114</v>
      </c>
      <c r="U1365" s="15" t="s">
        <v>17977</v>
      </c>
      <c r="W1365" s="15">
        <v>1126</v>
      </c>
      <c r="X1365" s="15">
        <v>1375</v>
      </c>
      <c r="Y1365" s="15" t="s">
        <v>160</v>
      </c>
      <c r="Z1365" s="15" t="s">
        <v>161</v>
      </c>
      <c r="AA1365" s="15" t="s">
        <v>162</v>
      </c>
      <c r="AB1365" s="15" t="s">
        <v>5937</v>
      </c>
      <c r="AC1365" s="15" t="s">
        <v>5937</v>
      </c>
      <c r="AD1365" s="15" t="s">
        <v>5938</v>
      </c>
      <c r="AE1365" s="15" t="s">
        <v>164</v>
      </c>
      <c r="AF1365" s="15" t="s">
        <v>5938</v>
      </c>
      <c r="AG1365" s="22" t="s">
        <v>5937</v>
      </c>
      <c r="AH1365" s="15" t="s">
        <v>5939</v>
      </c>
      <c r="AL1365" s="15" t="s">
        <v>5940</v>
      </c>
      <c r="AN1365" s="15">
        <v>743</v>
      </c>
      <c r="AO1365" s="15" t="s">
        <v>5941</v>
      </c>
      <c r="AQ1365" s="17" t="s">
        <v>342</v>
      </c>
      <c r="AT1365" s="15" t="s">
        <v>5942</v>
      </c>
      <c r="AU1365" s="15" t="s">
        <v>5943</v>
      </c>
      <c r="AV1365" s="15" t="s">
        <v>5943</v>
      </c>
      <c r="AW1365" s="18" t="s">
        <v>5944</v>
      </c>
      <c r="AX1365" s="18" t="s">
        <v>5945</v>
      </c>
      <c r="AY1365" s="23">
        <f t="shared" si="28"/>
        <v>59</v>
      </c>
      <c r="AZ1365" s="18" t="s">
        <v>482</v>
      </c>
      <c r="BA1365" s="18" t="s">
        <v>483</v>
      </c>
      <c r="BB1365" s="18" t="s">
        <v>5934</v>
      </c>
      <c r="BC1365" s="18"/>
      <c r="BD1365" s="18"/>
      <c r="BE1365" s="18" t="s">
        <v>485</v>
      </c>
      <c r="BF1365" s="18"/>
      <c r="BG1365" s="18"/>
      <c r="BH1365" s="18"/>
      <c r="BI1365" s="18"/>
      <c r="BJ1365" s="18" t="s">
        <v>981</v>
      </c>
      <c r="BK1365" s="18"/>
      <c r="BL1365" s="18"/>
      <c r="BM1365" s="18"/>
      <c r="BN1365" s="18" t="s">
        <v>179</v>
      </c>
      <c r="BO1365" s="18" t="s">
        <v>488</v>
      </c>
      <c r="BP1365" s="18" t="s">
        <v>138</v>
      </c>
      <c r="BQ1365" s="18"/>
      <c r="BR1365" s="18"/>
      <c r="BS1365" s="15" t="s">
        <v>5946</v>
      </c>
      <c r="BT1365" s="19"/>
      <c r="DH1365" s="15" t="s">
        <v>17982</v>
      </c>
      <c r="DI1365" s="15" t="s">
        <v>17982</v>
      </c>
    </row>
    <row r="1366" spans="1:113" s="15" customFormat="1" ht="12.75" x14ac:dyDescent="0.2">
      <c r="A1366" s="15" t="s">
        <v>109</v>
      </c>
      <c r="B1366" s="15" t="s">
        <v>110</v>
      </c>
      <c r="D1366" s="15" t="s">
        <v>472</v>
      </c>
      <c r="E1366" s="15" t="s">
        <v>112</v>
      </c>
      <c r="F1366" s="15" t="s">
        <v>472</v>
      </c>
      <c r="G1366" s="15" t="s">
        <v>113</v>
      </c>
      <c r="H1366" s="15" t="s">
        <v>111</v>
      </c>
      <c r="J1366" s="16" t="s">
        <v>114</v>
      </c>
      <c r="U1366" s="15" t="s">
        <v>17977</v>
      </c>
      <c r="W1366" s="15">
        <v>1127</v>
      </c>
      <c r="X1366" s="15">
        <v>1376</v>
      </c>
      <c r="Y1366" s="15" t="s">
        <v>160</v>
      </c>
      <c r="Z1366" s="15" t="s">
        <v>161</v>
      </c>
      <c r="AA1366" s="15" t="s">
        <v>162</v>
      </c>
      <c r="AB1366" s="15" t="s">
        <v>5947</v>
      </c>
      <c r="AC1366" s="15" t="s">
        <v>5947</v>
      </c>
      <c r="AD1366" s="15" t="s">
        <v>5948</v>
      </c>
      <c r="AE1366" s="15" t="s">
        <v>164</v>
      </c>
      <c r="AF1366" s="15" t="s">
        <v>5948</v>
      </c>
      <c r="AG1366" s="22" t="s">
        <v>5947</v>
      </c>
      <c r="AH1366" s="15" t="s">
        <v>5949</v>
      </c>
      <c r="AL1366" s="15" t="s">
        <v>5950</v>
      </c>
      <c r="AN1366" s="15">
        <v>743</v>
      </c>
      <c r="AO1366" s="15" t="s">
        <v>5951</v>
      </c>
      <c r="AQ1366" s="17" t="s">
        <v>342</v>
      </c>
      <c r="AT1366" s="15" t="s">
        <v>5952</v>
      </c>
      <c r="AU1366" s="15" t="s">
        <v>5953</v>
      </c>
      <c r="AV1366" s="15" t="s">
        <v>5953</v>
      </c>
      <c r="AW1366" s="18" t="s">
        <v>5954</v>
      </c>
      <c r="AX1366" s="18" t="s">
        <v>5955</v>
      </c>
      <c r="AY1366" s="23">
        <f t="shared" si="28"/>
        <v>58</v>
      </c>
      <c r="AZ1366" s="18" t="s">
        <v>482</v>
      </c>
      <c r="BA1366" s="18" t="s">
        <v>483</v>
      </c>
      <c r="BB1366" s="18" t="s">
        <v>5956</v>
      </c>
      <c r="BC1366" s="18"/>
      <c r="BD1366" s="18"/>
      <c r="BE1366" s="18" t="s">
        <v>485</v>
      </c>
      <c r="BF1366" s="18" t="s">
        <v>5957</v>
      </c>
      <c r="BG1366" s="18"/>
      <c r="BH1366" s="18"/>
      <c r="BI1366" s="18"/>
      <c r="BJ1366" s="18" t="s">
        <v>5958</v>
      </c>
      <c r="BK1366" s="18"/>
      <c r="BL1366" s="18"/>
      <c r="BM1366" s="18"/>
      <c r="BN1366" s="18" t="s">
        <v>179</v>
      </c>
      <c r="BO1366" s="18" t="s">
        <v>488</v>
      </c>
      <c r="BP1366" s="18" t="s">
        <v>138</v>
      </c>
      <c r="BQ1366" s="18"/>
      <c r="BR1366" s="18"/>
      <c r="BS1366" s="15" t="s">
        <v>5959</v>
      </c>
      <c r="BT1366" s="19"/>
      <c r="DH1366" s="15" t="s">
        <v>17982</v>
      </c>
      <c r="DI1366" s="15" t="s">
        <v>17982</v>
      </c>
    </row>
    <row r="1367" spans="1:113" s="15" customFormat="1" ht="12.75" x14ac:dyDescent="0.2">
      <c r="A1367" s="15" t="s">
        <v>109</v>
      </c>
      <c r="B1367" s="15" t="s">
        <v>110</v>
      </c>
      <c r="D1367" s="15" t="s">
        <v>472</v>
      </c>
      <c r="E1367" s="15" t="s">
        <v>112</v>
      </c>
      <c r="F1367" s="15" t="s">
        <v>472</v>
      </c>
      <c r="G1367" s="15" t="s">
        <v>113</v>
      </c>
      <c r="H1367" s="15" t="s">
        <v>111</v>
      </c>
      <c r="J1367" s="16" t="s">
        <v>114</v>
      </c>
      <c r="U1367" s="15" t="s">
        <v>17977</v>
      </c>
      <c r="W1367" s="15">
        <v>1129</v>
      </c>
      <c r="X1367" s="15">
        <v>1377</v>
      </c>
      <c r="Y1367" s="15" t="s">
        <v>160</v>
      </c>
      <c r="Z1367" s="15" t="s">
        <v>161</v>
      </c>
      <c r="AA1367" s="15" t="s">
        <v>162</v>
      </c>
      <c r="AB1367" s="15" t="s">
        <v>5972</v>
      </c>
      <c r="AC1367" s="15" t="s">
        <v>5972</v>
      </c>
      <c r="AD1367" s="15" t="s">
        <v>5973</v>
      </c>
      <c r="AE1367" s="15" t="s">
        <v>164</v>
      </c>
      <c r="AF1367" s="15" t="s">
        <v>5973</v>
      </c>
      <c r="AG1367" s="22" t="s">
        <v>5972</v>
      </c>
      <c r="AH1367" s="15" t="s">
        <v>5974</v>
      </c>
      <c r="AL1367" s="15" t="s">
        <v>5975</v>
      </c>
      <c r="AN1367" s="15">
        <v>743</v>
      </c>
      <c r="AO1367" s="15" t="s">
        <v>5976</v>
      </c>
      <c r="AQ1367" s="17" t="s">
        <v>342</v>
      </c>
      <c r="AT1367" s="15" t="s">
        <v>5977</v>
      </c>
      <c r="AU1367" s="15" t="s">
        <v>5978</v>
      </c>
      <c r="AV1367" s="15" t="s">
        <v>5978</v>
      </c>
      <c r="AW1367" s="18" t="s">
        <v>5979</v>
      </c>
      <c r="AX1367" s="18" t="s">
        <v>5980</v>
      </c>
      <c r="AY1367" s="23">
        <f t="shared" si="28"/>
        <v>58</v>
      </c>
      <c r="AZ1367" s="18" t="s">
        <v>482</v>
      </c>
      <c r="BA1367" s="18" t="s">
        <v>483</v>
      </c>
      <c r="BB1367" s="18" t="s">
        <v>5956</v>
      </c>
      <c r="BC1367" s="18"/>
      <c r="BD1367" s="18"/>
      <c r="BE1367" s="18" t="s">
        <v>485</v>
      </c>
      <c r="BF1367" s="18" t="s">
        <v>5981</v>
      </c>
      <c r="BG1367" s="18"/>
      <c r="BH1367" s="18"/>
      <c r="BI1367" s="18"/>
      <c r="BJ1367" s="18" t="s">
        <v>5958</v>
      </c>
      <c r="BK1367" s="18"/>
      <c r="BL1367" s="18"/>
      <c r="BM1367" s="18"/>
      <c r="BN1367" s="18" t="s">
        <v>179</v>
      </c>
      <c r="BO1367" s="18" t="s">
        <v>488</v>
      </c>
      <c r="BP1367" s="18" t="s">
        <v>138</v>
      </c>
      <c r="BQ1367" s="18"/>
      <c r="BR1367" s="18"/>
      <c r="BS1367" s="15" t="s">
        <v>5982</v>
      </c>
      <c r="BT1367" s="19"/>
      <c r="DH1367" s="15" t="s">
        <v>17982</v>
      </c>
      <c r="DI1367" s="15" t="s">
        <v>17982</v>
      </c>
    </row>
    <row r="1368" spans="1:113" s="15" customFormat="1" ht="12.75" x14ac:dyDescent="0.2">
      <c r="A1368" s="15" t="s">
        <v>109</v>
      </c>
      <c r="B1368" s="15" t="s">
        <v>110</v>
      </c>
      <c r="D1368" s="15" t="s">
        <v>472</v>
      </c>
      <c r="E1368" s="15" t="s">
        <v>112</v>
      </c>
      <c r="F1368" s="15" t="s">
        <v>472</v>
      </c>
      <c r="G1368" s="15" t="s">
        <v>113</v>
      </c>
      <c r="H1368" s="15" t="s">
        <v>111</v>
      </c>
      <c r="J1368" s="16" t="s">
        <v>114</v>
      </c>
      <c r="U1368" s="15" t="s">
        <v>17977</v>
      </c>
      <c r="W1368" s="15">
        <v>1125</v>
      </c>
      <c r="X1368" s="15">
        <v>1378</v>
      </c>
      <c r="Y1368" s="15" t="s">
        <v>160</v>
      </c>
      <c r="Z1368" s="15" t="s">
        <v>161</v>
      </c>
      <c r="AA1368" s="15" t="s">
        <v>162</v>
      </c>
      <c r="AB1368" s="15" t="s">
        <v>5925</v>
      </c>
      <c r="AC1368" s="15" t="s">
        <v>5925</v>
      </c>
      <c r="AD1368" s="15" t="s">
        <v>5926</v>
      </c>
      <c r="AE1368" s="15" t="s">
        <v>164</v>
      </c>
      <c r="AF1368" s="15" t="s">
        <v>5926</v>
      </c>
      <c r="AG1368" s="22" t="s">
        <v>5925</v>
      </c>
      <c r="AH1368" s="15" t="s">
        <v>5927</v>
      </c>
      <c r="AL1368" s="15" t="s">
        <v>5928</v>
      </c>
      <c r="AN1368" s="15">
        <v>743</v>
      </c>
      <c r="AO1368" s="15" t="s">
        <v>5929</v>
      </c>
      <c r="AQ1368" s="17" t="s">
        <v>342</v>
      </c>
      <c r="AT1368" s="15" t="s">
        <v>5930</v>
      </c>
      <c r="AU1368" s="15" t="s">
        <v>5931</v>
      </c>
      <c r="AV1368" s="15" t="s">
        <v>5931</v>
      </c>
      <c r="AW1368" s="18" t="s">
        <v>5932</v>
      </c>
      <c r="AX1368" s="18" t="s">
        <v>5933</v>
      </c>
      <c r="AY1368" s="23">
        <f t="shared" si="28"/>
        <v>57</v>
      </c>
      <c r="AZ1368" s="18" t="s">
        <v>482</v>
      </c>
      <c r="BA1368" s="18" t="s">
        <v>483</v>
      </c>
      <c r="BB1368" s="18" t="s">
        <v>5934</v>
      </c>
      <c r="BC1368" s="18"/>
      <c r="BD1368" s="18"/>
      <c r="BE1368" s="18" t="s">
        <v>485</v>
      </c>
      <c r="BF1368" s="18"/>
      <c r="BG1368" s="18"/>
      <c r="BH1368" s="18"/>
      <c r="BI1368" s="18"/>
      <c r="BJ1368" s="18" t="s">
        <v>5935</v>
      </c>
      <c r="BK1368" s="18"/>
      <c r="BL1368" s="18"/>
      <c r="BM1368" s="18"/>
      <c r="BN1368" s="18" t="s">
        <v>179</v>
      </c>
      <c r="BO1368" s="18" t="s">
        <v>488</v>
      </c>
      <c r="BP1368" s="18" t="s">
        <v>138</v>
      </c>
      <c r="BQ1368" s="18"/>
      <c r="BR1368" s="18"/>
      <c r="BS1368" s="15" t="s">
        <v>5936</v>
      </c>
      <c r="BT1368" s="19"/>
      <c r="DH1368" s="15" t="s">
        <v>17982</v>
      </c>
      <c r="DI1368" s="15" t="s">
        <v>17982</v>
      </c>
    </row>
    <row r="1369" spans="1:113" s="15" customFormat="1" ht="12.75" x14ac:dyDescent="0.2">
      <c r="A1369" s="15" t="s">
        <v>109</v>
      </c>
      <c r="B1369" s="15" t="s">
        <v>110</v>
      </c>
      <c r="D1369" s="15" t="s">
        <v>233</v>
      </c>
      <c r="E1369" s="15" t="s">
        <v>113</v>
      </c>
      <c r="F1369" s="15" t="s">
        <v>233</v>
      </c>
      <c r="G1369" s="15" t="s">
        <v>113</v>
      </c>
      <c r="H1369" s="15" t="s">
        <v>111</v>
      </c>
      <c r="J1369" s="16" t="s">
        <v>114</v>
      </c>
      <c r="U1369" s="15" t="s">
        <v>17977</v>
      </c>
      <c r="W1369" s="15">
        <v>1648</v>
      </c>
      <c r="X1369" s="15">
        <v>1379</v>
      </c>
      <c r="Y1369" s="15" t="s">
        <v>160</v>
      </c>
      <c r="Z1369" s="15" t="s">
        <v>161</v>
      </c>
      <c r="AA1369" s="15" t="s">
        <v>162</v>
      </c>
      <c r="AB1369" s="15" t="s">
        <v>8442</v>
      </c>
      <c r="AC1369" s="15" t="s">
        <v>8442</v>
      </c>
      <c r="AD1369" s="15" t="s">
        <v>8443</v>
      </c>
      <c r="AE1369" s="15" t="s">
        <v>164</v>
      </c>
      <c r="AF1369" s="15" t="s">
        <v>8442</v>
      </c>
      <c r="AG1369" s="15" t="s">
        <v>8442</v>
      </c>
      <c r="AH1369" s="47" t="s">
        <v>8444</v>
      </c>
      <c r="AL1369" s="15" t="s">
        <v>8445</v>
      </c>
      <c r="AN1369" s="15">
        <v>743</v>
      </c>
      <c r="AO1369" s="15" t="s">
        <v>8446</v>
      </c>
      <c r="AQ1369" s="20" t="s">
        <v>3622</v>
      </c>
      <c r="AT1369" s="18" t="s">
        <v>8447</v>
      </c>
      <c r="AU1369" s="29" t="s">
        <v>8448</v>
      </c>
      <c r="AV1369" s="29" t="s">
        <v>8449</v>
      </c>
      <c r="AW1369" s="29" t="s">
        <v>8450</v>
      </c>
      <c r="AX1369" s="29" t="s">
        <v>8451</v>
      </c>
      <c r="AY1369" s="21">
        <f t="shared" ref="AY1369:AY1400" si="29">LEN(SUBSTITUTE(AX1369,", "," "))</f>
        <v>55</v>
      </c>
      <c r="AZ1369" s="29" t="s">
        <v>393</v>
      </c>
      <c r="BA1369" s="29" t="s">
        <v>483</v>
      </c>
      <c r="BB1369" s="29" t="s">
        <v>229</v>
      </c>
      <c r="BC1369" s="18"/>
      <c r="BD1369" s="18"/>
      <c r="BE1369" s="29" t="s">
        <v>485</v>
      </c>
      <c r="BF1369" s="18"/>
      <c r="BG1369" s="18"/>
      <c r="BH1369" s="18"/>
      <c r="BI1369" s="18"/>
      <c r="BJ1369" s="29" t="s">
        <v>8452</v>
      </c>
      <c r="BK1369" s="18"/>
      <c r="BL1369" s="18"/>
      <c r="BM1369" s="18"/>
      <c r="BN1369" s="18" t="s">
        <v>179</v>
      </c>
      <c r="BO1369" s="18"/>
      <c r="BP1369" s="15" t="s">
        <v>138</v>
      </c>
      <c r="BQ1369" s="18"/>
      <c r="BS1369" s="15" t="s">
        <v>8453</v>
      </c>
      <c r="DH1369" s="15" t="s">
        <v>17982</v>
      </c>
      <c r="DI1369" s="15" t="s">
        <v>17982</v>
      </c>
    </row>
    <row r="1370" spans="1:113" s="15" customFormat="1" ht="12.75" x14ac:dyDescent="0.2">
      <c r="A1370" s="15" t="s">
        <v>109</v>
      </c>
      <c r="B1370" s="15" t="s">
        <v>110</v>
      </c>
      <c r="D1370" s="15" t="s">
        <v>233</v>
      </c>
      <c r="E1370" s="15" t="s">
        <v>113</v>
      </c>
      <c r="F1370" s="15" t="s">
        <v>233</v>
      </c>
      <c r="G1370" s="15" t="s">
        <v>113</v>
      </c>
      <c r="H1370" s="15" t="s">
        <v>111</v>
      </c>
      <c r="J1370" s="16" t="s">
        <v>114</v>
      </c>
      <c r="U1370" s="15" t="s">
        <v>17977</v>
      </c>
      <c r="W1370" s="15">
        <v>1888</v>
      </c>
      <c r="X1370" s="15">
        <v>1380</v>
      </c>
      <c r="Y1370" s="15" t="s">
        <v>160</v>
      </c>
      <c r="Z1370" s="15" t="s">
        <v>161</v>
      </c>
      <c r="AA1370" s="15" t="s">
        <v>162</v>
      </c>
      <c r="AB1370" s="15" t="s">
        <v>10157</v>
      </c>
      <c r="AC1370" s="15" t="s">
        <v>10157</v>
      </c>
      <c r="AD1370" s="15" t="s">
        <v>10158</v>
      </c>
      <c r="AE1370" s="15" t="s">
        <v>164</v>
      </c>
      <c r="AF1370" s="15" t="s">
        <v>10157</v>
      </c>
      <c r="AG1370" s="15" t="s">
        <v>10157</v>
      </c>
      <c r="AH1370" s="15" t="s">
        <v>10159</v>
      </c>
      <c r="AL1370" s="15" t="s">
        <v>10160</v>
      </c>
      <c r="AN1370" s="15">
        <v>743</v>
      </c>
      <c r="AO1370" s="15" t="s">
        <v>10161</v>
      </c>
      <c r="AQ1370" s="20" t="s">
        <v>342</v>
      </c>
      <c r="AT1370" s="18" t="s">
        <v>10162</v>
      </c>
      <c r="AU1370" s="24" t="s">
        <v>10163</v>
      </c>
      <c r="AV1370" s="24" t="s">
        <v>10164</v>
      </c>
      <c r="AW1370" s="24" t="s">
        <v>10165</v>
      </c>
      <c r="AX1370" s="24" t="s">
        <v>10166</v>
      </c>
      <c r="AY1370" s="21">
        <f t="shared" si="29"/>
        <v>60</v>
      </c>
      <c r="AZ1370" s="24" t="s">
        <v>1725</v>
      </c>
      <c r="BA1370" s="29" t="s">
        <v>483</v>
      </c>
      <c r="BB1370" s="18" t="s">
        <v>10167</v>
      </c>
      <c r="BC1370" s="18"/>
      <c r="BD1370" s="18"/>
      <c r="BE1370" s="29" t="s">
        <v>485</v>
      </c>
      <c r="BF1370" s="18"/>
      <c r="BG1370" s="18"/>
      <c r="BH1370" s="18"/>
      <c r="BI1370" s="18"/>
      <c r="BJ1370" s="18" t="s">
        <v>10168</v>
      </c>
      <c r="BK1370" s="18"/>
      <c r="BL1370" s="18"/>
      <c r="BM1370" s="18"/>
      <c r="BN1370" s="18" t="s">
        <v>179</v>
      </c>
      <c r="BO1370" s="18"/>
      <c r="BP1370" s="15" t="s">
        <v>138</v>
      </c>
      <c r="BQ1370" s="18"/>
      <c r="BS1370" s="15" t="s">
        <v>10169</v>
      </c>
      <c r="DH1370" s="15" t="s">
        <v>17982</v>
      </c>
      <c r="DI1370" s="15" t="s">
        <v>17982</v>
      </c>
    </row>
    <row r="1371" spans="1:113" s="15" customFormat="1" ht="12.75" x14ac:dyDescent="0.2">
      <c r="A1371" s="15" t="s">
        <v>109</v>
      </c>
      <c r="B1371" s="15" t="s">
        <v>110</v>
      </c>
      <c r="D1371" s="15" t="s">
        <v>233</v>
      </c>
      <c r="E1371" s="15" t="s">
        <v>113</v>
      </c>
      <c r="F1371" s="15" t="s">
        <v>233</v>
      </c>
      <c r="G1371" s="15" t="s">
        <v>113</v>
      </c>
      <c r="H1371" s="15" t="s">
        <v>111</v>
      </c>
      <c r="J1371" s="16" t="s">
        <v>114</v>
      </c>
      <c r="U1371" s="15" t="s">
        <v>17977</v>
      </c>
      <c r="W1371" s="15">
        <v>2129</v>
      </c>
      <c r="X1371" s="15">
        <v>1381</v>
      </c>
      <c r="Y1371" s="15" t="s">
        <v>160</v>
      </c>
      <c r="Z1371" s="15" t="s">
        <v>161</v>
      </c>
      <c r="AA1371" s="15" t="s">
        <v>162</v>
      </c>
      <c r="AB1371" s="15" t="s">
        <v>10881</v>
      </c>
      <c r="AC1371" s="15" t="s">
        <v>10881</v>
      </c>
      <c r="AD1371" s="15" t="s">
        <v>10882</v>
      </c>
      <c r="AE1371" s="15" t="s">
        <v>164</v>
      </c>
      <c r="AF1371" s="15" t="s">
        <v>10881</v>
      </c>
      <c r="AG1371" s="15" t="s">
        <v>10881</v>
      </c>
      <c r="AH1371" s="15" t="s">
        <v>10883</v>
      </c>
      <c r="AL1371" s="15" t="s">
        <v>10884</v>
      </c>
      <c r="AN1371" s="15">
        <v>743</v>
      </c>
      <c r="AO1371" s="15" t="s">
        <v>10885</v>
      </c>
      <c r="AQ1371" s="20" t="s">
        <v>342</v>
      </c>
      <c r="AT1371" s="18" t="s">
        <v>10886</v>
      </c>
      <c r="AU1371" s="18" t="s">
        <v>10887</v>
      </c>
      <c r="AV1371" s="18" t="s">
        <v>10888</v>
      </c>
      <c r="AW1371" s="18" t="s">
        <v>10889</v>
      </c>
      <c r="AX1371" s="18" t="s">
        <v>10890</v>
      </c>
      <c r="AY1371" s="21">
        <f t="shared" si="29"/>
        <v>51</v>
      </c>
      <c r="AZ1371" s="18" t="s">
        <v>1725</v>
      </c>
      <c r="BA1371" s="18" t="s">
        <v>483</v>
      </c>
      <c r="BB1371" s="18" t="s">
        <v>10858</v>
      </c>
      <c r="BC1371" s="18"/>
      <c r="BD1371" s="18"/>
      <c r="BE1371" s="24" t="s">
        <v>485</v>
      </c>
      <c r="BF1371" s="18"/>
      <c r="BG1371" s="18"/>
      <c r="BH1371" s="18"/>
      <c r="BI1371" s="18"/>
      <c r="BJ1371" s="18" t="s">
        <v>10891</v>
      </c>
      <c r="BK1371" s="18"/>
      <c r="BL1371" s="18"/>
      <c r="BM1371" s="18"/>
      <c r="BN1371" s="18" t="s">
        <v>179</v>
      </c>
      <c r="BO1371" s="18"/>
      <c r="BP1371" s="15" t="s">
        <v>138</v>
      </c>
      <c r="BQ1371" s="18"/>
      <c r="BS1371" s="15" t="s">
        <v>10892</v>
      </c>
      <c r="DH1371" s="15" t="s">
        <v>17982</v>
      </c>
      <c r="DI1371" s="15" t="s">
        <v>17982</v>
      </c>
    </row>
    <row r="1372" spans="1:113" s="15" customFormat="1" ht="12.75" x14ac:dyDescent="0.2">
      <c r="A1372" s="15" t="s">
        <v>109</v>
      </c>
      <c r="B1372" s="15" t="s">
        <v>110</v>
      </c>
      <c r="D1372" s="15" t="s">
        <v>233</v>
      </c>
      <c r="E1372" s="15" t="s">
        <v>113</v>
      </c>
      <c r="F1372" s="15" t="s">
        <v>233</v>
      </c>
      <c r="G1372" s="15" t="s">
        <v>113</v>
      </c>
      <c r="H1372" s="15" t="s">
        <v>111</v>
      </c>
      <c r="J1372" s="16" t="s">
        <v>114</v>
      </c>
      <c r="U1372" s="15" t="s">
        <v>17977</v>
      </c>
      <c r="W1372" s="15">
        <v>2277</v>
      </c>
      <c r="X1372" s="15">
        <v>1382</v>
      </c>
      <c r="Y1372" s="15" t="s">
        <v>160</v>
      </c>
      <c r="Z1372" s="15" t="s">
        <v>161</v>
      </c>
      <c r="AA1372" s="15" t="s">
        <v>162</v>
      </c>
      <c r="AB1372" s="15" t="s">
        <v>11318</v>
      </c>
      <c r="AC1372" s="15" t="s">
        <v>11318</v>
      </c>
      <c r="AD1372" s="15" t="s">
        <v>11319</v>
      </c>
      <c r="AE1372" s="15" t="s">
        <v>164</v>
      </c>
      <c r="AF1372" s="15" t="s">
        <v>11318</v>
      </c>
      <c r="AG1372" s="15" t="s">
        <v>11318</v>
      </c>
      <c r="AH1372" s="15" t="s">
        <v>11320</v>
      </c>
      <c r="AL1372" s="15" t="s">
        <v>11321</v>
      </c>
      <c r="AN1372" s="15">
        <v>743</v>
      </c>
      <c r="AO1372" s="15" t="s">
        <v>11322</v>
      </c>
      <c r="AQ1372" s="20" t="s">
        <v>3622</v>
      </c>
      <c r="AT1372" s="18" t="s">
        <v>11323</v>
      </c>
      <c r="AU1372" s="18" t="s">
        <v>11324</v>
      </c>
      <c r="AV1372" s="18" t="s">
        <v>11325</v>
      </c>
      <c r="AW1372" s="18" t="s">
        <v>11326</v>
      </c>
      <c r="AX1372" s="18" t="s">
        <v>11326</v>
      </c>
      <c r="AY1372" s="21">
        <f t="shared" si="29"/>
        <v>41</v>
      </c>
      <c r="AZ1372" s="18" t="s">
        <v>393</v>
      </c>
      <c r="BA1372" s="18" t="s">
        <v>483</v>
      </c>
      <c r="BB1372" s="18"/>
      <c r="BC1372" s="18" t="s">
        <v>646</v>
      </c>
      <c r="BD1372" s="18"/>
      <c r="BE1372" s="24" t="s">
        <v>485</v>
      </c>
      <c r="BF1372" s="18"/>
      <c r="BG1372" s="18"/>
      <c r="BH1372" s="18"/>
      <c r="BI1372" s="18"/>
      <c r="BJ1372" s="18" t="s">
        <v>4730</v>
      </c>
      <c r="BK1372" s="18"/>
      <c r="BL1372" s="18"/>
      <c r="BM1372" s="18"/>
      <c r="BN1372" s="18" t="s">
        <v>179</v>
      </c>
      <c r="BO1372" s="18"/>
      <c r="BP1372" s="15" t="s">
        <v>138</v>
      </c>
      <c r="BQ1372" s="18"/>
      <c r="BS1372" s="15" t="s">
        <v>11327</v>
      </c>
      <c r="DH1372" s="15" t="s">
        <v>17982</v>
      </c>
      <c r="DI1372" s="15" t="s">
        <v>17982</v>
      </c>
    </row>
    <row r="1373" spans="1:113" s="15" customFormat="1" ht="12.75" x14ac:dyDescent="0.2">
      <c r="A1373" s="15" t="s">
        <v>109</v>
      </c>
      <c r="B1373" s="15" t="s">
        <v>110</v>
      </c>
      <c r="D1373" s="15" t="s">
        <v>233</v>
      </c>
      <c r="E1373" s="15" t="s">
        <v>113</v>
      </c>
      <c r="F1373" s="15" t="s">
        <v>233</v>
      </c>
      <c r="G1373" s="15" t="s">
        <v>113</v>
      </c>
      <c r="H1373" s="15" t="s">
        <v>111</v>
      </c>
      <c r="J1373" s="16" t="s">
        <v>114</v>
      </c>
      <c r="U1373" s="15" t="s">
        <v>17977</v>
      </c>
      <c r="W1373" s="15">
        <v>2309</v>
      </c>
      <c r="X1373" s="15">
        <v>1383</v>
      </c>
      <c r="Y1373" s="15" t="s">
        <v>160</v>
      </c>
      <c r="Z1373" s="15" t="s">
        <v>161</v>
      </c>
      <c r="AA1373" s="15" t="s">
        <v>162</v>
      </c>
      <c r="AB1373" s="15" t="s">
        <v>11516</v>
      </c>
      <c r="AC1373" s="15" t="s">
        <v>11516</v>
      </c>
      <c r="AD1373" s="15" t="s">
        <v>11517</v>
      </c>
      <c r="AE1373" s="15" t="s">
        <v>164</v>
      </c>
      <c r="AF1373" s="15" t="s">
        <v>11516</v>
      </c>
      <c r="AG1373" s="15" t="s">
        <v>11516</v>
      </c>
      <c r="AH1373" s="15" t="s">
        <v>11518</v>
      </c>
      <c r="AL1373" s="15" t="s">
        <v>11519</v>
      </c>
      <c r="AN1373" s="15">
        <v>743</v>
      </c>
      <c r="AO1373" s="15" t="s">
        <v>11520</v>
      </c>
      <c r="AQ1373" s="20" t="s">
        <v>342</v>
      </c>
      <c r="AT1373" s="18" t="s">
        <v>11521</v>
      </c>
      <c r="AU1373" s="29" t="s">
        <v>11522</v>
      </c>
      <c r="AV1373" s="29" t="s">
        <v>11523</v>
      </c>
      <c r="AW1373" s="29" t="s">
        <v>11524</v>
      </c>
      <c r="AX1373" s="29" t="s">
        <v>11525</v>
      </c>
      <c r="AY1373" s="21">
        <f t="shared" si="29"/>
        <v>59</v>
      </c>
      <c r="AZ1373" s="29" t="s">
        <v>1725</v>
      </c>
      <c r="BA1373" s="29" t="s">
        <v>483</v>
      </c>
      <c r="BB1373" s="29" t="s">
        <v>11526</v>
      </c>
      <c r="BC1373" s="24" t="s">
        <v>801</v>
      </c>
      <c r="BD1373" s="18"/>
      <c r="BE1373" s="24" t="s">
        <v>485</v>
      </c>
      <c r="BF1373" s="18"/>
      <c r="BG1373" s="18"/>
      <c r="BH1373" s="18"/>
      <c r="BI1373" s="18"/>
      <c r="BJ1373" s="18" t="s">
        <v>553</v>
      </c>
      <c r="BK1373" s="18"/>
      <c r="BL1373" s="18"/>
      <c r="BM1373" s="18"/>
      <c r="BN1373" s="18" t="s">
        <v>179</v>
      </c>
      <c r="BO1373" s="18"/>
      <c r="BP1373" s="15" t="s">
        <v>138</v>
      </c>
      <c r="BQ1373" s="18"/>
      <c r="BS1373" s="15" t="s">
        <v>11527</v>
      </c>
      <c r="DH1373" s="15" t="s">
        <v>17982</v>
      </c>
      <c r="DI1373" s="15" t="s">
        <v>17982</v>
      </c>
    </row>
    <row r="1374" spans="1:113" s="15" customFormat="1" ht="12.75" x14ac:dyDescent="0.2">
      <c r="A1374" s="15" t="s">
        <v>109</v>
      </c>
      <c r="B1374" s="15" t="s">
        <v>110</v>
      </c>
      <c r="D1374" s="15" t="s">
        <v>233</v>
      </c>
      <c r="E1374" s="15" t="s">
        <v>113</v>
      </c>
      <c r="F1374" s="15" t="s">
        <v>233</v>
      </c>
      <c r="G1374" s="15" t="s">
        <v>113</v>
      </c>
      <c r="H1374" s="15" t="s">
        <v>111</v>
      </c>
      <c r="J1374" s="16" t="s">
        <v>114</v>
      </c>
      <c r="U1374" s="15" t="s">
        <v>17977</v>
      </c>
      <c r="W1374" s="15">
        <v>2311</v>
      </c>
      <c r="X1374" s="15">
        <v>1384</v>
      </c>
      <c r="Y1374" s="15" t="s">
        <v>160</v>
      </c>
      <c r="Z1374" s="15" t="s">
        <v>161</v>
      </c>
      <c r="AA1374" s="15" t="s">
        <v>162</v>
      </c>
      <c r="AB1374" s="15" t="s">
        <v>11539</v>
      </c>
      <c r="AC1374" s="15" t="s">
        <v>11539</v>
      </c>
      <c r="AD1374" s="15" t="s">
        <v>11540</v>
      </c>
      <c r="AE1374" s="15" t="s">
        <v>164</v>
      </c>
      <c r="AF1374" s="15" t="s">
        <v>11539</v>
      </c>
      <c r="AG1374" s="15" t="s">
        <v>11539</v>
      </c>
      <c r="AH1374" s="15" t="s">
        <v>11541</v>
      </c>
      <c r="AL1374" s="15" t="s">
        <v>11542</v>
      </c>
      <c r="AN1374" s="15">
        <v>743</v>
      </c>
      <c r="AO1374" s="15" t="s">
        <v>11543</v>
      </c>
      <c r="AQ1374" s="20" t="s">
        <v>342</v>
      </c>
      <c r="AT1374" s="18" t="s">
        <v>11544</v>
      </c>
      <c r="AU1374" s="29" t="s">
        <v>11545</v>
      </c>
      <c r="AV1374" s="29" t="s">
        <v>11546</v>
      </c>
      <c r="AW1374" s="29" t="s">
        <v>11547</v>
      </c>
      <c r="AX1374" s="29" t="s">
        <v>11548</v>
      </c>
      <c r="AY1374" s="21">
        <f t="shared" si="29"/>
        <v>59</v>
      </c>
      <c r="AZ1374" s="29" t="s">
        <v>1725</v>
      </c>
      <c r="BA1374" s="29" t="s">
        <v>483</v>
      </c>
      <c r="BB1374" s="29" t="s">
        <v>11526</v>
      </c>
      <c r="BC1374" s="24" t="s">
        <v>884</v>
      </c>
      <c r="BD1374" s="18"/>
      <c r="BE1374" s="24" t="s">
        <v>485</v>
      </c>
      <c r="BF1374" s="18"/>
      <c r="BG1374" s="18"/>
      <c r="BH1374" s="18"/>
      <c r="BI1374" s="18"/>
      <c r="BJ1374" s="18" t="s">
        <v>553</v>
      </c>
      <c r="BK1374" s="18"/>
      <c r="BL1374" s="18"/>
      <c r="BM1374" s="18"/>
      <c r="BN1374" s="18" t="s">
        <v>179</v>
      </c>
      <c r="BO1374" s="18"/>
      <c r="BP1374" s="15" t="s">
        <v>138</v>
      </c>
      <c r="BQ1374" s="18"/>
      <c r="BS1374" s="15" t="s">
        <v>11549</v>
      </c>
      <c r="DH1374" s="15" t="s">
        <v>17982</v>
      </c>
      <c r="DI1374" s="15" t="s">
        <v>17982</v>
      </c>
    </row>
    <row r="1375" spans="1:113" s="15" customFormat="1" ht="12.75" x14ac:dyDescent="0.2">
      <c r="A1375" s="15" t="s">
        <v>109</v>
      </c>
      <c r="B1375" s="15" t="s">
        <v>110</v>
      </c>
      <c r="D1375" s="15" t="s">
        <v>233</v>
      </c>
      <c r="E1375" s="15" t="s">
        <v>113</v>
      </c>
      <c r="F1375" s="15" t="s">
        <v>233</v>
      </c>
      <c r="G1375" s="15" t="s">
        <v>113</v>
      </c>
      <c r="H1375" s="15" t="s">
        <v>111</v>
      </c>
      <c r="J1375" s="16" t="s">
        <v>114</v>
      </c>
      <c r="U1375" s="15" t="s">
        <v>17977</v>
      </c>
      <c r="W1375" s="15">
        <v>3108</v>
      </c>
      <c r="X1375" s="15">
        <v>1385</v>
      </c>
      <c r="Y1375" s="15" t="s">
        <v>160</v>
      </c>
      <c r="Z1375" s="15" t="s">
        <v>161</v>
      </c>
      <c r="AA1375" s="15" t="s">
        <v>162</v>
      </c>
      <c r="AB1375" s="15" t="s">
        <v>14970</v>
      </c>
      <c r="AC1375" s="15" t="s">
        <v>14970</v>
      </c>
      <c r="AD1375" s="15" t="s">
        <v>14971</v>
      </c>
      <c r="AE1375" s="15" t="s">
        <v>164</v>
      </c>
      <c r="AF1375" s="15" t="s">
        <v>14970</v>
      </c>
      <c r="AG1375" s="15" t="s">
        <v>14970</v>
      </c>
      <c r="AH1375" s="15" t="s">
        <v>14972</v>
      </c>
      <c r="AL1375" s="15" t="s">
        <v>14973</v>
      </c>
      <c r="AN1375" s="15">
        <v>743</v>
      </c>
      <c r="AO1375" s="15" t="s">
        <v>14974</v>
      </c>
      <c r="AQ1375" s="20" t="s">
        <v>3598</v>
      </c>
      <c r="AT1375" s="18" t="s">
        <v>14975</v>
      </c>
      <c r="AU1375" s="24" t="s">
        <v>14976</v>
      </c>
      <c r="AV1375" s="24" t="s">
        <v>14977</v>
      </c>
      <c r="AW1375" s="24" t="s">
        <v>14978</v>
      </c>
      <c r="AX1375" s="24" t="s">
        <v>14978</v>
      </c>
      <c r="AY1375" s="21">
        <f t="shared" si="29"/>
        <v>49</v>
      </c>
      <c r="AZ1375" s="24" t="s">
        <v>3603</v>
      </c>
      <c r="BA1375" s="24" t="s">
        <v>214</v>
      </c>
      <c r="BB1375" s="18" t="s">
        <v>4730</v>
      </c>
      <c r="BC1375" s="18"/>
      <c r="BD1375" s="18"/>
      <c r="BE1375" s="24" t="s">
        <v>485</v>
      </c>
      <c r="BF1375" s="18"/>
      <c r="BG1375" s="18"/>
      <c r="BH1375" s="18"/>
      <c r="BI1375" s="18"/>
      <c r="BJ1375" s="18" t="s">
        <v>14979</v>
      </c>
      <c r="BK1375" s="18"/>
      <c r="BL1375" s="18"/>
      <c r="BM1375" s="18"/>
      <c r="BN1375" s="18" t="s">
        <v>179</v>
      </c>
      <c r="BO1375" s="18"/>
      <c r="BP1375" s="15" t="s">
        <v>138</v>
      </c>
      <c r="BQ1375" s="18"/>
      <c r="BS1375" s="15" t="s">
        <v>14980</v>
      </c>
      <c r="DH1375" s="15" t="s">
        <v>17982</v>
      </c>
      <c r="DI1375" s="15" t="s">
        <v>17982</v>
      </c>
    </row>
    <row r="1376" spans="1:113" s="15" customFormat="1" ht="12.75" x14ac:dyDescent="0.2">
      <c r="A1376" s="15" t="s">
        <v>109</v>
      </c>
      <c r="B1376" s="15" t="s">
        <v>110</v>
      </c>
      <c r="D1376" s="15" t="s">
        <v>233</v>
      </c>
      <c r="E1376" s="15" t="s">
        <v>113</v>
      </c>
      <c r="F1376" s="15" t="s">
        <v>233</v>
      </c>
      <c r="G1376" s="15" t="s">
        <v>113</v>
      </c>
      <c r="H1376" s="15" t="s">
        <v>111</v>
      </c>
      <c r="J1376" s="16" t="s">
        <v>114</v>
      </c>
      <c r="U1376" s="15" t="s">
        <v>17977</v>
      </c>
      <c r="W1376" s="15">
        <v>840</v>
      </c>
      <c r="X1376" s="15">
        <v>1386</v>
      </c>
      <c r="Y1376" s="15" t="s">
        <v>160</v>
      </c>
      <c r="Z1376" s="15" t="s">
        <v>161</v>
      </c>
      <c r="AA1376" s="15" t="s">
        <v>162</v>
      </c>
      <c r="AB1376" s="15" t="s">
        <v>3593</v>
      </c>
      <c r="AC1376" s="15" t="s">
        <v>3593</v>
      </c>
      <c r="AD1376" s="15" t="s">
        <v>3594</v>
      </c>
      <c r="AE1376" s="15" t="s">
        <v>164</v>
      </c>
      <c r="AF1376" s="15" t="s">
        <v>3593</v>
      </c>
      <c r="AG1376" s="15" t="s">
        <v>3593</v>
      </c>
      <c r="AH1376" s="15" t="s">
        <v>3595</v>
      </c>
      <c r="AL1376" s="15" t="s">
        <v>3596</v>
      </c>
      <c r="AN1376" s="15">
        <v>743</v>
      </c>
      <c r="AO1376" s="15" t="s">
        <v>3597</v>
      </c>
      <c r="AQ1376" s="20" t="s">
        <v>3598</v>
      </c>
      <c r="AT1376" s="18" t="s">
        <v>3596</v>
      </c>
      <c r="AU1376" s="24" t="s">
        <v>3599</v>
      </c>
      <c r="AV1376" s="24" t="s">
        <v>3600</v>
      </c>
      <c r="AW1376" s="24" t="s">
        <v>3601</v>
      </c>
      <c r="AX1376" s="24" t="s">
        <v>3602</v>
      </c>
      <c r="AY1376" s="21">
        <f t="shared" si="29"/>
        <v>54</v>
      </c>
      <c r="AZ1376" s="24" t="s">
        <v>3603</v>
      </c>
      <c r="BA1376" s="24" t="s">
        <v>214</v>
      </c>
      <c r="BB1376" s="18" t="s">
        <v>3604</v>
      </c>
      <c r="BC1376" s="18"/>
      <c r="BD1376" s="18"/>
      <c r="BE1376" s="18" t="s">
        <v>485</v>
      </c>
      <c r="BF1376" s="18"/>
      <c r="BG1376" s="18"/>
      <c r="BH1376" s="18"/>
      <c r="BI1376" s="18"/>
      <c r="BJ1376" s="18" t="s">
        <v>3605</v>
      </c>
      <c r="BK1376" s="18"/>
      <c r="BL1376" s="18"/>
      <c r="BM1376" s="18"/>
      <c r="BN1376" s="18" t="s">
        <v>179</v>
      </c>
      <c r="BO1376" s="18"/>
      <c r="BP1376" s="15" t="s">
        <v>138</v>
      </c>
      <c r="BQ1376" s="18"/>
      <c r="BS1376" s="15" t="s">
        <v>3606</v>
      </c>
      <c r="DH1376" s="15" t="s">
        <v>17982</v>
      </c>
      <c r="DI1376" s="15" t="s">
        <v>17982</v>
      </c>
    </row>
    <row r="1377" spans="1:113" s="15" customFormat="1" ht="12.75" x14ac:dyDescent="0.2">
      <c r="A1377" s="15" t="s">
        <v>109</v>
      </c>
      <c r="B1377" s="15" t="s">
        <v>110</v>
      </c>
      <c r="D1377" s="15" t="s">
        <v>233</v>
      </c>
      <c r="E1377" s="15" t="s">
        <v>113</v>
      </c>
      <c r="F1377" s="15" t="s">
        <v>233</v>
      </c>
      <c r="G1377" s="15" t="s">
        <v>113</v>
      </c>
      <c r="H1377" s="15" t="s">
        <v>111</v>
      </c>
      <c r="J1377" s="16" t="s">
        <v>114</v>
      </c>
      <c r="U1377" s="15" t="s">
        <v>17977</v>
      </c>
      <c r="W1377" s="15">
        <v>846</v>
      </c>
      <c r="X1377" s="15">
        <v>1387</v>
      </c>
      <c r="Y1377" s="15" t="s">
        <v>160</v>
      </c>
      <c r="Z1377" s="15" t="s">
        <v>161</v>
      </c>
      <c r="AA1377" s="15" t="s">
        <v>162</v>
      </c>
      <c r="AB1377" s="15" t="s">
        <v>3664</v>
      </c>
      <c r="AC1377" s="15" t="s">
        <v>3664</v>
      </c>
      <c r="AD1377" s="15" t="s">
        <v>3665</v>
      </c>
      <c r="AE1377" s="15" t="s">
        <v>164</v>
      </c>
      <c r="AF1377" s="15" t="s">
        <v>3664</v>
      </c>
      <c r="AG1377" s="15" t="s">
        <v>3664</v>
      </c>
      <c r="AH1377" s="15" t="s">
        <v>3666</v>
      </c>
      <c r="AL1377" s="15" t="s">
        <v>3667</v>
      </c>
      <c r="AN1377" s="15">
        <v>743</v>
      </c>
      <c r="AO1377" s="15" t="s">
        <v>3668</v>
      </c>
      <c r="AQ1377" s="20" t="s">
        <v>3598</v>
      </c>
      <c r="AT1377" s="18" t="s">
        <v>3667</v>
      </c>
      <c r="AU1377" s="18" t="s">
        <v>3669</v>
      </c>
      <c r="AV1377" s="18" t="s">
        <v>3670</v>
      </c>
      <c r="AW1377" s="18" t="s">
        <v>3671</v>
      </c>
      <c r="AX1377" s="18" t="s">
        <v>3672</v>
      </c>
      <c r="AY1377" s="21">
        <f t="shared" si="29"/>
        <v>54</v>
      </c>
      <c r="AZ1377" s="18" t="s">
        <v>3603</v>
      </c>
      <c r="BA1377" s="18" t="s">
        <v>214</v>
      </c>
      <c r="BB1377" s="18" t="s">
        <v>3673</v>
      </c>
      <c r="BC1377" s="18"/>
      <c r="BD1377" s="18"/>
      <c r="BE1377" s="18" t="s">
        <v>485</v>
      </c>
      <c r="BF1377" s="18"/>
      <c r="BG1377" s="18"/>
      <c r="BH1377" s="18"/>
      <c r="BI1377" s="18"/>
      <c r="BJ1377" s="18" t="s">
        <v>3674</v>
      </c>
      <c r="BK1377" s="18"/>
      <c r="BL1377" s="18"/>
      <c r="BM1377" s="18"/>
      <c r="BN1377" s="18" t="s">
        <v>179</v>
      </c>
      <c r="BO1377" s="18"/>
      <c r="BP1377" s="15" t="s">
        <v>138</v>
      </c>
      <c r="BQ1377" s="18"/>
      <c r="BS1377" s="15" t="s">
        <v>3675</v>
      </c>
      <c r="DH1377" s="15" t="s">
        <v>17982</v>
      </c>
      <c r="DI1377" s="15" t="s">
        <v>17982</v>
      </c>
    </row>
    <row r="1378" spans="1:113" s="15" customFormat="1" ht="12.75" x14ac:dyDescent="0.2">
      <c r="A1378" s="15" t="s">
        <v>109</v>
      </c>
      <c r="B1378" s="15" t="s">
        <v>110</v>
      </c>
      <c r="D1378" s="15" t="s">
        <v>233</v>
      </c>
      <c r="E1378" s="15" t="s">
        <v>113</v>
      </c>
      <c r="F1378" s="15" t="s">
        <v>233</v>
      </c>
      <c r="G1378" s="15" t="s">
        <v>113</v>
      </c>
      <c r="H1378" s="15" t="s">
        <v>111</v>
      </c>
      <c r="J1378" s="16" t="s">
        <v>114</v>
      </c>
      <c r="U1378" s="15" t="s">
        <v>17977</v>
      </c>
      <c r="W1378" s="15">
        <v>2375</v>
      </c>
      <c r="X1378" s="15">
        <v>1388</v>
      </c>
      <c r="Y1378" s="15" t="s">
        <v>160</v>
      </c>
      <c r="Z1378" s="15" t="s">
        <v>161</v>
      </c>
      <c r="AA1378" s="15" t="s">
        <v>162</v>
      </c>
      <c r="AB1378" s="15" t="s">
        <v>11710</v>
      </c>
      <c r="AC1378" s="15" t="s">
        <v>11710</v>
      </c>
      <c r="AD1378" s="15" t="s">
        <v>11711</v>
      </c>
      <c r="AE1378" s="15" t="s">
        <v>164</v>
      </c>
      <c r="AF1378" s="15" t="s">
        <v>11710</v>
      </c>
      <c r="AG1378" s="15" t="s">
        <v>11710</v>
      </c>
      <c r="AH1378" s="15" t="s">
        <v>11712</v>
      </c>
      <c r="AL1378" s="15" t="s">
        <v>11713</v>
      </c>
      <c r="AN1378" s="15">
        <v>743</v>
      </c>
      <c r="AO1378" s="15" t="s">
        <v>11714</v>
      </c>
      <c r="AQ1378" s="20" t="s">
        <v>342</v>
      </c>
      <c r="AT1378" s="18" t="s">
        <v>11715</v>
      </c>
      <c r="AU1378" s="18" t="s">
        <v>11716</v>
      </c>
      <c r="AV1378" s="18" t="s">
        <v>11717</v>
      </c>
      <c r="AW1378" s="18" t="s">
        <v>11718</v>
      </c>
      <c r="AX1378" s="18" t="s">
        <v>11719</v>
      </c>
      <c r="AY1378" s="21">
        <f t="shared" si="29"/>
        <v>60</v>
      </c>
      <c r="AZ1378" s="18" t="s">
        <v>482</v>
      </c>
      <c r="BA1378" s="29" t="s">
        <v>483</v>
      </c>
      <c r="BB1378" s="18" t="s">
        <v>11720</v>
      </c>
      <c r="BC1378" s="18"/>
      <c r="BD1378" s="18"/>
      <c r="BE1378" s="24" t="s">
        <v>485</v>
      </c>
      <c r="BF1378" s="18"/>
      <c r="BG1378" s="18"/>
      <c r="BH1378" s="18"/>
      <c r="BI1378" s="18"/>
      <c r="BJ1378" s="18" t="s">
        <v>11721</v>
      </c>
      <c r="BK1378" s="18"/>
      <c r="BL1378" s="18"/>
      <c r="BM1378" s="18"/>
      <c r="BN1378" s="18" t="s">
        <v>179</v>
      </c>
      <c r="BO1378" s="18"/>
      <c r="BP1378" s="15" t="s">
        <v>138</v>
      </c>
      <c r="BQ1378" s="18"/>
      <c r="BS1378" s="15" t="s">
        <v>11722</v>
      </c>
      <c r="DH1378" s="15" t="s">
        <v>17982</v>
      </c>
      <c r="DI1378" s="15" t="s">
        <v>17982</v>
      </c>
    </row>
    <row r="1379" spans="1:113" s="15" customFormat="1" ht="12.75" x14ac:dyDescent="0.2">
      <c r="A1379" s="15" t="s">
        <v>109</v>
      </c>
      <c r="B1379" s="15" t="s">
        <v>110</v>
      </c>
      <c r="D1379" s="15" t="s">
        <v>233</v>
      </c>
      <c r="E1379" s="15" t="s">
        <v>113</v>
      </c>
      <c r="F1379" s="15" t="s">
        <v>233</v>
      </c>
      <c r="G1379" s="15" t="s">
        <v>113</v>
      </c>
      <c r="H1379" s="15" t="s">
        <v>111</v>
      </c>
      <c r="J1379" s="16" t="s">
        <v>114</v>
      </c>
      <c r="U1379" s="15" t="s">
        <v>17977</v>
      </c>
      <c r="W1379" s="15">
        <v>2895</v>
      </c>
      <c r="X1379" s="15">
        <v>1389</v>
      </c>
      <c r="Y1379" s="15" t="s">
        <v>160</v>
      </c>
      <c r="Z1379" s="15" t="s">
        <v>161</v>
      </c>
      <c r="AA1379" s="15" t="s">
        <v>162</v>
      </c>
      <c r="AB1379" s="15" t="s">
        <v>14139</v>
      </c>
      <c r="AC1379" s="15" t="s">
        <v>14139</v>
      </c>
      <c r="AD1379" s="15" t="s">
        <v>14140</v>
      </c>
      <c r="AE1379" s="15" t="s">
        <v>164</v>
      </c>
      <c r="AF1379" s="15" t="s">
        <v>14139</v>
      </c>
      <c r="AG1379" s="15" t="s">
        <v>14139</v>
      </c>
      <c r="AH1379" s="15" t="s">
        <v>14141</v>
      </c>
      <c r="AL1379" s="15" t="s">
        <v>14142</v>
      </c>
      <c r="AN1379" s="15">
        <v>743</v>
      </c>
      <c r="AO1379" s="15" t="s">
        <v>14143</v>
      </c>
      <c r="AQ1379" s="20" t="s">
        <v>342</v>
      </c>
      <c r="AT1379" s="18" t="s">
        <v>14142</v>
      </c>
      <c r="AU1379" s="29" t="s">
        <v>14144</v>
      </c>
      <c r="AV1379" s="29" t="s">
        <v>14145</v>
      </c>
      <c r="AW1379" s="29" t="s">
        <v>14146</v>
      </c>
      <c r="AX1379" s="29" t="s">
        <v>14146</v>
      </c>
      <c r="AY1379" s="21">
        <f t="shared" si="29"/>
        <v>60</v>
      </c>
      <c r="AZ1379" s="29" t="s">
        <v>482</v>
      </c>
      <c r="BA1379" s="29" t="s">
        <v>483</v>
      </c>
      <c r="BB1379" s="18" t="s">
        <v>1239</v>
      </c>
      <c r="BC1379" s="18"/>
      <c r="BD1379" s="18"/>
      <c r="BE1379" s="24" t="s">
        <v>485</v>
      </c>
      <c r="BF1379" s="18"/>
      <c r="BG1379" s="18"/>
      <c r="BH1379" s="18"/>
      <c r="BI1379" s="18"/>
      <c r="BJ1379" s="18" t="s">
        <v>14147</v>
      </c>
      <c r="BK1379" s="18"/>
      <c r="BL1379" s="18"/>
      <c r="BM1379" s="18"/>
      <c r="BN1379" s="18" t="s">
        <v>179</v>
      </c>
      <c r="BO1379" s="18"/>
      <c r="BP1379" s="15" t="s">
        <v>138</v>
      </c>
      <c r="BQ1379" s="18"/>
      <c r="BS1379" s="15" t="s">
        <v>14148</v>
      </c>
      <c r="DH1379" s="15" t="s">
        <v>17982</v>
      </c>
      <c r="DI1379" s="15" t="s">
        <v>17982</v>
      </c>
    </row>
    <row r="1380" spans="1:113" s="15" customFormat="1" ht="12.75" x14ac:dyDescent="0.2">
      <c r="A1380" s="15" t="s">
        <v>109</v>
      </c>
      <c r="B1380" s="15" t="s">
        <v>110</v>
      </c>
      <c r="D1380" s="15" t="s">
        <v>233</v>
      </c>
      <c r="E1380" s="15" t="s">
        <v>113</v>
      </c>
      <c r="F1380" s="15" t="s">
        <v>233</v>
      </c>
      <c r="G1380" s="15" t="s">
        <v>113</v>
      </c>
      <c r="H1380" s="15" t="s">
        <v>111</v>
      </c>
      <c r="J1380" s="16" t="s">
        <v>114</v>
      </c>
      <c r="U1380" s="15" t="s">
        <v>17977</v>
      </c>
      <c r="W1380" s="15">
        <v>3107</v>
      </c>
      <c r="X1380" s="15">
        <v>1390</v>
      </c>
      <c r="Y1380" s="15" t="s">
        <v>160</v>
      </c>
      <c r="Z1380" s="15" t="s">
        <v>161</v>
      </c>
      <c r="AA1380" s="15" t="s">
        <v>162</v>
      </c>
      <c r="AB1380" s="15" t="s">
        <v>14959</v>
      </c>
      <c r="AC1380" s="15" t="s">
        <v>14959</v>
      </c>
      <c r="AD1380" s="15" t="s">
        <v>14960</v>
      </c>
      <c r="AE1380" s="15" t="s">
        <v>164</v>
      </c>
      <c r="AF1380" s="15" t="s">
        <v>14959</v>
      </c>
      <c r="AG1380" s="15" t="s">
        <v>14959</v>
      </c>
      <c r="AH1380" s="15" t="s">
        <v>14961</v>
      </c>
      <c r="AL1380" s="15" t="s">
        <v>14962</v>
      </c>
      <c r="AN1380" s="15">
        <v>743</v>
      </c>
      <c r="AO1380" s="15" t="s">
        <v>14963</v>
      </c>
      <c r="AQ1380" s="20" t="s">
        <v>3622</v>
      </c>
      <c r="AT1380" s="18" t="s">
        <v>3644</v>
      </c>
      <c r="AU1380" s="18" t="s">
        <v>14964</v>
      </c>
      <c r="AV1380" s="18" t="s">
        <v>14965</v>
      </c>
      <c r="AW1380" s="18" t="s">
        <v>14966</v>
      </c>
      <c r="AX1380" s="18" t="s">
        <v>14967</v>
      </c>
      <c r="AY1380" s="21">
        <f t="shared" si="29"/>
        <v>58</v>
      </c>
      <c r="AZ1380" s="18" t="s">
        <v>393</v>
      </c>
      <c r="BA1380" s="18" t="s">
        <v>483</v>
      </c>
      <c r="BB1380" s="18" t="s">
        <v>3661</v>
      </c>
      <c r="BC1380" s="18"/>
      <c r="BD1380" s="18"/>
      <c r="BE1380" s="24" t="s">
        <v>485</v>
      </c>
      <c r="BF1380" s="18"/>
      <c r="BG1380" s="18"/>
      <c r="BH1380" s="18"/>
      <c r="BI1380" s="18"/>
      <c r="BJ1380" s="18" t="s">
        <v>14968</v>
      </c>
      <c r="BK1380" s="18"/>
      <c r="BL1380" s="18"/>
      <c r="BM1380" s="18"/>
      <c r="BN1380" s="18" t="s">
        <v>179</v>
      </c>
      <c r="BO1380" s="18"/>
      <c r="BP1380" s="15" t="s">
        <v>138</v>
      </c>
      <c r="BQ1380" s="18"/>
      <c r="BS1380" s="15" t="s">
        <v>14969</v>
      </c>
      <c r="DH1380" s="15" t="s">
        <v>17982</v>
      </c>
      <c r="DI1380" s="15" t="s">
        <v>17982</v>
      </c>
    </row>
    <row r="1381" spans="1:113" s="15" customFormat="1" ht="12.75" x14ac:dyDescent="0.2">
      <c r="A1381" s="15" t="s">
        <v>109</v>
      </c>
      <c r="B1381" s="15" t="s">
        <v>110</v>
      </c>
      <c r="D1381" s="15" t="s">
        <v>233</v>
      </c>
      <c r="E1381" s="15" t="s">
        <v>113</v>
      </c>
      <c r="F1381" s="15" t="s">
        <v>233</v>
      </c>
      <c r="G1381" s="15" t="s">
        <v>113</v>
      </c>
      <c r="H1381" s="15" t="s">
        <v>111</v>
      </c>
      <c r="J1381" s="16" t="s">
        <v>114</v>
      </c>
      <c r="U1381" s="15" t="s">
        <v>17977</v>
      </c>
      <c r="W1381" s="15">
        <v>3227</v>
      </c>
      <c r="X1381" s="15">
        <v>1391</v>
      </c>
      <c r="Y1381" s="15" t="s">
        <v>160</v>
      </c>
      <c r="Z1381" s="15" t="s">
        <v>161</v>
      </c>
      <c r="AA1381" s="15" t="s">
        <v>162</v>
      </c>
      <c r="AB1381" s="15" t="s">
        <v>15598</v>
      </c>
      <c r="AC1381" s="15" t="s">
        <v>15598</v>
      </c>
      <c r="AD1381" s="15" t="s">
        <v>15599</v>
      </c>
      <c r="AE1381" s="15" t="s">
        <v>164</v>
      </c>
      <c r="AF1381" s="15" t="s">
        <v>15598</v>
      </c>
      <c r="AG1381" s="15" t="s">
        <v>15598</v>
      </c>
      <c r="AH1381" s="15" t="s">
        <v>15600</v>
      </c>
      <c r="AL1381" s="15" t="s">
        <v>15601</v>
      </c>
      <c r="AN1381" s="15">
        <v>743</v>
      </c>
      <c r="AO1381" s="15" t="s">
        <v>15602</v>
      </c>
      <c r="AQ1381" s="20" t="s">
        <v>342</v>
      </c>
      <c r="AT1381" s="18" t="s">
        <v>15603</v>
      </c>
      <c r="AU1381" s="29" t="s">
        <v>15604</v>
      </c>
      <c r="AV1381" s="29" t="s">
        <v>15605</v>
      </c>
      <c r="AW1381" s="29" t="s">
        <v>15606</v>
      </c>
      <c r="AX1381" s="29" t="s">
        <v>15606</v>
      </c>
      <c r="AY1381" s="21">
        <f t="shared" si="29"/>
        <v>53</v>
      </c>
      <c r="AZ1381" s="29" t="s">
        <v>482</v>
      </c>
      <c r="BA1381" s="29" t="s">
        <v>483</v>
      </c>
      <c r="BB1381" s="18" t="s">
        <v>15596</v>
      </c>
      <c r="BC1381" s="18"/>
      <c r="BD1381" s="18"/>
      <c r="BE1381" s="24" t="s">
        <v>485</v>
      </c>
      <c r="BF1381" s="18"/>
      <c r="BG1381" s="18"/>
      <c r="BH1381" s="18"/>
      <c r="BI1381" s="18"/>
      <c r="BJ1381" s="18" t="s">
        <v>553</v>
      </c>
      <c r="BK1381" s="18"/>
      <c r="BL1381" s="18"/>
      <c r="BM1381" s="18"/>
      <c r="BN1381" s="18" t="s">
        <v>179</v>
      </c>
      <c r="BO1381" s="18"/>
      <c r="BP1381" s="15" t="s">
        <v>138</v>
      </c>
      <c r="BQ1381" s="18"/>
      <c r="BS1381" s="15" t="s">
        <v>15607</v>
      </c>
      <c r="DH1381" s="15" t="s">
        <v>17982</v>
      </c>
      <c r="DI1381" s="15" t="s">
        <v>17982</v>
      </c>
    </row>
    <row r="1382" spans="1:113" s="15" customFormat="1" ht="12.75" x14ac:dyDescent="0.2">
      <c r="A1382" s="15" t="s">
        <v>109</v>
      </c>
      <c r="B1382" s="15" t="s">
        <v>110</v>
      </c>
      <c r="D1382" s="15" t="s">
        <v>233</v>
      </c>
      <c r="E1382" s="15" t="s">
        <v>113</v>
      </c>
      <c r="F1382" s="15" t="s">
        <v>233</v>
      </c>
      <c r="G1382" s="15" t="s">
        <v>113</v>
      </c>
      <c r="H1382" s="15" t="s">
        <v>111</v>
      </c>
      <c r="J1382" s="16" t="s">
        <v>114</v>
      </c>
      <c r="U1382" s="15" t="s">
        <v>17977</v>
      </c>
      <c r="W1382" s="15">
        <v>3681</v>
      </c>
      <c r="X1382" s="15">
        <v>1392</v>
      </c>
      <c r="Y1382" s="15" t="s">
        <v>160</v>
      </c>
      <c r="Z1382" s="15" t="s">
        <v>161</v>
      </c>
      <c r="AA1382" s="15" t="s">
        <v>162</v>
      </c>
      <c r="AB1382" s="15" t="s">
        <v>17849</v>
      </c>
      <c r="AC1382" s="15" t="s">
        <v>17849</v>
      </c>
      <c r="AD1382" s="15" t="s">
        <v>17850</v>
      </c>
      <c r="AE1382" s="15" t="s">
        <v>164</v>
      </c>
      <c r="AF1382" s="15" t="s">
        <v>17849</v>
      </c>
      <c r="AG1382" s="15" t="s">
        <v>17849</v>
      </c>
      <c r="AH1382" s="15" t="s">
        <v>17851</v>
      </c>
      <c r="AL1382" s="15" t="s">
        <v>17852</v>
      </c>
      <c r="AN1382" s="15">
        <v>743</v>
      </c>
      <c r="AO1382" s="15" t="s">
        <v>17853</v>
      </c>
      <c r="AQ1382" s="20" t="s">
        <v>342</v>
      </c>
      <c r="AT1382" s="18" t="s">
        <v>17854</v>
      </c>
      <c r="AU1382" s="29" t="s">
        <v>17855</v>
      </c>
      <c r="AV1382" s="29" t="s">
        <v>17856</v>
      </c>
      <c r="AW1382" s="29" t="s">
        <v>17857</v>
      </c>
      <c r="AX1382" s="29" t="s">
        <v>17857</v>
      </c>
      <c r="AY1382" s="21">
        <f t="shared" si="29"/>
        <v>52</v>
      </c>
      <c r="AZ1382" s="29" t="s">
        <v>482</v>
      </c>
      <c r="BA1382" s="29" t="s">
        <v>483</v>
      </c>
      <c r="BB1382" s="18"/>
      <c r="BC1382" s="18" t="s">
        <v>16499</v>
      </c>
      <c r="BD1382" s="18"/>
      <c r="BE1382" s="24" t="s">
        <v>485</v>
      </c>
      <c r="BF1382" s="18"/>
      <c r="BG1382" s="18"/>
      <c r="BH1382" s="18"/>
      <c r="BI1382" s="18"/>
      <c r="BJ1382" s="18" t="s">
        <v>553</v>
      </c>
      <c r="BK1382" s="18"/>
      <c r="BL1382" s="18"/>
      <c r="BM1382" s="18"/>
      <c r="BN1382" s="18" t="s">
        <v>179</v>
      </c>
      <c r="BO1382" s="18"/>
      <c r="BP1382" s="15" t="s">
        <v>138</v>
      </c>
      <c r="BQ1382" s="18"/>
      <c r="BS1382" s="15" t="s">
        <v>17858</v>
      </c>
      <c r="DH1382" s="15" t="s">
        <v>17982</v>
      </c>
      <c r="DI1382" s="15" t="s">
        <v>17982</v>
      </c>
    </row>
    <row r="1383" spans="1:113" s="15" customFormat="1" ht="12.75" x14ac:dyDescent="0.2">
      <c r="A1383" s="15" t="s">
        <v>109</v>
      </c>
      <c r="B1383" s="15" t="s">
        <v>110</v>
      </c>
      <c r="D1383" s="15" t="s">
        <v>233</v>
      </c>
      <c r="E1383" s="15" t="s">
        <v>113</v>
      </c>
      <c r="F1383" s="15" t="s">
        <v>233</v>
      </c>
      <c r="G1383" s="15" t="s">
        <v>113</v>
      </c>
      <c r="H1383" s="15" t="s">
        <v>111</v>
      </c>
      <c r="J1383" s="16" t="s">
        <v>114</v>
      </c>
      <c r="U1383" s="15" t="s">
        <v>17977</v>
      </c>
      <c r="W1383" s="15">
        <v>3581</v>
      </c>
      <c r="X1383" s="15">
        <v>1393</v>
      </c>
      <c r="Y1383" s="15" t="s">
        <v>160</v>
      </c>
      <c r="Z1383" s="15" t="s">
        <v>161</v>
      </c>
      <c r="AA1383" s="15" t="s">
        <v>162</v>
      </c>
      <c r="AB1383" s="15" t="s">
        <v>17300</v>
      </c>
      <c r="AC1383" s="15" t="s">
        <v>17300</v>
      </c>
      <c r="AD1383" s="15" t="s">
        <v>17301</v>
      </c>
      <c r="AE1383" s="15" t="s">
        <v>164</v>
      </c>
      <c r="AF1383" s="15" t="s">
        <v>17300</v>
      </c>
      <c r="AG1383" s="15" t="s">
        <v>17300</v>
      </c>
      <c r="AH1383" s="15" t="s">
        <v>17302</v>
      </c>
      <c r="AL1383" s="15" t="s">
        <v>17303</v>
      </c>
      <c r="AN1383" s="15">
        <v>743</v>
      </c>
      <c r="AO1383" s="15" t="s">
        <v>17304</v>
      </c>
      <c r="AQ1383" s="20" t="s">
        <v>342</v>
      </c>
      <c r="AT1383" s="18" t="s">
        <v>17305</v>
      </c>
      <c r="AU1383" s="29" t="s">
        <v>17306</v>
      </c>
      <c r="AV1383" s="29" t="s">
        <v>17307</v>
      </c>
      <c r="AW1383" s="29" t="s">
        <v>17308</v>
      </c>
      <c r="AX1383" s="29" t="s">
        <v>17308</v>
      </c>
      <c r="AY1383" s="21">
        <f t="shared" si="29"/>
        <v>52</v>
      </c>
      <c r="AZ1383" s="29" t="s">
        <v>482</v>
      </c>
      <c r="BA1383" s="29" t="s">
        <v>483</v>
      </c>
      <c r="BB1383" s="18" t="s">
        <v>17309</v>
      </c>
      <c r="BC1383" s="18"/>
      <c r="BD1383" s="18"/>
      <c r="BE1383" s="24" t="s">
        <v>485</v>
      </c>
      <c r="BF1383" s="18"/>
      <c r="BG1383" s="18"/>
      <c r="BH1383" s="18"/>
      <c r="BI1383" s="18"/>
      <c r="BJ1383" s="18" t="s">
        <v>553</v>
      </c>
      <c r="BK1383" s="18"/>
      <c r="BL1383" s="18"/>
      <c r="BM1383" s="18"/>
      <c r="BN1383" s="18" t="s">
        <v>179</v>
      </c>
      <c r="BO1383" s="18"/>
      <c r="BP1383" s="15" t="s">
        <v>138</v>
      </c>
      <c r="BQ1383" s="18"/>
      <c r="BS1383" s="15" t="s">
        <v>17310</v>
      </c>
      <c r="DH1383" s="15" t="s">
        <v>17982</v>
      </c>
      <c r="DI1383" s="15" t="s">
        <v>17982</v>
      </c>
    </row>
    <row r="1384" spans="1:113" s="15" customFormat="1" ht="12.75" x14ac:dyDescent="0.2">
      <c r="A1384" s="15" t="s">
        <v>109</v>
      </c>
      <c r="B1384" s="15" t="s">
        <v>110</v>
      </c>
      <c r="D1384" s="15" t="s">
        <v>233</v>
      </c>
      <c r="E1384" s="15" t="s">
        <v>113</v>
      </c>
      <c r="F1384" s="15" t="s">
        <v>233</v>
      </c>
      <c r="G1384" s="15" t="s">
        <v>113</v>
      </c>
      <c r="H1384" s="15" t="s">
        <v>111</v>
      </c>
      <c r="J1384" s="16" t="s">
        <v>114</v>
      </c>
      <c r="U1384" s="15" t="s">
        <v>17977</v>
      </c>
      <c r="W1384" s="15">
        <v>3583</v>
      </c>
      <c r="X1384" s="15">
        <v>1394</v>
      </c>
      <c r="Y1384" s="15" t="s">
        <v>160</v>
      </c>
      <c r="Z1384" s="15" t="s">
        <v>161</v>
      </c>
      <c r="AA1384" s="15" t="s">
        <v>162</v>
      </c>
      <c r="AB1384" s="15" t="s">
        <v>17321</v>
      </c>
      <c r="AC1384" s="15" t="s">
        <v>17321</v>
      </c>
      <c r="AD1384" s="15" t="s">
        <v>17322</v>
      </c>
      <c r="AE1384" s="15" t="s">
        <v>164</v>
      </c>
      <c r="AF1384" s="15" t="s">
        <v>17321</v>
      </c>
      <c r="AG1384" s="15" t="s">
        <v>17321</v>
      </c>
      <c r="AH1384" s="15" t="s">
        <v>17323</v>
      </c>
      <c r="AL1384" s="15" t="s">
        <v>17324</v>
      </c>
      <c r="AN1384" s="15">
        <v>743</v>
      </c>
      <c r="AO1384" s="15" t="s">
        <v>17325</v>
      </c>
      <c r="AQ1384" s="20" t="s">
        <v>342</v>
      </c>
      <c r="AT1384" s="18" t="s">
        <v>17326</v>
      </c>
      <c r="AU1384" s="29" t="s">
        <v>17327</v>
      </c>
      <c r="AV1384" s="29" t="s">
        <v>17328</v>
      </c>
      <c r="AW1384" s="29" t="s">
        <v>17329</v>
      </c>
      <c r="AX1384" s="29" t="s">
        <v>17329</v>
      </c>
      <c r="AY1384" s="21">
        <f t="shared" si="29"/>
        <v>55</v>
      </c>
      <c r="AZ1384" s="29" t="s">
        <v>482</v>
      </c>
      <c r="BA1384" s="29" t="s">
        <v>483</v>
      </c>
      <c r="BB1384" s="18" t="s">
        <v>17309</v>
      </c>
      <c r="BC1384" s="18"/>
      <c r="BD1384" s="18"/>
      <c r="BE1384" s="24" t="s">
        <v>485</v>
      </c>
      <c r="BF1384" s="18"/>
      <c r="BG1384" s="18"/>
      <c r="BH1384" s="18"/>
      <c r="BI1384" s="18"/>
      <c r="BJ1384" s="18" t="s">
        <v>14979</v>
      </c>
      <c r="BK1384" s="18"/>
      <c r="BL1384" s="18"/>
      <c r="BM1384" s="18"/>
      <c r="BN1384" s="18" t="s">
        <v>179</v>
      </c>
      <c r="BO1384" s="18"/>
      <c r="BP1384" s="15" t="s">
        <v>138</v>
      </c>
      <c r="BQ1384" s="18"/>
      <c r="BS1384" s="15" t="s">
        <v>17330</v>
      </c>
      <c r="DH1384" s="15" t="s">
        <v>17982</v>
      </c>
      <c r="DI1384" s="15" t="s">
        <v>17982</v>
      </c>
    </row>
    <row r="1385" spans="1:113" s="15" customFormat="1" ht="12.75" x14ac:dyDescent="0.2">
      <c r="A1385" s="15" t="s">
        <v>109</v>
      </c>
      <c r="B1385" s="15" t="s">
        <v>110</v>
      </c>
      <c r="D1385" s="15" t="s">
        <v>233</v>
      </c>
      <c r="E1385" s="15" t="s">
        <v>113</v>
      </c>
      <c r="F1385" s="15" t="s">
        <v>233</v>
      </c>
      <c r="G1385" s="15" t="s">
        <v>113</v>
      </c>
      <c r="H1385" s="15" t="s">
        <v>111</v>
      </c>
      <c r="J1385" s="16" t="s">
        <v>114</v>
      </c>
      <c r="U1385" s="15" t="s">
        <v>17977</v>
      </c>
      <c r="W1385" s="15">
        <v>2899</v>
      </c>
      <c r="X1385" s="15">
        <v>1395</v>
      </c>
      <c r="Y1385" s="15" t="s">
        <v>160</v>
      </c>
      <c r="Z1385" s="15" t="s">
        <v>161</v>
      </c>
      <c r="AA1385" s="15" t="s">
        <v>162</v>
      </c>
      <c r="AB1385" s="15" t="s">
        <v>14172</v>
      </c>
      <c r="AC1385" s="15" t="s">
        <v>14172</v>
      </c>
      <c r="AD1385" s="15" t="s">
        <v>14173</v>
      </c>
      <c r="AE1385" s="15" t="s">
        <v>164</v>
      </c>
      <c r="AF1385" s="15" t="s">
        <v>14172</v>
      </c>
      <c r="AG1385" s="15" t="s">
        <v>14172</v>
      </c>
      <c r="AH1385" s="15" t="s">
        <v>14174</v>
      </c>
      <c r="AL1385" s="15" t="s">
        <v>14175</v>
      </c>
      <c r="AN1385" s="15">
        <v>743</v>
      </c>
      <c r="AO1385" s="15" t="s">
        <v>14176</v>
      </c>
      <c r="AQ1385" s="20" t="s">
        <v>14154</v>
      </c>
      <c r="AT1385" s="18" t="s">
        <v>14177</v>
      </c>
      <c r="AU1385" s="24" t="s">
        <v>14178</v>
      </c>
      <c r="AV1385" s="24" t="s">
        <v>14179</v>
      </c>
      <c r="AW1385" s="24" t="s">
        <v>14180</v>
      </c>
      <c r="AX1385" s="24" t="s">
        <v>14180</v>
      </c>
      <c r="AY1385" s="21">
        <f t="shared" si="29"/>
        <v>42</v>
      </c>
      <c r="AZ1385" s="24" t="s">
        <v>14158</v>
      </c>
      <c r="BA1385" s="29" t="s">
        <v>483</v>
      </c>
      <c r="BB1385" s="18" t="s">
        <v>14181</v>
      </c>
      <c r="BC1385" s="18"/>
      <c r="BD1385" s="18"/>
      <c r="BE1385" s="24" t="s">
        <v>499</v>
      </c>
      <c r="BF1385" s="18"/>
      <c r="BG1385" s="18"/>
      <c r="BH1385" s="18"/>
      <c r="BI1385" s="18"/>
      <c r="BJ1385" s="18"/>
      <c r="BK1385" s="18"/>
      <c r="BL1385" s="18"/>
      <c r="BM1385" s="18"/>
      <c r="BN1385" s="18" t="s">
        <v>179</v>
      </c>
      <c r="BO1385" s="18"/>
      <c r="BP1385" s="15" t="s">
        <v>138</v>
      </c>
      <c r="BQ1385" s="18"/>
      <c r="BS1385" s="15" t="s">
        <v>14182</v>
      </c>
      <c r="DH1385" s="15" t="s">
        <v>17982</v>
      </c>
      <c r="DI1385" s="15" t="s">
        <v>17982</v>
      </c>
    </row>
    <row r="1386" spans="1:113" s="15" customFormat="1" ht="12.75" x14ac:dyDescent="0.2">
      <c r="A1386" s="15" t="s">
        <v>109</v>
      </c>
      <c r="B1386" s="15" t="s">
        <v>110</v>
      </c>
      <c r="D1386" s="15" t="s">
        <v>233</v>
      </c>
      <c r="E1386" s="15" t="s">
        <v>113</v>
      </c>
      <c r="F1386" s="15" t="s">
        <v>233</v>
      </c>
      <c r="G1386" s="15" t="s">
        <v>113</v>
      </c>
      <c r="H1386" s="15" t="s">
        <v>111</v>
      </c>
      <c r="J1386" s="16" t="s">
        <v>114</v>
      </c>
      <c r="U1386" s="15" t="s">
        <v>17977</v>
      </c>
      <c r="W1386" s="15">
        <v>55</v>
      </c>
      <c r="X1386" s="15">
        <v>1396</v>
      </c>
      <c r="Y1386" s="15" t="s">
        <v>160</v>
      </c>
      <c r="Z1386" s="15" t="s">
        <v>161</v>
      </c>
      <c r="AA1386" s="15" t="s">
        <v>162</v>
      </c>
      <c r="AB1386" s="15" t="s">
        <v>545</v>
      </c>
      <c r="AC1386" s="15" t="s">
        <v>545</v>
      </c>
      <c r="AD1386" s="15" t="s">
        <v>546</v>
      </c>
      <c r="AE1386" s="15" t="s">
        <v>164</v>
      </c>
      <c r="AF1386" s="15" t="s">
        <v>545</v>
      </c>
      <c r="AG1386" s="15" t="s">
        <v>545</v>
      </c>
      <c r="AH1386" s="15" t="s">
        <v>547</v>
      </c>
      <c r="AL1386" s="15" t="s">
        <v>548</v>
      </c>
      <c r="AN1386" s="15">
        <v>743</v>
      </c>
      <c r="AO1386" s="15" t="s">
        <v>549</v>
      </c>
      <c r="AQ1386" s="20" t="s">
        <v>342</v>
      </c>
      <c r="AT1386" s="18" t="s">
        <v>548</v>
      </c>
      <c r="AU1386" s="18" t="s">
        <v>550</v>
      </c>
      <c r="AV1386" s="18" t="s">
        <v>551</v>
      </c>
      <c r="AW1386" s="18" t="s">
        <v>552</v>
      </c>
      <c r="AX1386" s="18" t="s">
        <v>552</v>
      </c>
      <c r="AY1386" s="21">
        <f t="shared" si="29"/>
        <v>53</v>
      </c>
      <c r="AZ1386" s="18" t="s">
        <v>482</v>
      </c>
      <c r="BA1386" s="18" t="s">
        <v>483</v>
      </c>
      <c r="BB1386" s="18" t="s">
        <v>511</v>
      </c>
      <c r="BC1386" s="18"/>
      <c r="BD1386" s="18"/>
      <c r="BE1386" s="24" t="s">
        <v>499</v>
      </c>
      <c r="BF1386" s="18"/>
      <c r="BG1386" s="18"/>
      <c r="BH1386" s="18"/>
      <c r="BI1386" s="18"/>
      <c r="BJ1386" s="18" t="s">
        <v>553</v>
      </c>
      <c r="BK1386" s="18"/>
      <c r="BL1386" s="18"/>
      <c r="BM1386" s="18"/>
      <c r="BN1386" s="18" t="s">
        <v>179</v>
      </c>
      <c r="BO1386" s="18"/>
      <c r="BP1386" s="15" t="s">
        <v>138</v>
      </c>
      <c r="BQ1386" s="18"/>
      <c r="BS1386" s="15" t="s">
        <v>554</v>
      </c>
      <c r="DH1386" s="15" t="s">
        <v>17982</v>
      </c>
      <c r="DI1386" s="15" t="s">
        <v>17982</v>
      </c>
    </row>
    <row r="1387" spans="1:113" s="15" customFormat="1" ht="12.75" x14ac:dyDescent="0.2">
      <c r="A1387" s="15" t="s">
        <v>109</v>
      </c>
      <c r="B1387" s="15" t="s">
        <v>110</v>
      </c>
      <c r="D1387" s="15" t="s">
        <v>233</v>
      </c>
      <c r="E1387" s="15" t="s">
        <v>113</v>
      </c>
      <c r="F1387" s="15" t="s">
        <v>233</v>
      </c>
      <c r="G1387" s="15" t="s">
        <v>113</v>
      </c>
      <c r="H1387" s="15" t="s">
        <v>111</v>
      </c>
      <c r="J1387" s="16" t="s">
        <v>114</v>
      </c>
      <c r="U1387" s="15" t="s">
        <v>17977</v>
      </c>
      <c r="W1387" s="15">
        <v>50</v>
      </c>
      <c r="X1387" s="15">
        <v>1397</v>
      </c>
      <c r="Y1387" s="15" t="s">
        <v>160</v>
      </c>
      <c r="Z1387" s="15" t="s">
        <v>161</v>
      </c>
      <c r="AA1387" s="15" t="s">
        <v>162</v>
      </c>
      <c r="AB1387" s="15" t="s">
        <v>490</v>
      </c>
      <c r="AC1387" s="15" t="s">
        <v>490</v>
      </c>
      <c r="AD1387" s="15" t="s">
        <v>491</v>
      </c>
      <c r="AE1387" s="15" t="s">
        <v>164</v>
      </c>
      <c r="AF1387" s="15" t="s">
        <v>490</v>
      </c>
      <c r="AG1387" s="15" t="s">
        <v>490</v>
      </c>
      <c r="AH1387" s="15" t="s">
        <v>492</v>
      </c>
      <c r="AL1387" s="15" t="s">
        <v>493</v>
      </c>
      <c r="AN1387" s="15">
        <v>743</v>
      </c>
      <c r="AO1387" s="15" t="s">
        <v>494</v>
      </c>
      <c r="AQ1387" s="20" t="s">
        <v>342</v>
      </c>
      <c r="AT1387" s="18" t="s">
        <v>493</v>
      </c>
      <c r="AU1387" s="18" t="s">
        <v>495</v>
      </c>
      <c r="AV1387" s="18" t="s">
        <v>496</v>
      </c>
      <c r="AW1387" s="18" t="s">
        <v>497</v>
      </c>
      <c r="AX1387" s="18" t="s">
        <v>498</v>
      </c>
      <c r="AY1387" s="21">
        <f t="shared" si="29"/>
        <v>62</v>
      </c>
      <c r="AZ1387" s="18" t="s">
        <v>482</v>
      </c>
      <c r="BA1387" s="18" t="s">
        <v>483</v>
      </c>
      <c r="BB1387" s="18" t="s">
        <v>484</v>
      </c>
      <c r="BC1387" s="18"/>
      <c r="BD1387" s="18"/>
      <c r="BE1387" s="24" t="s">
        <v>499</v>
      </c>
      <c r="BF1387" s="18"/>
      <c r="BG1387" s="18"/>
      <c r="BH1387" s="18"/>
      <c r="BI1387" s="18"/>
      <c r="BJ1387" s="18" t="s">
        <v>500</v>
      </c>
      <c r="BK1387" s="18" t="s">
        <v>487</v>
      </c>
      <c r="BL1387" s="18"/>
      <c r="BM1387" s="18"/>
      <c r="BN1387" s="18" t="s">
        <v>179</v>
      </c>
      <c r="BO1387" s="18"/>
      <c r="BP1387" s="15" t="s">
        <v>138</v>
      </c>
      <c r="BQ1387" s="18"/>
      <c r="BS1387" s="15" t="s">
        <v>501</v>
      </c>
      <c r="DH1387" s="15" t="s">
        <v>17982</v>
      </c>
      <c r="DI1387" s="15" t="s">
        <v>17982</v>
      </c>
    </row>
    <row r="1388" spans="1:113" s="15" customFormat="1" ht="12.75" x14ac:dyDescent="0.2">
      <c r="A1388" s="15" t="s">
        <v>109</v>
      </c>
      <c r="B1388" s="15" t="s">
        <v>110</v>
      </c>
      <c r="D1388" s="15" t="s">
        <v>233</v>
      </c>
      <c r="E1388" s="15" t="s">
        <v>113</v>
      </c>
      <c r="F1388" s="15" t="s">
        <v>233</v>
      </c>
      <c r="G1388" s="15" t="s">
        <v>113</v>
      </c>
      <c r="H1388" s="15" t="s">
        <v>111</v>
      </c>
      <c r="J1388" s="16" t="s">
        <v>114</v>
      </c>
      <c r="U1388" s="15" t="s">
        <v>17977</v>
      </c>
      <c r="W1388" s="15">
        <v>109</v>
      </c>
      <c r="X1388" s="15">
        <v>1398</v>
      </c>
      <c r="Y1388" s="15" t="s">
        <v>160</v>
      </c>
      <c r="Z1388" s="15" t="s">
        <v>161</v>
      </c>
      <c r="AA1388" s="15" t="s">
        <v>162</v>
      </c>
      <c r="AB1388" s="15" t="s">
        <v>816</v>
      </c>
      <c r="AC1388" s="15" t="s">
        <v>816</v>
      </c>
      <c r="AD1388" s="15" t="s">
        <v>817</v>
      </c>
      <c r="AE1388" s="15" t="s">
        <v>164</v>
      </c>
      <c r="AF1388" s="15" t="s">
        <v>816</v>
      </c>
      <c r="AG1388" s="15" t="s">
        <v>816</v>
      </c>
      <c r="AH1388" s="15" t="s">
        <v>818</v>
      </c>
      <c r="AL1388" s="15" t="s">
        <v>819</v>
      </c>
      <c r="AN1388" s="15">
        <v>743</v>
      </c>
      <c r="AO1388" s="15" t="s">
        <v>820</v>
      </c>
      <c r="AQ1388" s="20" t="s">
        <v>342</v>
      </c>
      <c r="AT1388" s="18" t="s">
        <v>819</v>
      </c>
      <c r="AU1388" s="18" t="s">
        <v>821</v>
      </c>
      <c r="AV1388" s="18" t="s">
        <v>822</v>
      </c>
      <c r="AW1388" s="18" t="s">
        <v>823</v>
      </c>
      <c r="AX1388" s="18" t="s">
        <v>823</v>
      </c>
      <c r="AY1388" s="21">
        <f t="shared" si="29"/>
        <v>54</v>
      </c>
      <c r="AZ1388" s="18" t="s">
        <v>482</v>
      </c>
      <c r="BA1388" s="18" t="s">
        <v>483</v>
      </c>
      <c r="BB1388" s="18" t="s">
        <v>814</v>
      </c>
      <c r="BC1388" s="18"/>
      <c r="BD1388" s="18"/>
      <c r="BE1388" s="24" t="s">
        <v>499</v>
      </c>
      <c r="BF1388" s="18"/>
      <c r="BG1388" s="18"/>
      <c r="BH1388" s="18"/>
      <c r="BI1388" s="18"/>
      <c r="BJ1388" s="18" t="s">
        <v>553</v>
      </c>
      <c r="BK1388" s="18"/>
      <c r="BL1388" s="18"/>
      <c r="BM1388" s="18"/>
      <c r="BN1388" s="18" t="s">
        <v>179</v>
      </c>
      <c r="BO1388" s="18"/>
      <c r="BP1388" s="15" t="s">
        <v>138</v>
      </c>
      <c r="BQ1388" s="18"/>
      <c r="BS1388" s="15" t="s">
        <v>824</v>
      </c>
      <c r="DH1388" s="15" t="s">
        <v>17982</v>
      </c>
      <c r="DI1388" s="15" t="s">
        <v>17982</v>
      </c>
    </row>
    <row r="1389" spans="1:113" s="15" customFormat="1" ht="12.75" x14ac:dyDescent="0.2">
      <c r="A1389" s="15" t="s">
        <v>109</v>
      </c>
      <c r="B1389" s="15" t="s">
        <v>110</v>
      </c>
      <c r="D1389" s="15" t="s">
        <v>233</v>
      </c>
      <c r="E1389" s="15" t="s">
        <v>113</v>
      </c>
      <c r="F1389" s="15" t="s">
        <v>233</v>
      </c>
      <c r="G1389" s="15" t="s">
        <v>113</v>
      </c>
      <c r="H1389" s="15" t="s">
        <v>111</v>
      </c>
      <c r="J1389" s="16" t="s">
        <v>114</v>
      </c>
      <c r="U1389" s="15" t="s">
        <v>17977</v>
      </c>
      <c r="W1389" s="15">
        <v>258</v>
      </c>
      <c r="X1389" s="15">
        <v>1399</v>
      </c>
      <c r="Y1389" s="15" t="s">
        <v>160</v>
      </c>
      <c r="Z1389" s="15" t="s">
        <v>161</v>
      </c>
      <c r="AA1389" s="15" t="s">
        <v>162</v>
      </c>
      <c r="AB1389" s="15" t="s">
        <v>1229</v>
      </c>
      <c r="AC1389" s="15" t="s">
        <v>1229</v>
      </c>
      <c r="AD1389" s="15" t="s">
        <v>1230</v>
      </c>
      <c r="AE1389" s="15" t="s">
        <v>164</v>
      </c>
      <c r="AF1389" s="15" t="s">
        <v>1229</v>
      </c>
      <c r="AG1389" s="15" t="s">
        <v>1229</v>
      </c>
      <c r="AH1389" s="15" t="s">
        <v>1231</v>
      </c>
      <c r="AL1389" s="15" t="s">
        <v>1232</v>
      </c>
      <c r="AN1389" s="15">
        <v>743</v>
      </c>
      <c r="AO1389" s="15" t="s">
        <v>1233</v>
      </c>
      <c r="AQ1389" s="15" t="s">
        <v>342</v>
      </c>
      <c r="AT1389" s="18" t="s">
        <v>1234</v>
      </c>
      <c r="AU1389" s="29" t="s">
        <v>1235</v>
      </c>
      <c r="AV1389" s="29" t="s">
        <v>1236</v>
      </c>
      <c r="AW1389" s="29" t="s">
        <v>1237</v>
      </c>
      <c r="AX1389" s="29" t="s">
        <v>1238</v>
      </c>
      <c r="AY1389" s="21">
        <f t="shared" si="29"/>
        <v>50</v>
      </c>
      <c r="AZ1389" s="29" t="s">
        <v>1239</v>
      </c>
      <c r="BA1389" s="29" t="s">
        <v>1225</v>
      </c>
      <c r="BB1389" s="18" t="s">
        <v>482</v>
      </c>
      <c r="BC1389" s="18"/>
      <c r="BD1389" s="18"/>
      <c r="BE1389" s="18" t="s">
        <v>499</v>
      </c>
      <c r="BF1389" s="18"/>
      <c r="BG1389" s="18"/>
      <c r="BH1389" s="18"/>
      <c r="BI1389" s="18"/>
      <c r="BJ1389" s="18" t="s">
        <v>1240</v>
      </c>
      <c r="BK1389" s="18"/>
      <c r="BL1389" s="18"/>
      <c r="BM1389" s="18"/>
      <c r="BN1389" s="18" t="s">
        <v>179</v>
      </c>
      <c r="BO1389" s="18"/>
      <c r="BP1389" s="15" t="s">
        <v>138</v>
      </c>
      <c r="BQ1389" s="18"/>
      <c r="BS1389" s="15" t="s">
        <v>1241</v>
      </c>
      <c r="DH1389" s="15" t="s">
        <v>17982</v>
      </c>
      <c r="DI1389" s="15" t="s">
        <v>17982</v>
      </c>
    </row>
    <row r="1390" spans="1:113" s="15" customFormat="1" ht="12.75" x14ac:dyDescent="0.2">
      <c r="A1390" s="15" t="s">
        <v>109</v>
      </c>
      <c r="B1390" s="15" t="s">
        <v>110</v>
      </c>
      <c r="D1390" s="15" t="s">
        <v>233</v>
      </c>
      <c r="E1390" s="15" t="s">
        <v>113</v>
      </c>
      <c r="F1390" s="15" t="s">
        <v>233</v>
      </c>
      <c r="G1390" s="15" t="s">
        <v>113</v>
      </c>
      <c r="H1390" s="15" t="s">
        <v>111</v>
      </c>
      <c r="J1390" s="16" t="s">
        <v>114</v>
      </c>
      <c r="U1390" s="15" t="s">
        <v>17977</v>
      </c>
      <c r="W1390" s="15">
        <v>261</v>
      </c>
      <c r="X1390" s="15">
        <v>1400</v>
      </c>
      <c r="Y1390" s="15" t="s">
        <v>160</v>
      </c>
      <c r="Z1390" s="15" t="s">
        <v>161</v>
      </c>
      <c r="AA1390" s="15" t="s">
        <v>162</v>
      </c>
      <c r="AB1390" s="15" t="s">
        <v>1264</v>
      </c>
      <c r="AC1390" s="15" t="s">
        <v>1264</v>
      </c>
      <c r="AD1390" s="15" t="s">
        <v>1265</v>
      </c>
      <c r="AE1390" s="15" t="s">
        <v>164</v>
      </c>
      <c r="AF1390" s="15" t="s">
        <v>1264</v>
      </c>
      <c r="AG1390" s="15" t="s">
        <v>1264</v>
      </c>
      <c r="AH1390" s="15" t="s">
        <v>1266</v>
      </c>
      <c r="AL1390" s="15" t="s">
        <v>1267</v>
      </c>
      <c r="AN1390" s="15">
        <v>743</v>
      </c>
      <c r="AO1390" s="15" t="s">
        <v>1268</v>
      </c>
      <c r="AQ1390" s="15" t="s">
        <v>342</v>
      </c>
      <c r="AT1390" s="18" t="s">
        <v>1269</v>
      </c>
      <c r="AU1390" s="29" t="s">
        <v>1270</v>
      </c>
      <c r="AV1390" s="29" t="s">
        <v>1271</v>
      </c>
      <c r="AW1390" s="29" t="s">
        <v>1272</v>
      </c>
      <c r="AX1390" s="29" t="s">
        <v>1272</v>
      </c>
      <c r="AY1390" s="21">
        <f t="shared" si="29"/>
        <v>52</v>
      </c>
      <c r="AZ1390" s="29" t="s">
        <v>1239</v>
      </c>
      <c r="BA1390" s="29" t="s">
        <v>1225</v>
      </c>
      <c r="BB1390" s="18" t="s">
        <v>482</v>
      </c>
      <c r="BC1390" s="18"/>
      <c r="BD1390" s="18"/>
      <c r="BE1390" s="18" t="s">
        <v>499</v>
      </c>
      <c r="BF1390" s="18"/>
      <c r="BG1390" s="18"/>
      <c r="BH1390" s="18"/>
      <c r="BI1390" s="18"/>
      <c r="BJ1390" s="18" t="s">
        <v>1273</v>
      </c>
      <c r="BK1390" s="18"/>
      <c r="BL1390" s="18"/>
      <c r="BM1390" s="18"/>
      <c r="BN1390" s="18" t="s">
        <v>179</v>
      </c>
      <c r="BO1390" s="18"/>
      <c r="BP1390" s="15" t="s">
        <v>138</v>
      </c>
      <c r="BQ1390" s="18"/>
      <c r="BS1390" s="15" t="s">
        <v>1274</v>
      </c>
      <c r="DH1390" s="15" t="s">
        <v>17982</v>
      </c>
      <c r="DI1390" s="15" t="s">
        <v>17982</v>
      </c>
    </row>
    <row r="1391" spans="1:113" s="15" customFormat="1" ht="12.75" x14ac:dyDescent="0.2">
      <c r="A1391" s="15" t="s">
        <v>109</v>
      </c>
      <c r="B1391" s="15" t="s">
        <v>110</v>
      </c>
      <c r="D1391" s="15" t="s">
        <v>233</v>
      </c>
      <c r="E1391" s="15" t="s">
        <v>113</v>
      </c>
      <c r="F1391" s="15" t="s">
        <v>233</v>
      </c>
      <c r="G1391" s="15" t="s">
        <v>113</v>
      </c>
      <c r="H1391" s="15" t="s">
        <v>111</v>
      </c>
      <c r="J1391" s="16" t="s">
        <v>114</v>
      </c>
      <c r="U1391" s="15" t="s">
        <v>17977</v>
      </c>
      <c r="W1391" s="15">
        <v>131</v>
      </c>
      <c r="X1391" s="15">
        <v>1401</v>
      </c>
      <c r="Y1391" s="15" t="s">
        <v>160</v>
      </c>
      <c r="Z1391" s="15" t="s">
        <v>161</v>
      </c>
      <c r="AA1391" s="15" t="s">
        <v>162</v>
      </c>
      <c r="AB1391" s="15" t="s">
        <v>983</v>
      </c>
      <c r="AC1391" s="15" t="s">
        <v>983</v>
      </c>
      <c r="AD1391" s="15" t="s">
        <v>984</v>
      </c>
      <c r="AE1391" s="15" t="s">
        <v>164</v>
      </c>
      <c r="AF1391" s="15" t="s">
        <v>983</v>
      </c>
      <c r="AG1391" s="15" t="s">
        <v>983</v>
      </c>
      <c r="AH1391" s="15" t="s">
        <v>985</v>
      </c>
      <c r="AL1391" s="15" t="s">
        <v>986</v>
      </c>
      <c r="AN1391" s="15">
        <v>743</v>
      </c>
      <c r="AO1391" s="15" t="s">
        <v>987</v>
      </c>
      <c r="AQ1391" s="20" t="s">
        <v>342</v>
      </c>
      <c r="AT1391" s="18" t="s">
        <v>986</v>
      </c>
      <c r="AU1391" s="18" t="s">
        <v>988</v>
      </c>
      <c r="AV1391" s="18" t="s">
        <v>989</v>
      </c>
      <c r="AW1391" s="18" t="s">
        <v>990</v>
      </c>
      <c r="AX1391" s="18" t="s">
        <v>991</v>
      </c>
      <c r="AY1391" s="21">
        <f t="shared" si="29"/>
        <v>59</v>
      </c>
      <c r="AZ1391" s="18" t="s">
        <v>604</v>
      </c>
      <c r="BA1391" s="18" t="s">
        <v>483</v>
      </c>
      <c r="BB1391" s="18" t="s">
        <v>968</v>
      </c>
      <c r="BC1391" s="18"/>
      <c r="BD1391" s="18"/>
      <c r="BE1391" s="18" t="s">
        <v>499</v>
      </c>
      <c r="BF1391" s="18"/>
      <c r="BG1391" s="18"/>
      <c r="BH1391" s="18"/>
      <c r="BI1391" s="18"/>
      <c r="BJ1391" s="18" t="s">
        <v>970</v>
      </c>
      <c r="BK1391" s="18"/>
      <c r="BL1391" s="18"/>
      <c r="BM1391" s="18"/>
      <c r="BN1391" s="18" t="s">
        <v>179</v>
      </c>
      <c r="BO1391" s="18"/>
      <c r="BP1391" s="15" t="s">
        <v>138</v>
      </c>
      <c r="BQ1391" s="18"/>
      <c r="BS1391" s="15" t="s">
        <v>992</v>
      </c>
      <c r="DH1391" s="15" t="s">
        <v>17982</v>
      </c>
      <c r="DI1391" s="15" t="s">
        <v>17982</v>
      </c>
    </row>
    <row r="1392" spans="1:113" s="15" customFormat="1" ht="12.75" x14ac:dyDescent="0.2">
      <c r="A1392" s="15" t="s">
        <v>109</v>
      </c>
      <c r="B1392" s="15" t="s">
        <v>110</v>
      </c>
      <c r="D1392" s="15" t="s">
        <v>233</v>
      </c>
      <c r="E1392" s="15" t="s">
        <v>113</v>
      </c>
      <c r="F1392" s="15" t="s">
        <v>233</v>
      </c>
      <c r="G1392" s="15" t="s">
        <v>113</v>
      </c>
      <c r="H1392" s="15" t="s">
        <v>111</v>
      </c>
      <c r="J1392" s="16" t="s">
        <v>114</v>
      </c>
      <c r="U1392" s="15" t="s">
        <v>17977</v>
      </c>
      <c r="W1392" s="15">
        <v>584</v>
      </c>
      <c r="X1392" s="15">
        <v>1402</v>
      </c>
      <c r="Y1392" s="15" t="s">
        <v>160</v>
      </c>
      <c r="Z1392" s="15" t="s">
        <v>161</v>
      </c>
      <c r="AA1392" s="15" t="s">
        <v>162</v>
      </c>
      <c r="AB1392" s="15" t="s">
        <v>2232</v>
      </c>
      <c r="AC1392" s="15" t="s">
        <v>2232</v>
      </c>
      <c r="AD1392" s="15" t="s">
        <v>2233</v>
      </c>
      <c r="AE1392" s="15" t="s">
        <v>164</v>
      </c>
      <c r="AF1392" s="15" t="s">
        <v>2232</v>
      </c>
      <c r="AG1392" s="15" t="s">
        <v>2232</v>
      </c>
      <c r="AH1392" s="15" t="s">
        <v>2234</v>
      </c>
      <c r="AL1392" s="15" t="s">
        <v>2235</v>
      </c>
      <c r="AN1392" s="15">
        <v>743</v>
      </c>
      <c r="AO1392" s="15" t="s">
        <v>2236</v>
      </c>
      <c r="AQ1392" s="20" t="s">
        <v>342</v>
      </c>
      <c r="AT1392" s="18" t="s">
        <v>2235</v>
      </c>
      <c r="AU1392" s="24" t="s">
        <v>2237</v>
      </c>
      <c r="AV1392" s="24" t="s">
        <v>2238</v>
      </c>
      <c r="AW1392" s="24" t="s">
        <v>2239</v>
      </c>
      <c r="AX1392" s="24" t="s">
        <v>2239</v>
      </c>
      <c r="AY1392" s="21">
        <f t="shared" si="29"/>
        <v>58</v>
      </c>
      <c r="AZ1392" s="24" t="s">
        <v>482</v>
      </c>
      <c r="BA1392" s="18" t="s">
        <v>483</v>
      </c>
      <c r="BB1392" s="18" t="s">
        <v>2230</v>
      </c>
      <c r="BC1392" s="18"/>
      <c r="BD1392" s="18"/>
      <c r="BE1392" s="18"/>
      <c r="BF1392" s="18" t="s">
        <v>499</v>
      </c>
      <c r="BG1392" s="18"/>
      <c r="BH1392" s="18"/>
      <c r="BI1392" s="18"/>
      <c r="BJ1392" s="18" t="s">
        <v>2240</v>
      </c>
      <c r="BK1392" s="18"/>
      <c r="BL1392" s="18"/>
      <c r="BM1392" s="18"/>
      <c r="BN1392" s="18" t="s">
        <v>179</v>
      </c>
      <c r="BO1392" s="18"/>
      <c r="BP1392" s="15" t="s">
        <v>138</v>
      </c>
      <c r="BQ1392" s="18"/>
      <c r="BS1392" s="15" t="s">
        <v>2241</v>
      </c>
      <c r="DH1392" s="15" t="s">
        <v>17982</v>
      </c>
      <c r="DI1392" s="15" t="s">
        <v>17982</v>
      </c>
    </row>
    <row r="1393" spans="1:113" s="15" customFormat="1" ht="12.75" x14ac:dyDescent="0.2">
      <c r="A1393" s="15" t="s">
        <v>109</v>
      </c>
      <c r="B1393" s="15" t="s">
        <v>110</v>
      </c>
      <c r="D1393" s="15" t="s">
        <v>233</v>
      </c>
      <c r="E1393" s="15" t="s">
        <v>113</v>
      </c>
      <c r="F1393" s="15" t="s">
        <v>233</v>
      </c>
      <c r="G1393" s="15" t="s">
        <v>113</v>
      </c>
      <c r="H1393" s="15" t="s">
        <v>111</v>
      </c>
      <c r="J1393" s="16" t="s">
        <v>114</v>
      </c>
      <c r="U1393" s="15" t="s">
        <v>17977</v>
      </c>
      <c r="W1393" s="15">
        <v>845</v>
      </c>
      <c r="X1393" s="15">
        <v>1403</v>
      </c>
      <c r="Y1393" s="15" t="s">
        <v>160</v>
      </c>
      <c r="Z1393" s="15" t="s">
        <v>161</v>
      </c>
      <c r="AA1393" s="15" t="s">
        <v>162</v>
      </c>
      <c r="AB1393" s="15" t="s">
        <v>3651</v>
      </c>
      <c r="AC1393" s="15" t="s">
        <v>3651</v>
      </c>
      <c r="AD1393" s="15" t="s">
        <v>3652</v>
      </c>
      <c r="AE1393" s="15" t="s">
        <v>164</v>
      </c>
      <c r="AF1393" s="15" t="s">
        <v>3651</v>
      </c>
      <c r="AG1393" s="15" t="s">
        <v>3651</v>
      </c>
      <c r="AH1393" s="15" t="s">
        <v>3653</v>
      </c>
      <c r="AL1393" s="15" t="s">
        <v>3654</v>
      </c>
      <c r="AN1393" s="15">
        <v>743</v>
      </c>
      <c r="AO1393" s="15" t="s">
        <v>3655</v>
      </c>
      <c r="AQ1393" s="20" t="s">
        <v>388</v>
      </c>
      <c r="AT1393" s="18" t="s">
        <v>3656</v>
      </c>
      <c r="AU1393" s="18" t="s">
        <v>3657</v>
      </c>
      <c r="AV1393" s="18" t="s">
        <v>3658</v>
      </c>
      <c r="AW1393" s="18" t="s">
        <v>3659</v>
      </c>
      <c r="AX1393" s="18" t="s">
        <v>3659</v>
      </c>
      <c r="AY1393" s="21">
        <f t="shared" si="29"/>
        <v>57</v>
      </c>
      <c r="AZ1393" s="18" t="s">
        <v>3660</v>
      </c>
      <c r="BA1393" s="29" t="s">
        <v>174</v>
      </c>
      <c r="BB1393" s="18" t="s">
        <v>3661</v>
      </c>
      <c r="BC1393" s="18"/>
      <c r="BD1393" s="18"/>
      <c r="BE1393" s="18"/>
      <c r="BF1393" s="18" t="s">
        <v>499</v>
      </c>
      <c r="BG1393" s="18"/>
      <c r="BH1393" s="18"/>
      <c r="BI1393" s="18"/>
      <c r="BJ1393" s="18" t="s">
        <v>3662</v>
      </c>
      <c r="BK1393" s="18"/>
      <c r="BL1393" s="18"/>
      <c r="BM1393" s="18"/>
      <c r="BN1393" s="18" t="s">
        <v>179</v>
      </c>
      <c r="BO1393" s="18"/>
      <c r="BP1393" s="15" t="s">
        <v>138</v>
      </c>
      <c r="BQ1393" s="18"/>
      <c r="BS1393" s="15" t="s">
        <v>3663</v>
      </c>
      <c r="DH1393" s="15" t="s">
        <v>17982</v>
      </c>
      <c r="DI1393" s="15" t="s">
        <v>17982</v>
      </c>
    </row>
    <row r="1394" spans="1:113" s="15" customFormat="1" ht="12.75" x14ac:dyDescent="0.2">
      <c r="A1394" s="15" t="s">
        <v>109</v>
      </c>
      <c r="B1394" s="15" t="s">
        <v>110</v>
      </c>
      <c r="D1394" s="15" t="s">
        <v>233</v>
      </c>
      <c r="E1394" s="15" t="s">
        <v>113</v>
      </c>
      <c r="F1394" s="15" t="s">
        <v>233</v>
      </c>
      <c r="G1394" s="15" t="s">
        <v>113</v>
      </c>
      <c r="H1394" s="15" t="s">
        <v>111</v>
      </c>
      <c r="J1394" s="16" t="s">
        <v>114</v>
      </c>
      <c r="U1394" s="15" t="s">
        <v>17977</v>
      </c>
      <c r="W1394" s="15">
        <v>581</v>
      </c>
      <c r="X1394" s="15">
        <v>1404</v>
      </c>
      <c r="Y1394" s="15" t="s">
        <v>160</v>
      </c>
      <c r="Z1394" s="15" t="s">
        <v>161</v>
      </c>
      <c r="AA1394" s="15" t="s">
        <v>162</v>
      </c>
      <c r="AB1394" s="15" t="s">
        <v>2211</v>
      </c>
      <c r="AC1394" s="15" t="s">
        <v>2211</v>
      </c>
      <c r="AD1394" s="15" t="s">
        <v>2212</v>
      </c>
      <c r="AE1394" s="15" t="s">
        <v>164</v>
      </c>
      <c r="AF1394" s="15" t="s">
        <v>2211</v>
      </c>
      <c r="AG1394" s="15" t="s">
        <v>2211</v>
      </c>
      <c r="AH1394" s="15" t="s">
        <v>2213</v>
      </c>
      <c r="AL1394" s="15" t="s">
        <v>2214</v>
      </c>
      <c r="AN1394" s="15">
        <v>743</v>
      </c>
      <c r="AO1394" s="15" t="s">
        <v>2215</v>
      </c>
      <c r="AQ1394" s="20" t="s">
        <v>342</v>
      </c>
      <c r="AT1394" s="18" t="s">
        <v>2214</v>
      </c>
      <c r="AU1394" s="24" t="s">
        <v>2216</v>
      </c>
      <c r="AV1394" s="24" t="s">
        <v>2217</v>
      </c>
      <c r="AW1394" s="24" t="s">
        <v>2218</v>
      </c>
      <c r="AX1394" s="24" t="s">
        <v>2219</v>
      </c>
      <c r="AY1394" s="21">
        <f t="shared" si="29"/>
        <v>52</v>
      </c>
      <c r="AZ1394" s="24" t="s">
        <v>482</v>
      </c>
      <c r="BA1394" s="18" t="s">
        <v>483</v>
      </c>
      <c r="BB1394" s="18" t="s">
        <v>2197</v>
      </c>
      <c r="BC1394" s="18"/>
      <c r="BD1394" s="18"/>
      <c r="BE1394" s="18"/>
      <c r="BF1394" s="18" t="s">
        <v>499</v>
      </c>
      <c r="BG1394" s="18"/>
      <c r="BH1394" s="18"/>
      <c r="BI1394" s="18"/>
      <c r="BJ1394" s="18" t="s">
        <v>2198</v>
      </c>
      <c r="BK1394" s="18"/>
      <c r="BL1394" s="18"/>
      <c r="BM1394" s="18"/>
      <c r="BN1394" s="18" t="s">
        <v>179</v>
      </c>
      <c r="BO1394" s="18"/>
      <c r="BP1394" s="15" t="s">
        <v>138</v>
      </c>
      <c r="BQ1394" s="18"/>
      <c r="BS1394" s="15" t="s">
        <v>2220</v>
      </c>
      <c r="DH1394" s="15" t="s">
        <v>17982</v>
      </c>
      <c r="DI1394" s="15" t="s">
        <v>17982</v>
      </c>
    </row>
    <row r="1395" spans="1:113" s="15" customFormat="1" ht="12.75" x14ac:dyDescent="0.2">
      <c r="A1395" s="15" t="s">
        <v>109</v>
      </c>
      <c r="B1395" s="15" t="s">
        <v>110</v>
      </c>
      <c r="D1395" s="15" t="s">
        <v>233</v>
      </c>
      <c r="E1395" s="15" t="s">
        <v>113</v>
      </c>
      <c r="F1395" s="15" t="s">
        <v>233</v>
      </c>
      <c r="G1395" s="15" t="s">
        <v>113</v>
      </c>
      <c r="H1395" s="15" t="s">
        <v>111</v>
      </c>
      <c r="J1395" s="16" t="s">
        <v>114</v>
      </c>
      <c r="U1395" s="15" t="s">
        <v>17977</v>
      </c>
      <c r="W1395" s="15">
        <v>913</v>
      </c>
      <c r="X1395" s="15">
        <v>1405</v>
      </c>
      <c r="Y1395" s="15" t="s">
        <v>160</v>
      </c>
      <c r="Z1395" s="15" t="s">
        <v>161</v>
      </c>
      <c r="AA1395" s="15" t="s">
        <v>162</v>
      </c>
      <c r="AB1395" s="15" t="s">
        <v>4137</v>
      </c>
      <c r="AC1395" s="15" t="s">
        <v>4137</v>
      </c>
      <c r="AD1395" s="15" t="s">
        <v>4138</v>
      </c>
      <c r="AE1395" s="15" t="s">
        <v>164</v>
      </c>
      <c r="AF1395" s="15" t="s">
        <v>4137</v>
      </c>
      <c r="AG1395" s="15" t="s">
        <v>4137</v>
      </c>
      <c r="AH1395" s="15" t="s">
        <v>4139</v>
      </c>
      <c r="AL1395" s="15" t="s">
        <v>4140</v>
      </c>
      <c r="AN1395" s="15">
        <v>743</v>
      </c>
      <c r="AO1395" s="15" t="s">
        <v>4141</v>
      </c>
      <c r="AQ1395" s="20" t="s">
        <v>168</v>
      </c>
      <c r="AT1395" s="18" t="s">
        <v>4140</v>
      </c>
      <c r="AU1395" s="18" t="s">
        <v>4142</v>
      </c>
      <c r="AV1395" s="18" t="s">
        <v>4143</v>
      </c>
      <c r="AW1395" s="18" t="s">
        <v>4144</v>
      </c>
      <c r="AX1395" s="18" t="s">
        <v>4145</v>
      </c>
      <c r="AY1395" s="21">
        <f t="shared" si="29"/>
        <v>50</v>
      </c>
      <c r="AZ1395" s="18" t="s">
        <v>604</v>
      </c>
      <c r="BA1395" s="29" t="s">
        <v>174</v>
      </c>
      <c r="BB1395" s="18" t="s">
        <v>4026</v>
      </c>
      <c r="BC1395" s="18"/>
      <c r="BD1395" s="18"/>
      <c r="BE1395" s="18" t="s">
        <v>499</v>
      </c>
      <c r="BF1395" s="18"/>
      <c r="BG1395" s="18"/>
      <c r="BH1395" s="18"/>
      <c r="BI1395" s="18"/>
      <c r="BJ1395" s="18" t="s">
        <v>553</v>
      </c>
      <c r="BK1395" s="18"/>
      <c r="BL1395" s="18"/>
      <c r="BM1395" s="18"/>
      <c r="BN1395" s="18" t="s">
        <v>179</v>
      </c>
      <c r="BO1395" s="18"/>
      <c r="BP1395" s="15" t="s">
        <v>138</v>
      </c>
      <c r="BQ1395" s="18"/>
      <c r="BS1395" s="15" t="s">
        <v>4146</v>
      </c>
      <c r="DH1395" s="15" t="s">
        <v>17982</v>
      </c>
      <c r="DI1395" s="15" t="s">
        <v>17982</v>
      </c>
    </row>
    <row r="1396" spans="1:113" s="15" customFormat="1" ht="12.75" x14ac:dyDescent="0.2">
      <c r="A1396" s="15" t="s">
        <v>109</v>
      </c>
      <c r="B1396" s="15" t="s">
        <v>110</v>
      </c>
      <c r="D1396" s="15" t="s">
        <v>233</v>
      </c>
      <c r="E1396" s="15" t="s">
        <v>113</v>
      </c>
      <c r="F1396" s="15" t="s">
        <v>233</v>
      </c>
      <c r="G1396" s="15" t="s">
        <v>113</v>
      </c>
      <c r="H1396" s="15" t="s">
        <v>111</v>
      </c>
      <c r="J1396" s="16" t="s">
        <v>114</v>
      </c>
      <c r="U1396" s="15" t="s">
        <v>17977</v>
      </c>
      <c r="W1396" s="15">
        <v>1215</v>
      </c>
      <c r="X1396" s="15">
        <v>1406</v>
      </c>
      <c r="Y1396" s="15" t="s">
        <v>160</v>
      </c>
      <c r="Z1396" s="15" t="s">
        <v>161</v>
      </c>
      <c r="AA1396" s="15" t="s">
        <v>162</v>
      </c>
      <c r="AB1396" s="15" t="s">
        <v>6364</v>
      </c>
      <c r="AC1396" s="15" t="s">
        <v>6364</v>
      </c>
      <c r="AD1396" s="15" t="s">
        <v>6365</v>
      </c>
      <c r="AE1396" s="15" t="s">
        <v>164</v>
      </c>
      <c r="AF1396" s="15" t="s">
        <v>6364</v>
      </c>
      <c r="AG1396" s="15" t="s">
        <v>6364</v>
      </c>
      <c r="AH1396" s="15" t="s">
        <v>6366</v>
      </c>
      <c r="AL1396" s="15" t="s">
        <v>6367</v>
      </c>
      <c r="AN1396" s="15">
        <v>743</v>
      </c>
      <c r="AO1396" s="15" t="s">
        <v>6368</v>
      </c>
      <c r="AQ1396" s="20" t="s">
        <v>342</v>
      </c>
      <c r="AT1396" s="18" t="s">
        <v>6369</v>
      </c>
      <c r="AU1396" s="18" t="s">
        <v>6370</v>
      </c>
      <c r="AV1396" s="18" t="s">
        <v>6371</v>
      </c>
      <c r="AW1396" s="18" t="s">
        <v>6372</v>
      </c>
      <c r="AX1396" s="18" t="s">
        <v>6373</v>
      </c>
      <c r="AY1396" s="21">
        <f t="shared" si="29"/>
        <v>57</v>
      </c>
      <c r="AZ1396" s="18" t="s">
        <v>1725</v>
      </c>
      <c r="BA1396" s="29" t="s">
        <v>483</v>
      </c>
      <c r="BB1396" s="18" t="s">
        <v>6362</v>
      </c>
      <c r="BC1396" s="18"/>
      <c r="BD1396" s="18"/>
      <c r="BE1396" s="18" t="s">
        <v>499</v>
      </c>
      <c r="BF1396" s="18"/>
      <c r="BG1396" s="18"/>
      <c r="BH1396" s="18"/>
      <c r="BI1396" s="18"/>
      <c r="BJ1396" s="18" t="s">
        <v>6374</v>
      </c>
      <c r="BK1396" s="18"/>
      <c r="BL1396" s="18"/>
      <c r="BM1396" s="18"/>
      <c r="BN1396" s="18" t="s">
        <v>179</v>
      </c>
      <c r="BO1396" s="18"/>
      <c r="BP1396" s="15" t="s">
        <v>138</v>
      </c>
      <c r="BQ1396" s="18"/>
      <c r="BS1396" s="15" t="s">
        <v>6375</v>
      </c>
      <c r="DH1396" s="15" t="s">
        <v>17982</v>
      </c>
      <c r="DI1396" s="15" t="s">
        <v>17982</v>
      </c>
    </row>
    <row r="1397" spans="1:113" s="15" customFormat="1" ht="12.75" x14ac:dyDescent="0.2">
      <c r="A1397" s="15" t="s">
        <v>109</v>
      </c>
      <c r="B1397" s="15" t="s">
        <v>110</v>
      </c>
      <c r="D1397" s="15" t="s">
        <v>233</v>
      </c>
      <c r="E1397" s="15" t="s">
        <v>113</v>
      </c>
      <c r="F1397" s="15" t="s">
        <v>233</v>
      </c>
      <c r="G1397" s="15" t="s">
        <v>113</v>
      </c>
      <c r="H1397" s="15" t="s">
        <v>111</v>
      </c>
      <c r="J1397" s="16" t="s">
        <v>114</v>
      </c>
      <c r="U1397" s="15" t="s">
        <v>17977</v>
      </c>
      <c r="W1397" s="15">
        <v>1128</v>
      </c>
      <c r="X1397" s="15">
        <v>1407</v>
      </c>
      <c r="Y1397" s="15" t="s">
        <v>160</v>
      </c>
      <c r="Z1397" s="15" t="s">
        <v>161</v>
      </c>
      <c r="AA1397" s="15" t="s">
        <v>162</v>
      </c>
      <c r="AB1397" s="15" t="s">
        <v>5960</v>
      </c>
      <c r="AC1397" s="15" t="s">
        <v>5960</v>
      </c>
      <c r="AD1397" s="15" t="s">
        <v>5961</v>
      </c>
      <c r="AE1397" s="15" t="s">
        <v>164</v>
      </c>
      <c r="AF1397" s="15" t="s">
        <v>5960</v>
      </c>
      <c r="AG1397" s="15" t="s">
        <v>5960</v>
      </c>
      <c r="AH1397" s="15" t="s">
        <v>5962</v>
      </c>
      <c r="AL1397" s="15" t="s">
        <v>5963</v>
      </c>
      <c r="AN1397" s="15">
        <v>743</v>
      </c>
      <c r="AO1397" s="15" t="s">
        <v>5964</v>
      </c>
      <c r="AQ1397" s="20" t="s">
        <v>342</v>
      </c>
      <c r="AT1397" s="18" t="s">
        <v>5965</v>
      </c>
      <c r="AU1397" s="18" t="s">
        <v>5966</v>
      </c>
      <c r="AV1397" s="18" t="s">
        <v>5967</v>
      </c>
      <c r="AW1397" s="18" t="s">
        <v>5968</v>
      </c>
      <c r="AX1397" s="18" t="s">
        <v>5969</v>
      </c>
      <c r="AY1397" s="21">
        <f t="shared" si="29"/>
        <v>57</v>
      </c>
      <c r="AZ1397" s="18" t="s">
        <v>482</v>
      </c>
      <c r="BA1397" s="24" t="s">
        <v>483</v>
      </c>
      <c r="BB1397" s="29" t="s">
        <v>5956</v>
      </c>
      <c r="BC1397" s="18"/>
      <c r="BD1397" s="18"/>
      <c r="BE1397" s="18" t="s">
        <v>499</v>
      </c>
      <c r="BF1397" s="18" t="s">
        <v>5957</v>
      </c>
      <c r="BG1397" s="18"/>
      <c r="BH1397" s="18"/>
      <c r="BI1397" s="18"/>
      <c r="BJ1397" s="18" t="s">
        <v>5970</v>
      </c>
      <c r="BK1397" s="18"/>
      <c r="BL1397" s="18"/>
      <c r="BM1397" s="18"/>
      <c r="BN1397" s="18" t="s">
        <v>179</v>
      </c>
      <c r="BO1397" s="18"/>
      <c r="BP1397" s="15" t="s">
        <v>138</v>
      </c>
      <c r="BQ1397" s="18"/>
      <c r="BS1397" s="15" t="s">
        <v>5971</v>
      </c>
      <c r="DH1397" s="15" t="s">
        <v>17982</v>
      </c>
      <c r="DI1397" s="15" t="s">
        <v>17982</v>
      </c>
    </row>
    <row r="1398" spans="1:113" s="15" customFormat="1" ht="12.75" x14ac:dyDescent="0.2">
      <c r="A1398" s="15" t="s">
        <v>109</v>
      </c>
      <c r="B1398" s="15" t="s">
        <v>110</v>
      </c>
      <c r="D1398" s="15" t="s">
        <v>233</v>
      </c>
      <c r="E1398" s="15" t="s">
        <v>113</v>
      </c>
      <c r="F1398" s="15" t="s">
        <v>233</v>
      </c>
      <c r="G1398" s="15" t="s">
        <v>113</v>
      </c>
      <c r="H1398" s="15" t="s">
        <v>111</v>
      </c>
      <c r="J1398" s="16" t="s">
        <v>114</v>
      </c>
      <c r="U1398" s="15" t="s">
        <v>17977</v>
      </c>
      <c r="W1398" s="15">
        <v>1130</v>
      </c>
      <c r="X1398" s="15">
        <v>1408</v>
      </c>
      <c r="Y1398" s="15" t="s">
        <v>160</v>
      </c>
      <c r="Z1398" s="15" t="s">
        <v>161</v>
      </c>
      <c r="AA1398" s="15" t="s">
        <v>162</v>
      </c>
      <c r="AB1398" s="15" t="s">
        <v>5983</v>
      </c>
      <c r="AC1398" s="15" t="s">
        <v>5983</v>
      </c>
      <c r="AD1398" s="15" t="s">
        <v>5984</v>
      </c>
      <c r="AE1398" s="15" t="s">
        <v>164</v>
      </c>
      <c r="AF1398" s="15" t="s">
        <v>5983</v>
      </c>
      <c r="AG1398" s="15" t="s">
        <v>5983</v>
      </c>
      <c r="AH1398" s="15" t="s">
        <v>5985</v>
      </c>
      <c r="AL1398" s="15" t="s">
        <v>5986</v>
      </c>
      <c r="AN1398" s="15">
        <v>743</v>
      </c>
      <c r="AO1398" s="15" t="s">
        <v>5987</v>
      </c>
      <c r="AQ1398" s="20" t="s">
        <v>342</v>
      </c>
      <c r="AT1398" s="18" t="s">
        <v>5988</v>
      </c>
      <c r="AU1398" s="18" t="s">
        <v>5989</v>
      </c>
      <c r="AV1398" s="18" t="s">
        <v>5990</v>
      </c>
      <c r="AW1398" s="18" t="s">
        <v>5991</v>
      </c>
      <c r="AX1398" s="18" t="s">
        <v>5992</v>
      </c>
      <c r="AY1398" s="21">
        <f t="shared" si="29"/>
        <v>57</v>
      </c>
      <c r="AZ1398" s="18" t="s">
        <v>482</v>
      </c>
      <c r="BA1398" s="24" t="s">
        <v>483</v>
      </c>
      <c r="BB1398" s="29" t="s">
        <v>5956</v>
      </c>
      <c r="BC1398" s="18"/>
      <c r="BD1398" s="18"/>
      <c r="BE1398" s="18" t="s">
        <v>499</v>
      </c>
      <c r="BF1398" s="18" t="s">
        <v>5981</v>
      </c>
      <c r="BG1398" s="18"/>
      <c r="BH1398" s="18"/>
      <c r="BI1398" s="18"/>
      <c r="BJ1398" s="18" t="s">
        <v>5970</v>
      </c>
      <c r="BK1398" s="18"/>
      <c r="BL1398" s="18"/>
      <c r="BM1398" s="18"/>
      <c r="BN1398" s="18" t="s">
        <v>179</v>
      </c>
      <c r="BO1398" s="18"/>
      <c r="BP1398" s="15" t="s">
        <v>138</v>
      </c>
      <c r="BQ1398" s="18"/>
      <c r="BS1398" s="15" t="s">
        <v>5993</v>
      </c>
      <c r="DH1398" s="15" t="s">
        <v>17982</v>
      </c>
      <c r="DI1398" s="15" t="s">
        <v>17982</v>
      </c>
    </row>
    <row r="1399" spans="1:113" s="15" customFormat="1" ht="12.75" x14ac:dyDescent="0.2">
      <c r="A1399" s="15" t="s">
        <v>109</v>
      </c>
      <c r="B1399" s="15" t="s">
        <v>110</v>
      </c>
      <c r="D1399" s="15" t="s">
        <v>233</v>
      </c>
      <c r="E1399" s="15" t="s">
        <v>113</v>
      </c>
      <c r="F1399" s="15" t="s">
        <v>233</v>
      </c>
      <c r="G1399" s="15" t="s">
        <v>113</v>
      </c>
      <c r="H1399" s="15" t="s">
        <v>111</v>
      </c>
      <c r="J1399" s="16" t="s">
        <v>114</v>
      </c>
      <c r="U1399" s="15" t="s">
        <v>17977</v>
      </c>
      <c r="W1399" s="15">
        <v>2130</v>
      </c>
      <c r="X1399" s="15">
        <v>1409</v>
      </c>
      <c r="Y1399" s="15" t="s">
        <v>160</v>
      </c>
      <c r="Z1399" s="15" t="s">
        <v>161</v>
      </c>
      <c r="AA1399" s="15" t="s">
        <v>162</v>
      </c>
      <c r="AB1399" s="15" t="s">
        <v>10893</v>
      </c>
      <c r="AC1399" s="15" t="s">
        <v>10893</v>
      </c>
      <c r="AD1399" s="15" t="s">
        <v>10894</v>
      </c>
      <c r="AE1399" s="15" t="s">
        <v>164</v>
      </c>
      <c r="AF1399" s="15" t="s">
        <v>10893</v>
      </c>
      <c r="AG1399" s="15" t="s">
        <v>10893</v>
      </c>
      <c r="AH1399" s="15" t="s">
        <v>10895</v>
      </c>
      <c r="AL1399" s="15" t="s">
        <v>10896</v>
      </c>
      <c r="AN1399" s="15">
        <v>743</v>
      </c>
      <c r="AO1399" s="15" t="s">
        <v>10897</v>
      </c>
      <c r="AQ1399" s="20" t="s">
        <v>342</v>
      </c>
      <c r="AT1399" s="18" t="s">
        <v>10898</v>
      </c>
      <c r="AU1399" s="18" t="s">
        <v>10899</v>
      </c>
      <c r="AV1399" s="18" t="s">
        <v>10900</v>
      </c>
      <c r="AW1399" s="18" t="s">
        <v>10901</v>
      </c>
      <c r="AX1399" s="18" t="s">
        <v>10902</v>
      </c>
      <c r="AY1399" s="21">
        <f t="shared" si="29"/>
        <v>51</v>
      </c>
      <c r="AZ1399" s="18" t="s">
        <v>1725</v>
      </c>
      <c r="BA1399" s="18" t="s">
        <v>483</v>
      </c>
      <c r="BB1399" s="18" t="s">
        <v>10858</v>
      </c>
      <c r="BC1399" s="18"/>
      <c r="BD1399" s="18"/>
      <c r="BE1399" s="24" t="s">
        <v>499</v>
      </c>
      <c r="BF1399" s="18"/>
      <c r="BG1399" s="18"/>
      <c r="BH1399" s="18"/>
      <c r="BI1399" s="18"/>
      <c r="BJ1399" s="18" t="s">
        <v>10891</v>
      </c>
      <c r="BK1399" s="18"/>
      <c r="BL1399" s="18"/>
      <c r="BM1399" s="18"/>
      <c r="BN1399" s="18" t="s">
        <v>179</v>
      </c>
      <c r="BO1399" s="18"/>
      <c r="BP1399" s="15" t="s">
        <v>138</v>
      </c>
      <c r="BQ1399" s="18"/>
      <c r="BS1399" s="15" t="s">
        <v>10903</v>
      </c>
      <c r="DH1399" s="15" t="s">
        <v>17982</v>
      </c>
      <c r="DI1399" s="15" t="s">
        <v>17982</v>
      </c>
    </row>
    <row r="1400" spans="1:113" s="15" customFormat="1" ht="12.75" x14ac:dyDescent="0.2">
      <c r="A1400" s="15" t="s">
        <v>109</v>
      </c>
      <c r="B1400" s="15" t="s">
        <v>110</v>
      </c>
      <c r="D1400" s="15" t="s">
        <v>233</v>
      </c>
      <c r="E1400" s="15" t="s">
        <v>113</v>
      </c>
      <c r="F1400" s="15" t="s">
        <v>233</v>
      </c>
      <c r="G1400" s="15" t="s">
        <v>113</v>
      </c>
      <c r="H1400" s="15" t="s">
        <v>111</v>
      </c>
      <c r="J1400" s="16" t="s">
        <v>114</v>
      </c>
      <c r="U1400" s="15" t="s">
        <v>17977</v>
      </c>
      <c r="W1400" s="15">
        <v>2310</v>
      </c>
      <c r="X1400" s="15">
        <v>1410</v>
      </c>
      <c r="Y1400" s="15" t="s">
        <v>160</v>
      </c>
      <c r="Z1400" s="15" t="s">
        <v>161</v>
      </c>
      <c r="AA1400" s="15" t="s">
        <v>162</v>
      </c>
      <c r="AB1400" s="15" t="s">
        <v>11528</v>
      </c>
      <c r="AC1400" s="15" t="s">
        <v>11528</v>
      </c>
      <c r="AD1400" s="15" t="s">
        <v>11529</v>
      </c>
      <c r="AE1400" s="15" t="s">
        <v>164</v>
      </c>
      <c r="AF1400" s="15" t="s">
        <v>11528</v>
      </c>
      <c r="AG1400" s="15" t="s">
        <v>11528</v>
      </c>
      <c r="AH1400" s="15" t="s">
        <v>11530</v>
      </c>
      <c r="AL1400" s="15" t="s">
        <v>11531</v>
      </c>
      <c r="AN1400" s="15">
        <v>743</v>
      </c>
      <c r="AO1400" s="15" t="s">
        <v>11532</v>
      </c>
      <c r="AQ1400" s="20" t="s">
        <v>342</v>
      </c>
      <c r="AT1400" s="18" t="s">
        <v>11533</v>
      </c>
      <c r="AU1400" s="29" t="s">
        <v>11534</v>
      </c>
      <c r="AV1400" s="29" t="s">
        <v>11535</v>
      </c>
      <c r="AW1400" s="29" t="s">
        <v>11536</v>
      </c>
      <c r="AX1400" s="29" t="s">
        <v>11537</v>
      </c>
      <c r="AY1400" s="21">
        <f t="shared" si="29"/>
        <v>59</v>
      </c>
      <c r="AZ1400" s="29" t="s">
        <v>1725</v>
      </c>
      <c r="BA1400" s="29" t="s">
        <v>483</v>
      </c>
      <c r="BB1400" s="29" t="s">
        <v>11526</v>
      </c>
      <c r="BC1400" s="24" t="s">
        <v>801</v>
      </c>
      <c r="BD1400" s="18"/>
      <c r="BE1400" s="24" t="s">
        <v>499</v>
      </c>
      <c r="BF1400" s="18"/>
      <c r="BG1400" s="18"/>
      <c r="BH1400" s="18"/>
      <c r="BI1400" s="18"/>
      <c r="BJ1400" s="18" t="s">
        <v>553</v>
      </c>
      <c r="BK1400" s="18"/>
      <c r="BL1400" s="18"/>
      <c r="BM1400" s="18"/>
      <c r="BN1400" s="18" t="s">
        <v>179</v>
      </c>
      <c r="BO1400" s="18"/>
      <c r="BP1400" s="15" t="s">
        <v>138</v>
      </c>
      <c r="BQ1400" s="18"/>
      <c r="BS1400" s="15" t="s">
        <v>11538</v>
      </c>
      <c r="DH1400" s="15" t="s">
        <v>17982</v>
      </c>
      <c r="DI1400" s="15" t="s">
        <v>17982</v>
      </c>
    </row>
    <row r="1401" spans="1:113" s="15" customFormat="1" ht="12.75" x14ac:dyDescent="0.2">
      <c r="A1401" s="15" t="s">
        <v>109</v>
      </c>
      <c r="B1401" s="15" t="s">
        <v>110</v>
      </c>
      <c r="D1401" s="15" t="s">
        <v>233</v>
      </c>
      <c r="E1401" s="15" t="s">
        <v>113</v>
      </c>
      <c r="F1401" s="15" t="s">
        <v>233</v>
      </c>
      <c r="G1401" s="15" t="s">
        <v>113</v>
      </c>
      <c r="H1401" s="15" t="s">
        <v>111</v>
      </c>
      <c r="J1401" s="16" t="s">
        <v>114</v>
      </c>
      <c r="U1401" s="15" t="s">
        <v>17977</v>
      </c>
      <c r="W1401" s="15">
        <v>3680</v>
      </c>
      <c r="X1401" s="15">
        <v>1411</v>
      </c>
      <c r="Y1401" s="15" t="s">
        <v>160</v>
      </c>
      <c r="Z1401" s="15" t="s">
        <v>161</v>
      </c>
      <c r="AA1401" s="15" t="s">
        <v>162</v>
      </c>
      <c r="AB1401" s="15" t="s">
        <v>17838</v>
      </c>
      <c r="AC1401" s="15" t="s">
        <v>17838</v>
      </c>
      <c r="AD1401" s="15" t="s">
        <v>17839</v>
      </c>
      <c r="AE1401" s="15" t="s">
        <v>164</v>
      </c>
      <c r="AF1401" s="15" t="s">
        <v>17838</v>
      </c>
      <c r="AG1401" s="15" t="s">
        <v>17838</v>
      </c>
      <c r="AH1401" s="15" t="s">
        <v>17840</v>
      </c>
      <c r="AL1401" s="15" t="s">
        <v>17841</v>
      </c>
      <c r="AN1401" s="15">
        <v>743</v>
      </c>
      <c r="AO1401" s="15" t="s">
        <v>17842</v>
      </c>
      <c r="AQ1401" s="20" t="s">
        <v>342</v>
      </c>
      <c r="AT1401" s="18" t="s">
        <v>17843</v>
      </c>
      <c r="AU1401" s="29" t="s">
        <v>17844</v>
      </c>
      <c r="AV1401" s="29" t="s">
        <v>17845</v>
      </c>
      <c r="AW1401" s="29" t="s">
        <v>17846</v>
      </c>
      <c r="AX1401" s="29" t="s">
        <v>17847</v>
      </c>
      <c r="AY1401" s="21">
        <f t="shared" ref="AY1401:AY1417" si="30">LEN(SUBSTITUTE(AX1401,", "," "))</f>
        <v>59</v>
      </c>
      <c r="AZ1401" s="29" t="s">
        <v>1725</v>
      </c>
      <c r="BA1401" s="29" t="s">
        <v>483</v>
      </c>
      <c r="BB1401" s="29" t="s">
        <v>11526</v>
      </c>
      <c r="BC1401" s="24" t="s">
        <v>884</v>
      </c>
      <c r="BD1401" s="18"/>
      <c r="BE1401" s="24" t="s">
        <v>499</v>
      </c>
      <c r="BF1401" s="18"/>
      <c r="BG1401" s="18"/>
      <c r="BH1401" s="18"/>
      <c r="BI1401" s="18"/>
      <c r="BJ1401" s="18" t="s">
        <v>553</v>
      </c>
      <c r="BK1401" s="18"/>
      <c r="BL1401" s="18"/>
      <c r="BM1401" s="18"/>
      <c r="BN1401" s="18" t="s">
        <v>179</v>
      </c>
      <c r="BO1401" s="18"/>
      <c r="BP1401" s="15" t="s">
        <v>138</v>
      </c>
      <c r="BQ1401" s="18"/>
      <c r="BS1401" s="15" t="s">
        <v>17848</v>
      </c>
      <c r="DH1401" s="15" t="s">
        <v>17982</v>
      </c>
      <c r="DI1401" s="15" t="s">
        <v>17982</v>
      </c>
    </row>
    <row r="1402" spans="1:113" s="15" customFormat="1" ht="12.75" x14ac:dyDescent="0.2">
      <c r="A1402" s="15" t="s">
        <v>109</v>
      </c>
      <c r="B1402" s="15" t="s">
        <v>110</v>
      </c>
      <c r="D1402" s="15" t="s">
        <v>233</v>
      </c>
      <c r="E1402" s="15" t="s">
        <v>113</v>
      </c>
      <c r="F1402" s="15" t="s">
        <v>233</v>
      </c>
      <c r="G1402" s="15" t="s">
        <v>113</v>
      </c>
      <c r="H1402" s="15" t="s">
        <v>111</v>
      </c>
      <c r="J1402" s="16" t="s">
        <v>114</v>
      </c>
      <c r="U1402" s="15" t="s">
        <v>17977</v>
      </c>
      <c r="W1402" s="15">
        <v>3109</v>
      </c>
      <c r="X1402" s="15">
        <v>1412</v>
      </c>
      <c r="Y1402" s="15" t="s">
        <v>160</v>
      </c>
      <c r="Z1402" s="15" t="s">
        <v>161</v>
      </c>
      <c r="AA1402" s="15" t="s">
        <v>162</v>
      </c>
      <c r="AB1402" s="15" t="s">
        <v>14981</v>
      </c>
      <c r="AC1402" s="15" t="s">
        <v>14981</v>
      </c>
      <c r="AD1402" s="15" t="s">
        <v>14982</v>
      </c>
      <c r="AE1402" s="15" t="s">
        <v>164</v>
      </c>
      <c r="AF1402" s="15" t="s">
        <v>14981</v>
      </c>
      <c r="AG1402" s="15" t="s">
        <v>14981</v>
      </c>
      <c r="AH1402" s="15" t="s">
        <v>14983</v>
      </c>
      <c r="AL1402" s="15" t="s">
        <v>14984</v>
      </c>
      <c r="AN1402" s="15">
        <v>743</v>
      </c>
      <c r="AO1402" s="15" t="s">
        <v>14985</v>
      </c>
      <c r="AQ1402" s="20" t="s">
        <v>3598</v>
      </c>
      <c r="AT1402" s="18" t="s">
        <v>14984</v>
      </c>
      <c r="AU1402" s="24" t="s">
        <v>14986</v>
      </c>
      <c r="AV1402" s="24" t="s">
        <v>14987</v>
      </c>
      <c r="AW1402" s="24" t="s">
        <v>14988</v>
      </c>
      <c r="AX1402" s="24" t="s">
        <v>14988</v>
      </c>
      <c r="AY1402" s="21">
        <f t="shared" si="30"/>
        <v>49</v>
      </c>
      <c r="AZ1402" s="24" t="s">
        <v>3603</v>
      </c>
      <c r="BA1402" s="24" t="s">
        <v>214</v>
      </c>
      <c r="BB1402" s="24" t="s">
        <v>4730</v>
      </c>
      <c r="BC1402" s="18"/>
      <c r="BD1402" s="18"/>
      <c r="BE1402" s="24" t="s">
        <v>499</v>
      </c>
      <c r="BF1402" s="18"/>
      <c r="BG1402" s="18"/>
      <c r="BH1402" s="18"/>
      <c r="BI1402" s="18"/>
      <c r="BJ1402" s="18" t="s">
        <v>14979</v>
      </c>
      <c r="BK1402" s="18"/>
      <c r="BL1402" s="18"/>
      <c r="BM1402" s="18"/>
      <c r="BN1402" s="18" t="s">
        <v>179</v>
      </c>
      <c r="BO1402" s="18"/>
      <c r="BP1402" s="15" t="s">
        <v>138</v>
      </c>
      <c r="BQ1402" s="18"/>
      <c r="BS1402" s="15" t="s">
        <v>14989</v>
      </c>
      <c r="DH1402" s="15" t="s">
        <v>17982</v>
      </c>
      <c r="DI1402" s="15" t="s">
        <v>17982</v>
      </c>
    </row>
    <row r="1403" spans="1:113" s="15" customFormat="1" ht="12.75" x14ac:dyDescent="0.2">
      <c r="A1403" s="15" t="s">
        <v>109</v>
      </c>
      <c r="B1403" s="15" t="s">
        <v>110</v>
      </c>
      <c r="D1403" s="15" t="s">
        <v>233</v>
      </c>
      <c r="E1403" s="15" t="s">
        <v>113</v>
      </c>
      <c r="F1403" s="15" t="s">
        <v>233</v>
      </c>
      <c r="G1403" s="15" t="s">
        <v>113</v>
      </c>
      <c r="H1403" s="15" t="s">
        <v>111</v>
      </c>
      <c r="J1403" s="16" t="s">
        <v>114</v>
      </c>
      <c r="U1403" s="15" t="s">
        <v>17977</v>
      </c>
      <c r="W1403" s="15">
        <v>841</v>
      </c>
      <c r="X1403" s="15">
        <v>1413</v>
      </c>
      <c r="Y1403" s="15" t="s">
        <v>160</v>
      </c>
      <c r="Z1403" s="15" t="s">
        <v>161</v>
      </c>
      <c r="AA1403" s="15" t="s">
        <v>162</v>
      </c>
      <c r="AB1403" s="15" t="s">
        <v>3607</v>
      </c>
      <c r="AC1403" s="15" t="s">
        <v>3607</v>
      </c>
      <c r="AD1403" s="15" t="s">
        <v>3608</v>
      </c>
      <c r="AE1403" s="15" t="s">
        <v>164</v>
      </c>
      <c r="AF1403" s="15" t="s">
        <v>3607</v>
      </c>
      <c r="AG1403" s="15" t="s">
        <v>3607</v>
      </c>
      <c r="AH1403" s="15" t="s">
        <v>3609</v>
      </c>
      <c r="AL1403" s="15" t="s">
        <v>3610</v>
      </c>
      <c r="AN1403" s="15">
        <v>743</v>
      </c>
      <c r="AO1403" s="15" t="s">
        <v>3611</v>
      </c>
      <c r="AQ1403" s="20" t="s">
        <v>3598</v>
      </c>
      <c r="AT1403" s="18" t="s">
        <v>3610</v>
      </c>
      <c r="AU1403" s="24" t="s">
        <v>3612</v>
      </c>
      <c r="AV1403" s="24" t="s">
        <v>3613</v>
      </c>
      <c r="AW1403" s="24" t="s">
        <v>3614</v>
      </c>
      <c r="AX1403" s="24" t="s">
        <v>3615</v>
      </c>
      <c r="AY1403" s="21">
        <f t="shared" si="30"/>
        <v>54</v>
      </c>
      <c r="AZ1403" s="24" t="s">
        <v>3603</v>
      </c>
      <c r="BA1403" s="24" t="s">
        <v>214</v>
      </c>
      <c r="BB1403" s="18" t="s">
        <v>3604</v>
      </c>
      <c r="BC1403" s="18"/>
      <c r="BD1403" s="18"/>
      <c r="BE1403" s="24" t="s">
        <v>499</v>
      </c>
      <c r="BF1403" s="18"/>
      <c r="BG1403" s="18"/>
      <c r="BH1403" s="18"/>
      <c r="BI1403" s="18"/>
      <c r="BJ1403" s="18" t="s">
        <v>3605</v>
      </c>
      <c r="BK1403" s="18"/>
      <c r="BL1403" s="18"/>
      <c r="BM1403" s="18"/>
      <c r="BN1403" s="18" t="s">
        <v>179</v>
      </c>
      <c r="BO1403" s="18"/>
      <c r="BP1403" s="15" t="s">
        <v>138</v>
      </c>
      <c r="BQ1403" s="18"/>
      <c r="BS1403" s="15" t="s">
        <v>3616</v>
      </c>
      <c r="DH1403" s="15" t="s">
        <v>17982</v>
      </c>
      <c r="DI1403" s="15" t="s">
        <v>17982</v>
      </c>
    </row>
    <row r="1404" spans="1:113" s="15" customFormat="1" ht="12.75" x14ac:dyDescent="0.2">
      <c r="A1404" s="15" t="s">
        <v>109</v>
      </c>
      <c r="B1404" s="15" t="s">
        <v>110</v>
      </c>
      <c r="D1404" s="15" t="s">
        <v>233</v>
      </c>
      <c r="E1404" s="15" t="s">
        <v>113</v>
      </c>
      <c r="F1404" s="15" t="s">
        <v>233</v>
      </c>
      <c r="G1404" s="15" t="s">
        <v>113</v>
      </c>
      <c r="H1404" s="15" t="s">
        <v>111</v>
      </c>
      <c r="J1404" s="16" t="s">
        <v>114</v>
      </c>
      <c r="U1404" s="15" t="s">
        <v>17977</v>
      </c>
      <c r="W1404" s="15">
        <v>3403</v>
      </c>
      <c r="X1404" s="15">
        <v>1414</v>
      </c>
      <c r="Y1404" s="15" t="s">
        <v>160</v>
      </c>
      <c r="Z1404" s="15" t="s">
        <v>161</v>
      </c>
      <c r="AA1404" s="15" t="s">
        <v>162</v>
      </c>
      <c r="AB1404" s="15" t="s">
        <v>16491</v>
      </c>
      <c r="AC1404" s="15" t="s">
        <v>16491</v>
      </c>
      <c r="AD1404" s="15" t="s">
        <v>16492</v>
      </c>
      <c r="AE1404" s="15" t="s">
        <v>164</v>
      </c>
      <c r="AF1404" s="15" t="s">
        <v>16491</v>
      </c>
      <c r="AG1404" s="15" t="s">
        <v>16491</v>
      </c>
      <c r="AH1404" s="15" t="s">
        <v>16493</v>
      </c>
      <c r="AL1404" s="15" t="s">
        <v>16494</v>
      </c>
      <c r="AN1404" s="15">
        <v>743</v>
      </c>
      <c r="AO1404" s="15" t="s">
        <v>16495</v>
      </c>
      <c r="AQ1404" s="20" t="s">
        <v>342</v>
      </c>
      <c r="AT1404" s="18" t="s">
        <v>16494</v>
      </c>
      <c r="AU1404" s="18" t="s">
        <v>16496</v>
      </c>
      <c r="AV1404" s="18" t="s">
        <v>16497</v>
      </c>
      <c r="AW1404" s="18" t="s">
        <v>16498</v>
      </c>
      <c r="AX1404" s="18" t="s">
        <v>16498</v>
      </c>
      <c r="AY1404" s="21">
        <f t="shared" si="30"/>
        <v>52</v>
      </c>
      <c r="AZ1404" s="18" t="s">
        <v>482</v>
      </c>
      <c r="BA1404" s="24" t="s">
        <v>483</v>
      </c>
      <c r="BB1404" s="18"/>
      <c r="BC1404" s="18" t="s">
        <v>16499</v>
      </c>
      <c r="BD1404" s="18"/>
      <c r="BE1404" s="24" t="s">
        <v>499</v>
      </c>
      <c r="BF1404" s="18"/>
      <c r="BG1404" s="18"/>
      <c r="BH1404" s="18"/>
      <c r="BI1404" s="18"/>
      <c r="BJ1404" s="18" t="s">
        <v>553</v>
      </c>
      <c r="BK1404" s="18"/>
      <c r="BL1404" s="18"/>
      <c r="BM1404" s="18"/>
      <c r="BN1404" s="18" t="s">
        <v>179</v>
      </c>
      <c r="BO1404" s="18"/>
      <c r="BP1404" s="15" t="s">
        <v>138</v>
      </c>
      <c r="BQ1404" s="18"/>
      <c r="BS1404" s="15" t="s">
        <v>16500</v>
      </c>
      <c r="DH1404" s="15" t="s">
        <v>17982</v>
      </c>
      <c r="DI1404" s="15" t="s">
        <v>17982</v>
      </c>
    </row>
    <row r="1405" spans="1:113" s="15" customFormat="1" ht="12.75" x14ac:dyDescent="0.2">
      <c r="A1405" s="15" t="s">
        <v>109</v>
      </c>
      <c r="B1405" s="15" t="s">
        <v>110</v>
      </c>
      <c r="D1405" s="15" t="s">
        <v>233</v>
      </c>
      <c r="E1405" s="15" t="s">
        <v>113</v>
      </c>
      <c r="F1405" s="15" t="s">
        <v>233</v>
      </c>
      <c r="G1405" s="15" t="s">
        <v>113</v>
      </c>
      <c r="H1405" s="15" t="s">
        <v>111</v>
      </c>
      <c r="J1405" s="16" t="s">
        <v>114</v>
      </c>
      <c r="U1405" s="15" t="s">
        <v>17977</v>
      </c>
      <c r="W1405" s="15">
        <v>3582</v>
      </c>
      <c r="X1405" s="15">
        <v>1415</v>
      </c>
      <c r="Y1405" s="15" t="s">
        <v>160</v>
      </c>
      <c r="Z1405" s="15" t="s">
        <v>161</v>
      </c>
      <c r="AA1405" s="15" t="s">
        <v>162</v>
      </c>
      <c r="AB1405" s="15" t="s">
        <v>17311</v>
      </c>
      <c r="AC1405" s="15" t="s">
        <v>17311</v>
      </c>
      <c r="AD1405" s="15" t="s">
        <v>17312</v>
      </c>
      <c r="AE1405" s="15" t="s">
        <v>164</v>
      </c>
      <c r="AF1405" s="15" t="s">
        <v>17311</v>
      </c>
      <c r="AG1405" s="15" t="s">
        <v>17311</v>
      </c>
      <c r="AH1405" s="15" t="s">
        <v>17313</v>
      </c>
      <c r="AL1405" s="15" t="s">
        <v>17314</v>
      </c>
      <c r="AN1405" s="15">
        <v>743</v>
      </c>
      <c r="AO1405" s="15" t="s">
        <v>17315</v>
      </c>
      <c r="AQ1405" s="20" t="s">
        <v>342</v>
      </c>
      <c r="AT1405" s="18" t="s">
        <v>17316</v>
      </c>
      <c r="AU1405" s="29" t="s">
        <v>17317</v>
      </c>
      <c r="AV1405" s="29" t="s">
        <v>17318</v>
      </c>
      <c r="AW1405" s="29" t="s">
        <v>17319</v>
      </c>
      <c r="AX1405" s="29" t="s">
        <v>17319</v>
      </c>
      <c r="AY1405" s="21">
        <f t="shared" si="30"/>
        <v>52</v>
      </c>
      <c r="AZ1405" s="29" t="s">
        <v>482</v>
      </c>
      <c r="BA1405" s="29" t="s">
        <v>483</v>
      </c>
      <c r="BB1405" s="18" t="s">
        <v>17309</v>
      </c>
      <c r="BC1405" s="18"/>
      <c r="BD1405" s="18"/>
      <c r="BE1405" s="24" t="s">
        <v>499</v>
      </c>
      <c r="BF1405" s="18"/>
      <c r="BG1405" s="18"/>
      <c r="BH1405" s="18"/>
      <c r="BI1405" s="18"/>
      <c r="BJ1405" s="18" t="s">
        <v>553</v>
      </c>
      <c r="BK1405" s="18"/>
      <c r="BL1405" s="18"/>
      <c r="BM1405" s="18"/>
      <c r="BN1405" s="18" t="s">
        <v>179</v>
      </c>
      <c r="BO1405" s="18"/>
      <c r="BP1405" s="15" t="s">
        <v>138</v>
      </c>
      <c r="BQ1405" s="18"/>
      <c r="BS1405" s="15" t="s">
        <v>17320</v>
      </c>
      <c r="DH1405" s="15" t="s">
        <v>17982</v>
      </c>
      <c r="DI1405" s="15" t="s">
        <v>17982</v>
      </c>
    </row>
    <row r="1406" spans="1:113" s="15" customFormat="1" ht="12.75" x14ac:dyDescent="0.2">
      <c r="A1406" s="15" t="s">
        <v>109</v>
      </c>
      <c r="B1406" s="15" t="s">
        <v>110</v>
      </c>
      <c r="D1406" s="15" t="s">
        <v>233</v>
      </c>
      <c r="E1406" s="15" t="s">
        <v>113</v>
      </c>
      <c r="F1406" s="15" t="s">
        <v>233</v>
      </c>
      <c r="G1406" s="15" t="s">
        <v>113</v>
      </c>
      <c r="H1406" s="15" t="s">
        <v>111</v>
      </c>
      <c r="J1406" s="16" t="s">
        <v>114</v>
      </c>
      <c r="U1406" s="15" t="s">
        <v>17977</v>
      </c>
      <c r="W1406" s="15">
        <v>3584</v>
      </c>
      <c r="X1406" s="15">
        <v>1416</v>
      </c>
      <c r="Y1406" s="15" t="s">
        <v>160</v>
      </c>
      <c r="Z1406" s="15" t="s">
        <v>161</v>
      </c>
      <c r="AA1406" s="15" t="s">
        <v>162</v>
      </c>
      <c r="AB1406" s="15" t="s">
        <v>17331</v>
      </c>
      <c r="AC1406" s="15" t="s">
        <v>17331</v>
      </c>
      <c r="AD1406" s="15" t="s">
        <v>17332</v>
      </c>
      <c r="AE1406" s="15" t="s">
        <v>164</v>
      </c>
      <c r="AF1406" s="15" t="s">
        <v>17331</v>
      </c>
      <c r="AG1406" s="15" t="s">
        <v>17331</v>
      </c>
      <c r="AH1406" s="15" t="s">
        <v>17333</v>
      </c>
      <c r="AL1406" s="15" t="s">
        <v>17334</v>
      </c>
      <c r="AN1406" s="15">
        <v>743</v>
      </c>
      <c r="AO1406" s="15" t="s">
        <v>17335</v>
      </c>
      <c r="AQ1406" s="20" t="s">
        <v>342</v>
      </c>
      <c r="AT1406" s="18" t="s">
        <v>17336</v>
      </c>
      <c r="AU1406" s="29" t="s">
        <v>17337</v>
      </c>
      <c r="AV1406" s="29" t="s">
        <v>17338</v>
      </c>
      <c r="AW1406" s="29" t="s">
        <v>17339</v>
      </c>
      <c r="AX1406" s="29" t="s">
        <v>17339</v>
      </c>
      <c r="AY1406" s="21">
        <f t="shared" si="30"/>
        <v>55</v>
      </c>
      <c r="AZ1406" s="29" t="s">
        <v>482</v>
      </c>
      <c r="BA1406" s="29" t="s">
        <v>483</v>
      </c>
      <c r="BB1406" s="18" t="s">
        <v>17309</v>
      </c>
      <c r="BC1406" s="18"/>
      <c r="BD1406" s="18"/>
      <c r="BE1406" s="24" t="s">
        <v>499</v>
      </c>
      <c r="BF1406" s="18"/>
      <c r="BG1406" s="18"/>
      <c r="BH1406" s="18"/>
      <c r="BI1406" s="18"/>
      <c r="BJ1406" s="18" t="s">
        <v>14979</v>
      </c>
      <c r="BK1406" s="18"/>
      <c r="BL1406" s="18"/>
      <c r="BM1406" s="18"/>
      <c r="BN1406" s="18" t="s">
        <v>179</v>
      </c>
      <c r="BO1406" s="18"/>
      <c r="BP1406" s="15" t="s">
        <v>138</v>
      </c>
      <c r="BQ1406" s="18"/>
      <c r="BS1406" s="15" t="s">
        <v>17340</v>
      </c>
      <c r="DH1406" s="15" t="s">
        <v>17982</v>
      </c>
      <c r="DI1406" s="15" t="s">
        <v>17982</v>
      </c>
    </row>
    <row r="1407" spans="1:113" s="15" customFormat="1" ht="12.75" x14ac:dyDescent="0.2">
      <c r="A1407" s="15" t="s">
        <v>109</v>
      </c>
      <c r="B1407" s="15" t="s">
        <v>110</v>
      </c>
      <c r="D1407" s="15" t="s">
        <v>233</v>
      </c>
      <c r="E1407" s="15" t="s">
        <v>113</v>
      </c>
      <c r="F1407" s="15" t="s">
        <v>233</v>
      </c>
      <c r="G1407" s="15" t="s">
        <v>113</v>
      </c>
      <c r="H1407" s="15" t="s">
        <v>111</v>
      </c>
      <c r="J1407" s="16" t="s">
        <v>114</v>
      </c>
      <c r="U1407" s="15" t="s">
        <v>17977</v>
      </c>
      <c r="W1407" s="15">
        <v>2897</v>
      </c>
      <c r="X1407" s="15">
        <v>1417</v>
      </c>
      <c r="Y1407" s="15" t="s">
        <v>160</v>
      </c>
      <c r="Z1407" s="15" t="s">
        <v>161</v>
      </c>
      <c r="AA1407" s="15" t="s">
        <v>162</v>
      </c>
      <c r="AB1407" s="15" t="s">
        <v>14149</v>
      </c>
      <c r="AC1407" s="15" t="s">
        <v>14149</v>
      </c>
      <c r="AD1407" s="15" t="s">
        <v>14150</v>
      </c>
      <c r="AE1407" s="15" t="s">
        <v>164</v>
      </c>
      <c r="AF1407" s="15" t="s">
        <v>14149</v>
      </c>
      <c r="AG1407" s="15" t="s">
        <v>14149</v>
      </c>
      <c r="AH1407" s="15" t="s">
        <v>14151</v>
      </c>
      <c r="AL1407" s="15" t="s">
        <v>14152</v>
      </c>
      <c r="AN1407" s="15">
        <v>743</v>
      </c>
      <c r="AO1407" s="15" t="s">
        <v>14153</v>
      </c>
      <c r="AQ1407" s="20" t="s">
        <v>14154</v>
      </c>
      <c r="AT1407" s="18" t="s">
        <v>14152</v>
      </c>
      <c r="AU1407" s="24" t="s">
        <v>14155</v>
      </c>
      <c r="AV1407" s="24" t="s">
        <v>14156</v>
      </c>
      <c r="AW1407" s="24" t="s">
        <v>14157</v>
      </c>
      <c r="AX1407" s="24" t="s">
        <v>14157</v>
      </c>
      <c r="AY1407" s="21">
        <f t="shared" si="30"/>
        <v>32</v>
      </c>
      <c r="AZ1407" s="24" t="s">
        <v>14158</v>
      </c>
      <c r="BA1407" s="29" t="s">
        <v>483</v>
      </c>
      <c r="BB1407" s="18"/>
      <c r="BC1407" s="18"/>
      <c r="BD1407" s="18"/>
      <c r="BE1407" s="24" t="s">
        <v>969</v>
      </c>
      <c r="BF1407" s="18"/>
      <c r="BG1407" s="18"/>
      <c r="BH1407" s="18"/>
      <c r="BI1407" s="18"/>
      <c r="BJ1407" s="18"/>
      <c r="BK1407" s="18"/>
      <c r="BL1407" s="18"/>
      <c r="BM1407" s="18"/>
      <c r="BN1407" s="18" t="s">
        <v>179</v>
      </c>
      <c r="BO1407" s="18"/>
      <c r="BP1407" s="15" t="s">
        <v>138</v>
      </c>
      <c r="BQ1407" s="18"/>
      <c r="BS1407" s="15" t="s">
        <v>14159</v>
      </c>
      <c r="DH1407" s="15" t="s">
        <v>17982</v>
      </c>
      <c r="DI1407" s="15" t="s">
        <v>17982</v>
      </c>
    </row>
    <row r="1408" spans="1:113" s="15" customFormat="1" ht="12.75" x14ac:dyDescent="0.2">
      <c r="A1408" s="15" t="s">
        <v>109</v>
      </c>
      <c r="B1408" s="15" t="s">
        <v>110</v>
      </c>
      <c r="D1408" s="15" t="s">
        <v>233</v>
      </c>
      <c r="E1408" s="15" t="s">
        <v>113</v>
      </c>
      <c r="F1408" s="15" t="s">
        <v>233</v>
      </c>
      <c r="G1408" s="15" t="s">
        <v>113</v>
      </c>
      <c r="H1408" s="15" t="s">
        <v>111</v>
      </c>
      <c r="J1408" s="16" t="s">
        <v>114</v>
      </c>
      <c r="U1408" s="15" t="s">
        <v>17977</v>
      </c>
      <c r="W1408" s="15">
        <v>129</v>
      </c>
      <c r="X1408" s="15">
        <v>1418</v>
      </c>
      <c r="Y1408" s="15" t="s">
        <v>160</v>
      </c>
      <c r="Z1408" s="15" t="s">
        <v>161</v>
      </c>
      <c r="AA1408" s="15" t="s">
        <v>162</v>
      </c>
      <c r="AB1408" s="15" t="s">
        <v>959</v>
      </c>
      <c r="AC1408" s="15" t="s">
        <v>959</v>
      </c>
      <c r="AD1408" s="15" t="s">
        <v>960</v>
      </c>
      <c r="AE1408" s="15" t="s">
        <v>164</v>
      </c>
      <c r="AF1408" s="15" t="s">
        <v>959</v>
      </c>
      <c r="AG1408" s="15" t="s">
        <v>959</v>
      </c>
      <c r="AH1408" s="15" t="s">
        <v>961</v>
      </c>
      <c r="AL1408" s="15" t="s">
        <v>962</v>
      </c>
      <c r="AN1408" s="15">
        <v>743</v>
      </c>
      <c r="AO1408" s="15" t="s">
        <v>963</v>
      </c>
      <c r="AQ1408" s="20" t="s">
        <v>342</v>
      </c>
      <c r="AT1408" s="18" t="s">
        <v>962</v>
      </c>
      <c r="AU1408" s="18" t="s">
        <v>964</v>
      </c>
      <c r="AV1408" s="18" t="s">
        <v>965</v>
      </c>
      <c r="AW1408" s="18" t="s">
        <v>966</v>
      </c>
      <c r="AX1408" s="18" t="s">
        <v>967</v>
      </c>
      <c r="AY1408" s="21">
        <f t="shared" si="30"/>
        <v>60</v>
      </c>
      <c r="AZ1408" s="18" t="s">
        <v>604</v>
      </c>
      <c r="BA1408" s="18" t="s">
        <v>483</v>
      </c>
      <c r="BB1408" s="18" t="s">
        <v>968</v>
      </c>
      <c r="BC1408" s="18"/>
      <c r="BD1408" s="18"/>
      <c r="BE1408" s="18" t="s">
        <v>969</v>
      </c>
      <c r="BF1408" s="18"/>
      <c r="BG1408" s="18"/>
      <c r="BH1408" s="18"/>
      <c r="BI1408" s="18"/>
      <c r="BJ1408" s="18" t="s">
        <v>970</v>
      </c>
      <c r="BK1408" s="18"/>
      <c r="BL1408" s="18"/>
      <c r="BM1408" s="18"/>
      <c r="BN1408" s="18" t="s">
        <v>179</v>
      </c>
      <c r="BO1408" s="18"/>
      <c r="BP1408" s="15" t="s">
        <v>138</v>
      </c>
      <c r="BQ1408" s="18"/>
      <c r="BS1408" s="15" t="s">
        <v>971</v>
      </c>
      <c r="DH1408" s="15" t="s">
        <v>17982</v>
      </c>
      <c r="DI1408" s="15" t="s">
        <v>17982</v>
      </c>
    </row>
    <row r="1409" spans="1:113" s="15" customFormat="1" ht="12.75" x14ac:dyDescent="0.2">
      <c r="A1409" s="15" t="s">
        <v>109</v>
      </c>
      <c r="B1409" s="15" t="s">
        <v>110</v>
      </c>
      <c r="D1409" s="15" t="s">
        <v>233</v>
      </c>
      <c r="E1409" s="15" t="s">
        <v>113</v>
      </c>
      <c r="F1409" s="15" t="s">
        <v>233</v>
      </c>
      <c r="G1409" s="15" t="s">
        <v>113</v>
      </c>
      <c r="H1409" s="15" t="s">
        <v>111</v>
      </c>
      <c r="J1409" s="16" t="s">
        <v>114</v>
      </c>
      <c r="U1409" s="15" t="s">
        <v>17977</v>
      </c>
      <c r="W1409" s="15">
        <v>579</v>
      </c>
      <c r="X1409" s="15">
        <v>1419</v>
      </c>
      <c r="Y1409" s="15" t="s">
        <v>160</v>
      </c>
      <c r="Z1409" s="15" t="s">
        <v>161</v>
      </c>
      <c r="AA1409" s="15" t="s">
        <v>162</v>
      </c>
      <c r="AB1409" s="15" t="s">
        <v>2188</v>
      </c>
      <c r="AC1409" s="15" t="s">
        <v>2188</v>
      </c>
      <c r="AD1409" s="15" t="s">
        <v>2189</v>
      </c>
      <c r="AE1409" s="15" t="s">
        <v>164</v>
      </c>
      <c r="AF1409" s="15" t="s">
        <v>2188</v>
      </c>
      <c r="AG1409" s="15" t="s">
        <v>2188</v>
      </c>
      <c r="AH1409" s="15" t="s">
        <v>2190</v>
      </c>
      <c r="AL1409" s="15" t="s">
        <v>2191</v>
      </c>
      <c r="AN1409" s="15">
        <v>743</v>
      </c>
      <c r="AO1409" s="15" t="s">
        <v>2192</v>
      </c>
      <c r="AQ1409" s="20" t="s">
        <v>342</v>
      </c>
      <c r="AT1409" s="18" t="s">
        <v>2191</v>
      </c>
      <c r="AU1409" s="24" t="s">
        <v>2193</v>
      </c>
      <c r="AV1409" s="24" t="s">
        <v>2194</v>
      </c>
      <c r="AW1409" s="24" t="s">
        <v>2195</v>
      </c>
      <c r="AX1409" s="24" t="s">
        <v>2196</v>
      </c>
      <c r="AY1409" s="21">
        <f t="shared" si="30"/>
        <v>53</v>
      </c>
      <c r="AZ1409" s="24" t="s">
        <v>482</v>
      </c>
      <c r="BA1409" s="18" t="s">
        <v>483</v>
      </c>
      <c r="BB1409" s="18" t="s">
        <v>2197</v>
      </c>
      <c r="BC1409" s="18"/>
      <c r="BD1409" s="18"/>
      <c r="BE1409" s="18"/>
      <c r="BF1409" s="18" t="s">
        <v>969</v>
      </c>
      <c r="BG1409" s="18"/>
      <c r="BH1409" s="18"/>
      <c r="BI1409" s="18"/>
      <c r="BJ1409" s="18" t="s">
        <v>2198</v>
      </c>
      <c r="BK1409" s="18"/>
      <c r="BL1409" s="18"/>
      <c r="BM1409" s="18"/>
      <c r="BN1409" s="18" t="s">
        <v>179</v>
      </c>
      <c r="BO1409" s="18"/>
      <c r="BP1409" s="15" t="s">
        <v>138</v>
      </c>
      <c r="BQ1409" s="18"/>
      <c r="BS1409" s="15" t="s">
        <v>2199</v>
      </c>
      <c r="DH1409" s="15" t="s">
        <v>17982</v>
      </c>
      <c r="DI1409" s="15" t="s">
        <v>17982</v>
      </c>
    </row>
    <row r="1410" spans="1:113" s="15" customFormat="1" ht="12.75" x14ac:dyDescent="0.2">
      <c r="A1410" s="15" t="s">
        <v>109</v>
      </c>
      <c r="B1410" s="15" t="s">
        <v>110</v>
      </c>
      <c r="D1410" s="15" t="s">
        <v>233</v>
      </c>
      <c r="E1410" s="15" t="s">
        <v>113</v>
      </c>
      <c r="F1410" s="15" t="s">
        <v>233</v>
      </c>
      <c r="G1410" s="15" t="s">
        <v>113</v>
      </c>
      <c r="H1410" s="15" t="s">
        <v>111</v>
      </c>
      <c r="J1410" s="16" t="s">
        <v>114</v>
      </c>
      <c r="U1410" s="15" t="s">
        <v>17977</v>
      </c>
      <c r="W1410" s="15">
        <v>2995</v>
      </c>
      <c r="X1410" s="15">
        <v>1420</v>
      </c>
      <c r="Y1410" s="15" t="s">
        <v>160</v>
      </c>
      <c r="Z1410" s="15" t="s">
        <v>161</v>
      </c>
      <c r="AA1410" s="15" t="s">
        <v>162</v>
      </c>
      <c r="AB1410" s="15" t="s">
        <v>14675</v>
      </c>
      <c r="AC1410" s="15" t="s">
        <v>14675</v>
      </c>
      <c r="AD1410" s="15" t="s">
        <v>14676</v>
      </c>
      <c r="AE1410" s="15" t="s">
        <v>164</v>
      </c>
      <c r="AF1410" s="15" t="s">
        <v>14675</v>
      </c>
      <c r="AG1410" s="15" t="s">
        <v>14675</v>
      </c>
      <c r="AH1410" s="15" t="s">
        <v>14677</v>
      </c>
      <c r="AL1410" s="15" t="s">
        <v>14678</v>
      </c>
      <c r="AN1410" s="15">
        <v>743</v>
      </c>
      <c r="AO1410" s="15" t="s">
        <v>14679</v>
      </c>
      <c r="AQ1410" s="20" t="s">
        <v>342</v>
      </c>
      <c r="AT1410" s="18" t="s">
        <v>14678</v>
      </c>
      <c r="AU1410" s="24" t="s">
        <v>14680</v>
      </c>
      <c r="AV1410" s="24" t="s">
        <v>14681</v>
      </c>
      <c r="AW1410" s="24" t="s">
        <v>14682</v>
      </c>
      <c r="AX1410" s="24" t="s">
        <v>14682</v>
      </c>
      <c r="AY1410" s="21">
        <f t="shared" si="30"/>
        <v>63</v>
      </c>
      <c r="AZ1410" s="24" t="s">
        <v>482</v>
      </c>
      <c r="BA1410" s="18" t="s">
        <v>483</v>
      </c>
      <c r="BB1410" s="18" t="s">
        <v>14683</v>
      </c>
      <c r="BC1410" s="18"/>
      <c r="BD1410" s="18"/>
      <c r="BE1410" s="24" t="s">
        <v>969</v>
      </c>
      <c r="BF1410" s="18"/>
      <c r="BG1410" s="18"/>
      <c r="BH1410" s="18"/>
      <c r="BI1410" s="18"/>
      <c r="BJ1410" s="18" t="s">
        <v>14684</v>
      </c>
      <c r="BK1410" s="18"/>
      <c r="BL1410" s="18"/>
      <c r="BM1410" s="18"/>
      <c r="BN1410" s="18" t="s">
        <v>179</v>
      </c>
      <c r="BO1410" s="18"/>
      <c r="BP1410" s="15" t="s">
        <v>138</v>
      </c>
      <c r="BQ1410" s="18"/>
      <c r="BS1410" s="15" t="s">
        <v>14685</v>
      </c>
      <c r="DH1410" s="15" t="s">
        <v>17982</v>
      </c>
      <c r="DI1410" s="15" t="s">
        <v>17982</v>
      </c>
    </row>
    <row r="1411" spans="1:113" s="15" customFormat="1" ht="12.75" x14ac:dyDescent="0.2">
      <c r="A1411" s="15" t="s">
        <v>109</v>
      </c>
      <c r="B1411" s="15" t="s">
        <v>110</v>
      </c>
      <c r="D1411" s="15" t="s">
        <v>233</v>
      </c>
      <c r="E1411" s="15" t="s">
        <v>113</v>
      </c>
      <c r="F1411" s="15" t="s">
        <v>233</v>
      </c>
      <c r="G1411" s="15" t="s">
        <v>113</v>
      </c>
      <c r="H1411" s="15" t="s">
        <v>111</v>
      </c>
      <c r="J1411" s="16" t="s">
        <v>114</v>
      </c>
      <c r="U1411" s="15" t="s">
        <v>17977</v>
      </c>
      <c r="W1411" s="15">
        <v>3226</v>
      </c>
      <c r="X1411" s="15">
        <v>1421</v>
      </c>
      <c r="Y1411" s="15" t="s">
        <v>160</v>
      </c>
      <c r="Z1411" s="15" t="s">
        <v>161</v>
      </c>
      <c r="AA1411" s="15" t="s">
        <v>162</v>
      </c>
      <c r="AB1411" s="15" t="s">
        <v>15587</v>
      </c>
      <c r="AC1411" s="15" t="s">
        <v>15587</v>
      </c>
      <c r="AD1411" s="15" t="s">
        <v>15588</v>
      </c>
      <c r="AE1411" s="15" t="s">
        <v>164</v>
      </c>
      <c r="AF1411" s="15" t="s">
        <v>15587</v>
      </c>
      <c r="AG1411" s="15" t="s">
        <v>15587</v>
      </c>
      <c r="AH1411" s="15" t="s">
        <v>15589</v>
      </c>
      <c r="AL1411" s="15" t="s">
        <v>15590</v>
      </c>
      <c r="AN1411" s="15">
        <v>743</v>
      </c>
      <c r="AO1411" s="15" t="s">
        <v>15591</v>
      </c>
      <c r="AQ1411" s="20" t="s">
        <v>342</v>
      </c>
      <c r="AT1411" s="18" t="s">
        <v>15592</v>
      </c>
      <c r="AU1411" s="29" t="s">
        <v>15593</v>
      </c>
      <c r="AV1411" s="29" t="s">
        <v>15594</v>
      </c>
      <c r="AW1411" s="29" t="s">
        <v>15595</v>
      </c>
      <c r="AX1411" s="29" t="s">
        <v>15595</v>
      </c>
      <c r="AY1411" s="21">
        <f t="shared" si="30"/>
        <v>54</v>
      </c>
      <c r="AZ1411" s="29" t="s">
        <v>482</v>
      </c>
      <c r="BA1411" s="29" t="s">
        <v>483</v>
      </c>
      <c r="BB1411" s="18" t="s">
        <v>15596</v>
      </c>
      <c r="BC1411" s="18"/>
      <c r="BD1411" s="18"/>
      <c r="BE1411" s="24" t="s">
        <v>969</v>
      </c>
      <c r="BF1411" s="18"/>
      <c r="BG1411" s="18"/>
      <c r="BH1411" s="18"/>
      <c r="BI1411" s="18"/>
      <c r="BJ1411" s="18" t="s">
        <v>553</v>
      </c>
      <c r="BK1411" s="18"/>
      <c r="BL1411" s="18"/>
      <c r="BM1411" s="18"/>
      <c r="BN1411" s="18" t="s">
        <v>179</v>
      </c>
      <c r="BO1411" s="18"/>
      <c r="BP1411" s="15" t="s">
        <v>138</v>
      </c>
      <c r="BQ1411" s="18"/>
      <c r="BS1411" s="15" t="s">
        <v>15597</v>
      </c>
      <c r="DH1411" s="15" t="s">
        <v>17982</v>
      </c>
      <c r="DI1411" s="15" t="s">
        <v>17982</v>
      </c>
    </row>
    <row r="1412" spans="1:113" s="15" customFormat="1" ht="12.75" x14ac:dyDescent="0.2">
      <c r="A1412" s="15" t="s">
        <v>109</v>
      </c>
      <c r="B1412" s="15" t="s">
        <v>110</v>
      </c>
      <c r="D1412" s="15" t="s">
        <v>233</v>
      </c>
      <c r="E1412" s="15" t="s">
        <v>113</v>
      </c>
      <c r="F1412" s="15" t="s">
        <v>233</v>
      </c>
      <c r="G1412" s="15" t="s">
        <v>113</v>
      </c>
      <c r="H1412" s="15" t="s">
        <v>111</v>
      </c>
      <c r="J1412" s="16" t="s">
        <v>114</v>
      </c>
      <c r="U1412" s="15" t="s">
        <v>17977</v>
      </c>
      <c r="W1412" s="15">
        <v>127</v>
      </c>
      <c r="X1412" s="15">
        <v>1422</v>
      </c>
      <c r="Y1412" s="15" t="s">
        <v>160</v>
      </c>
      <c r="Z1412" s="15" t="s">
        <v>161</v>
      </c>
      <c r="AA1412" s="15" t="s">
        <v>162</v>
      </c>
      <c r="AB1412" s="15" t="s">
        <v>936</v>
      </c>
      <c r="AC1412" s="15" t="s">
        <v>936</v>
      </c>
      <c r="AD1412" s="15" t="s">
        <v>937</v>
      </c>
      <c r="AE1412" s="15" t="s">
        <v>164</v>
      </c>
      <c r="AF1412" s="15" t="s">
        <v>936</v>
      </c>
      <c r="AG1412" s="15" t="s">
        <v>936</v>
      </c>
      <c r="AH1412" s="15" t="s">
        <v>938</v>
      </c>
      <c r="AL1412" s="15" t="s">
        <v>939</v>
      </c>
      <c r="AN1412" s="15">
        <v>743</v>
      </c>
      <c r="AO1412" s="15" t="s">
        <v>940</v>
      </c>
      <c r="AQ1412" s="20" t="s">
        <v>941</v>
      </c>
      <c r="AT1412" s="18" t="s">
        <v>939</v>
      </c>
      <c r="AU1412" s="18" t="s">
        <v>942</v>
      </c>
      <c r="AV1412" s="18" t="s">
        <v>943</v>
      </c>
      <c r="AW1412" s="18" t="s">
        <v>944</v>
      </c>
      <c r="AX1412" s="18" t="s">
        <v>944</v>
      </c>
      <c r="AY1412" s="21">
        <f t="shared" si="30"/>
        <v>45</v>
      </c>
      <c r="AZ1412" s="18" t="s">
        <v>274</v>
      </c>
      <c r="BA1412" s="18" t="s">
        <v>945</v>
      </c>
      <c r="BB1412" s="18" t="s">
        <v>946</v>
      </c>
      <c r="BC1412" s="18"/>
      <c r="BD1412" s="18"/>
      <c r="BE1412" s="18"/>
      <c r="BF1412" s="18"/>
      <c r="BG1412" s="18"/>
      <c r="BH1412" s="18"/>
      <c r="BI1412" s="18"/>
      <c r="BJ1412" s="18" t="s">
        <v>947</v>
      </c>
      <c r="BK1412" s="18"/>
      <c r="BL1412" s="18"/>
      <c r="BM1412" s="18"/>
      <c r="BN1412" s="18" t="s">
        <v>179</v>
      </c>
      <c r="BO1412" s="18"/>
      <c r="BP1412" s="15" t="s">
        <v>138</v>
      </c>
      <c r="BQ1412" s="18"/>
      <c r="BS1412" s="15" t="s">
        <v>948</v>
      </c>
      <c r="DH1412" s="15" t="s">
        <v>17982</v>
      </c>
      <c r="DI1412" s="15" t="s">
        <v>17982</v>
      </c>
    </row>
    <row r="1413" spans="1:113" s="15" customFormat="1" ht="12.75" x14ac:dyDescent="0.2">
      <c r="A1413" s="15" t="s">
        <v>109</v>
      </c>
      <c r="B1413" s="15" t="s">
        <v>110</v>
      </c>
      <c r="D1413" s="15" t="s">
        <v>233</v>
      </c>
      <c r="E1413" s="15" t="s">
        <v>113</v>
      </c>
      <c r="F1413" s="15" t="s">
        <v>233</v>
      </c>
      <c r="G1413" s="15" t="s">
        <v>113</v>
      </c>
      <c r="H1413" s="15" t="s">
        <v>111</v>
      </c>
      <c r="J1413" s="16" t="s">
        <v>114</v>
      </c>
      <c r="U1413" s="15" t="s">
        <v>17977</v>
      </c>
      <c r="W1413" s="15">
        <v>128</v>
      </c>
      <c r="X1413" s="15">
        <v>1423</v>
      </c>
      <c r="Y1413" s="15" t="s">
        <v>160</v>
      </c>
      <c r="Z1413" s="15" t="s">
        <v>161</v>
      </c>
      <c r="AA1413" s="15" t="s">
        <v>162</v>
      </c>
      <c r="AB1413" s="15" t="s">
        <v>949</v>
      </c>
      <c r="AC1413" s="15" t="s">
        <v>949</v>
      </c>
      <c r="AD1413" s="15" t="s">
        <v>950</v>
      </c>
      <c r="AE1413" s="15" t="s">
        <v>164</v>
      </c>
      <c r="AF1413" s="15" t="s">
        <v>949</v>
      </c>
      <c r="AG1413" s="15" t="s">
        <v>949</v>
      </c>
      <c r="AH1413" s="15" t="s">
        <v>951</v>
      </c>
      <c r="AL1413" s="15" t="s">
        <v>952</v>
      </c>
      <c r="AN1413" s="15">
        <v>743</v>
      </c>
      <c r="AO1413" s="15" t="s">
        <v>953</v>
      </c>
      <c r="AQ1413" s="20" t="s">
        <v>941</v>
      </c>
      <c r="AT1413" s="18" t="s">
        <v>952</v>
      </c>
      <c r="AU1413" s="18" t="s">
        <v>954</v>
      </c>
      <c r="AV1413" s="18" t="s">
        <v>955</v>
      </c>
      <c r="AW1413" s="18" t="s">
        <v>956</v>
      </c>
      <c r="AX1413" s="18" t="s">
        <v>956</v>
      </c>
      <c r="AY1413" s="21">
        <f t="shared" si="30"/>
        <v>30</v>
      </c>
      <c r="AZ1413" s="18" t="s">
        <v>274</v>
      </c>
      <c r="BA1413" s="18" t="s">
        <v>945</v>
      </c>
      <c r="BB1413" s="18" t="s">
        <v>946</v>
      </c>
      <c r="BC1413" s="18"/>
      <c r="BD1413" s="18"/>
      <c r="BE1413" s="18"/>
      <c r="BF1413" s="18"/>
      <c r="BG1413" s="18"/>
      <c r="BH1413" s="18"/>
      <c r="BI1413" s="18"/>
      <c r="BJ1413" s="18" t="s">
        <v>957</v>
      </c>
      <c r="BK1413" s="18"/>
      <c r="BL1413" s="18"/>
      <c r="BM1413" s="18"/>
      <c r="BN1413" s="18" t="s">
        <v>179</v>
      </c>
      <c r="BO1413" s="18"/>
      <c r="BP1413" s="15" t="s">
        <v>138</v>
      </c>
      <c r="BQ1413" s="18"/>
      <c r="BS1413" s="15" t="s">
        <v>958</v>
      </c>
      <c r="DH1413" s="15" t="s">
        <v>17982</v>
      </c>
      <c r="DI1413" s="15" t="s">
        <v>17982</v>
      </c>
    </row>
    <row r="1414" spans="1:113" s="15" customFormat="1" ht="12.75" x14ac:dyDescent="0.2">
      <c r="A1414" s="15" t="s">
        <v>109</v>
      </c>
      <c r="B1414" s="15" t="s">
        <v>110</v>
      </c>
      <c r="D1414" s="15" t="s">
        <v>233</v>
      </c>
      <c r="E1414" s="15" t="s">
        <v>113</v>
      </c>
      <c r="F1414" s="15" t="s">
        <v>233</v>
      </c>
      <c r="G1414" s="15" t="s">
        <v>113</v>
      </c>
      <c r="H1414" s="15" t="s">
        <v>111</v>
      </c>
      <c r="J1414" s="16" t="s">
        <v>114</v>
      </c>
      <c r="U1414" s="15" t="s">
        <v>17977</v>
      </c>
      <c r="W1414" s="15">
        <v>1281</v>
      </c>
      <c r="X1414" s="15">
        <v>1424</v>
      </c>
      <c r="Y1414" s="15" t="s">
        <v>160</v>
      </c>
      <c r="Z1414" s="15" t="s">
        <v>161</v>
      </c>
      <c r="AA1414" s="15" t="s">
        <v>162</v>
      </c>
      <c r="AB1414" s="15" t="s">
        <v>6553</v>
      </c>
      <c r="AC1414" s="15" t="s">
        <v>6553</v>
      </c>
      <c r="AD1414" s="15" t="s">
        <v>6553</v>
      </c>
      <c r="AE1414" s="15" t="s">
        <v>164</v>
      </c>
      <c r="AF1414" s="15" t="s">
        <v>6553</v>
      </c>
      <c r="AG1414" s="15" t="s">
        <v>6553</v>
      </c>
      <c r="AH1414" s="15" t="s">
        <v>6554</v>
      </c>
      <c r="AL1414" s="15" t="s">
        <v>6555</v>
      </c>
      <c r="AN1414" s="15">
        <v>743</v>
      </c>
      <c r="AO1414" s="15" t="s">
        <v>6556</v>
      </c>
      <c r="AQ1414" s="20" t="s">
        <v>6557</v>
      </c>
      <c r="AT1414" s="18" t="s">
        <v>6558</v>
      </c>
      <c r="AU1414" s="29" t="s">
        <v>6559</v>
      </c>
      <c r="AV1414" s="29" t="s">
        <v>6560</v>
      </c>
      <c r="AW1414" s="29" t="s">
        <v>6561</v>
      </c>
      <c r="AX1414" s="29" t="s">
        <v>6561</v>
      </c>
      <c r="AY1414" s="21">
        <f t="shared" si="30"/>
        <v>47</v>
      </c>
      <c r="AZ1414" s="29" t="s">
        <v>6562</v>
      </c>
      <c r="BA1414" s="29" t="s">
        <v>483</v>
      </c>
      <c r="BB1414" s="29" t="s">
        <v>6563</v>
      </c>
      <c r="BC1414" s="18"/>
      <c r="BD1414" s="18"/>
      <c r="BE1414" s="18"/>
      <c r="BF1414" s="18"/>
      <c r="BG1414" s="18"/>
      <c r="BH1414" s="18"/>
      <c r="BI1414" s="18"/>
      <c r="BJ1414" s="18" t="s">
        <v>6564</v>
      </c>
      <c r="BK1414" s="18"/>
      <c r="BL1414" s="18"/>
      <c r="BM1414" s="18"/>
      <c r="BN1414" s="18" t="s">
        <v>179</v>
      </c>
      <c r="BO1414" s="18"/>
      <c r="BP1414" s="15" t="s">
        <v>138</v>
      </c>
      <c r="BQ1414" s="18"/>
      <c r="BS1414" s="15" t="s">
        <v>6565</v>
      </c>
      <c r="DH1414" s="15" t="s">
        <v>17982</v>
      </c>
      <c r="DI1414" s="15" t="s">
        <v>17982</v>
      </c>
    </row>
    <row r="1415" spans="1:113" s="15" customFormat="1" ht="12.75" x14ac:dyDescent="0.2">
      <c r="A1415" s="15" t="s">
        <v>109</v>
      </c>
      <c r="B1415" s="15" t="s">
        <v>110</v>
      </c>
      <c r="D1415" s="15" t="s">
        <v>233</v>
      </c>
      <c r="E1415" s="15" t="s">
        <v>113</v>
      </c>
      <c r="F1415" s="15" t="s">
        <v>233</v>
      </c>
      <c r="G1415" s="15" t="s">
        <v>113</v>
      </c>
      <c r="H1415" s="15" t="s">
        <v>111</v>
      </c>
      <c r="J1415" s="16" t="s">
        <v>114</v>
      </c>
      <c r="U1415" s="15" t="s">
        <v>17977</v>
      </c>
      <c r="W1415" s="15">
        <v>1497</v>
      </c>
      <c r="X1415" s="15">
        <v>1425</v>
      </c>
      <c r="Y1415" s="15" t="s">
        <v>160</v>
      </c>
      <c r="Z1415" s="15" t="s">
        <v>161</v>
      </c>
      <c r="AA1415" s="15" t="s">
        <v>162</v>
      </c>
      <c r="AB1415" s="15" t="s">
        <v>7639</v>
      </c>
      <c r="AC1415" s="15" t="s">
        <v>7639</v>
      </c>
      <c r="AD1415" s="15" t="s">
        <v>7640</v>
      </c>
      <c r="AE1415" s="15" t="s">
        <v>164</v>
      </c>
      <c r="AF1415" s="15" t="s">
        <v>7639</v>
      </c>
      <c r="AG1415" s="15" t="s">
        <v>7639</v>
      </c>
      <c r="AH1415" s="47" t="s">
        <v>7641</v>
      </c>
      <c r="AL1415" s="15" t="s">
        <v>7642</v>
      </c>
      <c r="AN1415" s="15">
        <v>743</v>
      </c>
      <c r="AO1415" s="15" t="s">
        <v>7643</v>
      </c>
      <c r="AQ1415" s="20" t="s">
        <v>7644</v>
      </c>
      <c r="AT1415" s="18" t="s">
        <v>7645</v>
      </c>
      <c r="AU1415" s="29" t="s">
        <v>7646</v>
      </c>
      <c r="AV1415" s="29" t="s">
        <v>7647</v>
      </c>
      <c r="AW1415" s="29" t="s">
        <v>7648</v>
      </c>
      <c r="AX1415" s="29" t="s">
        <v>7648</v>
      </c>
      <c r="AY1415" s="21">
        <f t="shared" si="30"/>
        <v>31</v>
      </c>
      <c r="AZ1415" s="29" t="s">
        <v>274</v>
      </c>
      <c r="BA1415" s="29" t="s">
        <v>7649</v>
      </c>
      <c r="BB1415" s="18" t="s">
        <v>7650</v>
      </c>
      <c r="BC1415" s="18"/>
      <c r="BD1415" s="18"/>
      <c r="BE1415" s="18"/>
      <c r="BF1415" s="18"/>
      <c r="BG1415" s="18"/>
      <c r="BH1415" s="18"/>
      <c r="BI1415" s="18"/>
      <c r="BJ1415" s="18"/>
      <c r="BK1415" s="18"/>
      <c r="BL1415" s="18"/>
      <c r="BM1415" s="18"/>
      <c r="BN1415" s="18" t="s">
        <v>179</v>
      </c>
      <c r="BO1415" s="18"/>
      <c r="BP1415" s="15" t="s">
        <v>138</v>
      </c>
      <c r="BQ1415" s="18"/>
      <c r="BS1415" s="15" t="s">
        <v>7651</v>
      </c>
      <c r="DH1415" s="15" t="s">
        <v>17982</v>
      </c>
      <c r="DI1415" s="15" t="s">
        <v>17982</v>
      </c>
    </row>
    <row r="1416" spans="1:113" s="15" customFormat="1" ht="12.75" x14ac:dyDescent="0.2">
      <c r="A1416" s="15" t="s">
        <v>109</v>
      </c>
      <c r="B1416" s="15" t="s">
        <v>110</v>
      </c>
      <c r="D1416" s="15" t="s">
        <v>233</v>
      </c>
      <c r="E1416" s="15" t="s">
        <v>113</v>
      </c>
      <c r="F1416" s="15" t="s">
        <v>233</v>
      </c>
      <c r="G1416" s="15" t="s">
        <v>113</v>
      </c>
      <c r="H1416" s="15" t="s">
        <v>111</v>
      </c>
      <c r="J1416" s="16" t="s">
        <v>114</v>
      </c>
      <c r="U1416" s="15" t="s">
        <v>17977</v>
      </c>
      <c r="W1416" s="15">
        <v>1498</v>
      </c>
      <c r="X1416" s="15">
        <v>1426</v>
      </c>
      <c r="Y1416" s="15" t="s">
        <v>160</v>
      </c>
      <c r="Z1416" s="15" t="s">
        <v>161</v>
      </c>
      <c r="AA1416" s="15" t="s">
        <v>162</v>
      </c>
      <c r="AB1416" s="15" t="s">
        <v>7652</v>
      </c>
      <c r="AC1416" s="15" t="s">
        <v>7652</v>
      </c>
      <c r="AD1416" s="15" t="s">
        <v>7653</v>
      </c>
      <c r="AE1416" s="15" t="s">
        <v>164</v>
      </c>
      <c r="AF1416" s="15" t="s">
        <v>7652</v>
      </c>
      <c r="AG1416" s="15" t="s">
        <v>7652</v>
      </c>
      <c r="AH1416" s="47" t="s">
        <v>7654</v>
      </c>
      <c r="AL1416" s="15" t="s">
        <v>7655</v>
      </c>
      <c r="AN1416" s="15">
        <v>743</v>
      </c>
      <c r="AO1416" s="15" t="s">
        <v>7656</v>
      </c>
      <c r="AQ1416" s="20" t="s">
        <v>7644</v>
      </c>
      <c r="AT1416" s="18" t="s">
        <v>7657</v>
      </c>
      <c r="AU1416" s="29" t="s">
        <v>7658</v>
      </c>
      <c r="AV1416" s="29" t="s">
        <v>7659</v>
      </c>
      <c r="AW1416" s="29" t="s">
        <v>7660</v>
      </c>
      <c r="AX1416" s="29" t="s">
        <v>7660</v>
      </c>
      <c r="AY1416" s="21">
        <f t="shared" si="30"/>
        <v>27</v>
      </c>
      <c r="AZ1416" s="29" t="s">
        <v>274</v>
      </c>
      <c r="BA1416" s="29" t="s">
        <v>946</v>
      </c>
      <c r="BB1416" s="18" t="s">
        <v>7650</v>
      </c>
      <c r="BC1416" s="18"/>
      <c r="BD1416" s="18"/>
      <c r="BE1416" s="18"/>
      <c r="BF1416" s="18"/>
      <c r="BG1416" s="18"/>
      <c r="BH1416" s="18"/>
      <c r="BI1416" s="18"/>
      <c r="BJ1416" s="18"/>
      <c r="BK1416" s="18"/>
      <c r="BL1416" s="18"/>
      <c r="BM1416" s="18"/>
      <c r="BN1416" s="18" t="s">
        <v>179</v>
      </c>
      <c r="BO1416" s="18"/>
      <c r="BP1416" s="15" t="s">
        <v>138</v>
      </c>
      <c r="BQ1416" s="18"/>
      <c r="BS1416" s="15" t="s">
        <v>7661</v>
      </c>
      <c r="DH1416" s="15" t="s">
        <v>17982</v>
      </c>
      <c r="DI1416" s="15" t="s">
        <v>17982</v>
      </c>
    </row>
    <row r="1417" spans="1:113" s="15" customFormat="1" ht="12.75" x14ac:dyDescent="0.2">
      <c r="A1417" s="15" t="s">
        <v>109</v>
      </c>
      <c r="B1417" s="15" t="s">
        <v>110</v>
      </c>
      <c r="D1417" s="15" t="s">
        <v>233</v>
      </c>
      <c r="E1417" s="15" t="s">
        <v>113</v>
      </c>
      <c r="F1417" s="15" t="s">
        <v>233</v>
      </c>
      <c r="G1417" s="15" t="s">
        <v>113</v>
      </c>
      <c r="H1417" s="15" t="s">
        <v>111</v>
      </c>
      <c r="J1417" s="16" t="s">
        <v>114</v>
      </c>
      <c r="U1417" s="15" t="s">
        <v>17977</v>
      </c>
      <c r="W1417" s="15">
        <v>1449</v>
      </c>
      <c r="X1417" s="15">
        <v>1427</v>
      </c>
      <c r="Y1417" s="15" t="s">
        <v>160</v>
      </c>
      <c r="Z1417" s="15" t="s">
        <v>161</v>
      </c>
      <c r="AA1417" s="15" t="s">
        <v>162</v>
      </c>
      <c r="AB1417" s="15" t="s">
        <v>7411</v>
      </c>
      <c r="AC1417" s="15" t="s">
        <v>7411</v>
      </c>
      <c r="AD1417" s="15" t="s">
        <v>7411</v>
      </c>
      <c r="AE1417" s="15" t="s">
        <v>164</v>
      </c>
      <c r="AF1417" s="15" t="s">
        <v>7411</v>
      </c>
      <c r="AG1417" s="15" t="s">
        <v>7411</v>
      </c>
      <c r="AH1417" s="15" t="s">
        <v>7412</v>
      </c>
      <c r="AL1417" s="15" t="s">
        <v>7413</v>
      </c>
      <c r="AN1417" s="15">
        <v>743</v>
      </c>
      <c r="AO1417" s="15" t="s">
        <v>7414</v>
      </c>
      <c r="AQ1417" s="20" t="s">
        <v>925</v>
      </c>
      <c r="AT1417" s="18" t="s">
        <v>7415</v>
      </c>
      <c r="AU1417" s="18" t="s">
        <v>7416</v>
      </c>
      <c r="AV1417" s="18" t="s">
        <v>7417</v>
      </c>
      <c r="AW1417" s="18" t="s">
        <v>7418</v>
      </c>
      <c r="AX1417" s="18" t="s">
        <v>7418</v>
      </c>
      <c r="AY1417" s="21">
        <f t="shared" si="30"/>
        <v>50</v>
      </c>
      <c r="AZ1417" s="18" t="s">
        <v>930</v>
      </c>
      <c r="BA1417" s="18" t="s">
        <v>933</v>
      </c>
      <c r="BB1417" s="18" t="s">
        <v>7396</v>
      </c>
      <c r="BC1417" s="18"/>
      <c r="BD1417" s="18"/>
      <c r="BE1417" s="18" t="s">
        <v>7419</v>
      </c>
      <c r="BF1417" s="18"/>
      <c r="BG1417" s="18"/>
      <c r="BH1417" s="18"/>
      <c r="BI1417" s="18"/>
      <c r="BJ1417" s="18" t="s">
        <v>7420</v>
      </c>
      <c r="BK1417" s="18"/>
      <c r="BL1417" s="18"/>
      <c r="BM1417" s="18"/>
      <c r="BN1417" s="18" t="s">
        <v>179</v>
      </c>
      <c r="BO1417" s="18"/>
      <c r="BP1417" s="15" t="s">
        <v>138</v>
      </c>
      <c r="BQ1417" s="18"/>
      <c r="BS1417" s="15" t="s">
        <v>7421</v>
      </c>
      <c r="DH1417" s="15" t="s">
        <v>17982</v>
      </c>
      <c r="DI1417" s="15" t="s">
        <v>17982</v>
      </c>
    </row>
    <row r="1418" spans="1:113" s="15" customFormat="1" ht="12.75" x14ac:dyDescent="0.2">
      <c r="A1418" s="15" t="s">
        <v>109</v>
      </c>
      <c r="B1418" s="15" t="s">
        <v>110</v>
      </c>
      <c r="D1418" s="15" t="s">
        <v>620</v>
      </c>
      <c r="E1418" s="15" t="s">
        <v>112</v>
      </c>
      <c r="F1418" s="15" t="s">
        <v>620</v>
      </c>
      <c r="G1418" s="15" t="s">
        <v>113</v>
      </c>
      <c r="H1418" s="15" t="s">
        <v>111</v>
      </c>
      <c r="J1418" s="16" t="s">
        <v>114</v>
      </c>
      <c r="U1418" s="15" t="s">
        <v>17977</v>
      </c>
      <c r="W1418" s="15">
        <v>1706</v>
      </c>
      <c r="X1418" s="15">
        <v>1428</v>
      </c>
      <c r="Y1418" s="15" t="s">
        <v>160</v>
      </c>
      <c r="Z1418" s="15" t="s">
        <v>161</v>
      </c>
      <c r="AA1418" s="15" t="s">
        <v>162</v>
      </c>
      <c r="AB1418" s="15" t="s">
        <v>8995</v>
      </c>
      <c r="AC1418" s="15" t="s">
        <v>8995</v>
      </c>
      <c r="AD1418" s="15" t="s">
        <v>8995</v>
      </c>
      <c r="AE1418" s="15" t="s">
        <v>164</v>
      </c>
      <c r="AF1418" s="15" t="s">
        <v>8995</v>
      </c>
      <c r="AG1418" s="15" t="s">
        <v>8995</v>
      </c>
      <c r="AH1418" s="15" t="s">
        <v>8996</v>
      </c>
      <c r="AL1418" s="15" t="s">
        <v>8997</v>
      </c>
      <c r="AN1418" s="15">
        <v>743</v>
      </c>
      <c r="AO1418" s="15" t="s">
        <v>8998</v>
      </c>
      <c r="AQ1418" s="15" t="s">
        <v>8999</v>
      </c>
      <c r="AR1418" s="15" t="s">
        <v>9000</v>
      </c>
      <c r="AS1418" s="15" t="s">
        <v>9001</v>
      </c>
      <c r="AT1418" s="15" t="s">
        <v>9002</v>
      </c>
      <c r="AU1418" s="15" t="s">
        <v>9003</v>
      </c>
      <c r="AV1418" s="15" t="s">
        <v>9003</v>
      </c>
      <c r="AW1418" s="15" t="s">
        <v>9004</v>
      </c>
      <c r="AX1418" s="15" t="s">
        <v>9005</v>
      </c>
      <c r="AY1418" s="15">
        <f t="shared" ref="AY1418:AY1449" si="31">LEN(SUBSTITUTE(AX1418, ", "," "))</f>
        <v>53</v>
      </c>
      <c r="AZ1418" s="15" t="s">
        <v>9006</v>
      </c>
      <c r="BE1418" s="15" t="s">
        <v>3686</v>
      </c>
      <c r="BJ1418" s="15" t="s">
        <v>9007</v>
      </c>
      <c r="BN1418" s="15" t="s">
        <v>179</v>
      </c>
      <c r="BP1418" s="15" t="s">
        <v>138</v>
      </c>
      <c r="BS1418" s="15" t="s">
        <v>9008</v>
      </c>
      <c r="DH1418" s="15" t="s">
        <v>17982</v>
      </c>
      <c r="DI1418" s="15" t="s">
        <v>17982</v>
      </c>
    </row>
    <row r="1419" spans="1:113" s="15" customFormat="1" ht="12.75" x14ac:dyDescent="0.2">
      <c r="A1419" s="15" t="s">
        <v>109</v>
      </c>
      <c r="B1419" s="15" t="s">
        <v>110</v>
      </c>
      <c r="D1419" s="15" t="s">
        <v>620</v>
      </c>
      <c r="E1419" s="15" t="s">
        <v>112</v>
      </c>
      <c r="F1419" s="15" t="s">
        <v>620</v>
      </c>
      <c r="G1419" s="15" t="s">
        <v>113</v>
      </c>
      <c r="H1419" s="15" t="s">
        <v>111</v>
      </c>
      <c r="J1419" s="16" t="s">
        <v>114</v>
      </c>
      <c r="U1419" s="15" t="s">
        <v>17977</v>
      </c>
      <c r="W1419" s="15">
        <v>2249</v>
      </c>
      <c r="X1419" s="15">
        <v>1429</v>
      </c>
      <c r="Y1419" s="15" t="s">
        <v>160</v>
      </c>
      <c r="Z1419" s="15" t="s">
        <v>161</v>
      </c>
      <c r="AA1419" s="15" t="s">
        <v>162</v>
      </c>
      <c r="AB1419" s="15" t="s">
        <v>11179</v>
      </c>
      <c r="AC1419" s="15" t="s">
        <v>11179</v>
      </c>
      <c r="AD1419" s="15" t="s">
        <v>11179</v>
      </c>
      <c r="AE1419" s="15" t="s">
        <v>164</v>
      </c>
      <c r="AF1419" s="15" t="s">
        <v>11179</v>
      </c>
      <c r="AG1419" s="15" t="s">
        <v>11179</v>
      </c>
      <c r="AH1419" s="15" t="s">
        <v>11180</v>
      </c>
      <c r="AL1419" s="15" t="s">
        <v>11181</v>
      </c>
      <c r="AN1419" s="15">
        <v>743</v>
      </c>
      <c r="AO1419" s="15" t="s">
        <v>11182</v>
      </c>
      <c r="AQ1419" s="15" t="s">
        <v>388</v>
      </c>
      <c r="AT1419" s="15" t="s">
        <v>11183</v>
      </c>
      <c r="AU1419" s="15" t="s">
        <v>11184</v>
      </c>
      <c r="AV1419" s="15" t="s">
        <v>11184</v>
      </c>
      <c r="AW1419" s="15" t="s">
        <v>11185</v>
      </c>
      <c r="AX1419" s="15" t="s">
        <v>11186</v>
      </c>
      <c r="AY1419" s="15">
        <f t="shared" si="31"/>
        <v>58</v>
      </c>
      <c r="AZ1419" s="15" t="s">
        <v>393</v>
      </c>
      <c r="BA1419" s="15" t="s">
        <v>174</v>
      </c>
      <c r="BB1419" s="15" t="s">
        <v>3627</v>
      </c>
      <c r="BE1419" s="15" t="s">
        <v>1123</v>
      </c>
      <c r="BJ1419" s="15" t="s">
        <v>11187</v>
      </c>
      <c r="BN1419" s="15" t="s">
        <v>179</v>
      </c>
      <c r="BP1419" s="15" t="s">
        <v>138</v>
      </c>
      <c r="BS1419" s="15" t="s">
        <v>11188</v>
      </c>
      <c r="DH1419" s="15" t="s">
        <v>17982</v>
      </c>
      <c r="DI1419" s="15" t="s">
        <v>17982</v>
      </c>
    </row>
    <row r="1420" spans="1:113" s="15" customFormat="1" ht="12.75" x14ac:dyDescent="0.2">
      <c r="A1420" s="15" t="s">
        <v>109</v>
      </c>
      <c r="B1420" s="15" t="s">
        <v>110</v>
      </c>
      <c r="D1420" s="15" t="s">
        <v>620</v>
      </c>
      <c r="E1420" s="15" t="s">
        <v>112</v>
      </c>
      <c r="F1420" s="15" t="s">
        <v>620</v>
      </c>
      <c r="G1420" s="15" t="s">
        <v>113</v>
      </c>
      <c r="H1420" s="15" t="s">
        <v>111</v>
      </c>
      <c r="J1420" s="16" t="s">
        <v>114</v>
      </c>
      <c r="U1420" s="15" t="s">
        <v>17977</v>
      </c>
      <c r="W1420" s="15">
        <v>3181</v>
      </c>
      <c r="X1420" s="15">
        <v>1430</v>
      </c>
      <c r="Y1420" s="15" t="s">
        <v>160</v>
      </c>
      <c r="Z1420" s="15" t="s">
        <v>161</v>
      </c>
      <c r="AA1420" s="15" t="s">
        <v>162</v>
      </c>
      <c r="AB1420" s="15" t="s">
        <v>15319</v>
      </c>
      <c r="AC1420" s="15" t="s">
        <v>15319</v>
      </c>
      <c r="AD1420" s="15" t="s">
        <v>15320</v>
      </c>
      <c r="AE1420" s="15" t="s">
        <v>164</v>
      </c>
      <c r="AF1420" s="15" t="s">
        <v>15320</v>
      </c>
      <c r="AG1420" s="15" t="s">
        <v>15319</v>
      </c>
      <c r="AH1420" s="15" t="s">
        <v>15321</v>
      </c>
      <c r="AL1420" s="15" t="s">
        <v>15322</v>
      </c>
      <c r="AN1420" s="15">
        <v>743</v>
      </c>
      <c r="AO1420" s="15" t="s">
        <v>15323</v>
      </c>
      <c r="AQ1420" s="15" t="s">
        <v>388</v>
      </c>
      <c r="AT1420" s="15" t="s">
        <v>15324</v>
      </c>
      <c r="AU1420" s="15" t="s">
        <v>15325</v>
      </c>
      <c r="AV1420" s="15" t="s">
        <v>15325</v>
      </c>
      <c r="AW1420" s="15" t="s">
        <v>15326</v>
      </c>
      <c r="AX1420" s="15" t="s">
        <v>15326</v>
      </c>
      <c r="AY1420" s="15">
        <f t="shared" si="31"/>
        <v>56</v>
      </c>
      <c r="AZ1420" s="15" t="s">
        <v>393</v>
      </c>
      <c r="BA1420" s="15" t="s">
        <v>174</v>
      </c>
      <c r="BB1420" s="15" t="s">
        <v>3627</v>
      </c>
      <c r="BE1420" s="15" t="s">
        <v>1123</v>
      </c>
      <c r="BJ1420" s="15" t="s">
        <v>15327</v>
      </c>
      <c r="BN1420" s="15" t="s">
        <v>179</v>
      </c>
      <c r="BP1420" s="15" t="s">
        <v>138</v>
      </c>
      <c r="BS1420" s="15" t="s">
        <v>15328</v>
      </c>
      <c r="DH1420" s="15" t="s">
        <v>17982</v>
      </c>
      <c r="DI1420" s="15" t="s">
        <v>17982</v>
      </c>
    </row>
    <row r="1421" spans="1:113" s="15" customFormat="1" ht="12.75" x14ac:dyDescent="0.2">
      <c r="A1421" s="15" t="s">
        <v>109</v>
      </c>
      <c r="B1421" s="15" t="s">
        <v>110</v>
      </c>
      <c r="D1421" s="15" t="s">
        <v>620</v>
      </c>
      <c r="E1421" s="15" t="s">
        <v>112</v>
      </c>
      <c r="F1421" s="15" t="s">
        <v>620</v>
      </c>
      <c r="G1421" s="15" t="s">
        <v>113</v>
      </c>
      <c r="H1421" s="15" t="s">
        <v>111</v>
      </c>
      <c r="J1421" s="16" t="s">
        <v>114</v>
      </c>
      <c r="U1421" s="15" t="s">
        <v>17977</v>
      </c>
      <c r="W1421" s="15">
        <v>3183</v>
      </c>
      <c r="X1421" s="15">
        <v>1431</v>
      </c>
      <c r="Y1421" s="15" t="s">
        <v>160</v>
      </c>
      <c r="Z1421" s="15" t="s">
        <v>161</v>
      </c>
      <c r="AA1421" s="15" t="s">
        <v>162</v>
      </c>
      <c r="AB1421" s="15" t="s">
        <v>15329</v>
      </c>
      <c r="AC1421" s="15" t="s">
        <v>15329</v>
      </c>
      <c r="AD1421" s="15" t="s">
        <v>15329</v>
      </c>
      <c r="AE1421" s="15" t="s">
        <v>164</v>
      </c>
      <c r="AF1421" s="15" t="s">
        <v>15329</v>
      </c>
      <c r="AG1421" s="15" t="s">
        <v>15329</v>
      </c>
      <c r="AH1421" s="15" t="s">
        <v>15330</v>
      </c>
      <c r="AL1421" s="15" t="s">
        <v>15331</v>
      </c>
      <c r="AN1421" s="15">
        <v>743</v>
      </c>
      <c r="AO1421" s="15" t="s">
        <v>15332</v>
      </c>
      <c r="AQ1421" s="15" t="s">
        <v>388</v>
      </c>
      <c r="AT1421" s="15" t="s">
        <v>15333</v>
      </c>
      <c r="AU1421" s="15" t="s">
        <v>15334</v>
      </c>
      <c r="AV1421" s="15" t="s">
        <v>15334</v>
      </c>
      <c r="AW1421" s="15" t="s">
        <v>15335</v>
      </c>
      <c r="AX1421" s="15" t="s">
        <v>15335</v>
      </c>
      <c r="AY1421" s="15">
        <f t="shared" si="31"/>
        <v>52</v>
      </c>
      <c r="AZ1421" s="15" t="s">
        <v>393</v>
      </c>
      <c r="BA1421" s="15" t="s">
        <v>174</v>
      </c>
      <c r="BB1421" s="15" t="s">
        <v>3627</v>
      </c>
      <c r="BE1421" s="15" t="s">
        <v>1123</v>
      </c>
      <c r="BJ1421" s="15" t="s">
        <v>15336</v>
      </c>
      <c r="BN1421" s="15" t="s">
        <v>179</v>
      </c>
      <c r="BP1421" s="15" t="s">
        <v>138</v>
      </c>
      <c r="BS1421" s="15" t="s">
        <v>15337</v>
      </c>
      <c r="DH1421" s="15" t="s">
        <v>17982</v>
      </c>
      <c r="DI1421" s="15" t="s">
        <v>17982</v>
      </c>
    </row>
    <row r="1422" spans="1:113" s="15" customFormat="1" ht="12.75" x14ac:dyDescent="0.2">
      <c r="A1422" s="15" t="s">
        <v>109</v>
      </c>
      <c r="B1422" s="15" t="s">
        <v>110</v>
      </c>
      <c r="D1422" s="15" t="s">
        <v>620</v>
      </c>
      <c r="E1422" s="15" t="s">
        <v>112</v>
      </c>
      <c r="F1422" s="15" t="s">
        <v>620</v>
      </c>
      <c r="G1422" s="15" t="s">
        <v>113</v>
      </c>
      <c r="H1422" s="15" t="s">
        <v>111</v>
      </c>
      <c r="J1422" s="16" t="s">
        <v>114</v>
      </c>
      <c r="U1422" s="15" t="s">
        <v>17977</v>
      </c>
      <c r="W1422" s="15">
        <v>2252</v>
      </c>
      <c r="X1422" s="15">
        <v>1432</v>
      </c>
      <c r="Y1422" s="15" t="s">
        <v>160</v>
      </c>
      <c r="Z1422" s="15" t="s">
        <v>161</v>
      </c>
      <c r="AA1422" s="15" t="s">
        <v>162</v>
      </c>
      <c r="AB1422" s="15" t="s">
        <v>11199</v>
      </c>
      <c r="AC1422" s="15" t="s">
        <v>11199</v>
      </c>
      <c r="AD1422" s="15" t="s">
        <v>11199</v>
      </c>
      <c r="AE1422" s="15" t="s">
        <v>164</v>
      </c>
      <c r="AF1422" s="15" t="s">
        <v>11199</v>
      </c>
      <c r="AG1422" s="15" t="s">
        <v>11199</v>
      </c>
      <c r="AH1422" s="15" t="s">
        <v>11200</v>
      </c>
      <c r="AL1422" s="15" t="s">
        <v>11201</v>
      </c>
      <c r="AN1422" s="15">
        <v>743</v>
      </c>
      <c r="AO1422" s="15" t="s">
        <v>11202</v>
      </c>
      <c r="AQ1422" s="15" t="s">
        <v>388</v>
      </c>
      <c r="AT1422" s="15" t="s">
        <v>11203</v>
      </c>
      <c r="AU1422" s="15" t="s">
        <v>11204</v>
      </c>
      <c r="AV1422" s="15" t="s">
        <v>11204</v>
      </c>
      <c r="AW1422" s="15" t="s">
        <v>11205</v>
      </c>
      <c r="AX1422" s="15" t="s">
        <v>11205</v>
      </c>
      <c r="AY1422" s="15">
        <f t="shared" si="31"/>
        <v>56</v>
      </c>
      <c r="AZ1422" s="15" t="s">
        <v>393</v>
      </c>
      <c r="BA1422" s="15" t="s">
        <v>174</v>
      </c>
      <c r="BB1422" s="15" t="s">
        <v>3627</v>
      </c>
      <c r="BE1422" s="15" t="s">
        <v>5685</v>
      </c>
      <c r="BJ1422" s="15" t="s">
        <v>11206</v>
      </c>
      <c r="BN1422" s="15" t="s">
        <v>179</v>
      </c>
      <c r="BP1422" s="15" t="s">
        <v>138</v>
      </c>
      <c r="BS1422" s="15" t="s">
        <v>11207</v>
      </c>
      <c r="DH1422" s="15" t="s">
        <v>17982</v>
      </c>
      <c r="DI1422" s="15" t="s">
        <v>17982</v>
      </c>
    </row>
    <row r="1423" spans="1:113" s="15" customFormat="1" ht="12.75" x14ac:dyDescent="0.2">
      <c r="A1423" s="15" t="s">
        <v>109</v>
      </c>
      <c r="B1423" s="15" t="s">
        <v>110</v>
      </c>
      <c r="D1423" s="15" t="s">
        <v>620</v>
      </c>
      <c r="E1423" s="15" t="s">
        <v>141</v>
      </c>
      <c r="F1423" s="15" t="s">
        <v>620</v>
      </c>
      <c r="G1423" s="15" t="s">
        <v>113</v>
      </c>
      <c r="H1423" s="15" t="s">
        <v>111</v>
      </c>
      <c r="J1423" s="16" t="s">
        <v>114</v>
      </c>
      <c r="U1423" s="15" t="s">
        <v>17977</v>
      </c>
      <c r="W1423" s="15">
        <v>2839</v>
      </c>
      <c r="X1423" s="15">
        <v>1433</v>
      </c>
      <c r="Y1423" s="15" t="s">
        <v>160</v>
      </c>
      <c r="Z1423" s="15" t="s">
        <v>161</v>
      </c>
      <c r="AA1423" s="15" t="s">
        <v>162</v>
      </c>
      <c r="AB1423" s="15" t="s">
        <v>13867</v>
      </c>
      <c r="AC1423" s="15" t="s">
        <v>13867</v>
      </c>
      <c r="AD1423" s="15" t="s">
        <v>13867</v>
      </c>
      <c r="AE1423" s="15" t="s">
        <v>164</v>
      </c>
      <c r="AF1423" s="15" t="s">
        <v>13867</v>
      </c>
      <c r="AG1423" s="15" t="s">
        <v>13867</v>
      </c>
      <c r="AH1423" s="47" t="s">
        <v>13868</v>
      </c>
      <c r="AL1423" s="15" t="s">
        <v>13869</v>
      </c>
      <c r="AN1423" s="15">
        <v>743</v>
      </c>
      <c r="AO1423" s="15" t="s">
        <v>13870</v>
      </c>
      <c r="AQ1423" s="47" t="s">
        <v>168</v>
      </c>
      <c r="AT1423" s="15" t="s">
        <v>13871</v>
      </c>
      <c r="AU1423" s="15" t="s">
        <v>13872</v>
      </c>
      <c r="AV1423" s="15" t="s">
        <v>13872</v>
      </c>
      <c r="AW1423" s="15" t="s">
        <v>13873</v>
      </c>
      <c r="AX1423" s="15" t="s">
        <v>13873</v>
      </c>
      <c r="AY1423" s="15">
        <f t="shared" si="31"/>
        <v>58</v>
      </c>
      <c r="AZ1423" s="15" t="s">
        <v>173</v>
      </c>
      <c r="BA1423" s="15" t="s">
        <v>174</v>
      </c>
      <c r="BB1423" s="15" t="s">
        <v>13874</v>
      </c>
      <c r="BE1423" s="15" t="s">
        <v>199</v>
      </c>
      <c r="BI1423" s="15" t="s">
        <v>11118</v>
      </c>
      <c r="BJ1423" s="15" t="s">
        <v>13875</v>
      </c>
      <c r="BN1423" s="15" t="s">
        <v>179</v>
      </c>
      <c r="BP1423" s="15" t="s">
        <v>138</v>
      </c>
      <c r="BS1423" s="15" t="s">
        <v>13876</v>
      </c>
      <c r="DH1423" s="15" t="s">
        <v>17982</v>
      </c>
      <c r="DI1423" s="15" t="s">
        <v>17982</v>
      </c>
    </row>
    <row r="1424" spans="1:113" s="15" customFormat="1" ht="12.75" x14ac:dyDescent="0.2">
      <c r="A1424" s="15" t="s">
        <v>109</v>
      </c>
      <c r="B1424" s="15" t="s">
        <v>110</v>
      </c>
      <c r="D1424" s="15" t="s">
        <v>620</v>
      </c>
      <c r="E1424" s="15" t="s">
        <v>112</v>
      </c>
      <c r="F1424" s="15" t="s">
        <v>620</v>
      </c>
      <c r="G1424" s="15" t="s">
        <v>113</v>
      </c>
      <c r="H1424" s="15" t="s">
        <v>111</v>
      </c>
      <c r="J1424" s="16" t="s">
        <v>114</v>
      </c>
      <c r="U1424" s="15" t="s">
        <v>17977</v>
      </c>
      <c r="W1424" s="15">
        <v>184</v>
      </c>
      <c r="X1424" s="15">
        <v>1434</v>
      </c>
      <c r="Y1424" s="15" t="s">
        <v>160</v>
      </c>
      <c r="Z1424" s="15" t="s">
        <v>161</v>
      </c>
      <c r="AA1424" s="15" t="s">
        <v>162</v>
      </c>
      <c r="AB1424" s="15" t="s">
        <v>1136</v>
      </c>
      <c r="AC1424" s="15" t="s">
        <v>1136</v>
      </c>
      <c r="AD1424" s="15" t="s">
        <v>1136</v>
      </c>
      <c r="AE1424" s="15" t="s">
        <v>164</v>
      </c>
      <c r="AF1424" s="15" t="s">
        <v>1136</v>
      </c>
      <c r="AG1424" s="15" t="s">
        <v>1136</v>
      </c>
      <c r="AH1424" s="15" t="s">
        <v>1137</v>
      </c>
      <c r="AL1424" s="15" t="s">
        <v>1138</v>
      </c>
      <c r="AN1424" s="15">
        <v>743</v>
      </c>
      <c r="AO1424" s="15" t="s">
        <v>1139</v>
      </c>
      <c r="AQ1424" s="15" t="s">
        <v>168</v>
      </c>
      <c r="AT1424" s="15" t="s">
        <v>1140</v>
      </c>
      <c r="AU1424" s="15" t="s">
        <v>1141</v>
      </c>
      <c r="AV1424" s="15" t="s">
        <v>1141</v>
      </c>
      <c r="AW1424" s="15" t="s">
        <v>1142</v>
      </c>
      <c r="AX1424" s="15" t="s">
        <v>1143</v>
      </c>
      <c r="AY1424" s="15">
        <f t="shared" si="31"/>
        <v>57</v>
      </c>
      <c r="AZ1424" s="15" t="s">
        <v>173</v>
      </c>
      <c r="BA1424" s="15" t="s">
        <v>174</v>
      </c>
      <c r="BB1424" s="15" t="s">
        <v>1122</v>
      </c>
      <c r="BE1424" s="15" t="s">
        <v>1123</v>
      </c>
      <c r="BJ1424" s="15" t="s">
        <v>1144</v>
      </c>
      <c r="BN1424" s="15" t="s">
        <v>179</v>
      </c>
      <c r="BP1424" s="15" t="s">
        <v>138</v>
      </c>
      <c r="BS1424" s="15" t="s">
        <v>1145</v>
      </c>
      <c r="DH1424" s="15" t="s">
        <v>17982</v>
      </c>
      <c r="DI1424" s="15" t="s">
        <v>17982</v>
      </c>
    </row>
    <row r="1425" spans="1:113" s="15" customFormat="1" ht="12.75" x14ac:dyDescent="0.2">
      <c r="A1425" s="15" t="s">
        <v>109</v>
      </c>
      <c r="B1425" s="15" t="s">
        <v>110</v>
      </c>
      <c r="D1425" s="15" t="s">
        <v>620</v>
      </c>
      <c r="E1425" s="15" t="s">
        <v>112</v>
      </c>
      <c r="F1425" s="15" t="s">
        <v>620</v>
      </c>
      <c r="G1425" s="15" t="s">
        <v>113</v>
      </c>
      <c r="H1425" s="15" t="s">
        <v>111</v>
      </c>
      <c r="J1425" s="16" t="s">
        <v>114</v>
      </c>
      <c r="U1425" s="15" t="s">
        <v>17977</v>
      </c>
      <c r="W1425" s="15">
        <v>3588</v>
      </c>
      <c r="X1425" s="15">
        <v>1435</v>
      </c>
      <c r="Y1425" s="15" t="s">
        <v>160</v>
      </c>
      <c r="Z1425" s="15" t="s">
        <v>161</v>
      </c>
      <c r="AA1425" s="15" t="s">
        <v>162</v>
      </c>
      <c r="AB1425" s="15" t="s">
        <v>17363</v>
      </c>
      <c r="AC1425" s="15" t="s">
        <v>17363</v>
      </c>
      <c r="AD1425" s="15" t="s">
        <v>17363</v>
      </c>
      <c r="AE1425" s="15" t="s">
        <v>164</v>
      </c>
      <c r="AF1425" s="15" t="s">
        <v>17363</v>
      </c>
      <c r="AG1425" s="15" t="s">
        <v>17363</v>
      </c>
      <c r="AH1425" s="15" t="s">
        <v>17364</v>
      </c>
      <c r="AL1425" s="15" t="s">
        <v>17365</v>
      </c>
      <c r="AN1425" s="15">
        <v>743</v>
      </c>
      <c r="AO1425" s="15" t="s">
        <v>17366</v>
      </c>
      <c r="AQ1425" s="15" t="s">
        <v>1446</v>
      </c>
      <c r="AT1425" s="15" t="s">
        <v>17367</v>
      </c>
      <c r="AU1425" s="15" t="s">
        <v>17368</v>
      </c>
      <c r="AV1425" s="15" t="s">
        <v>17368</v>
      </c>
      <c r="AW1425" s="15" t="s">
        <v>17369</v>
      </c>
      <c r="AX1425" s="15" t="s">
        <v>17369</v>
      </c>
      <c r="AY1425" s="15">
        <f t="shared" si="31"/>
        <v>44</v>
      </c>
      <c r="AZ1425" s="15" t="s">
        <v>1450</v>
      </c>
      <c r="BA1425" s="15" t="s">
        <v>1451</v>
      </c>
      <c r="BB1425" s="15" t="s">
        <v>17370</v>
      </c>
      <c r="BC1425" s="15" t="s">
        <v>4343</v>
      </c>
      <c r="BF1425" s="15" t="s">
        <v>2776</v>
      </c>
      <c r="BJ1425" s="15" t="s">
        <v>2840</v>
      </c>
      <c r="BN1425" s="15" t="s">
        <v>179</v>
      </c>
      <c r="BP1425" s="15" t="s">
        <v>138</v>
      </c>
      <c r="BS1425" s="15" t="s">
        <v>17371</v>
      </c>
      <c r="DH1425" s="15" t="s">
        <v>17982</v>
      </c>
      <c r="DI1425" s="15" t="s">
        <v>17982</v>
      </c>
    </row>
    <row r="1426" spans="1:113" s="15" customFormat="1" ht="12.75" x14ac:dyDescent="0.2">
      <c r="A1426" s="15" t="s">
        <v>109</v>
      </c>
      <c r="B1426" s="15" t="s">
        <v>110</v>
      </c>
      <c r="D1426" s="15" t="s">
        <v>620</v>
      </c>
      <c r="E1426" s="15" t="s">
        <v>112</v>
      </c>
      <c r="F1426" s="15" t="s">
        <v>620</v>
      </c>
      <c r="G1426" s="15" t="s">
        <v>113</v>
      </c>
      <c r="H1426" s="15" t="s">
        <v>111</v>
      </c>
      <c r="J1426" s="16" t="s">
        <v>114</v>
      </c>
      <c r="U1426" s="15" t="s">
        <v>17977</v>
      </c>
      <c r="W1426" s="15">
        <v>1123</v>
      </c>
      <c r="X1426" s="15">
        <v>1436</v>
      </c>
      <c r="Y1426" s="15" t="s">
        <v>160</v>
      </c>
      <c r="Z1426" s="15" t="s">
        <v>161</v>
      </c>
      <c r="AA1426" s="15" t="s">
        <v>162</v>
      </c>
      <c r="AB1426" s="15" t="s">
        <v>5915</v>
      </c>
      <c r="AC1426" s="15" t="s">
        <v>5915</v>
      </c>
      <c r="AD1426" s="15" t="s">
        <v>5915</v>
      </c>
      <c r="AE1426" s="15" t="s">
        <v>164</v>
      </c>
      <c r="AF1426" s="15" t="s">
        <v>5915</v>
      </c>
      <c r="AG1426" s="15" t="s">
        <v>5915</v>
      </c>
      <c r="AH1426" s="15" t="s">
        <v>5916</v>
      </c>
      <c r="AL1426" s="15" t="s">
        <v>5917</v>
      </c>
      <c r="AN1426" s="15">
        <v>743</v>
      </c>
      <c r="AO1426" s="15" t="s">
        <v>5918</v>
      </c>
      <c r="AQ1426" s="15" t="s">
        <v>168</v>
      </c>
      <c r="AT1426" s="15" t="s">
        <v>5919</v>
      </c>
      <c r="AU1426" s="15" t="s">
        <v>5920</v>
      </c>
      <c r="AV1426" s="15" t="s">
        <v>5920</v>
      </c>
      <c r="AW1426" s="15" t="s">
        <v>5921</v>
      </c>
      <c r="AX1426" s="15" t="s">
        <v>5922</v>
      </c>
      <c r="AY1426" s="15">
        <f t="shared" si="31"/>
        <v>58</v>
      </c>
      <c r="AZ1426" s="15" t="s">
        <v>173</v>
      </c>
      <c r="BA1426" s="15" t="s">
        <v>174</v>
      </c>
      <c r="BB1426" s="15" t="s">
        <v>5912</v>
      </c>
      <c r="BE1426" s="15" t="s">
        <v>264</v>
      </c>
      <c r="BI1426" s="15" t="s">
        <v>189</v>
      </c>
      <c r="BJ1426" s="15" t="s">
        <v>5923</v>
      </c>
      <c r="BN1426" s="15" t="s">
        <v>179</v>
      </c>
      <c r="BP1426" s="15" t="s">
        <v>138</v>
      </c>
      <c r="BS1426" s="15" t="s">
        <v>5924</v>
      </c>
      <c r="DH1426" s="15" t="s">
        <v>17982</v>
      </c>
      <c r="DI1426" s="15" t="s">
        <v>17982</v>
      </c>
    </row>
    <row r="1427" spans="1:113" s="15" customFormat="1" ht="12.75" x14ac:dyDescent="0.2">
      <c r="A1427" s="15" t="s">
        <v>109</v>
      </c>
      <c r="B1427" s="15" t="s">
        <v>110</v>
      </c>
      <c r="D1427" s="15" t="s">
        <v>620</v>
      </c>
      <c r="E1427" s="15" t="s">
        <v>112</v>
      </c>
      <c r="F1427" s="15" t="s">
        <v>620</v>
      </c>
      <c r="G1427" s="15" t="s">
        <v>113</v>
      </c>
      <c r="H1427" s="15" t="s">
        <v>111</v>
      </c>
      <c r="J1427" s="16" t="s">
        <v>114</v>
      </c>
      <c r="U1427" s="15" t="s">
        <v>17977</v>
      </c>
      <c r="W1427" s="15">
        <v>1822</v>
      </c>
      <c r="X1427" s="15">
        <v>1437</v>
      </c>
      <c r="Y1427" s="15" t="s">
        <v>160</v>
      </c>
      <c r="Z1427" s="15" t="s">
        <v>161</v>
      </c>
      <c r="AA1427" s="15" t="s">
        <v>162</v>
      </c>
      <c r="AB1427" s="15" t="s">
        <v>9779</v>
      </c>
      <c r="AC1427" s="15" t="s">
        <v>9779</v>
      </c>
      <c r="AD1427" s="15" t="s">
        <v>9779</v>
      </c>
      <c r="AE1427" s="15" t="s">
        <v>164</v>
      </c>
      <c r="AF1427" s="15" t="s">
        <v>9779</v>
      </c>
      <c r="AG1427" s="15" t="s">
        <v>9779</v>
      </c>
      <c r="AH1427" s="15" t="s">
        <v>9780</v>
      </c>
      <c r="AL1427" s="15" t="s">
        <v>9781</v>
      </c>
      <c r="AN1427" s="15">
        <v>743</v>
      </c>
      <c r="AO1427" s="15" t="s">
        <v>9782</v>
      </c>
      <c r="AQ1427" s="15" t="s">
        <v>3856</v>
      </c>
      <c r="AT1427" s="15" t="s">
        <v>9783</v>
      </c>
      <c r="AU1427" s="15" t="s">
        <v>9784</v>
      </c>
      <c r="AV1427" s="15" t="s">
        <v>9784</v>
      </c>
      <c r="AW1427" s="15" t="s">
        <v>9785</v>
      </c>
      <c r="AX1427" s="15" t="s">
        <v>9786</v>
      </c>
      <c r="AY1427" s="15">
        <f t="shared" si="31"/>
        <v>60</v>
      </c>
      <c r="AZ1427" s="15" t="s">
        <v>3861</v>
      </c>
      <c r="BA1427" s="15" t="s">
        <v>3862</v>
      </c>
      <c r="BB1427" s="15" t="s">
        <v>9787</v>
      </c>
      <c r="BD1427" s="15" t="s">
        <v>3045</v>
      </c>
      <c r="BE1427" s="15" t="s">
        <v>275</v>
      </c>
      <c r="BJ1427" s="15" t="s">
        <v>9788</v>
      </c>
      <c r="BN1427" s="15" t="s">
        <v>179</v>
      </c>
      <c r="BP1427" s="15" t="s">
        <v>138</v>
      </c>
      <c r="BS1427" s="15" t="s">
        <v>9789</v>
      </c>
      <c r="DH1427" s="15" t="s">
        <v>17982</v>
      </c>
      <c r="DI1427" s="15" t="s">
        <v>17982</v>
      </c>
    </row>
    <row r="1428" spans="1:113" s="15" customFormat="1" ht="12.75" x14ac:dyDescent="0.2">
      <c r="A1428" s="15" t="s">
        <v>109</v>
      </c>
      <c r="B1428" s="15" t="s">
        <v>110</v>
      </c>
      <c r="D1428" s="15" t="s">
        <v>620</v>
      </c>
      <c r="E1428" s="15" t="s">
        <v>112</v>
      </c>
      <c r="F1428" s="15" t="s">
        <v>620</v>
      </c>
      <c r="G1428" s="15" t="s">
        <v>113</v>
      </c>
      <c r="H1428" s="15" t="s">
        <v>111</v>
      </c>
      <c r="J1428" s="16" t="s">
        <v>114</v>
      </c>
      <c r="U1428" s="15" t="s">
        <v>17977</v>
      </c>
      <c r="W1428" s="15">
        <v>1195</v>
      </c>
      <c r="X1428" s="15">
        <v>1438</v>
      </c>
      <c r="Y1428" s="15" t="s">
        <v>160</v>
      </c>
      <c r="Z1428" s="15" t="s">
        <v>161</v>
      </c>
      <c r="AA1428" s="15" t="s">
        <v>162</v>
      </c>
      <c r="AB1428" s="15" t="s">
        <v>6252</v>
      </c>
      <c r="AC1428" s="15" t="s">
        <v>6252</v>
      </c>
      <c r="AD1428" s="15" t="s">
        <v>6252</v>
      </c>
      <c r="AE1428" s="15" t="s">
        <v>164</v>
      </c>
      <c r="AF1428" s="15" t="s">
        <v>6252</v>
      </c>
      <c r="AG1428" s="15" t="s">
        <v>6252</v>
      </c>
      <c r="AH1428" s="15" t="s">
        <v>6253</v>
      </c>
      <c r="AL1428" s="15" t="s">
        <v>6254</v>
      </c>
      <c r="AN1428" s="15">
        <v>743</v>
      </c>
      <c r="AO1428" s="15" t="s">
        <v>6255</v>
      </c>
      <c r="AQ1428" s="15" t="s">
        <v>6256</v>
      </c>
      <c r="AT1428" s="15" t="s">
        <v>6257</v>
      </c>
      <c r="AU1428" s="15" t="s">
        <v>6258</v>
      </c>
      <c r="AV1428" s="15" t="s">
        <v>6258</v>
      </c>
      <c r="AW1428" s="15" t="s">
        <v>6259</v>
      </c>
      <c r="AX1428" s="15" t="s">
        <v>6260</v>
      </c>
      <c r="AY1428" s="15">
        <f t="shared" si="31"/>
        <v>53</v>
      </c>
      <c r="AZ1428" s="15" t="s">
        <v>6261</v>
      </c>
      <c r="BA1428" s="15" t="s">
        <v>6235</v>
      </c>
      <c r="BC1428" s="15">
        <v>37</v>
      </c>
      <c r="BE1428" s="15" t="s">
        <v>4059</v>
      </c>
      <c r="BI1428" s="15" t="s">
        <v>6262</v>
      </c>
      <c r="BJ1428" s="15" t="s">
        <v>6263</v>
      </c>
      <c r="BK1428" s="15" t="s">
        <v>487</v>
      </c>
      <c r="BN1428" s="15" t="s">
        <v>179</v>
      </c>
      <c r="BP1428" s="15" t="s">
        <v>138</v>
      </c>
      <c r="BS1428" s="15" t="s">
        <v>6264</v>
      </c>
      <c r="DH1428" s="15" t="s">
        <v>17982</v>
      </c>
      <c r="DI1428" s="15" t="s">
        <v>17982</v>
      </c>
    </row>
    <row r="1429" spans="1:113" s="15" customFormat="1" ht="12.75" x14ac:dyDescent="0.2">
      <c r="A1429" s="15" t="s">
        <v>109</v>
      </c>
      <c r="B1429" s="15" t="s">
        <v>110</v>
      </c>
      <c r="D1429" s="15" t="s">
        <v>620</v>
      </c>
      <c r="E1429" s="15" t="s">
        <v>112</v>
      </c>
      <c r="F1429" s="15" t="s">
        <v>620</v>
      </c>
      <c r="G1429" s="15" t="s">
        <v>113</v>
      </c>
      <c r="H1429" s="15" t="s">
        <v>111</v>
      </c>
      <c r="J1429" s="16" t="s">
        <v>114</v>
      </c>
      <c r="U1429" s="15" t="s">
        <v>17977</v>
      </c>
      <c r="W1429" s="15">
        <v>1194</v>
      </c>
      <c r="X1429" s="15">
        <v>1439</v>
      </c>
      <c r="Y1429" s="15" t="s">
        <v>160</v>
      </c>
      <c r="Z1429" s="15" t="s">
        <v>161</v>
      </c>
      <c r="AA1429" s="15" t="s">
        <v>162</v>
      </c>
      <c r="AB1429" s="15" t="s">
        <v>6240</v>
      </c>
      <c r="AC1429" s="15" t="s">
        <v>6240</v>
      </c>
      <c r="AD1429" s="15" t="s">
        <v>6240</v>
      </c>
      <c r="AE1429" s="15" t="s">
        <v>164</v>
      </c>
      <c r="AF1429" s="15" t="s">
        <v>6240</v>
      </c>
      <c r="AG1429" s="15" t="s">
        <v>6240</v>
      </c>
      <c r="AH1429" s="15" t="s">
        <v>6241</v>
      </c>
      <c r="AL1429" s="15" t="s">
        <v>6242</v>
      </c>
      <c r="AN1429" s="15">
        <v>743</v>
      </c>
      <c r="AO1429" s="15" t="s">
        <v>6243</v>
      </c>
      <c r="AQ1429" s="15" t="s">
        <v>6244</v>
      </c>
      <c r="AT1429" s="15" t="s">
        <v>6245</v>
      </c>
      <c r="AU1429" s="15" t="s">
        <v>6246</v>
      </c>
      <c r="AV1429" s="15" t="s">
        <v>6246</v>
      </c>
      <c r="AW1429" s="15" t="s">
        <v>6247</v>
      </c>
      <c r="AX1429" s="15" t="s">
        <v>6248</v>
      </c>
      <c r="AY1429" s="15">
        <f t="shared" si="31"/>
        <v>53</v>
      </c>
      <c r="AZ1429" s="15" t="s">
        <v>6249</v>
      </c>
      <c r="BA1429" s="15" t="s">
        <v>174</v>
      </c>
      <c r="BE1429" s="15" t="s">
        <v>2054</v>
      </c>
      <c r="BJ1429" s="15" t="s">
        <v>6250</v>
      </c>
      <c r="BK1429" s="15" t="s">
        <v>487</v>
      </c>
      <c r="BN1429" s="15" t="s">
        <v>179</v>
      </c>
      <c r="BP1429" s="15" t="s">
        <v>138</v>
      </c>
      <c r="BS1429" s="15" t="s">
        <v>6251</v>
      </c>
      <c r="DH1429" s="15" t="s">
        <v>17982</v>
      </c>
      <c r="DI1429" s="15" t="s">
        <v>17982</v>
      </c>
    </row>
    <row r="1430" spans="1:113" s="15" customFormat="1" ht="12.75" x14ac:dyDescent="0.2">
      <c r="A1430" s="15" t="s">
        <v>109</v>
      </c>
      <c r="B1430" s="15" t="s">
        <v>110</v>
      </c>
      <c r="D1430" s="15" t="s">
        <v>620</v>
      </c>
      <c r="E1430" s="15" t="s">
        <v>112</v>
      </c>
      <c r="F1430" s="15" t="s">
        <v>620</v>
      </c>
      <c r="G1430" s="15" t="s">
        <v>113</v>
      </c>
      <c r="H1430" s="15" t="s">
        <v>111</v>
      </c>
      <c r="J1430" s="16" t="s">
        <v>114</v>
      </c>
      <c r="U1430" s="15" t="s">
        <v>17977</v>
      </c>
      <c r="W1430" s="15">
        <v>2480</v>
      </c>
      <c r="X1430" s="15">
        <v>1440</v>
      </c>
      <c r="Y1430" s="15" t="s">
        <v>160</v>
      </c>
      <c r="Z1430" s="15" t="s">
        <v>161</v>
      </c>
      <c r="AA1430" s="15" t="s">
        <v>162</v>
      </c>
      <c r="AB1430" s="15" t="s">
        <v>12190</v>
      </c>
      <c r="AC1430" s="15" t="s">
        <v>12190</v>
      </c>
      <c r="AD1430" s="15" t="s">
        <v>12190</v>
      </c>
      <c r="AE1430" s="15" t="s">
        <v>164</v>
      </c>
      <c r="AF1430" s="15" t="s">
        <v>12190</v>
      </c>
      <c r="AG1430" s="15" t="s">
        <v>12190</v>
      </c>
      <c r="AH1430" s="47" t="s">
        <v>12191</v>
      </c>
      <c r="AL1430" s="15" t="s">
        <v>12192</v>
      </c>
      <c r="AN1430" s="15">
        <v>743</v>
      </c>
      <c r="AO1430" s="15" t="s">
        <v>12193</v>
      </c>
      <c r="AQ1430" s="15" t="s">
        <v>11057</v>
      </c>
      <c r="AT1430" s="15" t="s">
        <v>12194</v>
      </c>
      <c r="AU1430" s="15" t="s">
        <v>12195</v>
      </c>
      <c r="AV1430" s="15" t="s">
        <v>12195</v>
      </c>
      <c r="AW1430" s="15" t="s">
        <v>12196</v>
      </c>
      <c r="AX1430" s="15" t="s">
        <v>12197</v>
      </c>
      <c r="AY1430" s="15">
        <f t="shared" si="31"/>
        <v>59</v>
      </c>
      <c r="AZ1430" s="15" t="s">
        <v>12198</v>
      </c>
      <c r="BA1430" s="15" t="s">
        <v>7552</v>
      </c>
      <c r="BE1430" s="15" t="s">
        <v>367</v>
      </c>
      <c r="BF1430" s="15" t="s">
        <v>12199</v>
      </c>
      <c r="BI1430" s="15" t="s">
        <v>6237</v>
      </c>
      <c r="BJ1430" s="15" t="s">
        <v>12200</v>
      </c>
      <c r="BN1430" s="15" t="s">
        <v>179</v>
      </c>
      <c r="BP1430" s="15" t="s">
        <v>138</v>
      </c>
      <c r="BS1430" s="15" t="s">
        <v>12201</v>
      </c>
      <c r="DH1430" s="15" t="s">
        <v>17982</v>
      </c>
      <c r="DI1430" s="15" t="s">
        <v>17982</v>
      </c>
    </row>
    <row r="1431" spans="1:113" s="15" customFormat="1" ht="12.75" x14ac:dyDescent="0.2">
      <c r="A1431" s="15" t="s">
        <v>109</v>
      </c>
      <c r="B1431" s="15" t="s">
        <v>110</v>
      </c>
      <c r="D1431" s="15" t="s">
        <v>620</v>
      </c>
      <c r="E1431" s="15" t="s">
        <v>112</v>
      </c>
      <c r="F1431" s="15" t="s">
        <v>620</v>
      </c>
      <c r="G1431" s="15" t="s">
        <v>113</v>
      </c>
      <c r="H1431" s="15" t="s">
        <v>111</v>
      </c>
      <c r="J1431" s="16" t="s">
        <v>114</v>
      </c>
      <c r="U1431" s="15" t="s">
        <v>17977</v>
      </c>
      <c r="W1431" s="15">
        <v>1823</v>
      </c>
      <c r="X1431" s="15">
        <v>1441</v>
      </c>
      <c r="Y1431" s="15" t="s">
        <v>160</v>
      </c>
      <c r="Z1431" s="15" t="s">
        <v>161</v>
      </c>
      <c r="AA1431" s="15" t="s">
        <v>162</v>
      </c>
      <c r="AB1431" s="15" t="s">
        <v>9790</v>
      </c>
      <c r="AC1431" s="15" t="s">
        <v>9790</v>
      </c>
      <c r="AD1431" s="15" t="s">
        <v>9790</v>
      </c>
      <c r="AE1431" s="15" t="s">
        <v>164</v>
      </c>
      <c r="AF1431" s="15" t="s">
        <v>9790</v>
      </c>
      <c r="AG1431" s="15" t="s">
        <v>9790</v>
      </c>
      <c r="AH1431" s="15" t="s">
        <v>9791</v>
      </c>
      <c r="AL1431" s="15" t="s">
        <v>9792</v>
      </c>
      <c r="AN1431" s="15">
        <v>743</v>
      </c>
      <c r="AO1431" s="15" t="s">
        <v>9793</v>
      </c>
      <c r="AQ1431" s="15" t="s">
        <v>3856</v>
      </c>
      <c r="AT1431" s="15" t="s">
        <v>9794</v>
      </c>
      <c r="AU1431" s="15" t="s">
        <v>9795</v>
      </c>
      <c r="AV1431" s="15" t="s">
        <v>9795</v>
      </c>
      <c r="AW1431" s="15" t="s">
        <v>9796</v>
      </c>
      <c r="AX1431" s="15" t="s">
        <v>9797</v>
      </c>
      <c r="AY1431" s="15">
        <f t="shared" si="31"/>
        <v>60</v>
      </c>
      <c r="AZ1431" s="15" t="s">
        <v>3861</v>
      </c>
      <c r="BA1431" s="15" t="s">
        <v>3862</v>
      </c>
      <c r="BB1431" s="15" t="s">
        <v>9787</v>
      </c>
      <c r="BC1431" s="15" t="s">
        <v>3057</v>
      </c>
      <c r="BE1431" s="15" t="s">
        <v>1123</v>
      </c>
      <c r="BJ1431" s="15" t="s">
        <v>9788</v>
      </c>
      <c r="BN1431" s="15" t="s">
        <v>179</v>
      </c>
      <c r="BP1431" s="15" t="s">
        <v>138</v>
      </c>
      <c r="BS1431" s="15" t="s">
        <v>9798</v>
      </c>
      <c r="DH1431" s="15" t="s">
        <v>17982</v>
      </c>
      <c r="DI1431" s="15" t="s">
        <v>17982</v>
      </c>
    </row>
    <row r="1432" spans="1:113" s="15" customFormat="1" ht="12.75" x14ac:dyDescent="0.2">
      <c r="A1432" s="15" t="s">
        <v>109</v>
      </c>
      <c r="B1432" s="15" t="s">
        <v>110</v>
      </c>
      <c r="D1432" s="15" t="s">
        <v>620</v>
      </c>
      <c r="E1432" s="15" t="s">
        <v>112</v>
      </c>
      <c r="F1432" s="15" t="s">
        <v>620</v>
      </c>
      <c r="G1432" s="15" t="s">
        <v>113</v>
      </c>
      <c r="H1432" s="15" t="s">
        <v>111</v>
      </c>
      <c r="J1432" s="16" t="s">
        <v>114</v>
      </c>
      <c r="U1432" s="15" t="s">
        <v>17977</v>
      </c>
      <c r="W1432" s="15">
        <v>1824</v>
      </c>
      <c r="X1432" s="15">
        <v>1442</v>
      </c>
      <c r="Y1432" s="15" t="s">
        <v>160</v>
      </c>
      <c r="Z1432" s="15" t="s">
        <v>161</v>
      </c>
      <c r="AA1432" s="15" t="s">
        <v>162</v>
      </c>
      <c r="AB1432" s="15" t="s">
        <v>9799</v>
      </c>
      <c r="AC1432" s="15" t="s">
        <v>9799</v>
      </c>
      <c r="AD1432" s="15" t="s">
        <v>9799</v>
      </c>
      <c r="AE1432" s="15" t="s">
        <v>164</v>
      </c>
      <c r="AF1432" s="15" t="s">
        <v>9799</v>
      </c>
      <c r="AG1432" s="15" t="s">
        <v>9799</v>
      </c>
      <c r="AH1432" s="15" t="s">
        <v>9800</v>
      </c>
      <c r="AL1432" s="15" t="s">
        <v>9801</v>
      </c>
      <c r="AN1432" s="15">
        <v>743</v>
      </c>
      <c r="AO1432" s="15" t="s">
        <v>9802</v>
      </c>
      <c r="AQ1432" s="15" t="s">
        <v>3856</v>
      </c>
      <c r="AT1432" s="15" t="s">
        <v>9803</v>
      </c>
      <c r="AU1432" s="15" t="s">
        <v>9804</v>
      </c>
      <c r="AV1432" s="15" t="s">
        <v>9804</v>
      </c>
      <c r="AW1432" s="15" t="s">
        <v>9805</v>
      </c>
      <c r="AX1432" s="15" t="s">
        <v>9806</v>
      </c>
      <c r="AY1432" s="15">
        <f t="shared" si="31"/>
        <v>54</v>
      </c>
      <c r="AZ1432" s="15" t="s">
        <v>3861</v>
      </c>
      <c r="BA1432" s="15" t="s">
        <v>3862</v>
      </c>
      <c r="BB1432" s="15" t="s">
        <v>9787</v>
      </c>
      <c r="BC1432" s="15" t="s">
        <v>9807</v>
      </c>
      <c r="BE1432" s="15" t="s">
        <v>251</v>
      </c>
      <c r="BJ1432" s="15" t="s">
        <v>9788</v>
      </c>
      <c r="BN1432" s="15" t="s">
        <v>179</v>
      </c>
      <c r="BP1432" s="15" t="s">
        <v>138</v>
      </c>
      <c r="BS1432" s="15" t="s">
        <v>9808</v>
      </c>
      <c r="DH1432" s="15" t="s">
        <v>17982</v>
      </c>
      <c r="DI1432" s="15" t="s">
        <v>17982</v>
      </c>
    </row>
    <row r="1433" spans="1:113" s="15" customFormat="1" ht="12.75" x14ac:dyDescent="0.2">
      <c r="A1433" s="15" t="s">
        <v>109</v>
      </c>
      <c r="B1433" s="15" t="s">
        <v>110</v>
      </c>
      <c r="D1433" s="15" t="s">
        <v>620</v>
      </c>
      <c r="E1433" s="15" t="s">
        <v>112</v>
      </c>
      <c r="F1433" s="15" t="s">
        <v>620</v>
      </c>
      <c r="G1433" s="15" t="s">
        <v>113</v>
      </c>
      <c r="H1433" s="15" t="s">
        <v>111</v>
      </c>
      <c r="J1433" s="16" t="s">
        <v>114</v>
      </c>
      <c r="U1433" s="15" t="s">
        <v>17977</v>
      </c>
      <c r="W1433" s="15">
        <v>2970</v>
      </c>
      <c r="X1433" s="15">
        <v>1443</v>
      </c>
      <c r="Y1433" s="15" t="s">
        <v>160</v>
      </c>
      <c r="Z1433" s="15" t="s">
        <v>161</v>
      </c>
      <c r="AA1433" s="15" t="s">
        <v>162</v>
      </c>
      <c r="AB1433" s="15" t="s">
        <v>14581</v>
      </c>
      <c r="AC1433" s="15" t="s">
        <v>14581</v>
      </c>
      <c r="AD1433" s="15" t="s">
        <v>14581</v>
      </c>
      <c r="AE1433" s="15" t="s">
        <v>164</v>
      </c>
      <c r="AF1433" s="15" t="s">
        <v>14581</v>
      </c>
      <c r="AG1433" s="15" t="s">
        <v>14581</v>
      </c>
      <c r="AH1433" s="15" t="s">
        <v>14582</v>
      </c>
      <c r="AL1433" s="15" t="s">
        <v>14583</v>
      </c>
      <c r="AN1433" s="15">
        <v>743</v>
      </c>
      <c r="AO1433" s="15" t="s">
        <v>14584</v>
      </c>
      <c r="AQ1433" s="15" t="s">
        <v>3856</v>
      </c>
      <c r="AT1433" s="15" t="s">
        <v>14585</v>
      </c>
      <c r="AU1433" s="15" t="s">
        <v>14586</v>
      </c>
      <c r="AV1433" s="15" t="s">
        <v>14586</v>
      </c>
      <c r="AW1433" s="15" t="s">
        <v>14587</v>
      </c>
      <c r="AX1433" s="15" t="s">
        <v>14588</v>
      </c>
      <c r="AY1433" s="15">
        <f t="shared" si="31"/>
        <v>56</v>
      </c>
      <c r="AZ1433" s="15" t="s">
        <v>3861</v>
      </c>
      <c r="BA1433" s="15" t="s">
        <v>3862</v>
      </c>
      <c r="BB1433" s="15" t="s">
        <v>14540</v>
      </c>
      <c r="BE1433" s="15" t="s">
        <v>14589</v>
      </c>
      <c r="BF1433" s="15" t="s">
        <v>7969</v>
      </c>
      <c r="BJ1433" s="15" t="s">
        <v>14541</v>
      </c>
      <c r="BN1433" s="15" t="s">
        <v>179</v>
      </c>
      <c r="BP1433" s="15" t="s">
        <v>138</v>
      </c>
      <c r="BS1433" s="15" t="s">
        <v>14590</v>
      </c>
      <c r="DH1433" s="15" t="s">
        <v>17982</v>
      </c>
      <c r="DI1433" s="15" t="s">
        <v>17982</v>
      </c>
    </row>
    <row r="1434" spans="1:113" s="15" customFormat="1" ht="12.75" x14ac:dyDescent="0.2">
      <c r="A1434" s="15" t="s">
        <v>109</v>
      </c>
      <c r="B1434" s="15" t="s">
        <v>110</v>
      </c>
      <c r="D1434" s="15" t="s">
        <v>620</v>
      </c>
      <c r="E1434" s="15" t="s">
        <v>112</v>
      </c>
      <c r="F1434" s="15" t="s">
        <v>620</v>
      </c>
      <c r="G1434" s="15" t="s">
        <v>113</v>
      </c>
      <c r="H1434" s="15" t="s">
        <v>111</v>
      </c>
      <c r="J1434" s="16" t="s">
        <v>114</v>
      </c>
      <c r="U1434" s="15" t="s">
        <v>17977</v>
      </c>
      <c r="W1434" s="15">
        <v>1193</v>
      </c>
      <c r="X1434" s="15">
        <v>1444</v>
      </c>
      <c r="Y1434" s="15" t="s">
        <v>160</v>
      </c>
      <c r="Z1434" s="15" t="s">
        <v>161</v>
      </c>
      <c r="AA1434" s="15" t="s">
        <v>162</v>
      </c>
      <c r="AB1434" s="15" t="s">
        <v>6226</v>
      </c>
      <c r="AC1434" s="15" t="s">
        <v>6226</v>
      </c>
      <c r="AD1434" s="15" t="s">
        <v>6226</v>
      </c>
      <c r="AE1434" s="15" t="s">
        <v>164</v>
      </c>
      <c r="AF1434" s="15" t="s">
        <v>6226</v>
      </c>
      <c r="AG1434" s="15" t="s">
        <v>6226</v>
      </c>
      <c r="AH1434" s="15" t="s">
        <v>6227</v>
      </c>
      <c r="AL1434" s="15" t="s">
        <v>6228</v>
      </c>
      <c r="AN1434" s="15">
        <v>743</v>
      </c>
      <c r="AO1434" s="15" t="s">
        <v>6229</v>
      </c>
      <c r="AQ1434" s="15" t="s">
        <v>6230</v>
      </c>
      <c r="AT1434" s="15" t="s">
        <v>6231</v>
      </c>
      <c r="AU1434" s="15" t="s">
        <v>6232</v>
      </c>
      <c r="AV1434" s="15" t="s">
        <v>6232</v>
      </c>
      <c r="AW1434" s="15" t="s">
        <v>6233</v>
      </c>
      <c r="AX1434" s="15" t="s">
        <v>6234</v>
      </c>
      <c r="AY1434" s="15">
        <f t="shared" si="31"/>
        <v>59</v>
      </c>
      <c r="AZ1434" s="15" t="s">
        <v>1634</v>
      </c>
      <c r="BA1434" s="15" t="s">
        <v>6235</v>
      </c>
      <c r="BB1434" s="15" t="s">
        <v>6236</v>
      </c>
      <c r="BC1434" s="15">
        <v>10</v>
      </c>
      <c r="BE1434" s="15" t="s">
        <v>367</v>
      </c>
      <c r="BI1434" s="15" t="s">
        <v>6237</v>
      </c>
      <c r="BJ1434" s="15" t="s">
        <v>6238</v>
      </c>
      <c r="BK1434" s="15" t="s">
        <v>487</v>
      </c>
      <c r="BN1434" s="15" t="s">
        <v>179</v>
      </c>
      <c r="BP1434" s="15" t="s">
        <v>138</v>
      </c>
      <c r="BS1434" s="15" t="s">
        <v>6239</v>
      </c>
      <c r="DH1434" s="15" t="s">
        <v>17982</v>
      </c>
      <c r="DI1434" s="15" t="s">
        <v>17982</v>
      </c>
    </row>
    <row r="1435" spans="1:113" s="15" customFormat="1" ht="12.75" x14ac:dyDescent="0.2">
      <c r="A1435" s="15" t="s">
        <v>109</v>
      </c>
      <c r="B1435" s="15" t="s">
        <v>110</v>
      </c>
      <c r="D1435" s="15" t="s">
        <v>620</v>
      </c>
      <c r="E1435" s="15" t="s">
        <v>112</v>
      </c>
      <c r="F1435" s="15" t="s">
        <v>620</v>
      </c>
      <c r="G1435" s="15" t="s">
        <v>113</v>
      </c>
      <c r="H1435" s="15" t="s">
        <v>111</v>
      </c>
      <c r="J1435" s="16" t="s">
        <v>114</v>
      </c>
      <c r="U1435" s="15" t="s">
        <v>17977</v>
      </c>
      <c r="W1435" s="15">
        <v>2875</v>
      </c>
      <c r="X1435" s="15">
        <v>1445</v>
      </c>
      <c r="Y1435" s="15" t="s">
        <v>160</v>
      </c>
      <c r="Z1435" s="15" t="s">
        <v>161</v>
      </c>
      <c r="AA1435" s="15" t="s">
        <v>162</v>
      </c>
      <c r="AB1435" s="15" t="s">
        <v>14026</v>
      </c>
      <c r="AC1435" s="15" t="s">
        <v>14026</v>
      </c>
      <c r="AD1435" s="15" t="s">
        <v>14026</v>
      </c>
      <c r="AE1435" s="15" t="s">
        <v>164</v>
      </c>
      <c r="AF1435" s="15" t="s">
        <v>14026</v>
      </c>
      <c r="AG1435" s="15" t="s">
        <v>14026</v>
      </c>
      <c r="AH1435" s="47" t="s">
        <v>14027</v>
      </c>
      <c r="AL1435" s="15" t="s">
        <v>14028</v>
      </c>
      <c r="AN1435" s="15">
        <v>743</v>
      </c>
      <c r="AO1435" s="15" t="s">
        <v>14029</v>
      </c>
      <c r="AQ1435" s="15" t="s">
        <v>843</v>
      </c>
      <c r="AT1435" s="15" t="s">
        <v>14030</v>
      </c>
      <c r="AU1435" s="15" t="s">
        <v>14031</v>
      </c>
      <c r="AV1435" s="15" t="s">
        <v>14031</v>
      </c>
      <c r="AW1435" s="15" t="s">
        <v>14032</v>
      </c>
      <c r="AX1435" s="15" t="s">
        <v>14033</v>
      </c>
      <c r="AY1435" s="15">
        <f t="shared" si="31"/>
        <v>57</v>
      </c>
      <c r="AZ1435" s="15" t="s">
        <v>848</v>
      </c>
      <c r="BA1435" s="15" t="s">
        <v>174</v>
      </c>
      <c r="BB1435" s="15" t="s">
        <v>14034</v>
      </c>
      <c r="BC1435" s="15">
        <v>23</v>
      </c>
      <c r="BE1435" s="15" t="s">
        <v>4059</v>
      </c>
      <c r="BJ1435" s="15" t="s">
        <v>14035</v>
      </c>
      <c r="BN1435" s="15" t="s">
        <v>179</v>
      </c>
      <c r="BP1435" s="15" t="s">
        <v>138</v>
      </c>
      <c r="BS1435" s="15" t="s">
        <v>14036</v>
      </c>
      <c r="DH1435" s="15" t="s">
        <v>17982</v>
      </c>
      <c r="DI1435" s="15" t="s">
        <v>17982</v>
      </c>
    </row>
    <row r="1436" spans="1:113" s="15" customFormat="1" ht="12.75" x14ac:dyDescent="0.2">
      <c r="A1436" s="15" t="s">
        <v>109</v>
      </c>
      <c r="B1436" s="15" t="s">
        <v>110</v>
      </c>
      <c r="D1436" s="15" t="s">
        <v>620</v>
      </c>
      <c r="E1436" s="15" t="s">
        <v>112</v>
      </c>
      <c r="F1436" s="15" t="s">
        <v>620</v>
      </c>
      <c r="G1436" s="15" t="s">
        <v>113</v>
      </c>
      <c r="H1436" s="15" t="s">
        <v>111</v>
      </c>
      <c r="J1436" s="16" t="s">
        <v>114</v>
      </c>
      <c r="U1436" s="15" t="s">
        <v>17977</v>
      </c>
      <c r="W1436" s="15">
        <v>2963</v>
      </c>
      <c r="X1436" s="15">
        <v>1446</v>
      </c>
      <c r="Y1436" s="15" t="s">
        <v>160</v>
      </c>
      <c r="Z1436" s="15" t="s">
        <v>161</v>
      </c>
      <c r="AA1436" s="15" t="s">
        <v>162</v>
      </c>
      <c r="AB1436" s="15" t="s">
        <v>14532</v>
      </c>
      <c r="AC1436" s="15" t="s">
        <v>14532</v>
      </c>
      <c r="AD1436" s="15" t="s">
        <v>14532</v>
      </c>
      <c r="AE1436" s="15" t="s">
        <v>164</v>
      </c>
      <c r="AF1436" s="15" t="s">
        <v>14532</v>
      </c>
      <c r="AG1436" s="15" t="s">
        <v>14532</v>
      </c>
      <c r="AH1436" s="15" t="s">
        <v>14533</v>
      </c>
      <c r="AL1436" s="15" t="s">
        <v>14534</v>
      </c>
      <c r="AN1436" s="15">
        <v>743</v>
      </c>
      <c r="AO1436" s="15" t="s">
        <v>14535</v>
      </c>
      <c r="AQ1436" s="15" t="s">
        <v>3856</v>
      </c>
      <c r="AT1436" s="15" t="s">
        <v>14536</v>
      </c>
      <c r="AU1436" s="15" t="s">
        <v>14537</v>
      </c>
      <c r="AV1436" s="15" t="s">
        <v>14537</v>
      </c>
      <c r="AW1436" s="15" t="s">
        <v>14538</v>
      </c>
      <c r="AX1436" s="15" t="s">
        <v>14539</v>
      </c>
      <c r="AY1436" s="15">
        <f t="shared" si="31"/>
        <v>54</v>
      </c>
      <c r="AZ1436" s="15" t="s">
        <v>3861</v>
      </c>
      <c r="BA1436" s="15" t="s">
        <v>3862</v>
      </c>
      <c r="BB1436" s="15" t="s">
        <v>14540</v>
      </c>
      <c r="BE1436" s="15" t="s">
        <v>617</v>
      </c>
      <c r="BF1436" s="15" t="s">
        <v>7969</v>
      </c>
      <c r="BJ1436" s="15" t="s">
        <v>14541</v>
      </c>
      <c r="BN1436" s="15" t="s">
        <v>179</v>
      </c>
      <c r="BP1436" s="15" t="s">
        <v>138</v>
      </c>
      <c r="BS1436" s="15" t="s">
        <v>14542</v>
      </c>
      <c r="DH1436" s="15" t="s">
        <v>17982</v>
      </c>
      <c r="DI1436" s="15" t="s">
        <v>17982</v>
      </c>
    </row>
    <row r="1437" spans="1:113" s="15" customFormat="1" ht="12.75" x14ac:dyDescent="0.2">
      <c r="A1437" s="15" t="s">
        <v>109</v>
      </c>
      <c r="B1437" s="15" t="s">
        <v>110</v>
      </c>
      <c r="D1437" s="15" t="s">
        <v>620</v>
      </c>
      <c r="E1437" s="15" t="s">
        <v>112</v>
      </c>
      <c r="F1437" s="15" t="s">
        <v>620</v>
      </c>
      <c r="G1437" s="15" t="s">
        <v>113</v>
      </c>
      <c r="H1437" s="15" t="s">
        <v>111</v>
      </c>
      <c r="J1437" s="16" t="s">
        <v>114</v>
      </c>
      <c r="U1437" s="15" t="s">
        <v>17977</v>
      </c>
      <c r="W1437" s="15">
        <v>1112</v>
      </c>
      <c r="X1437" s="15">
        <v>1447</v>
      </c>
      <c r="Y1437" s="15" t="s">
        <v>160</v>
      </c>
      <c r="Z1437" s="15" t="s">
        <v>161</v>
      </c>
      <c r="AA1437" s="15" t="s">
        <v>162</v>
      </c>
      <c r="AB1437" s="15" t="s">
        <v>5846</v>
      </c>
      <c r="AC1437" s="15" t="s">
        <v>5846</v>
      </c>
      <c r="AD1437" s="15" t="s">
        <v>5847</v>
      </c>
      <c r="AE1437" s="15" t="s">
        <v>164</v>
      </c>
      <c r="AF1437" s="15" t="s">
        <v>5847</v>
      </c>
      <c r="AG1437" s="15" t="s">
        <v>5846</v>
      </c>
      <c r="AH1437" s="15" t="s">
        <v>5848</v>
      </c>
      <c r="AL1437" s="15" t="s">
        <v>5849</v>
      </c>
      <c r="AN1437" s="15">
        <v>743</v>
      </c>
      <c r="AO1437" s="15" t="s">
        <v>5850</v>
      </c>
      <c r="AQ1437" s="15" t="s">
        <v>3856</v>
      </c>
      <c r="AT1437" s="15" t="s">
        <v>5851</v>
      </c>
      <c r="AU1437" s="15" t="s">
        <v>5852</v>
      </c>
      <c r="AV1437" s="15" t="s">
        <v>5852</v>
      </c>
      <c r="AW1437" s="15" t="s">
        <v>5853</v>
      </c>
      <c r="AX1437" s="15" t="s">
        <v>5853</v>
      </c>
      <c r="AY1437" s="15">
        <f t="shared" si="31"/>
        <v>53</v>
      </c>
      <c r="AZ1437" s="15" t="s">
        <v>3861</v>
      </c>
      <c r="BA1437" s="15" t="s">
        <v>3862</v>
      </c>
      <c r="BB1437" s="15" t="s">
        <v>5854</v>
      </c>
      <c r="BJ1437" s="15" t="s">
        <v>5855</v>
      </c>
      <c r="BK1437" s="15" t="s">
        <v>487</v>
      </c>
      <c r="BN1437" s="15" t="s">
        <v>179</v>
      </c>
      <c r="BP1437" s="15" t="s">
        <v>138</v>
      </c>
      <c r="BS1437" s="15" t="s">
        <v>5856</v>
      </c>
      <c r="DH1437" s="15" t="s">
        <v>17982</v>
      </c>
      <c r="DI1437" s="15" t="s">
        <v>17982</v>
      </c>
    </row>
    <row r="1438" spans="1:113" s="15" customFormat="1" ht="12.75" x14ac:dyDescent="0.2">
      <c r="A1438" s="15" t="s">
        <v>109</v>
      </c>
      <c r="B1438" s="15" t="s">
        <v>110</v>
      </c>
      <c r="D1438" s="15" t="s">
        <v>620</v>
      </c>
      <c r="E1438" s="15" t="s">
        <v>112</v>
      </c>
      <c r="F1438" s="15" t="s">
        <v>620</v>
      </c>
      <c r="G1438" s="15" t="s">
        <v>113</v>
      </c>
      <c r="H1438" s="15" t="s">
        <v>111</v>
      </c>
      <c r="J1438" s="16" t="s">
        <v>114</v>
      </c>
      <c r="U1438" s="15" t="s">
        <v>17977</v>
      </c>
      <c r="W1438" s="15">
        <v>2221</v>
      </c>
      <c r="X1438" s="15">
        <v>1448</v>
      </c>
      <c r="Y1438" s="15" t="s">
        <v>160</v>
      </c>
      <c r="Z1438" s="15" t="s">
        <v>161</v>
      </c>
      <c r="AA1438" s="15" t="s">
        <v>162</v>
      </c>
      <c r="AB1438" s="15" t="s">
        <v>11133</v>
      </c>
      <c r="AC1438" s="15" t="s">
        <v>11133</v>
      </c>
      <c r="AD1438" s="15" t="s">
        <v>11133</v>
      </c>
      <c r="AE1438" s="15" t="s">
        <v>164</v>
      </c>
      <c r="AF1438" s="15" t="s">
        <v>11133</v>
      </c>
      <c r="AG1438" s="15" t="s">
        <v>11133</v>
      </c>
      <c r="AH1438" s="15" t="s">
        <v>11134</v>
      </c>
      <c r="AL1438" s="15" t="s">
        <v>11135</v>
      </c>
      <c r="AN1438" s="15">
        <v>743</v>
      </c>
      <c r="AO1438" s="15" t="s">
        <v>11136</v>
      </c>
      <c r="AQ1438" s="15" t="s">
        <v>3856</v>
      </c>
      <c r="AT1438" s="15" t="s">
        <v>11137</v>
      </c>
      <c r="AU1438" s="15" t="s">
        <v>11138</v>
      </c>
      <c r="AV1438" s="15" t="s">
        <v>11138</v>
      </c>
      <c r="AW1438" s="15" t="s">
        <v>11139</v>
      </c>
      <c r="AX1438" s="15" t="s">
        <v>11139</v>
      </c>
      <c r="AY1438" s="15">
        <f t="shared" si="31"/>
        <v>57</v>
      </c>
      <c r="AZ1438" s="15" t="s">
        <v>3861</v>
      </c>
      <c r="BA1438" s="15" t="s">
        <v>3862</v>
      </c>
      <c r="BB1438" s="15" t="s">
        <v>11128</v>
      </c>
      <c r="BC1438" s="15" t="s">
        <v>11140</v>
      </c>
      <c r="BE1438" s="15" t="s">
        <v>11141</v>
      </c>
      <c r="BJ1438" s="15" t="s">
        <v>11142</v>
      </c>
      <c r="BK1438" s="15" t="s">
        <v>487</v>
      </c>
      <c r="BN1438" s="15" t="s">
        <v>179</v>
      </c>
      <c r="BP1438" s="15" t="s">
        <v>138</v>
      </c>
      <c r="BS1438" s="15" t="s">
        <v>11143</v>
      </c>
      <c r="DH1438" s="15" t="s">
        <v>17982</v>
      </c>
      <c r="DI1438" s="15" t="s">
        <v>17982</v>
      </c>
    </row>
    <row r="1439" spans="1:113" s="15" customFormat="1" ht="12.75" x14ac:dyDescent="0.2">
      <c r="A1439" s="15" t="s">
        <v>109</v>
      </c>
      <c r="B1439" s="15" t="s">
        <v>110</v>
      </c>
      <c r="D1439" s="15" t="s">
        <v>620</v>
      </c>
      <c r="E1439" s="15" t="s">
        <v>112</v>
      </c>
      <c r="F1439" s="15" t="s">
        <v>620</v>
      </c>
      <c r="G1439" s="15" t="s">
        <v>113</v>
      </c>
      <c r="H1439" s="15" t="s">
        <v>111</v>
      </c>
      <c r="J1439" s="16" t="s">
        <v>114</v>
      </c>
      <c r="U1439" s="15" t="s">
        <v>17977</v>
      </c>
      <c r="W1439" s="15">
        <v>652</v>
      </c>
      <c r="X1439" s="15">
        <v>1449</v>
      </c>
      <c r="Y1439" s="15" t="s">
        <v>160</v>
      </c>
      <c r="Z1439" s="15" t="s">
        <v>161</v>
      </c>
      <c r="AA1439" s="15" t="s">
        <v>162</v>
      </c>
      <c r="AB1439" s="15" t="s">
        <v>2290</v>
      </c>
      <c r="AC1439" s="15" t="s">
        <v>2290</v>
      </c>
      <c r="AD1439" s="15" t="s">
        <v>2290</v>
      </c>
      <c r="AE1439" s="15" t="s">
        <v>164</v>
      </c>
      <c r="AF1439" s="15" t="s">
        <v>2290</v>
      </c>
      <c r="AG1439" s="15" t="s">
        <v>2290</v>
      </c>
      <c r="AH1439" s="15" t="s">
        <v>2291</v>
      </c>
      <c r="AL1439" s="15" t="s">
        <v>2292</v>
      </c>
      <c r="AN1439" s="15">
        <v>743</v>
      </c>
      <c r="AO1439" s="15" t="s">
        <v>2293</v>
      </c>
      <c r="AQ1439" s="15" t="s">
        <v>168</v>
      </c>
      <c r="AT1439" s="15" t="s">
        <v>2294</v>
      </c>
      <c r="AU1439" s="15" t="s">
        <v>2295</v>
      </c>
      <c r="AV1439" s="15" t="s">
        <v>2295</v>
      </c>
      <c r="AW1439" s="15" t="s">
        <v>2296</v>
      </c>
      <c r="AX1439" s="15" t="s">
        <v>2297</v>
      </c>
      <c r="AY1439" s="15">
        <f t="shared" si="31"/>
        <v>60</v>
      </c>
      <c r="AZ1439" s="15" t="s">
        <v>173</v>
      </c>
      <c r="BA1439" s="15" t="s">
        <v>174</v>
      </c>
      <c r="BB1439" s="15" t="s">
        <v>2298</v>
      </c>
      <c r="BE1439" s="15" t="s">
        <v>2299</v>
      </c>
      <c r="BI1439" s="15" t="s">
        <v>2300</v>
      </c>
      <c r="BJ1439" s="15" t="s">
        <v>2301</v>
      </c>
      <c r="BK1439" s="15" t="s">
        <v>487</v>
      </c>
      <c r="BN1439" s="15" t="s">
        <v>179</v>
      </c>
      <c r="BP1439" s="15" t="s">
        <v>138</v>
      </c>
      <c r="BS1439" s="15" t="s">
        <v>2302</v>
      </c>
      <c r="DH1439" s="15" t="s">
        <v>17982</v>
      </c>
      <c r="DI1439" s="15" t="s">
        <v>17982</v>
      </c>
    </row>
    <row r="1440" spans="1:113" s="15" customFormat="1" ht="12.75" x14ac:dyDescent="0.2">
      <c r="A1440" s="15" t="s">
        <v>109</v>
      </c>
      <c r="B1440" s="15" t="s">
        <v>110</v>
      </c>
      <c r="D1440" s="15" t="s">
        <v>620</v>
      </c>
      <c r="E1440" s="15" t="s">
        <v>112</v>
      </c>
      <c r="F1440" s="15" t="s">
        <v>620</v>
      </c>
      <c r="G1440" s="15" t="s">
        <v>113</v>
      </c>
      <c r="H1440" s="15" t="s">
        <v>111</v>
      </c>
      <c r="J1440" s="16" t="s">
        <v>114</v>
      </c>
      <c r="U1440" s="15" t="s">
        <v>17977</v>
      </c>
      <c r="W1440" s="15">
        <v>2222</v>
      </c>
      <c r="X1440" s="15">
        <v>1450</v>
      </c>
      <c r="Y1440" s="15" t="s">
        <v>160</v>
      </c>
      <c r="Z1440" s="15" t="s">
        <v>161</v>
      </c>
      <c r="AA1440" s="15" t="s">
        <v>162</v>
      </c>
      <c r="AB1440" s="15" t="s">
        <v>11144</v>
      </c>
      <c r="AC1440" s="15" t="s">
        <v>11144</v>
      </c>
      <c r="AD1440" s="15" t="s">
        <v>11144</v>
      </c>
      <c r="AE1440" s="15" t="s">
        <v>164</v>
      </c>
      <c r="AF1440" s="15" t="s">
        <v>11144</v>
      </c>
      <c r="AG1440" s="15" t="s">
        <v>11144</v>
      </c>
      <c r="AH1440" s="15" t="s">
        <v>11145</v>
      </c>
      <c r="AL1440" s="15" t="s">
        <v>11146</v>
      </c>
      <c r="AN1440" s="15">
        <v>743</v>
      </c>
      <c r="AO1440" s="15" t="s">
        <v>11147</v>
      </c>
      <c r="AQ1440" s="15" t="s">
        <v>3856</v>
      </c>
      <c r="AT1440" s="15" t="s">
        <v>11148</v>
      </c>
      <c r="AU1440" s="15" t="s">
        <v>11149</v>
      </c>
      <c r="AV1440" s="15" t="s">
        <v>11149</v>
      </c>
      <c r="AW1440" s="15" t="s">
        <v>11150</v>
      </c>
      <c r="AX1440" s="15" t="s">
        <v>11151</v>
      </c>
      <c r="AY1440" s="15">
        <f t="shared" si="31"/>
        <v>59</v>
      </c>
      <c r="AZ1440" s="15" t="s">
        <v>3861</v>
      </c>
      <c r="BA1440" s="15" t="s">
        <v>3862</v>
      </c>
      <c r="BB1440" s="15" t="s">
        <v>11128</v>
      </c>
      <c r="BC1440" s="15" t="s">
        <v>11152</v>
      </c>
      <c r="BE1440" s="15" t="s">
        <v>11153</v>
      </c>
      <c r="BJ1440" s="15" t="s">
        <v>11131</v>
      </c>
      <c r="BK1440" s="15" t="s">
        <v>487</v>
      </c>
      <c r="BN1440" s="15" t="s">
        <v>179</v>
      </c>
      <c r="BP1440" s="15" t="s">
        <v>138</v>
      </c>
      <c r="BS1440" s="15" t="s">
        <v>11154</v>
      </c>
      <c r="DH1440" s="15" t="s">
        <v>17982</v>
      </c>
      <c r="DI1440" s="15" t="s">
        <v>17982</v>
      </c>
    </row>
    <row r="1441" spans="1:113" s="15" customFormat="1" ht="12.75" x14ac:dyDescent="0.2">
      <c r="A1441" s="15" t="s">
        <v>109</v>
      </c>
      <c r="B1441" s="15" t="s">
        <v>110</v>
      </c>
      <c r="D1441" s="15" t="s">
        <v>620</v>
      </c>
      <c r="E1441" s="15" t="s">
        <v>112</v>
      </c>
      <c r="F1441" s="15" t="s">
        <v>620</v>
      </c>
      <c r="G1441" s="15" t="s">
        <v>113</v>
      </c>
      <c r="H1441" s="15" t="s">
        <v>111</v>
      </c>
      <c r="J1441" s="16" t="s">
        <v>114</v>
      </c>
      <c r="U1441" s="15" t="s">
        <v>17977</v>
      </c>
      <c r="W1441" s="15">
        <v>2220</v>
      </c>
      <c r="X1441" s="15">
        <v>1451</v>
      </c>
      <c r="Y1441" s="15" t="s">
        <v>160</v>
      </c>
      <c r="Z1441" s="15" t="s">
        <v>161</v>
      </c>
      <c r="AA1441" s="15" t="s">
        <v>162</v>
      </c>
      <c r="AB1441" s="15" t="s">
        <v>11121</v>
      </c>
      <c r="AC1441" s="15" t="s">
        <v>11121</v>
      </c>
      <c r="AD1441" s="15" t="s">
        <v>11121</v>
      </c>
      <c r="AE1441" s="15" t="s">
        <v>164</v>
      </c>
      <c r="AF1441" s="15" t="s">
        <v>11121</v>
      </c>
      <c r="AG1441" s="15" t="s">
        <v>11121</v>
      </c>
      <c r="AH1441" s="15" t="s">
        <v>11122</v>
      </c>
      <c r="AL1441" s="15" t="s">
        <v>11123</v>
      </c>
      <c r="AN1441" s="15">
        <v>743</v>
      </c>
      <c r="AO1441" s="15" t="s">
        <v>11124</v>
      </c>
      <c r="AQ1441" s="15" t="s">
        <v>3856</v>
      </c>
      <c r="AT1441" s="15" t="s">
        <v>11125</v>
      </c>
      <c r="AU1441" s="15" t="s">
        <v>11126</v>
      </c>
      <c r="AV1441" s="15" t="s">
        <v>11126</v>
      </c>
      <c r="AW1441" s="15" t="s">
        <v>11127</v>
      </c>
      <c r="AX1441" s="15" t="s">
        <v>11127</v>
      </c>
      <c r="AY1441" s="15">
        <f t="shared" si="31"/>
        <v>60</v>
      </c>
      <c r="AZ1441" s="15" t="s">
        <v>3861</v>
      </c>
      <c r="BA1441" s="15" t="s">
        <v>3862</v>
      </c>
      <c r="BB1441" s="15" t="s">
        <v>11128</v>
      </c>
      <c r="BC1441" s="15" t="s">
        <v>11129</v>
      </c>
      <c r="BE1441" s="15" t="s">
        <v>11130</v>
      </c>
      <c r="BJ1441" s="15" t="s">
        <v>11131</v>
      </c>
      <c r="BK1441" s="15" t="s">
        <v>487</v>
      </c>
      <c r="BN1441" s="15" t="s">
        <v>179</v>
      </c>
      <c r="BP1441" s="15" t="s">
        <v>138</v>
      </c>
      <c r="BS1441" s="15" t="s">
        <v>11132</v>
      </c>
      <c r="DH1441" s="15" t="s">
        <v>17982</v>
      </c>
      <c r="DI1441" s="15" t="s">
        <v>17982</v>
      </c>
    </row>
    <row r="1442" spans="1:113" s="15" customFormat="1" ht="12.75" x14ac:dyDescent="0.2">
      <c r="A1442" s="15" t="s">
        <v>109</v>
      </c>
      <c r="B1442" s="15" t="s">
        <v>110</v>
      </c>
      <c r="D1442" s="15" t="s">
        <v>620</v>
      </c>
      <c r="E1442" s="15" t="s">
        <v>112</v>
      </c>
      <c r="F1442" s="15" t="s">
        <v>620</v>
      </c>
      <c r="G1442" s="15" t="s">
        <v>113</v>
      </c>
      <c r="H1442" s="15" t="s">
        <v>111</v>
      </c>
      <c r="J1442" s="16" t="s">
        <v>114</v>
      </c>
      <c r="U1442" s="15" t="s">
        <v>17977</v>
      </c>
      <c r="W1442" s="15">
        <v>2106</v>
      </c>
      <c r="X1442" s="15">
        <v>1452</v>
      </c>
      <c r="Y1442" s="15" t="s">
        <v>160</v>
      </c>
      <c r="Z1442" s="15" t="s">
        <v>161</v>
      </c>
      <c r="AA1442" s="15" t="s">
        <v>162</v>
      </c>
      <c r="AB1442" s="15" t="s">
        <v>10830</v>
      </c>
      <c r="AC1442" s="15" t="s">
        <v>10830</v>
      </c>
      <c r="AD1442" s="15" t="s">
        <v>10830</v>
      </c>
      <c r="AE1442" s="15" t="s">
        <v>164</v>
      </c>
      <c r="AF1442" s="15" t="s">
        <v>10830</v>
      </c>
      <c r="AG1442" s="15" t="s">
        <v>10830</v>
      </c>
      <c r="AH1442" s="15" t="s">
        <v>10831</v>
      </c>
      <c r="AL1442" s="15" t="s">
        <v>10832</v>
      </c>
      <c r="AN1442" s="15">
        <v>743</v>
      </c>
      <c r="AO1442" s="15" t="s">
        <v>10833</v>
      </c>
      <c r="AQ1442" s="15" t="s">
        <v>168</v>
      </c>
      <c r="AT1442" s="15" t="s">
        <v>10834</v>
      </c>
      <c r="AU1442" s="15" t="s">
        <v>10835</v>
      </c>
      <c r="AV1442" s="15" t="s">
        <v>10835</v>
      </c>
      <c r="AW1442" s="15" t="s">
        <v>10836</v>
      </c>
      <c r="AX1442" s="15" t="s">
        <v>10836</v>
      </c>
      <c r="AY1442" s="15">
        <f t="shared" si="31"/>
        <v>50</v>
      </c>
      <c r="AZ1442" s="15" t="s">
        <v>173</v>
      </c>
      <c r="BA1442" s="15" t="s">
        <v>174</v>
      </c>
      <c r="BB1442" s="15" t="s">
        <v>10837</v>
      </c>
      <c r="BE1442" s="15" t="s">
        <v>199</v>
      </c>
      <c r="BI1442" s="15" t="s">
        <v>2300</v>
      </c>
      <c r="BJ1442" s="15" t="s">
        <v>10838</v>
      </c>
      <c r="BN1442" s="15" t="s">
        <v>179</v>
      </c>
      <c r="BP1442" s="15" t="s">
        <v>138</v>
      </c>
      <c r="BS1442" s="15" t="s">
        <v>10839</v>
      </c>
      <c r="DH1442" s="15" t="s">
        <v>17982</v>
      </c>
      <c r="DI1442" s="15" t="s">
        <v>17982</v>
      </c>
    </row>
    <row r="1443" spans="1:113" s="15" customFormat="1" ht="12.75" x14ac:dyDescent="0.2">
      <c r="A1443" s="15" t="s">
        <v>109</v>
      </c>
      <c r="B1443" s="15" t="s">
        <v>110</v>
      </c>
      <c r="D1443" s="15" t="s">
        <v>620</v>
      </c>
      <c r="E1443" s="15" t="s">
        <v>112</v>
      </c>
      <c r="F1443" s="15" t="s">
        <v>620</v>
      </c>
      <c r="G1443" s="15" t="s">
        <v>113</v>
      </c>
      <c r="H1443" s="15" t="s">
        <v>111</v>
      </c>
      <c r="J1443" s="16" t="s">
        <v>114</v>
      </c>
      <c r="U1443" s="15" t="s">
        <v>17977</v>
      </c>
      <c r="W1443" s="15">
        <v>3394</v>
      </c>
      <c r="X1443" s="15">
        <v>1453</v>
      </c>
      <c r="Y1443" s="15" t="s">
        <v>160</v>
      </c>
      <c r="Z1443" s="15" t="s">
        <v>161</v>
      </c>
      <c r="AA1443" s="15" t="s">
        <v>162</v>
      </c>
      <c r="AB1443" s="15" t="s">
        <v>16456</v>
      </c>
      <c r="AC1443" s="15" t="s">
        <v>16456</v>
      </c>
      <c r="AD1443" s="15" t="s">
        <v>16457</v>
      </c>
      <c r="AE1443" s="15" t="s">
        <v>164</v>
      </c>
      <c r="AF1443" s="15" t="s">
        <v>16457</v>
      </c>
      <c r="AG1443" s="15" t="s">
        <v>16456</v>
      </c>
      <c r="AH1443" s="15" t="s">
        <v>16458</v>
      </c>
      <c r="AL1443" s="15" t="s">
        <v>16459</v>
      </c>
      <c r="AN1443" s="15">
        <v>743</v>
      </c>
      <c r="AO1443" s="15" t="s">
        <v>16460</v>
      </c>
      <c r="AQ1443" s="15" t="s">
        <v>168</v>
      </c>
      <c r="AT1443" s="15" t="s">
        <v>16461</v>
      </c>
      <c r="AU1443" s="15" t="s">
        <v>16462</v>
      </c>
      <c r="AV1443" s="15" t="s">
        <v>16462</v>
      </c>
      <c r="AW1443" s="15" t="s">
        <v>16463</v>
      </c>
      <c r="AX1443" s="15" t="s">
        <v>16464</v>
      </c>
      <c r="AY1443" s="15">
        <f t="shared" si="31"/>
        <v>58</v>
      </c>
      <c r="AZ1443" s="15" t="s">
        <v>173</v>
      </c>
      <c r="BA1443" s="15" t="s">
        <v>174</v>
      </c>
      <c r="BB1443" s="15" t="s">
        <v>16465</v>
      </c>
      <c r="BE1443" s="15" t="s">
        <v>16466</v>
      </c>
      <c r="BI1443" s="15" t="s">
        <v>2300</v>
      </c>
      <c r="BJ1443" s="15" t="s">
        <v>16467</v>
      </c>
      <c r="BN1443" s="15" t="s">
        <v>179</v>
      </c>
      <c r="BP1443" s="15" t="s">
        <v>138</v>
      </c>
      <c r="BS1443" s="15" t="s">
        <v>16468</v>
      </c>
      <c r="DH1443" s="15" t="s">
        <v>17982</v>
      </c>
      <c r="DI1443" s="15" t="s">
        <v>17982</v>
      </c>
    </row>
    <row r="1444" spans="1:113" s="15" customFormat="1" ht="12.75" x14ac:dyDescent="0.2">
      <c r="A1444" s="15" t="s">
        <v>109</v>
      </c>
      <c r="B1444" s="15" t="s">
        <v>110</v>
      </c>
      <c r="D1444" s="15" t="s">
        <v>620</v>
      </c>
      <c r="E1444" s="15" t="s">
        <v>112</v>
      </c>
      <c r="F1444" s="15" t="s">
        <v>620</v>
      </c>
      <c r="G1444" s="15" t="s">
        <v>113</v>
      </c>
      <c r="H1444" s="15" t="s">
        <v>111</v>
      </c>
      <c r="J1444" s="16" t="s">
        <v>114</v>
      </c>
      <c r="U1444" s="15" t="s">
        <v>17977</v>
      </c>
      <c r="W1444" s="15">
        <v>869</v>
      </c>
      <c r="X1444" s="15">
        <v>1454</v>
      </c>
      <c r="Y1444" s="15" t="s">
        <v>160</v>
      </c>
      <c r="Z1444" s="15" t="s">
        <v>161</v>
      </c>
      <c r="AA1444" s="15" t="s">
        <v>162</v>
      </c>
      <c r="AB1444" s="15" t="s">
        <v>3852</v>
      </c>
      <c r="AC1444" s="15" t="s">
        <v>3852</v>
      </c>
      <c r="AD1444" s="15" t="s">
        <v>3852</v>
      </c>
      <c r="AE1444" s="15" t="s">
        <v>164</v>
      </c>
      <c r="AF1444" s="15" t="s">
        <v>3852</v>
      </c>
      <c r="AG1444" s="15" t="s">
        <v>3852</v>
      </c>
      <c r="AH1444" s="15" t="s">
        <v>3853</v>
      </c>
      <c r="AL1444" s="15" t="s">
        <v>3854</v>
      </c>
      <c r="AN1444" s="15">
        <v>743</v>
      </c>
      <c r="AO1444" s="15" t="s">
        <v>3855</v>
      </c>
      <c r="AQ1444" s="15" t="s">
        <v>3856</v>
      </c>
      <c r="AT1444" s="15" t="s">
        <v>3857</v>
      </c>
      <c r="AU1444" s="15" t="s">
        <v>3858</v>
      </c>
      <c r="AV1444" s="15" t="s">
        <v>3858</v>
      </c>
      <c r="AW1444" s="15" t="s">
        <v>3859</v>
      </c>
      <c r="AX1444" s="15" t="s">
        <v>3860</v>
      </c>
      <c r="AY1444" s="15">
        <f t="shared" si="31"/>
        <v>59</v>
      </c>
      <c r="AZ1444" s="15" t="s">
        <v>3861</v>
      </c>
      <c r="BA1444" s="15" t="s">
        <v>3862</v>
      </c>
      <c r="BB1444" s="15" t="s">
        <v>3863</v>
      </c>
      <c r="BJ1444" s="15" t="s">
        <v>3864</v>
      </c>
      <c r="BN1444" s="15" t="s">
        <v>179</v>
      </c>
      <c r="BP1444" s="15" t="s">
        <v>138</v>
      </c>
      <c r="BS1444" s="15" t="s">
        <v>3865</v>
      </c>
      <c r="DH1444" s="15" t="s">
        <v>17982</v>
      </c>
      <c r="DI1444" s="15" t="s">
        <v>17982</v>
      </c>
    </row>
    <row r="1445" spans="1:113" s="15" customFormat="1" ht="12.75" x14ac:dyDescent="0.2">
      <c r="A1445" s="15" t="s">
        <v>109</v>
      </c>
      <c r="B1445" s="15" t="s">
        <v>110</v>
      </c>
      <c r="D1445" s="15" t="s">
        <v>620</v>
      </c>
      <c r="E1445" s="15" t="s">
        <v>112</v>
      </c>
      <c r="F1445" s="15" t="s">
        <v>620</v>
      </c>
      <c r="G1445" s="15" t="s">
        <v>113</v>
      </c>
      <c r="H1445" s="15" t="s">
        <v>111</v>
      </c>
      <c r="J1445" s="16" t="s">
        <v>114</v>
      </c>
      <c r="U1445" s="15" t="s">
        <v>17977</v>
      </c>
      <c r="W1445" s="15">
        <v>2251</v>
      </c>
      <c r="X1445" s="15">
        <v>1455</v>
      </c>
      <c r="Y1445" s="15" t="s">
        <v>160</v>
      </c>
      <c r="Z1445" s="15" t="s">
        <v>161</v>
      </c>
      <c r="AA1445" s="15" t="s">
        <v>162</v>
      </c>
      <c r="AB1445" s="15" t="s">
        <v>11189</v>
      </c>
      <c r="AC1445" s="15" t="s">
        <v>11189</v>
      </c>
      <c r="AD1445" s="15" t="s">
        <v>11189</v>
      </c>
      <c r="AE1445" s="15" t="s">
        <v>164</v>
      </c>
      <c r="AF1445" s="15" t="s">
        <v>11189</v>
      </c>
      <c r="AG1445" s="15" t="s">
        <v>11189</v>
      </c>
      <c r="AH1445" s="15" t="s">
        <v>11190</v>
      </c>
      <c r="AL1445" s="15" t="s">
        <v>11191</v>
      </c>
      <c r="AN1445" s="15">
        <v>743</v>
      </c>
      <c r="AO1445" s="15" t="s">
        <v>11192</v>
      </c>
      <c r="AQ1445" s="15" t="s">
        <v>388</v>
      </c>
      <c r="AT1445" s="15" t="s">
        <v>11193</v>
      </c>
      <c r="AU1445" s="15" t="s">
        <v>11194</v>
      </c>
      <c r="AV1445" s="15" t="s">
        <v>11194</v>
      </c>
      <c r="AW1445" s="15" t="s">
        <v>11195</v>
      </c>
      <c r="AX1445" s="15" t="s">
        <v>11196</v>
      </c>
      <c r="AY1445" s="15">
        <f t="shared" si="31"/>
        <v>60</v>
      </c>
      <c r="AZ1445" s="15" t="s">
        <v>393</v>
      </c>
      <c r="BA1445" s="15" t="s">
        <v>174</v>
      </c>
      <c r="BB1445" s="15" t="s">
        <v>3627</v>
      </c>
      <c r="BE1445" s="15" t="s">
        <v>1123</v>
      </c>
      <c r="BJ1445" s="15" t="s">
        <v>11197</v>
      </c>
      <c r="BN1445" s="15" t="s">
        <v>179</v>
      </c>
      <c r="BP1445" s="15" t="s">
        <v>138</v>
      </c>
      <c r="BS1445" s="15" t="s">
        <v>11198</v>
      </c>
      <c r="DH1445" s="15" t="s">
        <v>17982</v>
      </c>
      <c r="DI1445" s="15" t="s">
        <v>17982</v>
      </c>
    </row>
    <row r="1446" spans="1:113" s="15" customFormat="1" ht="12.75" x14ac:dyDescent="0.2">
      <c r="A1446" s="15" t="s">
        <v>109</v>
      </c>
      <c r="B1446" s="15" t="s">
        <v>110</v>
      </c>
      <c r="D1446" s="15" t="s">
        <v>620</v>
      </c>
      <c r="E1446" s="15" t="s">
        <v>112</v>
      </c>
      <c r="F1446" s="15" t="s">
        <v>620</v>
      </c>
      <c r="G1446" s="15" t="s">
        <v>113</v>
      </c>
      <c r="H1446" s="15" t="s">
        <v>111</v>
      </c>
      <c r="J1446" s="16" t="s">
        <v>114</v>
      </c>
      <c r="U1446" s="15" t="s">
        <v>17977</v>
      </c>
      <c r="W1446" s="15">
        <v>2255</v>
      </c>
      <c r="X1446" s="15">
        <v>1456</v>
      </c>
      <c r="Y1446" s="15" t="s">
        <v>160</v>
      </c>
      <c r="Z1446" s="15" t="s">
        <v>161</v>
      </c>
      <c r="AA1446" s="15" t="s">
        <v>162</v>
      </c>
      <c r="AB1446" s="15" t="s">
        <v>11227</v>
      </c>
      <c r="AC1446" s="15" t="s">
        <v>11227</v>
      </c>
      <c r="AD1446" s="15" t="s">
        <v>11228</v>
      </c>
      <c r="AE1446" s="15" t="s">
        <v>164</v>
      </c>
      <c r="AF1446" s="15" t="s">
        <v>11228</v>
      </c>
      <c r="AG1446" s="15" t="s">
        <v>11227</v>
      </c>
      <c r="AH1446" s="15" t="s">
        <v>11229</v>
      </c>
      <c r="AL1446" s="15" t="s">
        <v>11230</v>
      </c>
      <c r="AN1446" s="15">
        <v>743</v>
      </c>
      <c r="AO1446" s="15" t="s">
        <v>11231</v>
      </c>
      <c r="AQ1446" s="15" t="s">
        <v>388</v>
      </c>
      <c r="AT1446" s="15" t="s">
        <v>11232</v>
      </c>
      <c r="AU1446" s="15" t="s">
        <v>11233</v>
      </c>
      <c r="AV1446" s="15" t="s">
        <v>11233</v>
      </c>
      <c r="AW1446" s="15" t="s">
        <v>11234</v>
      </c>
      <c r="AX1446" s="15" t="s">
        <v>11235</v>
      </c>
      <c r="AY1446" s="15">
        <f t="shared" si="31"/>
        <v>55</v>
      </c>
      <c r="AZ1446" s="15" t="s">
        <v>393</v>
      </c>
      <c r="BA1446" s="15" t="s">
        <v>174</v>
      </c>
      <c r="BB1446" s="15" t="s">
        <v>3627</v>
      </c>
      <c r="BE1446" s="15" t="s">
        <v>1123</v>
      </c>
      <c r="BJ1446" s="15" t="s">
        <v>11236</v>
      </c>
      <c r="BN1446" s="15" t="s">
        <v>179</v>
      </c>
      <c r="BP1446" s="15" t="s">
        <v>138</v>
      </c>
      <c r="BS1446" s="15" t="s">
        <v>11237</v>
      </c>
      <c r="DH1446" s="15" t="s">
        <v>17982</v>
      </c>
      <c r="DI1446" s="15" t="s">
        <v>17982</v>
      </c>
    </row>
    <row r="1447" spans="1:113" s="15" customFormat="1" ht="12.75" x14ac:dyDescent="0.2">
      <c r="A1447" s="15" t="s">
        <v>109</v>
      </c>
      <c r="B1447" s="15" t="s">
        <v>110</v>
      </c>
      <c r="D1447" s="15" t="s">
        <v>620</v>
      </c>
      <c r="E1447" s="15" t="s">
        <v>112</v>
      </c>
      <c r="F1447" s="15" t="s">
        <v>620</v>
      </c>
      <c r="G1447" s="15" t="s">
        <v>113</v>
      </c>
      <c r="H1447" s="15" t="s">
        <v>111</v>
      </c>
      <c r="J1447" s="16" t="s">
        <v>114</v>
      </c>
      <c r="U1447" s="15" t="s">
        <v>17977</v>
      </c>
      <c r="W1447" s="15">
        <v>3492</v>
      </c>
      <c r="X1447" s="15">
        <v>1457</v>
      </c>
      <c r="Y1447" s="15" t="s">
        <v>160</v>
      </c>
      <c r="Z1447" s="15" t="s">
        <v>161</v>
      </c>
      <c r="AA1447" s="15" t="s">
        <v>162</v>
      </c>
      <c r="AB1447" s="15" t="s">
        <v>16857</v>
      </c>
      <c r="AC1447" s="15" t="s">
        <v>16857</v>
      </c>
      <c r="AD1447" s="15" t="s">
        <v>16858</v>
      </c>
      <c r="AE1447" s="15" t="s">
        <v>164</v>
      </c>
      <c r="AF1447" s="15" t="s">
        <v>16858</v>
      </c>
      <c r="AG1447" s="15" t="s">
        <v>16857</v>
      </c>
      <c r="AH1447" s="15" t="s">
        <v>16859</v>
      </c>
      <c r="AL1447" s="15" t="s">
        <v>16860</v>
      </c>
      <c r="AN1447" s="15">
        <v>743</v>
      </c>
      <c r="AO1447" s="15" t="s">
        <v>16861</v>
      </c>
      <c r="AQ1447" s="15" t="s">
        <v>388</v>
      </c>
      <c r="AT1447" s="15" t="s">
        <v>16862</v>
      </c>
      <c r="AU1447" s="15" t="s">
        <v>16863</v>
      </c>
      <c r="AV1447" s="15" t="s">
        <v>16863</v>
      </c>
      <c r="AW1447" s="15" t="s">
        <v>16864</v>
      </c>
      <c r="AX1447" s="15" t="s">
        <v>16865</v>
      </c>
      <c r="AY1447" s="15">
        <f t="shared" si="31"/>
        <v>45</v>
      </c>
      <c r="AZ1447" s="15" t="s">
        <v>393</v>
      </c>
      <c r="BA1447" s="15" t="s">
        <v>174</v>
      </c>
      <c r="BB1447" s="15" t="s">
        <v>3627</v>
      </c>
      <c r="BE1447" s="15" t="s">
        <v>1123</v>
      </c>
      <c r="BJ1447" s="15" t="s">
        <v>16866</v>
      </c>
      <c r="BN1447" s="15" t="s">
        <v>179</v>
      </c>
      <c r="BP1447" s="15" t="s">
        <v>138</v>
      </c>
      <c r="BS1447" s="15" t="s">
        <v>16867</v>
      </c>
      <c r="DH1447" s="15" t="s">
        <v>17982</v>
      </c>
      <c r="DI1447" s="15" t="s">
        <v>17982</v>
      </c>
    </row>
    <row r="1448" spans="1:113" s="15" customFormat="1" ht="12.75" x14ac:dyDescent="0.2">
      <c r="A1448" s="15" t="s">
        <v>109</v>
      </c>
      <c r="B1448" s="15" t="s">
        <v>110</v>
      </c>
      <c r="D1448" s="15" t="s">
        <v>620</v>
      </c>
      <c r="E1448" s="15" t="s">
        <v>112</v>
      </c>
      <c r="F1448" s="15" t="s">
        <v>620</v>
      </c>
      <c r="G1448" s="15" t="s">
        <v>113</v>
      </c>
      <c r="H1448" s="15" t="s">
        <v>111</v>
      </c>
      <c r="J1448" s="16" t="s">
        <v>114</v>
      </c>
      <c r="U1448" s="15" t="s">
        <v>17977</v>
      </c>
      <c r="W1448" s="15">
        <v>3493</v>
      </c>
      <c r="X1448" s="15">
        <v>1458</v>
      </c>
      <c r="Y1448" s="15" t="s">
        <v>160</v>
      </c>
      <c r="Z1448" s="15" t="s">
        <v>161</v>
      </c>
      <c r="AA1448" s="15" t="s">
        <v>162</v>
      </c>
      <c r="AB1448" s="15" t="s">
        <v>16868</v>
      </c>
      <c r="AC1448" s="15" t="s">
        <v>16868</v>
      </c>
      <c r="AD1448" s="15" t="s">
        <v>16869</v>
      </c>
      <c r="AE1448" s="15" t="s">
        <v>164</v>
      </c>
      <c r="AF1448" s="15" t="s">
        <v>16869</v>
      </c>
      <c r="AG1448" s="15" t="s">
        <v>16868</v>
      </c>
      <c r="AH1448" s="15" t="s">
        <v>16870</v>
      </c>
      <c r="AL1448" s="15" t="s">
        <v>16871</v>
      </c>
      <c r="AN1448" s="15">
        <v>743</v>
      </c>
      <c r="AO1448" s="15" t="s">
        <v>16872</v>
      </c>
      <c r="AQ1448" s="15" t="s">
        <v>388</v>
      </c>
      <c r="AT1448" s="15" t="s">
        <v>16873</v>
      </c>
      <c r="AU1448" s="15" t="s">
        <v>16874</v>
      </c>
      <c r="AV1448" s="15" t="s">
        <v>16874</v>
      </c>
      <c r="AW1448" s="15" t="s">
        <v>16875</v>
      </c>
      <c r="AX1448" s="15" t="s">
        <v>16876</v>
      </c>
      <c r="AY1448" s="15">
        <f t="shared" si="31"/>
        <v>49</v>
      </c>
      <c r="AZ1448" s="15" t="s">
        <v>393</v>
      </c>
      <c r="BA1448" s="15" t="s">
        <v>174</v>
      </c>
      <c r="BB1448" s="15" t="s">
        <v>3627</v>
      </c>
      <c r="BE1448" s="15" t="s">
        <v>1123</v>
      </c>
      <c r="BJ1448" s="15" t="s">
        <v>16877</v>
      </c>
      <c r="BN1448" s="15" t="s">
        <v>179</v>
      </c>
      <c r="BP1448" s="15" t="s">
        <v>138</v>
      </c>
      <c r="BS1448" s="15" t="s">
        <v>16878</v>
      </c>
      <c r="DH1448" s="15" t="s">
        <v>17982</v>
      </c>
      <c r="DI1448" s="15" t="s">
        <v>17982</v>
      </c>
    </row>
    <row r="1449" spans="1:113" s="15" customFormat="1" ht="12.75" x14ac:dyDescent="0.2">
      <c r="A1449" s="15" t="s">
        <v>109</v>
      </c>
      <c r="B1449" s="15" t="s">
        <v>110</v>
      </c>
      <c r="D1449" s="15" t="s">
        <v>620</v>
      </c>
      <c r="E1449" s="15" t="s">
        <v>112</v>
      </c>
      <c r="F1449" s="15" t="s">
        <v>620</v>
      </c>
      <c r="G1449" s="15" t="s">
        <v>113</v>
      </c>
      <c r="H1449" s="15" t="s">
        <v>111</v>
      </c>
      <c r="J1449" s="16" t="s">
        <v>114</v>
      </c>
      <c r="U1449" s="15" t="s">
        <v>17977</v>
      </c>
      <c r="W1449" s="15">
        <v>3491</v>
      </c>
      <c r="X1449" s="15">
        <v>1459</v>
      </c>
      <c r="Y1449" s="15" t="s">
        <v>160</v>
      </c>
      <c r="Z1449" s="15" t="s">
        <v>161</v>
      </c>
      <c r="AA1449" s="15" t="s">
        <v>162</v>
      </c>
      <c r="AB1449" s="15" t="s">
        <v>16846</v>
      </c>
      <c r="AC1449" s="15" t="s">
        <v>16846</v>
      </c>
      <c r="AD1449" s="15" t="s">
        <v>16847</v>
      </c>
      <c r="AE1449" s="15" t="s">
        <v>164</v>
      </c>
      <c r="AF1449" s="15" t="s">
        <v>16847</v>
      </c>
      <c r="AG1449" s="15" t="s">
        <v>16846</v>
      </c>
      <c r="AH1449" s="15" t="s">
        <v>16848</v>
      </c>
      <c r="AL1449" s="15" t="s">
        <v>16849</v>
      </c>
      <c r="AN1449" s="15">
        <v>743</v>
      </c>
      <c r="AO1449" s="15" t="s">
        <v>16850</v>
      </c>
      <c r="AQ1449" s="15" t="s">
        <v>388</v>
      </c>
      <c r="AT1449" s="15" t="s">
        <v>16851</v>
      </c>
      <c r="AU1449" s="15" t="s">
        <v>16852</v>
      </c>
      <c r="AV1449" s="15" t="s">
        <v>16852</v>
      </c>
      <c r="AW1449" s="15" t="s">
        <v>16853</v>
      </c>
      <c r="AX1449" s="15" t="s">
        <v>16854</v>
      </c>
      <c r="AY1449" s="15">
        <f t="shared" si="31"/>
        <v>49</v>
      </c>
      <c r="AZ1449" s="15" t="s">
        <v>393</v>
      </c>
      <c r="BA1449" s="15" t="s">
        <v>174</v>
      </c>
      <c r="BB1449" s="15" t="s">
        <v>3627</v>
      </c>
      <c r="BE1449" s="15" t="s">
        <v>1123</v>
      </c>
      <c r="BJ1449" s="15" t="s">
        <v>16855</v>
      </c>
      <c r="BN1449" s="15" t="s">
        <v>179</v>
      </c>
      <c r="BP1449" s="15" t="s">
        <v>138</v>
      </c>
      <c r="BS1449" s="15" t="s">
        <v>16856</v>
      </c>
      <c r="DH1449" s="15" t="s">
        <v>17982</v>
      </c>
      <c r="DI1449" s="15" t="s">
        <v>17982</v>
      </c>
    </row>
    <row r="1450" spans="1:113" s="15" customFormat="1" ht="12.75" x14ac:dyDescent="0.2">
      <c r="A1450" s="15" t="s">
        <v>109</v>
      </c>
      <c r="B1450" s="15" t="s">
        <v>110</v>
      </c>
      <c r="D1450" s="15" t="s">
        <v>620</v>
      </c>
      <c r="E1450" s="15" t="s">
        <v>112</v>
      </c>
      <c r="F1450" s="15" t="s">
        <v>620</v>
      </c>
      <c r="G1450" s="15" t="s">
        <v>113</v>
      </c>
      <c r="H1450" s="15" t="s">
        <v>111</v>
      </c>
      <c r="J1450" s="16" t="s">
        <v>114</v>
      </c>
      <c r="U1450" s="15" t="s">
        <v>17977</v>
      </c>
      <c r="W1450" s="15">
        <v>3139</v>
      </c>
      <c r="X1450" s="15">
        <v>1460</v>
      </c>
      <c r="Y1450" s="15" t="s">
        <v>160</v>
      </c>
      <c r="Z1450" s="15" t="s">
        <v>161</v>
      </c>
      <c r="AA1450" s="15" t="s">
        <v>162</v>
      </c>
      <c r="AB1450" s="15" t="s">
        <v>15125</v>
      </c>
      <c r="AC1450" s="15" t="s">
        <v>15125</v>
      </c>
      <c r="AD1450" s="15" t="s">
        <v>15126</v>
      </c>
      <c r="AE1450" s="15" t="s">
        <v>164</v>
      </c>
      <c r="AF1450" s="15" t="s">
        <v>15126</v>
      </c>
      <c r="AG1450" s="15" t="s">
        <v>15125</v>
      </c>
      <c r="AH1450" s="15" t="s">
        <v>15127</v>
      </c>
      <c r="AL1450" s="15" t="s">
        <v>15128</v>
      </c>
      <c r="AN1450" s="15">
        <v>743</v>
      </c>
      <c r="AO1450" s="15" t="s">
        <v>15129</v>
      </c>
      <c r="AQ1450" s="15" t="s">
        <v>388</v>
      </c>
      <c r="AT1450" s="15" t="s">
        <v>15130</v>
      </c>
      <c r="AU1450" s="15" t="s">
        <v>15131</v>
      </c>
      <c r="AV1450" s="15" t="s">
        <v>15131</v>
      </c>
      <c r="AW1450" s="15" t="s">
        <v>15132</v>
      </c>
      <c r="AX1450" s="15" t="s">
        <v>15132</v>
      </c>
      <c r="AY1450" s="15">
        <f t="shared" ref="AY1450:AY1481" si="32">LEN(SUBSTITUTE(AX1450, ", "," "))</f>
        <v>57</v>
      </c>
      <c r="AZ1450" s="15" t="s">
        <v>393</v>
      </c>
      <c r="BA1450" s="15" t="s">
        <v>174</v>
      </c>
      <c r="BB1450" s="15" t="s">
        <v>3627</v>
      </c>
      <c r="BE1450" s="15" t="s">
        <v>1123</v>
      </c>
      <c r="BJ1450" s="15" t="s">
        <v>15101</v>
      </c>
      <c r="BN1450" s="15" t="s">
        <v>179</v>
      </c>
      <c r="BP1450" s="15" t="s">
        <v>138</v>
      </c>
      <c r="BS1450" s="15" t="s">
        <v>15133</v>
      </c>
      <c r="DH1450" s="15" t="s">
        <v>17982</v>
      </c>
      <c r="DI1450" s="15" t="s">
        <v>17982</v>
      </c>
    </row>
    <row r="1451" spans="1:113" s="15" customFormat="1" ht="12.75" x14ac:dyDescent="0.2">
      <c r="A1451" s="15" t="s">
        <v>109</v>
      </c>
      <c r="B1451" s="15" t="s">
        <v>110</v>
      </c>
      <c r="D1451" s="15" t="s">
        <v>620</v>
      </c>
      <c r="E1451" s="15" t="s">
        <v>112</v>
      </c>
      <c r="F1451" s="15" t="s">
        <v>620</v>
      </c>
      <c r="G1451" s="15" t="s">
        <v>113</v>
      </c>
      <c r="H1451" s="15" t="s">
        <v>111</v>
      </c>
      <c r="J1451" s="16" t="s">
        <v>114</v>
      </c>
      <c r="U1451" s="15" t="s">
        <v>17977</v>
      </c>
      <c r="W1451" s="15">
        <v>873</v>
      </c>
      <c r="X1451" s="15">
        <v>1461</v>
      </c>
      <c r="Y1451" s="15" t="s">
        <v>160</v>
      </c>
      <c r="Z1451" s="15" t="s">
        <v>161</v>
      </c>
      <c r="AA1451" s="15" t="s">
        <v>162</v>
      </c>
      <c r="AB1451" s="15" t="s">
        <v>3888</v>
      </c>
      <c r="AC1451" s="15" t="s">
        <v>3888</v>
      </c>
      <c r="AD1451" s="15" t="s">
        <v>3888</v>
      </c>
      <c r="AE1451" s="15" t="s">
        <v>164</v>
      </c>
      <c r="AF1451" s="15" t="s">
        <v>3888</v>
      </c>
      <c r="AG1451" s="15" t="s">
        <v>3888</v>
      </c>
      <c r="AH1451" s="15" t="s">
        <v>3889</v>
      </c>
      <c r="AL1451" s="15" t="s">
        <v>3890</v>
      </c>
      <c r="AN1451" s="15">
        <v>743</v>
      </c>
      <c r="AO1451" s="15" t="s">
        <v>3891</v>
      </c>
      <c r="AQ1451" s="15" t="s">
        <v>3856</v>
      </c>
      <c r="AT1451" s="15" t="s">
        <v>3892</v>
      </c>
      <c r="AU1451" s="15" t="s">
        <v>3893</v>
      </c>
      <c r="AV1451" s="15" t="s">
        <v>3893</v>
      </c>
      <c r="AW1451" s="15" t="s">
        <v>3894</v>
      </c>
      <c r="AX1451" s="15" t="s">
        <v>3895</v>
      </c>
      <c r="AY1451" s="15">
        <f t="shared" si="32"/>
        <v>52</v>
      </c>
      <c r="AZ1451" s="15" t="s">
        <v>3861</v>
      </c>
      <c r="BA1451" s="15" t="s">
        <v>3862</v>
      </c>
      <c r="BB1451" s="15" t="s">
        <v>3863</v>
      </c>
      <c r="BC1451" s="15">
        <v>2</v>
      </c>
      <c r="BE1451" s="15" t="s">
        <v>3896</v>
      </c>
      <c r="BJ1451" s="15" t="s">
        <v>3897</v>
      </c>
      <c r="BK1451" s="15" t="s">
        <v>487</v>
      </c>
      <c r="BN1451" s="15" t="s">
        <v>179</v>
      </c>
      <c r="BP1451" s="15" t="s">
        <v>138</v>
      </c>
      <c r="BS1451" s="15" t="s">
        <v>3898</v>
      </c>
      <c r="DH1451" s="15" t="s">
        <v>17982</v>
      </c>
      <c r="DI1451" s="15" t="s">
        <v>17982</v>
      </c>
    </row>
    <row r="1452" spans="1:113" s="15" customFormat="1" ht="12.75" x14ac:dyDescent="0.2">
      <c r="A1452" s="15" t="s">
        <v>109</v>
      </c>
      <c r="B1452" s="15" t="s">
        <v>110</v>
      </c>
      <c r="D1452" s="15" t="s">
        <v>620</v>
      </c>
      <c r="E1452" s="15" t="s">
        <v>112</v>
      </c>
      <c r="F1452" s="15" t="s">
        <v>620</v>
      </c>
      <c r="G1452" s="15" t="s">
        <v>113</v>
      </c>
      <c r="H1452" s="15" t="s">
        <v>111</v>
      </c>
      <c r="J1452" s="16" t="s">
        <v>114</v>
      </c>
      <c r="U1452" s="15" t="s">
        <v>17977</v>
      </c>
      <c r="W1452" s="15">
        <v>875</v>
      </c>
      <c r="X1452" s="15">
        <v>1462</v>
      </c>
      <c r="Y1452" s="15" t="s">
        <v>160</v>
      </c>
      <c r="Z1452" s="15" t="s">
        <v>161</v>
      </c>
      <c r="AA1452" s="15" t="s">
        <v>162</v>
      </c>
      <c r="AB1452" s="15" t="s">
        <v>3909</v>
      </c>
      <c r="AC1452" s="15" t="s">
        <v>3909</v>
      </c>
      <c r="AD1452" s="15" t="s">
        <v>3909</v>
      </c>
      <c r="AE1452" s="15" t="s">
        <v>164</v>
      </c>
      <c r="AF1452" s="15" t="s">
        <v>3909</v>
      </c>
      <c r="AG1452" s="15" t="s">
        <v>3909</v>
      </c>
      <c r="AH1452" s="15" t="s">
        <v>3910</v>
      </c>
      <c r="AL1452" s="15" t="s">
        <v>3911</v>
      </c>
      <c r="AN1452" s="15">
        <v>743</v>
      </c>
      <c r="AO1452" s="15" t="s">
        <v>3912</v>
      </c>
      <c r="AQ1452" s="15" t="s">
        <v>3856</v>
      </c>
      <c r="AT1452" s="15" t="s">
        <v>3913</v>
      </c>
      <c r="AU1452" s="15" t="s">
        <v>3914</v>
      </c>
      <c r="AV1452" s="15" t="s">
        <v>3914</v>
      </c>
      <c r="AW1452" s="15" t="s">
        <v>3915</v>
      </c>
      <c r="AX1452" s="15" t="s">
        <v>3916</v>
      </c>
      <c r="AY1452" s="15">
        <f t="shared" si="32"/>
        <v>57</v>
      </c>
      <c r="AZ1452" s="15" t="s">
        <v>3861</v>
      </c>
      <c r="BA1452" s="15" t="s">
        <v>3862</v>
      </c>
      <c r="BB1452" s="15" t="s">
        <v>3863</v>
      </c>
      <c r="BC1452" s="15">
        <v>3</v>
      </c>
      <c r="BE1452" s="15" t="s">
        <v>3917</v>
      </c>
      <c r="BJ1452" s="15" t="s">
        <v>3897</v>
      </c>
      <c r="BK1452" s="15" t="s">
        <v>487</v>
      </c>
      <c r="BN1452" s="15" t="s">
        <v>179</v>
      </c>
      <c r="BP1452" s="15" t="s">
        <v>138</v>
      </c>
      <c r="BS1452" s="15" t="s">
        <v>3918</v>
      </c>
      <c r="DH1452" s="15" t="s">
        <v>17982</v>
      </c>
      <c r="DI1452" s="15" t="s">
        <v>17982</v>
      </c>
    </row>
    <row r="1453" spans="1:113" s="15" customFormat="1" ht="12.75" x14ac:dyDescent="0.2">
      <c r="A1453" s="15" t="s">
        <v>109</v>
      </c>
      <c r="B1453" s="15" t="s">
        <v>110</v>
      </c>
      <c r="D1453" s="15" t="s">
        <v>620</v>
      </c>
      <c r="E1453" s="15" t="s">
        <v>112</v>
      </c>
      <c r="F1453" s="15" t="s">
        <v>620</v>
      </c>
      <c r="G1453" s="15" t="s">
        <v>113</v>
      </c>
      <c r="H1453" s="15" t="s">
        <v>111</v>
      </c>
      <c r="J1453" s="16" t="s">
        <v>114</v>
      </c>
      <c r="U1453" s="15" t="s">
        <v>17977</v>
      </c>
      <c r="W1453" s="15">
        <v>877</v>
      </c>
      <c r="X1453" s="15">
        <v>1463</v>
      </c>
      <c r="Y1453" s="15" t="s">
        <v>160</v>
      </c>
      <c r="Z1453" s="15" t="s">
        <v>161</v>
      </c>
      <c r="AA1453" s="15" t="s">
        <v>162</v>
      </c>
      <c r="AB1453" s="15" t="s">
        <v>3929</v>
      </c>
      <c r="AC1453" s="15" t="s">
        <v>3929</v>
      </c>
      <c r="AD1453" s="15" t="s">
        <v>3929</v>
      </c>
      <c r="AE1453" s="15" t="s">
        <v>164</v>
      </c>
      <c r="AF1453" s="15" t="s">
        <v>3929</v>
      </c>
      <c r="AG1453" s="15" t="s">
        <v>3929</v>
      </c>
      <c r="AH1453" s="15" t="s">
        <v>3930</v>
      </c>
      <c r="AL1453" s="15" t="s">
        <v>3931</v>
      </c>
      <c r="AN1453" s="15">
        <v>743</v>
      </c>
      <c r="AO1453" s="15" t="s">
        <v>3932</v>
      </c>
      <c r="AQ1453" s="15" t="s">
        <v>3856</v>
      </c>
      <c r="AT1453" s="15" t="s">
        <v>3933</v>
      </c>
      <c r="AU1453" s="15" t="s">
        <v>3934</v>
      </c>
      <c r="AV1453" s="15" t="s">
        <v>3934</v>
      </c>
      <c r="AW1453" s="15" t="s">
        <v>3935</v>
      </c>
      <c r="AX1453" s="15" t="s">
        <v>3936</v>
      </c>
      <c r="AY1453" s="15">
        <f t="shared" si="32"/>
        <v>57</v>
      </c>
      <c r="AZ1453" s="15" t="s">
        <v>3861</v>
      </c>
      <c r="BA1453" s="15" t="s">
        <v>3862</v>
      </c>
      <c r="BB1453" s="15" t="s">
        <v>3863</v>
      </c>
      <c r="BC1453" s="15">
        <v>4</v>
      </c>
      <c r="BE1453" s="15" t="s">
        <v>3937</v>
      </c>
      <c r="BJ1453" s="15" t="s">
        <v>3897</v>
      </c>
      <c r="BK1453" s="15" t="s">
        <v>487</v>
      </c>
      <c r="BN1453" s="15" t="s">
        <v>179</v>
      </c>
      <c r="BP1453" s="15" t="s">
        <v>138</v>
      </c>
      <c r="BS1453" s="15" t="s">
        <v>3938</v>
      </c>
      <c r="DH1453" s="15" t="s">
        <v>17982</v>
      </c>
      <c r="DI1453" s="15" t="s">
        <v>17982</v>
      </c>
    </row>
    <row r="1454" spans="1:113" s="15" customFormat="1" ht="12.75" x14ac:dyDescent="0.2">
      <c r="A1454" s="15" t="s">
        <v>109</v>
      </c>
      <c r="B1454" s="15" t="s">
        <v>110</v>
      </c>
      <c r="D1454" s="15" t="s">
        <v>620</v>
      </c>
      <c r="E1454" s="15" t="s">
        <v>112</v>
      </c>
      <c r="F1454" s="15" t="s">
        <v>620</v>
      </c>
      <c r="G1454" s="15" t="s">
        <v>113</v>
      </c>
      <c r="H1454" s="15" t="s">
        <v>111</v>
      </c>
      <c r="J1454" s="16" t="s">
        <v>114</v>
      </c>
      <c r="U1454" s="15" t="s">
        <v>17977</v>
      </c>
      <c r="W1454" s="15">
        <v>879</v>
      </c>
      <c r="X1454" s="15">
        <v>1464</v>
      </c>
      <c r="Y1454" s="15" t="s">
        <v>160</v>
      </c>
      <c r="Z1454" s="15" t="s">
        <v>161</v>
      </c>
      <c r="AA1454" s="15" t="s">
        <v>162</v>
      </c>
      <c r="AB1454" s="15" t="s">
        <v>3948</v>
      </c>
      <c r="AC1454" s="15" t="s">
        <v>3948</v>
      </c>
      <c r="AD1454" s="15" t="s">
        <v>3948</v>
      </c>
      <c r="AE1454" s="15" t="s">
        <v>164</v>
      </c>
      <c r="AF1454" s="15" t="s">
        <v>3948</v>
      </c>
      <c r="AG1454" s="15" t="s">
        <v>3948</v>
      </c>
      <c r="AH1454" s="15" t="s">
        <v>3949</v>
      </c>
      <c r="AL1454" s="15" t="s">
        <v>3950</v>
      </c>
      <c r="AN1454" s="15">
        <v>743</v>
      </c>
      <c r="AO1454" s="15" t="s">
        <v>3951</v>
      </c>
      <c r="AQ1454" s="15" t="s">
        <v>3856</v>
      </c>
      <c r="AT1454" s="15" t="s">
        <v>3952</v>
      </c>
      <c r="AU1454" s="15" t="s">
        <v>3953</v>
      </c>
      <c r="AV1454" s="15" t="s">
        <v>3953</v>
      </c>
      <c r="AW1454" s="15" t="s">
        <v>3954</v>
      </c>
      <c r="AX1454" s="15" t="s">
        <v>3955</v>
      </c>
      <c r="AY1454" s="15">
        <f t="shared" si="32"/>
        <v>56</v>
      </c>
      <c r="AZ1454" s="15" t="s">
        <v>3861</v>
      </c>
      <c r="BA1454" s="15" t="s">
        <v>3862</v>
      </c>
      <c r="BB1454" s="15" t="s">
        <v>3863</v>
      </c>
      <c r="BC1454" s="15">
        <v>5</v>
      </c>
      <c r="BE1454" s="15" t="s">
        <v>3956</v>
      </c>
      <c r="BJ1454" s="15" t="s">
        <v>3897</v>
      </c>
      <c r="BK1454" s="15" t="s">
        <v>487</v>
      </c>
      <c r="BN1454" s="15" t="s">
        <v>179</v>
      </c>
      <c r="BP1454" s="15" t="s">
        <v>138</v>
      </c>
      <c r="BS1454" s="15" t="s">
        <v>3957</v>
      </c>
      <c r="DH1454" s="15" t="s">
        <v>17982</v>
      </c>
      <c r="DI1454" s="15" t="s">
        <v>17982</v>
      </c>
    </row>
    <row r="1455" spans="1:113" s="15" customFormat="1" ht="12.75" x14ac:dyDescent="0.2">
      <c r="A1455" s="15" t="s">
        <v>109</v>
      </c>
      <c r="B1455" s="15" t="s">
        <v>110</v>
      </c>
      <c r="D1455" s="15" t="s">
        <v>620</v>
      </c>
      <c r="E1455" s="15" t="s">
        <v>112</v>
      </c>
      <c r="F1455" s="15" t="s">
        <v>620</v>
      </c>
      <c r="G1455" s="15" t="s">
        <v>113</v>
      </c>
      <c r="H1455" s="15" t="s">
        <v>111</v>
      </c>
      <c r="J1455" s="16" t="s">
        <v>114</v>
      </c>
      <c r="U1455" s="15" t="s">
        <v>17977</v>
      </c>
      <c r="W1455" s="15">
        <v>874</v>
      </c>
      <c r="X1455" s="15">
        <v>1465</v>
      </c>
      <c r="Y1455" s="15" t="s">
        <v>160</v>
      </c>
      <c r="Z1455" s="15" t="s">
        <v>161</v>
      </c>
      <c r="AA1455" s="15" t="s">
        <v>162</v>
      </c>
      <c r="AB1455" s="15" t="s">
        <v>3899</v>
      </c>
      <c r="AC1455" s="15" t="s">
        <v>3899</v>
      </c>
      <c r="AD1455" s="15" t="s">
        <v>3899</v>
      </c>
      <c r="AE1455" s="15" t="s">
        <v>164</v>
      </c>
      <c r="AF1455" s="15" t="s">
        <v>3899</v>
      </c>
      <c r="AG1455" s="15" t="s">
        <v>3899</v>
      </c>
      <c r="AH1455" s="15" t="s">
        <v>3900</v>
      </c>
      <c r="AL1455" s="15" t="s">
        <v>3901</v>
      </c>
      <c r="AN1455" s="15">
        <v>743</v>
      </c>
      <c r="AO1455" s="15" t="s">
        <v>3902</v>
      </c>
      <c r="AQ1455" s="15" t="s">
        <v>3856</v>
      </c>
      <c r="AT1455" s="15" t="s">
        <v>3903</v>
      </c>
      <c r="AU1455" s="15" t="s">
        <v>3904</v>
      </c>
      <c r="AV1455" s="15" t="s">
        <v>3904</v>
      </c>
      <c r="AW1455" s="15" t="s">
        <v>3905</v>
      </c>
      <c r="AX1455" s="15" t="s">
        <v>3906</v>
      </c>
      <c r="AY1455" s="15">
        <f t="shared" si="32"/>
        <v>61</v>
      </c>
      <c r="AZ1455" s="15" t="s">
        <v>3861</v>
      </c>
      <c r="BA1455" s="15" t="s">
        <v>3862</v>
      </c>
      <c r="BB1455" s="15" t="s">
        <v>3863</v>
      </c>
      <c r="BC1455" s="15">
        <v>2</v>
      </c>
      <c r="BE1455" s="15" t="s">
        <v>3896</v>
      </c>
      <c r="BJ1455" s="15" t="s">
        <v>3907</v>
      </c>
      <c r="BK1455" s="15" t="s">
        <v>487</v>
      </c>
      <c r="BN1455" s="15" t="s">
        <v>179</v>
      </c>
      <c r="BP1455" s="15" t="s">
        <v>138</v>
      </c>
      <c r="BS1455" s="15" t="s">
        <v>3908</v>
      </c>
      <c r="DH1455" s="15" t="s">
        <v>17982</v>
      </c>
      <c r="DI1455" s="15" t="s">
        <v>17982</v>
      </c>
    </row>
    <row r="1456" spans="1:113" s="15" customFormat="1" ht="12.75" x14ac:dyDescent="0.2">
      <c r="A1456" s="15" t="s">
        <v>109</v>
      </c>
      <c r="B1456" s="15" t="s">
        <v>110</v>
      </c>
      <c r="D1456" s="15" t="s">
        <v>620</v>
      </c>
      <c r="E1456" s="15" t="s">
        <v>112</v>
      </c>
      <c r="F1456" s="15" t="s">
        <v>620</v>
      </c>
      <c r="G1456" s="15" t="s">
        <v>113</v>
      </c>
      <c r="H1456" s="15" t="s">
        <v>111</v>
      </c>
      <c r="J1456" s="16" t="s">
        <v>114</v>
      </c>
      <c r="U1456" s="15" t="s">
        <v>17977</v>
      </c>
      <c r="W1456" s="15">
        <v>893</v>
      </c>
      <c r="X1456" s="15">
        <v>1466</v>
      </c>
      <c r="Y1456" s="15" t="s">
        <v>160</v>
      </c>
      <c r="Z1456" s="15" t="s">
        <v>161</v>
      </c>
      <c r="AA1456" s="15" t="s">
        <v>162</v>
      </c>
      <c r="AB1456" s="15" t="s">
        <v>4007</v>
      </c>
      <c r="AC1456" s="15" t="s">
        <v>4007</v>
      </c>
      <c r="AD1456" s="15" t="s">
        <v>4007</v>
      </c>
      <c r="AE1456" s="15" t="s">
        <v>164</v>
      </c>
      <c r="AF1456" s="15" t="s">
        <v>4007</v>
      </c>
      <c r="AG1456" s="15" t="s">
        <v>4007</v>
      </c>
      <c r="AH1456" s="15" t="s">
        <v>4008</v>
      </c>
      <c r="AL1456" s="15" t="s">
        <v>4009</v>
      </c>
      <c r="AN1456" s="15">
        <v>743</v>
      </c>
      <c r="AO1456" s="15" t="s">
        <v>4010</v>
      </c>
      <c r="AQ1456" s="15" t="s">
        <v>388</v>
      </c>
      <c r="AT1456" s="15" t="s">
        <v>4011</v>
      </c>
      <c r="AU1456" s="15" t="s">
        <v>4012</v>
      </c>
      <c r="AV1456" s="15" t="s">
        <v>4012</v>
      </c>
      <c r="AW1456" s="15" t="s">
        <v>4013</v>
      </c>
      <c r="AX1456" s="15" t="s">
        <v>4014</v>
      </c>
      <c r="AY1456" s="15">
        <f t="shared" si="32"/>
        <v>55</v>
      </c>
      <c r="AZ1456" s="15" t="s">
        <v>393</v>
      </c>
      <c r="BA1456" s="15" t="s">
        <v>174</v>
      </c>
      <c r="BB1456" s="15" t="s">
        <v>4015</v>
      </c>
      <c r="BE1456" s="15" t="s">
        <v>2054</v>
      </c>
      <c r="BF1456" s="15" t="s">
        <v>1712</v>
      </c>
      <c r="BJ1456" s="15" t="s">
        <v>4016</v>
      </c>
      <c r="BN1456" s="15" t="s">
        <v>179</v>
      </c>
      <c r="BP1456" s="15" t="s">
        <v>138</v>
      </c>
      <c r="BS1456" s="15" t="s">
        <v>4017</v>
      </c>
      <c r="DH1456" s="15" t="s">
        <v>17982</v>
      </c>
      <c r="DI1456" s="15" t="s">
        <v>17982</v>
      </c>
    </row>
    <row r="1457" spans="1:113" s="15" customFormat="1" ht="12.75" x14ac:dyDescent="0.2">
      <c r="A1457" s="15" t="s">
        <v>109</v>
      </c>
      <c r="B1457" s="15" t="s">
        <v>110</v>
      </c>
      <c r="D1457" s="15" t="s">
        <v>620</v>
      </c>
      <c r="E1457" s="15" t="s">
        <v>112</v>
      </c>
      <c r="F1457" s="15" t="s">
        <v>620</v>
      </c>
      <c r="G1457" s="15" t="s">
        <v>113</v>
      </c>
      <c r="H1457" s="15" t="s">
        <v>111</v>
      </c>
      <c r="J1457" s="16" t="s">
        <v>114</v>
      </c>
      <c r="U1457" s="15" t="s">
        <v>17977</v>
      </c>
      <c r="W1457" s="15">
        <v>876</v>
      </c>
      <c r="X1457" s="15">
        <v>1467</v>
      </c>
      <c r="Y1457" s="15" t="s">
        <v>160</v>
      </c>
      <c r="Z1457" s="15" t="s">
        <v>161</v>
      </c>
      <c r="AA1457" s="15" t="s">
        <v>162</v>
      </c>
      <c r="AB1457" s="15" t="s">
        <v>3919</v>
      </c>
      <c r="AC1457" s="15" t="s">
        <v>3919</v>
      </c>
      <c r="AD1457" s="15" t="s">
        <v>3919</v>
      </c>
      <c r="AE1457" s="15" t="s">
        <v>164</v>
      </c>
      <c r="AF1457" s="15" t="s">
        <v>3919</v>
      </c>
      <c r="AG1457" s="15" t="s">
        <v>3919</v>
      </c>
      <c r="AH1457" s="15" t="s">
        <v>3920</v>
      </c>
      <c r="AL1457" s="15" t="s">
        <v>3921</v>
      </c>
      <c r="AN1457" s="15">
        <v>743</v>
      </c>
      <c r="AO1457" s="15" t="s">
        <v>3922</v>
      </c>
      <c r="AQ1457" s="15" t="s">
        <v>3856</v>
      </c>
      <c r="AT1457" s="15" t="s">
        <v>3923</v>
      </c>
      <c r="AU1457" s="15" t="s">
        <v>3924</v>
      </c>
      <c r="AV1457" s="15" t="s">
        <v>3924</v>
      </c>
      <c r="AW1457" s="15" t="s">
        <v>3925</v>
      </c>
      <c r="AX1457" s="15" t="s">
        <v>3926</v>
      </c>
      <c r="AY1457" s="15">
        <f t="shared" si="32"/>
        <v>59</v>
      </c>
      <c r="AZ1457" s="15" t="s">
        <v>3861</v>
      </c>
      <c r="BA1457" s="15" t="s">
        <v>3862</v>
      </c>
      <c r="BB1457" s="15" t="s">
        <v>3863</v>
      </c>
      <c r="BC1457" s="15">
        <v>3</v>
      </c>
      <c r="BE1457" s="15" t="s">
        <v>3917</v>
      </c>
      <c r="BJ1457" s="15" t="s">
        <v>3927</v>
      </c>
      <c r="BK1457" s="15" t="s">
        <v>487</v>
      </c>
      <c r="BN1457" s="15" t="s">
        <v>179</v>
      </c>
      <c r="BP1457" s="15" t="s">
        <v>138</v>
      </c>
      <c r="BS1457" s="15" t="s">
        <v>3928</v>
      </c>
      <c r="DH1457" s="15" t="s">
        <v>17982</v>
      </c>
      <c r="DI1457" s="15" t="s">
        <v>17982</v>
      </c>
    </row>
    <row r="1458" spans="1:113" s="15" customFormat="1" ht="12.75" x14ac:dyDescent="0.2">
      <c r="A1458" s="15" t="s">
        <v>109</v>
      </c>
      <c r="B1458" s="15" t="s">
        <v>110</v>
      </c>
      <c r="D1458" s="15" t="s">
        <v>620</v>
      </c>
      <c r="E1458" s="15" t="s">
        <v>112</v>
      </c>
      <c r="F1458" s="15" t="s">
        <v>620</v>
      </c>
      <c r="G1458" s="15" t="s">
        <v>113</v>
      </c>
      <c r="H1458" s="15" t="s">
        <v>111</v>
      </c>
      <c r="J1458" s="16" t="s">
        <v>114</v>
      </c>
      <c r="U1458" s="15" t="s">
        <v>17977</v>
      </c>
      <c r="W1458" s="15">
        <v>878</v>
      </c>
      <c r="X1458" s="15">
        <v>1468</v>
      </c>
      <c r="Y1458" s="15" t="s">
        <v>160</v>
      </c>
      <c r="Z1458" s="15" t="s">
        <v>161</v>
      </c>
      <c r="AA1458" s="15" t="s">
        <v>162</v>
      </c>
      <c r="AB1458" s="15" t="s">
        <v>3939</v>
      </c>
      <c r="AC1458" s="15" t="s">
        <v>3939</v>
      </c>
      <c r="AD1458" s="15" t="s">
        <v>3939</v>
      </c>
      <c r="AE1458" s="15" t="s">
        <v>164</v>
      </c>
      <c r="AF1458" s="15" t="s">
        <v>3939</v>
      </c>
      <c r="AG1458" s="15" t="s">
        <v>3939</v>
      </c>
      <c r="AH1458" s="15" t="s">
        <v>3940</v>
      </c>
      <c r="AL1458" s="15" t="s">
        <v>3941</v>
      </c>
      <c r="AN1458" s="15">
        <v>743</v>
      </c>
      <c r="AO1458" s="15" t="s">
        <v>3942</v>
      </c>
      <c r="AQ1458" s="15" t="s">
        <v>3856</v>
      </c>
      <c r="AT1458" s="15" t="s">
        <v>3943</v>
      </c>
      <c r="AU1458" s="15" t="s">
        <v>3944</v>
      </c>
      <c r="AV1458" s="15" t="s">
        <v>3944</v>
      </c>
      <c r="AW1458" s="15" t="s">
        <v>3945</v>
      </c>
      <c r="AX1458" s="15" t="s">
        <v>3946</v>
      </c>
      <c r="AY1458" s="15">
        <f t="shared" si="32"/>
        <v>59</v>
      </c>
      <c r="AZ1458" s="15" t="s">
        <v>3861</v>
      </c>
      <c r="BA1458" s="15" t="s">
        <v>3862</v>
      </c>
      <c r="BB1458" s="15" t="s">
        <v>3863</v>
      </c>
      <c r="BC1458" s="15">
        <v>4</v>
      </c>
      <c r="BE1458" s="15" t="s">
        <v>3937</v>
      </c>
      <c r="BJ1458" s="15" t="s">
        <v>3927</v>
      </c>
      <c r="BK1458" s="15" t="s">
        <v>487</v>
      </c>
      <c r="BN1458" s="15" t="s">
        <v>179</v>
      </c>
      <c r="BP1458" s="15" t="s">
        <v>138</v>
      </c>
      <c r="BS1458" s="15" t="s">
        <v>3947</v>
      </c>
      <c r="DH1458" s="15" t="s">
        <v>17982</v>
      </c>
      <c r="DI1458" s="15" t="s">
        <v>17982</v>
      </c>
    </row>
    <row r="1459" spans="1:113" s="15" customFormat="1" ht="12.75" x14ac:dyDescent="0.2">
      <c r="A1459" s="15" t="s">
        <v>109</v>
      </c>
      <c r="B1459" s="15" t="s">
        <v>110</v>
      </c>
      <c r="D1459" s="15" t="s">
        <v>620</v>
      </c>
      <c r="E1459" s="15" t="s">
        <v>112</v>
      </c>
      <c r="F1459" s="15" t="s">
        <v>620</v>
      </c>
      <c r="G1459" s="15" t="s">
        <v>113</v>
      </c>
      <c r="H1459" s="15" t="s">
        <v>111</v>
      </c>
      <c r="J1459" s="16" t="s">
        <v>114</v>
      </c>
      <c r="U1459" s="15" t="s">
        <v>17977</v>
      </c>
      <c r="W1459" s="15">
        <v>880</v>
      </c>
      <c r="X1459" s="15">
        <v>1469</v>
      </c>
      <c r="Y1459" s="15" t="s">
        <v>160</v>
      </c>
      <c r="Z1459" s="15" t="s">
        <v>161</v>
      </c>
      <c r="AA1459" s="15" t="s">
        <v>162</v>
      </c>
      <c r="AB1459" s="15" t="s">
        <v>3958</v>
      </c>
      <c r="AC1459" s="15" t="s">
        <v>3958</v>
      </c>
      <c r="AD1459" s="15" t="s">
        <v>3958</v>
      </c>
      <c r="AE1459" s="15" t="s">
        <v>164</v>
      </c>
      <c r="AF1459" s="15" t="s">
        <v>3958</v>
      </c>
      <c r="AG1459" s="15" t="s">
        <v>3958</v>
      </c>
      <c r="AH1459" s="15" t="s">
        <v>3959</v>
      </c>
      <c r="AL1459" s="15" t="s">
        <v>3960</v>
      </c>
      <c r="AN1459" s="15">
        <v>743</v>
      </c>
      <c r="AO1459" s="15" t="s">
        <v>3961</v>
      </c>
      <c r="AQ1459" s="15" t="s">
        <v>3856</v>
      </c>
      <c r="AT1459" s="15" t="s">
        <v>3962</v>
      </c>
      <c r="AU1459" s="15" t="s">
        <v>3963</v>
      </c>
      <c r="AV1459" s="15" t="s">
        <v>3963</v>
      </c>
      <c r="AW1459" s="15" t="s">
        <v>3964</v>
      </c>
      <c r="AX1459" s="15" t="s">
        <v>3965</v>
      </c>
      <c r="AY1459" s="15">
        <f t="shared" si="32"/>
        <v>58</v>
      </c>
      <c r="AZ1459" s="15" t="s">
        <v>3861</v>
      </c>
      <c r="BA1459" s="15" t="s">
        <v>3862</v>
      </c>
      <c r="BB1459" s="15" t="s">
        <v>3863</v>
      </c>
      <c r="BC1459" s="15">
        <v>5</v>
      </c>
      <c r="BE1459" s="15" t="s">
        <v>3956</v>
      </c>
      <c r="BJ1459" s="15" t="s">
        <v>3927</v>
      </c>
      <c r="BK1459" s="15" t="s">
        <v>487</v>
      </c>
      <c r="BN1459" s="15" t="s">
        <v>179</v>
      </c>
      <c r="BP1459" s="15" t="s">
        <v>138</v>
      </c>
      <c r="BS1459" s="15" t="s">
        <v>3966</v>
      </c>
      <c r="DH1459" s="15" t="s">
        <v>17982</v>
      </c>
      <c r="DI1459" s="15" t="s">
        <v>17982</v>
      </c>
    </row>
    <row r="1460" spans="1:113" s="15" customFormat="1" ht="12.75" x14ac:dyDescent="0.2">
      <c r="A1460" s="15" t="s">
        <v>109</v>
      </c>
      <c r="B1460" s="15" t="s">
        <v>110</v>
      </c>
      <c r="D1460" s="15" t="s">
        <v>620</v>
      </c>
      <c r="E1460" s="15" t="s">
        <v>112</v>
      </c>
      <c r="F1460" s="15" t="s">
        <v>620</v>
      </c>
      <c r="G1460" s="15" t="s">
        <v>113</v>
      </c>
      <c r="H1460" s="15" t="s">
        <v>111</v>
      </c>
      <c r="J1460" s="16" t="s">
        <v>114</v>
      </c>
      <c r="U1460" s="15" t="s">
        <v>17977</v>
      </c>
      <c r="W1460" s="15">
        <v>2205</v>
      </c>
      <c r="X1460" s="15">
        <v>1470</v>
      </c>
      <c r="Y1460" s="15" t="s">
        <v>160</v>
      </c>
      <c r="Z1460" s="15" t="s">
        <v>161</v>
      </c>
      <c r="AA1460" s="15" t="s">
        <v>162</v>
      </c>
      <c r="AB1460" s="15" t="s">
        <v>11109</v>
      </c>
      <c r="AC1460" s="15" t="s">
        <v>11109</v>
      </c>
      <c r="AD1460" s="15" t="s">
        <v>11109</v>
      </c>
      <c r="AE1460" s="15" t="s">
        <v>164</v>
      </c>
      <c r="AF1460" s="15" t="s">
        <v>11109</v>
      </c>
      <c r="AG1460" s="15" t="s">
        <v>11109</v>
      </c>
      <c r="AH1460" s="15" t="s">
        <v>11110</v>
      </c>
      <c r="AL1460" s="15" t="s">
        <v>11111</v>
      </c>
      <c r="AN1460" s="15">
        <v>743</v>
      </c>
      <c r="AO1460" s="15" t="s">
        <v>11112</v>
      </c>
      <c r="AQ1460" s="15" t="s">
        <v>168</v>
      </c>
      <c r="AT1460" s="15" t="s">
        <v>11113</v>
      </c>
      <c r="AU1460" s="15" t="s">
        <v>11114</v>
      </c>
      <c r="AV1460" s="15" t="s">
        <v>11114</v>
      </c>
      <c r="AW1460" s="15" t="s">
        <v>11115</v>
      </c>
      <c r="AX1460" s="15" t="s">
        <v>11116</v>
      </c>
      <c r="AY1460" s="15">
        <f t="shared" si="32"/>
        <v>57</v>
      </c>
      <c r="AZ1460" s="15" t="s">
        <v>173</v>
      </c>
      <c r="BA1460" s="15" t="s">
        <v>174</v>
      </c>
      <c r="BB1460" s="15" t="s">
        <v>11117</v>
      </c>
      <c r="BE1460" s="15" t="s">
        <v>275</v>
      </c>
      <c r="BI1460" s="15" t="s">
        <v>11118</v>
      </c>
      <c r="BJ1460" s="15" t="s">
        <v>11119</v>
      </c>
      <c r="BN1460" s="15" t="s">
        <v>179</v>
      </c>
      <c r="BP1460" s="15" t="s">
        <v>138</v>
      </c>
      <c r="BS1460" s="15" t="s">
        <v>11120</v>
      </c>
      <c r="DH1460" s="15" t="s">
        <v>17982</v>
      </c>
      <c r="DI1460" s="15" t="s">
        <v>17982</v>
      </c>
    </row>
    <row r="1461" spans="1:113" s="15" customFormat="1" ht="12.75" x14ac:dyDescent="0.2">
      <c r="A1461" s="15" t="s">
        <v>109</v>
      </c>
      <c r="B1461" s="15" t="s">
        <v>110</v>
      </c>
      <c r="D1461" s="15" t="s">
        <v>620</v>
      </c>
      <c r="E1461" s="15" t="s">
        <v>112</v>
      </c>
      <c r="F1461" s="15" t="s">
        <v>620</v>
      </c>
      <c r="G1461" s="15" t="s">
        <v>113</v>
      </c>
      <c r="H1461" s="15" t="s">
        <v>111</v>
      </c>
      <c r="J1461" s="16" t="s">
        <v>114</v>
      </c>
      <c r="U1461" s="15" t="s">
        <v>17977</v>
      </c>
      <c r="W1461" s="15">
        <v>183</v>
      </c>
      <c r="X1461" s="15">
        <v>1471</v>
      </c>
      <c r="Y1461" s="15" t="s">
        <v>160</v>
      </c>
      <c r="Z1461" s="15" t="s">
        <v>161</v>
      </c>
      <c r="AA1461" s="15" t="s">
        <v>162</v>
      </c>
      <c r="AB1461" s="15" t="s">
        <v>1126</v>
      </c>
      <c r="AC1461" s="15" t="s">
        <v>1126</v>
      </c>
      <c r="AD1461" s="15" t="s">
        <v>1126</v>
      </c>
      <c r="AE1461" s="15" t="s">
        <v>164</v>
      </c>
      <c r="AF1461" s="15" t="s">
        <v>1126</v>
      </c>
      <c r="AG1461" s="15" t="s">
        <v>1126</v>
      </c>
      <c r="AH1461" s="15" t="s">
        <v>1127</v>
      </c>
      <c r="AL1461" s="15" t="s">
        <v>1128</v>
      </c>
      <c r="AN1461" s="15">
        <v>743</v>
      </c>
      <c r="AO1461" s="15" t="s">
        <v>1129</v>
      </c>
      <c r="AQ1461" s="15" t="s">
        <v>168</v>
      </c>
      <c r="AT1461" s="15" t="s">
        <v>1130</v>
      </c>
      <c r="AU1461" s="15" t="s">
        <v>1131</v>
      </c>
      <c r="AV1461" s="15" t="s">
        <v>1131</v>
      </c>
      <c r="AW1461" s="15" t="s">
        <v>1132</v>
      </c>
      <c r="AX1461" s="15" t="s">
        <v>1133</v>
      </c>
      <c r="AY1461" s="15">
        <f t="shared" si="32"/>
        <v>60</v>
      </c>
      <c r="AZ1461" s="15" t="s">
        <v>173</v>
      </c>
      <c r="BA1461" s="15" t="s">
        <v>174</v>
      </c>
      <c r="BB1461" s="15" t="s">
        <v>1122</v>
      </c>
      <c r="BE1461" s="15" t="s">
        <v>1123</v>
      </c>
      <c r="BJ1461" s="15" t="s">
        <v>1134</v>
      </c>
      <c r="BN1461" s="15" t="s">
        <v>179</v>
      </c>
      <c r="BP1461" s="15" t="s">
        <v>138</v>
      </c>
      <c r="BS1461" s="15" t="s">
        <v>1135</v>
      </c>
      <c r="DH1461" s="15" t="s">
        <v>17982</v>
      </c>
      <c r="DI1461" s="15" t="s">
        <v>17982</v>
      </c>
    </row>
    <row r="1462" spans="1:113" s="15" customFormat="1" ht="12.75" x14ac:dyDescent="0.2">
      <c r="A1462" s="15" t="s">
        <v>109</v>
      </c>
      <c r="B1462" s="15" t="s">
        <v>110</v>
      </c>
      <c r="D1462" s="15" t="s">
        <v>620</v>
      </c>
      <c r="E1462" s="15" t="s">
        <v>112</v>
      </c>
      <c r="F1462" s="15" t="s">
        <v>620</v>
      </c>
      <c r="G1462" s="15" t="s">
        <v>113</v>
      </c>
      <c r="H1462" s="15" t="s">
        <v>111</v>
      </c>
      <c r="J1462" s="16" t="s">
        <v>114</v>
      </c>
      <c r="U1462" s="15" t="s">
        <v>17977</v>
      </c>
      <c r="W1462" s="15">
        <v>182</v>
      </c>
      <c r="X1462" s="15">
        <v>1472</v>
      </c>
      <c r="Y1462" s="15" t="s">
        <v>160</v>
      </c>
      <c r="Z1462" s="15" t="s">
        <v>161</v>
      </c>
      <c r="AA1462" s="15" t="s">
        <v>162</v>
      </c>
      <c r="AB1462" s="15" t="s">
        <v>1113</v>
      </c>
      <c r="AC1462" s="15" t="s">
        <v>1113</v>
      </c>
      <c r="AD1462" s="15" t="s">
        <v>1114</v>
      </c>
      <c r="AE1462" s="15" t="s">
        <v>164</v>
      </c>
      <c r="AF1462" s="15" t="s">
        <v>1114</v>
      </c>
      <c r="AG1462" s="15" t="s">
        <v>1113</v>
      </c>
      <c r="AH1462" s="15" t="s">
        <v>1115</v>
      </c>
      <c r="AL1462" s="15" t="s">
        <v>1116</v>
      </c>
      <c r="AN1462" s="15">
        <v>743</v>
      </c>
      <c r="AO1462" s="15" t="s">
        <v>1117</v>
      </c>
      <c r="AQ1462" s="15" t="s">
        <v>168</v>
      </c>
      <c r="AT1462" s="15" t="s">
        <v>1118</v>
      </c>
      <c r="AU1462" s="15" t="s">
        <v>1119</v>
      </c>
      <c r="AV1462" s="15" t="s">
        <v>1119</v>
      </c>
      <c r="AW1462" s="15" t="s">
        <v>1120</v>
      </c>
      <c r="AX1462" s="15" t="s">
        <v>1121</v>
      </c>
      <c r="AY1462" s="15">
        <f t="shared" si="32"/>
        <v>57</v>
      </c>
      <c r="AZ1462" s="15" t="s">
        <v>173</v>
      </c>
      <c r="BA1462" s="15" t="s">
        <v>174</v>
      </c>
      <c r="BB1462" s="15" t="s">
        <v>1122</v>
      </c>
      <c r="BE1462" s="15" t="s">
        <v>1123</v>
      </c>
      <c r="BJ1462" s="15" t="s">
        <v>1124</v>
      </c>
      <c r="BN1462" s="15" t="s">
        <v>179</v>
      </c>
      <c r="BP1462" s="15" t="s">
        <v>138</v>
      </c>
      <c r="BS1462" s="15" t="s">
        <v>1125</v>
      </c>
      <c r="DH1462" s="15" t="s">
        <v>17982</v>
      </c>
      <c r="DI1462" s="15" t="s">
        <v>17982</v>
      </c>
    </row>
    <row r="1463" spans="1:113" s="15" customFormat="1" ht="12.75" x14ac:dyDescent="0.2">
      <c r="A1463" s="15" t="s">
        <v>109</v>
      </c>
      <c r="B1463" s="15" t="s">
        <v>110</v>
      </c>
      <c r="D1463" s="15" t="s">
        <v>620</v>
      </c>
      <c r="E1463" s="15" t="s">
        <v>112</v>
      </c>
      <c r="F1463" s="15" t="s">
        <v>620</v>
      </c>
      <c r="G1463" s="15" t="s">
        <v>113</v>
      </c>
      <c r="H1463" s="15" t="s">
        <v>111</v>
      </c>
      <c r="J1463" s="16" t="s">
        <v>114</v>
      </c>
      <c r="U1463" s="15" t="s">
        <v>17977</v>
      </c>
      <c r="W1463" s="15">
        <v>1192</v>
      </c>
      <c r="X1463" s="15">
        <v>1473</v>
      </c>
      <c r="Y1463" s="15" t="s">
        <v>160</v>
      </c>
      <c r="Z1463" s="15" t="s">
        <v>161</v>
      </c>
      <c r="AA1463" s="15" t="s">
        <v>162</v>
      </c>
      <c r="AB1463" s="15" t="s">
        <v>6217</v>
      </c>
      <c r="AC1463" s="15" t="s">
        <v>6217</v>
      </c>
      <c r="AD1463" s="15" t="s">
        <v>6217</v>
      </c>
      <c r="AE1463" s="15" t="s">
        <v>164</v>
      </c>
      <c r="AF1463" s="15" t="s">
        <v>6217</v>
      </c>
      <c r="AG1463" s="15" t="s">
        <v>6217</v>
      </c>
      <c r="AH1463" s="15" t="s">
        <v>6218</v>
      </c>
      <c r="AL1463" s="15" t="s">
        <v>6219</v>
      </c>
      <c r="AN1463" s="15">
        <v>743</v>
      </c>
      <c r="AO1463" s="15" t="s">
        <v>6220</v>
      </c>
      <c r="AQ1463" s="15" t="s">
        <v>6208</v>
      </c>
      <c r="AT1463" s="15" t="s">
        <v>6221</v>
      </c>
      <c r="AU1463" s="15" t="s">
        <v>6222</v>
      </c>
      <c r="AV1463" s="15" t="s">
        <v>6222</v>
      </c>
      <c r="AW1463" s="15" t="s">
        <v>6223</v>
      </c>
      <c r="AX1463" s="15" t="s">
        <v>6223</v>
      </c>
      <c r="AY1463" s="15">
        <f t="shared" si="32"/>
        <v>51</v>
      </c>
      <c r="AZ1463" s="15" t="s">
        <v>6212</v>
      </c>
      <c r="BA1463" s="15" t="s">
        <v>2300</v>
      </c>
      <c r="BB1463" s="15" t="s">
        <v>6213</v>
      </c>
      <c r="BE1463" s="15" t="s">
        <v>6214</v>
      </c>
      <c r="BJ1463" s="15" t="s">
        <v>6224</v>
      </c>
      <c r="BN1463" s="15" t="s">
        <v>179</v>
      </c>
      <c r="BP1463" s="15" t="s">
        <v>138</v>
      </c>
      <c r="BS1463" s="15" t="s">
        <v>6225</v>
      </c>
      <c r="DH1463" s="15" t="s">
        <v>17982</v>
      </c>
      <c r="DI1463" s="15" t="s">
        <v>17982</v>
      </c>
    </row>
    <row r="1464" spans="1:113" s="15" customFormat="1" ht="12.75" x14ac:dyDescent="0.2">
      <c r="A1464" s="15" t="s">
        <v>109</v>
      </c>
      <c r="B1464" s="15" t="s">
        <v>110</v>
      </c>
      <c r="D1464" s="15" t="s">
        <v>620</v>
      </c>
      <c r="E1464" s="15" t="s">
        <v>112</v>
      </c>
      <c r="F1464" s="15" t="s">
        <v>620</v>
      </c>
      <c r="G1464" s="15" t="s">
        <v>113</v>
      </c>
      <c r="H1464" s="15" t="s">
        <v>111</v>
      </c>
      <c r="J1464" s="16" t="s">
        <v>114</v>
      </c>
      <c r="U1464" s="15" t="s">
        <v>17977</v>
      </c>
      <c r="W1464" s="15">
        <v>1191</v>
      </c>
      <c r="X1464" s="15">
        <v>1474</v>
      </c>
      <c r="Y1464" s="15" t="s">
        <v>160</v>
      </c>
      <c r="Z1464" s="15" t="s">
        <v>161</v>
      </c>
      <c r="AA1464" s="15" t="s">
        <v>162</v>
      </c>
      <c r="AB1464" s="15" t="s">
        <v>6204</v>
      </c>
      <c r="AC1464" s="15" t="s">
        <v>6204</v>
      </c>
      <c r="AD1464" s="15" t="s">
        <v>6204</v>
      </c>
      <c r="AE1464" s="15" t="s">
        <v>164</v>
      </c>
      <c r="AF1464" s="15" t="s">
        <v>6204</v>
      </c>
      <c r="AG1464" s="15" t="s">
        <v>6204</v>
      </c>
      <c r="AH1464" s="15" t="s">
        <v>6205</v>
      </c>
      <c r="AL1464" s="15" t="s">
        <v>6206</v>
      </c>
      <c r="AN1464" s="15">
        <v>743</v>
      </c>
      <c r="AO1464" s="15" t="s">
        <v>6207</v>
      </c>
      <c r="AQ1464" s="15" t="s">
        <v>6208</v>
      </c>
      <c r="AT1464" s="15" t="s">
        <v>6209</v>
      </c>
      <c r="AU1464" s="15" t="s">
        <v>6210</v>
      </c>
      <c r="AV1464" s="15" t="s">
        <v>6210</v>
      </c>
      <c r="AW1464" s="15" t="s">
        <v>6211</v>
      </c>
      <c r="AX1464" s="15" t="s">
        <v>6211</v>
      </c>
      <c r="AY1464" s="15">
        <f t="shared" si="32"/>
        <v>52</v>
      </c>
      <c r="AZ1464" s="15" t="s">
        <v>6212</v>
      </c>
      <c r="BA1464" s="15" t="s">
        <v>2300</v>
      </c>
      <c r="BB1464" s="15" t="s">
        <v>6213</v>
      </c>
      <c r="BE1464" s="15" t="s">
        <v>6214</v>
      </c>
      <c r="BJ1464" s="15" t="s">
        <v>6215</v>
      </c>
      <c r="BN1464" s="15" t="s">
        <v>179</v>
      </c>
      <c r="BP1464" s="15" t="s">
        <v>138</v>
      </c>
      <c r="BS1464" s="15" t="s">
        <v>6216</v>
      </c>
      <c r="DH1464" s="15" t="s">
        <v>17982</v>
      </c>
      <c r="DI1464" s="15" t="s">
        <v>17982</v>
      </c>
    </row>
    <row r="1465" spans="1:113" s="15" customFormat="1" ht="12.75" x14ac:dyDescent="0.2">
      <c r="A1465" s="15" t="s">
        <v>109</v>
      </c>
      <c r="B1465" s="15" t="s">
        <v>110</v>
      </c>
      <c r="D1465" s="15" t="s">
        <v>620</v>
      </c>
      <c r="E1465" s="15" t="s">
        <v>112</v>
      </c>
      <c r="F1465" s="15" t="s">
        <v>620</v>
      </c>
      <c r="G1465" s="15" t="s">
        <v>113</v>
      </c>
      <c r="H1465" s="15" t="s">
        <v>111</v>
      </c>
      <c r="J1465" s="16" t="s">
        <v>114</v>
      </c>
      <c r="U1465" s="15" t="s">
        <v>17977</v>
      </c>
      <c r="W1465" s="15">
        <v>3395</v>
      </c>
      <c r="X1465" s="15">
        <v>1475</v>
      </c>
      <c r="Y1465" s="15" t="s">
        <v>160</v>
      </c>
      <c r="Z1465" s="15" t="s">
        <v>161</v>
      </c>
      <c r="AA1465" s="15" t="s">
        <v>162</v>
      </c>
      <c r="AB1465" s="15" t="s">
        <v>16469</v>
      </c>
      <c r="AC1465" s="15" t="s">
        <v>16469</v>
      </c>
      <c r="AD1465" s="15" t="s">
        <v>16469</v>
      </c>
      <c r="AE1465" s="15" t="s">
        <v>164</v>
      </c>
      <c r="AF1465" s="15" t="s">
        <v>16469</v>
      </c>
      <c r="AG1465" s="15" t="s">
        <v>16469</v>
      </c>
      <c r="AH1465" s="15" t="s">
        <v>16470</v>
      </c>
      <c r="AL1465" s="15" t="s">
        <v>16471</v>
      </c>
      <c r="AN1465" s="15">
        <v>743</v>
      </c>
      <c r="AO1465" s="15" t="s">
        <v>16472</v>
      </c>
      <c r="AQ1465" s="15" t="s">
        <v>6208</v>
      </c>
      <c r="AT1465" s="15" t="s">
        <v>16473</v>
      </c>
      <c r="AU1465" s="15" t="s">
        <v>16474</v>
      </c>
      <c r="AV1465" s="15" t="s">
        <v>16474</v>
      </c>
      <c r="AW1465" s="15" t="s">
        <v>16475</v>
      </c>
      <c r="AX1465" s="15" t="s">
        <v>16476</v>
      </c>
      <c r="AY1465" s="15">
        <f t="shared" si="32"/>
        <v>47</v>
      </c>
      <c r="AZ1465" s="15" t="s">
        <v>6212</v>
      </c>
      <c r="BA1465" s="15" t="s">
        <v>2300</v>
      </c>
      <c r="BB1465" s="15" t="s">
        <v>16477</v>
      </c>
      <c r="BE1465" s="15" t="s">
        <v>4865</v>
      </c>
      <c r="BJ1465" s="15" t="s">
        <v>16478</v>
      </c>
      <c r="BN1465" s="15" t="s">
        <v>179</v>
      </c>
      <c r="BP1465" s="15" t="s">
        <v>138</v>
      </c>
      <c r="BS1465" s="15" t="s">
        <v>16479</v>
      </c>
      <c r="DH1465" s="15" t="s">
        <v>17982</v>
      </c>
      <c r="DI1465" s="15" t="s">
        <v>17982</v>
      </c>
    </row>
    <row r="1466" spans="1:113" s="15" customFormat="1" ht="12.75" x14ac:dyDescent="0.2">
      <c r="A1466" s="15" t="s">
        <v>109</v>
      </c>
      <c r="B1466" s="15" t="s">
        <v>110</v>
      </c>
      <c r="D1466" s="15" t="s">
        <v>620</v>
      </c>
      <c r="E1466" s="15" t="s">
        <v>141</v>
      </c>
      <c r="F1466" s="15" t="s">
        <v>620</v>
      </c>
      <c r="G1466" s="15" t="s">
        <v>113</v>
      </c>
      <c r="H1466" s="15" t="s">
        <v>111</v>
      </c>
      <c r="J1466" s="16" t="s">
        <v>114</v>
      </c>
      <c r="U1466" s="15" t="s">
        <v>17977</v>
      </c>
      <c r="W1466" s="15">
        <v>2846</v>
      </c>
      <c r="X1466" s="15">
        <v>1476</v>
      </c>
      <c r="Y1466" s="15" t="s">
        <v>160</v>
      </c>
      <c r="Z1466" s="15" t="s">
        <v>161</v>
      </c>
      <c r="AA1466" s="15" t="s">
        <v>162</v>
      </c>
      <c r="AB1466" s="15" t="s">
        <v>13877</v>
      </c>
      <c r="AC1466" s="15" t="s">
        <v>13877</v>
      </c>
      <c r="AD1466" s="15" t="s">
        <v>13877</v>
      </c>
      <c r="AE1466" s="15" t="s">
        <v>164</v>
      </c>
      <c r="AF1466" s="15" t="s">
        <v>13877</v>
      </c>
      <c r="AG1466" s="15" t="s">
        <v>13877</v>
      </c>
      <c r="AH1466" s="47" t="s">
        <v>13878</v>
      </c>
      <c r="AL1466" s="15" t="s">
        <v>13879</v>
      </c>
      <c r="AN1466" s="15">
        <v>743</v>
      </c>
      <c r="AO1466" s="15" t="s">
        <v>13880</v>
      </c>
      <c r="AQ1466" s="15" t="s">
        <v>13881</v>
      </c>
      <c r="AT1466" s="15" t="s">
        <v>13882</v>
      </c>
      <c r="AU1466" s="15" t="s">
        <v>13883</v>
      </c>
      <c r="AV1466" s="15" t="s">
        <v>13883</v>
      </c>
      <c r="AW1466" s="15" t="s">
        <v>13884</v>
      </c>
      <c r="AX1466" s="15" t="s">
        <v>13885</v>
      </c>
      <c r="AY1466" s="15">
        <f t="shared" si="32"/>
        <v>56</v>
      </c>
      <c r="AZ1466" s="15" t="s">
        <v>1295</v>
      </c>
      <c r="BA1466" s="15" t="s">
        <v>174</v>
      </c>
      <c r="BB1466" s="15" t="s">
        <v>13886</v>
      </c>
      <c r="BE1466" s="15" t="s">
        <v>1754</v>
      </c>
      <c r="BF1466" s="15" t="s">
        <v>13887</v>
      </c>
      <c r="BI1466" s="15" t="s">
        <v>2300</v>
      </c>
      <c r="BJ1466" s="15" t="s">
        <v>13888</v>
      </c>
      <c r="BN1466" s="15" t="s">
        <v>179</v>
      </c>
      <c r="BP1466" s="15" t="s">
        <v>138</v>
      </c>
      <c r="BS1466" s="15" t="s">
        <v>13889</v>
      </c>
      <c r="DH1466" s="15" t="s">
        <v>17982</v>
      </c>
      <c r="DI1466" s="15" t="s">
        <v>17982</v>
      </c>
    </row>
    <row r="1467" spans="1:113" s="15" customFormat="1" ht="12.75" x14ac:dyDescent="0.2">
      <c r="A1467" s="15" t="s">
        <v>109</v>
      </c>
      <c r="B1467" s="15" t="s">
        <v>110</v>
      </c>
      <c r="D1467" s="15" t="s">
        <v>620</v>
      </c>
      <c r="E1467" s="15" t="s">
        <v>112</v>
      </c>
      <c r="F1467" s="15" t="s">
        <v>620</v>
      </c>
      <c r="G1467" s="15" t="s">
        <v>113</v>
      </c>
      <c r="H1467" s="15" t="s">
        <v>111</v>
      </c>
      <c r="J1467" s="16" t="s">
        <v>114</v>
      </c>
      <c r="U1467" s="15" t="s">
        <v>17977</v>
      </c>
      <c r="W1467" s="15">
        <v>828</v>
      </c>
      <c r="X1467" s="15">
        <v>1477</v>
      </c>
      <c r="Y1467" s="15" t="s">
        <v>160</v>
      </c>
      <c r="Z1467" s="15" t="s">
        <v>161</v>
      </c>
      <c r="AA1467" s="15" t="s">
        <v>162</v>
      </c>
      <c r="AB1467" s="15" t="s">
        <v>3492</v>
      </c>
      <c r="AC1467" s="15" t="s">
        <v>3492</v>
      </c>
      <c r="AD1467" s="15" t="s">
        <v>3492</v>
      </c>
      <c r="AE1467" s="15" t="s">
        <v>164</v>
      </c>
      <c r="AF1467" s="15" t="s">
        <v>3492</v>
      </c>
      <c r="AG1467" s="15" t="s">
        <v>3492</v>
      </c>
      <c r="AH1467" s="15" t="s">
        <v>3493</v>
      </c>
      <c r="AL1467" s="15" t="s">
        <v>3494</v>
      </c>
      <c r="AN1467" s="15">
        <v>743</v>
      </c>
      <c r="AO1467" s="15" t="s">
        <v>3495</v>
      </c>
      <c r="AQ1467" s="15" t="s">
        <v>843</v>
      </c>
      <c r="AT1467" s="15" t="s">
        <v>3496</v>
      </c>
      <c r="AU1467" s="15" t="s">
        <v>3497</v>
      </c>
      <c r="AV1467" s="15" t="s">
        <v>3497</v>
      </c>
      <c r="AW1467" s="15" t="s">
        <v>3498</v>
      </c>
      <c r="AX1467" s="15" t="s">
        <v>3498</v>
      </c>
      <c r="AY1467" s="15">
        <f t="shared" si="32"/>
        <v>50</v>
      </c>
      <c r="AZ1467" s="15" t="s">
        <v>848</v>
      </c>
      <c r="BA1467" s="15" t="s">
        <v>174</v>
      </c>
      <c r="BB1467" s="15" t="s">
        <v>3499</v>
      </c>
      <c r="BC1467" s="15" t="s">
        <v>1199</v>
      </c>
      <c r="BF1467" s="15" t="s">
        <v>3500</v>
      </c>
      <c r="BJ1467" s="15" t="s">
        <v>3501</v>
      </c>
      <c r="BN1467" s="15" t="s">
        <v>179</v>
      </c>
      <c r="BP1467" s="15" t="s">
        <v>138</v>
      </c>
      <c r="BS1467" s="15" t="s">
        <v>3502</v>
      </c>
      <c r="DH1467" s="15" t="s">
        <v>17982</v>
      </c>
      <c r="DI1467" s="15" t="s">
        <v>17982</v>
      </c>
    </row>
    <row r="1468" spans="1:113" s="15" customFormat="1" ht="12.75" x14ac:dyDescent="0.2">
      <c r="A1468" s="15" t="s">
        <v>109</v>
      </c>
      <c r="B1468" s="15" t="s">
        <v>110</v>
      </c>
      <c r="D1468" s="15" t="s">
        <v>620</v>
      </c>
      <c r="E1468" s="15" t="s">
        <v>112</v>
      </c>
      <c r="F1468" s="15" t="s">
        <v>620</v>
      </c>
      <c r="G1468" s="15" t="s">
        <v>113</v>
      </c>
      <c r="H1468" s="15" t="s">
        <v>111</v>
      </c>
      <c r="J1468" s="16" t="s">
        <v>114</v>
      </c>
      <c r="U1468" s="15" t="s">
        <v>17977</v>
      </c>
      <c r="W1468" s="15">
        <v>285</v>
      </c>
      <c r="X1468" s="15">
        <v>1478</v>
      </c>
      <c r="Y1468" s="15" t="s">
        <v>160</v>
      </c>
      <c r="Z1468" s="15" t="s">
        <v>161</v>
      </c>
      <c r="AA1468" s="15" t="s">
        <v>162</v>
      </c>
      <c r="AB1468" s="15" t="s">
        <v>1309</v>
      </c>
      <c r="AC1468" s="15" t="s">
        <v>1309</v>
      </c>
      <c r="AD1468" s="15" t="s">
        <v>1309</v>
      </c>
      <c r="AE1468" s="15" t="s">
        <v>164</v>
      </c>
      <c r="AF1468" s="15" t="s">
        <v>1309</v>
      </c>
      <c r="AG1468" s="15" t="s">
        <v>1309</v>
      </c>
      <c r="AH1468" s="15" t="s">
        <v>1310</v>
      </c>
      <c r="AL1468" s="15" t="s">
        <v>1311</v>
      </c>
      <c r="AN1468" s="15">
        <v>743</v>
      </c>
      <c r="AO1468" s="15" t="s">
        <v>1312</v>
      </c>
      <c r="AQ1468" s="15" t="s">
        <v>843</v>
      </c>
      <c r="AT1468" s="15" t="s">
        <v>1313</v>
      </c>
      <c r="AU1468" s="15" t="s">
        <v>1314</v>
      </c>
      <c r="AV1468" s="15" t="s">
        <v>1314</v>
      </c>
      <c r="AW1468" s="15" t="s">
        <v>1315</v>
      </c>
      <c r="AX1468" s="15" t="s">
        <v>1315</v>
      </c>
      <c r="AY1468" s="15">
        <f t="shared" si="32"/>
        <v>56</v>
      </c>
      <c r="AZ1468" s="15" t="s">
        <v>848</v>
      </c>
      <c r="BA1468" s="15" t="s">
        <v>174</v>
      </c>
      <c r="BB1468" s="15" t="s">
        <v>1316</v>
      </c>
      <c r="BC1468" s="15">
        <v>3</v>
      </c>
      <c r="BE1468" s="15" t="s">
        <v>1317</v>
      </c>
      <c r="BJ1468" s="15" t="s">
        <v>1318</v>
      </c>
      <c r="BN1468" s="15" t="s">
        <v>179</v>
      </c>
      <c r="BP1468" s="15" t="s">
        <v>138</v>
      </c>
      <c r="BS1468" s="15" t="s">
        <v>1319</v>
      </c>
      <c r="DH1468" s="15" t="s">
        <v>17982</v>
      </c>
      <c r="DI1468" s="15" t="s">
        <v>17982</v>
      </c>
    </row>
    <row r="1469" spans="1:113" s="15" customFormat="1" ht="12.75" x14ac:dyDescent="0.2">
      <c r="A1469" s="15" t="s">
        <v>109</v>
      </c>
      <c r="B1469" s="15" t="s">
        <v>110</v>
      </c>
      <c r="D1469" s="15" t="s">
        <v>620</v>
      </c>
      <c r="E1469" s="15" t="s">
        <v>112</v>
      </c>
      <c r="F1469" s="15" t="s">
        <v>620</v>
      </c>
      <c r="G1469" s="15" t="s">
        <v>113</v>
      </c>
      <c r="H1469" s="15" t="s">
        <v>111</v>
      </c>
      <c r="J1469" s="16" t="s">
        <v>114</v>
      </c>
      <c r="U1469" s="15" t="s">
        <v>17977</v>
      </c>
      <c r="W1469" s="15">
        <v>286</v>
      </c>
      <c r="X1469" s="15">
        <v>1479</v>
      </c>
      <c r="Y1469" s="15" t="s">
        <v>160</v>
      </c>
      <c r="Z1469" s="15" t="s">
        <v>161</v>
      </c>
      <c r="AA1469" s="15" t="s">
        <v>162</v>
      </c>
      <c r="AB1469" s="15" t="s">
        <v>1320</v>
      </c>
      <c r="AC1469" s="15" t="s">
        <v>1320</v>
      </c>
      <c r="AD1469" s="15" t="s">
        <v>1320</v>
      </c>
      <c r="AE1469" s="15" t="s">
        <v>164</v>
      </c>
      <c r="AF1469" s="15" t="s">
        <v>1320</v>
      </c>
      <c r="AG1469" s="15" t="s">
        <v>1320</v>
      </c>
      <c r="AH1469" s="15" t="s">
        <v>1321</v>
      </c>
      <c r="AL1469" s="15" t="s">
        <v>1322</v>
      </c>
      <c r="AN1469" s="15">
        <v>743</v>
      </c>
      <c r="AO1469" s="15" t="s">
        <v>1323</v>
      </c>
      <c r="AQ1469" s="15" t="s">
        <v>843</v>
      </c>
      <c r="AT1469" s="15" t="s">
        <v>1324</v>
      </c>
      <c r="AU1469" s="15" t="s">
        <v>1325</v>
      </c>
      <c r="AV1469" s="15" t="s">
        <v>1325</v>
      </c>
      <c r="AW1469" s="15" t="s">
        <v>1326</v>
      </c>
      <c r="AX1469" s="15" t="s">
        <v>1326</v>
      </c>
      <c r="AY1469" s="15">
        <f t="shared" si="32"/>
        <v>56</v>
      </c>
      <c r="AZ1469" s="15" t="s">
        <v>848</v>
      </c>
      <c r="BA1469" s="15" t="s">
        <v>174</v>
      </c>
      <c r="BB1469" s="15" t="s">
        <v>1316</v>
      </c>
      <c r="BC1469" s="15">
        <v>4</v>
      </c>
      <c r="BE1469" s="15" t="s">
        <v>1317</v>
      </c>
      <c r="BJ1469" s="15" t="s">
        <v>1318</v>
      </c>
      <c r="BN1469" s="15" t="s">
        <v>179</v>
      </c>
      <c r="BP1469" s="15" t="s">
        <v>138</v>
      </c>
      <c r="BS1469" s="15" t="s">
        <v>1327</v>
      </c>
      <c r="DH1469" s="15" t="s">
        <v>17982</v>
      </c>
      <c r="DI1469" s="15" t="s">
        <v>17982</v>
      </c>
    </row>
    <row r="1470" spans="1:113" s="15" customFormat="1" ht="12.75" x14ac:dyDescent="0.2">
      <c r="A1470" s="15" t="s">
        <v>109</v>
      </c>
      <c r="B1470" s="15" t="s">
        <v>110</v>
      </c>
      <c r="D1470" s="15" t="s">
        <v>620</v>
      </c>
      <c r="E1470" s="15" t="s">
        <v>112</v>
      </c>
      <c r="F1470" s="15" t="s">
        <v>620</v>
      </c>
      <c r="G1470" s="15" t="s">
        <v>113</v>
      </c>
      <c r="H1470" s="15" t="s">
        <v>111</v>
      </c>
      <c r="J1470" s="16" t="s">
        <v>114</v>
      </c>
      <c r="U1470" s="15" t="s">
        <v>17977</v>
      </c>
      <c r="W1470" s="15">
        <v>3587</v>
      </c>
      <c r="X1470" s="15">
        <v>1480</v>
      </c>
      <c r="Y1470" s="15" t="s">
        <v>160</v>
      </c>
      <c r="Z1470" s="15" t="s">
        <v>161</v>
      </c>
      <c r="AA1470" s="15" t="s">
        <v>162</v>
      </c>
      <c r="AB1470" s="15" t="s">
        <v>17353</v>
      </c>
      <c r="AC1470" s="15" t="s">
        <v>17353</v>
      </c>
      <c r="AD1470" s="15" t="s">
        <v>17353</v>
      </c>
      <c r="AE1470" s="15" t="s">
        <v>164</v>
      </c>
      <c r="AF1470" s="15" t="s">
        <v>17353</v>
      </c>
      <c r="AG1470" s="15" t="s">
        <v>17353</v>
      </c>
      <c r="AH1470" s="15" t="s">
        <v>17354</v>
      </c>
      <c r="AL1470" s="15" t="s">
        <v>17355</v>
      </c>
      <c r="AN1470" s="15">
        <v>743</v>
      </c>
      <c r="AO1470" s="15" t="s">
        <v>17356</v>
      </c>
      <c r="AQ1470" s="15" t="s">
        <v>1446</v>
      </c>
      <c r="AT1470" s="15" t="s">
        <v>17357</v>
      </c>
      <c r="AU1470" s="15" t="s">
        <v>17358</v>
      </c>
      <c r="AV1470" s="15" t="s">
        <v>17358</v>
      </c>
      <c r="AW1470" s="15" t="s">
        <v>17359</v>
      </c>
      <c r="AX1470" s="15" t="s">
        <v>17359</v>
      </c>
      <c r="AY1470" s="15">
        <f t="shared" si="32"/>
        <v>39</v>
      </c>
      <c r="AZ1470" s="15" t="s">
        <v>1450</v>
      </c>
      <c r="BA1470" s="15" t="s">
        <v>1451</v>
      </c>
      <c r="BB1470" s="15" t="s">
        <v>17360</v>
      </c>
      <c r="BC1470" s="15" t="s">
        <v>4343</v>
      </c>
      <c r="BF1470" s="15" t="s">
        <v>17361</v>
      </c>
      <c r="BN1470" s="15" t="s">
        <v>179</v>
      </c>
      <c r="BP1470" s="15" t="s">
        <v>138</v>
      </c>
      <c r="BS1470" s="15" t="s">
        <v>17362</v>
      </c>
      <c r="DH1470" s="15" t="s">
        <v>17982</v>
      </c>
      <c r="DI1470" s="15" t="s">
        <v>17982</v>
      </c>
    </row>
    <row r="1471" spans="1:113" s="15" customFormat="1" ht="12.75" x14ac:dyDescent="0.2">
      <c r="A1471" s="15" t="s">
        <v>109</v>
      </c>
      <c r="B1471" s="15" t="s">
        <v>110</v>
      </c>
      <c r="D1471" s="15" t="s">
        <v>620</v>
      </c>
      <c r="E1471" s="15" t="s">
        <v>112</v>
      </c>
      <c r="F1471" s="15" t="s">
        <v>620</v>
      </c>
      <c r="G1471" s="15" t="s">
        <v>113</v>
      </c>
      <c r="H1471" s="15" t="s">
        <v>111</v>
      </c>
      <c r="J1471" s="16" t="s">
        <v>114</v>
      </c>
      <c r="U1471" s="15" t="s">
        <v>17977</v>
      </c>
      <c r="W1471" s="15">
        <v>355</v>
      </c>
      <c r="X1471" s="15">
        <v>1481</v>
      </c>
      <c r="Y1471" s="15" t="s">
        <v>160</v>
      </c>
      <c r="Z1471" s="15" t="s">
        <v>161</v>
      </c>
      <c r="AA1471" s="15" t="s">
        <v>162</v>
      </c>
      <c r="AB1471" s="15" t="s">
        <v>1442</v>
      </c>
      <c r="AC1471" s="15" t="s">
        <v>1442</v>
      </c>
      <c r="AD1471" s="15" t="s">
        <v>1442</v>
      </c>
      <c r="AE1471" s="15" t="s">
        <v>164</v>
      </c>
      <c r="AF1471" s="15" t="s">
        <v>1442</v>
      </c>
      <c r="AG1471" s="15" t="s">
        <v>1442</v>
      </c>
      <c r="AH1471" s="15" t="s">
        <v>1443</v>
      </c>
      <c r="AL1471" s="15" t="s">
        <v>1444</v>
      </c>
      <c r="AN1471" s="15">
        <v>743</v>
      </c>
      <c r="AO1471" s="15" t="s">
        <v>1445</v>
      </c>
      <c r="AQ1471" s="15" t="s">
        <v>1446</v>
      </c>
      <c r="AT1471" s="15" t="s">
        <v>1447</v>
      </c>
      <c r="AU1471" s="15" t="s">
        <v>1448</v>
      </c>
      <c r="AV1471" s="15" t="s">
        <v>1448</v>
      </c>
      <c r="AW1471" s="15" t="s">
        <v>1449</v>
      </c>
      <c r="AX1471" s="15" t="s">
        <v>1449</v>
      </c>
      <c r="AY1471" s="15">
        <f t="shared" si="32"/>
        <v>51</v>
      </c>
      <c r="AZ1471" s="15" t="s">
        <v>1450</v>
      </c>
      <c r="BA1471" s="15" t="s">
        <v>1451</v>
      </c>
      <c r="BB1471" s="15" t="s">
        <v>1452</v>
      </c>
      <c r="BF1471" s="15" t="s">
        <v>1453</v>
      </c>
      <c r="BJ1471" s="15" t="s">
        <v>1454</v>
      </c>
      <c r="BK1471" s="15" t="s">
        <v>487</v>
      </c>
      <c r="BN1471" s="15" t="s">
        <v>179</v>
      </c>
      <c r="BP1471" s="15" t="s">
        <v>138</v>
      </c>
      <c r="BS1471" s="15" t="s">
        <v>1455</v>
      </c>
      <c r="DH1471" s="15" t="s">
        <v>17982</v>
      </c>
      <c r="DI1471" s="15" t="s">
        <v>17982</v>
      </c>
    </row>
    <row r="1472" spans="1:113" s="15" customFormat="1" ht="12.75" x14ac:dyDescent="0.2">
      <c r="A1472" s="15" t="s">
        <v>109</v>
      </c>
      <c r="B1472" s="15" t="s">
        <v>110</v>
      </c>
      <c r="D1472" s="15" t="s">
        <v>620</v>
      </c>
      <c r="E1472" s="15" t="s">
        <v>112</v>
      </c>
      <c r="F1472" s="15" t="s">
        <v>620</v>
      </c>
      <c r="G1472" s="15" t="s">
        <v>113</v>
      </c>
      <c r="H1472" s="15" t="s">
        <v>111</v>
      </c>
      <c r="J1472" s="16" t="s">
        <v>114</v>
      </c>
      <c r="U1472" s="15" t="s">
        <v>17977</v>
      </c>
      <c r="W1472" s="15">
        <v>871</v>
      </c>
      <c r="X1472" s="15">
        <v>1482</v>
      </c>
      <c r="Y1472" s="15" t="s">
        <v>160</v>
      </c>
      <c r="Z1472" s="15" t="s">
        <v>161</v>
      </c>
      <c r="AA1472" s="15" t="s">
        <v>162</v>
      </c>
      <c r="AB1472" s="15" t="s">
        <v>3866</v>
      </c>
      <c r="AC1472" s="15" t="s">
        <v>3866</v>
      </c>
      <c r="AD1472" s="15" t="s">
        <v>3866</v>
      </c>
      <c r="AE1472" s="15" t="s">
        <v>164</v>
      </c>
      <c r="AF1472" s="15" t="s">
        <v>3866</v>
      </c>
      <c r="AG1472" s="15" t="s">
        <v>3866</v>
      </c>
      <c r="AH1472" s="15" t="s">
        <v>3867</v>
      </c>
      <c r="AL1472" s="15" t="s">
        <v>3868</v>
      </c>
      <c r="AN1472" s="15">
        <v>743</v>
      </c>
      <c r="AO1472" s="15" t="s">
        <v>3869</v>
      </c>
      <c r="AQ1472" s="15" t="s">
        <v>912</v>
      </c>
      <c r="AT1472" s="15" t="s">
        <v>3870</v>
      </c>
      <c r="AU1472" s="15" t="s">
        <v>3871</v>
      </c>
      <c r="AV1472" s="15" t="s">
        <v>3871</v>
      </c>
      <c r="AW1472" s="15" t="s">
        <v>3872</v>
      </c>
      <c r="AX1472" s="15" t="s">
        <v>3873</v>
      </c>
      <c r="AY1472" s="15">
        <f t="shared" si="32"/>
        <v>54</v>
      </c>
      <c r="AZ1472" s="15" t="s">
        <v>917</v>
      </c>
      <c r="BA1472" s="15" t="s">
        <v>174</v>
      </c>
      <c r="BB1472" s="15" t="s">
        <v>3874</v>
      </c>
      <c r="BE1472" s="15" t="s">
        <v>606</v>
      </c>
      <c r="BF1472" s="15" t="s">
        <v>3875</v>
      </c>
      <c r="BJ1472" s="15" t="s">
        <v>3876</v>
      </c>
      <c r="BN1472" s="15" t="s">
        <v>179</v>
      </c>
      <c r="BP1472" s="15" t="s">
        <v>138</v>
      </c>
      <c r="BS1472" s="15" t="s">
        <v>3877</v>
      </c>
      <c r="DH1472" s="15" t="s">
        <v>17982</v>
      </c>
      <c r="DI1472" s="15" t="s">
        <v>17982</v>
      </c>
    </row>
    <row r="1473" spans="1:113" s="15" customFormat="1" ht="12.75" x14ac:dyDescent="0.2">
      <c r="A1473" s="15" t="s">
        <v>109</v>
      </c>
      <c r="B1473" s="15" t="s">
        <v>110</v>
      </c>
      <c r="D1473" s="15" t="s">
        <v>620</v>
      </c>
      <c r="E1473" s="15" t="s">
        <v>112</v>
      </c>
      <c r="F1473" s="15" t="s">
        <v>620</v>
      </c>
      <c r="G1473" s="15" t="s">
        <v>113</v>
      </c>
      <c r="H1473" s="15" t="s">
        <v>111</v>
      </c>
      <c r="J1473" s="16" t="s">
        <v>114</v>
      </c>
      <c r="U1473" s="15" t="s">
        <v>17977</v>
      </c>
      <c r="W1473" s="15">
        <v>476</v>
      </c>
      <c r="X1473" s="15">
        <v>1483</v>
      </c>
      <c r="Y1473" s="15" t="s">
        <v>160</v>
      </c>
      <c r="Z1473" s="15" t="s">
        <v>161</v>
      </c>
      <c r="AA1473" s="15" t="s">
        <v>162</v>
      </c>
      <c r="AB1473" s="15" t="s">
        <v>1936</v>
      </c>
      <c r="AC1473" s="15" t="s">
        <v>1936</v>
      </c>
      <c r="AD1473" s="15" t="s">
        <v>1936</v>
      </c>
      <c r="AE1473" s="15" t="s">
        <v>164</v>
      </c>
      <c r="AF1473" s="15" t="s">
        <v>1936</v>
      </c>
      <c r="AG1473" s="15" t="s">
        <v>1936</v>
      </c>
      <c r="AH1473" s="15" t="s">
        <v>1937</v>
      </c>
      <c r="AL1473" s="15" t="s">
        <v>1938</v>
      </c>
      <c r="AN1473" s="15">
        <v>743</v>
      </c>
      <c r="AO1473" s="15" t="s">
        <v>1939</v>
      </c>
      <c r="AQ1473" s="15" t="s">
        <v>168</v>
      </c>
      <c r="AT1473" s="15" t="s">
        <v>1940</v>
      </c>
      <c r="AU1473" s="15" t="s">
        <v>1941</v>
      </c>
      <c r="AV1473" s="15" t="s">
        <v>1941</v>
      </c>
      <c r="AW1473" s="15" t="s">
        <v>1942</v>
      </c>
      <c r="AX1473" s="15" t="s">
        <v>1943</v>
      </c>
      <c r="AY1473" s="15">
        <f t="shared" si="32"/>
        <v>57</v>
      </c>
      <c r="AZ1473" s="15" t="s">
        <v>173</v>
      </c>
      <c r="BA1473" s="15" t="s">
        <v>174</v>
      </c>
      <c r="BB1473" s="15" t="s">
        <v>1944</v>
      </c>
      <c r="BE1473" s="15" t="s">
        <v>251</v>
      </c>
      <c r="BI1473" s="15" t="s">
        <v>189</v>
      </c>
      <c r="BJ1473" s="15" t="s">
        <v>1945</v>
      </c>
      <c r="BK1473" s="15" t="s">
        <v>487</v>
      </c>
      <c r="BN1473" s="15" t="s">
        <v>179</v>
      </c>
      <c r="BP1473" s="15" t="s">
        <v>138</v>
      </c>
      <c r="BS1473" s="15" t="s">
        <v>1946</v>
      </c>
      <c r="DH1473" s="15" t="s">
        <v>17982</v>
      </c>
      <c r="DI1473" s="15" t="s">
        <v>17982</v>
      </c>
    </row>
    <row r="1474" spans="1:113" s="15" customFormat="1" ht="12.75" x14ac:dyDescent="0.2">
      <c r="A1474" s="15" t="s">
        <v>109</v>
      </c>
      <c r="B1474" s="15" t="s">
        <v>110</v>
      </c>
      <c r="D1474" s="15" t="s">
        <v>620</v>
      </c>
      <c r="E1474" s="15" t="s">
        <v>112</v>
      </c>
      <c r="F1474" s="15" t="s">
        <v>620</v>
      </c>
      <c r="G1474" s="15" t="s">
        <v>113</v>
      </c>
      <c r="H1474" s="15" t="s">
        <v>111</v>
      </c>
      <c r="J1474" s="16" t="s">
        <v>114</v>
      </c>
      <c r="U1474" s="15" t="s">
        <v>17977</v>
      </c>
      <c r="W1474" s="15">
        <v>1122</v>
      </c>
      <c r="X1474" s="15">
        <v>1484</v>
      </c>
      <c r="Y1474" s="15" t="s">
        <v>160</v>
      </c>
      <c r="Z1474" s="15" t="s">
        <v>161</v>
      </c>
      <c r="AA1474" s="15" t="s">
        <v>162</v>
      </c>
      <c r="AB1474" s="15" t="s">
        <v>5905</v>
      </c>
      <c r="AC1474" s="15" t="s">
        <v>5905</v>
      </c>
      <c r="AD1474" s="15" t="s">
        <v>5905</v>
      </c>
      <c r="AE1474" s="15" t="s">
        <v>164</v>
      </c>
      <c r="AF1474" s="15" t="s">
        <v>5905</v>
      </c>
      <c r="AG1474" s="15" t="s">
        <v>5905</v>
      </c>
      <c r="AH1474" s="15" t="s">
        <v>5906</v>
      </c>
      <c r="AL1474" s="15" t="s">
        <v>5907</v>
      </c>
      <c r="AN1474" s="15">
        <v>743</v>
      </c>
      <c r="AO1474" s="15" t="s">
        <v>5908</v>
      </c>
      <c r="AQ1474" s="15" t="s">
        <v>168</v>
      </c>
      <c r="AT1474" s="15" t="s">
        <v>5909</v>
      </c>
      <c r="AU1474" s="15" t="s">
        <v>5910</v>
      </c>
      <c r="AV1474" s="15" t="s">
        <v>5910</v>
      </c>
      <c r="AW1474" s="15" t="s">
        <v>5911</v>
      </c>
      <c r="AX1474" s="15" t="s">
        <v>5911</v>
      </c>
      <c r="AY1474" s="15">
        <f t="shared" si="32"/>
        <v>60</v>
      </c>
      <c r="AZ1474" s="15" t="s">
        <v>173</v>
      </c>
      <c r="BA1474" s="15" t="s">
        <v>174</v>
      </c>
      <c r="BB1474" s="15" t="s">
        <v>5912</v>
      </c>
      <c r="BE1474" s="15" t="s">
        <v>264</v>
      </c>
      <c r="BI1474" s="15" t="s">
        <v>189</v>
      </c>
      <c r="BJ1474" s="15" t="s">
        <v>5913</v>
      </c>
      <c r="BN1474" s="15" t="s">
        <v>179</v>
      </c>
      <c r="BP1474" s="15" t="s">
        <v>138</v>
      </c>
      <c r="BS1474" s="15" t="s">
        <v>5914</v>
      </c>
      <c r="DH1474" s="15" t="s">
        <v>17982</v>
      </c>
      <c r="DI1474" s="15" t="s">
        <v>17982</v>
      </c>
    </row>
    <row r="1475" spans="1:113" s="15" customFormat="1" ht="12.75" x14ac:dyDescent="0.2">
      <c r="A1475" s="15" t="s">
        <v>109</v>
      </c>
      <c r="B1475" s="15" t="s">
        <v>110</v>
      </c>
      <c r="D1475" s="15" t="s">
        <v>620</v>
      </c>
      <c r="E1475" s="15" t="s">
        <v>112</v>
      </c>
      <c r="F1475" s="15" t="s">
        <v>620</v>
      </c>
      <c r="G1475" s="15" t="s">
        <v>113</v>
      </c>
      <c r="H1475" s="15" t="s">
        <v>111</v>
      </c>
      <c r="J1475" s="16" t="s">
        <v>114</v>
      </c>
      <c r="U1475" s="15" t="s">
        <v>17977</v>
      </c>
      <c r="W1475" s="15">
        <v>2105</v>
      </c>
      <c r="X1475" s="15">
        <v>1485</v>
      </c>
      <c r="Y1475" s="15" t="s">
        <v>160</v>
      </c>
      <c r="Z1475" s="15" t="s">
        <v>161</v>
      </c>
      <c r="AA1475" s="15" t="s">
        <v>162</v>
      </c>
      <c r="AB1475" s="15" t="s">
        <v>10819</v>
      </c>
      <c r="AC1475" s="15" t="s">
        <v>10819</v>
      </c>
      <c r="AD1475" s="15" t="s">
        <v>10819</v>
      </c>
      <c r="AE1475" s="15" t="s">
        <v>164</v>
      </c>
      <c r="AF1475" s="15" t="s">
        <v>10819</v>
      </c>
      <c r="AG1475" s="15" t="s">
        <v>10819</v>
      </c>
      <c r="AH1475" s="15" t="s">
        <v>10820</v>
      </c>
      <c r="AL1475" s="15" t="s">
        <v>10821</v>
      </c>
      <c r="AN1475" s="15">
        <v>743</v>
      </c>
      <c r="AO1475" s="15" t="s">
        <v>10822</v>
      </c>
      <c r="AQ1475" s="15" t="s">
        <v>388</v>
      </c>
      <c r="AT1475" s="15" t="s">
        <v>10823</v>
      </c>
      <c r="AU1475" s="15" t="s">
        <v>10824</v>
      </c>
      <c r="AV1475" s="15" t="s">
        <v>10824</v>
      </c>
      <c r="AW1475" s="15" t="s">
        <v>10825</v>
      </c>
      <c r="AX1475" s="15" t="s">
        <v>10826</v>
      </c>
      <c r="AY1475" s="15">
        <f t="shared" si="32"/>
        <v>57</v>
      </c>
      <c r="AZ1475" s="15" t="s">
        <v>393</v>
      </c>
      <c r="BA1475" s="15" t="s">
        <v>174</v>
      </c>
      <c r="BB1475" s="15" t="s">
        <v>10827</v>
      </c>
      <c r="BE1475" s="15" t="s">
        <v>2054</v>
      </c>
      <c r="BJ1475" s="15" t="s">
        <v>10828</v>
      </c>
      <c r="BN1475" s="15" t="s">
        <v>179</v>
      </c>
      <c r="BP1475" s="15" t="s">
        <v>138</v>
      </c>
      <c r="BS1475" s="15" t="s">
        <v>10829</v>
      </c>
      <c r="DH1475" s="15" t="s">
        <v>17982</v>
      </c>
      <c r="DI1475" s="15" t="s">
        <v>17982</v>
      </c>
    </row>
    <row r="1476" spans="1:113" s="15" customFormat="1" ht="12.75" x14ac:dyDescent="0.2">
      <c r="A1476" s="15" t="s">
        <v>109</v>
      </c>
      <c r="B1476" s="15" t="s">
        <v>110</v>
      </c>
      <c r="D1476" s="15" t="s">
        <v>620</v>
      </c>
      <c r="E1476" s="15" t="s">
        <v>112</v>
      </c>
      <c r="F1476" s="15" t="s">
        <v>620</v>
      </c>
      <c r="G1476" s="15" t="s">
        <v>113</v>
      </c>
      <c r="H1476" s="15" t="s">
        <v>111</v>
      </c>
      <c r="J1476" s="16" t="s">
        <v>114</v>
      </c>
      <c r="U1476" s="15" t="s">
        <v>17977</v>
      </c>
      <c r="W1476" s="15">
        <v>2431</v>
      </c>
      <c r="X1476" s="15">
        <v>1486</v>
      </c>
      <c r="Y1476" s="15" t="s">
        <v>160</v>
      </c>
      <c r="Z1476" s="15" t="s">
        <v>161</v>
      </c>
      <c r="AA1476" s="15" t="s">
        <v>162</v>
      </c>
      <c r="AB1476" s="15" t="s">
        <v>12099</v>
      </c>
      <c r="AC1476" s="15" t="s">
        <v>12099</v>
      </c>
      <c r="AD1476" s="15" t="s">
        <v>12099</v>
      </c>
      <c r="AE1476" s="15" t="s">
        <v>164</v>
      </c>
      <c r="AF1476" s="15" t="s">
        <v>12099</v>
      </c>
      <c r="AG1476" s="15" t="s">
        <v>12099</v>
      </c>
      <c r="AH1476" s="47" t="s">
        <v>12100</v>
      </c>
      <c r="AL1476" s="15" t="s">
        <v>12101</v>
      </c>
      <c r="AN1476" s="15">
        <v>743</v>
      </c>
      <c r="AO1476" s="15" t="s">
        <v>12102</v>
      </c>
      <c r="AQ1476" s="15" t="s">
        <v>912</v>
      </c>
      <c r="AT1476" s="15" t="s">
        <v>12103</v>
      </c>
      <c r="AU1476" s="15" t="s">
        <v>12104</v>
      </c>
      <c r="AV1476" s="15" t="s">
        <v>12104</v>
      </c>
      <c r="AW1476" s="15" t="s">
        <v>12105</v>
      </c>
      <c r="AX1476" s="15" t="s">
        <v>12106</v>
      </c>
      <c r="AY1476" s="15">
        <f t="shared" si="32"/>
        <v>58</v>
      </c>
      <c r="AZ1476" s="15" t="s">
        <v>917</v>
      </c>
      <c r="BA1476" s="15" t="s">
        <v>174</v>
      </c>
      <c r="BB1476" s="15" t="s">
        <v>11953</v>
      </c>
      <c r="BE1476" s="15" t="s">
        <v>3686</v>
      </c>
      <c r="BF1476" s="15" t="s">
        <v>12025</v>
      </c>
      <c r="BI1476" s="15" t="s">
        <v>189</v>
      </c>
      <c r="BJ1476" s="15" t="s">
        <v>12046</v>
      </c>
      <c r="BN1476" s="15" t="s">
        <v>179</v>
      </c>
      <c r="BP1476" s="15" t="s">
        <v>138</v>
      </c>
      <c r="BS1476" s="15" t="s">
        <v>12107</v>
      </c>
      <c r="DH1476" s="15" t="s">
        <v>17982</v>
      </c>
      <c r="DI1476" s="15" t="s">
        <v>17982</v>
      </c>
    </row>
    <row r="1477" spans="1:113" s="15" customFormat="1" ht="12.75" x14ac:dyDescent="0.2">
      <c r="A1477" s="15" t="s">
        <v>109</v>
      </c>
      <c r="B1477" s="15" t="s">
        <v>110</v>
      </c>
      <c r="D1477" s="15" t="s">
        <v>620</v>
      </c>
      <c r="E1477" s="15" t="s">
        <v>112</v>
      </c>
      <c r="F1477" s="15" t="s">
        <v>620</v>
      </c>
      <c r="G1477" s="15" t="s">
        <v>113</v>
      </c>
      <c r="H1477" s="15" t="s">
        <v>111</v>
      </c>
      <c r="J1477" s="16" t="s">
        <v>114</v>
      </c>
      <c r="U1477" s="15" t="s">
        <v>17977</v>
      </c>
      <c r="W1477" s="15">
        <v>2425</v>
      </c>
      <c r="X1477" s="15">
        <v>1487</v>
      </c>
      <c r="Y1477" s="15" t="s">
        <v>160</v>
      </c>
      <c r="Z1477" s="15" t="s">
        <v>161</v>
      </c>
      <c r="AA1477" s="15" t="s">
        <v>162</v>
      </c>
      <c r="AB1477" s="15" t="s">
        <v>12037</v>
      </c>
      <c r="AC1477" s="15" t="s">
        <v>12037</v>
      </c>
      <c r="AD1477" s="15" t="s">
        <v>12037</v>
      </c>
      <c r="AE1477" s="15" t="s">
        <v>164</v>
      </c>
      <c r="AF1477" s="15" t="s">
        <v>12037</v>
      </c>
      <c r="AG1477" s="15" t="s">
        <v>12037</v>
      </c>
      <c r="AH1477" s="47" t="s">
        <v>12038</v>
      </c>
      <c r="AL1477" s="15" t="s">
        <v>12039</v>
      </c>
      <c r="AN1477" s="15">
        <v>743</v>
      </c>
      <c r="AO1477" s="15" t="s">
        <v>12040</v>
      </c>
      <c r="AQ1477" s="15" t="s">
        <v>912</v>
      </c>
      <c r="AT1477" s="15" t="s">
        <v>12041</v>
      </c>
      <c r="AU1477" s="15" t="s">
        <v>12042</v>
      </c>
      <c r="AV1477" s="15" t="s">
        <v>12042</v>
      </c>
      <c r="AW1477" s="15" t="s">
        <v>12043</v>
      </c>
      <c r="AX1477" s="15" t="s">
        <v>12044</v>
      </c>
      <c r="AY1477" s="15">
        <f t="shared" si="32"/>
        <v>53</v>
      </c>
      <c r="AZ1477" s="15" t="s">
        <v>917</v>
      </c>
      <c r="BA1477" s="15" t="s">
        <v>174</v>
      </c>
      <c r="BB1477" s="15" t="s">
        <v>11953</v>
      </c>
      <c r="BE1477" s="15" t="s">
        <v>3686</v>
      </c>
      <c r="BF1477" s="15" t="s">
        <v>12045</v>
      </c>
      <c r="BI1477" s="15" t="s">
        <v>189</v>
      </c>
      <c r="BJ1477" s="15" t="s">
        <v>12046</v>
      </c>
      <c r="BN1477" s="15" t="s">
        <v>179</v>
      </c>
      <c r="BP1477" s="15" t="s">
        <v>138</v>
      </c>
      <c r="BS1477" s="15" t="s">
        <v>12047</v>
      </c>
      <c r="DH1477" s="15" t="s">
        <v>17982</v>
      </c>
      <c r="DI1477" s="15" t="s">
        <v>17982</v>
      </c>
    </row>
    <row r="1478" spans="1:113" s="15" customFormat="1" ht="12.75" x14ac:dyDescent="0.2">
      <c r="A1478" s="15" t="s">
        <v>109</v>
      </c>
      <c r="B1478" s="15" t="s">
        <v>110</v>
      </c>
      <c r="D1478" s="15" t="s">
        <v>620</v>
      </c>
      <c r="E1478" s="15" t="s">
        <v>112</v>
      </c>
      <c r="F1478" s="15" t="s">
        <v>620</v>
      </c>
      <c r="G1478" s="15" t="s">
        <v>113</v>
      </c>
      <c r="H1478" s="15" t="s">
        <v>111</v>
      </c>
      <c r="J1478" s="16" t="s">
        <v>114</v>
      </c>
      <c r="U1478" s="15" t="s">
        <v>17977</v>
      </c>
      <c r="W1478" s="15">
        <v>2426</v>
      </c>
      <c r="X1478" s="15">
        <v>1488</v>
      </c>
      <c r="Y1478" s="15" t="s">
        <v>160</v>
      </c>
      <c r="Z1478" s="15" t="s">
        <v>161</v>
      </c>
      <c r="AA1478" s="15" t="s">
        <v>162</v>
      </c>
      <c r="AB1478" s="15" t="s">
        <v>12048</v>
      </c>
      <c r="AC1478" s="15" t="s">
        <v>12048</v>
      </c>
      <c r="AD1478" s="15" t="s">
        <v>12048</v>
      </c>
      <c r="AE1478" s="15" t="s">
        <v>164</v>
      </c>
      <c r="AF1478" s="15" t="s">
        <v>12048</v>
      </c>
      <c r="AG1478" s="15" t="s">
        <v>12048</v>
      </c>
      <c r="AH1478" s="47" t="s">
        <v>12049</v>
      </c>
      <c r="AL1478" s="15" t="s">
        <v>12050</v>
      </c>
      <c r="AN1478" s="15">
        <v>743</v>
      </c>
      <c r="AO1478" s="15" t="s">
        <v>12051</v>
      </c>
      <c r="AQ1478" s="15" t="s">
        <v>912</v>
      </c>
      <c r="AT1478" s="15" t="s">
        <v>12052</v>
      </c>
      <c r="AU1478" s="15" t="s">
        <v>12053</v>
      </c>
      <c r="AV1478" s="15" t="s">
        <v>12053</v>
      </c>
      <c r="AW1478" s="15" t="s">
        <v>12054</v>
      </c>
      <c r="AX1478" s="15" t="s">
        <v>12055</v>
      </c>
      <c r="AY1478" s="15">
        <f t="shared" si="32"/>
        <v>53</v>
      </c>
      <c r="AZ1478" s="15" t="s">
        <v>917</v>
      </c>
      <c r="BA1478" s="15" t="s">
        <v>174</v>
      </c>
      <c r="BB1478" s="15" t="s">
        <v>11953</v>
      </c>
      <c r="BE1478" s="15" t="s">
        <v>3686</v>
      </c>
      <c r="BF1478" s="15" t="s">
        <v>12056</v>
      </c>
      <c r="BI1478" s="15" t="s">
        <v>189</v>
      </c>
      <c r="BJ1478" s="15" t="s">
        <v>12046</v>
      </c>
      <c r="BN1478" s="15" t="s">
        <v>179</v>
      </c>
      <c r="BP1478" s="15" t="s">
        <v>138</v>
      </c>
      <c r="BS1478" s="15" t="s">
        <v>12057</v>
      </c>
      <c r="DH1478" s="15" t="s">
        <v>17982</v>
      </c>
      <c r="DI1478" s="15" t="s">
        <v>17982</v>
      </c>
    </row>
    <row r="1479" spans="1:113" s="15" customFormat="1" ht="12.75" x14ac:dyDescent="0.2">
      <c r="A1479" s="15" t="s">
        <v>109</v>
      </c>
      <c r="B1479" s="15" t="s">
        <v>110</v>
      </c>
      <c r="D1479" s="15" t="s">
        <v>620</v>
      </c>
      <c r="E1479" s="15" t="s">
        <v>112</v>
      </c>
      <c r="F1479" s="15" t="s">
        <v>620</v>
      </c>
      <c r="G1479" s="15" t="s">
        <v>113</v>
      </c>
      <c r="H1479" s="15" t="s">
        <v>111</v>
      </c>
      <c r="J1479" s="16" t="s">
        <v>114</v>
      </c>
      <c r="U1479" s="15" t="s">
        <v>17977</v>
      </c>
      <c r="W1479" s="15">
        <v>2429</v>
      </c>
      <c r="X1479" s="15">
        <v>1489</v>
      </c>
      <c r="Y1479" s="15" t="s">
        <v>160</v>
      </c>
      <c r="Z1479" s="15" t="s">
        <v>161</v>
      </c>
      <c r="AA1479" s="15" t="s">
        <v>162</v>
      </c>
      <c r="AB1479" s="15" t="s">
        <v>12079</v>
      </c>
      <c r="AC1479" s="15" t="s">
        <v>12079</v>
      </c>
      <c r="AD1479" s="15" t="s">
        <v>12079</v>
      </c>
      <c r="AE1479" s="15" t="s">
        <v>164</v>
      </c>
      <c r="AF1479" s="15" t="s">
        <v>12079</v>
      </c>
      <c r="AG1479" s="15" t="s">
        <v>12079</v>
      </c>
      <c r="AH1479" s="47" t="s">
        <v>12080</v>
      </c>
      <c r="AL1479" s="15" t="s">
        <v>12081</v>
      </c>
      <c r="AN1479" s="15">
        <v>743</v>
      </c>
      <c r="AO1479" s="15" t="s">
        <v>12082</v>
      </c>
      <c r="AQ1479" s="15" t="s">
        <v>912</v>
      </c>
      <c r="AT1479" s="15" t="s">
        <v>12083</v>
      </c>
      <c r="AU1479" s="15" t="s">
        <v>12084</v>
      </c>
      <c r="AV1479" s="15" t="s">
        <v>12084</v>
      </c>
      <c r="AW1479" s="15" t="s">
        <v>12085</v>
      </c>
      <c r="AX1479" s="15" t="s">
        <v>12086</v>
      </c>
      <c r="AY1479" s="15">
        <f t="shared" si="32"/>
        <v>53</v>
      </c>
      <c r="AZ1479" s="15" t="s">
        <v>917</v>
      </c>
      <c r="BA1479" s="15" t="s">
        <v>174</v>
      </c>
      <c r="BB1479" s="15" t="s">
        <v>11953</v>
      </c>
      <c r="BE1479" s="15" t="s">
        <v>3686</v>
      </c>
      <c r="BF1479" s="15" t="s">
        <v>12087</v>
      </c>
      <c r="BI1479" s="15" t="s">
        <v>189</v>
      </c>
      <c r="BJ1479" s="15" t="s">
        <v>12046</v>
      </c>
      <c r="BN1479" s="15" t="s">
        <v>179</v>
      </c>
      <c r="BP1479" s="15" t="s">
        <v>138</v>
      </c>
      <c r="BS1479" s="15" t="s">
        <v>12088</v>
      </c>
      <c r="DH1479" s="15" t="s">
        <v>17982</v>
      </c>
      <c r="DI1479" s="15" t="s">
        <v>17982</v>
      </c>
    </row>
    <row r="1480" spans="1:113" s="15" customFormat="1" ht="12.75" x14ac:dyDescent="0.2">
      <c r="A1480" s="15" t="s">
        <v>109</v>
      </c>
      <c r="B1480" s="15" t="s">
        <v>110</v>
      </c>
      <c r="D1480" s="15" t="s">
        <v>620</v>
      </c>
      <c r="E1480" s="15" t="s">
        <v>112</v>
      </c>
      <c r="F1480" s="15" t="s">
        <v>620</v>
      </c>
      <c r="G1480" s="15" t="s">
        <v>113</v>
      </c>
      <c r="H1480" s="15" t="s">
        <v>111</v>
      </c>
      <c r="J1480" s="16" t="s">
        <v>114</v>
      </c>
      <c r="U1480" s="15" t="s">
        <v>17977</v>
      </c>
      <c r="W1480" s="15">
        <v>2430</v>
      </c>
      <c r="X1480" s="15">
        <v>1490</v>
      </c>
      <c r="Y1480" s="15" t="s">
        <v>160</v>
      </c>
      <c r="Z1480" s="15" t="s">
        <v>161</v>
      </c>
      <c r="AA1480" s="15" t="s">
        <v>162</v>
      </c>
      <c r="AB1480" s="15" t="s">
        <v>12089</v>
      </c>
      <c r="AC1480" s="15" t="s">
        <v>12089</v>
      </c>
      <c r="AD1480" s="15" t="s">
        <v>12089</v>
      </c>
      <c r="AE1480" s="15" t="s">
        <v>164</v>
      </c>
      <c r="AF1480" s="15" t="s">
        <v>12089</v>
      </c>
      <c r="AG1480" s="15" t="s">
        <v>12089</v>
      </c>
      <c r="AH1480" s="47" t="s">
        <v>12090</v>
      </c>
      <c r="AL1480" s="15" t="s">
        <v>12091</v>
      </c>
      <c r="AN1480" s="15">
        <v>743</v>
      </c>
      <c r="AO1480" s="15" t="s">
        <v>12092</v>
      </c>
      <c r="AQ1480" s="15" t="s">
        <v>912</v>
      </c>
      <c r="AT1480" s="15" t="s">
        <v>12093</v>
      </c>
      <c r="AU1480" s="15" t="s">
        <v>12094</v>
      </c>
      <c r="AV1480" s="15" t="s">
        <v>12094</v>
      </c>
      <c r="AW1480" s="15" t="s">
        <v>12095</v>
      </c>
      <c r="AX1480" s="15" t="s">
        <v>12096</v>
      </c>
      <c r="AY1480" s="15">
        <f t="shared" si="32"/>
        <v>53</v>
      </c>
      <c r="AZ1480" s="15" t="s">
        <v>917</v>
      </c>
      <c r="BA1480" s="15" t="s">
        <v>174</v>
      </c>
      <c r="BB1480" s="15" t="s">
        <v>11953</v>
      </c>
      <c r="BE1480" s="15" t="s">
        <v>3686</v>
      </c>
      <c r="BF1480" s="15" t="s">
        <v>12097</v>
      </c>
      <c r="BI1480" s="15" t="s">
        <v>189</v>
      </c>
      <c r="BJ1480" s="15" t="s">
        <v>12046</v>
      </c>
      <c r="BN1480" s="15" t="s">
        <v>179</v>
      </c>
      <c r="BP1480" s="15" t="s">
        <v>138</v>
      </c>
      <c r="BS1480" s="15" t="s">
        <v>12098</v>
      </c>
      <c r="DH1480" s="15" t="s">
        <v>17982</v>
      </c>
      <c r="DI1480" s="15" t="s">
        <v>17982</v>
      </c>
    </row>
    <row r="1481" spans="1:113" s="15" customFormat="1" ht="12.75" x14ac:dyDescent="0.2">
      <c r="A1481" s="15" t="s">
        <v>109</v>
      </c>
      <c r="B1481" s="15" t="s">
        <v>110</v>
      </c>
      <c r="D1481" s="15" t="s">
        <v>620</v>
      </c>
      <c r="E1481" s="15" t="s">
        <v>112</v>
      </c>
      <c r="F1481" s="15" t="s">
        <v>620</v>
      </c>
      <c r="G1481" s="15" t="s">
        <v>113</v>
      </c>
      <c r="H1481" s="15" t="s">
        <v>111</v>
      </c>
      <c r="J1481" s="16" t="s">
        <v>114</v>
      </c>
      <c r="U1481" s="15" t="s">
        <v>17977</v>
      </c>
      <c r="W1481" s="15">
        <v>2428</v>
      </c>
      <c r="X1481" s="15">
        <v>1491</v>
      </c>
      <c r="Y1481" s="15" t="s">
        <v>160</v>
      </c>
      <c r="Z1481" s="15" t="s">
        <v>161</v>
      </c>
      <c r="AA1481" s="15" t="s">
        <v>162</v>
      </c>
      <c r="AB1481" s="15" t="s">
        <v>12069</v>
      </c>
      <c r="AC1481" s="15" t="s">
        <v>12069</v>
      </c>
      <c r="AD1481" s="15" t="s">
        <v>12069</v>
      </c>
      <c r="AE1481" s="15" t="s">
        <v>164</v>
      </c>
      <c r="AF1481" s="15" t="s">
        <v>12069</v>
      </c>
      <c r="AG1481" s="15" t="s">
        <v>12069</v>
      </c>
      <c r="AH1481" s="47" t="s">
        <v>12070</v>
      </c>
      <c r="AL1481" s="15" t="s">
        <v>12071</v>
      </c>
      <c r="AN1481" s="15">
        <v>743</v>
      </c>
      <c r="AO1481" s="15" t="s">
        <v>12072</v>
      </c>
      <c r="AQ1481" s="15" t="s">
        <v>912</v>
      </c>
      <c r="AT1481" s="15" t="s">
        <v>12073</v>
      </c>
      <c r="AU1481" s="15" t="s">
        <v>12074</v>
      </c>
      <c r="AV1481" s="15" t="s">
        <v>12074</v>
      </c>
      <c r="AW1481" s="15" t="s">
        <v>12075</v>
      </c>
      <c r="AX1481" s="15" t="s">
        <v>12076</v>
      </c>
      <c r="AY1481" s="15">
        <f t="shared" si="32"/>
        <v>53</v>
      </c>
      <c r="AZ1481" s="15" t="s">
        <v>917</v>
      </c>
      <c r="BA1481" s="15" t="s">
        <v>174</v>
      </c>
      <c r="BB1481" s="15" t="s">
        <v>11953</v>
      </c>
      <c r="BE1481" s="15" t="s">
        <v>3686</v>
      </c>
      <c r="BF1481" s="15" t="s">
        <v>12077</v>
      </c>
      <c r="BI1481" s="15" t="s">
        <v>189</v>
      </c>
      <c r="BJ1481" s="15" t="s">
        <v>12067</v>
      </c>
      <c r="BN1481" s="15" t="s">
        <v>179</v>
      </c>
      <c r="BP1481" s="15" t="s">
        <v>138</v>
      </c>
      <c r="BS1481" s="15" t="s">
        <v>12078</v>
      </c>
      <c r="DH1481" s="15" t="s">
        <v>17982</v>
      </c>
      <c r="DI1481" s="15" t="s">
        <v>17982</v>
      </c>
    </row>
    <row r="1482" spans="1:113" s="15" customFormat="1" ht="12.75" x14ac:dyDescent="0.2">
      <c r="A1482" s="15" t="s">
        <v>109</v>
      </c>
      <c r="B1482" s="15" t="s">
        <v>110</v>
      </c>
      <c r="D1482" s="15" t="s">
        <v>620</v>
      </c>
      <c r="E1482" s="15" t="s">
        <v>112</v>
      </c>
      <c r="F1482" s="15" t="s">
        <v>620</v>
      </c>
      <c r="G1482" s="15" t="s">
        <v>113</v>
      </c>
      <c r="H1482" s="15" t="s">
        <v>111</v>
      </c>
      <c r="J1482" s="16" t="s">
        <v>114</v>
      </c>
      <c r="U1482" s="15" t="s">
        <v>17977</v>
      </c>
      <c r="W1482" s="15">
        <v>2427</v>
      </c>
      <c r="X1482" s="15">
        <v>1492</v>
      </c>
      <c r="Y1482" s="15" t="s">
        <v>160</v>
      </c>
      <c r="Z1482" s="15" t="s">
        <v>161</v>
      </c>
      <c r="AA1482" s="15" t="s">
        <v>162</v>
      </c>
      <c r="AB1482" s="15" t="s">
        <v>12058</v>
      </c>
      <c r="AC1482" s="15" t="s">
        <v>12058</v>
      </c>
      <c r="AD1482" s="15" t="s">
        <v>12058</v>
      </c>
      <c r="AE1482" s="15" t="s">
        <v>164</v>
      </c>
      <c r="AF1482" s="15" t="s">
        <v>12058</v>
      </c>
      <c r="AG1482" s="15" t="s">
        <v>12058</v>
      </c>
      <c r="AH1482" s="47" t="s">
        <v>12059</v>
      </c>
      <c r="AL1482" s="15" t="s">
        <v>12060</v>
      </c>
      <c r="AN1482" s="15">
        <v>743</v>
      </c>
      <c r="AO1482" s="15" t="s">
        <v>12061</v>
      </c>
      <c r="AQ1482" s="15" t="s">
        <v>912</v>
      </c>
      <c r="AT1482" s="15" t="s">
        <v>12062</v>
      </c>
      <c r="AU1482" s="15" t="s">
        <v>12063</v>
      </c>
      <c r="AV1482" s="15" t="s">
        <v>12063</v>
      </c>
      <c r="AW1482" s="15" t="s">
        <v>12064</v>
      </c>
      <c r="AX1482" s="15" t="s">
        <v>12065</v>
      </c>
      <c r="AY1482" s="15">
        <f t="shared" ref="AY1482:AY1505" si="33">LEN(SUBSTITUTE(AX1482, ", "," "))</f>
        <v>53</v>
      </c>
      <c r="AZ1482" s="15" t="s">
        <v>917</v>
      </c>
      <c r="BA1482" s="15" t="s">
        <v>174</v>
      </c>
      <c r="BB1482" s="15" t="s">
        <v>11953</v>
      </c>
      <c r="BE1482" s="15" t="s">
        <v>3686</v>
      </c>
      <c r="BF1482" s="15" t="s">
        <v>12066</v>
      </c>
      <c r="BI1482" s="15" t="s">
        <v>189</v>
      </c>
      <c r="BJ1482" s="15" t="s">
        <v>12067</v>
      </c>
      <c r="BN1482" s="15" t="s">
        <v>179</v>
      </c>
      <c r="BP1482" s="15" t="s">
        <v>138</v>
      </c>
      <c r="BS1482" s="15" t="s">
        <v>12068</v>
      </c>
      <c r="DH1482" s="15" t="s">
        <v>17982</v>
      </c>
      <c r="DI1482" s="15" t="s">
        <v>17982</v>
      </c>
    </row>
    <row r="1483" spans="1:113" s="15" customFormat="1" ht="12.75" x14ac:dyDescent="0.2">
      <c r="A1483" s="15" t="s">
        <v>109</v>
      </c>
      <c r="B1483" s="15" t="s">
        <v>110</v>
      </c>
      <c r="D1483" s="15" t="s">
        <v>620</v>
      </c>
      <c r="E1483" s="15" t="s">
        <v>112</v>
      </c>
      <c r="F1483" s="15" t="s">
        <v>620</v>
      </c>
      <c r="G1483" s="15" t="s">
        <v>113</v>
      </c>
      <c r="H1483" s="15" t="s">
        <v>111</v>
      </c>
      <c r="J1483" s="16" t="s">
        <v>114</v>
      </c>
      <c r="U1483" s="15" t="s">
        <v>17977</v>
      </c>
      <c r="W1483" s="15">
        <v>2432</v>
      </c>
      <c r="X1483" s="15">
        <v>1493</v>
      </c>
      <c r="Y1483" s="15" t="s">
        <v>160</v>
      </c>
      <c r="Z1483" s="15" t="s">
        <v>161</v>
      </c>
      <c r="AA1483" s="15" t="s">
        <v>162</v>
      </c>
      <c r="AB1483" s="15" t="s">
        <v>12108</v>
      </c>
      <c r="AC1483" s="15" t="s">
        <v>12108</v>
      </c>
      <c r="AD1483" s="15" t="s">
        <v>12108</v>
      </c>
      <c r="AE1483" s="15" t="s">
        <v>164</v>
      </c>
      <c r="AF1483" s="15" t="s">
        <v>12108</v>
      </c>
      <c r="AG1483" s="15" t="s">
        <v>12108</v>
      </c>
      <c r="AH1483" s="47" t="s">
        <v>12109</v>
      </c>
      <c r="AL1483" s="15" t="s">
        <v>12110</v>
      </c>
      <c r="AN1483" s="15">
        <v>743</v>
      </c>
      <c r="AO1483" s="15" t="s">
        <v>12111</v>
      </c>
      <c r="AQ1483" s="15" t="s">
        <v>912</v>
      </c>
      <c r="AT1483" s="15" t="s">
        <v>12112</v>
      </c>
      <c r="AU1483" s="15" t="s">
        <v>12113</v>
      </c>
      <c r="AV1483" s="15" t="s">
        <v>12113</v>
      </c>
      <c r="AW1483" s="15" t="s">
        <v>12114</v>
      </c>
      <c r="AX1483" s="15" t="s">
        <v>12115</v>
      </c>
      <c r="AY1483" s="15">
        <f t="shared" si="33"/>
        <v>58</v>
      </c>
      <c r="AZ1483" s="15" t="s">
        <v>917</v>
      </c>
      <c r="BA1483" s="15" t="s">
        <v>174</v>
      </c>
      <c r="BB1483" s="15" t="s">
        <v>11953</v>
      </c>
      <c r="BE1483" s="15" t="s">
        <v>3686</v>
      </c>
      <c r="BF1483" s="15" t="s">
        <v>12116</v>
      </c>
      <c r="BI1483" s="15" t="s">
        <v>11965</v>
      </c>
      <c r="BJ1483" s="15" t="s">
        <v>12117</v>
      </c>
      <c r="BK1483" s="15" t="s">
        <v>487</v>
      </c>
      <c r="BN1483" s="15" t="s">
        <v>179</v>
      </c>
      <c r="BP1483" s="15" t="s">
        <v>138</v>
      </c>
      <c r="BS1483" s="15" t="s">
        <v>12118</v>
      </c>
      <c r="DH1483" s="15" t="s">
        <v>17982</v>
      </c>
      <c r="DI1483" s="15" t="s">
        <v>17982</v>
      </c>
    </row>
    <row r="1484" spans="1:113" s="15" customFormat="1" ht="12.75" x14ac:dyDescent="0.2">
      <c r="A1484" s="15" t="s">
        <v>109</v>
      </c>
      <c r="B1484" s="15" t="s">
        <v>110</v>
      </c>
      <c r="D1484" s="15" t="s">
        <v>620</v>
      </c>
      <c r="E1484" s="15" t="s">
        <v>112</v>
      </c>
      <c r="F1484" s="15" t="s">
        <v>620</v>
      </c>
      <c r="G1484" s="15" t="s">
        <v>113</v>
      </c>
      <c r="H1484" s="15" t="s">
        <v>111</v>
      </c>
      <c r="J1484" s="16" t="s">
        <v>114</v>
      </c>
      <c r="U1484" s="15" t="s">
        <v>17977</v>
      </c>
      <c r="W1484" s="15">
        <v>2424</v>
      </c>
      <c r="X1484" s="15">
        <v>1494</v>
      </c>
      <c r="Y1484" s="15" t="s">
        <v>160</v>
      </c>
      <c r="Z1484" s="15" t="s">
        <v>161</v>
      </c>
      <c r="AA1484" s="15" t="s">
        <v>162</v>
      </c>
      <c r="AB1484" s="15" t="s">
        <v>12027</v>
      </c>
      <c r="AC1484" s="15" t="s">
        <v>12027</v>
      </c>
      <c r="AD1484" s="15" t="s">
        <v>12027</v>
      </c>
      <c r="AE1484" s="15" t="s">
        <v>164</v>
      </c>
      <c r="AF1484" s="15" t="s">
        <v>12027</v>
      </c>
      <c r="AG1484" s="15" t="s">
        <v>12027</v>
      </c>
      <c r="AH1484" s="47" t="s">
        <v>12028</v>
      </c>
      <c r="AL1484" s="15" t="s">
        <v>12029</v>
      </c>
      <c r="AN1484" s="15">
        <v>743</v>
      </c>
      <c r="AO1484" s="15" t="s">
        <v>12030</v>
      </c>
      <c r="AQ1484" s="15" t="s">
        <v>912</v>
      </c>
      <c r="AT1484" s="15" t="s">
        <v>12031</v>
      </c>
      <c r="AU1484" s="15" t="s">
        <v>12032</v>
      </c>
      <c r="AV1484" s="15" t="s">
        <v>12032</v>
      </c>
      <c r="AW1484" s="15" t="s">
        <v>12033</v>
      </c>
      <c r="AX1484" s="15" t="s">
        <v>12034</v>
      </c>
      <c r="AY1484" s="15">
        <f t="shared" si="33"/>
        <v>56</v>
      </c>
      <c r="AZ1484" s="15" t="s">
        <v>917</v>
      </c>
      <c r="BA1484" s="15" t="s">
        <v>174</v>
      </c>
      <c r="BB1484" s="15" t="s">
        <v>11953</v>
      </c>
      <c r="BE1484" s="15" t="s">
        <v>3686</v>
      </c>
      <c r="BF1484" s="15" t="s">
        <v>12025</v>
      </c>
      <c r="BI1484" s="15" t="s">
        <v>12014</v>
      </c>
      <c r="BJ1484" s="15" t="s">
        <v>12035</v>
      </c>
      <c r="BK1484" s="15" t="s">
        <v>487</v>
      </c>
      <c r="BN1484" s="15" t="s">
        <v>179</v>
      </c>
      <c r="BP1484" s="15" t="s">
        <v>138</v>
      </c>
      <c r="BS1484" s="15" t="s">
        <v>12036</v>
      </c>
      <c r="DH1484" s="15" t="s">
        <v>17982</v>
      </c>
      <c r="DI1484" s="15" t="s">
        <v>17982</v>
      </c>
    </row>
    <row r="1485" spans="1:113" s="15" customFormat="1" ht="12.75" x14ac:dyDescent="0.2">
      <c r="A1485" s="15" t="s">
        <v>109</v>
      </c>
      <c r="B1485" s="15" t="s">
        <v>110</v>
      </c>
      <c r="D1485" s="15" t="s">
        <v>620</v>
      </c>
      <c r="E1485" s="15" t="s">
        <v>112</v>
      </c>
      <c r="F1485" s="15" t="s">
        <v>620</v>
      </c>
      <c r="G1485" s="15" t="s">
        <v>113</v>
      </c>
      <c r="H1485" s="15" t="s">
        <v>111</v>
      </c>
      <c r="J1485" s="16" t="s">
        <v>114</v>
      </c>
      <c r="U1485" s="15" t="s">
        <v>17977</v>
      </c>
      <c r="W1485" s="15">
        <v>2423</v>
      </c>
      <c r="X1485" s="15">
        <v>1495</v>
      </c>
      <c r="Y1485" s="15" t="s">
        <v>160</v>
      </c>
      <c r="Z1485" s="15" t="s">
        <v>161</v>
      </c>
      <c r="AA1485" s="15" t="s">
        <v>162</v>
      </c>
      <c r="AB1485" s="15" t="s">
        <v>12017</v>
      </c>
      <c r="AC1485" s="15" t="s">
        <v>12017</v>
      </c>
      <c r="AD1485" s="15" t="s">
        <v>12017</v>
      </c>
      <c r="AE1485" s="15" t="s">
        <v>164</v>
      </c>
      <c r="AF1485" s="15" t="s">
        <v>12017</v>
      </c>
      <c r="AG1485" s="15" t="s">
        <v>12017</v>
      </c>
      <c r="AH1485" s="47" t="s">
        <v>12018</v>
      </c>
      <c r="AL1485" s="15" t="s">
        <v>12019</v>
      </c>
      <c r="AN1485" s="15">
        <v>743</v>
      </c>
      <c r="AO1485" s="15" t="s">
        <v>12020</v>
      </c>
      <c r="AQ1485" s="15" t="s">
        <v>912</v>
      </c>
      <c r="AT1485" s="15" t="s">
        <v>12021</v>
      </c>
      <c r="AU1485" s="15" t="s">
        <v>12022</v>
      </c>
      <c r="AV1485" s="15" t="s">
        <v>12022</v>
      </c>
      <c r="AW1485" s="15" t="s">
        <v>12023</v>
      </c>
      <c r="AX1485" s="15" t="s">
        <v>12024</v>
      </c>
      <c r="AY1485" s="15">
        <f t="shared" si="33"/>
        <v>56</v>
      </c>
      <c r="AZ1485" s="15" t="s">
        <v>917</v>
      </c>
      <c r="BA1485" s="15" t="s">
        <v>174</v>
      </c>
      <c r="BB1485" s="15" t="s">
        <v>11953</v>
      </c>
      <c r="BE1485" s="15" t="s">
        <v>3686</v>
      </c>
      <c r="BF1485" s="15" t="s">
        <v>12025</v>
      </c>
      <c r="BI1485" s="15" t="s">
        <v>12014</v>
      </c>
      <c r="BJ1485" s="15" t="s">
        <v>12015</v>
      </c>
      <c r="BK1485" s="15" t="s">
        <v>487</v>
      </c>
      <c r="BN1485" s="15" t="s">
        <v>179</v>
      </c>
      <c r="BP1485" s="15" t="s">
        <v>138</v>
      </c>
      <c r="BS1485" s="15" t="s">
        <v>12026</v>
      </c>
      <c r="DH1485" s="15" t="s">
        <v>17982</v>
      </c>
      <c r="DI1485" s="15" t="s">
        <v>17982</v>
      </c>
    </row>
    <row r="1486" spans="1:113" s="15" customFormat="1" ht="12.75" x14ac:dyDescent="0.2">
      <c r="A1486" s="15" t="s">
        <v>109</v>
      </c>
      <c r="B1486" s="15" t="s">
        <v>110</v>
      </c>
      <c r="D1486" s="15" t="s">
        <v>620</v>
      </c>
      <c r="E1486" s="15" t="s">
        <v>112</v>
      </c>
      <c r="F1486" s="15" t="s">
        <v>620</v>
      </c>
      <c r="G1486" s="15" t="s">
        <v>113</v>
      </c>
      <c r="H1486" s="15" t="s">
        <v>111</v>
      </c>
      <c r="J1486" s="16" t="s">
        <v>114</v>
      </c>
      <c r="U1486" s="15" t="s">
        <v>17977</v>
      </c>
      <c r="W1486" s="15">
        <v>2422</v>
      </c>
      <c r="X1486" s="15">
        <v>1496</v>
      </c>
      <c r="Y1486" s="15" t="s">
        <v>160</v>
      </c>
      <c r="Z1486" s="15" t="s">
        <v>161</v>
      </c>
      <c r="AA1486" s="15" t="s">
        <v>162</v>
      </c>
      <c r="AB1486" s="15" t="s">
        <v>12005</v>
      </c>
      <c r="AC1486" s="15" t="s">
        <v>12005</v>
      </c>
      <c r="AD1486" s="15" t="s">
        <v>12005</v>
      </c>
      <c r="AE1486" s="15" t="s">
        <v>164</v>
      </c>
      <c r="AF1486" s="15" t="s">
        <v>12005</v>
      </c>
      <c r="AG1486" s="15" t="s">
        <v>12005</v>
      </c>
      <c r="AH1486" s="47" t="s">
        <v>12006</v>
      </c>
      <c r="AL1486" s="15" t="s">
        <v>12007</v>
      </c>
      <c r="AN1486" s="15">
        <v>743</v>
      </c>
      <c r="AO1486" s="15" t="s">
        <v>12008</v>
      </c>
      <c r="AQ1486" s="15" t="s">
        <v>912</v>
      </c>
      <c r="AT1486" s="15" t="s">
        <v>12009</v>
      </c>
      <c r="AU1486" s="15" t="s">
        <v>12010</v>
      </c>
      <c r="AV1486" s="15" t="s">
        <v>12010</v>
      </c>
      <c r="AW1486" s="15" t="s">
        <v>12011</v>
      </c>
      <c r="AX1486" s="15" t="s">
        <v>12012</v>
      </c>
      <c r="AY1486" s="15">
        <f t="shared" si="33"/>
        <v>57</v>
      </c>
      <c r="AZ1486" s="15" t="s">
        <v>917</v>
      </c>
      <c r="BA1486" s="15" t="s">
        <v>174</v>
      </c>
      <c r="BB1486" s="15" t="s">
        <v>11953</v>
      </c>
      <c r="BE1486" s="15" t="s">
        <v>3686</v>
      </c>
      <c r="BF1486" s="15" t="s">
        <v>12013</v>
      </c>
      <c r="BI1486" s="15" t="s">
        <v>12014</v>
      </c>
      <c r="BJ1486" s="15" t="s">
        <v>12015</v>
      </c>
      <c r="BK1486" s="15" t="s">
        <v>487</v>
      </c>
      <c r="BN1486" s="15" t="s">
        <v>179</v>
      </c>
      <c r="BP1486" s="15" t="s">
        <v>138</v>
      </c>
      <c r="BS1486" s="15" t="s">
        <v>12016</v>
      </c>
      <c r="DH1486" s="15" t="s">
        <v>17982</v>
      </c>
      <c r="DI1486" s="15" t="s">
        <v>17982</v>
      </c>
    </row>
    <row r="1487" spans="1:113" s="15" customFormat="1" ht="12.75" x14ac:dyDescent="0.2">
      <c r="A1487" s="15" t="s">
        <v>109</v>
      </c>
      <c r="B1487" s="15" t="s">
        <v>110</v>
      </c>
      <c r="D1487" s="15" t="s">
        <v>620</v>
      </c>
      <c r="E1487" s="15" t="s">
        <v>112</v>
      </c>
      <c r="F1487" s="15" t="s">
        <v>620</v>
      </c>
      <c r="G1487" s="15" t="s">
        <v>113</v>
      </c>
      <c r="H1487" s="15" t="s">
        <v>111</v>
      </c>
      <c r="J1487" s="16" t="s">
        <v>114</v>
      </c>
      <c r="U1487" s="15" t="s">
        <v>17977</v>
      </c>
      <c r="W1487" s="15">
        <v>2417</v>
      </c>
      <c r="X1487" s="15">
        <v>1497</v>
      </c>
      <c r="Y1487" s="15" t="s">
        <v>160</v>
      </c>
      <c r="Z1487" s="15" t="s">
        <v>161</v>
      </c>
      <c r="AA1487" s="15" t="s">
        <v>162</v>
      </c>
      <c r="AB1487" s="15" t="s">
        <v>11956</v>
      </c>
      <c r="AC1487" s="15" t="s">
        <v>11956</v>
      </c>
      <c r="AD1487" s="15" t="s">
        <v>11956</v>
      </c>
      <c r="AE1487" s="15" t="s">
        <v>164</v>
      </c>
      <c r="AF1487" s="15" t="s">
        <v>11956</v>
      </c>
      <c r="AG1487" s="15" t="s">
        <v>11956</v>
      </c>
      <c r="AH1487" s="47" t="s">
        <v>11957</v>
      </c>
      <c r="AL1487" s="15" t="s">
        <v>11958</v>
      </c>
      <c r="AN1487" s="15">
        <v>743</v>
      </c>
      <c r="AO1487" s="15" t="s">
        <v>11959</v>
      </c>
      <c r="AQ1487" s="15" t="s">
        <v>912</v>
      </c>
      <c r="AT1487" s="15" t="s">
        <v>11960</v>
      </c>
      <c r="AU1487" s="15" t="s">
        <v>11961</v>
      </c>
      <c r="AV1487" s="15" t="s">
        <v>11961</v>
      </c>
      <c r="AW1487" s="15" t="s">
        <v>11962</v>
      </c>
      <c r="AX1487" s="15" t="s">
        <v>11963</v>
      </c>
      <c r="AY1487" s="15">
        <f t="shared" si="33"/>
        <v>51</v>
      </c>
      <c r="AZ1487" s="15" t="s">
        <v>917</v>
      </c>
      <c r="BA1487" s="15" t="s">
        <v>174</v>
      </c>
      <c r="BB1487" s="15" t="s">
        <v>11953</v>
      </c>
      <c r="BE1487" s="15" t="s">
        <v>3686</v>
      </c>
      <c r="BF1487" s="15" t="s">
        <v>11964</v>
      </c>
      <c r="BI1487" s="15" t="s">
        <v>11965</v>
      </c>
      <c r="BJ1487" s="15" t="s">
        <v>11966</v>
      </c>
      <c r="BK1487" s="15" t="s">
        <v>487</v>
      </c>
      <c r="BN1487" s="15" t="s">
        <v>179</v>
      </c>
      <c r="BP1487" s="15" t="s">
        <v>138</v>
      </c>
      <c r="BS1487" s="15" t="s">
        <v>11967</v>
      </c>
      <c r="DH1487" s="15" t="s">
        <v>17982</v>
      </c>
      <c r="DI1487" s="15" t="s">
        <v>17982</v>
      </c>
    </row>
    <row r="1488" spans="1:113" s="15" customFormat="1" ht="12.75" x14ac:dyDescent="0.2">
      <c r="A1488" s="15" t="s">
        <v>109</v>
      </c>
      <c r="B1488" s="15" t="s">
        <v>110</v>
      </c>
      <c r="D1488" s="15" t="s">
        <v>620</v>
      </c>
      <c r="E1488" s="15" t="s">
        <v>112</v>
      </c>
      <c r="F1488" s="15" t="s">
        <v>620</v>
      </c>
      <c r="G1488" s="15" t="s">
        <v>113</v>
      </c>
      <c r="H1488" s="15" t="s">
        <v>111</v>
      </c>
      <c r="J1488" s="16" t="s">
        <v>114</v>
      </c>
      <c r="U1488" s="15" t="s">
        <v>17977</v>
      </c>
      <c r="W1488" s="15">
        <v>3246</v>
      </c>
      <c r="X1488" s="15">
        <v>1498</v>
      </c>
      <c r="Y1488" s="15" t="s">
        <v>160</v>
      </c>
      <c r="Z1488" s="15" t="s">
        <v>161</v>
      </c>
      <c r="AA1488" s="15" t="s">
        <v>162</v>
      </c>
      <c r="AB1488" s="15" t="s">
        <v>15637</v>
      </c>
      <c r="AC1488" s="15" t="s">
        <v>15637</v>
      </c>
      <c r="AD1488" s="15" t="s">
        <v>15637</v>
      </c>
      <c r="AE1488" s="15" t="s">
        <v>164</v>
      </c>
      <c r="AF1488" s="15" t="s">
        <v>15637</v>
      </c>
      <c r="AG1488" s="15" t="s">
        <v>15637</v>
      </c>
      <c r="AH1488" s="15" t="s">
        <v>15638</v>
      </c>
      <c r="AL1488" s="15" t="s">
        <v>15639</v>
      </c>
      <c r="AN1488" s="15">
        <v>743</v>
      </c>
      <c r="AO1488" s="15" t="s">
        <v>15640</v>
      </c>
      <c r="AQ1488" s="15" t="s">
        <v>912</v>
      </c>
      <c r="AT1488" s="15" t="s">
        <v>15641</v>
      </c>
      <c r="AU1488" s="15" t="s">
        <v>15642</v>
      </c>
      <c r="AV1488" s="15" t="s">
        <v>15642</v>
      </c>
      <c r="AW1488" s="15" t="s">
        <v>15643</v>
      </c>
      <c r="AX1488" s="15" t="s">
        <v>15644</v>
      </c>
      <c r="AY1488" s="15">
        <f t="shared" si="33"/>
        <v>52</v>
      </c>
      <c r="AZ1488" s="15" t="s">
        <v>917</v>
      </c>
      <c r="BA1488" s="15" t="s">
        <v>174</v>
      </c>
      <c r="BB1488" s="15" t="s">
        <v>15625</v>
      </c>
      <c r="BE1488" s="15" t="s">
        <v>3686</v>
      </c>
      <c r="BF1488" s="15" t="s">
        <v>15645</v>
      </c>
      <c r="BJ1488" s="15" t="s">
        <v>15646</v>
      </c>
      <c r="BN1488" s="15" t="s">
        <v>179</v>
      </c>
      <c r="BP1488" s="15" t="s">
        <v>138</v>
      </c>
      <c r="BS1488" s="15" t="s">
        <v>15647</v>
      </c>
      <c r="DH1488" s="15" t="s">
        <v>17982</v>
      </c>
      <c r="DI1488" s="15" t="s">
        <v>17982</v>
      </c>
    </row>
    <row r="1489" spans="1:113" s="15" customFormat="1" ht="12.75" x14ac:dyDescent="0.2">
      <c r="A1489" s="15" t="s">
        <v>109</v>
      </c>
      <c r="B1489" s="15" t="s">
        <v>110</v>
      </c>
      <c r="D1489" s="15" t="s">
        <v>620</v>
      </c>
      <c r="E1489" s="15" t="s">
        <v>112</v>
      </c>
      <c r="F1489" s="15" t="s">
        <v>620</v>
      </c>
      <c r="G1489" s="15" t="s">
        <v>113</v>
      </c>
      <c r="H1489" s="15" t="s">
        <v>111</v>
      </c>
      <c r="J1489" s="16" t="s">
        <v>114</v>
      </c>
      <c r="U1489" s="15" t="s">
        <v>17977</v>
      </c>
      <c r="W1489" s="15">
        <v>3247</v>
      </c>
      <c r="X1489" s="15">
        <v>1499</v>
      </c>
      <c r="Y1489" s="15" t="s">
        <v>160</v>
      </c>
      <c r="Z1489" s="15" t="s">
        <v>161</v>
      </c>
      <c r="AA1489" s="15" t="s">
        <v>162</v>
      </c>
      <c r="AB1489" s="15" t="s">
        <v>15648</v>
      </c>
      <c r="AC1489" s="15" t="s">
        <v>15648</v>
      </c>
      <c r="AD1489" s="15" t="s">
        <v>15648</v>
      </c>
      <c r="AE1489" s="15" t="s">
        <v>164</v>
      </c>
      <c r="AF1489" s="15" t="s">
        <v>15648</v>
      </c>
      <c r="AG1489" s="15" t="s">
        <v>15648</v>
      </c>
      <c r="AH1489" s="15" t="s">
        <v>15649</v>
      </c>
      <c r="AL1489" s="15" t="s">
        <v>15650</v>
      </c>
      <c r="AN1489" s="15">
        <v>743</v>
      </c>
      <c r="AO1489" s="15" t="s">
        <v>15651</v>
      </c>
      <c r="AQ1489" s="15" t="s">
        <v>912</v>
      </c>
      <c r="AT1489" s="15" t="s">
        <v>15652</v>
      </c>
      <c r="AU1489" s="15" t="s">
        <v>15653</v>
      </c>
      <c r="AV1489" s="15" t="s">
        <v>15653</v>
      </c>
      <c r="AW1489" s="15" t="s">
        <v>15654</v>
      </c>
      <c r="AX1489" s="15" t="s">
        <v>15655</v>
      </c>
      <c r="AY1489" s="15">
        <f t="shared" si="33"/>
        <v>52</v>
      </c>
      <c r="AZ1489" s="15" t="s">
        <v>917</v>
      </c>
      <c r="BA1489" s="15" t="s">
        <v>174</v>
      </c>
      <c r="BB1489" s="15" t="s">
        <v>15625</v>
      </c>
      <c r="BE1489" s="15" t="s">
        <v>3686</v>
      </c>
      <c r="BF1489" s="15" t="s">
        <v>15656</v>
      </c>
      <c r="BJ1489" s="15" t="s">
        <v>15646</v>
      </c>
      <c r="BN1489" s="15" t="s">
        <v>179</v>
      </c>
      <c r="BP1489" s="15" t="s">
        <v>138</v>
      </c>
      <c r="BS1489" s="15" t="s">
        <v>15657</v>
      </c>
      <c r="DH1489" s="15" t="s">
        <v>17982</v>
      </c>
      <c r="DI1489" s="15" t="s">
        <v>17982</v>
      </c>
    </row>
    <row r="1490" spans="1:113" s="15" customFormat="1" ht="12.75" x14ac:dyDescent="0.2">
      <c r="A1490" s="15" t="s">
        <v>109</v>
      </c>
      <c r="B1490" s="15" t="s">
        <v>110</v>
      </c>
      <c r="D1490" s="15" t="s">
        <v>620</v>
      </c>
      <c r="E1490" s="15" t="s">
        <v>112</v>
      </c>
      <c r="F1490" s="15" t="s">
        <v>620</v>
      </c>
      <c r="G1490" s="15" t="s">
        <v>113</v>
      </c>
      <c r="H1490" s="15" t="s">
        <v>111</v>
      </c>
      <c r="J1490" s="16" t="s">
        <v>114</v>
      </c>
      <c r="U1490" s="15" t="s">
        <v>17977</v>
      </c>
      <c r="W1490" s="15">
        <v>123</v>
      </c>
      <c r="X1490" s="15">
        <v>1500</v>
      </c>
      <c r="Y1490" s="15" t="s">
        <v>160</v>
      </c>
      <c r="Z1490" s="15" t="s">
        <v>161</v>
      </c>
      <c r="AA1490" s="15" t="s">
        <v>162</v>
      </c>
      <c r="AB1490" s="15" t="s">
        <v>908</v>
      </c>
      <c r="AC1490" s="15" t="s">
        <v>908</v>
      </c>
      <c r="AD1490" s="15" t="s">
        <v>908</v>
      </c>
      <c r="AE1490" s="15" t="s">
        <v>164</v>
      </c>
      <c r="AF1490" s="15" t="s">
        <v>908</v>
      </c>
      <c r="AG1490" s="15" t="s">
        <v>908</v>
      </c>
      <c r="AH1490" s="15" t="s">
        <v>909</v>
      </c>
      <c r="AL1490" s="15" t="s">
        <v>910</v>
      </c>
      <c r="AN1490" s="15">
        <v>743</v>
      </c>
      <c r="AO1490" s="15" t="s">
        <v>911</v>
      </c>
      <c r="AQ1490" s="15" t="s">
        <v>912</v>
      </c>
      <c r="AT1490" s="15" t="s">
        <v>913</v>
      </c>
      <c r="AU1490" s="15" t="s">
        <v>914</v>
      </c>
      <c r="AV1490" s="15" t="s">
        <v>914</v>
      </c>
      <c r="AW1490" s="15" t="s">
        <v>915</v>
      </c>
      <c r="AX1490" s="15" t="s">
        <v>916</v>
      </c>
      <c r="AY1490" s="15">
        <f t="shared" si="33"/>
        <v>57</v>
      </c>
      <c r="AZ1490" s="15" t="s">
        <v>917</v>
      </c>
      <c r="BA1490" s="15" t="s">
        <v>174</v>
      </c>
      <c r="BB1490" s="15" t="s">
        <v>835</v>
      </c>
      <c r="BC1490" s="15">
        <v>2</v>
      </c>
      <c r="BE1490" s="15" t="s">
        <v>918</v>
      </c>
      <c r="BJ1490" s="15" t="s">
        <v>919</v>
      </c>
      <c r="BK1490" s="15" t="s">
        <v>487</v>
      </c>
      <c r="BN1490" s="15" t="s">
        <v>179</v>
      </c>
      <c r="BP1490" s="15" t="s">
        <v>138</v>
      </c>
      <c r="BS1490" s="15" t="s">
        <v>920</v>
      </c>
      <c r="DH1490" s="15" t="s">
        <v>17982</v>
      </c>
      <c r="DI1490" s="15" t="s">
        <v>17982</v>
      </c>
    </row>
    <row r="1491" spans="1:113" s="15" customFormat="1" ht="12.75" x14ac:dyDescent="0.2">
      <c r="A1491" s="15" t="s">
        <v>109</v>
      </c>
      <c r="B1491" s="15" t="s">
        <v>110</v>
      </c>
      <c r="D1491" s="15" t="s">
        <v>620</v>
      </c>
      <c r="E1491" s="15" t="s">
        <v>112</v>
      </c>
      <c r="F1491" s="15" t="s">
        <v>620</v>
      </c>
      <c r="G1491" s="15" t="s">
        <v>113</v>
      </c>
      <c r="H1491" s="15" t="s">
        <v>111</v>
      </c>
      <c r="J1491" s="16" t="s">
        <v>114</v>
      </c>
      <c r="U1491" s="15" t="s">
        <v>17977</v>
      </c>
      <c r="W1491" s="15">
        <v>2419</v>
      </c>
      <c r="X1491" s="15">
        <v>1501</v>
      </c>
      <c r="Y1491" s="15" t="s">
        <v>160</v>
      </c>
      <c r="Z1491" s="15" t="s">
        <v>161</v>
      </c>
      <c r="AA1491" s="15" t="s">
        <v>162</v>
      </c>
      <c r="AB1491" s="15" t="s">
        <v>11978</v>
      </c>
      <c r="AC1491" s="15" t="s">
        <v>11978</v>
      </c>
      <c r="AD1491" s="15" t="s">
        <v>11978</v>
      </c>
      <c r="AE1491" s="15" t="s">
        <v>164</v>
      </c>
      <c r="AF1491" s="15" t="s">
        <v>11978</v>
      </c>
      <c r="AG1491" s="15" t="s">
        <v>11978</v>
      </c>
      <c r="AH1491" s="47" t="s">
        <v>11979</v>
      </c>
      <c r="AL1491" s="15" t="s">
        <v>11980</v>
      </c>
      <c r="AN1491" s="15">
        <v>743</v>
      </c>
      <c r="AO1491" s="15" t="s">
        <v>11981</v>
      </c>
      <c r="AQ1491" s="15" t="s">
        <v>843</v>
      </c>
      <c r="AT1491" s="15" t="s">
        <v>11982</v>
      </c>
      <c r="AU1491" s="15" t="s">
        <v>11983</v>
      </c>
      <c r="AV1491" s="15" t="s">
        <v>11983</v>
      </c>
      <c r="AW1491" s="15" t="s">
        <v>11984</v>
      </c>
      <c r="AX1491" s="15" t="s">
        <v>11985</v>
      </c>
      <c r="AY1491" s="15">
        <f t="shared" si="33"/>
        <v>59</v>
      </c>
      <c r="AZ1491" s="15" t="s">
        <v>848</v>
      </c>
      <c r="BA1491" s="15" t="s">
        <v>174</v>
      </c>
      <c r="BB1491" s="15" t="s">
        <v>11953</v>
      </c>
      <c r="BE1491" s="15" t="s">
        <v>1123</v>
      </c>
      <c r="BF1491" s="15" t="s">
        <v>3738</v>
      </c>
      <c r="BJ1491" s="15" t="s">
        <v>11976</v>
      </c>
      <c r="BK1491" s="15" t="s">
        <v>487</v>
      </c>
      <c r="BN1491" s="15" t="s">
        <v>179</v>
      </c>
      <c r="BP1491" s="15" t="s">
        <v>138</v>
      </c>
      <c r="BS1491" s="15" t="s">
        <v>11986</v>
      </c>
      <c r="DH1491" s="15" t="s">
        <v>17982</v>
      </c>
      <c r="DI1491" s="15" t="s">
        <v>17982</v>
      </c>
    </row>
    <row r="1492" spans="1:113" s="15" customFormat="1" ht="12.75" x14ac:dyDescent="0.2">
      <c r="A1492" s="15" t="s">
        <v>109</v>
      </c>
      <c r="B1492" s="15" t="s">
        <v>110</v>
      </c>
      <c r="D1492" s="15" t="s">
        <v>620</v>
      </c>
      <c r="E1492" s="15" t="s">
        <v>112</v>
      </c>
      <c r="F1492" s="15" t="s">
        <v>620</v>
      </c>
      <c r="G1492" s="15" t="s">
        <v>113</v>
      </c>
      <c r="H1492" s="15" t="s">
        <v>111</v>
      </c>
      <c r="J1492" s="16" t="s">
        <v>114</v>
      </c>
      <c r="U1492" s="15" t="s">
        <v>17977</v>
      </c>
      <c r="W1492" s="15">
        <v>2420</v>
      </c>
      <c r="X1492" s="15">
        <v>1502</v>
      </c>
      <c r="Y1492" s="15" t="s">
        <v>160</v>
      </c>
      <c r="Z1492" s="15" t="s">
        <v>161</v>
      </c>
      <c r="AA1492" s="15" t="s">
        <v>162</v>
      </c>
      <c r="AB1492" s="15" t="s">
        <v>11987</v>
      </c>
      <c r="AC1492" s="15" t="s">
        <v>11987</v>
      </c>
      <c r="AD1492" s="15" t="s">
        <v>11987</v>
      </c>
      <c r="AE1492" s="15" t="s">
        <v>164</v>
      </c>
      <c r="AF1492" s="15" t="s">
        <v>11987</v>
      </c>
      <c r="AG1492" s="15" t="s">
        <v>11987</v>
      </c>
      <c r="AH1492" s="47" t="s">
        <v>11988</v>
      </c>
      <c r="AL1492" s="15" t="s">
        <v>11989</v>
      </c>
      <c r="AN1492" s="15">
        <v>743</v>
      </c>
      <c r="AO1492" s="15" t="s">
        <v>11990</v>
      </c>
      <c r="AQ1492" s="15" t="s">
        <v>843</v>
      </c>
      <c r="AT1492" s="15" t="s">
        <v>11991</v>
      </c>
      <c r="AU1492" s="15" t="s">
        <v>11992</v>
      </c>
      <c r="AV1492" s="15" t="s">
        <v>11992</v>
      </c>
      <c r="AW1492" s="15" t="s">
        <v>11993</v>
      </c>
      <c r="AX1492" s="15" t="s">
        <v>11994</v>
      </c>
      <c r="AY1492" s="15">
        <f t="shared" si="33"/>
        <v>59</v>
      </c>
      <c r="AZ1492" s="15" t="s">
        <v>848</v>
      </c>
      <c r="BA1492" s="15" t="s">
        <v>174</v>
      </c>
      <c r="BB1492" s="15" t="s">
        <v>11953</v>
      </c>
      <c r="BE1492" s="15" t="s">
        <v>1123</v>
      </c>
      <c r="BF1492" s="15" t="s">
        <v>1667</v>
      </c>
      <c r="BJ1492" s="15" t="s">
        <v>11976</v>
      </c>
      <c r="BK1492" s="15" t="s">
        <v>487</v>
      </c>
      <c r="BN1492" s="15" t="s">
        <v>179</v>
      </c>
      <c r="BP1492" s="15" t="s">
        <v>138</v>
      </c>
      <c r="BS1492" s="15" t="s">
        <v>11995</v>
      </c>
      <c r="DH1492" s="15" t="s">
        <v>17982</v>
      </c>
      <c r="DI1492" s="15" t="s">
        <v>17982</v>
      </c>
    </row>
    <row r="1493" spans="1:113" s="15" customFormat="1" ht="12.75" x14ac:dyDescent="0.2">
      <c r="A1493" s="15" t="s">
        <v>109</v>
      </c>
      <c r="B1493" s="15" t="s">
        <v>110</v>
      </c>
      <c r="D1493" s="15" t="s">
        <v>620</v>
      </c>
      <c r="E1493" s="15" t="s">
        <v>112</v>
      </c>
      <c r="F1493" s="15" t="s">
        <v>620</v>
      </c>
      <c r="G1493" s="15" t="s">
        <v>113</v>
      </c>
      <c r="H1493" s="15" t="s">
        <v>111</v>
      </c>
      <c r="J1493" s="16" t="s">
        <v>114</v>
      </c>
      <c r="U1493" s="15" t="s">
        <v>17977</v>
      </c>
      <c r="W1493" s="15">
        <v>2421</v>
      </c>
      <c r="X1493" s="15">
        <v>1503</v>
      </c>
      <c r="Y1493" s="15" t="s">
        <v>160</v>
      </c>
      <c r="Z1493" s="15" t="s">
        <v>161</v>
      </c>
      <c r="AA1493" s="15" t="s">
        <v>162</v>
      </c>
      <c r="AB1493" s="15" t="s">
        <v>11996</v>
      </c>
      <c r="AC1493" s="15" t="s">
        <v>11996</v>
      </c>
      <c r="AD1493" s="15" t="s">
        <v>11996</v>
      </c>
      <c r="AE1493" s="15" t="s">
        <v>164</v>
      </c>
      <c r="AF1493" s="15" t="s">
        <v>11996</v>
      </c>
      <c r="AG1493" s="15" t="s">
        <v>11996</v>
      </c>
      <c r="AH1493" s="47" t="s">
        <v>11997</v>
      </c>
      <c r="AL1493" s="15" t="s">
        <v>11998</v>
      </c>
      <c r="AN1493" s="15">
        <v>743</v>
      </c>
      <c r="AO1493" s="15" t="s">
        <v>11999</v>
      </c>
      <c r="AQ1493" s="15" t="s">
        <v>843</v>
      </c>
      <c r="AT1493" s="15" t="s">
        <v>12000</v>
      </c>
      <c r="AU1493" s="15" t="s">
        <v>12001</v>
      </c>
      <c r="AV1493" s="15" t="s">
        <v>12001</v>
      </c>
      <c r="AW1493" s="15" t="s">
        <v>12002</v>
      </c>
      <c r="AX1493" s="15" t="s">
        <v>12003</v>
      </c>
      <c r="AY1493" s="15">
        <f t="shared" si="33"/>
        <v>59</v>
      </c>
      <c r="AZ1493" s="15" t="s">
        <v>848</v>
      </c>
      <c r="BA1493" s="15" t="s">
        <v>174</v>
      </c>
      <c r="BB1493" s="15" t="s">
        <v>11953</v>
      </c>
      <c r="BE1493" s="15" t="s">
        <v>1123</v>
      </c>
      <c r="BF1493" s="15" t="s">
        <v>1479</v>
      </c>
      <c r="BJ1493" s="15" t="s">
        <v>11976</v>
      </c>
      <c r="BK1493" s="15" t="s">
        <v>487</v>
      </c>
      <c r="BN1493" s="15" t="s">
        <v>179</v>
      </c>
      <c r="BP1493" s="15" t="s">
        <v>138</v>
      </c>
      <c r="BS1493" s="15" t="s">
        <v>12004</v>
      </c>
      <c r="DH1493" s="15" t="s">
        <v>17982</v>
      </c>
      <c r="DI1493" s="15" t="s">
        <v>17982</v>
      </c>
    </row>
    <row r="1494" spans="1:113" s="15" customFormat="1" ht="12.75" x14ac:dyDescent="0.2">
      <c r="A1494" s="15" t="s">
        <v>109</v>
      </c>
      <c r="B1494" s="15" t="s">
        <v>110</v>
      </c>
      <c r="D1494" s="15" t="s">
        <v>620</v>
      </c>
      <c r="E1494" s="15" t="s">
        <v>112</v>
      </c>
      <c r="F1494" s="15" t="s">
        <v>620</v>
      </c>
      <c r="G1494" s="15" t="s">
        <v>113</v>
      </c>
      <c r="H1494" s="15" t="s">
        <v>111</v>
      </c>
      <c r="J1494" s="16" t="s">
        <v>114</v>
      </c>
      <c r="U1494" s="15" t="s">
        <v>17977</v>
      </c>
      <c r="W1494" s="15">
        <v>2418</v>
      </c>
      <c r="X1494" s="15">
        <v>1504</v>
      </c>
      <c r="Y1494" s="15" t="s">
        <v>160</v>
      </c>
      <c r="Z1494" s="15" t="s">
        <v>161</v>
      </c>
      <c r="AA1494" s="15" t="s">
        <v>162</v>
      </c>
      <c r="AB1494" s="15" t="s">
        <v>11968</v>
      </c>
      <c r="AC1494" s="15" t="s">
        <v>11968</v>
      </c>
      <c r="AD1494" s="15" t="s">
        <v>11968</v>
      </c>
      <c r="AE1494" s="15" t="s">
        <v>164</v>
      </c>
      <c r="AF1494" s="15" t="s">
        <v>11968</v>
      </c>
      <c r="AG1494" s="15" t="s">
        <v>11968</v>
      </c>
      <c r="AH1494" s="47" t="s">
        <v>11969</v>
      </c>
      <c r="AL1494" s="15" t="s">
        <v>11970</v>
      </c>
      <c r="AN1494" s="15">
        <v>743</v>
      </c>
      <c r="AO1494" s="15" t="s">
        <v>11971</v>
      </c>
      <c r="AQ1494" s="15" t="s">
        <v>843</v>
      </c>
      <c r="AT1494" s="15" t="s">
        <v>11972</v>
      </c>
      <c r="AU1494" s="15" t="s">
        <v>11973</v>
      </c>
      <c r="AV1494" s="15" t="s">
        <v>11973</v>
      </c>
      <c r="AW1494" s="15" t="s">
        <v>11974</v>
      </c>
      <c r="AX1494" s="15" t="s">
        <v>11975</v>
      </c>
      <c r="AY1494" s="15">
        <f t="shared" si="33"/>
        <v>60</v>
      </c>
      <c r="AZ1494" s="15" t="s">
        <v>848</v>
      </c>
      <c r="BA1494" s="15" t="s">
        <v>174</v>
      </c>
      <c r="BB1494" s="15" t="s">
        <v>11953</v>
      </c>
      <c r="BE1494" s="15" t="s">
        <v>1123</v>
      </c>
      <c r="BF1494" s="15" t="s">
        <v>7981</v>
      </c>
      <c r="BJ1494" s="15" t="s">
        <v>11976</v>
      </c>
      <c r="BK1494" s="15" t="s">
        <v>487</v>
      </c>
      <c r="BN1494" s="15" t="s">
        <v>179</v>
      </c>
      <c r="BP1494" s="15" t="s">
        <v>138</v>
      </c>
      <c r="BS1494" s="15" t="s">
        <v>11977</v>
      </c>
      <c r="DH1494" s="15" t="s">
        <v>17982</v>
      </c>
      <c r="DI1494" s="15" t="s">
        <v>17982</v>
      </c>
    </row>
    <row r="1495" spans="1:113" s="15" customFormat="1" ht="12.75" x14ac:dyDescent="0.2">
      <c r="A1495" s="15" t="s">
        <v>109</v>
      </c>
      <c r="B1495" s="15" t="s">
        <v>110</v>
      </c>
      <c r="D1495" s="15" t="s">
        <v>620</v>
      </c>
      <c r="E1495" s="15" t="s">
        <v>112</v>
      </c>
      <c r="F1495" s="15" t="s">
        <v>620</v>
      </c>
      <c r="G1495" s="15" t="s">
        <v>113</v>
      </c>
      <c r="H1495" s="15" t="s">
        <v>111</v>
      </c>
      <c r="J1495" s="16" t="s">
        <v>114</v>
      </c>
      <c r="U1495" s="15" t="s">
        <v>17977</v>
      </c>
      <c r="W1495" s="15">
        <v>2416</v>
      </c>
      <c r="X1495" s="15">
        <v>1505</v>
      </c>
      <c r="Y1495" s="15" t="s">
        <v>160</v>
      </c>
      <c r="Z1495" s="15" t="s">
        <v>161</v>
      </c>
      <c r="AA1495" s="15" t="s">
        <v>162</v>
      </c>
      <c r="AB1495" s="15" t="s">
        <v>11945</v>
      </c>
      <c r="AC1495" s="15" t="s">
        <v>11945</v>
      </c>
      <c r="AD1495" s="15" t="s">
        <v>11945</v>
      </c>
      <c r="AE1495" s="15" t="s">
        <v>164</v>
      </c>
      <c r="AF1495" s="15" t="s">
        <v>11945</v>
      </c>
      <c r="AG1495" s="15" t="s">
        <v>11945</v>
      </c>
      <c r="AH1495" s="47" t="s">
        <v>11946</v>
      </c>
      <c r="AL1495" s="15" t="s">
        <v>11947</v>
      </c>
      <c r="AN1495" s="15">
        <v>743</v>
      </c>
      <c r="AO1495" s="15" t="s">
        <v>11948</v>
      </c>
      <c r="AQ1495" s="15" t="s">
        <v>843</v>
      </c>
      <c r="AT1495" s="15" t="s">
        <v>11949</v>
      </c>
      <c r="AU1495" s="15" t="s">
        <v>11950</v>
      </c>
      <c r="AV1495" s="15" t="s">
        <v>11950</v>
      </c>
      <c r="AW1495" s="15" t="s">
        <v>11951</v>
      </c>
      <c r="AX1495" s="15" t="s">
        <v>11952</v>
      </c>
      <c r="AY1495" s="15">
        <f t="shared" si="33"/>
        <v>59</v>
      </c>
      <c r="AZ1495" s="15" t="s">
        <v>848</v>
      </c>
      <c r="BA1495" s="15" t="s">
        <v>174</v>
      </c>
      <c r="BB1495" s="15" t="s">
        <v>11953</v>
      </c>
      <c r="BE1495" s="15" t="s">
        <v>275</v>
      </c>
      <c r="BF1495" s="15" t="s">
        <v>1467</v>
      </c>
      <c r="BJ1495" s="15" t="s">
        <v>11954</v>
      </c>
      <c r="BK1495" s="15" t="s">
        <v>487</v>
      </c>
      <c r="BN1495" s="15" t="s">
        <v>179</v>
      </c>
      <c r="BP1495" s="15" t="s">
        <v>138</v>
      </c>
      <c r="BS1495" s="15" t="s">
        <v>11955</v>
      </c>
      <c r="DH1495" s="15" t="s">
        <v>17982</v>
      </c>
      <c r="DI1495" s="15" t="s">
        <v>17982</v>
      </c>
    </row>
    <row r="1496" spans="1:113" s="15" customFormat="1" ht="12.75" x14ac:dyDescent="0.2">
      <c r="A1496" s="15" t="s">
        <v>109</v>
      </c>
      <c r="B1496" s="15" t="s">
        <v>110</v>
      </c>
      <c r="D1496" s="15" t="s">
        <v>620</v>
      </c>
      <c r="E1496" s="15" t="s">
        <v>112</v>
      </c>
      <c r="F1496" s="15" t="s">
        <v>620</v>
      </c>
      <c r="G1496" s="15" t="s">
        <v>113</v>
      </c>
      <c r="H1496" s="15" t="s">
        <v>111</v>
      </c>
      <c r="J1496" s="16" t="s">
        <v>114</v>
      </c>
      <c r="U1496" s="15" t="s">
        <v>17977</v>
      </c>
      <c r="W1496" s="15">
        <v>2322</v>
      </c>
      <c r="X1496" s="15">
        <v>1506</v>
      </c>
      <c r="Y1496" s="15" t="s">
        <v>160</v>
      </c>
      <c r="Z1496" s="15" t="s">
        <v>161</v>
      </c>
      <c r="AA1496" s="15" t="s">
        <v>162</v>
      </c>
      <c r="AB1496" s="15" t="s">
        <v>11639</v>
      </c>
      <c r="AC1496" s="15" t="s">
        <v>11639</v>
      </c>
      <c r="AD1496" s="15" t="s">
        <v>11639</v>
      </c>
      <c r="AE1496" s="15" t="s">
        <v>164</v>
      </c>
      <c r="AF1496" s="15" t="s">
        <v>11639</v>
      </c>
      <c r="AG1496" s="15" t="s">
        <v>11639</v>
      </c>
      <c r="AH1496" s="15" t="s">
        <v>11640</v>
      </c>
      <c r="AL1496" s="15" t="s">
        <v>11641</v>
      </c>
      <c r="AN1496" s="15">
        <v>743</v>
      </c>
      <c r="AO1496" s="15" t="s">
        <v>11642</v>
      </c>
      <c r="AQ1496" s="15" t="s">
        <v>843</v>
      </c>
      <c r="AT1496" s="15" t="s">
        <v>11643</v>
      </c>
      <c r="AU1496" s="15" t="s">
        <v>11644</v>
      </c>
      <c r="AV1496" s="15" t="s">
        <v>11644</v>
      </c>
      <c r="AW1496" s="15" t="s">
        <v>11645</v>
      </c>
      <c r="AX1496" s="15" t="s">
        <v>11646</v>
      </c>
      <c r="AY1496" s="15">
        <f t="shared" si="33"/>
        <v>57</v>
      </c>
      <c r="AZ1496" s="15" t="s">
        <v>848</v>
      </c>
      <c r="BA1496" s="15" t="s">
        <v>174</v>
      </c>
      <c r="BB1496" s="15" t="s">
        <v>11647</v>
      </c>
      <c r="BE1496" s="15" t="s">
        <v>348</v>
      </c>
      <c r="BJ1496" s="15" t="s">
        <v>11648</v>
      </c>
      <c r="BN1496" s="15" t="s">
        <v>179</v>
      </c>
      <c r="BP1496" s="15" t="s">
        <v>138</v>
      </c>
      <c r="BS1496" s="15" t="s">
        <v>11649</v>
      </c>
      <c r="DH1496" s="15" t="s">
        <v>17982</v>
      </c>
      <c r="DI1496" s="15" t="s">
        <v>17982</v>
      </c>
    </row>
    <row r="1497" spans="1:113" s="15" customFormat="1" ht="12.75" x14ac:dyDescent="0.2">
      <c r="A1497" s="15" t="s">
        <v>109</v>
      </c>
      <c r="B1497" s="15" t="s">
        <v>110</v>
      </c>
      <c r="D1497" s="15" t="s">
        <v>620</v>
      </c>
      <c r="E1497" s="15" t="s">
        <v>112</v>
      </c>
      <c r="F1497" s="15" t="s">
        <v>620</v>
      </c>
      <c r="G1497" s="15" t="s">
        <v>113</v>
      </c>
      <c r="H1497" s="15" t="s">
        <v>111</v>
      </c>
      <c r="J1497" s="16" t="s">
        <v>114</v>
      </c>
      <c r="U1497" s="15" t="s">
        <v>17977</v>
      </c>
      <c r="W1497" s="15">
        <v>2978</v>
      </c>
      <c r="X1497" s="15">
        <v>1507</v>
      </c>
      <c r="Y1497" s="15" t="s">
        <v>160</v>
      </c>
      <c r="Z1497" s="15" t="s">
        <v>161</v>
      </c>
      <c r="AA1497" s="15" t="s">
        <v>162</v>
      </c>
      <c r="AB1497" s="15" t="s">
        <v>14591</v>
      </c>
      <c r="AC1497" s="15" t="s">
        <v>14591</v>
      </c>
      <c r="AD1497" s="15" t="s">
        <v>14591</v>
      </c>
      <c r="AE1497" s="15" t="s">
        <v>164</v>
      </c>
      <c r="AF1497" s="15" t="s">
        <v>14591</v>
      </c>
      <c r="AG1497" s="15" t="s">
        <v>14591</v>
      </c>
      <c r="AH1497" s="15" t="s">
        <v>14592</v>
      </c>
      <c r="AL1497" s="15" t="s">
        <v>14593</v>
      </c>
      <c r="AN1497" s="15">
        <v>743</v>
      </c>
      <c r="AO1497" s="15" t="s">
        <v>14594</v>
      </c>
      <c r="AQ1497" s="15" t="s">
        <v>8812</v>
      </c>
      <c r="AT1497" s="15" t="s">
        <v>14595</v>
      </c>
      <c r="AU1497" s="15" t="s">
        <v>14596</v>
      </c>
      <c r="AV1497" s="15" t="s">
        <v>14596</v>
      </c>
      <c r="AW1497" s="15" t="s">
        <v>14597</v>
      </c>
      <c r="AX1497" s="15" t="s">
        <v>14597</v>
      </c>
      <c r="AY1497" s="15">
        <f t="shared" si="33"/>
        <v>57</v>
      </c>
      <c r="AZ1497" s="15" t="s">
        <v>8817</v>
      </c>
      <c r="BA1497" s="15" t="s">
        <v>174</v>
      </c>
      <c r="BB1497" s="15" t="s">
        <v>14598</v>
      </c>
      <c r="BE1497" s="15" t="s">
        <v>1123</v>
      </c>
      <c r="BF1497" s="15" t="s">
        <v>14599</v>
      </c>
      <c r="BJ1497" s="15" t="s">
        <v>14600</v>
      </c>
      <c r="BN1497" s="15" t="s">
        <v>179</v>
      </c>
      <c r="BP1497" s="15" t="s">
        <v>138</v>
      </c>
      <c r="BS1497" s="15" t="s">
        <v>14601</v>
      </c>
      <c r="DH1497" s="15" t="s">
        <v>17982</v>
      </c>
      <c r="DI1497" s="15" t="s">
        <v>17982</v>
      </c>
    </row>
    <row r="1498" spans="1:113" s="15" customFormat="1" ht="12.75" x14ac:dyDescent="0.2">
      <c r="A1498" s="15" t="s">
        <v>109</v>
      </c>
      <c r="B1498" s="15" t="s">
        <v>110</v>
      </c>
      <c r="D1498" s="15" t="s">
        <v>620</v>
      </c>
      <c r="E1498" s="15" t="s">
        <v>112</v>
      </c>
      <c r="F1498" s="15" t="s">
        <v>620</v>
      </c>
      <c r="G1498" s="15" t="s">
        <v>113</v>
      </c>
      <c r="H1498" s="15" t="s">
        <v>111</v>
      </c>
      <c r="J1498" s="16" t="s">
        <v>114</v>
      </c>
      <c r="U1498" s="15" t="s">
        <v>17977</v>
      </c>
      <c r="W1498" s="15">
        <v>2979</v>
      </c>
      <c r="X1498" s="15">
        <v>1508</v>
      </c>
      <c r="Y1498" s="15" t="s">
        <v>160</v>
      </c>
      <c r="Z1498" s="15" t="s">
        <v>161</v>
      </c>
      <c r="AA1498" s="15" t="s">
        <v>162</v>
      </c>
      <c r="AB1498" s="15" t="s">
        <v>14602</v>
      </c>
      <c r="AC1498" s="15" t="s">
        <v>14602</v>
      </c>
      <c r="AD1498" s="15" t="s">
        <v>14602</v>
      </c>
      <c r="AE1498" s="15" t="s">
        <v>164</v>
      </c>
      <c r="AF1498" s="15" t="s">
        <v>14602</v>
      </c>
      <c r="AG1498" s="15" t="s">
        <v>14602</v>
      </c>
      <c r="AH1498" s="15" t="s">
        <v>14603</v>
      </c>
      <c r="AL1498" s="15" t="s">
        <v>14593</v>
      </c>
      <c r="AN1498" s="15">
        <v>743</v>
      </c>
      <c r="AO1498" s="15" t="s">
        <v>14604</v>
      </c>
      <c r="AQ1498" s="15" t="s">
        <v>8812</v>
      </c>
      <c r="AT1498" s="15" t="s">
        <v>14605</v>
      </c>
      <c r="AU1498" s="15" t="s">
        <v>14606</v>
      </c>
      <c r="AV1498" s="15" t="s">
        <v>14606</v>
      </c>
      <c r="AW1498" s="15" t="s">
        <v>14607</v>
      </c>
      <c r="AX1498" s="15" t="s">
        <v>14607</v>
      </c>
      <c r="AY1498" s="15">
        <f t="shared" si="33"/>
        <v>57</v>
      </c>
      <c r="AZ1498" s="15" t="s">
        <v>8817</v>
      </c>
      <c r="BA1498" s="15" t="s">
        <v>174</v>
      </c>
      <c r="BB1498" s="15" t="s">
        <v>14598</v>
      </c>
      <c r="BE1498" s="15" t="s">
        <v>1123</v>
      </c>
      <c r="BF1498" s="15" t="s">
        <v>14599</v>
      </c>
      <c r="BJ1498" s="15" t="s">
        <v>14608</v>
      </c>
      <c r="BN1498" s="15" t="s">
        <v>179</v>
      </c>
      <c r="BP1498" s="15" t="s">
        <v>138</v>
      </c>
      <c r="BS1498" s="15" t="s">
        <v>14609</v>
      </c>
      <c r="DH1498" s="15" t="s">
        <v>17982</v>
      </c>
      <c r="DI1498" s="15" t="s">
        <v>17982</v>
      </c>
    </row>
    <row r="1499" spans="1:113" s="15" customFormat="1" ht="12.75" x14ac:dyDescent="0.2">
      <c r="A1499" s="15" t="s">
        <v>109</v>
      </c>
      <c r="B1499" s="15" t="s">
        <v>110</v>
      </c>
      <c r="D1499" s="15" t="s">
        <v>620</v>
      </c>
      <c r="E1499" s="15" t="s">
        <v>112</v>
      </c>
      <c r="F1499" s="15" t="s">
        <v>620</v>
      </c>
      <c r="G1499" s="15" t="s">
        <v>113</v>
      </c>
      <c r="H1499" s="15" t="s">
        <v>111</v>
      </c>
      <c r="J1499" s="16" t="s">
        <v>114</v>
      </c>
      <c r="U1499" s="15" t="s">
        <v>17977</v>
      </c>
      <c r="W1499" s="15">
        <v>2434</v>
      </c>
      <c r="X1499" s="15">
        <v>1509</v>
      </c>
      <c r="Y1499" s="15" t="s">
        <v>160</v>
      </c>
      <c r="Z1499" s="15" t="s">
        <v>161</v>
      </c>
      <c r="AA1499" s="15" t="s">
        <v>162</v>
      </c>
      <c r="AB1499" s="15" t="s">
        <v>12130</v>
      </c>
      <c r="AC1499" s="15" t="s">
        <v>12130</v>
      </c>
      <c r="AD1499" s="15" t="s">
        <v>12130</v>
      </c>
      <c r="AE1499" s="15" t="s">
        <v>164</v>
      </c>
      <c r="AF1499" s="15" t="s">
        <v>12130</v>
      </c>
      <c r="AG1499" s="15" t="s">
        <v>12130</v>
      </c>
      <c r="AH1499" s="47" t="s">
        <v>12131</v>
      </c>
      <c r="AL1499" s="15" t="s">
        <v>12132</v>
      </c>
      <c r="AN1499" s="15">
        <v>743</v>
      </c>
      <c r="AO1499" s="15" t="s">
        <v>12133</v>
      </c>
      <c r="AQ1499" s="15" t="s">
        <v>843</v>
      </c>
      <c r="AT1499" s="15" t="s">
        <v>12134</v>
      </c>
      <c r="AU1499" s="15" t="s">
        <v>12135</v>
      </c>
      <c r="AV1499" s="15" t="s">
        <v>12135</v>
      </c>
      <c r="AW1499" s="15" t="s">
        <v>12136</v>
      </c>
      <c r="AX1499" s="15" t="s">
        <v>12137</v>
      </c>
      <c r="AY1499" s="15">
        <f t="shared" si="33"/>
        <v>60</v>
      </c>
      <c r="AZ1499" s="15" t="s">
        <v>848</v>
      </c>
      <c r="BA1499" s="15" t="s">
        <v>174</v>
      </c>
      <c r="BB1499" s="15" t="s">
        <v>12138</v>
      </c>
      <c r="BC1499" s="15" t="s">
        <v>1175</v>
      </c>
      <c r="BE1499" s="15" t="s">
        <v>1123</v>
      </c>
      <c r="BJ1499" s="15" t="s">
        <v>12139</v>
      </c>
      <c r="BN1499" s="15" t="s">
        <v>179</v>
      </c>
      <c r="BP1499" s="15" t="s">
        <v>138</v>
      </c>
      <c r="BS1499" s="15" t="s">
        <v>12140</v>
      </c>
      <c r="DH1499" s="15" t="s">
        <v>17982</v>
      </c>
      <c r="DI1499" s="15" t="s">
        <v>17982</v>
      </c>
    </row>
    <row r="1500" spans="1:113" s="15" customFormat="1" ht="12.75" x14ac:dyDescent="0.2">
      <c r="A1500" s="15" t="s">
        <v>109</v>
      </c>
      <c r="B1500" s="15" t="s">
        <v>110</v>
      </c>
      <c r="D1500" s="15" t="s">
        <v>620</v>
      </c>
      <c r="E1500" s="15" t="s">
        <v>112</v>
      </c>
      <c r="F1500" s="15" t="s">
        <v>620</v>
      </c>
      <c r="G1500" s="15" t="s">
        <v>113</v>
      </c>
      <c r="H1500" s="15" t="s">
        <v>111</v>
      </c>
      <c r="J1500" s="16" t="s">
        <v>114</v>
      </c>
      <c r="U1500" s="15" t="s">
        <v>17977</v>
      </c>
      <c r="W1500" s="15">
        <v>3245</v>
      </c>
      <c r="X1500" s="15">
        <v>1510</v>
      </c>
      <c r="Y1500" s="15" t="s">
        <v>160</v>
      </c>
      <c r="Z1500" s="15" t="s">
        <v>161</v>
      </c>
      <c r="AA1500" s="15" t="s">
        <v>162</v>
      </c>
      <c r="AB1500" s="15" t="s">
        <v>15628</v>
      </c>
      <c r="AC1500" s="15" t="s">
        <v>15628</v>
      </c>
      <c r="AD1500" s="15" t="s">
        <v>15628</v>
      </c>
      <c r="AE1500" s="15" t="s">
        <v>164</v>
      </c>
      <c r="AF1500" s="15" t="s">
        <v>15628</v>
      </c>
      <c r="AG1500" s="15" t="s">
        <v>15628</v>
      </c>
      <c r="AH1500" s="15" t="s">
        <v>15629</v>
      </c>
      <c r="AL1500" s="15" t="s">
        <v>15630</v>
      </c>
      <c r="AN1500" s="15">
        <v>743</v>
      </c>
      <c r="AO1500" s="15" t="s">
        <v>15631</v>
      </c>
      <c r="AQ1500" s="15" t="s">
        <v>843</v>
      </c>
      <c r="AT1500" s="15" t="s">
        <v>15632</v>
      </c>
      <c r="AU1500" s="15" t="s">
        <v>15633</v>
      </c>
      <c r="AV1500" s="15" t="s">
        <v>15633</v>
      </c>
      <c r="AW1500" s="15" t="s">
        <v>15634</v>
      </c>
      <c r="AX1500" s="15" t="s">
        <v>15634</v>
      </c>
      <c r="AY1500" s="15">
        <f t="shared" si="33"/>
        <v>55</v>
      </c>
      <c r="AZ1500" s="15" t="s">
        <v>848</v>
      </c>
      <c r="BA1500" s="15" t="s">
        <v>174</v>
      </c>
      <c r="BB1500" s="15" t="s">
        <v>15625</v>
      </c>
      <c r="BE1500" s="15" t="s">
        <v>1123</v>
      </c>
      <c r="BF1500" s="15" t="s">
        <v>3738</v>
      </c>
      <c r="BJ1500" s="15" t="s">
        <v>15635</v>
      </c>
      <c r="BN1500" s="15" t="s">
        <v>179</v>
      </c>
      <c r="BP1500" s="15" t="s">
        <v>138</v>
      </c>
      <c r="BS1500" s="15" t="s">
        <v>15636</v>
      </c>
      <c r="DH1500" s="15" t="s">
        <v>17982</v>
      </c>
      <c r="DI1500" s="15" t="s">
        <v>17982</v>
      </c>
    </row>
    <row r="1501" spans="1:113" s="15" customFormat="1" ht="12.75" x14ac:dyDescent="0.2">
      <c r="A1501" s="15" t="s">
        <v>109</v>
      </c>
      <c r="B1501" s="15" t="s">
        <v>110</v>
      </c>
      <c r="D1501" s="15" t="s">
        <v>620</v>
      </c>
      <c r="E1501" s="15" t="s">
        <v>112</v>
      </c>
      <c r="F1501" s="15" t="s">
        <v>620</v>
      </c>
      <c r="G1501" s="15" t="s">
        <v>113</v>
      </c>
      <c r="H1501" s="15" t="s">
        <v>111</v>
      </c>
      <c r="J1501" s="16" t="s">
        <v>114</v>
      </c>
      <c r="U1501" s="15" t="s">
        <v>17977</v>
      </c>
      <c r="W1501" s="15">
        <v>1184</v>
      </c>
      <c r="X1501" s="15">
        <v>1511</v>
      </c>
      <c r="Y1501" s="15" t="s">
        <v>160</v>
      </c>
      <c r="Z1501" s="15" t="s">
        <v>161</v>
      </c>
      <c r="AA1501" s="15" t="s">
        <v>162</v>
      </c>
      <c r="AB1501" s="15" t="s">
        <v>6142</v>
      </c>
      <c r="AC1501" s="15" t="s">
        <v>6142</v>
      </c>
      <c r="AD1501" s="15" t="s">
        <v>6142</v>
      </c>
      <c r="AE1501" s="15" t="s">
        <v>164</v>
      </c>
      <c r="AF1501" s="15" t="s">
        <v>6142</v>
      </c>
      <c r="AG1501" s="15" t="s">
        <v>6142</v>
      </c>
      <c r="AH1501" s="15" t="s">
        <v>6143</v>
      </c>
      <c r="AL1501" s="15" t="s">
        <v>6144</v>
      </c>
      <c r="AN1501" s="15">
        <v>743</v>
      </c>
      <c r="AO1501" s="15" t="s">
        <v>6145</v>
      </c>
      <c r="AQ1501" s="15" t="s">
        <v>3798</v>
      </c>
      <c r="AT1501" s="15" t="s">
        <v>6146</v>
      </c>
      <c r="AU1501" s="15" t="s">
        <v>6147</v>
      </c>
      <c r="AV1501" s="15" t="s">
        <v>6147</v>
      </c>
      <c r="AW1501" s="15" t="s">
        <v>6148</v>
      </c>
      <c r="AX1501" s="15" t="s">
        <v>6148</v>
      </c>
      <c r="AY1501" s="15">
        <f t="shared" si="33"/>
        <v>59</v>
      </c>
      <c r="AZ1501" s="15" t="s">
        <v>3803</v>
      </c>
      <c r="BA1501" s="15" t="s">
        <v>174</v>
      </c>
      <c r="BB1501" s="15" t="s">
        <v>6149</v>
      </c>
      <c r="BE1501" s="15" t="s">
        <v>1123</v>
      </c>
      <c r="BF1501" s="15" t="s">
        <v>6150</v>
      </c>
      <c r="BJ1501" s="15" t="s">
        <v>6151</v>
      </c>
      <c r="BK1501" s="15" t="s">
        <v>487</v>
      </c>
      <c r="BN1501" s="15" t="s">
        <v>179</v>
      </c>
      <c r="BP1501" s="15" t="s">
        <v>138</v>
      </c>
      <c r="BS1501" s="15" t="s">
        <v>6152</v>
      </c>
      <c r="DH1501" s="15" t="s">
        <v>17982</v>
      </c>
      <c r="DI1501" s="15" t="s">
        <v>17982</v>
      </c>
    </row>
    <row r="1502" spans="1:113" s="15" customFormat="1" ht="12.75" x14ac:dyDescent="0.2">
      <c r="A1502" s="15" t="s">
        <v>109</v>
      </c>
      <c r="B1502" s="15" t="s">
        <v>110</v>
      </c>
      <c r="D1502" s="15" t="s">
        <v>620</v>
      </c>
      <c r="E1502" s="15" t="s">
        <v>112</v>
      </c>
      <c r="F1502" s="15" t="s">
        <v>620</v>
      </c>
      <c r="G1502" s="15" t="s">
        <v>113</v>
      </c>
      <c r="H1502" s="15" t="s">
        <v>111</v>
      </c>
      <c r="J1502" s="16" t="s">
        <v>114</v>
      </c>
      <c r="U1502" s="15" t="s">
        <v>17977</v>
      </c>
      <c r="W1502" s="15">
        <v>864</v>
      </c>
      <c r="X1502" s="15">
        <v>1512</v>
      </c>
      <c r="Y1502" s="15" t="s">
        <v>160</v>
      </c>
      <c r="Z1502" s="15" t="s">
        <v>161</v>
      </c>
      <c r="AA1502" s="15" t="s">
        <v>162</v>
      </c>
      <c r="AB1502" s="15" t="s">
        <v>3794</v>
      </c>
      <c r="AC1502" s="15" t="s">
        <v>3794</v>
      </c>
      <c r="AD1502" s="15" t="s">
        <v>3794</v>
      </c>
      <c r="AE1502" s="15" t="s">
        <v>164</v>
      </c>
      <c r="AF1502" s="15" t="s">
        <v>3794</v>
      </c>
      <c r="AG1502" s="15" t="s">
        <v>3794</v>
      </c>
      <c r="AH1502" s="15" t="s">
        <v>3795</v>
      </c>
      <c r="AL1502" s="15" t="s">
        <v>3796</v>
      </c>
      <c r="AN1502" s="15">
        <v>743</v>
      </c>
      <c r="AO1502" s="15" t="s">
        <v>3797</v>
      </c>
      <c r="AQ1502" s="15" t="s">
        <v>3798</v>
      </c>
      <c r="AT1502" s="15" t="s">
        <v>3799</v>
      </c>
      <c r="AU1502" s="15" t="s">
        <v>3800</v>
      </c>
      <c r="AV1502" s="15" t="s">
        <v>3800</v>
      </c>
      <c r="AW1502" s="15" t="s">
        <v>3801</v>
      </c>
      <c r="AX1502" s="15" t="s">
        <v>3802</v>
      </c>
      <c r="AY1502" s="15">
        <f t="shared" si="33"/>
        <v>51</v>
      </c>
      <c r="AZ1502" s="15" t="s">
        <v>3803</v>
      </c>
      <c r="BA1502" s="15" t="s">
        <v>174</v>
      </c>
      <c r="BB1502" s="15" t="s">
        <v>3804</v>
      </c>
      <c r="BE1502" s="15" t="s">
        <v>2054</v>
      </c>
      <c r="BF1502" s="15" t="s">
        <v>1467</v>
      </c>
      <c r="BJ1502" s="15" t="s">
        <v>3805</v>
      </c>
      <c r="BK1502" s="15" t="s">
        <v>487</v>
      </c>
      <c r="BN1502" s="15" t="s">
        <v>179</v>
      </c>
      <c r="BP1502" s="15" t="s">
        <v>138</v>
      </c>
      <c r="BS1502" s="15" t="s">
        <v>3806</v>
      </c>
      <c r="DH1502" s="15" t="s">
        <v>17982</v>
      </c>
      <c r="DI1502" s="15" t="s">
        <v>17982</v>
      </c>
    </row>
    <row r="1503" spans="1:113" s="15" customFormat="1" ht="12.75" x14ac:dyDescent="0.2">
      <c r="A1503" s="15" t="s">
        <v>109</v>
      </c>
      <c r="B1503" s="15" t="s">
        <v>110</v>
      </c>
      <c r="D1503" s="15" t="s">
        <v>620</v>
      </c>
      <c r="E1503" s="15" t="s">
        <v>112</v>
      </c>
      <c r="F1503" s="15" t="s">
        <v>620</v>
      </c>
      <c r="G1503" s="15" t="s">
        <v>113</v>
      </c>
      <c r="H1503" s="15" t="s">
        <v>111</v>
      </c>
      <c r="J1503" s="16" t="s">
        <v>114</v>
      </c>
      <c r="U1503" s="15" t="s">
        <v>17977</v>
      </c>
      <c r="W1503" s="15">
        <v>1160</v>
      </c>
      <c r="X1503" s="15">
        <v>1513</v>
      </c>
      <c r="Y1503" s="15" t="s">
        <v>160</v>
      </c>
      <c r="Z1503" s="15" t="s">
        <v>161</v>
      </c>
      <c r="AA1503" s="15" t="s">
        <v>162</v>
      </c>
      <c r="AB1503" s="15" t="s">
        <v>6044</v>
      </c>
      <c r="AC1503" s="15" t="s">
        <v>6044</v>
      </c>
      <c r="AD1503" s="15" t="s">
        <v>6044</v>
      </c>
      <c r="AE1503" s="15" t="s">
        <v>164</v>
      </c>
      <c r="AF1503" s="15" t="s">
        <v>6044</v>
      </c>
      <c r="AG1503" s="15" t="s">
        <v>6044</v>
      </c>
      <c r="AH1503" s="15" t="s">
        <v>6045</v>
      </c>
      <c r="AL1503" s="15" t="s">
        <v>6046</v>
      </c>
      <c r="AN1503" s="15">
        <v>743</v>
      </c>
      <c r="AO1503" s="15" t="s">
        <v>6047</v>
      </c>
      <c r="AQ1503" s="15" t="s">
        <v>3798</v>
      </c>
      <c r="AT1503" s="15" t="s">
        <v>6048</v>
      </c>
      <c r="AU1503" s="15" t="s">
        <v>6049</v>
      </c>
      <c r="AV1503" s="15" t="s">
        <v>6049</v>
      </c>
      <c r="AW1503" s="15" t="s">
        <v>6050</v>
      </c>
      <c r="AX1503" s="15" t="s">
        <v>6051</v>
      </c>
      <c r="AY1503" s="15">
        <f t="shared" si="33"/>
        <v>55</v>
      </c>
      <c r="AZ1503" s="15" t="s">
        <v>3803</v>
      </c>
      <c r="BA1503" s="15" t="s">
        <v>174</v>
      </c>
      <c r="BB1503" s="15" t="s">
        <v>6052</v>
      </c>
      <c r="BE1503" s="15" t="s">
        <v>251</v>
      </c>
      <c r="BF1503" s="15" t="s">
        <v>1467</v>
      </c>
      <c r="BJ1503" s="15" t="s">
        <v>6053</v>
      </c>
      <c r="BK1503" s="15" t="s">
        <v>487</v>
      </c>
      <c r="BN1503" s="15" t="s">
        <v>179</v>
      </c>
      <c r="BP1503" s="15" t="s">
        <v>138</v>
      </c>
      <c r="BS1503" s="15" t="s">
        <v>6054</v>
      </c>
      <c r="DH1503" s="15" t="s">
        <v>17982</v>
      </c>
      <c r="DI1503" s="15" t="s">
        <v>17982</v>
      </c>
    </row>
    <row r="1504" spans="1:113" s="15" customFormat="1" ht="12.75" x14ac:dyDescent="0.2">
      <c r="A1504" s="15" t="s">
        <v>109</v>
      </c>
      <c r="B1504" s="15" t="s">
        <v>110</v>
      </c>
      <c r="D1504" s="15" t="s">
        <v>620</v>
      </c>
      <c r="E1504" s="15" t="s">
        <v>112</v>
      </c>
      <c r="F1504" s="15" t="s">
        <v>620</v>
      </c>
      <c r="G1504" s="15" t="s">
        <v>113</v>
      </c>
      <c r="H1504" s="15" t="s">
        <v>111</v>
      </c>
      <c r="J1504" s="16" t="s">
        <v>114</v>
      </c>
      <c r="U1504" s="15" t="s">
        <v>17977</v>
      </c>
      <c r="W1504" s="15">
        <v>2433</v>
      </c>
      <c r="X1504" s="15">
        <v>1514</v>
      </c>
      <c r="Y1504" s="15" t="s">
        <v>160</v>
      </c>
      <c r="Z1504" s="15" t="s">
        <v>161</v>
      </c>
      <c r="AA1504" s="15" t="s">
        <v>162</v>
      </c>
      <c r="AB1504" s="15" t="s">
        <v>12119</v>
      </c>
      <c r="AC1504" s="15" t="s">
        <v>12119</v>
      </c>
      <c r="AD1504" s="15" t="s">
        <v>12119</v>
      </c>
      <c r="AE1504" s="15" t="s">
        <v>164</v>
      </c>
      <c r="AF1504" s="15" t="s">
        <v>12119</v>
      </c>
      <c r="AG1504" s="15" t="s">
        <v>12119</v>
      </c>
      <c r="AH1504" s="47" t="s">
        <v>12120</v>
      </c>
      <c r="AL1504" s="15" t="s">
        <v>12121</v>
      </c>
      <c r="AN1504" s="15">
        <v>743</v>
      </c>
      <c r="AO1504" s="15" t="s">
        <v>12122</v>
      </c>
      <c r="AQ1504" s="15" t="s">
        <v>3798</v>
      </c>
      <c r="AT1504" s="15" t="s">
        <v>12123</v>
      </c>
      <c r="AU1504" s="15" t="s">
        <v>12124</v>
      </c>
      <c r="AV1504" s="15" t="s">
        <v>12124</v>
      </c>
      <c r="AW1504" s="15" t="s">
        <v>12125</v>
      </c>
      <c r="AX1504" s="15" t="s">
        <v>12126</v>
      </c>
      <c r="AY1504" s="15">
        <f t="shared" si="33"/>
        <v>60</v>
      </c>
      <c r="AZ1504" s="15" t="s">
        <v>3803</v>
      </c>
      <c r="BA1504" s="15" t="s">
        <v>174</v>
      </c>
      <c r="BB1504" s="15" t="s">
        <v>11953</v>
      </c>
      <c r="BE1504" s="15" t="s">
        <v>367</v>
      </c>
      <c r="BF1504" s="15" t="s">
        <v>3738</v>
      </c>
      <c r="BI1504" s="15" t="s">
        <v>12127</v>
      </c>
      <c r="BJ1504" s="15" t="s">
        <v>12128</v>
      </c>
      <c r="BN1504" s="15" t="s">
        <v>179</v>
      </c>
      <c r="BP1504" s="15" t="s">
        <v>138</v>
      </c>
      <c r="BS1504" s="15" t="s">
        <v>12129</v>
      </c>
      <c r="DH1504" s="15" t="s">
        <v>17982</v>
      </c>
      <c r="DI1504" s="15" t="s">
        <v>17982</v>
      </c>
    </row>
    <row r="1505" spans="1:113" s="15" customFormat="1" ht="12.75" x14ac:dyDescent="0.2">
      <c r="A1505" s="15" t="s">
        <v>109</v>
      </c>
      <c r="B1505" s="15" t="s">
        <v>110</v>
      </c>
      <c r="D1505" s="15" t="s">
        <v>620</v>
      </c>
      <c r="E1505" s="15" t="s">
        <v>112</v>
      </c>
      <c r="F1505" s="15" t="s">
        <v>620</v>
      </c>
      <c r="G1505" s="15" t="s">
        <v>113</v>
      </c>
      <c r="H1505" s="15" t="s">
        <v>111</v>
      </c>
      <c r="J1505" s="16" t="s">
        <v>114</v>
      </c>
      <c r="U1505" s="15" t="s">
        <v>17977</v>
      </c>
      <c r="W1505" s="15">
        <v>3244</v>
      </c>
      <c r="X1505" s="15">
        <v>1515</v>
      </c>
      <c r="Y1505" s="15" t="s">
        <v>160</v>
      </c>
      <c r="Z1505" s="15" t="s">
        <v>161</v>
      </c>
      <c r="AA1505" s="15" t="s">
        <v>162</v>
      </c>
      <c r="AB1505" s="15" t="s">
        <v>15618</v>
      </c>
      <c r="AC1505" s="15" t="s">
        <v>15618</v>
      </c>
      <c r="AD1505" s="15" t="s">
        <v>15618</v>
      </c>
      <c r="AE1505" s="15" t="s">
        <v>164</v>
      </c>
      <c r="AF1505" s="15" t="s">
        <v>15618</v>
      </c>
      <c r="AG1505" s="15" t="s">
        <v>15618</v>
      </c>
      <c r="AH1505" s="15" t="s">
        <v>15619</v>
      </c>
      <c r="AL1505" s="15" t="s">
        <v>15620</v>
      </c>
      <c r="AN1505" s="15">
        <v>743</v>
      </c>
      <c r="AO1505" s="15" t="s">
        <v>15621</v>
      </c>
      <c r="AQ1505" s="15" t="s">
        <v>3798</v>
      </c>
      <c r="AT1505" s="15" t="s">
        <v>15622</v>
      </c>
      <c r="AU1505" s="15" t="s">
        <v>15623</v>
      </c>
      <c r="AV1505" s="15" t="s">
        <v>15623</v>
      </c>
      <c r="AW1505" s="15" t="s">
        <v>15624</v>
      </c>
      <c r="AX1505" s="15" t="s">
        <v>15624</v>
      </c>
      <c r="AY1505" s="15">
        <f t="shared" si="33"/>
        <v>56</v>
      </c>
      <c r="AZ1505" s="15" t="s">
        <v>3803</v>
      </c>
      <c r="BA1505" s="15" t="s">
        <v>174</v>
      </c>
      <c r="BB1505" s="15" t="s">
        <v>15625</v>
      </c>
      <c r="BE1505" s="15" t="s">
        <v>251</v>
      </c>
      <c r="BF1505" s="15" t="s">
        <v>217</v>
      </c>
      <c r="BJ1505" s="15" t="s">
        <v>15626</v>
      </c>
      <c r="BN1505" s="15" t="s">
        <v>179</v>
      </c>
      <c r="BP1505" s="15" t="s">
        <v>138</v>
      </c>
      <c r="BS1505" s="15" t="s">
        <v>15627</v>
      </c>
      <c r="DH1505" s="15" t="s">
        <v>17982</v>
      </c>
      <c r="DI1505" s="15" t="s">
        <v>17982</v>
      </c>
    </row>
    <row r="1506" spans="1:113" s="15" customFormat="1" ht="12.75" x14ac:dyDescent="0.2">
      <c r="A1506" s="15" t="s">
        <v>109</v>
      </c>
      <c r="B1506" s="15" t="s">
        <v>110</v>
      </c>
      <c r="D1506" s="15" t="s">
        <v>233</v>
      </c>
      <c r="E1506" s="15" t="s">
        <v>113</v>
      </c>
      <c r="F1506" s="15" t="s">
        <v>233</v>
      </c>
      <c r="G1506" s="15" t="s">
        <v>113</v>
      </c>
      <c r="H1506" s="15" t="s">
        <v>111</v>
      </c>
      <c r="J1506" s="16" t="s">
        <v>114</v>
      </c>
      <c r="U1506" s="15" t="s">
        <v>17977</v>
      </c>
      <c r="W1506" s="15">
        <v>855</v>
      </c>
      <c r="X1506" s="15">
        <v>1516</v>
      </c>
      <c r="Y1506" s="15" t="s">
        <v>160</v>
      </c>
      <c r="Z1506" s="15" t="s">
        <v>161</v>
      </c>
      <c r="AA1506" s="15" t="s">
        <v>162</v>
      </c>
      <c r="AB1506" s="15" t="s">
        <v>3741</v>
      </c>
      <c r="AC1506" s="15" t="s">
        <v>3741</v>
      </c>
      <c r="AD1506" s="15" t="s">
        <v>3741</v>
      </c>
      <c r="AE1506" s="15" t="s">
        <v>164</v>
      </c>
      <c r="AF1506" s="15" t="s">
        <v>3741</v>
      </c>
      <c r="AG1506" s="15" t="s">
        <v>3741</v>
      </c>
      <c r="AH1506" s="15" t="s">
        <v>3742</v>
      </c>
      <c r="AL1506" s="15" t="s">
        <v>3743</v>
      </c>
      <c r="AN1506" s="15">
        <v>743</v>
      </c>
      <c r="AO1506" s="15" t="s">
        <v>3744</v>
      </c>
      <c r="AQ1506" s="20" t="s">
        <v>912</v>
      </c>
      <c r="AT1506" s="18" t="s">
        <v>3745</v>
      </c>
      <c r="AU1506" s="18" t="s">
        <v>3746</v>
      </c>
      <c r="AV1506" s="18" t="s">
        <v>3747</v>
      </c>
      <c r="AW1506" s="18" t="s">
        <v>3748</v>
      </c>
      <c r="AX1506" s="18" t="s">
        <v>3748</v>
      </c>
      <c r="AY1506" s="21">
        <f t="shared" ref="AY1506:AY1537" si="34">LEN(SUBSTITUTE(AX1506,", "," "))</f>
        <v>50</v>
      </c>
      <c r="AZ1506" s="18" t="s">
        <v>917</v>
      </c>
      <c r="BA1506" s="18" t="s">
        <v>174</v>
      </c>
      <c r="BB1506" s="24" t="s">
        <v>3685</v>
      </c>
      <c r="BC1506" s="18"/>
      <c r="BD1506" s="18"/>
      <c r="BE1506" s="18" t="s">
        <v>3686</v>
      </c>
      <c r="BF1506" s="18"/>
      <c r="BG1506" s="18"/>
      <c r="BH1506" s="18"/>
      <c r="BI1506" s="18"/>
      <c r="BJ1506" s="18" t="s">
        <v>3749</v>
      </c>
      <c r="BK1506" s="18"/>
      <c r="BL1506" s="18"/>
      <c r="BM1506" s="18"/>
      <c r="BN1506" s="18" t="s">
        <v>179</v>
      </c>
      <c r="BO1506" s="18"/>
      <c r="BP1506" s="15" t="s">
        <v>138</v>
      </c>
      <c r="BQ1506" s="18"/>
      <c r="BS1506" s="15" t="s">
        <v>3750</v>
      </c>
      <c r="DH1506" s="15" t="s">
        <v>17982</v>
      </c>
      <c r="DI1506" s="15" t="s">
        <v>17982</v>
      </c>
    </row>
    <row r="1507" spans="1:113" s="15" customFormat="1" ht="12.75" x14ac:dyDescent="0.2">
      <c r="A1507" s="15" t="s">
        <v>109</v>
      </c>
      <c r="B1507" s="15" t="s">
        <v>110</v>
      </c>
      <c r="D1507" s="15" t="s">
        <v>233</v>
      </c>
      <c r="E1507" s="15" t="s">
        <v>113</v>
      </c>
      <c r="F1507" s="15" t="s">
        <v>233</v>
      </c>
      <c r="G1507" s="15" t="s">
        <v>113</v>
      </c>
      <c r="H1507" s="15" t="s">
        <v>111</v>
      </c>
      <c r="J1507" s="16" t="s">
        <v>114</v>
      </c>
      <c r="U1507" s="15" t="s">
        <v>17977</v>
      </c>
      <c r="W1507" s="15">
        <v>23</v>
      </c>
      <c r="X1507" s="15">
        <v>1517</v>
      </c>
      <c r="Y1507" s="15" t="s">
        <v>160</v>
      </c>
      <c r="Z1507" s="15" t="s">
        <v>161</v>
      </c>
      <c r="AA1507" s="15" t="s">
        <v>162</v>
      </c>
      <c r="AB1507" s="15" t="s">
        <v>327</v>
      </c>
      <c r="AC1507" s="15" t="s">
        <v>327</v>
      </c>
      <c r="AD1507" s="15" t="s">
        <v>327</v>
      </c>
      <c r="AE1507" s="15" t="s">
        <v>164</v>
      </c>
      <c r="AF1507" s="15" t="s">
        <v>327</v>
      </c>
      <c r="AG1507" s="15" t="s">
        <v>327</v>
      </c>
      <c r="AH1507" s="15" t="s">
        <v>328</v>
      </c>
      <c r="AL1507" s="15" t="s">
        <v>329</v>
      </c>
      <c r="AN1507" s="15">
        <v>743</v>
      </c>
      <c r="AO1507" s="15" t="s">
        <v>330</v>
      </c>
      <c r="AQ1507" s="20" t="s">
        <v>168</v>
      </c>
      <c r="AT1507" s="18" t="s">
        <v>331</v>
      </c>
      <c r="AU1507" s="18" t="s">
        <v>332</v>
      </c>
      <c r="AV1507" s="18" t="s">
        <v>333</v>
      </c>
      <c r="AW1507" s="18" t="s">
        <v>334</v>
      </c>
      <c r="AX1507" s="18" t="s">
        <v>335</v>
      </c>
      <c r="AY1507" s="21">
        <f t="shared" si="34"/>
        <v>59</v>
      </c>
      <c r="AZ1507" s="18" t="s">
        <v>173</v>
      </c>
      <c r="BA1507" s="18" t="s">
        <v>174</v>
      </c>
      <c r="BB1507" s="18" t="s">
        <v>216</v>
      </c>
      <c r="BC1507" s="18"/>
      <c r="BD1507" s="18"/>
      <c r="BE1507" s="18" t="s">
        <v>264</v>
      </c>
      <c r="BF1507" s="18"/>
      <c r="BG1507" s="18"/>
      <c r="BH1507" s="18"/>
      <c r="BI1507" s="18"/>
      <c r="BJ1507" s="18" t="s">
        <v>336</v>
      </c>
      <c r="BK1507" s="18"/>
      <c r="BL1507" s="18"/>
      <c r="BM1507" s="18"/>
      <c r="BN1507" s="18" t="s">
        <v>179</v>
      </c>
      <c r="BO1507" s="18"/>
      <c r="BP1507" s="15" t="s">
        <v>138</v>
      </c>
      <c r="BQ1507" s="18"/>
      <c r="BS1507" s="15" t="s">
        <v>337</v>
      </c>
      <c r="DH1507" s="15" t="s">
        <v>17982</v>
      </c>
      <c r="DI1507" s="15" t="s">
        <v>17982</v>
      </c>
    </row>
    <row r="1508" spans="1:113" s="15" customFormat="1" ht="12.75" x14ac:dyDescent="0.2">
      <c r="A1508" s="15" t="s">
        <v>109</v>
      </c>
      <c r="B1508" s="15" t="s">
        <v>110</v>
      </c>
      <c r="D1508" s="15" t="s">
        <v>233</v>
      </c>
      <c r="E1508" s="15" t="s">
        <v>113</v>
      </c>
      <c r="F1508" s="15" t="s">
        <v>233</v>
      </c>
      <c r="G1508" s="15" t="s">
        <v>113</v>
      </c>
      <c r="H1508" s="15" t="s">
        <v>111</v>
      </c>
      <c r="J1508" s="16" t="s">
        <v>114</v>
      </c>
      <c r="U1508" s="15" t="s">
        <v>17977</v>
      </c>
      <c r="W1508" s="15">
        <v>22</v>
      </c>
      <c r="X1508" s="15">
        <v>1518</v>
      </c>
      <c r="Y1508" s="15" t="s">
        <v>160</v>
      </c>
      <c r="Z1508" s="15" t="s">
        <v>161</v>
      </c>
      <c r="AA1508" s="15" t="s">
        <v>162</v>
      </c>
      <c r="AB1508" s="15" t="s">
        <v>316</v>
      </c>
      <c r="AC1508" s="15" t="s">
        <v>316</v>
      </c>
      <c r="AD1508" s="15" t="s">
        <v>316</v>
      </c>
      <c r="AE1508" s="15" t="s">
        <v>164</v>
      </c>
      <c r="AF1508" s="15" t="s">
        <v>316</v>
      </c>
      <c r="AG1508" s="15" t="s">
        <v>316</v>
      </c>
      <c r="AH1508" s="15" t="s">
        <v>317</v>
      </c>
      <c r="AL1508" s="15" t="s">
        <v>318</v>
      </c>
      <c r="AN1508" s="15">
        <v>743</v>
      </c>
      <c r="AO1508" s="15" t="s">
        <v>319</v>
      </c>
      <c r="AQ1508" s="20" t="s">
        <v>168</v>
      </c>
      <c r="AT1508" s="18" t="s">
        <v>320</v>
      </c>
      <c r="AU1508" s="18" t="s">
        <v>321</v>
      </c>
      <c r="AV1508" s="18" t="s">
        <v>322</v>
      </c>
      <c r="AW1508" s="18" t="s">
        <v>323</v>
      </c>
      <c r="AX1508" s="18" t="s">
        <v>324</v>
      </c>
      <c r="AY1508" s="21">
        <f t="shared" si="34"/>
        <v>58</v>
      </c>
      <c r="AZ1508" s="18" t="s">
        <v>173</v>
      </c>
      <c r="BA1508" s="18" t="s">
        <v>174</v>
      </c>
      <c r="BB1508" s="18" t="s">
        <v>216</v>
      </c>
      <c r="BC1508" s="18"/>
      <c r="BD1508" s="18"/>
      <c r="BE1508" s="18" t="s">
        <v>264</v>
      </c>
      <c r="BF1508" s="18"/>
      <c r="BG1508" s="18"/>
      <c r="BH1508" s="18"/>
      <c r="BI1508" s="18"/>
      <c r="BJ1508" s="18" t="s">
        <v>325</v>
      </c>
      <c r="BK1508" s="18"/>
      <c r="BL1508" s="18"/>
      <c r="BM1508" s="18"/>
      <c r="BN1508" s="18" t="s">
        <v>179</v>
      </c>
      <c r="BO1508" s="18"/>
      <c r="BP1508" s="15" t="s">
        <v>138</v>
      </c>
      <c r="BQ1508" s="18"/>
      <c r="BS1508" s="15" t="s">
        <v>326</v>
      </c>
      <c r="DH1508" s="15" t="s">
        <v>17982</v>
      </c>
      <c r="DI1508" s="15" t="s">
        <v>17982</v>
      </c>
    </row>
    <row r="1509" spans="1:113" s="15" customFormat="1" ht="12.75" x14ac:dyDescent="0.2">
      <c r="A1509" s="15" t="s">
        <v>109</v>
      </c>
      <c r="B1509" s="15" t="s">
        <v>110</v>
      </c>
      <c r="D1509" s="15" t="s">
        <v>233</v>
      </c>
      <c r="E1509" s="15" t="s">
        <v>113</v>
      </c>
      <c r="F1509" s="15" t="s">
        <v>233</v>
      </c>
      <c r="G1509" s="15" t="s">
        <v>113</v>
      </c>
      <c r="H1509" s="15" t="s">
        <v>111</v>
      </c>
      <c r="J1509" s="16" t="s">
        <v>114</v>
      </c>
      <c r="U1509" s="15" t="s">
        <v>17977</v>
      </c>
      <c r="W1509" s="15">
        <v>21</v>
      </c>
      <c r="X1509" s="15">
        <v>1519</v>
      </c>
      <c r="Y1509" s="15" t="s">
        <v>160</v>
      </c>
      <c r="Z1509" s="15" t="s">
        <v>161</v>
      </c>
      <c r="AA1509" s="15" t="s">
        <v>162</v>
      </c>
      <c r="AB1509" s="15" t="s">
        <v>303</v>
      </c>
      <c r="AC1509" s="15" t="s">
        <v>303</v>
      </c>
      <c r="AD1509" s="15" t="s">
        <v>303</v>
      </c>
      <c r="AE1509" s="15" t="s">
        <v>164</v>
      </c>
      <c r="AF1509" s="15" t="s">
        <v>303</v>
      </c>
      <c r="AG1509" s="15" t="s">
        <v>303</v>
      </c>
      <c r="AH1509" s="15" t="s">
        <v>304</v>
      </c>
      <c r="AL1509" s="15" t="s">
        <v>305</v>
      </c>
      <c r="AN1509" s="15">
        <v>743</v>
      </c>
      <c r="AO1509" s="15" t="s">
        <v>306</v>
      </c>
      <c r="AQ1509" s="20" t="s">
        <v>168</v>
      </c>
      <c r="AT1509" s="18" t="s">
        <v>307</v>
      </c>
      <c r="AU1509" s="18" t="s">
        <v>308</v>
      </c>
      <c r="AV1509" s="18" t="s">
        <v>309</v>
      </c>
      <c r="AW1509" s="18" t="s">
        <v>310</v>
      </c>
      <c r="AX1509" s="18" t="s">
        <v>311</v>
      </c>
      <c r="AY1509" s="21">
        <f t="shared" si="34"/>
        <v>53</v>
      </c>
      <c r="AZ1509" s="18" t="s">
        <v>173</v>
      </c>
      <c r="BA1509" s="18" t="s">
        <v>174</v>
      </c>
      <c r="BB1509" s="18" t="s">
        <v>216</v>
      </c>
      <c r="BC1509" s="18"/>
      <c r="BD1509" s="18"/>
      <c r="BE1509" s="18" t="s">
        <v>312</v>
      </c>
      <c r="BF1509" s="18"/>
      <c r="BG1509" s="18"/>
      <c r="BH1509" s="18"/>
      <c r="BI1509" s="18"/>
      <c r="BJ1509" s="18" t="s">
        <v>313</v>
      </c>
      <c r="BK1509" s="18" t="s">
        <v>314</v>
      </c>
      <c r="BL1509" s="18"/>
      <c r="BM1509" s="18"/>
      <c r="BN1509" s="18" t="s">
        <v>179</v>
      </c>
      <c r="BO1509" s="18"/>
      <c r="BP1509" s="15" t="s">
        <v>138</v>
      </c>
      <c r="BQ1509" s="18"/>
      <c r="BS1509" s="15" t="s">
        <v>315</v>
      </c>
      <c r="DH1509" s="15" t="s">
        <v>17982</v>
      </c>
      <c r="DI1509" s="15" t="s">
        <v>17982</v>
      </c>
    </row>
    <row r="1510" spans="1:113" s="15" customFormat="1" ht="12.75" x14ac:dyDescent="0.2">
      <c r="A1510" s="15" t="s">
        <v>109</v>
      </c>
      <c r="B1510" s="15" t="s">
        <v>110</v>
      </c>
      <c r="D1510" s="15" t="s">
        <v>233</v>
      </c>
      <c r="E1510" s="15" t="s">
        <v>113</v>
      </c>
      <c r="F1510" s="15" t="s">
        <v>233</v>
      </c>
      <c r="G1510" s="15" t="s">
        <v>113</v>
      </c>
      <c r="H1510" s="15" t="s">
        <v>111</v>
      </c>
      <c r="J1510" s="16" t="s">
        <v>114</v>
      </c>
      <c r="U1510" s="15" t="s">
        <v>17977</v>
      </c>
      <c r="W1510" s="15">
        <v>1361</v>
      </c>
      <c r="X1510" s="15">
        <v>1520</v>
      </c>
      <c r="Y1510" s="15" t="s">
        <v>160</v>
      </c>
      <c r="Z1510" s="15" t="s">
        <v>161</v>
      </c>
      <c r="AA1510" s="15" t="s">
        <v>162</v>
      </c>
      <c r="AB1510" s="15" t="s">
        <v>7027</v>
      </c>
      <c r="AC1510" s="15" t="s">
        <v>7027</v>
      </c>
      <c r="AD1510" s="15" t="s">
        <v>7027</v>
      </c>
      <c r="AE1510" s="15" t="s">
        <v>164</v>
      </c>
      <c r="AF1510" s="15" t="s">
        <v>7027</v>
      </c>
      <c r="AG1510" s="15" t="s">
        <v>7027</v>
      </c>
      <c r="AH1510" s="15" t="s">
        <v>7028</v>
      </c>
      <c r="AL1510" s="15" t="s">
        <v>7029</v>
      </c>
      <c r="AN1510" s="15">
        <v>743</v>
      </c>
      <c r="AO1510" s="15" t="s">
        <v>7030</v>
      </c>
      <c r="AQ1510" s="20" t="s">
        <v>168</v>
      </c>
      <c r="AT1510" s="18" t="s">
        <v>7031</v>
      </c>
      <c r="AU1510" s="18" t="s">
        <v>7032</v>
      </c>
      <c r="AV1510" s="18" t="s">
        <v>7033</v>
      </c>
      <c r="AW1510" s="18" t="s">
        <v>7034</v>
      </c>
      <c r="AX1510" s="18" t="s">
        <v>7034</v>
      </c>
      <c r="AY1510" s="21">
        <f t="shared" si="34"/>
        <v>49</v>
      </c>
      <c r="AZ1510" s="18" t="s">
        <v>173</v>
      </c>
      <c r="BA1510" s="29" t="s">
        <v>174</v>
      </c>
      <c r="BB1510" s="24" t="s">
        <v>4978</v>
      </c>
      <c r="BC1510" s="18"/>
      <c r="BD1510" s="18"/>
      <c r="BE1510" s="18" t="s">
        <v>1123</v>
      </c>
      <c r="BF1510" s="18"/>
      <c r="BG1510" s="18"/>
      <c r="BH1510" s="18"/>
      <c r="BI1510" s="18"/>
      <c r="BJ1510" s="18" t="s">
        <v>7035</v>
      </c>
      <c r="BK1510" s="18"/>
      <c r="BL1510" s="18"/>
      <c r="BM1510" s="18"/>
      <c r="BN1510" s="18" t="s">
        <v>179</v>
      </c>
      <c r="BO1510" s="18"/>
      <c r="BP1510" s="15" t="s">
        <v>138</v>
      </c>
      <c r="BQ1510" s="18"/>
      <c r="BS1510" s="15" t="s">
        <v>7036</v>
      </c>
      <c r="DH1510" s="15" t="s">
        <v>17982</v>
      </c>
      <c r="DI1510" s="15" t="s">
        <v>17982</v>
      </c>
    </row>
    <row r="1511" spans="1:113" s="15" customFormat="1" ht="12.75" x14ac:dyDescent="0.2">
      <c r="A1511" s="15" t="s">
        <v>109</v>
      </c>
      <c r="B1511" s="15" t="s">
        <v>110</v>
      </c>
      <c r="D1511" s="15" t="s">
        <v>233</v>
      </c>
      <c r="E1511" s="15" t="s">
        <v>113</v>
      </c>
      <c r="F1511" s="15" t="s">
        <v>233</v>
      </c>
      <c r="G1511" s="15" t="s">
        <v>113</v>
      </c>
      <c r="H1511" s="15" t="s">
        <v>111</v>
      </c>
      <c r="J1511" s="16" t="s">
        <v>114</v>
      </c>
      <c r="U1511" s="15" t="s">
        <v>17977</v>
      </c>
      <c r="W1511" s="15">
        <v>3162</v>
      </c>
      <c r="X1511" s="15">
        <v>1521</v>
      </c>
      <c r="Y1511" s="15" t="s">
        <v>160</v>
      </c>
      <c r="Z1511" s="15" t="s">
        <v>161</v>
      </c>
      <c r="AA1511" s="15" t="s">
        <v>162</v>
      </c>
      <c r="AB1511" s="15" t="s">
        <v>15260</v>
      </c>
      <c r="AC1511" s="15" t="s">
        <v>15260</v>
      </c>
      <c r="AD1511" s="15" t="s">
        <v>15260</v>
      </c>
      <c r="AE1511" s="15" t="s">
        <v>164</v>
      </c>
      <c r="AF1511" s="15" t="s">
        <v>15260</v>
      </c>
      <c r="AG1511" s="15" t="s">
        <v>15260</v>
      </c>
      <c r="AH1511" s="15" t="s">
        <v>15261</v>
      </c>
      <c r="AL1511" s="15" t="s">
        <v>15262</v>
      </c>
      <c r="AN1511" s="15">
        <v>743</v>
      </c>
      <c r="AO1511" s="15" t="s">
        <v>15263</v>
      </c>
      <c r="AQ1511" s="20" t="s">
        <v>168</v>
      </c>
      <c r="AT1511" s="18" t="s">
        <v>15264</v>
      </c>
      <c r="AU1511" s="18" t="s">
        <v>15265</v>
      </c>
      <c r="AV1511" s="18" t="s">
        <v>15266</v>
      </c>
      <c r="AW1511" s="18" t="s">
        <v>15267</v>
      </c>
      <c r="AX1511" s="18" t="s">
        <v>15268</v>
      </c>
      <c r="AY1511" s="21">
        <f t="shared" si="34"/>
        <v>55</v>
      </c>
      <c r="AZ1511" s="18" t="s">
        <v>173</v>
      </c>
      <c r="BA1511" s="29" t="s">
        <v>174</v>
      </c>
      <c r="BB1511" s="24" t="s">
        <v>3685</v>
      </c>
      <c r="BC1511" s="18"/>
      <c r="BD1511" s="18"/>
      <c r="BE1511" s="18" t="s">
        <v>1123</v>
      </c>
      <c r="BF1511" s="18"/>
      <c r="BG1511" s="18"/>
      <c r="BH1511" s="18"/>
      <c r="BI1511" s="18"/>
      <c r="BJ1511" s="18" t="s">
        <v>15269</v>
      </c>
      <c r="BK1511" s="18" t="s">
        <v>314</v>
      </c>
      <c r="BL1511" s="18"/>
      <c r="BM1511" s="18"/>
      <c r="BN1511" s="18" t="s">
        <v>179</v>
      </c>
      <c r="BO1511" s="18"/>
      <c r="BP1511" s="15" t="s">
        <v>138</v>
      </c>
      <c r="BQ1511" s="18"/>
      <c r="BS1511" s="15" t="s">
        <v>15270</v>
      </c>
      <c r="DH1511" s="15" t="s">
        <v>17982</v>
      </c>
      <c r="DI1511" s="15" t="s">
        <v>17982</v>
      </c>
    </row>
    <row r="1512" spans="1:113" s="15" customFormat="1" ht="12.75" x14ac:dyDescent="0.2">
      <c r="A1512" s="15" t="s">
        <v>109</v>
      </c>
      <c r="B1512" s="15" t="s">
        <v>110</v>
      </c>
      <c r="D1512" s="15" t="s">
        <v>233</v>
      </c>
      <c r="E1512" s="15" t="s">
        <v>113</v>
      </c>
      <c r="F1512" s="15" t="s">
        <v>233</v>
      </c>
      <c r="G1512" s="15" t="s">
        <v>113</v>
      </c>
      <c r="H1512" s="15" t="s">
        <v>111</v>
      </c>
      <c r="J1512" s="16" t="s">
        <v>114</v>
      </c>
      <c r="U1512" s="15" t="s">
        <v>17977</v>
      </c>
      <c r="W1512" s="15">
        <v>857</v>
      </c>
      <c r="X1512" s="15">
        <v>1522</v>
      </c>
      <c r="Y1512" s="15" t="s">
        <v>160</v>
      </c>
      <c r="Z1512" s="15" t="s">
        <v>161</v>
      </c>
      <c r="AA1512" s="15" t="s">
        <v>162</v>
      </c>
      <c r="AB1512" s="15" t="s">
        <v>3761</v>
      </c>
      <c r="AC1512" s="15" t="s">
        <v>3761</v>
      </c>
      <c r="AD1512" s="15" t="s">
        <v>3761</v>
      </c>
      <c r="AE1512" s="15" t="s">
        <v>164</v>
      </c>
      <c r="AF1512" s="15" t="s">
        <v>3761</v>
      </c>
      <c r="AG1512" s="15" t="s">
        <v>3761</v>
      </c>
      <c r="AH1512" s="15" t="s">
        <v>3762</v>
      </c>
      <c r="AL1512" s="15" t="s">
        <v>3763</v>
      </c>
      <c r="AN1512" s="15">
        <v>743</v>
      </c>
      <c r="AO1512" s="15" t="s">
        <v>3764</v>
      </c>
      <c r="AQ1512" s="20" t="s">
        <v>168</v>
      </c>
      <c r="AT1512" s="18" t="s">
        <v>3765</v>
      </c>
      <c r="AU1512" s="18" t="s">
        <v>3766</v>
      </c>
      <c r="AV1512" s="18" t="s">
        <v>3767</v>
      </c>
      <c r="AW1512" s="18" t="s">
        <v>3768</v>
      </c>
      <c r="AX1512" s="18" t="s">
        <v>3769</v>
      </c>
      <c r="AY1512" s="21">
        <f t="shared" si="34"/>
        <v>58</v>
      </c>
      <c r="AZ1512" s="18" t="s">
        <v>173</v>
      </c>
      <c r="BA1512" s="18" t="s">
        <v>174</v>
      </c>
      <c r="BB1512" s="24" t="s">
        <v>3685</v>
      </c>
      <c r="BC1512" s="18"/>
      <c r="BD1512" s="18"/>
      <c r="BE1512" s="18" t="s">
        <v>367</v>
      </c>
      <c r="BF1512" s="18"/>
      <c r="BG1512" s="18"/>
      <c r="BH1512" s="18"/>
      <c r="BI1512" s="18"/>
      <c r="BJ1512" s="18" t="s">
        <v>3770</v>
      </c>
      <c r="BK1512" s="18"/>
      <c r="BL1512" s="18"/>
      <c r="BM1512" s="18"/>
      <c r="BN1512" s="18" t="s">
        <v>179</v>
      </c>
      <c r="BO1512" s="18"/>
      <c r="BP1512" s="15" t="s">
        <v>138</v>
      </c>
      <c r="BQ1512" s="18"/>
      <c r="BS1512" s="15" t="s">
        <v>3771</v>
      </c>
      <c r="DH1512" s="15" t="s">
        <v>17982</v>
      </c>
      <c r="DI1512" s="15" t="s">
        <v>17982</v>
      </c>
    </row>
    <row r="1513" spans="1:113" s="15" customFormat="1" ht="12.75" x14ac:dyDescent="0.2">
      <c r="A1513" s="15" t="s">
        <v>109</v>
      </c>
      <c r="B1513" s="15" t="s">
        <v>110</v>
      </c>
      <c r="D1513" s="15" t="s">
        <v>233</v>
      </c>
      <c r="E1513" s="15" t="s">
        <v>113</v>
      </c>
      <c r="F1513" s="15" t="s">
        <v>233</v>
      </c>
      <c r="G1513" s="15" t="s">
        <v>113</v>
      </c>
      <c r="H1513" s="15" t="s">
        <v>111</v>
      </c>
      <c r="J1513" s="16" t="s">
        <v>114</v>
      </c>
      <c r="U1513" s="15" t="s">
        <v>17977</v>
      </c>
      <c r="W1513" s="15">
        <v>849</v>
      </c>
      <c r="X1513" s="15">
        <v>1523</v>
      </c>
      <c r="Y1513" s="15" t="s">
        <v>160</v>
      </c>
      <c r="Z1513" s="15" t="s">
        <v>161</v>
      </c>
      <c r="AA1513" s="15" t="s">
        <v>162</v>
      </c>
      <c r="AB1513" s="15" t="s">
        <v>3689</v>
      </c>
      <c r="AC1513" s="15" t="s">
        <v>3689</v>
      </c>
      <c r="AD1513" s="15" t="s">
        <v>3689</v>
      </c>
      <c r="AE1513" s="15" t="s">
        <v>164</v>
      </c>
      <c r="AF1513" s="15" t="s">
        <v>3689</v>
      </c>
      <c r="AG1513" s="15" t="s">
        <v>3689</v>
      </c>
      <c r="AH1513" s="15" t="s">
        <v>3690</v>
      </c>
      <c r="AL1513" s="15" t="s">
        <v>3691</v>
      </c>
      <c r="AN1513" s="15">
        <v>743</v>
      </c>
      <c r="AO1513" s="15" t="s">
        <v>3692</v>
      </c>
      <c r="AQ1513" s="20" t="s">
        <v>168</v>
      </c>
      <c r="AT1513" s="18" t="s">
        <v>3693</v>
      </c>
      <c r="AU1513" s="18" t="s">
        <v>3694</v>
      </c>
      <c r="AV1513" s="18" t="s">
        <v>3695</v>
      </c>
      <c r="AW1513" s="18" t="s">
        <v>3696</v>
      </c>
      <c r="AX1513" s="18" t="s">
        <v>3697</v>
      </c>
      <c r="AY1513" s="21">
        <f t="shared" si="34"/>
        <v>57</v>
      </c>
      <c r="AZ1513" s="18" t="s">
        <v>173</v>
      </c>
      <c r="BA1513" s="18" t="s">
        <v>174</v>
      </c>
      <c r="BB1513" s="29" t="s">
        <v>3685</v>
      </c>
      <c r="BC1513" s="18"/>
      <c r="BD1513" s="18"/>
      <c r="BE1513" s="18" t="s">
        <v>1123</v>
      </c>
      <c r="BF1513" s="18"/>
      <c r="BG1513" s="18"/>
      <c r="BH1513" s="18"/>
      <c r="BI1513" s="18"/>
      <c r="BJ1513" s="18" t="s">
        <v>3698</v>
      </c>
      <c r="BK1513" s="18"/>
      <c r="BL1513" s="18"/>
      <c r="BM1513" s="18"/>
      <c r="BN1513" s="18" t="s">
        <v>179</v>
      </c>
      <c r="BO1513" s="18"/>
      <c r="BP1513" s="15" t="s">
        <v>138</v>
      </c>
      <c r="BQ1513" s="18"/>
      <c r="BS1513" s="15" t="s">
        <v>3699</v>
      </c>
      <c r="DH1513" s="15" t="s">
        <v>17982</v>
      </c>
      <c r="DI1513" s="15" t="s">
        <v>17982</v>
      </c>
    </row>
    <row r="1514" spans="1:113" s="15" customFormat="1" ht="12.75" x14ac:dyDescent="0.2">
      <c r="A1514" s="15" t="s">
        <v>109</v>
      </c>
      <c r="B1514" s="15" t="s">
        <v>110</v>
      </c>
      <c r="D1514" s="15" t="s">
        <v>233</v>
      </c>
      <c r="E1514" s="15" t="s">
        <v>113</v>
      </c>
      <c r="F1514" s="15" t="s">
        <v>233</v>
      </c>
      <c r="G1514" s="15" t="s">
        <v>113</v>
      </c>
      <c r="H1514" s="15" t="s">
        <v>111</v>
      </c>
      <c r="J1514" s="16" t="s">
        <v>114</v>
      </c>
      <c r="U1514" s="15" t="s">
        <v>17977</v>
      </c>
      <c r="W1514" s="15">
        <v>852</v>
      </c>
      <c r="X1514" s="15">
        <v>1524</v>
      </c>
      <c r="Y1514" s="15" t="s">
        <v>160</v>
      </c>
      <c r="Z1514" s="15" t="s">
        <v>161</v>
      </c>
      <c r="AA1514" s="15" t="s">
        <v>162</v>
      </c>
      <c r="AB1514" s="15" t="s">
        <v>3720</v>
      </c>
      <c r="AC1514" s="15" t="s">
        <v>3720</v>
      </c>
      <c r="AD1514" s="15" t="s">
        <v>3720</v>
      </c>
      <c r="AE1514" s="15" t="s">
        <v>164</v>
      </c>
      <c r="AF1514" s="15" t="s">
        <v>3720</v>
      </c>
      <c r="AG1514" s="15" t="s">
        <v>3720</v>
      </c>
      <c r="AH1514" s="15" t="s">
        <v>3721</v>
      </c>
      <c r="AL1514" s="15" t="s">
        <v>3722</v>
      </c>
      <c r="AN1514" s="15">
        <v>743</v>
      </c>
      <c r="AO1514" s="15" t="s">
        <v>3723</v>
      </c>
      <c r="AQ1514" s="20" t="s">
        <v>168</v>
      </c>
      <c r="AT1514" s="18" t="s">
        <v>3724</v>
      </c>
      <c r="AU1514" s="18" t="s">
        <v>3725</v>
      </c>
      <c r="AV1514" s="18" t="s">
        <v>3726</v>
      </c>
      <c r="AW1514" s="18" t="s">
        <v>3727</v>
      </c>
      <c r="AX1514" s="18" t="s">
        <v>3728</v>
      </c>
      <c r="AY1514" s="21">
        <f t="shared" si="34"/>
        <v>57</v>
      </c>
      <c r="AZ1514" s="18" t="s">
        <v>173</v>
      </c>
      <c r="BA1514" s="29" t="s">
        <v>174</v>
      </c>
      <c r="BB1514" s="18" t="s">
        <v>3685</v>
      </c>
      <c r="BC1514" s="18"/>
      <c r="BD1514" s="18"/>
      <c r="BE1514" s="18" t="s">
        <v>2299</v>
      </c>
      <c r="BF1514" s="18"/>
      <c r="BG1514" s="18"/>
      <c r="BH1514" s="18"/>
      <c r="BI1514" s="18"/>
      <c r="BJ1514" s="18" t="s">
        <v>3729</v>
      </c>
      <c r="BK1514" s="18"/>
      <c r="BL1514" s="18"/>
      <c r="BM1514" s="18"/>
      <c r="BN1514" s="18" t="s">
        <v>179</v>
      </c>
      <c r="BO1514" s="18"/>
      <c r="BP1514" s="15" t="s">
        <v>138</v>
      </c>
      <c r="BQ1514" s="18"/>
      <c r="BS1514" s="15" t="s">
        <v>3730</v>
      </c>
      <c r="DH1514" s="15" t="s">
        <v>17982</v>
      </c>
      <c r="DI1514" s="15" t="s">
        <v>17982</v>
      </c>
    </row>
    <row r="1515" spans="1:113" s="15" customFormat="1" ht="12.75" x14ac:dyDescent="0.2">
      <c r="A1515" s="15" t="s">
        <v>109</v>
      </c>
      <c r="B1515" s="15" t="s">
        <v>110</v>
      </c>
      <c r="D1515" s="15" t="s">
        <v>233</v>
      </c>
      <c r="E1515" s="15" t="s">
        <v>113</v>
      </c>
      <c r="F1515" s="15" t="s">
        <v>233</v>
      </c>
      <c r="G1515" s="15" t="s">
        <v>113</v>
      </c>
      <c r="H1515" s="15" t="s">
        <v>111</v>
      </c>
      <c r="J1515" s="16" t="s">
        <v>114</v>
      </c>
      <c r="U1515" s="15" t="s">
        <v>17977</v>
      </c>
      <c r="W1515" s="15">
        <v>27</v>
      </c>
      <c r="X1515" s="15">
        <v>1525</v>
      </c>
      <c r="Y1515" s="15" t="s">
        <v>160</v>
      </c>
      <c r="Z1515" s="15" t="s">
        <v>161</v>
      </c>
      <c r="AA1515" s="15" t="s">
        <v>162</v>
      </c>
      <c r="AB1515" s="15" t="s">
        <v>370</v>
      </c>
      <c r="AC1515" s="15" t="s">
        <v>370</v>
      </c>
      <c r="AD1515" s="15" t="s">
        <v>370</v>
      </c>
      <c r="AE1515" s="15" t="s">
        <v>164</v>
      </c>
      <c r="AF1515" s="15" t="s">
        <v>370</v>
      </c>
      <c r="AG1515" s="15" t="s">
        <v>370</v>
      </c>
      <c r="AH1515" s="15" t="s">
        <v>371</v>
      </c>
      <c r="AL1515" s="15" t="s">
        <v>372</v>
      </c>
      <c r="AN1515" s="15">
        <v>743</v>
      </c>
      <c r="AO1515" s="15" t="s">
        <v>373</v>
      </c>
      <c r="AQ1515" s="15" t="s">
        <v>225</v>
      </c>
      <c r="AT1515" s="18" t="s">
        <v>374</v>
      </c>
      <c r="AU1515" s="18" t="s">
        <v>375</v>
      </c>
      <c r="AV1515" s="18" t="s">
        <v>376</v>
      </c>
      <c r="AW1515" s="18" t="s">
        <v>377</v>
      </c>
      <c r="AX1515" s="18" t="s">
        <v>377</v>
      </c>
      <c r="AY1515" s="21">
        <f t="shared" si="34"/>
        <v>40</v>
      </c>
      <c r="AZ1515" s="18" t="s">
        <v>378</v>
      </c>
      <c r="BA1515" s="18" t="s">
        <v>229</v>
      </c>
      <c r="BB1515" s="18" t="s">
        <v>216</v>
      </c>
      <c r="BC1515" s="18" t="s">
        <v>379</v>
      </c>
      <c r="BD1515" s="18"/>
      <c r="BE1515" s="18" t="s">
        <v>380</v>
      </c>
      <c r="BF1515" s="18"/>
      <c r="BG1515" s="18"/>
      <c r="BH1515" s="18"/>
      <c r="BI1515" s="18"/>
      <c r="BJ1515" s="18" t="s">
        <v>381</v>
      </c>
      <c r="BK1515" s="18"/>
      <c r="BL1515" s="18"/>
      <c r="BM1515" s="18"/>
      <c r="BN1515" s="18" t="s">
        <v>179</v>
      </c>
      <c r="BO1515" s="18"/>
      <c r="BP1515" s="15" t="s">
        <v>138</v>
      </c>
      <c r="BQ1515" s="18"/>
      <c r="BS1515" s="15" t="s">
        <v>382</v>
      </c>
      <c r="DH1515" s="15" t="s">
        <v>17982</v>
      </c>
      <c r="DI1515" s="15" t="s">
        <v>17982</v>
      </c>
    </row>
    <row r="1516" spans="1:113" s="15" customFormat="1" ht="12.75" x14ac:dyDescent="0.2">
      <c r="A1516" s="15" t="s">
        <v>109</v>
      </c>
      <c r="B1516" s="15" t="s">
        <v>110</v>
      </c>
      <c r="D1516" s="15" t="s">
        <v>233</v>
      </c>
      <c r="E1516" s="15" t="s">
        <v>113</v>
      </c>
      <c r="F1516" s="15" t="s">
        <v>233</v>
      </c>
      <c r="G1516" s="15" t="s">
        <v>113</v>
      </c>
      <c r="H1516" s="15" t="s">
        <v>111</v>
      </c>
      <c r="J1516" s="16" t="s">
        <v>114</v>
      </c>
      <c r="U1516" s="15" t="s">
        <v>17977</v>
      </c>
      <c r="W1516" s="15">
        <v>24</v>
      </c>
      <c r="X1516" s="15">
        <v>1526</v>
      </c>
      <c r="Y1516" s="15" t="s">
        <v>160</v>
      </c>
      <c r="Z1516" s="15" t="s">
        <v>161</v>
      </c>
      <c r="AA1516" s="15" t="s">
        <v>162</v>
      </c>
      <c r="AB1516" s="15" t="s">
        <v>338</v>
      </c>
      <c r="AC1516" s="15" t="s">
        <v>338</v>
      </c>
      <c r="AD1516" s="15" t="s">
        <v>338</v>
      </c>
      <c r="AE1516" s="15" t="s">
        <v>164</v>
      </c>
      <c r="AF1516" s="15" t="s">
        <v>338</v>
      </c>
      <c r="AG1516" s="15" t="s">
        <v>338</v>
      </c>
      <c r="AH1516" s="15" t="s">
        <v>339</v>
      </c>
      <c r="AL1516" s="15" t="s">
        <v>340</v>
      </c>
      <c r="AN1516" s="15">
        <v>743</v>
      </c>
      <c r="AO1516" s="15" t="s">
        <v>341</v>
      </c>
      <c r="AQ1516" s="15" t="s">
        <v>342</v>
      </c>
      <c r="AT1516" s="18" t="s">
        <v>343</v>
      </c>
      <c r="AU1516" s="18" t="s">
        <v>344</v>
      </c>
      <c r="AV1516" s="18" t="s">
        <v>345</v>
      </c>
      <c r="AW1516" s="18" t="s">
        <v>346</v>
      </c>
      <c r="AX1516" s="18" t="s">
        <v>346</v>
      </c>
      <c r="AY1516" s="21">
        <f t="shared" si="34"/>
        <v>54</v>
      </c>
      <c r="AZ1516" s="18" t="s">
        <v>173</v>
      </c>
      <c r="BA1516" s="18" t="s">
        <v>347</v>
      </c>
      <c r="BB1516" s="18" t="s">
        <v>216</v>
      </c>
      <c r="BC1516" s="18"/>
      <c r="BD1516" s="18"/>
      <c r="BE1516" s="18" t="s">
        <v>348</v>
      </c>
      <c r="BF1516" s="18"/>
      <c r="BG1516" s="18"/>
      <c r="BH1516" s="18"/>
      <c r="BI1516" s="18"/>
      <c r="BJ1516" s="18" t="s">
        <v>349</v>
      </c>
      <c r="BK1516" s="18"/>
      <c r="BL1516" s="18"/>
      <c r="BM1516" s="18"/>
      <c r="BN1516" s="18" t="s">
        <v>179</v>
      </c>
      <c r="BO1516" s="18"/>
      <c r="BP1516" s="15" t="s">
        <v>138</v>
      </c>
      <c r="BQ1516" s="18"/>
      <c r="BS1516" s="15" t="s">
        <v>350</v>
      </c>
      <c r="DH1516" s="15" t="s">
        <v>17982</v>
      </c>
      <c r="DI1516" s="15" t="s">
        <v>17982</v>
      </c>
    </row>
    <row r="1517" spans="1:113" s="15" customFormat="1" ht="12.75" x14ac:dyDescent="0.2">
      <c r="A1517" s="15" t="s">
        <v>109</v>
      </c>
      <c r="B1517" s="15" t="s">
        <v>110</v>
      </c>
      <c r="D1517" s="15" t="s">
        <v>233</v>
      </c>
      <c r="E1517" s="15" t="s">
        <v>113</v>
      </c>
      <c r="F1517" s="15" t="s">
        <v>233</v>
      </c>
      <c r="G1517" s="15" t="s">
        <v>113</v>
      </c>
      <c r="H1517" s="15" t="s">
        <v>111</v>
      </c>
      <c r="J1517" s="16" t="s">
        <v>114</v>
      </c>
      <c r="U1517" s="15" t="s">
        <v>17977</v>
      </c>
      <c r="W1517" s="15">
        <v>26</v>
      </c>
      <c r="X1517" s="15">
        <v>1527</v>
      </c>
      <c r="Y1517" s="15" t="s">
        <v>160</v>
      </c>
      <c r="Z1517" s="15" t="s">
        <v>161</v>
      </c>
      <c r="AA1517" s="15" t="s">
        <v>162</v>
      </c>
      <c r="AB1517" s="15" t="s">
        <v>359</v>
      </c>
      <c r="AC1517" s="15" t="s">
        <v>359</v>
      </c>
      <c r="AD1517" s="15" t="s">
        <v>359</v>
      </c>
      <c r="AE1517" s="15" t="s">
        <v>164</v>
      </c>
      <c r="AF1517" s="15" t="s">
        <v>359</v>
      </c>
      <c r="AG1517" s="15" t="s">
        <v>359</v>
      </c>
      <c r="AH1517" s="15" t="s">
        <v>360</v>
      </c>
      <c r="AL1517" s="15" t="s">
        <v>361</v>
      </c>
      <c r="AN1517" s="15">
        <v>743</v>
      </c>
      <c r="AO1517" s="15" t="s">
        <v>362</v>
      </c>
      <c r="AQ1517" s="15" t="s">
        <v>342</v>
      </c>
      <c r="AT1517" s="18" t="s">
        <v>363</v>
      </c>
      <c r="AU1517" s="18" t="s">
        <v>364</v>
      </c>
      <c r="AV1517" s="18" t="s">
        <v>365</v>
      </c>
      <c r="AW1517" s="18" t="s">
        <v>366</v>
      </c>
      <c r="AX1517" s="18" t="s">
        <v>366</v>
      </c>
      <c r="AY1517" s="21">
        <f t="shared" si="34"/>
        <v>55</v>
      </c>
      <c r="AZ1517" s="18" t="s">
        <v>173</v>
      </c>
      <c r="BA1517" s="18" t="s">
        <v>347</v>
      </c>
      <c r="BB1517" s="18" t="s">
        <v>216</v>
      </c>
      <c r="BC1517" s="18"/>
      <c r="BD1517" s="18"/>
      <c r="BE1517" s="18" t="s">
        <v>367</v>
      </c>
      <c r="BF1517" s="18"/>
      <c r="BG1517" s="18"/>
      <c r="BH1517" s="18"/>
      <c r="BI1517" s="18"/>
      <c r="BJ1517" s="18" t="s">
        <v>368</v>
      </c>
      <c r="BK1517" s="18"/>
      <c r="BL1517" s="18"/>
      <c r="BM1517" s="18"/>
      <c r="BN1517" s="18" t="s">
        <v>179</v>
      </c>
      <c r="BO1517" s="18"/>
      <c r="BP1517" s="15" t="s">
        <v>138</v>
      </c>
      <c r="BQ1517" s="18"/>
      <c r="BS1517" s="15" t="s">
        <v>369</v>
      </c>
      <c r="DH1517" s="15" t="s">
        <v>17982</v>
      </c>
      <c r="DI1517" s="15" t="s">
        <v>17982</v>
      </c>
    </row>
    <row r="1518" spans="1:113" s="15" customFormat="1" ht="12.75" x14ac:dyDescent="0.2">
      <c r="A1518" s="15" t="s">
        <v>109</v>
      </c>
      <c r="B1518" s="15" t="s">
        <v>110</v>
      </c>
      <c r="D1518" s="15" t="s">
        <v>233</v>
      </c>
      <c r="E1518" s="15" t="s">
        <v>113</v>
      </c>
      <c r="F1518" s="15" t="s">
        <v>233</v>
      </c>
      <c r="G1518" s="15" t="s">
        <v>113</v>
      </c>
      <c r="H1518" s="15" t="s">
        <v>111</v>
      </c>
      <c r="J1518" s="16" t="s">
        <v>114</v>
      </c>
      <c r="U1518" s="15" t="s">
        <v>17977</v>
      </c>
      <c r="W1518" s="15">
        <v>2262</v>
      </c>
      <c r="X1518" s="15">
        <v>1528</v>
      </c>
      <c r="Y1518" s="15" t="s">
        <v>160</v>
      </c>
      <c r="Z1518" s="15" t="s">
        <v>161</v>
      </c>
      <c r="AA1518" s="15" t="s">
        <v>162</v>
      </c>
      <c r="AB1518" s="15" t="s">
        <v>11251</v>
      </c>
      <c r="AC1518" s="15" t="s">
        <v>11251</v>
      </c>
      <c r="AD1518" s="15" t="s">
        <v>11251</v>
      </c>
      <c r="AE1518" s="15" t="s">
        <v>164</v>
      </c>
      <c r="AF1518" s="15" t="s">
        <v>11251</v>
      </c>
      <c r="AG1518" s="15" t="s">
        <v>11251</v>
      </c>
      <c r="AH1518" s="15" t="s">
        <v>11252</v>
      </c>
      <c r="AL1518" s="15" t="s">
        <v>11253</v>
      </c>
      <c r="AN1518" s="15">
        <v>743</v>
      </c>
      <c r="AO1518" s="15" t="s">
        <v>11254</v>
      </c>
      <c r="AQ1518" s="20" t="s">
        <v>912</v>
      </c>
      <c r="AT1518" s="18" t="s">
        <v>11255</v>
      </c>
      <c r="AU1518" s="18" t="s">
        <v>11256</v>
      </c>
      <c r="AV1518" s="18" t="s">
        <v>11257</v>
      </c>
      <c r="AW1518" s="18" t="s">
        <v>11258</v>
      </c>
      <c r="AX1518" s="18" t="s">
        <v>11259</v>
      </c>
      <c r="AY1518" s="21">
        <f t="shared" si="34"/>
        <v>57</v>
      </c>
      <c r="AZ1518" s="18" t="s">
        <v>917</v>
      </c>
      <c r="BA1518" s="24" t="s">
        <v>174</v>
      </c>
      <c r="BB1518" s="18" t="s">
        <v>11247</v>
      </c>
      <c r="BC1518" s="18"/>
      <c r="BD1518" s="18"/>
      <c r="BE1518" s="24" t="s">
        <v>1701</v>
      </c>
      <c r="BF1518" s="18" t="s">
        <v>11260</v>
      </c>
      <c r="BG1518" s="18"/>
      <c r="BH1518" s="18"/>
      <c r="BI1518" s="18"/>
      <c r="BJ1518" s="18" t="s">
        <v>11249</v>
      </c>
      <c r="BK1518" s="18"/>
      <c r="BL1518" s="18"/>
      <c r="BM1518" s="18"/>
      <c r="BN1518" s="18" t="s">
        <v>179</v>
      </c>
      <c r="BO1518" s="18"/>
      <c r="BP1518" s="15" t="s">
        <v>138</v>
      </c>
      <c r="BQ1518" s="18"/>
      <c r="BS1518" s="15" t="s">
        <v>11261</v>
      </c>
      <c r="DH1518" s="15" t="s">
        <v>17982</v>
      </c>
      <c r="DI1518" s="15" t="s">
        <v>17982</v>
      </c>
    </row>
    <row r="1519" spans="1:113" s="15" customFormat="1" ht="12.75" x14ac:dyDescent="0.2">
      <c r="A1519" s="15" t="s">
        <v>109</v>
      </c>
      <c r="B1519" s="15" t="s">
        <v>110</v>
      </c>
      <c r="D1519" s="15" t="s">
        <v>233</v>
      </c>
      <c r="E1519" s="15" t="s">
        <v>113</v>
      </c>
      <c r="F1519" s="15" t="s">
        <v>233</v>
      </c>
      <c r="G1519" s="15" t="s">
        <v>113</v>
      </c>
      <c r="H1519" s="15" t="s">
        <v>111</v>
      </c>
      <c r="J1519" s="16" t="s">
        <v>114</v>
      </c>
      <c r="U1519" s="15" t="s">
        <v>17977</v>
      </c>
      <c r="W1519" s="15">
        <v>2256</v>
      </c>
      <c r="X1519" s="15">
        <v>1529</v>
      </c>
      <c r="Y1519" s="15" t="s">
        <v>160</v>
      </c>
      <c r="Z1519" s="15" t="s">
        <v>161</v>
      </c>
      <c r="AA1519" s="15" t="s">
        <v>162</v>
      </c>
      <c r="AB1519" s="15" t="s">
        <v>11238</v>
      </c>
      <c r="AC1519" s="15" t="s">
        <v>11238</v>
      </c>
      <c r="AD1519" s="15" t="s">
        <v>11238</v>
      </c>
      <c r="AE1519" s="15" t="s">
        <v>164</v>
      </c>
      <c r="AF1519" s="15" t="s">
        <v>11238</v>
      </c>
      <c r="AG1519" s="15" t="s">
        <v>11238</v>
      </c>
      <c r="AH1519" s="15" t="s">
        <v>11239</v>
      </c>
      <c r="AL1519" s="15" t="s">
        <v>11240</v>
      </c>
      <c r="AN1519" s="15">
        <v>743</v>
      </c>
      <c r="AO1519" s="15" t="s">
        <v>11241</v>
      </c>
      <c r="AQ1519" s="20" t="s">
        <v>912</v>
      </c>
      <c r="AT1519" s="18" t="s">
        <v>11242</v>
      </c>
      <c r="AU1519" s="18" t="s">
        <v>11243</v>
      </c>
      <c r="AV1519" s="18" t="s">
        <v>11244</v>
      </c>
      <c r="AW1519" s="18" t="s">
        <v>11245</v>
      </c>
      <c r="AX1519" s="18" t="s">
        <v>11246</v>
      </c>
      <c r="AY1519" s="21">
        <f t="shared" si="34"/>
        <v>58</v>
      </c>
      <c r="AZ1519" s="18" t="s">
        <v>917</v>
      </c>
      <c r="BA1519" s="24" t="s">
        <v>174</v>
      </c>
      <c r="BB1519" s="18" t="s">
        <v>11247</v>
      </c>
      <c r="BC1519" s="18"/>
      <c r="BD1519" s="18"/>
      <c r="BE1519" s="24" t="s">
        <v>348</v>
      </c>
      <c r="BF1519" s="18" t="s">
        <v>11248</v>
      </c>
      <c r="BG1519" s="18"/>
      <c r="BH1519" s="18"/>
      <c r="BI1519" s="18"/>
      <c r="BJ1519" s="18" t="s">
        <v>11249</v>
      </c>
      <c r="BK1519" s="18"/>
      <c r="BL1519" s="18"/>
      <c r="BM1519" s="18"/>
      <c r="BN1519" s="18" t="s">
        <v>179</v>
      </c>
      <c r="BO1519" s="18"/>
      <c r="BP1519" s="15" t="s">
        <v>138</v>
      </c>
      <c r="BQ1519" s="18"/>
      <c r="BS1519" s="15" t="s">
        <v>11250</v>
      </c>
      <c r="DH1519" s="15" t="s">
        <v>17982</v>
      </c>
      <c r="DI1519" s="15" t="s">
        <v>17982</v>
      </c>
    </row>
    <row r="1520" spans="1:113" s="15" customFormat="1" ht="12.75" x14ac:dyDescent="0.2">
      <c r="A1520" s="15" t="s">
        <v>109</v>
      </c>
      <c r="B1520" s="15" t="s">
        <v>110</v>
      </c>
      <c r="D1520" s="15" t="s">
        <v>233</v>
      </c>
      <c r="E1520" s="15" t="s">
        <v>113</v>
      </c>
      <c r="F1520" s="15" t="s">
        <v>233</v>
      </c>
      <c r="G1520" s="15" t="s">
        <v>113</v>
      </c>
      <c r="H1520" s="15" t="s">
        <v>111</v>
      </c>
      <c r="J1520" s="16" t="s">
        <v>114</v>
      </c>
      <c r="U1520" s="15" t="s">
        <v>17977</v>
      </c>
      <c r="W1520" s="15">
        <v>1076</v>
      </c>
      <c r="X1520" s="15">
        <v>1530</v>
      </c>
      <c r="Y1520" s="15" t="s">
        <v>160</v>
      </c>
      <c r="Z1520" s="15" t="s">
        <v>161</v>
      </c>
      <c r="AA1520" s="15" t="s">
        <v>162</v>
      </c>
      <c r="AB1520" s="15" t="s">
        <v>5661</v>
      </c>
      <c r="AC1520" s="15" t="s">
        <v>5661</v>
      </c>
      <c r="AD1520" s="15" t="s">
        <v>5661</v>
      </c>
      <c r="AE1520" s="15" t="s">
        <v>164</v>
      </c>
      <c r="AF1520" s="15" t="s">
        <v>5661</v>
      </c>
      <c r="AG1520" s="15" t="s">
        <v>5661</v>
      </c>
      <c r="AH1520" s="15" t="s">
        <v>5662</v>
      </c>
      <c r="AL1520" s="15" t="s">
        <v>5663</v>
      </c>
      <c r="AN1520" s="15">
        <v>743</v>
      </c>
      <c r="AO1520" s="15" t="s">
        <v>5664</v>
      </c>
      <c r="AQ1520" s="20" t="s">
        <v>912</v>
      </c>
      <c r="AT1520" s="18" t="s">
        <v>5665</v>
      </c>
      <c r="AU1520" s="18" t="s">
        <v>5666</v>
      </c>
      <c r="AV1520" s="18" t="s">
        <v>5667</v>
      </c>
      <c r="AW1520" s="18" t="s">
        <v>5668</v>
      </c>
      <c r="AX1520" s="18" t="s">
        <v>5669</v>
      </c>
      <c r="AY1520" s="21">
        <f t="shared" si="34"/>
        <v>57</v>
      </c>
      <c r="AZ1520" s="18" t="s">
        <v>917</v>
      </c>
      <c r="BA1520" s="29" t="s">
        <v>5670</v>
      </c>
      <c r="BB1520" s="18" t="s">
        <v>5671</v>
      </c>
      <c r="BC1520" s="18"/>
      <c r="BD1520" s="18"/>
      <c r="BE1520" s="18" t="s">
        <v>176</v>
      </c>
      <c r="BF1520" s="18" t="s">
        <v>5672</v>
      </c>
      <c r="BG1520" s="18"/>
      <c r="BH1520" s="18"/>
      <c r="BI1520" s="18"/>
      <c r="BJ1520" s="18" t="s">
        <v>5673</v>
      </c>
      <c r="BK1520" s="18"/>
      <c r="BL1520" s="18"/>
      <c r="BM1520" s="18"/>
      <c r="BN1520" s="18" t="s">
        <v>179</v>
      </c>
      <c r="BO1520" s="18"/>
      <c r="BP1520" s="15" t="s">
        <v>138</v>
      </c>
      <c r="BQ1520" s="18"/>
      <c r="BS1520" s="15" t="s">
        <v>5674</v>
      </c>
      <c r="DH1520" s="15" t="s">
        <v>17982</v>
      </c>
      <c r="DI1520" s="15" t="s">
        <v>17982</v>
      </c>
    </row>
    <row r="1521" spans="1:113" s="15" customFormat="1" ht="12.75" x14ac:dyDescent="0.2">
      <c r="A1521" s="15" t="s">
        <v>109</v>
      </c>
      <c r="B1521" s="15" t="s">
        <v>110</v>
      </c>
      <c r="D1521" s="15" t="s">
        <v>233</v>
      </c>
      <c r="E1521" s="15" t="s">
        <v>113</v>
      </c>
      <c r="F1521" s="15" t="s">
        <v>233</v>
      </c>
      <c r="G1521" s="15" t="s">
        <v>113</v>
      </c>
      <c r="H1521" s="15" t="s">
        <v>111</v>
      </c>
      <c r="J1521" s="16" t="s">
        <v>114</v>
      </c>
      <c r="U1521" s="15" t="s">
        <v>17977</v>
      </c>
      <c r="W1521" s="15">
        <v>2033</v>
      </c>
      <c r="X1521" s="15">
        <v>1531</v>
      </c>
      <c r="Y1521" s="15" t="s">
        <v>160</v>
      </c>
      <c r="Z1521" s="15" t="s">
        <v>161</v>
      </c>
      <c r="AA1521" s="15" t="s">
        <v>162</v>
      </c>
      <c r="AB1521" s="15" t="s">
        <v>10478</v>
      </c>
      <c r="AC1521" s="15" t="s">
        <v>10478</v>
      </c>
      <c r="AD1521" s="15" t="s">
        <v>10478</v>
      </c>
      <c r="AE1521" s="15" t="s">
        <v>164</v>
      </c>
      <c r="AF1521" s="15" t="s">
        <v>10478</v>
      </c>
      <c r="AG1521" s="15" t="s">
        <v>10478</v>
      </c>
      <c r="AH1521" s="15" t="s">
        <v>10479</v>
      </c>
      <c r="AL1521" s="15" t="s">
        <v>10480</v>
      </c>
      <c r="AN1521" s="15">
        <v>743</v>
      </c>
      <c r="AO1521" s="15" t="s">
        <v>10481</v>
      </c>
      <c r="AQ1521" s="20" t="s">
        <v>168</v>
      </c>
      <c r="AT1521" s="18" t="s">
        <v>10482</v>
      </c>
      <c r="AU1521" s="29" t="s">
        <v>10483</v>
      </c>
      <c r="AV1521" s="29" t="s">
        <v>10484</v>
      </c>
      <c r="AW1521" s="29" t="s">
        <v>10485</v>
      </c>
      <c r="AX1521" s="29" t="s">
        <v>10486</v>
      </c>
      <c r="AY1521" s="21">
        <f t="shared" si="34"/>
        <v>55</v>
      </c>
      <c r="AZ1521" s="29" t="s">
        <v>173</v>
      </c>
      <c r="BA1521" s="29" t="s">
        <v>174</v>
      </c>
      <c r="BB1521" s="29" t="s">
        <v>10474</v>
      </c>
      <c r="BC1521" s="18"/>
      <c r="BD1521" s="18"/>
      <c r="BE1521" s="24" t="s">
        <v>1056</v>
      </c>
      <c r="BF1521" s="18" t="s">
        <v>10487</v>
      </c>
      <c r="BG1521" s="18"/>
      <c r="BH1521" s="18"/>
      <c r="BI1521" s="18"/>
      <c r="BJ1521" s="18" t="s">
        <v>10476</v>
      </c>
      <c r="BK1521" s="18"/>
      <c r="BL1521" s="18"/>
      <c r="BM1521" s="18"/>
      <c r="BN1521" s="18" t="s">
        <v>179</v>
      </c>
      <c r="BO1521" s="18"/>
      <c r="BP1521" s="15" t="s">
        <v>138</v>
      </c>
      <c r="BQ1521" s="18"/>
      <c r="BS1521" s="15" t="s">
        <v>10488</v>
      </c>
      <c r="DH1521" s="15" t="s">
        <v>17982</v>
      </c>
      <c r="DI1521" s="15" t="s">
        <v>17982</v>
      </c>
    </row>
    <row r="1522" spans="1:113" s="15" customFormat="1" ht="12.75" x14ac:dyDescent="0.2">
      <c r="A1522" s="15" t="s">
        <v>109</v>
      </c>
      <c r="B1522" s="15" t="s">
        <v>110</v>
      </c>
      <c r="D1522" s="15" t="s">
        <v>233</v>
      </c>
      <c r="E1522" s="15" t="s">
        <v>113</v>
      </c>
      <c r="F1522" s="15" t="s">
        <v>233</v>
      </c>
      <c r="G1522" s="15" t="s">
        <v>113</v>
      </c>
      <c r="H1522" s="15" t="s">
        <v>111</v>
      </c>
      <c r="J1522" s="16" t="s">
        <v>114</v>
      </c>
      <c r="U1522" s="15" t="s">
        <v>17977</v>
      </c>
      <c r="W1522" s="15">
        <v>2032</v>
      </c>
      <c r="X1522" s="15">
        <v>1532</v>
      </c>
      <c r="Y1522" s="15" t="s">
        <v>160</v>
      </c>
      <c r="Z1522" s="15" t="s">
        <v>161</v>
      </c>
      <c r="AA1522" s="15" t="s">
        <v>162</v>
      </c>
      <c r="AB1522" s="15" t="s">
        <v>10465</v>
      </c>
      <c r="AC1522" s="15" t="s">
        <v>10465</v>
      </c>
      <c r="AD1522" s="15" t="s">
        <v>10465</v>
      </c>
      <c r="AE1522" s="15" t="s">
        <v>164</v>
      </c>
      <c r="AF1522" s="15" t="s">
        <v>10465</v>
      </c>
      <c r="AG1522" s="15" t="s">
        <v>10465</v>
      </c>
      <c r="AH1522" s="15" t="s">
        <v>10466</v>
      </c>
      <c r="AL1522" s="15" t="s">
        <v>10467</v>
      </c>
      <c r="AN1522" s="15">
        <v>743</v>
      </c>
      <c r="AO1522" s="15" t="s">
        <v>10468</v>
      </c>
      <c r="AQ1522" s="20" t="s">
        <v>168</v>
      </c>
      <c r="AT1522" s="18" t="s">
        <v>10469</v>
      </c>
      <c r="AU1522" s="29" t="s">
        <v>10470</v>
      </c>
      <c r="AV1522" s="29" t="s">
        <v>10471</v>
      </c>
      <c r="AW1522" s="29" t="s">
        <v>10472</v>
      </c>
      <c r="AX1522" s="29" t="s">
        <v>10473</v>
      </c>
      <c r="AY1522" s="21">
        <f t="shared" si="34"/>
        <v>55</v>
      </c>
      <c r="AZ1522" s="29" t="s">
        <v>173</v>
      </c>
      <c r="BA1522" s="29" t="s">
        <v>174</v>
      </c>
      <c r="BB1522" s="29" t="s">
        <v>10474</v>
      </c>
      <c r="BC1522" s="18"/>
      <c r="BD1522" s="18"/>
      <c r="BE1522" s="24" t="s">
        <v>1056</v>
      </c>
      <c r="BF1522" s="18" t="s">
        <v>10475</v>
      </c>
      <c r="BG1522" s="18"/>
      <c r="BH1522" s="18"/>
      <c r="BI1522" s="18"/>
      <c r="BJ1522" s="18" t="s">
        <v>10476</v>
      </c>
      <c r="BK1522" s="18"/>
      <c r="BL1522" s="18"/>
      <c r="BM1522" s="18"/>
      <c r="BN1522" s="18" t="s">
        <v>179</v>
      </c>
      <c r="BO1522" s="18"/>
      <c r="BP1522" s="15" t="s">
        <v>138</v>
      </c>
      <c r="BQ1522" s="18"/>
      <c r="BS1522" s="15" t="s">
        <v>10477</v>
      </c>
      <c r="DH1522" s="15" t="s">
        <v>17982</v>
      </c>
      <c r="DI1522" s="15" t="s">
        <v>17982</v>
      </c>
    </row>
    <row r="1523" spans="1:113" s="15" customFormat="1" ht="12.75" x14ac:dyDescent="0.2">
      <c r="A1523" s="15" t="s">
        <v>109</v>
      </c>
      <c r="B1523" s="15" t="s">
        <v>110</v>
      </c>
      <c r="D1523" s="15" t="s">
        <v>233</v>
      </c>
      <c r="E1523" s="15" t="s">
        <v>113</v>
      </c>
      <c r="F1523" s="15" t="s">
        <v>233</v>
      </c>
      <c r="G1523" s="15" t="s">
        <v>113</v>
      </c>
      <c r="H1523" s="15" t="s">
        <v>111</v>
      </c>
      <c r="J1523" s="16" t="s">
        <v>114</v>
      </c>
      <c r="U1523" s="15" t="s">
        <v>17977</v>
      </c>
      <c r="W1523" s="15">
        <v>405</v>
      </c>
      <c r="X1523" s="15">
        <v>1533</v>
      </c>
      <c r="Y1523" s="15" t="s">
        <v>160</v>
      </c>
      <c r="Z1523" s="15" t="s">
        <v>161</v>
      </c>
      <c r="AA1523" s="15" t="s">
        <v>162</v>
      </c>
      <c r="AB1523" s="15" t="s">
        <v>1626</v>
      </c>
      <c r="AC1523" s="15" t="s">
        <v>1626</v>
      </c>
      <c r="AD1523" s="15" t="s">
        <v>1626</v>
      </c>
      <c r="AE1523" s="15" t="s">
        <v>164</v>
      </c>
      <c r="AF1523" s="15" t="s">
        <v>1626</v>
      </c>
      <c r="AG1523" s="15" t="s">
        <v>1626</v>
      </c>
      <c r="AH1523" s="15" t="s">
        <v>1627</v>
      </c>
      <c r="AL1523" s="15" t="s">
        <v>1628</v>
      </c>
      <c r="AN1523" s="15">
        <v>743</v>
      </c>
      <c r="AO1523" s="15" t="s">
        <v>1629</v>
      </c>
      <c r="AQ1523" s="20" t="s">
        <v>1193</v>
      </c>
      <c r="AT1523" s="18" t="s">
        <v>1630</v>
      </c>
      <c r="AU1523" s="18" t="s">
        <v>1631</v>
      </c>
      <c r="AV1523" s="18" t="s">
        <v>1632</v>
      </c>
      <c r="AW1523" s="18" t="s">
        <v>1633</v>
      </c>
      <c r="AX1523" s="18" t="s">
        <v>1633</v>
      </c>
      <c r="AY1523" s="21">
        <f t="shared" si="34"/>
        <v>51</v>
      </c>
      <c r="AZ1523" s="18" t="s">
        <v>1634</v>
      </c>
      <c r="BA1523" s="18" t="s">
        <v>174</v>
      </c>
      <c r="BB1523" s="18" t="s">
        <v>1635</v>
      </c>
      <c r="BC1523" s="18">
        <v>0</v>
      </c>
      <c r="BD1523" s="18"/>
      <c r="BE1523" s="18" t="s">
        <v>176</v>
      </c>
      <c r="BF1523" s="18" t="s">
        <v>1636</v>
      </c>
      <c r="BG1523" s="18"/>
      <c r="BH1523" s="18"/>
      <c r="BI1523" s="18"/>
      <c r="BJ1523" s="18" t="s">
        <v>1637</v>
      </c>
      <c r="BK1523" s="18"/>
      <c r="BL1523" s="18"/>
      <c r="BM1523" s="18"/>
      <c r="BN1523" s="18" t="s">
        <v>179</v>
      </c>
      <c r="BO1523" s="18"/>
      <c r="BP1523" s="15" t="s">
        <v>138</v>
      </c>
      <c r="BQ1523" s="18"/>
      <c r="BS1523" s="15" t="s">
        <v>1638</v>
      </c>
      <c r="DH1523" s="15" t="s">
        <v>17982</v>
      </c>
      <c r="DI1523" s="15" t="s">
        <v>17982</v>
      </c>
    </row>
    <row r="1524" spans="1:113" s="15" customFormat="1" ht="12.75" x14ac:dyDescent="0.2">
      <c r="A1524" s="15" t="s">
        <v>109</v>
      </c>
      <c r="B1524" s="15" t="s">
        <v>110</v>
      </c>
      <c r="D1524" s="15" t="s">
        <v>233</v>
      </c>
      <c r="E1524" s="15" t="s">
        <v>113</v>
      </c>
      <c r="F1524" s="15" t="s">
        <v>233</v>
      </c>
      <c r="G1524" s="15" t="s">
        <v>113</v>
      </c>
      <c r="H1524" s="15" t="s">
        <v>111</v>
      </c>
      <c r="J1524" s="16" t="s">
        <v>114</v>
      </c>
      <c r="U1524" s="15" t="s">
        <v>17977</v>
      </c>
      <c r="W1524" s="15">
        <v>406</v>
      </c>
      <c r="X1524" s="15">
        <v>1534</v>
      </c>
      <c r="Y1524" s="15" t="s">
        <v>160</v>
      </c>
      <c r="Z1524" s="15" t="s">
        <v>161</v>
      </c>
      <c r="AA1524" s="15" t="s">
        <v>162</v>
      </c>
      <c r="AB1524" s="15" t="s">
        <v>1639</v>
      </c>
      <c r="AC1524" s="15" t="s">
        <v>1639</v>
      </c>
      <c r="AD1524" s="15" t="s">
        <v>1639</v>
      </c>
      <c r="AE1524" s="15" t="s">
        <v>164</v>
      </c>
      <c r="AF1524" s="15" t="s">
        <v>1639</v>
      </c>
      <c r="AG1524" s="15" t="s">
        <v>1639</v>
      </c>
      <c r="AH1524" s="15" t="s">
        <v>1640</v>
      </c>
      <c r="AL1524" s="15" t="s">
        <v>1641</v>
      </c>
      <c r="AN1524" s="15">
        <v>743</v>
      </c>
      <c r="AO1524" s="15" t="s">
        <v>1642</v>
      </c>
      <c r="AQ1524" s="20" t="s">
        <v>1193</v>
      </c>
      <c r="AT1524" s="18" t="s">
        <v>1643</v>
      </c>
      <c r="AU1524" s="18" t="s">
        <v>1644</v>
      </c>
      <c r="AV1524" s="18" t="s">
        <v>1645</v>
      </c>
      <c r="AW1524" s="18" t="s">
        <v>1646</v>
      </c>
      <c r="AX1524" s="18" t="s">
        <v>1646</v>
      </c>
      <c r="AY1524" s="21">
        <f t="shared" si="34"/>
        <v>51</v>
      </c>
      <c r="AZ1524" s="18" t="s">
        <v>1634</v>
      </c>
      <c r="BA1524" s="18" t="s">
        <v>174</v>
      </c>
      <c r="BB1524" s="18" t="s">
        <v>1635</v>
      </c>
      <c r="BC1524" s="18">
        <v>1</v>
      </c>
      <c r="BD1524" s="18"/>
      <c r="BE1524" s="18" t="s">
        <v>176</v>
      </c>
      <c r="BF1524" s="18" t="s">
        <v>1647</v>
      </c>
      <c r="BG1524" s="18"/>
      <c r="BH1524" s="18"/>
      <c r="BI1524" s="18"/>
      <c r="BJ1524" s="18" t="s">
        <v>1637</v>
      </c>
      <c r="BK1524" s="18"/>
      <c r="BL1524" s="18"/>
      <c r="BM1524" s="18"/>
      <c r="BN1524" s="18" t="s">
        <v>179</v>
      </c>
      <c r="BO1524" s="18"/>
      <c r="BP1524" s="15" t="s">
        <v>138</v>
      </c>
      <c r="BQ1524" s="18"/>
      <c r="BS1524" s="15" t="s">
        <v>1648</v>
      </c>
      <c r="DH1524" s="15" t="s">
        <v>17982</v>
      </c>
      <c r="DI1524" s="15" t="s">
        <v>17982</v>
      </c>
    </row>
    <row r="1525" spans="1:113" s="15" customFormat="1" ht="12.75" x14ac:dyDescent="0.2">
      <c r="A1525" s="15" t="s">
        <v>109</v>
      </c>
      <c r="B1525" s="15" t="s">
        <v>110</v>
      </c>
      <c r="D1525" s="15" t="s">
        <v>233</v>
      </c>
      <c r="E1525" s="15" t="s">
        <v>113</v>
      </c>
      <c r="F1525" s="15" t="s">
        <v>233</v>
      </c>
      <c r="G1525" s="15" t="s">
        <v>113</v>
      </c>
      <c r="H1525" s="15" t="s">
        <v>111</v>
      </c>
      <c r="J1525" s="16" t="s">
        <v>114</v>
      </c>
      <c r="U1525" s="15" t="s">
        <v>17977</v>
      </c>
      <c r="W1525" s="15">
        <v>407</v>
      </c>
      <c r="X1525" s="15">
        <v>1535</v>
      </c>
      <c r="Y1525" s="15" t="s">
        <v>160</v>
      </c>
      <c r="Z1525" s="15" t="s">
        <v>161</v>
      </c>
      <c r="AA1525" s="15" t="s">
        <v>162</v>
      </c>
      <c r="AB1525" s="15" t="s">
        <v>1649</v>
      </c>
      <c r="AC1525" s="15" t="s">
        <v>1649</v>
      </c>
      <c r="AD1525" s="15" t="s">
        <v>1649</v>
      </c>
      <c r="AE1525" s="15" t="s">
        <v>164</v>
      </c>
      <c r="AF1525" s="15" t="s">
        <v>1649</v>
      </c>
      <c r="AG1525" s="15" t="s">
        <v>1649</v>
      </c>
      <c r="AH1525" s="15" t="s">
        <v>1650</v>
      </c>
      <c r="AL1525" s="15" t="s">
        <v>1651</v>
      </c>
      <c r="AN1525" s="15">
        <v>743</v>
      </c>
      <c r="AO1525" s="15" t="s">
        <v>1652</v>
      </c>
      <c r="AQ1525" s="20" t="s">
        <v>1193</v>
      </c>
      <c r="AT1525" s="18" t="s">
        <v>1653</v>
      </c>
      <c r="AU1525" s="18" t="s">
        <v>1654</v>
      </c>
      <c r="AV1525" s="18" t="s">
        <v>1655</v>
      </c>
      <c r="AW1525" s="18" t="s">
        <v>1656</v>
      </c>
      <c r="AX1525" s="18" t="s">
        <v>1656</v>
      </c>
      <c r="AY1525" s="21">
        <f t="shared" si="34"/>
        <v>51</v>
      </c>
      <c r="AZ1525" s="18" t="s">
        <v>1634</v>
      </c>
      <c r="BA1525" s="18" t="s">
        <v>174</v>
      </c>
      <c r="BB1525" s="18" t="s">
        <v>1635</v>
      </c>
      <c r="BC1525" s="18">
        <v>2</v>
      </c>
      <c r="BD1525" s="18"/>
      <c r="BE1525" s="18" t="s">
        <v>176</v>
      </c>
      <c r="BF1525" s="18" t="s">
        <v>1657</v>
      </c>
      <c r="BG1525" s="18"/>
      <c r="BH1525" s="18"/>
      <c r="BI1525" s="18"/>
      <c r="BJ1525" s="18" t="s">
        <v>1637</v>
      </c>
      <c r="BK1525" s="18"/>
      <c r="BL1525" s="18"/>
      <c r="BM1525" s="18"/>
      <c r="BN1525" s="18" t="s">
        <v>179</v>
      </c>
      <c r="BO1525" s="18"/>
      <c r="BP1525" s="15" t="s">
        <v>138</v>
      </c>
      <c r="BQ1525" s="18"/>
      <c r="BS1525" s="15" t="s">
        <v>1658</v>
      </c>
      <c r="DH1525" s="15" t="s">
        <v>17982</v>
      </c>
      <c r="DI1525" s="15" t="s">
        <v>17982</v>
      </c>
    </row>
    <row r="1526" spans="1:113" s="15" customFormat="1" ht="12.75" x14ac:dyDescent="0.2">
      <c r="A1526" s="15" t="s">
        <v>109</v>
      </c>
      <c r="B1526" s="15" t="s">
        <v>110</v>
      </c>
      <c r="D1526" s="15" t="s">
        <v>233</v>
      </c>
      <c r="E1526" s="15" t="s">
        <v>113</v>
      </c>
      <c r="F1526" s="15" t="s">
        <v>233</v>
      </c>
      <c r="G1526" s="15" t="s">
        <v>113</v>
      </c>
      <c r="H1526" s="15" t="s">
        <v>111</v>
      </c>
      <c r="J1526" s="16" t="s">
        <v>114</v>
      </c>
      <c r="U1526" s="15" t="s">
        <v>17977</v>
      </c>
      <c r="W1526" s="15">
        <v>408</v>
      </c>
      <c r="X1526" s="15">
        <v>1536</v>
      </c>
      <c r="Y1526" s="15" t="s">
        <v>160</v>
      </c>
      <c r="Z1526" s="15" t="s">
        <v>161</v>
      </c>
      <c r="AA1526" s="15" t="s">
        <v>162</v>
      </c>
      <c r="AB1526" s="15" t="s">
        <v>1659</v>
      </c>
      <c r="AC1526" s="15" t="s">
        <v>1659</v>
      </c>
      <c r="AD1526" s="15" t="s">
        <v>1659</v>
      </c>
      <c r="AE1526" s="15" t="s">
        <v>164</v>
      </c>
      <c r="AF1526" s="15" t="s">
        <v>1659</v>
      </c>
      <c r="AG1526" s="15" t="s">
        <v>1659</v>
      </c>
      <c r="AH1526" s="15" t="s">
        <v>1660</v>
      </c>
      <c r="AL1526" s="15" t="s">
        <v>1661</v>
      </c>
      <c r="AN1526" s="15">
        <v>743</v>
      </c>
      <c r="AO1526" s="15" t="s">
        <v>1662</v>
      </c>
      <c r="AQ1526" s="20" t="s">
        <v>1193</v>
      </c>
      <c r="AT1526" s="18" t="s">
        <v>1663</v>
      </c>
      <c r="AU1526" s="18" t="s">
        <v>1664</v>
      </c>
      <c r="AV1526" s="18" t="s">
        <v>1665</v>
      </c>
      <c r="AW1526" s="18" t="s">
        <v>1666</v>
      </c>
      <c r="AX1526" s="18" t="s">
        <v>1666</v>
      </c>
      <c r="AY1526" s="21">
        <f t="shared" si="34"/>
        <v>49</v>
      </c>
      <c r="AZ1526" s="18" t="s">
        <v>1634</v>
      </c>
      <c r="BA1526" s="18" t="s">
        <v>174</v>
      </c>
      <c r="BB1526" s="18" t="s">
        <v>1635</v>
      </c>
      <c r="BC1526" s="18">
        <v>3</v>
      </c>
      <c r="BD1526" s="18"/>
      <c r="BE1526" s="18" t="s">
        <v>176</v>
      </c>
      <c r="BF1526" s="18" t="s">
        <v>1667</v>
      </c>
      <c r="BG1526" s="18"/>
      <c r="BH1526" s="18"/>
      <c r="BI1526" s="18"/>
      <c r="BJ1526" s="18" t="s">
        <v>1637</v>
      </c>
      <c r="BK1526" s="18"/>
      <c r="BL1526" s="18"/>
      <c r="BM1526" s="18"/>
      <c r="BN1526" s="18" t="s">
        <v>179</v>
      </c>
      <c r="BO1526" s="18"/>
      <c r="BP1526" s="15" t="s">
        <v>138</v>
      </c>
      <c r="BQ1526" s="18"/>
      <c r="BS1526" s="15" t="s">
        <v>1668</v>
      </c>
      <c r="DH1526" s="15" t="s">
        <v>17982</v>
      </c>
      <c r="DI1526" s="15" t="s">
        <v>17982</v>
      </c>
    </row>
    <row r="1527" spans="1:113" s="15" customFormat="1" ht="12.75" x14ac:dyDescent="0.2">
      <c r="A1527" s="15" t="s">
        <v>109</v>
      </c>
      <c r="B1527" s="15" t="s">
        <v>110</v>
      </c>
      <c r="D1527" s="15" t="s">
        <v>233</v>
      </c>
      <c r="E1527" s="15" t="s">
        <v>113</v>
      </c>
      <c r="F1527" s="15" t="s">
        <v>233</v>
      </c>
      <c r="G1527" s="15" t="s">
        <v>113</v>
      </c>
      <c r="H1527" s="15" t="s">
        <v>111</v>
      </c>
      <c r="J1527" s="16" t="s">
        <v>114</v>
      </c>
      <c r="U1527" s="15" t="s">
        <v>17977</v>
      </c>
      <c r="W1527" s="15">
        <v>409</v>
      </c>
      <c r="X1527" s="15">
        <v>1537</v>
      </c>
      <c r="Y1527" s="15" t="s">
        <v>160</v>
      </c>
      <c r="Z1527" s="15" t="s">
        <v>161</v>
      </c>
      <c r="AA1527" s="15" t="s">
        <v>162</v>
      </c>
      <c r="AB1527" s="15" t="s">
        <v>1669</v>
      </c>
      <c r="AC1527" s="15" t="s">
        <v>1669</v>
      </c>
      <c r="AD1527" s="15" t="s">
        <v>1669</v>
      </c>
      <c r="AE1527" s="15" t="s">
        <v>164</v>
      </c>
      <c r="AF1527" s="15" t="s">
        <v>1669</v>
      </c>
      <c r="AG1527" s="15" t="s">
        <v>1669</v>
      </c>
      <c r="AH1527" s="15" t="s">
        <v>1670</v>
      </c>
      <c r="AL1527" s="15" t="s">
        <v>1671</v>
      </c>
      <c r="AN1527" s="15">
        <v>743</v>
      </c>
      <c r="AO1527" s="15" t="s">
        <v>1672</v>
      </c>
      <c r="AQ1527" s="20" t="s">
        <v>1193</v>
      </c>
      <c r="AT1527" s="18" t="s">
        <v>1673</v>
      </c>
      <c r="AU1527" s="18" t="s">
        <v>1674</v>
      </c>
      <c r="AV1527" s="18" t="s">
        <v>1675</v>
      </c>
      <c r="AW1527" s="18" t="s">
        <v>1676</v>
      </c>
      <c r="AX1527" s="18" t="s">
        <v>1676</v>
      </c>
      <c r="AY1527" s="21">
        <f t="shared" si="34"/>
        <v>51</v>
      </c>
      <c r="AZ1527" s="18" t="s">
        <v>1634</v>
      </c>
      <c r="BA1527" s="18" t="s">
        <v>174</v>
      </c>
      <c r="BB1527" s="18" t="s">
        <v>1635</v>
      </c>
      <c r="BC1527" s="18">
        <v>4</v>
      </c>
      <c r="BD1527" s="18"/>
      <c r="BE1527" s="18" t="s">
        <v>176</v>
      </c>
      <c r="BF1527" s="18" t="s">
        <v>1677</v>
      </c>
      <c r="BG1527" s="18"/>
      <c r="BH1527" s="18"/>
      <c r="BI1527" s="18"/>
      <c r="BJ1527" s="18" t="s">
        <v>1637</v>
      </c>
      <c r="BK1527" s="18"/>
      <c r="BL1527" s="18"/>
      <c r="BM1527" s="18"/>
      <c r="BN1527" s="18" t="s">
        <v>179</v>
      </c>
      <c r="BO1527" s="18"/>
      <c r="BP1527" s="15" t="s">
        <v>138</v>
      </c>
      <c r="BQ1527" s="18"/>
      <c r="BS1527" s="15" t="s">
        <v>1678</v>
      </c>
      <c r="DH1527" s="15" t="s">
        <v>17982</v>
      </c>
      <c r="DI1527" s="15" t="s">
        <v>17982</v>
      </c>
    </row>
    <row r="1528" spans="1:113" s="15" customFormat="1" ht="12.75" x14ac:dyDescent="0.2">
      <c r="A1528" s="15" t="s">
        <v>109</v>
      </c>
      <c r="B1528" s="15" t="s">
        <v>110</v>
      </c>
      <c r="D1528" s="15" t="s">
        <v>233</v>
      </c>
      <c r="E1528" s="15" t="s">
        <v>113</v>
      </c>
      <c r="F1528" s="15" t="s">
        <v>233</v>
      </c>
      <c r="G1528" s="15" t="s">
        <v>113</v>
      </c>
      <c r="H1528" s="15" t="s">
        <v>111</v>
      </c>
      <c r="J1528" s="16" t="s">
        <v>114</v>
      </c>
      <c r="U1528" s="15" t="s">
        <v>17977</v>
      </c>
      <c r="W1528" s="15">
        <v>2052</v>
      </c>
      <c r="X1528" s="15">
        <v>1538</v>
      </c>
      <c r="Y1528" s="15" t="s">
        <v>160</v>
      </c>
      <c r="Z1528" s="15" t="s">
        <v>161</v>
      </c>
      <c r="AA1528" s="15" t="s">
        <v>162</v>
      </c>
      <c r="AB1528" s="15" t="s">
        <v>10602</v>
      </c>
      <c r="AC1528" s="15" t="s">
        <v>10602</v>
      </c>
      <c r="AD1528" s="15" t="s">
        <v>10602</v>
      </c>
      <c r="AE1528" s="15" t="s">
        <v>164</v>
      </c>
      <c r="AF1528" s="15" t="s">
        <v>10602</v>
      </c>
      <c r="AG1528" s="15" t="s">
        <v>10602</v>
      </c>
      <c r="AH1528" s="15" t="s">
        <v>10603</v>
      </c>
      <c r="AL1528" s="15" t="s">
        <v>10604</v>
      </c>
      <c r="AN1528" s="15">
        <v>743</v>
      </c>
      <c r="AO1528" s="15" t="s">
        <v>10605</v>
      </c>
      <c r="AQ1528" s="20" t="s">
        <v>168</v>
      </c>
      <c r="AT1528" s="18" t="s">
        <v>10606</v>
      </c>
      <c r="AU1528" s="29" t="s">
        <v>10607</v>
      </c>
      <c r="AV1528" s="29" t="s">
        <v>10608</v>
      </c>
      <c r="AW1528" s="29" t="s">
        <v>10609</v>
      </c>
      <c r="AX1528" s="29" t="s">
        <v>10609</v>
      </c>
      <c r="AY1528" s="21">
        <f t="shared" si="34"/>
        <v>59</v>
      </c>
      <c r="AZ1528" s="29" t="s">
        <v>173</v>
      </c>
      <c r="BA1528" s="29" t="s">
        <v>174</v>
      </c>
      <c r="BB1528" s="29" t="s">
        <v>10610</v>
      </c>
      <c r="BC1528" s="18"/>
      <c r="BD1528" s="18"/>
      <c r="BE1528" s="24" t="s">
        <v>1174</v>
      </c>
      <c r="BF1528" s="18"/>
      <c r="BG1528" s="18"/>
      <c r="BH1528" s="18"/>
      <c r="BI1528" s="29" t="s">
        <v>10611</v>
      </c>
      <c r="BJ1528" s="18" t="s">
        <v>10612</v>
      </c>
      <c r="BK1528" s="18"/>
      <c r="BL1528" s="18"/>
      <c r="BM1528" s="18"/>
      <c r="BN1528" s="18" t="s">
        <v>179</v>
      </c>
      <c r="BO1528" s="18"/>
      <c r="BP1528" s="15" t="s">
        <v>138</v>
      </c>
      <c r="BQ1528" s="18"/>
      <c r="BS1528" s="15" t="s">
        <v>10613</v>
      </c>
      <c r="DH1528" s="15" t="s">
        <v>17982</v>
      </c>
      <c r="DI1528" s="15" t="s">
        <v>17982</v>
      </c>
    </row>
    <row r="1529" spans="1:113" s="15" customFormat="1" ht="12.75" x14ac:dyDescent="0.2">
      <c r="A1529" s="15" t="s">
        <v>109</v>
      </c>
      <c r="B1529" s="15" t="s">
        <v>110</v>
      </c>
      <c r="D1529" s="15" t="s">
        <v>233</v>
      </c>
      <c r="E1529" s="15" t="s">
        <v>113</v>
      </c>
      <c r="F1529" s="15" t="s">
        <v>233</v>
      </c>
      <c r="G1529" s="15" t="s">
        <v>113</v>
      </c>
      <c r="H1529" s="15" t="s">
        <v>111</v>
      </c>
      <c r="J1529" s="16" t="s">
        <v>114</v>
      </c>
      <c r="U1529" s="15" t="s">
        <v>17977</v>
      </c>
      <c r="W1529" s="15">
        <v>598</v>
      </c>
      <c r="X1529" s="15">
        <v>1539</v>
      </c>
      <c r="Y1529" s="15" t="s">
        <v>160</v>
      </c>
      <c r="Z1529" s="15" t="s">
        <v>161</v>
      </c>
      <c r="AA1529" s="15" t="s">
        <v>162</v>
      </c>
      <c r="AB1529" s="15" t="s">
        <v>2253</v>
      </c>
      <c r="AC1529" s="15" t="s">
        <v>2253</v>
      </c>
      <c r="AD1529" s="15" t="s">
        <v>2254</v>
      </c>
      <c r="AE1529" s="15" t="s">
        <v>164</v>
      </c>
      <c r="AF1529" s="15" t="s">
        <v>2253</v>
      </c>
      <c r="AG1529" s="15" t="s">
        <v>2253</v>
      </c>
      <c r="AH1529" s="15" t="s">
        <v>2255</v>
      </c>
      <c r="AL1529" s="15" t="s">
        <v>2256</v>
      </c>
      <c r="AN1529" s="15">
        <v>743</v>
      </c>
      <c r="AO1529" s="15" t="s">
        <v>2257</v>
      </c>
      <c r="AQ1529" s="20" t="s">
        <v>843</v>
      </c>
      <c r="AT1529" s="18" t="s">
        <v>2258</v>
      </c>
      <c r="AU1529" s="18" t="s">
        <v>2259</v>
      </c>
      <c r="AV1529" s="18" t="s">
        <v>2260</v>
      </c>
      <c r="AW1529" s="18" t="s">
        <v>2261</v>
      </c>
      <c r="AX1529" s="18" t="s">
        <v>2261</v>
      </c>
      <c r="AY1529" s="21">
        <f t="shared" si="34"/>
        <v>56</v>
      </c>
      <c r="AZ1529" s="18" t="s">
        <v>848</v>
      </c>
      <c r="BA1529" s="29" t="s">
        <v>174</v>
      </c>
      <c r="BB1529" s="29" t="s">
        <v>2262</v>
      </c>
      <c r="BC1529" s="18"/>
      <c r="BD1529" s="18"/>
      <c r="BE1529" s="18" t="s">
        <v>1032</v>
      </c>
      <c r="BF1529" s="18" t="s">
        <v>2263</v>
      </c>
      <c r="BG1529" s="18"/>
      <c r="BH1529" s="18"/>
      <c r="BI1529" s="18"/>
      <c r="BJ1529" s="18" t="s">
        <v>2264</v>
      </c>
      <c r="BK1529" s="18"/>
      <c r="BL1529" s="18"/>
      <c r="BM1529" s="18"/>
      <c r="BN1529" s="18" t="s">
        <v>179</v>
      </c>
      <c r="BO1529" s="18"/>
      <c r="BP1529" s="15" t="s">
        <v>138</v>
      </c>
      <c r="BQ1529" s="18"/>
      <c r="BS1529" s="15" t="s">
        <v>2265</v>
      </c>
      <c r="DH1529" s="15" t="s">
        <v>17982</v>
      </c>
      <c r="DI1529" s="15" t="s">
        <v>17982</v>
      </c>
    </row>
    <row r="1530" spans="1:113" s="15" customFormat="1" ht="12.75" x14ac:dyDescent="0.2">
      <c r="A1530" s="15" t="s">
        <v>109</v>
      </c>
      <c r="B1530" s="15" t="s">
        <v>110</v>
      </c>
      <c r="D1530" s="15" t="s">
        <v>233</v>
      </c>
      <c r="E1530" s="15" t="s">
        <v>113</v>
      </c>
      <c r="F1530" s="15" t="s">
        <v>233</v>
      </c>
      <c r="G1530" s="15" t="s">
        <v>113</v>
      </c>
      <c r="H1530" s="15" t="s">
        <v>111</v>
      </c>
      <c r="J1530" s="16" t="s">
        <v>114</v>
      </c>
      <c r="U1530" s="15" t="s">
        <v>17977</v>
      </c>
      <c r="W1530" s="15">
        <v>1367</v>
      </c>
      <c r="X1530" s="15">
        <v>1540</v>
      </c>
      <c r="Y1530" s="15" t="s">
        <v>160</v>
      </c>
      <c r="Z1530" s="15" t="s">
        <v>161</v>
      </c>
      <c r="AA1530" s="15" t="s">
        <v>162</v>
      </c>
      <c r="AB1530" s="15" t="s">
        <v>7076</v>
      </c>
      <c r="AC1530" s="15" t="s">
        <v>7076</v>
      </c>
      <c r="AD1530" s="15" t="s">
        <v>7076</v>
      </c>
      <c r="AE1530" s="15" t="s">
        <v>164</v>
      </c>
      <c r="AF1530" s="15" t="s">
        <v>7076</v>
      </c>
      <c r="AG1530" s="15" t="s">
        <v>7076</v>
      </c>
      <c r="AH1530" s="15" t="s">
        <v>7077</v>
      </c>
      <c r="AL1530" s="15" t="s">
        <v>7078</v>
      </c>
      <c r="AN1530" s="15">
        <v>743</v>
      </c>
      <c r="AO1530" s="15" t="s">
        <v>7079</v>
      </c>
      <c r="AQ1530" s="20" t="s">
        <v>7080</v>
      </c>
      <c r="AT1530" s="18" t="s">
        <v>7081</v>
      </c>
      <c r="AU1530" s="29" t="s">
        <v>7082</v>
      </c>
      <c r="AV1530" s="29" t="s">
        <v>7083</v>
      </c>
      <c r="AW1530" s="29" t="s">
        <v>7084</v>
      </c>
      <c r="AX1530" s="29" t="s">
        <v>7084</v>
      </c>
      <c r="AY1530" s="21">
        <f t="shared" si="34"/>
        <v>49</v>
      </c>
      <c r="AZ1530" s="29" t="s">
        <v>7085</v>
      </c>
      <c r="BA1530" s="29" t="s">
        <v>7086</v>
      </c>
      <c r="BB1530" s="29" t="s">
        <v>7087</v>
      </c>
      <c r="BC1530" s="18"/>
      <c r="BD1530" s="18"/>
      <c r="BE1530" s="24" t="s">
        <v>2066</v>
      </c>
      <c r="BF1530" s="18"/>
      <c r="BG1530" s="18"/>
      <c r="BH1530" s="18"/>
      <c r="BI1530" s="18"/>
      <c r="BJ1530" s="18" t="s">
        <v>7088</v>
      </c>
      <c r="BK1530" s="18"/>
      <c r="BL1530" s="18"/>
      <c r="BM1530" s="18"/>
      <c r="BN1530" s="18" t="s">
        <v>179</v>
      </c>
      <c r="BO1530" s="18"/>
      <c r="BP1530" s="15" t="s">
        <v>138</v>
      </c>
      <c r="BQ1530" s="18"/>
      <c r="BS1530" s="15" t="s">
        <v>7089</v>
      </c>
      <c r="DH1530" s="15" t="s">
        <v>17982</v>
      </c>
      <c r="DI1530" s="15" t="s">
        <v>17982</v>
      </c>
    </row>
    <row r="1531" spans="1:113" s="15" customFormat="1" ht="12.75" x14ac:dyDescent="0.2">
      <c r="A1531" s="15" t="s">
        <v>109</v>
      </c>
      <c r="B1531" s="15" t="s">
        <v>110</v>
      </c>
      <c r="D1531" s="15" t="s">
        <v>233</v>
      </c>
      <c r="E1531" s="15" t="s">
        <v>113</v>
      </c>
      <c r="F1531" s="15" t="s">
        <v>233</v>
      </c>
      <c r="G1531" s="15" t="s">
        <v>113</v>
      </c>
      <c r="H1531" s="15" t="s">
        <v>111</v>
      </c>
      <c r="J1531" s="16" t="s">
        <v>114</v>
      </c>
      <c r="U1531" s="15" t="s">
        <v>17977</v>
      </c>
      <c r="W1531" s="15">
        <v>1496</v>
      </c>
      <c r="X1531" s="15">
        <v>1541</v>
      </c>
      <c r="Y1531" s="15" t="s">
        <v>160</v>
      </c>
      <c r="Z1531" s="15" t="s">
        <v>161</v>
      </c>
      <c r="AA1531" s="15" t="s">
        <v>162</v>
      </c>
      <c r="AB1531" s="15" t="s">
        <v>7627</v>
      </c>
      <c r="AC1531" s="15" t="s">
        <v>7627</v>
      </c>
      <c r="AD1531" s="15" t="s">
        <v>7627</v>
      </c>
      <c r="AE1531" s="15" t="s">
        <v>164</v>
      </c>
      <c r="AF1531" s="15" t="s">
        <v>7627</v>
      </c>
      <c r="AG1531" s="15" t="s">
        <v>7627</v>
      </c>
      <c r="AH1531" s="47" t="s">
        <v>7628</v>
      </c>
      <c r="AL1531" s="15" t="s">
        <v>7629</v>
      </c>
      <c r="AN1531" s="15">
        <v>743</v>
      </c>
      <c r="AO1531" s="15" t="s">
        <v>7630</v>
      </c>
      <c r="AQ1531" s="20" t="s">
        <v>7080</v>
      </c>
      <c r="AT1531" s="18" t="s">
        <v>7631</v>
      </c>
      <c r="AU1531" s="18" t="s">
        <v>7632</v>
      </c>
      <c r="AV1531" s="18" t="s">
        <v>7633</v>
      </c>
      <c r="AW1531" s="18" t="s">
        <v>7634</v>
      </c>
      <c r="AX1531" s="18" t="s">
        <v>7634</v>
      </c>
      <c r="AY1531" s="21">
        <f t="shared" si="34"/>
        <v>42</v>
      </c>
      <c r="AZ1531" s="18" t="s">
        <v>274</v>
      </c>
      <c r="BA1531" s="24" t="s">
        <v>7635</v>
      </c>
      <c r="BB1531" s="18" t="s">
        <v>7636</v>
      </c>
      <c r="BC1531" s="18"/>
      <c r="BD1531" s="18"/>
      <c r="BE1531" s="18"/>
      <c r="BF1531" s="18"/>
      <c r="BG1531" s="18"/>
      <c r="BH1531" s="18"/>
      <c r="BI1531" s="18"/>
      <c r="BJ1531" s="18" t="s">
        <v>7637</v>
      </c>
      <c r="BK1531" s="18"/>
      <c r="BL1531" s="18"/>
      <c r="BM1531" s="18"/>
      <c r="BN1531" s="18" t="s">
        <v>179</v>
      </c>
      <c r="BO1531" s="18"/>
      <c r="BP1531" s="15" t="s">
        <v>138</v>
      </c>
      <c r="BQ1531" s="18"/>
      <c r="BS1531" s="15" t="s">
        <v>7638</v>
      </c>
      <c r="DH1531" s="15" t="s">
        <v>17982</v>
      </c>
      <c r="DI1531" s="15" t="s">
        <v>17982</v>
      </c>
    </row>
    <row r="1532" spans="1:113" s="15" customFormat="1" ht="12.75" x14ac:dyDescent="0.2">
      <c r="A1532" s="15" t="s">
        <v>109</v>
      </c>
      <c r="B1532" s="15" t="s">
        <v>110</v>
      </c>
      <c r="D1532" s="15" t="s">
        <v>233</v>
      </c>
      <c r="E1532" s="15" t="s">
        <v>113</v>
      </c>
      <c r="F1532" s="15" t="s">
        <v>233</v>
      </c>
      <c r="G1532" s="15" t="s">
        <v>113</v>
      </c>
      <c r="H1532" s="15" t="s">
        <v>111</v>
      </c>
      <c r="J1532" s="16" t="s">
        <v>114</v>
      </c>
      <c r="U1532" s="15" t="s">
        <v>17977</v>
      </c>
      <c r="W1532" s="15">
        <v>1077</v>
      </c>
      <c r="X1532" s="15">
        <v>1542</v>
      </c>
      <c r="Y1532" s="15" t="s">
        <v>160</v>
      </c>
      <c r="Z1532" s="15" t="s">
        <v>161</v>
      </c>
      <c r="AA1532" s="15" t="s">
        <v>162</v>
      </c>
      <c r="AB1532" s="15" t="s">
        <v>5675</v>
      </c>
      <c r="AC1532" s="15" t="s">
        <v>5675</v>
      </c>
      <c r="AD1532" s="15" t="s">
        <v>5675</v>
      </c>
      <c r="AE1532" s="15" t="s">
        <v>164</v>
      </c>
      <c r="AF1532" s="15" t="s">
        <v>5675</v>
      </c>
      <c r="AG1532" s="15" t="s">
        <v>5675</v>
      </c>
      <c r="AH1532" s="15" t="s">
        <v>5676</v>
      </c>
      <c r="AL1532" s="15" t="s">
        <v>5677</v>
      </c>
      <c r="AN1532" s="15">
        <v>743</v>
      </c>
      <c r="AO1532" s="15" t="s">
        <v>5678</v>
      </c>
      <c r="AQ1532" s="20" t="s">
        <v>912</v>
      </c>
      <c r="AT1532" s="18" t="s">
        <v>5679</v>
      </c>
      <c r="AU1532" s="18" t="s">
        <v>5680</v>
      </c>
      <c r="AV1532" s="18" t="s">
        <v>5681</v>
      </c>
      <c r="AW1532" s="18" t="s">
        <v>5682</v>
      </c>
      <c r="AX1532" s="18" t="s">
        <v>5683</v>
      </c>
      <c r="AY1532" s="21">
        <f t="shared" si="34"/>
        <v>60</v>
      </c>
      <c r="AZ1532" s="18" t="s">
        <v>917</v>
      </c>
      <c r="BA1532" s="29" t="s">
        <v>174</v>
      </c>
      <c r="BB1532" s="18" t="s">
        <v>5684</v>
      </c>
      <c r="BC1532" s="18"/>
      <c r="BD1532" s="18"/>
      <c r="BE1532" s="18" t="s">
        <v>5685</v>
      </c>
      <c r="BF1532" s="18"/>
      <c r="BG1532" s="18"/>
      <c r="BH1532" s="18"/>
      <c r="BI1532" s="18"/>
      <c r="BJ1532" s="18" t="s">
        <v>5686</v>
      </c>
      <c r="BK1532" s="18"/>
      <c r="BL1532" s="18"/>
      <c r="BM1532" s="18"/>
      <c r="BN1532" s="18" t="s">
        <v>179</v>
      </c>
      <c r="BO1532" s="18"/>
      <c r="BP1532" s="15" t="s">
        <v>138</v>
      </c>
      <c r="BQ1532" s="18"/>
      <c r="BS1532" s="15" t="s">
        <v>5687</v>
      </c>
      <c r="DH1532" s="15" t="s">
        <v>17982</v>
      </c>
      <c r="DI1532" s="15" t="s">
        <v>17982</v>
      </c>
    </row>
    <row r="1533" spans="1:113" s="15" customFormat="1" ht="12.75" x14ac:dyDescent="0.2">
      <c r="A1533" s="15" t="s">
        <v>109</v>
      </c>
      <c r="B1533" s="15" t="s">
        <v>110</v>
      </c>
      <c r="D1533" s="15" t="s">
        <v>233</v>
      </c>
      <c r="E1533" s="15" t="s">
        <v>113</v>
      </c>
      <c r="F1533" s="15" t="s">
        <v>233</v>
      </c>
      <c r="G1533" s="15" t="s">
        <v>113</v>
      </c>
      <c r="H1533" s="15" t="s">
        <v>111</v>
      </c>
      <c r="J1533" s="16" t="s">
        <v>114</v>
      </c>
      <c r="U1533" s="15" t="s">
        <v>17977</v>
      </c>
      <c r="W1533" s="15">
        <v>3671</v>
      </c>
      <c r="X1533" s="15">
        <v>1543</v>
      </c>
      <c r="Y1533" s="15" t="s">
        <v>160</v>
      </c>
      <c r="Z1533" s="15" t="s">
        <v>161</v>
      </c>
      <c r="AA1533" s="15" t="s">
        <v>162</v>
      </c>
      <c r="AB1533" s="15" t="s">
        <v>17757</v>
      </c>
      <c r="AC1533" s="15" t="s">
        <v>17757</v>
      </c>
      <c r="AD1533" s="15" t="s">
        <v>17757</v>
      </c>
      <c r="AE1533" s="15" t="s">
        <v>164</v>
      </c>
      <c r="AF1533" s="15" t="s">
        <v>17757</v>
      </c>
      <c r="AG1533" s="15" t="s">
        <v>17757</v>
      </c>
      <c r="AH1533" s="15" t="s">
        <v>17758</v>
      </c>
      <c r="AL1533" s="15" t="s">
        <v>17759</v>
      </c>
      <c r="AN1533" s="15">
        <v>743</v>
      </c>
      <c r="AO1533" s="15" t="s">
        <v>17760</v>
      </c>
      <c r="AQ1533" s="20" t="s">
        <v>225</v>
      </c>
      <c r="AT1533" s="18" t="s">
        <v>17759</v>
      </c>
      <c r="AU1533" s="18" t="s">
        <v>17761</v>
      </c>
      <c r="AV1533" s="18" t="s">
        <v>17762</v>
      </c>
      <c r="AW1533" s="18" t="s">
        <v>17763</v>
      </c>
      <c r="AX1533" s="18" t="s">
        <v>17763</v>
      </c>
      <c r="AY1533" s="21">
        <f t="shared" si="34"/>
        <v>32</v>
      </c>
      <c r="AZ1533" s="18" t="s">
        <v>229</v>
      </c>
      <c r="BA1533" s="29" t="s">
        <v>174</v>
      </c>
      <c r="BB1533" s="18" t="s">
        <v>17704</v>
      </c>
      <c r="BC1533" s="18" t="s">
        <v>4343</v>
      </c>
      <c r="BD1533" s="18"/>
      <c r="BE1533" s="18"/>
      <c r="BF1533" s="18"/>
      <c r="BG1533" s="18"/>
      <c r="BH1533" s="18"/>
      <c r="BI1533" s="18"/>
      <c r="BJ1533" s="18" t="s">
        <v>17764</v>
      </c>
      <c r="BK1533" s="18"/>
      <c r="BL1533" s="18"/>
      <c r="BM1533" s="18"/>
      <c r="BN1533" s="18" t="s">
        <v>179</v>
      </c>
      <c r="BO1533" s="18"/>
      <c r="BP1533" s="15" t="s">
        <v>138</v>
      </c>
      <c r="BQ1533" s="18"/>
      <c r="BS1533" s="15" t="s">
        <v>17765</v>
      </c>
      <c r="DH1533" s="15" t="s">
        <v>17982</v>
      </c>
      <c r="DI1533" s="15" t="s">
        <v>17982</v>
      </c>
    </row>
    <row r="1534" spans="1:113" s="15" customFormat="1" ht="12.75" x14ac:dyDescent="0.2">
      <c r="A1534" s="15" t="s">
        <v>109</v>
      </c>
      <c r="B1534" s="15" t="s">
        <v>110</v>
      </c>
      <c r="D1534" s="15" t="s">
        <v>233</v>
      </c>
      <c r="E1534" s="15" t="s">
        <v>113</v>
      </c>
      <c r="F1534" s="15" t="s">
        <v>233</v>
      </c>
      <c r="G1534" s="15" t="s">
        <v>113</v>
      </c>
      <c r="H1534" s="15" t="s">
        <v>111</v>
      </c>
      <c r="J1534" s="16" t="s">
        <v>114</v>
      </c>
      <c r="U1534" s="15" t="s">
        <v>17977</v>
      </c>
      <c r="W1534" s="15">
        <v>847</v>
      </c>
      <c r="X1534" s="15">
        <v>1544</v>
      </c>
      <c r="Y1534" s="15" t="s">
        <v>160</v>
      </c>
      <c r="Z1534" s="15" t="s">
        <v>161</v>
      </c>
      <c r="AA1534" s="15" t="s">
        <v>162</v>
      </c>
      <c r="AB1534" s="15" t="s">
        <v>3676</v>
      </c>
      <c r="AC1534" s="15" t="s">
        <v>3676</v>
      </c>
      <c r="AD1534" s="15" t="s">
        <v>3676</v>
      </c>
      <c r="AE1534" s="15" t="s">
        <v>164</v>
      </c>
      <c r="AF1534" s="15" t="s">
        <v>3676</v>
      </c>
      <c r="AG1534" s="15" t="s">
        <v>3676</v>
      </c>
      <c r="AH1534" s="15" t="s">
        <v>3677</v>
      </c>
      <c r="AL1534" s="15" t="s">
        <v>3678</v>
      </c>
      <c r="AN1534" s="15">
        <v>743</v>
      </c>
      <c r="AO1534" s="15" t="s">
        <v>3679</v>
      </c>
      <c r="AQ1534" s="20" t="s">
        <v>912</v>
      </c>
      <c r="AT1534" s="18" t="s">
        <v>3680</v>
      </c>
      <c r="AU1534" s="18" t="s">
        <v>3681</v>
      </c>
      <c r="AV1534" s="18" t="s">
        <v>3682</v>
      </c>
      <c r="AW1534" s="18" t="s">
        <v>3683</v>
      </c>
      <c r="AX1534" s="18" t="s">
        <v>3684</v>
      </c>
      <c r="AY1534" s="21">
        <f t="shared" si="34"/>
        <v>52</v>
      </c>
      <c r="AZ1534" s="18" t="s">
        <v>917</v>
      </c>
      <c r="BA1534" s="18" t="s">
        <v>174</v>
      </c>
      <c r="BB1534" s="29" t="s">
        <v>3685</v>
      </c>
      <c r="BC1534" s="18"/>
      <c r="BD1534" s="18"/>
      <c r="BE1534" s="18" t="s">
        <v>3686</v>
      </c>
      <c r="BF1534" s="18"/>
      <c r="BG1534" s="18"/>
      <c r="BH1534" s="18"/>
      <c r="BI1534" s="18"/>
      <c r="BJ1534" s="18" t="s">
        <v>3687</v>
      </c>
      <c r="BK1534" s="18"/>
      <c r="BL1534" s="18"/>
      <c r="BM1534" s="18"/>
      <c r="BN1534" s="18" t="s">
        <v>179</v>
      </c>
      <c r="BO1534" s="18"/>
      <c r="BP1534" s="15" t="s">
        <v>138</v>
      </c>
      <c r="BQ1534" s="18"/>
      <c r="BS1534" s="15" t="s">
        <v>3688</v>
      </c>
      <c r="DH1534" s="15" t="s">
        <v>17982</v>
      </c>
      <c r="DI1534" s="15" t="s">
        <v>17982</v>
      </c>
    </row>
    <row r="1535" spans="1:113" s="15" customFormat="1" ht="12.75" x14ac:dyDescent="0.2">
      <c r="A1535" s="15" t="s">
        <v>109</v>
      </c>
      <c r="B1535" s="15" t="s">
        <v>110</v>
      </c>
      <c r="D1535" s="15" t="s">
        <v>233</v>
      </c>
      <c r="E1535" s="15" t="s">
        <v>113</v>
      </c>
      <c r="F1535" s="15" t="s">
        <v>233</v>
      </c>
      <c r="G1535" s="15" t="s">
        <v>113</v>
      </c>
      <c r="H1535" s="15" t="s">
        <v>111</v>
      </c>
      <c r="J1535" s="16" t="s">
        <v>114</v>
      </c>
      <c r="U1535" s="15" t="s">
        <v>17977</v>
      </c>
      <c r="W1535" s="15">
        <v>851</v>
      </c>
      <c r="X1535" s="15">
        <v>1545</v>
      </c>
      <c r="Y1535" s="15" t="s">
        <v>160</v>
      </c>
      <c r="Z1535" s="15" t="s">
        <v>161</v>
      </c>
      <c r="AA1535" s="15" t="s">
        <v>162</v>
      </c>
      <c r="AB1535" s="15" t="s">
        <v>3709</v>
      </c>
      <c r="AC1535" s="15" t="s">
        <v>3709</v>
      </c>
      <c r="AD1535" s="15" t="s">
        <v>3709</v>
      </c>
      <c r="AE1535" s="15" t="s">
        <v>164</v>
      </c>
      <c r="AF1535" s="15" t="s">
        <v>3709</v>
      </c>
      <c r="AG1535" s="15" t="s">
        <v>3709</v>
      </c>
      <c r="AH1535" s="15" t="s">
        <v>3710</v>
      </c>
      <c r="AL1535" s="15" t="s">
        <v>3711</v>
      </c>
      <c r="AN1535" s="15">
        <v>743</v>
      </c>
      <c r="AO1535" s="15" t="s">
        <v>3712</v>
      </c>
      <c r="AQ1535" s="20" t="s">
        <v>843</v>
      </c>
      <c r="AT1535" s="18" t="s">
        <v>3713</v>
      </c>
      <c r="AU1535" s="29" t="s">
        <v>3714</v>
      </c>
      <c r="AV1535" s="29" t="s">
        <v>3715</v>
      </c>
      <c r="AW1535" s="29" t="s">
        <v>3716</v>
      </c>
      <c r="AX1535" s="29" t="s">
        <v>3717</v>
      </c>
      <c r="AY1535" s="21">
        <f t="shared" si="34"/>
        <v>54</v>
      </c>
      <c r="AZ1535" s="29" t="s">
        <v>848</v>
      </c>
      <c r="BA1535" s="29" t="s">
        <v>174</v>
      </c>
      <c r="BB1535" s="29" t="s">
        <v>3685</v>
      </c>
      <c r="BC1535" s="18"/>
      <c r="BD1535" s="18"/>
      <c r="BE1535" s="24" t="s">
        <v>199</v>
      </c>
      <c r="BF1535" s="18"/>
      <c r="BG1535" s="18"/>
      <c r="BH1535" s="18"/>
      <c r="BI1535" s="18"/>
      <c r="BJ1535" s="18" t="s">
        <v>3718</v>
      </c>
      <c r="BK1535" s="18" t="s">
        <v>487</v>
      </c>
      <c r="BL1535" s="18"/>
      <c r="BM1535" s="18"/>
      <c r="BN1535" s="18" t="s">
        <v>179</v>
      </c>
      <c r="BO1535" s="18"/>
      <c r="BP1535" s="15" t="s">
        <v>138</v>
      </c>
      <c r="BQ1535" s="18"/>
      <c r="BS1535" s="15" t="s">
        <v>3719</v>
      </c>
      <c r="DH1535" s="15" t="s">
        <v>17982</v>
      </c>
      <c r="DI1535" s="15" t="s">
        <v>17982</v>
      </c>
    </row>
    <row r="1536" spans="1:113" s="15" customFormat="1" ht="12.75" x14ac:dyDescent="0.2">
      <c r="A1536" s="15" t="s">
        <v>109</v>
      </c>
      <c r="B1536" s="15" t="s">
        <v>110</v>
      </c>
      <c r="D1536" s="15" t="s">
        <v>233</v>
      </c>
      <c r="E1536" s="15" t="s">
        <v>113</v>
      </c>
      <c r="F1536" s="15" t="s">
        <v>233</v>
      </c>
      <c r="G1536" s="15" t="s">
        <v>113</v>
      </c>
      <c r="H1536" s="15" t="s">
        <v>111</v>
      </c>
      <c r="J1536" s="16" t="s">
        <v>114</v>
      </c>
      <c r="U1536" s="15" t="s">
        <v>17977</v>
      </c>
      <c r="W1536" s="15">
        <v>854</v>
      </c>
      <c r="X1536" s="15">
        <v>1546</v>
      </c>
      <c r="Y1536" s="15" t="s">
        <v>160</v>
      </c>
      <c r="Z1536" s="15" t="s">
        <v>161</v>
      </c>
      <c r="AA1536" s="15" t="s">
        <v>162</v>
      </c>
      <c r="AB1536" s="15" t="s">
        <v>3731</v>
      </c>
      <c r="AC1536" s="15" t="s">
        <v>3731</v>
      </c>
      <c r="AD1536" s="15" t="s">
        <v>3731</v>
      </c>
      <c r="AE1536" s="15" t="s">
        <v>164</v>
      </c>
      <c r="AF1536" s="15" t="s">
        <v>3731</v>
      </c>
      <c r="AG1536" s="15" t="s">
        <v>3731</v>
      </c>
      <c r="AH1536" s="15" t="s">
        <v>3732</v>
      </c>
      <c r="AL1536" s="15" t="s">
        <v>3733</v>
      </c>
      <c r="AN1536" s="15">
        <v>743</v>
      </c>
      <c r="AO1536" s="15" t="s">
        <v>3734</v>
      </c>
      <c r="AQ1536" s="20" t="s">
        <v>843</v>
      </c>
      <c r="AT1536" s="18" t="s">
        <v>3733</v>
      </c>
      <c r="AU1536" s="29" t="s">
        <v>3735</v>
      </c>
      <c r="AV1536" s="29" t="s">
        <v>3736</v>
      </c>
      <c r="AW1536" s="29" t="s">
        <v>3737</v>
      </c>
      <c r="AX1536" s="29" t="s">
        <v>3737</v>
      </c>
      <c r="AY1536" s="21">
        <f t="shared" si="34"/>
        <v>46</v>
      </c>
      <c r="AZ1536" s="29" t="s">
        <v>848</v>
      </c>
      <c r="BA1536" s="29" t="s">
        <v>174</v>
      </c>
      <c r="BB1536" s="24" t="s">
        <v>3685</v>
      </c>
      <c r="BC1536" s="18"/>
      <c r="BD1536" s="18"/>
      <c r="BE1536" s="24" t="s">
        <v>275</v>
      </c>
      <c r="BF1536" s="24" t="s">
        <v>3738</v>
      </c>
      <c r="BG1536" s="18"/>
      <c r="BH1536" s="18"/>
      <c r="BI1536" s="18"/>
      <c r="BJ1536" s="18" t="s">
        <v>3739</v>
      </c>
      <c r="BK1536" s="18"/>
      <c r="BL1536" s="18"/>
      <c r="BM1536" s="18"/>
      <c r="BN1536" s="18" t="s">
        <v>179</v>
      </c>
      <c r="BO1536" s="18"/>
      <c r="BP1536" s="15" t="s">
        <v>138</v>
      </c>
      <c r="BQ1536" s="18"/>
      <c r="BS1536" s="15" t="s">
        <v>3740</v>
      </c>
      <c r="DH1536" s="15" t="s">
        <v>17982</v>
      </c>
      <c r="DI1536" s="15" t="s">
        <v>17982</v>
      </c>
    </row>
    <row r="1537" spans="1:113" s="15" customFormat="1" ht="12.75" x14ac:dyDescent="0.2">
      <c r="A1537" s="15" t="s">
        <v>109</v>
      </c>
      <c r="B1537" s="15" t="s">
        <v>110</v>
      </c>
      <c r="D1537" s="15" t="s">
        <v>233</v>
      </c>
      <c r="E1537" s="15" t="s">
        <v>113</v>
      </c>
      <c r="F1537" s="15" t="s">
        <v>233</v>
      </c>
      <c r="G1537" s="15" t="s">
        <v>113</v>
      </c>
      <c r="H1537" s="15" t="s">
        <v>111</v>
      </c>
      <c r="J1537" s="16" t="s">
        <v>114</v>
      </c>
      <c r="U1537" s="15" t="s">
        <v>17977</v>
      </c>
      <c r="W1537" s="15">
        <v>2567</v>
      </c>
      <c r="X1537" s="15">
        <v>1547</v>
      </c>
      <c r="Y1537" s="15" t="s">
        <v>160</v>
      </c>
      <c r="Z1537" s="15" t="s">
        <v>161</v>
      </c>
      <c r="AA1537" s="15" t="s">
        <v>162</v>
      </c>
      <c r="AB1537" s="15" t="s">
        <v>12558</v>
      </c>
      <c r="AC1537" s="15" t="s">
        <v>12558</v>
      </c>
      <c r="AD1537" s="15" t="s">
        <v>12558</v>
      </c>
      <c r="AE1537" s="15" t="s">
        <v>164</v>
      </c>
      <c r="AF1537" s="15" t="s">
        <v>12558</v>
      </c>
      <c r="AG1537" s="15" t="s">
        <v>12558</v>
      </c>
      <c r="AH1537" s="47" t="s">
        <v>12559</v>
      </c>
      <c r="AL1537" s="15" t="s">
        <v>12560</v>
      </c>
      <c r="AN1537" s="15">
        <v>743</v>
      </c>
      <c r="AO1537" s="15" t="s">
        <v>12561</v>
      </c>
      <c r="AQ1537" s="20" t="s">
        <v>3412</v>
      </c>
      <c r="AT1537" s="18" t="s">
        <v>12562</v>
      </c>
      <c r="AU1537" s="29" t="s">
        <v>12563</v>
      </c>
      <c r="AV1537" s="29" t="s">
        <v>12564</v>
      </c>
      <c r="AW1537" s="29" t="s">
        <v>12565</v>
      </c>
      <c r="AX1537" s="29" t="s">
        <v>12566</v>
      </c>
      <c r="AY1537" s="21">
        <f t="shared" si="34"/>
        <v>60</v>
      </c>
      <c r="AZ1537" s="29" t="s">
        <v>1725</v>
      </c>
      <c r="BA1537" s="29" t="s">
        <v>174</v>
      </c>
      <c r="BB1537" s="29" t="s">
        <v>12567</v>
      </c>
      <c r="BC1537" s="24" t="s">
        <v>12568</v>
      </c>
      <c r="BD1537" s="18"/>
      <c r="BE1537" s="24" t="s">
        <v>12300</v>
      </c>
      <c r="BF1537" s="18"/>
      <c r="BG1537" s="18"/>
      <c r="BH1537" s="18"/>
      <c r="BI1537" s="18"/>
      <c r="BJ1537" s="18" t="s">
        <v>12569</v>
      </c>
      <c r="BK1537" s="18"/>
      <c r="BL1537" s="18"/>
      <c r="BM1537" s="18"/>
      <c r="BN1537" s="18" t="s">
        <v>179</v>
      </c>
      <c r="BO1537" s="18"/>
      <c r="BP1537" s="15" t="s">
        <v>138</v>
      </c>
      <c r="BQ1537" s="18"/>
      <c r="BS1537" s="15" t="s">
        <v>12570</v>
      </c>
      <c r="DH1537" s="15" t="s">
        <v>17982</v>
      </c>
      <c r="DI1537" s="15" t="s">
        <v>17982</v>
      </c>
    </row>
    <row r="1538" spans="1:113" s="15" customFormat="1" ht="12.75" x14ac:dyDescent="0.2">
      <c r="A1538" s="15" t="s">
        <v>109</v>
      </c>
      <c r="B1538" s="15" t="s">
        <v>110</v>
      </c>
      <c r="D1538" s="15" t="s">
        <v>233</v>
      </c>
      <c r="E1538" s="15" t="s">
        <v>113</v>
      </c>
      <c r="F1538" s="15" t="s">
        <v>233</v>
      </c>
      <c r="G1538" s="15" t="s">
        <v>113</v>
      </c>
      <c r="H1538" s="15" t="s">
        <v>111</v>
      </c>
      <c r="J1538" s="16" t="s">
        <v>114</v>
      </c>
      <c r="U1538" s="15" t="s">
        <v>17977</v>
      </c>
      <c r="W1538" s="15">
        <v>477</v>
      </c>
      <c r="X1538" s="15">
        <v>1548</v>
      </c>
      <c r="Y1538" s="15" t="s">
        <v>160</v>
      </c>
      <c r="Z1538" s="15" t="s">
        <v>161</v>
      </c>
      <c r="AA1538" s="15" t="s">
        <v>162</v>
      </c>
      <c r="AB1538" s="15" t="s">
        <v>1947</v>
      </c>
      <c r="AC1538" s="15" t="s">
        <v>1947</v>
      </c>
      <c r="AD1538" s="15" t="s">
        <v>1947</v>
      </c>
      <c r="AE1538" s="15" t="s">
        <v>164</v>
      </c>
      <c r="AF1538" s="15" t="s">
        <v>1947</v>
      </c>
      <c r="AG1538" s="15" t="s">
        <v>1947</v>
      </c>
      <c r="AH1538" s="15" t="s">
        <v>1948</v>
      </c>
      <c r="AL1538" s="15" t="s">
        <v>1949</v>
      </c>
      <c r="AN1538" s="15">
        <v>743</v>
      </c>
      <c r="AO1538" s="15" t="s">
        <v>1950</v>
      </c>
      <c r="AQ1538" s="20" t="s">
        <v>843</v>
      </c>
      <c r="AT1538" s="18" t="s">
        <v>1949</v>
      </c>
      <c r="AU1538" s="18" t="s">
        <v>1951</v>
      </c>
      <c r="AV1538" s="18" t="s">
        <v>1952</v>
      </c>
      <c r="AW1538" s="18" t="s">
        <v>1953</v>
      </c>
      <c r="AX1538" s="18" t="s">
        <v>1954</v>
      </c>
      <c r="AY1538" s="21">
        <f t="shared" ref="AY1538:AY1569" si="35">LEN(SUBSTITUTE(AX1538,", "," "))</f>
        <v>55</v>
      </c>
      <c r="AZ1538" s="18" t="s">
        <v>848</v>
      </c>
      <c r="BA1538" s="29" t="s">
        <v>174</v>
      </c>
      <c r="BB1538" s="18" t="s">
        <v>1955</v>
      </c>
      <c r="BC1538" s="18"/>
      <c r="BD1538" s="18"/>
      <c r="BE1538" s="18" t="s">
        <v>1754</v>
      </c>
      <c r="BF1538" s="18" t="s">
        <v>1956</v>
      </c>
      <c r="BG1538" s="18"/>
      <c r="BH1538" s="18"/>
      <c r="BI1538" s="18"/>
      <c r="BJ1538" s="18" t="s">
        <v>1957</v>
      </c>
      <c r="BK1538" s="18" t="s">
        <v>487</v>
      </c>
      <c r="BL1538" s="18"/>
      <c r="BM1538" s="18"/>
      <c r="BN1538" s="18" t="s">
        <v>179</v>
      </c>
      <c r="BO1538" s="18"/>
      <c r="BP1538" s="15" t="s">
        <v>138</v>
      </c>
      <c r="BQ1538" s="18"/>
      <c r="BS1538" s="15" t="s">
        <v>1958</v>
      </c>
      <c r="DH1538" s="15" t="s">
        <v>17982</v>
      </c>
      <c r="DI1538" s="15" t="s">
        <v>17982</v>
      </c>
    </row>
    <row r="1539" spans="1:113" s="15" customFormat="1" ht="12.75" x14ac:dyDescent="0.2">
      <c r="A1539" s="15" t="s">
        <v>109</v>
      </c>
      <c r="B1539" s="15" t="s">
        <v>110</v>
      </c>
      <c r="D1539" s="15" t="s">
        <v>233</v>
      </c>
      <c r="E1539" s="15" t="s">
        <v>113</v>
      </c>
      <c r="F1539" s="15" t="s">
        <v>233</v>
      </c>
      <c r="G1539" s="15" t="s">
        <v>113</v>
      </c>
      <c r="H1539" s="15" t="s">
        <v>111</v>
      </c>
      <c r="J1539" s="16" t="s">
        <v>114</v>
      </c>
      <c r="U1539" s="15" t="s">
        <v>17977</v>
      </c>
      <c r="W1539" s="15">
        <v>461</v>
      </c>
      <c r="X1539" s="15">
        <v>1549</v>
      </c>
      <c r="Y1539" s="15" t="s">
        <v>160</v>
      </c>
      <c r="Z1539" s="15" t="s">
        <v>161</v>
      </c>
      <c r="AA1539" s="15" t="s">
        <v>162</v>
      </c>
      <c r="AB1539" s="15" t="s">
        <v>1874</v>
      </c>
      <c r="AC1539" s="15" t="s">
        <v>1874</v>
      </c>
      <c r="AD1539" s="15" t="s">
        <v>1874</v>
      </c>
      <c r="AE1539" s="15" t="s">
        <v>164</v>
      </c>
      <c r="AF1539" s="15" t="s">
        <v>1874</v>
      </c>
      <c r="AG1539" s="15" t="s">
        <v>1874</v>
      </c>
      <c r="AH1539" s="15" t="s">
        <v>1875</v>
      </c>
      <c r="AL1539" s="15" t="s">
        <v>1876</v>
      </c>
      <c r="AN1539" s="15">
        <v>743</v>
      </c>
      <c r="AO1539" s="15" t="s">
        <v>1877</v>
      </c>
      <c r="AQ1539" s="20" t="s">
        <v>843</v>
      </c>
      <c r="AT1539" s="18" t="s">
        <v>1876</v>
      </c>
      <c r="AU1539" s="18" t="s">
        <v>1878</v>
      </c>
      <c r="AV1539" s="18" t="s">
        <v>1879</v>
      </c>
      <c r="AW1539" s="18" t="s">
        <v>1880</v>
      </c>
      <c r="AX1539" s="18" t="s">
        <v>1881</v>
      </c>
      <c r="AY1539" s="21">
        <f t="shared" si="35"/>
        <v>54</v>
      </c>
      <c r="AZ1539" s="18" t="s">
        <v>848</v>
      </c>
      <c r="BA1539" s="29" t="s">
        <v>174</v>
      </c>
      <c r="BB1539" s="18" t="s">
        <v>1782</v>
      </c>
      <c r="BC1539" s="18"/>
      <c r="BD1539" s="18"/>
      <c r="BE1539" s="29" t="s">
        <v>1882</v>
      </c>
      <c r="BF1539" s="18"/>
      <c r="BG1539" s="18"/>
      <c r="BH1539" s="18"/>
      <c r="BI1539" s="29" t="s">
        <v>1768</v>
      </c>
      <c r="BJ1539" s="18" t="s">
        <v>1883</v>
      </c>
      <c r="BK1539" s="18"/>
      <c r="BL1539" s="18"/>
      <c r="BM1539" s="18"/>
      <c r="BN1539" s="18" t="s">
        <v>179</v>
      </c>
      <c r="BO1539" s="18"/>
      <c r="BP1539" s="15" t="s">
        <v>138</v>
      </c>
      <c r="BQ1539" s="18"/>
      <c r="BS1539" s="15" t="s">
        <v>1884</v>
      </c>
      <c r="DH1539" s="15" t="s">
        <v>17982</v>
      </c>
      <c r="DI1539" s="15" t="s">
        <v>17982</v>
      </c>
    </row>
    <row r="1540" spans="1:113" s="15" customFormat="1" ht="12.75" x14ac:dyDescent="0.2">
      <c r="A1540" s="15" t="s">
        <v>109</v>
      </c>
      <c r="B1540" s="15" t="s">
        <v>110</v>
      </c>
      <c r="D1540" s="15" t="s">
        <v>233</v>
      </c>
      <c r="E1540" s="15" t="s">
        <v>113</v>
      </c>
      <c r="F1540" s="15" t="s">
        <v>233</v>
      </c>
      <c r="G1540" s="15" t="s">
        <v>113</v>
      </c>
      <c r="H1540" s="15" t="s">
        <v>111</v>
      </c>
      <c r="J1540" s="16" t="s">
        <v>114</v>
      </c>
      <c r="U1540" s="15" t="s">
        <v>17977</v>
      </c>
      <c r="W1540" s="15">
        <v>3618</v>
      </c>
      <c r="X1540" s="15">
        <v>1550</v>
      </c>
      <c r="Y1540" s="15" t="s">
        <v>160</v>
      </c>
      <c r="Z1540" s="15" t="s">
        <v>161</v>
      </c>
      <c r="AA1540" s="15" t="s">
        <v>162</v>
      </c>
      <c r="AB1540" s="15" t="s">
        <v>17458</v>
      </c>
      <c r="AC1540" s="15" t="s">
        <v>17458</v>
      </c>
      <c r="AD1540" s="15" t="s">
        <v>17458</v>
      </c>
      <c r="AE1540" s="15" t="s">
        <v>164</v>
      </c>
      <c r="AF1540" s="15" t="s">
        <v>17458</v>
      </c>
      <c r="AG1540" s="15" t="s">
        <v>17458</v>
      </c>
      <c r="AH1540" s="15" t="s">
        <v>17459</v>
      </c>
      <c r="AL1540" s="15" t="s">
        <v>17460</v>
      </c>
      <c r="AN1540" s="15">
        <v>743</v>
      </c>
      <c r="AO1540" s="15" t="s">
        <v>17461</v>
      </c>
      <c r="AQ1540" s="20" t="s">
        <v>5692</v>
      </c>
      <c r="AT1540" s="18" t="s">
        <v>17460</v>
      </c>
      <c r="AU1540" s="24" t="s">
        <v>17462</v>
      </c>
      <c r="AV1540" s="24" t="s">
        <v>17463</v>
      </c>
      <c r="AW1540" s="24" t="s">
        <v>17464</v>
      </c>
      <c r="AX1540" s="24" t="s">
        <v>17464</v>
      </c>
      <c r="AY1540" s="21">
        <f t="shared" si="35"/>
        <v>28</v>
      </c>
      <c r="AZ1540" s="24" t="s">
        <v>17465</v>
      </c>
      <c r="BA1540" s="24" t="s">
        <v>17466</v>
      </c>
      <c r="BB1540" s="24" t="s">
        <v>17423</v>
      </c>
      <c r="BC1540" s="18"/>
      <c r="BD1540" s="18"/>
      <c r="BE1540" s="24" t="s">
        <v>1056</v>
      </c>
      <c r="BF1540" s="18"/>
      <c r="BG1540" s="18"/>
      <c r="BH1540" s="18"/>
      <c r="BI1540" s="18"/>
      <c r="BJ1540" s="18"/>
      <c r="BK1540" s="18"/>
      <c r="BL1540" s="18"/>
      <c r="BM1540" s="18"/>
      <c r="BN1540" s="18" t="s">
        <v>179</v>
      </c>
      <c r="BO1540" s="18"/>
      <c r="BP1540" s="15" t="s">
        <v>138</v>
      </c>
      <c r="BQ1540" s="18"/>
      <c r="BS1540" s="15" t="s">
        <v>17467</v>
      </c>
      <c r="DH1540" s="15" t="s">
        <v>17982</v>
      </c>
      <c r="DI1540" s="15" t="s">
        <v>17982</v>
      </c>
    </row>
    <row r="1541" spans="1:113" s="15" customFormat="1" ht="12.75" x14ac:dyDescent="0.2">
      <c r="A1541" s="15" t="s">
        <v>109</v>
      </c>
      <c r="B1541" s="15" t="s">
        <v>110</v>
      </c>
      <c r="D1541" s="15" t="s">
        <v>233</v>
      </c>
      <c r="E1541" s="15" t="s">
        <v>113</v>
      </c>
      <c r="F1541" s="15" t="s">
        <v>233</v>
      </c>
      <c r="G1541" s="15" t="s">
        <v>113</v>
      </c>
      <c r="H1541" s="15" t="s">
        <v>111</v>
      </c>
      <c r="J1541" s="16" t="s">
        <v>114</v>
      </c>
      <c r="U1541" s="15" t="s">
        <v>17977</v>
      </c>
      <c r="W1541" s="15">
        <v>2694</v>
      </c>
      <c r="X1541" s="15">
        <v>1551</v>
      </c>
      <c r="Y1541" s="15" t="s">
        <v>160</v>
      </c>
      <c r="Z1541" s="15" t="s">
        <v>161</v>
      </c>
      <c r="AA1541" s="15" t="s">
        <v>162</v>
      </c>
      <c r="AB1541" s="15" t="s">
        <v>12976</v>
      </c>
      <c r="AC1541" s="15" t="s">
        <v>12976</v>
      </c>
      <c r="AD1541" s="15" t="s">
        <v>12976</v>
      </c>
      <c r="AE1541" s="15" t="s">
        <v>164</v>
      </c>
      <c r="AF1541" s="15" t="s">
        <v>12976</v>
      </c>
      <c r="AG1541" s="15" t="s">
        <v>12976</v>
      </c>
      <c r="AH1541" s="47" t="s">
        <v>12977</v>
      </c>
      <c r="AL1541" s="15" t="s">
        <v>12978</v>
      </c>
      <c r="AN1541" s="15">
        <v>743</v>
      </c>
      <c r="AO1541" s="15" t="s">
        <v>12979</v>
      </c>
      <c r="AQ1541" s="20" t="s">
        <v>912</v>
      </c>
      <c r="AT1541" s="18" t="s">
        <v>12980</v>
      </c>
      <c r="AU1541" s="24" t="s">
        <v>12981</v>
      </c>
      <c r="AV1541" s="24" t="s">
        <v>12982</v>
      </c>
      <c r="AW1541" s="24" t="s">
        <v>12983</v>
      </c>
      <c r="AX1541" s="24" t="s">
        <v>12983</v>
      </c>
      <c r="AY1541" s="21">
        <f t="shared" si="35"/>
        <v>47</v>
      </c>
      <c r="AZ1541" s="24" t="s">
        <v>12908</v>
      </c>
      <c r="BA1541" s="18"/>
      <c r="BB1541" s="18" t="s">
        <v>12984</v>
      </c>
      <c r="BC1541" s="18"/>
      <c r="BD1541" s="18"/>
      <c r="BE1541" s="18"/>
      <c r="BF1541" s="18"/>
      <c r="BG1541" s="18"/>
      <c r="BH1541" s="18"/>
      <c r="BI1541" s="18"/>
      <c r="BJ1541" s="18" t="s">
        <v>12985</v>
      </c>
      <c r="BK1541" s="18"/>
      <c r="BL1541" s="18"/>
      <c r="BM1541" s="18"/>
      <c r="BN1541" s="18" t="s">
        <v>179</v>
      </c>
      <c r="BO1541" s="18"/>
      <c r="BP1541" s="15" t="s">
        <v>138</v>
      </c>
      <c r="BQ1541" s="18"/>
      <c r="BS1541" s="15" t="s">
        <v>12986</v>
      </c>
      <c r="DH1541" s="15" t="s">
        <v>17982</v>
      </c>
      <c r="DI1541" s="15" t="s">
        <v>17982</v>
      </c>
    </row>
    <row r="1542" spans="1:113" s="15" customFormat="1" ht="12.75" x14ac:dyDescent="0.2">
      <c r="A1542" s="15" t="s">
        <v>109</v>
      </c>
      <c r="B1542" s="15" t="s">
        <v>110</v>
      </c>
      <c r="D1542" s="15" t="s">
        <v>233</v>
      </c>
      <c r="E1542" s="15" t="s">
        <v>113</v>
      </c>
      <c r="F1542" s="15" t="s">
        <v>233</v>
      </c>
      <c r="G1542" s="15" t="s">
        <v>113</v>
      </c>
      <c r="H1542" s="15" t="s">
        <v>111</v>
      </c>
      <c r="J1542" s="16" t="s">
        <v>114</v>
      </c>
      <c r="U1542" s="15" t="s">
        <v>17977</v>
      </c>
      <c r="W1542" s="15">
        <v>2734</v>
      </c>
      <c r="X1542" s="15">
        <v>1552</v>
      </c>
      <c r="Y1542" s="15" t="s">
        <v>160</v>
      </c>
      <c r="Z1542" s="15" t="s">
        <v>161</v>
      </c>
      <c r="AA1542" s="15" t="s">
        <v>162</v>
      </c>
      <c r="AB1542" s="15" t="s">
        <v>13225</v>
      </c>
      <c r="AC1542" s="15" t="s">
        <v>13225</v>
      </c>
      <c r="AD1542" s="15" t="s">
        <v>13225</v>
      </c>
      <c r="AE1542" s="15" t="s">
        <v>164</v>
      </c>
      <c r="AF1542" s="15" t="s">
        <v>13225</v>
      </c>
      <c r="AG1542" s="15" t="s">
        <v>13225</v>
      </c>
      <c r="AH1542" s="47" t="s">
        <v>13226</v>
      </c>
      <c r="AL1542" s="15" t="s">
        <v>13227</v>
      </c>
      <c r="AN1542" s="15">
        <v>743</v>
      </c>
      <c r="AO1542" s="15" t="s">
        <v>13228</v>
      </c>
      <c r="AQ1542" s="20" t="s">
        <v>912</v>
      </c>
      <c r="AT1542" s="18" t="s">
        <v>13229</v>
      </c>
      <c r="AU1542" s="24" t="s">
        <v>13230</v>
      </c>
      <c r="AV1542" s="24" t="s">
        <v>13231</v>
      </c>
      <c r="AW1542" s="24" t="s">
        <v>13232</v>
      </c>
      <c r="AX1542" s="24" t="s">
        <v>13233</v>
      </c>
      <c r="AY1542" s="21">
        <f t="shared" si="35"/>
        <v>60</v>
      </c>
      <c r="AZ1542" s="24" t="s">
        <v>12908</v>
      </c>
      <c r="BA1542" s="18"/>
      <c r="BB1542" s="18" t="s">
        <v>12984</v>
      </c>
      <c r="BC1542" s="18"/>
      <c r="BD1542" s="18"/>
      <c r="BE1542" s="18"/>
      <c r="BF1542" s="26" t="s">
        <v>2428</v>
      </c>
      <c r="BG1542" s="18"/>
      <c r="BH1542" s="18"/>
      <c r="BI1542" s="18"/>
      <c r="BJ1542" s="18" t="s">
        <v>13234</v>
      </c>
      <c r="BK1542" s="18"/>
      <c r="BL1542" s="18"/>
      <c r="BM1542" s="18"/>
      <c r="BN1542" s="18" t="s">
        <v>179</v>
      </c>
      <c r="BO1542" s="18"/>
      <c r="BP1542" s="15" t="s">
        <v>138</v>
      </c>
      <c r="BQ1542" s="18"/>
      <c r="BS1542" s="15" t="s">
        <v>13235</v>
      </c>
      <c r="DH1542" s="15" t="s">
        <v>17982</v>
      </c>
      <c r="DI1542" s="15" t="s">
        <v>17982</v>
      </c>
    </row>
    <row r="1543" spans="1:113" s="15" customFormat="1" ht="12.75" x14ac:dyDescent="0.2">
      <c r="A1543" s="15" t="s">
        <v>109</v>
      </c>
      <c r="B1543" s="15" t="s">
        <v>110</v>
      </c>
      <c r="D1543" s="15" t="s">
        <v>233</v>
      </c>
      <c r="E1543" s="15" t="s">
        <v>113</v>
      </c>
      <c r="F1543" s="15" t="s">
        <v>233</v>
      </c>
      <c r="G1543" s="15" t="s">
        <v>113</v>
      </c>
      <c r="H1543" s="15" t="s">
        <v>111</v>
      </c>
      <c r="J1543" s="16" t="s">
        <v>114</v>
      </c>
      <c r="U1543" s="15" t="s">
        <v>17977</v>
      </c>
      <c r="W1543" s="15">
        <v>2741</v>
      </c>
      <c r="X1543" s="15">
        <v>1553</v>
      </c>
      <c r="Y1543" s="15" t="s">
        <v>160</v>
      </c>
      <c r="Z1543" s="15" t="s">
        <v>161</v>
      </c>
      <c r="AA1543" s="15" t="s">
        <v>162</v>
      </c>
      <c r="AB1543" s="15" t="s">
        <v>13295</v>
      </c>
      <c r="AC1543" s="15" t="s">
        <v>13295</v>
      </c>
      <c r="AD1543" s="15" t="s">
        <v>13295</v>
      </c>
      <c r="AE1543" s="15" t="s">
        <v>164</v>
      </c>
      <c r="AF1543" s="15" t="s">
        <v>13295</v>
      </c>
      <c r="AG1543" s="15" t="s">
        <v>13295</v>
      </c>
      <c r="AH1543" s="47" t="s">
        <v>13296</v>
      </c>
      <c r="AL1543" s="15" t="s">
        <v>13297</v>
      </c>
      <c r="AN1543" s="15">
        <v>743</v>
      </c>
      <c r="AO1543" s="15" t="s">
        <v>13298</v>
      </c>
      <c r="AQ1543" s="20" t="s">
        <v>912</v>
      </c>
      <c r="AT1543" s="18" t="s">
        <v>13229</v>
      </c>
      <c r="AU1543" s="24" t="s">
        <v>13299</v>
      </c>
      <c r="AV1543" s="24" t="s">
        <v>13300</v>
      </c>
      <c r="AW1543" s="24" t="s">
        <v>13301</v>
      </c>
      <c r="AX1543" s="24" t="s">
        <v>13302</v>
      </c>
      <c r="AY1543" s="21">
        <f t="shared" si="35"/>
        <v>55</v>
      </c>
      <c r="AZ1543" s="24" t="s">
        <v>12908</v>
      </c>
      <c r="BA1543" s="18"/>
      <c r="BB1543" s="18" t="s">
        <v>12984</v>
      </c>
      <c r="BC1543" s="18"/>
      <c r="BD1543" s="18"/>
      <c r="BE1543" s="18" t="s">
        <v>13303</v>
      </c>
      <c r="BF1543" s="26" t="s">
        <v>13304</v>
      </c>
      <c r="BG1543" s="18"/>
      <c r="BH1543" s="18"/>
      <c r="BI1543" s="18"/>
      <c r="BJ1543" s="18" t="s">
        <v>13305</v>
      </c>
      <c r="BK1543" s="18"/>
      <c r="BL1543" s="18"/>
      <c r="BM1543" s="18"/>
      <c r="BN1543" s="18" t="s">
        <v>179</v>
      </c>
      <c r="BO1543" s="18"/>
      <c r="BP1543" s="15" t="s">
        <v>138</v>
      </c>
      <c r="BQ1543" s="18"/>
      <c r="BS1543" s="15" t="s">
        <v>13306</v>
      </c>
      <c r="DH1543" s="15" t="s">
        <v>17982</v>
      </c>
      <c r="DI1543" s="15" t="s">
        <v>17982</v>
      </c>
    </row>
    <row r="1544" spans="1:113" s="15" customFormat="1" ht="12.75" x14ac:dyDescent="0.2">
      <c r="A1544" s="15" t="s">
        <v>109</v>
      </c>
      <c r="B1544" s="15" t="s">
        <v>110</v>
      </c>
      <c r="D1544" s="15" t="s">
        <v>233</v>
      </c>
      <c r="E1544" s="15" t="s">
        <v>113</v>
      </c>
      <c r="F1544" s="15" t="s">
        <v>233</v>
      </c>
      <c r="G1544" s="15" t="s">
        <v>113</v>
      </c>
      <c r="H1544" s="15" t="s">
        <v>111</v>
      </c>
      <c r="J1544" s="16" t="s">
        <v>114</v>
      </c>
      <c r="U1544" s="15" t="s">
        <v>17977</v>
      </c>
      <c r="W1544" s="15">
        <v>2739</v>
      </c>
      <c r="X1544" s="15">
        <v>1554</v>
      </c>
      <c r="Y1544" s="15" t="s">
        <v>160</v>
      </c>
      <c r="Z1544" s="15" t="s">
        <v>161</v>
      </c>
      <c r="AA1544" s="15" t="s">
        <v>162</v>
      </c>
      <c r="AB1544" s="15" t="s">
        <v>13274</v>
      </c>
      <c r="AC1544" s="15" t="s">
        <v>13274</v>
      </c>
      <c r="AD1544" s="15" t="s">
        <v>13274</v>
      </c>
      <c r="AE1544" s="15" t="s">
        <v>164</v>
      </c>
      <c r="AF1544" s="15" t="s">
        <v>13274</v>
      </c>
      <c r="AG1544" s="15" t="s">
        <v>13274</v>
      </c>
      <c r="AH1544" s="47" t="s">
        <v>13275</v>
      </c>
      <c r="AL1544" s="15" t="s">
        <v>13276</v>
      </c>
      <c r="AN1544" s="15">
        <v>743</v>
      </c>
      <c r="AO1544" s="15" t="s">
        <v>13277</v>
      </c>
      <c r="AQ1544" s="20" t="s">
        <v>912</v>
      </c>
      <c r="AT1544" s="18" t="s">
        <v>13229</v>
      </c>
      <c r="AU1544" s="24" t="s">
        <v>13278</v>
      </c>
      <c r="AV1544" s="24" t="s">
        <v>13279</v>
      </c>
      <c r="AW1544" s="24" t="s">
        <v>13280</v>
      </c>
      <c r="AX1544" s="24" t="s">
        <v>13281</v>
      </c>
      <c r="AY1544" s="21">
        <f t="shared" si="35"/>
        <v>52</v>
      </c>
      <c r="AZ1544" s="24" t="s">
        <v>12908</v>
      </c>
      <c r="BA1544" s="18"/>
      <c r="BB1544" s="18" t="s">
        <v>12984</v>
      </c>
      <c r="BC1544" s="18"/>
      <c r="BD1544" s="18"/>
      <c r="BE1544" s="18" t="s">
        <v>1623</v>
      </c>
      <c r="BF1544" s="26" t="s">
        <v>2428</v>
      </c>
      <c r="BG1544" s="18"/>
      <c r="BH1544" s="18"/>
      <c r="BI1544" s="18"/>
      <c r="BJ1544" s="18" t="s">
        <v>13282</v>
      </c>
      <c r="BK1544" s="18"/>
      <c r="BL1544" s="18"/>
      <c r="BM1544" s="18"/>
      <c r="BN1544" s="18" t="s">
        <v>179</v>
      </c>
      <c r="BO1544" s="18"/>
      <c r="BP1544" s="15" t="s">
        <v>138</v>
      </c>
      <c r="BQ1544" s="18"/>
      <c r="BS1544" s="15" t="s">
        <v>13283</v>
      </c>
      <c r="DH1544" s="15" t="s">
        <v>17982</v>
      </c>
      <c r="DI1544" s="15" t="s">
        <v>17982</v>
      </c>
    </row>
    <row r="1545" spans="1:113" s="15" customFormat="1" ht="12.75" x14ac:dyDescent="0.2">
      <c r="A1545" s="15" t="s">
        <v>109</v>
      </c>
      <c r="B1545" s="15" t="s">
        <v>110</v>
      </c>
      <c r="D1545" s="15" t="s">
        <v>233</v>
      </c>
      <c r="E1545" s="15" t="s">
        <v>113</v>
      </c>
      <c r="F1545" s="15" t="s">
        <v>233</v>
      </c>
      <c r="G1545" s="15" t="s">
        <v>113</v>
      </c>
      <c r="H1545" s="15" t="s">
        <v>111</v>
      </c>
      <c r="J1545" s="16" t="s">
        <v>114</v>
      </c>
      <c r="U1545" s="15" t="s">
        <v>17977</v>
      </c>
      <c r="W1545" s="15">
        <v>2740</v>
      </c>
      <c r="X1545" s="15">
        <v>1555</v>
      </c>
      <c r="Y1545" s="15" t="s">
        <v>160</v>
      </c>
      <c r="Z1545" s="15" t="s">
        <v>161</v>
      </c>
      <c r="AA1545" s="15" t="s">
        <v>162</v>
      </c>
      <c r="AB1545" s="15" t="s">
        <v>13284</v>
      </c>
      <c r="AC1545" s="15" t="s">
        <v>13284</v>
      </c>
      <c r="AD1545" s="15" t="s">
        <v>13284</v>
      </c>
      <c r="AE1545" s="15" t="s">
        <v>164</v>
      </c>
      <c r="AF1545" s="15" t="s">
        <v>13284</v>
      </c>
      <c r="AG1545" s="15" t="s">
        <v>13284</v>
      </c>
      <c r="AH1545" s="47" t="s">
        <v>13285</v>
      </c>
      <c r="AL1545" s="15" t="s">
        <v>13286</v>
      </c>
      <c r="AN1545" s="15">
        <v>743</v>
      </c>
      <c r="AO1545" s="15" t="s">
        <v>13287</v>
      </c>
      <c r="AQ1545" s="20" t="s">
        <v>912</v>
      </c>
      <c r="AT1545" s="18" t="s">
        <v>13229</v>
      </c>
      <c r="AU1545" s="24" t="s">
        <v>13288</v>
      </c>
      <c r="AV1545" s="24" t="s">
        <v>13289</v>
      </c>
      <c r="AW1545" s="24" t="s">
        <v>13290</v>
      </c>
      <c r="AX1545" s="24" t="s">
        <v>13291</v>
      </c>
      <c r="AY1545" s="21">
        <f t="shared" si="35"/>
        <v>52</v>
      </c>
      <c r="AZ1545" s="24" t="s">
        <v>12908</v>
      </c>
      <c r="BA1545" s="18"/>
      <c r="BB1545" s="18" t="s">
        <v>12984</v>
      </c>
      <c r="BC1545" s="18"/>
      <c r="BD1545" s="18"/>
      <c r="BE1545" s="18" t="s">
        <v>13292</v>
      </c>
      <c r="BF1545" s="26" t="s">
        <v>2428</v>
      </c>
      <c r="BG1545" s="18"/>
      <c r="BH1545" s="18"/>
      <c r="BI1545" s="18"/>
      <c r="BJ1545" s="18" t="s">
        <v>13293</v>
      </c>
      <c r="BK1545" s="18"/>
      <c r="BL1545" s="18"/>
      <c r="BM1545" s="18"/>
      <c r="BN1545" s="18" t="s">
        <v>179</v>
      </c>
      <c r="BO1545" s="18"/>
      <c r="BP1545" s="15" t="s">
        <v>138</v>
      </c>
      <c r="BQ1545" s="18"/>
      <c r="BS1545" s="15" t="s">
        <v>13294</v>
      </c>
      <c r="DH1545" s="15" t="s">
        <v>17982</v>
      </c>
      <c r="DI1545" s="15" t="s">
        <v>17982</v>
      </c>
    </row>
    <row r="1546" spans="1:113" s="15" customFormat="1" ht="12.75" x14ac:dyDescent="0.2">
      <c r="A1546" s="15" t="s">
        <v>109</v>
      </c>
      <c r="B1546" s="15" t="s">
        <v>110</v>
      </c>
      <c r="D1546" s="15" t="s">
        <v>233</v>
      </c>
      <c r="E1546" s="15" t="s">
        <v>113</v>
      </c>
      <c r="F1546" s="15" t="s">
        <v>233</v>
      </c>
      <c r="G1546" s="15" t="s">
        <v>113</v>
      </c>
      <c r="H1546" s="15" t="s">
        <v>111</v>
      </c>
      <c r="J1546" s="16" t="s">
        <v>114</v>
      </c>
      <c r="U1546" s="15" t="s">
        <v>17977</v>
      </c>
      <c r="W1546" s="15">
        <v>2738</v>
      </c>
      <c r="X1546" s="15">
        <v>1556</v>
      </c>
      <c r="Y1546" s="15" t="s">
        <v>160</v>
      </c>
      <c r="Z1546" s="15" t="s">
        <v>161</v>
      </c>
      <c r="AA1546" s="15" t="s">
        <v>162</v>
      </c>
      <c r="AB1546" s="15" t="s">
        <v>13264</v>
      </c>
      <c r="AC1546" s="15" t="s">
        <v>13264</v>
      </c>
      <c r="AD1546" s="15" t="s">
        <v>13264</v>
      </c>
      <c r="AE1546" s="15" t="s">
        <v>164</v>
      </c>
      <c r="AF1546" s="15" t="s">
        <v>13264</v>
      </c>
      <c r="AG1546" s="15" t="s">
        <v>13264</v>
      </c>
      <c r="AH1546" s="47" t="s">
        <v>13265</v>
      </c>
      <c r="AL1546" s="15" t="s">
        <v>13266</v>
      </c>
      <c r="AN1546" s="15">
        <v>743</v>
      </c>
      <c r="AO1546" s="15" t="s">
        <v>13267</v>
      </c>
      <c r="AQ1546" s="20" t="s">
        <v>912</v>
      </c>
      <c r="AT1546" s="18" t="s">
        <v>13229</v>
      </c>
      <c r="AU1546" s="24" t="s">
        <v>13268</v>
      </c>
      <c r="AV1546" s="24" t="s">
        <v>13269</v>
      </c>
      <c r="AW1546" s="24" t="s">
        <v>13270</v>
      </c>
      <c r="AX1546" s="24" t="s">
        <v>13271</v>
      </c>
      <c r="AY1546" s="21">
        <f t="shared" si="35"/>
        <v>60</v>
      </c>
      <c r="AZ1546" s="24" t="s">
        <v>12908</v>
      </c>
      <c r="BA1546" s="18"/>
      <c r="BB1546" s="18" t="s">
        <v>12984</v>
      </c>
      <c r="BC1546" s="18"/>
      <c r="BD1546" s="18"/>
      <c r="BE1546" s="18"/>
      <c r="BF1546" s="26" t="s">
        <v>2428</v>
      </c>
      <c r="BG1546" s="18"/>
      <c r="BH1546" s="18"/>
      <c r="BI1546" s="18"/>
      <c r="BJ1546" s="18" t="s">
        <v>13272</v>
      </c>
      <c r="BK1546" s="18"/>
      <c r="BL1546" s="18"/>
      <c r="BM1546" s="18"/>
      <c r="BN1546" s="18" t="s">
        <v>179</v>
      </c>
      <c r="BO1546" s="18"/>
      <c r="BP1546" s="15" t="s">
        <v>138</v>
      </c>
      <c r="BQ1546" s="18"/>
      <c r="BS1546" s="15" t="s">
        <v>13273</v>
      </c>
      <c r="DH1546" s="15" t="s">
        <v>17982</v>
      </c>
      <c r="DI1546" s="15" t="s">
        <v>17982</v>
      </c>
    </row>
    <row r="1547" spans="1:113" s="15" customFormat="1" ht="12.75" x14ac:dyDescent="0.2">
      <c r="A1547" s="15" t="s">
        <v>109</v>
      </c>
      <c r="B1547" s="15" t="s">
        <v>110</v>
      </c>
      <c r="D1547" s="15" t="s">
        <v>233</v>
      </c>
      <c r="E1547" s="15" t="s">
        <v>113</v>
      </c>
      <c r="F1547" s="15" t="s">
        <v>233</v>
      </c>
      <c r="G1547" s="15" t="s">
        <v>113</v>
      </c>
      <c r="H1547" s="15" t="s">
        <v>111</v>
      </c>
      <c r="J1547" s="16" t="s">
        <v>114</v>
      </c>
      <c r="U1547" s="15" t="s">
        <v>17977</v>
      </c>
      <c r="W1547" s="15">
        <v>2735</v>
      </c>
      <c r="X1547" s="15">
        <v>1557</v>
      </c>
      <c r="Y1547" s="15" t="s">
        <v>160</v>
      </c>
      <c r="Z1547" s="15" t="s">
        <v>161</v>
      </c>
      <c r="AA1547" s="15" t="s">
        <v>162</v>
      </c>
      <c r="AB1547" s="15" t="s">
        <v>13236</v>
      </c>
      <c r="AC1547" s="15" t="s">
        <v>13236</v>
      </c>
      <c r="AD1547" s="15" t="s">
        <v>13236</v>
      </c>
      <c r="AE1547" s="15" t="s">
        <v>164</v>
      </c>
      <c r="AF1547" s="15" t="s">
        <v>13236</v>
      </c>
      <c r="AG1547" s="15" t="s">
        <v>13236</v>
      </c>
      <c r="AH1547" s="47" t="s">
        <v>13237</v>
      </c>
      <c r="AL1547" s="15" t="s">
        <v>13238</v>
      </c>
      <c r="AN1547" s="15">
        <v>743</v>
      </c>
      <c r="AO1547" s="15" t="s">
        <v>13239</v>
      </c>
      <c r="AQ1547" s="20" t="s">
        <v>912</v>
      </c>
      <c r="AT1547" s="18" t="s">
        <v>13229</v>
      </c>
      <c r="AU1547" s="24" t="s">
        <v>13240</v>
      </c>
      <c r="AV1547" s="24" t="s">
        <v>13241</v>
      </c>
      <c r="AW1547" s="24" t="s">
        <v>13242</v>
      </c>
      <c r="AX1547" s="24" t="s">
        <v>13243</v>
      </c>
      <c r="AY1547" s="21">
        <f t="shared" si="35"/>
        <v>59</v>
      </c>
      <c r="AZ1547" s="24" t="s">
        <v>12908</v>
      </c>
      <c r="BA1547" s="18"/>
      <c r="BB1547" s="18" t="s">
        <v>12984</v>
      </c>
      <c r="BC1547" s="18"/>
      <c r="BD1547" s="18"/>
      <c r="BE1547" s="18" t="s">
        <v>275</v>
      </c>
      <c r="BF1547" s="26" t="s">
        <v>2428</v>
      </c>
      <c r="BG1547" s="18"/>
      <c r="BH1547" s="18"/>
      <c r="BI1547" s="18"/>
      <c r="BJ1547" s="18" t="s">
        <v>13244</v>
      </c>
      <c r="BK1547" s="18"/>
      <c r="BL1547" s="18"/>
      <c r="BM1547" s="18"/>
      <c r="BN1547" s="18" t="s">
        <v>179</v>
      </c>
      <c r="BO1547" s="18"/>
      <c r="BP1547" s="15" t="s">
        <v>138</v>
      </c>
      <c r="BQ1547" s="18"/>
      <c r="BS1547" s="15" t="s">
        <v>13245</v>
      </c>
      <c r="DH1547" s="15" t="s">
        <v>17982</v>
      </c>
      <c r="DI1547" s="15" t="s">
        <v>17982</v>
      </c>
    </row>
    <row r="1548" spans="1:113" s="15" customFormat="1" ht="12.75" x14ac:dyDescent="0.2">
      <c r="A1548" s="15" t="s">
        <v>109</v>
      </c>
      <c r="B1548" s="15" t="s">
        <v>110</v>
      </c>
      <c r="D1548" s="15" t="s">
        <v>233</v>
      </c>
      <c r="E1548" s="15" t="s">
        <v>113</v>
      </c>
      <c r="F1548" s="15" t="s">
        <v>233</v>
      </c>
      <c r="G1548" s="15" t="s">
        <v>113</v>
      </c>
      <c r="H1548" s="15" t="s">
        <v>111</v>
      </c>
      <c r="J1548" s="16" t="s">
        <v>114</v>
      </c>
      <c r="U1548" s="15" t="s">
        <v>17977</v>
      </c>
      <c r="W1548" s="15">
        <v>2736</v>
      </c>
      <c r="X1548" s="15">
        <v>1558</v>
      </c>
      <c r="Y1548" s="15" t="s">
        <v>160</v>
      </c>
      <c r="Z1548" s="15" t="s">
        <v>161</v>
      </c>
      <c r="AA1548" s="15" t="s">
        <v>162</v>
      </c>
      <c r="AB1548" s="15" t="s">
        <v>13246</v>
      </c>
      <c r="AC1548" s="15" t="s">
        <v>13246</v>
      </c>
      <c r="AD1548" s="15" t="s">
        <v>13246</v>
      </c>
      <c r="AE1548" s="15" t="s">
        <v>164</v>
      </c>
      <c r="AF1548" s="15" t="s">
        <v>13246</v>
      </c>
      <c r="AG1548" s="15" t="s">
        <v>13246</v>
      </c>
      <c r="AH1548" s="47" t="s">
        <v>13247</v>
      </c>
      <c r="AL1548" s="15" t="s">
        <v>13238</v>
      </c>
      <c r="AN1548" s="15">
        <v>743</v>
      </c>
      <c r="AO1548" s="15" t="s">
        <v>13248</v>
      </c>
      <c r="AQ1548" s="20" t="s">
        <v>912</v>
      </c>
      <c r="AT1548" s="18" t="s">
        <v>13229</v>
      </c>
      <c r="AU1548" s="24" t="s">
        <v>13249</v>
      </c>
      <c r="AV1548" s="24" t="s">
        <v>13250</v>
      </c>
      <c r="AW1548" s="24" t="s">
        <v>13251</v>
      </c>
      <c r="AX1548" s="24" t="s">
        <v>13252</v>
      </c>
      <c r="AY1548" s="21">
        <f t="shared" si="35"/>
        <v>60</v>
      </c>
      <c r="AZ1548" s="24" t="s">
        <v>12908</v>
      </c>
      <c r="BA1548" s="18"/>
      <c r="BB1548" s="18" t="s">
        <v>12984</v>
      </c>
      <c r="BC1548" s="18"/>
      <c r="BD1548" s="18"/>
      <c r="BE1548" s="18" t="s">
        <v>1528</v>
      </c>
      <c r="BF1548" s="26" t="s">
        <v>2428</v>
      </c>
      <c r="BG1548" s="18"/>
      <c r="BH1548" s="18"/>
      <c r="BI1548" s="18"/>
      <c r="BJ1548" s="18" t="s">
        <v>13244</v>
      </c>
      <c r="BK1548" s="18"/>
      <c r="BL1548" s="18"/>
      <c r="BM1548" s="18"/>
      <c r="BN1548" s="18" t="s">
        <v>179</v>
      </c>
      <c r="BO1548" s="18"/>
      <c r="BP1548" s="15" t="s">
        <v>138</v>
      </c>
      <c r="BQ1548" s="18"/>
      <c r="BS1548" s="15" t="s">
        <v>13253</v>
      </c>
      <c r="DH1548" s="15" t="s">
        <v>17982</v>
      </c>
      <c r="DI1548" s="15" t="s">
        <v>17982</v>
      </c>
    </row>
    <row r="1549" spans="1:113" s="15" customFormat="1" ht="12.75" x14ac:dyDescent="0.2">
      <c r="A1549" s="15" t="s">
        <v>109</v>
      </c>
      <c r="B1549" s="15" t="s">
        <v>110</v>
      </c>
      <c r="D1549" s="15" t="s">
        <v>233</v>
      </c>
      <c r="E1549" s="15" t="s">
        <v>113</v>
      </c>
      <c r="F1549" s="15" t="s">
        <v>233</v>
      </c>
      <c r="G1549" s="15" t="s">
        <v>113</v>
      </c>
      <c r="H1549" s="15" t="s">
        <v>111</v>
      </c>
      <c r="J1549" s="16" t="s">
        <v>114</v>
      </c>
      <c r="U1549" s="15" t="s">
        <v>17977</v>
      </c>
      <c r="W1549" s="15">
        <v>2737</v>
      </c>
      <c r="X1549" s="15">
        <v>1559</v>
      </c>
      <c r="Y1549" s="15" t="s">
        <v>160</v>
      </c>
      <c r="Z1549" s="15" t="s">
        <v>161</v>
      </c>
      <c r="AA1549" s="15" t="s">
        <v>162</v>
      </c>
      <c r="AB1549" s="15" t="s">
        <v>13254</v>
      </c>
      <c r="AC1549" s="15" t="s">
        <v>13254</v>
      </c>
      <c r="AD1549" s="15" t="s">
        <v>13254</v>
      </c>
      <c r="AE1549" s="15" t="s">
        <v>164</v>
      </c>
      <c r="AF1549" s="15" t="s">
        <v>13254</v>
      </c>
      <c r="AG1549" s="15" t="s">
        <v>13254</v>
      </c>
      <c r="AH1549" s="47" t="s">
        <v>13255</v>
      </c>
      <c r="AL1549" s="15" t="s">
        <v>13256</v>
      </c>
      <c r="AN1549" s="15">
        <v>743</v>
      </c>
      <c r="AO1549" s="15" t="s">
        <v>13257</v>
      </c>
      <c r="AQ1549" s="20" t="s">
        <v>912</v>
      </c>
      <c r="AT1549" s="18" t="s">
        <v>13229</v>
      </c>
      <c r="AU1549" s="24" t="s">
        <v>13258</v>
      </c>
      <c r="AV1549" s="24" t="s">
        <v>13259</v>
      </c>
      <c r="AW1549" s="24" t="s">
        <v>13260</v>
      </c>
      <c r="AX1549" s="24" t="s">
        <v>13261</v>
      </c>
      <c r="AY1549" s="21">
        <f t="shared" si="35"/>
        <v>56</v>
      </c>
      <c r="AZ1549" s="24" t="s">
        <v>12908</v>
      </c>
      <c r="BA1549" s="18"/>
      <c r="BB1549" s="18" t="s">
        <v>12984</v>
      </c>
      <c r="BC1549" s="18"/>
      <c r="BD1549" s="18"/>
      <c r="BE1549" s="18" t="s">
        <v>1528</v>
      </c>
      <c r="BF1549" s="26" t="s">
        <v>2428</v>
      </c>
      <c r="BG1549" s="18"/>
      <c r="BH1549" s="18"/>
      <c r="BI1549" s="18"/>
      <c r="BJ1549" s="18" t="s">
        <v>13262</v>
      </c>
      <c r="BK1549" s="18"/>
      <c r="BL1549" s="18"/>
      <c r="BM1549" s="18"/>
      <c r="BN1549" s="18" t="s">
        <v>179</v>
      </c>
      <c r="BO1549" s="18"/>
      <c r="BP1549" s="15" t="s">
        <v>138</v>
      </c>
      <c r="BQ1549" s="18"/>
      <c r="BS1549" s="15" t="s">
        <v>13263</v>
      </c>
      <c r="DH1549" s="15" t="s">
        <v>17982</v>
      </c>
      <c r="DI1549" s="15" t="s">
        <v>17982</v>
      </c>
    </row>
    <row r="1550" spans="1:113" s="15" customFormat="1" ht="12.75" x14ac:dyDescent="0.2">
      <c r="A1550" s="15" t="s">
        <v>109</v>
      </c>
      <c r="B1550" s="15" t="s">
        <v>110</v>
      </c>
      <c r="D1550" s="15" t="s">
        <v>233</v>
      </c>
      <c r="E1550" s="15" t="s">
        <v>113</v>
      </c>
      <c r="F1550" s="15" t="s">
        <v>233</v>
      </c>
      <c r="G1550" s="15" t="s">
        <v>113</v>
      </c>
      <c r="H1550" s="15" t="s">
        <v>111</v>
      </c>
      <c r="J1550" s="16" t="s">
        <v>114</v>
      </c>
      <c r="U1550" s="15" t="s">
        <v>17977</v>
      </c>
      <c r="W1550" s="15">
        <v>1264</v>
      </c>
      <c r="X1550" s="15">
        <v>1560</v>
      </c>
      <c r="Y1550" s="15" t="s">
        <v>160</v>
      </c>
      <c r="Z1550" s="15" t="s">
        <v>161</v>
      </c>
      <c r="AA1550" s="15" t="s">
        <v>162</v>
      </c>
      <c r="AB1550" s="15" t="s">
        <v>6531</v>
      </c>
      <c r="AC1550" s="15" t="s">
        <v>6531</v>
      </c>
      <c r="AD1550" s="15" t="s">
        <v>6532</v>
      </c>
      <c r="AE1550" s="15" t="s">
        <v>164</v>
      </c>
      <c r="AF1550" s="15" t="s">
        <v>6531</v>
      </c>
      <c r="AG1550" s="15" t="s">
        <v>6531</v>
      </c>
      <c r="AH1550" s="15" t="s">
        <v>6533</v>
      </c>
      <c r="AL1550" s="15" t="s">
        <v>6534</v>
      </c>
      <c r="AN1550" s="15">
        <v>743</v>
      </c>
      <c r="AO1550" s="15" t="s">
        <v>6535</v>
      </c>
      <c r="AQ1550" s="20" t="s">
        <v>1104</v>
      </c>
      <c r="AT1550" s="18" t="s">
        <v>6536</v>
      </c>
      <c r="AU1550" s="29" t="s">
        <v>6537</v>
      </c>
      <c r="AV1550" s="29" t="s">
        <v>6538</v>
      </c>
      <c r="AW1550" s="29" t="s">
        <v>6539</v>
      </c>
      <c r="AX1550" s="29" t="s">
        <v>6540</v>
      </c>
      <c r="AY1550" s="21">
        <f t="shared" si="35"/>
        <v>60</v>
      </c>
      <c r="AZ1550" s="29" t="s">
        <v>6541</v>
      </c>
      <c r="BA1550" s="29" t="s">
        <v>917</v>
      </c>
      <c r="BB1550" s="18"/>
      <c r="BC1550" s="18"/>
      <c r="BD1550" s="18"/>
      <c r="BE1550" s="18"/>
      <c r="BF1550" s="18"/>
      <c r="BG1550" s="18"/>
      <c r="BH1550" s="18"/>
      <c r="BI1550" s="18"/>
      <c r="BJ1550" s="18" t="s">
        <v>6542</v>
      </c>
      <c r="BK1550" s="18"/>
      <c r="BL1550" s="18"/>
      <c r="BM1550" s="18"/>
      <c r="BN1550" s="18" t="s">
        <v>179</v>
      </c>
      <c r="BO1550" s="18"/>
      <c r="BP1550" s="15" t="s">
        <v>138</v>
      </c>
      <c r="BQ1550" s="18"/>
      <c r="BS1550" s="15" t="s">
        <v>6543</v>
      </c>
      <c r="DH1550" s="15" t="s">
        <v>17982</v>
      </c>
      <c r="DI1550" s="15" t="s">
        <v>17982</v>
      </c>
    </row>
    <row r="1551" spans="1:113" s="15" customFormat="1" ht="12.75" x14ac:dyDescent="0.2">
      <c r="A1551" s="15" t="s">
        <v>109</v>
      </c>
      <c r="B1551" s="15" t="s">
        <v>110</v>
      </c>
      <c r="D1551" s="15" t="s">
        <v>233</v>
      </c>
      <c r="E1551" s="15" t="s">
        <v>113</v>
      </c>
      <c r="F1551" s="15" t="s">
        <v>233</v>
      </c>
      <c r="G1551" s="15" t="s">
        <v>113</v>
      </c>
      <c r="H1551" s="15" t="s">
        <v>111</v>
      </c>
      <c r="J1551" s="16" t="s">
        <v>114</v>
      </c>
      <c r="U1551" s="15" t="s">
        <v>17977</v>
      </c>
      <c r="W1551" s="15">
        <v>181</v>
      </c>
      <c r="X1551" s="15">
        <v>1561</v>
      </c>
      <c r="Y1551" s="15" t="s">
        <v>160</v>
      </c>
      <c r="Z1551" s="15" t="s">
        <v>161</v>
      </c>
      <c r="AA1551" s="15" t="s">
        <v>162</v>
      </c>
      <c r="AB1551" s="15" t="s">
        <v>1099</v>
      </c>
      <c r="AC1551" s="15" t="s">
        <v>1099</v>
      </c>
      <c r="AD1551" s="15" t="s">
        <v>1100</v>
      </c>
      <c r="AE1551" s="15" t="s">
        <v>164</v>
      </c>
      <c r="AF1551" s="15" t="s">
        <v>1099</v>
      </c>
      <c r="AG1551" s="15" t="s">
        <v>1099</v>
      </c>
      <c r="AH1551" s="15" t="s">
        <v>1101</v>
      </c>
      <c r="AL1551" s="15" t="s">
        <v>1102</v>
      </c>
      <c r="AN1551" s="15">
        <v>743</v>
      </c>
      <c r="AO1551" s="15" t="s">
        <v>1103</v>
      </c>
      <c r="AQ1551" s="20" t="s">
        <v>1104</v>
      </c>
      <c r="AT1551" s="18" t="s">
        <v>1102</v>
      </c>
      <c r="AU1551" s="18" t="s">
        <v>1105</v>
      </c>
      <c r="AV1551" s="18" t="s">
        <v>1106</v>
      </c>
      <c r="AW1551" s="18" t="s">
        <v>1107</v>
      </c>
      <c r="AX1551" s="18" t="s">
        <v>1107</v>
      </c>
      <c r="AY1551" s="21">
        <f t="shared" si="35"/>
        <v>51</v>
      </c>
      <c r="AZ1551" s="18" t="s">
        <v>1108</v>
      </c>
      <c r="BA1551" s="29" t="s">
        <v>917</v>
      </c>
      <c r="BB1551" s="29" t="s">
        <v>1109</v>
      </c>
      <c r="BC1551" s="18"/>
      <c r="BD1551" s="18"/>
      <c r="BE1551" s="18" t="s">
        <v>1110</v>
      </c>
      <c r="BF1551" s="18"/>
      <c r="BG1551" s="18"/>
      <c r="BH1551" s="18"/>
      <c r="BI1551" s="18"/>
      <c r="BJ1551" s="18" t="s">
        <v>1111</v>
      </c>
      <c r="BK1551" s="18" t="s">
        <v>487</v>
      </c>
      <c r="BL1551" s="18"/>
      <c r="BM1551" s="18"/>
      <c r="BN1551" s="18" t="s">
        <v>179</v>
      </c>
      <c r="BO1551" s="18"/>
      <c r="BP1551" s="15" t="s">
        <v>138</v>
      </c>
      <c r="BQ1551" s="18"/>
      <c r="BS1551" s="15" t="s">
        <v>1112</v>
      </c>
      <c r="DH1551" s="15" t="s">
        <v>17982</v>
      </c>
      <c r="DI1551" s="15" t="s">
        <v>17982</v>
      </c>
    </row>
    <row r="1552" spans="1:113" s="15" customFormat="1" ht="12.75" x14ac:dyDescent="0.2">
      <c r="A1552" s="15" t="s">
        <v>109</v>
      </c>
      <c r="B1552" s="15" t="s">
        <v>110</v>
      </c>
      <c r="D1552" s="15" t="s">
        <v>233</v>
      </c>
      <c r="E1552" s="15" t="s">
        <v>113</v>
      </c>
      <c r="F1552" s="15" t="s">
        <v>233</v>
      </c>
      <c r="G1552" s="15" t="s">
        <v>113</v>
      </c>
      <c r="H1552" s="15" t="s">
        <v>111</v>
      </c>
      <c r="J1552" s="16" t="s">
        <v>114</v>
      </c>
      <c r="U1552" s="15" t="s">
        <v>17977</v>
      </c>
      <c r="W1552" s="15">
        <v>2760</v>
      </c>
      <c r="X1552" s="15">
        <v>1562</v>
      </c>
      <c r="Y1552" s="15" t="s">
        <v>160</v>
      </c>
      <c r="Z1552" s="15" t="s">
        <v>161</v>
      </c>
      <c r="AA1552" s="15" t="s">
        <v>162</v>
      </c>
      <c r="AB1552" s="15" t="s">
        <v>13365</v>
      </c>
      <c r="AC1552" s="15" t="s">
        <v>13365</v>
      </c>
      <c r="AD1552" s="15" t="s">
        <v>13366</v>
      </c>
      <c r="AE1552" s="15" t="s">
        <v>164</v>
      </c>
      <c r="AF1552" s="15" t="s">
        <v>13365</v>
      </c>
      <c r="AG1552" s="15" t="s">
        <v>13365</v>
      </c>
      <c r="AH1552" s="47" t="s">
        <v>13367</v>
      </c>
      <c r="AL1552" s="15" t="s">
        <v>13368</v>
      </c>
      <c r="AN1552" s="15">
        <v>743</v>
      </c>
      <c r="AO1552" s="15" t="s">
        <v>13369</v>
      </c>
      <c r="AQ1552" s="20" t="s">
        <v>1104</v>
      </c>
      <c r="AT1552" s="18" t="s">
        <v>13370</v>
      </c>
      <c r="AU1552" s="24" t="s">
        <v>13371</v>
      </c>
      <c r="AV1552" s="24" t="s">
        <v>13372</v>
      </c>
      <c r="AW1552" s="24" t="s">
        <v>13373</v>
      </c>
      <c r="AX1552" s="24" t="s">
        <v>13374</v>
      </c>
      <c r="AY1552" s="21">
        <f t="shared" si="35"/>
        <v>55</v>
      </c>
      <c r="AZ1552" s="24" t="s">
        <v>8763</v>
      </c>
      <c r="BA1552" s="18" t="s">
        <v>13375</v>
      </c>
      <c r="BB1552" s="18" t="s">
        <v>13376</v>
      </c>
      <c r="BC1552" s="18"/>
      <c r="BD1552" s="18"/>
      <c r="BE1552" s="18"/>
      <c r="BF1552" s="18" t="s">
        <v>1110</v>
      </c>
      <c r="BG1552" s="18"/>
      <c r="BH1552" s="18"/>
      <c r="BI1552" s="18"/>
      <c r="BJ1552" s="18" t="s">
        <v>13377</v>
      </c>
      <c r="BK1552" s="18"/>
      <c r="BL1552" s="18"/>
      <c r="BM1552" s="18"/>
      <c r="BN1552" s="18" t="s">
        <v>179</v>
      </c>
      <c r="BO1552" s="18"/>
      <c r="BP1552" s="15" t="s">
        <v>138</v>
      </c>
      <c r="BQ1552" s="18"/>
      <c r="BS1552" s="15" t="s">
        <v>13378</v>
      </c>
      <c r="DH1552" s="15" t="s">
        <v>17982</v>
      </c>
      <c r="DI1552" s="15" t="s">
        <v>17982</v>
      </c>
    </row>
    <row r="1553" spans="1:113" s="15" customFormat="1" ht="12.75" x14ac:dyDescent="0.2">
      <c r="A1553" s="15" t="s">
        <v>109</v>
      </c>
      <c r="B1553" s="15" t="s">
        <v>110</v>
      </c>
      <c r="D1553" s="15" t="s">
        <v>233</v>
      </c>
      <c r="E1553" s="15" t="s">
        <v>113</v>
      </c>
      <c r="F1553" s="15" t="s">
        <v>233</v>
      </c>
      <c r="G1553" s="15" t="s">
        <v>113</v>
      </c>
      <c r="H1553" s="15" t="s">
        <v>111</v>
      </c>
      <c r="J1553" s="16" t="s">
        <v>114</v>
      </c>
      <c r="U1553" s="15" t="s">
        <v>17977</v>
      </c>
      <c r="W1553" s="15">
        <v>866</v>
      </c>
      <c r="X1553" s="15">
        <v>1563</v>
      </c>
      <c r="Y1553" s="15" t="s">
        <v>160</v>
      </c>
      <c r="Z1553" s="15" t="s">
        <v>161</v>
      </c>
      <c r="AA1553" s="15" t="s">
        <v>162</v>
      </c>
      <c r="AB1553" s="15" t="s">
        <v>3818</v>
      </c>
      <c r="AC1553" s="15" t="s">
        <v>3818</v>
      </c>
      <c r="AD1553" s="15" t="s">
        <v>3818</v>
      </c>
      <c r="AE1553" s="15" t="s">
        <v>164</v>
      </c>
      <c r="AF1553" s="15" t="s">
        <v>3818</v>
      </c>
      <c r="AG1553" s="15" t="s">
        <v>3818</v>
      </c>
      <c r="AH1553" s="15" t="s">
        <v>3819</v>
      </c>
      <c r="AL1553" s="15" t="s">
        <v>3820</v>
      </c>
      <c r="AN1553" s="15">
        <v>743</v>
      </c>
      <c r="AO1553" s="15" t="s">
        <v>3821</v>
      </c>
      <c r="AQ1553" s="20" t="s">
        <v>912</v>
      </c>
      <c r="AT1553" s="18" t="s">
        <v>3820</v>
      </c>
      <c r="AU1553" s="18" t="s">
        <v>3822</v>
      </c>
      <c r="AV1553" s="18" t="s">
        <v>3823</v>
      </c>
      <c r="AW1553" s="18" t="s">
        <v>3824</v>
      </c>
      <c r="AX1553" s="18" t="s">
        <v>3824</v>
      </c>
      <c r="AY1553" s="21">
        <f t="shared" si="35"/>
        <v>50</v>
      </c>
      <c r="AZ1553" s="18" t="s">
        <v>917</v>
      </c>
      <c r="BA1553" s="18" t="s">
        <v>174</v>
      </c>
      <c r="BB1553" s="18" t="s">
        <v>3825</v>
      </c>
      <c r="BC1553" s="18"/>
      <c r="BD1553" s="18"/>
      <c r="BE1553" s="18" t="s">
        <v>3826</v>
      </c>
      <c r="BF1553" s="18"/>
      <c r="BG1553" s="18"/>
      <c r="BH1553" s="18"/>
      <c r="BI1553" s="18"/>
      <c r="BJ1553" s="18" t="s">
        <v>3827</v>
      </c>
      <c r="BK1553" s="18"/>
      <c r="BL1553" s="18"/>
      <c r="BM1553" s="18" t="s">
        <v>3828</v>
      </c>
      <c r="BN1553" s="18" t="s">
        <v>179</v>
      </c>
      <c r="BO1553" s="18"/>
      <c r="BP1553" s="15" t="s">
        <v>138</v>
      </c>
      <c r="BQ1553" s="18"/>
      <c r="BS1553" s="15" t="s">
        <v>3829</v>
      </c>
      <c r="DH1553" s="15" t="s">
        <v>17982</v>
      </c>
      <c r="DI1553" s="15" t="s">
        <v>17982</v>
      </c>
    </row>
    <row r="1554" spans="1:113" s="15" customFormat="1" ht="12.75" x14ac:dyDescent="0.2">
      <c r="A1554" s="15" t="s">
        <v>109</v>
      </c>
      <c r="B1554" s="15" t="s">
        <v>110</v>
      </c>
      <c r="D1554" s="15" t="s">
        <v>233</v>
      </c>
      <c r="E1554" s="15" t="s">
        <v>113</v>
      </c>
      <c r="F1554" s="15" t="s">
        <v>233</v>
      </c>
      <c r="G1554" s="15" t="s">
        <v>113</v>
      </c>
      <c r="H1554" s="15" t="s">
        <v>111</v>
      </c>
      <c r="J1554" s="16" t="s">
        <v>114</v>
      </c>
      <c r="U1554" s="15" t="s">
        <v>17977</v>
      </c>
      <c r="W1554" s="15">
        <v>867</v>
      </c>
      <c r="X1554" s="15">
        <v>1564</v>
      </c>
      <c r="Y1554" s="15" t="s">
        <v>160</v>
      </c>
      <c r="Z1554" s="15" t="s">
        <v>161</v>
      </c>
      <c r="AA1554" s="15" t="s">
        <v>162</v>
      </c>
      <c r="AB1554" s="15" t="s">
        <v>3830</v>
      </c>
      <c r="AC1554" s="15" t="s">
        <v>3830</v>
      </c>
      <c r="AD1554" s="15" t="s">
        <v>3830</v>
      </c>
      <c r="AE1554" s="15" t="s">
        <v>164</v>
      </c>
      <c r="AF1554" s="15" t="s">
        <v>3830</v>
      </c>
      <c r="AG1554" s="15" t="s">
        <v>3830</v>
      </c>
      <c r="AH1554" s="15" t="s">
        <v>3831</v>
      </c>
      <c r="AL1554" s="15" t="s">
        <v>3832</v>
      </c>
      <c r="AN1554" s="15">
        <v>743</v>
      </c>
      <c r="AO1554" s="15" t="s">
        <v>3833</v>
      </c>
      <c r="AQ1554" s="20" t="s">
        <v>912</v>
      </c>
      <c r="AT1554" s="18" t="s">
        <v>3832</v>
      </c>
      <c r="AU1554" s="18" t="s">
        <v>3834</v>
      </c>
      <c r="AV1554" s="18" t="s">
        <v>3835</v>
      </c>
      <c r="AW1554" s="18" t="s">
        <v>3836</v>
      </c>
      <c r="AX1554" s="18" t="s">
        <v>3836</v>
      </c>
      <c r="AY1554" s="21">
        <f t="shared" si="35"/>
        <v>50</v>
      </c>
      <c r="AZ1554" s="18" t="s">
        <v>917</v>
      </c>
      <c r="BA1554" s="18" t="s">
        <v>174</v>
      </c>
      <c r="BB1554" s="18" t="s">
        <v>3825</v>
      </c>
      <c r="BC1554" s="18"/>
      <c r="BD1554" s="18"/>
      <c r="BE1554" s="18" t="s">
        <v>3837</v>
      </c>
      <c r="BF1554" s="18"/>
      <c r="BG1554" s="18"/>
      <c r="BH1554" s="18"/>
      <c r="BI1554" s="18"/>
      <c r="BJ1554" s="18" t="s">
        <v>3827</v>
      </c>
      <c r="BK1554" s="18"/>
      <c r="BL1554" s="18"/>
      <c r="BM1554" s="18" t="s">
        <v>3828</v>
      </c>
      <c r="BN1554" s="18" t="s">
        <v>179</v>
      </c>
      <c r="BO1554" s="18"/>
      <c r="BP1554" s="15" t="s">
        <v>138</v>
      </c>
      <c r="BQ1554" s="18"/>
      <c r="BS1554" s="15" t="s">
        <v>3838</v>
      </c>
      <c r="DH1554" s="15" t="s">
        <v>17982</v>
      </c>
      <c r="DI1554" s="15" t="s">
        <v>17982</v>
      </c>
    </row>
    <row r="1555" spans="1:113" s="15" customFormat="1" ht="12.75" x14ac:dyDescent="0.2">
      <c r="A1555" s="15" t="s">
        <v>109</v>
      </c>
      <c r="B1555" s="15" t="s">
        <v>110</v>
      </c>
      <c r="D1555" s="15" t="s">
        <v>233</v>
      </c>
      <c r="E1555" s="15" t="s">
        <v>113</v>
      </c>
      <c r="F1555" s="15" t="s">
        <v>233</v>
      </c>
      <c r="G1555" s="15" t="s">
        <v>113</v>
      </c>
      <c r="H1555" s="15" t="s">
        <v>111</v>
      </c>
      <c r="J1555" s="16" t="s">
        <v>114</v>
      </c>
      <c r="U1555" s="15" t="s">
        <v>17977</v>
      </c>
      <c r="W1555" s="15">
        <v>868</v>
      </c>
      <c r="X1555" s="15">
        <v>1565</v>
      </c>
      <c r="Y1555" s="15" t="s">
        <v>160</v>
      </c>
      <c r="Z1555" s="15" t="s">
        <v>161</v>
      </c>
      <c r="AA1555" s="15" t="s">
        <v>162</v>
      </c>
      <c r="AB1555" s="15" t="s">
        <v>3839</v>
      </c>
      <c r="AC1555" s="15" t="s">
        <v>3839</v>
      </c>
      <c r="AD1555" s="15" t="s">
        <v>3839</v>
      </c>
      <c r="AE1555" s="15" t="s">
        <v>164</v>
      </c>
      <c r="AF1555" s="15" t="s">
        <v>3839</v>
      </c>
      <c r="AG1555" s="15" t="s">
        <v>3839</v>
      </c>
      <c r="AH1555" s="15" t="s">
        <v>3840</v>
      </c>
      <c r="AL1555" s="15" t="s">
        <v>3841</v>
      </c>
      <c r="AN1555" s="15">
        <v>743</v>
      </c>
      <c r="AO1555" s="15" t="s">
        <v>3842</v>
      </c>
      <c r="AQ1555" s="20" t="s">
        <v>3843</v>
      </c>
      <c r="AT1555" s="18" t="s">
        <v>3844</v>
      </c>
      <c r="AU1555" s="18" t="s">
        <v>3845</v>
      </c>
      <c r="AV1555" s="18" t="s">
        <v>3846</v>
      </c>
      <c r="AW1555" s="18" t="s">
        <v>3847</v>
      </c>
      <c r="AX1555" s="18" t="s">
        <v>3847</v>
      </c>
      <c r="AY1555" s="21">
        <f t="shared" si="35"/>
        <v>51</v>
      </c>
      <c r="AZ1555" s="18" t="s">
        <v>3848</v>
      </c>
      <c r="BA1555" s="29" t="s">
        <v>174</v>
      </c>
      <c r="BB1555" s="18" t="s">
        <v>3825</v>
      </c>
      <c r="BC1555" s="18"/>
      <c r="BD1555" s="18"/>
      <c r="BE1555" s="18" t="s">
        <v>275</v>
      </c>
      <c r="BF1555" s="18" t="s">
        <v>3849</v>
      </c>
      <c r="BG1555" s="18"/>
      <c r="BH1555" s="18"/>
      <c r="BI1555" s="18"/>
      <c r="BJ1555" s="18" t="s">
        <v>3850</v>
      </c>
      <c r="BK1555" s="18"/>
      <c r="BL1555" s="18"/>
      <c r="BM1555" s="18"/>
      <c r="BN1555" s="18" t="s">
        <v>179</v>
      </c>
      <c r="BO1555" s="18"/>
      <c r="BP1555" s="15" t="s">
        <v>138</v>
      </c>
      <c r="BQ1555" s="18"/>
      <c r="BS1555" s="15" t="s">
        <v>3851</v>
      </c>
      <c r="DH1555" s="15" t="s">
        <v>17982</v>
      </c>
      <c r="DI1555" s="15" t="s">
        <v>17982</v>
      </c>
    </row>
    <row r="1556" spans="1:113" s="15" customFormat="1" ht="12.75" x14ac:dyDescent="0.2">
      <c r="A1556" s="15" t="s">
        <v>109</v>
      </c>
      <c r="B1556" s="15" t="s">
        <v>110</v>
      </c>
      <c r="D1556" s="15" t="s">
        <v>233</v>
      </c>
      <c r="E1556" s="15" t="s">
        <v>113</v>
      </c>
      <c r="F1556" s="15" t="s">
        <v>233</v>
      </c>
      <c r="G1556" s="15" t="s">
        <v>113</v>
      </c>
      <c r="H1556" s="15" t="s">
        <v>111</v>
      </c>
      <c r="J1556" s="16" t="s">
        <v>114</v>
      </c>
      <c r="U1556" s="15" t="s">
        <v>17977</v>
      </c>
      <c r="W1556" s="15">
        <v>554</v>
      </c>
      <c r="X1556" s="15">
        <v>1566</v>
      </c>
      <c r="Y1556" s="15" t="s">
        <v>160</v>
      </c>
      <c r="Z1556" s="15" t="s">
        <v>161</v>
      </c>
      <c r="AA1556" s="15" t="s">
        <v>162</v>
      </c>
      <c r="AB1556" s="15" t="s">
        <v>2044</v>
      </c>
      <c r="AC1556" s="15" t="s">
        <v>2044</v>
      </c>
      <c r="AD1556" s="15" t="s">
        <v>2044</v>
      </c>
      <c r="AE1556" s="15" t="s">
        <v>164</v>
      </c>
      <c r="AF1556" s="15" t="s">
        <v>2044</v>
      </c>
      <c r="AG1556" s="15" t="s">
        <v>2044</v>
      </c>
      <c r="AH1556" s="15" t="s">
        <v>2045</v>
      </c>
      <c r="AL1556" s="15" t="s">
        <v>2046</v>
      </c>
      <c r="AN1556" s="15">
        <v>743</v>
      </c>
      <c r="AO1556" s="15" t="s">
        <v>2047</v>
      </c>
      <c r="AQ1556" s="20" t="s">
        <v>912</v>
      </c>
      <c r="AT1556" s="18" t="s">
        <v>2048</v>
      </c>
      <c r="AU1556" s="18" t="s">
        <v>2049</v>
      </c>
      <c r="AV1556" s="18" t="s">
        <v>2050</v>
      </c>
      <c r="AW1556" s="18" t="s">
        <v>2051</v>
      </c>
      <c r="AX1556" s="18" t="s">
        <v>2052</v>
      </c>
      <c r="AY1556" s="21">
        <f t="shared" si="35"/>
        <v>55</v>
      </c>
      <c r="AZ1556" s="18" t="s">
        <v>917</v>
      </c>
      <c r="BA1556" s="29" t="s">
        <v>174</v>
      </c>
      <c r="BB1556" s="18" t="s">
        <v>2053</v>
      </c>
      <c r="BC1556" s="18"/>
      <c r="BD1556" s="18"/>
      <c r="BE1556" s="18" t="s">
        <v>2054</v>
      </c>
      <c r="BF1556" s="18" t="s">
        <v>2055</v>
      </c>
      <c r="BG1556" s="18"/>
      <c r="BH1556" s="18"/>
      <c r="BI1556" s="18"/>
      <c r="BJ1556" s="18" t="s">
        <v>2056</v>
      </c>
      <c r="BK1556" s="18"/>
      <c r="BL1556" s="18"/>
      <c r="BM1556" s="18"/>
      <c r="BN1556" s="18" t="s">
        <v>179</v>
      </c>
      <c r="BO1556" s="18"/>
      <c r="BP1556" s="15" t="s">
        <v>138</v>
      </c>
      <c r="BQ1556" s="18"/>
      <c r="BS1556" s="15" t="s">
        <v>2057</v>
      </c>
      <c r="DH1556" s="15" t="s">
        <v>17982</v>
      </c>
      <c r="DI1556" s="15" t="s">
        <v>17982</v>
      </c>
    </row>
    <row r="1557" spans="1:113" s="15" customFormat="1" ht="12.75" x14ac:dyDescent="0.2">
      <c r="A1557" s="15" t="s">
        <v>109</v>
      </c>
      <c r="B1557" s="15" t="s">
        <v>110</v>
      </c>
      <c r="D1557" s="15" t="s">
        <v>233</v>
      </c>
      <c r="E1557" s="15" t="s">
        <v>113</v>
      </c>
      <c r="F1557" s="15" t="s">
        <v>233</v>
      </c>
      <c r="G1557" s="15" t="s">
        <v>113</v>
      </c>
      <c r="H1557" s="15" t="s">
        <v>111</v>
      </c>
      <c r="J1557" s="16" t="s">
        <v>114</v>
      </c>
      <c r="U1557" s="15" t="s">
        <v>17977</v>
      </c>
      <c r="W1557" s="15">
        <v>2926</v>
      </c>
      <c r="X1557" s="15">
        <v>1567</v>
      </c>
      <c r="Y1557" s="15" t="s">
        <v>160</v>
      </c>
      <c r="Z1557" s="15" t="s">
        <v>161</v>
      </c>
      <c r="AA1557" s="15" t="s">
        <v>162</v>
      </c>
      <c r="AB1557" s="15" t="s">
        <v>14330</v>
      </c>
      <c r="AC1557" s="15" t="s">
        <v>14330</v>
      </c>
      <c r="AD1557" s="15" t="s">
        <v>14331</v>
      </c>
      <c r="AE1557" s="15" t="s">
        <v>164</v>
      </c>
      <c r="AF1557" s="15" t="s">
        <v>14330</v>
      </c>
      <c r="AG1557" s="15" t="s">
        <v>14330</v>
      </c>
      <c r="AH1557" s="15" t="s">
        <v>14332</v>
      </c>
      <c r="AL1557" s="15" t="s">
        <v>14333</v>
      </c>
      <c r="AN1557" s="15">
        <v>743</v>
      </c>
      <c r="AO1557" s="15" t="s">
        <v>14334</v>
      </c>
      <c r="AQ1557" s="20" t="s">
        <v>912</v>
      </c>
      <c r="AT1557" s="18" t="s">
        <v>14335</v>
      </c>
      <c r="AU1557" s="18" t="s">
        <v>14336</v>
      </c>
      <c r="AV1557" s="18" t="s">
        <v>14337</v>
      </c>
      <c r="AW1557" s="18" t="s">
        <v>14338</v>
      </c>
      <c r="AX1557" s="18" t="s">
        <v>14339</v>
      </c>
      <c r="AY1557" s="21">
        <f t="shared" si="35"/>
        <v>57</v>
      </c>
      <c r="AZ1557" s="18" t="s">
        <v>917</v>
      </c>
      <c r="BA1557" s="29" t="s">
        <v>174</v>
      </c>
      <c r="BB1557" s="18" t="s">
        <v>14313</v>
      </c>
      <c r="BC1557" s="18" t="s">
        <v>1055</v>
      </c>
      <c r="BD1557" s="18"/>
      <c r="BE1557" s="18" t="s">
        <v>1174</v>
      </c>
      <c r="BF1557" s="18" t="s">
        <v>14340</v>
      </c>
      <c r="BG1557" s="18"/>
      <c r="BH1557" s="18"/>
      <c r="BI1557" s="18"/>
      <c r="BJ1557" s="18" t="s">
        <v>14315</v>
      </c>
      <c r="BK1557" s="18" t="s">
        <v>14316</v>
      </c>
      <c r="BL1557" s="18"/>
      <c r="BM1557" s="18"/>
      <c r="BN1557" s="18" t="s">
        <v>179</v>
      </c>
      <c r="BO1557" s="18"/>
      <c r="BP1557" s="15" t="s">
        <v>138</v>
      </c>
      <c r="BQ1557" s="18"/>
      <c r="BS1557" s="15" t="s">
        <v>14341</v>
      </c>
      <c r="DH1557" s="15" t="s">
        <v>17982</v>
      </c>
      <c r="DI1557" s="15" t="s">
        <v>17982</v>
      </c>
    </row>
    <row r="1558" spans="1:113" s="15" customFormat="1" ht="12.75" x14ac:dyDescent="0.2">
      <c r="A1558" s="15" t="s">
        <v>109</v>
      </c>
      <c r="B1558" s="15" t="s">
        <v>110</v>
      </c>
      <c r="D1558" s="15" t="s">
        <v>233</v>
      </c>
      <c r="E1558" s="15" t="s">
        <v>113</v>
      </c>
      <c r="F1558" s="15" t="s">
        <v>233</v>
      </c>
      <c r="G1558" s="15" t="s">
        <v>113</v>
      </c>
      <c r="H1558" s="15" t="s">
        <v>111</v>
      </c>
      <c r="J1558" s="16" t="s">
        <v>114</v>
      </c>
      <c r="U1558" s="15" t="s">
        <v>17977</v>
      </c>
      <c r="W1558" s="15">
        <v>2925</v>
      </c>
      <c r="X1558" s="15">
        <v>1568</v>
      </c>
      <c r="Y1558" s="15" t="s">
        <v>160</v>
      </c>
      <c r="Z1558" s="15" t="s">
        <v>161</v>
      </c>
      <c r="AA1558" s="15" t="s">
        <v>162</v>
      </c>
      <c r="AB1558" s="15" t="s">
        <v>14318</v>
      </c>
      <c r="AC1558" s="15" t="s">
        <v>14318</v>
      </c>
      <c r="AD1558" s="15" t="s">
        <v>14319</v>
      </c>
      <c r="AE1558" s="15" t="s">
        <v>164</v>
      </c>
      <c r="AF1558" s="15" t="s">
        <v>14318</v>
      </c>
      <c r="AG1558" s="15" t="s">
        <v>14318</v>
      </c>
      <c r="AH1558" s="15" t="s">
        <v>14320</v>
      </c>
      <c r="AL1558" s="15" t="s">
        <v>14321</v>
      </c>
      <c r="AN1558" s="15">
        <v>743</v>
      </c>
      <c r="AO1558" s="15" t="s">
        <v>14322</v>
      </c>
      <c r="AQ1558" s="20" t="s">
        <v>912</v>
      </c>
      <c r="AT1558" s="18" t="s">
        <v>14323</v>
      </c>
      <c r="AU1558" s="18" t="s">
        <v>14324</v>
      </c>
      <c r="AV1558" s="18" t="s">
        <v>14325</v>
      </c>
      <c r="AW1558" s="18" t="s">
        <v>14326</v>
      </c>
      <c r="AX1558" s="18" t="s">
        <v>14327</v>
      </c>
      <c r="AY1558" s="21">
        <f t="shared" si="35"/>
        <v>58</v>
      </c>
      <c r="AZ1558" s="18" t="s">
        <v>917</v>
      </c>
      <c r="BA1558" s="29" t="s">
        <v>174</v>
      </c>
      <c r="BB1558" s="18" t="s">
        <v>14313</v>
      </c>
      <c r="BC1558" s="18" t="s">
        <v>1199</v>
      </c>
      <c r="BD1558" s="18"/>
      <c r="BE1558" s="18" t="s">
        <v>1174</v>
      </c>
      <c r="BF1558" s="18" t="s">
        <v>14328</v>
      </c>
      <c r="BG1558" s="18"/>
      <c r="BH1558" s="18"/>
      <c r="BI1558" s="18"/>
      <c r="BJ1558" s="18" t="s">
        <v>14315</v>
      </c>
      <c r="BK1558" s="18" t="s">
        <v>14316</v>
      </c>
      <c r="BL1558" s="18"/>
      <c r="BM1558" s="18"/>
      <c r="BN1558" s="18" t="s">
        <v>179</v>
      </c>
      <c r="BO1558" s="18"/>
      <c r="BP1558" s="15" t="s">
        <v>138</v>
      </c>
      <c r="BQ1558" s="18"/>
      <c r="BS1558" s="15" t="s">
        <v>14329</v>
      </c>
      <c r="DH1558" s="15" t="s">
        <v>17982</v>
      </c>
      <c r="DI1558" s="15" t="s">
        <v>17982</v>
      </c>
    </row>
    <row r="1559" spans="1:113" s="15" customFormat="1" ht="12.75" x14ac:dyDescent="0.2">
      <c r="A1559" s="15" t="s">
        <v>109</v>
      </c>
      <c r="B1559" s="15" t="s">
        <v>110</v>
      </c>
      <c r="D1559" s="15" t="s">
        <v>233</v>
      </c>
      <c r="E1559" s="15" t="s">
        <v>113</v>
      </c>
      <c r="F1559" s="15" t="s">
        <v>233</v>
      </c>
      <c r="G1559" s="15" t="s">
        <v>113</v>
      </c>
      <c r="H1559" s="15" t="s">
        <v>111</v>
      </c>
      <c r="J1559" s="16" t="s">
        <v>114</v>
      </c>
      <c r="U1559" s="15" t="s">
        <v>17977</v>
      </c>
      <c r="W1559" s="15">
        <v>2924</v>
      </c>
      <c r="X1559" s="15">
        <v>1569</v>
      </c>
      <c r="Y1559" s="15" t="s">
        <v>160</v>
      </c>
      <c r="Z1559" s="15" t="s">
        <v>161</v>
      </c>
      <c r="AA1559" s="15" t="s">
        <v>162</v>
      </c>
      <c r="AB1559" s="15" t="s">
        <v>14303</v>
      </c>
      <c r="AC1559" s="15" t="s">
        <v>14303</v>
      </c>
      <c r="AD1559" s="15" t="s">
        <v>14304</v>
      </c>
      <c r="AE1559" s="15" t="s">
        <v>164</v>
      </c>
      <c r="AF1559" s="15" t="s">
        <v>14303</v>
      </c>
      <c r="AG1559" s="15" t="s">
        <v>14303</v>
      </c>
      <c r="AH1559" s="15" t="s">
        <v>14305</v>
      </c>
      <c r="AL1559" s="15" t="s">
        <v>14306</v>
      </c>
      <c r="AN1559" s="15">
        <v>743</v>
      </c>
      <c r="AO1559" s="15" t="s">
        <v>14307</v>
      </c>
      <c r="AQ1559" s="20" t="s">
        <v>912</v>
      </c>
      <c r="AT1559" s="18" t="s">
        <v>14308</v>
      </c>
      <c r="AU1559" s="18" t="s">
        <v>14309</v>
      </c>
      <c r="AV1559" s="18" t="s">
        <v>14310</v>
      </c>
      <c r="AW1559" s="18" t="s">
        <v>14311</v>
      </c>
      <c r="AX1559" s="18" t="s">
        <v>14312</v>
      </c>
      <c r="AY1559" s="21">
        <f t="shared" si="35"/>
        <v>58</v>
      </c>
      <c r="AZ1559" s="18" t="s">
        <v>917</v>
      </c>
      <c r="BA1559" s="29" t="s">
        <v>174</v>
      </c>
      <c r="BB1559" s="18" t="s">
        <v>14313</v>
      </c>
      <c r="BC1559" s="18" t="s">
        <v>4343</v>
      </c>
      <c r="BD1559" s="18"/>
      <c r="BE1559" s="18" t="s">
        <v>1174</v>
      </c>
      <c r="BF1559" s="18" t="s">
        <v>14314</v>
      </c>
      <c r="BG1559" s="18"/>
      <c r="BH1559" s="18"/>
      <c r="BI1559" s="18"/>
      <c r="BJ1559" s="18" t="s">
        <v>14315</v>
      </c>
      <c r="BK1559" s="18" t="s">
        <v>14316</v>
      </c>
      <c r="BL1559" s="18"/>
      <c r="BM1559" s="18"/>
      <c r="BN1559" s="18" t="s">
        <v>179</v>
      </c>
      <c r="BO1559" s="18"/>
      <c r="BP1559" s="15" t="s">
        <v>138</v>
      </c>
      <c r="BQ1559" s="18"/>
      <c r="BS1559" s="15" t="s">
        <v>14317</v>
      </c>
      <c r="DH1559" s="15" t="s">
        <v>17982</v>
      </c>
      <c r="DI1559" s="15" t="s">
        <v>17982</v>
      </c>
    </row>
    <row r="1560" spans="1:113" s="15" customFormat="1" ht="12.75" x14ac:dyDescent="0.2">
      <c r="A1560" s="15" t="s">
        <v>109</v>
      </c>
      <c r="B1560" s="15" t="s">
        <v>110</v>
      </c>
      <c r="D1560" s="15" t="s">
        <v>233</v>
      </c>
      <c r="E1560" s="15" t="s">
        <v>113</v>
      </c>
      <c r="F1560" s="15" t="s">
        <v>233</v>
      </c>
      <c r="G1560" s="15" t="s">
        <v>113</v>
      </c>
      <c r="H1560" s="15" t="s">
        <v>111</v>
      </c>
      <c r="J1560" s="16" t="s">
        <v>114</v>
      </c>
      <c r="U1560" s="15" t="s">
        <v>17977</v>
      </c>
      <c r="W1560" s="15">
        <v>2927</v>
      </c>
      <c r="X1560" s="15">
        <v>1570</v>
      </c>
      <c r="Y1560" s="15" t="s">
        <v>160</v>
      </c>
      <c r="Z1560" s="15" t="s">
        <v>161</v>
      </c>
      <c r="AA1560" s="15" t="s">
        <v>162</v>
      </c>
      <c r="AB1560" s="15" t="s">
        <v>14342</v>
      </c>
      <c r="AC1560" s="15" t="s">
        <v>14342</v>
      </c>
      <c r="AD1560" s="15" t="s">
        <v>14343</v>
      </c>
      <c r="AE1560" s="15" t="s">
        <v>164</v>
      </c>
      <c r="AF1560" s="15" t="s">
        <v>14342</v>
      </c>
      <c r="AG1560" s="15" t="s">
        <v>14342</v>
      </c>
      <c r="AH1560" s="15" t="s">
        <v>14344</v>
      </c>
      <c r="AL1560" s="15" t="s">
        <v>14345</v>
      </c>
      <c r="AN1560" s="15">
        <v>743</v>
      </c>
      <c r="AO1560" s="15" t="s">
        <v>14346</v>
      </c>
      <c r="AQ1560" s="20" t="s">
        <v>912</v>
      </c>
      <c r="AT1560" s="18" t="s">
        <v>14347</v>
      </c>
      <c r="AU1560" s="18" t="s">
        <v>14348</v>
      </c>
      <c r="AV1560" s="18" t="s">
        <v>14349</v>
      </c>
      <c r="AW1560" s="18" t="s">
        <v>14350</v>
      </c>
      <c r="AX1560" s="18" t="s">
        <v>14351</v>
      </c>
      <c r="AY1560" s="21">
        <f t="shared" si="35"/>
        <v>60</v>
      </c>
      <c r="AZ1560" s="18" t="s">
        <v>917</v>
      </c>
      <c r="BA1560" s="29" t="s">
        <v>174</v>
      </c>
      <c r="BB1560" s="18" t="s">
        <v>14313</v>
      </c>
      <c r="BC1560" s="18" t="s">
        <v>14352</v>
      </c>
      <c r="BD1560" s="18"/>
      <c r="BE1560" s="18" t="s">
        <v>1174</v>
      </c>
      <c r="BF1560" s="18" t="s">
        <v>14353</v>
      </c>
      <c r="BG1560" s="18"/>
      <c r="BH1560" s="18"/>
      <c r="BI1560" s="18"/>
      <c r="BJ1560" s="18" t="s">
        <v>14315</v>
      </c>
      <c r="BK1560" s="18" t="s">
        <v>14316</v>
      </c>
      <c r="BL1560" s="18"/>
      <c r="BM1560" s="18"/>
      <c r="BN1560" s="18" t="s">
        <v>179</v>
      </c>
      <c r="BO1560" s="18"/>
      <c r="BP1560" s="15" t="s">
        <v>138</v>
      </c>
      <c r="BQ1560" s="18"/>
      <c r="BS1560" s="15" t="s">
        <v>14354</v>
      </c>
      <c r="DH1560" s="15" t="s">
        <v>17982</v>
      </c>
      <c r="DI1560" s="15" t="s">
        <v>17982</v>
      </c>
    </row>
    <row r="1561" spans="1:113" s="15" customFormat="1" ht="12.75" x14ac:dyDescent="0.2">
      <c r="A1561" s="15" t="s">
        <v>109</v>
      </c>
      <c r="B1561" s="15" t="s">
        <v>110</v>
      </c>
      <c r="D1561" s="15" t="s">
        <v>233</v>
      </c>
      <c r="E1561" s="15" t="s">
        <v>113</v>
      </c>
      <c r="F1561" s="15" t="s">
        <v>233</v>
      </c>
      <c r="G1561" s="15" t="s">
        <v>113</v>
      </c>
      <c r="H1561" s="15" t="s">
        <v>111</v>
      </c>
      <c r="J1561" s="16" t="s">
        <v>114</v>
      </c>
      <c r="U1561" s="15" t="s">
        <v>17977</v>
      </c>
      <c r="W1561" s="15">
        <v>17</v>
      </c>
      <c r="X1561" s="15">
        <v>1571</v>
      </c>
      <c r="Y1561" s="15" t="s">
        <v>160</v>
      </c>
      <c r="Z1561" s="15" t="s">
        <v>161</v>
      </c>
      <c r="AA1561" s="15" t="s">
        <v>162</v>
      </c>
      <c r="AB1561" s="15" t="s">
        <v>254</v>
      </c>
      <c r="AC1561" s="15" t="s">
        <v>254</v>
      </c>
      <c r="AD1561" s="15" t="s">
        <v>255</v>
      </c>
      <c r="AE1561" s="15" t="s">
        <v>164</v>
      </c>
      <c r="AF1561" s="15" t="s">
        <v>254</v>
      </c>
      <c r="AG1561" s="15" t="s">
        <v>254</v>
      </c>
      <c r="AH1561" s="15" t="s">
        <v>256</v>
      </c>
      <c r="AL1561" s="15" t="s">
        <v>257</v>
      </c>
      <c r="AN1561" s="15">
        <v>743</v>
      </c>
      <c r="AO1561" s="15" t="s">
        <v>258</v>
      </c>
      <c r="AQ1561" s="20" t="s">
        <v>168</v>
      </c>
      <c r="AT1561" s="18" t="s">
        <v>259</v>
      </c>
      <c r="AU1561" s="18" t="s">
        <v>260</v>
      </c>
      <c r="AV1561" s="18" t="s">
        <v>261</v>
      </c>
      <c r="AW1561" s="18" t="s">
        <v>262</v>
      </c>
      <c r="AX1561" s="18" t="s">
        <v>263</v>
      </c>
      <c r="AY1561" s="21">
        <f t="shared" si="35"/>
        <v>60</v>
      </c>
      <c r="AZ1561" s="18" t="s">
        <v>173</v>
      </c>
      <c r="BA1561" s="18" t="s">
        <v>174</v>
      </c>
      <c r="BB1561" s="18" t="s">
        <v>216</v>
      </c>
      <c r="BC1561" s="18"/>
      <c r="BD1561" s="18"/>
      <c r="BE1561" s="18" t="s">
        <v>264</v>
      </c>
      <c r="BF1561" s="18"/>
      <c r="BG1561" s="18"/>
      <c r="BH1561" s="18"/>
      <c r="BI1561" s="18"/>
      <c r="BJ1561" s="18" t="s">
        <v>265</v>
      </c>
      <c r="BK1561" s="18"/>
      <c r="BL1561" s="18"/>
      <c r="BM1561" s="18"/>
      <c r="BN1561" s="18" t="s">
        <v>179</v>
      </c>
      <c r="BO1561" s="18"/>
      <c r="BP1561" s="15" t="s">
        <v>138</v>
      </c>
      <c r="BQ1561" s="18"/>
      <c r="BS1561" s="15" t="s">
        <v>266</v>
      </c>
      <c r="DH1561" s="15" t="s">
        <v>17982</v>
      </c>
      <c r="DI1561" s="15" t="s">
        <v>17982</v>
      </c>
    </row>
    <row r="1562" spans="1:113" s="15" customFormat="1" ht="12.75" x14ac:dyDescent="0.2">
      <c r="A1562" s="15" t="s">
        <v>109</v>
      </c>
      <c r="B1562" s="15" t="s">
        <v>110</v>
      </c>
      <c r="D1562" s="15" t="s">
        <v>233</v>
      </c>
      <c r="E1562" s="15" t="s">
        <v>113</v>
      </c>
      <c r="F1562" s="15" t="s">
        <v>233</v>
      </c>
      <c r="G1562" s="15" t="s">
        <v>113</v>
      </c>
      <c r="H1562" s="15" t="s">
        <v>111</v>
      </c>
      <c r="J1562" s="16" t="s">
        <v>114</v>
      </c>
      <c r="U1562" s="15" t="s">
        <v>17977</v>
      </c>
      <c r="W1562" s="15">
        <v>2581</v>
      </c>
      <c r="X1562" s="15">
        <v>1572</v>
      </c>
      <c r="Y1562" s="15" t="s">
        <v>160</v>
      </c>
      <c r="Z1562" s="15" t="s">
        <v>161</v>
      </c>
      <c r="AA1562" s="15" t="s">
        <v>162</v>
      </c>
      <c r="AB1562" s="15" t="s">
        <v>12592</v>
      </c>
      <c r="AC1562" s="15" t="s">
        <v>12592</v>
      </c>
      <c r="AD1562" s="15" t="s">
        <v>12592</v>
      </c>
      <c r="AE1562" s="15" t="s">
        <v>164</v>
      </c>
      <c r="AF1562" s="15" t="s">
        <v>12592</v>
      </c>
      <c r="AG1562" s="15" t="s">
        <v>12592</v>
      </c>
      <c r="AH1562" s="47" t="s">
        <v>12593</v>
      </c>
      <c r="AL1562" s="15" t="s">
        <v>12594</v>
      </c>
      <c r="AN1562" s="15">
        <v>743</v>
      </c>
      <c r="AO1562" s="15" t="s">
        <v>12595</v>
      </c>
      <c r="AQ1562" s="20" t="s">
        <v>168</v>
      </c>
      <c r="AT1562" s="18" t="s">
        <v>12596</v>
      </c>
      <c r="AU1562" s="29" t="s">
        <v>12597</v>
      </c>
      <c r="AV1562" s="29" t="s">
        <v>12598</v>
      </c>
      <c r="AW1562" s="29" t="s">
        <v>12599</v>
      </c>
      <c r="AX1562" s="29" t="s">
        <v>12599</v>
      </c>
      <c r="AY1562" s="21">
        <f t="shared" si="35"/>
        <v>57</v>
      </c>
      <c r="AZ1562" s="29" t="s">
        <v>173</v>
      </c>
      <c r="BA1562" s="29" t="s">
        <v>174</v>
      </c>
      <c r="BB1562" s="29" t="s">
        <v>9817</v>
      </c>
      <c r="BC1562" s="18"/>
      <c r="BD1562" s="18"/>
      <c r="BE1562" s="24" t="s">
        <v>5866</v>
      </c>
      <c r="BF1562" s="18"/>
      <c r="BG1562" s="18"/>
      <c r="BH1562" s="18"/>
      <c r="BI1562" s="18"/>
      <c r="BJ1562" s="18" t="s">
        <v>12600</v>
      </c>
      <c r="BK1562" s="18"/>
      <c r="BL1562" s="18"/>
      <c r="BM1562" s="18"/>
      <c r="BN1562" s="18" t="s">
        <v>179</v>
      </c>
      <c r="BO1562" s="18"/>
      <c r="BP1562" s="15" t="s">
        <v>138</v>
      </c>
      <c r="BQ1562" s="18"/>
      <c r="BS1562" s="15" t="s">
        <v>12601</v>
      </c>
      <c r="DH1562" s="15" t="s">
        <v>17982</v>
      </c>
      <c r="DI1562" s="15" t="s">
        <v>17982</v>
      </c>
    </row>
    <row r="1563" spans="1:113" s="15" customFormat="1" ht="12.75" x14ac:dyDescent="0.2">
      <c r="A1563" s="15" t="s">
        <v>109</v>
      </c>
      <c r="B1563" s="15" t="s">
        <v>110</v>
      </c>
      <c r="D1563" s="15" t="s">
        <v>233</v>
      </c>
      <c r="E1563" s="15" t="s">
        <v>113</v>
      </c>
      <c r="F1563" s="15" t="s">
        <v>233</v>
      </c>
      <c r="G1563" s="15" t="s">
        <v>113</v>
      </c>
      <c r="H1563" s="15" t="s">
        <v>111</v>
      </c>
      <c r="J1563" s="16" t="s">
        <v>114</v>
      </c>
      <c r="U1563" s="15" t="s">
        <v>17977</v>
      </c>
      <c r="W1563" s="15">
        <v>1365</v>
      </c>
      <c r="X1563" s="15">
        <v>1573</v>
      </c>
      <c r="Y1563" s="15" t="s">
        <v>160</v>
      </c>
      <c r="Z1563" s="15" t="s">
        <v>161</v>
      </c>
      <c r="AA1563" s="15" t="s">
        <v>162</v>
      </c>
      <c r="AB1563" s="15" t="s">
        <v>7066</v>
      </c>
      <c r="AC1563" s="15" t="s">
        <v>7066</v>
      </c>
      <c r="AD1563" s="15" t="s">
        <v>7066</v>
      </c>
      <c r="AE1563" s="15" t="s">
        <v>164</v>
      </c>
      <c r="AF1563" s="15" t="s">
        <v>7066</v>
      </c>
      <c r="AG1563" s="15" t="s">
        <v>7066</v>
      </c>
      <c r="AH1563" s="15" t="s">
        <v>7067</v>
      </c>
      <c r="AL1563" s="15" t="s">
        <v>7068</v>
      </c>
      <c r="AN1563" s="15">
        <v>743</v>
      </c>
      <c r="AO1563" s="15" t="s">
        <v>7069</v>
      </c>
      <c r="AQ1563" s="20" t="s">
        <v>168</v>
      </c>
      <c r="AT1563" s="18" t="s">
        <v>7070</v>
      </c>
      <c r="AU1563" s="18" t="s">
        <v>7071</v>
      </c>
      <c r="AV1563" s="18" t="s">
        <v>7072</v>
      </c>
      <c r="AW1563" s="18" t="s">
        <v>7073</v>
      </c>
      <c r="AX1563" s="18" t="s">
        <v>7073</v>
      </c>
      <c r="AY1563" s="21">
        <f t="shared" si="35"/>
        <v>60</v>
      </c>
      <c r="AZ1563" s="18" t="s">
        <v>173</v>
      </c>
      <c r="BA1563" s="29" t="s">
        <v>174</v>
      </c>
      <c r="BB1563" s="24" t="s">
        <v>4978</v>
      </c>
      <c r="BC1563" s="18"/>
      <c r="BD1563" s="18"/>
      <c r="BE1563" s="18" t="s">
        <v>1701</v>
      </c>
      <c r="BF1563" s="18"/>
      <c r="BG1563" s="18"/>
      <c r="BH1563" s="18"/>
      <c r="BI1563" s="18"/>
      <c r="BJ1563" s="18" t="s">
        <v>7074</v>
      </c>
      <c r="BK1563" s="18"/>
      <c r="BL1563" s="18"/>
      <c r="BM1563" s="18"/>
      <c r="BN1563" s="18" t="s">
        <v>179</v>
      </c>
      <c r="BO1563" s="18"/>
      <c r="BP1563" s="15" t="s">
        <v>138</v>
      </c>
      <c r="BQ1563" s="18"/>
      <c r="BS1563" s="15" t="s">
        <v>7075</v>
      </c>
      <c r="DH1563" s="15" t="s">
        <v>17982</v>
      </c>
      <c r="DI1563" s="15" t="s">
        <v>17982</v>
      </c>
    </row>
    <row r="1564" spans="1:113" s="15" customFormat="1" ht="12.75" x14ac:dyDescent="0.2">
      <c r="A1564" s="15" t="s">
        <v>109</v>
      </c>
      <c r="B1564" s="15" t="s">
        <v>110</v>
      </c>
      <c r="D1564" s="15" t="s">
        <v>233</v>
      </c>
      <c r="E1564" s="15" t="s">
        <v>113</v>
      </c>
      <c r="F1564" s="15" t="s">
        <v>233</v>
      </c>
      <c r="G1564" s="15" t="s">
        <v>113</v>
      </c>
      <c r="H1564" s="15" t="s">
        <v>111</v>
      </c>
      <c r="J1564" s="16" t="s">
        <v>114</v>
      </c>
      <c r="U1564" s="15" t="s">
        <v>17977</v>
      </c>
      <c r="W1564" s="15">
        <v>1360</v>
      </c>
      <c r="X1564" s="15">
        <v>1574</v>
      </c>
      <c r="Y1564" s="15" t="s">
        <v>160</v>
      </c>
      <c r="Z1564" s="15" t="s">
        <v>161</v>
      </c>
      <c r="AA1564" s="15" t="s">
        <v>162</v>
      </c>
      <c r="AB1564" s="15" t="s">
        <v>7017</v>
      </c>
      <c r="AC1564" s="15" t="s">
        <v>7017</v>
      </c>
      <c r="AD1564" s="15" t="s">
        <v>7017</v>
      </c>
      <c r="AE1564" s="15" t="s">
        <v>164</v>
      </c>
      <c r="AF1564" s="15" t="s">
        <v>7017</v>
      </c>
      <c r="AG1564" s="15" t="s">
        <v>7017</v>
      </c>
      <c r="AH1564" s="15" t="s">
        <v>7018</v>
      </c>
      <c r="AL1564" s="15" t="s">
        <v>7019</v>
      </c>
      <c r="AN1564" s="15">
        <v>743</v>
      </c>
      <c r="AO1564" s="15" t="s">
        <v>7020</v>
      </c>
      <c r="AQ1564" s="20" t="s">
        <v>168</v>
      </c>
      <c r="AT1564" s="18" t="s">
        <v>7021</v>
      </c>
      <c r="AU1564" s="18" t="s">
        <v>7022</v>
      </c>
      <c r="AV1564" s="18" t="s">
        <v>7023</v>
      </c>
      <c r="AW1564" s="18" t="s">
        <v>7024</v>
      </c>
      <c r="AX1564" s="18" t="s">
        <v>7024</v>
      </c>
      <c r="AY1564" s="21">
        <f t="shared" si="35"/>
        <v>48</v>
      </c>
      <c r="AZ1564" s="18" t="s">
        <v>173</v>
      </c>
      <c r="BA1564" s="29" t="s">
        <v>174</v>
      </c>
      <c r="BB1564" s="18" t="s">
        <v>7025</v>
      </c>
      <c r="BC1564" s="29" t="s">
        <v>863</v>
      </c>
      <c r="BD1564" s="18"/>
      <c r="BE1564" s="18" t="s">
        <v>275</v>
      </c>
      <c r="BF1564" s="18"/>
      <c r="BG1564" s="18"/>
      <c r="BH1564" s="18"/>
      <c r="BI1564" s="18"/>
      <c r="BJ1564" s="18" t="s">
        <v>189</v>
      </c>
      <c r="BK1564" s="18"/>
      <c r="BL1564" s="18"/>
      <c r="BM1564" s="18"/>
      <c r="BN1564" s="18" t="s">
        <v>179</v>
      </c>
      <c r="BO1564" s="18"/>
      <c r="BP1564" s="15" t="s">
        <v>138</v>
      </c>
      <c r="BQ1564" s="18"/>
      <c r="BS1564" s="15" t="s">
        <v>7026</v>
      </c>
      <c r="DH1564" s="15" t="s">
        <v>17982</v>
      </c>
      <c r="DI1564" s="15" t="s">
        <v>17982</v>
      </c>
    </row>
    <row r="1565" spans="1:113" s="15" customFormat="1" ht="12.75" x14ac:dyDescent="0.2">
      <c r="A1565" s="15" t="s">
        <v>109</v>
      </c>
      <c r="B1565" s="15" t="s">
        <v>110</v>
      </c>
      <c r="D1565" s="15" t="s">
        <v>233</v>
      </c>
      <c r="E1565" s="15" t="s">
        <v>113</v>
      </c>
      <c r="F1565" s="15" t="s">
        <v>233</v>
      </c>
      <c r="G1565" s="15" t="s">
        <v>113</v>
      </c>
      <c r="H1565" s="15" t="s">
        <v>111</v>
      </c>
      <c r="J1565" s="16" t="s">
        <v>114</v>
      </c>
      <c r="U1565" s="15" t="s">
        <v>17977</v>
      </c>
      <c r="W1565" s="15">
        <v>3469</v>
      </c>
      <c r="X1565" s="15">
        <v>1575</v>
      </c>
      <c r="Y1565" s="15" t="s">
        <v>160</v>
      </c>
      <c r="Z1565" s="15" t="s">
        <v>161</v>
      </c>
      <c r="AA1565" s="15" t="s">
        <v>162</v>
      </c>
      <c r="AB1565" s="15" t="s">
        <v>16748</v>
      </c>
      <c r="AC1565" s="15" t="s">
        <v>16748</v>
      </c>
      <c r="AD1565" s="15" t="s">
        <v>16748</v>
      </c>
      <c r="AE1565" s="15" t="s">
        <v>164</v>
      </c>
      <c r="AF1565" s="15" t="s">
        <v>16748</v>
      </c>
      <c r="AG1565" s="15" t="s">
        <v>16748</v>
      </c>
      <c r="AH1565" s="15" t="s">
        <v>16749</v>
      </c>
      <c r="AL1565" s="15" t="s">
        <v>16750</v>
      </c>
      <c r="AN1565" s="15">
        <v>743</v>
      </c>
      <c r="AO1565" s="15" t="s">
        <v>16751</v>
      </c>
      <c r="AQ1565" s="20" t="s">
        <v>168</v>
      </c>
      <c r="AT1565" s="18" t="s">
        <v>16752</v>
      </c>
      <c r="AU1565" s="18" t="s">
        <v>16753</v>
      </c>
      <c r="AV1565" s="18" t="s">
        <v>16754</v>
      </c>
      <c r="AW1565" s="18" t="s">
        <v>16755</v>
      </c>
      <c r="AX1565" s="18" t="s">
        <v>16755</v>
      </c>
      <c r="AY1565" s="21">
        <f t="shared" si="35"/>
        <v>59</v>
      </c>
      <c r="AZ1565" s="18" t="s">
        <v>173</v>
      </c>
      <c r="BA1565" s="29" t="s">
        <v>174</v>
      </c>
      <c r="BB1565" s="18" t="s">
        <v>4978</v>
      </c>
      <c r="BC1565" s="29" t="s">
        <v>863</v>
      </c>
      <c r="BD1565" s="18"/>
      <c r="BE1565" s="18" t="s">
        <v>1123</v>
      </c>
      <c r="BF1565" s="18"/>
      <c r="BG1565" s="18"/>
      <c r="BH1565" s="18"/>
      <c r="BI1565" s="18"/>
      <c r="BJ1565" s="18" t="s">
        <v>16756</v>
      </c>
      <c r="BK1565" s="18"/>
      <c r="BL1565" s="18"/>
      <c r="BM1565" s="18"/>
      <c r="BN1565" s="18" t="s">
        <v>179</v>
      </c>
      <c r="BO1565" s="18"/>
      <c r="BP1565" s="15" t="s">
        <v>138</v>
      </c>
      <c r="BQ1565" s="18"/>
      <c r="BS1565" s="15" t="s">
        <v>16757</v>
      </c>
      <c r="DH1565" s="15" t="s">
        <v>17982</v>
      </c>
      <c r="DI1565" s="15" t="s">
        <v>17982</v>
      </c>
    </row>
    <row r="1566" spans="1:113" s="15" customFormat="1" ht="12.75" x14ac:dyDescent="0.2">
      <c r="A1566" s="15" t="s">
        <v>109</v>
      </c>
      <c r="B1566" s="15" t="s">
        <v>110</v>
      </c>
      <c r="D1566" s="15" t="s">
        <v>233</v>
      </c>
      <c r="E1566" s="15" t="s">
        <v>113</v>
      </c>
      <c r="F1566" s="15" t="s">
        <v>233</v>
      </c>
      <c r="G1566" s="15" t="s">
        <v>113</v>
      </c>
      <c r="H1566" s="15" t="s">
        <v>111</v>
      </c>
      <c r="J1566" s="16" t="s">
        <v>114</v>
      </c>
      <c r="U1566" s="15" t="s">
        <v>17977</v>
      </c>
      <c r="W1566" s="15">
        <v>3470</v>
      </c>
      <c r="X1566" s="15">
        <v>1576</v>
      </c>
      <c r="Y1566" s="15" t="s">
        <v>160</v>
      </c>
      <c r="Z1566" s="15" t="s">
        <v>161</v>
      </c>
      <c r="AA1566" s="15" t="s">
        <v>162</v>
      </c>
      <c r="AB1566" s="15" t="s">
        <v>16758</v>
      </c>
      <c r="AC1566" s="15" t="s">
        <v>16758</v>
      </c>
      <c r="AD1566" s="15" t="s">
        <v>16758</v>
      </c>
      <c r="AE1566" s="15" t="s">
        <v>164</v>
      </c>
      <c r="AF1566" s="15" t="s">
        <v>16758</v>
      </c>
      <c r="AG1566" s="15" t="s">
        <v>16758</v>
      </c>
      <c r="AH1566" s="15" t="s">
        <v>16759</v>
      </c>
      <c r="AL1566" s="15" t="s">
        <v>16750</v>
      </c>
      <c r="AN1566" s="15">
        <v>743</v>
      </c>
      <c r="AO1566" s="15" t="s">
        <v>16760</v>
      </c>
      <c r="AQ1566" s="20" t="s">
        <v>168</v>
      </c>
      <c r="AT1566" s="18" t="s">
        <v>16761</v>
      </c>
      <c r="AU1566" s="18" t="s">
        <v>16762</v>
      </c>
      <c r="AV1566" s="18" t="s">
        <v>16763</v>
      </c>
      <c r="AW1566" s="18" t="s">
        <v>16764</v>
      </c>
      <c r="AX1566" s="18" t="s">
        <v>16764</v>
      </c>
      <c r="AY1566" s="21">
        <f t="shared" si="35"/>
        <v>59</v>
      </c>
      <c r="AZ1566" s="18" t="s">
        <v>173</v>
      </c>
      <c r="BA1566" s="29" t="s">
        <v>174</v>
      </c>
      <c r="BB1566" s="18" t="s">
        <v>4978</v>
      </c>
      <c r="BC1566" s="29" t="s">
        <v>863</v>
      </c>
      <c r="BD1566" s="18"/>
      <c r="BE1566" s="18" t="s">
        <v>176</v>
      </c>
      <c r="BF1566" s="18"/>
      <c r="BG1566" s="18"/>
      <c r="BH1566" s="18"/>
      <c r="BI1566" s="18"/>
      <c r="BJ1566" s="18" t="s">
        <v>16756</v>
      </c>
      <c r="BK1566" s="18"/>
      <c r="BL1566" s="18"/>
      <c r="BM1566" s="18"/>
      <c r="BN1566" s="18" t="s">
        <v>179</v>
      </c>
      <c r="BO1566" s="18"/>
      <c r="BP1566" s="15" t="s">
        <v>138</v>
      </c>
      <c r="BQ1566" s="18"/>
      <c r="BS1566" s="15" t="s">
        <v>16765</v>
      </c>
      <c r="DH1566" s="15" t="s">
        <v>17982</v>
      </c>
      <c r="DI1566" s="15" t="s">
        <v>17982</v>
      </c>
    </row>
    <row r="1567" spans="1:113" s="15" customFormat="1" ht="12.75" x14ac:dyDescent="0.2">
      <c r="A1567" s="15" t="s">
        <v>109</v>
      </c>
      <c r="B1567" s="15" t="s">
        <v>110</v>
      </c>
      <c r="D1567" s="15" t="s">
        <v>233</v>
      </c>
      <c r="E1567" s="15" t="s">
        <v>113</v>
      </c>
      <c r="F1567" s="15" t="s">
        <v>233</v>
      </c>
      <c r="G1567" s="15" t="s">
        <v>113</v>
      </c>
      <c r="H1567" s="15" t="s">
        <v>111</v>
      </c>
      <c r="J1567" s="16" t="s">
        <v>114</v>
      </c>
      <c r="U1567" s="15" t="s">
        <v>17977</v>
      </c>
      <c r="W1567" s="15">
        <v>3499</v>
      </c>
      <c r="X1567" s="15">
        <v>1577</v>
      </c>
      <c r="Y1567" s="15" t="s">
        <v>160</v>
      </c>
      <c r="Z1567" s="15" t="s">
        <v>161</v>
      </c>
      <c r="AA1567" s="15" t="s">
        <v>162</v>
      </c>
      <c r="AB1567" s="15" t="s">
        <v>16927</v>
      </c>
      <c r="AC1567" s="15" t="s">
        <v>16927</v>
      </c>
      <c r="AD1567" s="15" t="s">
        <v>16927</v>
      </c>
      <c r="AE1567" s="15" t="s">
        <v>164</v>
      </c>
      <c r="AF1567" s="15" t="s">
        <v>16927</v>
      </c>
      <c r="AG1567" s="15" t="s">
        <v>16927</v>
      </c>
      <c r="AH1567" s="15" t="s">
        <v>16928</v>
      </c>
      <c r="AL1567" s="15" t="s">
        <v>16929</v>
      </c>
      <c r="AN1567" s="15">
        <v>743</v>
      </c>
      <c r="AO1567" s="15" t="s">
        <v>16930</v>
      </c>
      <c r="AQ1567" s="20" t="s">
        <v>168</v>
      </c>
      <c r="AT1567" s="18" t="s">
        <v>16931</v>
      </c>
      <c r="AU1567" s="18" t="s">
        <v>16932</v>
      </c>
      <c r="AV1567" s="18" t="s">
        <v>16933</v>
      </c>
      <c r="AW1567" s="18" t="s">
        <v>16934</v>
      </c>
      <c r="AX1567" s="18" t="s">
        <v>16934</v>
      </c>
      <c r="AY1567" s="21">
        <f t="shared" si="35"/>
        <v>51</v>
      </c>
      <c r="AZ1567" s="18" t="s">
        <v>173</v>
      </c>
      <c r="BA1567" s="29" t="s">
        <v>174</v>
      </c>
      <c r="BB1567" s="18" t="s">
        <v>4978</v>
      </c>
      <c r="BC1567" s="18" t="s">
        <v>4532</v>
      </c>
      <c r="BD1567" s="18"/>
      <c r="BE1567" s="18" t="s">
        <v>1123</v>
      </c>
      <c r="BF1567" s="18"/>
      <c r="BG1567" s="18"/>
      <c r="BH1567" s="18"/>
      <c r="BI1567" s="18"/>
      <c r="BJ1567" s="18" t="s">
        <v>16935</v>
      </c>
      <c r="BK1567" s="18"/>
      <c r="BL1567" s="18"/>
      <c r="BM1567" s="18"/>
      <c r="BN1567" s="18" t="s">
        <v>179</v>
      </c>
      <c r="BO1567" s="18"/>
      <c r="BP1567" s="15" t="s">
        <v>138</v>
      </c>
      <c r="BQ1567" s="18"/>
      <c r="BS1567" s="15" t="s">
        <v>16936</v>
      </c>
      <c r="DH1567" s="15" t="s">
        <v>17982</v>
      </c>
      <c r="DI1567" s="15" t="s">
        <v>17982</v>
      </c>
    </row>
    <row r="1568" spans="1:113" s="15" customFormat="1" ht="12.75" x14ac:dyDescent="0.2">
      <c r="A1568" s="15" t="s">
        <v>109</v>
      </c>
      <c r="B1568" s="15" t="s">
        <v>110</v>
      </c>
      <c r="D1568" s="15" t="s">
        <v>233</v>
      </c>
      <c r="E1568" s="15" t="s">
        <v>113</v>
      </c>
      <c r="F1568" s="15" t="s">
        <v>233</v>
      </c>
      <c r="G1568" s="15" t="s">
        <v>113</v>
      </c>
      <c r="H1568" s="15" t="s">
        <v>111</v>
      </c>
      <c r="J1568" s="16" t="s">
        <v>114</v>
      </c>
      <c r="U1568" s="15" t="s">
        <v>17977</v>
      </c>
      <c r="W1568" s="15">
        <v>3458</v>
      </c>
      <c r="X1568" s="15">
        <v>1578</v>
      </c>
      <c r="Y1568" s="15" t="s">
        <v>160</v>
      </c>
      <c r="Z1568" s="15" t="s">
        <v>161</v>
      </c>
      <c r="AA1568" s="15" t="s">
        <v>162</v>
      </c>
      <c r="AB1568" s="15" t="s">
        <v>16692</v>
      </c>
      <c r="AC1568" s="15" t="s">
        <v>16692</v>
      </c>
      <c r="AD1568" s="15" t="s">
        <v>16692</v>
      </c>
      <c r="AE1568" s="15" t="s">
        <v>164</v>
      </c>
      <c r="AF1568" s="15" t="s">
        <v>16692</v>
      </c>
      <c r="AG1568" s="15" t="s">
        <v>16692</v>
      </c>
      <c r="AH1568" s="15" t="s">
        <v>16693</v>
      </c>
      <c r="AL1568" s="15" t="s">
        <v>16694</v>
      </c>
      <c r="AN1568" s="15">
        <v>743</v>
      </c>
      <c r="AO1568" s="15" t="s">
        <v>16695</v>
      </c>
      <c r="AQ1568" s="20" t="s">
        <v>168</v>
      </c>
      <c r="AT1568" s="18" t="s">
        <v>16696</v>
      </c>
      <c r="AU1568" s="18" t="s">
        <v>16697</v>
      </c>
      <c r="AV1568" s="18" t="s">
        <v>16698</v>
      </c>
      <c r="AW1568" s="18" t="s">
        <v>16699</v>
      </c>
      <c r="AX1568" s="18" t="s">
        <v>16700</v>
      </c>
      <c r="AY1568" s="21">
        <f t="shared" si="35"/>
        <v>58</v>
      </c>
      <c r="AZ1568" s="18" t="s">
        <v>173</v>
      </c>
      <c r="BA1568" s="29" t="s">
        <v>174</v>
      </c>
      <c r="BB1568" s="18" t="s">
        <v>3685</v>
      </c>
      <c r="BC1568" s="18"/>
      <c r="BD1568" s="18"/>
      <c r="BE1568" s="18" t="s">
        <v>2054</v>
      </c>
      <c r="BF1568" s="18"/>
      <c r="BG1568" s="18"/>
      <c r="BH1568" s="18"/>
      <c r="BI1568" s="18"/>
      <c r="BJ1568" s="18" t="s">
        <v>16701</v>
      </c>
      <c r="BK1568" s="18" t="s">
        <v>314</v>
      </c>
      <c r="BL1568" s="18"/>
      <c r="BM1568" s="18"/>
      <c r="BN1568" s="18" t="s">
        <v>179</v>
      </c>
      <c r="BO1568" s="18"/>
      <c r="BP1568" s="15" t="s">
        <v>138</v>
      </c>
      <c r="BQ1568" s="18"/>
      <c r="BS1568" s="15" t="s">
        <v>16702</v>
      </c>
      <c r="DH1568" s="15" t="s">
        <v>17982</v>
      </c>
      <c r="DI1568" s="15" t="s">
        <v>17982</v>
      </c>
    </row>
    <row r="1569" spans="1:113" s="15" customFormat="1" ht="12.75" x14ac:dyDescent="0.2">
      <c r="A1569" s="15" t="s">
        <v>109</v>
      </c>
      <c r="B1569" s="15" t="s">
        <v>110</v>
      </c>
      <c r="D1569" s="15" t="s">
        <v>233</v>
      </c>
      <c r="E1569" s="15" t="s">
        <v>113</v>
      </c>
      <c r="F1569" s="15" t="s">
        <v>233</v>
      </c>
      <c r="G1569" s="15" t="s">
        <v>113</v>
      </c>
      <c r="H1569" s="15" t="s">
        <v>111</v>
      </c>
      <c r="J1569" s="16" t="s">
        <v>114</v>
      </c>
      <c r="U1569" s="15" t="s">
        <v>17977</v>
      </c>
      <c r="W1569" s="15">
        <v>858</v>
      </c>
      <c r="X1569" s="15">
        <v>1579</v>
      </c>
      <c r="Y1569" s="15" t="s">
        <v>160</v>
      </c>
      <c r="Z1569" s="15" t="s">
        <v>161</v>
      </c>
      <c r="AA1569" s="15" t="s">
        <v>162</v>
      </c>
      <c r="AB1569" s="15" t="s">
        <v>3772</v>
      </c>
      <c r="AC1569" s="15" t="s">
        <v>3772</v>
      </c>
      <c r="AD1569" s="15" t="s">
        <v>3772</v>
      </c>
      <c r="AE1569" s="15" t="s">
        <v>164</v>
      </c>
      <c r="AF1569" s="15" t="s">
        <v>3772</v>
      </c>
      <c r="AG1569" s="15" t="s">
        <v>3772</v>
      </c>
      <c r="AH1569" s="15" t="s">
        <v>3773</v>
      </c>
      <c r="AL1569" s="15" t="s">
        <v>3774</v>
      </c>
      <c r="AN1569" s="15">
        <v>743</v>
      </c>
      <c r="AO1569" s="15" t="s">
        <v>3775</v>
      </c>
      <c r="AQ1569" s="20" t="s">
        <v>168</v>
      </c>
      <c r="AT1569" s="18" t="s">
        <v>3776</v>
      </c>
      <c r="AU1569" s="18" t="s">
        <v>3777</v>
      </c>
      <c r="AV1569" s="18" t="s">
        <v>3778</v>
      </c>
      <c r="AW1569" s="18" t="s">
        <v>3779</v>
      </c>
      <c r="AX1569" s="18" t="s">
        <v>3780</v>
      </c>
      <c r="AY1569" s="21">
        <f t="shared" si="35"/>
        <v>60</v>
      </c>
      <c r="AZ1569" s="18" t="s">
        <v>173</v>
      </c>
      <c r="BA1569" s="18" t="s">
        <v>174</v>
      </c>
      <c r="BB1569" s="24" t="s">
        <v>3685</v>
      </c>
      <c r="BC1569" s="18"/>
      <c r="BD1569" s="18"/>
      <c r="BE1569" s="24" t="s">
        <v>275</v>
      </c>
      <c r="BF1569" s="18"/>
      <c r="BG1569" s="18"/>
      <c r="BH1569" s="18"/>
      <c r="BI1569" s="18"/>
      <c r="BJ1569" s="18" t="s">
        <v>3781</v>
      </c>
      <c r="BK1569" s="18"/>
      <c r="BL1569" s="18"/>
      <c r="BM1569" s="18"/>
      <c r="BN1569" s="18" t="s">
        <v>179</v>
      </c>
      <c r="BO1569" s="18"/>
      <c r="BP1569" s="15" t="s">
        <v>138</v>
      </c>
      <c r="BQ1569" s="18"/>
      <c r="BS1569" s="15" t="s">
        <v>3782</v>
      </c>
      <c r="DH1569" s="15" t="s">
        <v>17982</v>
      </c>
      <c r="DI1569" s="15" t="s">
        <v>17982</v>
      </c>
    </row>
    <row r="1570" spans="1:113" s="15" customFormat="1" ht="12.75" x14ac:dyDescent="0.2">
      <c r="A1570" s="15" t="s">
        <v>109</v>
      </c>
      <c r="B1570" s="15" t="s">
        <v>110</v>
      </c>
      <c r="D1570" s="15" t="s">
        <v>233</v>
      </c>
      <c r="E1570" s="15" t="s">
        <v>113</v>
      </c>
      <c r="F1570" s="15" t="s">
        <v>233</v>
      </c>
      <c r="G1570" s="15" t="s">
        <v>113</v>
      </c>
      <c r="H1570" s="15" t="s">
        <v>111</v>
      </c>
      <c r="J1570" s="16" t="s">
        <v>114</v>
      </c>
      <c r="U1570" s="15" t="s">
        <v>17977</v>
      </c>
      <c r="W1570" s="15">
        <v>850</v>
      </c>
      <c r="X1570" s="15">
        <v>1580</v>
      </c>
      <c r="Y1570" s="15" t="s">
        <v>160</v>
      </c>
      <c r="Z1570" s="15" t="s">
        <v>161</v>
      </c>
      <c r="AA1570" s="15" t="s">
        <v>162</v>
      </c>
      <c r="AB1570" s="15" t="s">
        <v>3700</v>
      </c>
      <c r="AC1570" s="15" t="s">
        <v>3700</v>
      </c>
      <c r="AD1570" s="15" t="s">
        <v>3700</v>
      </c>
      <c r="AE1570" s="15" t="s">
        <v>164</v>
      </c>
      <c r="AF1570" s="15" t="s">
        <v>3700</v>
      </c>
      <c r="AG1570" s="15" t="s">
        <v>3700</v>
      </c>
      <c r="AH1570" s="15" t="s">
        <v>3701</v>
      </c>
      <c r="AL1570" s="15" t="s">
        <v>3702</v>
      </c>
      <c r="AN1570" s="15">
        <v>743</v>
      </c>
      <c r="AO1570" s="15" t="s">
        <v>3703</v>
      </c>
      <c r="AQ1570" s="20" t="s">
        <v>168</v>
      </c>
      <c r="AT1570" s="18" t="s">
        <v>3702</v>
      </c>
      <c r="AU1570" s="18" t="s">
        <v>3704</v>
      </c>
      <c r="AV1570" s="18" t="s">
        <v>3705</v>
      </c>
      <c r="AW1570" s="18" t="s">
        <v>3706</v>
      </c>
      <c r="AX1570" s="18" t="s">
        <v>3707</v>
      </c>
      <c r="AY1570" s="21">
        <f t="shared" ref="AY1570:AY1577" si="36">LEN(SUBSTITUTE(AX1570,", "," "))</f>
        <v>57</v>
      </c>
      <c r="AZ1570" s="18" t="s">
        <v>173</v>
      </c>
      <c r="BA1570" s="18" t="s">
        <v>174</v>
      </c>
      <c r="BB1570" s="29" t="s">
        <v>3685</v>
      </c>
      <c r="BC1570" s="18"/>
      <c r="BD1570" s="18"/>
      <c r="BE1570" s="18" t="s">
        <v>275</v>
      </c>
      <c r="BF1570" s="18"/>
      <c r="BG1570" s="18"/>
      <c r="BH1570" s="18"/>
      <c r="BI1570" s="18"/>
      <c r="BJ1570" s="18" t="s">
        <v>3698</v>
      </c>
      <c r="BK1570" s="18"/>
      <c r="BL1570" s="18"/>
      <c r="BM1570" s="18"/>
      <c r="BN1570" s="18" t="s">
        <v>179</v>
      </c>
      <c r="BO1570" s="18"/>
      <c r="BP1570" s="15" t="s">
        <v>138</v>
      </c>
      <c r="BQ1570" s="18"/>
      <c r="BS1570" s="15" t="s">
        <v>3708</v>
      </c>
      <c r="DH1570" s="15" t="s">
        <v>17982</v>
      </c>
      <c r="DI1570" s="15" t="s">
        <v>17982</v>
      </c>
    </row>
    <row r="1571" spans="1:113" s="15" customFormat="1" ht="12.75" x14ac:dyDescent="0.2">
      <c r="A1571" s="15" t="s">
        <v>109</v>
      </c>
      <c r="B1571" s="15" t="s">
        <v>110</v>
      </c>
      <c r="D1571" s="15" t="s">
        <v>233</v>
      </c>
      <c r="E1571" s="15" t="s">
        <v>113</v>
      </c>
      <c r="F1571" s="15" t="s">
        <v>233</v>
      </c>
      <c r="G1571" s="15" t="s">
        <v>113</v>
      </c>
      <c r="H1571" s="15" t="s">
        <v>111</v>
      </c>
      <c r="J1571" s="16" t="s">
        <v>114</v>
      </c>
      <c r="U1571" s="15" t="s">
        <v>17977</v>
      </c>
      <c r="W1571" s="15">
        <v>16</v>
      </c>
      <c r="X1571" s="15">
        <v>1581</v>
      </c>
      <c r="Y1571" s="15" t="s">
        <v>160</v>
      </c>
      <c r="Z1571" s="15" t="s">
        <v>161</v>
      </c>
      <c r="AA1571" s="15" t="s">
        <v>162</v>
      </c>
      <c r="AB1571" s="15" t="s">
        <v>244</v>
      </c>
      <c r="AC1571" s="15" t="s">
        <v>244</v>
      </c>
      <c r="AD1571" s="15" t="s">
        <v>244</v>
      </c>
      <c r="AE1571" s="15" t="s">
        <v>164</v>
      </c>
      <c r="AF1571" s="15" t="s">
        <v>244</v>
      </c>
      <c r="AG1571" s="15" t="s">
        <v>244</v>
      </c>
      <c r="AH1571" s="15" t="s">
        <v>245</v>
      </c>
      <c r="AL1571" s="15" t="s">
        <v>246</v>
      </c>
      <c r="AN1571" s="15">
        <v>743</v>
      </c>
      <c r="AO1571" s="15" t="s">
        <v>247</v>
      </c>
      <c r="AQ1571" s="20" t="s">
        <v>168</v>
      </c>
      <c r="AT1571" s="18" t="s">
        <v>246</v>
      </c>
      <c r="AU1571" s="18" t="s">
        <v>248</v>
      </c>
      <c r="AV1571" s="18" t="s">
        <v>249</v>
      </c>
      <c r="AW1571" s="18" t="s">
        <v>250</v>
      </c>
      <c r="AX1571" s="18" t="s">
        <v>250</v>
      </c>
      <c r="AY1571" s="21">
        <f t="shared" si="36"/>
        <v>59</v>
      </c>
      <c r="AZ1571" s="18" t="s">
        <v>173</v>
      </c>
      <c r="BA1571" s="18" t="s">
        <v>174</v>
      </c>
      <c r="BB1571" s="18" t="s">
        <v>216</v>
      </c>
      <c r="BC1571" s="18"/>
      <c r="BD1571" s="18"/>
      <c r="BE1571" s="18" t="s">
        <v>251</v>
      </c>
      <c r="BF1571" s="18"/>
      <c r="BG1571" s="18"/>
      <c r="BH1571" s="18"/>
      <c r="BI1571" s="18"/>
      <c r="BJ1571" s="18" t="s">
        <v>252</v>
      </c>
      <c r="BK1571" s="18"/>
      <c r="BL1571" s="18"/>
      <c r="BM1571" s="18"/>
      <c r="BN1571" s="18" t="s">
        <v>179</v>
      </c>
      <c r="BO1571" s="18"/>
      <c r="BP1571" s="15" t="s">
        <v>138</v>
      </c>
      <c r="BQ1571" s="18"/>
      <c r="BS1571" s="15" t="s">
        <v>253</v>
      </c>
      <c r="DH1571" s="15" t="s">
        <v>17982</v>
      </c>
      <c r="DI1571" s="15" t="s">
        <v>17982</v>
      </c>
    </row>
    <row r="1572" spans="1:113" s="15" customFormat="1" ht="12.75" x14ac:dyDescent="0.2">
      <c r="A1572" s="15" t="s">
        <v>109</v>
      </c>
      <c r="B1572" s="15" t="s">
        <v>110</v>
      </c>
      <c r="D1572" s="15" t="s">
        <v>233</v>
      </c>
      <c r="E1572" s="15" t="s">
        <v>113</v>
      </c>
      <c r="F1572" s="15" t="s">
        <v>233</v>
      </c>
      <c r="G1572" s="15" t="s">
        <v>113</v>
      </c>
      <c r="H1572" s="15" t="s">
        <v>111</v>
      </c>
      <c r="J1572" s="16" t="s">
        <v>114</v>
      </c>
      <c r="U1572" s="15" t="s">
        <v>17977</v>
      </c>
      <c r="W1572" s="15">
        <v>1301</v>
      </c>
      <c r="X1572" s="15">
        <v>1582</v>
      </c>
      <c r="Y1572" s="15" t="s">
        <v>160</v>
      </c>
      <c r="Z1572" s="15" t="s">
        <v>161</v>
      </c>
      <c r="AA1572" s="15" t="s">
        <v>162</v>
      </c>
      <c r="AB1572" s="15" t="s">
        <v>6690</v>
      </c>
      <c r="AC1572" s="15" t="s">
        <v>6690</v>
      </c>
      <c r="AD1572" s="15" t="s">
        <v>6690</v>
      </c>
      <c r="AE1572" s="15" t="s">
        <v>164</v>
      </c>
      <c r="AF1572" s="15" t="s">
        <v>6690</v>
      </c>
      <c r="AG1572" s="15" t="s">
        <v>6690</v>
      </c>
      <c r="AH1572" s="15" t="s">
        <v>6691</v>
      </c>
      <c r="AL1572" s="15" t="s">
        <v>6692</v>
      </c>
      <c r="AN1572" s="15">
        <v>743</v>
      </c>
      <c r="AO1572" s="15" t="s">
        <v>6693</v>
      </c>
      <c r="AQ1572" s="20" t="s">
        <v>168</v>
      </c>
      <c r="AT1572" s="18" t="s">
        <v>6692</v>
      </c>
      <c r="AU1572" s="18" t="s">
        <v>6694</v>
      </c>
      <c r="AV1572" s="18" t="s">
        <v>6695</v>
      </c>
      <c r="AW1572" s="18" t="s">
        <v>6696</v>
      </c>
      <c r="AX1572" s="18" t="s">
        <v>6696</v>
      </c>
      <c r="AY1572" s="21">
        <f t="shared" si="36"/>
        <v>59</v>
      </c>
      <c r="AZ1572" s="18" t="s">
        <v>173</v>
      </c>
      <c r="BA1572" s="29" t="s">
        <v>174</v>
      </c>
      <c r="BB1572" s="29" t="s">
        <v>6687</v>
      </c>
      <c r="BC1572" s="18"/>
      <c r="BD1572" s="18"/>
      <c r="BE1572" s="18" t="s">
        <v>395</v>
      </c>
      <c r="BF1572" s="26" t="s">
        <v>836</v>
      </c>
      <c r="BG1572" s="18"/>
      <c r="BH1572" s="18"/>
      <c r="BI1572" s="18"/>
      <c r="BJ1572" s="18" t="s">
        <v>6697</v>
      </c>
      <c r="BK1572" s="18" t="s">
        <v>1714</v>
      </c>
      <c r="BL1572" s="18"/>
      <c r="BM1572" s="18"/>
      <c r="BN1572" s="18" t="s">
        <v>179</v>
      </c>
      <c r="BO1572" s="18"/>
      <c r="BP1572" s="15" t="s">
        <v>138</v>
      </c>
      <c r="BQ1572" s="18"/>
      <c r="BS1572" s="15" t="s">
        <v>6698</v>
      </c>
      <c r="DH1572" s="15" t="s">
        <v>17982</v>
      </c>
      <c r="DI1572" s="15" t="s">
        <v>17982</v>
      </c>
    </row>
    <row r="1573" spans="1:113" s="15" customFormat="1" ht="12.75" x14ac:dyDescent="0.2">
      <c r="A1573" s="15" t="s">
        <v>109</v>
      </c>
      <c r="B1573" s="15" t="s">
        <v>110</v>
      </c>
      <c r="D1573" s="15" t="s">
        <v>233</v>
      </c>
      <c r="E1573" s="15" t="s">
        <v>113</v>
      </c>
      <c r="F1573" s="15" t="s">
        <v>233</v>
      </c>
      <c r="G1573" s="15" t="s">
        <v>113</v>
      </c>
      <c r="H1573" s="15" t="s">
        <v>111</v>
      </c>
      <c r="J1573" s="16" t="s">
        <v>114</v>
      </c>
      <c r="U1573" s="15" t="s">
        <v>17977</v>
      </c>
      <c r="W1573" s="15">
        <v>15</v>
      </c>
      <c r="X1573" s="15">
        <v>1583</v>
      </c>
      <c r="Y1573" s="15" t="s">
        <v>160</v>
      </c>
      <c r="Z1573" s="15" t="s">
        <v>161</v>
      </c>
      <c r="AA1573" s="15" t="s">
        <v>162</v>
      </c>
      <c r="AB1573" s="15" t="s">
        <v>234</v>
      </c>
      <c r="AC1573" s="15" t="s">
        <v>234</v>
      </c>
      <c r="AD1573" s="15" t="s">
        <v>234</v>
      </c>
      <c r="AE1573" s="15" t="s">
        <v>164</v>
      </c>
      <c r="AF1573" s="15" t="s">
        <v>234</v>
      </c>
      <c r="AG1573" s="15" t="s">
        <v>234</v>
      </c>
      <c r="AH1573" s="15" t="s">
        <v>235</v>
      </c>
      <c r="AL1573" s="15" t="s">
        <v>236</v>
      </c>
      <c r="AN1573" s="15">
        <v>743</v>
      </c>
      <c r="AO1573" s="15" t="s">
        <v>237</v>
      </c>
      <c r="AQ1573" s="20" t="s">
        <v>168</v>
      </c>
      <c r="AT1573" s="18" t="s">
        <v>236</v>
      </c>
      <c r="AU1573" s="18" t="s">
        <v>238</v>
      </c>
      <c r="AV1573" s="18" t="s">
        <v>239</v>
      </c>
      <c r="AW1573" s="18" t="s">
        <v>240</v>
      </c>
      <c r="AX1573" s="18" t="s">
        <v>240</v>
      </c>
      <c r="AY1573" s="21">
        <f t="shared" si="36"/>
        <v>59</v>
      </c>
      <c r="AZ1573" s="18" t="s">
        <v>173</v>
      </c>
      <c r="BA1573" s="18" t="s">
        <v>174</v>
      </c>
      <c r="BB1573" s="18" t="s">
        <v>216</v>
      </c>
      <c r="BC1573" s="18"/>
      <c r="BD1573" s="18"/>
      <c r="BE1573" s="18" t="s">
        <v>241</v>
      </c>
      <c r="BF1573" s="18"/>
      <c r="BG1573" s="18"/>
      <c r="BH1573" s="18"/>
      <c r="BI1573" s="18"/>
      <c r="BJ1573" s="18" t="s">
        <v>242</v>
      </c>
      <c r="BK1573" s="18"/>
      <c r="BL1573" s="18"/>
      <c r="BM1573" s="18"/>
      <c r="BN1573" s="18" t="s">
        <v>179</v>
      </c>
      <c r="BO1573" s="18"/>
      <c r="BP1573" s="15" t="s">
        <v>138</v>
      </c>
      <c r="BQ1573" s="18"/>
      <c r="BS1573" s="15" t="s">
        <v>243</v>
      </c>
      <c r="DH1573" s="15" t="s">
        <v>17982</v>
      </c>
      <c r="DI1573" s="15" t="s">
        <v>17982</v>
      </c>
    </row>
    <row r="1574" spans="1:113" s="15" customFormat="1" ht="12.75" x14ac:dyDescent="0.2">
      <c r="A1574" s="15" t="s">
        <v>109</v>
      </c>
      <c r="B1574" s="15" t="s">
        <v>110</v>
      </c>
      <c r="D1574" s="15" t="s">
        <v>233</v>
      </c>
      <c r="E1574" s="15" t="s">
        <v>113</v>
      </c>
      <c r="F1574" s="15" t="s">
        <v>233</v>
      </c>
      <c r="G1574" s="15" t="s">
        <v>113</v>
      </c>
      <c r="H1574" s="15" t="s">
        <v>111</v>
      </c>
      <c r="J1574" s="16" t="s">
        <v>114</v>
      </c>
      <c r="U1574" s="15" t="s">
        <v>17977</v>
      </c>
      <c r="W1574" s="15">
        <v>3277</v>
      </c>
      <c r="X1574" s="15">
        <v>1584</v>
      </c>
      <c r="Y1574" s="15" t="s">
        <v>160</v>
      </c>
      <c r="Z1574" s="15" t="s">
        <v>161</v>
      </c>
      <c r="AA1574" s="15" t="s">
        <v>162</v>
      </c>
      <c r="AB1574" s="15" t="s">
        <v>15755</v>
      </c>
      <c r="AC1574" s="15" t="s">
        <v>15755</v>
      </c>
      <c r="AD1574" s="15" t="s">
        <v>15755</v>
      </c>
      <c r="AE1574" s="15" t="s">
        <v>164</v>
      </c>
      <c r="AF1574" s="15" t="s">
        <v>15755</v>
      </c>
      <c r="AG1574" s="15" t="s">
        <v>15755</v>
      </c>
      <c r="AH1574" s="15" t="s">
        <v>15756</v>
      </c>
      <c r="AL1574" s="15" t="s">
        <v>15757</v>
      </c>
      <c r="AN1574" s="15">
        <v>743</v>
      </c>
      <c r="AO1574" s="15" t="s">
        <v>15758</v>
      </c>
      <c r="AQ1574" s="20" t="s">
        <v>168</v>
      </c>
      <c r="AT1574" s="18" t="s">
        <v>15759</v>
      </c>
      <c r="AU1574" s="18" t="s">
        <v>15760</v>
      </c>
      <c r="AV1574" s="18" t="s">
        <v>15761</v>
      </c>
      <c r="AW1574" s="18" t="s">
        <v>15762</v>
      </c>
      <c r="AX1574" s="18" t="s">
        <v>15762</v>
      </c>
      <c r="AY1574" s="21">
        <f t="shared" si="36"/>
        <v>58</v>
      </c>
      <c r="AZ1574" s="18" t="s">
        <v>173</v>
      </c>
      <c r="BA1574" s="29" t="s">
        <v>174</v>
      </c>
      <c r="BB1574" s="18" t="s">
        <v>6676</v>
      </c>
      <c r="BC1574" s="18"/>
      <c r="BD1574" s="18"/>
      <c r="BE1574" s="18" t="s">
        <v>3686</v>
      </c>
      <c r="BF1574" s="26" t="s">
        <v>836</v>
      </c>
      <c r="BG1574" s="18"/>
      <c r="BH1574" s="18"/>
      <c r="BI1574" s="18"/>
      <c r="BJ1574" s="18" t="s">
        <v>15763</v>
      </c>
      <c r="BK1574" s="18" t="s">
        <v>1714</v>
      </c>
      <c r="BL1574" s="18"/>
      <c r="BM1574" s="18"/>
      <c r="BN1574" s="18" t="s">
        <v>179</v>
      </c>
      <c r="BO1574" s="18"/>
      <c r="BP1574" s="15" t="s">
        <v>138</v>
      </c>
      <c r="BQ1574" s="18"/>
      <c r="BS1574" s="15" t="s">
        <v>15764</v>
      </c>
      <c r="DH1574" s="15" t="s">
        <v>17982</v>
      </c>
      <c r="DI1574" s="15" t="s">
        <v>17982</v>
      </c>
    </row>
    <row r="1575" spans="1:113" s="15" customFormat="1" ht="12.75" x14ac:dyDescent="0.2">
      <c r="A1575" s="15" t="s">
        <v>109</v>
      </c>
      <c r="B1575" s="15" t="s">
        <v>110</v>
      </c>
      <c r="D1575" s="15" t="s">
        <v>233</v>
      </c>
      <c r="E1575" s="15" t="s">
        <v>113</v>
      </c>
      <c r="F1575" s="15" t="s">
        <v>233</v>
      </c>
      <c r="G1575" s="15" t="s">
        <v>113</v>
      </c>
      <c r="H1575" s="15" t="s">
        <v>111</v>
      </c>
      <c r="J1575" s="16" t="s">
        <v>114</v>
      </c>
      <c r="U1575" s="15" t="s">
        <v>17977</v>
      </c>
      <c r="W1575" s="15">
        <v>3278</v>
      </c>
      <c r="X1575" s="15">
        <v>1585</v>
      </c>
      <c r="Y1575" s="15" t="s">
        <v>160</v>
      </c>
      <c r="Z1575" s="15" t="s">
        <v>161</v>
      </c>
      <c r="AA1575" s="15" t="s">
        <v>162</v>
      </c>
      <c r="AB1575" s="15" t="s">
        <v>15765</v>
      </c>
      <c r="AC1575" s="15" t="s">
        <v>15765</v>
      </c>
      <c r="AD1575" s="15" t="s">
        <v>15765</v>
      </c>
      <c r="AE1575" s="15" t="s">
        <v>164</v>
      </c>
      <c r="AF1575" s="15" t="s">
        <v>15765</v>
      </c>
      <c r="AG1575" s="15" t="s">
        <v>15765</v>
      </c>
      <c r="AH1575" s="15" t="s">
        <v>15766</v>
      </c>
      <c r="AL1575" s="15" t="s">
        <v>15767</v>
      </c>
      <c r="AN1575" s="15">
        <v>743</v>
      </c>
      <c r="AO1575" s="15" t="s">
        <v>15768</v>
      </c>
      <c r="AQ1575" s="20" t="s">
        <v>168</v>
      </c>
      <c r="AT1575" s="18" t="s">
        <v>15769</v>
      </c>
      <c r="AU1575" s="18" t="s">
        <v>15770</v>
      </c>
      <c r="AV1575" s="18" t="s">
        <v>15771</v>
      </c>
      <c r="AW1575" s="18" t="s">
        <v>15772</v>
      </c>
      <c r="AX1575" s="18" t="s">
        <v>15772</v>
      </c>
      <c r="AY1575" s="21">
        <f t="shared" si="36"/>
        <v>57</v>
      </c>
      <c r="AZ1575" s="18" t="s">
        <v>173</v>
      </c>
      <c r="BA1575" s="29" t="s">
        <v>174</v>
      </c>
      <c r="BB1575" s="18" t="s">
        <v>6676</v>
      </c>
      <c r="BC1575" s="18"/>
      <c r="BD1575" s="18"/>
      <c r="BE1575" s="18" t="s">
        <v>3686</v>
      </c>
      <c r="BF1575" s="18" t="s">
        <v>863</v>
      </c>
      <c r="BG1575" s="18"/>
      <c r="BH1575" s="18"/>
      <c r="BI1575" s="18"/>
      <c r="BJ1575" s="18" t="s">
        <v>15773</v>
      </c>
      <c r="BK1575" s="18" t="s">
        <v>1714</v>
      </c>
      <c r="BL1575" s="18"/>
      <c r="BM1575" s="18"/>
      <c r="BN1575" s="18" t="s">
        <v>179</v>
      </c>
      <c r="BO1575" s="18"/>
      <c r="BP1575" s="15" t="s">
        <v>138</v>
      </c>
      <c r="BQ1575" s="18"/>
      <c r="BS1575" s="15" t="s">
        <v>15774</v>
      </c>
      <c r="DH1575" s="15" t="s">
        <v>17982</v>
      </c>
      <c r="DI1575" s="15" t="s">
        <v>17982</v>
      </c>
    </row>
    <row r="1576" spans="1:113" s="15" customFormat="1" ht="12.75" x14ac:dyDescent="0.2">
      <c r="A1576" s="15" t="s">
        <v>109</v>
      </c>
      <c r="B1576" s="15" t="s">
        <v>110</v>
      </c>
      <c r="D1576" s="15" t="s">
        <v>233</v>
      </c>
      <c r="E1576" s="15" t="s">
        <v>113</v>
      </c>
      <c r="F1576" s="15" t="s">
        <v>233</v>
      </c>
      <c r="G1576" s="15" t="s">
        <v>113</v>
      </c>
      <c r="H1576" s="15" t="s">
        <v>111</v>
      </c>
      <c r="J1576" s="16" t="s">
        <v>114</v>
      </c>
      <c r="U1576" s="15" t="s">
        <v>17977</v>
      </c>
      <c r="W1576" s="15">
        <v>1300</v>
      </c>
      <c r="X1576" s="15">
        <v>1586</v>
      </c>
      <c r="Y1576" s="15" t="s">
        <v>160</v>
      </c>
      <c r="Z1576" s="15" t="s">
        <v>161</v>
      </c>
      <c r="AA1576" s="15" t="s">
        <v>162</v>
      </c>
      <c r="AB1576" s="15" t="s">
        <v>6679</v>
      </c>
      <c r="AC1576" s="15" t="s">
        <v>6679</v>
      </c>
      <c r="AD1576" s="15" t="s">
        <v>6679</v>
      </c>
      <c r="AE1576" s="15" t="s">
        <v>164</v>
      </c>
      <c r="AF1576" s="15" t="s">
        <v>6679</v>
      </c>
      <c r="AG1576" s="15" t="s">
        <v>6679</v>
      </c>
      <c r="AH1576" s="15" t="s">
        <v>6680</v>
      </c>
      <c r="AL1576" s="15" t="s">
        <v>6681</v>
      </c>
      <c r="AN1576" s="15">
        <v>743</v>
      </c>
      <c r="AO1576" s="15" t="s">
        <v>6682</v>
      </c>
      <c r="AQ1576" s="20" t="s">
        <v>168</v>
      </c>
      <c r="AT1576" s="18" t="s">
        <v>6683</v>
      </c>
      <c r="AU1576" s="18" t="s">
        <v>6684</v>
      </c>
      <c r="AV1576" s="18" t="s">
        <v>6685</v>
      </c>
      <c r="AW1576" s="18" t="s">
        <v>6686</v>
      </c>
      <c r="AX1576" s="18" t="s">
        <v>6686</v>
      </c>
      <c r="AY1576" s="21">
        <f t="shared" si="36"/>
        <v>58</v>
      </c>
      <c r="AZ1576" s="18" t="s">
        <v>173</v>
      </c>
      <c r="BA1576" s="29" t="s">
        <v>174</v>
      </c>
      <c r="BB1576" s="29" t="s">
        <v>6687</v>
      </c>
      <c r="BC1576" s="18"/>
      <c r="BD1576" s="18"/>
      <c r="BE1576" s="18" t="s">
        <v>3686</v>
      </c>
      <c r="BF1576" s="26" t="s">
        <v>836</v>
      </c>
      <c r="BG1576" s="18"/>
      <c r="BH1576" s="18"/>
      <c r="BI1576" s="18"/>
      <c r="BJ1576" s="18" t="s">
        <v>6688</v>
      </c>
      <c r="BK1576" s="18" t="s">
        <v>1714</v>
      </c>
      <c r="BL1576" s="18"/>
      <c r="BM1576" s="18"/>
      <c r="BN1576" s="18" t="s">
        <v>179</v>
      </c>
      <c r="BO1576" s="18"/>
      <c r="BP1576" s="15" t="s">
        <v>138</v>
      </c>
      <c r="BQ1576" s="18"/>
      <c r="BS1576" s="15" t="s">
        <v>6689</v>
      </c>
      <c r="DH1576" s="15" t="s">
        <v>17982</v>
      </c>
      <c r="DI1576" s="15" t="s">
        <v>17982</v>
      </c>
    </row>
    <row r="1577" spans="1:113" s="15" customFormat="1" ht="12.75" x14ac:dyDescent="0.2">
      <c r="A1577" s="15" t="s">
        <v>109</v>
      </c>
      <c r="B1577" s="15" t="s">
        <v>110</v>
      </c>
      <c r="D1577" s="15" t="s">
        <v>233</v>
      </c>
      <c r="E1577" s="15" t="s">
        <v>113</v>
      </c>
      <c r="F1577" s="15" t="s">
        <v>233</v>
      </c>
      <c r="G1577" s="15" t="s">
        <v>113</v>
      </c>
      <c r="H1577" s="15" t="s">
        <v>111</v>
      </c>
      <c r="J1577" s="16" t="s">
        <v>114</v>
      </c>
      <c r="U1577" s="15" t="s">
        <v>17977</v>
      </c>
      <c r="W1577" s="15">
        <v>856</v>
      </c>
      <c r="X1577" s="15">
        <v>1587</v>
      </c>
      <c r="Y1577" s="15" t="s">
        <v>160</v>
      </c>
      <c r="Z1577" s="15" t="s">
        <v>161</v>
      </c>
      <c r="AA1577" s="15" t="s">
        <v>162</v>
      </c>
      <c r="AB1577" s="15" t="s">
        <v>3751</v>
      </c>
      <c r="AC1577" s="15" t="s">
        <v>3751</v>
      </c>
      <c r="AD1577" s="15" t="s">
        <v>3751</v>
      </c>
      <c r="AE1577" s="15" t="s">
        <v>164</v>
      </c>
      <c r="AF1577" s="15" t="s">
        <v>3751</v>
      </c>
      <c r="AG1577" s="15" t="s">
        <v>3751</v>
      </c>
      <c r="AH1577" s="15" t="s">
        <v>3752</v>
      </c>
      <c r="AL1577" s="15" t="s">
        <v>3753</v>
      </c>
      <c r="AN1577" s="15">
        <v>743</v>
      </c>
      <c r="AO1577" s="15" t="s">
        <v>3754</v>
      </c>
      <c r="AQ1577" s="20" t="s">
        <v>168</v>
      </c>
      <c r="AT1577" s="18" t="s">
        <v>3753</v>
      </c>
      <c r="AU1577" s="18" t="s">
        <v>3755</v>
      </c>
      <c r="AV1577" s="18" t="s">
        <v>3756</v>
      </c>
      <c r="AW1577" s="18" t="s">
        <v>3757</v>
      </c>
      <c r="AX1577" s="18" t="s">
        <v>3758</v>
      </c>
      <c r="AY1577" s="21">
        <f t="shared" si="36"/>
        <v>53</v>
      </c>
      <c r="AZ1577" s="18" t="s">
        <v>173</v>
      </c>
      <c r="BA1577" s="18" t="s">
        <v>174</v>
      </c>
      <c r="BB1577" s="24" t="s">
        <v>3685</v>
      </c>
      <c r="BC1577" s="18"/>
      <c r="BD1577" s="18"/>
      <c r="BE1577" s="24" t="s">
        <v>2299</v>
      </c>
      <c r="BF1577" s="18"/>
      <c r="BG1577" s="18"/>
      <c r="BH1577" s="18"/>
      <c r="BI1577" s="18"/>
      <c r="BJ1577" s="18" t="s">
        <v>3759</v>
      </c>
      <c r="BK1577" s="18"/>
      <c r="BL1577" s="18"/>
      <c r="BM1577" s="18"/>
      <c r="BN1577" s="18" t="s">
        <v>179</v>
      </c>
      <c r="BO1577" s="18"/>
      <c r="BP1577" s="15" t="s">
        <v>138</v>
      </c>
      <c r="BQ1577" s="18"/>
      <c r="BS1577" s="15" t="s">
        <v>3760</v>
      </c>
      <c r="DH1577" s="15" t="s">
        <v>17982</v>
      </c>
      <c r="DI1577" s="15" t="s">
        <v>17982</v>
      </c>
    </row>
    <row r="1578" spans="1:113" s="15" customFormat="1" ht="12.75" x14ac:dyDescent="0.2">
      <c r="A1578" s="15" t="s">
        <v>109</v>
      </c>
      <c r="B1578" s="15" t="s">
        <v>110</v>
      </c>
      <c r="D1578" s="15" t="s">
        <v>203</v>
      </c>
      <c r="E1578" s="15" t="s">
        <v>112</v>
      </c>
      <c r="F1578" s="15" t="s">
        <v>203</v>
      </c>
      <c r="G1578" s="15" t="s">
        <v>113</v>
      </c>
      <c r="H1578" s="15" t="s">
        <v>111</v>
      </c>
      <c r="J1578" s="16" t="s">
        <v>114</v>
      </c>
      <c r="U1578" s="15" t="s">
        <v>17977</v>
      </c>
      <c r="W1578" s="15">
        <v>1358</v>
      </c>
      <c r="X1578" s="15">
        <v>1588</v>
      </c>
      <c r="Y1578" s="15" t="s">
        <v>160</v>
      </c>
      <c r="Z1578" s="15" t="s">
        <v>161</v>
      </c>
      <c r="AA1578" s="15" t="s">
        <v>162</v>
      </c>
      <c r="AB1578" s="15" t="s">
        <v>6999</v>
      </c>
      <c r="AC1578" s="15" t="s">
        <v>6999</v>
      </c>
      <c r="AD1578" s="15" t="s">
        <v>6999</v>
      </c>
      <c r="AE1578" s="15" t="s">
        <v>164</v>
      </c>
      <c r="AF1578" s="15" t="s">
        <v>6999</v>
      </c>
      <c r="AG1578" s="15" t="s">
        <v>6999</v>
      </c>
      <c r="AH1578" s="20" t="s">
        <v>7000</v>
      </c>
      <c r="AL1578" s="15" t="s">
        <v>7001</v>
      </c>
      <c r="AN1578" s="15">
        <v>743</v>
      </c>
      <c r="AO1578" s="15" t="s">
        <v>7002</v>
      </c>
      <c r="AQ1578" s="20" t="s">
        <v>168</v>
      </c>
      <c r="AT1578" s="15" t="s">
        <v>7003</v>
      </c>
      <c r="AU1578" s="15" t="s">
        <v>7004</v>
      </c>
      <c r="AV1578" s="15" t="s">
        <v>7004</v>
      </c>
      <c r="AW1578" s="15" t="s">
        <v>7005</v>
      </c>
      <c r="AX1578" s="15" t="s">
        <v>7006</v>
      </c>
      <c r="AY1578" s="15">
        <f t="shared" ref="AY1578:AY1609" si="37">LEN(SUBSTITUTE(AX1578, ", ",","))</f>
        <v>58</v>
      </c>
      <c r="AZ1578" s="15" t="s">
        <v>173</v>
      </c>
      <c r="BA1578" s="15" t="s">
        <v>174</v>
      </c>
      <c r="BB1578" s="15" t="s">
        <v>4978</v>
      </c>
      <c r="BE1578" s="15" t="s">
        <v>1688</v>
      </c>
      <c r="BJ1578" s="15" t="s">
        <v>7007</v>
      </c>
      <c r="BN1578" s="15" t="s">
        <v>179</v>
      </c>
      <c r="BP1578" s="15" t="s">
        <v>138</v>
      </c>
      <c r="BS1578" s="15" t="s">
        <v>7008</v>
      </c>
      <c r="BU1578" s="33"/>
      <c r="DH1578" s="15" t="s">
        <v>17982</v>
      </c>
      <c r="DI1578" s="15" t="s">
        <v>17982</v>
      </c>
    </row>
    <row r="1579" spans="1:113" s="15" customFormat="1" ht="12.75" x14ac:dyDescent="0.2">
      <c r="A1579" s="15" t="s">
        <v>109</v>
      </c>
      <c r="B1579" s="15" t="s">
        <v>110</v>
      </c>
      <c r="D1579" s="15" t="s">
        <v>203</v>
      </c>
      <c r="E1579" s="15" t="s">
        <v>112</v>
      </c>
      <c r="F1579" s="15" t="s">
        <v>203</v>
      </c>
      <c r="G1579" s="15" t="s">
        <v>113</v>
      </c>
      <c r="H1579" s="15" t="s">
        <v>111</v>
      </c>
      <c r="J1579" s="16" t="s">
        <v>114</v>
      </c>
      <c r="U1579" s="15" t="s">
        <v>17977</v>
      </c>
      <c r="W1579" s="15">
        <v>1308</v>
      </c>
      <c r="X1579" s="15">
        <v>1589</v>
      </c>
      <c r="Y1579" s="15" t="s">
        <v>160</v>
      </c>
      <c r="Z1579" s="15" t="s">
        <v>161</v>
      </c>
      <c r="AA1579" s="15" t="s">
        <v>162</v>
      </c>
      <c r="AB1579" s="15" t="s">
        <v>6699</v>
      </c>
      <c r="AC1579" s="15" t="s">
        <v>6699</v>
      </c>
      <c r="AD1579" s="15" t="s">
        <v>6700</v>
      </c>
      <c r="AE1579" s="15" t="s">
        <v>164</v>
      </c>
      <c r="AF1579" s="15" t="s">
        <v>6700</v>
      </c>
      <c r="AG1579" s="15" t="s">
        <v>6699</v>
      </c>
      <c r="AH1579" s="20" t="s">
        <v>6701</v>
      </c>
      <c r="AL1579" s="15" t="s">
        <v>6702</v>
      </c>
      <c r="AN1579" s="15">
        <v>743</v>
      </c>
      <c r="AO1579" s="15" t="s">
        <v>6703</v>
      </c>
      <c r="AQ1579" s="20" t="s">
        <v>168</v>
      </c>
      <c r="AT1579" s="15" t="s">
        <v>6704</v>
      </c>
      <c r="AU1579" s="15" t="s">
        <v>6705</v>
      </c>
      <c r="AV1579" s="15" t="s">
        <v>6705</v>
      </c>
      <c r="AW1579" s="15" t="s">
        <v>6706</v>
      </c>
      <c r="AX1579" s="15" t="s">
        <v>6707</v>
      </c>
      <c r="AY1579" s="15">
        <f t="shared" si="37"/>
        <v>57</v>
      </c>
      <c r="AZ1579" s="15" t="s">
        <v>173</v>
      </c>
      <c r="BA1579" s="15" t="s">
        <v>174</v>
      </c>
      <c r="BB1579" s="15" t="s">
        <v>6708</v>
      </c>
      <c r="BE1579" s="15" t="s">
        <v>6709</v>
      </c>
      <c r="BF1579" s="15" t="s">
        <v>836</v>
      </c>
      <c r="BJ1579" s="15" t="s">
        <v>6710</v>
      </c>
      <c r="BN1579" s="15" t="s">
        <v>179</v>
      </c>
      <c r="BP1579" s="15" t="s">
        <v>138</v>
      </c>
      <c r="BS1579" s="15" t="s">
        <v>6711</v>
      </c>
      <c r="BU1579" s="33"/>
      <c r="DH1579" s="15" t="s">
        <v>17982</v>
      </c>
      <c r="DI1579" s="15" t="s">
        <v>17982</v>
      </c>
    </row>
    <row r="1580" spans="1:113" s="15" customFormat="1" ht="12.75" x14ac:dyDescent="0.2">
      <c r="A1580" s="15" t="s">
        <v>109</v>
      </c>
      <c r="B1580" s="15" t="s">
        <v>110</v>
      </c>
      <c r="D1580" s="15" t="s">
        <v>203</v>
      </c>
      <c r="E1580" s="15" t="s">
        <v>112</v>
      </c>
      <c r="F1580" s="15" t="s">
        <v>203</v>
      </c>
      <c r="G1580" s="15" t="s">
        <v>113</v>
      </c>
      <c r="H1580" s="15" t="s">
        <v>111</v>
      </c>
      <c r="J1580" s="16" t="s">
        <v>114</v>
      </c>
      <c r="U1580" s="15" t="s">
        <v>17977</v>
      </c>
      <c r="W1580" s="15">
        <v>1313</v>
      </c>
      <c r="X1580" s="15">
        <v>1590</v>
      </c>
      <c r="Y1580" s="15" t="s">
        <v>160</v>
      </c>
      <c r="Z1580" s="15" t="s">
        <v>161</v>
      </c>
      <c r="AA1580" s="15" t="s">
        <v>162</v>
      </c>
      <c r="AB1580" s="15" t="s">
        <v>6752</v>
      </c>
      <c r="AC1580" s="15" t="s">
        <v>6752</v>
      </c>
      <c r="AD1580" s="15" t="s">
        <v>6753</v>
      </c>
      <c r="AE1580" s="15" t="s">
        <v>164</v>
      </c>
      <c r="AF1580" s="15" t="s">
        <v>6753</v>
      </c>
      <c r="AG1580" s="15" t="s">
        <v>6752</v>
      </c>
      <c r="AH1580" s="20" t="s">
        <v>6754</v>
      </c>
      <c r="AL1580" s="15" t="s">
        <v>6755</v>
      </c>
      <c r="AN1580" s="15">
        <v>743</v>
      </c>
      <c r="AO1580" s="15" t="s">
        <v>6756</v>
      </c>
      <c r="AQ1580" s="20" t="s">
        <v>168</v>
      </c>
      <c r="AT1580" s="15" t="s">
        <v>6757</v>
      </c>
      <c r="AU1580" s="15" t="s">
        <v>6758</v>
      </c>
      <c r="AV1580" s="15" t="s">
        <v>6758</v>
      </c>
      <c r="AW1580" s="15" t="s">
        <v>6759</v>
      </c>
      <c r="AX1580" s="15" t="s">
        <v>6760</v>
      </c>
      <c r="AY1580" s="15">
        <f t="shared" si="37"/>
        <v>57</v>
      </c>
      <c r="AZ1580" s="15" t="s">
        <v>173</v>
      </c>
      <c r="BA1580" s="15" t="s">
        <v>174</v>
      </c>
      <c r="BB1580" s="15" t="s">
        <v>6708</v>
      </c>
      <c r="BE1580" s="15" t="s">
        <v>251</v>
      </c>
      <c r="BF1580" s="15" t="s">
        <v>863</v>
      </c>
      <c r="BJ1580" s="15" t="s">
        <v>6710</v>
      </c>
      <c r="BN1580" s="15" t="s">
        <v>179</v>
      </c>
      <c r="BP1580" s="15" t="s">
        <v>138</v>
      </c>
      <c r="BS1580" s="15" t="s">
        <v>6761</v>
      </c>
      <c r="BU1580" s="33"/>
      <c r="DH1580" s="15" t="s">
        <v>17982</v>
      </c>
      <c r="DI1580" s="15" t="s">
        <v>17982</v>
      </c>
    </row>
    <row r="1581" spans="1:113" s="15" customFormat="1" ht="12.75" x14ac:dyDescent="0.2">
      <c r="A1581" s="15" t="s">
        <v>109</v>
      </c>
      <c r="B1581" s="15" t="s">
        <v>110</v>
      </c>
      <c r="D1581" s="15" t="s">
        <v>203</v>
      </c>
      <c r="E1581" s="15" t="s">
        <v>112</v>
      </c>
      <c r="F1581" s="15" t="s">
        <v>203</v>
      </c>
      <c r="G1581" s="15" t="s">
        <v>113</v>
      </c>
      <c r="H1581" s="15" t="s">
        <v>111</v>
      </c>
      <c r="J1581" s="16" t="s">
        <v>114</v>
      </c>
      <c r="U1581" s="15" t="s">
        <v>17977</v>
      </c>
      <c r="W1581" s="15">
        <v>1311</v>
      </c>
      <c r="X1581" s="15">
        <v>1591</v>
      </c>
      <c r="Y1581" s="15" t="s">
        <v>160</v>
      </c>
      <c r="Z1581" s="15" t="s">
        <v>161</v>
      </c>
      <c r="AA1581" s="15" t="s">
        <v>162</v>
      </c>
      <c r="AB1581" s="15" t="s">
        <v>6732</v>
      </c>
      <c r="AC1581" s="15" t="s">
        <v>6732</v>
      </c>
      <c r="AD1581" s="15" t="s">
        <v>6733</v>
      </c>
      <c r="AE1581" s="15" t="s">
        <v>164</v>
      </c>
      <c r="AF1581" s="15" t="s">
        <v>6733</v>
      </c>
      <c r="AG1581" s="15" t="s">
        <v>6732</v>
      </c>
      <c r="AH1581" s="20" t="s">
        <v>6734</v>
      </c>
      <c r="AL1581" s="15" t="s">
        <v>6735</v>
      </c>
      <c r="AN1581" s="15">
        <v>743</v>
      </c>
      <c r="AO1581" s="15" t="s">
        <v>6736</v>
      </c>
      <c r="AQ1581" s="20" t="s">
        <v>168</v>
      </c>
      <c r="AT1581" s="15" t="s">
        <v>6737</v>
      </c>
      <c r="AU1581" s="15" t="s">
        <v>6738</v>
      </c>
      <c r="AV1581" s="15" t="s">
        <v>6738</v>
      </c>
      <c r="AW1581" s="15" t="s">
        <v>6739</v>
      </c>
      <c r="AX1581" s="15" t="s">
        <v>6740</v>
      </c>
      <c r="AY1581" s="15">
        <f t="shared" si="37"/>
        <v>59</v>
      </c>
      <c r="AZ1581" s="15" t="s">
        <v>173</v>
      </c>
      <c r="BA1581" s="15" t="s">
        <v>174</v>
      </c>
      <c r="BB1581" s="15" t="s">
        <v>6708</v>
      </c>
      <c r="BE1581" s="15" t="s">
        <v>367</v>
      </c>
      <c r="BF1581" s="15" t="s">
        <v>836</v>
      </c>
      <c r="BJ1581" s="15" t="s">
        <v>6710</v>
      </c>
      <c r="BN1581" s="15" t="s">
        <v>179</v>
      </c>
      <c r="BP1581" s="15" t="s">
        <v>138</v>
      </c>
      <c r="BS1581" s="15" t="s">
        <v>6741</v>
      </c>
      <c r="DH1581" s="15" t="s">
        <v>17982</v>
      </c>
      <c r="DI1581" s="15" t="s">
        <v>17982</v>
      </c>
    </row>
    <row r="1582" spans="1:113" s="15" customFormat="1" ht="12.75" x14ac:dyDescent="0.2">
      <c r="A1582" s="15" t="s">
        <v>109</v>
      </c>
      <c r="B1582" s="15" t="s">
        <v>110</v>
      </c>
      <c r="D1582" s="15" t="s">
        <v>203</v>
      </c>
      <c r="E1582" s="15" t="s">
        <v>112</v>
      </c>
      <c r="F1582" s="15" t="s">
        <v>203</v>
      </c>
      <c r="G1582" s="15" t="s">
        <v>113</v>
      </c>
      <c r="H1582" s="15" t="s">
        <v>111</v>
      </c>
      <c r="J1582" s="16" t="s">
        <v>114</v>
      </c>
      <c r="U1582" s="15" t="s">
        <v>17977</v>
      </c>
      <c r="W1582" s="15">
        <v>1312</v>
      </c>
      <c r="X1582" s="15">
        <v>1592</v>
      </c>
      <c r="Y1582" s="15" t="s">
        <v>160</v>
      </c>
      <c r="Z1582" s="15" t="s">
        <v>161</v>
      </c>
      <c r="AA1582" s="15" t="s">
        <v>162</v>
      </c>
      <c r="AB1582" s="15" t="s">
        <v>6742</v>
      </c>
      <c r="AC1582" s="15" t="s">
        <v>6742</v>
      </c>
      <c r="AD1582" s="15" t="s">
        <v>6743</v>
      </c>
      <c r="AE1582" s="15" t="s">
        <v>164</v>
      </c>
      <c r="AF1582" s="15" t="s">
        <v>6743</v>
      </c>
      <c r="AG1582" s="15" t="s">
        <v>6742</v>
      </c>
      <c r="AH1582" s="20" t="s">
        <v>6744</v>
      </c>
      <c r="AL1582" s="15" t="s">
        <v>6745</v>
      </c>
      <c r="AN1582" s="15">
        <v>743</v>
      </c>
      <c r="AO1582" s="15" t="s">
        <v>6746</v>
      </c>
      <c r="AQ1582" s="20" t="s">
        <v>168</v>
      </c>
      <c r="AT1582" s="15" t="s">
        <v>6747</v>
      </c>
      <c r="AU1582" s="15" t="s">
        <v>6748</v>
      </c>
      <c r="AV1582" s="15" t="s">
        <v>6748</v>
      </c>
      <c r="AW1582" s="15" t="s">
        <v>6749</v>
      </c>
      <c r="AX1582" s="15" t="s">
        <v>6750</v>
      </c>
      <c r="AY1582" s="15">
        <f t="shared" si="37"/>
        <v>60</v>
      </c>
      <c r="AZ1582" s="15" t="s">
        <v>173</v>
      </c>
      <c r="BA1582" s="15" t="s">
        <v>174</v>
      </c>
      <c r="BB1582" s="15" t="s">
        <v>6708</v>
      </c>
      <c r="BE1582" s="15" t="s">
        <v>1317</v>
      </c>
      <c r="BF1582" s="15" t="s">
        <v>836</v>
      </c>
      <c r="BJ1582" s="15" t="s">
        <v>6710</v>
      </c>
      <c r="BN1582" s="15" t="s">
        <v>179</v>
      </c>
      <c r="BP1582" s="15" t="s">
        <v>138</v>
      </c>
      <c r="BS1582" s="15" t="s">
        <v>6751</v>
      </c>
      <c r="DH1582" s="15" t="s">
        <v>17982</v>
      </c>
      <c r="DI1582" s="15" t="s">
        <v>17982</v>
      </c>
    </row>
    <row r="1583" spans="1:113" s="15" customFormat="1" ht="12.75" x14ac:dyDescent="0.2">
      <c r="A1583" s="15" t="s">
        <v>109</v>
      </c>
      <c r="B1583" s="15" t="s">
        <v>110</v>
      </c>
      <c r="D1583" s="15" t="s">
        <v>203</v>
      </c>
      <c r="E1583" s="15" t="s">
        <v>112</v>
      </c>
      <c r="F1583" s="15" t="s">
        <v>203</v>
      </c>
      <c r="G1583" s="15" t="s">
        <v>113</v>
      </c>
      <c r="H1583" s="15" t="s">
        <v>111</v>
      </c>
      <c r="J1583" s="16" t="s">
        <v>114</v>
      </c>
      <c r="U1583" s="15" t="s">
        <v>17977</v>
      </c>
      <c r="W1583" s="15">
        <v>1314</v>
      </c>
      <c r="X1583" s="15">
        <v>1593</v>
      </c>
      <c r="Y1583" s="15" t="s">
        <v>160</v>
      </c>
      <c r="Z1583" s="15" t="s">
        <v>161</v>
      </c>
      <c r="AA1583" s="15" t="s">
        <v>162</v>
      </c>
      <c r="AB1583" s="15" t="s">
        <v>6762</v>
      </c>
      <c r="AC1583" s="15" t="s">
        <v>6762</v>
      </c>
      <c r="AD1583" s="15" t="s">
        <v>6763</v>
      </c>
      <c r="AE1583" s="15" t="s">
        <v>164</v>
      </c>
      <c r="AF1583" s="15" t="s">
        <v>6763</v>
      </c>
      <c r="AG1583" s="15" t="s">
        <v>6762</v>
      </c>
      <c r="AH1583" s="20" t="s">
        <v>6764</v>
      </c>
      <c r="AL1583" s="15" t="s">
        <v>6765</v>
      </c>
      <c r="AN1583" s="15">
        <v>743</v>
      </c>
      <c r="AO1583" s="15" t="s">
        <v>6766</v>
      </c>
      <c r="AQ1583" s="20" t="s">
        <v>168</v>
      </c>
      <c r="AT1583" s="15" t="s">
        <v>6767</v>
      </c>
      <c r="AU1583" s="15" t="s">
        <v>6768</v>
      </c>
      <c r="AV1583" s="15" t="s">
        <v>6768</v>
      </c>
      <c r="AW1583" s="15" t="s">
        <v>6769</v>
      </c>
      <c r="AX1583" s="15" t="s">
        <v>6770</v>
      </c>
      <c r="AY1583" s="15">
        <f t="shared" si="37"/>
        <v>58</v>
      </c>
      <c r="AZ1583" s="15" t="s">
        <v>173</v>
      </c>
      <c r="BA1583" s="15" t="s">
        <v>174</v>
      </c>
      <c r="BB1583" s="15" t="s">
        <v>6708</v>
      </c>
      <c r="BE1583" s="15" t="s">
        <v>1317</v>
      </c>
      <c r="BF1583" s="15" t="s">
        <v>863</v>
      </c>
      <c r="BJ1583" s="15" t="s">
        <v>6710</v>
      </c>
      <c r="BN1583" s="15" t="s">
        <v>179</v>
      </c>
      <c r="BP1583" s="15" t="s">
        <v>138</v>
      </c>
      <c r="BS1583" s="15" t="s">
        <v>6771</v>
      </c>
      <c r="DH1583" s="15" t="s">
        <v>17982</v>
      </c>
      <c r="DI1583" s="15" t="s">
        <v>17982</v>
      </c>
    </row>
    <row r="1584" spans="1:113" s="15" customFormat="1" ht="12.75" x14ac:dyDescent="0.2">
      <c r="A1584" s="15" t="s">
        <v>109</v>
      </c>
      <c r="B1584" s="15" t="s">
        <v>110</v>
      </c>
      <c r="D1584" s="15" t="s">
        <v>203</v>
      </c>
      <c r="E1584" s="15" t="s">
        <v>112</v>
      </c>
      <c r="F1584" s="15" t="s">
        <v>203</v>
      </c>
      <c r="G1584" s="15" t="s">
        <v>113</v>
      </c>
      <c r="H1584" s="15" t="s">
        <v>111</v>
      </c>
      <c r="J1584" s="16" t="s">
        <v>114</v>
      </c>
      <c r="U1584" s="15" t="s">
        <v>17977</v>
      </c>
      <c r="W1584" s="15">
        <v>1310</v>
      </c>
      <c r="X1584" s="15">
        <v>1594</v>
      </c>
      <c r="Y1584" s="15" t="s">
        <v>160</v>
      </c>
      <c r="Z1584" s="15" t="s">
        <v>161</v>
      </c>
      <c r="AA1584" s="15" t="s">
        <v>162</v>
      </c>
      <c r="AB1584" s="15" t="s">
        <v>6722</v>
      </c>
      <c r="AC1584" s="15" t="s">
        <v>6722</v>
      </c>
      <c r="AD1584" s="15" t="s">
        <v>6722</v>
      </c>
      <c r="AE1584" s="15" t="s">
        <v>164</v>
      </c>
      <c r="AF1584" s="15" t="s">
        <v>6722</v>
      </c>
      <c r="AG1584" s="15" t="s">
        <v>6722</v>
      </c>
      <c r="AH1584" s="20" t="s">
        <v>6723</v>
      </c>
      <c r="AL1584" s="15" t="s">
        <v>6724</v>
      </c>
      <c r="AN1584" s="15">
        <v>743</v>
      </c>
      <c r="AO1584" s="15" t="s">
        <v>6725</v>
      </c>
      <c r="AQ1584" s="20" t="s">
        <v>168</v>
      </c>
      <c r="AT1584" s="15" t="s">
        <v>6726</v>
      </c>
      <c r="AU1584" s="15" t="s">
        <v>6727</v>
      </c>
      <c r="AV1584" s="15" t="s">
        <v>6727</v>
      </c>
      <c r="AW1584" s="15" t="s">
        <v>6728</v>
      </c>
      <c r="AX1584" s="15" t="s">
        <v>6729</v>
      </c>
      <c r="AY1584" s="15">
        <f t="shared" si="37"/>
        <v>57</v>
      </c>
      <c r="AZ1584" s="15" t="s">
        <v>173</v>
      </c>
      <c r="BA1584" s="15" t="s">
        <v>174</v>
      </c>
      <c r="BB1584" s="15" t="s">
        <v>6708</v>
      </c>
      <c r="BE1584" s="15" t="s">
        <v>4394</v>
      </c>
      <c r="BF1584" s="15" t="s">
        <v>836</v>
      </c>
      <c r="BJ1584" s="15" t="s">
        <v>6730</v>
      </c>
      <c r="BN1584" s="15" t="s">
        <v>179</v>
      </c>
      <c r="BP1584" s="15" t="s">
        <v>138</v>
      </c>
      <c r="BS1584" s="15" t="s">
        <v>6731</v>
      </c>
      <c r="DH1584" s="15" t="s">
        <v>17982</v>
      </c>
      <c r="DI1584" s="15" t="s">
        <v>17982</v>
      </c>
    </row>
    <row r="1585" spans="1:113" s="15" customFormat="1" ht="12.75" x14ac:dyDescent="0.2">
      <c r="A1585" s="15" t="s">
        <v>109</v>
      </c>
      <c r="B1585" s="15" t="s">
        <v>110</v>
      </c>
      <c r="D1585" s="15" t="s">
        <v>203</v>
      </c>
      <c r="E1585" s="15" t="s">
        <v>112</v>
      </c>
      <c r="F1585" s="15" t="s">
        <v>203</v>
      </c>
      <c r="G1585" s="15" t="s">
        <v>113</v>
      </c>
      <c r="H1585" s="15" t="s">
        <v>111</v>
      </c>
      <c r="J1585" s="16" t="s">
        <v>114</v>
      </c>
      <c r="U1585" s="15" t="s">
        <v>17977</v>
      </c>
      <c r="W1585" s="15">
        <v>1309</v>
      </c>
      <c r="X1585" s="15">
        <v>1595</v>
      </c>
      <c r="Y1585" s="15" t="s">
        <v>160</v>
      </c>
      <c r="Z1585" s="15" t="s">
        <v>161</v>
      </c>
      <c r="AA1585" s="15" t="s">
        <v>162</v>
      </c>
      <c r="AB1585" s="15" t="s">
        <v>6712</v>
      </c>
      <c r="AC1585" s="15" t="s">
        <v>6712</v>
      </c>
      <c r="AD1585" s="15" t="s">
        <v>6712</v>
      </c>
      <c r="AE1585" s="15" t="s">
        <v>164</v>
      </c>
      <c r="AF1585" s="15" t="s">
        <v>6712</v>
      </c>
      <c r="AG1585" s="15" t="s">
        <v>6712</v>
      </c>
      <c r="AH1585" s="20" t="s">
        <v>6713</v>
      </c>
      <c r="AL1585" s="15" t="s">
        <v>6714</v>
      </c>
      <c r="AN1585" s="15">
        <v>743</v>
      </c>
      <c r="AO1585" s="15" t="s">
        <v>6715</v>
      </c>
      <c r="AQ1585" s="20" t="s">
        <v>168</v>
      </c>
      <c r="AT1585" s="15" t="s">
        <v>6716</v>
      </c>
      <c r="AU1585" s="15" t="s">
        <v>6717</v>
      </c>
      <c r="AV1585" s="15" t="s">
        <v>6717</v>
      </c>
      <c r="AW1585" s="15" t="s">
        <v>6718</v>
      </c>
      <c r="AX1585" s="15" t="s">
        <v>6719</v>
      </c>
      <c r="AY1585" s="15">
        <f t="shared" si="37"/>
        <v>57</v>
      </c>
      <c r="AZ1585" s="15" t="s">
        <v>173</v>
      </c>
      <c r="BA1585" s="15" t="s">
        <v>174</v>
      </c>
      <c r="BB1585" s="15" t="s">
        <v>6708</v>
      </c>
      <c r="BE1585" s="15" t="s">
        <v>4394</v>
      </c>
      <c r="BF1585" s="15" t="s">
        <v>836</v>
      </c>
      <c r="BJ1585" s="15" t="s">
        <v>6720</v>
      </c>
      <c r="BN1585" s="15" t="s">
        <v>179</v>
      </c>
      <c r="BP1585" s="15" t="s">
        <v>138</v>
      </c>
      <c r="BS1585" s="15" t="s">
        <v>6721</v>
      </c>
      <c r="DH1585" s="15" t="s">
        <v>17982</v>
      </c>
      <c r="DI1585" s="15" t="s">
        <v>17982</v>
      </c>
    </row>
    <row r="1586" spans="1:113" s="15" customFormat="1" ht="12.75" x14ac:dyDescent="0.2">
      <c r="A1586" s="15" t="s">
        <v>109</v>
      </c>
      <c r="B1586" s="15" t="s">
        <v>110</v>
      </c>
      <c r="D1586" s="15" t="s">
        <v>203</v>
      </c>
      <c r="E1586" s="15" t="s">
        <v>112</v>
      </c>
      <c r="F1586" s="15" t="s">
        <v>203</v>
      </c>
      <c r="G1586" s="15" t="s">
        <v>113</v>
      </c>
      <c r="H1586" s="15" t="s">
        <v>111</v>
      </c>
      <c r="J1586" s="16" t="s">
        <v>114</v>
      </c>
      <c r="U1586" s="15" t="s">
        <v>17977</v>
      </c>
      <c r="W1586" s="15">
        <v>1319</v>
      </c>
      <c r="X1586" s="15">
        <v>1596</v>
      </c>
      <c r="Y1586" s="15" t="s">
        <v>160</v>
      </c>
      <c r="Z1586" s="15" t="s">
        <v>161</v>
      </c>
      <c r="AA1586" s="15" t="s">
        <v>162</v>
      </c>
      <c r="AB1586" s="15" t="s">
        <v>6772</v>
      </c>
      <c r="AC1586" s="15" t="s">
        <v>6772</v>
      </c>
      <c r="AD1586" s="15" t="s">
        <v>6773</v>
      </c>
      <c r="AE1586" s="15" t="s">
        <v>164</v>
      </c>
      <c r="AF1586" s="15" t="s">
        <v>6773</v>
      </c>
      <c r="AG1586" s="15" t="s">
        <v>6772</v>
      </c>
      <c r="AH1586" s="20" t="s">
        <v>6774</v>
      </c>
      <c r="AL1586" s="15" t="s">
        <v>6775</v>
      </c>
      <c r="AN1586" s="15">
        <v>743</v>
      </c>
      <c r="AO1586" s="15" t="s">
        <v>6776</v>
      </c>
      <c r="AQ1586" s="20" t="s">
        <v>2747</v>
      </c>
      <c r="AT1586" s="15" t="s">
        <v>6777</v>
      </c>
      <c r="AU1586" s="15" t="s">
        <v>6778</v>
      </c>
      <c r="AV1586" s="15" t="s">
        <v>6778</v>
      </c>
      <c r="AW1586" s="15" t="s">
        <v>6779</v>
      </c>
      <c r="AX1586" s="15" t="s">
        <v>6780</v>
      </c>
      <c r="AY1586" s="15">
        <f t="shared" si="37"/>
        <v>58</v>
      </c>
      <c r="AZ1586" s="15" t="s">
        <v>2752</v>
      </c>
      <c r="BA1586" s="15" t="s">
        <v>2753</v>
      </c>
      <c r="BB1586" s="15" t="s">
        <v>6781</v>
      </c>
      <c r="BE1586" s="15" t="s">
        <v>6782</v>
      </c>
      <c r="BJ1586" s="15" t="s">
        <v>6783</v>
      </c>
      <c r="BN1586" s="15" t="s">
        <v>179</v>
      </c>
      <c r="BP1586" s="15" t="s">
        <v>138</v>
      </c>
      <c r="BS1586" s="15" t="s">
        <v>6784</v>
      </c>
      <c r="DH1586" s="15" t="s">
        <v>17982</v>
      </c>
      <c r="DI1586" s="15" t="s">
        <v>17982</v>
      </c>
    </row>
    <row r="1587" spans="1:113" s="15" customFormat="1" ht="12.75" x14ac:dyDescent="0.2">
      <c r="A1587" s="15" t="s">
        <v>109</v>
      </c>
      <c r="B1587" s="15" t="s">
        <v>110</v>
      </c>
      <c r="D1587" s="15" t="s">
        <v>203</v>
      </c>
      <c r="E1587" s="15" t="s">
        <v>112</v>
      </c>
      <c r="F1587" s="15" t="s">
        <v>203</v>
      </c>
      <c r="G1587" s="15" t="s">
        <v>113</v>
      </c>
      <c r="H1587" s="15" t="s">
        <v>111</v>
      </c>
      <c r="J1587" s="16" t="s">
        <v>114</v>
      </c>
      <c r="U1587" s="15" t="s">
        <v>17977</v>
      </c>
      <c r="W1587" s="15">
        <v>3321</v>
      </c>
      <c r="X1587" s="15">
        <v>1597</v>
      </c>
      <c r="Y1587" s="15" t="s">
        <v>160</v>
      </c>
      <c r="Z1587" s="15" t="s">
        <v>161</v>
      </c>
      <c r="AA1587" s="15" t="s">
        <v>162</v>
      </c>
      <c r="AB1587" s="15" t="s">
        <v>16050</v>
      </c>
      <c r="AC1587" s="15" t="s">
        <v>16050</v>
      </c>
      <c r="AD1587" s="15" t="s">
        <v>16050</v>
      </c>
      <c r="AE1587" s="15" t="s">
        <v>164</v>
      </c>
      <c r="AF1587" s="15" t="s">
        <v>16050</v>
      </c>
      <c r="AG1587" s="15" t="s">
        <v>16050</v>
      </c>
      <c r="AH1587" s="20" t="s">
        <v>16051</v>
      </c>
      <c r="AL1587" s="15" t="s">
        <v>16052</v>
      </c>
      <c r="AN1587" s="15">
        <v>743</v>
      </c>
      <c r="AO1587" s="15" t="s">
        <v>16053</v>
      </c>
      <c r="AQ1587" s="20" t="s">
        <v>2747</v>
      </c>
      <c r="AT1587" s="15" t="s">
        <v>16054</v>
      </c>
      <c r="AU1587" s="15" t="s">
        <v>16055</v>
      </c>
      <c r="AV1587" s="15" t="s">
        <v>16055</v>
      </c>
      <c r="AW1587" s="15" t="s">
        <v>16056</v>
      </c>
      <c r="AX1587" s="15" t="s">
        <v>16057</v>
      </c>
      <c r="AY1587" s="15">
        <f t="shared" si="37"/>
        <v>57</v>
      </c>
      <c r="AZ1587" s="15" t="s">
        <v>2752</v>
      </c>
      <c r="BA1587" s="15" t="s">
        <v>2753</v>
      </c>
      <c r="BB1587" s="15" t="s">
        <v>6781</v>
      </c>
      <c r="BE1587" s="15" t="s">
        <v>16058</v>
      </c>
      <c r="BJ1587" s="15" t="s">
        <v>16019</v>
      </c>
      <c r="BN1587" s="15" t="s">
        <v>179</v>
      </c>
      <c r="BP1587" s="15" t="s">
        <v>138</v>
      </c>
      <c r="BS1587" s="15" t="s">
        <v>16059</v>
      </c>
      <c r="DH1587" s="15" t="s">
        <v>17982</v>
      </c>
      <c r="DI1587" s="15" t="s">
        <v>17982</v>
      </c>
    </row>
    <row r="1588" spans="1:113" s="15" customFormat="1" ht="12.75" x14ac:dyDescent="0.2">
      <c r="A1588" s="15" t="s">
        <v>109</v>
      </c>
      <c r="B1588" s="15" t="s">
        <v>110</v>
      </c>
      <c r="D1588" s="15" t="s">
        <v>203</v>
      </c>
      <c r="E1588" s="15" t="s">
        <v>112</v>
      </c>
      <c r="F1588" s="15" t="s">
        <v>203</v>
      </c>
      <c r="G1588" s="15" t="s">
        <v>113</v>
      </c>
      <c r="H1588" s="15" t="s">
        <v>111</v>
      </c>
      <c r="J1588" s="16" t="s">
        <v>114</v>
      </c>
      <c r="U1588" s="15" t="s">
        <v>17977</v>
      </c>
      <c r="W1588" s="15">
        <v>3353</v>
      </c>
      <c r="X1588" s="15">
        <v>1598</v>
      </c>
      <c r="Y1588" s="15" t="s">
        <v>160</v>
      </c>
      <c r="Z1588" s="15" t="s">
        <v>161</v>
      </c>
      <c r="AA1588" s="15" t="s">
        <v>162</v>
      </c>
      <c r="AB1588" s="15" t="s">
        <v>16170</v>
      </c>
      <c r="AC1588" s="15" t="s">
        <v>16170</v>
      </c>
      <c r="AD1588" s="15" t="s">
        <v>16170</v>
      </c>
      <c r="AE1588" s="15" t="s">
        <v>164</v>
      </c>
      <c r="AF1588" s="15" t="s">
        <v>16170</v>
      </c>
      <c r="AG1588" s="15" t="s">
        <v>16170</v>
      </c>
      <c r="AH1588" s="20" t="s">
        <v>16171</v>
      </c>
      <c r="AL1588" s="15" t="s">
        <v>16172</v>
      </c>
      <c r="AN1588" s="15">
        <v>743</v>
      </c>
      <c r="AO1588" s="15" t="s">
        <v>16173</v>
      </c>
      <c r="AQ1588" s="20" t="s">
        <v>2747</v>
      </c>
      <c r="AT1588" s="15" t="s">
        <v>16174</v>
      </c>
      <c r="AU1588" s="15" t="s">
        <v>16175</v>
      </c>
      <c r="AV1588" s="15" t="s">
        <v>16175</v>
      </c>
      <c r="AW1588" s="15" t="s">
        <v>16176</v>
      </c>
      <c r="AX1588" s="15" t="s">
        <v>16176</v>
      </c>
      <c r="AY1588" s="15">
        <f t="shared" si="37"/>
        <v>60</v>
      </c>
      <c r="AZ1588" s="15" t="s">
        <v>2752</v>
      </c>
      <c r="BA1588" s="15" t="s">
        <v>2753</v>
      </c>
      <c r="BB1588" s="15" t="s">
        <v>216</v>
      </c>
      <c r="BE1588" s="15" t="s">
        <v>16177</v>
      </c>
      <c r="BJ1588" s="15" t="s">
        <v>16168</v>
      </c>
      <c r="BN1588" s="15" t="s">
        <v>179</v>
      </c>
      <c r="BP1588" s="15" t="s">
        <v>138</v>
      </c>
      <c r="BS1588" s="15" t="s">
        <v>16178</v>
      </c>
      <c r="DH1588" s="15" t="s">
        <v>17982</v>
      </c>
      <c r="DI1588" s="15" t="s">
        <v>17982</v>
      </c>
    </row>
    <row r="1589" spans="1:113" s="15" customFormat="1" ht="12.75" x14ac:dyDescent="0.2">
      <c r="A1589" s="15" t="s">
        <v>109</v>
      </c>
      <c r="B1589" s="15" t="s">
        <v>110</v>
      </c>
      <c r="D1589" s="15" t="s">
        <v>203</v>
      </c>
      <c r="E1589" s="15" t="s">
        <v>112</v>
      </c>
      <c r="F1589" s="15" t="s">
        <v>203</v>
      </c>
      <c r="G1589" s="15" t="s">
        <v>113</v>
      </c>
      <c r="H1589" s="15" t="s">
        <v>111</v>
      </c>
      <c r="J1589" s="16" t="s">
        <v>114</v>
      </c>
      <c r="U1589" s="15" t="s">
        <v>17977</v>
      </c>
      <c r="W1589" s="15">
        <v>3354</v>
      </c>
      <c r="X1589" s="15">
        <v>1599</v>
      </c>
      <c r="Y1589" s="15" t="s">
        <v>160</v>
      </c>
      <c r="Z1589" s="15" t="s">
        <v>161</v>
      </c>
      <c r="AA1589" s="15" t="s">
        <v>162</v>
      </c>
      <c r="AB1589" s="15" t="s">
        <v>16179</v>
      </c>
      <c r="AC1589" s="15" t="s">
        <v>16179</v>
      </c>
      <c r="AD1589" s="15" t="s">
        <v>16179</v>
      </c>
      <c r="AE1589" s="15" t="s">
        <v>164</v>
      </c>
      <c r="AF1589" s="15" t="s">
        <v>16179</v>
      </c>
      <c r="AG1589" s="15" t="s">
        <v>16179</v>
      </c>
      <c r="AH1589" s="20" t="s">
        <v>16180</v>
      </c>
      <c r="AL1589" s="15" t="s">
        <v>16181</v>
      </c>
      <c r="AN1589" s="15">
        <v>743</v>
      </c>
      <c r="AO1589" s="15" t="s">
        <v>16182</v>
      </c>
      <c r="AQ1589" s="20" t="s">
        <v>2747</v>
      </c>
      <c r="AT1589" s="15" t="s">
        <v>16183</v>
      </c>
      <c r="AU1589" s="15" t="s">
        <v>16184</v>
      </c>
      <c r="AV1589" s="15" t="s">
        <v>16184</v>
      </c>
      <c r="AW1589" s="15" t="s">
        <v>16185</v>
      </c>
      <c r="AX1589" s="15" t="s">
        <v>16185</v>
      </c>
      <c r="AY1589" s="15">
        <f t="shared" si="37"/>
        <v>60</v>
      </c>
      <c r="AZ1589" s="15" t="s">
        <v>2752</v>
      </c>
      <c r="BA1589" s="15" t="s">
        <v>2753</v>
      </c>
      <c r="BB1589" s="15" t="s">
        <v>216</v>
      </c>
      <c r="BE1589" s="15" t="s">
        <v>16186</v>
      </c>
      <c r="BJ1589" s="15" t="s">
        <v>16168</v>
      </c>
      <c r="BN1589" s="15" t="s">
        <v>179</v>
      </c>
      <c r="BP1589" s="15" t="s">
        <v>138</v>
      </c>
      <c r="BS1589" s="15" t="s">
        <v>16187</v>
      </c>
      <c r="DH1589" s="15" t="s">
        <v>17982</v>
      </c>
      <c r="DI1589" s="15" t="s">
        <v>17982</v>
      </c>
    </row>
    <row r="1590" spans="1:113" s="15" customFormat="1" ht="12.75" x14ac:dyDescent="0.2">
      <c r="A1590" s="15" t="s">
        <v>109</v>
      </c>
      <c r="B1590" s="15" t="s">
        <v>110</v>
      </c>
      <c r="D1590" s="15" t="s">
        <v>203</v>
      </c>
      <c r="E1590" s="15" t="s">
        <v>112</v>
      </c>
      <c r="F1590" s="15" t="s">
        <v>203</v>
      </c>
      <c r="G1590" s="15" t="s">
        <v>113</v>
      </c>
      <c r="H1590" s="15" t="s">
        <v>111</v>
      </c>
      <c r="J1590" s="16" t="s">
        <v>114</v>
      </c>
      <c r="U1590" s="15" t="s">
        <v>17977</v>
      </c>
      <c r="W1590" s="15">
        <v>3352</v>
      </c>
      <c r="X1590" s="15">
        <v>1600</v>
      </c>
      <c r="Y1590" s="15" t="s">
        <v>160</v>
      </c>
      <c r="Z1590" s="15" t="s">
        <v>161</v>
      </c>
      <c r="AA1590" s="15" t="s">
        <v>162</v>
      </c>
      <c r="AB1590" s="15" t="s">
        <v>16159</v>
      </c>
      <c r="AC1590" s="15" t="s">
        <v>16159</v>
      </c>
      <c r="AD1590" s="15" t="s">
        <v>16159</v>
      </c>
      <c r="AE1590" s="15" t="s">
        <v>164</v>
      </c>
      <c r="AF1590" s="15" t="s">
        <v>16159</v>
      </c>
      <c r="AG1590" s="15" t="s">
        <v>16159</v>
      </c>
      <c r="AH1590" s="20" t="s">
        <v>16160</v>
      </c>
      <c r="AL1590" s="15" t="s">
        <v>16161</v>
      </c>
      <c r="AN1590" s="15">
        <v>743</v>
      </c>
      <c r="AO1590" s="15" t="s">
        <v>16162</v>
      </c>
      <c r="AQ1590" s="20" t="s">
        <v>2747</v>
      </c>
      <c r="AT1590" s="15" t="s">
        <v>16163</v>
      </c>
      <c r="AU1590" s="15" t="s">
        <v>16164</v>
      </c>
      <c r="AV1590" s="15" t="s">
        <v>16164</v>
      </c>
      <c r="AW1590" s="15" t="s">
        <v>16165</v>
      </c>
      <c r="AX1590" s="15" t="s">
        <v>16166</v>
      </c>
      <c r="AY1590" s="15">
        <f t="shared" si="37"/>
        <v>54</v>
      </c>
      <c r="AZ1590" s="15" t="s">
        <v>2752</v>
      </c>
      <c r="BA1590" s="15" t="s">
        <v>2753</v>
      </c>
      <c r="BB1590" s="15" t="s">
        <v>216</v>
      </c>
      <c r="BE1590" s="15" t="s">
        <v>16167</v>
      </c>
      <c r="BJ1590" s="15" t="s">
        <v>16168</v>
      </c>
      <c r="BN1590" s="15" t="s">
        <v>179</v>
      </c>
      <c r="BP1590" s="15" t="s">
        <v>138</v>
      </c>
      <c r="BS1590" s="15" t="s">
        <v>16169</v>
      </c>
      <c r="DH1590" s="15" t="s">
        <v>17982</v>
      </c>
      <c r="DI1590" s="15" t="s">
        <v>17982</v>
      </c>
    </row>
    <row r="1591" spans="1:113" s="15" customFormat="1" ht="12.75" x14ac:dyDescent="0.2">
      <c r="A1591" s="15" t="s">
        <v>109</v>
      </c>
      <c r="B1591" s="15" t="s">
        <v>110</v>
      </c>
      <c r="D1591" s="15" t="s">
        <v>203</v>
      </c>
      <c r="E1591" s="15" t="s">
        <v>112</v>
      </c>
      <c r="F1591" s="15" t="s">
        <v>203</v>
      </c>
      <c r="G1591" s="15" t="s">
        <v>113</v>
      </c>
      <c r="H1591" s="15" t="s">
        <v>111</v>
      </c>
      <c r="J1591" s="16" t="s">
        <v>114</v>
      </c>
      <c r="U1591" s="15" t="s">
        <v>17977</v>
      </c>
      <c r="W1591" s="15">
        <v>3317</v>
      </c>
      <c r="X1591" s="15">
        <v>1601</v>
      </c>
      <c r="Y1591" s="15" t="s">
        <v>160</v>
      </c>
      <c r="Z1591" s="15" t="s">
        <v>161</v>
      </c>
      <c r="AA1591" s="15" t="s">
        <v>162</v>
      </c>
      <c r="AB1591" s="15" t="s">
        <v>16010</v>
      </c>
      <c r="AC1591" s="15" t="s">
        <v>16010</v>
      </c>
      <c r="AD1591" s="15" t="s">
        <v>16010</v>
      </c>
      <c r="AE1591" s="15" t="s">
        <v>164</v>
      </c>
      <c r="AF1591" s="15" t="s">
        <v>16010</v>
      </c>
      <c r="AG1591" s="15" t="s">
        <v>16010</v>
      </c>
      <c r="AH1591" s="20" t="s">
        <v>16011</v>
      </c>
      <c r="AL1591" s="15" t="s">
        <v>16012</v>
      </c>
      <c r="AN1591" s="15">
        <v>743</v>
      </c>
      <c r="AO1591" s="15" t="s">
        <v>16013</v>
      </c>
      <c r="AQ1591" s="20" t="s">
        <v>2747</v>
      </c>
      <c r="AT1591" s="15" t="s">
        <v>16014</v>
      </c>
      <c r="AU1591" s="15" t="s">
        <v>16015</v>
      </c>
      <c r="AV1591" s="15" t="s">
        <v>16015</v>
      </c>
      <c r="AW1591" s="15" t="s">
        <v>16016</v>
      </c>
      <c r="AX1591" s="15" t="s">
        <v>16017</v>
      </c>
      <c r="AY1591" s="15">
        <f t="shared" si="37"/>
        <v>58</v>
      </c>
      <c r="AZ1591" s="15" t="s">
        <v>2752</v>
      </c>
      <c r="BA1591" s="15" t="s">
        <v>2753</v>
      </c>
      <c r="BB1591" s="15" t="s">
        <v>216</v>
      </c>
      <c r="BE1591" s="15" t="s">
        <v>16018</v>
      </c>
      <c r="BJ1591" s="15" t="s">
        <v>16019</v>
      </c>
      <c r="BN1591" s="15" t="s">
        <v>179</v>
      </c>
      <c r="BP1591" s="15" t="s">
        <v>138</v>
      </c>
      <c r="BS1591" s="15" t="s">
        <v>16020</v>
      </c>
      <c r="DH1591" s="15" t="s">
        <v>17982</v>
      </c>
      <c r="DI1591" s="15" t="s">
        <v>17982</v>
      </c>
    </row>
    <row r="1592" spans="1:113" s="15" customFormat="1" ht="12.75" x14ac:dyDescent="0.2">
      <c r="A1592" s="15" t="s">
        <v>109</v>
      </c>
      <c r="B1592" s="15" t="s">
        <v>110</v>
      </c>
      <c r="D1592" s="15" t="s">
        <v>203</v>
      </c>
      <c r="E1592" s="15" t="s">
        <v>112</v>
      </c>
      <c r="F1592" s="15" t="s">
        <v>203</v>
      </c>
      <c r="G1592" s="15" t="s">
        <v>113</v>
      </c>
      <c r="H1592" s="15" t="s">
        <v>111</v>
      </c>
      <c r="J1592" s="16" t="s">
        <v>114</v>
      </c>
      <c r="U1592" s="15" t="s">
        <v>17977</v>
      </c>
      <c r="W1592" s="15">
        <v>3328</v>
      </c>
      <c r="X1592" s="15">
        <v>1602</v>
      </c>
      <c r="Y1592" s="15" t="s">
        <v>160</v>
      </c>
      <c r="Z1592" s="15" t="s">
        <v>161</v>
      </c>
      <c r="AA1592" s="15" t="s">
        <v>162</v>
      </c>
      <c r="AB1592" s="15" t="s">
        <v>16126</v>
      </c>
      <c r="AC1592" s="15" t="s">
        <v>16126</v>
      </c>
      <c r="AD1592" s="15" t="s">
        <v>16127</v>
      </c>
      <c r="AE1592" s="15" t="s">
        <v>164</v>
      </c>
      <c r="AF1592" s="15" t="s">
        <v>16127</v>
      </c>
      <c r="AG1592" s="15" t="s">
        <v>16126</v>
      </c>
      <c r="AH1592" s="20" t="s">
        <v>16128</v>
      </c>
      <c r="AL1592" s="15" t="s">
        <v>16129</v>
      </c>
      <c r="AN1592" s="15">
        <v>743</v>
      </c>
      <c r="AO1592" s="15" t="s">
        <v>16130</v>
      </c>
      <c r="AQ1592" s="20" t="s">
        <v>2747</v>
      </c>
      <c r="AT1592" s="15" t="s">
        <v>16131</v>
      </c>
      <c r="AU1592" s="15" t="s">
        <v>16132</v>
      </c>
      <c r="AV1592" s="15" t="s">
        <v>16132</v>
      </c>
      <c r="AW1592" s="15" t="s">
        <v>16133</v>
      </c>
      <c r="AX1592" s="15" t="s">
        <v>16134</v>
      </c>
      <c r="AY1592" s="15">
        <f t="shared" si="37"/>
        <v>58</v>
      </c>
      <c r="AZ1592" s="15" t="s">
        <v>2752</v>
      </c>
      <c r="BA1592" s="15" t="s">
        <v>2753</v>
      </c>
      <c r="BB1592" s="15" t="s">
        <v>6864</v>
      </c>
      <c r="BC1592" s="15" t="s">
        <v>11590</v>
      </c>
      <c r="BE1592" s="15" t="s">
        <v>16135</v>
      </c>
      <c r="BJ1592" s="15" t="s">
        <v>6866</v>
      </c>
      <c r="BN1592" s="15" t="s">
        <v>179</v>
      </c>
      <c r="BP1592" s="15" t="s">
        <v>138</v>
      </c>
      <c r="BS1592" s="15" t="s">
        <v>16136</v>
      </c>
      <c r="DH1592" s="15" t="s">
        <v>17982</v>
      </c>
      <c r="DI1592" s="15" t="s">
        <v>17982</v>
      </c>
    </row>
    <row r="1593" spans="1:113" s="15" customFormat="1" ht="12.75" x14ac:dyDescent="0.2">
      <c r="A1593" s="15" t="s">
        <v>109</v>
      </c>
      <c r="B1593" s="15" t="s">
        <v>110</v>
      </c>
      <c r="D1593" s="15" t="s">
        <v>203</v>
      </c>
      <c r="E1593" s="15" t="s">
        <v>112</v>
      </c>
      <c r="F1593" s="15" t="s">
        <v>203</v>
      </c>
      <c r="G1593" s="15" t="s">
        <v>113</v>
      </c>
      <c r="H1593" s="15" t="s">
        <v>111</v>
      </c>
      <c r="J1593" s="16" t="s">
        <v>114</v>
      </c>
      <c r="U1593" s="15" t="s">
        <v>17977</v>
      </c>
      <c r="W1593" s="15">
        <v>3329</v>
      </c>
      <c r="X1593" s="15">
        <v>1603</v>
      </c>
      <c r="Y1593" s="15" t="s">
        <v>160</v>
      </c>
      <c r="Z1593" s="15" t="s">
        <v>161</v>
      </c>
      <c r="AA1593" s="15" t="s">
        <v>162</v>
      </c>
      <c r="AB1593" s="15" t="s">
        <v>16137</v>
      </c>
      <c r="AC1593" s="15" t="s">
        <v>16137</v>
      </c>
      <c r="AD1593" s="15" t="s">
        <v>16138</v>
      </c>
      <c r="AE1593" s="15" t="s">
        <v>164</v>
      </c>
      <c r="AF1593" s="15" t="s">
        <v>16138</v>
      </c>
      <c r="AG1593" s="15" t="s">
        <v>16137</v>
      </c>
      <c r="AH1593" s="20" t="s">
        <v>16139</v>
      </c>
      <c r="AL1593" s="15" t="s">
        <v>16140</v>
      </c>
      <c r="AN1593" s="15">
        <v>743</v>
      </c>
      <c r="AO1593" s="15" t="s">
        <v>16141</v>
      </c>
      <c r="AQ1593" s="20" t="s">
        <v>2747</v>
      </c>
      <c r="AT1593" s="15" t="s">
        <v>16142</v>
      </c>
      <c r="AU1593" s="15" t="s">
        <v>16143</v>
      </c>
      <c r="AV1593" s="15" t="s">
        <v>16143</v>
      </c>
      <c r="AW1593" s="15" t="s">
        <v>16144</v>
      </c>
      <c r="AX1593" s="15" t="s">
        <v>16145</v>
      </c>
      <c r="AY1593" s="15">
        <f t="shared" si="37"/>
        <v>58</v>
      </c>
      <c r="AZ1593" s="15" t="s">
        <v>2752</v>
      </c>
      <c r="BA1593" s="15" t="s">
        <v>2753</v>
      </c>
      <c r="BB1593" s="15" t="s">
        <v>6864</v>
      </c>
      <c r="BC1593" s="15" t="s">
        <v>11590</v>
      </c>
      <c r="BE1593" s="15" t="s">
        <v>16146</v>
      </c>
      <c r="BJ1593" s="15" t="s">
        <v>6866</v>
      </c>
      <c r="BN1593" s="15" t="s">
        <v>179</v>
      </c>
      <c r="BP1593" s="15" t="s">
        <v>138</v>
      </c>
      <c r="BS1593" s="15" t="s">
        <v>16147</v>
      </c>
      <c r="DH1593" s="15" t="s">
        <v>17982</v>
      </c>
      <c r="DI1593" s="15" t="s">
        <v>17982</v>
      </c>
    </row>
    <row r="1594" spans="1:113" s="15" customFormat="1" ht="12.75" x14ac:dyDescent="0.2">
      <c r="A1594" s="15" t="s">
        <v>109</v>
      </c>
      <c r="B1594" s="15" t="s">
        <v>110</v>
      </c>
      <c r="D1594" s="15" t="s">
        <v>203</v>
      </c>
      <c r="E1594" s="15" t="s">
        <v>112</v>
      </c>
      <c r="F1594" s="15" t="s">
        <v>203</v>
      </c>
      <c r="G1594" s="15" t="s">
        <v>113</v>
      </c>
      <c r="H1594" s="15" t="s">
        <v>111</v>
      </c>
      <c r="J1594" s="16" t="s">
        <v>114</v>
      </c>
      <c r="U1594" s="15" t="s">
        <v>17977</v>
      </c>
      <c r="W1594" s="15">
        <v>3330</v>
      </c>
      <c r="X1594" s="15">
        <v>1604</v>
      </c>
      <c r="Y1594" s="15" t="s">
        <v>160</v>
      </c>
      <c r="Z1594" s="15" t="s">
        <v>161</v>
      </c>
      <c r="AA1594" s="15" t="s">
        <v>162</v>
      </c>
      <c r="AB1594" s="15" t="s">
        <v>16148</v>
      </c>
      <c r="AC1594" s="15" t="s">
        <v>16148</v>
      </c>
      <c r="AD1594" s="15" t="s">
        <v>16149</v>
      </c>
      <c r="AE1594" s="15" t="s">
        <v>164</v>
      </c>
      <c r="AF1594" s="15" t="s">
        <v>16149</v>
      </c>
      <c r="AG1594" s="15" t="s">
        <v>16148</v>
      </c>
      <c r="AH1594" s="20" t="s">
        <v>16150</v>
      </c>
      <c r="AL1594" s="15" t="s">
        <v>16151</v>
      </c>
      <c r="AN1594" s="15">
        <v>743</v>
      </c>
      <c r="AO1594" s="15" t="s">
        <v>16152</v>
      </c>
      <c r="AQ1594" s="20" t="s">
        <v>2747</v>
      </c>
      <c r="AT1594" s="15" t="s">
        <v>16153</v>
      </c>
      <c r="AU1594" s="15" t="s">
        <v>16154</v>
      </c>
      <c r="AV1594" s="15" t="s">
        <v>16154</v>
      </c>
      <c r="AW1594" s="15" t="s">
        <v>16155</v>
      </c>
      <c r="AX1594" s="15" t="s">
        <v>16156</v>
      </c>
      <c r="AY1594" s="15">
        <f t="shared" si="37"/>
        <v>58</v>
      </c>
      <c r="AZ1594" s="15" t="s">
        <v>2752</v>
      </c>
      <c r="BA1594" s="15" t="s">
        <v>2753</v>
      </c>
      <c r="BB1594" s="15" t="s">
        <v>6864</v>
      </c>
      <c r="BC1594" s="15" t="s">
        <v>11590</v>
      </c>
      <c r="BE1594" s="15" t="s">
        <v>16157</v>
      </c>
      <c r="BJ1594" s="15" t="s">
        <v>6866</v>
      </c>
      <c r="BN1594" s="15" t="s">
        <v>179</v>
      </c>
      <c r="BP1594" s="15" t="s">
        <v>138</v>
      </c>
      <c r="BS1594" s="15" t="s">
        <v>16158</v>
      </c>
      <c r="DH1594" s="15" t="s">
        <v>17982</v>
      </c>
      <c r="DI1594" s="15" t="s">
        <v>17982</v>
      </c>
    </row>
    <row r="1595" spans="1:113" s="15" customFormat="1" ht="12.75" x14ac:dyDescent="0.2">
      <c r="A1595" s="15" t="s">
        <v>109</v>
      </c>
      <c r="B1595" s="15" t="s">
        <v>110</v>
      </c>
      <c r="D1595" s="15" t="s">
        <v>203</v>
      </c>
      <c r="E1595" s="15" t="s">
        <v>112</v>
      </c>
      <c r="F1595" s="15" t="s">
        <v>203</v>
      </c>
      <c r="G1595" s="15" t="s">
        <v>113</v>
      </c>
      <c r="H1595" s="15" t="s">
        <v>111</v>
      </c>
      <c r="J1595" s="16" t="s">
        <v>114</v>
      </c>
      <c r="U1595" s="15" t="s">
        <v>17977</v>
      </c>
      <c r="W1595" s="15">
        <v>3325</v>
      </c>
      <c r="X1595" s="15">
        <v>1605</v>
      </c>
      <c r="Y1595" s="15" t="s">
        <v>160</v>
      </c>
      <c r="Z1595" s="15" t="s">
        <v>161</v>
      </c>
      <c r="AA1595" s="15" t="s">
        <v>162</v>
      </c>
      <c r="AB1595" s="15" t="s">
        <v>16093</v>
      </c>
      <c r="AC1595" s="15" t="s">
        <v>16093</v>
      </c>
      <c r="AD1595" s="15" t="s">
        <v>16094</v>
      </c>
      <c r="AE1595" s="15" t="s">
        <v>164</v>
      </c>
      <c r="AF1595" s="15" t="s">
        <v>16094</v>
      </c>
      <c r="AG1595" s="15" t="s">
        <v>16093</v>
      </c>
      <c r="AH1595" s="20" t="s">
        <v>16095</v>
      </c>
      <c r="AL1595" s="15" t="s">
        <v>16096</v>
      </c>
      <c r="AN1595" s="15">
        <v>743</v>
      </c>
      <c r="AO1595" s="15" t="s">
        <v>16097</v>
      </c>
      <c r="AQ1595" s="20" t="s">
        <v>2747</v>
      </c>
      <c r="AT1595" s="15" t="s">
        <v>16098</v>
      </c>
      <c r="AU1595" s="15" t="s">
        <v>16099</v>
      </c>
      <c r="AV1595" s="15" t="s">
        <v>16099</v>
      </c>
      <c r="AW1595" s="15" t="s">
        <v>16100</v>
      </c>
      <c r="AX1595" s="15" t="s">
        <v>16101</v>
      </c>
      <c r="AY1595" s="15">
        <f t="shared" si="37"/>
        <v>55</v>
      </c>
      <c r="AZ1595" s="15" t="s">
        <v>2752</v>
      </c>
      <c r="BA1595" s="15" t="s">
        <v>2753</v>
      </c>
      <c r="BB1595" s="15" t="s">
        <v>6864</v>
      </c>
      <c r="BC1595" s="15" t="s">
        <v>1199</v>
      </c>
      <c r="BE1595" s="15" t="s">
        <v>16102</v>
      </c>
      <c r="BJ1595" s="15" t="s">
        <v>6866</v>
      </c>
      <c r="BN1595" s="15" t="s">
        <v>179</v>
      </c>
      <c r="BP1595" s="15" t="s">
        <v>138</v>
      </c>
      <c r="BS1595" s="15" t="s">
        <v>16103</v>
      </c>
      <c r="DH1595" s="15" t="s">
        <v>17982</v>
      </c>
      <c r="DI1595" s="15" t="s">
        <v>17982</v>
      </c>
    </row>
    <row r="1596" spans="1:113" s="15" customFormat="1" ht="12.75" x14ac:dyDescent="0.2">
      <c r="A1596" s="15" t="s">
        <v>109</v>
      </c>
      <c r="B1596" s="15" t="s">
        <v>110</v>
      </c>
      <c r="D1596" s="15" t="s">
        <v>203</v>
      </c>
      <c r="E1596" s="15" t="s">
        <v>112</v>
      </c>
      <c r="F1596" s="15" t="s">
        <v>203</v>
      </c>
      <c r="G1596" s="15" t="s">
        <v>113</v>
      </c>
      <c r="H1596" s="15" t="s">
        <v>111</v>
      </c>
      <c r="J1596" s="16" t="s">
        <v>114</v>
      </c>
      <c r="U1596" s="15" t="s">
        <v>17977</v>
      </c>
      <c r="W1596" s="15">
        <v>3326</v>
      </c>
      <c r="X1596" s="15">
        <v>1606</v>
      </c>
      <c r="Y1596" s="15" t="s">
        <v>160</v>
      </c>
      <c r="Z1596" s="15" t="s">
        <v>161</v>
      </c>
      <c r="AA1596" s="15" t="s">
        <v>162</v>
      </c>
      <c r="AB1596" s="15" t="s">
        <v>16104</v>
      </c>
      <c r="AC1596" s="15" t="s">
        <v>16104</v>
      </c>
      <c r="AD1596" s="15" t="s">
        <v>16105</v>
      </c>
      <c r="AE1596" s="15" t="s">
        <v>164</v>
      </c>
      <c r="AF1596" s="15" t="s">
        <v>16105</v>
      </c>
      <c r="AG1596" s="15" t="s">
        <v>16104</v>
      </c>
      <c r="AH1596" s="20" t="s">
        <v>16106</v>
      </c>
      <c r="AL1596" s="15" t="s">
        <v>16107</v>
      </c>
      <c r="AN1596" s="15">
        <v>743</v>
      </c>
      <c r="AO1596" s="15" t="s">
        <v>16108</v>
      </c>
      <c r="AQ1596" s="20" t="s">
        <v>2747</v>
      </c>
      <c r="AT1596" s="15" t="s">
        <v>16109</v>
      </c>
      <c r="AU1596" s="15" t="s">
        <v>16110</v>
      </c>
      <c r="AV1596" s="15" t="s">
        <v>16110</v>
      </c>
      <c r="AW1596" s="15" t="s">
        <v>16111</v>
      </c>
      <c r="AX1596" s="15" t="s">
        <v>16112</v>
      </c>
      <c r="AY1596" s="15">
        <f t="shared" si="37"/>
        <v>55</v>
      </c>
      <c r="AZ1596" s="15" t="s">
        <v>2752</v>
      </c>
      <c r="BA1596" s="15" t="s">
        <v>2753</v>
      </c>
      <c r="BB1596" s="15" t="s">
        <v>6864</v>
      </c>
      <c r="BC1596" s="15" t="s">
        <v>1199</v>
      </c>
      <c r="BE1596" s="15" t="s">
        <v>16113</v>
      </c>
      <c r="BJ1596" s="15" t="s">
        <v>6866</v>
      </c>
      <c r="BN1596" s="15" t="s">
        <v>179</v>
      </c>
      <c r="BP1596" s="15" t="s">
        <v>138</v>
      </c>
      <c r="BS1596" s="15" t="s">
        <v>16114</v>
      </c>
      <c r="DH1596" s="15" t="s">
        <v>17982</v>
      </c>
      <c r="DI1596" s="15" t="s">
        <v>17982</v>
      </c>
    </row>
    <row r="1597" spans="1:113" s="15" customFormat="1" ht="12.75" x14ac:dyDescent="0.2">
      <c r="A1597" s="15" t="s">
        <v>109</v>
      </c>
      <c r="B1597" s="15" t="s">
        <v>110</v>
      </c>
      <c r="D1597" s="15" t="s">
        <v>203</v>
      </c>
      <c r="E1597" s="15" t="s">
        <v>112</v>
      </c>
      <c r="F1597" s="15" t="s">
        <v>203</v>
      </c>
      <c r="G1597" s="15" t="s">
        <v>113</v>
      </c>
      <c r="H1597" s="15" t="s">
        <v>111</v>
      </c>
      <c r="J1597" s="16" t="s">
        <v>114</v>
      </c>
      <c r="U1597" s="15" t="s">
        <v>17977</v>
      </c>
      <c r="W1597" s="15">
        <v>3327</v>
      </c>
      <c r="X1597" s="15">
        <v>1607</v>
      </c>
      <c r="Y1597" s="15" t="s">
        <v>160</v>
      </c>
      <c r="Z1597" s="15" t="s">
        <v>161</v>
      </c>
      <c r="AA1597" s="15" t="s">
        <v>162</v>
      </c>
      <c r="AB1597" s="15" t="s">
        <v>16115</v>
      </c>
      <c r="AC1597" s="15" t="s">
        <v>16115</v>
      </c>
      <c r="AD1597" s="15" t="s">
        <v>16116</v>
      </c>
      <c r="AE1597" s="15" t="s">
        <v>164</v>
      </c>
      <c r="AF1597" s="15" t="s">
        <v>16116</v>
      </c>
      <c r="AG1597" s="15" t="s">
        <v>16115</v>
      </c>
      <c r="AH1597" s="20" t="s">
        <v>16117</v>
      </c>
      <c r="AL1597" s="15" t="s">
        <v>16118</v>
      </c>
      <c r="AN1597" s="15">
        <v>743</v>
      </c>
      <c r="AO1597" s="15" t="s">
        <v>16119</v>
      </c>
      <c r="AQ1597" s="20" t="s">
        <v>2747</v>
      </c>
      <c r="AT1597" s="15" t="s">
        <v>16120</v>
      </c>
      <c r="AU1597" s="15" t="s">
        <v>16121</v>
      </c>
      <c r="AV1597" s="15" t="s">
        <v>16121</v>
      </c>
      <c r="AW1597" s="15" t="s">
        <v>16122</v>
      </c>
      <c r="AX1597" s="15" t="s">
        <v>16123</v>
      </c>
      <c r="AY1597" s="15">
        <f t="shared" si="37"/>
        <v>55</v>
      </c>
      <c r="AZ1597" s="15" t="s">
        <v>2752</v>
      </c>
      <c r="BA1597" s="15" t="s">
        <v>2753</v>
      </c>
      <c r="BB1597" s="15" t="s">
        <v>6864</v>
      </c>
      <c r="BC1597" s="15" t="s">
        <v>1199</v>
      </c>
      <c r="BE1597" s="15" t="s">
        <v>16124</v>
      </c>
      <c r="BJ1597" s="15" t="s">
        <v>6866</v>
      </c>
      <c r="BN1597" s="15" t="s">
        <v>179</v>
      </c>
      <c r="BP1597" s="15" t="s">
        <v>138</v>
      </c>
      <c r="BS1597" s="15" t="s">
        <v>16125</v>
      </c>
      <c r="DH1597" s="15" t="s">
        <v>17982</v>
      </c>
      <c r="DI1597" s="15" t="s">
        <v>17982</v>
      </c>
    </row>
    <row r="1598" spans="1:113" s="15" customFormat="1" ht="12.75" x14ac:dyDescent="0.2">
      <c r="A1598" s="15" t="s">
        <v>109</v>
      </c>
      <c r="B1598" s="15" t="s">
        <v>110</v>
      </c>
      <c r="D1598" s="15" t="s">
        <v>203</v>
      </c>
      <c r="E1598" s="15" t="s">
        <v>112</v>
      </c>
      <c r="F1598" s="15" t="s">
        <v>203</v>
      </c>
      <c r="G1598" s="15" t="s">
        <v>113</v>
      </c>
      <c r="H1598" s="15" t="s">
        <v>111</v>
      </c>
      <c r="J1598" s="16" t="s">
        <v>114</v>
      </c>
      <c r="U1598" s="15" t="s">
        <v>17977</v>
      </c>
      <c r="W1598" s="15">
        <v>3322</v>
      </c>
      <c r="X1598" s="15">
        <v>1608</v>
      </c>
      <c r="Y1598" s="15" t="s">
        <v>160</v>
      </c>
      <c r="Z1598" s="15" t="s">
        <v>161</v>
      </c>
      <c r="AA1598" s="15" t="s">
        <v>162</v>
      </c>
      <c r="AB1598" s="15" t="s">
        <v>16060</v>
      </c>
      <c r="AC1598" s="15" t="s">
        <v>16060</v>
      </c>
      <c r="AD1598" s="15" t="s">
        <v>16061</v>
      </c>
      <c r="AE1598" s="15" t="s">
        <v>164</v>
      </c>
      <c r="AF1598" s="15" t="s">
        <v>16061</v>
      </c>
      <c r="AG1598" s="15" t="s">
        <v>16060</v>
      </c>
      <c r="AH1598" s="20" t="s">
        <v>16062</v>
      </c>
      <c r="AL1598" s="15" t="s">
        <v>16063</v>
      </c>
      <c r="AN1598" s="15">
        <v>743</v>
      </c>
      <c r="AO1598" s="15" t="s">
        <v>16064</v>
      </c>
      <c r="AQ1598" s="20" t="s">
        <v>2747</v>
      </c>
      <c r="AT1598" s="15" t="s">
        <v>16065</v>
      </c>
      <c r="AU1598" s="15" t="s">
        <v>16066</v>
      </c>
      <c r="AV1598" s="15" t="s">
        <v>16066</v>
      </c>
      <c r="AW1598" s="15" t="s">
        <v>16067</v>
      </c>
      <c r="AX1598" s="15" t="s">
        <v>16068</v>
      </c>
      <c r="AY1598" s="15">
        <f t="shared" si="37"/>
        <v>55</v>
      </c>
      <c r="AZ1598" s="15" t="s">
        <v>2752</v>
      </c>
      <c r="BA1598" s="15" t="s">
        <v>2753</v>
      </c>
      <c r="BB1598" s="15" t="s">
        <v>6864</v>
      </c>
      <c r="BC1598" s="15" t="s">
        <v>379</v>
      </c>
      <c r="BE1598" s="15" t="s">
        <v>16069</v>
      </c>
      <c r="BJ1598" s="15" t="s">
        <v>6866</v>
      </c>
      <c r="BN1598" s="15" t="s">
        <v>179</v>
      </c>
      <c r="BP1598" s="15" t="s">
        <v>138</v>
      </c>
      <c r="BS1598" s="15" t="s">
        <v>16070</v>
      </c>
      <c r="DH1598" s="15" t="s">
        <v>17982</v>
      </c>
      <c r="DI1598" s="15" t="s">
        <v>17982</v>
      </c>
    </row>
    <row r="1599" spans="1:113" s="15" customFormat="1" ht="12.75" x14ac:dyDescent="0.2">
      <c r="A1599" s="15" t="s">
        <v>109</v>
      </c>
      <c r="B1599" s="15" t="s">
        <v>110</v>
      </c>
      <c r="D1599" s="15" t="s">
        <v>203</v>
      </c>
      <c r="E1599" s="15" t="s">
        <v>112</v>
      </c>
      <c r="F1599" s="15" t="s">
        <v>203</v>
      </c>
      <c r="G1599" s="15" t="s">
        <v>113</v>
      </c>
      <c r="H1599" s="15" t="s">
        <v>111</v>
      </c>
      <c r="J1599" s="16" t="s">
        <v>114</v>
      </c>
      <c r="U1599" s="15" t="s">
        <v>17977</v>
      </c>
      <c r="W1599" s="15">
        <v>3323</v>
      </c>
      <c r="X1599" s="15">
        <v>1609</v>
      </c>
      <c r="Y1599" s="15" t="s">
        <v>160</v>
      </c>
      <c r="Z1599" s="15" t="s">
        <v>161</v>
      </c>
      <c r="AA1599" s="15" t="s">
        <v>162</v>
      </c>
      <c r="AB1599" s="15" t="s">
        <v>16071</v>
      </c>
      <c r="AC1599" s="15" t="s">
        <v>16071</v>
      </c>
      <c r="AD1599" s="15" t="s">
        <v>16072</v>
      </c>
      <c r="AE1599" s="15" t="s">
        <v>164</v>
      </c>
      <c r="AF1599" s="15" t="s">
        <v>16072</v>
      </c>
      <c r="AG1599" s="15" t="s">
        <v>16071</v>
      </c>
      <c r="AH1599" s="20" t="s">
        <v>16073</v>
      </c>
      <c r="AL1599" s="15" t="s">
        <v>16074</v>
      </c>
      <c r="AN1599" s="15">
        <v>743</v>
      </c>
      <c r="AO1599" s="15" t="s">
        <v>16075</v>
      </c>
      <c r="AQ1599" s="20" t="s">
        <v>2747</v>
      </c>
      <c r="AT1599" s="15" t="s">
        <v>16076</v>
      </c>
      <c r="AU1599" s="15" t="s">
        <v>16077</v>
      </c>
      <c r="AV1599" s="15" t="s">
        <v>16077</v>
      </c>
      <c r="AW1599" s="15" t="s">
        <v>16078</v>
      </c>
      <c r="AX1599" s="15" t="s">
        <v>16079</v>
      </c>
      <c r="AY1599" s="15">
        <f t="shared" si="37"/>
        <v>55</v>
      </c>
      <c r="AZ1599" s="15" t="s">
        <v>2752</v>
      </c>
      <c r="BA1599" s="15" t="s">
        <v>2753</v>
      </c>
      <c r="BB1599" s="15" t="s">
        <v>6864</v>
      </c>
      <c r="BC1599" s="15" t="s">
        <v>379</v>
      </c>
      <c r="BE1599" s="15" t="s">
        <v>16080</v>
      </c>
      <c r="BJ1599" s="15" t="s">
        <v>6866</v>
      </c>
      <c r="BN1599" s="15" t="s">
        <v>179</v>
      </c>
      <c r="BP1599" s="15" t="s">
        <v>138</v>
      </c>
      <c r="BS1599" s="15" t="s">
        <v>16081</v>
      </c>
      <c r="DH1599" s="15" t="s">
        <v>17982</v>
      </c>
      <c r="DI1599" s="15" t="s">
        <v>17982</v>
      </c>
    </row>
    <row r="1600" spans="1:113" s="15" customFormat="1" ht="12.75" x14ac:dyDescent="0.2">
      <c r="A1600" s="15" t="s">
        <v>109</v>
      </c>
      <c r="B1600" s="15" t="s">
        <v>110</v>
      </c>
      <c r="D1600" s="15" t="s">
        <v>203</v>
      </c>
      <c r="E1600" s="15" t="s">
        <v>112</v>
      </c>
      <c r="F1600" s="15" t="s">
        <v>203</v>
      </c>
      <c r="G1600" s="15" t="s">
        <v>113</v>
      </c>
      <c r="H1600" s="15" t="s">
        <v>111</v>
      </c>
      <c r="J1600" s="16" t="s">
        <v>114</v>
      </c>
      <c r="U1600" s="15" t="s">
        <v>17977</v>
      </c>
      <c r="W1600" s="15">
        <v>3324</v>
      </c>
      <c r="X1600" s="15">
        <v>1610</v>
      </c>
      <c r="Y1600" s="15" t="s">
        <v>160</v>
      </c>
      <c r="Z1600" s="15" t="s">
        <v>161</v>
      </c>
      <c r="AA1600" s="15" t="s">
        <v>162</v>
      </c>
      <c r="AB1600" s="15" t="s">
        <v>16082</v>
      </c>
      <c r="AC1600" s="15" t="s">
        <v>16082</v>
      </c>
      <c r="AD1600" s="15" t="s">
        <v>16083</v>
      </c>
      <c r="AE1600" s="15" t="s">
        <v>164</v>
      </c>
      <c r="AF1600" s="15" t="s">
        <v>16083</v>
      </c>
      <c r="AG1600" s="15" t="s">
        <v>16082</v>
      </c>
      <c r="AH1600" s="20" t="s">
        <v>16084</v>
      </c>
      <c r="AL1600" s="15" t="s">
        <v>16085</v>
      </c>
      <c r="AN1600" s="15">
        <v>743</v>
      </c>
      <c r="AO1600" s="15" t="s">
        <v>16086</v>
      </c>
      <c r="AQ1600" s="20" t="s">
        <v>2747</v>
      </c>
      <c r="AT1600" s="15" t="s">
        <v>16087</v>
      </c>
      <c r="AU1600" s="15" t="s">
        <v>16088</v>
      </c>
      <c r="AV1600" s="15" t="s">
        <v>16088</v>
      </c>
      <c r="AW1600" s="15" t="s">
        <v>16089</v>
      </c>
      <c r="AX1600" s="15" t="s">
        <v>16090</v>
      </c>
      <c r="AY1600" s="15">
        <f t="shared" si="37"/>
        <v>55</v>
      </c>
      <c r="AZ1600" s="15" t="s">
        <v>2752</v>
      </c>
      <c r="BA1600" s="15" t="s">
        <v>2753</v>
      </c>
      <c r="BB1600" s="15" t="s">
        <v>6864</v>
      </c>
      <c r="BC1600" s="15" t="s">
        <v>379</v>
      </c>
      <c r="BE1600" s="15" t="s">
        <v>16091</v>
      </c>
      <c r="BJ1600" s="15" t="s">
        <v>6866</v>
      </c>
      <c r="BN1600" s="15" t="s">
        <v>179</v>
      </c>
      <c r="BP1600" s="15" t="s">
        <v>138</v>
      </c>
      <c r="BS1600" s="15" t="s">
        <v>16092</v>
      </c>
      <c r="DH1600" s="15" t="s">
        <v>17982</v>
      </c>
      <c r="DI1600" s="15" t="s">
        <v>17982</v>
      </c>
    </row>
    <row r="1601" spans="1:113" s="15" customFormat="1" ht="12.75" x14ac:dyDescent="0.2">
      <c r="A1601" s="15" t="s">
        <v>109</v>
      </c>
      <c r="B1601" s="15" t="s">
        <v>110</v>
      </c>
      <c r="D1601" s="15" t="s">
        <v>203</v>
      </c>
      <c r="E1601" s="15" t="s">
        <v>112</v>
      </c>
      <c r="F1601" s="15" t="s">
        <v>203</v>
      </c>
      <c r="G1601" s="15" t="s">
        <v>113</v>
      </c>
      <c r="H1601" s="15" t="s">
        <v>111</v>
      </c>
      <c r="J1601" s="16" t="s">
        <v>114</v>
      </c>
      <c r="U1601" s="15" t="s">
        <v>17977</v>
      </c>
      <c r="W1601" s="15">
        <v>1336</v>
      </c>
      <c r="X1601" s="15">
        <v>1611</v>
      </c>
      <c r="Y1601" s="15" t="s">
        <v>160</v>
      </c>
      <c r="Z1601" s="15" t="s">
        <v>161</v>
      </c>
      <c r="AA1601" s="15" t="s">
        <v>162</v>
      </c>
      <c r="AB1601" s="15" t="s">
        <v>6856</v>
      </c>
      <c r="AC1601" s="15" t="s">
        <v>6856</v>
      </c>
      <c r="AD1601" s="15" t="s">
        <v>6857</v>
      </c>
      <c r="AE1601" s="15" t="s">
        <v>164</v>
      </c>
      <c r="AF1601" s="15" t="s">
        <v>6857</v>
      </c>
      <c r="AG1601" s="15" t="s">
        <v>6856</v>
      </c>
      <c r="AH1601" s="20" t="s">
        <v>6858</v>
      </c>
      <c r="AL1601" s="15" t="s">
        <v>6859</v>
      </c>
      <c r="AN1601" s="15">
        <v>743</v>
      </c>
      <c r="AO1601" s="15" t="s">
        <v>6860</v>
      </c>
      <c r="AQ1601" s="20" t="s">
        <v>2747</v>
      </c>
      <c r="AT1601" s="15" t="s">
        <v>6861</v>
      </c>
      <c r="AU1601" s="15" t="s">
        <v>6862</v>
      </c>
      <c r="AV1601" s="15" t="s">
        <v>6862</v>
      </c>
      <c r="AW1601" s="15" t="s">
        <v>6863</v>
      </c>
      <c r="AX1601" s="15" t="s">
        <v>6863</v>
      </c>
      <c r="AY1601" s="15">
        <f t="shared" si="37"/>
        <v>53</v>
      </c>
      <c r="AZ1601" s="15" t="s">
        <v>2752</v>
      </c>
      <c r="BA1601" s="15" t="s">
        <v>2753</v>
      </c>
      <c r="BB1601" s="15" t="s">
        <v>6864</v>
      </c>
      <c r="BE1601" s="15" t="s">
        <v>6865</v>
      </c>
      <c r="BJ1601" s="15" t="s">
        <v>6866</v>
      </c>
      <c r="BN1601" s="15" t="s">
        <v>179</v>
      </c>
      <c r="BP1601" s="15" t="s">
        <v>138</v>
      </c>
      <c r="BS1601" s="15" t="s">
        <v>6867</v>
      </c>
      <c r="DH1601" s="15" t="s">
        <v>17982</v>
      </c>
      <c r="DI1601" s="15" t="s">
        <v>17982</v>
      </c>
    </row>
    <row r="1602" spans="1:113" s="15" customFormat="1" ht="12.75" x14ac:dyDescent="0.2">
      <c r="A1602" s="15" t="s">
        <v>109</v>
      </c>
      <c r="B1602" s="15" t="s">
        <v>110</v>
      </c>
      <c r="D1602" s="15" t="s">
        <v>203</v>
      </c>
      <c r="E1602" s="15" t="s">
        <v>112</v>
      </c>
      <c r="F1602" s="15" t="s">
        <v>203</v>
      </c>
      <c r="G1602" s="15" t="s">
        <v>113</v>
      </c>
      <c r="H1602" s="15" t="s">
        <v>111</v>
      </c>
      <c r="J1602" s="16" t="s">
        <v>114</v>
      </c>
      <c r="U1602" s="15" t="s">
        <v>17977</v>
      </c>
      <c r="W1602" s="15">
        <v>1337</v>
      </c>
      <c r="X1602" s="15">
        <v>1612</v>
      </c>
      <c r="Y1602" s="15" t="s">
        <v>160</v>
      </c>
      <c r="Z1602" s="15" t="s">
        <v>161</v>
      </c>
      <c r="AA1602" s="15" t="s">
        <v>162</v>
      </c>
      <c r="AB1602" s="15" t="s">
        <v>6868</v>
      </c>
      <c r="AC1602" s="15" t="s">
        <v>6868</v>
      </c>
      <c r="AD1602" s="15" t="s">
        <v>6869</v>
      </c>
      <c r="AE1602" s="15" t="s">
        <v>164</v>
      </c>
      <c r="AF1602" s="15" t="s">
        <v>6869</v>
      </c>
      <c r="AG1602" s="15" t="s">
        <v>6868</v>
      </c>
      <c r="AH1602" s="20" t="s">
        <v>6870</v>
      </c>
      <c r="AL1602" s="15" t="s">
        <v>6871</v>
      </c>
      <c r="AN1602" s="15">
        <v>743</v>
      </c>
      <c r="AO1602" s="15" t="s">
        <v>6872</v>
      </c>
      <c r="AQ1602" s="20" t="s">
        <v>2747</v>
      </c>
      <c r="AT1602" s="15" t="s">
        <v>6861</v>
      </c>
      <c r="AU1602" s="15" t="s">
        <v>6873</v>
      </c>
      <c r="AV1602" s="15" t="s">
        <v>6873</v>
      </c>
      <c r="AW1602" s="15" t="s">
        <v>6874</v>
      </c>
      <c r="AX1602" s="15" t="s">
        <v>6874</v>
      </c>
      <c r="AY1602" s="15">
        <f t="shared" si="37"/>
        <v>53</v>
      </c>
      <c r="AZ1602" s="15" t="s">
        <v>2752</v>
      </c>
      <c r="BA1602" s="15" t="s">
        <v>2753</v>
      </c>
      <c r="BB1602" s="15" t="s">
        <v>6864</v>
      </c>
      <c r="BE1602" s="15" t="s">
        <v>6875</v>
      </c>
      <c r="BJ1602" s="15" t="s">
        <v>6866</v>
      </c>
      <c r="BN1602" s="15" t="s">
        <v>179</v>
      </c>
      <c r="BP1602" s="15" t="s">
        <v>138</v>
      </c>
      <c r="BS1602" s="15" t="s">
        <v>6876</v>
      </c>
      <c r="DH1602" s="15" t="s">
        <v>17982</v>
      </c>
      <c r="DI1602" s="15" t="s">
        <v>17982</v>
      </c>
    </row>
    <row r="1603" spans="1:113" s="15" customFormat="1" ht="12.75" x14ac:dyDescent="0.2">
      <c r="A1603" s="15" t="s">
        <v>109</v>
      </c>
      <c r="B1603" s="15" t="s">
        <v>110</v>
      </c>
      <c r="D1603" s="15" t="s">
        <v>203</v>
      </c>
      <c r="E1603" s="15" t="s">
        <v>112</v>
      </c>
      <c r="F1603" s="15" t="s">
        <v>203</v>
      </c>
      <c r="G1603" s="15" t="s">
        <v>113</v>
      </c>
      <c r="H1603" s="15" t="s">
        <v>111</v>
      </c>
      <c r="J1603" s="16" t="s">
        <v>114</v>
      </c>
      <c r="U1603" s="15" t="s">
        <v>17977</v>
      </c>
      <c r="W1603" s="15">
        <v>1338</v>
      </c>
      <c r="X1603" s="15">
        <v>1613</v>
      </c>
      <c r="Y1603" s="15" t="s">
        <v>160</v>
      </c>
      <c r="Z1603" s="15" t="s">
        <v>161</v>
      </c>
      <c r="AA1603" s="15" t="s">
        <v>162</v>
      </c>
      <c r="AB1603" s="15" t="s">
        <v>6877</v>
      </c>
      <c r="AC1603" s="15" t="s">
        <v>6877</v>
      </c>
      <c r="AD1603" s="15" t="s">
        <v>6878</v>
      </c>
      <c r="AE1603" s="15" t="s">
        <v>164</v>
      </c>
      <c r="AF1603" s="15" t="s">
        <v>6878</v>
      </c>
      <c r="AG1603" s="15" t="s">
        <v>6877</v>
      </c>
      <c r="AH1603" s="20" t="s">
        <v>6879</v>
      </c>
      <c r="AL1603" s="15" t="s">
        <v>6880</v>
      </c>
      <c r="AN1603" s="15">
        <v>743</v>
      </c>
      <c r="AO1603" s="15" t="s">
        <v>6881</v>
      </c>
      <c r="AQ1603" s="20" t="s">
        <v>2747</v>
      </c>
      <c r="AT1603" s="15" t="s">
        <v>6861</v>
      </c>
      <c r="AU1603" s="15" t="s">
        <v>6882</v>
      </c>
      <c r="AV1603" s="15" t="s">
        <v>6882</v>
      </c>
      <c r="AW1603" s="15" t="s">
        <v>6883</v>
      </c>
      <c r="AX1603" s="15" t="s">
        <v>6883</v>
      </c>
      <c r="AY1603" s="15">
        <f t="shared" si="37"/>
        <v>53</v>
      </c>
      <c r="AZ1603" s="15" t="s">
        <v>2752</v>
      </c>
      <c r="BA1603" s="15" t="s">
        <v>2753</v>
      </c>
      <c r="BB1603" s="15" t="s">
        <v>6864</v>
      </c>
      <c r="BE1603" s="15" t="s">
        <v>6884</v>
      </c>
      <c r="BJ1603" s="15" t="s">
        <v>6866</v>
      </c>
      <c r="BN1603" s="15" t="s">
        <v>179</v>
      </c>
      <c r="BP1603" s="15" t="s">
        <v>138</v>
      </c>
      <c r="BS1603" s="15" t="s">
        <v>6885</v>
      </c>
      <c r="DH1603" s="15" t="s">
        <v>17982</v>
      </c>
      <c r="DI1603" s="15" t="s">
        <v>17982</v>
      </c>
    </row>
    <row r="1604" spans="1:113" s="15" customFormat="1" ht="12.75" x14ac:dyDescent="0.2">
      <c r="A1604" s="15" t="s">
        <v>109</v>
      </c>
      <c r="B1604" s="15" t="s">
        <v>110</v>
      </c>
      <c r="D1604" s="15" t="s">
        <v>203</v>
      </c>
      <c r="E1604" s="15" t="s">
        <v>112</v>
      </c>
      <c r="F1604" s="15" t="s">
        <v>203</v>
      </c>
      <c r="G1604" s="15" t="s">
        <v>113</v>
      </c>
      <c r="H1604" s="15" t="s">
        <v>111</v>
      </c>
      <c r="J1604" s="16" t="s">
        <v>114</v>
      </c>
      <c r="U1604" s="15" t="s">
        <v>17977</v>
      </c>
      <c r="W1604" s="15">
        <v>1339</v>
      </c>
      <c r="X1604" s="15">
        <v>1614</v>
      </c>
      <c r="Y1604" s="15" t="s">
        <v>160</v>
      </c>
      <c r="Z1604" s="15" t="s">
        <v>161</v>
      </c>
      <c r="AA1604" s="15" t="s">
        <v>162</v>
      </c>
      <c r="AB1604" s="15" t="s">
        <v>6886</v>
      </c>
      <c r="AC1604" s="15" t="s">
        <v>6886</v>
      </c>
      <c r="AD1604" s="15" t="s">
        <v>6887</v>
      </c>
      <c r="AE1604" s="15" t="s">
        <v>164</v>
      </c>
      <c r="AF1604" s="15" t="s">
        <v>6887</v>
      </c>
      <c r="AG1604" s="15" t="s">
        <v>6886</v>
      </c>
      <c r="AH1604" s="20" t="s">
        <v>6888</v>
      </c>
      <c r="AL1604" s="15" t="s">
        <v>6889</v>
      </c>
      <c r="AN1604" s="15">
        <v>743</v>
      </c>
      <c r="AO1604" s="15" t="s">
        <v>6890</v>
      </c>
      <c r="AQ1604" s="20" t="s">
        <v>2747</v>
      </c>
      <c r="AT1604" s="15" t="s">
        <v>6891</v>
      </c>
      <c r="AU1604" s="15" t="s">
        <v>6892</v>
      </c>
      <c r="AV1604" s="15" t="s">
        <v>6892</v>
      </c>
      <c r="AW1604" s="15" t="s">
        <v>6893</v>
      </c>
      <c r="AX1604" s="15" t="s">
        <v>6893</v>
      </c>
      <c r="AY1604" s="15">
        <f t="shared" si="37"/>
        <v>53</v>
      </c>
      <c r="AZ1604" s="15" t="s">
        <v>2752</v>
      </c>
      <c r="BA1604" s="15" t="s">
        <v>2753</v>
      </c>
      <c r="BB1604" s="15" t="s">
        <v>6864</v>
      </c>
      <c r="BE1604" s="15" t="s">
        <v>6894</v>
      </c>
      <c r="BJ1604" s="15" t="s">
        <v>6866</v>
      </c>
      <c r="BN1604" s="15" t="s">
        <v>179</v>
      </c>
      <c r="BP1604" s="15" t="s">
        <v>138</v>
      </c>
      <c r="BS1604" s="15" t="s">
        <v>6895</v>
      </c>
      <c r="DH1604" s="15" t="s">
        <v>17982</v>
      </c>
      <c r="DI1604" s="15" t="s">
        <v>17982</v>
      </c>
    </row>
    <row r="1605" spans="1:113" s="15" customFormat="1" ht="12.75" x14ac:dyDescent="0.2">
      <c r="A1605" s="15" t="s">
        <v>109</v>
      </c>
      <c r="B1605" s="15" t="s">
        <v>110</v>
      </c>
      <c r="D1605" s="15" t="s">
        <v>203</v>
      </c>
      <c r="E1605" s="15" t="s">
        <v>112</v>
      </c>
      <c r="F1605" s="15" t="s">
        <v>203</v>
      </c>
      <c r="G1605" s="15" t="s">
        <v>113</v>
      </c>
      <c r="H1605" s="15" t="s">
        <v>111</v>
      </c>
      <c r="J1605" s="16" t="s">
        <v>114</v>
      </c>
      <c r="U1605" s="15" t="s">
        <v>17977</v>
      </c>
      <c r="W1605" s="15">
        <v>1340</v>
      </c>
      <c r="X1605" s="15">
        <v>1615</v>
      </c>
      <c r="Y1605" s="15" t="s">
        <v>160</v>
      </c>
      <c r="Z1605" s="15" t="s">
        <v>161</v>
      </c>
      <c r="AA1605" s="15" t="s">
        <v>162</v>
      </c>
      <c r="AB1605" s="15" t="s">
        <v>6896</v>
      </c>
      <c r="AC1605" s="15" t="s">
        <v>6896</v>
      </c>
      <c r="AD1605" s="15" t="s">
        <v>6897</v>
      </c>
      <c r="AE1605" s="15" t="s">
        <v>164</v>
      </c>
      <c r="AF1605" s="15" t="s">
        <v>6897</v>
      </c>
      <c r="AG1605" s="15" t="s">
        <v>6896</v>
      </c>
      <c r="AH1605" s="20" t="s">
        <v>6898</v>
      </c>
      <c r="AL1605" s="15" t="s">
        <v>6899</v>
      </c>
      <c r="AN1605" s="15">
        <v>743</v>
      </c>
      <c r="AO1605" s="15" t="s">
        <v>6900</v>
      </c>
      <c r="AQ1605" s="20" t="s">
        <v>2747</v>
      </c>
      <c r="AT1605" s="15" t="s">
        <v>6861</v>
      </c>
      <c r="AU1605" s="15" t="s">
        <v>6901</v>
      </c>
      <c r="AV1605" s="15" t="s">
        <v>6901</v>
      </c>
      <c r="AW1605" s="15" t="s">
        <v>6902</v>
      </c>
      <c r="AX1605" s="15" t="s">
        <v>6902</v>
      </c>
      <c r="AY1605" s="15">
        <f t="shared" si="37"/>
        <v>53</v>
      </c>
      <c r="AZ1605" s="15" t="s">
        <v>2752</v>
      </c>
      <c r="BA1605" s="15" t="s">
        <v>2753</v>
      </c>
      <c r="BB1605" s="15" t="s">
        <v>6864</v>
      </c>
      <c r="BE1605" s="15" t="s">
        <v>6903</v>
      </c>
      <c r="BJ1605" s="15" t="s">
        <v>6866</v>
      </c>
      <c r="BN1605" s="15" t="s">
        <v>179</v>
      </c>
      <c r="BP1605" s="15" t="s">
        <v>138</v>
      </c>
      <c r="BS1605" s="15" t="s">
        <v>6904</v>
      </c>
      <c r="DH1605" s="15" t="s">
        <v>17982</v>
      </c>
      <c r="DI1605" s="15" t="s">
        <v>17982</v>
      </c>
    </row>
    <row r="1606" spans="1:113" s="15" customFormat="1" ht="12.75" x14ac:dyDescent="0.2">
      <c r="A1606" s="15" t="s">
        <v>109</v>
      </c>
      <c r="B1606" s="15" t="s">
        <v>110</v>
      </c>
      <c r="D1606" s="15" t="s">
        <v>203</v>
      </c>
      <c r="E1606" s="15" t="s">
        <v>112</v>
      </c>
      <c r="F1606" s="15" t="s">
        <v>203</v>
      </c>
      <c r="G1606" s="15" t="s">
        <v>113</v>
      </c>
      <c r="H1606" s="15" t="s">
        <v>111</v>
      </c>
      <c r="J1606" s="16" t="s">
        <v>114</v>
      </c>
      <c r="U1606" s="15" t="s">
        <v>17977</v>
      </c>
      <c r="W1606" s="15">
        <v>1341</v>
      </c>
      <c r="X1606" s="15">
        <v>1616</v>
      </c>
      <c r="Y1606" s="15" t="s">
        <v>160</v>
      </c>
      <c r="Z1606" s="15" t="s">
        <v>161</v>
      </c>
      <c r="AA1606" s="15" t="s">
        <v>162</v>
      </c>
      <c r="AB1606" s="15" t="s">
        <v>6905</v>
      </c>
      <c r="AC1606" s="15" t="s">
        <v>6905</v>
      </c>
      <c r="AD1606" s="15" t="s">
        <v>6906</v>
      </c>
      <c r="AE1606" s="15" t="s">
        <v>164</v>
      </c>
      <c r="AF1606" s="15" t="s">
        <v>6906</v>
      </c>
      <c r="AG1606" s="15" t="s">
        <v>6905</v>
      </c>
      <c r="AH1606" s="20" t="s">
        <v>6907</v>
      </c>
      <c r="AL1606" s="15" t="s">
        <v>6908</v>
      </c>
      <c r="AN1606" s="15">
        <v>743</v>
      </c>
      <c r="AO1606" s="15" t="s">
        <v>6909</v>
      </c>
      <c r="AQ1606" s="20" t="s">
        <v>2747</v>
      </c>
      <c r="AT1606" s="15" t="s">
        <v>6861</v>
      </c>
      <c r="AU1606" s="15" t="s">
        <v>6910</v>
      </c>
      <c r="AV1606" s="15" t="s">
        <v>6910</v>
      </c>
      <c r="AW1606" s="15" t="s">
        <v>6911</v>
      </c>
      <c r="AX1606" s="15" t="s">
        <v>6911</v>
      </c>
      <c r="AY1606" s="15">
        <f t="shared" si="37"/>
        <v>53</v>
      </c>
      <c r="AZ1606" s="15" t="s">
        <v>2752</v>
      </c>
      <c r="BA1606" s="15" t="s">
        <v>2753</v>
      </c>
      <c r="BB1606" s="15" t="s">
        <v>6864</v>
      </c>
      <c r="BE1606" s="15" t="s">
        <v>6912</v>
      </c>
      <c r="BJ1606" s="15" t="s">
        <v>6866</v>
      </c>
      <c r="BN1606" s="15" t="s">
        <v>179</v>
      </c>
      <c r="BP1606" s="15" t="s">
        <v>138</v>
      </c>
      <c r="BS1606" s="15" t="s">
        <v>6913</v>
      </c>
      <c r="DH1606" s="15" t="s">
        <v>17982</v>
      </c>
      <c r="DI1606" s="15" t="s">
        <v>17982</v>
      </c>
    </row>
    <row r="1607" spans="1:113" s="15" customFormat="1" ht="12.75" x14ac:dyDescent="0.2">
      <c r="A1607" s="15" t="s">
        <v>109</v>
      </c>
      <c r="B1607" s="15" t="s">
        <v>110</v>
      </c>
      <c r="D1607" s="15" t="s">
        <v>203</v>
      </c>
      <c r="E1607" s="15" t="s">
        <v>112</v>
      </c>
      <c r="F1607" s="15" t="s">
        <v>203</v>
      </c>
      <c r="G1607" s="15" t="s">
        <v>113</v>
      </c>
      <c r="H1607" s="15" t="s">
        <v>111</v>
      </c>
      <c r="J1607" s="16" t="s">
        <v>114</v>
      </c>
      <c r="U1607" s="15" t="s">
        <v>17977</v>
      </c>
      <c r="W1607" s="15">
        <v>2509</v>
      </c>
      <c r="X1607" s="15">
        <v>1617</v>
      </c>
      <c r="Y1607" s="15" t="s">
        <v>160</v>
      </c>
      <c r="Z1607" s="15" t="s">
        <v>161</v>
      </c>
      <c r="AA1607" s="15" t="s">
        <v>162</v>
      </c>
      <c r="AB1607" s="15" t="s">
        <v>12316</v>
      </c>
      <c r="AC1607" s="15" t="s">
        <v>12316</v>
      </c>
      <c r="AD1607" s="15" t="s">
        <v>12316</v>
      </c>
      <c r="AE1607" s="15" t="s">
        <v>164</v>
      </c>
      <c r="AF1607" s="15" t="s">
        <v>12316</v>
      </c>
      <c r="AG1607" s="15" t="s">
        <v>12316</v>
      </c>
      <c r="AH1607" s="20" t="s">
        <v>12317</v>
      </c>
      <c r="AL1607" s="15" t="s">
        <v>12318</v>
      </c>
      <c r="AN1607" s="15">
        <v>743</v>
      </c>
      <c r="AO1607" s="15" t="s">
        <v>12319</v>
      </c>
      <c r="AQ1607" s="20" t="s">
        <v>2747</v>
      </c>
      <c r="AT1607" s="15" t="s">
        <v>12320</v>
      </c>
      <c r="AU1607" s="15" t="s">
        <v>12321</v>
      </c>
      <c r="AV1607" s="15" t="s">
        <v>12321</v>
      </c>
      <c r="AW1607" s="15" t="s">
        <v>12322</v>
      </c>
      <c r="AX1607" s="15" t="s">
        <v>12322</v>
      </c>
      <c r="AY1607" s="15">
        <f t="shared" si="37"/>
        <v>54</v>
      </c>
      <c r="AZ1607" s="15" t="s">
        <v>2752</v>
      </c>
      <c r="BA1607" s="15" t="s">
        <v>2753</v>
      </c>
      <c r="BB1607" s="15" t="s">
        <v>12323</v>
      </c>
      <c r="BE1607" s="15" t="s">
        <v>12324</v>
      </c>
      <c r="BJ1607" s="15" t="s">
        <v>12325</v>
      </c>
      <c r="BN1607" s="15" t="s">
        <v>179</v>
      </c>
      <c r="BP1607" s="15" t="s">
        <v>138</v>
      </c>
      <c r="BS1607" s="15" t="s">
        <v>12326</v>
      </c>
      <c r="DH1607" s="15" t="s">
        <v>17982</v>
      </c>
      <c r="DI1607" s="15" t="s">
        <v>17982</v>
      </c>
    </row>
    <row r="1608" spans="1:113" s="15" customFormat="1" ht="12.75" x14ac:dyDescent="0.2">
      <c r="A1608" s="15" t="s">
        <v>109</v>
      </c>
      <c r="B1608" s="15" t="s">
        <v>110</v>
      </c>
      <c r="D1608" s="15" t="s">
        <v>203</v>
      </c>
      <c r="E1608" s="15" t="s">
        <v>112</v>
      </c>
      <c r="F1608" s="15" t="s">
        <v>203</v>
      </c>
      <c r="G1608" s="15" t="s">
        <v>113</v>
      </c>
      <c r="H1608" s="15" t="s">
        <v>111</v>
      </c>
      <c r="J1608" s="16" t="s">
        <v>114</v>
      </c>
      <c r="U1608" s="15" t="s">
        <v>17977</v>
      </c>
      <c r="W1608" s="15">
        <v>2510</v>
      </c>
      <c r="X1608" s="15">
        <v>1618</v>
      </c>
      <c r="Y1608" s="15" t="s">
        <v>160</v>
      </c>
      <c r="Z1608" s="15" t="s">
        <v>161</v>
      </c>
      <c r="AA1608" s="15" t="s">
        <v>162</v>
      </c>
      <c r="AB1608" s="15" t="s">
        <v>12327</v>
      </c>
      <c r="AC1608" s="15" t="s">
        <v>12327</v>
      </c>
      <c r="AD1608" s="15" t="s">
        <v>12327</v>
      </c>
      <c r="AE1608" s="15" t="s">
        <v>164</v>
      </c>
      <c r="AF1608" s="15" t="s">
        <v>12327</v>
      </c>
      <c r="AG1608" s="15" t="s">
        <v>12327</v>
      </c>
      <c r="AH1608" s="20" t="s">
        <v>12328</v>
      </c>
      <c r="AL1608" s="15" t="s">
        <v>12329</v>
      </c>
      <c r="AN1608" s="15">
        <v>743</v>
      </c>
      <c r="AO1608" s="15" t="s">
        <v>12330</v>
      </c>
      <c r="AQ1608" s="20" t="s">
        <v>2747</v>
      </c>
      <c r="AT1608" s="15" t="s">
        <v>12331</v>
      </c>
      <c r="AU1608" s="15" t="s">
        <v>12332</v>
      </c>
      <c r="AV1608" s="15" t="s">
        <v>12332</v>
      </c>
      <c r="AW1608" s="15" t="s">
        <v>12333</v>
      </c>
      <c r="AX1608" s="15" t="s">
        <v>12333</v>
      </c>
      <c r="AY1608" s="15">
        <f t="shared" si="37"/>
        <v>54</v>
      </c>
      <c r="AZ1608" s="15" t="s">
        <v>2752</v>
      </c>
      <c r="BA1608" s="15" t="s">
        <v>2753</v>
      </c>
      <c r="BB1608" s="15" t="s">
        <v>12323</v>
      </c>
      <c r="BE1608" s="15" t="s">
        <v>12334</v>
      </c>
      <c r="BJ1608" s="15" t="s">
        <v>12325</v>
      </c>
      <c r="BN1608" s="15" t="s">
        <v>179</v>
      </c>
      <c r="BP1608" s="15" t="s">
        <v>138</v>
      </c>
      <c r="BS1608" s="15" t="s">
        <v>12335</v>
      </c>
      <c r="DH1608" s="15" t="s">
        <v>17982</v>
      </c>
      <c r="DI1608" s="15" t="s">
        <v>17982</v>
      </c>
    </row>
    <row r="1609" spans="1:113" s="15" customFormat="1" ht="12.75" x14ac:dyDescent="0.2">
      <c r="A1609" s="15" t="s">
        <v>109</v>
      </c>
      <c r="B1609" s="15" t="s">
        <v>110</v>
      </c>
      <c r="D1609" s="15" t="s">
        <v>203</v>
      </c>
      <c r="E1609" s="15" t="s">
        <v>112</v>
      </c>
      <c r="F1609" s="15" t="s">
        <v>203</v>
      </c>
      <c r="G1609" s="15" t="s">
        <v>113</v>
      </c>
      <c r="H1609" s="15" t="s">
        <v>111</v>
      </c>
      <c r="J1609" s="16" t="s">
        <v>114</v>
      </c>
      <c r="U1609" s="15" t="s">
        <v>17977</v>
      </c>
      <c r="W1609" s="15">
        <v>657</v>
      </c>
      <c r="X1609" s="15">
        <v>1619</v>
      </c>
      <c r="Y1609" s="15" t="s">
        <v>160</v>
      </c>
      <c r="Z1609" s="15" t="s">
        <v>161</v>
      </c>
      <c r="AA1609" s="15" t="s">
        <v>162</v>
      </c>
      <c r="AB1609" s="15" t="s">
        <v>2344</v>
      </c>
      <c r="AC1609" s="15" t="s">
        <v>2344</v>
      </c>
      <c r="AD1609" s="15" t="s">
        <v>2344</v>
      </c>
      <c r="AE1609" s="15" t="s">
        <v>164</v>
      </c>
      <c r="AF1609" s="15" t="s">
        <v>2344</v>
      </c>
      <c r="AG1609" s="15" t="s">
        <v>2344</v>
      </c>
      <c r="AH1609" s="20" t="s">
        <v>2345</v>
      </c>
      <c r="AL1609" s="15" t="s">
        <v>2346</v>
      </c>
      <c r="AN1609" s="15">
        <v>743</v>
      </c>
      <c r="AO1609" s="15" t="s">
        <v>2347</v>
      </c>
      <c r="AQ1609" s="20" t="s">
        <v>1591</v>
      </c>
      <c r="AT1609" s="15" t="s">
        <v>2348</v>
      </c>
      <c r="AU1609" s="15" t="s">
        <v>2349</v>
      </c>
      <c r="AV1609" s="15" t="s">
        <v>2349</v>
      </c>
      <c r="AW1609" s="15" t="s">
        <v>2350</v>
      </c>
      <c r="AX1609" s="15" t="s">
        <v>2351</v>
      </c>
      <c r="AY1609" s="15">
        <f t="shared" si="37"/>
        <v>57</v>
      </c>
      <c r="AZ1609" s="15" t="s">
        <v>214</v>
      </c>
      <c r="BA1609" s="15" t="s">
        <v>2331</v>
      </c>
      <c r="BB1609" s="15" t="s">
        <v>2310</v>
      </c>
      <c r="BE1609" s="15" t="s">
        <v>2332</v>
      </c>
      <c r="BJ1609" s="15" t="s">
        <v>2352</v>
      </c>
      <c r="BN1609" s="15" t="s">
        <v>179</v>
      </c>
      <c r="BP1609" s="15" t="s">
        <v>138</v>
      </c>
      <c r="BS1609" s="15" t="s">
        <v>2353</v>
      </c>
      <c r="DH1609" s="15" t="s">
        <v>17982</v>
      </c>
      <c r="DI1609" s="15" t="s">
        <v>17982</v>
      </c>
    </row>
    <row r="1610" spans="1:113" s="15" customFormat="1" ht="12.75" x14ac:dyDescent="0.2">
      <c r="A1610" s="15" t="s">
        <v>109</v>
      </c>
      <c r="B1610" s="15" t="s">
        <v>110</v>
      </c>
      <c r="D1610" s="15" t="s">
        <v>203</v>
      </c>
      <c r="E1610" s="15" t="s">
        <v>112</v>
      </c>
      <c r="F1610" s="15" t="s">
        <v>203</v>
      </c>
      <c r="G1610" s="15" t="s">
        <v>113</v>
      </c>
      <c r="H1610" s="15" t="s">
        <v>111</v>
      </c>
      <c r="J1610" s="16" t="s">
        <v>114</v>
      </c>
      <c r="U1610" s="15" t="s">
        <v>17977</v>
      </c>
      <c r="W1610" s="15">
        <v>658</v>
      </c>
      <c r="X1610" s="15">
        <v>1620</v>
      </c>
      <c r="Y1610" s="15" t="s">
        <v>160</v>
      </c>
      <c r="Z1610" s="15" t="s">
        <v>161</v>
      </c>
      <c r="AA1610" s="15" t="s">
        <v>162</v>
      </c>
      <c r="AB1610" s="15" t="s">
        <v>2354</v>
      </c>
      <c r="AC1610" s="15" t="s">
        <v>2354</v>
      </c>
      <c r="AD1610" s="15" t="s">
        <v>2354</v>
      </c>
      <c r="AE1610" s="15" t="s">
        <v>164</v>
      </c>
      <c r="AF1610" s="15" t="s">
        <v>2354</v>
      </c>
      <c r="AG1610" s="15" t="s">
        <v>2354</v>
      </c>
      <c r="AH1610" s="20" t="s">
        <v>2355</v>
      </c>
      <c r="AL1610" s="15" t="s">
        <v>2346</v>
      </c>
      <c r="AN1610" s="15">
        <v>743</v>
      </c>
      <c r="AO1610" s="15" t="s">
        <v>2356</v>
      </c>
      <c r="AQ1610" s="20" t="s">
        <v>1591</v>
      </c>
      <c r="AT1610" s="15" t="s">
        <v>2357</v>
      </c>
      <c r="AU1610" s="15" t="s">
        <v>2358</v>
      </c>
      <c r="AV1610" s="15" t="s">
        <v>2358</v>
      </c>
      <c r="AW1610" s="15" t="s">
        <v>2359</v>
      </c>
      <c r="AX1610" s="15" t="s">
        <v>2360</v>
      </c>
      <c r="AY1610" s="15">
        <f t="shared" ref="AY1610:AY1641" si="38">LEN(SUBSTITUTE(AX1610, ", ",","))</f>
        <v>57</v>
      </c>
      <c r="AZ1610" s="15" t="s">
        <v>214</v>
      </c>
      <c r="BA1610" s="15" t="s">
        <v>2331</v>
      </c>
      <c r="BB1610" s="15" t="s">
        <v>2310</v>
      </c>
      <c r="BE1610" s="15" t="s">
        <v>2342</v>
      </c>
      <c r="BJ1610" s="15" t="s">
        <v>2352</v>
      </c>
      <c r="BN1610" s="15" t="s">
        <v>179</v>
      </c>
      <c r="BP1610" s="15" t="s">
        <v>138</v>
      </c>
      <c r="BS1610" s="15" t="s">
        <v>2361</v>
      </c>
      <c r="DH1610" s="15" t="s">
        <v>17982</v>
      </c>
      <c r="DI1610" s="15" t="s">
        <v>17982</v>
      </c>
    </row>
    <row r="1611" spans="1:113" s="15" customFormat="1" ht="12.75" x14ac:dyDescent="0.2">
      <c r="A1611" s="15" t="s">
        <v>109</v>
      </c>
      <c r="B1611" s="15" t="s">
        <v>110</v>
      </c>
      <c r="D1611" s="15" t="s">
        <v>203</v>
      </c>
      <c r="E1611" s="15" t="s">
        <v>112</v>
      </c>
      <c r="F1611" s="15" t="s">
        <v>203</v>
      </c>
      <c r="G1611" s="15" t="s">
        <v>113</v>
      </c>
      <c r="H1611" s="15" t="s">
        <v>111</v>
      </c>
      <c r="J1611" s="16" t="s">
        <v>114</v>
      </c>
      <c r="U1611" s="15" t="s">
        <v>17977</v>
      </c>
      <c r="W1611" s="15">
        <v>655</v>
      </c>
      <c r="X1611" s="15">
        <v>1621</v>
      </c>
      <c r="Y1611" s="15" t="s">
        <v>160</v>
      </c>
      <c r="Z1611" s="15" t="s">
        <v>161</v>
      </c>
      <c r="AA1611" s="15" t="s">
        <v>162</v>
      </c>
      <c r="AB1611" s="15" t="s">
        <v>2323</v>
      </c>
      <c r="AC1611" s="15" t="s">
        <v>2323</v>
      </c>
      <c r="AD1611" s="15" t="s">
        <v>2323</v>
      </c>
      <c r="AE1611" s="15" t="s">
        <v>164</v>
      </c>
      <c r="AF1611" s="15" t="s">
        <v>2323</v>
      </c>
      <c r="AG1611" s="15" t="s">
        <v>2323</v>
      </c>
      <c r="AH1611" s="20" t="s">
        <v>2324</v>
      </c>
      <c r="AL1611" s="15" t="s">
        <v>2325</v>
      </c>
      <c r="AN1611" s="15">
        <v>743</v>
      </c>
      <c r="AO1611" s="15" t="s">
        <v>2326</v>
      </c>
      <c r="AQ1611" s="20" t="s">
        <v>1591</v>
      </c>
      <c r="AT1611" s="15" t="s">
        <v>2327</v>
      </c>
      <c r="AU1611" s="15" t="s">
        <v>2328</v>
      </c>
      <c r="AV1611" s="15" t="s">
        <v>2328</v>
      </c>
      <c r="AW1611" s="15" t="s">
        <v>2329</v>
      </c>
      <c r="AX1611" s="15" t="s">
        <v>2330</v>
      </c>
      <c r="AY1611" s="15">
        <f t="shared" si="38"/>
        <v>57</v>
      </c>
      <c r="AZ1611" s="15" t="s">
        <v>214</v>
      </c>
      <c r="BA1611" s="15" t="s">
        <v>2331</v>
      </c>
      <c r="BB1611" s="15" t="s">
        <v>2310</v>
      </c>
      <c r="BE1611" s="15" t="s">
        <v>2332</v>
      </c>
      <c r="BJ1611" s="15" t="s">
        <v>2333</v>
      </c>
      <c r="BN1611" s="15" t="s">
        <v>179</v>
      </c>
      <c r="BP1611" s="15" t="s">
        <v>138</v>
      </c>
      <c r="BS1611" s="15" t="s">
        <v>2334</v>
      </c>
      <c r="DH1611" s="15" t="s">
        <v>17982</v>
      </c>
      <c r="DI1611" s="15" t="s">
        <v>17982</v>
      </c>
    </row>
    <row r="1612" spans="1:113" s="15" customFormat="1" ht="12.75" x14ac:dyDescent="0.2">
      <c r="A1612" s="15" t="s">
        <v>109</v>
      </c>
      <c r="B1612" s="15" t="s">
        <v>110</v>
      </c>
      <c r="D1612" s="15" t="s">
        <v>203</v>
      </c>
      <c r="E1612" s="15" t="s">
        <v>112</v>
      </c>
      <c r="F1612" s="15" t="s">
        <v>203</v>
      </c>
      <c r="G1612" s="15" t="s">
        <v>113</v>
      </c>
      <c r="H1612" s="15" t="s">
        <v>111</v>
      </c>
      <c r="J1612" s="16" t="s">
        <v>114</v>
      </c>
      <c r="U1612" s="15" t="s">
        <v>17977</v>
      </c>
      <c r="W1612" s="15">
        <v>656</v>
      </c>
      <c r="X1612" s="15">
        <v>1622</v>
      </c>
      <c r="Y1612" s="15" t="s">
        <v>160</v>
      </c>
      <c r="Z1612" s="15" t="s">
        <v>161</v>
      </c>
      <c r="AA1612" s="15" t="s">
        <v>162</v>
      </c>
      <c r="AB1612" s="15" t="s">
        <v>2335</v>
      </c>
      <c r="AC1612" s="15" t="s">
        <v>2335</v>
      </c>
      <c r="AD1612" s="15" t="s">
        <v>2335</v>
      </c>
      <c r="AE1612" s="15" t="s">
        <v>164</v>
      </c>
      <c r="AF1612" s="15" t="s">
        <v>2335</v>
      </c>
      <c r="AG1612" s="15" t="s">
        <v>2335</v>
      </c>
      <c r="AH1612" s="20" t="s">
        <v>2336</v>
      </c>
      <c r="AL1612" s="15" t="s">
        <v>2325</v>
      </c>
      <c r="AN1612" s="15">
        <v>743</v>
      </c>
      <c r="AO1612" s="15" t="s">
        <v>2337</v>
      </c>
      <c r="AQ1612" s="20" t="s">
        <v>1591</v>
      </c>
      <c r="AT1612" s="15" t="s">
        <v>2338</v>
      </c>
      <c r="AU1612" s="15" t="s">
        <v>2339</v>
      </c>
      <c r="AV1612" s="15" t="s">
        <v>2339</v>
      </c>
      <c r="AW1612" s="15" t="s">
        <v>2340</v>
      </c>
      <c r="AX1612" s="15" t="s">
        <v>2341</v>
      </c>
      <c r="AY1612" s="15">
        <f t="shared" si="38"/>
        <v>57</v>
      </c>
      <c r="AZ1612" s="15" t="s">
        <v>214</v>
      </c>
      <c r="BA1612" s="15" t="s">
        <v>2331</v>
      </c>
      <c r="BB1612" s="15" t="s">
        <v>2310</v>
      </c>
      <c r="BE1612" s="15" t="s">
        <v>2342</v>
      </c>
      <c r="BJ1612" s="15" t="s">
        <v>2333</v>
      </c>
      <c r="BN1612" s="15" t="s">
        <v>179</v>
      </c>
      <c r="BP1612" s="15" t="s">
        <v>138</v>
      </c>
      <c r="BS1612" s="15" t="s">
        <v>2343</v>
      </c>
      <c r="DH1612" s="15" t="s">
        <v>17982</v>
      </c>
      <c r="DI1612" s="15" t="s">
        <v>17982</v>
      </c>
    </row>
    <row r="1613" spans="1:113" s="15" customFormat="1" ht="12.75" x14ac:dyDescent="0.2">
      <c r="A1613" s="15" t="s">
        <v>109</v>
      </c>
      <c r="B1613" s="15" t="s">
        <v>110</v>
      </c>
      <c r="D1613" s="15" t="s">
        <v>203</v>
      </c>
      <c r="E1613" s="15" t="s">
        <v>112</v>
      </c>
      <c r="F1613" s="15" t="s">
        <v>203</v>
      </c>
      <c r="G1613" s="15" t="s">
        <v>113</v>
      </c>
      <c r="H1613" s="15" t="s">
        <v>111</v>
      </c>
      <c r="J1613" s="16" t="s">
        <v>114</v>
      </c>
      <c r="U1613" s="15" t="s">
        <v>17977</v>
      </c>
      <c r="W1613" s="15">
        <v>1323</v>
      </c>
      <c r="X1613" s="15">
        <v>1623</v>
      </c>
      <c r="Y1613" s="15" t="s">
        <v>160</v>
      </c>
      <c r="Z1613" s="15" t="s">
        <v>161</v>
      </c>
      <c r="AA1613" s="15" t="s">
        <v>162</v>
      </c>
      <c r="AB1613" s="15" t="s">
        <v>6807</v>
      </c>
      <c r="AC1613" s="15" t="s">
        <v>6807</v>
      </c>
      <c r="AD1613" s="15" t="s">
        <v>6807</v>
      </c>
      <c r="AE1613" s="15" t="s">
        <v>164</v>
      </c>
      <c r="AF1613" s="15" t="s">
        <v>6807</v>
      </c>
      <c r="AG1613" s="15" t="s">
        <v>6807</v>
      </c>
      <c r="AH1613" s="20" t="s">
        <v>6808</v>
      </c>
      <c r="AL1613" s="15" t="s">
        <v>6809</v>
      </c>
      <c r="AN1613" s="15">
        <v>743</v>
      </c>
      <c r="AO1613" s="15" t="s">
        <v>6810</v>
      </c>
      <c r="AQ1613" s="20" t="s">
        <v>6789</v>
      </c>
      <c r="AT1613" s="15" t="s">
        <v>6811</v>
      </c>
      <c r="AU1613" s="15" t="s">
        <v>6812</v>
      </c>
      <c r="AV1613" s="15" t="s">
        <v>6812</v>
      </c>
      <c r="AW1613" s="15" t="s">
        <v>6813</v>
      </c>
      <c r="AX1613" s="15" t="s">
        <v>6814</v>
      </c>
      <c r="AY1613" s="15">
        <f t="shared" si="38"/>
        <v>56</v>
      </c>
      <c r="AZ1613" s="15" t="s">
        <v>288</v>
      </c>
      <c r="BA1613" s="15" t="s">
        <v>2331</v>
      </c>
      <c r="BB1613" s="15" t="s">
        <v>6781</v>
      </c>
      <c r="BE1613" s="15" t="s">
        <v>6815</v>
      </c>
      <c r="BJ1613" s="15" t="s">
        <v>6795</v>
      </c>
      <c r="BN1613" s="15" t="s">
        <v>179</v>
      </c>
      <c r="BP1613" s="15" t="s">
        <v>138</v>
      </c>
      <c r="BS1613" s="15" t="s">
        <v>6816</v>
      </c>
      <c r="DH1613" s="15" t="s">
        <v>17982</v>
      </c>
      <c r="DI1613" s="15" t="s">
        <v>17982</v>
      </c>
    </row>
    <row r="1614" spans="1:113" s="15" customFormat="1" ht="12.75" x14ac:dyDescent="0.2">
      <c r="A1614" s="15" t="s">
        <v>109</v>
      </c>
      <c r="B1614" s="15" t="s">
        <v>110</v>
      </c>
      <c r="D1614" s="15" t="s">
        <v>203</v>
      </c>
      <c r="E1614" s="15" t="s">
        <v>112</v>
      </c>
      <c r="F1614" s="15" t="s">
        <v>203</v>
      </c>
      <c r="G1614" s="15" t="s">
        <v>113</v>
      </c>
      <c r="H1614" s="15" t="s">
        <v>111</v>
      </c>
      <c r="J1614" s="16" t="s">
        <v>114</v>
      </c>
      <c r="U1614" s="15" t="s">
        <v>17977</v>
      </c>
      <c r="W1614" s="15">
        <v>1322</v>
      </c>
      <c r="X1614" s="15">
        <v>1624</v>
      </c>
      <c r="Y1614" s="15" t="s">
        <v>160</v>
      </c>
      <c r="Z1614" s="15" t="s">
        <v>161</v>
      </c>
      <c r="AA1614" s="15" t="s">
        <v>162</v>
      </c>
      <c r="AB1614" s="15" t="s">
        <v>6797</v>
      </c>
      <c r="AC1614" s="15" t="s">
        <v>6797</v>
      </c>
      <c r="AD1614" s="15" t="s">
        <v>6797</v>
      </c>
      <c r="AE1614" s="15" t="s">
        <v>164</v>
      </c>
      <c r="AF1614" s="15" t="s">
        <v>6797</v>
      </c>
      <c r="AG1614" s="15" t="s">
        <v>6797</v>
      </c>
      <c r="AH1614" s="20" t="s">
        <v>6798</v>
      </c>
      <c r="AL1614" s="15" t="s">
        <v>6799</v>
      </c>
      <c r="AN1614" s="15">
        <v>743</v>
      </c>
      <c r="AO1614" s="15" t="s">
        <v>6800</v>
      </c>
      <c r="AQ1614" s="20" t="s">
        <v>6789</v>
      </c>
      <c r="AT1614" s="15" t="s">
        <v>6801</v>
      </c>
      <c r="AU1614" s="15" t="s">
        <v>6802</v>
      </c>
      <c r="AV1614" s="15" t="s">
        <v>6802</v>
      </c>
      <c r="AW1614" s="15" t="s">
        <v>6803</v>
      </c>
      <c r="AX1614" s="15" t="s">
        <v>6804</v>
      </c>
      <c r="AY1614" s="15">
        <f t="shared" si="38"/>
        <v>60</v>
      </c>
      <c r="AZ1614" s="15" t="s">
        <v>288</v>
      </c>
      <c r="BA1614" s="15" t="s">
        <v>2331</v>
      </c>
      <c r="BB1614" s="15" t="s">
        <v>6781</v>
      </c>
      <c r="BE1614" s="15" t="s">
        <v>6805</v>
      </c>
      <c r="BJ1614" s="15" t="s">
        <v>6795</v>
      </c>
      <c r="BN1614" s="15" t="s">
        <v>179</v>
      </c>
      <c r="BP1614" s="15" t="s">
        <v>138</v>
      </c>
      <c r="BS1614" s="15" t="s">
        <v>6806</v>
      </c>
      <c r="DH1614" s="15" t="s">
        <v>17982</v>
      </c>
      <c r="DI1614" s="15" t="s">
        <v>17982</v>
      </c>
    </row>
    <row r="1615" spans="1:113" s="15" customFormat="1" ht="12.75" x14ac:dyDescent="0.2">
      <c r="A1615" s="15" t="s">
        <v>109</v>
      </c>
      <c r="B1615" s="15" t="s">
        <v>110</v>
      </c>
      <c r="D1615" s="15" t="s">
        <v>203</v>
      </c>
      <c r="E1615" s="15" t="s">
        <v>112</v>
      </c>
      <c r="F1615" s="15" t="s">
        <v>203</v>
      </c>
      <c r="G1615" s="15" t="s">
        <v>113</v>
      </c>
      <c r="H1615" s="15" t="s">
        <v>111</v>
      </c>
      <c r="J1615" s="16" t="s">
        <v>114</v>
      </c>
      <c r="U1615" s="15" t="s">
        <v>17977</v>
      </c>
      <c r="W1615" s="15">
        <v>1321</v>
      </c>
      <c r="X1615" s="15">
        <v>1625</v>
      </c>
      <c r="Y1615" s="15" t="s">
        <v>160</v>
      </c>
      <c r="Z1615" s="15" t="s">
        <v>161</v>
      </c>
      <c r="AA1615" s="15" t="s">
        <v>162</v>
      </c>
      <c r="AB1615" s="15" t="s">
        <v>6785</v>
      </c>
      <c r="AC1615" s="15" t="s">
        <v>6785</v>
      </c>
      <c r="AD1615" s="15" t="s">
        <v>6785</v>
      </c>
      <c r="AE1615" s="15" t="s">
        <v>164</v>
      </c>
      <c r="AF1615" s="15" t="s">
        <v>6785</v>
      </c>
      <c r="AG1615" s="15" t="s">
        <v>6785</v>
      </c>
      <c r="AH1615" s="20" t="s">
        <v>6786</v>
      </c>
      <c r="AL1615" s="15" t="s">
        <v>6787</v>
      </c>
      <c r="AN1615" s="15">
        <v>743</v>
      </c>
      <c r="AO1615" s="15" t="s">
        <v>6788</v>
      </c>
      <c r="AQ1615" s="20" t="s">
        <v>6789</v>
      </c>
      <c r="AT1615" s="15" t="s">
        <v>6790</v>
      </c>
      <c r="AU1615" s="15" t="s">
        <v>6791</v>
      </c>
      <c r="AV1615" s="15" t="s">
        <v>6791</v>
      </c>
      <c r="AW1615" s="15" t="s">
        <v>6792</v>
      </c>
      <c r="AX1615" s="15" t="s">
        <v>6793</v>
      </c>
      <c r="AY1615" s="15">
        <f t="shared" si="38"/>
        <v>58</v>
      </c>
      <c r="AZ1615" s="15" t="s">
        <v>288</v>
      </c>
      <c r="BA1615" s="15" t="s">
        <v>2331</v>
      </c>
      <c r="BB1615" s="15" t="s">
        <v>6781</v>
      </c>
      <c r="BE1615" s="15" t="s">
        <v>6794</v>
      </c>
      <c r="BJ1615" s="15" t="s">
        <v>6795</v>
      </c>
      <c r="BN1615" s="15" t="s">
        <v>179</v>
      </c>
      <c r="BP1615" s="15" t="s">
        <v>138</v>
      </c>
      <c r="BS1615" s="15" t="s">
        <v>6796</v>
      </c>
      <c r="DH1615" s="15" t="s">
        <v>17982</v>
      </c>
      <c r="DI1615" s="15" t="s">
        <v>17982</v>
      </c>
    </row>
    <row r="1616" spans="1:113" s="15" customFormat="1" ht="12.75" x14ac:dyDescent="0.2">
      <c r="A1616" s="15" t="s">
        <v>109</v>
      </c>
      <c r="B1616" s="15" t="s">
        <v>110</v>
      </c>
      <c r="D1616" s="15" t="s">
        <v>203</v>
      </c>
      <c r="E1616" s="15" t="s">
        <v>112</v>
      </c>
      <c r="F1616" s="15" t="s">
        <v>203</v>
      </c>
      <c r="G1616" s="15" t="s">
        <v>113</v>
      </c>
      <c r="H1616" s="15" t="s">
        <v>111</v>
      </c>
      <c r="J1616" s="16" t="s">
        <v>114</v>
      </c>
      <c r="U1616" s="15" t="s">
        <v>17977</v>
      </c>
      <c r="W1616" s="15">
        <v>20</v>
      </c>
      <c r="X1616" s="15">
        <v>1626</v>
      </c>
      <c r="Y1616" s="15" t="s">
        <v>160</v>
      </c>
      <c r="Z1616" s="15" t="s">
        <v>161</v>
      </c>
      <c r="AA1616" s="15" t="s">
        <v>162</v>
      </c>
      <c r="AB1616" s="15" t="s">
        <v>293</v>
      </c>
      <c r="AC1616" s="15" t="s">
        <v>293</v>
      </c>
      <c r="AD1616" s="15" t="s">
        <v>293</v>
      </c>
      <c r="AE1616" s="15" t="s">
        <v>164</v>
      </c>
      <c r="AF1616" s="15" t="s">
        <v>293</v>
      </c>
      <c r="AG1616" s="15" t="s">
        <v>293</v>
      </c>
      <c r="AH1616" s="20" t="s">
        <v>294</v>
      </c>
      <c r="AL1616" s="15" t="s">
        <v>295</v>
      </c>
      <c r="AN1616" s="15">
        <v>743</v>
      </c>
      <c r="AO1616" s="15" t="s">
        <v>296</v>
      </c>
      <c r="AQ1616" s="20" t="s">
        <v>283</v>
      </c>
      <c r="AT1616" s="15" t="s">
        <v>297</v>
      </c>
      <c r="AU1616" s="15" t="s">
        <v>298</v>
      </c>
      <c r="AV1616" s="15" t="s">
        <v>298</v>
      </c>
      <c r="AW1616" s="15" t="s">
        <v>299</v>
      </c>
      <c r="AX1616" s="15" t="s">
        <v>300</v>
      </c>
      <c r="AY1616" s="15">
        <f t="shared" si="38"/>
        <v>54</v>
      </c>
      <c r="AZ1616" s="15" t="s">
        <v>288</v>
      </c>
      <c r="BA1616" s="15" t="s">
        <v>289</v>
      </c>
      <c r="BB1616" s="15" t="s">
        <v>216</v>
      </c>
      <c r="BE1616" s="15" t="s">
        <v>301</v>
      </c>
      <c r="BJ1616" s="15" t="s">
        <v>291</v>
      </c>
      <c r="BN1616" s="15" t="s">
        <v>179</v>
      </c>
      <c r="BP1616" s="15" t="s">
        <v>138</v>
      </c>
      <c r="BS1616" s="15" t="s">
        <v>302</v>
      </c>
      <c r="DH1616" s="15" t="s">
        <v>17982</v>
      </c>
      <c r="DI1616" s="15" t="s">
        <v>17982</v>
      </c>
    </row>
    <row r="1617" spans="1:113" s="15" customFormat="1" ht="12.75" x14ac:dyDescent="0.2">
      <c r="A1617" s="15" t="s">
        <v>109</v>
      </c>
      <c r="B1617" s="15" t="s">
        <v>110</v>
      </c>
      <c r="D1617" s="15" t="s">
        <v>203</v>
      </c>
      <c r="E1617" s="15" t="s">
        <v>112</v>
      </c>
      <c r="F1617" s="15" t="s">
        <v>203</v>
      </c>
      <c r="G1617" s="15" t="s">
        <v>113</v>
      </c>
      <c r="H1617" s="15" t="s">
        <v>111</v>
      </c>
      <c r="J1617" s="16" t="s">
        <v>114</v>
      </c>
      <c r="U1617" s="15" t="s">
        <v>17977</v>
      </c>
      <c r="W1617" s="15">
        <v>19</v>
      </c>
      <c r="X1617" s="15">
        <v>1627</v>
      </c>
      <c r="Y1617" s="15" t="s">
        <v>160</v>
      </c>
      <c r="Z1617" s="15" t="s">
        <v>161</v>
      </c>
      <c r="AA1617" s="15" t="s">
        <v>162</v>
      </c>
      <c r="AB1617" s="15" t="s">
        <v>279</v>
      </c>
      <c r="AC1617" s="15" t="s">
        <v>279</v>
      </c>
      <c r="AD1617" s="15" t="s">
        <v>279</v>
      </c>
      <c r="AE1617" s="15" t="s">
        <v>164</v>
      </c>
      <c r="AF1617" s="15" t="s">
        <v>279</v>
      </c>
      <c r="AG1617" s="15" t="s">
        <v>279</v>
      </c>
      <c r="AH1617" s="20" t="s">
        <v>280</v>
      </c>
      <c r="AL1617" s="15" t="s">
        <v>281</v>
      </c>
      <c r="AN1617" s="15">
        <v>743</v>
      </c>
      <c r="AO1617" s="15" t="s">
        <v>282</v>
      </c>
      <c r="AQ1617" s="20" t="s">
        <v>283</v>
      </c>
      <c r="AT1617" s="15" t="s">
        <v>284</v>
      </c>
      <c r="AU1617" s="15" t="s">
        <v>285</v>
      </c>
      <c r="AV1617" s="15" t="s">
        <v>285</v>
      </c>
      <c r="AW1617" s="15" t="s">
        <v>286</v>
      </c>
      <c r="AX1617" s="15" t="s">
        <v>287</v>
      </c>
      <c r="AY1617" s="15">
        <f t="shared" si="38"/>
        <v>54</v>
      </c>
      <c r="AZ1617" s="15" t="s">
        <v>288</v>
      </c>
      <c r="BA1617" s="15" t="s">
        <v>289</v>
      </c>
      <c r="BB1617" s="15" t="s">
        <v>216</v>
      </c>
      <c r="BE1617" s="15" t="s">
        <v>290</v>
      </c>
      <c r="BJ1617" s="15" t="s">
        <v>291</v>
      </c>
      <c r="BN1617" s="15" t="s">
        <v>179</v>
      </c>
      <c r="BP1617" s="15" t="s">
        <v>138</v>
      </c>
      <c r="BS1617" s="15" t="s">
        <v>292</v>
      </c>
      <c r="DH1617" s="15" t="s">
        <v>17982</v>
      </c>
      <c r="DI1617" s="15" t="s">
        <v>17982</v>
      </c>
    </row>
    <row r="1618" spans="1:113" s="15" customFormat="1" ht="12.75" x14ac:dyDescent="0.2">
      <c r="A1618" s="15" t="s">
        <v>109</v>
      </c>
      <c r="B1618" s="15" t="s">
        <v>110</v>
      </c>
      <c r="D1618" s="15" t="s">
        <v>203</v>
      </c>
      <c r="E1618" s="15" t="s">
        <v>112</v>
      </c>
      <c r="F1618" s="15" t="s">
        <v>203</v>
      </c>
      <c r="G1618" s="15" t="s">
        <v>113</v>
      </c>
      <c r="H1618" s="15" t="s">
        <v>111</v>
      </c>
      <c r="J1618" s="16" t="s">
        <v>114</v>
      </c>
      <c r="U1618" s="15" t="s">
        <v>17977</v>
      </c>
      <c r="W1618" s="15">
        <v>653</v>
      </c>
      <c r="X1618" s="15">
        <v>1628</v>
      </c>
      <c r="Y1618" s="15" t="s">
        <v>160</v>
      </c>
      <c r="Z1618" s="15" t="s">
        <v>161</v>
      </c>
      <c r="AA1618" s="15" t="s">
        <v>162</v>
      </c>
      <c r="AB1618" s="15" t="s">
        <v>2303</v>
      </c>
      <c r="AC1618" s="15" t="s">
        <v>2303</v>
      </c>
      <c r="AD1618" s="15" t="s">
        <v>2303</v>
      </c>
      <c r="AE1618" s="15" t="s">
        <v>164</v>
      </c>
      <c r="AF1618" s="15" t="s">
        <v>2303</v>
      </c>
      <c r="AG1618" s="15" t="s">
        <v>2303</v>
      </c>
      <c r="AH1618" s="20" t="s">
        <v>2304</v>
      </c>
      <c r="AL1618" s="15" t="s">
        <v>2305</v>
      </c>
      <c r="AN1618" s="15">
        <v>743</v>
      </c>
      <c r="AO1618" s="15" t="s">
        <v>2306</v>
      </c>
      <c r="AQ1618" s="20" t="s">
        <v>283</v>
      </c>
      <c r="AT1618" s="15" t="s">
        <v>2307</v>
      </c>
      <c r="AU1618" s="15" t="s">
        <v>2308</v>
      </c>
      <c r="AV1618" s="15" t="s">
        <v>2308</v>
      </c>
      <c r="AW1618" s="15" t="s">
        <v>2309</v>
      </c>
      <c r="AX1618" s="15" t="s">
        <v>2309</v>
      </c>
      <c r="AY1618" s="15">
        <f t="shared" si="38"/>
        <v>54</v>
      </c>
      <c r="AZ1618" s="15" t="s">
        <v>288</v>
      </c>
      <c r="BA1618" s="15" t="s">
        <v>289</v>
      </c>
      <c r="BB1618" s="15" t="s">
        <v>2310</v>
      </c>
      <c r="BE1618" s="15" t="s">
        <v>2311</v>
      </c>
      <c r="BJ1618" s="15" t="s">
        <v>2312</v>
      </c>
      <c r="BN1618" s="15" t="s">
        <v>179</v>
      </c>
      <c r="BP1618" s="15" t="s">
        <v>138</v>
      </c>
      <c r="BS1618" s="15" t="s">
        <v>2313</v>
      </c>
      <c r="DH1618" s="15" t="s">
        <v>17982</v>
      </c>
      <c r="DI1618" s="15" t="s">
        <v>17982</v>
      </c>
    </row>
    <row r="1619" spans="1:113" s="15" customFormat="1" ht="12.75" x14ac:dyDescent="0.2">
      <c r="A1619" s="15" t="s">
        <v>109</v>
      </c>
      <c r="B1619" s="15" t="s">
        <v>110</v>
      </c>
      <c r="D1619" s="15" t="s">
        <v>203</v>
      </c>
      <c r="E1619" s="15" t="s">
        <v>112</v>
      </c>
      <c r="F1619" s="15" t="s">
        <v>203</v>
      </c>
      <c r="G1619" s="15" t="s">
        <v>113</v>
      </c>
      <c r="H1619" s="15" t="s">
        <v>111</v>
      </c>
      <c r="J1619" s="16" t="s">
        <v>114</v>
      </c>
      <c r="U1619" s="15" t="s">
        <v>17977</v>
      </c>
      <c r="W1619" s="15">
        <v>654</v>
      </c>
      <c r="X1619" s="15">
        <v>1629</v>
      </c>
      <c r="Y1619" s="15" t="s">
        <v>160</v>
      </c>
      <c r="Z1619" s="15" t="s">
        <v>161</v>
      </c>
      <c r="AA1619" s="15" t="s">
        <v>162</v>
      </c>
      <c r="AB1619" s="15" t="s">
        <v>2314</v>
      </c>
      <c r="AC1619" s="15" t="s">
        <v>2314</v>
      </c>
      <c r="AD1619" s="15" t="s">
        <v>2314</v>
      </c>
      <c r="AE1619" s="15" t="s">
        <v>164</v>
      </c>
      <c r="AF1619" s="15" t="s">
        <v>2314</v>
      </c>
      <c r="AG1619" s="15" t="s">
        <v>2314</v>
      </c>
      <c r="AH1619" s="20" t="s">
        <v>2315</v>
      </c>
      <c r="AL1619" s="15" t="s">
        <v>2316</v>
      </c>
      <c r="AN1619" s="15">
        <v>743</v>
      </c>
      <c r="AO1619" s="15" t="s">
        <v>2317</v>
      </c>
      <c r="AQ1619" s="20" t="s">
        <v>283</v>
      </c>
      <c r="AT1619" s="15" t="s">
        <v>2318</v>
      </c>
      <c r="AU1619" s="15" t="s">
        <v>2319</v>
      </c>
      <c r="AV1619" s="15" t="s">
        <v>2319</v>
      </c>
      <c r="AW1619" s="15" t="s">
        <v>2320</v>
      </c>
      <c r="AX1619" s="15" t="s">
        <v>2320</v>
      </c>
      <c r="AY1619" s="15">
        <f t="shared" si="38"/>
        <v>54</v>
      </c>
      <c r="AZ1619" s="15" t="s">
        <v>288</v>
      </c>
      <c r="BA1619" s="15" t="s">
        <v>289</v>
      </c>
      <c r="BB1619" s="15" t="s">
        <v>2310</v>
      </c>
      <c r="BE1619" s="15" t="s">
        <v>2321</v>
      </c>
      <c r="BJ1619" s="15" t="s">
        <v>2312</v>
      </c>
      <c r="BN1619" s="15" t="s">
        <v>179</v>
      </c>
      <c r="BP1619" s="15" t="s">
        <v>138</v>
      </c>
      <c r="BS1619" s="15" t="s">
        <v>2322</v>
      </c>
      <c r="DH1619" s="15" t="s">
        <v>17982</v>
      </c>
      <c r="DI1619" s="15" t="s">
        <v>17982</v>
      </c>
    </row>
    <row r="1620" spans="1:113" s="15" customFormat="1" ht="12.75" x14ac:dyDescent="0.2">
      <c r="A1620" s="15" t="s">
        <v>109</v>
      </c>
      <c r="B1620" s="15" t="s">
        <v>110</v>
      </c>
      <c r="D1620" s="15" t="s">
        <v>203</v>
      </c>
      <c r="E1620" s="15" t="s">
        <v>112</v>
      </c>
      <c r="F1620" s="15" t="s">
        <v>203</v>
      </c>
      <c r="G1620" s="15" t="s">
        <v>113</v>
      </c>
      <c r="H1620" s="15" t="s">
        <v>111</v>
      </c>
      <c r="J1620" s="16" t="s">
        <v>114</v>
      </c>
      <c r="U1620" s="15" t="s">
        <v>17977</v>
      </c>
      <c r="W1620" s="15">
        <v>18</v>
      </c>
      <c r="X1620" s="15">
        <v>1630</v>
      </c>
      <c r="Y1620" s="15" t="s">
        <v>160</v>
      </c>
      <c r="Z1620" s="15" t="s">
        <v>161</v>
      </c>
      <c r="AA1620" s="15" t="s">
        <v>162</v>
      </c>
      <c r="AB1620" s="15" t="s">
        <v>267</v>
      </c>
      <c r="AC1620" s="15" t="s">
        <v>267</v>
      </c>
      <c r="AD1620" s="15" t="s">
        <v>267</v>
      </c>
      <c r="AE1620" s="15" t="s">
        <v>164</v>
      </c>
      <c r="AF1620" s="15" t="s">
        <v>267</v>
      </c>
      <c r="AG1620" s="15" t="s">
        <v>267</v>
      </c>
      <c r="AH1620" s="20" t="s">
        <v>268</v>
      </c>
      <c r="AL1620" s="15" t="s">
        <v>269</v>
      </c>
      <c r="AN1620" s="15">
        <v>743</v>
      </c>
      <c r="AO1620" s="15" t="s">
        <v>270</v>
      </c>
      <c r="AQ1620" s="20" t="s">
        <v>225</v>
      </c>
      <c r="AT1620" s="15" t="s">
        <v>271</v>
      </c>
      <c r="AU1620" s="15" t="s">
        <v>272</v>
      </c>
      <c r="AV1620" s="15" t="s">
        <v>272</v>
      </c>
      <c r="AW1620" s="15" t="s">
        <v>273</v>
      </c>
      <c r="AX1620" s="15" t="s">
        <v>273</v>
      </c>
      <c r="AY1620" s="15">
        <f t="shared" si="38"/>
        <v>53</v>
      </c>
      <c r="AZ1620" s="15" t="s">
        <v>274</v>
      </c>
      <c r="BA1620" s="15" t="s">
        <v>229</v>
      </c>
      <c r="BB1620" s="15" t="s">
        <v>216</v>
      </c>
      <c r="BE1620" s="15" t="s">
        <v>275</v>
      </c>
      <c r="BF1620" s="15" t="s">
        <v>276</v>
      </c>
      <c r="BJ1620" s="15" t="s">
        <v>277</v>
      </c>
      <c r="BN1620" s="15" t="s">
        <v>179</v>
      </c>
      <c r="BP1620" s="15" t="s">
        <v>138</v>
      </c>
      <c r="BS1620" s="15" t="s">
        <v>278</v>
      </c>
      <c r="DH1620" s="15" t="s">
        <v>17982</v>
      </c>
      <c r="DI1620" s="15" t="s">
        <v>17982</v>
      </c>
    </row>
    <row r="1621" spans="1:113" s="15" customFormat="1" ht="12.75" x14ac:dyDescent="0.2">
      <c r="A1621" s="15" t="s">
        <v>109</v>
      </c>
      <c r="B1621" s="15" t="s">
        <v>110</v>
      </c>
      <c r="D1621" s="15" t="s">
        <v>203</v>
      </c>
      <c r="E1621" s="15" t="s">
        <v>112</v>
      </c>
      <c r="F1621" s="15" t="s">
        <v>203</v>
      </c>
      <c r="G1621" s="15" t="s">
        <v>113</v>
      </c>
      <c r="H1621" s="15" t="s">
        <v>111</v>
      </c>
      <c r="J1621" s="16" t="s">
        <v>114</v>
      </c>
      <c r="U1621" s="15" t="s">
        <v>17977</v>
      </c>
      <c r="W1621" s="15">
        <v>585</v>
      </c>
      <c r="X1621" s="15">
        <v>1631</v>
      </c>
      <c r="Y1621" s="15" t="s">
        <v>160</v>
      </c>
      <c r="Z1621" s="15" t="s">
        <v>161</v>
      </c>
      <c r="AA1621" s="15" t="s">
        <v>162</v>
      </c>
      <c r="AB1621" s="15" t="s">
        <v>2242</v>
      </c>
      <c r="AC1621" s="15" t="s">
        <v>2242</v>
      </c>
      <c r="AD1621" s="15" t="s">
        <v>2242</v>
      </c>
      <c r="AE1621" s="15" t="s">
        <v>164</v>
      </c>
      <c r="AF1621" s="15" t="s">
        <v>2242</v>
      </c>
      <c r="AG1621" s="15" t="s">
        <v>2242</v>
      </c>
      <c r="AH1621" s="20" t="s">
        <v>2243</v>
      </c>
      <c r="AL1621" s="15" t="s">
        <v>2244</v>
      </c>
      <c r="AN1621" s="15">
        <v>743</v>
      </c>
      <c r="AO1621" s="15" t="s">
        <v>2245</v>
      </c>
      <c r="AQ1621" s="20" t="s">
        <v>225</v>
      </c>
      <c r="AT1621" s="15" t="s">
        <v>2246</v>
      </c>
      <c r="AU1621" s="15" t="s">
        <v>2247</v>
      </c>
      <c r="AV1621" s="15" t="s">
        <v>2247</v>
      </c>
      <c r="AW1621" s="15" t="s">
        <v>2248</v>
      </c>
      <c r="AX1621" s="15" t="s">
        <v>2248</v>
      </c>
      <c r="AY1621" s="15">
        <f t="shared" si="38"/>
        <v>53</v>
      </c>
      <c r="AZ1621" s="15" t="s">
        <v>229</v>
      </c>
      <c r="BA1621" s="15" t="s">
        <v>174</v>
      </c>
      <c r="BB1621" s="15" t="s">
        <v>2249</v>
      </c>
      <c r="BE1621" s="15" t="s">
        <v>1174</v>
      </c>
      <c r="BF1621" s="15" t="s">
        <v>2250</v>
      </c>
      <c r="BJ1621" s="15" t="s">
        <v>2251</v>
      </c>
      <c r="BN1621" s="15" t="s">
        <v>179</v>
      </c>
      <c r="BP1621" s="15" t="s">
        <v>138</v>
      </c>
      <c r="BS1621" s="15" t="s">
        <v>2252</v>
      </c>
      <c r="DH1621" s="15" t="s">
        <v>17982</v>
      </c>
      <c r="DI1621" s="15" t="s">
        <v>17982</v>
      </c>
    </row>
    <row r="1622" spans="1:113" s="15" customFormat="1" ht="12.75" x14ac:dyDescent="0.2">
      <c r="A1622" s="15" t="s">
        <v>109</v>
      </c>
      <c r="B1622" s="15" t="s">
        <v>110</v>
      </c>
      <c r="D1622" s="15" t="s">
        <v>203</v>
      </c>
      <c r="E1622" s="15" t="s">
        <v>112</v>
      </c>
      <c r="F1622" s="15" t="s">
        <v>203</v>
      </c>
      <c r="G1622" s="15" t="s">
        <v>113</v>
      </c>
      <c r="H1622" s="15" t="s">
        <v>111</v>
      </c>
      <c r="J1622" s="16" t="s">
        <v>114</v>
      </c>
      <c r="U1622" s="15" t="s">
        <v>17977</v>
      </c>
      <c r="W1622" s="15">
        <v>12</v>
      </c>
      <c r="X1622" s="15">
        <v>1632</v>
      </c>
      <c r="Y1622" s="15" t="s">
        <v>160</v>
      </c>
      <c r="Z1622" s="15" t="s">
        <v>161</v>
      </c>
      <c r="AA1622" s="15" t="s">
        <v>162</v>
      </c>
      <c r="AB1622" s="15" t="s">
        <v>204</v>
      </c>
      <c r="AC1622" s="15" t="s">
        <v>204</v>
      </c>
      <c r="AD1622" s="15" t="s">
        <v>204</v>
      </c>
      <c r="AE1622" s="15" t="s">
        <v>164</v>
      </c>
      <c r="AF1622" s="15" t="s">
        <v>204</v>
      </c>
      <c r="AG1622" s="15" t="s">
        <v>204</v>
      </c>
      <c r="AH1622" s="20" t="s">
        <v>205</v>
      </c>
      <c r="AL1622" s="15" t="s">
        <v>206</v>
      </c>
      <c r="AN1622" s="15">
        <v>743</v>
      </c>
      <c r="AO1622" s="15" t="s">
        <v>207</v>
      </c>
      <c r="AQ1622" s="20" t="s">
        <v>208</v>
      </c>
      <c r="AR1622" s="15" t="s">
        <v>209</v>
      </c>
      <c r="AS1622" s="15" t="s">
        <v>210</v>
      </c>
      <c r="AT1622" s="15" t="s">
        <v>211</v>
      </c>
      <c r="AU1622" s="15" t="s">
        <v>212</v>
      </c>
      <c r="AV1622" s="15" t="s">
        <v>212</v>
      </c>
      <c r="AW1622" s="15" t="s">
        <v>213</v>
      </c>
      <c r="AX1622" s="15" t="s">
        <v>213</v>
      </c>
      <c r="AY1622" s="15">
        <f t="shared" si="38"/>
        <v>44</v>
      </c>
      <c r="AZ1622" s="15" t="s">
        <v>214</v>
      </c>
      <c r="BA1622" s="15" t="s">
        <v>215</v>
      </c>
      <c r="BB1622" s="15" t="s">
        <v>216</v>
      </c>
      <c r="BE1622" s="15" t="s">
        <v>176</v>
      </c>
      <c r="BF1622" s="15" t="s">
        <v>217</v>
      </c>
      <c r="BI1622" s="15" t="s">
        <v>218</v>
      </c>
      <c r="BJ1622" s="15" t="s">
        <v>219</v>
      </c>
      <c r="BN1622" s="15" t="s">
        <v>179</v>
      </c>
      <c r="BP1622" s="15" t="s">
        <v>138</v>
      </c>
      <c r="BS1622" s="15" t="s">
        <v>220</v>
      </c>
      <c r="DH1622" s="15" t="s">
        <v>17982</v>
      </c>
      <c r="DI1622" s="15" t="s">
        <v>17982</v>
      </c>
    </row>
    <row r="1623" spans="1:113" s="15" customFormat="1" ht="12.75" x14ac:dyDescent="0.2">
      <c r="A1623" s="15" t="s">
        <v>109</v>
      </c>
      <c r="B1623" s="15" t="s">
        <v>110</v>
      </c>
      <c r="D1623" s="15" t="s">
        <v>203</v>
      </c>
      <c r="E1623" s="15" t="s">
        <v>112</v>
      </c>
      <c r="F1623" s="15" t="s">
        <v>203</v>
      </c>
      <c r="G1623" s="15" t="s">
        <v>113</v>
      </c>
      <c r="H1623" s="15" t="s">
        <v>111</v>
      </c>
      <c r="J1623" s="16" t="s">
        <v>114</v>
      </c>
      <c r="U1623" s="15" t="s">
        <v>17977</v>
      </c>
      <c r="W1623" s="15">
        <v>14</v>
      </c>
      <c r="X1623" s="15">
        <v>1633</v>
      </c>
      <c r="Y1623" s="15" t="s">
        <v>160</v>
      </c>
      <c r="Z1623" s="15" t="s">
        <v>161</v>
      </c>
      <c r="AA1623" s="15" t="s">
        <v>162</v>
      </c>
      <c r="AB1623" s="15" t="s">
        <v>221</v>
      </c>
      <c r="AC1623" s="15" t="s">
        <v>221</v>
      </c>
      <c r="AD1623" s="15" t="s">
        <v>221</v>
      </c>
      <c r="AE1623" s="15" t="s">
        <v>164</v>
      </c>
      <c r="AF1623" s="15" t="s">
        <v>221</v>
      </c>
      <c r="AG1623" s="15" t="s">
        <v>221</v>
      </c>
      <c r="AH1623" s="20" t="s">
        <v>222</v>
      </c>
      <c r="AL1623" s="15" t="s">
        <v>223</v>
      </c>
      <c r="AN1623" s="15">
        <v>743</v>
      </c>
      <c r="AO1623" s="15" t="s">
        <v>224</v>
      </c>
      <c r="AQ1623" s="20" t="s">
        <v>225</v>
      </c>
      <c r="AT1623" s="15" t="s">
        <v>226</v>
      </c>
      <c r="AU1623" s="15" t="s">
        <v>227</v>
      </c>
      <c r="AV1623" s="15" t="s">
        <v>227</v>
      </c>
      <c r="AW1623" s="15" t="s">
        <v>228</v>
      </c>
      <c r="AX1623" s="15" t="s">
        <v>228</v>
      </c>
      <c r="AY1623" s="15">
        <f t="shared" si="38"/>
        <v>46</v>
      </c>
      <c r="AZ1623" s="15" t="s">
        <v>229</v>
      </c>
      <c r="BA1623" s="15" t="s">
        <v>174</v>
      </c>
      <c r="BB1623" s="15" t="s">
        <v>216</v>
      </c>
      <c r="BE1623" s="15" t="s">
        <v>230</v>
      </c>
      <c r="BJ1623" s="15" t="s">
        <v>231</v>
      </c>
      <c r="BN1623" s="15" t="s">
        <v>179</v>
      </c>
      <c r="BP1623" s="15" t="s">
        <v>138</v>
      </c>
      <c r="BS1623" s="15" t="s">
        <v>232</v>
      </c>
      <c r="DH1623" s="15" t="s">
        <v>17982</v>
      </c>
      <c r="DI1623" s="15" t="s">
        <v>17982</v>
      </c>
    </row>
    <row r="1624" spans="1:113" s="15" customFormat="1" ht="12.75" x14ac:dyDescent="0.2">
      <c r="A1624" s="15" t="s">
        <v>109</v>
      </c>
      <c r="B1624" s="15" t="s">
        <v>110</v>
      </c>
      <c r="D1624" s="15" t="s">
        <v>203</v>
      </c>
      <c r="E1624" s="15" t="s">
        <v>112</v>
      </c>
      <c r="F1624" s="15" t="s">
        <v>203</v>
      </c>
      <c r="G1624" s="15" t="s">
        <v>113</v>
      </c>
      <c r="H1624" s="15" t="s">
        <v>111</v>
      </c>
      <c r="J1624" s="16" t="s">
        <v>114</v>
      </c>
      <c r="U1624" s="15" t="s">
        <v>17977</v>
      </c>
      <c r="W1624" s="15">
        <v>2818</v>
      </c>
      <c r="X1624" s="15">
        <v>1634</v>
      </c>
      <c r="Y1624" s="15" t="s">
        <v>160</v>
      </c>
      <c r="Z1624" s="15" t="s">
        <v>161</v>
      </c>
      <c r="AA1624" s="15" t="s">
        <v>162</v>
      </c>
      <c r="AB1624" s="15" t="s">
        <v>13695</v>
      </c>
      <c r="AC1624" s="15" t="s">
        <v>13695</v>
      </c>
      <c r="AD1624" s="15" t="s">
        <v>13695</v>
      </c>
      <c r="AE1624" s="15" t="s">
        <v>164</v>
      </c>
      <c r="AF1624" s="15" t="s">
        <v>13695</v>
      </c>
      <c r="AG1624" s="15" t="s">
        <v>13695</v>
      </c>
      <c r="AH1624" s="20" t="s">
        <v>13696</v>
      </c>
      <c r="AL1624" s="15" t="s">
        <v>13697</v>
      </c>
      <c r="AN1624" s="15">
        <v>743</v>
      </c>
      <c r="AO1624" s="15" t="s">
        <v>13698</v>
      </c>
      <c r="AQ1624" s="20" t="s">
        <v>3843</v>
      </c>
      <c r="AT1624" s="15" t="s">
        <v>13699</v>
      </c>
      <c r="AU1624" s="15" t="s">
        <v>13700</v>
      </c>
      <c r="AV1624" s="15" t="s">
        <v>13700</v>
      </c>
      <c r="AW1624" s="15" t="s">
        <v>13701</v>
      </c>
      <c r="AX1624" s="15" t="s">
        <v>13702</v>
      </c>
      <c r="AY1624" s="15">
        <f t="shared" si="38"/>
        <v>54</v>
      </c>
      <c r="AZ1624" s="15" t="s">
        <v>3848</v>
      </c>
      <c r="BA1624" s="15" t="s">
        <v>174</v>
      </c>
      <c r="BB1624" s="15" t="s">
        <v>13703</v>
      </c>
      <c r="BE1624" s="15" t="s">
        <v>4059</v>
      </c>
      <c r="BJ1624" s="15" t="s">
        <v>13704</v>
      </c>
      <c r="BN1624" s="15" t="s">
        <v>179</v>
      </c>
      <c r="BP1624" s="15" t="s">
        <v>138</v>
      </c>
      <c r="BS1624" s="15" t="s">
        <v>13705</v>
      </c>
      <c r="DH1624" s="15" t="s">
        <v>17982</v>
      </c>
      <c r="DI1624" s="15" t="s">
        <v>17982</v>
      </c>
    </row>
    <row r="1625" spans="1:113" s="15" customFormat="1" ht="12.75" x14ac:dyDescent="0.2">
      <c r="A1625" s="15" t="s">
        <v>109</v>
      </c>
      <c r="B1625" s="15" t="s">
        <v>110</v>
      </c>
      <c r="D1625" s="15" t="s">
        <v>203</v>
      </c>
      <c r="E1625" s="15" t="s">
        <v>112</v>
      </c>
      <c r="F1625" s="15" t="s">
        <v>203</v>
      </c>
      <c r="G1625" s="15" t="s">
        <v>113</v>
      </c>
      <c r="H1625" s="15" t="s">
        <v>111</v>
      </c>
      <c r="J1625" s="16" t="s">
        <v>114</v>
      </c>
      <c r="U1625" s="15" t="s">
        <v>17977</v>
      </c>
      <c r="W1625" s="15">
        <v>872</v>
      </c>
      <c r="X1625" s="15">
        <v>1635</v>
      </c>
      <c r="Y1625" s="15" t="s">
        <v>160</v>
      </c>
      <c r="Z1625" s="15" t="s">
        <v>161</v>
      </c>
      <c r="AA1625" s="15" t="s">
        <v>162</v>
      </c>
      <c r="AB1625" s="15" t="s">
        <v>3878</v>
      </c>
      <c r="AC1625" s="15" t="s">
        <v>3878</v>
      </c>
      <c r="AD1625" s="15" t="s">
        <v>3878</v>
      </c>
      <c r="AE1625" s="15" t="s">
        <v>164</v>
      </c>
      <c r="AF1625" s="15" t="s">
        <v>3878</v>
      </c>
      <c r="AG1625" s="15" t="s">
        <v>3878</v>
      </c>
      <c r="AH1625" s="20" t="s">
        <v>3879</v>
      </c>
      <c r="AL1625" s="15" t="s">
        <v>3880</v>
      </c>
      <c r="AN1625" s="15">
        <v>743</v>
      </c>
      <c r="AO1625" s="15" t="s">
        <v>3881</v>
      </c>
      <c r="AQ1625" s="20" t="s">
        <v>3843</v>
      </c>
      <c r="AT1625" s="15" t="s">
        <v>3882</v>
      </c>
      <c r="AU1625" s="15" t="s">
        <v>3883</v>
      </c>
      <c r="AV1625" s="15" t="s">
        <v>3883</v>
      </c>
      <c r="AW1625" s="15" t="s">
        <v>3884</v>
      </c>
      <c r="AX1625" s="15" t="s">
        <v>3885</v>
      </c>
      <c r="AY1625" s="15">
        <f t="shared" si="38"/>
        <v>55</v>
      </c>
      <c r="AZ1625" s="15" t="s">
        <v>3848</v>
      </c>
      <c r="BA1625" s="15" t="s">
        <v>174</v>
      </c>
      <c r="BB1625" s="15" t="s">
        <v>3874</v>
      </c>
      <c r="BE1625" s="15" t="s">
        <v>2299</v>
      </c>
      <c r="BJ1625" s="15" t="s">
        <v>3886</v>
      </c>
      <c r="BN1625" s="15" t="s">
        <v>179</v>
      </c>
      <c r="BP1625" s="15" t="s">
        <v>138</v>
      </c>
      <c r="BS1625" s="15" t="s">
        <v>3887</v>
      </c>
      <c r="DH1625" s="15" t="s">
        <v>17982</v>
      </c>
      <c r="DI1625" s="15" t="s">
        <v>17982</v>
      </c>
    </row>
    <row r="1626" spans="1:113" s="15" customFormat="1" ht="12.75" x14ac:dyDescent="0.2">
      <c r="A1626" s="15" t="s">
        <v>109</v>
      </c>
      <c r="B1626" s="15" t="s">
        <v>110</v>
      </c>
      <c r="D1626" s="15" t="s">
        <v>203</v>
      </c>
      <c r="E1626" s="15" t="s">
        <v>112</v>
      </c>
      <c r="F1626" s="15" t="s">
        <v>203</v>
      </c>
      <c r="G1626" s="15" t="s">
        <v>2494</v>
      </c>
      <c r="H1626" s="15" t="s">
        <v>111</v>
      </c>
      <c r="J1626" s="16" t="s">
        <v>114</v>
      </c>
      <c r="U1626" s="15" t="s">
        <v>17977</v>
      </c>
      <c r="W1626" s="15">
        <v>3639</v>
      </c>
      <c r="X1626" s="15">
        <v>1636</v>
      </c>
      <c r="Y1626" s="15" t="s">
        <v>160</v>
      </c>
      <c r="Z1626" s="15" t="s">
        <v>161</v>
      </c>
      <c r="AA1626" s="15" t="s">
        <v>162</v>
      </c>
      <c r="AB1626" s="15" t="s">
        <v>17547</v>
      </c>
      <c r="AC1626" s="15" t="s">
        <v>17547</v>
      </c>
      <c r="AD1626" s="15" t="s">
        <v>17547</v>
      </c>
      <c r="AE1626" s="15" t="s">
        <v>164</v>
      </c>
      <c r="AF1626" s="15" t="s">
        <v>17547</v>
      </c>
      <c r="AG1626" s="15" t="s">
        <v>17547</v>
      </c>
      <c r="AH1626" s="20" t="s">
        <v>17548</v>
      </c>
      <c r="AL1626" s="15" t="s">
        <v>17549</v>
      </c>
      <c r="AN1626" s="15">
        <v>743</v>
      </c>
      <c r="AO1626" s="15" t="s">
        <v>17550</v>
      </c>
      <c r="AQ1626" s="20" t="s">
        <v>8812</v>
      </c>
      <c r="AT1626" s="15" t="s">
        <v>17551</v>
      </c>
      <c r="AU1626" s="15" t="s">
        <v>17552</v>
      </c>
      <c r="AV1626" s="15" t="s">
        <v>17552</v>
      </c>
      <c r="AW1626" s="15" t="s">
        <v>17553</v>
      </c>
      <c r="AX1626" s="15" t="s">
        <v>17554</v>
      </c>
      <c r="AY1626" s="15">
        <f t="shared" si="38"/>
        <v>59</v>
      </c>
      <c r="AZ1626" s="15" t="s">
        <v>8817</v>
      </c>
      <c r="BA1626" s="15" t="s">
        <v>174</v>
      </c>
      <c r="BB1626" s="15" t="s">
        <v>17555</v>
      </c>
      <c r="BE1626" s="15" t="s">
        <v>1174</v>
      </c>
      <c r="BF1626" s="15" t="s">
        <v>10551</v>
      </c>
      <c r="BJ1626" s="15" t="s">
        <v>17556</v>
      </c>
      <c r="BN1626" s="15" t="s">
        <v>179</v>
      </c>
      <c r="BP1626" s="15" t="s">
        <v>138</v>
      </c>
      <c r="BR1626" s="15" t="s">
        <v>17557</v>
      </c>
      <c r="BS1626" s="15" t="s">
        <v>17558</v>
      </c>
      <c r="DH1626" s="15" t="s">
        <v>17982</v>
      </c>
      <c r="DI1626" s="15" t="s">
        <v>17982</v>
      </c>
    </row>
    <row r="1627" spans="1:113" s="15" customFormat="1" ht="12.75" x14ac:dyDescent="0.2">
      <c r="A1627" s="15" t="s">
        <v>109</v>
      </c>
      <c r="B1627" s="15" t="s">
        <v>110</v>
      </c>
      <c r="D1627" s="15" t="s">
        <v>203</v>
      </c>
      <c r="E1627" s="15" t="s">
        <v>112</v>
      </c>
      <c r="F1627" s="15" t="s">
        <v>203</v>
      </c>
      <c r="G1627" s="15" t="s">
        <v>113</v>
      </c>
      <c r="H1627" s="15" t="s">
        <v>111</v>
      </c>
      <c r="J1627" s="16" t="s">
        <v>114</v>
      </c>
      <c r="U1627" s="15" t="s">
        <v>17977</v>
      </c>
      <c r="W1627" s="15">
        <v>1064</v>
      </c>
      <c r="X1627" s="15">
        <v>1637</v>
      </c>
      <c r="Y1627" s="15" t="s">
        <v>160</v>
      </c>
      <c r="Z1627" s="15" t="s">
        <v>161</v>
      </c>
      <c r="AA1627" s="15" t="s">
        <v>162</v>
      </c>
      <c r="AB1627" s="15" t="s">
        <v>5562</v>
      </c>
      <c r="AC1627" s="15" t="s">
        <v>5562</v>
      </c>
      <c r="AD1627" s="15" t="s">
        <v>5562</v>
      </c>
      <c r="AE1627" s="15" t="s">
        <v>164</v>
      </c>
      <c r="AF1627" s="15" t="s">
        <v>5562</v>
      </c>
      <c r="AG1627" s="15" t="s">
        <v>5562</v>
      </c>
      <c r="AH1627" s="20" t="s">
        <v>5563</v>
      </c>
      <c r="AL1627" s="15" t="s">
        <v>5564</v>
      </c>
      <c r="AN1627" s="15">
        <v>743</v>
      </c>
      <c r="AO1627" s="15" t="s">
        <v>5565</v>
      </c>
      <c r="AQ1627" s="20" t="s">
        <v>388</v>
      </c>
      <c r="AT1627" s="15" t="s">
        <v>5566</v>
      </c>
      <c r="AU1627" s="15" t="s">
        <v>5567</v>
      </c>
      <c r="AV1627" s="15" t="s">
        <v>5567</v>
      </c>
      <c r="AW1627" s="15" t="s">
        <v>5568</v>
      </c>
      <c r="AX1627" s="15" t="s">
        <v>5569</v>
      </c>
      <c r="AY1627" s="15">
        <f t="shared" si="38"/>
        <v>58</v>
      </c>
      <c r="AZ1627" s="15" t="s">
        <v>393</v>
      </c>
      <c r="BA1627" s="15" t="s">
        <v>174</v>
      </c>
      <c r="BB1627" s="15" t="s">
        <v>5570</v>
      </c>
      <c r="BE1627" s="15" t="s">
        <v>4059</v>
      </c>
      <c r="BJ1627" s="15" t="s">
        <v>5571</v>
      </c>
      <c r="BN1627" s="15" t="s">
        <v>179</v>
      </c>
      <c r="BP1627" s="15" t="s">
        <v>138</v>
      </c>
      <c r="BS1627" s="15" t="s">
        <v>5572</v>
      </c>
      <c r="DH1627" s="15" t="s">
        <v>17982</v>
      </c>
      <c r="DI1627" s="15" t="s">
        <v>17982</v>
      </c>
    </row>
    <row r="1628" spans="1:113" s="15" customFormat="1" ht="12.75" x14ac:dyDescent="0.2">
      <c r="A1628" s="15" t="s">
        <v>109</v>
      </c>
      <c r="B1628" s="15" t="s">
        <v>110</v>
      </c>
      <c r="D1628" s="15" t="s">
        <v>203</v>
      </c>
      <c r="E1628" s="15" t="s">
        <v>112</v>
      </c>
      <c r="F1628" s="15" t="s">
        <v>203</v>
      </c>
      <c r="G1628" s="15" t="s">
        <v>113</v>
      </c>
      <c r="H1628" s="15" t="s">
        <v>111</v>
      </c>
      <c r="J1628" s="16" t="s">
        <v>114</v>
      </c>
      <c r="U1628" s="15" t="s">
        <v>17977</v>
      </c>
      <c r="W1628" s="15">
        <v>3217</v>
      </c>
      <c r="X1628" s="15">
        <v>1638</v>
      </c>
      <c r="Y1628" s="15" t="s">
        <v>160</v>
      </c>
      <c r="Z1628" s="15" t="s">
        <v>161</v>
      </c>
      <c r="AA1628" s="15" t="s">
        <v>162</v>
      </c>
      <c r="AB1628" s="15" t="s">
        <v>15576</v>
      </c>
      <c r="AC1628" s="15" t="s">
        <v>15576</v>
      </c>
      <c r="AD1628" s="15" t="s">
        <v>15576</v>
      </c>
      <c r="AE1628" s="15" t="s">
        <v>164</v>
      </c>
      <c r="AF1628" s="15" t="s">
        <v>15576</v>
      </c>
      <c r="AG1628" s="15" t="s">
        <v>15576</v>
      </c>
      <c r="AH1628" s="20" t="s">
        <v>15577</v>
      </c>
      <c r="AL1628" s="15" t="s">
        <v>15578</v>
      </c>
      <c r="AN1628" s="15">
        <v>743</v>
      </c>
      <c r="AO1628" s="15" t="s">
        <v>15579</v>
      </c>
      <c r="AQ1628" s="20" t="s">
        <v>388</v>
      </c>
      <c r="AT1628" s="15" t="s">
        <v>15580</v>
      </c>
      <c r="AU1628" s="15" t="s">
        <v>15581</v>
      </c>
      <c r="AV1628" s="15" t="s">
        <v>15581</v>
      </c>
      <c r="AW1628" s="15" t="s">
        <v>15582</v>
      </c>
      <c r="AX1628" s="15" t="s">
        <v>15583</v>
      </c>
      <c r="AY1628" s="15">
        <f t="shared" si="38"/>
        <v>58</v>
      </c>
      <c r="AZ1628" s="15" t="s">
        <v>393</v>
      </c>
      <c r="BA1628" s="15" t="s">
        <v>174</v>
      </c>
      <c r="BB1628" s="15" t="s">
        <v>15584</v>
      </c>
      <c r="BE1628" s="15" t="s">
        <v>606</v>
      </c>
      <c r="BJ1628" s="15" t="s">
        <v>15585</v>
      </c>
      <c r="BN1628" s="15" t="s">
        <v>179</v>
      </c>
      <c r="BP1628" s="15" t="s">
        <v>138</v>
      </c>
      <c r="BS1628" s="15" t="s">
        <v>15586</v>
      </c>
      <c r="DH1628" s="15" t="s">
        <v>17982</v>
      </c>
      <c r="DI1628" s="15" t="s">
        <v>17982</v>
      </c>
    </row>
    <row r="1629" spans="1:113" s="15" customFormat="1" ht="12.75" x14ac:dyDescent="0.2">
      <c r="A1629" s="15" t="s">
        <v>109</v>
      </c>
      <c r="B1629" s="15" t="s">
        <v>110</v>
      </c>
      <c r="D1629" s="15" t="s">
        <v>203</v>
      </c>
      <c r="E1629" s="15" t="s">
        <v>112</v>
      </c>
      <c r="F1629" s="15" t="s">
        <v>203</v>
      </c>
      <c r="G1629" s="15" t="s">
        <v>113</v>
      </c>
      <c r="H1629" s="15" t="s">
        <v>111</v>
      </c>
      <c r="J1629" s="16" t="s">
        <v>114</v>
      </c>
      <c r="U1629" s="15" t="s">
        <v>17977</v>
      </c>
      <c r="W1629" s="15">
        <v>863</v>
      </c>
      <c r="X1629" s="15">
        <v>1639</v>
      </c>
      <c r="Y1629" s="15" t="s">
        <v>160</v>
      </c>
      <c r="Z1629" s="15" t="s">
        <v>161</v>
      </c>
      <c r="AA1629" s="15" t="s">
        <v>162</v>
      </c>
      <c r="AB1629" s="15" t="s">
        <v>3783</v>
      </c>
      <c r="AC1629" s="15" t="s">
        <v>3783</v>
      </c>
      <c r="AD1629" s="15" t="s">
        <v>3783</v>
      </c>
      <c r="AE1629" s="15" t="s">
        <v>164</v>
      </c>
      <c r="AF1629" s="15" t="s">
        <v>3783</v>
      </c>
      <c r="AG1629" s="15" t="s">
        <v>3783</v>
      </c>
      <c r="AH1629" s="20" t="s">
        <v>3784</v>
      </c>
      <c r="AL1629" s="15" t="s">
        <v>3785</v>
      </c>
      <c r="AN1629" s="15">
        <v>743</v>
      </c>
      <c r="AO1629" s="15" t="s">
        <v>3786</v>
      </c>
      <c r="AQ1629" s="20" t="s">
        <v>388</v>
      </c>
      <c r="AT1629" s="15" t="s">
        <v>3787</v>
      </c>
      <c r="AU1629" s="15" t="s">
        <v>3788</v>
      </c>
      <c r="AV1629" s="15" t="s">
        <v>3788</v>
      </c>
      <c r="AW1629" s="15" t="s">
        <v>3789</v>
      </c>
      <c r="AX1629" s="15" t="s">
        <v>3790</v>
      </c>
      <c r="AY1629" s="15">
        <f t="shared" si="38"/>
        <v>56</v>
      </c>
      <c r="AZ1629" s="15" t="s">
        <v>393</v>
      </c>
      <c r="BA1629" s="15" t="s">
        <v>174</v>
      </c>
      <c r="BB1629" s="15" t="s">
        <v>3791</v>
      </c>
      <c r="BE1629" s="15" t="s">
        <v>2054</v>
      </c>
      <c r="BJ1629" s="15" t="s">
        <v>3792</v>
      </c>
      <c r="BN1629" s="15" t="s">
        <v>179</v>
      </c>
      <c r="BP1629" s="15" t="s">
        <v>138</v>
      </c>
      <c r="BS1629" s="15" t="s">
        <v>3793</v>
      </c>
      <c r="DH1629" s="15" t="s">
        <v>17982</v>
      </c>
      <c r="DI1629" s="15" t="s">
        <v>17982</v>
      </c>
    </row>
    <row r="1630" spans="1:113" s="15" customFormat="1" ht="12.75" x14ac:dyDescent="0.2">
      <c r="A1630" s="15" t="s">
        <v>109</v>
      </c>
      <c r="B1630" s="15" t="s">
        <v>110</v>
      </c>
      <c r="D1630" s="15" t="s">
        <v>203</v>
      </c>
      <c r="E1630" s="15" t="s">
        <v>112</v>
      </c>
      <c r="F1630" s="15" t="s">
        <v>203</v>
      </c>
      <c r="G1630" s="15" t="s">
        <v>113</v>
      </c>
      <c r="H1630" s="15" t="s">
        <v>111</v>
      </c>
      <c r="J1630" s="16" t="s">
        <v>114</v>
      </c>
      <c r="U1630" s="15" t="s">
        <v>17977</v>
      </c>
      <c r="W1630" s="15">
        <v>3658</v>
      </c>
      <c r="X1630" s="15">
        <v>1640</v>
      </c>
      <c r="Y1630" s="15" t="s">
        <v>160</v>
      </c>
      <c r="Z1630" s="15" t="s">
        <v>161</v>
      </c>
      <c r="AA1630" s="15" t="s">
        <v>162</v>
      </c>
      <c r="AB1630" s="15" t="s">
        <v>17707</v>
      </c>
      <c r="AC1630" s="15" t="s">
        <v>17707</v>
      </c>
      <c r="AD1630" s="15" t="s">
        <v>17707</v>
      </c>
      <c r="AE1630" s="15" t="s">
        <v>164</v>
      </c>
      <c r="AF1630" s="15" t="s">
        <v>17707</v>
      </c>
      <c r="AG1630" s="15" t="s">
        <v>17707</v>
      </c>
      <c r="AH1630" s="20" t="s">
        <v>17708</v>
      </c>
      <c r="AL1630" s="15" t="s">
        <v>17709</v>
      </c>
      <c r="AN1630" s="15">
        <v>743</v>
      </c>
      <c r="AO1630" s="15" t="s">
        <v>17710</v>
      </c>
      <c r="AQ1630" s="20" t="s">
        <v>388</v>
      </c>
      <c r="AT1630" s="15" t="s">
        <v>17711</v>
      </c>
      <c r="AU1630" s="15" t="s">
        <v>17712</v>
      </c>
      <c r="AV1630" s="15" t="s">
        <v>17712</v>
      </c>
      <c r="AW1630" s="15" t="s">
        <v>17713</v>
      </c>
      <c r="AX1630" s="15" t="s">
        <v>17713</v>
      </c>
      <c r="AY1630" s="15">
        <f t="shared" si="38"/>
        <v>60</v>
      </c>
      <c r="AZ1630" s="15" t="s">
        <v>393</v>
      </c>
      <c r="BA1630" s="15" t="s">
        <v>174</v>
      </c>
      <c r="BB1630" s="15" t="s">
        <v>17704</v>
      </c>
      <c r="BE1630" s="15" t="s">
        <v>199</v>
      </c>
      <c r="BJ1630" s="15" t="s">
        <v>17714</v>
      </c>
      <c r="BN1630" s="15" t="s">
        <v>179</v>
      </c>
      <c r="BP1630" s="15" t="s">
        <v>138</v>
      </c>
      <c r="BS1630" s="15" t="s">
        <v>17715</v>
      </c>
      <c r="DH1630" s="15" t="s">
        <v>17982</v>
      </c>
      <c r="DI1630" s="15" t="s">
        <v>17982</v>
      </c>
    </row>
    <row r="1631" spans="1:113" s="15" customFormat="1" ht="12.75" x14ac:dyDescent="0.2">
      <c r="A1631" s="15" t="s">
        <v>109</v>
      </c>
      <c r="B1631" s="15" t="s">
        <v>110</v>
      </c>
      <c r="D1631" s="15" t="s">
        <v>203</v>
      </c>
      <c r="E1631" s="15" t="s">
        <v>112</v>
      </c>
      <c r="F1631" s="15" t="s">
        <v>203</v>
      </c>
      <c r="G1631" s="15" t="s">
        <v>113</v>
      </c>
      <c r="H1631" s="15" t="s">
        <v>111</v>
      </c>
      <c r="J1631" s="16" t="s">
        <v>114</v>
      </c>
      <c r="U1631" s="15" t="s">
        <v>17977</v>
      </c>
      <c r="W1631" s="15">
        <v>3657</v>
      </c>
      <c r="X1631" s="15">
        <v>1641</v>
      </c>
      <c r="Y1631" s="15" t="s">
        <v>160</v>
      </c>
      <c r="Z1631" s="15" t="s">
        <v>161</v>
      </c>
      <c r="AA1631" s="15" t="s">
        <v>162</v>
      </c>
      <c r="AB1631" s="15" t="s">
        <v>17696</v>
      </c>
      <c r="AC1631" s="15" t="s">
        <v>17696</v>
      </c>
      <c r="AD1631" s="15" t="s">
        <v>17696</v>
      </c>
      <c r="AE1631" s="15" t="s">
        <v>164</v>
      </c>
      <c r="AF1631" s="15" t="s">
        <v>17696</v>
      </c>
      <c r="AG1631" s="15" t="s">
        <v>17696</v>
      </c>
      <c r="AH1631" s="20" t="s">
        <v>17697</v>
      </c>
      <c r="AL1631" s="15" t="s">
        <v>17698</v>
      </c>
      <c r="AN1631" s="15">
        <v>743</v>
      </c>
      <c r="AO1631" s="15" t="s">
        <v>17699</v>
      </c>
      <c r="AQ1631" s="20" t="s">
        <v>829</v>
      </c>
      <c r="AT1631" s="15" t="s">
        <v>17700</v>
      </c>
      <c r="AU1631" s="15" t="s">
        <v>17701</v>
      </c>
      <c r="AV1631" s="15" t="s">
        <v>17701</v>
      </c>
      <c r="AW1631" s="15" t="s">
        <v>17702</v>
      </c>
      <c r="AX1631" s="15" t="s">
        <v>17703</v>
      </c>
      <c r="AY1631" s="15">
        <f t="shared" si="38"/>
        <v>60</v>
      </c>
      <c r="AZ1631" s="15" t="s">
        <v>834</v>
      </c>
      <c r="BA1631" s="15" t="s">
        <v>174</v>
      </c>
      <c r="BB1631" s="15" t="s">
        <v>17704</v>
      </c>
      <c r="BE1631" s="15" t="s">
        <v>367</v>
      </c>
      <c r="BJ1631" s="15" t="s">
        <v>17705</v>
      </c>
      <c r="BN1631" s="15" t="s">
        <v>179</v>
      </c>
      <c r="BP1631" s="15" t="s">
        <v>138</v>
      </c>
      <c r="BS1631" s="15" t="s">
        <v>17706</v>
      </c>
      <c r="DH1631" s="15" t="s">
        <v>17982</v>
      </c>
      <c r="DI1631" s="15" t="s">
        <v>17982</v>
      </c>
    </row>
    <row r="1632" spans="1:113" s="15" customFormat="1" ht="12.75" x14ac:dyDescent="0.2">
      <c r="A1632" s="15" t="s">
        <v>109</v>
      </c>
      <c r="B1632" s="15" t="s">
        <v>110</v>
      </c>
      <c r="D1632" s="15" t="s">
        <v>203</v>
      </c>
      <c r="E1632" s="15" t="s">
        <v>112</v>
      </c>
      <c r="F1632" s="15" t="s">
        <v>203</v>
      </c>
      <c r="G1632" s="15" t="s">
        <v>113</v>
      </c>
      <c r="H1632" s="15" t="s">
        <v>111</v>
      </c>
      <c r="J1632" s="16" t="s">
        <v>114</v>
      </c>
      <c r="U1632" s="15" t="s">
        <v>17977</v>
      </c>
      <c r="W1632" s="15">
        <v>1786</v>
      </c>
      <c r="X1632" s="15">
        <v>1642</v>
      </c>
      <c r="Y1632" s="15" t="s">
        <v>160</v>
      </c>
      <c r="Z1632" s="15" t="s">
        <v>161</v>
      </c>
      <c r="AA1632" s="15" t="s">
        <v>162</v>
      </c>
      <c r="AB1632" s="15" t="s">
        <v>9527</v>
      </c>
      <c r="AC1632" s="15" t="s">
        <v>9527</v>
      </c>
      <c r="AD1632" s="15" t="s">
        <v>9527</v>
      </c>
      <c r="AE1632" s="15" t="s">
        <v>164</v>
      </c>
      <c r="AF1632" s="15" t="s">
        <v>9527</v>
      </c>
      <c r="AG1632" s="15" t="s">
        <v>9527</v>
      </c>
      <c r="AH1632" s="20" t="s">
        <v>9528</v>
      </c>
      <c r="AL1632" s="15" t="s">
        <v>9529</v>
      </c>
      <c r="AN1632" s="15">
        <v>743</v>
      </c>
      <c r="AO1632" s="15" t="s">
        <v>9530</v>
      </c>
      <c r="AQ1632" s="20" t="s">
        <v>6244</v>
      </c>
      <c r="AT1632" s="15" t="s">
        <v>9531</v>
      </c>
      <c r="AU1632" s="15" t="s">
        <v>9532</v>
      </c>
      <c r="AV1632" s="15" t="s">
        <v>9532</v>
      </c>
      <c r="AW1632" s="15" t="s">
        <v>9533</v>
      </c>
      <c r="AX1632" s="15" t="s">
        <v>9534</v>
      </c>
      <c r="AY1632" s="15">
        <f t="shared" si="38"/>
        <v>57</v>
      </c>
      <c r="AZ1632" s="15" t="s">
        <v>9535</v>
      </c>
      <c r="BA1632" s="15" t="s">
        <v>174</v>
      </c>
      <c r="BB1632" s="15" t="s">
        <v>5006</v>
      </c>
      <c r="BE1632" s="15" t="s">
        <v>367</v>
      </c>
      <c r="BJ1632" s="15" t="s">
        <v>9536</v>
      </c>
      <c r="BN1632" s="15" t="s">
        <v>179</v>
      </c>
      <c r="BP1632" s="15" t="s">
        <v>138</v>
      </c>
      <c r="BS1632" s="15" t="s">
        <v>9537</v>
      </c>
      <c r="DH1632" s="15" t="s">
        <v>17982</v>
      </c>
      <c r="DI1632" s="15" t="s">
        <v>17982</v>
      </c>
    </row>
    <row r="1633" spans="1:113" s="15" customFormat="1" ht="12.75" x14ac:dyDescent="0.2">
      <c r="A1633" s="15" t="s">
        <v>109</v>
      </c>
      <c r="B1633" s="15" t="s">
        <v>110</v>
      </c>
      <c r="D1633" s="15" t="s">
        <v>203</v>
      </c>
      <c r="E1633" s="15" t="s">
        <v>112</v>
      </c>
      <c r="F1633" s="15" t="s">
        <v>203</v>
      </c>
      <c r="G1633" s="15" t="s">
        <v>113</v>
      </c>
      <c r="H1633" s="15" t="s">
        <v>111</v>
      </c>
      <c r="J1633" s="16" t="s">
        <v>114</v>
      </c>
      <c r="U1633" s="15" t="s">
        <v>17977</v>
      </c>
      <c r="W1633" s="15">
        <v>3585</v>
      </c>
      <c r="X1633" s="15">
        <v>1643</v>
      </c>
      <c r="Y1633" s="15" t="s">
        <v>160</v>
      </c>
      <c r="Z1633" s="15" t="s">
        <v>161</v>
      </c>
      <c r="AA1633" s="15" t="s">
        <v>162</v>
      </c>
      <c r="AB1633" s="15" t="s">
        <v>17341</v>
      </c>
      <c r="AC1633" s="15" t="s">
        <v>17341</v>
      </c>
      <c r="AD1633" s="15" t="s">
        <v>17341</v>
      </c>
      <c r="AE1633" s="15" t="s">
        <v>164</v>
      </c>
      <c r="AF1633" s="15" t="s">
        <v>17341</v>
      </c>
      <c r="AG1633" s="15" t="s">
        <v>17341</v>
      </c>
      <c r="AH1633" s="20" t="s">
        <v>17342</v>
      </c>
      <c r="AL1633" s="15" t="s">
        <v>17343</v>
      </c>
      <c r="AN1633" s="15">
        <v>743</v>
      </c>
      <c r="AO1633" s="15" t="s">
        <v>17344</v>
      </c>
      <c r="AQ1633" s="20" t="s">
        <v>17345</v>
      </c>
      <c r="AT1633" s="15" t="s">
        <v>17346</v>
      </c>
      <c r="AU1633" s="15" t="s">
        <v>17347</v>
      </c>
      <c r="AV1633" s="15" t="s">
        <v>17347</v>
      </c>
      <c r="AW1633" s="15" t="s">
        <v>17348</v>
      </c>
      <c r="AX1633" s="15" t="s">
        <v>17348</v>
      </c>
      <c r="AY1633" s="15">
        <f t="shared" si="38"/>
        <v>54</v>
      </c>
      <c r="AZ1633" s="15" t="s">
        <v>229</v>
      </c>
      <c r="BA1633" s="15" t="s">
        <v>10611</v>
      </c>
      <c r="BB1633" s="15" t="s">
        <v>17349</v>
      </c>
      <c r="BE1633" s="15" t="s">
        <v>4059</v>
      </c>
      <c r="BF1633" s="15" t="s">
        <v>17350</v>
      </c>
      <c r="BJ1633" s="15" t="s">
        <v>17351</v>
      </c>
      <c r="BN1633" s="15" t="s">
        <v>179</v>
      </c>
      <c r="BP1633" s="15" t="s">
        <v>138</v>
      </c>
      <c r="BS1633" s="15" t="s">
        <v>17352</v>
      </c>
      <c r="DH1633" s="15" t="s">
        <v>17982</v>
      </c>
      <c r="DI1633" s="15" t="s">
        <v>17982</v>
      </c>
    </row>
    <row r="1634" spans="1:113" s="15" customFormat="1" ht="12.75" x14ac:dyDescent="0.2">
      <c r="A1634" s="15" t="s">
        <v>109</v>
      </c>
      <c r="B1634" s="15" t="s">
        <v>110</v>
      </c>
      <c r="D1634" s="15" t="s">
        <v>203</v>
      </c>
      <c r="E1634" s="15" t="s">
        <v>112</v>
      </c>
      <c r="F1634" s="15" t="s">
        <v>203</v>
      </c>
      <c r="G1634" s="15" t="s">
        <v>113</v>
      </c>
      <c r="H1634" s="15" t="s">
        <v>111</v>
      </c>
      <c r="J1634" s="16" t="s">
        <v>114</v>
      </c>
      <c r="U1634" s="15" t="s">
        <v>17977</v>
      </c>
      <c r="W1634" s="15">
        <v>3661</v>
      </c>
      <c r="X1634" s="15">
        <v>1644</v>
      </c>
      <c r="Y1634" s="15" t="s">
        <v>160</v>
      </c>
      <c r="Z1634" s="15" t="s">
        <v>161</v>
      </c>
      <c r="AA1634" s="15" t="s">
        <v>162</v>
      </c>
      <c r="AB1634" s="15" t="s">
        <v>17736</v>
      </c>
      <c r="AC1634" s="15" t="s">
        <v>17736</v>
      </c>
      <c r="AD1634" s="15" t="s">
        <v>17736</v>
      </c>
      <c r="AE1634" s="15" t="s">
        <v>164</v>
      </c>
      <c r="AF1634" s="15" t="s">
        <v>17736</v>
      </c>
      <c r="AG1634" s="15" t="s">
        <v>17736</v>
      </c>
      <c r="AH1634" s="20" t="s">
        <v>17737</v>
      </c>
      <c r="AL1634" s="15" t="s">
        <v>17738</v>
      </c>
      <c r="AN1634" s="15">
        <v>743</v>
      </c>
      <c r="AO1634" s="15" t="s">
        <v>17739</v>
      </c>
      <c r="AQ1634" s="20" t="s">
        <v>17740</v>
      </c>
      <c r="AT1634" s="15" t="s">
        <v>17741</v>
      </c>
      <c r="AU1634" s="15" t="s">
        <v>17742</v>
      </c>
      <c r="AV1634" s="15" t="s">
        <v>17742</v>
      </c>
      <c r="AW1634" s="15" t="s">
        <v>17743</v>
      </c>
      <c r="AX1634" s="15" t="s">
        <v>17743</v>
      </c>
      <c r="AY1634" s="15">
        <f t="shared" si="38"/>
        <v>56</v>
      </c>
      <c r="AZ1634" s="15" t="s">
        <v>1514</v>
      </c>
      <c r="BA1634" s="15" t="s">
        <v>1515</v>
      </c>
      <c r="BB1634" s="15" t="s">
        <v>17704</v>
      </c>
      <c r="BE1634" s="15" t="s">
        <v>367</v>
      </c>
      <c r="BF1634" s="15" t="s">
        <v>12709</v>
      </c>
      <c r="BJ1634" s="15" t="s">
        <v>17744</v>
      </c>
      <c r="BN1634" s="15" t="s">
        <v>179</v>
      </c>
      <c r="BP1634" s="15" t="s">
        <v>138</v>
      </c>
      <c r="BS1634" s="15" t="s">
        <v>17745</v>
      </c>
      <c r="DH1634" s="15" t="s">
        <v>17982</v>
      </c>
      <c r="DI1634" s="15" t="s">
        <v>17982</v>
      </c>
    </row>
    <row r="1635" spans="1:113" s="15" customFormat="1" ht="12.75" x14ac:dyDescent="0.2">
      <c r="A1635" s="15" t="s">
        <v>109</v>
      </c>
      <c r="B1635" s="15" t="s">
        <v>110</v>
      </c>
      <c r="D1635" s="15" t="s">
        <v>203</v>
      </c>
      <c r="E1635" s="15" t="s">
        <v>112</v>
      </c>
      <c r="F1635" s="15" t="s">
        <v>203</v>
      </c>
      <c r="G1635" s="15" t="s">
        <v>113</v>
      </c>
      <c r="H1635" s="15" t="s">
        <v>111</v>
      </c>
      <c r="J1635" s="16" t="s">
        <v>114</v>
      </c>
      <c r="U1635" s="15" t="s">
        <v>17977</v>
      </c>
      <c r="W1635" s="15">
        <v>3660</v>
      </c>
      <c r="X1635" s="15">
        <v>1645</v>
      </c>
      <c r="Y1635" s="15" t="s">
        <v>160</v>
      </c>
      <c r="Z1635" s="15" t="s">
        <v>161</v>
      </c>
      <c r="AA1635" s="15" t="s">
        <v>162</v>
      </c>
      <c r="AB1635" s="15" t="s">
        <v>17726</v>
      </c>
      <c r="AC1635" s="15" t="s">
        <v>17726</v>
      </c>
      <c r="AD1635" s="15" t="s">
        <v>17727</v>
      </c>
      <c r="AE1635" s="15" t="s">
        <v>164</v>
      </c>
      <c r="AF1635" s="15" t="s">
        <v>17727</v>
      </c>
      <c r="AG1635" s="15" t="s">
        <v>17726</v>
      </c>
      <c r="AH1635" s="20" t="s">
        <v>17728</v>
      </c>
      <c r="AL1635" s="15" t="s">
        <v>17729</v>
      </c>
      <c r="AN1635" s="15">
        <v>743</v>
      </c>
      <c r="AO1635" s="15" t="s">
        <v>17730</v>
      </c>
      <c r="AQ1635" s="20" t="s">
        <v>388</v>
      </c>
      <c r="AT1635" s="15" t="s">
        <v>17731</v>
      </c>
      <c r="AU1635" s="15" t="s">
        <v>17732</v>
      </c>
      <c r="AV1635" s="15" t="s">
        <v>17732</v>
      </c>
      <c r="AW1635" s="15" t="s">
        <v>17733</v>
      </c>
      <c r="AX1635" s="15" t="s">
        <v>17733</v>
      </c>
      <c r="AY1635" s="15">
        <f t="shared" si="38"/>
        <v>54</v>
      </c>
      <c r="AZ1635" s="15" t="s">
        <v>393</v>
      </c>
      <c r="BA1635" s="15" t="s">
        <v>174</v>
      </c>
      <c r="BB1635" s="15" t="s">
        <v>17704</v>
      </c>
      <c r="BE1635" s="15" t="s">
        <v>3686</v>
      </c>
      <c r="BJ1635" s="15" t="s">
        <v>17734</v>
      </c>
      <c r="BN1635" s="15" t="s">
        <v>179</v>
      </c>
      <c r="BP1635" s="15" t="s">
        <v>138</v>
      </c>
      <c r="BS1635" s="15" t="s">
        <v>17735</v>
      </c>
      <c r="DH1635" s="15" t="s">
        <v>17982</v>
      </c>
      <c r="DI1635" s="15" t="s">
        <v>17982</v>
      </c>
    </row>
    <row r="1636" spans="1:113" s="15" customFormat="1" ht="12.75" x14ac:dyDescent="0.2">
      <c r="A1636" s="15" t="s">
        <v>109</v>
      </c>
      <c r="B1636" s="15" t="s">
        <v>110</v>
      </c>
      <c r="D1636" s="15" t="s">
        <v>203</v>
      </c>
      <c r="E1636" s="15" t="s">
        <v>112</v>
      </c>
      <c r="F1636" s="15" t="s">
        <v>203</v>
      </c>
      <c r="G1636" s="15" t="s">
        <v>113</v>
      </c>
      <c r="H1636" s="15" t="s">
        <v>111</v>
      </c>
      <c r="J1636" s="16" t="s">
        <v>114</v>
      </c>
      <c r="U1636" s="15" t="s">
        <v>17977</v>
      </c>
      <c r="W1636" s="15">
        <v>3670</v>
      </c>
      <c r="X1636" s="15">
        <v>1646</v>
      </c>
      <c r="Y1636" s="15" t="s">
        <v>160</v>
      </c>
      <c r="Z1636" s="15" t="s">
        <v>161</v>
      </c>
      <c r="AA1636" s="15" t="s">
        <v>162</v>
      </c>
      <c r="AB1636" s="15" t="s">
        <v>17746</v>
      </c>
      <c r="AC1636" s="15" t="s">
        <v>17746</v>
      </c>
      <c r="AD1636" s="15" t="s">
        <v>17747</v>
      </c>
      <c r="AE1636" s="15" t="s">
        <v>164</v>
      </c>
      <c r="AF1636" s="15" t="s">
        <v>17747</v>
      </c>
      <c r="AG1636" s="15" t="s">
        <v>17746</v>
      </c>
      <c r="AH1636" s="20" t="s">
        <v>17748</v>
      </c>
      <c r="AL1636" s="15" t="s">
        <v>17749</v>
      </c>
      <c r="AN1636" s="15">
        <v>743</v>
      </c>
      <c r="AO1636" s="15" t="s">
        <v>17750</v>
      </c>
      <c r="AQ1636" s="20" t="s">
        <v>388</v>
      </c>
      <c r="AT1636" s="15" t="s">
        <v>17751</v>
      </c>
      <c r="AU1636" s="15" t="s">
        <v>17752</v>
      </c>
      <c r="AV1636" s="15" t="s">
        <v>17752</v>
      </c>
      <c r="AW1636" s="15" t="s">
        <v>17753</v>
      </c>
      <c r="AX1636" s="15" t="s">
        <v>17754</v>
      </c>
      <c r="AY1636" s="15">
        <f t="shared" si="38"/>
        <v>59</v>
      </c>
      <c r="AZ1636" s="15" t="s">
        <v>393</v>
      </c>
      <c r="BA1636" s="15" t="s">
        <v>174</v>
      </c>
      <c r="BB1636" s="15" t="s">
        <v>17704</v>
      </c>
      <c r="BC1636" s="15" t="s">
        <v>646</v>
      </c>
      <c r="BE1636" s="15" t="s">
        <v>3202</v>
      </c>
      <c r="BJ1636" s="15" t="s">
        <v>17755</v>
      </c>
      <c r="BN1636" s="15" t="s">
        <v>179</v>
      </c>
      <c r="BP1636" s="15" t="s">
        <v>138</v>
      </c>
      <c r="BS1636" s="15" t="s">
        <v>17756</v>
      </c>
      <c r="DH1636" s="15" t="s">
        <v>17982</v>
      </c>
      <c r="DI1636" s="15" t="s">
        <v>17982</v>
      </c>
    </row>
    <row r="1637" spans="1:113" s="15" customFormat="1" ht="12.75" x14ac:dyDescent="0.2">
      <c r="A1637" s="15" t="s">
        <v>109</v>
      </c>
      <c r="B1637" s="15" t="s">
        <v>110</v>
      </c>
      <c r="D1637" s="15" t="s">
        <v>203</v>
      </c>
      <c r="E1637" s="15" t="s">
        <v>112</v>
      </c>
      <c r="F1637" s="15" t="s">
        <v>203</v>
      </c>
      <c r="G1637" s="15" t="s">
        <v>113</v>
      </c>
      <c r="H1637" s="15" t="s">
        <v>111</v>
      </c>
      <c r="J1637" s="16" t="s">
        <v>114</v>
      </c>
      <c r="U1637" s="15" t="s">
        <v>17977</v>
      </c>
      <c r="W1637" s="15">
        <v>25</v>
      </c>
      <c r="X1637" s="15">
        <v>1647</v>
      </c>
      <c r="Y1637" s="15" t="s">
        <v>160</v>
      </c>
      <c r="Z1637" s="15" t="s">
        <v>161</v>
      </c>
      <c r="AA1637" s="15" t="s">
        <v>162</v>
      </c>
      <c r="AB1637" s="15" t="s">
        <v>351</v>
      </c>
      <c r="AC1637" s="15" t="s">
        <v>351</v>
      </c>
      <c r="AD1637" s="15" t="s">
        <v>351</v>
      </c>
      <c r="AE1637" s="15" t="s">
        <v>164</v>
      </c>
      <c r="AF1637" s="15" t="s">
        <v>351</v>
      </c>
      <c r="AG1637" s="15" t="s">
        <v>351</v>
      </c>
      <c r="AH1637" s="20" t="s">
        <v>352</v>
      </c>
      <c r="AL1637" s="15" t="s">
        <v>340</v>
      </c>
      <c r="AN1637" s="15">
        <v>743</v>
      </c>
      <c r="AO1637" s="15" t="s">
        <v>353</v>
      </c>
      <c r="AQ1637" s="20" t="s">
        <v>168</v>
      </c>
      <c r="AT1637" s="15" t="s">
        <v>354</v>
      </c>
      <c r="AU1637" s="15" t="s">
        <v>355</v>
      </c>
      <c r="AV1637" s="15" t="s">
        <v>355</v>
      </c>
      <c r="AW1637" s="15" t="s">
        <v>356</v>
      </c>
      <c r="AX1637" s="15" t="s">
        <v>356</v>
      </c>
      <c r="AY1637" s="15">
        <f t="shared" si="38"/>
        <v>49</v>
      </c>
      <c r="AZ1637" s="15" t="s">
        <v>173</v>
      </c>
      <c r="BA1637" s="15" t="s">
        <v>174</v>
      </c>
      <c r="BB1637" s="15" t="s">
        <v>216</v>
      </c>
      <c r="BE1637" s="15" t="s">
        <v>348</v>
      </c>
      <c r="BJ1637" s="15" t="s">
        <v>357</v>
      </c>
      <c r="BN1637" s="15" t="s">
        <v>179</v>
      </c>
      <c r="BP1637" s="15" t="s">
        <v>138</v>
      </c>
      <c r="BS1637" s="15" t="s">
        <v>358</v>
      </c>
      <c r="DH1637" s="15" t="s">
        <v>17982</v>
      </c>
      <c r="DI1637" s="15" t="s">
        <v>17982</v>
      </c>
    </row>
    <row r="1638" spans="1:113" s="15" customFormat="1" ht="12.75" x14ac:dyDescent="0.2">
      <c r="A1638" s="15" t="s">
        <v>109</v>
      </c>
      <c r="B1638" s="15" t="s">
        <v>110</v>
      </c>
      <c r="D1638" s="15" t="s">
        <v>203</v>
      </c>
      <c r="E1638" s="15" t="s">
        <v>112</v>
      </c>
      <c r="F1638" s="15" t="s">
        <v>203</v>
      </c>
      <c r="G1638" s="15" t="s">
        <v>113</v>
      </c>
      <c r="H1638" s="15" t="s">
        <v>111</v>
      </c>
      <c r="J1638" s="16" t="s">
        <v>114</v>
      </c>
      <c r="U1638" s="15" t="s">
        <v>17977</v>
      </c>
      <c r="W1638" s="15">
        <v>1807</v>
      </c>
      <c r="X1638" s="15">
        <v>1648</v>
      </c>
      <c r="Y1638" s="15" t="s">
        <v>160</v>
      </c>
      <c r="Z1638" s="15" t="s">
        <v>161</v>
      </c>
      <c r="AA1638" s="15" t="s">
        <v>162</v>
      </c>
      <c r="AB1638" s="15" t="s">
        <v>9631</v>
      </c>
      <c r="AC1638" s="15" t="s">
        <v>9631</v>
      </c>
      <c r="AD1638" s="15" t="s">
        <v>9632</v>
      </c>
      <c r="AE1638" s="15" t="s">
        <v>164</v>
      </c>
      <c r="AF1638" s="15" t="s">
        <v>9632</v>
      </c>
      <c r="AG1638" s="15" t="s">
        <v>9631</v>
      </c>
      <c r="AH1638" s="20" t="s">
        <v>9633</v>
      </c>
      <c r="AL1638" s="15" t="s">
        <v>9634</v>
      </c>
      <c r="AN1638" s="15">
        <v>743</v>
      </c>
      <c r="AO1638" s="15" t="s">
        <v>9635</v>
      </c>
      <c r="AQ1638" s="20" t="s">
        <v>168</v>
      </c>
      <c r="AT1638" s="15" t="s">
        <v>9636</v>
      </c>
      <c r="AU1638" s="15" t="s">
        <v>9637</v>
      </c>
      <c r="AV1638" s="15" t="s">
        <v>9637</v>
      </c>
      <c r="AW1638" s="15" t="s">
        <v>9638</v>
      </c>
      <c r="AX1638" s="15" t="s">
        <v>9639</v>
      </c>
      <c r="AY1638" s="15">
        <f t="shared" si="38"/>
        <v>56</v>
      </c>
      <c r="AZ1638" s="15" t="s">
        <v>173</v>
      </c>
      <c r="BA1638" s="15" t="s">
        <v>174</v>
      </c>
      <c r="BB1638" s="15" t="s">
        <v>9640</v>
      </c>
      <c r="BE1638" s="15" t="s">
        <v>7474</v>
      </c>
      <c r="BJ1638" s="15" t="s">
        <v>9641</v>
      </c>
      <c r="BN1638" s="15" t="s">
        <v>179</v>
      </c>
      <c r="BP1638" s="15" t="s">
        <v>138</v>
      </c>
      <c r="BS1638" s="15" t="s">
        <v>9642</v>
      </c>
      <c r="DH1638" s="15" t="s">
        <v>17982</v>
      </c>
      <c r="DI1638" s="15" t="s">
        <v>17982</v>
      </c>
    </row>
    <row r="1639" spans="1:113" s="15" customFormat="1" ht="12.75" x14ac:dyDescent="0.2">
      <c r="A1639" s="15" t="s">
        <v>109</v>
      </c>
      <c r="B1639" s="15" t="s">
        <v>110</v>
      </c>
      <c r="D1639" s="15" t="s">
        <v>203</v>
      </c>
      <c r="E1639" s="15" t="s">
        <v>112</v>
      </c>
      <c r="F1639" s="15" t="s">
        <v>203</v>
      </c>
      <c r="G1639" s="15" t="s">
        <v>113</v>
      </c>
      <c r="H1639" s="15" t="s">
        <v>111</v>
      </c>
      <c r="J1639" s="16" t="s">
        <v>114</v>
      </c>
      <c r="U1639" s="15" t="s">
        <v>17977</v>
      </c>
      <c r="W1639" s="15">
        <v>3088</v>
      </c>
      <c r="X1639" s="15">
        <v>1649</v>
      </c>
      <c r="Y1639" s="15" t="s">
        <v>160</v>
      </c>
      <c r="Z1639" s="15" t="s">
        <v>161</v>
      </c>
      <c r="AA1639" s="15" t="s">
        <v>162</v>
      </c>
      <c r="AB1639" s="15" t="s">
        <v>14939</v>
      </c>
      <c r="AC1639" s="15" t="s">
        <v>14939</v>
      </c>
      <c r="AD1639" s="15" t="s">
        <v>14939</v>
      </c>
      <c r="AE1639" s="15" t="s">
        <v>164</v>
      </c>
      <c r="AF1639" s="15" t="s">
        <v>14939</v>
      </c>
      <c r="AG1639" s="15" t="s">
        <v>14939</v>
      </c>
      <c r="AH1639" s="20" t="s">
        <v>14940</v>
      </c>
      <c r="AL1639" s="15" t="s">
        <v>14941</v>
      </c>
      <c r="AN1639" s="15">
        <v>743</v>
      </c>
      <c r="AO1639" s="15" t="s">
        <v>14942</v>
      </c>
      <c r="AQ1639" s="20" t="s">
        <v>168</v>
      </c>
      <c r="AT1639" s="15" t="s">
        <v>14943</v>
      </c>
      <c r="AU1639" s="15" t="s">
        <v>14944</v>
      </c>
      <c r="AV1639" s="15" t="s">
        <v>14944</v>
      </c>
      <c r="AW1639" s="15" t="s">
        <v>14945</v>
      </c>
      <c r="AX1639" s="15" t="s">
        <v>14946</v>
      </c>
      <c r="AY1639" s="15">
        <f t="shared" si="38"/>
        <v>58</v>
      </c>
      <c r="AZ1639" s="15" t="s">
        <v>173</v>
      </c>
      <c r="BA1639" s="15" t="s">
        <v>174</v>
      </c>
      <c r="BB1639" s="15" t="s">
        <v>14907</v>
      </c>
      <c r="BE1639" s="15" t="s">
        <v>7550</v>
      </c>
      <c r="BF1639" s="15" t="s">
        <v>3738</v>
      </c>
      <c r="BJ1639" s="15" t="s">
        <v>14947</v>
      </c>
      <c r="BN1639" s="15" t="s">
        <v>179</v>
      </c>
      <c r="BP1639" s="15" t="s">
        <v>138</v>
      </c>
      <c r="BS1639" s="15" t="s">
        <v>14948</v>
      </c>
      <c r="DH1639" s="15" t="s">
        <v>17982</v>
      </c>
      <c r="DI1639" s="15" t="s">
        <v>17982</v>
      </c>
    </row>
    <row r="1640" spans="1:113" s="15" customFormat="1" ht="12.75" x14ac:dyDescent="0.2">
      <c r="A1640" s="15" t="s">
        <v>109</v>
      </c>
      <c r="B1640" s="15" t="s">
        <v>110</v>
      </c>
      <c r="D1640" s="15" t="s">
        <v>203</v>
      </c>
      <c r="E1640" s="15" t="s">
        <v>112</v>
      </c>
      <c r="F1640" s="15" t="s">
        <v>203</v>
      </c>
      <c r="G1640" s="15" t="s">
        <v>113</v>
      </c>
      <c r="H1640" s="15" t="s">
        <v>111</v>
      </c>
      <c r="J1640" s="16" t="s">
        <v>114</v>
      </c>
      <c r="U1640" s="15" t="s">
        <v>17977</v>
      </c>
      <c r="W1640" s="15">
        <v>3086</v>
      </c>
      <c r="X1640" s="15">
        <v>1650</v>
      </c>
      <c r="Y1640" s="15" t="s">
        <v>160</v>
      </c>
      <c r="Z1640" s="15" t="s">
        <v>161</v>
      </c>
      <c r="AA1640" s="15" t="s">
        <v>162</v>
      </c>
      <c r="AB1640" s="15" t="s">
        <v>14919</v>
      </c>
      <c r="AC1640" s="15" t="s">
        <v>14919</v>
      </c>
      <c r="AD1640" s="15" t="s">
        <v>14919</v>
      </c>
      <c r="AE1640" s="15" t="s">
        <v>164</v>
      </c>
      <c r="AF1640" s="15" t="s">
        <v>14919</v>
      </c>
      <c r="AG1640" s="15" t="s">
        <v>14919</v>
      </c>
      <c r="AH1640" s="20" t="s">
        <v>14920</v>
      </c>
      <c r="AL1640" s="15" t="s">
        <v>14921</v>
      </c>
      <c r="AN1640" s="15">
        <v>743</v>
      </c>
      <c r="AO1640" s="15" t="s">
        <v>14922</v>
      </c>
      <c r="AQ1640" s="20" t="s">
        <v>168</v>
      </c>
      <c r="AT1640" s="15" t="s">
        <v>14923</v>
      </c>
      <c r="AU1640" s="15" t="s">
        <v>14924</v>
      </c>
      <c r="AV1640" s="15" t="s">
        <v>14924</v>
      </c>
      <c r="AW1640" s="15" t="s">
        <v>14925</v>
      </c>
      <c r="AX1640" s="15" t="s">
        <v>14926</v>
      </c>
      <c r="AY1640" s="15">
        <f t="shared" si="38"/>
        <v>60</v>
      </c>
      <c r="AZ1640" s="15" t="s">
        <v>173</v>
      </c>
      <c r="BA1640" s="15" t="s">
        <v>174</v>
      </c>
      <c r="BB1640" s="15" t="s">
        <v>14907</v>
      </c>
      <c r="BC1640" s="15" t="s">
        <v>14927</v>
      </c>
      <c r="BE1640" s="15" t="s">
        <v>7550</v>
      </c>
      <c r="BI1640" s="15" t="s">
        <v>218</v>
      </c>
      <c r="BJ1640" s="15" t="s">
        <v>14928</v>
      </c>
      <c r="BN1640" s="15" t="s">
        <v>179</v>
      </c>
      <c r="BP1640" s="15" t="s">
        <v>138</v>
      </c>
      <c r="BS1640" s="15" t="s">
        <v>14929</v>
      </c>
      <c r="DH1640" s="15" t="s">
        <v>17982</v>
      </c>
      <c r="DI1640" s="15" t="s">
        <v>17982</v>
      </c>
    </row>
    <row r="1641" spans="1:113" s="15" customFormat="1" ht="12.75" x14ac:dyDescent="0.2">
      <c r="A1641" s="15" t="s">
        <v>109</v>
      </c>
      <c r="B1641" s="15" t="s">
        <v>110</v>
      </c>
      <c r="D1641" s="15" t="s">
        <v>203</v>
      </c>
      <c r="E1641" s="15" t="s">
        <v>112</v>
      </c>
      <c r="F1641" s="15" t="s">
        <v>203</v>
      </c>
      <c r="G1641" s="15" t="s">
        <v>113</v>
      </c>
      <c r="H1641" s="15" t="s">
        <v>111</v>
      </c>
      <c r="J1641" s="16" t="s">
        <v>114</v>
      </c>
      <c r="U1641" s="15" t="s">
        <v>17977</v>
      </c>
      <c r="W1641" s="15">
        <v>3087</v>
      </c>
      <c r="X1641" s="15">
        <v>1651</v>
      </c>
      <c r="Y1641" s="15" t="s">
        <v>160</v>
      </c>
      <c r="Z1641" s="15" t="s">
        <v>161</v>
      </c>
      <c r="AA1641" s="15" t="s">
        <v>162</v>
      </c>
      <c r="AB1641" s="15" t="s">
        <v>14930</v>
      </c>
      <c r="AC1641" s="15" t="s">
        <v>14930</v>
      </c>
      <c r="AD1641" s="15" t="s">
        <v>14930</v>
      </c>
      <c r="AE1641" s="15" t="s">
        <v>164</v>
      </c>
      <c r="AF1641" s="15" t="s">
        <v>14930</v>
      </c>
      <c r="AG1641" s="15" t="s">
        <v>14930</v>
      </c>
      <c r="AH1641" s="20" t="s">
        <v>14931</v>
      </c>
      <c r="AL1641" s="15" t="s">
        <v>14932</v>
      </c>
      <c r="AN1641" s="15">
        <v>743</v>
      </c>
      <c r="AO1641" s="15" t="s">
        <v>14933</v>
      </c>
      <c r="AQ1641" s="20" t="s">
        <v>168</v>
      </c>
      <c r="AT1641" s="15" t="s">
        <v>14934</v>
      </c>
      <c r="AU1641" s="15" t="s">
        <v>14935</v>
      </c>
      <c r="AV1641" s="15" t="s">
        <v>14935</v>
      </c>
      <c r="AW1641" s="15" t="s">
        <v>14936</v>
      </c>
      <c r="AX1641" s="15" t="s">
        <v>14937</v>
      </c>
      <c r="AY1641" s="15">
        <f t="shared" si="38"/>
        <v>60</v>
      </c>
      <c r="AZ1641" s="15" t="s">
        <v>173</v>
      </c>
      <c r="BA1641" s="15" t="s">
        <v>174</v>
      </c>
      <c r="BB1641" s="15" t="s">
        <v>14907</v>
      </c>
      <c r="BC1641" s="15" t="s">
        <v>801</v>
      </c>
      <c r="BE1641" s="15" t="s">
        <v>7550</v>
      </c>
      <c r="BI1641" s="15" t="s">
        <v>3976</v>
      </c>
      <c r="BJ1641" s="15" t="s">
        <v>14928</v>
      </c>
      <c r="BN1641" s="15" t="s">
        <v>179</v>
      </c>
      <c r="BP1641" s="15" t="s">
        <v>138</v>
      </c>
      <c r="BS1641" s="15" t="s">
        <v>14938</v>
      </c>
      <c r="DH1641" s="15" t="s">
        <v>17982</v>
      </c>
      <c r="DI1641" s="15" t="s">
        <v>17982</v>
      </c>
    </row>
    <row r="1642" spans="1:113" s="15" customFormat="1" ht="12.75" x14ac:dyDescent="0.2">
      <c r="A1642" s="15" t="s">
        <v>109</v>
      </c>
      <c r="B1642" s="15" t="s">
        <v>110</v>
      </c>
      <c r="D1642" s="15" t="s">
        <v>203</v>
      </c>
      <c r="E1642" s="15" t="s">
        <v>112</v>
      </c>
      <c r="F1642" s="15" t="s">
        <v>203</v>
      </c>
      <c r="G1642" s="15" t="s">
        <v>113</v>
      </c>
      <c r="H1642" s="15" t="s">
        <v>111</v>
      </c>
      <c r="J1642" s="16" t="s">
        <v>114</v>
      </c>
      <c r="U1642" s="15" t="s">
        <v>17977</v>
      </c>
      <c r="W1642" s="15">
        <v>3085</v>
      </c>
      <c r="X1642" s="15">
        <v>1652</v>
      </c>
      <c r="Y1642" s="15" t="s">
        <v>160</v>
      </c>
      <c r="Z1642" s="15" t="s">
        <v>161</v>
      </c>
      <c r="AA1642" s="15" t="s">
        <v>162</v>
      </c>
      <c r="AB1642" s="15" t="s">
        <v>14910</v>
      </c>
      <c r="AC1642" s="15" t="s">
        <v>14910</v>
      </c>
      <c r="AD1642" s="15" t="s">
        <v>14910</v>
      </c>
      <c r="AE1642" s="15" t="s">
        <v>164</v>
      </c>
      <c r="AF1642" s="15" t="s">
        <v>14910</v>
      </c>
      <c r="AG1642" s="15" t="s">
        <v>14910</v>
      </c>
      <c r="AH1642" s="20" t="s">
        <v>14911</v>
      </c>
      <c r="AL1642" s="15" t="s">
        <v>14912</v>
      </c>
      <c r="AN1642" s="15">
        <v>743</v>
      </c>
      <c r="AO1642" s="15" t="s">
        <v>14913</v>
      </c>
      <c r="AQ1642" s="20" t="s">
        <v>388</v>
      </c>
      <c r="AT1642" s="15" t="s">
        <v>14914</v>
      </c>
      <c r="AU1642" s="15" t="s">
        <v>14915</v>
      </c>
      <c r="AV1642" s="15" t="s">
        <v>14915</v>
      </c>
      <c r="AW1642" s="15" t="s">
        <v>14916</v>
      </c>
      <c r="AX1642" s="15" t="s">
        <v>14916</v>
      </c>
      <c r="AY1642" s="15">
        <f t="shared" ref="AY1642:AY1673" si="39">LEN(SUBSTITUTE(AX1642, ", ",","))</f>
        <v>52</v>
      </c>
      <c r="AZ1642" s="15" t="s">
        <v>393</v>
      </c>
      <c r="BA1642" s="15" t="s">
        <v>174</v>
      </c>
      <c r="BB1642" s="15" t="s">
        <v>14907</v>
      </c>
      <c r="BE1642" s="15" t="s">
        <v>7474</v>
      </c>
      <c r="BJ1642" s="15" t="s">
        <v>14917</v>
      </c>
      <c r="BN1642" s="15" t="s">
        <v>179</v>
      </c>
      <c r="BP1642" s="15" t="s">
        <v>138</v>
      </c>
      <c r="BS1642" s="15" t="s">
        <v>14918</v>
      </c>
      <c r="DH1642" s="15" t="s">
        <v>17982</v>
      </c>
      <c r="DI1642" s="15" t="s">
        <v>17982</v>
      </c>
    </row>
    <row r="1643" spans="1:113" s="15" customFormat="1" ht="12.75" x14ac:dyDescent="0.2">
      <c r="A1643" s="15" t="s">
        <v>109</v>
      </c>
      <c r="B1643" s="15" t="s">
        <v>110</v>
      </c>
      <c r="D1643" s="15" t="s">
        <v>203</v>
      </c>
      <c r="E1643" s="15" t="s">
        <v>112</v>
      </c>
      <c r="F1643" s="15" t="s">
        <v>203</v>
      </c>
      <c r="G1643" s="15" t="s">
        <v>113</v>
      </c>
      <c r="H1643" s="15" t="s">
        <v>111</v>
      </c>
      <c r="J1643" s="16" t="s">
        <v>114</v>
      </c>
      <c r="U1643" s="15" t="s">
        <v>17977</v>
      </c>
      <c r="W1643" s="15">
        <v>3084</v>
      </c>
      <c r="X1643" s="15">
        <v>1653</v>
      </c>
      <c r="Y1643" s="15" t="s">
        <v>160</v>
      </c>
      <c r="Z1643" s="15" t="s">
        <v>161</v>
      </c>
      <c r="AA1643" s="15" t="s">
        <v>162</v>
      </c>
      <c r="AB1643" s="15" t="s">
        <v>14899</v>
      </c>
      <c r="AC1643" s="15" t="s">
        <v>14899</v>
      </c>
      <c r="AD1643" s="15" t="s">
        <v>14899</v>
      </c>
      <c r="AE1643" s="15" t="s">
        <v>164</v>
      </c>
      <c r="AF1643" s="15" t="s">
        <v>14899</v>
      </c>
      <c r="AG1643" s="15" t="s">
        <v>14899</v>
      </c>
      <c r="AH1643" s="20" t="s">
        <v>14900</v>
      </c>
      <c r="AL1643" s="15" t="s">
        <v>14901</v>
      </c>
      <c r="AN1643" s="15">
        <v>743</v>
      </c>
      <c r="AO1643" s="15" t="s">
        <v>14902</v>
      </c>
      <c r="AQ1643" s="20" t="s">
        <v>388</v>
      </c>
      <c r="AT1643" s="15" t="s">
        <v>14903</v>
      </c>
      <c r="AU1643" s="15" t="s">
        <v>14904</v>
      </c>
      <c r="AV1643" s="15" t="s">
        <v>14904</v>
      </c>
      <c r="AW1643" s="15" t="s">
        <v>14905</v>
      </c>
      <c r="AX1643" s="15" t="s">
        <v>14906</v>
      </c>
      <c r="AY1643" s="15">
        <f t="shared" si="39"/>
        <v>56</v>
      </c>
      <c r="AZ1643" s="15" t="s">
        <v>393</v>
      </c>
      <c r="BA1643" s="15" t="s">
        <v>174</v>
      </c>
      <c r="BB1643" s="15" t="s">
        <v>14907</v>
      </c>
      <c r="BE1643" s="15" t="s">
        <v>7474</v>
      </c>
      <c r="BF1643" s="15" t="s">
        <v>3153</v>
      </c>
      <c r="BJ1643" s="15" t="s">
        <v>14908</v>
      </c>
      <c r="BN1643" s="15" t="s">
        <v>179</v>
      </c>
      <c r="BP1643" s="15" t="s">
        <v>138</v>
      </c>
      <c r="BS1643" s="15" t="s">
        <v>14909</v>
      </c>
      <c r="DH1643" s="15" t="s">
        <v>17982</v>
      </c>
      <c r="DI1643" s="15" t="s">
        <v>17982</v>
      </c>
    </row>
    <row r="1644" spans="1:113" s="15" customFormat="1" ht="12.75" x14ac:dyDescent="0.2">
      <c r="A1644" s="15" t="s">
        <v>109</v>
      </c>
      <c r="B1644" s="15" t="s">
        <v>110</v>
      </c>
      <c r="D1644" s="15" t="s">
        <v>203</v>
      </c>
      <c r="E1644" s="15" t="s">
        <v>112</v>
      </c>
      <c r="F1644" s="15" t="s">
        <v>203</v>
      </c>
      <c r="G1644" s="15" t="s">
        <v>113</v>
      </c>
      <c r="H1644" s="15" t="s">
        <v>111</v>
      </c>
      <c r="J1644" s="16" t="s">
        <v>114</v>
      </c>
      <c r="U1644" s="15" t="s">
        <v>17977</v>
      </c>
      <c r="W1644" s="15">
        <v>1815</v>
      </c>
      <c r="X1644" s="15">
        <v>1654</v>
      </c>
      <c r="Y1644" s="15" t="s">
        <v>160</v>
      </c>
      <c r="Z1644" s="15" t="s">
        <v>161</v>
      </c>
      <c r="AA1644" s="15" t="s">
        <v>162</v>
      </c>
      <c r="AB1644" s="15" t="s">
        <v>9714</v>
      </c>
      <c r="AC1644" s="15" t="s">
        <v>9714</v>
      </c>
      <c r="AD1644" s="15" t="s">
        <v>9714</v>
      </c>
      <c r="AE1644" s="15" t="s">
        <v>164</v>
      </c>
      <c r="AF1644" s="15" t="s">
        <v>9714</v>
      </c>
      <c r="AG1644" s="15" t="s">
        <v>9714</v>
      </c>
      <c r="AH1644" s="20" t="s">
        <v>9715</v>
      </c>
      <c r="AL1644" s="15" t="s">
        <v>9716</v>
      </c>
      <c r="AN1644" s="15">
        <v>743</v>
      </c>
      <c r="AO1644" s="15" t="s">
        <v>9717</v>
      </c>
      <c r="AQ1644" s="20" t="s">
        <v>843</v>
      </c>
      <c r="AT1644" s="15" t="s">
        <v>9718</v>
      </c>
      <c r="AU1644" s="15" t="s">
        <v>9719</v>
      </c>
      <c r="AV1644" s="15" t="s">
        <v>9719</v>
      </c>
      <c r="AW1644" s="15" t="s">
        <v>9720</v>
      </c>
      <c r="AX1644" s="15" t="s">
        <v>9721</v>
      </c>
      <c r="AY1644" s="15">
        <f t="shared" si="39"/>
        <v>60</v>
      </c>
      <c r="AZ1644" s="15" t="s">
        <v>848</v>
      </c>
      <c r="BA1644" s="15" t="s">
        <v>174</v>
      </c>
      <c r="BB1644" s="15" t="s">
        <v>9722</v>
      </c>
      <c r="BE1644" s="15" t="s">
        <v>199</v>
      </c>
      <c r="BF1644" s="15" t="s">
        <v>8723</v>
      </c>
      <c r="BJ1644" s="15" t="s">
        <v>9723</v>
      </c>
      <c r="BN1644" s="15" t="s">
        <v>179</v>
      </c>
      <c r="BP1644" s="15" t="s">
        <v>138</v>
      </c>
      <c r="BS1644" s="15" t="s">
        <v>9724</v>
      </c>
      <c r="DH1644" s="15" t="s">
        <v>17982</v>
      </c>
      <c r="DI1644" s="15" t="s">
        <v>17982</v>
      </c>
    </row>
    <row r="1645" spans="1:113" s="15" customFormat="1" ht="12.75" x14ac:dyDescent="0.2">
      <c r="A1645" s="15" t="s">
        <v>109</v>
      </c>
      <c r="B1645" s="15" t="s">
        <v>110</v>
      </c>
      <c r="D1645" s="15" t="s">
        <v>203</v>
      </c>
      <c r="E1645" s="15" t="s">
        <v>112</v>
      </c>
      <c r="F1645" s="15" t="s">
        <v>203</v>
      </c>
      <c r="G1645" s="15" t="s">
        <v>113</v>
      </c>
      <c r="H1645" s="15" t="s">
        <v>111</v>
      </c>
      <c r="J1645" s="16" t="s">
        <v>114</v>
      </c>
      <c r="U1645" s="15" t="s">
        <v>17977</v>
      </c>
      <c r="W1645" s="15">
        <v>1813</v>
      </c>
      <c r="X1645" s="15">
        <v>1655</v>
      </c>
      <c r="Y1645" s="15" t="s">
        <v>160</v>
      </c>
      <c r="Z1645" s="15" t="s">
        <v>161</v>
      </c>
      <c r="AA1645" s="15" t="s">
        <v>162</v>
      </c>
      <c r="AB1645" s="15" t="s">
        <v>9695</v>
      </c>
      <c r="AC1645" s="15" t="s">
        <v>9695</v>
      </c>
      <c r="AD1645" s="15" t="s">
        <v>9695</v>
      </c>
      <c r="AE1645" s="15" t="s">
        <v>164</v>
      </c>
      <c r="AF1645" s="15" t="s">
        <v>9695</v>
      </c>
      <c r="AG1645" s="15" t="s">
        <v>9695</v>
      </c>
      <c r="AH1645" s="20" t="s">
        <v>9696</v>
      </c>
      <c r="AI1645" s="15">
        <v>42292701</v>
      </c>
      <c r="AK1645" s="15" t="s">
        <v>9697</v>
      </c>
      <c r="AL1645" s="15" t="s">
        <v>9698</v>
      </c>
      <c r="AN1645" s="15">
        <v>743</v>
      </c>
      <c r="AO1645" s="15" t="s">
        <v>9699</v>
      </c>
      <c r="AQ1645" s="20" t="s">
        <v>3412</v>
      </c>
      <c r="AT1645" s="15" t="s">
        <v>9700</v>
      </c>
      <c r="AU1645" s="15" t="s">
        <v>9701</v>
      </c>
      <c r="AV1645" s="15" t="s">
        <v>9701</v>
      </c>
      <c r="AW1645" s="15" t="s">
        <v>9702</v>
      </c>
      <c r="AX1645" s="15" t="s">
        <v>9702</v>
      </c>
      <c r="AY1645" s="15">
        <f t="shared" si="39"/>
        <v>57</v>
      </c>
      <c r="AZ1645" s="15" t="s">
        <v>1725</v>
      </c>
      <c r="BA1645" s="15" t="s">
        <v>174</v>
      </c>
      <c r="BB1645" s="15" t="s">
        <v>9651</v>
      </c>
      <c r="BC1645" s="15" t="s">
        <v>1055</v>
      </c>
      <c r="BE1645" s="15" t="s">
        <v>199</v>
      </c>
      <c r="BF1645" s="15" t="s">
        <v>9703</v>
      </c>
      <c r="BJ1645" s="15" t="s">
        <v>9704</v>
      </c>
      <c r="BN1645" s="15" t="s">
        <v>179</v>
      </c>
      <c r="BP1645" s="15" t="s">
        <v>138</v>
      </c>
      <c r="BS1645" s="15" t="s">
        <v>9705</v>
      </c>
      <c r="DH1645" s="15" t="s">
        <v>17982</v>
      </c>
      <c r="DI1645" s="15" t="s">
        <v>17982</v>
      </c>
    </row>
    <row r="1646" spans="1:113" s="15" customFormat="1" ht="12.75" x14ac:dyDescent="0.2">
      <c r="A1646" s="15" t="s">
        <v>109</v>
      </c>
      <c r="B1646" s="15" t="s">
        <v>110</v>
      </c>
      <c r="D1646" s="15" t="s">
        <v>203</v>
      </c>
      <c r="E1646" s="15" t="s">
        <v>112</v>
      </c>
      <c r="F1646" s="15" t="s">
        <v>203</v>
      </c>
      <c r="G1646" s="15" t="s">
        <v>113</v>
      </c>
      <c r="H1646" s="15" t="s">
        <v>111</v>
      </c>
      <c r="J1646" s="16" t="s">
        <v>114</v>
      </c>
      <c r="U1646" s="15" t="s">
        <v>17977</v>
      </c>
      <c r="W1646" s="15">
        <v>1814</v>
      </c>
      <c r="X1646" s="15">
        <v>1656</v>
      </c>
      <c r="Y1646" s="15" t="s">
        <v>160</v>
      </c>
      <c r="Z1646" s="15" t="s">
        <v>161</v>
      </c>
      <c r="AA1646" s="15" t="s">
        <v>162</v>
      </c>
      <c r="AB1646" s="15" t="s">
        <v>9706</v>
      </c>
      <c r="AC1646" s="15" t="s">
        <v>9706</v>
      </c>
      <c r="AD1646" s="15" t="s">
        <v>9706</v>
      </c>
      <c r="AE1646" s="15" t="s">
        <v>164</v>
      </c>
      <c r="AF1646" s="15" t="s">
        <v>9706</v>
      </c>
      <c r="AG1646" s="15" t="s">
        <v>9706</v>
      </c>
      <c r="AH1646" s="20" t="s">
        <v>9707</v>
      </c>
      <c r="AI1646" s="15">
        <v>42292701</v>
      </c>
      <c r="AK1646" s="15" t="s">
        <v>9697</v>
      </c>
      <c r="AL1646" s="15" t="s">
        <v>9708</v>
      </c>
      <c r="AN1646" s="15">
        <v>743</v>
      </c>
      <c r="AO1646" s="15" t="s">
        <v>9709</v>
      </c>
      <c r="AQ1646" s="20" t="s">
        <v>3412</v>
      </c>
      <c r="AT1646" s="15" t="s">
        <v>9710</v>
      </c>
      <c r="AU1646" s="15" t="s">
        <v>9711</v>
      </c>
      <c r="AV1646" s="15" t="s">
        <v>9711</v>
      </c>
      <c r="AW1646" s="15" t="s">
        <v>9712</v>
      </c>
      <c r="AX1646" s="15" t="s">
        <v>9712</v>
      </c>
      <c r="AY1646" s="15">
        <f t="shared" si="39"/>
        <v>55</v>
      </c>
      <c r="AZ1646" s="15" t="s">
        <v>1725</v>
      </c>
      <c r="BA1646" s="15" t="s">
        <v>174</v>
      </c>
      <c r="BB1646" s="15" t="s">
        <v>9651</v>
      </c>
      <c r="BC1646" s="15" t="s">
        <v>4343</v>
      </c>
      <c r="BE1646" s="15" t="s">
        <v>199</v>
      </c>
      <c r="BF1646" s="15" t="s">
        <v>217</v>
      </c>
      <c r="BJ1646" s="15" t="s">
        <v>9704</v>
      </c>
      <c r="BN1646" s="15" t="s">
        <v>179</v>
      </c>
      <c r="BP1646" s="15" t="s">
        <v>138</v>
      </c>
      <c r="BS1646" s="15" t="s">
        <v>9713</v>
      </c>
      <c r="DH1646" s="15" t="s">
        <v>17982</v>
      </c>
      <c r="DI1646" s="15" t="s">
        <v>17982</v>
      </c>
    </row>
    <row r="1647" spans="1:113" s="15" customFormat="1" ht="12.75" x14ac:dyDescent="0.2">
      <c r="A1647" s="15" t="s">
        <v>109</v>
      </c>
      <c r="B1647" s="15" t="s">
        <v>110</v>
      </c>
      <c r="D1647" s="15" t="s">
        <v>203</v>
      </c>
      <c r="E1647" s="15" t="s">
        <v>112</v>
      </c>
      <c r="F1647" s="15" t="s">
        <v>203</v>
      </c>
      <c r="G1647" s="15" t="s">
        <v>113</v>
      </c>
      <c r="H1647" s="15" t="s">
        <v>111</v>
      </c>
      <c r="J1647" s="16" t="s">
        <v>114</v>
      </c>
      <c r="U1647" s="15" t="s">
        <v>17977</v>
      </c>
      <c r="W1647" s="15">
        <v>1817</v>
      </c>
      <c r="X1647" s="15">
        <v>1657</v>
      </c>
      <c r="Y1647" s="15" t="s">
        <v>160</v>
      </c>
      <c r="Z1647" s="15" t="s">
        <v>161</v>
      </c>
      <c r="AA1647" s="15" t="s">
        <v>162</v>
      </c>
      <c r="AB1647" s="15" t="s">
        <v>9736</v>
      </c>
      <c r="AC1647" s="15" t="s">
        <v>9736</v>
      </c>
      <c r="AD1647" s="15" t="s">
        <v>9736</v>
      </c>
      <c r="AE1647" s="15" t="s">
        <v>164</v>
      </c>
      <c r="AF1647" s="15" t="s">
        <v>9736</v>
      </c>
      <c r="AG1647" s="15" t="s">
        <v>9736</v>
      </c>
      <c r="AH1647" s="20" t="s">
        <v>9737</v>
      </c>
      <c r="AL1647" s="15" t="s">
        <v>9738</v>
      </c>
      <c r="AN1647" s="15">
        <v>743</v>
      </c>
      <c r="AO1647" s="15" t="s">
        <v>9739</v>
      </c>
      <c r="AQ1647" s="29" t="s">
        <v>6244</v>
      </c>
      <c r="AT1647" s="15" t="s">
        <v>9740</v>
      </c>
      <c r="AU1647" s="15" t="s">
        <v>9741</v>
      </c>
      <c r="AV1647" s="15" t="s">
        <v>9741</v>
      </c>
      <c r="AW1647" s="15" t="s">
        <v>9742</v>
      </c>
      <c r="AX1647" s="15" t="s">
        <v>9742</v>
      </c>
      <c r="AY1647" s="15">
        <f t="shared" si="39"/>
        <v>57</v>
      </c>
      <c r="AZ1647" s="15" t="s">
        <v>9535</v>
      </c>
      <c r="BA1647" s="15" t="s">
        <v>174</v>
      </c>
      <c r="BB1647" s="15" t="s">
        <v>9651</v>
      </c>
      <c r="BC1647" s="15" t="s">
        <v>9743</v>
      </c>
      <c r="BE1647" s="15" t="s">
        <v>199</v>
      </c>
      <c r="BF1647" s="15" t="s">
        <v>9744</v>
      </c>
      <c r="BJ1647" s="15" t="s">
        <v>219</v>
      </c>
      <c r="BN1647" s="15" t="s">
        <v>179</v>
      </c>
      <c r="BP1647" s="15" t="s">
        <v>138</v>
      </c>
      <c r="BS1647" s="15" t="s">
        <v>9745</v>
      </c>
      <c r="DH1647" s="15" t="s">
        <v>17982</v>
      </c>
      <c r="DI1647" s="15" t="s">
        <v>17982</v>
      </c>
    </row>
    <row r="1648" spans="1:113" s="15" customFormat="1" ht="12.75" x14ac:dyDescent="0.2">
      <c r="A1648" s="15" t="s">
        <v>109</v>
      </c>
      <c r="B1648" s="15" t="s">
        <v>110</v>
      </c>
      <c r="D1648" s="15" t="s">
        <v>203</v>
      </c>
      <c r="E1648" s="15" t="s">
        <v>112</v>
      </c>
      <c r="F1648" s="15" t="s">
        <v>203</v>
      </c>
      <c r="G1648" s="15" t="s">
        <v>113</v>
      </c>
      <c r="H1648" s="15" t="s">
        <v>111</v>
      </c>
      <c r="J1648" s="16" t="s">
        <v>114</v>
      </c>
      <c r="U1648" s="15" t="s">
        <v>17977</v>
      </c>
      <c r="W1648" s="15">
        <v>1816</v>
      </c>
      <c r="X1648" s="15">
        <v>1658</v>
      </c>
      <c r="Y1648" s="15" t="s">
        <v>160</v>
      </c>
      <c r="Z1648" s="15" t="s">
        <v>161</v>
      </c>
      <c r="AA1648" s="15" t="s">
        <v>162</v>
      </c>
      <c r="AB1648" s="15" t="s">
        <v>9725</v>
      </c>
      <c r="AC1648" s="15" t="s">
        <v>9725</v>
      </c>
      <c r="AD1648" s="15" t="s">
        <v>9726</v>
      </c>
      <c r="AE1648" s="15" t="s">
        <v>164</v>
      </c>
      <c r="AF1648" s="15" t="s">
        <v>9726</v>
      </c>
      <c r="AG1648" s="15" t="s">
        <v>9725</v>
      </c>
      <c r="AH1648" s="20" t="s">
        <v>9727</v>
      </c>
      <c r="AL1648" s="15" t="s">
        <v>9728</v>
      </c>
      <c r="AN1648" s="15">
        <v>743</v>
      </c>
      <c r="AO1648" s="15" t="s">
        <v>9729</v>
      </c>
      <c r="AQ1648" s="20" t="s">
        <v>225</v>
      </c>
      <c r="AT1648" s="15" t="s">
        <v>9730</v>
      </c>
      <c r="AU1648" s="15" t="s">
        <v>9731</v>
      </c>
      <c r="AV1648" s="15" t="s">
        <v>9731</v>
      </c>
      <c r="AW1648" s="15" t="s">
        <v>9732</v>
      </c>
      <c r="AX1648" s="15" t="s">
        <v>9732</v>
      </c>
      <c r="AY1648" s="15">
        <f t="shared" si="39"/>
        <v>57</v>
      </c>
      <c r="AZ1648" s="15" t="s">
        <v>229</v>
      </c>
      <c r="BA1648" s="15" t="s">
        <v>174</v>
      </c>
      <c r="BB1648" s="15" t="s">
        <v>9651</v>
      </c>
      <c r="BC1648" s="15" t="s">
        <v>9733</v>
      </c>
      <c r="BE1648" s="15" t="s">
        <v>199</v>
      </c>
      <c r="BF1648" s="15" t="s">
        <v>9734</v>
      </c>
      <c r="BJ1648" s="15" t="s">
        <v>219</v>
      </c>
      <c r="BN1648" s="15" t="s">
        <v>179</v>
      </c>
      <c r="BP1648" s="15" t="s">
        <v>138</v>
      </c>
      <c r="BS1648" s="15" t="s">
        <v>9735</v>
      </c>
      <c r="DH1648" s="15" t="s">
        <v>17982</v>
      </c>
      <c r="DI1648" s="15" t="s">
        <v>17982</v>
      </c>
    </row>
    <row r="1649" spans="1:113" s="15" customFormat="1" ht="12.75" x14ac:dyDescent="0.2">
      <c r="A1649" s="15" t="s">
        <v>109</v>
      </c>
      <c r="B1649" s="15" t="s">
        <v>110</v>
      </c>
      <c r="D1649" s="15" t="s">
        <v>203</v>
      </c>
      <c r="E1649" s="15" t="s">
        <v>112</v>
      </c>
      <c r="F1649" s="15" t="s">
        <v>203</v>
      </c>
      <c r="G1649" s="15" t="s">
        <v>113</v>
      </c>
      <c r="H1649" s="15" t="s">
        <v>111</v>
      </c>
      <c r="J1649" s="16" t="s">
        <v>114</v>
      </c>
      <c r="U1649" s="15" t="s">
        <v>17977</v>
      </c>
      <c r="W1649" s="15">
        <v>1812</v>
      </c>
      <c r="X1649" s="15">
        <v>1659</v>
      </c>
      <c r="Y1649" s="15" t="s">
        <v>160</v>
      </c>
      <c r="Z1649" s="15" t="s">
        <v>161</v>
      </c>
      <c r="AA1649" s="15" t="s">
        <v>162</v>
      </c>
      <c r="AB1649" s="15" t="s">
        <v>9684</v>
      </c>
      <c r="AC1649" s="15" t="s">
        <v>9684</v>
      </c>
      <c r="AD1649" s="15" t="s">
        <v>9684</v>
      </c>
      <c r="AE1649" s="15" t="s">
        <v>164</v>
      </c>
      <c r="AF1649" s="15" t="s">
        <v>9684</v>
      </c>
      <c r="AG1649" s="15" t="s">
        <v>9684</v>
      </c>
      <c r="AH1649" s="20" t="s">
        <v>9685</v>
      </c>
      <c r="AL1649" s="15" t="s">
        <v>9686</v>
      </c>
      <c r="AN1649" s="15">
        <v>743</v>
      </c>
      <c r="AO1649" s="15" t="s">
        <v>9687</v>
      </c>
      <c r="AQ1649" s="20" t="s">
        <v>9688</v>
      </c>
      <c r="AT1649" s="15" t="s">
        <v>9689</v>
      </c>
      <c r="AU1649" s="15" t="s">
        <v>9690</v>
      </c>
      <c r="AV1649" s="15" t="s">
        <v>9690</v>
      </c>
      <c r="AW1649" s="15" t="s">
        <v>9691</v>
      </c>
      <c r="AX1649" s="15" t="s">
        <v>9691</v>
      </c>
      <c r="AY1649" s="15">
        <f t="shared" si="39"/>
        <v>55</v>
      </c>
      <c r="AZ1649" s="15" t="s">
        <v>9692</v>
      </c>
      <c r="BA1649" s="15" t="s">
        <v>174</v>
      </c>
      <c r="BB1649" s="15" t="s">
        <v>9651</v>
      </c>
      <c r="BC1649" s="15" t="s">
        <v>1978</v>
      </c>
      <c r="BF1649" s="15" t="s">
        <v>3419</v>
      </c>
      <c r="BJ1649" s="15" t="s">
        <v>9693</v>
      </c>
      <c r="BN1649" s="15" t="s">
        <v>179</v>
      </c>
      <c r="BP1649" s="15" t="s">
        <v>138</v>
      </c>
      <c r="BS1649" s="15" t="s">
        <v>9694</v>
      </c>
      <c r="DH1649" s="15" t="s">
        <v>17982</v>
      </c>
      <c r="DI1649" s="15" t="s">
        <v>17982</v>
      </c>
    </row>
    <row r="1650" spans="1:113" s="15" customFormat="1" ht="12.75" x14ac:dyDescent="0.2">
      <c r="A1650" s="15" t="s">
        <v>109</v>
      </c>
      <c r="B1650" s="15" t="s">
        <v>110</v>
      </c>
      <c r="D1650" s="15" t="s">
        <v>203</v>
      </c>
      <c r="E1650" s="15" t="s">
        <v>112</v>
      </c>
      <c r="F1650" s="15" t="s">
        <v>203</v>
      </c>
      <c r="G1650" s="15" t="s">
        <v>113</v>
      </c>
      <c r="H1650" s="15" t="s">
        <v>111</v>
      </c>
      <c r="J1650" s="16" t="s">
        <v>114</v>
      </c>
      <c r="U1650" s="15" t="s">
        <v>17977</v>
      </c>
      <c r="W1650" s="15">
        <v>1809</v>
      </c>
      <c r="X1650" s="15">
        <v>1660</v>
      </c>
      <c r="Y1650" s="15" t="s">
        <v>160</v>
      </c>
      <c r="Z1650" s="15" t="s">
        <v>161</v>
      </c>
      <c r="AA1650" s="15" t="s">
        <v>162</v>
      </c>
      <c r="AB1650" s="15" t="s">
        <v>9655</v>
      </c>
      <c r="AC1650" s="15" t="s">
        <v>9655</v>
      </c>
      <c r="AD1650" s="15" t="s">
        <v>9655</v>
      </c>
      <c r="AE1650" s="15" t="s">
        <v>164</v>
      </c>
      <c r="AF1650" s="15" t="s">
        <v>9655</v>
      </c>
      <c r="AG1650" s="15" t="s">
        <v>9655</v>
      </c>
      <c r="AH1650" s="20" t="s">
        <v>9656</v>
      </c>
      <c r="AL1650" s="15" t="s">
        <v>9657</v>
      </c>
      <c r="AN1650" s="15">
        <v>743</v>
      </c>
      <c r="AO1650" s="15" t="s">
        <v>9658</v>
      </c>
      <c r="AQ1650" s="20" t="s">
        <v>3412</v>
      </c>
      <c r="AT1650" s="15" t="s">
        <v>9659</v>
      </c>
      <c r="AU1650" s="15" t="s">
        <v>9660</v>
      </c>
      <c r="AV1650" s="15" t="s">
        <v>9660</v>
      </c>
      <c r="AW1650" s="15" t="s">
        <v>9661</v>
      </c>
      <c r="AX1650" s="15" t="s">
        <v>9662</v>
      </c>
      <c r="AY1650" s="15">
        <f t="shared" si="39"/>
        <v>51</v>
      </c>
      <c r="AZ1650" s="15" t="s">
        <v>1725</v>
      </c>
      <c r="BA1650" s="15" t="s">
        <v>174</v>
      </c>
      <c r="BB1650" s="15" t="s">
        <v>9651</v>
      </c>
      <c r="BE1650" s="15" t="s">
        <v>199</v>
      </c>
      <c r="BI1650" s="15" t="s">
        <v>9663</v>
      </c>
      <c r="BJ1650" s="15" t="s">
        <v>9653</v>
      </c>
      <c r="BN1650" s="15" t="s">
        <v>179</v>
      </c>
      <c r="BP1650" s="15" t="s">
        <v>138</v>
      </c>
      <c r="BS1650" s="15" t="s">
        <v>9664</v>
      </c>
      <c r="DH1650" s="15" t="s">
        <v>17982</v>
      </c>
      <c r="DI1650" s="15" t="s">
        <v>17982</v>
      </c>
    </row>
    <row r="1651" spans="1:113" s="15" customFormat="1" ht="12.75" x14ac:dyDescent="0.2">
      <c r="A1651" s="15" t="s">
        <v>109</v>
      </c>
      <c r="B1651" s="15" t="s">
        <v>110</v>
      </c>
      <c r="D1651" s="15" t="s">
        <v>203</v>
      </c>
      <c r="E1651" s="15" t="s">
        <v>112</v>
      </c>
      <c r="F1651" s="15" t="s">
        <v>203</v>
      </c>
      <c r="G1651" s="15" t="s">
        <v>113</v>
      </c>
      <c r="H1651" s="15" t="s">
        <v>111</v>
      </c>
      <c r="J1651" s="16" t="s">
        <v>114</v>
      </c>
      <c r="U1651" s="15" t="s">
        <v>17977</v>
      </c>
      <c r="W1651" s="15">
        <v>1808</v>
      </c>
      <c r="X1651" s="15">
        <v>1661</v>
      </c>
      <c r="Y1651" s="15" t="s">
        <v>160</v>
      </c>
      <c r="Z1651" s="15" t="s">
        <v>161</v>
      </c>
      <c r="AA1651" s="15" t="s">
        <v>162</v>
      </c>
      <c r="AB1651" s="15" t="s">
        <v>9643</v>
      </c>
      <c r="AC1651" s="15" t="s">
        <v>9643</v>
      </c>
      <c r="AD1651" s="15" t="s">
        <v>9643</v>
      </c>
      <c r="AE1651" s="15" t="s">
        <v>164</v>
      </c>
      <c r="AF1651" s="15" t="s">
        <v>9643</v>
      </c>
      <c r="AG1651" s="15" t="s">
        <v>9643</v>
      </c>
      <c r="AH1651" s="20" t="s">
        <v>9644</v>
      </c>
      <c r="AL1651" s="15" t="s">
        <v>9645</v>
      </c>
      <c r="AN1651" s="15">
        <v>743</v>
      </c>
      <c r="AO1651" s="15" t="s">
        <v>9646</v>
      </c>
      <c r="AQ1651" s="20" t="s">
        <v>3412</v>
      </c>
      <c r="AT1651" s="15" t="s">
        <v>9647</v>
      </c>
      <c r="AU1651" s="15" t="s">
        <v>9648</v>
      </c>
      <c r="AV1651" s="15" t="s">
        <v>9648</v>
      </c>
      <c r="AW1651" s="15" t="s">
        <v>9649</v>
      </c>
      <c r="AX1651" s="15" t="s">
        <v>9650</v>
      </c>
      <c r="AY1651" s="15">
        <f t="shared" si="39"/>
        <v>51</v>
      </c>
      <c r="AZ1651" s="15" t="s">
        <v>1725</v>
      </c>
      <c r="BA1651" s="15" t="s">
        <v>174</v>
      </c>
      <c r="BB1651" s="15" t="s">
        <v>9651</v>
      </c>
      <c r="BE1651" s="15" t="s">
        <v>199</v>
      </c>
      <c r="BI1651" s="15" t="s">
        <v>9652</v>
      </c>
      <c r="BJ1651" s="15" t="s">
        <v>9653</v>
      </c>
      <c r="BN1651" s="15" t="s">
        <v>179</v>
      </c>
      <c r="BP1651" s="15" t="s">
        <v>138</v>
      </c>
      <c r="BS1651" s="15" t="s">
        <v>9654</v>
      </c>
      <c r="DH1651" s="15" t="s">
        <v>17982</v>
      </c>
      <c r="DI1651" s="15" t="s">
        <v>17982</v>
      </c>
    </row>
    <row r="1652" spans="1:113" s="15" customFormat="1" ht="12.75" x14ac:dyDescent="0.2">
      <c r="A1652" s="15" t="s">
        <v>109</v>
      </c>
      <c r="B1652" s="15" t="s">
        <v>110</v>
      </c>
      <c r="D1652" s="15" t="s">
        <v>203</v>
      </c>
      <c r="E1652" s="15" t="s">
        <v>112</v>
      </c>
      <c r="F1652" s="15" t="s">
        <v>203</v>
      </c>
      <c r="G1652" s="15" t="s">
        <v>113</v>
      </c>
      <c r="H1652" s="15" t="s">
        <v>111</v>
      </c>
      <c r="J1652" s="16" t="s">
        <v>114</v>
      </c>
      <c r="U1652" s="15" t="s">
        <v>17977</v>
      </c>
      <c r="W1652" s="15">
        <v>1810</v>
      </c>
      <c r="X1652" s="15">
        <v>1662</v>
      </c>
      <c r="Y1652" s="15" t="s">
        <v>160</v>
      </c>
      <c r="Z1652" s="15" t="s">
        <v>161</v>
      </c>
      <c r="AA1652" s="15" t="s">
        <v>162</v>
      </c>
      <c r="AB1652" s="15" t="s">
        <v>9665</v>
      </c>
      <c r="AC1652" s="15" t="s">
        <v>9665</v>
      </c>
      <c r="AD1652" s="15" t="s">
        <v>9665</v>
      </c>
      <c r="AE1652" s="15" t="s">
        <v>164</v>
      </c>
      <c r="AF1652" s="15" t="s">
        <v>9665</v>
      </c>
      <c r="AG1652" s="15" t="s">
        <v>9665</v>
      </c>
      <c r="AH1652" s="20" t="s">
        <v>9666</v>
      </c>
      <c r="AL1652" s="15" t="s">
        <v>9667</v>
      </c>
      <c r="AN1652" s="15">
        <v>743</v>
      </c>
      <c r="AO1652" s="15" t="s">
        <v>9668</v>
      </c>
      <c r="AQ1652" s="20" t="s">
        <v>168</v>
      </c>
      <c r="AT1652" s="15" t="s">
        <v>9669</v>
      </c>
      <c r="AU1652" s="15" t="s">
        <v>9670</v>
      </c>
      <c r="AV1652" s="15" t="s">
        <v>9670</v>
      </c>
      <c r="AW1652" s="15" t="s">
        <v>9671</v>
      </c>
      <c r="AX1652" s="15" t="s">
        <v>9671</v>
      </c>
      <c r="AY1652" s="15">
        <f t="shared" si="39"/>
        <v>54</v>
      </c>
      <c r="AZ1652" s="15" t="s">
        <v>173</v>
      </c>
      <c r="BA1652" s="15" t="s">
        <v>174</v>
      </c>
      <c r="BB1652" s="18" t="s">
        <v>9651</v>
      </c>
      <c r="BE1652" s="15" t="s">
        <v>251</v>
      </c>
      <c r="BJ1652" s="15" t="s">
        <v>9672</v>
      </c>
      <c r="BN1652" s="15" t="s">
        <v>179</v>
      </c>
      <c r="BP1652" s="15" t="s">
        <v>138</v>
      </c>
      <c r="BS1652" s="15" t="s">
        <v>9673</v>
      </c>
      <c r="DH1652" s="15" t="s">
        <v>17982</v>
      </c>
      <c r="DI1652" s="15" t="s">
        <v>17982</v>
      </c>
    </row>
    <row r="1653" spans="1:113" s="15" customFormat="1" ht="12.75" x14ac:dyDescent="0.2">
      <c r="A1653" s="15" t="s">
        <v>109</v>
      </c>
      <c r="B1653" s="15" t="s">
        <v>110</v>
      </c>
      <c r="D1653" s="15" t="s">
        <v>203</v>
      </c>
      <c r="E1653" s="15" t="s">
        <v>112</v>
      </c>
      <c r="F1653" s="15" t="s">
        <v>203</v>
      </c>
      <c r="G1653" s="15" t="s">
        <v>113</v>
      </c>
      <c r="H1653" s="15" t="s">
        <v>111</v>
      </c>
      <c r="J1653" s="16" t="s">
        <v>114</v>
      </c>
      <c r="U1653" s="15" t="s">
        <v>17977</v>
      </c>
      <c r="W1653" s="15">
        <v>1811</v>
      </c>
      <c r="X1653" s="15">
        <v>1663</v>
      </c>
      <c r="Y1653" s="15" t="s">
        <v>160</v>
      </c>
      <c r="Z1653" s="15" t="s">
        <v>161</v>
      </c>
      <c r="AA1653" s="15" t="s">
        <v>162</v>
      </c>
      <c r="AB1653" s="15" t="s">
        <v>9674</v>
      </c>
      <c r="AC1653" s="15" t="s">
        <v>9674</v>
      </c>
      <c r="AD1653" s="15" t="s">
        <v>9674</v>
      </c>
      <c r="AE1653" s="15" t="s">
        <v>164</v>
      </c>
      <c r="AF1653" s="15" t="s">
        <v>9674</v>
      </c>
      <c r="AG1653" s="15" t="s">
        <v>9674</v>
      </c>
      <c r="AH1653" s="20" t="s">
        <v>9675</v>
      </c>
      <c r="AL1653" s="15" t="s">
        <v>9676</v>
      </c>
      <c r="AN1653" s="15">
        <v>743</v>
      </c>
      <c r="AO1653" s="15" t="s">
        <v>9677</v>
      </c>
      <c r="AQ1653" s="20" t="s">
        <v>388</v>
      </c>
      <c r="AT1653" s="15" t="s">
        <v>9678</v>
      </c>
      <c r="AU1653" s="15" t="s">
        <v>9679</v>
      </c>
      <c r="AV1653" s="15" t="s">
        <v>9679</v>
      </c>
      <c r="AW1653" s="15" t="s">
        <v>9680</v>
      </c>
      <c r="AX1653" s="15" t="s">
        <v>9681</v>
      </c>
      <c r="AY1653" s="15">
        <f t="shared" si="39"/>
        <v>57</v>
      </c>
      <c r="AZ1653" s="15" t="s">
        <v>393</v>
      </c>
      <c r="BA1653" s="15" t="s">
        <v>174</v>
      </c>
      <c r="BB1653" s="15" t="s">
        <v>9651</v>
      </c>
      <c r="BE1653" s="15" t="s">
        <v>367</v>
      </c>
      <c r="BF1653" s="15" t="s">
        <v>1479</v>
      </c>
      <c r="BJ1653" s="15" t="s">
        <v>9682</v>
      </c>
      <c r="BN1653" s="15" t="s">
        <v>179</v>
      </c>
      <c r="BP1653" s="15" t="s">
        <v>138</v>
      </c>
      <c r="BS1653" s="15" t="s">
        <v>9683</v>
      </c>
      <c r="DH1653" s="15" t="s">
        <v>17982</v>
      </c>
      <c r="DI1653" s="15" t="s">
        <v>17982</v>
      </c>
    </row>
    <row r="1654" spans="1:113" s="15" customFormat="1" ht="12.75" x14ac:dyDescent="0.2">
      <c r="A1654" s="15" t="s">
        <v>109</v>
      </c>
      <c r="B1654" s="15" t="s">
        <v>110</v>
      </c>
      <c r="D1654" s="15" t="s">
        <v>203</v>
      </c>
      <c r="E1654" s="15" t="s">
        <v>112</v>
      </c>
      <c r="F1654" s="15" t="s">
        <v>203</v>
      </c>
      <c r="G1654" s="15" t="s">
        <v>113</v>
      </c>
      <c r="H1654" s="15" t="s">
        <v>111</v>
      </c>
      <c r="J1654" s="16" t="s">
        <v>114</v>
      </c>
      <c r="U1654" s="15" t="s">
        <v>17977</v>
      </c>
      <c r="W1654" s="15">
        <v>89</v>
      </c>
      <c r="X1654" s="15">
        <v>1664</v>
      </c>
      <c r="Y1654" s="15" t="s">
        <v>160</v>
      </c>
      <c r="Z1654" s="15" t="s">
        <v>161</v>
      </c>
      <c r="AA1654" s="15" t="s">
        <v>162</v>
      </c>
      <c r="AB1654" s="15" t="s">
        <v>650</v>
      </c>
      <c r="AC1654" s="15" t="s">
        <v>650</v>
      </c>
      <c r="AD1654" s="15" t="s">
        <v>650</v>
      </c>
      <c r="AE1654" s="15" t="s">
        <v>164</v>
      </c>
      <c r="AF1654" s="15" t="s">
        <v>650</v>
      </c>
      <c r="AG1654" s="15" t="s">
        <v>650</v>
      </c>
      <c r="AH1654" s="20" t="s">
        <v>651</v>
      </c>
      <c r="AL1654" s="15" t="s">
        <v>652</v>
      </c>
      <c r="AN1654" s="15">
        <v>743</v>
      </c>
      <c r="AO1654" s="15" t="s">
        <v>653</v>
      </c>
      <c r="AQ1654" s="20" t="s">
        <v>639</v>
      </c>
      <c r="AT1654" s="15" t="s">
        <v>654</v>
      </c>
      <c r="AU1654" s="15" t="s">
        <v>655</v>
      </c>
      <c r="AV1654" s="15" t="s">
        <v>655</v>
      </c>
      <c r="AW1654" s="15" t="s">
        <v>656</v>
      </c>
      <c r="AX1654" s="15" t="s">
        <v>657</v>
      </c>
      <c r="AY1654" s="15">
        <f t="shared" si="39"/>
        <v>59</v>
      </c>
      <c r="AZ1654" s="15" t="s">
        <v>644</v>
      </c>
      <c r="BA1654" s="15" t="s">
        <v>174</v>
      </c>
      <c r="BB1654" s="15" t="s">
        <v>645</v>
      </c>
      <c r="BC1654" s="15" t="s">
        <v>646</v>
      </c>
      <c r="BE1654" s="15" t="s">
        <v>658</v>
      </c>
      <c r="BJ1654" s="15" t="s">
        <v>648</v>
      </c>
      <c r="BN1654" s="15" t="s">
        <v>179</v>
      </c>
      <c r="BP1654" s="15" t="s">
        <v>138</v>
      </c>
      <c r="BS1654" s="15" t="s">
        <v>659</v>
      </c>
      <c r="DH1654" s="15" t="s">
        <v>17982</v>
      </c>
      <c r="DI1654" s="15" t="s">
        <v>17982</v>
      </c>
    </row>
    <row r="1655" spans="1:113" s="15" customFormat="1" ht="12.75" x14ac:dyDescent="0.2">
      <c r="A1655" s="15" t="s">
        <v>109</v>
      </c>
      <c r="B1655" s="15" t="s">
        <v>110</v>
      </c>
      <c r="D1655" s="15" t="s">
        <v>203</v>
      </c>
      <c r="E1655" s="15" t="s">
        <v>112</v>
      </c>
      <c r="F1655" s="15" t="s">
        <v>203</v>
      </c>
      <c r="G1655" s="15" t="s">
        <v>113</v>
      </c>
      <c r="H1655" s="15" t="s">
        <v>111</v>
      </c>
      <c r="J1655" s="16" t="s">
        <v>114</v>
      </c>
      <c r="U1655" s="15" t="s">
        <v>17977</v>
      </c>
      <c r="W1655" s="15">
        <v>88</v>
      </c>
      <c r="X1655" s="15">
        <v>1665</v>
      </c>
      <c r="Y1655" s="15" t="s">
        <v>160</v>
      </c>
      <c r="Z1655" s="15" t="s">
        <v>161</v>
      </c>
      <c r="AA1655" s="15" t="s">
        <v>162</v>
      </c>
      <c r="AB1655" s="15" t="s">
        <v>635</v>
      </c>
      <c r="AC1655" s="15" t="s">
        <v>635</v>
      </c>
      <c r="AD1655" s="15" t="s">
        <v>635</v>
      </c>
      <c r="AE1655" s="15" t="s">
        <v>164</v>
      </c>
      <c r="AF1655" s="15" t="s">
        <v>635</v>
      </c>
      <c r="AG1655" s="15" t="s">
        <v>635</v>
      </c>
      <c r="AH1655" s="20" t="s">
        <v>636</v>
      </c>
      <c r="AL1655" s="15" t="s">
        <v>637</v>
      </c>
      <c r="AN1655" s="15">
        <v>743</v>
      </c>
      <c r="AO1655" s="15" t="s">
        <v>638</v>
      </c>
      <c r="AQ1655" s="20" t="s">
        <v>639</v>
      </c>
      <c r="AT1655" s="15" t="s">
        <v>640</v>
      </c>
      <c r="AU1655" s="15" t="s">
        <v>641</v>
      </c>
      <c r="AV1655" s="15" t="s">
        <v>641</v>
      </c>
      <c r="AW1655" s="15" t="s">
        <v>642</v>
      </c>
      <c r="AX1655" s="15" t="s">
        <v>643</v>
      </c>
      <c r="AY1655" s="15">
        <f t="shared" si="39"/>
        <v>59</v>
      </c>
      <c r="AZ1655" s="15" t="s">
        <v>644</v>
      </c>
      <c r="BA1655" s="15" t="s">
        <v>174</v>
      </c>
      <c r="BB1655" s="15" t="s">
        <v>645</v>
      </c>
      <c r="BC1655" s="15" t="s">
        <v>646</v>
      </c>
      <c r="BE1655" s="15" t="s">
        <v>647</v>
      </c>
      <c r="BJ1655" s="15" t="s">
        <v>648</v>
      </c>
      <c r="BN1655" s="15" t="s">
        <v>179</v>
      </c>
      <c r="BP1655" s="15" t="s">
        <v>138</v>
      </c>
      <c r="BS1655" s="15" t="s">
        <v>649</v>
      </c>
      <c r="DH1655" s="15" t="s">
        <v>17982</v>
      </c>
      <c r="DI1655" s="15" t="s">
        <v>17982</v>
      </c>
    </row>
    <row r="1656" spans="1:113" s="15" customFormat="1" ht="12.75" x14ac:dyDescent="0.2">
      <c r="A1656" s="15" t="s">
        <v>109</v>
      </c>
      <c r="B1656" s="15" t="s">
        <v>110</v>
      </c>
      <c r="D1656" s="15" t="s">
        <v>203</v>
      </c>
      <c r="E1656" s="15" t="s">
        <v>112</v>
      </c>
      <c r="F1656" s="15" t="s">
        <v>203</v>
      </c>
      <c r="G1656" s="15" t="s">
        <v>113</v>
      </c>
      <c r="H1656" s="15" t="s">
        <v>111</v>
      </c>
      <c r="J1656" s="16" t="s">
        <v>114</v>
      </c>
      <c r="U1656" s="15" t="s">
        <v>17977</v>
      </c>
      <c r="W1656" s="15">
        <v>2717</v>
      </c>
      <c r="X1656" s="15">
        <v>1666</v>
      </c>
      <c r="Y1656" s="15" t="s">
        <v>160</v>
      </c>
      <c r="Z1656" s="15" t="s">
        <v>161</v>
      </c>
      <c r="AA1656" s="15" t="s">
        <v>162</v>
      </c>
      <c r="AB1656" s="15" t="s">
        <v>13129</v>
      </c>
      <c r="AC1656" s="15" t="s">
        <v>13129</v>
      </c>
      <c r="AD1656" s="15" t="s">
        <v>13130</v>
      </c>
      <c r="AE1656" s="15" t="s">
        <v>164</v>
      </c>
      <c r="AF1656" s="15" t="s">
        <v>13130</v>
      </c>
      <c r="AG1656" s="15" t="s">
        <v>13129</v>
      </c>
      <c r="AH1656" s="20" t="s">
        <v>13131</v>
      </c>
      <c r="AL1656" s="15" t="s">
        <v>13132</v>
      </c>
      <c r="AN1656" s="15">
        <v>743</v>
      </c>
      <c r="AO1656" s="15" t="s">
        <v>13133</v>
      </c>
      <c r="AQ1656" s="20" t="s">
        <v>3412</v>
      </c>
      <c r="AT1656" s="15" t="s">
        <v>13134</v>
      </c>
      <c r="AU1656" s="15" t="s">
        <v>13135</v>
      </c>
      <c r="AV1656" s="15" t="s">
        <v>13135</v>
      </c>
      <c r="AW1656" s="15" t="s">
        <v>13136</v>
      </c>
      <c r="AX1656" s="15" t="s">
        <v>13136</v>
      </c>
      <c r="AY1656" s="15">
        <f t="shared" si="39"/>
        <v>44</v>
      </c>
      <c r="AZ1656" s="15" t="s">
        <v>1725</v>
      </c>
      <c r="BA1656" s="15" t="s">
        <v>174</v>
      </c>
      <c r="BB1656" s="15" t="s">
        <v>12920</v>
      </c>
      <c r="BE1656" s="15" t="s">
        <v>13137</v>
      </c>
      <c r="BJ1656" s="15" t="s">
        <v>13138</v>
      </c>
      <c r="BN1656" s="15" t="s">
        <v>179</v>
      </c>
      <c r="BP1656" s="15" t="s">
        <v>138</v>
      </c>
      <c r="BS1656" s="15" t="s">
        <v>13139</v>
      </c>
      <c r="DH1656" s="15" t="s">
        <v>17982</v>
      </c>
      <c r="DI1656" s="15" t="s">
        <v>17982</v>
      </c>
    </row>
    <row r="1657" spans="1:113" s="15" customFormat="1" ht="12.75" x14ac:dyDescent="0.2">
      <c r="A1657" s="15" t="s">
        <v>109</v>
      </c>
      <c r="B1657" s="15" t="s">
        <v>110</v>
      </c>
      <c r="D1657" s="15" t="s">
        <v>203</v>
      </c>
      <c r="E1657" s="15" t="s">
        <v>112</v>
      </c>
      <c r="F1657" s="15" t="s">
        <v>203</v>
      </c>
      <c r="G1657" s="15" t="s">
        <v>113</v>
      </c>
      <c r="H1657" s="15" t="s">
        <v>111</v>
      </c>
      <c r="J1657" s="16" t="s">
        <v>114</v>
      </c>
      <c r="U1657" s="15" t="s">
        <v>17977</v>
      </c>
      <c r="W1657" s="15">
        <v>2718</v>
      </c>
      <c r="X1657" s="15">
        <v>1667</v>
      </c>
      <c r="Y1657" s="15" t="s">
        <v>160</v>
      </c>
      <c r="Z1657" s="15" t="s">
        <v>161</v>
      </c>
      <c r="AA1657" s="15" t="s">
        <v>162</v>
      </c>
      <c r="AB1657" s="15" t="s">
        <v>13140</v>
      </c>
      <c r="AC1657" s="15" t="s">
        <v>13140</v>
      </c>
      <c r="AD1657" s="15" t="s">
        <v>13141</v>
      </c>
      <c r="AE1657" s="15" t="s">
        <v>164</v>
      </c>
      <c r="AF1657" s="15" t="s">
        <v>13141</v>
      </c>
      <c r="AG1657" s="15" t="s">
        <v>13140</v>
      </c>
      <c r="AH1657" s="20" t="s">
        <v>13142</v>
      </c>
      <c r="AL1657" s="15" t="s">
        <v>13143</v>
      </c>
      <c r="AN1657" s="15">
        <v>743</v>
      </c>
      <c r="AO1657" s="15" t="s">
        <v>13144</v>
      </c>
      <c r="AQ1657" s="20" t="s">
        <v>3412</v>
      </c>
      <c r="AT1657" s="15" t="s">
        <v>13145</v>
      </c>
      <c r="AU1657" s="15" t="s">
        <v>13146</v>
      </c>
      <c r="AV1657" s="15" t="s">
        <v>13146</v>
      </c>
      <c r="AW1657" s="15" t="s">
        <v>13147</v>
      </c>
      <c r="AX1657" s="15" t="s">
        <v>13147</v>
      </c>
      <c r="AY1657" s="15">
        <f t="shared" si="39"/>
        <v>44</v>
      </c>
      <c r="AZ1657" s="15" t="s">
        <v>1725</v>
      </c>
      <c r="BA1657" s="15" t="s">
        <v>174</v>
      </c>
      <c r="BB1657" s="15" t="s">
        <v>12920</v>
      </c>
      <c r="BE1657" s="15" t="s">
        <v>13148</v>
      </c>
      <c r="BJ1657" s="15" t="s">
        <v>13138</v>
      </c>
      <c r="BN1657" s="15" t="s">
        <v>179</v>
      </c>
      <c r="BP1657" s="15" t="s">
        <v>138</v>
      </c>
      <c r="BS1657" s="15" t="s">
        <v>13149</v>
      </c>
      <c r="DH1657" s="15" t="s">
        <v>17982</v>
      </c>
      <c r="DI1657" s="15" t="s">
        <v>17982</v>
      </c>
    </row>
    <row r="1658" spans="1:113" s="15" customFormat="1" ht="12.75" x14ac:dyDescent="0.2">
      <c r="A1658" s="15" t="s">
        <v>109</v>
      </c>
      <c r="B1658" s="15" t="s">
        <v>110</v>
      </c>
      <c r="D1658" s="15" t="s">
        <v>203</v>
      </c>
      <c r="E1658" s="15" t="s">
        <v>112</v>
      </c>
      <c r="F1658" s="15" t="s">
        <v>203</v>
      </c>
      <c r="G1658" s="15" t="s">
        <v>113</v>
      </c>
      <c r="H1658" s="15" t="s">
        <v>111</v>
      </c>
      <c r="J1658" s="16" t="s">
        <v>114</v>
      </c>
      <c r="U1658" s="15" t="s">
        <v>17977</v>
      </c>
      <c r="W1658" s="15">
        <v>2719</v>
      </c>
      <c r="X1658" s="15">
        <v>1668</v>
      </c>
      <c r="Y1658" s="15" t="s">
        <v>160</v>
      </c>
      <c r="Z1658" s="15" t="s">
        <v>161</v>
      </c>
      <c r="AA1658" s="15" t="s">
        <v>162</v>
      </c>
      <c r="AB1658" s="15" t="s">
        <v>13150</v>
      </c>
      <c r="AC1658" s="15" t="s">
        <v>13150</v>
      </c>
      <c r="AD1658" s="15" t="s">
        <v>13151</v>
      </c>
      <c r="AE1658" s="15" t="s">
        <v>164</v>
      </c>
      <c r="AF1658" s="15" t="s">
        <v>13151</v>
      </c>
      <c r="AG1658" s="15" t="s">
        <v>13150</v>
      </c>
      <c r="AH1658" s="20" t="s">
        <v>13152</v>
      </c>
      <c r="AL1658" s="15" t="s">
        <v>13153</v>
      </c>
      <c r="AN1658" s="15">
        <v>743</v>
      </c>
      <c r="AO1658" s="15" t="s">
        <v>13154</v>
      </c>
      <c r="AQ1658" s="20" t="s">
        <v>3412</v>
      </c>
      <c r="AT1658" s="15" t="s">
        <v>13155</v>
      </c>
      <c r="AU1658" s="15" t="s">
        <v>13156</v>
      </c>
      <c r="AV1658" s="15" t="s">
        <v>13156</v>
      </c>
      <c r="AW1658" s="15" t="s">
        <v>13157</v>
      </c>
      <c r="AX1658" s="15" t="s">
        <v>13157</v>
      </c>
      <c r="AY1658" s="15">
        <f t="shared" si="39"/>
        <v>44</v>
      </c>
      <c r="AZ1658" s="15" t="s">
        <v>1725</v>
      </c>
      <c r="BA1658" s="15" t="s">
        <v>174</v>
      </c>
      <c r="BB1658" s="15" t="s">
        <v>12920</v>
      </c>
      <c r="BE1658" s="15" t="s">
        <v>13158</v>
      </c>
      <c r="BJ1658" s="15" t="s">
        <v>13138</v>
      </c>
      <c r="BN1658" s="15" t="s">
        <v>179</v>
      </c>
      <c r="BP1658" s="15" t="s">
        <v>138</v>
      </c>
      <c r="BS1658" s="15" t="s">
        <v>13159</v>
      </c>
      <c r="DH1658" s="15" t="s">
        <v>17982</v>
      </c>
      <c r="DI1658" s="15" t="s">
        <v>17982</v>
      </c>
    </row>
    <row r="1659" spans="1:113" s="15" customFormat="1" ht="12.75" x14ac:dyDescent="0.2">
      <c r="A1659" s="15" t="s">
        <v>109</v>
      </c>
      <c r="B1659" s="15" t="s">
        <v>110</v>
      </c>
      <c r="D1659" s="15" t="s">
        <v>203</v>
      </c>
      <c r="E1659" s="15" t="s">
        <v>112</v>
      </c>
      <c r="F1659" s="15" t="s">
        <v>203</v>
      </c>
      <c r="G1659" s="15" t="s">
        <v>113</v>
      </c>
      <c r="H1659" s="15" t="s">
        <v>111</v>
      </c>
      <c r="J1659" s="16" t="s">
        <v>114</v>
      </c>
      <c r="U1659" s="15" t="s">
        <v>17977</v>
      </c>
      <c r="W1659" s="15">
        <v>2727</v>
      </c>
      <c r="X1659" s="15">
        <v>1669</v>
      </c>
      <c r="Y1659" s="15" t="s">
        <v>160</v>
      </c>
      <c r="Z1659" s="15" t="s">
        <v>161</v>
      </c>
      <c r="AA1659" s="15" t="s">
        <v>162</v>
      </c>
      <c r="AB1659" s="15" t="s">
        <v>13160</v>
      </c>
      <c r="AC1659" s="15" t="s">
        <v>13160</v>
      </c>
      <c r="AD1659" s="15" t="s">
        <v>13161</v>
      </c>
      <c r="AE1659" s="15" t="s">
        <v>164</v>
      </c>
      <c r="AF1659" s="15" t="s">
        <v>13161</v>
      </c>
      <c r="AG1659" s="15" t="s">
        <v>13160</v>
      </c>
      <c r="AH1659" s="20" t="s">
        <v>13162</v>
      </c>
      <c r="AI1659" s="15">
        <v>42292701</v>
      </c>
      <c r="AK1659" s="15" t="s">
        <v>9697</v>
      </c>
      <c r="AL1659" s="15" t="s">
        <v>13163</v>
      </c>
      <c r="AN1659" s="15">
        <v>743</v>
      </c>
      <c r="AO1659" s="15" t="s">
        <v>13164</v>
      </c>
      <c r="AQ1659" s="20" t="s">
        <v>3412</v>
      </c>
      <c r="AT1659" s="15" t="s">
        <v>13165</v>
      </c>
      <c r="AU1659" s="15" t="s">
        <v>13166</v>
      </c>
      <c r="AV1659" s="15" t="s">
        <v>13166</v>
      </c>
      <c r="AW1659" s="15" t="s">
        <v>13167</v>
      </c>
      <c r="AX1659" s="15" t="s">
        <v>13167</v>
      </c>
      <c r="AY1659" s="15">
        <f t="shared" si="39"/>
        <v>52</v>
      </c>
      <c r="AZ1659" s="15" t="s">
        <v>1725</v>
      </c>
      <c r="BA1659" s="15" t="s">
        <v>174</v>
      </c>
      <c r="BB1659" s="15" t="s">
        <v>12920</v>
      </c>
      <c r="BE1659" s="15" t="s">
        <v>199</v>
      </c>
      <c r="BJ1659" s="15" t="s">
        <v>13168</v>
      </c>
      <c r="BN1659" s="15" t="s">
        <v>179</v>
      </c>
      <c r="BP1659" s="15" t="s">
        <v>138</v>
      </c>
      <c r="BS1659" s="15" t="s">
        <v>13169</v>
      </c>
      <c r="DH1659" s="15" t="s">
        <v>17982</v>
      </c>
      <c r="DI1659" s="15" t="s">
        <v>17982</v>
      </c>
    </row>
    <row r="1660" spans="1:113" s="15" customFormat="1" ht="12.75" x14ac:dyDescent="0.2">
      <c r="A1660" s="15" t="s">
        <v>109</v>
      </c>
      <c r="B1660" s="15" t="s">
        <v>110</v>
      </c>
      <c r="D1660" s="15" t="s">
        <v>203</v>
      </c>
      <c r="E1660" s="15" t="s">
        <v>112</v>
      </c>
      <c r="F1660" s="15" t="s">
        <v>203</v>
      </c>
      <c r="G1660" s="15" t="s">
        <v>113</v>
      </c>
      <c r="H1660" s="15" t="s">
        <v>111</v>
      </c>
      <c r="J1660" s="16" t="s">
        <v>114</v>
      </c>
      <c r="U1660" s="15" t="s">
        <v>17977</v>
      </c>
      <c r="W1660" s="15">
        <v>2729</v>
      </c>
      <c r="X1660" s="15">
        <v>1670</v>
      </c>
      <c r="Y1660" s="15" t="s">
        <v>160</v>
      </c>
      <c r="Z1660" s="15" t="s">
        <v>161</v>
      </c>
      <c r="AA1660" s="15" t="s">
        <v>162</v>
      </c>
      <c r="AB1660" s="15" t="s">
        <v>13170</v>
      </c>
      <c r="AC1660" s="15" t="s">
        <v>13170</v>
      </c>
      <c r="AD1660" s="15" t="s">
        <v>13171</v>
      </c>
      <c r="AE1660" s="15" t="s">
        <v>164</v>
      </c>
      <c r="AF1660" s="15" t="s">
        <v>13171</v>
      </c>
      <c r="AG1660" s="15" t="s">
        <v>13170</v>
      </c>
      <c r="AH1660" s="20" t="s">
        <v>13172</v>
      </c>
      <c r="AL1660" s="15" t="s">
        <v>13173</v>
      </c>
      <c r="AN1660" s="15">
        <v>743</v>
      </c>
      <c r="AO1660" s="15" t="s">
        <v>13174</v>
      </c>
      <c r="AQ1660" s="29" t="s">
        <v>3598</v>
      </c>
      <c r="AT1660" s="15" t="s">
        <v>13175</v>
      </c>
      <c r="AU1660" s="15" t="s">
        <v>13176</v>
      </c>
      <c r="AV1660" s="15" t="s">
        <v>13176</v>
      </c>
      <c r="AW1660" s="15" t="s">
        <v>13177</v>
      </c>
      <c r="AX1660" s="15" t="s">
        <v>13177</v>
      </c>
      <c r="AY1660" s="15">
        <f t="shared" si="39"/>
        <v>54</v>
      </c>
      <c r="AZ1660" s="15" t="s">
        <v>3603</v>
      </c>
      <c r="BA1660" s="15" t="s">
        <v>214</v>
      </c>
      <c r="BB1660" s="15" t="s">
        <v>12920</v>
      </c>
      <c r="BE1660" s="15" t="s">
        <v>199</v>
      </c>
      <c r="BJ1660" s="15" t="s">
        <v>13178</v>
      </c>
      <c r="BN1660" s="15" t="s">
        <v>179</v>
      </c>
      <c r="BP1660" s="15" t="s">
        <v>138</v>
      </c>
      <c r="BS1660" s="15" t="s">
        <v>13179</v>
      </c>
      <c r="DH1660" s="15" t="s">
        <v>17982</v>
      </c>
      <c r="DI1660" s="15" t="s">
        <v>17982</v>
      </c>
    </row>
    <row r="1661" spans="1:113" s="15" customFormat="1" ht="12.75" x14ac:dyDescent="0.2">
      <c r="A1661" s="15" t="s">
        <v>109</v>
      </c>
      <c r="B1661" s="15" t="s">
        <v>110</v>
      </c>
      <c r="D1661" s="15" t="s">
        <v>203</v>
      </c>
      <c r="E1661" s="15" t="s">
        <v>112</v>
      </c>
      <c r="F1661" s="15" t="s">
        <v>203</v>
      </c>
      <c r="G1661" s="15" t="s">
        <v>113</v>
      </c>
      <c r="H1661" s="15" t="s">
        <v>111</v>
      </c>
      <c r="J1661" s="16" t="s">
        <v>114</v>
      </c>
      <c r="U1661" s="15" t="s">
        <v>17977</v>
      </c>
      <c r="W1661" s="15">
        <v>2704</v>
      </c>
      <c r="X1661" s="15">
        <v>1671</v>
      </c>
      <c r="Y1661" s="15" t="s">
        <v>160</v>
      </c>
      <c r="Z1661" s="15" t="s">
        <v>161</v>
      </c>
      <c r="AA1661" s="15" t="s">
        <v>162</v>
      </c>
      <c r="AB1661" s="15" t="s">
        <v>13031</v>
      </c>
      <c r="AC1661" s="15" t="s">
        <v>13031</v>
      </c>
      <c r="AD1661" s="15" t="s">
        <v>13032</v>
      </c>
      <c r="AE1661" s="15" t="s">
        <v>164</v>
      </c>
      <c r="AF1661" s="15" t="s">
        <v>13032</v>
      </c>
      <c r="AG1661" s="15" t="s">
        <v>13031</v>
      </c>
      <c r="AH1661" s="20" t="s">
        <v>13033</v>
      </c>
      <c r="AL1661" s="15" t="s">
        <v>13034</v>
      </c>
      <c r="AN1661" s="15">
        <v>743</v>
      </c>
      <c r="AO1661" s="15" t="s">
        <v>13035</v>
      </c>
      <c r="AQ1661" s="20" t="s">
        <v>1193</v>
      </c>
      <c r="AT1661" s="15" t="s">
        <v>13036</v>
      </c>
      <c r="AU1661" s="15" t="s">
        <v>13037</v>
      </c>
      <c r="AV1661" s="15" t="s">
        <v>13037</v>
      </c>
      <c r="AW1661" s="15" t="s">
        <v>13038</v>
      </c>
      <c r="AX1661" s="15" t="s">
        <v>13038</v>
      </c>
      <c r="AY1661" s="15">
        <f t="shared" si="39"/>
        <v>48</v>
      </c>
      <c r="AZ1661" s="15" t="s">
        <v>1634</v>
      </c>
      <c r="BA1661" s="15" t="s">
        <v>174</v>
      </c>
      <c r="BB1661" s="15" t="s">
        <v>12920</v>
      </c>
      <c r="BC1661" s="15" t="s">
        <v>646</v>
      </c>
      <c r="BE1661" s="15" t="s">
        <v>199</v>
      </c>
      <c r="BF1661" s="15" t="s">
        <v>13029</v>
      </c>
      <c r="BJ1661" s="15" t="s">
        <v>4730</v>
      </c>
      <c r="BN1661" s="15" t="s">
        <v>179</v>
      </c>
      <c r="BP1661" s="15" t="s">
        <v>138</v>
      </c>
      <c r="BS1661" s="15" t="s">
        <v>13039</v>
      </c>
      <c r="DH1661" s="15" t="s">
        <v>17982</v>
      </c>
      <c r="DI1661" s="15" t="s">
        <v>17982</v>
      </c>
    </row>
    <row r="1662" spans="1:113" s="15" customFormat="1" ht="12.75" x14ac:dyDescent="0.2">
      <c r="A1662" s="15" t="s">
        <v>109</v>
      </c>
      <c r="B1662" s="15" t="s">
        <v>110</v>
      </c>
      <c r="D1662" s="15" t="s">
        <v>203</v>
      </c>
      <c r="E1662" s="15" t="s">
        <v>112</v>
      </c>
      <c r="F1662" s="15" t="s">
        <v>203</v>
      </c>
      <c r="G1662" s="15" t="s">
        <v>113</v>
      </c>
      <c r="H1662" s="15" t="s">
        <v>111</v>
      </c>
      <c r="J1662" s="16" t="s">
        <v>114</v>
      </c>
      <c r="U1662" s="15" t="s">
        <v>17977</v>
      </c>
      <c r="W1662" s="15">
        <v>2703</v>
      </c>
      <c r="X1662" s="15">
        <v>1672</v>
      </c>
      <c r="Y1662" s="15" t="s">
        <v>160</v>
      </c>
      <c r="Z1662" s="15" t="s">
        <v>161</v>
      </c>
      <c r="AA1662" s="15" t="s">
        <v>162</v>
      </c>
      <c r="AB1662" s="15" t="s">
        <v>13021</v>
      </c>
      <c r="AC1662" s="15" t="s">
        <v>13021</v>
      </c>
      <c r="AD1662" s="15" t="s">
        <v>13022</v>
      </c>
      <c r="AE1662" s="15" t="s">
        <v>164</v>
      </c>
      <c r="AF1662" s="15" t="s">
        <v>13022</v>
      </c>
      <c r="AG1662" s="15" t="s">
        <v>13021</v>
      </c>
      <c r="AH1662" s="20" t="s">
        <v>13023</v>
      </c>
      <c r="AL1662" s="15" t="s">
        <v>13024</v>
      </c>
      <c r="AN1662" s="15">
        <v>743</v>
      </c>
      <c r="AO1662" s="15" t="s">
        <v>13025</v>
      </c>
      <c r="AQ1662" s="20" t="s">
        <v>1193</v>
      </c>
      <c r="AT1662" s="15" t="s">
        <v>13026</v>
      </c>
      <c r="AU1662" s="15" t="s">
        <v>13027</v>
      </c>
      <c r="AV1662" s="15" t="s">
        <v>13027</v>
      </c>
      <c r="AW1662" s="15" t="s">
        <v>13028</v>
      </c>
      <c r="AX1662" s="15" t="s">
        <v>13028</v>
      </c>
      <c r="AY1662" s="15">
        <f t="shared" si="39"/>
        <v>51</v>
      </c>
      <c r="AZ1662" s="15" t="s">
        <v>1634</v>
      </c>
      <c r="BA1662" s="15" t="s">
        <v>174</v>
      </c>
      <c r="BB1662" s="15" t="s">
        <v>12920</v>
      </c>
      <c r="BC1662" s="15" t="s">
        <v>646</v>
      </c>
      <c r="BE1662" s="15" t="s">
        <v>199</v>
      </c>
      <c r="BF1662" s="15" t="s">
        <v>13029</v>
      </c>
      <c r="BJ1662" s="15" t="s">
        <v>219</v>
      </c>
      <c r="BN1662" s="15" t="s">
        <v>179</v>
      </c>
      <c r="BP1662" s="15" t="s">
        <v>138</v>
      </c>
      <c r="BS1662" s="15" t="s">
        <v>13030</v>
      </c>
      <c r="DH1662" s="15" t="s">
        <v>17982</v>
      </c>
      <c r="DI1662" s="15" t="s">
        <v>17982</v>
      </c>
    </row>
    <row r="1663" spans="1:113" s="15" customFormat="1" ht="12.75" x14ac:dyDescent="0.2">
      <c r="A1663" s="15" t="s">
        <v>109</v>
      </c>
      <c r="B1663" s="15" t="s">
        <v>110</v>
      </c>
      <c r="D1663" s="15" t="s">
        <v>203</v>
      </c>
      <c r="E1663" s="15" t="s">
        <v>112</v>
      </c>
      <c r="F1663" s="15" t="s">
        <v>203</v>
      </c>
      <c r="G1663" s="15" t="s">
        <v>113</v>
      </c>
      <c r="H1663" s="15" t="s">
        <v>111</v>
      </c>
      <c r="J1663" s="16" t="s">
        <v>114</v>
      </c>
      <c r="U1663" s="15" t="s">
        <v>17977</v>
      </c>
      <c r="W1663" s="15">
        <v>2710</v>
      </c>
      <c r="X1663" s="15">
        <v>1673</v>
      </c>
      <c r="Y1663" s="15" t="s">
        <v>160</v>
      </c>
      <c r="Z1663" s="15" t="s">
        <v>161</v>
      </c>
      <c r="AA1663" s="15" t="s">
        <v>162</v>
      </c>
      <c r="AB1663" s="15" t="s">
        <v>13092</v>
      </c>
      <c r="AC1663" s="15" t="s">
        <v>13092</v>
      </c>
      <c r="AD1663" s="15" t="s">
        <v>13093</v>
      </c>
      <c r="AE1663" s="15" t="s">
        <v>164</v>
      </c>
      <c r="AF1663" s="15" t="s">
        <v>13093</v>
      </c>
      <c r="AG1663" s="15" t="s">
        <v>13092</v>
      </c>
      <c r="AH1663" s="20" t="s">
        <v>13094</v>
      </c>
      <c r="AL1663" s="15" t="s">
        <v>13095</v>
      </c>
      <c r="AN1663" s="15">
        <v>743</v>
      </c>
      <c r="AO1663" s="15" t="s">
        <v>13096</v>
      </c>
      <c r="AQ1663" s="20" t="s">
        <v>388</v>
      </c>
      <c r="AT1663" s="15" t="s">
        <v>13097</v>
      </c>
      <c r="AU1663" s="15" t="s">
        <v>13098</v>
      </c>
      <c r="AV1663" s="15" t="s">
        <v>13098</v>
      </c>
      <c r="AW1663" s="15" t="s">
        <v>13099</v>
      </c>
      <c r="AX1663" s="15" t="s">
        <v>13100</v>
      </c>
      <c r="AY1663" s="15">
        <f t="shared" si="39"/>
        <v>54</v>
      </c>
      <c r="AZ1663" s="15" t="s">
        <v>393</v>
      </c>
      <c r="BA1663" s="15" t="s">
        <v>174</v>
      </c>
      <c r="BB1663" s="15" t="s">
        <v>12920</v>
      </c>
      <c r="BC1663" s="15" t="s">
        <v>2019</v>
      </c>
      <c r="BF1663" s="15" t="s">
        <v>13101</v>
      </c>
      <c r="BJ1663" s="15" t="s">
        <v>13102</v>
      </c>
      <c r="BN1663" s="15" t="s">
        <v>179</v>
      </c>
      <c r="BP1663" s="15" t="s">
        <v>138</v>
      </c>
      <c r="BS1663" s="15" t="s">
        <v>13103</v>
      </c>
      <c r="DH1663" s="15" t="s">
        <v>17982</v>
      </c>
      <c r="DI1663" s="15" t="s">
        <v>17982</v>
      </c>
    </row>
    <row r="1664" spans="1:113" s="15" customFormat="1" ht="12.75" x14ac:dyDescent="0.2">
      <c r="A1664" s="15" t="s">
        <v>109</v>
      </c>
      <c r="B1664" s="15" t="s">
        <v>110</v>
      </c>
      <c r="D1664" s="15" t="s">
        <v>203</v>
      </c>
      <c r="E1664" s="15" t="s">
        <v>112</v>
      </c>
      <c r="F1664" s="15" t="s">
        <v>203</v>
      </c>
      <c r="G1664" s="15" t="s">
        <v>113</v>
      </c>
      <c r="H1664" s="15" t="s">
        <v>111</v>
      </c>
      <c r="J1664" s="16" t="s">
        <v>114</v>
      </c>
      <c r="U1664" s="15" t="s">
        <v>17977</v>
      </c>
      <c r="W1664" s="15">
        <v>2713</v>
      </c>
      <c r="X1664" s="15">
        <v>1674</v>
      </c>
      <c r="Y1664" s="15" t="s">
        <v>160</v>
      </c>
      <c r="Z1664" s="15" t="s">
        <v>161</v>
      </c>
      <c r="AA1664" s="15" t="s">
        <v>162</v>
      </c>
      <c r="AB1664" s="15" t="s">
        <v>13112</v>
      </c>
      <c r="AC1664" s="15" t="s">
        <v>13112</v>
      </c>
      <c r="AD1664" s="15" t="s">
        <v>13113</v>
      </c>
      <c r="AE1664" s="15" t="s">
        <v>164</v>
      </c>
      <c r="AF1664" s="15" t="s">
        <v>13113</v>
      </c>
      <c r="AG1664" s="15" t="s">
        <v>13112</v>
      </c>
      <c r="AH1664" s="20" t="s">
        <v>13114</v>
      </c>
      <c r="AL1664" s="15" t="s">
        <v>13115</v>
      </c>
      <c r="AN1664" s="15">
        <v>743</v>
      </c>
      <c r="AO1664" s="15" t="s">
        <v>13116</v>
      </c>
      <c r="AQ1664" s="20" t="s">
        <v>388</v>
      </c>
      <c r="AT1664" s="15" t="s">
        <v>13117</v>
      </c>
      <c r="AU1664" s="15" t="s">
        <v>13118</v>
      </c>
      <c r="AV1664" s="15" t="s">
        <v>13118</v>
      </c>
      <c r="AW1664" s="15" t="s">
        <v>13119</v>
      </c>
      <c r="AX1664" s="15" t="s">
        <v>13119</v>
      </c>
      <c r="AY1664" s="15">
        <f t="shared" si="39"/>
        <v>59</v>
      </c>
      <c r="AZ1664" s="15" t="s">
        <v>393</v>
      </c>
      <c r="BA1664" s="15" t="s">
        <v>174</v>
      </c>
      <c r="BB1664" s="15" t="s">
        <v>12920</v>
      </c>
      <c r="BC1664" s="15" t="s">
        <v>646</v>
      </c>
      <c r="BE1664" s="15" t="s">
        <v>1123</v>
      </c>
      <c r="BJ1664" s="15" t="s">
        <v>12974</v>
      </c>
      <c r="BN1664" s="15" t="s">
        <v>179</v>
      </c>
      <c r="BP1664" s="15" t="s">
        <v>138</v>
      </c>
      <c r="BS1664" s="15" t="s">
        <v>13120</v>
      </c>
      <c r="DH1664" s="15" t="s">
        <v>17982</v>
      </c>
      <c r="DI1664" s="15" t="s">
        <v>17982</v>
      </c>
    </row>
    <row r="1665" spans="1:113" s="15" customFormat="1" ht="12.75" x14ac:dyDescent="0.2">
      <c r="A1665" s="15" t="s">
        <v>109</v>
      </c>
      <c r="B1665" s="15" t="s">
        <v>110</v>
      </c>
      <c r="D1665" s="15" t="s">
        <v>203</v>
      </c>
      <c r="E1665" s="15" t="s">
        <v>112</v>
      </c>
      <c r="F1665" s="15" t="s">
        <v>203</v>
      </c>
      <c r="G1665" s="15" t="s">
        <v>113</v>
      </c>
      <c r="H1665" s="15" t="s">
        <v>111</v>
      </c>
      <c r="J1665" s="16" t="s">
        <v>114</v>
      </c>
      <c r="U1665" s="15" t="s">
        <v>17977</v>
      </c>
      <c r="W1665" s="15">
        <v>2693</v>
      </c>
      <c r="X1665" s="15">
        <v>1675</v>
      </c>
      <c r="Y1665" s="15" t="s">
        <v>160</v>
      </c>
      <c r="Z1665" s="15" t="s">
        <v>161</v>
      </c>
      <c r="AA1665" s="15" t="s">
        <v>162</v>
      </c>
      <c r="AB1665" s="15" t="s">
        <v>12964</v>
      </c>
      <c r="AC1665" s="15" t="s">
        <v>12964</v>
      </c>
      <c r="AD1665" s="15" t="s">
        <v>12965</v>
      </c>
      <c r="AE1665" s="15" t="s">
        <v>164</v>
      </c>
      <c r="AF1665" s="15" t="s">
        <v>12965</v>
      </c>
      <c r="AG1665" s="15" t="s">
        <v>12964</v>
      </c>
      <c r="AH1665" s="20" t="s">
        <v>12966</v>
      </c>
      <c r="AL1665" s="15" t="s">
        <v>12967</v>
      </c>
      <c r="AN1665" s="15">
        <v>743</v>
      </c>
      <c r="AO1665" s="15" t="s">
        <v>12968</v>
      </c>
      <c r="AQ1665" s="20" t="s">
        <v>388</v>
      </c>
      <c r="AT1665" s="15" t="s">
        <v>12969</v>
      </c>
      <c r="AU1665" s="15" t="s">
        <v>12970</v>
      </c>
      <c r="AV1665" s="15" t="s">
        <v>12970</v>
      </c>
      <c r="AW1665" s="15" t="s">
        <v>12971</v>
      </c>
      <c r="AX1665" s="15" t="s">
        <v>12972</v>
      </c>
      <c r="AY1665" s="15">
        <f t="shared" si="39"/>
        <v>59</v>
      </c>
      <c r="AZ1665" s="15" t="s">
        <v>393</v>
      </c>
      <c r="BA1665" s="15" t="s">
        <v>174</v>
      </c>
      <c r="BB1665" s="15" t="s">
        <v>12920</v>
      </c>
      <c r="BE1665" s="15" t="s">
        <v>12973</v>
      </c>
      <c r="BF1665" s="15" t="s">
        <v>4282</v>
      </c>
      <c r="BJ1665" s="15" t="s">
        <v>12974</v>
      </c>
      <c r="BN1665" s="15" t="s">
        <v>179</v>
      </c>
      <c r="BP1665" s="15" t="s">
        <v>138</v>
      </c>
      <c r="BS1665" s="15" t="s">
        <v>12975</v>
      </c>
      <c r="DH1665" s="15" t="s">
        <v>17982</v>
      </c>
      <c r="DI1665" s="15" t="s">
        <v>17982</v>
      </c>
    </row>
    <row r="1666" spans="1:113" s="15" customFormat="1" ht="12.75" x14ac:dyDescent="0.2">
      <c r="A1666" s="15" t="s">
        <v>109</v>
      </c>
      <c r="B1666" s="15" t="s">
        <v>110</v>
      </c>
      <c r="D1666" s="15" t="s">
        <v>203</v>
      </c>
      <c r="E1666" s="15" t="s">
        <v>112</v>
      </c>
      <c r="F1666" s="15" t="s">
        <v>203</v>
      </c>
      <c r="G1666" s="15" t="s">
        <v>113</v>
      </c>
      <c r="H1666" s="15" t="s">
        <v>111</v>
      </c>
      <c r="J1666" s="16" t="s">
        <v>114</v>
      </c>
      <c r="U1666" s="15" t="s">
        <v>17977</v>
      </c>
      <c r="W1666" s="15">
        <v>2708</v>
      </c>
      <c r="X1666" s="15">
        <v>1676</v>
      </c>
      <c r="Y1666" s="15" t="s">
        <v>160</v>
      </c>
      <c r="Z1666" s="15" t="s">
        <v>161</v>
      </c>
      <c r="AA1666" s="15" t="s">
        <v>162</v>
      </c>
      <c r="AB1666" s="15" t="s">
        <v>13073</v>
      </c>
      <c r="AC1666" s="15" t="s">
        <v>13073</v>
      </c>
      <c r="AD1666" s="15" t="s">
        <v>13074</v>
      </c>
      <c r="AE1666" s="15" t="s">
        <v>164</v>
      </c>
      <c r="AF1666" s="15" t="s">
        <v>13074</v>
      </c>
      <c r="AG1666" s="15" t="s">
        <v>13073</v>
      </c>
      <c r="AH1666" s="20" t="s">
        <v>13075</v>
      </c>
      <c r="AL1666" s="15" t="s">
        <v>13076</v>
      </c>
      <c r="AN1666" s="15">
        <v>743</v>
      </c>
      <c r="AO1666" s="15" t="s">
        <v>13077</v>
      </c>
      <c r="AQ1666" s="29" t="s">
        <v>3598</v>
      </c>
      <c r="AT1666" s="15" t="s">
        <v>13078</v>
      </c>
      <c r="AU1666" s="15" t="s">
        <v>13079</v>
      </c>
      <c r="AV1666" s="15" t="s">
        <v>13079</v>
      </c>
      <c r="AW1666" s="15" t="s">
        <v>13080</v>
      </c>
      <c r="AX1666" s="15" t="s">
        <v>13080</v>
      </c>
      <c r="AY1666" s="15">
        <f t="shared" si="39"/>
        <v>47</v>
      </c>
      <c r="AZ1666" s="15" t="s">
        <v>3603</v>
      </c>
      <c r="BA1666" s="15" t="s">
        <v>214</v>
      </c>
      <c r="BB1666" s="15" t="s">
        <v>12920</v>
      </c>
      <c r="BE1666" s="15" t="s">
        <v>1701</v>
      </c>
      <c r="BF1666" s="15" t="s">
        <v>12962</v>
      </c>
      <c r="BJ1666" s="15" t="s">
        <v>12931</v>
      </c>
      <c r="BN1666" s="15" t="s">
        <v>179</v>
      </c>
      <c r="BP1666" s="15" t="s">
        <v>138</v>
      </c>
      <c r="BS1666" s="15" t="s">
        <v>13081</v>
      </c>
      <c r="DH1666" s="15" t="s">
        <v>17982</v>
      </c>
      <c r="DI1666" s="15" t="s">
        <v>17982</v>
      </c>
    </row>
    <row r="1667" spans="1:113" s="15" customFormat="1" ht="12.75" x14ac:dyDescent="0.2">
      <c r="A1667" s="15" t="s">
        <v>109</v>
      </c>
      <c r="B1667" s="15" t="s">
        <v>110</v>
      </c>
      <c r="D1667" s="15" t="s">
        <v>203</v>
      </c>
      <c r="E1667" s="15" t="s">
        <v>112</v>
      </c>
      <c r="F1667" s="15" t="s">
        <v>203</v>
      </c>
      <c r="G1667" s="15" t="s">
        <v>113</v>
      </c>
      <c r="H1667" s="15" t="s">
        <v>111</v>
      </c>
      <c r="J1667" s="16" t="s">
        <v>114</v>
      </c>
      <c r="U1667" s="15" t="s">
        <v>17977</v>
      </c>
      <c r="W1667" s="15">
        <v>2691</v>
      </c>
      <c r="X1667" s="15">
        <v>1677</v>
      </c>
      <c r="Y1667" s="15" t="s">
        <v>160</v>
      </c>
      <c r="Z1667" s="15" t="s">
        <v>161</v>
      </c>
      <c r="AA1667" s="15" t="s">
        <v>162</v>
      </c>
      <c r="AB1667" s="15" t="s">
        <v>12954</v>
      </c>
      <c r="AC1667" s="15" t="s">
        <v>12954</v>
      </c>
      <c r="AD1667" s="15" t="s">
        <v>12955</v>
      </c>
      <c r="AE1667" s="15" t="s">
        <v>164</v>
      </c>
      <c r="AF1667" s="15" t="s">
        <v>12955</v>
      </c>
      <c r="AG1667" s="15" t="s">
        <v>12954</v>
      </c>
      <c r="AH1667" s="20" t="s">
        <v>12956</v>
      </c>
      <c r="AL1667" s="15" t="s">
        <v>12957</v>
      </c>
      <c r="AN1667" s="15">
        <v>743</v>
      </c>
      <c r="AO1667" s="15" t="s">
        <v>12958</v>
      </c>
      <c r="AQ1667" s="29" t="s">
        <v>3598</v>
      </c>
      <c r="AT1667" s="15" t="s">
        <v>12959</v>
      </c>
      <c r="AU1667" s="15" t="s">
        <v>12960</v>
      </c>
      <c r="AV1667" s="15" t="s">
        <v>12960</v>
      </c>
      <c r="AW1667" s="15" t="s">
        <v>12961</v>
      </c>
      <c r="AX1667" s="15" t="s">
        <v>12961</v>
      </c>
      <c r="AY1667" s="15">
        <f t="shared" si="39"/>
        <v>47</v>
      </c>
      <c r="AZ1667" s="15" t="s">
        <v>3603</v>
      </c>
      <c r="BA1667" s="15" t="s">
        <v>214</v>
      </c>
      <c r="BB1667" s="15" t="s">
        <v>12920</v>
      </c>
      <c r="BE1667" s="15" t="s">
        <v>1701</v>
      </c>
      <c r="BF1667" s="15" t="s">
        <v>12962</v>
      </c>
      <c r="BJ1667" s="15" t="s">
        <v>12921</v>
      </c>
      <c r="BN1667" s="15" t="s">
        <v>179</v>
      </c>
      <c r="BP1667" s="15" t="s">
        <v>138</v>
      </c>
      <c r="BS1667" s="15" t="s">
        <v>12963</v>
      </c>
      <c r="DH1667" s="15" t="s">
        <v>17982</v>
      </c>
      <c r="DI1667" s="15" t="s">
        <v>17982</v>
      </c>
    </row>
    <row r="1668" spans="1:113" s="15" customFormat="1" ht="12.75" x14ac:dyDescent="0.2">
      <c r="A1668" s="15" t="s">
        <v>109</v>
      </c>
      <c r="B1668" s="15" t="s">
        <v>110</v>
      </c>
      <c r="D1668" s="15" t="s">
        <v>203</v>
      </c>
      <c r="E1668" s="15" t="s">
        <v>112</v>
      </c>
      <c r="F1668" s="15" t="s">
        <v>203</v>
      </c>
      <c r="G1668" s="15" t="s">
        <v>113</v>
      </c>
      <c r="H1668" s="15" t="s">
        <v>111</v>
      </c>
      <c r="J1668" s="16" t="s">
        <v>114</v>
      </c>
      <c r="U1668" s="15" t="s">
        <v>17977</v>
      </c>
      <c r="W1668" s="15">
        <v>2671</v>
      </c>
      <c r="X1668" s="15">
        <v>1678</v>
      </c>
      <c r="Y1668" s="15" t="s">
        <v>160</v>
      </c>
      <c r="Z1668" s="15" t="s">
        <v>161</v>
      </c>
      <c r="AA1668" s="15" t="s">
        <v>162</v>
      </c>
      <c r="AB1668" s="15" t="s">
        <v>12923</v>
      </c>
      <c r="AC1668" s="15" t="s">
        <v>12923</v>
      </c>
      <c r="AD1668" s="15" t="s">
        <v>12924</v>
      </c>
      <c r="AE1668" s="15" t="s">
        <v>164</v>
      </c>
      <c r="AF1668" s="15" t="s">
        <v>12924</v>
      </c>
      <c r="AG1668" s="15" t="s">
        <v>12923</v>
      </c>
      <c r="AH1668" s="20" t="s">
        <v>12925</v>
      </c>
      <c r="AL1668" s="15" t="s">
        <v>12926</v>
      </c>
      <c r="AN1668" s="15">
        <v>743</v>
      </c>
      <c r="AO1668" s="15" t="s">
        <v>12927</v>
      </c>
      <c r="AQ1668" s="29" t="s">
        <v>3598</v>
      </c>
      <c r="AT1668" s="15" t="s">
        <v>12928</v>
      </c>
      <c r="AU1668" s="15" t="s">
        <v>12929</v>
      </c>
      <c r="AV1668" s="15" t="s">
        <v>12929</v>
      </c>
      <c r="AW1668" s="15" t="s">
        <v>12930</v>
      </c>
      <c r="AX1668" s="15" t="s">
        <v>12930</v>
      </c>
      <c r="AY1668" s="15">
        <f t="shared" si="39"/>
        <v>47</v>
      </c>
      <c r="AZ1668" s="15" t="s">
        <v>3603</v>
      </c>
      <c r="BA1668" s="15" t="s">
        <v>214</v>
      </c>
      <c r="BB1668" s="15" t="s">
        <v>12920</v>
      </c>
      <c r="BE1668" s="15" t="s">
        <v>1597</v>
      </c>
      <c r="BF1668" s="15" t="s">
        <v>2562</v>
      </c>
      <c r="BJ1668" s="15" t="s">
        <v>12931</v>
      </c>
      <c r="BN1668" s="15" t="s">
        <v>179</v>
      </c>
      <c r="BP1668" s="15" t="s">
        <v>138</v>
      </c>
      <c r="BS1668" s="15" t="s">
        <v>12932</v>
      </c>
      <c r="DH1668" s="15" t="s">
        <v>17982</v>
      </c>
      <c r="DI1668" s="15" t="s">
        <v>17982</v>
      </c>
    </row>
    <row r="1669" spans="1:113" s="15" customFormat="1" ht="12.75" x14ac:dyDescent="0.2">
      <c r="A1669" s="15" t="s">
        <v>109</v>
      </c>
      <c r="B1669" s="15" t="s">
        <v>110</v>
      </c>
      <c r="D1669" s="15" t="s">
        <v>203</v>
      </c>
      <c r="E1669" s="15" t="s">
        <v>112</v>
      </c>
      <c r="F1669" s="15" t="s">
        <v>203</v>
      </c>
      <c r="G1669" s="15" t="s">
        <v>113</v>
      </c>
      <c r="H1669" s="15" t="s">
        <v>111</v>
      </c>
      <c r="J1669" s="16" t="s">
        <v>114</v>
      </c>
      <c r="U1669" s="15" t="s">
        <v>17977</v>
      </c>
      <c r="W1669" s="15">
        <v>2670</v>
      </c>
      <c r="X1669" s="15">
        <v>1679</v>
      </c>
      <c r="Y1669" s="15" t="s">
        <v>160</v>
      </c>
      <c r="Z1669" s="15" t="s">
        <v>161</v>
      </c>
      <c r="AA1669" s="15" t="s">
        <v>162</v>
      </c>
      <c r="AB1669" s="15" t="s">
        <v>12912</v>
      </c>
      <c r="AC1669" s="15" t="s">
        <v>12912</v>
      </c>
      <c r="AD1669" s="15" t="s">
        <v>12913</v>
      </c>
      <c r="AE1669" s="15" t="s">
        <v>164</v>
      </c>
      <c r="AF1669" s="15" t="s">
        <v>12913</v>
      </c>
      <c r="AG1669" s="15" t="s">
        <v>12912</v>
      </c>
      <c r="AH1669" s="20" t="s">
        <v>12914</v>
      </c>
      <c r="AL1669" s="15" t="s">
        <v>12915</v>
      </c>
      <c r="AN1669" s="15">
        <v>743</v>
      </c>
      <c r="AO1669" s="15" t="s">
        <v>12916</v>
      </c>
      <c r="AQ1669" s="29" t="s">
        <v>3598</v>
      </c>
      <c r="AT1669" s="15" t="s">
        <v>12917</v>
      </c>
      <c r="AU1669" s="15" t="s">
        <v>12918</v>
      </c>
      <c r="AV1669" s="15" t="s">
        <v>12918</v>
      </c>
      <c r="AW1669" s="15" t="s">
        <v>12919</v>
      </c>
      <c r="AX1669" s="15" t="s">
        <v>12919</v>
      </c>
      <c r="AY1669" s="15">
        <f t="shared" si="39"/>
        <v>47</v>
      </c>
      <c r="AZ1669" s="15" t="s">
        <v>3603</v>
      </c>
      <c r="BA1669" s="15" t="s">
        <v>214</v>
      </c>
      <c r="BB1669" s="15" t="s">
        <v>12920</v>
      </c>
      <c r="BE1669" s="15" t="s">
        <v>1597</v>
      </c>
      <c r="BF1669" s="15" t="s">
        <v>2562</v>
      </c>
      <c r="BJ1669" s="15" t="s">
        <v>12921</v>
      </c>
      <c r="BN1669" s="15" t="s">
        <v>179</v>
      </c>
      <c r="BP1669" s="15" t="s">
        <v>138</v>
      </c>
      <c r="BS1669" s="15" t="s">
        <v>12922</v>
      </c>
      <c r="DH1669" s="15" t="s">
        <v>17982</v>
      </c>
      <c r="DI1669" s="15" t="s">
        <v>17982</v>
      </c>
    </row>
    <row r="1670" spans="1:113" s="15" customFormat="1" ht="12.75" x14ac:dyDescent="0.2">
      <c r="A1670" s="15" t="s">
        <v>109</v>
      </c>
      <c r="B1670" s="15" t="s">
        <v>110</v>
      </c>
      <c r="D1670" s="15" t="s">
        <v>203</v>
      </c>
      <c r="E1670" s="15" t="s">
        <v>112</v>
      </c>
      <c r="F1670" s="15" t="s">
        <v>203</v>
      </c>
      <c r="G1670" s="15" t="s">
        <v>113</v>
      </c>
      <c r="H1670" s="15" t="s">
        <v>111</v>
      </c>
      <c r="J1670" s="16" t="s">
        <v>114</v>
      </c>
      <c r="U1670" s="15" t="s">
        <v>17977</v>
      </c>
      <c r="W1670" s="15">
        <v>2714</v>
      </c>
      <c r="X1670" s="15">
        <v>1680</v>
      </c>
      <c r="Y1670" s="15" t="s">
        <v>160</v>
      </c>
      <c r="Z1670" s="15" t="s">
        <v>161</v>
      </c>
      <c r="AA1670" s="15" t="s">
        <v>162</v>
      </c>
      <c r="AB1670" s="15" t="s">
        <v>13121</v>
      </c>
      <c r="AC1670" s="15" t="s">
        <v>13121</v>
      </c>
      <c r="AD1670" s="15" t="s">
        <v>13122</v>
      </c>
      <c r="AE1670" s="15" t="s">
        <v>164</v>
      </c>
      <c r="AF1670" s="15" t="s">
        <v>13122</v>
      </c>
      <c r="AG1670" s="15" t="s">
        <v>13121</v>
      </c>
      <c r="AH1670" s="20" t="s">
        <v>13123</v>
      </c>
      <c r="AL1670" s="15" t="s">
        <v>13124</v>
      </c>
      <c r="AN1670" s="15">
        <v>743</v>
      </c>
      <c r="AO1670" s="15" t="s">
        <v>13125</v>
      </c>
      <c r="AQ1670" s="20" t="s">
        <v>388</v>
      </c>
      <c r="AT1670" s="15" t="s">
        <v>13087</v>
      </c>
      <c r="AU1670" s="15" t="s">
        <v>13126</v>
      </c>
      <c r="AV1670" s="15" t="s">
        <v>13126</v>
      </c>
      <c r="AW1670" s="15" t="s">
        <v>13127</v>
      </c>
      <c r="AX1670" s="15" t="s">
        <v>13127</v>
      </c>
      <c r="AY1670" s="15">
        <f t="shared" si="39"/>
        <v>53</v>
      </c>
      <c r="AZ1670" s="15" t="s">
        <v>393</v>
      </c>
      <c r="BA1670" s="15" t="s">
        <v>174</v>
      </c>
      <c r="BB1670" s="15" t="s">
        <v>12920</v>
      </c>
      <c r="BC1670" s="15" t="s">
        <v>9428</v>
      </c>
      <c r="BE1670" s="15" t="s">
        <v>1174</v>
      </c>
      <c r="BJ1670" s="15" t="s">
        <v>219</v>
      </c>
      <c r="BN1670" s="15" t="s">
        <v>179</v>
      </c>
      <c r="BP1670" s="15" t="s">
        <v>138</v>
      </c>
      <c r="BS1670" s="15" t="s">
        <v>13128</v>
      </c>
      <c r="DH1670" s="15" t="s">
        <v>17982</v>
      </c>
      <c r="DI1670" s="15" t="s">
        <v>17982</v>
      </c>
    </row>
    <row r="1671" spans="1:113" s="15" customFormat="1" ht="12.75" x14ac:dyDescent="0.2">
      <c r="A1671" s="15" t="s">
        <v>109</v>
      </c>
      <c r="B1671" s="15" t="s">
        <v>110</v>
      </c>
      <c r="D1671" s="15" t="s">
        <v>203</v>
      </c>
      <c r="E1671" s="15" t="s">
        <v>112</v>
      </c>
      <c r="F1671" s="15" t="s">
        <v>203</v>
      </c>
      <c r="G1671" s="15" t="s">
        <v>113</v>
      </c>
      <c r="H1671" s="15" t="s">
        <v>111</v>
      </c>
      <c r="J1671" s="16" t="s">
        <v>114</v>
      </c>
      <c r="U1671" s="15" t="s">
        <v>17977</v>
      </c>
      <c r="W1671" s="15">
        <v>2709</v>
      </c>
      <c r="X1671" s="15">
        <v>1681</v>
      </c>
      <c r="Y1671" s="15" t="s">
        <v>160</v>
      </c>
      <c r="Z1671" s="15" t="s">
        <v>161</v>
      </c>
      <c r="AA1671" s="15" t="s">
        <v>162</v>
      </c>
      <c r="AB1671" s="15" t="s">
        <v>13082</v>
      </c>
      <c r="AC1671" s="15" t="s">
        <v>13082</v>
      </c>
      <c r="AD1671" s="15" t="s">
        <v>13083</v>
      </c>
      <c r="AE1671" s="15" t="s">
        <v>164</v>
      </c>
      <c r="AF1671" s="15" t="s">
        <v>13083</v>
      </c>
      <c r="AG1671" s="15" t="s">
        <v>13082</v>
      </c>
      <c r="AH1671" s="20" t="s">
        <v>13084</v>
      </c>
      <c r="AL1671" s="15" t="s">
        <v>13085</v>
      </c>
      <c r="AN1671" s="15">
        <v>743</v>
      </c>
      <c r="AO1671" s="15" t="s">
        <v>13086</v>
      </c>
      <c r="AQ1671" s="20" t="s">
        <v>388</v>
      </c>
      <c r="AT1671" s="15" t="s">
        <v>13087</v>
      </c>
      <c r="AU1671" s="15" t="s">
        <v>13088</v>
      </c>
      <c r="AV1671" s="15" t="s">
        <v>13088</v>
      </c>
      <c r="AW1671" s="15" t="s">
        <v>13089</v>
      </c>
      <c r="AX1671" s="15" t="s">
        <v>13089</v>
      </c>
      <c r="AY1671" s="15">
        <f t="shared" si="39"/>
        <v>51</v>
      </c>
      <c r="AZ1671" s="15" t="s">
        <v>393</v>
      </c>
      <c r="BA1671" s="15" t="s">
        <v>174</v>
      </c>
      <c r="BB1671" s="15" t="s">
        <v>12920</v>
      </c>
      <c r="BC1671" s="15" t="s">
        <v>9428</v>
      </c>
      <c r="BI1671" s="15" t="s">
        <v>218</v>
      </c>
      <c r="BJ1671" s="15" t="s">
        <v>13090</v>
      </c>
      <c r="BN1671" s="15" t="s">
        <v>179</v>
      </c>
      <c r="BP1671" s="15" t="s">
        <v>138</v>
      </c>
      <c r="BS1671" s="15" t="s">
        <v>13091</v>
      </c>
      <c r="DH1671" s="15" t="s">
        <v>17982</v>
      </c>
      <c r="DI1671" s="15" t="s">
        <v>17982</v>
      </c>
    </row>
    <row r="1672" spans="1:113" s="15" customFormat="1" ht="12.75" x14ac:dyDescent="0.2">
      <c r="A1672" s="15" t="s">
        <v>109</v>
      </c>
      <c r="B1672" s="15" t="s">
        <v>110</v>
      </c>
      <c r="D1672" s="15" t="s">
        <v>203</v>
      </c>
      <c r="E1672" s="15" t="s">
        <v>112</v>
      </c>
      <c r="F1672" s="15" t="s">
        <v>203</v>
      </c>
      <c r="G1672" s="15" t="s">
        <v>113</v>
      </c>
      <c r="H1672" s="15" t="s">
        <v>111</v>
      </c>
      <c r="J1672" s="16" t="s">
        <v>114</v>
      </c>
      <c r="U1672" s="15" t="s">
        <v>17977</v>
      </c>
      <c r="W1672" s="15">
        <v>2711</v>
      </c>
      <c r="X1672" s="15">
        <v>1682</v>
      </c>
      <c r="Y1672" s="15" t="s">
        <v>160</v>
      </c>
      <c r="Z1672" s="15" t="s">
        <v>161</v>
      </c>
      <c r="AA1672" s="15" t="s">
        <v>162</v>
      </c>
      <c r="AB1672" s="15" t="s">
        <v>13104</v>
      </c>
      <c r="AC1672" s="15" t="s">
        <v>13104</v>
      </c>
      <c r="AD1672" s="15" t="s">
        <v>13105</v>
      </c>
      <c r="AE1672" s="15" t="s">
        <v>164</v>
      </c>
      <c r="AF1672" s="15" t="s">
        <v>13105</v>
      </c>
      <c r="AG1672" s="15" t="s">
        <v>13104</v>
      </c>
      <c r="AH1672" s="20" t="s">
        <v>13106</v>
      </c>
      <c r="AL1672" s="15" t="s">
        <v>13107</v>
      </c>
      <c r="AN1672" s="15">
        <v>743</v>
      </c>
      <c r="AO1672" s="15" t="s">
        <v>13108</v>
      </c>
      <c r="AQ1672" s="20" t="s">
        <v>388</v>
      </c>
      <c r="AT1672" s="15" t="s">
        <v>13087</v>
      </c>
      <c r="AU1672" s="15" t="s">
        <v>13109</v>
      </c>
      <c r="AV1672" s="15" t="s">
        <v>13109</v>
      </c>
      <c r="AW1672" s="15" t="s">
        <v>13110</v>
      </c>
      <c r="AX1672" s="15" t="s">
        <v>13110</v>
      </c>
      <c r="AY1672" s="15">
        <f t="shared" si="39"/>
        <v>51</v>
      </c>
      <c r="AZ1672" s="15" t="s">
        <v>393</v>
      </c>
      <c r="BA1672" s="15" t="s">
        <v>174</v>
      </c>
      <c r="BB1672" s="15" t="s">
        <v>12920</v>
      </c>
      <c r="BC1672" s="15" t="s">
        <v>9428</v>
      </c>
      <c r="BI1672" s="15" t="s">
        <v>3976</v>
      </c>
      <c r="BJ1672" s="15" t="s">
        <v>13090</v>
      </c>
      <c r="BN1672" s="15" t="s">
        <v>179</v>
      </c>
      <c r="BP1672" s="15" t="s">
        <v>138</v>
      </c>
      <c r="BS1672" s="15" t="s">
        <v>13111</v>
      </c>
      <c r="DH1672" s="15" t="s">
        <v>17982</v>
      </c>
      <c r="DI1672" s="15" t="s">
        <v>17982</v>
      </c>
    </row>
    <row r="1673" spans="1:113" s="15" customFormat="1" ht="12.75" x14ac:dyDescent="0.2">
      <c r="A1673" s="15" t="s">
        <v>109</v>
      </c>
      <c r="B1673" s="15" t="s">
        <v>110</v>
      </c>
      <c r="D1673" s="15" t="s">
        <v>203</v>
      </c>
      <c r="E1673" s="15" t="s">
        <v>112</v>
      </c>
      <c r="F1673" s="15" t="s">
        <v>203</v>
      </c>
      <c r="G1673" s="15" t="s">
        <v>113</v>
      </c>
      <c r="H1673" s="15" t="s">
        <v>111</v>
      </c>
      <c r="J1673" s="16" t="s">
        <v>114</v>
      </c>
      <c r="U1673" s="15" t="s">
        <v>17977</v>
      </c>
      <c r="W1673" s="15">
        <v>2706</v>
      </c>
      <c r="X1673" s="15">
        <v>1683</v>
      </c>
      <c r="Y1673" s="15" t="s">
        <v>160</v>
      </c>
      <c r="Z1673" s="15" t="s">
        <v>161</v>
      </c>
      <c r="AA1673" s="15" t="s">
        <v>162</v>
      </c>
      <c r="AB1673" s="15" t="s">
        <v>13052</v>
      </c>
      <c r="AC1673" s="15" t="s">
        <v>13052</v>
      </c>
      <c r="AD1673" s="15" t="s">
        <v>13053</v>
      </c>
      <c r="AE1673" s="15" t="s">
        <v>164</v>
      </c>
      <c r="AF1673" s="15" t="s">
        <v>13053</v>
      </c>
      <c r="AG1673" s="15" t="s">
        <v>13052</v>
      </c>
      <c r="AH1673" s="20" t="s">
        <v>13054</v>
      </c>
      <c r="AL1673" s="15" t="s">
        <v>13055</v>
      </c>
      <c r="AN1673" s="15">
        <v>743</v>
      </c>
      <c r="AO1673" s="15" t="s">
        <v>13056</v>
      </c>
      <c r="AQ1673" s="20" t="s">
        <v>168</v>
      </c>
      <c r="AT1673" s="15" t="s">
        <v>13057</v>
      </c>
      <c r="AU1673" s="15" t="s">
        <v>13058</v>
      </c>
      <c r="AV1673" s="15" t="s">
        <v>13058</v>
      </c>
      <c r="AW1673" s="15" t="s">
        <v>13059</v>
      </c>
      <c r="AX1673" s="15" t="s">
        <v>13059</v>
      </c>
      <c r="AY1673" s="15">
        <f t="shared" si="39"/>
        <v>45</v>
      </c>
      <c r="AZ1673" s="15" t="s">
        <v>173</v>
      </c>
      <c r="BA1673" s="15" t="s">
        <v>174</v>
      </c>
      <c r="BB1673" s="15" t="s">
        <v>12920</v>
      </c>
      <c r="BC1673" s="15" t="s">
        <v>646</v>
      </c>
      <c r="BF1673" s="15" t="s">
        <v>9818</v>
      </c>
      <c r="BJ1673" s="15" t="s">
        <v>13060</v>
      </c>
      <c r="BN1673" s="15" t="s">
        <v>179</v>
      </c>
      <c r="BP1673" s="15" t="s">
        <v>138</v>
      </c>
      <c r="BS1673" s="15" t="s">
        <v>13061</v>
      </c>
      <c r="DH1673" s="15" t="s">
        <v>17982</v>
      </c>
      <c r="DI1673" s="15" t="s">
        <v>17982</v>
      </c>
    </row>
    <row r="1674" spans="1:113" s="15" customFormat="1" ht="12.75" x14ac:dyDescent="0.2">
      <c r="A1674" s="15" t="s">
        <v>109</v>
      </c>
      <c r="B1674" s="15" t="s">
        <v>110</v>
      </c>
      <c r="D1674" s="15" t="s">
        <v>203</v>
      </c>
      <c r="E1674" s="15" t="s">
        <v>112</v>
      </c>
      <c r="F1674" s="15" t="s">
        <v>203</v>
      </c>
      <c r="G1674" s="15" t="s">
        <v>113</v>
      </c>
      <c r="H1674" s="15" t="s">
        <v>111</v>
      </c>
      <c r="J1674" s="16" t="s">
        <v>114</v>
      </c>
      <c r="U1674" s="15" t="s">
        <v>17977</v>
      </c>
      <c r="W1674" s="15">
        <v>2731</v>
      </c>
      <c r="X1674" s="15">
        <v>1684</v>
      </c>
      <c r="Y1674" s="15" t="s">
        <v>160</v>
      </c>
      <c r="Z1674" s="15" t="s">
        <v>161</v>
      </c>
      <c r="AA1674" s="15" t="s">
        <v>162</v>
      </c>
      <c r="AB1674" s="15" t="s">
        <v>13191</v>
      </c>
      <c r="AC1674" s="15" t="s">
        <v>13191</v>
      </c>
      <c r="AD1674" s="15" t="s">
        <v>13192</v>
      </c>
      <c r="AE1674" s="15" t="s">
        <v>164</v>
      </c>
      <c r="AF1674" s="15" t="s">
        <v>13192</v>
      </c>
      <c r="AG1674" s="15" t="s">
        <v>13191</v>
      </c>
      <c r="AH1674" s="20" t="s">
        <v>13193</v>
      </c>
      <c r="AL1674" s="15" t="s">
        <v>13194</v>
      </c>
      <c r="AN1674" s="15">
        <v>743</v>
      </c>
      <c r="AO1674" s="15" t="s">
        <v>13195</v>
      </c>
      <c r="AQ1674" s="20" t="s">
        <v>168</v>
      </c>
      <c r="AT1674" s="15" t="s">
        <v>13196</v>
      </c>
      <c r="AU1674" s="15" t="s">
        <v>13197</v>
      </c>
      <c r="AV1674" s="15" t="s">
        <v>13197</v>
      </c>
      <c r="AW1674" s="15" t="s">
        <v>13198</v>
      </c>
      <c r="AX1674" s="15" t="s">
        <v>13198</v>
      </c>
      <c r="AY1674" s="15">
        <f t="shared" ref="AY1674:AY1685" si="40">LEN(SUBSTITUTE(AX1674, ", ",","))</f>
        <v>53</v>
      </c>
      <c r="AZ1674" s="15" t="s">
        <v>173</v>
      </c>
      <c r="BA1674" s="15" t="s">
        <v>174</v>
      </c>
      <c r="BB1674" s="15" t="s">
        <v>13199</v>
      </c>
      <c r="BE1674" s="15" t="s">
        <v>241</v>
      </c>
      <c r="BJ1674" s="15" t="s">
        <v>13200</v>
      </c>
      <c r="BN1674" s="15" t="s">
        <v>179</v>
      </c>
      <c r="BP1674" s="15" t="s">
        <v>138</v>
      </c>
      <c r="BS1674" s="15" t="s">
        <v>13201</v>
      </c>
      <c r="DH1674" s="15" t="s">
        <v>17982</v>
      </c>
      <c r="DI1674" s="15" t="s">
        <v>17982</v>
      </c>
    </row>
    <row r="1675" spans="1:113" s="15" customFormat="1" ht="12.75" x14ac:dyDescent="0.2">
      <c r="A1675" s="15" t="s">
        <v>109</v>
      </c>
      <c r="B1675" s="15" t="s">
        <v>110</v>
      </c>
      <c r="D1675" s="15" t="s">
        <v>203</v>
      </c>
      <c r="E1675" s="15" t="s">
        <v>112</v>
      </c>
      <c r="F1675" s="15" t="s">
        <v>203</v>
      </c>
      <c r="G1675" s="15" t="s">
        <v>113</v>
      </c>
      <c r="H1675" s="15" t="s">
        <v>111</v>
      </c>
      <c r="J1675" s="16" t="s">
        <v>114</v>
      </c>
      <c r="U1675" s="15" t="s">
        <v>17977</v>
      </c>
      <c r="W1675" s="15">
        <v>2732</v>
      </c>
      <c r="X1675" s="15">
        <v>1685</v>
      </c>
      <c r="Y1675" s="15" t="s">
        <v>160</v>
      </c>
      <c r="Z1675" s="15" t="s">
        <v>161</v>
      </c>
      <c r="AA1675" s="15" t="s">
        <v>162</v>
      </c>
      <c r="AB1675" s="15" t="s">
        <v>13202</v>
      </c>
      <c r="AC1675" s="15" t="s">
        <v>13202</v>
      </c>
      <c r="AD1675" s="15" t="s">
        <v>13203</v>
      </c>
      <c r="AE1675" s="15" t="s">
        <v>164</v>
      </c>
      <c r="AF1675" s="15" t="s">
        <v>13203</v>
      </c>
      <c r="AG1675" s="15" t="s">
        <v>13202</v>
      </c>
      <c r="AH1675" s="20" t="s">
        <v>13204</v>
      </c>
      <c r="AL1675" s="15" t="s">
        <v>13205</v>
      </c>
      <c r="AN1675" s="15">
        <v>743</v>
      </c>
      <c r="AO1675" s="15" t="s">
        <v>13206</v>
      </c>
      <c r="AQ1675" s="20" t="s">
        <v>168</v>
      </c>
      <c r="AT1675" s="15" t="s">
        <v>13207</v>
      </c>
      <c r="AU1675" s="15" t="s">
        <v>13208</v>
      </c>
      <c r="AV1675" s="15" t="s">
        <v>13208</v>
      </c>
      <c r="AW1675" s="15" t="s">
        <v>13209</v>
      </c>
      <c r="AX1675" s="15" t="s">
        <v>13210</v>
      </c>
      <c r="AY1675" s="15">
        <f t="shared" si="40"/>
        <v>58</v>
      </c>
      <c r="AZ1675" s="15" t="s">
        <v>173</v>
      </c>
      <c r="BA1675" s="15" t="s">
        <v>174</v>
      </c>
      <c r="BB1675" s="15" t="s">
        <v>13211</v>
      </c>
      <c r="BE1675" s="15" t="s">
        <v>1317</v>
      </c>
      <c r="BF1675" s="15" t="s">
        <v>12962</v>
      </c>
      <c r="BJ1675" s="15" t="s">
        <v>13212</v>
      </c>
      <c r="BN1675" s="15" t="s">
        <v>179</v>
      </c>
      <c r="BP1675" s="15" t="s">
        <v>138</v>
      </c>
      <c r="BS1675" s="15" t="s">
        <v>13213</v>
      </c>
      <c r="DH1675" s="15" t="s">
        <v>17982</v>
      </c>
      <c r="DI1675" s="15" t="s">
        <v>17982</v>
      </c>
    </row>
    <row r="1676" spans="1:113" s="15" customFormat="1" ht="12.75" x14ac:dyDescent="0.2">
      <c r="A1676" s="15" t="s">
        <v>109</v>
      </c>
      <c r="B1676" s="15" t="s">
        <v>110</v>
      </c>
      <c r="D1676" s="15" t="s">
        <v>203</v>
      </c>
      <c r="E1676" s="15" t="s">
        <v>112</v>
      </c>
      <c r="F1676" s="15" t="s">
        <v>203</v>
      </c>
      <c r="G1676" s="15" t="s">
        <v>113</v>
      </c>
      <c r="H1676" s="15" t="s">
        <v>111</v>
      </c>
      <c r="J1676" s="16" t="s">
        <v>114</v>
      </c>
      <c r="U1676" s="15" t="s">
        <v>17977</v>
      </c>
      <c r="W1676" s="15">
        <v>2733</v>
      </c>
      <c r="X1676" s="15">
        <v>1686</v>
      </c>
      <c r="Y1676" s="15" t="s">
        <v>160</v>
      </c>
      <c r="Z1676" s="15" t="s">
        <v>161</v>
      </c>
      <c r="AA1676" s="15" t="s">
        <v>162</v>
      </c>
      <c r="AB1676" s="15" t="s">
        <v>13214</v>
      </c>
      <c r="AC1676" s="15" t="s">
        <v>13214</v>
      </c>
      <c r="AD1676" s="15" t="s">
        <v>13215</v>
      </c>
      <c r="AE1676" s="15" t="s">
        <v>164</v>
      </c>
      <c r="AF1676" s="15" t="s">
        <v>13215</v>
      </c>
      <c r="AG1676" s="15" t="s">
        <v>13214</v>
      </c>
      <c r="AH1676" s="20" t="s">
        <v>13216</v>
      </c>
      <c r="AL1676" s="15" t="s">
        <v>13217</v>
      </c>
      <c r="AN1676" s="15">
        <v>743</v>
      </c>
      <c r="AO1676" s="15" t="s">
        <v>13218</v>
      </c>
      <c r="AQ1676" s="20" t="s">
        <v>168</v>
      </c>
      <c r="AT1676" s="15" t="s">
        <v>13219</v>
      </c>
      <c r="AU1676" s="15" t="s">
        <v>13220</v>
      </c>
      <c r="AV1676" s="15" t="s">
        <v>13220</v>
      </c>
      <c r="AW1676" s="15" t="s">
        <v>13221</v>
      </c>
      <c r="AX1676" s="15" t="s">
        <v>13222</v>
      </c>
      <c r="AY1676" s="15">
        <f t="shared" si="40"/>
        <v>60</v>
      </c>
      <c r="AZ1676" s="15" t="s">
        <v>173</v>
      </c>
      <c r="BA1676" s="15" t="s">
        <v>174</v>
      </c>
      <c r="BB1676" s="15" t="s">
        <v>13211</v>
      </c>
      <c r="BE1676" s="15" t="s">
        <v>1317</v>
      </c>
      <c r="BF1676" s="15" t="s">
        <v>276</v>
      </c>
      <c r="BJ1676" s="15" t="s">
        <v>13223</v>
      </c>
      <c r="BN1676" s="15" t="s">
        <v>179</v>
      </c>
      <c r="BP1676" s="15" t="s">
        <v>138</v>
      </c>
      <c r="BS1676" s="15" t="s">
        <v>13224</v>
      </c>
      <c r="DH1676" s="15" t="s">
        <v>17982</v>
      </c>
      <c r="DI1676" s="15" t="s">
        <v>17982</v>
      </c>
    </row>
    <row r="1677" spans="1:113" s="15" customFormat="1" ht="12.75" x14ac:dyDescent="0.2">
      <c r="A1677" s="15" t="s">
        <v>109</v>
      </c>
      <c r="B1677" s="15" t="s">
        <v>110</v>
      </c>
      <c r="D1677" s="15" t="s">
        <v>203</v>
      </c>
      <c r="E1677" s="15" t="s">
        <v>112</v>
      </c>
      <c r="F1677" s="15" t="s">
        <v>203</v>
      </c>
      <c r="G1677" s="15" t="s">
        <v>113</v>
      </c>
      <c r="H1677" s="15" t="s">
        <v>111</v>
      </c>
      <c r="J1677" s="16" t="s">
        <v>114</v>
      </c>
      <c r="U1677" s="15" t="s">
        <v>17977</v>
      </c>
      <c r="W1677" s="15">
        <v>2705</v>
      </c>
      <c r="X1677" s="15">
        <v>1687</v>
      </c>
      <c r="Y1677" s="15" t="s">
        <v>160</v>
      </c>
      <c r="Z1677" s="15" t="s">
        <v>161</v>
      </c>
      <c r="AA1677" s="15" t="s">
        <v>162</v>
      </c>
      <c r="AB1677" s="15" t="s">
        <v>13040</v>
      </c>
      <c r="AC1677" s="15" t="s">
        <v>13040</v>
      </c>
      <c r="AD1677" s="15" t="s">
        <v>13041</v>
      </c>
      <c r="AE1677" s="15" t="s">
        <v>164</v>
      </c>
      <c r="AF1677" s="15" t="s">
        <v>13041</v>
      </c>
      <c r="AG1677" s="15" t="s">
        <v>13040</v>
      </c>
      <c r="AH1677" s="20" t="s">
        <v>13042</v>
      </c>
      <c r="AL1677" s="15" t="s">
        <v>13043</v>
      </c>
      <c r="AN1677" s="15">
        <v>743</v>
      </c>
      <c r="AO1677" s="15" t="s">
        <v>13044</v>
      </c>
      <c r="AQ1677" s="20" t="s">
        <v>168</v>
      </c>
      <c r="AT1677" s="15" t="s">
        <v>13045</v>
      </c>
      <c r="AU1677" s="15" t="s">
        <v>13046</v>
      </c>
      <c r="AV1677" s="15" t="s">
        <v>13046</v>
      </c>
      <c r="AW1677" s="15" t="s">
        <v>13047</v>
      </c>
      <c r="AX1677" s="15" t="s">
        <v>13048</v>
      </c>
      <c r="AY1677" s="15">
        <f t="shared" si="40"/>
        <v>59</v>
      </c>
      <c r="AZ1677" s="15" t="s">
        <v>173</v>
      </c>
      <c r="BA1677" s="15" t="s">
        <v>174</v>
      </c>
      <c r="BB1677" s="15" t="s">
        <v>12920</v>
      </c>
      <c r="BC1677" s="15" t="s">
        <v>646</v>
      </c>
      <c r="BE1677" s="15" t="s">
        <v>13049</v>
      </c>
      <c r="BJ1677" s="15" t="s">
        <v>13050</v>
      </c>
      <c r="BN1677" s="15" t="s">
        <v>179</v>
      </c>
      <c r="BP1677" s="15" t="s">
        <v>138</v>
      </c>
      <c r="BS1677" s="15" t="s">
        <v>13051</v>
      </c>
      <c r="DH1677" s="15" t="s">
        <v>17982</v>
      </c>
      <c r="DI1677" s="15" t="s">
        <v>17982</v>
      </c>
    </row>
    <row r="1678" spans="1:113" s="15" customFormat="1" ht="12.75" x14ac:dyDescent="0.2">
      <c r="A1678" s="15" t="s">
        <v>109</v>
      </c>
      <c r="B1678" s="15" t="s">
        <v>110</v>
      </c>
      <c r="D1678" s="15" t="s">
        <v>203</v>
      </c>
      <c r="E1678" s="15" t="s">
        <v>112</v>
      </c>
      <c r="F1678" s="15" t="s">
        <v>203</v>
      </c>
      <c r="G1678" s="15" t="s">
        <v>113</v>
      </c>
      <c r="H1678" s="15" t="s">
        <v>111</v>
      </c>
      <c r="J1678" s="16" t="s">
        <v>114</v>
      </c>
      <c r="U1678" s="15" t="s">
        <v>17977</v>
      </c>
      <c r="W1678" s="15">
        <v>2696</v>
      </c>
      <c r="X1678" s="15">
        <v>1688</v>
      </c>
      <c r="Y1678" s="15" t="s">
        <v>160</v>
      </c>
      <c r="Z1678" s="15" t="s">
        <v>161</v>
      </c>
      <c r="AA1678" s="15" t="s">
        <v>162</v>
      </c>
      <c r="AB1678" s="15" t="s">
        <v>12987</v>
      </c>
      <c r="AC1678" s="15" t="s">
        <v>12987</v>
      </c>
      <c r="AD1678" s="15" t="s">
        <v>12988</v>
      </c>
      <c r="AE1678" s="15" t="s">
        <v>164</v>
      </c>
      <c r="AF1678" s="15" t="s">
        <v>12988</v>
      </c>
      <c r="AG1678" s="15" t="s">
        <v>12987</v>
      </c>
      <c r="AH1678" s="20" t="s">
        <v>12989</v>
      </c>
      <c r="AL1678" s="15" t="s">
        <v>12990</v>
      </c>
      <c r="AN1678" s="15">
        <v>743</v>
      </c>
      <c r="AO1678" s="15" t="s">
        <v>12991</v>
      </c>
      <c r="AQ1678" s="20" t="s">
        <v>168</v>
      </c>
      <c r="AT1678" s="15" t="s">
        <v>12992</v>
      </c>
      <c r="AU1678" s="15" t="s">
        <v>12993</v>
      </c>
      <c r="AV1678" s="15" t="s">
        <v>12993</v>
      </c>
      <c r="AW1678" s="15" t="s">
        <v>12994</v>
      </c>
      <c r="AX1678" s="15" t="s">
        <v>12995</v>
      </c>
      <c r="AY1678" s="15">
        <f t="shared" si="40"/>
        <v>59</v>
      </c>
      <c r="AZ1678" s="15" t="s">
        <v>173</v>
      </c>
      <c r="BA1678" s="15" t="s">
        <v>174</v>
      </c>
      <c r="BB1678" s="15" t="s">
        <v>12920</v>
      </c>
      <c r="BE1678" s="15" t="s">
        <v>176</v>
      </c>
      <c r="BF1678" s="15" t="s">
        <v>12996</v>
      </c>
      <c r="BJ1678" s="15" t="s">
        <v>12997</v>
      </c>
      <c r="BN1678" s="15" t="s">
        <v>179</v>
      </c>
      <c r="BP1678" s="15" t="s">
        <v>138</v>
      </c>
      <c r="BS1678" s="15" t="s">
        <v>12998</v>
      </c>
      <c r="DH1678" s="15" t="s">
        <v>17982</v>
      </c>
      <c r="DI1678" s="15" t="s">
        <v>17982</v>
      </c>
    </row>
    <row r="1679" spans="1:113" s="15" customFormat="1" ht="12.75" x14ac:dyDescent="0.2">
      <c r="A1679" s="15" t="s">
        <v>109</v>
      </c>
      <c r="B1679" s="15" t="s">
        <v>110</v>
      </c>
      <c r="D1679" s="15" t="s">
        <v>203</v>
      </c>
      <c r="E1679" s="15" t="s">
        <v>112</v>
      </c>
      <c r="F1679" s="15" t="s">
        <v>203</v>
      </c>
      <c r="G1679" s="15" t="s">
        <v>113</v>
      </c>
      <c r="H1679" s="15" t="s">
        <v>111</v>
      </c>
      <c r="J1679" s="16" t="s">
        <v>114</v>
      </c>
      <c r="U1679" s="15" t="s">
        <v>17977</v>
      </c>
      <c r="W1679" s="15">
        <v>2730</v>
      </c>
      <c r="X1679" s="15">
        <v>1689</v>
      </c>
      <c r="Y1679" s="15" t="s">
        <v>160</v>
      </c>
      <c r="Z1679" s="15" t="s">
        <v>161</v>
      </c>
      <c r="AA1679" s="15" t="s">
        <v>162</v>
      </c>
      <c r="AB1679" s="15" t="s">
        <v>13180</v>
      </c>
      <c r="AC1679" s="15" t="s">
        <v>13180</v>
      </c>
      <c r="AD1679" s="15" t="s">
        <v>13181</v>
      </c>
      <c r="AE1679" s="15" t="s">
        <v>164</v>
      </c>
      <c r="AF1679" s="15" t="s">
        <v>13181</v>
      </c>
      <c r="AG1679" s="15" t="s">
        <v>13180</v>
      </c>
      <c r="AH1679" s="20" t="s">
        <v>13182</v>
      </c>
      <c r="AL1679" s="15" t="s">
        <v>13183</v>
      </c>
      <c r="AN1679" s="15">
        <v>743</v>
      </c>
      <c r="AO1679" s="15" t="s">
        <v>13184</v>
      </c>
      <c r="AQ1679" s="20" t="s">
        <v>168</v>
      </c>
      <c r="AT1679" s="15" t="s">
        <v>13185</v>
      </c>
      <c r="AU1679" s="15" t="s">
        <v>13186</v>
      </c>
      <c r="AV1679" s="15" t="s">
        <v>13186</v>
      </c>
      <c r="AW1679" s="15" t="s">
        <v>13187</v>
      </c>
      <c r="AX1679" s="15" t="s">
        <v>13188</v>
      </c>
      <c r="AY1679" s="15">
        <f t="shared" si="40"/>
        <v>60</v>
      </c>
      <c r="AZ1679" s="15" t="s">
        <v>173</v>
      </c>
      <c r="BA1679" s="15" t="s">
        <v>174</v>
      </c>
      <c r="BB1679" s="15" t="s">
        <v>12920</v>
      </c>
      <c r="BC1679" s="15" t="s">
        <v>379</v>
      </c>
      <c r="BF1679" s="15" t="s">
        <v>13189</v>
      </c>
      <c r="BJ1679" s="15" t="s">
        <v>12997</v>
      </c>
      <c r="BN1679" s="15" t="s">
        <v>179</v>
      </c>
      <c r="BP1679" s="15" t="s">
        <v>138</v>
      </c>
      <c r="BS1679" s="15" t="s">
        <v>13190</v>
      </c>
      <c r="DH1679" s="15" t="s">
        <v>17982</v>
      </c>
      <c r="DI1679" s="15" t="s">
        <v>17982</v>
      </c>
    </row>
    <row r="1680" spans="1:113" s="15" customFormat="1" ht="12.75" x14ac:dyDescent="0.2">
      <c r="A1680" s="15" t="s">
        <v>109</v>
      </c>
      <c r="B1680" s="15" t="s">
        <v>110</v>
      </c>
      <c r="D1680" s="15" t="s">
        <v>203</v>
      </c>
      <c r="E1680" s="15" t="s">
        <v>112</v>
      </c>
      <c r="F1680" s="15" t="s">
        <v>203</v>
      </c>
      <c r="G1680" s="15" t="s">
        <v>113</v>
      </c>
      <c r="H1680" s="15" t="s">
        <v>111</v>
      </c>
      <c r="J1680" s="16" t="s">
        <v>114</v>
      </c>
      <c r="U1680" s="15" t="s">
        <v>17977</v>
      </c>
      <c r="W1680" s="15">
        <v>2702</v>
      </c>
      <c r="X1680" s="15">
        <v>1690</v>
      </c>
      <c r="Y1680" s="15" t="s">
        <v>160</v>
      </c>
      <c r="Z1680" s="15" t="s">
        <v>161</v>
      </c>
      <c r="AA1680" s="15" t="s">
        <v>162</v>
      </c>
      <c r="AB1680" s="15" t="s">
        <v>13010</v>
      </c>
      <c r="AC1680" s="15" t="s">
        <v>13010</v>
      </c>
      <c r="AD1680" s="15" t="s">
        <v>13011</v>
      </c>
      <c r="AE1680" s="15" t="s">
        <v>164</v>
      </c>
      <c r="AF1680" s="15" t="s">
        <v>13011</v>
      </c>
      <c r="AG1680" s="15" t="s">
        <v>13010</v>
      </c>
      <c r="AH1680" s="20" t="s">
        <v>13012</v>
      </c>
      <c r="AL1680" s="15" t="s">
        <v>13013</v>
      </c>
      <c r="AN1680" s="15">
        <v>743</v>
      </c>
      <c r="AO1680" s="15" t="s">
        <v>13014</v>
      </c>
      <c r="AQ1680" s="20" t="s">
        <v>168</v>
      </c>
      <c r="AT1680" s="15" t="s">
        <v>13015</v>
      </c>
      <c r="AU1680" s="15" t="s">
        <v>13016</v>
      </c>
      <c r="AV1680" s="15" t="s">
        <v>13016</v>
      </c>
      <c r="AW1680" s="15" t="s">
        <v>13017</v>
      </c>
      <c r="AX1680" s="15" t="s">
        <v>13018</v>
      </c>
      <c r="AY1680" s="15">
        <f t="shared" si="40"/>
        <v>55</v>
      </c>
      <c r="AZ1680" s="15" t="s">
        <v>173</v>
      </c>
      <c r="BA1680" s="15" t="s">
        <v>174</v>
      </c>
      <c r="BB1680" s="15" t="s">
        <v>12920</v>
      </c>
      <c r="BC1680" s="15" t="s">
        <v>646</v>
      </c>
      <c r="BE1680" s="15" t="s">
        <v>1123</v>
      </c>
      <c r="BF1680" s="15" t="s">
        <v>836</v>
      </c>
      <c r="BJ1680" s="15" t="s">
        <v>13019</v>
      </c>
      <c r="BN1680" s="15" t="s">
        <v>179</v>
      </c>
      <c r="BP1680" s="15" t="s">
        <v>138</v>
      </c>
      <c r="BS1680" s="15" t="s">
        <v>13020</v>
      </c>
      <c r="DH1680" s="15" t="s">
        <v>17982</v>
      </c>
      <c r="DI1680" s="15" t="s">
        <v>17982</v>
      </c>
    </row>
    <row r="1681" spans="1:113" s="15" customFormat="1" ht="12.75" x14ac:dyDescent="0.2">
      <c r="A1681" s="15" t="s">
        <v>109</v>
      </c>
      <c r="B1681" s="15" t="s">
        <v>110</v>
      </c>
      <c r="D1681" s="15" t="s">
        <v>203</v>
      </c>
      <c r="E1681" s="15" t="s">
        <v>112</v>
      </c>
      <c r="F1681" s="15" t="s">
        <v>203</v>
      </c>
      <c r="G1681" s="15" t="s">
        <v>113</v>
      </c>
      <c r="H1681" s="15" t="s">
        <v>111</v>
      </c>
      <c r="J1681" s="16" t="s">
        <v>114</v>
      </c>
      <c r="U1681" s="15" t="s">
        <v>17977</v>
      </c>
      <c r="W1681" s="15">
        <v>2916</v>
      </c>
      <c r="X1681" s="15">
        <v>1691</v>
      </c>
      <c r="Y1681" s="15" t="s">
        <v>160</v>
      </c>
      <c r="Z1681" s="15" t="s">
        <v>161</v>
      </c>
      <c r="AA1681" s="15" t="s">
        <v>162</v>
      </c>
      <c r="AB1681" s="15" t="s">
        <v>14282</v>
      </c>
      <c r="AC1681" s="15" t="s">
        <v>14282</v>
      </c>
      <c r="AD1681" s="15" t="s">
        <v>14283</v>
      </c>
      <c r="AE1681" s="15" t="s">
        <v>164</v>
      </c>
      <c r="AF1681" s="15" t="s">
        <v>14283</v>
      </c>
      <c r="AG1681" s="15" t="s">
        <v>14282</v>
      </c>
      <c r="AH1681" s="20" t="s">
        <v>14284</v>
      </c>
      <c r="AL1681" s="15" t="s">
        <v>14285</v>
      </c>
      <c r="AN1681" s="15">
        <v>743</v>
      </c>
      <c r="AO1681" s="15" t="s">
        <v>14286</v>
      </c>
      <c r="AQ1681" s="20" t="s">
        <v>168</v>
      </c>
      <c r="AT1681" s="15" t="s">
        <v>14287</v>
      </c>
      <c r="AU1681" s="15" t="s">
        <v>14288</v>
      </c>
      <c r="AV1681" s="15" t="s">
        <v>14288</v>
      </c>
      <c r="AW1681" s="15" t="s">
        <v>14289</v>
      </c>
      <c r="AX1681" s="15" t="s">
        <v>14290</v>
      </c>
      <c r="AY1681" s="15">
        <f t="shared" si="40"/>
        <v>53</v>
      </c>
      <c r="AZ1681" s="15" t="s">
        <v>173</v>
      </c>
      <c r="BA1681" s="15" t="s">
        <v>174</v>
      </c>
      <c r="BB1681" s="15" t="s">
        <v>12920</v>
      </c>
      <c r="BC1681" s="15" t="s">
        <v>646</v>
      </c>
      <c r="BE1681" s="15" t="s">
        <v>1123</v>
      </c>
      <c r="BF1681" s="15" t="s">
        <v>863</v>
      </c>
      <c r="BJ1681" s="15" t="s">
        <v>13019</v>
      </c>
      <c r="BN1681" s="15" t="s">
        <v>179</v>
      </c>
      <c r="BP1681" s="15" t="s">
        <v>138</v>
      </c>
      <c r="BS1681" s="15" t="s">
        <v>14291</v>
      </c>
      <c r="DH1681" s="15" t="s">
        <v>17982</v>
      </c>
      <c r="DI1681" s="15" t="s">
        <v>17982</v>
      </c>
    </row>
    <row r="1682" spans="1:113" s="15" customFormat="1" ht="12.75" x14ac:dyDescent="0.2">
      <c r="A1682" s="15" t="s">
        <v>109</v>
      </c>
      <c r="B1682" s="15" t="s">
        <v>110</v>
      </c>
      <c r="D1682" s="15" t="s">
        <v>203</v>
      </c>
      <c r="E1682" s="15" t="s">
        <v>112</v>
      </c>
      <c r="F1682" s="15" t="s">
        <v>203</v>
      </c>
      <c r="G1682" s="15" t="s">
        <v>113</v>
      </c>
      <c r="H1682" s="15" t="s">
        <v>111</v>
      </c>
      <c r="J1682" s="16" t="s">
        <v>114</v>
      </c>
      <c r="U1682" s="15" t="s">
        <v>17977</v>
      </c>
      <c r="W1682" s="15">
        <v>2701</v>
      </c>
      <c r="X1682" s="15">
        <v>1692</v>
      </c>
      <c r="Y1682" s="15" t="s">
        <v>160</v>
      </c>
      <c r="Z1682" s="15" t="s">
        <v>161</v>
      </c>
      <c r="AA1682" s="15" t="s">
        <v>162</v>
      </c>
      <c r="AB1682" s="15" t="s">
        <v>12999</v>
      </c>
      <c r="AC1682" s="15" t="s">
        <v>12999</v>
      </c>
      <c r="AD1682" s="15" t="s">
        <v>13000</v>
      </c>
      <c r="AE1682" s="15" t="s">
        <v>164</v>
      </c>
      <c r="AF1682" s="15" t="s">
        <v>13000</v>
      </c>
      <c r="AG1682" s="15" t="s">
        <v>12999</v>
      </c>
      <c r="AH1682" s="20" t="s">
        <v>13001</v>
      </c>
      <c r="AL1682" s="15" t="s">
        <v>13002</v>
      </c>
      <c r="AN1682" s="15">
        <v>743</v>
      </c>
      <c r="AO1682" s="15" t="s">
        <v>13003</v>
      </c>
      <c r="AQ1682" s="20" t="s">
        <v>168</v>
      </c>
      <c r="AT1682" s="15" t="s">
        <v>13004</v>
      </c>
      <c r="AU1682" s="15" t="s">
        <v>13005</v>
      </c>
      <c r="AV1682" s="15" t="s">
        <v>13005</v>
      </c>
      <c r="AW1682" s="15" t="s">
        <v>13006</v>
      </c>
      <c r="AX1682" s="15" t="s">
        <v>13007</v>
      </c>
      <c r="AY1682" s="15">
        <f t="shared" si="40"/>
        <v>54</v>
      </c>
      <c r="AZ1682" s="15" t="s">
        <v>173</v>
      </c>
      <c r="BA1682" s="15" t="s">
        <v>174</v>
      </c>
      <c r="BB1682" s="15" t="s">
        <v>12920</v>
      </c>
      <c r="BE1682" s="15" t="s">
        <v>241</v>
      </c>
      <c r="BF1682" s="15" t="s">
        <v>217</v>
      </c>
      <c r="BJ1682" s="15" t="s">
        <v>13008</v>
      </c>
      <c r="BN1682" s="15" t="s">
        <v>179</v>
      </c>
      <c r="BP1682" s="15" t="s">
        <v>138</v>
      </c>
      <c r="BS1682" s="15" t="s">
        <v>13009</v>
      </c>
      <c r="DH1682" s="15" t="s">
        <v>17982</v>
      </c>
      <c r="DI1682" s="15" t="s">
        <v>17982</v>
      </c>
    </row>
    <row r="1683" spans="1:113" s="15" customFormat="1" ht="12.75" x14ac:dyDescent="0.2">
      <c r="A1683" s="15" t="s">
        <v>109</v>
      </c>
      <c r="B1683" s="15" t="s">
        <v>110</v>
      </c>
      <c r="D1683" s="15" t="s">
        <v>203</v>
      </c>
      <c r="E1683" s="15" t="s">
        <v>112</v>
      </c>
      <c r="F1683" s="15" t="s">
        <v>203</v>
      </c>
      <c r="G1683" s="15" t="s">
        <v>113</v>
      </c>
      <c r="H1683" s="15" t="s">
        <v>111</v>
      </c>
      <c r="J1683" s="16" t="s">
        <v>114</v>
      </c>
      <c r="U1683" s="15" t="s">
        <v>17977</v>
      </c>
      <c r="W1683" s="15">
        <v>2707</v>
      </c>
      <c r="X1683" s="15">
        <v>1693</v>
      </c>
      <c r="Y1683" s="15" t="s">
        <v>160</v>
      </c>
      <c r="Z1683" s="15" t="s">
        <v>161</v>
      </c>
      <c r="AA1683" s="15" t="s">
        <v>162</v>
      </c>
      <c r="AB1683" s="15" t="s">
        <v>13062</v>
      </c>
      <c r="AC1683" s="15" t="s">
        <v>13062</v>
      </c>
      <c r="AD1683" s="15" t="s">
        <v>13063</v>
      </c>
      <c r="AE1683" s="15" t="s">
        <v>164</v>
      </c>
      <c r="AF1683" s="15" t="s">
        <v>13063</v>
      </c>
      <c r="AG1683" s="15" t="s">
        <v>13062</v>
      </c>
      <c r="AH1683" s="20" t="s">
        <v>13064</v>
      </c>
      <c r="AL1683" s="15" t="s">
        <v>13065</v>
      </c>
      <c r="AN1683" s="15">
        <v>743</v>
      </c>
      <c r="AO1683" s="15" t="s">
        <v>13066</v>
      </c>
      <c r="AQ1683" s="20" t="s">
        <v>168</v>
      </c>
      <c r="AT1683" s="15" t="s">
        <v>13067</v>
      </c>
      <c r="AU1683" s="15" t="s">
        <v>13068</v>
      </c>
      <c r="AV1683" s="15" t="s">
        <v>13068</v>
      </c>
      <c r="AW1683" s="15" t="s">
        <v>13069</v>
      </c>
      <c r="AX1683" s="15" t="s">
        <v>13069</v>
      </c>
      <c r="AY1683" s="15">
        <f t="shared" si="40"/>
        <v>55</v>
      </c>
      <c r="AZ1683" s="15" t="s">
        <v>173</v>
      </c>
      <c r="BA1683" s="15" t="s">
        <v>174</v>
      </c>
      <c r="BB1683" s="15" t="s">
        <v>12920</v>
      </c>
      <c r="BC1683" s="15" t="s">
        <v>13070</v>
      </c>
      <c r="BE1683" s="15" t="s">
        <v>10654</v>
      </c>
      <c r="BJ1683" s="15" t="s">
        <v>13071</v>
      </c>
      <c r="BN1683" s="15" t="s">
        <v>179</v>
      </c>
      <c r="BP1683" s="15" t="s">
        <v>138</v>
      </c>
      <c r="BS1683" s="15" t="s">
        <v>13072</v>
      </c>
      <c r="DH1683" s="15" t="s">
        <v>17982</v>
      </c>
      <c r="DI1683" s="15" t="s">
        <v>17982</v>
      </c>
    </row>
    <row r="1684" spans="1:113" s="15" customFormat="1" ht="12.75" x14ac:dyDescent="0.2">
      <c r="A1684" s="15" t="s">
        <v>109</v>
      </c>
      <c r="B1684" s="15" t="s">
        <v>110</v>
      </c>
      <c r="D1684" s="15" t="s">
        <v>203</v>
      </c>
      <c r="E1684" s="15" t="s">
        <v>112</v>
      </c>
      <c r="F1684" s="15" t="s">
        <v>203</v>
      </c>
      <c r="G1684" s="15" t="s">
        <v>113</v>
      </c>
      <c r="H1684" s="15" t="s">
        <v>111</v>
      </c>
      <c r="J1684" s="16" t="s">
        <v>114</v>
      </c>
      <c r="U1684" s="15" t="s">
        <v>17977</v>
      </c>
      <c r="W1684" s="15">
        <v>2678</v>
      </c>
      <c r="X1684" s="15">
        <v>1694</v>
      </c>
      <c r="Y1684" s="15" t="s">
        <v>160</v>
      </c>
      <c r="Z1684" s="15" t="s">
        <v>161</v>
      </c>
      <c r="AA1684" s="15" t="s">
        <v>162</v>
      </c>
      <c r="AB1684" s="15" t="s">
        <v>12933</v>
      </c>
      <c r="AC1684" s="15" t="s">
        <v>12933</v>
      </c>
      <c r="AD1684" s="15" t="s">
        <v>12934</v>
      </c>
      <c r="AE1684" s="15" t="s">
        <v>164</v>
      </c>
      <c r="AF1684" s="15" t="s">
        <v>12934</v>
      </c>
      <c r="AG1684" s="15" t="s">
        <v>12933</v>
      </c>
      <c r="AH1684" s="20" t="s">
        <v>12935</v>
      </c>
      <c r="AL1684" s="15" t="s">
        <v>12936</v>
      </c>
      <c r="AN1684" s="15">
        <v>743</v>
      </c>
      <c r="AO1684" s="15" t="s">
        <v>12937</v>
      </c>
      <c r="AQ1684" s="20" t="s">
        <v>168</v>
      </c>
      <c r="AT1684" s="15" t="s">
        <v>12938</v>
      </c>
      <c r="AU1684" s="15" t="s">
        <v>12939</v>
      </c>
      <c r="AV1684" s="15" t="s">
        <v>12939</v>
      </c>
      <c r="AW1684" s="15" t="s">
        <v>12940</v>
      </c>
      <c r="AX1684" s="15" t="s">
        <v>12941</v>
      </c>
      <c r="AY1684" s="15">
        <f t="shared" si="40"/>
        <v>56</v>
      </c>
      <c r="AZ1684" s="15" t="s">
        <v>173</v>
      </c>
      <c r="BA1684" s="15" t="s">
        <v>174</v>
      </c>
      <c r="BB1684" s="15" t="s">
        <v>12920</v>
      </c>
      <c r="BE1684" s="15" t="s">
        <v>241</v>
      </c>
      <c r="BF1684" s="15" t="s">
        <v>863</v>
      </c>
      <c r="BJ1684" s="15" t="s">
        <v>12942</v>
      </c>
      <c r="BN1684" s="15" t="s">
        <v>179</v>
      </c>
      <c r="BP1684" s="15" t="s">
        <v>138</v>
      </c>
      <c r="BS1684" s="15" t="s">
        <v>12943</v>
      </c>
      <c r="DH1684" s="15" t="s">
        <v>17982</v>
      </c>
      <c r="DI1684" s="15" t="s">
        <v>17982</v>
      </c>
    </row>
    <row r="1685" spans="1:113" s="15" customFormat="1" ht="12.75" x14ac:dyDescent="0.2">
      <c r="A1685" s="15" t="s">
        <v>109</v>
      </c>
      <c r="B1685" s="15" t="s">
        <v>110</v>
      </c>
      <c r="D1685" s="15" t="s">
        <v>203</v>
      </c>
      <c r="E1685" s="15" t="s">
        <v>112</v>
      </c>
      <c r="F1685" s="15" t="s">
        <v>203</v>
      </c>
      <c r="G1685" s="15" t="s">
        <v>113</v>
      </c>
      <c r="H1685" s="15" t="s">
        <v>111</v>
      </c>
      <c r="J1685" s="16" t="s">
        <v>114</v>
      </c>
      <c r="U1685" s="15" t="s">
        <v>17977</v>
      </c>
      <c r="W1685" s="15">
        <v>2683</v>
      </c>
      <c r="X1685" s="15">
        <v>1695</v>
      </c>
      <c r="Y1685" s="15" t="s">
        <v>160</v>
      </c>
      <c r="Z1685" s="15" t="s">
        <v>161</v>
      </c>
      <c r="AA1685" s="15" t="s">
        <v>162</v>
      </c>
      <c r="AB1685" s="15" t="s">
        <v>12944</v>
      </c>
      <c r="AC1685" s="15" t="s">
        <v>12944</v>
      </c>
      <c r="AD1685" s="15" t="s">
        <v>12945</v>
      </c>
      <c r="AE1685" s="15" t="s">
        <v>164</v>
      </c>
      <c r="AF1685" s="15" t="s">
        <v>12945</v>
      </c>
      <c r="AG1685" s="15" t="s">
        <v>12944</v>
      </c>
      <c r="AH1685" s="20" t="s">
        <v>12946</v>
      </c>
      <c r="AL1685" s="15" t="s">
        <v>12947</v>
      </c>
      <c r="AN1685" s="15">
        <v>743</v>
      </c>
      <c r="AO1685" s="15" t="s">
        <v>12948</v>
      </c>
      <c r="AQ1685" s="20" t="s">
        <v>168</v>
      </c>
      <c r="AT1685" s="15" t="s">
        <v>12949</v>
      </c>
      <c r="AU1685" s="15" t="s">
        <v>12950</v>
      </c>
      <c r="AV1685" s="15" t="s">
        <v>12950</v>
      </c>
      <c r="AW1685" s="15" t="s">
        <v>12951</v>
      </c>
      <c r="AX1685" s="15" t="s">
        <v>12952</v>
      </c>
      <c r="AY1685" s="15">
        <f t="shared" si="40"/>
        <v>56</v>
      </c>
      <c r="AZ1685" s="15" t="s">
        <v>173</v>
      </c>
      <c r="BA1685" s="15" t="s">
        <v>174</v>
      </c>
      <c r="BB1685" s="15" t="s">
        <v>12920</v>
      </c>
      <c r="BE1685" s="15" t="s">
        <v>241</v>
      </c>
      <c r="BF1685" s="15" t="s">
        <v>217</v>
      </c>
      <c r="BJ1685" s="15" t="s">
        <v>12942</v>
      </c>
      <c r="BN1685" s="15" t="s">
        <v>179</v>
      </c>
      <c r="BP1685" s="15" t="s">
        <v>138</v>
      </c>
      <c r="BS1685" s="15" t="s">
        <v>12953</v>
      </c>
      <c r="DH1685" s="15" t="s">
        <v>17982</v>
      </c>
      <c r="DI1685" s="15" t="s">
        <v>17982</v>
      </c>
    </row>
    <row r="1686" spans="1:113" s="15" customFormat="1" ht="12.75" x14ac:dyDescent="0.2">
      <c r="A1686" s="15" t="s">
        <v>109</v>
      </c>
      <c r="B1686" s="15" t="s">
        <v>110</v>
      </c>
      <c r="D1686" s="15" t="s">
        <v>620</v>
      </c>
      <c r="E1686" s="15" t="s">
        <v>141</v>
      </c>
      <c r="F1686" s="15" t="s">
        <v>620</v>
      </c>
      <c r="G1686" s="15" t="s">
        <v>113</v>
      </c>
      <c r="H1686" s="15" t="s">
        <v>111</v>
      </c>
      <c r="J1686" s="16" t="s">
        <v>114</v>
      </c>
      <c r="U1686" s="15" t="s">
        <v>17977</v>
      </c>
      <c r="W1686" s="15">
        <v>1249</v>
      </c>
      <c r="X1686" s="15">
        <v>3693</v>
      </c>
      <c r="Y1686" s="15" t="s">
        <v>160</v>
      </c>
      <c r="Z1686" s="15" t="s">
        <v>161</v>
      </c>
      <c r="AA1686" s="15" t="s">
        <v>162</v>
      </c>
      <c r="AB1686" s="15" t="s">
        <v>6376</v>
      </c>
      <c r="AC1686" s="15" t="s">
        <v>6376</v>
      </c>
      <c r="AD1686" s="15" t="s">
        <v>6376</v>
      </c>
      <c r="AE1686" s="15" t="s">
        <v>164</v>
      </c>
      <c r="AF1686" s="15" t="s">
        <v>6376</v>
      </c>
      <c r="AG1686" s="15" t="s">
        <v>6376</v>
      </c>
      <c r="AH1686" s="15" t="s">
        <v>6377</v>
      </c>
      <c r="AL1686" s="15" t="s">
        <v>6378</v>
      </c>
      <c r="AN1686" s="15">
        <v>743</v>
      </c>
      <c r="AO1686" s="15" t="s">
        <v>6379</v>
      </c>
      <c r="AQ1686" s="15" t="s">
        <v>6380</v>
      </c>
      <c r="AT1686" s="15" t="s">
        <v>6381</v>
      </c>
      <c r="AU1686" s="15" t="s">
        <v>6382</v>
      </c>
      <c r="AV1686" s="15" t="s">
        <v>6382</v>
      </c>
      <c r="AW1686" s="15" t="s">
        <v>6383</v>
      </c>
      <c r="AX1686" s="15" t="s">
        <v>6383</v>
      </c>
      <c r="AY1686" s="15">
        <f t="shared" ref="AY1686:AY1697" si="41">LEN(SUBSTITUTE(AX1686, ", "," "))</f>
        <v>34</v>
      </c>
      <c r="AZ1686" s="15" t="s">
        <v>2840</v>
      </c>
      <c r="BA1686" s="15" t="s">
        <v>174</v>
      </c>
      <c r="BJ1686" s="15" t="s">
        <v>6384</v>
      </c>
      <c r="BN1686" s="15" t="s">
        <v>179</v>
      </c>
      <c r="BP1686" s="15" t="s">
        <v>138</v>
      </c>
      <c r="BS1686" s="15" t="s">
        <v>6385</v>
      </c>
      <c r="DH1686" s="15" t="s">
        <v>17982</v>
      </c>
      <c r="DI1686" s="15" t="s">
        <v>17982</v>
      </c>
    </row>
    <row r="1687" spans="1:113" s="15" customFormat="1" ht="12.75" x14ac:dyDescent="0.2">
      <c r="A1687" s="15" t="s">
        <v>109</v>
      </c>
      <c r="B1687" s="15" t="s">
        <v>110</v>
      </c>
      <c r="D1687" s="15" t="s">
        <v>620</v>
      </c>
      <c r="E1687" s="15" t="s">
        <v>141</v>
      </c>
      <c r="F1687" s="15" t="s">
        <v>620</v>
      </c>
      <c r="G1687" s="15" t="s">
        <v>113</v>
      </c>
      <c r="H1687" s="15" t="s">
        <v>111</v>
      </c>
      <c r="J1687" s="16" t="s">
        <v>114</v>
      </c>
      <c r="U1687" s="15" t="s">
        <v>17977</v>
      </c>
      <c r="W1687" s="15">
        <v>2404</v>
      </c>
      <c r="X1687" s="15">
        <v>18</v>
      </c>
      <c r="Y1687" s="15" t="s">
        <v>11813</v>
      </c>
      <c r="Z1687" s="15" t="s">
        <v>11813</v>
      </c>
      <c r="AA1687" s="15" t="s">
        <v>11813</v>
      </c>
      <c r="AB1687" s="15" t="s">
        <v>11881</v>
      </c>
      <c r="AC1687" s="15" t="s">
        <v>11881</v>
      </c>
      <c r="AD1687" s="15" t="s">
        <v>11882</v>
      </c>
      <c r="AE1687" s="47" t="s">
        <v>11816</v>
      </c>
      <c r="AF1687" s="15" t="s">
        <v>11882</v>
      </c>
      <c r="AG1687" s="15" t="s">
        <v>11881</v>
      </c>
      <c r="AH1687" s="47" t="s">
        <v>11883</v>
      </c>
      <c r="AL1687" s="15" t="s">
        <v>11884</v>
      </c>
      <c r="AN1687" s="15">
        <v>727</v>
      </c>
      <c r="AO1687" s="15" t="s">
        <v>11885</v>
      </c>
      <c r="AQ1687" s="15" t="s">
        <v>11858</v>
      </c>
      <c r="AT1687" s="15" t="s">
        <v>11886</v>
      </c>
      <c r="AU1687" s="15" t="s">
        <v>11887</v>
      </c>
      <c r="AV1687" s="15" t="s">
        <v>11887</v>
      </c>
      <c r="AW1687" s="15" t="s">
        <v>11888</v>
      </c>
      <c r="AX1687" s="15" t="s">
        <v>11888</v>
      </c>
      <c r="AY1687" s="15">
        <f t="shared" si="41"/>
        <v>38</v>
      </c>
      <c r="AZ1687" s="15" t="s">
        <v>11862</v>
      </c>
      <c r="BA1687" s="15" t="s">
        <v>11863</v>
      </c>
      <c r="BB1687" s="15" t="s">
        <v>11889</v>
      </c>
      <c r="BC1687" s="15" t="s">
        <v>4343</v>
      </c>
      <c r="BE1687" s="15" t="s">
        <v>11890</v>
      </c>
      <c r="BQ1687" s="15" t="s">
        <v>3269</v>
      </c>
      <c r="BS1687" s="15" t="s">
        <v>11891</v>
      </c>
      <c r="DH1687" s="15" t="s">
        <v>17982</v>
      </c>
      <c r="DI1687" s="15" t="s">
        <v>17982</v>
      </c>
    </row>
    <row r="1688" spans="1:113" s="15" customFormat="1" ht="12.75" x14ac:dyDescent="0.2">
      <c r="A1688" s="15" t="s">
        <v>109</v>
      </c>
      <c r="B1688" s="15" t="s">
        <v>110</v>
      </c>
      <c r="D1688" s="15" t="s">
        <v>620</v>
      </c>
      <c r="E1688" s="15" t="s">
        <v>141</v>
      </c>
      <c r="F1688" s="15" t="s">
        <v>620</v>
      </c>
      <c r="G1688" s="15" t="s">
        <v>113</v>
      </c>
      <c r="H1688" s="15" t="s">
        <v>111</v>
      </c>
      <c r="J1688" s="16" t="s">
        <v>114</v>
      </c>
      <c r="U1688" s="15" t="s">
        <v>17977</v>
      </c>
      <c r="W1688" s="15">
        <v>2399</v>
      </c>
      <c r="X1688" s="15">
        <v>19</v>
      </c>
      <c r="Y1688" s="15" t="s">
        <v>11813</v>
      </c>
      <c r="Z1688" s="15" t="s">
        <v>11813</v>
      </c>
      <c r="AA1688" s="15" t="s">
        <v>11813</v>
      </c>
      <c r="AB1688" s="15" t="s">
        <v>11814</v>
      </c>
      <c r="AC1688" s="15" t="s">
        <v>11814</v>
      </c>
      <c r="AD1688" s="15" t="s">
        <v>11815</v>
      </c>
      <c r="AE1688" s="47" t="s">
        <v>11816</v>
      </c>
      <c r="AF1688" s="15" t="s">
        <v>11815</v>
      </c>
      <c r="AG1688" s="15" t="s">
        <v>11814</v>
      </c>
      <c r="AH1688" s="47" t="s">
        <v>11817</v>
      </c>
      <c r="AL1688" s="15" t="s">
        <v>11818</v>
      </c>
      <c r="AN1688" s="15">
        <v>727</v>
      </c>
      <c r="AO1688" s="15" t="s">
        <v>11819</v>
      </c>
      <c r="AQ1688" s="15" t="s">
        <v>11820</v>
      </c>
      <c r="AR1688" s="15" t="s">
        <v>11821</v>
      </c>
      <c r="AS1688" s="15" t="s">
        <v>11822</v>
      </c>
      <c r="AT1688" s="15" t="s">
        <v>11823</v>
      </c>
      <c r="AU1688" s="15" t="s">
        <v>11824</v>
      </c>
      <c r="AV1688" s="15" t="s">
        <v>11824</v>
      </c>
      <c r="AW1688" s="15" t="s">
        <v>11825</v>
      </c>
      <c r="AX1688" s="15" t="s">
        <v>11825</v>
      </c>
      <c r="AY1688" s="15">
        <f t="shared" si="41"/>
        <v>44</v>
      </c>
      <c r="AZ1688" s="15" t="s">
        <v>11826</v>
      </c>
      <c r="BB1688" s="15" t="s">
        <v>11827</v>
      </c>
      <c r="BC1688" s="15" t="s">
        <v>4343</v>
      </c>
      <c r="BE1688" s="15" t="s">
        <v>11828</v>
      </c>
      <c r="BN1688" s="15" t="s">
        <v>179</v>
      </c>
      <c r="BP1688" s="15" t="s">
        <v>6112</v>
      </c>
      <c r="BS1688" s="15" t="s">
        <v>11829</v>
      </c>
      <c r="DH1688" s="15" t="s">
        <v>17982</v>
      </c>
      <c r="DI1688" s="15" t="s">
        <v>17982</v>
      </c>
    </row>
    <row r="1689" spans="1:113" s="15" customFormat="1" ht="12.75" x14ac:dyDescent="0.2">
      <c r="A1689" s="15" t="s">
        <v>109</v>
      </c>
      <c r="B1689" s="15" t="s">
        <v>110</v>
      </c>
      <c r="D1689" s="15" t="s">
        <v>620</v>
      </c>
      <c r="E1689" s="15" t="s">
        <v>141</v>
      </c>
      <c r="F1689" s="15" t="s">
        <v>620</v>
      </c>
      <c r="G1689" s="15" t="s">
        <v>113</v>
      </c>
      <c r="H1689" s="15" t="s">
        <v>111</v>
      </c>
      <c r="J1689" s="16" t="s">
        <v>114</v>
      </c>
      <c r="U1689" s="15" t="s">
        <v>17977</v>
      </c>
      <c r="W1689" s="15">
        <v>2400</v>
      </c>
      <c r="X1689" s="15">
        <v>20</v>
      </c>
      <c r="Y1689" s="15" t="s">
        <v>11813</v>
      </c>
      <c r="Z1689" s="15" t="s">
        <v>11813</v>
      </c>
      <c r="AA1689" s="15" t="s">
        <v>11813</v>
      </c>
      <c r="AB1689" s="15" t="s">
        <v>11830</v>
      </c>
      <c r="AC1689" s="15" t="s">
        <v>11830</v>
      </c>
      <c r="AD1689" s="15" t="s">
        <v>11831</v>
      </c>
      <c r="AE1689" s="47" t="s">
        <v>11816</v>
      </c>
      <c r="AF1689" s="15" t="s">
        <v>11831</v>
      </c>
      <c r="AG1689" s="15" t="s">
        <v>11830</v>
      </c>
      <c r="AH1689" s="47" t="s">
        <v>11832</v>
      </c>
      <c r="AL1689" s="15" t="s">
        <v>11833</v>
      </c>
      <c r="AN1689" s="15">
        <v>727</v>
      </c>
      <c r="AO1689" s="15" t="s">
        <v>11834</v>
      </c>
      <c r="AQ1689" s="15" t="s">
        <v>11820</v>
      </c>
      <c r="AR1689" s="15" t="s">
        <v>11821</v>
      </c>
      <c r="AS1689" s="15" t="s">
        <v>11822</v>
      </c>
      <c r="AT1689" s="15" t="s">
        <v>11835</v>
      </c>
      <c r="AU1689" s="15" t="s">
        <v>11836</v>
      </c>
      <c r="AV1689" s="15" t="s">
        <v>11836</v>
      </c>
      <c r="AW1689" s="15" t="s">
        <v>11837</v>
      </c>
      <c r="AX1689" s="15" t="s">
        <v>11837</v>
      </c>
      <c r="AY1689" s="15">
        <f t="shared" si="41"/>
        <v>54</v>
      </c>
      <c r="AZ1689" s="15" t="s">
        <v>11826</v>
      </c>
      <c r="BB1689" s="15" t="s">
        <v>11827</v>
      </c>
      <c r="BC1689" s="15" t="s">
        <v>11838</v>
      </c>
      <c r="BE1689" s="15" t="s">
        <v>11839</v>
      </c>
      <c r="BN1689" s="15" t="s">
        <v>179</v>
      </c>
      <c r="BP1689" s="15" t="s">
        <v>6112</v>
      </c>
      <c r="BS1689" s="15" t="s">
        <v>11840</v>
      </c>
      <c r="DH1689" s="15" t="s">
        <v>17982</v>
      </c>
      <c r="DI1689" s="15" t="s">
        <v>17982</v>
      </c>
    </row>
    <row r="1690" spans="1:113" s="15" customFormat="1" ht="12.75" x14ac:dyDescent="0.2">
      <c r="A1690" s="15" t="s">
        <v>109</v>
      </c>
      <c r="B1690" s="15" t="s">
        <v>110</v>
      </c>
      <c r="D1690" s="15" t="s">
        <v>620</v>
      </c>
      <c r="E1690" s="15" t="s">
        <v>141</v>
      </c>
      <c r="F1690" s="15" t="s">
        <v>620</v>
      </c>
      <c r="G1690" s="15" t="s">
        <v>113</v>
      </c>
      <c r="H1690" s="15" t="s">
        <v>111</v>
      </c>
      <c r="J1690" s="16" t="s">
        <v>114</v>
      </c>
      <c r="U1690" s="15" t="s">
        <v>17977</v>
      </c>
      <c r="W1690" s="15">
        <v>2401</v>
      </c>
      <c r="X1690" s="15">
        <v>21</v>
      </c>
      <c r="Y1690" s="15" t="s">
        <v>11813</v>
      </c>
      <c r="Z1690" s="15" t="s">
        <v>11813</v>
      </c>
      <c r="AA1690" s="15" t="s">
        <v>11813</v>
      </c>
      <c r="AB1690" s="15" t="s">
        <v>11841</v>
      </c>
      <c r="AC1690" s="15" t="s">
        <v>11841</v>
      </c>
      <c r="AD1690" s="15" t="s">
        <v>11841</v>
      </c>
      <c r="AE1690" s="47" t="s">
        <v>11816</v>
      </c>
      <c r="AF1690" s="15" t="s">
        <v>11841</v>
      </c>
      <c r="AG1690" s="15" t="s">
        <v>11841</v>
      </c>
      <c r="AH1690" s="47" t="s">
        <v>11842</v>
      </c>
      <c r="AL1690" s="15" t="s">
        <v>11843</v>
      </c>
      <c r="AN1690" s="15">
        <v>727</v>
      </c>
      <c r="AO1690" s="15" t="s">
        <v>11844</v>
      </c>
      <c r="AQ1690" s="15" t="s">
        <v>11820</v>
      </c>
      <c r="AR1690" s="15" t="s">
        <v>11821</v>
      </c>
      <c r="AS1690" s="15" t="s">
        <v>11822</v>
      </c>
      <c r="AT1690" s="15" t="s">
        <v>11845</v>
      </c>
      <c r="AU1690" s="15" t="s">
        <v>11846</v>
      </c>
      <c r="AV1690" s="15" t="s">
        <v>11846</v>
      </c>
      <c r="AW1690" s="15" t="s">
        <v>11847</v>
      </c>
      <c r="AX1690" s="15" t="s">
        <v>11848</v>
      </c>
      <c r="AY1690" s="15">
        <f t="shared" si="41"/>
        <v>60</v>
      </c>
      <c r="AZ1690" s="15" t="s">
        <v>11826</v>
      </c>
      <c r="BB1690" s="15" t="s">
        <v>11849</v>
      </c>
      <c r="BC1690" s="15" t="s">
        <v>1199</v>
      </c>
      <c r="BE1690" s="15" t="s">
        <v>11850</v>
      </c>
      <c r="BJ1690" s="15" t="s">
        <v>11851</v>
      </c>
      <c r="BN1690" s="15" t="s">
        <v>179</v>
      </c>
      <c r="BP1690" s="15" t="s">
        <v>138</v>
      </c>
      <c r="BS1690" s="15" t="s">
        <v>11852</v>
      </c>
      <c r="DH1690" s="15" t="s">
        <v>17982</v>
      </c>
      <c r="DI1690" s="15" t="s">
        <v>17982</v>
      </c>
    </row>
    <row r="1691" spans="1:113" s="15" customFormat="1" ht="12.75" x14ac:dyDescent="0.2">
      <c r="A1691" s="15" t="s">
        <v>109</v>
      </c>
      <c r="B1691" s="15" t="s">
        <v>110</v>
      </c>
      <c r="D1691" s="15" t="s">
        <v>620</v>
      </c>
      <c r="E1691" s="15" t="s">
        <v>141</v>
      </c>
      <c r="F1691" s="15" t="s">
        <v>620</v>
      </c>
      <c r="G1691" s="15" t="s">
        <v>113</v>
      </c>
      <c r="H1691" s="15" t="s">
        <v>111</v>
      </c>
      <c r="J1691" s="16" t="s">
        <v>114</v>
      </c>
      <c r="U1691" s="15" t="s">
        <v>17977</v>
      </c>
      <c r="W1691" s="15">
        <v>2407</v>
      </c>
      <c r="X1691" s="15">
        <v>22</v>
      </c>
      <c r="Y1691" s="15" t="s">
        <v>11813</v>
      </c>
      <c r="Z1691" s="15" t="s">
        <v>11813</v>
      </c>
      <c r="AA1691" s="15" t="s">
        <v>11813</v>
      </c>
      <c r="AB1691" s="15" t="s">
        <v>11914</v>
      </c>
      <c r="AC1691" s="15" t="s">
        <v>11914</v>
      </c>
      <c r="AD1691" s="15" t="s">
        <v>11915</v>
      </c>
      <c r="AE1691" s="47" t="s">
        <v>11816</v>
      </c>
      <c r="AF1691" s="15" t="s">
        <v>11915</v>
      </c>
      <c r="AG1691" s="15" t="s">
        <v>11914</v>
      </c>
      <c r="AH1691" s="47" t="s">
        <v>11916</v>
      </c>
      <c r="AL1691" s="15" t="s">
        <v>11917</v>
      </c>
      <c r="AN1691" s="15">
        <v>727</v>
      </c>
      <c r="AO1691" s="15" t="s">
        <v>11918</v>
      </c>
      <c r="AQ1691" s="15" t="s">
        <v>11858</v>
      </c>
      <c r="AT1691" s="15" t="s">
        <v>11919</v>
      </c>
      <c r="AU1691" s="15" t="s">
        <v>11920</v>
      </c>
      <c r="AV1691" s="15" t="s">
        <v>11920</v>
      </c>
      <c r="AW1691" s="15" t="s">
        <v>11921</v>
      </c>
      <c r="AX1691" s="15" t="s">
        <v>11921</v>
      </c>
      <c r="AY1691" s="15">
        <f t="shared" si="41"/>
        <v>32</v>
      </c>
      <c r="AZ1691" s="15" t="s">
        <v>11862</v>
      </c>
      <c r="BA1691" s="15" t="s">
        <v>11863</v>
      </c>
      <c r="BB1691" s="15" t="s">
        <v>6958</v>
      </c>
      <c r="BE1691" s="15" t="s">
        <v>11922</v>
      </c>
      <c r="BJ1691" s="15" t="s">
        <v>11879</v>
      </c>
      <c r="BQ1691" s="15" t="s">
        <v>11923</v>
      </c>
      <c r="BS1691" s="15" t="s">
        <v>11924</v>
      </c>
      <c r="DH1691" s="15" t="s">
        <v>17982</v>
      </c>
      <c r="DI1691" s="15" t="s">
        <v>17982</v>
      </c>
    </row>
    <row r="1692" spans="1:113" s="15" customFormat="1" ht="12.75" x14ac:dyDescent="0.2">
      <c r="A1692" s="15" t="s">
        <v>109</v>
      </c>
      <c r="B1692" s="15" t="s">
        <v>110</v>
      </c>
      <c r="D1692" s="15" t="s">
        <v>620</v>
      </c>
      <c r="E1692" s="15" t="s">
        <v>141</v>
      </c>
      <c r="F1692" s="15" t="s">
        <v>620</v>
      </c>
      <c r="G1692" s="15" t="s">
        <v>113</v>
      </c>
      <c r="H1692" s="15" t="s">
        <v>111</v>
      </c>
      <c r="J1692" s="16" t="s">
        <v>114</v>
      </c>
      <c r="U1692" s="15" t="s">
        <v>17977</v>
      </c>
      <c r="W1692" s="15">
        <v>2408</v>
      </c>
      <c r="X1692" s="15">
        <v>23</v>
      </c>
      <c r="Y1692" s="15" t="s">
        <v>11813</v>
      </c>
      <c r="Z1692" s="15" t="s">
        <v>11813</v>
      </c>
      <c r="AA1692" s="15" t="s">
        <v>11813</v>
      </c>
      <c r="AB1692" s="15" t="s">
        <v>11925</v>
      </c>
      <c r="AC1692" s="15" t="s">
        <v>11925</v>
      </c>
      <c r="AD1692" s="15" t="s">
        <v>11926</v>
      </c>
      <c r="AE1692" s="47" t="s">
        <v>11816</v>
      </c>
      <c r="AF1692" s="15" t="s">
        <v>11926</v>
      </c>
      <c r="AG1692" s="15" t="s">
        <v>11925</v>
      </c>
      <c r="AH1692" s="47" t="s">
        <v>11927</v>
      </c>
      <c r="AL1692" s="15" t="s">
        <v>11928</v>
      </c>
      <c r="AN1692" s="15">
        <v>727</v>
      </c>
      <c r="AO1692" s="15" t="s">
        <v>11929</v>
      </c>
      <c r="AQ1692" s="15" t="s">
        <v>11858</v>
      </c>
      <c r="AT1692" s="15" t="s">
        <v>11930</v>
      </c>
      <c r="AU1692" s="15" t="s">
        <v>11931</v>
      </c>
      <c r="AV1692" s="15" t="s">
        <v>11931</v>
      </c>
      <c r="AW1692" s="15" t="s">
        <v>11932</v>
      </c>
      <c r="AX1692" s="15" t="s">
        <v>11932</v>
      </c>
      <c r="AY1692" s="15">
        <f t="shared" si="41"/>
        <v>26</v>
      </c>
      <c r="AZ1692" s="15" t="s">
        <v>11862</v>
      </c>
      <c r="BA1692" s="15" t="s">
        <v>11863</v>
      </c>
      <c r="BC1692" s="15" t="s">
        <v>1055</v>
      </c>
      <c r="BE1692" s="15" t="s">
        <v>11901</v>
      </c>
      <c r="BK1692" s="15" t="s">
        <v>11912</v>
      </c>
      <c r="BS1692" s="15" t="s">
        <v>11933</v>
      </c>
      <c r="DH1692" s="15" t="s">
        <v>17982</v>
      </c>
      <c r="DI1692" s="15" t="s">
        <v>17982</v>
      </c>
    </row>
    <row r="1693" spans="1:113" s="15" customFormat="1" ht="12.75" x14ac:dyDescent="0.2">
      <c r="A1693" s="15" t="s">
        <v>109</v>
      </c>
      <c r="B1693" s="15" t="s">
        <v>110</v>
      </c>
      <c r="D1693" s="15" t="s">
        <v>620</v>
      </c>
      <c r="E1693" s="15" t="s">
        <v>141</v>
      </c>
      <c r="F1693" s="15" t="s">
        <v>620</v>
      </c>
      <c r="G1693" s="15" t="s">
        <v>113</v>
      </c>
      <c r="H1693" s="15" t="s">
        <v>111</v>
      </c>
      <c r="J1693" s="16" t="s">
        <v>114</v>
      </c>
      <c r="U1693" s="15" t="s">
        <v>17977</v>
      </c>
      <c r="W1693" s="15">
        <v>2406</v>
      </c>
      <c r="X1693" s="15">
        <v>24</v>
      </c>
      <c r="Y1693" s="15" t="s">
        <v>11813</v>
      </c>
      <c r="Z1693" s="15" t="s">
        <v>11813</v>
      </c>
      <c r="AA1693" s="15" t="s">
        <v>11813</v>
      </c>
      <c r="AB1693" s="15" t="s">
        <v>11903</v>
      </c>
      <c r="AC1693" s="15" t="s">
        <v>11903</v>
      </c>
      <c r="AD1693" s="15" t="s">
        <v>11904</v>
      </c>
      <c r="AE1693" s="47" t="s">
        <v>11816</v>
      </c>
      <c r="AF1693" s="15" t="s">
        <v>11904</v>
      </c>
      <c r="AG1693" s="15" t="s">
        <v>11903</v>
      </c>
      <c r="AH1693" s="47" t="s">
        <v>11905</v>
      </c>
      <c r="AL1693" s="15" t="s">
        <v>11906</v>
      </c>
      <c r="AN1693" s="15">
        <v>727</v>
      </c>
      <c r="AO1693" s="15" t="s">
        <v>11907</v>
      </c>
      <c r="AQ1693" s="15" t="s">
        <v>11858</v>
      </c>
      <c r="AT1693" s="15" t="s">
        <v>11908</v>
      </c>
      <c r="AU1693" s="15" t="s">
        <v>11909</v>
      </c>
      <c r="AV1693" s="15" t="s">
        <v>11909</v>
      </c>
      <c r="AW1693" s="15" t="s">
        <v>11910</v>
      </c>
      <c r="AX1693" s="15" t="s">
        <v>11910</v>
      </c>
      <c r="AY1693" s="15">
        <f t="shared" si="41"/>
        <v>26</v>
      </c>
      <c r="AZ1693" s="15" t="s">
        <v>11862</v>
      </c>
      <c r="BA1693" s="15" t="s">
        <v>11863</v>
      </c>
      <c r="BC1693" s="15" t="s">
        <v>4343</v>
      </c>
      <c r="BE1693" s="15" t="s">
        <v>11911</v>
      </c>
      <c r="BK1693" s="15" t="s">
        <v>11912</v>
      </c>
      <c r="BS1693" s="15" t="s">
        <v>11913</v>
      </c>
      <c r="DH1693" s="15" t="s">
        <v>17982</v>
      </c>
      <c r="DI1693" s="15" t="s">
        <v>17982</v>
      </c>
    </row>
    <row r="1694" spans="1:113" s="15" customFormat="1" ht="12.75" x14ac:dyDescent="0.2">
      <c r="A1694" s="15" t="s">
        <v>109</v>
      </c>
      <c r="B1694" s="15" t="s">
        <v>110</v>
      </c>
      <c r="D1694" s="15" t="s">
        <v>620</v>
      </c>
      <c r="E1694" s="15" t="s">
        <v>141</v>
      </c>
      <c r="F1694" s="15" t="s">
        <v>620</v>
      </c>
      <c r="G1694" s="15" t="s">
        <v>113</v>
      </c>
      <c r="H1694" s="15" t="s">
        <v>111</v>
      </c>
      <c r="J1694" s="16" t="s">
        <v>114</v>
      </c>
      <c r="U1694" s="15" t="s">
        <v>17977</v>
      </c>
      <c r="W1694" s="15">
        <v>2403</v>
      </c>
      <c r="X1694" s="15">
        <v>25</v>
      </c>
      <c r="Y1694" s="15" t="s">
        <v>11813</v>
      </c>
      <c r="Z1694" s="15" t="s">
        <v>11813</v>
      </c>
      <c r="AA1694" s="15" t="s">
        <v>11813</v>
      </c>
      <c r="AB1694" s="15" t="s">
        <v>11869</v>
      </c>
      <c r="AC1694" s="15" t="s">
        <v>11869</v>
      </c>
      <c r="AD1694" s="15" t="s">
        <v>11870</v>
      </c>
      <c r="AE1694" s="47" t="s">
        <v>11816</v>
      </c>
      <c r="AF1694" s="15" t="s">
        <v>11870</v>
      </c>
      <c r="AG1694" s="15" t="s">
        <v>11869</v>
      </c>
      <c r="AH1694" s="47" t="s">
        <v>11871</v>
      </c>
      <c r="AL1694" s="15" t="s">
        <v>11872</v>
      </c>
      <c r="AN1694" s="15">
        <v>727</v>
      </c>
      <c r="AO1694" s="15" t="s">
        <v>11873</v>
      </c>
      <c r="AQ1694" s="15" t="s">
        <v>11858</v>
      </c>
      <c r="AT1694" s="15" t="s">
        <v>11874</v>
      </c>
      <c r="AU1694" s="15" t="s">
        <v>11875</v>
      </c>
      <c r="AV1694" s="15" t="s">
        <v>11875</v>
      </c>
      <c r="AW1694" s="15" t="s">
        <v>11876</v>
      </c>
      <c r="AX1694" s="15" t="s">
        <v>11876</v>
      </c>
      <c r="AY1694" s="15">
        <f t="shared" si="41"/>
        <v>24</v>
      </c>
      <c r="AZ1694" s="15" t="s">
        <v>11862</v>
      </c>
      <c r="BA1694" s="15" t="s">
        <v>11863</v>
      </c>
      <c r="BC1694" s="15" t="s">
        <v>11877</v>
      </c>
      <c r="BE1694" s="15" t="s">
        <v>11878</v>
      </c>
      <c r="BJ1694" s="15" t="s">
        <v>11879</v>
      </c>
      <c r="BS1694" s="15" t="s">
        <v>11880</v>
      </c>
      <c r="DH1694" s="15" t="s">
        <v>17982</v>
      </c>
      <c r="DI1694" s="15" t="s">
        <v>17982</v>
      </c>
    </row>
    <row r="1695" spans="1:113" s="15" customFormat="1" ht="12.75" x14ac:dyDescent="0.2">
      <c r="A1695" s="15" t="s">
        <v>109</v>
      </c>
      <c r="B1695" s="15" t="s">
        <v>110</v>
      </c>
      <c r="D1695" s="15" t="s">
        <v>620</v>
      </c>
      <c r="E1695" s="15" t="s">
        <v>141</v>
      </c>
      <c r="F1695" s="15" t="s">
        <v>620</v>
      </c>
      <c r="G1695" s="15" t="s">
        <v>113</v>
      </c>
      <c r="H1695" s="15" t="s">
        <v>111</v>
      </c>
      <c r="J1695" s="16" t="s">
        <v>114</v>
      </c>
      <c r="U1695" s="15" t="s">
        <v>17977</v>
      </c>
      <c r="W1695" s="15">
        <v>2409</v>
      </c>
      <c r="X1695" s="15">
        <v>26</v>
      </c>
      <c r="Y1695" s="15" t="s">
        <v>11813</v>
      </c>
      <c r="Z1695" s="15" t="s">
        <v>11813</v>
      </c>
      <c r="AA1695" s="15" t="s">
        <v>11813</v>
      </c>
      <c r="AB1695" s="15" t="s">
        <v>11934</v>
      </c>
      <c r="AC1695" s="15" t="s">
        <v>11934</v>
      </c>
      <c r="AD1695" s="15" t="s">
        <v>11935</v>
      </c>
      <c r="AE1695" s="47" t="s">
        <v>11816</v>
      </c>
      <c r="AF1695" s="15" t="s">
        <v>11935</v>
      </c>
      <c r="AG1695" s="15" t="s">
        <v>11934</v>
      </c>
      <c r="AH1695" s="47" t="s">
        <v>11936</v>
      </c>
      <c r="AL1695" s="15" t="s">
        <v>11937</v>
      </c>
      <c r="AN1695" s="15">
        <v>727</v>
      </c>
      <c r="AO1695" s="15" t="s">
        <v>11938</v>
      </c>
      <c r="AQ1695" s="15" t="s">
        <v>11858</v>
      </c>
      <c r="AT1695" s="15" t="s">
        <v>11939</v>
      </c>
      <c r="AU1695" s="15" t="s">
        <v>11940</v>
      </c>
      <c r="AV1695" s="15" t="s">
        <v>11940</v>
      </c>
      <c r="AW1695" s="15" t="s">
        <v>11941</v>
      </c>
      <c r="AX1695" s="15" t="s">
        <v>11941</v>
      </c>
      <c r="AY1695" s="15">
        <f t="shared" si="41"/>
        <v>27</v>
      </c>
      <c r="AZ1695" s="15" t="s">
        <v>11862</v>
      </c>
      <c r="BA1695" s="15" t="s">
        <v>11863</v>
      </c>
      <c r="BC1695" s="15" t="s">
        <v>11877</v>
      </c>
      <c r="BJ1695" s="15" t="s">
        <v>11942</v>
      </c>
      <c r="BO1695" s="15" t="s">
        <v>11943</v>
      </c>
      <c r="BP1695" s="15" t="s">
        <v>6112</v>
      </c>
      <c r="BS1695" s="15" t="s">
        <v>11944</v>
      </c>
      <c r="DH1695" s="15" t="s">
        <v>17982</v>
      </c>
      <c r="DI1695" s="15" t="s">
        <v>17982</v>
      </c>
    </row>
    <row r="1696" spans="1:113" s="15" customFormat="1" ht="12.75" x14ac:dyDescent="0.2">
      <c r="A1696" s="15" t="s">
        <v>109</v>
      </c>
      <c r="B1696" s="15" t="s">
        <v>110</v>
      </c>
      <c r="D1696" s="15" t="s">
        <v>620</v>
      </c>
      <c r="E1696" s="15" t="s">
        <v>141</v>
      </c>
      <c r="F1696" s="15" t="s">
        <v>620</v>
      </c>
      <c r="G1696" s="15" t="s">
        <v>113</v>
      </c>
      <c r="H1696" s="15" t="s">
        <v>111</v>
      </c>
      <c r="J1696" s="16" t="s">
        <v>114</v>
      </c>
      <c r="U1696" s="15" t="s">
        <v>17977</v>
      </c>
      <c r="W1696" s="15">
        <v>2405</v>
      </c>
      <c r="X1696" s="15">
        <v>27</v>
      </c>
      <c r="Y1696" s="15" t="s">
        <v>11813</v>
      </c>
      <c r="Z1696" s="15" t="s">
        <v>11813</v>
      </c>
      <c r="AA1696" s="15" t="s">
        <v>11813</v>
      </c>
      <c r="AB1696" s="15" t="s">
        <v>11892</v>
      </c>
      <c r="AC1696" s="15" t="s">
        <v>11892</v>
      </c>
      <c r="AD1696" s="15" t="s">
        <v>11893</v>
      </c>
      <c r="AE1696" s="47" t="s">
        <v>11816</v>
      </c>
      <c r="AF1696" s="15" t="s">
        <v>11893</v>
      </c>
      <c r="AG1696" s="15" t="s">
        <v>11892</v>
      </c>
      <c r="AH1696" s="47" t="s">
        <v>11894</v>
      </c>
      <c r="AL1696" s="15" t="s">
        <v>11895</v>
      </c>
      <c r="AN1696" s="15">
        <v>727</v>
      </c>
      <c r="AO1696" s="15" t="s">
        <v>11896</v>
      </c>
      <c r="AQ1696" s="15" t="s">
        <v>11858</v>
      </c>
      <c r="AT1696" s="15" t="s">
        <v>11897</v>
      </c>
      <c r="AU1696" s="15" t="s">
        <v>11898</v>
      </c>
      <c r="AV1696" s="15" t="s">
        <v>11898</v>
      </c>
      <c r="AW1696" s="15" t="s">
        <v>11899</v>
      </c>
      <c r="AX1696" s="15" t="s">
        <v>11899</v>
      </c>
      <c r="AY1696" s="15">
        <f t="shared" si="41"/>
        <v>39</v>
      </c>
      <c r="AZ1696" s="15" t="s">
        <v>11862</v>
      </c>
      <c r="BA1696" s="15" t="s">
        <v>11863</v>
      </c>
      <c r="BB1696" s="15" t="s">
        <v>11900</v>
      </c>
      <c r="BE1696" s="15" t="s">
        <v>11901</v>
      </c>
      <c r="BO1696" s="15" t="s">
        <v>11867</v>
      </c>
      <c r="BS1696" s="15" t="s">
        <v>11902</v>
      </c>
      <c r="DH1696" s="15" t="s">
        <v>17982</v>
      </c>
      <c r="DI1696" s="15" t="s">
        <v>17982</v>
      </c>
    </row>
    <row r="1697" spans="1:113" s="15" customFormat="1" ht="12.75" x14ac:dyDescent="0.2">
      <c r="A1697" s="15" t="s">
        <v>109</v>
      </c>
      <c r="B1697" s="15" t="s">
        <v>110</v>
      </c>
      <c r="D1697" s="15" t="s">
        <v>620</v>
      </c>
      <c r="E1697" s="15" t="s">
        <v>141</v>
      </c>
      <c r="F1697" s="15" t="s">
        <v>620</v>
      </c>
      <c r="G1697" s="15" t="s">
        <v>113</v>
      </c>
      <c r="H1697" s="15" t="s">
        <v>111</v>
      </c>
      <c r="J1697" s="16" t="s">
        <v>114</v>
      </c>
      <c r="U1697" s="15" t="s">
        <v>17977</v>
      </c>
      <c r="W1697" s="15">
        <v>2402</v>
      </c>
      <c r="X1697" s="15">
        <v>28</v>
      </c>
      <c r="Y1697" s="15" t="s">
        <v>11813</v>
      </c>
      <c r="Z1697" s="15" t="s">
        <v>11813</v>
      </c>
      <c r="AA1697" s="15" t="s">
        <v>11813</v>
      </c>
      <c r="AB1697" s="15" t="s">
        <v>11853</v>
      </c>
      <c r="AC1697" s="15" t="s">
        <v>11853</v>
      </c>
      <c r="AD1697" s="15" t="s">
        <v>11854</v>
      </c>
      <c r="AE1697" s="47" t="s">
        <v>11816</v>
      </c>
      <c r="AF1697" s="15" t="s">
        <v>11854</v>
      </c>
      <c r="AG1697" s="15" t="s">
        <v>11853</v>
      </c>
      <c r="AH1697" s="47" t="s">
        <v>11855</v>
      </c>
      <c r="AL1697" s="15" t="s">
        <v>11856</v>
      </c>
      <c r="AN1697" s="15">
        <v>727</v>
      </c>
      <c r="AO1697" s="15" t="s">
        <v>11857</v>
      </c>
      <c r="AQ1697" s="15" t="s">
        <v>11858</v>
      </c>
      <c r="AT1697" s="15" t="s">
        <v>11859</v>
      </c>
      <c r="AU1697" s="15" t="s">
        <v>11860</v>
      </c>
      <c r="AV1697" s="15" t="s">
        <v>11860</v>
      </c>
      <c r="AW1697" s="15" t="s">
        <v>11861</v>
      </c>
      <c r="AX1697" s="15" t="s">
        <v>11861</v>
      </c>
      <c r="AY1697" s="15">
        <f t="shared" si="41"/>
        <v>51</v>
      </c>
      <c r="AZ1697" s="15" t="s">
        <v>11862</v>
      </c>
      <c r="BA1697" s="15" t="s">
        <v>11863</v>
      </c>
      <c r="BB1697" s="15" t="s">
        <v>11864</v>
      </c>
      <c r="BE1697" s="15" t="s">
        <v>11865</v>
      </c>
      <c r="BJ1697" s="15" t="s">
        <v>11866</v>
      </c>
      <c r="BO1697" s="15" t="s">
        <v>11867</v>
      </c>
      <c r="BS1697" s="15" t="s">
        <v>11868</v>
      </c>
      <c r="DH1697" s="15" t="s">
        <v>17982</v>
      </c>
      <c r="DI1697" s="15" t="s">
        <v>17982</v>
      </c>
    </row>
  </sheetData>
  <sortState ref="A2:DH1697">
    <sortCondition ref="AE2:AE1697"/>
    <sortCondition ref="AG2:AG1697"/>
  </sortState>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2023-08-11T00:42:13Z</dcterms:created>
  <dcterms:modified xsi:type="dcterms:W3CDTF">2023-08-11T06:43:02Z</dcterms:modified>
</cp:coreProperties>
</file>