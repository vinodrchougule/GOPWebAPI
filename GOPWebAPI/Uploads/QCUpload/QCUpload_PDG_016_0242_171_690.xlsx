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24226"/>
  <mc:AlternateContent xmlns:mc="http://schemas.openxmlformats.org/markup-compatibility/2006">
    <mc:Choice Requires="x15">
      <x15ac:absPath xmlns:x15ac="http://schemas.microsoft.com/office/spreadsheetml/2010/11/ac" url="C:\Users\vnong\OneDrive\Desktop\CGM\New Track\Report\"/>
    </mc:Choice>
  </mc:AlternateContent>
  <xr:revisionPtr revIDLastSave="0" documentId="8_{555E009F-C944-4337-A413-91153C33AF35}"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externalReferences>
    <externalReference r:id="rId4"/>
  </externalReferenc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29" i="1" l="1"/>
  <c r="AY28" i="1"/>
  <c r="AY27" i="1"/>
  <c r="AR27" i="1"/>
  <c r="AQ27" i="1"/>
  <c r="AY26" i="1"/>
  <c r="AQ26" i="1"/>
  <c r="AY25" i="1"/>
  <c r="AQ25" i="1"/>
  <c r="AY24" i="1"/>
  <c r="AR24" i="1"/>
  <c r="AQ24" i="1"/>
  <c r="AY23" i="1"/>
  <c r="AR23" i="1"/>
  <c r="AQ23" i="1"/>
  <c r="AY22" i="1"/>
  <c r="AR22" i="1"/>
  <c r="AQ22" i="1"/>
  <c r="AY21" i="1"/>
  <c r="AR21" i="1"/>
  <c r="AQ21" i="1"/>
  <c r="AY20" i="1"/>
  <c r="AR20" i="1"/>
  <c r="AQ20" i="1"/>
  <c r="AY19" i="1"/>
  <c r="AY18" i="1"/>
  <c r="AR18" i="1"/>
  <c r="AQ18" i="1"/>
  <c r="AY17" i="1"/>
  <c r="AR17" i="1"/>
  <c r="AQ17" i="1"/>
  <c r="AY16" i="1"/>
  <c r="AY15" i="1"/>
  <c r="AY14" i="1"/>
  <c r="AY13" i="1"/>
  <c r="AY12" i="1"/>
  <c r="AY11" i="1"/>
  <c r="AY10" i="1"/>
  <c r="AY9" i="1"/>
  <c r="AY8" i="1"/>
  <c r="AY7" i="1"/>
  <c r="AY6" i="1"/>
  <c r="AY5" i="1"/>
  <c r="AY4" i="1"/>
  <c r="AY3" i="1"/>
  <c r="AY2" i="1"/>
</calcChain>
</file>

<file path=xl/sharedStrings.xml><?xml version="1.0" encoding="utf-8"?>
<sst xmlns="http://schemas.openxmlformats.org/spreadsheetml/2006/main" count="1267" uniqueCount="441">
  <si>
    <t>Project1</t>
  </si>
  <si>
    <t>PRODIGO0485309</t>
  </si>
  <si>
    <t>Long Description</t>
  </si>
  <si>
    <t>ABBOTT_401449</t>
  </si>
  <si>
    <t>CATHETER, ELECTROPHYSIOLOGY, MED CRV, 2-5-2 MM, SPC, 1 MM TIP, 7 FRX110 CM, DECAPOLAR, STEER, 1110-L-7-25-M, STRL, INQUIRY, LUMA-CATH, LTX</t>
  </si>
  <si>
    <t>ASIS Item Description (Long Description 4000)</t>
  </si>
  <si>
    <t>EXTENSION</t>
  </si>
  <si>
    <t>7 FRX110 CM</t>
  </si>
  <si>
    <t>IBI85931</t>
  </si>
  <si>
    <t>016-242-3</t>
  </si>
  <si>
    <t>IBI 1924-S</t>
  </si>
  <si>
    <t>8 FRX117 CM</t>
  </si>
  <si>
    <t>Dr. Dons Arm Canoe Sterile</t>
  </si>
  <si>
    <t>CATHETER, ELECTROPHYSIOLOGY, MED SWP, 2-5-2 MM, SPC, 2 MM TIP, 6 FRX115 CM, 1 MM, DECAPOLAR, MEDIGUIDE ENABLED, CANNULATOR, STRL, LIVEWIRE, LTX</t>
  </si>
  <si>
    <t>PRODIGO1060875</t>
  </si>
  <si>
    <t>PRODIGO1060870</t>
  </si>
  <si>
    <t>ABBOTT_IBI87007</t>
  </si>
  <si>
    <t>Ref#</t>
  </si>
  <si>
    <t>Status</t>
  </si>
  <si>
    <t>DAVSEDF20V1525</t>
  </si>
  <si>
    <t>LARGE CURL</t>
  </si>
  <si>
    <t>Item Description (Long Description)</t>
  </si>
  <si>
    <t>Sort Comment</t>
  </si>
  <si>
    <t>PRODIGO1060871</t>
  </si>
  <si>
    <t>EP B/T/Q US</t>
  </si>
  <si>
    <t>URL</t>
  </si>
  <si>
    <t>711500</t>
  </si>
  <si>
    <t>https://www.esutures.com/product/1-expired/107-st.-jude-medical/652-catheters-diagnostic/46241623-sjm-inquiry-afocusii-electrophysiology-catheter-7f--17mm--20-electrodes-87007/, https://accessgudid.nlm.nih.gov/devices/05414734309912</t>
  </si>
  <si>
    <t>Mfg Ref ID</t>
  </si>
  <si>
    <t>To Process</t>
  </si>
  <si>
    <t>Electrophysiology Cable 1.5m 1804-S</t>
  </si>
  <si>
    <t>Classification Remarks1</t>
  </si>
  <si>
    <t>Project2</t>
  </si>
  <si>
    <t>Source1</t>
  </si>
  <si>
    <t>7 FRX95 CM</t>
  </si>
  <si>
    <t>ForGhria_Output_2023-08-08</t>
  </si>
  <si>
    <t>HCPCS Desc1</t>
  </si>
  <si>
    <t>PEEL-AWAY</t>
  </si>
  <si>
    <t>IBI-85809</t>
  </si>
  <si>
    <t>Descr Status</t>
  </si>
  <si>
    <t>Corrected By</t>
  </si>
  <si>
    <t>ABBOTT_DAVSEDF10V1525</t>
  </si>
  <si>
    <t>ABBOTT_401970</t>
  </si>
  <si>
    <t>SHEATH</t>
  </si>
  <si>
    <t>CGM</t>
  </si>
  <si>
    <t>ORTHOPAEDIC</t>
  </si>
  <si>
    <t>Location</t>
  </si>
  <si>
    <t>42241801  Arm orthopedic softgoods</t>
  </si>
  <si>
    <t xml:space="preserve">EPS 6F QUAD 2MM 120CM CRD                                   </t>
  </si>
  <si>
    <t>Property</t>
  </si>
  <si>
    <t>42203403  Diagnostic or interventional vascular catheter introducers</t>
  </si>
  <si>
    <t>https://www.cardiovascular.abbott/content/dam/bss/divisionalsites/cv/pdf/guides/2019_us_electrophysiology_prod.pdf</t>
  </si>
  <si>
    <t>Supreme Electrophysiology Catheters Quadripolar 5 F 5mm spacing DAO CURVE 120cm</t>
  </si>
  <si>
    <t>Standardized UNSPSC1</t>
  </si>
  <si>
    <t>TactiCath Contact Force Ablation Catheter Sensor Enabled Uni-D J Curve</t>
  </si>
  <si>
    <t>Mfg Item Number</t>
  </si>
  <si>
    <t>Standardized UNSPSC</t>
  </si>
  <si>
    <t>24 PIN, DIAGNOSTIC</t>
  </si>
  <si>
    <t>Data Enrichment | UNSPSC Classification</t>
  </si>
  <si>
    <t>IBI81920</t>
  </si>
  <si>
    <t>Accepted Date</t>
  </si>
  <si>
    <t>PRODIGO1060874</t>
  </si>
  <si>
    <t>1924-S 24-Pin Diagnostic Connecting Cable 1.5M</t>
  </si>
  <si>
    <t>Delivered</t>
  </si>
  <si>
    <t>http://www.aspensurgical.com/wp-content/uploads/2021/10/711500-_dr-dons-arm-canoe-ifu-1047546-rev2.pdf, https://accessgudid.nlm.nih.gov/devices/00840113230693</t>
  </si>
  <si>
    <t>Peel-Away Introducer 10F x 0.038inch</t>
  </si>
  <si>
    <t>2019_us_electrophysiology_prod.pdf</t>
  </si>
  <si>
    <t>Potential Duplicates</t>
  </si>
  <si>
    <t>PRODIGO1060861</t>
  </si>
  <si>
    <t>Description Duplicate</t>
  </si>
  <si>
    <t>EKG CONNECTING</t>
  </si>
  <si>
    <t>QE Code</t>
  </si>
  <si>
    <t>Production Completed</t>
  </si>
  <si>
    <t>ARM</t>
  </si>
  <si>
    <t>2-2-2 MM, 3.5 MM TIP</t>
  </si>
  <si>
    <t>ASPEN_213401</t>
  </si>
  <si>
    <t>THIRD PARTY</t>
  </si>
  <si>
    <t>IBI-87007</t>
  </si>
  <si>
    <t>ABBOTT_405149</t>
  </si>
  <si>
    <t>SUPPORT</t>
  </si>
  <si>
    <t>Sterile</t>
  </si>
  <si>
    <t>ForGhria_Output_2023-08-07</t>
  </si>
  <si>
    <t>STAINLESS STEEL</t>
  </si>
  <si>
    <t>Mapped with 066</t>
  </si>
  <si>
    <t>CATHETER, ELECTROPHYSIOLOGY, CRD, 2-5-2 MM, SPC, 6 FRX120 CM, QPLR, STRL, SUPREME, LTX</t>
  </si>
  <si>
    <t>D-AVSE-DF10-V1525</t>
  </si>
  <si>
    <t>https://www.cardiovascular.abbott/content/dam/bss/divisionalsites/cv/pdf/guides/2019_us_electrophysiology_prod.pdf,https://accessgudid.nlm.nih.gov/devices/05414734201438</t>
  </si>
  <si>
    <t>5 FRX120 CM</t>
  </si>
  <si>
    <t>PRODIGO1060716</t>
  </si>
  <si>
    <t>QA Comments</t>
  </si>
  <si>
    <t>IBI 1924-S 24 PIN DIAGNOSTIC CONNECTING CABLE</t>
  </si>
  <si>
    <t>Ref</t>
  </si>
  <si>
    <t>401444</t>
  </si>
  <si>
    <t>C1892</t>
  </si>
  <si>
    <t>CONNECTING</t>
  </si>
  <si>
    <t>https://www.cardiovascular.abbott/content/dam/bss/divisionalsites/cv/pdf/guides/2019_us_electrophysiology_prod.pdf, https://accessgudid.nlm.nih.gov/devices/05414734202817</t>
  </si>
  <si>
    <t>C1730</t>
  </si>
  <si>
    <t>IBI87007</t>
  </si>
  <si>
    <t>QA Code</t>
  </si>
  <si>
    <t>Supreme Electrophysiology Catheters Quadripolar 5 2-5-2mm spacing JSN CURVE 120cm</t>
  </si>
  <si>
    <t>SlNo</t>
  </si>
  <si>
    <t>EKG CONNECTING Cable 5 FT</t>
  </si>
  <si>
    <t>10 FRX14 CM</t>
  </si>
  <si>
    <t>CATHETER, MAP, DF CRV, 1-4-1 MM, SPC, 8 FRX117 CM, CIR, BI DIR, DEFLECTION, DUO DECAPOLAR, STRL, ADVISOR VL, SENSOR ENABLED, LTX</t>
  </si>
  <si>
    <t>SE Code</t>
  </si>
  <si>
    <t>ASPEN SURGICAL PRODUCTS</t>
  </si>
  <si>
    <t>PRODIGO0485311</t>
  </si>
  <si>
    <t>1/POUCH; 5 POUCHES/BOX</t>
  </si>
  <si>
    <t>CATHETER, ELECTROPHYSIOLOGY, CRD, 2-5-2 MM, 6 FRX120 CM, SUPREME</t>
  </si>
  <si>
    <t>Item Description (Long Description 4000)1</t>
  </si>
  <si>
    <t>STRAIGHT CUTTING POINT, FREE EYED</t>
  </si>
  <si>
    <t>DAVSED20V1525</t>
  </si>
  <si>
    <t>Potential Duplicates1</t>
  </si>
  <si>
    <t>PrimaryDimension(IDXODXLXWXHXDXTHK)</t>
  </si>
  <si>
    <t>Production User</t>
  </si>
  <si>
    <t>Quality A/R</t>
  </si>
  <si>
    <t>CATHETER, ELECTROPHYSIOLOGY, DIAGNOSTIC, OTHER THAN 3D MAPPING (19 OR FEWER ELECTRODES)</t>
  </si>
  <si>
    <t>Long Description 254 Enriched</t>
  </si>
  <si>
    <t>MAPPING</t>
  </si>
  <si>
    <t>https://www.cardiovascular.abbott/content/dam/bss/divisionalsites/cv/pdf/guides/2019_us_electrophysiology_prod.pdf, https://accessgudid.nlm.nih.gov/devices/05414734206587</t>
  </si>
  <si>
    <t>PRODIGO1060855</t>
  </si>
  <si>
    <t>Short Description 60 Enriched</t>
  </si>
  <si>
    <t>Advisor VL Circular Mapping Catheters Sensor Enabled Bi-Directional DF Curve Deflection Decapolar</t>
  </si>
  <si>
    <t>0.038 IN</t>
  </si>
  <si>
    <t>Supreme Electrophysiology Catheters Quadripolar 6 F 2mm spacing CRD CURVE 120cm</t>
  </si>
  <si>
    <t>DAVSEDF10V1525</t>
  </si>
  <si>
    <t>PRODIGO1063600</t>
  </si>
  <si>
    <t>PRODIGO1060852</t>
  </si>
  <si>
    <t>TactiCath Contact Force Ablation Catheter Sensor Enabled Uni-D Irrigated Ablation Catheter D 8FR 2-2-2MM 3.5MM 115CM</t>
  </si>
  <si>
    <t>Conc</t>
  </si>
  <si>
    <t>ABBOTT CARDIOVASCULAR INC</t>
  </si>
  <si>
    <t>Keiths Abdominal Straight Cutting .040x4.016</t>
  </si>
  <si>
    <t>CATHETER, ELECTROPHYSIOLOGY, CRD, 2 MM, SPC, 6 FRX120 CM, QPLR, STRL, SUPREME, LTX</t>
  </si>
  <si>
    <t>DE Code</t>
  </si>
  <si>
    <t>J CURVE</t>
  </si>
  <si>
    <t>Standardized Manufacturer Name</t>
  </si>
  <si>
    <t>42203448  Diagnostic or interventional vascular catheter accessories</t>
  </si>
  <si>
    <t>A-TCSE-D</t>
  </si>
  <si>
    <t>HCPCS description</t>
  </si>
  <si>
    <t>CATHETER, ELECTROPHYSIOLOGY, DAO, 5 MM, SPC, 5 FRX120 CM, QPLR, STRL, SUPREME, LTX</t>
  </si>
  <si>
    <t>CATHETER, ELECTROPHYSIOLOGY, LG CURL, 2-4-2 MM, SPC, 2 MM TIP, 6 FRX115 CM, DUO DECAPOLAR, STRL, LIVEWIRE, LTX</t>
  </si>
  <si>
    <t>405149</t>
  </si>
  <si>
    <t>CIRCULAR, UNIDIRECTIONAL, DEFLECTION, DECAPOLAR</t>
  </si>
  <si>
    <t>https://www.cardiovascular.abbott/content/dam/bss/divisionalsites/cv/pdf/guides/2019_us_electrophysiology_prod.pdf, https://accessgudid.nlm.nih.gov/devices/05415067027269</t>
  </si>
  <si>
    <t>A-TCSE-J</t>
  </si>
  <si>
    <t>CATHETER, ELECTROPHYSIOLOGY, JSN, 2-5-2 MM, 5 FRX120 CM, SUPREME</t>
  </si>
  <si>
    <t>Age</t>
  </si>
  <si>
    <t>EPS 5F QUAD 5MM 120CM DAO X</t>
  </si>
  <si>
    <t>Dr. Don's Arm Canoe; (020801); Sterile; 1/pouch; 5 pouches/box</t>
  </si>
  <si>
    <t>IBI-85931</t>
  </si>
  <si>
    <t>CABLE, CATHETER, CONNECTING, 150 CM, 24 PIN, DIAGNOSTIC, STERILE, LATEX-FREE</t>
  </si>
  <si>
    <t>https://www.cardiovascular.abbott/content/dam/bss/divisionalsites/cv/pdf/guides/2019_us_electrophysiology_prod.pdf, https://accessgudid.nlm.nih.gov/devices/05414734201476</t>
  </si>
  <si>
    <t>213401</t>
  </si>
  <si>
    <t>ABBOTT_402032</t>
  </si>
  <si>
    <t>CATHETER, ABLATN, J CRV, 2-2-2 MM, 3.5 MM, 8 FRX115 CM, TACTICATH</t>
  </si>
  <si>
    <t>CATHETER, ABLATN, D CRV, 2-2-2 MM, 3.5 MM TIP, 8 FRX115 CM, CONTACT FORC, UNI DIR, OPN IRRIG, STRL, TACTICATH, SENSOR ENABLED, LF</t>
  </si>
  <si>
    <t>Miscellaneous</t>
  </si>
  <si>
    <t>401450</t>
  </si>
  <si>
    <t>Mfg Name</t>
  </si>
  <si>
    <t>Prodigo Standard Short Description - 254</t>
  </si>
  <si>
    <t>CATHETER ELECTROPHYSIOLOGY MEDIUM SWEEP 2-5-2 MM SPACING 2 MM TIP 6 FRX115 CM 1 MM BAND DECAPOLAR MEDIGUIDE ENABLED LIVEWIRE</t>
  </si>
  <si>
    <t>Supreme Electrophysiology Catheters Quadripolar 6 F 2-5-2mm spacing JSN CURVE 120cm</t>
  </si>
  <si>
    <t>401470</t>
  </si>
  <si>
    <t>Tab</t>
  </si>
  <si>
    <t>150 CM</t>
  </si>
  <si>
    <t>Batch</t>
  </si>
  <si>
    <t>8 FRX115 CM</t>
  </si>
  <si>
    <t>NEEDLE</t>
  </si>
  <si>
    <t>https://www.cardiovascular.abbott/content/dam/bss/divisionalsites/cv/pdf/guides/2019_us_electrophysiology_prod.pdf, https://accessgudid.nlm.nih.gov/devices/05414734306218</t>
  </si>
  <si>
    <t>Advisor VL Circular Mapping Catheters Sensor Enabled 8 F Sensor Enabled Uni-D Circular Mapping Catheter D 10 6.5 15-25 117</t>
  </si>
  <si>
    <t>BrandName</t>
  </si>
  <si>
    <t>5 FT</t>
  </si>
  <si>
    <t>SUPREME</t>
  </si>
  <si>
    <t>ABBOTT_D402058</t>
  </si>
  <si>
    <t>Needle Straight Cutting Point Keith Abdominal .040x4.016 Sterile (2/pouch 72 pouches/box)</t>
  </si>
  <si>
    <t>CATHETER, ELECTROPHYSIOLOGY, JSN, 2-5-2 MM, 6 FRX120 CM, SUPREME</t>
  </si>
  <si>
    <t>CATHETER, MAP, D CRV, 6.5 MM, SPC, 8 FRX117 CM, CIR, UNIDIR, DEFLECTION, DECAPOLAR, STRL, ADVISOR VL, SENSOR ENABLED, LTX</t>
  </si>
  <si>
    <t>LIVEWIRE</t>
  </si>
  <si>
    <t>6 FRX120 CM</t>
  </si>
  <si>
    <t>CABLE, CATH, EXTN, 150 CM, CONN, FOR BPLR, QPLR CATH, BLK, LIVEWIRE</t>
  </si>
  <si>
    <t>CABLE, CATH, EXTN, 150 CM, CONN, FOR BPLR, QPLR CATH, BLK, STRL, LIVEWIRE, REFLEXION HD, REFLEXION SPRL, RESPON, LTX</t>
  </si>
  <si>
    <t>Item Name (Short Description)</t>
  </si>
  <si>
    <t>ABBOTT</t>
  </si>
  <si>
    <t>NEEDLE, SUTURE, KEITH, 0.040X4.016 IN, ABD, STR CUT PT, FREE EYED, SS, STRL, LF</t>
  </si>
  <si>
    <t>Modifier</t>
  </si>
  <si>
    <t>Customer Code</t>
  </si>
  <si>
    <t>File Name</t>
  </si>
  <si>
    <t>ABBOTT_401450</t>
  </si>
  <si>
    <t>ABBOTT_401451</t>
  </si>
  <si>
    <t>401932</t>
  </si>
  <si>
    <t>TACTICATH, SENSOR ENABLED</t>
  </si>
  <si>
    <t>CIRCULAR, BI DIRECTIONAL, DEFLECTION, DUO DECAPOLAR</t>
  </si>
  <si>
    <t>D402058</t>
  </si>
  <si>
    <t>KIT</t>
  </si>
  <si>
    <t>Short Description</t>
  </si>
  <si>
    <t>ForGhria_Output_2023-08-05</t>
  </si>
  <si>
    <t>EP EXT CABLE B/T/Q BLK 150 US</t>
  </si>
  <si>
    <t>CATHETER, ABLATION, D CURVE, 2-2-2 MM, 3.5 MM TIP, 8 FRX115 CM, CONTACT FORCE, UNI DIRECTIONAL, OPEN IRRIGATED, STERILE, TACTICATH, SENSOR ENABLED, LATEX-FREE</t>
  </si>
  <si>
    <t>INTRODUCER</t>
  </si>
  <si>
    <t>ABBOTT_IBI85931</t>
  </si>
  <si>
    <t>Volume/Weight</t>
  </si>
  <si>
    <t>PRODIGO1060660</t>
  </si>
  <si>
    <t>1 MM</t>
  </si>
  <si>
    <t>CATHETER, ELECTROPHYSIOLOGY, JSN, 2-5-2 MM, SPC, 6 FRX120 CM, QPLR, STRL, SUPREME, LTX</t>
  </si>
  <si>
    <t>ABBOTT_IBI81920</t>
  </si>
  <si>
    <t>CATHETER, LIVEWIRE, SUPER LG CURL, 2-8-2 MM, 2 MM, 7 FRX95 CM</t>
  </si>
  <si>
    <t>Remarks1</t>
  </si>
  <si>
    <t>URL1</t>
  </si>
  <si>
    <t>INQUIRY 7F LUMA STEER DEC 1110-L-7-25-M</t>
  </si>
  <si>
    <t>UNSPSC Description</t>
  </si>
  <si>
    <t>Delivered Date</t>
  </si>
  <si>
    <t>NEEDLE, SUTURE, KEITH, 0.040X4.016 IN, ABDOMINAL, STRAIGHT CUTTING POINT, FREE EYED, STAINLESS STEEL, STERILE, LATEX-FREE</t>
  </si>
  <si>
    <t>DAVSED10V1525</t>
  </si>
  <si>
    <t>UNSPC V24</t>
  </si>
  <si>
    <t>https://www.cardiovascular.abbott/content/dam/bss/divisionalsites/cv/pdf/guides/2019_us_electrophysiology_prod.pdf, https://accessgudid.nlm.nih.gov/devices/05415067027689</t>
  </si>
  <si>
    <t>INTRODUCER, SHTH, 0.038 IN, 10 FRX14 CM, KT, STRL, PEELWY, LTX</t>
  </si>
  <si>
    <t>QC User</t>
  </si>
  <si>
    <t>DUO DECAPOLAR, DUAL PURPOSE</t>
  </si>
  <si>
    <t>CATHETER, MAP, D CRV, 1-4-1 MM, SPC, 8 FRX117 CM, CIR, UNIDIR, DEFLECTION, DUO DECAPOLAR, STRL, ADVISOR VL, SENSOR ENABLED, LTX</t>
  </si>
  <si>
    <t>https://www.cardiovascular.abbott/content/dam/bss/divisionalsites/cv/pdf/guides/HCPCS-Device-Category-C-Codes-Guide.pdf, https://www.esutures.com/product/2-indate-expired/107-st.-jude/652-diagnostic-catheters/46275561-sjm-livewire-mediguide-enabled-diagnostic-catheter-6f-D402058/, https://accessgudid.nlm.nih.gov/devices/05414734216890</t>
  </si>
  <si>
    <t>PRODIGO0485343</t>
  </si>
  <si>
    <t>ABBOTT_DAVSED10V1525</t>
  </si>
  <si>
    <t>NEEDLE, SUTURE, KEITH, 0.040X4.016 IN, ABD, STR CUT, FREE EYED, SS</t>
  </si>
  <si>
    <t>Remarks</t>
  </si>
  <si>
    <t>https://www.cardiovascular.abbott/content/dam/bss/divisionalsites/cv/pdf/guides/2019_us_electrophysiology_prod.pdf, https://accessgudid.nlm.nih.gov/devices/05415067027283</t>
  </si>
  <si>
    <t>401451</t>
  </si>
  <si>
    <t>PRODIGO1061008</t>
  </si>
  <si>
    <t>SUPPORT, ORTHOPAEDIC, DR DONS, ARM, CANOE, STERILE, LATEX</t>
  </si>
  <si>
    <t>QE Comments</t>
  </si>
  <si>
    <t>RefCat</t>
  </si>
  <si>
    <t>UNSPSC</t>
  </si>
  <si>
    <t>EPS 6F QUAD 2/5/2 120CM JSN X</t>
  </si>
  <si>
    <t>Classification Remarks</t>
  </si>
  <si>
    <t>Size</t>
  </si>
  <si>
    <t>ASPEN SURGICAL</t>
  </si>
  <si>
    <t>KEITH</t>
  </si>
  <si>
    <t xml:space="preserve">1120-7-17-SM-AF20DL Catheter                              </t>
  </si>
  <si>
    <t>Len</t>
  </si>
  <si>
    <t>CATHETER, ELECTROPHYSIOLOGY, DIAGNOSTIC, OTHER THAN 3D MAPPING (20 OR MORE ELECTRODES)</t>
  </si>
  <si>
    <t>https://imedsales.com/products/st-jude-medical-405149-sjm-peel-away-introducer-10f-x-0-038inch-x, https://accessgudid.nlm.nih.gov/devices/05414734204392, https://accessgudid.nlm.nih.gov/devices/05414734204392</t>
  </si>
  <si>
    <t>MEDIUM CURVE</t>
  </si>
  <si>
    <t>NEEDLE, STERILE, ANY SIZE, EACH</t>
  </si>
  <si>
    <t>ELECTROPHYSIOLOGY</t>
  </si>
  <si>
    <t>Potential / Desc Duplicate across Consolidated</t>
  </si>
  <si>
    <t>QC Comments</t>
  </si>
  <si>
    <t>LIVEWIRE, REFLEXION HD, REFLEXION SPIRAL, RESPONSE</t>
  </si>
  <si>
    <t>https://www.aspensurgical.com/products/surgical-essentials/wound-care/surgical-needles/straight/keiths-abdominal-straight-cutting/</t>
  </si>
  <si>
    <t>LATEX-FREE</t>
  </si>
  <si>
    <t>Standardized Manufacturer Item Number</t>
  </si>
  <si>
    <t>Packaging for drugs and solutions</t>
  </si>
  <si>
    <t>ABDOMINAL</t>
  </si>
  <si>
    <t>INQUIRY, AFOCUS II</t>
  </si>
  <si>
    <t>DOUBLE LOOP</t>
  </si>
  <si>
    <t>https://www.esutures.com/product/0-in-date/107-st.-jude/645-accessories/46283630-sjm-electrophysiology-cable-1.5m-IBI-85809/</t>
  </si>
  <si>
    <t>Previous CE Code</t>
  </si>
  <si>
    <t>Miscellaneous1</t>
  </si>
  <si>
    <t>Material</t>
  </si>
  <si>
    <t>ProdigoItemKey1</t>
  </si>
  <si>
    <t>D CURVE</t>
  </si>
  <si>
    <t>QC User Comments</t>
  </si>
  <si>
    <t>Activities</t>
  </si>
  <si>
    <t>(2/POUCH 72 POUCHES/BOX)</t>
  </si>
  <si>
    <t>DUO DECAPOLAR, 1120-7-17-SM-AF20DL</t>
  </si>
  <si>
    <t>ASPEN</t>
  </si>
  <si>
    <t>RefName</t>
  </si>
  <si>
    <t>PRODIGO0492408</t>
  </si>
  <si>
    <t>ABBOTT_DAVSEDF20V1525</t>
  </si>
  <si>
    <t>CONNECTING, FOR BIPOLAR, QUADRIPOLAR CATHETER</t>
  </si>
  <si>
    <t>COURNAND</t>
  </si>
  <si>
    <t>ABBOTT_IBI85809</t>
  </si>
  <si>
    <t>BLACK</t>
  </si>
  <si>
    <t>Advisor VL Circular Mapping Catheters Sensor Enabled Bi-Directional DF Curve Deflection Duo-Decapolar Catheter</t>
  </si>
  <si>
    <t>CATHETER, ELECTROPHYSIOLOGY, SUPER LG CURL, 2-8-2 MM, SPC, 2 MM TIP, 7 FRX95 CM, DUO DECAPOLAR, 2 PURP, STRL, LIVEWIRE, LTX</t>
  </si>
  <si>
    <t>Inquiry AFocusII Electrophysiology Catheter 7F / 1(7)mm / 20 Electrodes</t>
  </si>
  <si>
    <t>OK</t>
  </si>
  <si>
    <t>CABLE, CATHETER, ABLATION, 5 FT, EKG CONNECTING, STERILE, LATEX-FREE</t>
  </si>
  <si>
    <t>Livewire Electrophysiology Catheter Duo-Decapolar (20 electrodes) 6 F 2-4-2MM 2MM Large Curl 115CM</t>
  </si>
  <si>
    <t>CIRCULAR, UNIDIRECTIONAL, DEFLECTION, DUO DECAPOLAR</t>
  </si>
  <si>
    <t>CABLE, CATH, ABLATN, 5 FT, EKG CONN, STRL, LF</t>
  </si>
  <si>
    <t>ASPEN_711500</t>
  </si>
  <si>
    <t>DAO</t>
  </si>
  <si>
    <t>Noun</t>
  </si>
  <si>
    <t>CATHETER</t>
  </si>
  <si>
    <t>Advisor VL Circular Mapping Catheters Sensor Enabled Unidirectional D Curve Deflection Duo-Decapolar</t>
  </si>
  <si>
    <t>ADVISOR VL, SENSOR ENABLED</t>
  </si>
  <si>
    <t>D-AVSE-D20-V1525</t>
  </si>
  <si>
    <t>PRODIGO1060590</t>
  </si>
  <si>
    <t>EPL DUODEC 6F 115cm LG CURL 2/4 G2</t>
  </si>
  <si>
    <t>CATHETER, ELECTROPHYSIOLOGY, MED SWP, 2-5-2 MM, 2 MM, 6 FRX115 CM</t>
  </si>
  <si>
    <t>Latex</t>
  </si>
  <si>
    <t>Start Date</t>
  </si>
  <si>
    <t>SUTURE</t>
  </si>
  <si>
    <t>Adjective</t>
  </si>
  <si>
    <t>STERILE</t>
  </si>
  <si>
    <t>EPL 6F MEDIGUIDE DEC 2/5 115cm MD SWP</t>
  </si>
  <si>
    <t>PDF</t>
  </si>
  <si>
    <t>PDG</t>
  </si>
  <si>
    <t>6 FRX115 CM</t>
  </si>
  <si>
    <t>Inquiry Electrophysiology Catheters Luma-Cath Catheter 7 F 1110-L-7-25-M 2-5-2 1 Medium 110cm</t>
  </si>
  <si>
    <t>https://www.cardiovascular.abbott/content/dam/bss/divisionalsites/cv/pdf/guides/2019_us_electrophysiology_prod.pdf, https://accessgudid.nlm.nih.gov/devices/05414734201384</t>
  </si>
  <si>
    <t>EPS 6F QUAD 2/5MM 120CM CRD X</t>
  </si>
  <si>
    <t>Short Description 60 Enriched1</t>
  </si>
  <si>
    <t>0.040X4.016 IN</t>
  </si>
  <si>
    <t>CATHETER, ABLATION, J CURVE, 2-2-2 MM, 3.5 MM TIP, 8 FRX115 CM, CONTACT FORCE, UNI DIRECTIONAL, OPEN IRRIGATED, STERILE, TACTICATH, SENSOR ENABLED, LATEX-FREE</t>
  </si>
  <si>
    <t>A4215</t>
  </si>
  <si>
    <t>https://www.cardiovascular.abbott/content/dam/bss/divisionalsites/cv/pdf/guides/2019_us_electrophysiology_prod.pdf, https://accessgudid.nlm.nih.gov/devices/05415067027252</t>
  </si>
  <si>
    <t>DF CURVE</t>
  </si>
  <si>
    <t>CATHETER, ABLATN, J CRV, 2-2-2 MM, 3.5 MM TIP, 8 FRX115 CM, CONTACT FORC, UNI DIR, OPN IRRIG, STRL, TACTICATH, SENSOR ENABLED, LF</t>
  </si>
  <si>
    <t>JOSEPHSON</t>
  </si>
  <si>
    <t>DECAPOLAR, MEDIGUIDE ENABLED, CANNULATOR</t>
  </si>
  <si>
    <t>ABBOTT VASCULAR</t>
  </si>
  <si>
    <t>DUO DECAPOLAR</t>
  </si>
  <si>
    <t>42312206  Suture needles</t>
  </si>
  <si>
    <t>IBI-81920</t>
  </si>
  <si>
    <t>Supreme Electrophysiology Catheters Quadripolar 6 F 2-5-2mm spacing CRD CURVE 120cm</t>
  </si>
  <si>
    <t>Validated MFR Name</t>
  </si>
  <si>
    <t>IBI85809</t>
  </si>
  <si>
    <t>https://www.cardiovascular.abbott/content/dam/bss/divisionalsites/cv/pdf/guides/2019_us_electrophysiology_prod.pdf, https://accessgudid.nlm.nih.gov/devices/05414734201414</t>
  </si>
  <si>
    <t>CATHETER, ABLATN, D CRV, 2-2-2 MM, 3.5 MM, 8 FRX115 CM, TACTICATH</t>
  </si>
  <si>
    <t>Brandname1</t>
  </si>
  <si>
    <t>PRODIGO0485310</t>
  </si>
  <si>
    <t>401449</t>
  </si>
  <si>
    <t>https://www.cardiovascular.abbott/content/dam/bss/divisionalsites/cv/pdf/guides/2019_us_electrophysiology_prod.pdf, https://accessgudid.nlm.nih.gov/devices/05414734201421</t>
  </si>
  <si>
    <t>ProdigoItemKey</t>
  </si>
  <si>
    <t>SLNo_Prod</t>
  </si>
  <si>
    <t>Advisor VL Circular Mapping Catheters Sensor Enabled 8 F Sensor Enabled Bi-D Circular Mapping Catheter D 10 6.5 15-25 117</t>
  </si>
  <si>
    <t>CATHETER, MAP, DF CRV, 6.5 MM, SPC, 8 FRX117 CM, CIR, BI DIR, DEFLECTION, DECAPOLAR, STRL, ADVISOR VL, SENSOR ENABLED, LTX</t>
  </si>
  <si>
    <t>https://www.cardiovascular.abbott/content/dam/bss/divisionalsites/cv/pdf/guides/2019_us_electrophysiology_prod.pdf, https://accessgudid.nlm.nih.gov/devices/05415067027702</t>
  </si>
  <si>
    <t>Count</t>
  </si>
  <si>
    <t>SUPPORT, ORTH, DR DONS, ARM, CANOE, STRL, LTX</t>
  </si>
  <si>
    <t>ABBOTT_ATCSED</t>
  </si>
  <si>
    <t>ASPEN SURGICAL PRODUCTS INC</t>
  </si>
  <si>
    <t>ATCSED</t>
  </si>
  <si>
    <t>LATEX</t>
  </si>
  <si>
    <t>CIRCULAR, BI DIRECTIONAL, DEFLECTION, DECAPOLAR</t>
  </si>
  <si>
    <t>ABBOTT_ATCSEJ</t>
  </si>
  <si>
    <t>Job No</t>
  </si>
  <si>
    <t>CONTACT FORCE, UNI DIRECTIONAL, OPEN IRRIGATED</t>
  </si>
  <si>
    <t>EPS 5F QUAD 2/5MM 120CM JSN X</t>
  </si>
  <si>
    <t>PRODIGO1060970</t>
  </si>
  <si>
    <t>INTRODUCER/SHEATH, GUIDING, INTRACARDIAC ELECTROPHYSIOLOGICAL, FIXED-CURVE, PEEL-AWAY</t>
  </si>
  <si>
    <t>Project</t>
  </si>
  <si>
    <t>CABLE</t>
  </si>
  <si>
    <t>SE Comments</t>
  </si>
  <si>
    <t>ABBOTT_401470</t>
  </si>
  <si>
    <t>Secondary Dimension(IDXODXLXWXHXDXTHK)</t>
  </si>
  <si>
    <t>UNSPSC Description1</t>
  </si>
  <si>
    <t>Sort Code</t>
  </si>
  <si>
    <t>Gender</t>
  </si>
  <si>
    <t>42203430  Electrophysiology catheters</t>
  </si>
  <si>
    <t>https://www.cardiovascular.abbott/content/dam/bss/divisionalsites/cv/pdf/guides/2019_us_electrophysiology_prod.pdf, https://accessgudid.nlm.nih.gov/devices/05415067027276</t>
  </si>
  <si>
    <t>Project_Code</t>
  </si>
  <si>
    <t>PRODIGO1061004</t>
  </si>
  <si>
    <t>QUADRIPOLAR</t>
  </si>
  <si>
    <t>DR DONS</t>
  </si>
  <si>
    <t>PRODIGO1063602</t>
  </si>
  <si>
    <t>https://www.cardiovascular.abbott/content/dam/bss/divisionalsites/cv/pdf/guides/2019_us_electrophysiology_prod.pdf, https://accessgudid.nlm.nih.gov/devices/05414734202626</t>
  </si>
  <si>
    <t>Source</t>
  </si>
  <si>
    <t>To_Process</t>
  </si>
  <si>
    <t>ABLATION</t>
  </si>
  <si>
    <t>PRODIGO1061002</t>
  </si>
  <si>
    <t>SUPER LARGE CURL</t>
  </si>
  <si>
    <t>Color</t>
  </si>
  <si>
    <t>EPL 7F DUO 2/8 2M 95 S-LGCRL</t>
  </si>
  <si>
    <t>ATCSEJ</t>
  </si>
  <si>
    <t>UNSPSC1</t>
  </si>
  <si>
    <t>CND</t>
  </si>
  <si>
    <t>CABLE, CATH, CONN, 150 CM, 24 PIN, DIAG, STRL, LF</t>
  </si>
  <si>
    <t>HCPCS code</t>
  </si>
  <si>
    <t>D-AVSE-D10-V1525</t>
  </si>
  <si>
    <t>DECAPOLAR, STEERABLE, 1110-L-7-25-M</t>
  </si>
  <si>
    <t>HCPCS1</t>
  </si>
  <si>
    <t>Validated MFR Num</t>
  </si>
  <si>
    <t>MEDIUM SWEEP</t>
  </si>
  <si>
    <t>11kProdigoItemKey</t>
  </si>
  <si>
    <t>Long Description 254 Enriched1</t>
  </si>
  <si>
    <t>402032</t>
  </si>
  <si>
    <t>016-242-1</t>
  </si>
  <si>
    <t>016-242-2</t>
  </si>
  <si>
    <t>TactiCath Contact Force Ablation Catheter Sensor Enabled Uni-D Irrigated Ablation Catheter J 8FR 2-2-2MM 3.5MM 115CM</t>
  </si>
  <si>
    <t>64kProdigoItemKey</t>
  </si>
  <si>
    <t>Disposable</t>
  </si>
  <si>
    <t>PEEL AWAY KIT 10F 14cm .038GW B G2</t>
  </si>
  <si>
    <t>Livewire Electrophysiology Catheter Dual-Purpose Duo-Decapolar (20 electrodes) 7 F 2-8-2-(60)-2-8-2MM 2MM Super Large Curl 95CM</t>
  </si>
  <si>
    <t>CATHETER, ELECTROPHYSIOLOGY, DBL LOOP, 1 MM, SPC, 7 FRX110 CM, DUO DECAPOLAR, 1120-7-17-SM-AF20DL, STRL, INQUIRY, AFOCUS II, LTX</t>
  </si>
  <si>
    <t>CABLE, CATHETER, EXTENSION, 150 CM, CONNECTING, FOR BIPOLAR, QUADRIPOLAR CATHETER, BLACK, STERILE, LIVEWIRE, REFLEXION HD, REFLEXION SPIRAL, RESPONSE, LATEX</t>
  </si>
  <si>
    <t>B G2</t>
  </si>
  <si>
    <t>ABBOTT_DAVSED20V1525</t>
  </si>
  <si>
    <t>INQUIRY, LUMA-CATH</t>
  </si>
  <si>
    <t>CE Comments</t>
  </si>
  <si>
    <t>SOURCED</t>
  </si>
  <si>
    <t>Diagnostic Connecting Cables: Livewire Reflexion HD Reflexion Spiral Response Black Bipolar and Quadripolar 150CM</t>
  </si>
  <si>
    <t>CATHETER, ELECTROPHYSIOLOGY, JSN, 2-5-2 MM, SPC, 5 FRX120 CM, QPLR, STRL, SUPREME, LTX</t>
  </si>
  <si>
    <t>CANOE</t>
  </si>
  <si>
    <t>TactiCath Contact Force Ablation Catheter Sensor Enabled Uni-D D Curve</t>
  </si>
  <si>
    <t>INTRODUCER, SHEATH, 0.038 IN, 10 FRX14 CM, KIT, STERILE, PEEL-AWAY, LATEX</t>
  </si>
  <si>
    <t>D-AVSE-DF20-V1525</t>
  </si>
  <si>
    <t>G2</t>
  </si>
  <si>
    <t>ABBOTT_401932</t>
  </si>
  <si>
    <t>Advisor VL Circular Mapping Catheters Sensor Enabled Unidirectional D Curve Deflection Decapolar</t>
  </si>
  <si>
    <t>Job No1</t>
  </si>
  <si>
    <t>PRODIGO0485354</t>
  </si>
  <si>
    <t>401970</t>
  </si>
  <si>
    <t>ABBOTT_401444</t>
  </si>
  <si>
    <t>CATHETER, ELECTROPHYSIOLOGY, DAO, 5 MM, SPACING, 5 FRX120 CM, QUADRIPOLAR, STERILE, SUPREME, LATEX</t>
  </si>
  <si>
    <t>CATHETER, ELECTROPHYSIOLOGY, DAO, 5 MM, SPC, 5 FRX120 CM, SUPREME</t>
  </si>
  <si>
    <t>5 MM, SPACING</t>
  </si>
  <si>
    <t>Potential Duplicate</t>
  </si>
  <si>
    <t>CATHETER, ELECTROPHYSIOLOGY, COURNAND, 2-5-2 MM, SPACING, 6 FRX120 CM, QUADRIPOLAR, STERILE, SUPREME, LATEX</t>
  </si>
  <si>
    <t>2-5-2 MM, SPACING</t>
  </si>
  <si>
    <t>CATHETER, ELECTROPHYSIOLOGY, JOSEPHSON, 2-5-2 MM, SPACING, 5 FRX120 CM, QUADRIPOLAR, STERILE, SUPREME, LATEX</t>
  </si>
  <si>
    <t>CATHETER, ELECTROPHYSIOLOGY, JOSEPHSON, 2-5-2 MM, SPACING, 6 FRX120 CM, QUADRIPOLAR, STERILE, SUPREME, LATEX</t>
  </si>
  <si>
    <t>https://www.cardiovascular.abbott/content/dam/bss/divisionalsites/cv/pdf/guides/2019_us_electrophysiology_prod.pdf, https://accessgudid.nlm.nih.gov/devices/05414734201438</t>
  </si>
  <si>
    <t>CATHETER, ELECTROPHYSIOLOGY, COURNAND, 2 MM, SPACING, 6 FRX120 CM, QUADRIPOLAR, STERILE, SUPREME, LATEX</t>
  </si>
  <si>
    <t>CATHETER, ELECTROPHYSIOLOGY, CRD, 2 MM, SPC, 6 FRX120 CM, SUPREME</t>
  </si>
  <si>
    <t>2 MM, SPACING</t>
  </si>
  <si>
    <t>CATHETER, ELECTROPHYSIOLOGY, SUPER LARGE CURL, 2-8-2 MM, SPACING, 2 MM TIP, 7 FRX95 CM, DUO DECAPOLAR, DUAL PURPOSE, STERILE, LIVEWIRE, LATEX</t>
  </si>
  <si>
    <t>2-8-2 MM, SPACING, 2 MM TIP</t>
  </si>
  <si>
    <t>CATHETER, ELECTROPHYSIOLOGY, LARGE CURL, 2-4-2 MM, SPACING, 2 MM TIP, 6 FRX115 CM, DUO DECAPOLAR, STERILE, LIVEWIRE, LATEX</t>
  </si>
  <si>
    <t>CATHETER, LIVEWIRE, LG CURL, 2-4-2 MM, SPC, 2 MM TIP, 6 FRX115 CM</t>
  </si>
  <si>
    <t>2-4-2 MM, SPACING, 2 MM TIP</t>
  </si>
  <si>
    <t>CATHETER, ELECTROPHYSIOLOGY, MEDIUM SWEEP, 2-5-2 MM, SPACING, 2 MM TIP, 6 FRX115 CM, 1 MM, DECAPOLAR, MEDIGUIDE ENABLED, CANNULATOR, STERILE, LIVEWIRE, LATEX</t>
  </si>
  <si>
    <t>2-5-2 MM, SPACING, 2 MM TIP</t>
  </si>
  <si>
    <t>CATHETER, MAPPING, D CURVE, 6.5 MM, SPACING, 8 FRX117 CM, CIRCULAR, UNIDIRECTIONAL, DEFLECTION, DECAPOLAR, STERILE, ADVISOR VL, SENSOR ENABLED, LATEX</t>
  </si>
  <si>
    <t>CATHETER, MAP, D CRV, 6.5 MM, SPC, 8 FRX117 CM, CIR, ADVISOR VL</t>
  </si>
  <si>
    <t>6.5 MM, SPACING</t>
  </si>
  <si>
    <t>CATHETER, MAPPING, D CURVE, 1-4-1 MM, SPACING, 8 FRX117 CM, CIRCULAR, UNIDIRECTIONAL, DEFLECTION, DUO DECAPOLAR, STERILE, ADVISOR VL, SENSOR ENABLED, LATEX</t>
  </si>
  <si>
    <t>CATHETER, MAP, D CRV, 1-4-1 MM, SPC, 8 FRX117 CM, CIR, ADVISOR VL</t>
  </si>
  <si>
    <t>1-4-1 MM, SPACING</t>
  </si>
  <si>
    <t>CATHETER, MAPPING, DF CURVE, 6.5 MM, SPACING, 8 FRX117 CM, CIRCULAR, BI DIRECTIONAL, DEFLECTION, DECAPOLAR, STERILE, ADVISOR VL, SENSOR ENABLED, LATEX</t>
  </si>
  <si>
    <t>CATHETER, MAP, DF CRV, 6.5 MM, SPC, 8 FRX117 CM, CIR, ADVISOR VL</t>
  </si>
  <si>
    <t>CATHETER, MAPPING, DF CURVE, 1-4-1 MM, SPACING, 8 FRX117 CM, CIRCULAR, BI DIRECTIONAL, DEFLECTION, DUO DECAPOLAR, STERILE, ADVISOR VL, SENSOR ENABLED, LATEX</t>
  </si>
  <si>
    <t>CATHETER, MAP, DF CRV, 1-4-1 MM, SPC, 8 FRX117 CM, CIR, ADVISOR VL</t>
  </si>
  <si>
    <t>CATHETER, ELECTROPHYSIOLOGY, MEDIUM CURVE, 2-5-2 MM, SPACING, 1 MM TIP, 7 FRX110 CM, DECAPOLAR, STEERABLE, 1110-L-7-25-M, STERILE, INQUIRY, LUMA-CATH, LATEX</t>
  </si>
  <si>
    <t>CATHETER, INQUIRY, MED CRV, 2-5-2 MM, SPC, 1 MM TIP, 7 FRX110 CM</t>
  </si>
  <si>
    <t>2-5-2 MM, SPACING, 1 MM TIP</t>
  </si>
  <si>
    <t>CATHETER, ELECTROPHYSIOLOGY, DOUBLE LOOP, 1 MM, SPACING, 7 FRX110 CM, DUO DECAPOLAR, 1120-7-17-SM-AF20DL, STERILE, INQUIRY, AFOCUS II, LATEX</t>
  </si>
  <si>
    <t>CATHETER, INQUIRY, DBL LOOP, 1 MM, SPC, 7 FRX110 CM, AFOCUS II</t>
  </si>
  <si>
    <t>1 MM, SPACING</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</si>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</sst>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3743705557422"/>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rgb="FFFFCC99"/>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1">
    <xf numFmtId="0" fontId="0" fillId="0" borderId="1" xfId="0"/>
    <xf numFmtId="0" fontId="2" fillId="0" borderId="1" xfId="0" applyFont="1"/>
    <xf numFmtId="0" fontId="3" fillId="2" borderId="0" xfId="0" applyFont="1" applyFill="1" applyBorder="1" applyAlignment="1">
      <alignment vertical="center"/>
    </xf>
    <xf numFmtId="0" fontId="3" fillId="3" borderId="0" xfId="0" applyFont="1" applyFill="1" applyBorder="1" applyAlignment="1">
      <alignment vertical="center"/>
    </xf>
    <xf numFmtId="49" fontId="3" fillId="4" borderId="0" xfId="0" applyNumberFormat="1"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49" fontId="3" fillId="2" borderId="0" xfId="0" applyNumberFormat="1" applyFont="1" applyFill="1" applyBorder="1" applyAlignment="1">
      <alignment vertical="center"/>
    </xf>
    <xf numFmtId="0" fontId="4" fillId="6" borderId="0" xfId="0" applyFont="1" applyFill="1" applyBorder="1" applyAlignment="1">
      <alignment vertical="center"/>
    </xf>
    <xf numFmtId="0" fontId="3" fillId="7" borderId="0" xfId="0" applyFont="1" applyFill="1" applyBorder="1" applyAlignment="1">
      <alignment vertical="center"/>
    </xf>
    <xf numFmtId="0" fontId="3" fillId="5" borderId="0" xfId="0" applyFont="1" applyFill="1" applyBorder="1" applyAlignment="1">
      <alignment horizontal="left" vertical="center"/>
    </xf>
    <xf numFmtId="0" fontId="4" fillId="8" borderId="0" xfId="0" applyFont="1" applyFill="1" applyBorder="1" applyAlignment="1">
      <alignment vertical="center"/>
    </xf>
    <xf numFmtId="0" fontId="5" fillId="9" borderId="0" xfId="0" applyFont="1" applyFill="1" applyBorder="1" applyAlignment="1">
      <alignment vertical="center"/>
    </xf>
    <xf numFmtId="49" fontId="5" fillId="9" borderId="0" xfId="0" applyNumberFormat="1" applyFont="1" applyFill="1" applyBorder="1" applyAlignment="1">
      <alignment vertical="center"/>
    </xf>
    <xf numFmtId="0" fontId="3" fillId="0" borderId="0" xfId="0" applyFont="1" applyBorder="1" applyAlignment="1">
      <alignment vertical="center"/>
    </xf>
    <xf numFmtId="0" fontId="3" fillId="0" borderId="0" xfId="0" applyFont="1" applyBorder="1" applyAlignment="1">
      <alignment horizontal="left" vertical="center" indent="1"/>
    </xf>
    <xf numFmtId="0" fontId="6" fillId="0" borderId="0" xfId="0" applyFont="1" applyBorder="1" applyAlignment="1">
      <alignment horizontal="left"/>
    </xf>
    <xf numFmtId="49" fontId="6" fillId="0" borderId="0" xfId="0" applyNumberFormat="1" applyFont="1" applyBorder="1" applyAlignment="1">
      <alignment horizontal="left" vertical="center"/>
    </xf>
    <xf numFmtId="0" fontId="6" fillId="0" borderId="1" xfId="0" applyFont="1" applyAlignment="1">
      <alignment horizontal="left"/>
    </xf>
    <xf numFmtId="49" fontId="6" fillId="0" borderId="1" xfId="0" applyNumberFormat="1" applyFont="1" applyAlignment="1">
      <alignment horizontal="left"/>
    </xf>
    <xf numFmtId="0" fontId="6" fillId="0" borderId="1" xfId="0" quotePrefix="1" applyFont="1" applyAlignment="1">
      <alignment horizontal="lef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nong\OneDrive\Desktop\CGM\PDG\016\BSMH\241\B1\ForGhria_Output_2023-08-03_CGM_127.xlsx" TargetMode="External"/><Relationship Id="rId1" Type="http://schemas.openxmlformats.org/officeDocument/2006/relationships/externalLinkPath" Target="file:///C:\Users\vnong\OneDrive\Desktop\CGM\PDG\016\BSMH\241\B1\ForGhria_Output_2023-08-03_CGM_1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sheetDataSet>
      <sheetData sheetId="0">
        <row r="1">
          <cell r="AE1" t="str">
            <v>Ref#</v>
          </cell>
          <cell r="AF1" t="str">
            <v>Conc</v>
          </cell>
          <cell r="AG1" t="str">
            <v>UNSPSC</v>
          </cell>
          <cell r="AH1" t="str">
            <v>Standardized UNSPSC</v>
          </cell>
          <cell r="AI1" t="str">
            <v>UNSPSC Description</v>
          </cell>
          <cell r="AJ1" t="str">
            <v>Item Name (Short Description)</v>
          </cell>
          <cell r="AK1" t="str">
            <v>Item Description (Long Description)</v>
          </cell>
          <cell r="AL1" t="str">
            <v>Mfg Ref ID</v>
          </cell>
          <cell r="AM1" t="str">
            <v>ProdigoItemKey</v>
          </cell>
          <cell r="AN1" t="str">
            <v>Source</v>
          </cell>
          <cell r="AO1" t="str">
            <v>UNSPC V24</v>
          </cell>
          <cell r="AP1" t="str">
            <v>HCPCS code</v>
          </cell>
          <cell r="AQ1" t="str">
            <v>HCPCS description</v>
          </cell>
          <cell r="AR1" t="str">
            <v>ASIS Item Description (Long Description 4000)</v>
          </cell>
          <cell r="AS1" t="str">
            <v>Long Description</v>
          </cell>
        </row>
        <row r="2">
          <cell r="AE2" t="str">
            <v>401470</v>
          </cell>
          <cell r="AF2" t="str">
            <v>ABBOTT_401470</v>
          </cell>
          <cell r="AG2"/>
          <cell r="AI2"/>
          <cell r="AJ2" t="str">
            <v xml:space="preserve">EPS 6F QUAD 2MM 120CM CRD                                   </v>
          </cell>
          <cell r="AL2">
            <v>27</v>
          </cell>
          <cell r="AM2" t="str">
            <v>PRODIGO1060590</v>
          </cell>
          <cell r="AO2" t="str">
            <v>42203430  Electrophysiology catheters</v>
          </cell>
          <cell r="AP2" t="str">
            <v>C1730</v>
          </cell>
          <cell r="AQ2" t="str">
            <v>CATHETER, ELECTROPHYSIOLOGY, DIAGNOSTIC, OTHER THAN 3D MAPPING (19 OR FEWER ELECTRODES)</v>
          </cell>
          <cell r="AR2" t="str">
            <v>CATHETER ELECTROPHYSIOLOGY CRD CURVE 2 MM 6 FRX120 CM QUADRIPOLAR CONVENIENT CABLE SUPREME</v>
          </cell>
          <cell r="AS2" t="str">
            <v>CATHETER, ELECTROPHYSIOLOGY, CRD CURVE, 2 MM SPACING, 6 FRX120 CM, QUADRIPOLAR, CONVENIENT CABLE, STERILE, SUPREME, LATEX</v>
          </cell>
        </row>
        <row r="3">
          <cell r="AE3" t="str">
            <v>401915</v>
          </cell>
          <cell r="AF3" t="str">
            <v>ABBOTT_401915</v>
          </cell>
          <cell r="AG3"/>
          <cell r="AI3"/>
          <cell r="AJ3" t="str">
            <v>EPL 6F DEC 2/5 2M 115 XLGCRL</v>
          </cell>
          <cell r="AL3">
            <v>27</v>
          </cell>
          <cell r="AM3" t="str">
            <v>PRODIGO1060620</v>
          </cell>
          <cell r="AO3" t="str">
            <v>42203430  Electrophysiology catheters</v>
          </cell>
          <cell r="AP3" t="str">
            <v>C1730</v>
          </cell>
          <cell r="AQ3" t="str">
            <v>CATHETER, ELECTROPHYSIOLOGY, DIAGNOSTIC, OTHER THAN 3D MAPPING (19 OR FEWER ELECTRODES)</v>
          </cell>
          <cell r="AR3" t="str">
            <v>LIVEWIRE ELECTROPHYSIOLOGY CATHETERS DECAPOLAR 6FR 2-5-2MM 2MM TIP EXTRA LRG CURL 115CM</v>
          </cell>
          <cell r="AS3" t="str">
            <v>CATHETER, ELECTROPHYSIOLOGY, XLARGE CURL, 2-5-2 MM SPACING, 2 MM TIP, 6 FRX115 CM, DECAPOLAR, STERILE, LIVEWIRE, LATEX</v>
          </cell>
        </row>
        <row r="4">
          <cell r="AE4" t="str">
            <v>402032</v>
          </cell>
          <cell r="AF4" t="str">
            <v>ABBOTT_402032</v>
          </cell>
          <cell r="AG4"/>
          <cell r="AI4"/>
          <cell r="AJ4" t="str">
            <v>EPL DUODEC 6F 115cm LG CURL 2/4 G2</v>
          </cell>
          <cell r="AL4">
            <v>27</v>
          </cell>
          <cell r="AM4" t="str">
            <v>PRODIGO1060660</v>
          </cell>
          <cell r="AO4" t="str">
            <v>42203430  Electrophysiology catheters</v>
          </cell>
          <cell r="AP4" t="str">
            <v>C1731</v>
          </cell>
          <cell r="AQ4" t="str">
            <v>CATHETER, ELECTROPHYSIOLOGY, DIAGNOSTIC, OTHER THAN 3D MAPPING (20 OR MORE ELECTRODES)</v>
          </cell>
          <cell r="AR4" t="str">
            <v>CATHETER ELECTROPHYSIOLOGY LARGE CURL 2-4-2 MM SPACING 2 TIP 6 FRX115 CM DUO DECAPOLAR LIVEWIRE</v>
          </cell>
          <cell r="AS4" t="str">
            <v>CATHETER, ELECTROPHYSIOLOGY, LARGE CURL, 2-4-2 MM SPACING, 2 TIP, 6 FRX115 CM, DUO DECAPOLAR, STERILE, LIVEWIRE, LATEX</v>
          </cell>
        </row>
        <row r="5">
          <cell r="AE5" t="str">
            <v>405149</v>
          </cell>
          <cell r="AF5" t="str">
            <v>ABBOTT_405149</v>
          </cell>
          <cell r="AG5"/>
          <cell r="AI5"/>
          <cell r="AJ5" t="str">
            <v>PEEL AWAY KIT 10F 14cm .038GW B G2</v>
          </cell>
          <cell r="AL5">
            <v>27</v>
          </cell>
          <cell r="AM5" t="str">
            <v>PRODIGO1060716</v>
          </cell>
          <cell r="AO5" t="str">
            <v>42203403  Diagnostic or interventional vascular catheter introducers</v>
          </cell>
          <cell r="AP5" t="str">
            <v>C1892</v>
          </cell>
          <cell r="AQ5" t="str">
            <v>INTRODUCER/SHEATH, GUIDING, INTRACARDIAC ELECTROPHYSIOLOGICAL, FIXED-CURVE, PEEL-AWAY</v>
          </cell>
          <cell r="AR5" t="str">
            <v>INTRODUCER SHEATH 0.038 IN 10 FRX14 CM 18 GA DI-LOCK DILATOR 12 CC SYRINGE XTW NEEDLE PEEL-AWAY F 038 14 GA.</v>
          </cell>
          <cell r="AS5" t="str">
            <v>INTRODUCER, SHEATH, 0.038 IN, 10 FRX14 CM, 18 GA, 12 CC, DI-LOCK DILATOR, SYRINGE, XTW NEEDLE, STERILE, PEEL-AWAY, LATEX</v>
          </cell>
        </row>
        <row r="6">
          <cell r="AE6" t="str">
            <v>ATCSED</v>
          </cell>
          <cell r="AF6" t="str">
            <v>ABBOTT_ATCSED</v>
          </cell>
          <cell r="AG6"/>
          <cell r="AI6"/>
          <cell r="AJ6" t="str">
            <v>TactiCath Contact Force Ablation Catheter Sensor Enabled Uni-D D Curve</v>
          </cell>
          <cell r="AL6">
            <v>27</v>
          </cell>
          <cell r="AM6" t="str">
            <v>PRODIGO1060852</v>
          </cell>
          <cell r="AO6" t="str">
            <v>42203416  Cardiac ablation catheters</v>
          </cell>
          <cell r="AP6" t="str">
            <v>C1730</v>
          </cell>
          <cell r="AQ6" t="str">
            <v>CATHETER, ELECTROPHYSIOLOGY, DIAGNOSTIC, OTHER THAN 3D MAPPING (19 OR FEWER ELECTRODES)</v>
          </cell>
          <cell r="AR6" t="str">
            <v>TactiCath Contact Force Ablation Catheter Sensor Enabled Uni-D Open Irrigated D 8FR 2-2-2MM 3.5MM 115CM</v>
          </cell>
          <cell r="AS6" t="str">
            <v>CATHETER, ABLATION, D CURVE, 2-2-2 MM, 3.5 MM TIP, 8 FRX115 CM, CONTACT FORCE, UNI DIRECTIONAL, OPEN IRRIGATED, STERILE, TACTICATH, SENSOR ENABLED, LATEX-FREE</v>
          </cell>
        </row>
        <row r="7">
          <cell r="AE7" t="str">
            <v>ATCSEJ</v>
          </cell>
          <cell r="AF7" t="str">
            <v>ABBOTT_ATCSEJ</v>
          </cell>
          <cell r="AG7"/>
          <cell r="AI7"/>
          <cell r="AJ7" t="str">
            <v>TactiCath Contact Force Ablation Catheter Sensor Enabled Uni-D J Curve</v>
          </cell>
          <cell r="AL7">
            <v>27</v>
          </cell>
          <cell r="AM7" t="str">
            <v>PRODIGO1060855</v>
          </cell>
          <cell r="AO7" t="str">
            <v>42203416  Cardiac ablation catheters</v>
          </cell>
          <cell r="AP7" t="str">
            <v>C1730</v>
          </cell>
          <cell r="AQ7" t="str">
            <v>CATHETER, ELECTROPHYSIOLOGY, DIAGNOSTIC, OTHER THAN 3D MAPPING (19 OR FEWER ELECTRODES)</v>
          </cell>
          <cell r="AR7" t="str">
            <v>TactiCath Contact Force Ablation Catheter Sensor Enabled Uni-D Open Irrigated J 8FR 2-2-2MM 3.5MM 115CM</v>
          </cell>
          <cell r="AS7" t="str">
            <v>CATHETER, ABLATION, J CURVE, 2-2-2 MM, 3.5 MM TIP, 8 FRX115 CM, CONTACT FORCE, UNI DIRECTIONAL, OPEN IRRIGATED, STERILE, TACTICATH, SENSOR ENABLED, LATEX-FREE</v>
          </cell>
        </row>
        <row r="8">
          <cell r="AE8" t="str">
            <v>D402058</v>
          </cell>
          <cell r="AF8" t="str">
            <v>ABBOTT_D402058</v>
          </cell>
          <cell r="AG8"/>
          <cell r="AI8"/>
          <cell r="AJ8" t="str">
            <v>EPL 6F MEDIGUIDE DEC 2/5 115cm MD SWP</v>
          </cell>
          <cell r="AL8">
            <v>27</v>
          </cell>
          <cell r="AM8" t="str">
            <v>PRODIGO1060861</v>
          </cell>
          <cell r="AO8" t="str">
            <v>42203430  Electrophysiology catheters</v>
          </cell>
          <cell r="AP8" t="str">
            <v>C1730</v>
          </cell>
          <cell r="AQ8" t="str">
            <v>CATHETER, ELECTROPHYSIOLOGY, DIAGNOSTIC, OTHER THAN 3D MAPPING (19 OR FEWER ELECTRODES)</v>
          </cell>
          <cell r="AR8" t="str">
            <v>CATHETER ELECTROPHYSIOLOGY MEDIUM SWEEP 2-5-2 MM SPACING 2 MM TIP 6 FRX115 CM 1 MM BAND DECAPOLAR MEDIGUIDE ENABLED LIVEWIRE</v>
          </cell>
          <cell r="AS8" t="str">
            <v>CATHETER, ELECTROPHYSIOLOGY, MEDIUM SWEEP, 2-5-2 MM SPACING, 2 MM TIP, 6 FRX115 CM, 1 MM, DECAPOLAR, MEDIGUIDE ENABLED, CANNULATOR, STERILE, LIVEWIRE, LATEX</v>
          </cell>
        </row>
        <row r="9">
          <cell r="AE9" t="str">
            <v>DAVSED10V1525</v>
          </cell>
          <cell r="AF9" t="str">
            <v>ABBOTT_DAVSED10V1525</v>
          </cell>
          <cell r="AG9"/>
          <cell r="AI9"/>
          <cell r="AJ9" t="str">
            <v>Advisor VL Circular Mapping Catheters Sensor Enabled Unidirectional D Curve Deflection Decapolar</v>
          </cell>
          <cell r="AL9">
            <v>27</v>
          </cell>
          <cell r="AM9" t="str">
            <v>PRODIGO1060870</v>
          </cell>
          <cell r="AO9" t="str">
            <v>42203430  Electrophysiology catheters</v>
          </cell>
          <cell r="AP9" t="str">
            <v>C1730</v>
          </cell>
          <cell r="AQ9" t="str">
            <v>CATHETER, ELECTROPHYSIOLOGY, DIAGNOSTIC, OTHER THAN 3D MAPPING (19 OR FEWER ELECTRODES)</v>
          </cell>
          <cell r="AR9" t="str">
            <v>Advisor VL Circular Mapping Catheters Sensor Enabled 8 F Uni-D D CURVE 10 LOOP ELECTRODE 6.5MM SPACING 117CM</v>
          </cell>
          <cell r="AS9" t="str">
            <v>CATHETER, MAPPING, D CURVE, 6.5 MM SPACING, 8 FRX117 CM, CIRCULAR, UNIDIRECTIONAL, DEFLECTION, DECAPOLAR, STERILE, ADVISOR VL, SENSOR ENABLED, LATEX</v>
          </cell>
        </row>
        <row r="10">
          <cell r="AE10" t="str">
            <v>DAVSED20V1525</v>
          </cell>
          <cell r="AF10" t="str">
            <v>ABBOTT_DAVSED20V1525</v>
          </cell>
          <cell r="AG10"/>
          <cell r="AI10"/>
          <cell r="AJ10" t="str">
            <v>Advisor VL Circular Mapping Catheters Sensor Enabled Unidirectional D Curve Deflection Duo-Decapolar</v>
          </cell>
          <cell r="AL10">
            <v>27</v>
          </cell>
          <cell r="AM10" t="str">
            <v>PRODIGO1060871</v>
          </cell>
          <cell r="AO10" t="str">
            <v>42203430  Electrophysiology catheters</v>
          </cell>
          <cell r="AP10" t="str">
            <v>C1730</v>
          </cell>
          <cell r="AQ10" t="str">
            <v>CATHETER, ELECTROPHYSIOLOGY, DIAGNOSTIC, OTHER THAN 3D MAPPING (19 OR FEWER ELECTRODES)</v>
          </cell>
          <cell r="AR10" t="str">
            <v>Advisor VL Circular Mapping Catheters Sensor Enabled 8 F Uni-D D CURVE 20 LOOP ELECTRODE 1-4-1MM SPACING 117CM</v>
          </cell>
          <cell r="AS10" t="str">
            <v>CATHETER, MAPPING, D CURVE, 1-4-1 MM SPACING, 8 FRX117 CM, CIRCULAR, UNIDIRECTIONAL, DEFLECTION, DUO DECAPOLAR, STERILE, ADVISOR VL, SENSOR ENABLED, LATEX</v>
          </cell>
        </row>
        <row r="11">
          <cell r="AE11" t="str">
            <v>DAVSEDF10V1525</v>
          </cell>
          <cell r="AF11" t="str">
            <v>ABBOTT_DAVSEDF10V1525</v>
          </cell>
          <cell r="AG11"/>
          <cell r="AI11"/>
          <cell r="AJ11" t="str">
            <v>Advisor VL Circular Mapping Catheters Sensor Enabled Bi-Directional DF Curve Deflection Decapolar</v>
          </cell>
          <cell r="AL11">
            <v>27</v>
          </cell>
          <cell r="AM11" t="str">
            <v>PRODIGO1060874</v>
          </cell>
          <cell r="AO11" t="str">
            <v>42203430  Electrophysiology catheters</v>
          </cell>
          <cell r="AP11" t="str">
            <v>C1730</v>
          </cell>
          <cell r="AQ11" t="str">
            <v>CATHETER, ELECTROPHYSIOLOGY, DIAGNOSTIC, OTHER THAN 3D MAPPING (19 OR FEWER ELECTRODES)</v>
          </cell>
          <cell r="AR11" t="str">
            <v>Advisor VL Circular Mapping Catheters Sensor Enabled 8 F Bi-D DF CURVE 10 LOOP ELECTRODE 6.5MM SPACING 117CM</v>
          </cell>
          <cell r="AS11" t="str">
            <v>CATHETER, MAPPING, DF CURVE, 6.5 MM SPACING, 8 FRX117 CM, CIRCULAR, BI DIRECTIONAL, DEFLECTION, DECAPOLAR, STERILE, ADVISOR VL, SENSOR ENABLED, LATEX</v>
          </cell>
        </row>
        <row r="12">
          <cell r="AE12" t="str">
            <v>DAVSEDF20V1525</v>
          </cell>
          <cell r="AF12" t="str">
            <v>ABBOTT_DAVSEDF20V1525</v>
          </cell>
          <cell r="AG12"/>
          <cell r="AI12"/>
          <cell r="AJ12" t="str">
            <v>Advisor VL Circular Mapping Catheters Sensor Enabled Bi-Directional DF Curve Deflection Duo-Decapolar Catheter</v>
          </cell>
          <cell r="AL12">
            <v>27</v>
          </cell>
          <cell r="AM12" t="str">
            <v>PRODIGO1060875</v>
          </cell>
          <cell r="AO12" t="str">
            <v>42203430  Electrophysiology catheters</v>
          </cell>
          <cell r="AP12" t="str">
            <v>C1730</v>
          </cell>
          <cell r="AQ12" t="str">
            <v>CATHETER, ELECTROPHYSIOLOGY, DIAGNOSTIC, OTHER THAN 3D MAPPING (19 OR FEWER ELECTRODES)</v>
          </cell>
          <cell r="AR12" t="str">
            <v>Advisor VL Circular Mapping Catheters Sensor Enabled 8 F Bi-D DF CURVE 20 LOOP ELECTRODE 1-4-1MM SPACING 117CM</v>
          </cell>
          <cell r="AS12" t="str">
            <v>CATHETER, MAPPING, DF CURVE, 1-4-1 MM SPACING, 8 FRX117 CM, CIRCULAR, BI DIRECTIONAL, DEFLECTION, DUO DECAPOLAR, STERILE, ADVISOR VL, SENSOR ENABLED, LATEX</v>
          </cell>
        </row>
        <row r="13">
          <cell r="AE13" t="str">
            <v>IBI81526</v>
          </cell>
          <cell r="AF13" t="str">
            <v>ABBOTT_IBI81526</v>
          </cell>
          <cell r="AG13"/>
          <cell r="AI13"/>
          <cell r="AJ13" t="str">
            <v xml:space="preserve">1110-5-2170170-C1HIS-TE2BE295                         </v>
          </cell>
          <cell r="AL13">
            <v>27</v>
          </cell>
          <cell r="AM13" t="str">
            <v>PRODIGO1060937</v>
          </cell>
          <cell r="AO13" t="str">
            <v>42203430  Electrophysiology catheters</v>
          </cell>
          <cell r="AP13" t="str">
            <v>C1730</v>
          </cell>
          <cell r="AQ13" t="str">
            <v>CATHETER, ELECTROPHYSIOLOGY, DIAGNOSTIC, OTHER THAN 3D MAPPING (19 OR FEWER ELECTRODES)</v>
          </cell>
          <cell r="AR13" t="str">
            <v>Inquiry Electrophysiology Catheters Decapolar 5 F steerable 1110-5-2(170)170-C1(HIS) TE2BE2(95) 2(170)170MM SPACING 2MM TIP C1(HIS) CURVE 95CM</v>
          </cell>
          <cell r="AS13" t="str">
            <v>CATHETER, ELECTROPHYSIOLOGY, C1 HIS CURVE, 2-170-170 MM SPACING, 2 MM TIP, 5 FRX95 CM, DECAPOLAR, STEERABLE, 1110-5-2(170)170-C1(HIS) TE2BE2(95), STERILE, INQUIRY, LATEX</v>
          </cell>
        </row>
        <row r="14">
          <cell r="AE14" t="str">
            <v>IBI81918</v>
          </cell>
          <cell r="AF14" t="str">
            <v>ABBOTT_IBI81918</v>
          </cell>
          <cell r="AG14"/>
          <cell r="AI14"/>
          <cell r="AJ14" t="str">
            <v>INQUIRY 7F LUMA STEER DEC 1110-L-7-25-L</v>
          </cell>
          <cell r="AL14">
            <v>27</v>
          </cell>
          <cell r="AM14" t="str">
            <v>PRODIGO1060969</v>
          </cell>
          <cell r="AO14" t="str">
            <v>42203430  Electrophysiology catheters</v>
          </cell>
          <cell r="AP14" t="str">
            <v>C1730</v>
          </cell>
          <cell r="AQ14" t="str">
            <v>CATHETER, ELECTROPHYSIOLOGY, DIAGNOSTIC, OTHER THAN 3D MAPPING (19 OR FEWER ELECTRODES)</v>
          </cell>
          <cell r="AR14" t="str">
            <v>Inquiry Electrophysiology Catheters Luma-Cath Catheter 7 F Decapolar steerable 1110-L-7-25-L 2-5-2MM SPACING 1MM TIP Large CURVE 110CM</v>
          </cell>
          <cell r="AS14" t="str">
            <v>CATHETER, ELECTROPHYSIOLOGY, LARGE CURVE, 2-5-2 MM SPACING, 1 MM TIP, 7 FRX110 CM, DECAPOLAR, STEERABLE, 1110-L-7-25-L, STERILE, INQUIRY, LUMA-CATH, LATEX</v>
          </cell>
        </row>
        <row r="15">
          <cell r="AE15" t="str">
            <v>IBI81920</v>
          </cell>
          <cell r="AF15" t="str">
            <v>ABBOTT_IBI81920</v>
          </cell>
          <cell r="AG15"/>
          <cell r="AI15"/>
          <cell r="AJ15" t="str">
            <v>INQUIRY 7F LUMA STEER DEC 1110-L-7-25-M</v>
          </cell>
          <cell r="AL15">
            <v>27</v>
          </cell>
          <cell r="AM15" t="str">
            <v>PRODIGO1060970</v>
          </cell>
          <cell r="AO15" t="str">
            <v>42203430  Electrophysiology catheters</v>
          </cell>
          <cell r="AP15" t="str">
            <v>C1730</v>
          </cell>
          <cell r="AQ15" t="str">
            <v>CATHETER, ELECTROPHYSIOLOGY, DIAGNOSTIC, OTHER THAN 3D MAPPING (19 OR FEWER ELECTRODES)</v>
          </cell>
          <cell r="AR15" t="str">
            <v>Inquiry Electrophysiology Catheters Luma-Cath Catheter 7 F Decapolar steerable 1110-L-7-25-M 2-5-2MM SPACING 1MM TIP Medium CURVE 110CM</v>
          </cell>
          <cell r="AS15" t="str">
            <v>CATHETER, ELECTROPHYSIOLOGY, MEDIUM CURVE, 2-5-2 MM SPACING, 1 MM TIP, 7 FRX110 CM, DECAPOLAR, STEERABLE, 1110-L-7-25-M, STERILE, INQUIRY, LUMA-CATH, LATEX</v>
          </cell>
        </row>
        <row r="16">
          <cell r="AE16" t="str">
            <v>IBI85809</v>
          </cell>
          <cell r="AF16" t="str">
            <v>ABBOTT_IBI85809</v>
          </cell>
          <cell r="AG16"/>
          <cell r="AI16"/>
          <cell r="AJ16" t="str">
            <v>EKG CONNECTING Cable 5 FT</v>
          </cell>
          <cell r="AL16">
            <v>27</v>
          </cell>
          <cell r="AM16" t="str">
            <v>PRODIGO1061002</v>
          </cell>
          <cell r="AO16" t="str">
            <v>42295810  Surgical thermal ablation system accessories</v>
          </cell>
          <cell r="AR16" t="str">
            <v>Electrophysiology Cable 1.5m 1804-S</v>
          </cell>
          <cell r="AS16" t="str">
            <v>CABLE, CATHETER, ABLATION, 5 FT, EKG CONNECTING, STERILE, LATEX-FREE</v>
          </cell>
        </row>
        <row r="17">
          <cell r="AE17" t="str">
            <v>IBI85931</v>
          </cell>
          <cell r="AF17" t="str">
            <v>ABBOTT_IBI85931</v>
          </cell>
          <cell r="AG17"/>
          <cell r="AI17"/>
          <cell r="AJ17" t="str">
            <v>IBI 1924-S 24 PIN DIAGNOSTIC CONNECTING CABLE</v>
          </cell>
          <cell r="AL17">
            <v>27</v>
          </cell>
          <cell r="AM17" t="str">
            <v>PRODIGO1061004</v>
          </cell>
          <cell r="AO17" t="str">
            <v>42203448  Diagnostic or interventional vascular catheter accessories</v>
          </cell>
          <cell r="AR17" t="str">
            <v>24 PIN DIAGNOSTIC CONNECTING CABLE</v>
          </cell>
          <cell r="AS17" t="str">
            <v>CABLE, CATHETER, 150 CM, 24 PIN, STERILE, LATEX-FREE</v>
          </cell>
        </row>
        <row r="18">
          <cell r="AE18" t="str">
            <v>IBI87007</v>
          </cell>
          <cell r="AF18" t="str">
            <v>ABBOTT_IBI87007</v>
          </cell>
          <cell r="AG18"/>
          <cell r="AI18"/>
          <cell r="AJ18" t="str">
            <v xml:space="preserve">1120-7-17-SM-AF20DL Catheter                              </v>
          </cell>
          <cell r="AL18">
            <v>27</v>
          </cell>
          <cell r="AM18" t="str">
            <v>PRODIGO1061008</v>
          </cell>
          <cell r="AO18" t="str">
            <v>42203430  Electrophysiology catheters</v>
          </cell>
          <cell r="AP18" t="str">
            <v>C1731</v>
          </cell>
          <cell r="AQ18" t="str">
            <v>CATHETER, ELECTROPHYSIOLOGY, DIAGNOSTIC, OTHER THAN 3D MAPPING (20 OR MORE ELECTRODES)</v>
          </cell>
          <cell r="AR18" t="str">
            <v>Inquiry AFocusII Electrophysiology Catheter 7F / 1(7)mm / 20 Electrodes</v>
          </cell>
          <cell r="AS18" t="str">
            <v>CATHETER, ELECTROPHYSIOLOGY, DOUBLE LOOP, 1 MM SPACING, 7 FRX110 CM, DUO DECAPOLAR, 1120-7-17-SM-AF20DL, STERILE, INQUIRY, AFOCUS II, LATEX</v>
          </cell>
        </row>
        <row r="19">
          <cell r="AE19" t="str">
            <v>CA15601</v>
          </cell>
          <cell r="AF19" t="str">
            <v>CARDINAL_CA15601</v>
          </cell>
          <cell r="AG19"/>
          <cell r="AI19"/>
          <cell r="AJ19" t="str">
            <v>ALLIS TISSUE FORCEPS 5X6 TEETH 10IN</v>
          </cell>
          <cell r="AL19">
            <v>743</v>
          </cell>
          <cell r="AM19" t="str">
            <v>PRODIGO1056443</v>
          </cell>
          <cell r="AO19" t="str">
            <v>42291802  Surgical clamps or clips or forceps</v>
          </cell>
          <cell r="AR19" t="str">
            <v>Allis Tissue Forceps Affinity Line. 5x6 teeth. Overall length 10in (25.4cm)</v>
          </cell>
          <cell r="AS19" t="str">
            <v>FORCEP, SURGICAL, ALLIS, 10 IN, TISSUE, 5X6 TEETH, AFFINITY LINE, NON STERILE, LATEX</v>
          </cell>
        </row>
        <row r="20">
          <cell r="AE20" t="str">
            <v>CA1565</v>
          </cell>
          <cell r="AF20" t="str">
            <v>CARDINAL_CA1565</v>
          </cell>
          <cell r="AG20"/>
          <cell r="AI20"/>
          <cell r="AJ20" t="str">
            <v>ADAIR TISSUE FORCEPS OVER LGTH 9-1/3IN</v>
          </cell>
          <cell r="AL20">
            <v>743</v>
          </cell>
          <cell r="AM20" t="str">
            <v>PRODIGO1056444</v>
          </cell>
          <cell r="AO20" t="str">
            <v>42291802  Surgical clamps or clips or forceps</v>
          </cell>
          <cell r="AR20" t="str">
            <v>Adair Tissue Forceps Affinity Line. Overall length 9-1/3in (23.7cm)</v>
          </cell>
          <cell r="AS20" t="str">
            <v>FORCEP, SURGICAL, ADAIR, 9-1/3 IN, TISSUE, AFFINITY LINE, NON STERILE, LATEX</v>
          </cell>
        </row>
        <row r="21">
          <cell r="AE21" t="str">
            <v>CA1570</v>
          </cell>
          <cell r="AF21" t="str">
            <v>CARDINAL_CA1570</v>
          </cell>
          <cell r="AG21"/>
          <cell r="AI21"/>
          <cell r="AJ21" t="str">
            <v>BABCOCK TISSUE HOLDING FORCEPS LARGE JAW</v>
          </cell>
          <cell r="AL21">
            <v>743</v>
          </cell>
          <cell r="AM21" t="str">
            <v>PRODIGO1056445</v>
          </cell>
          <cell r="AO21" t="str">
            <v>42291802  Surgical clamps or clips or forceps</v>
          </cell>
          <cell r="AR21" t="str">
            <v>Babcock Tissue Holding Forceps Affinity Line. Large jaw. Overall length 9-1/2in (24.1cm)</v>
          </cell>
          <cell r="AS21" t="str">
            <v>FORCEP, SURGICAL, BABCOCK, 9.5 IN, TISSUE, HOLDING, AFFINITY LINE, LARGE JAW, NON STERILE, LATEX</v>
          </cell>
        </row>
        <row r="22">
          <cell r="AE22" t="str">
            <v>CA1571</v>
          </cell>
          <cell r="AF22" t="str">
            <v>CARDINAL_CA1571</v>
          </cell>
          <cell r="AG22"/>
          <cell r="AI22"/>
          <cell r="AJ22" t="str">
            <v>BABCOCK TISSUE HOLDING FORCEPS MED JAW</v>
          </cell>
          <cell r="AL22">
            <v>743</v>
          </cell>
          <cell r="AM22" t="str">
            <v>PRODIGO1056446</v>
          </cell>
          <cell r="AO22" t="str">
            <v>42291802  Surgical clamps or clips or forceps</v>
          </cell>
          <cell r="AR22" t="str">
            <v>Babcock Tissue Holding Forceps Affinity Line. Medium jaw. Overall length 9-1/2in (24.1cm)</v>
          </cell>
          <cell r="AS22" t="str">
            <v>FORCEP, SURGICAL, BABCOCK, 9.5 IN, TISSUE, HOLDING, AFFINITY LINE, MEDIUM JAW, NON STERILE, LATEX</v>
          </cell>
        </row>
        <row r="23">
          <cell r="AE23" t="str">
            <v>CA1682</v>
          </cell>
          <cell r="AF23" t="str">
            <v>CARDINAL_CA1682</v>
          </cell>
          <cell r="AG23"/>
          <cell r="AI23"/>
          <cell r="AJ23" t="str">
            <v>SAROT INTRATHORAC ARTERY FORCEP SERR CVD</v>
          </cell>
          <cell r="AL23">
            <v>743</v>
          </cell>
          <cell r="AM23" t="str">
            <v>PRODIGO1056447</v>
          </cell>
          <cell r="AO23" t="str">
            <v>42291802  Surgical clamps or clips or forceps</v>
          </cell>
          <cell r="AR23" t="str">
            <v>Sarot Intrathoracic Artery Forceps Affinity Line. Overall length 9-1/2in (24.1cm)</v>
          </cell>
          <cell r="AS23" t="str">
            <v>FORCEP, SURGICAL, SAROT, 9.5 IN, INTRATHORACIC, ARTERY, SERRATED CURVED, AFFINITY LINE, NON STERILE, LATEX</v>
          </cell>
        </row>
        <row r="24">
          <cell r="AE24" t="str">
            <v>CA1721</v>
          </cell>
          <cell r="AF24" t="str">
            <v>CARDINAL_CA1721</v>
          </cell>
          <cell r="AG24"/>
          <cell r="AI24"/>
          <cell r="AJ24" t="str">
            <v>KANTROWITZ THORACIC CLAMP RIGHT-ANG SERR</v>
          </cell>
          <cell r="AL24">
            <v>743</v>
          </cell>
          <cell r="AM24" t="str">
            <v>PRODIGO1056449</v>
          </cell>
          <cell r="AO24" t="str">
            <v>42291802  Surgical clamps or clips or forceps</v>
          </cell>
          <cell r="AR24" t="str">
            <v>Kantrowitz Thoracic Clamp Affinity Line. Overall length 7-1/2in (19.1cm)</v>
          </cell>
          <cell r="AS24" t="str">
            <v>CLAMP, SURGICAL, KANTROWITZ, 7.5 IN, THORACIC, RIGHT ANGLE, SERRATED, AFFINITY LINE, NON STERILE, LATEX</v>
          </cell>
        </row>
        <row r="25">
          <cell r="AE25" t="str">
            <v>CA1721001</v>
          </cell>
          <cell r="AF25" t="str">
            <v>CARDINAL_CA1721001</v>
          </cell>
          <cell r="AG25"/>
          <cell r="AI25"/>
          <cell r="AJ25" t="str">
            <v>KANTROWITZ THORACIC CLAMP DEL 6-1/4IN</v>
          </cell>
          <cell r="AL25">
            <v>743</v>
          </cell>
          <cell r="AM25" t="str">
            <v>PRODIGO1056450</v>
          </cell>
          <cell r="AO25" t="str">
            <v>42291802  Surgical clamps or clips or forceps</v>
          </cell>
          <cell r="AR25" t="str">
            <v>Kantrowitz Thoracic Clamp Affinity Line. Delicate. Overall length 6-1/4in (15.9cm)</v>
          </cell>
          <cell r="AS25" t="str">
            <v>CLAMP, SURGICAL, KANTROWITZ, 6.25 IN, THORACIC, DELICATE, AFFINITY LINE, NON STERILE, LATEX</v>
          </cell>
        </row>
        <row r="26">
          <cell r="AE26" t="str">
            <v>CA1722</v>
          </cell>
          <cell r="AF26" t="str">
            <v>CARDINAL_CA1722</v>
          </cell>
          <cell r="AG26"/>
          <cell r="AI26"/>
          <cell r="AJ26" t="str">
            <v>KANTROWITZ THORACIC CLAMP OVERLGTH 9-3/4</v>
          </cell>
          <cell r="AL26">
            <v>743</v>
          </cell>
          <cell r="AM26" t="str">
            <v>PRODIGO1056451</v>
          </cell>
          <cell r="AO26" t="str">
            <v>42291802  Surgical clamps or clips or forceps</v>
          </cell>
          <cell r="AR26" t="str">
            <v>Kantrowitz Thoracic Clamp Affinity Line. Overall length 9-3/4in (24.8cm)</v>
          </cell>
          <cell r="AS26" t="str">
            <v>CLAMP, SURGICAL, KANTROWITZ, 9.75 IN, THORACIC, AFFINITY LINE, NON STERILE, LATEX</v>
          </cell>
        </row>
        <row r="27">
          <cell r="AE27" t="str">
            <v>CA1723</v>
          </cell>
          <cell r="AF27" t="str">
            <v>CARDINAL_CA1723</v>
          </cell>
          <cell r="AG27"/>
          <cell r="AI27"/>
          <cell r="AJ27" t="str">
            <v>KANTROWITZ THORACIC CLMP OVERLGTH 10-3/4</v>
          </cell>
          <cell r="AL27">
            <v>743</v>
          </cell>
          <cell r="AM27" t="str">
            <v>PRODIGO1056452</v>
          </cell>
          <cell r="AO27" t="str">
            <v>42291802  Surgical clamps or clips or forceps</v>
          </cell>
          <cell r="AR27" t="str">
            <v>Kantrowitz Thoracic Clamp Affinity Line. Overall length 7-1/2in (19.1cm)</v>
          </cell>
          <cell r="AS27" t="str">
            <v>CLAMP, SURGICAL, KANTROWITZ, 7.5 IN, THORACIC, AFFINITY LINE, NON STERILE, LATEX</v>
          </cell>
        </row>
        <row r="28">
          <cell r="AE28" t="str">
            <v>CA1730001</v>
          </cell>
          <cell r="AF28" t="str">
            <v>CARDINAL_CA1730001</v>
          </cell>
          <cell r="AG28"/>
          <cell r="AI28"/>
          <cell r="AJ28" t="str">
            <v>MIXTER THORACIC FORCEPS DEL(GEMINI-TYPE)</v>
          </cell>
          <cell r="AL28">
            <v>743</v>
          </cell>
          <cell r="AM28" t="str">
            <v>PRODIGO1056453</v>
          </cell>
          <cell r="AO28" t="str">
            <v>42291802  Surgical clamps or clips or forceps</v>
          </cell>
          <cell r="AR28" t="str">
            <v>Mixter Thoracic Forceps Affinity Line. Overall length 7-1/4in (18.4cm)</v>
          </cell>
          <cell r="AS28" t="str">
            <v>FORCEP, SURGICAL, GEMINI, 7.25 IN, THORACIC, MIXTER, DELICATE, AFFINITY LINE, NON STERILE, LATEX</v>
          </cell>
        </row>
        <row r="29">
          <cell r="AE29" t="str">
            <v>CA1730002</v>
          </cell>
          <cell r="AF29" t="str">
            <v>CARDINAL_CA1730002</v>
          </cell>
          <cell r="AG29"/>
          <cell r="AI29"/>
          <cell r="AJ29" t="str">
            <v>MIXTER THORACIC FORCEPS DEL(GEMINI-TYPE)</v>
          </cell>
          <cell r="AL29">
            <v>743</v>
          </cell>
          <cell r="AM29" t="str">
            <v>PRODIGO1056454</v>
          </cell>
          <cell r="AO29" t="str">
            <v>42291802  Surgical clamps or clips or forceps</v>
          </cell>
          <cell r="AR29" t="str">
            <v>Mixter Thoracic Forceps Affinity Line. Overall length 8in (20.3cm)</v>
          </cell>
          <cell r="AS29" t="str">
            <v>FORCEP, SURGICAL, GEMINI, 8 IN, THORACIC, MIXTER, DELICATE, AFFINITY LINE, NON STERILE, LATEX</v>
          </cell>
        </row>
        <row r="30">
          <cell r="AE30" t="str">
            <v>CA1730003</v>
          </cell>
          <cell r="AF30" t="str">
            <v>CARDINAL_CA1730003</v>
          </cell>
          <cell r="AG30"/>
          <cell r="AI30"/>
          <cell r="AJ30" t="str">
            <v>MIXTER THORACIC FORCEPS DEL(GEMINI-TYPE)</v>
          </cell>
          <cell r="AL30">
            <v>743</v>
          </cell>
          <cell r="AM30" t="str">
            <v>PRODIGO1056455</v>
          </cell>
          <cell r="AO30" t="str">
            <v>42291802  Surgical clamps or clips or forceps</v>
          </cell>
          <cell r="AR30" t="str">
            <v>Mixter Thoracic Forceps Affinity Line. Overall length 9in (22.9cm)</v>
          </cell>
          <cell r="AS30" t="str">
            <v>FORCEP, SURGICAL, GEMINI, 9 IN, THORACIC, MIXTER, DELICATE, AFFINITY LINE, NON STERILE, LATEX</v>
          </cell>
        </row>
        <row r="31">
          <cell r="AE31" t="str">
            <v>CA1730004</v>
          </cell>
          <cell r="AF31" t="str">
            <v>CARDINAL_CA1730004</v>
          </cell>
          <cell r="AG31"/>
          <cell r="AI31"/>
          <cell r="AJ31" t="str">
            <v>MIXTER THORACIC FORCEP DEL (GEMINI-TYPE)</v>
          </cell>
          <cell r="AL31">
            <v>743</v>
          </cell>
          <cell r="AM31" t="str">
            <v>PRODIGO1056456</v>
          </cell>
          <cell r="AO31" t="str">
            <v>42291802  Surgical clamps or clips or forceps</v>
          </cell>
          <cell r="AR31" t="str">
            <v>Mixter Thoracic Forceps Affinity Line. Overall length 11in (27.9cm)</v>
          </cell>
          <cell r="AS31" t="str">
            <v>FORCEP, SURGICAL, GEMINI, 11 IN, THORACIC, MIXTER, DELICATE, AFFINITY LINE, NON STERILE, LATEX</v>
          </cell>
        </row>
        <row r="32">
          <cell r="AE32" t="str">
            <v>CA1772</v>
          </cell>
          <cell r="AF32" t="str">
            <v>CARDINAL_CA1772</v>
          </cell>
          <cell r="AG32"/>
          <cell r="AI32"/>
          <cell r="AJ32" t="str">
            <v>UNIV OF MICHIGAN MIXTER FORCEP 9-1/4IN</v>
          </cell>
          <cell r="AL32">
            <v>743</v>
          </cell>
          <cell r="AM32" t="str">
            <v>PRODIGO1056457</v>
          </cell>
          <cell r="AO32" t="str">
            <v>42291802  Surgical clamps or clips or forceps</v>
          </cell>
          <cell r="AR32" t="str">
            <v>University Of Michigan Mixter Forceps Affinity Line. Overall length 9-1/4in (23.5cm)</v>
          </cell>
          <cell r="AS32" t="str">
            <v>FORCEP, SURGICAL, UNIVERSITY OF MICHIGAN, 9.25 IN, MIXTER, AFFINITY LINE, NON STERILE, LATEX</v>
          </cell>
        </row>
        <row r="33">
          <cell r="AE33" t="str">
            <v>CA2086</v>
          </cell>
          <cell r="AF33" t="str">
            <v>CARDINAL_CA2086</v>
          </cell>
          <cell r="AG33"/>
          <cell r="AI33"/>
          <cell r="AJ33" t="str">
            <v>T/C MAYO DISSECT SCISS BEVEL BLD STR 9IN</v>
          </cell>
          <cell r="AL33">
            <v>743</v>
          </cell>
          <cell r="AM33" t="str">
            <v>PRODIGO1056462</v>
          </cell>
          <cell r="AO33" t="str">
            <v>42291614  Surgical scissors</v>
          </cell>
          <cell r="AR33" t="str">
            <v>Mayo Dissecting Scissors Affinity Line. Tungsten Carbide. Straight. Overall length 9in (22.9cm)</v>
          </cell>
          <cell r="AS33" t="str">
            <v>SCISSOR, SURGICAL, MAYO, 9 IN, STRAIGHT, BEVEL BLADE, DISSECTING, AFFINITY LINE, TUNGSTEN CARBIDE, NON STERILE, LATEX</v>
          </cell>
        </row>
        <row r="34">
          <cell r="AE34" t="str">
            <v>CA2096</v>
          </cell>
          <cell r="AF34" t="str">
            <v>CARDINAL_CA2096</v>
          </cell>
          <cell r="AG34"/>
          <cell r="AI34"/>
          <cell r="AJ34" t="str">
            <v>T/C MAYO DISSECT SCISS BEVEL BLD CVD 9IN</v>
          </cell>
          <cell r="AL34">
            <v>743</v>
          </cell>
          <cell r="AM34" t="str">
            <v>PRODIGO1056464</v>
          </cell>
          <cell r="AO34" t="str">
            <v>42291614  Surgical scissors</v>
          </cell>
          <cell r="AR34" t="str">
            <v>Mayo Dissecting Scissors Affinity Line. Tungsten Carbide. Curved. Overall length 9in (22.9cm)</v>
          </cell>
          <cell r="AS34" t="str">
            <v>SCISSOR, SURGICAL, MAYO, 9 IN, CURVED, BEVEL BLADE, DISSECTING, AFFINITY LINE, TUNGSTEN CARBIDE, NON STERILE, LATEX</v>
          </cell>
        </row>
        <row r="35">
          <cell r="AE35" t="str">
            <v>CA2416</v>
          </cell>
          <cell r="AF35" t="str">
            <v>CARDINAL_CA2416</v>
          </cell>
          <cell r="AG35"/>
          <cell r="AI35"/>
          <cell r="AJ35" t="str">
            <v>T/C SAROT NEEDLE HOLDERS OVER LGTH 7-1/8</v>
          </cell>
          <cell r="AL35">
            <v>743</v>
          </cell>
          <cell r="AM35" t="str">
            <v>PRODIGO1056465</v>
          </cell>
          <cell r="AO35" t="str">
            <v>42292903  Surgical needle holders</v>
          </cell>
          <cell r="AR35" t="str">
            <v>Sarot Needle Holder Affinity Line. Overall length 7-1/8in (18.1cm)</v>
          </cell>
          <cell r="AS35" t="str">
            <v>HOLDER, NEEDLE, SAROT, 7-1/8 IN, AFFINITY LINE, TUNGSTEN CARBIDE, NON STERILE, LATEX</v>
          </cell>
        </row>
        <row r="36">
          <cell r="AE36" t="str">
            <v>CA2417</v>
          </cell>
          <cell r="AF36" t="str">
            <v>CARDINAL_CA2417</v>
          </cell>
          <cell r="AG36"/>
          <cell r="AI36"/>
          <cell r="AJ36" t="str">
            <v>T/C ROCHESTER NEEDLE HOLDER STR 7-1/8IN</v>
          </cell>
          <cell r="AL36">
            <v>743</v>
          </cell>
          <cell r="AM36" t="str">
            <v>PRODIGO1056466</v>
          </cell>
          <cell r="AO36" t="str">
            <v>42292903  Surgical needle holders</v>
          </cell>
          <cell r="AR36" t="str">
            <v>Rochester Needle Holder Affinity Line. Overall length 7-1/8in (18.1cm)</v>
          </cell>
          <cell r="AS36" t="str">
            <v>HOLDER, NEEDLE, ROCHESTER, 7-1/8 IN, STRAIGHT, AFFINITY LINE, TUNGSTEN CARBIDE, NON STERILE, LATEX</v>
          </cell>
        </row>
        <row r="37">
          <cell r="AE37" t="str">
            <v>CA2419</v>
          </cell>
          <cell r="AF37" t="str">
            <v>CARDINAL_CA2419</v>
          </cell>
          <cell r="AG37"/>
          <cell r="AI37"/>
          <cell r="AJ37" t="str">
            <v>T/C CRILE-WOOD NDL HOLDER STR SMTH JAWS</v>
          </cell>
          <cell r="AL37">
            <v>743</v>
          </cell>
          <cell r="AM37" t="str">
            <v>PRODIGO1056467</v>
          </cell>
          <cell r="AO37" t="str">
            <v>42292903  Surgical needle holders</v>
          </cell>
          <cell r="AR37" t="str">
            <v>Crile-Wood Needle Holder Affintiy Line. Straight. Smooth jaws. Overall length 6in (15.2cm)</v>
          </cell>
          <cell r="AS37" t="str">
            <v>HOLDER, NEEDLE, CRILE-WOOD, 6 IN, STRAIGHT, SMOOTH JAW, AFFINITY LINE, TUNGSTEN CARBIDE, NON STERILE, LATEX</v>
          </cell>
        </row>
        <row r="38">
          <cell r="AE38" t="str">
            <v>CA2424</v>
          </cell>
          <cell r="AF38" t="str">
            <v>CARDINAL_CA2424</v>
          </cell>
          <cell r="AG38"/>
          <cell r="AI38"/>
          <cell r="AJ38" t="str">
            <v>T/C CRILE-WOOD NDL HOLDR STR SERR INSERT</v>
          </cell>
          <cell r="AL38">
            <v>743</v>
          </cell>
          <cell r="AM38" t="str">
            <v>PRODIGO1056468</v>
          </cell>
          <cell r="AO38" t="str">
            <v>42292903  Surgical needle holders</v>
          </cell>
          <cell r="AR38" t="str">
            <v>Crile-Wood Needle Holder Affinity Line. Straight. Serrated inserts. 3,600 teeth per square inch. Overall length 8in (20.3cm)</v>
          </cell>
          <cell r="AS38" t="str">
            <v>HOLDER, NEEDLE, CRILE-WOOD, 8 IN, STRAIGHT, SERRATED INSERT, 3600 TEETH, AFFINITY LINE, TUNGSTEN CARBIDE, NON STERILE, LATEX</v>
          </cell>
        </row>
        <row r="39">
          <cell r="AE39" t="str">
            <v>CA2425</v>
          </cell>
          <cell r="AF39" t="str">
            <v>CARDINAL_CA2425</v>
          </cell>
          <cell r="AG39"/>
          <cell r="AI39"/>
          <cell r="AJ39" t="str">
            <v>T/C CRILE-WOOD NDL HOLDR STR SERR INSERT</v>
          </cell>
          <cell r="AL39">
            <v>743</v>
          </cell>
          <cell r="AM39" t="str">
            <v>PRODIGO1056469</v>
          </cell>
          <cell r="AO39" t="str">
            <v>42292903  Surgical needle holders</v>
          </cell>
          <cell r="AR39" t="str">
            <v>Crile-Wood Needle Holder Affinity Line. Straight. Serrated inserts. 3,600 teeth per square inch. Overall length 9in (22.9cm)</v>
          </cell>
          <cell r="AS39" t="str">
            <v>HOLDER, NEEDLE, CRILE-WOOD, 9 IN, STRAIGHT, SERRATED INSERT, 3600 TEETH, AFFINITY LINE, TUNGSTEN CARBIDE, NON STERILE, LATEX</v>
          </cell>
        </row>
        <row r="40">
          <cell r="AE40" t="str">
            <v>CA2442</v>
          </cell>
          <cell r="AF40" t="str">
            <v>CARDINAL_CA2442</v>
          </cell>
          <cell r="AG40"/>
          <cell r="AI40"/>
          <cell r="AJ40" t="str">
            <v>T/C MASSON NEEDLE HOLDER OVERLGTH 10-3/8</v>
          </cell>
          <cell r="AL40">
            <v>743</v>
          </cell>
          <cell r="AM40" t="str">
            <v>PRODIGO1056471</v>
          </cell>
          <cell r="AO40" t="str">
            <v>42292903  Surgical needle holders</v>
          </cell>
          <cell r="AR40" t="str">
            <v>Masson Needle Holder Affinity Line. Overall length 10-3/8in (26.3cm)</v>
          </cell>
          <cell r="AS40" t="str">
            <v>HOLDER, NEEDLE, MASSON, 10-3/8 IN, AFFINITY LINE, TUNGSTEN CARBIDE, NON STERILE, LATEX</v>
          </cell>
        </row>
        <row r="41">
          <cell r="AE41" t="str">
            <v>CA2456</v>
          </cell>
          <cell r="AF41" t="str">
            <v>CARDINAL_CA2456</v>
          </cell>
          <cell r="AG41"/>
          <cell r="AI41"/>
          <cell r="AJ41" t="str">
            <v>T/C CASTROVIEJO NEEDLE HOLDER STR JAW</v>
          </cell>
          <cell r="AL41">
            <v>743</v>
          </cell>
          <cell r="AM41" t="str">
            <v>PRODIGO1056472</v>
          </cell>
          <cell r="AO41" t="str">
            <v>42292903  Surgical needle holders</v>
          </cell>
          <cell r="AR41" t="str">
            <v>Castroviejo Needle Holder Affinity Line. Overall length 7-1/4in (18.4cm)</v>
          </cell>
          <cell r="AS41" t="str">
            <v>HOLDER, NEEDLE, CASTROVIEJO, 7.25 IN, STRAIGHT JAW, AFFINITY LINE, TUNGSTEN CARBIDE, NON STERILE, LATEX</v>
          </cell>
        </row>
        <row r="42">
          <cell r="AE42" t="str">
            <v>CA2481</v>
          </cell>
          <cell r="AF42" t="str">
            <v>CARDINAL_CA2481</v>
          </cell>
          <cell r="AG42"/>
          <cell r="AI42"/>
          <cell r="AJ42" t="str">
            <v>T/C DEBAKEY CARDIO NDL HLDR STR SERR JAW</v>
          </cell>
          <cell r="AL42">
            <v>743</v>
          </cell>
          <cell r="AM42" t="str">
            <v>PRODIGO1056473</v>
          </cell>
          <cell r="AO42" t="str">
            <v>42292903  Surgical needle holders</v>
          </cell>
          <cell r="AR42" t="str">
            <v>DeBAKEY Cardio Needle Holder Affinity Line. Overall length 7-1/8in (18.1cm)</v>
          </cell>
          <cell r="AS42" t="str">
            <v>HOLDER, NEEDLE, DEBAKEY, 7-1/8 IN, CARDIOVASCULAR, STRAIGHT, SERRATED JAW, AFFINITY LINE, TUNGSTEN CARBIDE, NON STERILE, LATEX</v>
          </cell>
        </row>
        <row r="43">
          <cell r="AE43" t="str">
            <v>CA2482</v>
          </cell>
          <cell r="AF43" t="str">
            <v>CARDINAL_CA2482</v>
          </cell>
          <cell r="AG43"/>
          <cell r="AI43"/>
          <cell r="AJ43" t="str">
            <v>T/C DEBAKEY CARDIO NEEDLE HOLDER STR JAW</v>
          </cell>
          <cell r="AL43">
            <v>743</v>
          </cell>
          <cell r="AM43" t="str">
            <v>PRODIGO1056474</v>
          </cell>
          <cell r="AO43" t="str">
            <v>42292903  Surgical needle holders</v>
          </cell>
          <cell r="AR43" t="str">
            <v>DeBAKEY Cardio Needle Holder Affinity Line. Overall length 9in (22.9cm)</v>
          </cell>
          <cell r="AS43" t="str">
            <v>HOLDER, NEEDLE, DEBAKEY, 9 IN, CARDIOVASCULAR, STRAIGHT JAW, AFFINITY LINE, TUNGSTEN CARBIDE, NON STERILE, LATEX</v>
          </cell>
        </row>
        <row r="44">
          <cell r="AE44" t="str">
            <v>CA2492</v>
          </cell>
          <cell r="AF44" t="str">
            <v>CARDINAL_CA2492</v>
          </cell>
          <cell r="AG44"/>
          <cell r="AI44"/>
          <cell r="AJ44" t="str">
            <v>T/C COOLEY N/H NARR-JAW 7''</v>
          </cell>
          <cell r="AL44">
            <v>743</v>
          </cell>
          <cell r="AM44" t="str">
            <v>PRODIGO1056475</v>
          </cell>
          <cell r="AO44" t="str">
            <v>42292903  Surgical needle holders</v>
          </cell>
          <cell r="AR44" t="str">
            <v>Cooley Needle Holder Affinity Line. Overall length 7in (17.8cm)</v>
          </cell>
          <cell r="AS44" t="str">
            <v>HOLDER, NEEDLE, COOLEY, 7 IN, NARROW JAW, AFFINITY LINE, TUNGSTEN CARBIDE, NON STERILE, LATEX</v>
          </cell>
        </row>
        <row r="45">
          <cell r="AE45" t="str">
            <v>CA2508</v>
          </cell>
          <cell r="AF45" t="str">
            <v>CARDINAL_CA2508</v>
          </cell>
          <cell r="AG45"/>
          <cell r="AI45"/>
          <cell r="AJ45" t="str">
            <v>T/C RYDER NEEDLE HOLDER NARROW JAWS 7IN</v>
          </cell>
          <cell r="AL45">
            <v>743</v>
          </cell>
          <cell r="AM45" t="str">
            <v>PRODIGO1056478</v>
          </cell>
          <cell r="AO45" t="str">
            <v>42292903  Surgical needle holders</v>
          </cell>
          <cell r="AR45" t="str">
            <v>Ryder Needle Holder Affinity Line. Overall length 7in (17.8cm)</v>
          </cell>
          <cell r="AS45" t="str">
            <v>HOLDER, NEEDLE, RYDER, 7 IN, NARROW JAW, AFFINITY LINE, TUNGSTEN CARBIDE, NON STERILE, LATEX</v>
          </cell>
        </row>
        <row r="46">
          <cell r="AE46" t="str">
            <v>CA2509</v>
          </cell>
          <cell r="AF46" t="str">
            <v>CARDINAL_CA2509</v>
          </cell>
          <cell r="AG46"/>
          <cell r="AI46"/>
          <cell r="AJ46" t="str">
            <v>T/C RYDER NEEDLE HOLDER NARROW JAWS 8IN</v>
          </cell>
          <cell r="AL46">
            <v>743</v>
          </cell>
          <cell r="AM46" t="str">
            <v>PRODIGO1056479</v>
          </cell>
          <cell r="AO46" t="str">
            <v>42292903  Surgical needle holders</v>
          </cell>
          <cell r="AR46" t="str">
            <v>Ryder Needle Holder Affinity Line. Overall length 8in (20.3cm)</v>
          </cell>
          <cell r="AS46" t="str">
            <v>HOLDER, NEEDLE, RYDER, 8 IN, NARROW JAW, AFFINITY LINE, TUNGSTEN CARBIDE, NON STERILE, LATEX</v>
          </cell>
        </row>
        <row r="47">
          <cell r="AE47" t="str">
            <v>CA2510</v>
          </cell>
          <cell r="AF47" t="str">
            <v>CARDINAL_CA2510</v>
          </cell>
          <cell r="AG47"/>
          <cell r="AI47"/>
          <cell r="AJ47" t="str">
            <v>T/C RYDER NEEDLE HOLDER NARROW JAWS 9IN</v>
          </cell>
          <cell r="AL47">
            <v>743</v>
          </cell>
          <cell r="AM47" t="str">
            <v>PRODIGO1056480</v>
          </cell>
          <cell r="AO47" t="str">
            <v>42292903  Surgical needle holders</v>
          </cell>
          <cell r="AR47" t="str">
            <v>Ryder Needle Holder Affinity Line. Overall length 9in (22.9cm)</v>
          </cell>
          <cell r="AS47" t="str">
            <v>HOLDER, NEEDLE, RYDER, 9 IN, NARROW JAW, AFFINITY LINE, TUNGSTEN CARBIDE, NON STERILE, LATEX</v>
          </cell>
        </row>
        <row r="48">
          <cell r="AE48" t="str">
            <v>CA5182</v>
          </cell>
          <cell r="AF48" t="str">
            <v>CARDINAL_CA5182</v>
          </cell>
          <cell r="AG48"/>
          <cell r="AI48"/>
          <cell r="AJ48" t="str">
            <v>POTTS-SMITH FORCEP FINE SERR TIP 1X2 TTH</v>
          </cell>
          <cell r="AL48">
            <v>743</v>
          </cell>
          <cell r="AM48" t="str">
            <v>PRODIGO1056481</v>
          </cell>
          <cell r="AO48" t="str">
            <v>42291802  Surgical clamps or clips or forceps</v>
          </cell>
          <cell r="AR48" t="str">
            <v>Potts-Smith Tissue Forceps Affinity Line. 1 x 2 teeth. Fine. Overall length 7in (17.8cm)</v>
          </cell>
          <cell r="AS48" t="str">
            <v>FORCEP, SURGICAL, POTTS-SMITH, 7 IN, TISSUE, 1X2 TEETH, FINE, SERRATED CURVED, AFFINITY LINE, NON STERILE, LATEX</v>
          </cell>
        </row>
        <row r="49">
          <cell r="AE49" t="str">
            <v>CA5675</v>
          </cell>
          <cell r="AF49" t="str">
            <v>CARDINAL_CA5675</v>
          </cell>
          <cell r="AG49"/>
          <cell r="AI49"/>
          <cell r="AJ49" t="str">
            <v>POTTS TENOTOMY SCISSORS CVD OVERLGTH 6IN</v>
          </cell>
          <cell r="AL49">
            <v>743</v>
          </cell>
          <cell r="AM49" t="str">
            <v>PRODIGO1056482</v>
          </cell>
          <cell r="AO49" t="str">
            <v>42291614  Surgical scissors</v>
          </cell>
          <cell r="AR49" t="str">
            <v>Potts Tenotomy Scissors Affinity Line. Overall length 6in (15.2cm)</v>
          </cell>
          <cell r="AS49" t="str">
            <v>SCISSOR, SURGICAL, POTTS TENOTOMY, 6 IN, CURVED, AFFINITY LINE, NON STERILE, LATEX</v>
          </cell>
        </row>
        <row r="50">
          <cell r="AE50" t="str">
            <v>CA5676</v>
          </cell>
          <cell r="AF50" t="str">
            <v>CARDINAL_CA5676</v>
          </cell>
          <cell r="AG50"/>
          <cell r="AI50"/>
          <cell r="AJ50" t="str">
            <v>POTTS TENOTOMY SCISSORS CVD OVERLGTH 7IN</v>
          </cell>
          <cell r="AL50">
            <v>743</v>
          </cell>
          <cell r="AM50" t="str">
            <v>PRODIGO1056483</v>
          </cell>
          <cell r="AO50" t="str">
            <v>42291614  Surgical scissors</v>
          </cell>
          <cell r="AR50" t="str">
            <v>Potts Tenotomy Scissors Affinity Line. Overall length 7in (17.8cm)</v>
          </cell>
          <cell r="AS50" t="str">
            <v>SCISSOR, SURGICAL, POTTS TENOTOMY, 7 IN, CURVED, AFFINITY LINE, NON STERILE, LATEX</v>
          </cell>
        </row>
        <row r="51">
          <cell r="AE51" t="str">
            <v>CA5900</v>
          </cell>
          <cell r="AF51" t="str">
            <v>CARDINAL_CA5900</v>
          </cell>
          <cell r="AG51"/>
          <cell r="AI51"/>
          <cell r="AJ51" t="str">
            <v>DEBAKEY TISSUE FORCEPS 2MM WIDE 6-1/4IN</v>
          </cell>
          <cell r="AL51">
            <v>743</v>
          </cell>
          <cell r="AM51" t="str">
            <v>PRODIGO1056484</v>
          </cell>
          <cell r="AO51" t="str">
            <v>42291802  Surgical clamps or clips or forceps</v>
          </cell>
          <cell r="AR51" t="str">
            <v>DeBAKEY Vascular Tissue Forceps Affinity Line. Overall length 6-1/4in (15.9cm)</v>
          </cell>
          <cell r="AS51" t="str">
            <v>FORCEP, SURGICAL, DEBAKEY, 6.25 INX2 MM, VASCULAR, TISSUE, AFFINITY LINE, NON STERILE, LATEX</v>
          </cell>
        </row>
        <row r="52">
          <cell r="AE52" t="str">
            <v>CA5902</v>
          </cell>
          <cell r="AF52" t="str">
            <v>CARDINAL_CA5902</v>
          </cell>
          <cell r="AG52"/>
          <cell r="AI52"/>
          <cell r="AJ52" t="str">
            <v>DEBAKEY TISSUE FORCEPS 2MM WIDE 7-3/4IN</v>
          </cell>
          <cell r="AL52">
            <v>743</v>
          </cell>
          <cell r="AM52" t="str">
            <v>PRODIGO1056485</v>
          </cell>
          <cell r="AO52" t="str">
            <v>42291802  Surgical clamps or clips or forceps</v>
          </cell>
          <cell r="AR52" t="str">
            <v>DeBAKEY Vascular Tissue Forceps Affinity Line. Overall length 7-3/4in (19.7cm)</v>
          </cell>
          <cell r="AS52" t="str">
            <v>FORCEP, SURGICAL, DEBAKEY, 7.75 INX2 MM, VASCULAR, TISSUE, NON STERILE, LATEX</v>
          </cell>
        </row>
        <row r="53">
          <cell r="AE53" t="str">
            <v>CA5904</v>
          </cell>
          <cell r="AF53" t="str">
            <v>CARDINAL_CA5904</v>
          </cell>
          <cell r="AG53"/>
          <cell r="AI53"/>
          <cell r="AJ53" t="str">
            <v>DEBAKEY TISSUE FORCEPS 2MM WIDE 9-1/2IN</v>
          </cell>
          <cell r="AL53">
            <v>743</v>
          </cell>
          <cell r="AM53" t="str">
            <v>PRODIGO1056486</v>
          </cell>
          <cell r="AO53" t="str">
            <v>42291802  Surgical clamps or clips or forceps</v>
          </cell>
          <cell r="AR53" t="str">
            <v>DeBAKEY Vascular Tissue Forceps Affinity Line. Overall length 9-1/2in (24.1cm)</v>
          </cell>
          <cell r="AS53" t="str">
            <v>FORCEP, SURGICAL, DEBAKEY, 9.5 INX2 MM, VASCULAR, TISSUE, NON STERILE, LATEX</v>
          </cell>
        </row>
        <row r="54">
          <cell r="AE54" t="str">
            <v>CA5906</v>
          </cell>
          <cell r="AF54" t="str">
            <v>CARDINAL_CA5906</v>
          </cell>
          <cell r="AG54"/>
          <cell r="AI54"/>
          <cell r="AJ54" t="str">
            <v>DEBAKEY TISSUE FORCEPS 2MM WIDE 12IN</v>
          </cell>
          <cell r="AL54">
            <v>743</v>
          </cell>
          <cell r="AM54" t="str">
            <v>PRODIGO1056487</v>
          </cell>
          <cell r="AO54" t="str">
            <v>42291802  Surgical clamps or clips or forceps</v>
          </cell>
          <cell r="AR54" t="str">
            <v>DeBAKEY Vascular Tissue Forceps Affinity Line. Overall length 12in (30.5cm)</v>
          </cell>
          <cell r="AS54" t="str">
            <v>FORCEP, SURGICAL, DEBAKEY, 12 INX2 MM, VASCULAR, TISSUE, NON STERILE, LATEX</v>
          </cell>
        </row>
        <row r="55">
          <cell r="AE55" t="str">
            <v>CA8610</v>
          </cell>
          <cell r="AF55" t="str">
            <v>CARDINAL_CA8610</v>
          </cell>
          <cell r="AG55"/>
          <cell r="AI55"/>
          <cell r="AJ55" t="str">
            <v>JACOBSON MOSQUITO FORCEPS DEL CVD 5IN</v>
          </cell>
          <cell r="AL55">
            <v>743</v>
          </cell>
          <cell r="AM55" t="str">
            <v>PRODIGO1056489</v>
          </cell>
          <cell r="AO55" t="str">
            <v>42291802  Surgical clamps or clips or forceps</v>
          </cell>
          <cell r="AR55" t="str">
            <v>Jacobson Mosquito Forcep Affinity Line. Curved. Overall length 5in (12.7cm)</v>
          </cell>
          <cell r="AS55" t="str">
            <v>FORCEP, SURGICAL, JACOBSON MOSQUITO, 5 IN, DELICATE, CURVED, AFFINITY LINE, NON STERILE, LATEX</v>
          </cell>
        </row>
        <row r="56">
          <cell r="AE56" t="str">
            <v>CA8620</v>
          </cell>
          <cell r="AF56" t="str">
            <v>CARDINAL_CA8620</v>
          </cell>
          <cell r="AG56"/>
          <cell r="AI56"/>
          <cell r="AJ56" t="str">
            <v>JACOBSON HEMOSTATIC FORCEP DEL SLTLY CVD</v>
          </cell>
          <cell r="AL56">
            <v>743</v>
          </cell>
          <cell r="AM56" t="str">
            <v>PRODIGO1056490</v>
          </cell>
          <cell r="AO56" t="str">
            <v>42291802  Surgical clamps or clips or forceps</v>
          </cell>
          <cell r="AR56" t="str">
            <v>Jacobson Hemostatic Forcep Affinity Line. Slightly curved. Overall length 7-1/2in (19.1cm)</v>
          </cell>
          <cell r="AS56" t="str">
            <v>FORCEP, SURGICAL, JACOBSON, 7.5 IN, DELICATE, HEMOSTATIC, SLIGHTLY CURVED, AFFINITY LINE, NON STERILE, LATEX</v>
          </cell>
        </row>
        <row r="57">
          <cell r="AE57" t="str">
            <v>CH03170</v>
          </cell>
          <cell r="AF57" t="str">
            <v>CARDINAL_CH03170</v>
          </cell>
          <cell r="AG57"/>
          <cell r="AI57"/>
          <cell r="AJ57" t="str">
            <v>TITAN DEL TOUCH JCBSN MCRO NDL HLDR STR</v>
          </cell>
          <cell r="AL57">
            <v>743</v>
          </cell>
          <cell r="AM57" t="str">
            <v>PRODIGO1056492</v>
          </cell>
          <cell r="AO57" t="str">
            <v>42292903  Surgical needle holders</v>
          </cell>
          <cell r="AR57" t="str">
            <v>DELICATE TOUCH NEEDLE HOLDER 7-1/4 IN MICRO TITANIUM CARDIOVASCULAR JACOBSON FLAT FINISH STRAIGHT HANDLE ROUND STYLE FINELY TAPERED JAW RATCHETED WITH LOCK</v>
          </cell>
          <cell r="AS57" t="str">
            <v>HOLDER, NEEDLE, JACOBSON, MICRO, 7.25 IN, CARDIOVASCULAR, STRAIGHT, ROUND HANDLE, FINELY TAPERED JAW, RATCHETED, WITH LOCK, FLAT FINISH, TITANIUM, NON STERILE, DELICATE TOUCH, LATEX</v>
          </cell>
        </row>
        <row r="58">
          <cell r="AE58" t="str">
            <v>CH03174S</v>
          </cell>
          <cell r="AF58" t="str">
            <v>CARDINAL_CH03174S</v>
          </cell>
          <cell r="AG58"/>
          <cell r="AI58"/>
          <cell r="AJ58" t="str">
            <v>TITAN DEL TOUCH JACOBSON NEEDLE HLDR CVD</v>
          </cell>
          <cell r="AL58">
            <v>743</v>
          </cell>
          <cell r="AM58" t="str">
            <v>PRODIGO1056493</v>
          </cell>
          <cell r="AO58" t="str">
            <v>42292903  Surgical needle holders</v>
          </cell>
          <cell r="AR58" t="str">
            <v>Titanium Delicate Touch JACOBSON Needle Holders Finely tapered jaws. Round handle With lock Curved Overall length 7-1/4in (18.4cm)</v>
          </cell>
          <cell r="AS58" t="str">
            <v>HOLDER, NEEDLE, JACOBSON, 7.25 IN, CURVED, FINELY TAPERED JAW, ROUND HANDLE, WITH LOCK, TITANIUM, NON STERILE, DELICATE TOUCH, LATEX</v>
          </cell>
        </row>
        <row r="59">
          <cell r="AE59" t="str">
            <v>CH03176</v>
          </cell>
          <cell r="AF59" t="str">
            <v>CARDINAL_CH03176</v>
          </cell>
          <cell r="AG59"/>
          <cell r="AI59"/>
          <cell r="AJ59" t="str">
            <v>TITAN DEL TOUCH JCBSN MCRO NDL HLDR CVD</v>
          </cell>
          <cell r="AL59">
            <v>743</v>
          </cell>
          <cell r="AM59" t="str">
            <v>PRODIGO1056494</v>
          </cell>
          <cell r="AO59" t="str">
            <v>42292903  Surgical needle holders</v>
          </cell>
          <cell r="AR59" t="str">
            <v>DELICATE TOUCH NEEDLE HOLDER 7-1/4 IN MICRO TITANIUM CARDIOVASCULAR JACOBSON CURVED HANDLE ROUND STYLE FINELY TAPERED JAW RATCHETED WITH LOCK</v>
          </cell>
          <cell r="AS59" t="str">
            <v>HOLDER, NEEDLE, JACOBSON, MICRO, 7.25 IN, CARDIOVASCULAR, CURVED, ROUND HANDLE, FINELY TAPERED JAW, RATCHETED, WITH LOCK, TITANIUM, NON STERILE, DELICATE TOUCH, LATEX</v>
          </cell>
        </row>
        <row r="60">
          <cell r="AE60" t="str">
            <v>CH03180</v>
          </cell>
          <cell r="AF60" t="str">
            <v>CARDINAL_CH03180</v>
          </cell>
          <cell r="AG60"/>
          <cell r="AI60"/>
          <cell r="AJ60" t="str">
            <v>TITAN DEL TOUCH JCBSN MCRO NDL HLDR STR</v>
          </cell>
          <cell r="AL60">
            <v>743</v>
          </cell>
          <cell r="AM60" t="str">
            <v>PRODIGO1056495</v>
          </cell>
          <cell r="AO60" t="str">
            <v>42292903  Surgical needle holders</v>
          </cell>
          <cell r="AR60" t="str">
            <v>Titanium Delicate Touch JACOBSON Micro Needle Holders Round handle. Straight. With lock. Overall length 8in (20.3cm)</v>
          </cell>
          <cell r="AS60" t="str">
            <v>HOLDER, NEEDLE, JACOBSON, MICRO, 8 IN, STRAIGHT, ROUND HANDLE, WITH LOCK, TITANIUM, NON STERILE, DELICATE TOUCH, LATEX</v>
          </cell>
        </row>
        <row r="61">
          <cell r="AE61" t="str">
            <v>CH03180S</v>
          </cell>
          <cell r="AF61" t="str">
            <v>CARDINAL_CH03180S</v>
          </cell>
          <cell r="AG61"/>
          <cell r="AI61"/>
          <cell r="AJ61" t="str">
            <v>TITAN DEL TOUCH JACOBSON NEEDLE HLDR STR</v>
          </cell>
          <cell r="AL61">
            <v>743</v>
          </cell>
          <cell r="AM61" t="str">
            <v>PRODIGO1056496</v>
          </cell>
          <cell r="AO61" t="str">
            <v>42292903  Surgical needle holders</v>
          </cell>
          <cell r="AR61" t="str">
            <v>Titanium Delicate Touch JACOBSON Needle Holders Finely tapered jaws. Round handle With lock. Straight. Overall length 8-1/4in (21cm)</v>
          </cell>
          <cell r="AS61" t="str">
            <v>HOLDER, NEEDLE, JACOBSON, 8.25 IN, STRAIGHT, FINELY TAPERED JAW, ROUND HANDLE, WITH LOCK, TITANIUM, NON STERILE, DELICATE TOUCH, LATEX</v>
          </cell>
        </row>
        <row r="62">
          <cell r="AE62" t="str">
            <v>CH03182</v>
          </cell>
          <cell r="AF62" t="str">
            <v>CARDINAL_CH03182</v>
          </cell>
          <cell r="AG62"/>
          <cell r="AI62"/>
          <cell r="AJ62" t="str">
            <v>TITAN DEL TOUCH JCBSN MCRO NDL HLDR STR</v>
          </cell>
          <cell r="AL62">
            <v>743</v>
          </cell>
          <cell r="AM62" t="str">
            <v>PRODIGO1056497</v>
          </cell>
          <cell r="AO62" t="str">
            <v>42292903  Surgical needle holders</v>
          </cell>
          <cell r="AR62" t="str">
            <v>Titanium Delicate Touch JACOBSON Micro Needle Holders Round handle. Straight. Without lock. Overall length 8in (20.3cm)</v>
          </cell>
          <cell r="AS62" t="str">
            <v>HOLDER, NEEDLE, JACOBSON, MICRO, 8 IN, STRAIGHT, ROUND HANDLE, WITHOUT LOCK, TITANIUM, NON STERILE, DELICATE TOUCH, LATEX</v>
          </cell>
        </row>
        <row r="63">
          <cell r="AE63" t="str">
            <v>CH03184</v>
          </cell>
          <cell r="AF63" t="str">
            <v>CARDINAL_CH03184</v>
          </cell>
          <cell r="AG63"/>
          <cell r="AI63"/>
          <cell r="AJ63" t="str">
            <v>TITAN DEL TOUCH JCBSN MCRO NDL HLDR CVD</v>
          </cell>
          <cell r="AL63">
            <v>743</v>
          </cell>
          <cell r="AM63" t="str">
            <v>PRODIGO1056498</v>
          </cell>
          <cell r="AO63" t="str">
            <v>42292903  Surgical needle holders</v>
          </cell>
          <cell r="AR63" t="str">
            <v>DELICATE TOUCH NEEDLE HOLDER 8 IN MICRO TITANIUM CARDIOVASCULAR JACOBSON FLAT SATIN FINISH CURVED HANDLE ROUND STYLE FINELY TAPERED JAW WITH LOCK</v>
          </cell>
          <cell r="AS63" t="str">
            <v>HOLDER, NEEDLE, JACOBSON, MICRO, 8 IN, CARDIOVASCULAR, CURVED, ROUND HANDLE, FINELY TAPERED JAW, WITH LOCK, FLAT SATIN FINISH, TITANIUM, NON STERILE, DELICATE TOUCH, LATEX</v>
          </cell>
        </row>
        <row r="64">
          <cell r="AE64" t="str">
            <v>CH0320012S</v>
          </cell>
          <cell r="AF64" t="str">
            <v>CARDINAL_CH0320012S</v>
          </cell>
          <cell r="AG64"/>
          <cell r="AI64"/>
          <cell r="AJ64" t="str">
            <v>TITAN DEL TOUCH JACOBSON NEEDLE HLDR STR</v>
          </cell>
          <cell r="AL64">
            <v>743</v>
          </cell>
          <cell r="AM64" t="str">
            <v>PRODIGO1056499</v>
          </cell>
          <cell r="AO64" t="str">
            <v>42292903  Surgical needle holders</v>
          </cell>
          <cell r="AR64" t="str">
            <v>DELICATE TOUCH NEEDLE HOLDER 12 IN MICRO TITANIUM CARDIOVASCULAR JACOBSON FLAT STRAIGHT HANDLE ROUND STYLE FINELY TAPERED JAW WITH LOCK</v>
          </cell>
          <cell r="AS64" t="str">
            <v>HOLDER, NEEDLE, JACOBSON, MICRO, 12 IN, CARDIOVASCULAR, STRAIGHT, ROUND HANDLE, FINELY TAPERED JAW, WITH LOCK, TITANIUM, NON STERILE, DELICATE TOUCH, LATEX</v>
          </cell>
        </row>
        <row r="65">
          <cell r="AE65" t="str">
            <v>CH03200S</v>
          </cell>
          <cell r="AF65" t="str">
            <v>CARDINAL_CH03200S</v>
          </cell>
          <cell r="AG65"/>
          <cell r="AI65"/>
          <cell r="AJ65" t="str">
            <v>TITAN DEL TOUCH JACOBSON NEEDLE HLDR STR</v>
          </cell>
          <cell r="AL65">
            <v>743</v>
          </cell>
          <cell r="AM65" t="str">
            <v>PRODIGO1056500</v>
          </cell>
          <cell r="AO65" t="str">
            <v>42292903  Surgical needle holders</v>
          </cell>
          <cell r="AR65" t="str">
            <v>Titanium Delicate Touch JACOBSON Micro Needle Holders Finely tapered jaws. Round handle Straight jaws. With lock. Overall length 10in (25.4cm)</v>
          </cell>
          <cell r="AS65" t="str">
            <v>HOLDER, NEEDLE, JACOBSON, MICRO, 10 IN, STRAIGHT JAW, FINELY TAPERED JAW, ROUND HANDLE, WITH LOCK, TITANIUM, NON STERILE, DELICATE TOUCH, LATEX</v>
          </cell>
        </row>
        <row r="66">
          <cell r="AE66" t="str">
            <v>CH03224</v>
          </cell>
          <cell r="AF66" t="str">
            <v>CARDINAL_CH03224</v>
          </cell>
          <cell r="AG66"/>
          <cell r="AI66"/>
          <cell r="AJ66" t="str">
            <v>DEL TOUCH JACOBSON NDL HOLDER STR 7-1/4</v>
          </cell>
          <cell r="AL66">
            <v>743</v>
          </cell>
          <cell r="AM66" t="str">
            <v>PRODIGO1056501</v>
          </cell>
          <cell r="AO66" t="str">
            <v>42292903  Surgical needle holders</v>
          </cell>
          <cell r="AR66" t="str">
            <v>DELICATE TOUCH NEEDLE HOLDER 7-1/4 IN MICRO TITANIUM CARDIOVASCULAR JACOBSON STRAIGHT HANDLE FLAT STYLE WITH LOCK</v>
          </cell>
          <cell r="AS66" t="str">
            <v>HOLDER, NEEDLE, JACOBSON, MICRO, 7.25 IN, CARDIOVASCULAR, STRAIGHT, FLAT HANDLE, WITH LOCK, TITANIUM, NON STERILE, DELICATE TOUCH, LATEX</v>
          </cell>
        </row>
        <row r="67">
          <cell r="AE67" t="str">
            <v>CH03224S</v>
          </cell>
          <cell r="AF67" t="str">
            <v>CARDINAL_CH03224S</v>
          </cell>
          <cell r="AG67"/>
          <cell r="AI67"/>
          <cell r="AJ67" t="str">
            <v>DEL TOUCH JACOBSON NH TITAN W/C 7-1/4IN</v>
          </cell>
          <cell r="AL67">
            <v>743</v>
          </cell>
          <cell r="AM67" t="str">
            <v>PRODIGO1056502</v>
          </cell>
          <cell r="AO67" t="str">
            <v>42292903  Surgical needle holders</v>
          </cell>
          <cell r="AR67" t="str">
            <v>Titanium Delicate Touch JACOBSON Needle Holders Finely tapered jaws. Flat handle. With lock. Straight. Overall length 7-1/4in (18.4cm).</v>
          </cell>
          <cell r="AS67" t="str">
            <v>HOLDER, NEEDLE, JACOBSON, 7.25 IN, STRAIGHT, FINELY TAPERED JAW, FLAT HANDLE, WITH LOCK, TITANIUM, NON STERILE, DELICATE TOUCH, LATEX</v>
          </cell>
        </row>
        <row r="68">
          <cell r="AE68" t="str">
            <v>CH03226</v>
          </cell>
          <cell r="AF68" t="str">
            <v>CARDINAL_CH03226</v>
          </cell>
          <cell r="AG68"/>
          <cell r="AI68"/>
          <cell r="AJ68" t="str">
            <v>DEL TOUCH JCBSN NDL HLDR TITAN STR 7-1/4</v>
          </cell>
          <cell r="AL68">
            <v>743</v>
          </cell>
          <cell r="AM68" t="str">
            <v>PRODIGO1056503</v>
          </cell>
          <cell r="AO68" t="str">
            <v>42292903  Surgical needle holders</v>
          </cell>
          <cell r="AR68" t="str">
            <v>TITANIUM DELICATE TOUCH JACOBSON NEEDLE HOLDERS FLAT HANDLE STRAIGHT WITHOUT LOCK OVERALL LENGTH 18.4CM HOLDER NEEDLE JACOBSON 18.4 CM FLAT HANDLE STRAIGHT WITHOUT LOCK TITANIUM DELICATE TOUCH</v>
          </cell>
          <cell r="AS68" t="str">
            <v>HOLDER, NEEDLE, JACOBSON, 7.25 IN, STRAIGHT, FLAT HANDLE, WITHOUT LOCK, TITANIUM, NON STERILE, DELICATE TOUCH, LATEX</v>
          </cell>
        </row>
        <row r="69">
          <cell r="AE69" t="str">
            <v>CH03228</v>
          </cell>
          <cell r="AF69" t="str">
            <v>CARDINAL_CH03228</v>
          </cell>
          <cell r="AG69"/>
          <cell r="AI69"/>
          <cell r="AJ69" t="str">
            <v>DEL TOUCH JCBSN NDL HLDR TITAN CVD 7-1/4</v>
          </cell>
          <cell r="AL69">
            <v>743</v>
          </cell>
          <cell r="AM69" t="str">
            <v>PRODIGO1056504</v>
          </cell>
          <cell r="AO69" t="str">
            <v>42292903  Surgical needle holders</v>
          </cell>
          <cell r="AR69" t="str">
            <v>DELICATE TOUCH NEEDLE HOLDER 7-1/4 IN MICRO TITANIUM CARDIOVASCULAR JACOBSON CURVED HANDLE FLAT STYLE WITH LOCK</v>
          </cell>
          <cell r="AS69" t="str">
            <v>HOLDER, NEEDLE, JACOBSON, MICRO, 7.25 IN, CARDIOVASCULAR, CURVED, FLAT HANDLE, WITH LOCK, TITANIUM, NON STERILE, DELICATE TOUCH, LATEX</v>
          </cell>
        </row>
        <row r="70">
          <cell r="AE70" t="str">
            <v>CH03234</v>
          </cell>
          <cell r="AF70" t="str">
            <v>CARDINAL_CH03234</v>
          </cell>
          <cell r="AG70"/>
          <cell r="AI70"/>
          <cell r="AJ70" t="str">
            <v>DEL TOUCH JCBSN NDL HLDR TITAN STR 8-1/2</v>
          </cell>
          <cell r="AL70">
            <v>743</v>
          </cell>
          <cell r="AM70" t="str">
            <v>PRODIGO1056505</v>
          </cell>
          <cell r="AO70" t="str">
            <v>42292903  Surgical needle holders</v>
          </cell>
          <cell r="AR70" t="str">
            <v>DELICATE TOUCH NEEDLE HOLDER 8 -1/2 IN MICRO TITANIUM CARDIOVASCULAR JACOBSON STRAIGHT HANDLE FLAT STYLE WITH LOCK</v>
          </cell>
          <cell r="AS70" t="str">
            <v>HOLDER, NEEDLE, JACOBSON, MICRO, 8.5 IN, CARDIOVASCULAR, STRAIGHT, FLAT HANDLE, WITH LOCK, TITANIUM, NON STERILE, DELICATE TOUCH, LATEX</v>
          </cell>
        </row>
        <row r="71">
          <cell r="AE71" t="str">
            <v>CH03234S</v>
          </cell>
          <cell r="AF71" t="str">
            <v>CARDINAL_CH03234S</v>
          </cell>
          <cell r="AG71"/>
          <cell r="AI71"/>
          <cell r="AJ71" t="str">
            <v>DEL TOUCH JACOBSON NH TITAN W/CTCH 8-1/2</v>
          </cell>
          <cell r="AL71">
            <v>743</v>
          </cell>
          <cell r="AM71" t="str">
            <v>PRODIGO1056506</v>
          </cell>
          <cell r="AO71" t="str">
            <v>42292903  Surgical needle holders</v>
          </cell>
          <cell r="AR71" t="str">
            <v>Titanium Delicate Touch JACOBSON Needle Holders Finely tapered jaws. Flat handle. With lock. Straight. Overall length 8-1/2in (21.6cm)</v>
          </cell>
          <cell r="AS71" t="str">
            <v>HOLDER, NEEDLE, JACOBSON, 8.5 IN, STRAIGHT, FINELY TAPERED JAW, FLAT HANDLE, WITH LOCK, TITANIUM, NON STERILE, DELICATE TOUCH, LATEX</v>
          </cell>
        </row>
        <row r="72">
          <cell r="AE72" t="str">
            <v>CH03412</v>
          </cell>
          <cell r="AF72" t="str">
            <v>CARDINAL_CH03412</v>
          </cell>
          <cell r="AG72"/>
          <cell r="AI72"/>
          <cell r="AJ72" t="str">
            <v>DEL TOUCH DEBAKEY NEEDLE HOLDER TITAN</v>
          </cell>
          <cell r="AL72">
            <v>743</v>
          </cell>
          <cell r="AM72" t="str">
            <v>PRODIGO1056507</v>
          </cell>
          <cell r="AO72" t="str">
            <v>42292903  Surgical needle holders</v>
          </cell>
          <cell r="AR72" t="str">
            <v>Titanium Delicate Touch DeBAKEY Needle Holder Dust jaw surface for use with 5-0 suture and smaller. Straight. Overall length 7-1/8in (18.1cm).</v>
          </cell>
          <cell r="AS72" t="str">
            <v>HOLDER, NEEDLE, DEBAKEY, 7-1/8 IN, STRAIGHT, DUST JAW, SURFACE, FOR 5-0 SUTURE AND SMALLER, TITANIUM, NON STERILE, DELICATE TOUCH, LATEX</v>
          </cell>
        </row>
        <row r="73">
          <cell r="AE73" t="str">
            <v>CH03418</v>
          </cell>
          <cell r="AF73" t="str">
            <v>CARDINAL_CH03418</v>
          </cell>
          <cell r="AG73"/>
          <cell r="AI73"/>
          <cell r="AJ73" t="str">
            <v>DEL TOUCH DEBAKEY NEEDLE HOLDER TITANIAM</v>
          </cell>
          <cell r="AL73">
            <v>743</v>
          </cell>
          <cell r="AM73" t="str">
            <v>PRODIGO1056508</v>
          </cell>
          <cell r="AO73" t="str">
            <v>42292903  Surgical needle holders</v>
          </cell>
          <cell r="AR73" t="str">
            <v>DELICATE TOUCH NEEDLE HOLDER 10 IN TITANIUM CARDIOVASCULAR DEBAKEY STRAIGHT STANDARD RING HANDLE DUSTED JAW FOR 3-0 SMALL SUTURE</v>
          </cell>
          <cell r="AS73" t="str">
            <v>HOLDER, NEEDLE, DEBAKEY, 10 IN, CARDIOVASCULAR, STRAIGHT, STANDARD, DUST JAW, RING HANDLE, FOR 3-0 SMALL SUTURE, TITANIUM, NON STERILE, DELICATE TOUCH, LATEX</v>
          </cell>
        </row>
        <row r="74">
          <cell r="AE74" t="str">
            <v>CH03432</v>
          </cell>
          <cell r="AF74" t="str">
            <v>CARDINAL_CH03432</v>
          </cell>
          <cell r="AG74"/>
          <cell r="AI74"/>
          <cell r="AJ74" t="str">
            <v>TITANIUM DEL TOUCH RYDER NDL HOLDER STR</v>
          </cell>
          <cell r="AL74">
            <v>743</v>
          </cell>
          <cell r="AM74" t="str">
            <v>PRODIGO1056509</v>
          </cell>
          <cell r="AO74" t="str">
            <v>42292903  Surgical needle holders</v>
          </cell>
          <cell r="AR74" t="str">
            <v>TITANIUM DELICATE TOUCH RYDER NEEDLE HOLDERS WITH 5-0 SUTURE AND SMALLER STRAIGHT OVERALL LENGTH 17.1CM HOLDER NEEDLE RYDER SMALL 17.1 CM WITH 5-0 SUTURE STRAIGHT TITANIUM DELICATE TOUCH</v>
          </cell>
          <cell r="AS74" t="str">
            <v>HOLDER, NEEDLE, RYDER, 6.75 IN, STRAIGHT, FOR 3-0 SMALL SUTURE, TITANIUM, NON STERILE, DELICATE TOUCH, LATEX</v>
          </cell>
        </row>
        <row r="75">
          <cell r="AE75" t="str">
            <v>CH03438</v>
          </cell>
          <cell r="AF75" t="str">
            <v>CARDINAL_CH03438</v>
          </cell>
          <cell r="AG75"/>
          <cell r="AI75"/>
          <cell r="AJ75" t="str">
            <v>TITANIUM DEL TOUCH CVD NEEDLE HOLDER STR</v>
          </cell>
          <cell r="AL75">
            <v>743</v>
          </cell>
          <cell r="AM75" t="str">
            <v>PRODIGO1056510</v>
          </cell>
          <cell r="AO75" t="str">
            <v>42292903  Surgical needle holders</v>
          </cell>
          <cell r="AR75" t="str">
            <v>DELICATE TOUCH NEEDLE HOLDER 8 IN TITANIUM CARDIOVASCULAR DEBAKEY STRAIGHT STANDARD RING HANDLE RYDER-TYPE DUST JAW FOR 5-0 SMALL SUTURE</v>
          </cell>
          <cell r="AS75" t="str">
            <v>HOLDER, NEEDLE, DEBAKEY, 8 IN, CARDIOVASCULAR, STRAIGHT STANDARD RING HANDLE, RYDER-TYPE DUST JAW, FOR 5-0 SMALL SUTURE, TITANIUM, NON STERILE, DELICATE TOUCH, LATEX</v>
          </cell>
        </row>
        <row r="76">
          <cell r="AE76" t="str">
            <v>CH037208</v>
          </cell>
          <cell r="AF76" t="str">
            <v>CARDINAL_CH037208</v>
          </cell>
          <cell r="AG76"/>
          <cell r="AI76"/>
          <cell r="AJ76" t="str">
            <v>DEL TOUCH DENNIS MICRO STR FORCEPS 8-1/4</v>
          </cell>
          <cell r="AL76">
            <v>743</v>
          </cell>
          <cell r="AM76" t="str">
            <v>PRODIGO1056511</v>
          </cell>
          <cell r="AO76" t="str">
            <v>42291802  Surgical clamps or clips or forceps</v>
          </cell>
          <cell r="AR76" t="str">
            <v>Titanium Delicate Touch DENNIS Micro Forceps Round handle. 1mm ring tips. Straight. 8-1/4in (21cm).</v>
          </cell>
          <cell r="AS76" t="str">
            <v>FORCEP, SURGICAL, DENNIS, MICRO, 1 MM, 8.25 IN, STRAIGHT, ROUND HANDLE, RING TIP, TITANIUM, NON STERILE, DELICATE TOUCH, LATEX</v>
          </cell>
        </row>
        <row r="77">
          <cell r="AE77" t="str">
            <v>CH03730</v>
          </cell>
          <cell r="AF77" t="str">
            <v>CARDINAL_CH03730</v>
          </cell>
          <cell r="AG77"/>
          <cell r="AI77"/>
          <cell r="AJ77" t="str">
            <v>DEBAKEY TITAN MICRO FORCEPS STR 7-1/8IN</v>
          </cell>
          <cell r="AL77">
            <v>743</v>
          </cell>
          <cell r="AM77" t="str">
            <v>PRODIGO1056512</v>
          </cell>
          <cell r="AO77" t="str">
            <v>42291802  Surgical clamps or clips or forceps</v>
          </cell>
          <cell r="AR77" t="str">
            <v>FORCEP MICRO 1 MM 7-1/8 IN CARDIOVASCULAR TITANIUM DEBAKEY STRAIGHT DOUBLE ACTION ROUND SPRING HANDLE BLUE ANODIZED FINISH</v>
          </cell>
          <cell r="AS77" t="str">
            <v>FORCEP, SURGICAL, DEBAKEY, MICRO, 1 MM, 7-1/8 IN, CARDIOVASCULAR, STRAIGHT, DOUBLE ACTION, ROUND SPRING HANDLE, BLUE ANODIZED FINISH, TITANIUM, NON STERILE, LATEX</v>
          </cell>
        </row>
        <row r="78">
          <cell r="AE78" t="str">
            <v>CH037308</v>
          </cell>
          <cell r="AF78" t="str">
            <v>CARDINAL_CH037308</v>
          </cell>
          <cell r="AG78"/>
          <cell r="AI78"/>
          <cell r="AJ78" t="str">
            <v>DEBAKEY TITAN MICRO FORCEPS STR 8-1/8IN</v>
          </cell>
          <cell r="AL78">
            <v>743</v>
          </cell>
          <cell r="AM78" t="str">
            <v>PRODIGO1056513</v>
          </cell>
          <cell r="AO78" t="str">
            <v>42291802  Surgical clamps or clips or forceps</v>
          </cell>
          <cell r="AR78" t="str">
            <v>Titanium DeBAKEY Micro Forceps Straight. Round handle. Tips 1mm wide. 8-1/4in (21cm)</v>
          </cell>
          <cell r="AS78" t="str">
            <v>FORCEP, SURGICAL, DEBAKEY, MICRO, 1 MM, 8.25 IN, STRAIGHT. ROUND HANDLE, TITANIUM, NON STERILE, LATEX</v>
          </cell>
        </row>
        <row r="79">
          <cell r="AE79" t="str">
            <v>CH03742</v>
          </cell>
          <cell r="AF79" t="str">
            <v>CARDINAL_CH03742</v>
          </cell>
          <cell r="AG79"/>
          <cell r="AI79"/>
          <cell r="AJ79" t="str">
            <v>DEL TOUCH GERALD DEBAKEY STR FORCEPS 8IN</v>
          </cell>
          <cell r="AL79">
            <v>743</v>
          </cell>
          <cell r="AM79" t="str">
            <v>PRODIGO1056514</v>
          </cell>
          <cell r="AO79" t="str">
            <v>42291802  Surgical clamps or clips or forceps</v>
          </cell>
          <cell r="AR79" t="str">
            <v>DELICATE TOUCH GERALD-DEBAKEY FORCEPS STRAIGHT FLAT HANDLE 1MM WIDE DEBAKEY TIPS OVERALL LENGTH 20.3CM FORCEP SURGICAL GERALD DEBAKEY 1 MM 20.3 CM FLAT HANDLE STRAIGHT TIP WIDE DELICATE TOUCH</v>
          </cell>
          <cell r="AS79" t="str">
            <v>FORCEP, SURGICAL, GERALD DEBAKEY, 1 MM, 8 IN, STRAIGHT, FLAT HANDLE, NON STERILE, DELICATE TOUCH, LATEX</v>
          </cell>
        </row>
        <row r="80">
          <cell r="AE80" t="str">
            <v>CH03752</v>
          </cell>
          <cell r="AF80" t="str">
            <v>CARDINAL_CH03752</v>
          </cell>
          <cell r="AG80"/>
          <cell r="AI80"/>
          <cell r="AJ80" t="str">
            <v>DEL TOUCH GERALD FORCEPS TITAN STR 8IN</v>
          </cell>
          <cell r="AL80">
            <v>743</v>
          </cell>
          <cell r="AM80" t="str">
            <v>PRODIGO1056515</v>
          </cell>
          <cell r="AO80" t="str">
            <v>42291802  Surgical clamps or clips or forceps</v>
          </cell>
          <cell r="AR80" t="str">
            <v>DELICATE TOUCH FORCEP 1 MM 8 IN CARDIOVASCULAR TITANIUM GERALD DEBAKEY STRAIGHT DOUBLE ACTION FLAT SPRING HANDLE BLUE ANODIZED FINISH</v>
          </cell>
          <cell r="AS80" t="str">
            <v>FORCEP, SURGICAL, GERALD, 1 MM, 8 IN, CARDIOVASCULAR, STRAIGHT, DOUBLE ACTION, FLAT SPRING HANDLE, BLUE ANODIZED FINISH, TITANIUM, NON STERILE, DELICATE TOUCH, LATEX</v>
          </cell>
        </row>
        <row r="81">
          <cell r="AE81" t="str">
            <v>CH0393</v>
          </cell>
          <cell r="AF81" t="str">
            <v>CARDINAL_CH0393</v>
          </cell>
          <cell r="AG81"/>
          <cell r="AI81"/>
          <cell r="AJ81" t="str">
            <v>TITAN DEL TOUCH MICRO NDL HLDR STR</v>
          </cell>
          <cell r="AL81">
            <v>743</v>
          </cell>
          <cell r="AM81" t="str">
            <v>PRODIGO1056516</v>
          </cell>
          <cell r="AO81" t="str">
            <v>42292903  Surgical needle holders</v>
          </cell>
          <cell r="AR81" t="str">
            <v>Titanium Delicate Touch Micro Needle Holders Straight. Round handle. Overall length 6in (15.2cm). Wthout lock</v>
          </cell>
          <cell r="AS81" t="str">
            <v>HOLDER, NEEDLE, STRAIGHT, MICRO, 6 IN, ROUND HANDLE, TITANIUM, NON STERILE, DELICATE TOUCH, LATEX</v>
          </cell>
        </row>
        <row r="82">
          <cell r="AE82" t="str">
            <v>CH0393A</v>
          </cell>
          <cell r="AF82" t="str">
            <v>CARDINAL_CH0393A</v>
          </cell>
          <cell r="AG82"/>
          <cell r="AI82"/>
          <cell r="AJ82" t="str">
            <v>TITAN DEL TOUCH MICRO NDL HLDR STR</v>
          </cell>
          <cell r="AL82">
            <v>743</v>
          </cell>
          <cell r="AM82" t="str">
            <v>PRODIGO1056517</v>
          </cell>
          <cell r="AO82" t="str">
            <v>42292903  Surgical needle holders</v>
          </cell>
          <cell r="AR82" t="str">
            <v>DELICATE TOUCH NEEDLE HOLDER 5-7/8 IN MICRO TITANIUM CARDIOVASCULAR FLAT STRAIGHT TEETH SPRING HANDLE ROUND STYLE WITH LOCK</v>
          </cell>
          <cell r="AS82" t="str">
            <v>HOLDER, NEEDLE, STRAIGHT, MICRO, 5-7/8 IN, CARDIOVASCULAR, FLAT TEETH, SPRING ROUND HANDLE, WITH LOCK, TITANIUM, NON STERILE, DELICATE TOUCH, LATEX</v>
          </cell>
        </row>
        <row r="83">
          <cell r="AE83" t="str">
            <v>CH04204</v>
          </cell>
          <cell r="AF83" t="str">
            <v>CARDINAL_CH04204</v>
          </cell>
          <cell r="AG83"/>
          <cell r="AI83"/>
          <cell r="AJ83" t="str">
            <v>DEL TOUCH MICRO FORCEPS STR 10IN</v>
          </cell>
          <cell r="AL83">
            <v>743</v>
          </cell>
          <cell r="AM83" t="str">
            <v>PRODIGO1056521</v>
          </cell>
          <cell r="AO83" t="str">
            <v>42291802  Surgical clamps or clips or forceps</v>
          </cell>
          <cell r="AR83" t="str">
            <v>Delicate Touch Micro Forceps Round handle. Straight. Platform tips 0.9mm wide. Overall length 10in (25.4cm)</v>
          </cell>
          <cell r="AS83" t="str">
            <v>FORCEP, SURGICAL, STRAIGHT, MICRO, 0.9 MM, 10 IN, ROUND HANDLE, PLATFORM TIP, NON STERILE, DELICATE TOUCH, LATEX</v>
          </cell>
        </row>
        <row r="84">
          <cell r="AE84" t="str">
            <v>CH04216</v>
          </cell>
          <cell r="AF84" t="str">
            <v>CARDINAL_CH04216</v>
          </cell>
          <cell r="AG84"/>
          <cell r="AI84"/>
          <cell r="AJ84" t="str">
            <v>DEL TOUCH MICRO FORCEPS STR RING TIP 6IN</v>
          </cell>
          <cell r="AL84">
            <v>743</v>
          </cell>
          <cell r="AM84" t="str">
            <v>PRODIGO1056522</v>
          </cell>
          <cell r="AO84" t="str">
            <v>42291802  Surgical clamps or clips or forceps</v>
          </cell>
          <cell r="AR84" t="str">
            <v>DELICATE TOUCH MICRO FORCEPS ROUND HANDLE STRAIGHT 1MM RING TIPS OVERALL LENGTH 15.2CM FORCEP SURGICAL 1 MM MICRO 15.2 CM STRAIGHT ROUND HANDLE TIP DELICATE TOUCH</v>
          </cell>
          <cell r="AS84" t="str">
            <v>FORCEP, SURGICAL, STRAIGHT, MICRO, 1 MM, 6 IN, ROUND HANDLE, RING TIP, NON STERILE, DELICATE TOUCH, LATEX</v>
          </cell>
        </row>
        <row r="85">
          <cell r="AE85" t="str">
            <v>CH04220</v>
          </cell>
          <cell r="AF85" t="str">
            <v>CARDINAL_CH04220</v>
          </cell>
          <cell r="AG85"/>
          <cell r="AI85"/>
          <cell r="AJ85" t="str">
            <v>DEL TOUCH MICRO FORCEPS STR RING TIP</v>
          </cell>
          <cell r="AL85">
            <v>743</v>
          </cell>
          <cell r="AM85" t="str">
            <v>PRODIGO1056523</v>
          </cell>
          <cell r="AO85" t="str">
            <v>42291802  Surgical clamps or clips or forceps</v>
          </cell>
          <cell r="AR85" t="str">
            <v>Delicate Touch Micro Forceps Round handle. Straight. 1mm ring tips. 7-1/4in (18.4cm)</v>
          </cell>
          <cell r="AS85" t="str">
            <v>FORCEP, SURGICAL, STRAIGHT, MICRO, 1 MM, 7.25 IN, ROUND HANDLE, RING TIP, NON STERILE, DELICATE TOUCH, LATEX</v>
          </cell>
        </row>
        <row r="86">
          <cell r="AE86" t="str">
            <v>CH04224</v>
          </cell>
          <cell r="AF86" t="str">
            <v>CARDINAL_CH04224</v>
          </cell>
          <cell r="AG86"/>
          <cell r="AI86"/>
          <cell r="AJ86" t="str">
            <v>DEL TOUCH MICRO FORCEPS STR RING TIP</v>
          </cell>
          <cell r="AL86">
            <v>743</v>
          </cell>
          <cell r="AM86" t="str">
            <v>PRODIGO1056524</v>
          </cell>
          <cell r="AO86" t="str">
            <v>42291802  Surgical clamps or clips or forceps</v>
          </cell>
          <cell r="AR86" t="str">
            <v>Delicate Touch Micro Forceps Round handle. Straight. 1mm ring tips 8-1/4in (21cm)</v>
          </cell>
          <cell r="AS86" t="str">
            <v>FORCEP, SURGICAL, STRAIGHT, MICRO, 1 MM, 8.25 IN, ROUND HANDLE, RING TIP, NON STERILE, DELICATE TOUCH, LATEX</v>
          </cell>
        </row>
        <row r="87">
          <cell r="AE87" t="str">
            <v>CH04226</v>
          </cell>
          <cell r="AF87" t="str">
            <v>CARDINAL_CH04226</v>
          </cell>
          <cell r="AG87"/>
          <cell r="AI87"/>
          <cell r="AJ87" t="str">
            <v>DEL TOUCH MICRO FORCEPS STR RING TIP 9IN</v>
          </cell>
          <cell r="AL87">
            <v>743</v>
          </cell>
          <cell r="AM87" t="str">
            <v>PRODIGO1056525</v>
          </cell>
          <cell r="AO87" t="str">
            <v>42291802  Surgical clamps or clips or forceps</v>
          </cell>
          <cell r="AR87" t="str">
            <v>DELICATE TOUCH MICRO FORCEPS ROUND HANDLE STRAIGHT 1MM RING TIPS OVERALL LENGTH 22.9CM FORCEP SURGICAL 1 MM MICRO 22.9 CM ROUND HANDLE RING TIP STRAIGHT DELICATE TOUCH</v>
          </cell>
          <cell r="AS87" t="str">
            <v>FORCEP, SURGICAL, STRAIGHT, MICRO, 1 MM, 9 IN, ROUND HANDLE, RING TIP, NON STERILE, DELICATE TOUCH, LATEX</v>
          </cell>
        </row>
        <row r="88">
          <cell r="AE88" t="str">
            <v>CH04228</v>
          </cell>
          <cell r="AF88" t="str">
            <v>CARDINAL_CH04228</v>
          </cell>
          <cell r="AG88"/>
          <cell r="AI88"/>
          <cell r="AJ88" t="str">
            <v>DEL TOUCH MICRO FORCEP STR RING TIP 10IN</v>
          </cell>
          <cell r="AL88">
            <v>743</v>
          </cell>
          <cell r="AM88" t="str">
            <v>PRODIGO1056526</v>
          </cell>
          <cell r="AO88" t="str">
            <v>42291802  Surgical clamps or clips or forceps</v>
          </cell>
          <cell r="AR88" t="str">
            <v>Delicate Touch Micro Forceps Round handle. Straight. 1mm ring tips. 10in (25.4cm).</v>
          </cell>
          <cell r="AS88" t="str">
            <v>FORCEP, SURGICAL, STRAIGHT, MICRO, 1 MM, 10 IN, ROUND HANDLE, RING TIP, NON STERILE, DELICATE TOUCH, LATEX</v>
          </cell>
        </row>
        <row r="89">
          <cell r="AE89" t="str">
            <v>CH04230</v>
          </cell>
          <cell r="AF89" t="str">
            <v>CARDINAL_CH04230</v>
          </cell>
          <cell r="AG89"/>
          <cell r="AI89"/>
          <cell r="AJ89" t="str">
            <v>MICRO FORCEPS RND HANDLE 1MM DEBAKEY TIP</v>
          </cell>
          <cell r="AL89">
            <v>743</v>
          </cell>
          <cell r="AM89" t="str">
            <v>PRODIGO1056527</v>
          </cell>
          <cell r="AO89" t="str">
            <v>42291802  Surgical clamps or clips or forceps</v>
          </cell>
          <cell r="AR89" t="str">
            <v>DEBAKEY MICRO TISSUE FORCEPS LIGHTWEIGHT ROUND HANDLE TIPS 1MM WIDE OVERALL LENGTH 18.1CM FORCEP SURGICAL DEBAKEY 1 MM MICRO 18.1 CM TISSUE LIGHTWEIGHT ROUND HANDLE TIP WIDE</v>
          </cell>
          <cell r="AS89" t="str">
            <v>FORCEP, SURGICAL, DEBAKEY, MICRO, 1 MM, 7-1/8 IN, TISSUE, LIGHTWEIGHT, ROUND HANDLE, NON STERILE, LATEX</v>
          </cell>
        </row>
        <row r="90">
          <cell r="AE90" t="str">
            <v>CH04232</v>
          </cell>
          <cell r="AF90" t="str">
            <v>CARDINAL_CH04232</v>
          </cell>
          <cell r="AG90"/>
          <cell r="AI90"/>
          <cell r="AJ90" t="str">
            <v>MICRO FORCEPS RND HANDLE 1MM DEBAKEY TIP</v>
          </cell>
          <cell r="AL90">
            <v>743</v>
          </cell>
          <cell r="AM90" t="str">
            <v>PRODIGO1056528</v>
          </cell>
          <cell r="AO90" t="str">
            <v>42291802  Surgical clamps or clips or forceps</v>
          </cell>
          <cell r="AR90" t="str">
            <v>DEBAKEY MICRO TISSUE FORCEPS LIGHTWEIGHT ROUND HANDLE TIPS 1MM WIDE OVERALL LENGTH 21CM FORCEP SURGICAL DEBAKEY 1 MM MICRO 21 CM TISSUE LIGHTWEIGHT ROUND HANDLE TIP WIDE</v>
          </cell>
          <cell r="AS90" t="str">
            <v>FORCEP, SURGICAL, DEBAKEY, MICRO, 1 MM, 8.25 IN, LIGHTWEIGHT, ROUND HANDLE, NON STERILE, LATEX</v>
          </cell>
        </row>
        <row r="91">
          <cell r="AE91" t="str">
            <v>CH04235</v>
          </cell>
          <cell r="AF91" t="str">
            <v>CARDINAL_CH04235</v>
          </cell>
          <cell r="AG91"/>
          <cell r="AI91"/>
          <cell r="AJ91" t="str">
            <v>DEL TOUCH FORCEPS RND HNDL LITE 1X2TEETH</v>
          </cell>
          <cell r="AL91">
            <v>743</v>
          </cell>
          <cell r="AM91" t="str">
            <v>PRODIGO1056529</v>
          </cell>
          <cell r="AO91" t="str">
            <v>42291802  Surgical clamps or clips or forceps</v>
          </cell>
          <cell r="AR91" t="str">
            <v>DELICATE TOUCH MICRO FORCEPS LIGHTWEIGHT 1 X 2 TEETH ROUND HANDLE PLATFORM TIPS 0.8MM WIDE MIRROR AND SATIN FINISH OVERALL LENGTH 18.1CM FORCEP SURGICAL MICRO 0.8 MMX18.1 CM 1X2 TEETH WIDE LIGHTWEIGHT ROUND HANDLE PLATFORM TIP MIRROR SATIN FINISH DELICATE TOUCH</v>
          </cell>
          <cell r="AS91" t="str">
            <v>FORCEP, SURGICAL, PLATFORM TIP, MICRO, 0.8 MM, 7-1/8 IN, 1X2 TEETH, LIGHTWEIGHT, ROUND HANDLE, SATIN AND MIRROR FINISH, NON STERILE, DELICATE TOUCH, LATEX</v>
          </cell>
        </row>
        <row r="92">
          <cell r="AE92" t="str">
            <v>CH04242</v>
          </cell>
          <cell r="AF92" t="str">
            <v>CARDINAL_CH04242</v>
          </cell>
          <cell r="AG92"/>
          <cell r="AI92"/>
          <cell r="AJ92" t="str">
            <v>GERALD DEBAKEY FORCEPS STR 1MM TIPS 8IN</v>
          </cell>
          <cell r="AL92">
            <v>743</v>
          </cell>
          <cell r="AM92" t="str">
            <v>PRODIGO1056530</v>
          </cell>
          <cell r="AO92" t="str">
            <v>42291802  Surgical clamps or clips or forceps</v>
          </cell>
          <cell r="AR92" t="str">
            <v>GERALD-DEBAKEY FORCEPS STRAIGHT FLAT HANDLE TIPS 1MM WIDE OVERALL LENGTH 20CM FORCEP SURGICAL GERALD DEBAKEY 1 MM 20 CM STRAIGHT FLAT HANDLE TIP</v>
          </cell>
          <cell r="AS92" t="str">
            <v>FORCEP, SURGICAL, GERALD DEBAKEY, 1 MM, 8 IN, STRAIGHT, FLAT HANDLE, NON STERILE, LATEX</v>
          </cell>
        </row>
        <row r="93">
          <cell r="AE93" t="str">
            <v>CH04246</v>
          </cell>
          <cell r="AF93" t="str">
            <v>CARDINAL_CH04246</v>
          </cell>
          <cell r="AG93"/>
          <cell r="AI93"/>
          <cell r="AJ93" t="str">
            <v>DEL TOUCH GERALD FORCEPS 1MM TIP 7IN</v>
          </cell>
          <cell r="AL93">
            <v>743</v>
          </cell>
          <cell r="AM93" t="str">
            <v>PRODIGO1056531</v>
          </cell>
          <cell r="AO93" t="str">
            <v>42291802  Surgical clamps or clips or forceps</v>
          </cell>
          <cell r="AR93" t="str">
            <v>DELICATE TOUCH GERALD FORCEPS STRAIGHT FLAT HANDLE 1MM TIPS OVERALL LENGTH 17.8CM FORCEP SURGICAL GERALD 1 MM 17.8 CM STRAIGHT FLAT HANDLE TIP DELICATE TOUCH</v>
          </cell>
          <cell r="AS93" t="str">
            <v>FORCEP, SURGICAL, GERALD, 1 MM, 7 IN, STRAIGHT, FLAT HANDLE, NON STERILE, DELICATE TOUCH, LATEX</v>
          </cell>
        </row>
        <row r="94">
          <cell r="AE94" t="str">
            <v>CH04248</v>
          </cell>
          <cell r="AF94" t="str">
            <v>CARDINAL_CH04248</v>
          </cell>
          <cell r="AG94"/>
          <cell r="AI94"/>
          <cell r="AJ94" t="str">
            <v>DEL TOUCH GERALD FORCEPS STR 8IN</v>
          </cell>
          <cell r="AL94">
            <v>743</v>
          </cell>
          <cell r="AM94" t="str">
            <v>PRODIGO1056532</v>
          </cell>
          <cell r="AO94" t="str">
            <v>42291802  Surgical clamps or clips or forceps</v>
          </cell>
          <cell r="AR94" t="str">
            <v>DELICATE TOUCH GERALD FORCEPS STRAIGHT FLAT HANDLE 1MM TIPS OVERALL LENGTH 20.3CM FORCEP SURGICAL GERALD 1 MM 20.3 CM STRAIGHT FLAT HANDLE TIP DELICATE TOUCH</v>
          </cell>
          <cell r="AS94" t="str">
            <v>FORCEP, SURGICAL, GERALD, 1 MM, 8 IN, STRAIGHT, FLAT HANDLE, NON STERILE, DELICATE TOUCH, LATEX</v>
          </cell>
        </row>
        <row r="95">
          <cell r="AE95" t="str">
            <v>CH04250</v>
          </cell>
          <cell r="AF95" t="str">
            <v>CARDINAL_CH04250</v>
          </cell>
          <cell r="AG95"/>
          <cell r="AI95"/>
          <cell r="AJ95" t="str">
            <v>DEL TOUCH MICRO FORCEP LTWT 1MM RING TIP</v>
          </cell>
          <cell r="AL95">
            <v>743</v>
          </cell>
          <cell r="AM95" t="str">
            <v>PRODIGO1056533</v>
          </cell>
          <cell r="AO95" t="str">
            <v>42291802  Surgical clamps or clips or forceps</v>
          </cell>
          <cell r="AR95" t="str">
            <v>Delicate Touch Micro Forceps Lightweight. Straight. Round handle. Satin and Mirror finish. 1mm ring tips. Overall length 7-1/8in (18.1cm)</v>
          </cell>
          <cell r="AS95" t="str">
            <v>FORCEP, SURGICAL, STRAIGHT, MICRO, 1 MM, 7-1/8 IN, LIGHTWEIGHT, ROUND HANDLE, SATIN AND MIRROR FINISH, RING TIP, NON STERILE, DELICATE TOUCH, LATEX</v>
          </cell>
        </row>
        <row r="96">
          <cell r="AE96" t="str">
            <v>CH04252</v>
          </cell>
          <cell r="AF96" t="str">
            <v>CARDINAL_CH04252</v>
          </cell>
          <cell r="AG96"/>
          <cell r="AI96"/>
          <cell r="AJ96" t="str">
            <v>DEL TOUCH MICRO FORCEP LTWT 1MM RING TIP</v>
          </cell>
          <cell r="AL96">
            <v>743</v>
          </cell>
          <cell r="AM96" t="str">
            <v>PRODIGO1056534</v>
          </cell>
          <cell r="AO96" t="str">
            <v>42291802  Surgical clamps or clips or forceps</v>
          </cell>
          <cell r="AR96" t="str">
            <v>DELICATE TOUCH MICRO FORCEPS LIGHTWEIGHT STRAIGHT ROUND HANDLE SATIN AND MIRROR FINISH 1MM RING TIPS OVERALL LENGTH 21CM FORCEP SURGICAL 1 MM MICRO 21 CM LIGHTWEIGHT STRAIGHT ROUND HANDLE SATIN AND MIRROR FINISH RING TIP DELICATE TOUCH</v>
          </cell>
          <cell r="AS96" t="str">
            <v>FORCEP, SURGICAL, STRAIGHT, MICRO, 1 MM, 8.25 IN, LIGHTWEIGHT, ROUND HANDLE, SATIN AND MIRROR FINISH, RING TIP, NON STERILE, DELICATE TOUCH, LATEX</v>
          </cell>
        </row>
        <row r="97">
          <cell r="AE97" t="str">
            <v>CH04260</v>
          </cell>
          <cell r="AF97" t="str">
            <v>CARDINAL_CH04260</v>
          </cell>
          <cell r="AG97"/>
          <cell r="AI97"/>
          <cell r="AJ97" t="str">
            <v>DEL TOUCH MICRO FORCEP LTWT PLATFORM TIP</v>
          </cell>
          <cell r="AL97">
            <v>743</v>
          </cell>
          <cell r="AM97" t="str">
            <v>PRODIGO1056535</v>
          </cell>
          <cell r="AO97" t="str">
            <v>42291802  Surgical clamps or clips or forceps</v>
          </cell>
          <cell r="AR97" t="str">
            <v>DELICATE TOUCH MICRO FORCEPS LIGHTWEIGHT STRAIGHT PLATFORM TIPS ROUND HANDLE MIRROR AND SATIN FINISH OVERALL LENGTH 18.1CM FORCEP SURGICAL MICRO 18.1 CM LIGHTWEIGHT STRAIGHT ROUND HANDLE SATIN AND MIRROR FINISH PLATFORM TIP DELICATE TOUCH</v>
          </cell>
          <cell r="AS97" t="str">
            <v>FORCEP, SURGICAL, STRAIGHT, MICRO, 7-1/8 IN, LIGHTWEIGHT, ROUND HANDLE, SATIN AND MIRROR FINISH, PLATFORM TIP, NON STERILE, DELICATE TOUCH, LATEX</v>
          </cell>
        </row>
        <row r="98">
          <cell r="AE98" t="str">
            <v>CH04262</v>
          </cell>
          <cell r="AF98" t="str">
            <v>CARDINAL_CH04262</v>
          </cell>
          <cell r="AG98"/>
          <cell r="AI98"/>
          <cell r="AJ98" t="str">
            <v>DEL TOUCH MICRO FORCEP LTWT PLATFORM TIP</v>
          </cell>
          <cell r="AL98">
            <v>743</v>
          </cell>
          <cell r="AM98" t="str">
            <v>PRODIGO1056536</v>
          </cell>
          <cell r="AO98" t="str">
            <v>42291802  Surgical clamps or clips or forceps</v>
          </cell>
          <cell r="AR98" t="str">
            <v>Delicate Touch Micro Forceps Lightweight. Straight. Platform tips. Round handle. Mirror and Satin Finish. 8-1/4in (21cm)</v>
          </cell>
          <cell r="AS98" t="str">
            <v>FORCEP, SURGICAL, STRAIGHT, MICRO, 8.25 IN, LIGHTWEIGHT, ROUND HANDLE, SATIN AND MIRROR FINISH, PLATFORM TIP, NON STERILE, DELICATE TOUCH, LATEX</v>
          </cell>
        </row>
        <row r="99">
          <cell r="AE99" t="str">
            <v>CH04280</v>
          </cell>
          <cell r="AF99" t="str">
            <v>CARDINAL_CH04280</v>
          </cell>
          <cell r="AG99"/>
          <cell r="AI99"/>
          <cell r="AJ99" t="str">
            <v>DEL TOUCH MICRO FORCEPS 1MM TIPS STR</v>
          </cell>
          <cell r="AL99">
            <v>743</v>
          </cell>
          <cell r="AM99" t="str">
            <v>PRODIGO1056537</v>
          </cell>
          <cell r="AO99" t="str">
            <v>42291802  Surgical clamps or clips or forceps</v>
          </cell>
          <cell r="AR99" t="str">
            <v>DELICATE TOUCH MICRO FORCEPS LIGHTWEIGHT STRAIGHT 1MM PLATFORM RING TIPS ROUND HANDLE OVERALL LENGTH 18.1CM FORCEP SURGICAL 1 MM MICRO 18.1 CM LIGHTWEIGHT STRAIGHT ROUND HANDLE PLATFORM TIP DELICATE TOUCH</v>
          </cell>
          <cell r="AS99" t="str">
            <v>FORCEP, SURGICAL, STRAIGHT, MICRO, 1 MM, 7-1/8 IN, LIGHTWEIGHT, ROUND HANDLE, PLATFORM TIP, NON STERILE, DELICATE TOUCH, LATEX</v>
          </cell>
        </row>
        <row r="100">
          <cell r="AE100" t="str">
            <v>CH04320</v>
          </cell>
          <cell r="AF100" t="str">
            <v>CARDINAL_CH04320</v>
          </cell>
          <cell r="AG100"/>
          <cell r="AI100"/>
          <cell r="AJ100" t="str">
            <v>DEL TOUCH DENNIS MICRO FORCEP 2MMTIP STR</v>
          </cell>
          <cell r="AL100">
            <v>743</v>
          </cell>
          <cell r="AM100" t="str">
            <v>PRODIGO1056538</v>
          </cell>
          <cell r="AO100" t="str">
            <v>42291802  Surgical clamps or clips or forceps</v>
          </cell>
          <cell r="AR100" t="str">
            <v>DELICATE TOUCH DENNIS MICRO FORCEPS ROUND HANDLE 2MM RING TIPS STRAIGHT OVERALL LENGTH 17.8CM FORCEP SURGICAL DENNIS 2 MM MICRO 17.8 CM ROUND HANDLE RING TIP STRAIGHT DELICATE TOUCH</v>
          </cell>
          <cell r="AS100" t="str">
            <v>FORCEP, SURGICAL, DENNIS, MICRO, 2 MM, 7 IN, STRAIGHT, ROUND HANDLE, RING TIP, NON STERILE, DELICATE TOUCH, LATEX</v>
          </cell>
        </row>
        <row r="101">
          <cell r="AE101" t="str">
            <v>CH0444</v>
          </cell>
          <cell r="AF101" t="str">
            <v>CARDINAL_CH0444</v>
          </cell>
          <cell r="AG101"/>
          <cell r="AI101"/>
          <cell r="AJ101" t="str">
            <v>DEBAKEY TISSUE FORCEPS STR LGTH 7-3/4IN</v>
          </cell>
          <cell r="AL101">
            <v>743</v>
          </cell>
          <cell r="AM101" t="str">
            <v>PRODIGO1056539</v>
          </cell>
          <cell r="AO101" t="str">
            <v>42291802  Surgical clamps or clips or forceps</v>
          </cell>
          <cell r="AR101" t="str">
            <v>DEBAKEY TISSUE FORCEPS STRAIGHT FLUTED HANDLE OVERALL LENGTH 19.7CM 1MM TIPS FORCEP SURGICAL DEBAKEY 1 MM 19.7 CM TISSUE STRAIGHT FLUTED HANDLE TIP</v>
          </cell>
          <cell r="AS101" t="str">
            <v>FORCEP, SURGICAL, DEBAKEY, 1 MM, 7.75 IN, TISSUE, STRAIGHT, FLUTED HANDLE, NON STERILE, LATEX</v>
          </cell>
        </row>
        <row r="102">
          <cell r="AE102" t="str">
            <v>CH0446</v>
          </cell>
          <cell r="AF102" t="str">
            <v>CARDINAL_CH0446</v>
          </cell>
          <cell r="AG102"/>
          <cell r="AI102"/>
          <cell r="AJ102" t="str">
            <v>DEBAKEY TISSUE FORCEPS STR LGTH 7-3/4IN</v>
          </cell>
          <cell r="AL102">
            <v>743</v>
          </cell>
          <cell r="AM102" t="str">
            <v>PRODIGO1056540</v>
          </cell>
          <cell r="AO102" t="str">
            <v>42291802  Surgical clamps or clips or forceps</v>
          </cell>
          <cell r="AR102" t="str">
            <v>DEBAKEY TISSUE FORCEPS STRAIGHT FLUTED HANDLE OVERALL LENGTH 19.7CM 2MM TIPS FORCEP SURGICAL DEBAKEY 2 MM 19.7 CM TISSUE STRAIGHT FLUTED HANDLE TIP</v>
          </cell>
          <cell r="AS102" t="str">
            <v>FORCEP, SURGICAL, DEBAKEY, 2 MM, 7.75 IN, TISSUE, STRAIGHT, FLUTED HANDLE, NON STERILE, LATEX</v>
          </cell>
        </row>
        <row r="103">
          <cell r="AE103" t="str">
            <v>CH0477</v>
          </cell>
          <cell r="AF103" t="str">
            <v>CARDINAL_CH0477</v>
          </cell>
          <cell r="AG103"/>
          <cell r="AI103"/>
          <cell r="AJ103" t="str">
            <v>GERALD FORCEPS STR OVERALL LGTH 7-3/4IN</v>
          </cell>
          <cell r="AL103">
            <v>743</v>
          </cell>
          <cell r="AM103" t="str">
            <v>PRODIGO1056541</v>
          </cell>
          <cell r="AO103" t="str">
            <v>42291802  Surgical clamps or clips or forceps</v>
          </cell>
          <cell r="AR103" t="str">
            <v>GERALD FORCEPS STRAIGHT FLAT HANDLE CROSS SERRATED TIPS 1MM WIDE OVERALL LENGTH 19.7CM FORCEP SURGICAL GERALD 1 MM 19.7 CM STRAIGHT FLAT HANDLE CROSS SERRATED TIP WIDE</v>
          </cell>
          <cell r="AS103" t="str">
            <v>FORCEP, SURGICAL, GERALD, 1 MM, 7.75 IN, STRAIGHT, FLAT HANDLE, CROSS SERRATED TIP, NON STERILE, LATEX</v>
          </cell>
        </row>
        <row r="104">
          <cell r="AE104" t="str">
            <v>CH0479</v>
          </cell>
          <cell r="AF104" t="str">
            <v>CARDINAL_CH0479</v>
          </cell>
          <cell r="AG104"/>
          <cell r="AI104"/>
          <cell r="AJ104" t="str">
            <v>GERALD FORCEPS STR OVER LGTH 10IN</v>
          </cell>
          <cell r="AL104">
            <v>743</v>
          </cell>
          <cell r="AM104" t="str">
            <v>PRODIGO1056542</v>
          </cell>
          <cell r="AO104" t="str">
            <v>42291802  Surgical clamps or clips or forceps</v>
          </cell>
          <cell r="AR104" t="str">
            <v>GERALD Forceps Straight. Flat handle Cross-serrated tips 1mm wide. Overall length 10in (25.4cm)</v>
          </cell>
          <cell r="AS104" t="str">
            <v>FORCEP, SURGICAL, GERALD, 1 MM, 10 IN, STRAIGHT, FLAT HANDLE, CROSS SERRATED TIP, NON STERILE, LATEX</v>
          </cell>
        </row>
        <row r="105">
          <cell r="AE105" t="str">
            <v>CH047912</v>
          </cell>
          <cell r="AF105" t="str">
            <v>CARDINAL_CH047912</v>
          </cell>
          <cell r="AG105"/>
          <cell r="AI105"/>
          <cell r="AJ105" t="str">
            <v>GERALD FORCEPS STR OVER LGTH 12IN</v>
          </cell>
          <cell r="AL105">
            <v>743</v>
          </cell>
          <cell r="AM105" t="str">
            <v>PRODIGO1056543</v>
          </cell>
          <cell r="AO105" t="str">
            <v>42291802  Surgical clamps or clips or forceps</v>
          </cell>
          <cell r="AR105" t="str">
            <v>GERALD Forceps Straight. Flat handle Cross-serrated tips 1.5mm wide. Overall length 12in (30.5cm)</v>
          </cell>
          <cell r="AS105" t="str">
            <v>FORCEP, SURGICAL, GERALD, 1.5 MM, 12 IN, STRAIGHT, FLAT HANDLE, CROSS SERRATED TIP, NON STERILE, LATEX</v>
          </cell>
        </row>
        <row r="106">
          <cell r="AE106" t="str">
            <v>CH0495</v>
          </cell>
          <cell r="AF106" t="str">
            <v>CARDINAL_CH0495</v>
          </cell>
          <cell r="AG106"/>
          <cell r="AI106"/>
          <cell r="AJ106" t="str">
            <v>DEL TOUCH FORCEPS RND HNDL STR PLATFORM</v>
          </cell>
          <cell r="AL106">
            <v>743</v>
          </cell>
          <cell r="AM106" t="str">
            <v>PRODIGO1056544</v>
          </cell>
          <cell r="AO106" t="str">
            <v>42291802  Surgical clamps or clips or forceps</v>
          </cell>
          <cell r="AR106" t="str">
            <v>DELICATE TOUCH MICRO FORCEPS ROUND HANDLE STRAIGHT PLATFORM TIPS 0.9MM WIDE OVERALL LENGTH 18.1CM FORCEP SURGICAL 0.9 MM MICRO 18.1 CM WIDE ROUND HANDLE STRAIGHT PLATFORM TIP DELICATE TOUCH</v>
          </cell>
          <cell r="AS106" t="str">
            <v>FORCEP, SURGICAL, STRAIGHT, MICRO, 0.9 MM, 7-1/8 IN, ROUND HANDLE, PLATFORM TIP, NON STERILE, DELICATE TOUCH, LATEX</v>
          </cell>
        </row>
        <row r="107">
          <cell r="AE107" t="str">
            <v>CH0496</v>
          </cell>
          <cell r="AF107" t="str">
            <v>CARDINAL_CH0496</v>
          </cell>
          <cell r="AG107"/>
          <cell r="AI107"/>
          <cell r="AJ107" t="str">
            <v>DEL TOUCH FORCEP RND HNDL PLATFM TIP CVD</v>
          </cell>
          <cell r="AL107">
            <v>743</v>
          </cell>
          <cell r="AM107" t="str">
            <v>PRODIGO1056545</v>
          </cell>
          <cell r="AO107" t="str">
            <v>42291802  Surgical clamps or clips or forceps</v>
          </cell>
          <cell r="AR107" t="str">
            <v>DELICATE TOUCH MICRO FORCEPS ROUND HANDLE CURVED PLATFORM TIPS 0.8MM WIDE OVERALL LENGTH 18.1CM FORCEP SURGICAL 0.8 MM MICRO 18.1 CM WIDE ROUND HANDLE CURVED PLATFORM TIP DELICATE TOUCH</v>
          </cell>
          <cell r="AS107" t="str">
            <v>FORCEP, SURGICAL, CURVED, MICRO, 0.8 MM, 7-1/8 IN, ROUND HANDLE, PLATFORM TIP, NON STERILE, DELICATE TOUCH, LATEX</v>
          </cell>
        </row>
        <row r="108">
          <cell r="AE108" t="str">
            <v>CH0497</v>
          </cell>
          <cell r="AF108" t="str">
            <v>CARDINAL_CH0497</v>
          </cell>
          <cell r="AG108"/>
          <cell r="AI108"/>
          <cell r="AJ108" t="str">
            <v>DEL TOUCH MICRO FORCEP LTWT STR RND HNDL</v>
          </cell>
          <cell r="AL108">
            <v>743</v>
          </cell>
          <cell r="AM108" t="str">
            <v>PRODIGO1056546</v>
          </cell>
          <cell r="AO108" t="str">
            <v>42291802  Surgical clamps or clips or forceps</v>
          </cell>
          <cell r="AR108" t="str">
            <v>DELICATE TOUCH MICRO FORCEPS ROUND HANDLE LIGHTWEIGHT STRAIGHT OVERALL LENGTH 18.1CM FORCEP SURGICAL MICRO 18.1 CM ROUND HANDLE LIGHTWEIGHT STRAIGHT DELICATE TOUCH</v>
          </cell>
          <cell r="AS108" t="str">
            <v>FORCEP, SURGICAL, STRAIGHT, MICRO, 7-1/8 IN, LIGHTWEIGHT, ROUND HANDLE, NON STERILE, DELICATE TOUCH, LATEX</v>
          </cell>
        </row>
        <row r="109">
          <cell r="AE109" t="str">
            <v>CH0498</v>
          </cell>
          <cell r="AF109" t="str">
            <v>CARDINAL_CH0498</v>
          </cell>
          <cell r="AG109"/>
          <cell r="AI109"/>
          <cell r="AJ109" t="str">
            <v>DEL TOUCH FORCEPS RND HNDL STR PLATFORM</v>
          </cell>
          <cell r="AL109">
            <v>743</v>
          </cell>
          <cell r="AM109" t="str">
            <v>PRODIGO1056547</v>
          </cell>
          <cell r="AO109" t="str">
            <v>42291802  Surgical clamps or clips or forceps</v>
          </cell>
          <cell r="AR109" t="str">
            <v>DELICATE TOUCH MICRO FORCEPS ROUND HANDLE STRAIGHT PLATFORM TIPS 0.9MM WIDE OVERALL LENGTH 21CM FORCEP SURGICAL 0.9 MM MICRO 21 CM WIDE ROUND HANDLE STRAIGHT PLATFORM TIP DELICATE TOUCH</v>
          </cell>
          <cell r="AS109" t="str">
            <v>FORCEP, SURGICAL, STRAIGHT, MICRO, 0.9 MM, 8.25 IN, ROUND HANDLE, PLATFORM TIP, NON STERILE, DELICATE TOUCH, LATEX</v>
          </cell>
        </row>
        <row r="110">
          <cell r="AE110" t="str">
            <v>CH0499</v>
          </cell>
          <cell r="AF110" t="str">
            <v>CARDINAL_CH0499</v>
          </cell>
          <cell r="AG110"/>
          <cell r="AI110"/>
          <cell r="AJ110" t="str">
            <v>DEL TOUCH FORCEP RND HNDL PLATFM TIP CVD</v>
          </cell>
          <cell r="AL110">
            <v>743</v>
          </cell>
          <cell r="AM110" t="str">
            <v>PRODIGO1056548</v>
          </cell>
          <cell r="AO110" t="str">
            <v>42291802  Surgical clamps or clips or forceps</v>
          </cell>
          <cell r="AR110" t="str">
            <v>DELICATE TOUCH MICRO FORCEPS ROUND HANDLE CURVED PLATFORM TIPS 0.8MM WIDE OVERALL LENGTH 21CM FORCEP SURGICAL 0.8 MM MICRO 21 CM WIDE ROUND HANDLE CURVED PLATFORM TIP DELICATE TOUCH</v>
          </cell>
          <cell r="AS110" t="str">
            <v>FORCEP, SURGICAL, CURVED, MICRO, 0.8 MM, 8.25 IN, ROUND HANDLE, PLATFORM TIP, NON STERILE, DELICATE TOUCH, LATEX</v>
          </cell>
        </row>
        <row r="111">
          <cell r="AE111" t="str">
            <v>CH06100</v>
          </cell>
          <cell r="AF111" t="str">
            <v>CARDINAL_CH06100</v>
          </cell>
          <cell r="AG111"/>
          <cell r="AI111"/>
          <cell r="AJ111" t="str">
            <v>DEL TOUCH JCBSN MICRO NEEDLE HOLDER STR</v>
          </cell>
          <cell r="AL111">
            <v>743</v>
          </cell>
          <cell r="AM111" t="str">
            <v>PRODIGO1056549</v>
          </cell>
          <cell r="AO111" t="str">
            <v>42292903  Surgical needle holders</v>
          </cell>
          <cell r="AR111" t="str">
            <v>HOLDER NEEDLE JACOBSON MICRO 8 IN STRAIGHT DUST JAW TEETH FLAT RATCHET SPRING KNURLED HANDLE LOCK SATIN FINISH FOR 5-0 SMALL SUTURE DELICATE TOUCH</v>
          </cell>
          <cell r="AS111" t="str">
            <v>HOLDER, NEEDLE, JACOBSON, MICRO, 8 IN, STRAIGHT, DUST JAW, FLAT TEETH, RATCHET, SPRING KNURLED HANDLE, LOCK SATIN FINISH FOR 5-0 SMALL SUTURE, NON STERILE, DELICATE TOUCH, LATEX</v>
          </cell>
        </row>
        <row r="112">
          <cell r="AE112" t="str">
            <v>CH06110</v>
          </cell>
          <cell r="AF112" t="str">
            <v>CARDINAL_CH06110</v>
          </cell>
          <cell r="AG112"/>
          <cell r="AI112"/>
          <cell r="AJ112" t="str">
            <v>DEL TOUCH JACOBSON NDL HOLDER STR 8-1/2</v>
          </cell>
          <cell r="AL112">
            <v>743</v>
          </cell>
          <cell r="AM112" t="str">
            <v>PRODIGO1056550</v>
          </cell>
          <cell r="AO112" t="str">
            <v>42292903  Surgical needle holders</v>
          </cell>
          <cell r="AR112" t="str">
            <v>HOLDER NEEDLE JACOBSON 8.5 IN MICRO STRAIGHT DUST FLAT WITHOUT LOCK SPRING HANDLE MIRROR SATIN FINISH STAINLESS STEEL DELICATE TOUCH</v>
          </cell>
          <cell r="AS112" t="str">
            <v>HOLDER, NEEDLE, JACOBSON, MICRO, 8.5 IN, STRAIGHT, SPRING HANDLE, WITHOUT LOCK, SATIN AND MIRROR FINISH, STAINLESS STEEL, NON STERILE, DELICATE TOUCH, LATEX</v>
          </cell>
        </row>
        <row r="113">
          <cell r="AE113" t="str">
            <v>CH06120</v>
          </cell>
          <cell r="AF113" t="str">
            <v>CARDINAL_CH06120</v>
          </cell>
          <cell r="AG113"/>
          <cell r="AI113"/>
          <cell r="AJ113" t="str">
            <v>DEL TOUCH JCBSN NEEDLE HOLDER STR 8-1/4</v>
          </cell>
          <cell r="AL113">
            <v>743</v>
          </cell>
          <cell r="AM113" t="str">
            <v>PRODIGO1056551</v>
          </cell>
          <cell r="AO113" t="str">
            <v>42292903  Surgical needle holders</v>
          </cell>
          <cell r="AR113" t="str">
            <v>HOLDER NEEDLE JACOBSON 8.25 IN MICRO STRAIGHT DUST ROUND SPRING HANDLE WITH LOCK MIRROR SATIN FINISH STAINLESS STEEL DELICATE TOUCH</v>
          </cell>
          <cell r="AS113" t="str">
            <v>HOLDER, NEEDLE, JACOBSON, MICRO, 8.25 IN, STRAIGHT, ROUND SPRING HANDLE, WITH LOCK, SATIN AND MIRROR FINISH, STAINLESS STEEL, NON STERILE, DELICATE TOUCH, LATEX</v>
          </cell>
        </row>
        <row r="114">
          <cell r="AE114" t="str">
            <v>CH06121</v>
          </cell>
          <cell r="AF114" t="str">
            <v>CARDINAL_CH06121</v>
          </cell>
          <cell r="AG114"/>
          <cell r="AI114"/>
          <cell r="AJ114" t="str">
            <v>DEL TOUCH JCBSN NEEDLE HOLDER STR 8-1/4</v>
          </cell>
          <cell r="AL114">
            <v>743</v>
          </cell>
          <cell r="AM114" t="str">
            <v>PRODIGO1056552</v>
          </cell>
          <cell r="AO114" t="str">
            <v>42292903  Surgical needle holders</v>
          </cell>
          <cell r="AR114" t="str">
            <v>HOLDER NEEDLE JACOBSON 8.25 IN MICRO STRAIGHT WITH LOCK DUST ROUND SPRING HANDLE MIRROR SATIN FINISH STAINLESS STEEL DELICATE TOUCH</v>
          </cell>
          <cell r="AS114" t="str">
            <v>HOLDER, NEEDLE, JACOBSON, MICRO, 8.25 IN, STRAIGHT, ROUND SPRING HANDLE, WITH LOCK , SATIN AND MIRROR FINISH, STAINLESS STEEL, NON STERILE, DELICATE TOUCH, LATEX</v>
          </cell>
        </row>
        <row r="115">
          <cell r="AE115" t="str">
            <v>CH06122</v>
          </cell>
          <cell r="AF115" t="str">
            <v>CARDINAL_CH06122</v>
          </cell>
          <cell r="AG115"/>
          <cell r="AI115"/>
          <cell r="AJ115" t="str">
            <v>DEL TOUCH JCBSN NEEDLE HOLDER STR 8-1/4</v>
          </cell>
          <cell r="AL115">
            <v>743</v>
          </cell>
          <cell r="AM115" t="str">
            <v>PRODIGO1056553</v>
          </cell>
          <cell r="AO115" t="str">
            <v>42292903  Surgical needle holders</v>
          </cell>
          <cell r="AR115" t="str">
            <v>HOLDER NEEDLE JACOBSON 8.25 IN MICRO STRAIGHT DUST ROUND SPRING HANDLE WITHOUT LOCK MIRROR SATIN FINISH STAINLESS STEEL DELICATE TOUCH</v>
          </cell>
          <cell r="AS115" t="str">
            <v>HOLDER, NEEDLE, JACOBSON, MICRO, 8.25 IN, STRAIGHT, ROUND SPRING HANDLE, WITHOUT LOCK, SATIN AND MIRROR FINISH, STAINLESS STEEL, NON STERILE, DELICATE TOUCH, LATEX</v>
          </cell>
        </row>
        <row r="116">
          <cell r="AE116" t="str">
            <v>CH06123</v>
          </cell>
          <cell r="AF116" t="str">
            <v>CARDINAL_CH06123</v>
          </cell>
          <cell r="AG116"/>
          <cell r="AI116"/>
          <cell r="AJ116" t="str">
            <v>DEL TOUCH JCBSN NEEDLE HOLDER STR 8-1/4</v>
          </cell>
          <cell r="AL116">
            <v>743</v>
          </cell>
          <cell r="AM116" t="str">
            <v>PRODIGO1056554</v>
          </cell>
          <cell r="AO116" t="str">
            <v>42292903  Surgical needle holders</v>
          </cell>
          <cell r="AR116" t="str">
            <v>DELICATE TOUCH NEEDLE HOLDER 8-1/4 IN MICRO SHORT STAINLESS-STEEL CARDIOVASCULAR JACOBSON STRAIGHT DUSTED TEETH SATIN FINISH SPRING HANDLE ROUND STYLE WITH LOCK</v>
          </cell>
          <cell r="AS116" t="str">
            <v>HOLDER, NEEDLE, JACOBSON, MICRO, 8.25 IN, CARDIOVASCULAR, STRAIGHT, DUST TEETH, ROUND HANDLE, WITH LOCK, SATIN FINISH, STAINLESS-STEEL, NON STERILE, DELICATE TOUCH, LATEX</v>
          </cell>
        </row>
        <row r="117">
          <cell r="AE117" t="str">
            <v>CH06125</v>
          </cell>
          <cell r="AF117" t="str">
            <v>CARDINAL_CH06125</v>
          </cell>
          <cell r="AG117"/>
          <cell r="AI117"/>
          <cell r="AJ117" t="str">
            <v>DEL TOUCH JCBSN NEEDLE HOLDER CVD 8-1/4</v>
          </cell>
          <cell r="AL117">
            <v>743</v>
          </cell>
          <cell r="AM117" t="str">
            <v>PRODIGO1056555</v>
          </cell>
          <cell r="AO117" t="str">
            <v>42292903  Surgical needle holders</v>
          </cell>
          <cell r="AR117" t="str">
            <v>HOLDER NEEDLE JACOBSON 8.25 IN MICRO CURVED WITH LOCK DUST ROUND SPRING HANDLE MIRROR SATIN FINISH STAINLESS STEEL DELICATE TOUCH</v>
          </cell>
          <cell r="AS117" t="str">
            <v>HOLDER, NEEDLE, JACOBSON, MICRO, 8.25 IN, CURVED, SPRING HANDLE, WITH LOCK ROUND, SATIN AND MIRROR FINISH, STAINLESS STEEL, NON STERILE, DELICATE TOUCH, LATEX</v>
          </cell>
        </row>
        <row r="118">
          <cell r="AE118" t="str">
            <v>CH06126</v>
          </cell>
          <cell r="AF118" t="str">
            <v>CARDINAL_CH06126</v>
          </cell>
          <cell r="AG118"/>
          <cell r="AI118"/>
          <cell r="AJ118" t="str">
            <v>DEL TOUCH JCBSN NEEDLE HOLDER CVD 8-1/4</v>
          </cell>
          <cell r="AL118">
            <v>743</v>
          </cell>
          <cell r="AM118" t="str">
            <v>PRODIGO1056556</v>
          </cell>
          <cell r="AO118" t="str">
            <v>42292903  Surgical needle holders</v>
          </cell>
          <cell r="AR118" t="str">
            <v>Delicate Touch JACOBSON Micro Needle Holders Round handle. Spiral cut. Mirror and Satin Finish. Overall length 8-1/4in (21cm). Curved. Without lock.</v>
          </cell>
          <cell r="AS118" t="str">
            <v>HOLDER, NEEDLE, JACOBSON, MICRO, 8.25 IN, CURVED, ROUND HANDLE, SPIRAL CUT, WITHOUT LOCK, SATIN AND MIRROR FINISH, NON STERILE, DELICATE TOUCH, LATEX</v>
          </cell>
        </row>
        <row r="119">
          <cell r="AE119" t="str">
            <v>CH06127</v>
          </cell>
          <cell r="AF119" t="str">
            <v>CARDINAL_CH06127</v>
          </cell>
          <cell r="AG119"/>
          <cell r="AI119"/>
          <cell r="AJ119" t="str">
            <v>DEL TOUCH JCBSN NEEDLE HOLDER CVD 8-1/4</v>
          </cell>
          <cell r="AL119">
            <v>743</v>
          </cell>
          <cell r="AM119" t="str">
            <v>PRODIGO1056557</v>
          </cell>
          <cell r="AO119" t="str">
            <v>42292903  Surgical needle holders</v>
          </cell>
          <cell r="AR119" t="str">
            <v>Delicate Touch JACOBSON Micro Needle Holders Round handle. Mirror and Satin Finish. Curved. Without lock. Overall length 8-1/4in (21cm).</v>
          </cell>
          <cell r="AS119" t="str">
            <v>HOLDER, NEEDLE, JACOBSON, MICRO, 8.25 IN, CURVED, ROUND HANDLE, WITHOUT LOCK, SATIN AND MIRROR FINISH, NON STERILE, DELICATE TOUCH, LATEX</v>
          </cell>
        </row>
        <row r="120">
          <cell r="AE120" t="str">
            <v>CH06130</v>
          </cell>
          <cell r="AF120" t="str">
            <v>CARDINAL_CH06130</v>
          </cell>
          <cell r="AG120"/>
          <cell r="AI120"/>
          <cell r="AJ120" t="str">
            <v>DEL TOUCH JCBSN NEEDLE HOLDER STR 9IN</v>
          </cell>
          <cell r="AL120">
            <v>743</v>
          </cell>
          <cell r="AM120" t="str">
            <v>PRODIGO1056558</v>
          </cell>
          <cell r="AO120" t="str">
            <v>42292903  Surgical needle holders</v>
          </cell>
          <cell r="AR120" t="str">
            <v>HOLDER NEEDLE JACOBSON 9 IN MICRO STRAIGHT DUST ROUND SPRING HANDLE WITHOUT LOCK MIRROR SATIN FINISH STAINLESS STEEL DELICATE TOUCH</v>
          </cell>
          <cell r="AS120" t="str">
            <v>HOLDER, NEEDLE, JACOBSON, MICRO, 9 IN, STRAIGHT, ROUND SPRING HANDLE, WITHOUT LOCK, SATIN AND MIRROR FINISH, STAINLESS STEEL, NON STERILE, DELICATE TOUCH, LATEX</v>
          </cell>
        </row>
        <row r="121">
          <cell r="AE121" t="str">
            <v>CH06148</v>
          </cell>
          <cell r="AF121" t="str">
            <v>CARDINAL_CH06148</v>
          </cell>
          <cell r="AG121"/>
          <cell r="AI121"/>
          <cell r="AJ121" t="str">
            <v>DEL TOUCH JACOBSON RING NDL HDLR W/CATCH</v>
          </cell>
          <cell r="AL121">
            <v>743</v>
          </cell>
          <cell r="AM121" t="str">
            <v>PRODIGO1056559</v>
          </cell>
          <cell r="AO121" t="str">
            <v>42292903  Surgical needle holders</v>
          </cell>
          <cell r="AR121" t="str">
            <v>Delicate Touch JACOBSON Ring-Handled Micro Needle Holders With lock. Mirror and Satin Finish. 7-1/4in (18.4cm).</v>
          </cell>
          <cell r="AS121" t="str">
            <v>HOLDER, NEEDLE, JACOBSON, MICRO, 7.25 IN, RING HANDLE, WITH LOCK, SATIN AND MIRROR FINISH, NON STERILE, DELICATE TOUCH, LATEX</v>
          </cell>
        </row>
        <row r="122">
          <cell r="AE122" t="str">
            <v>CH06152</v>
          </cell>
          <cell r="AF122" t="str">
            <v>CARDINAL_CH06152</v>
          </cell>
          <cell r="AG122"/>
          <cell r="AI122"/>
          <cell r="AJ122" t="str">
            <v>DEL TOUCH JACOBSON RING NDL HLDR W/CATCH</v>
          </cell>
          <cell r="AL122">
            <v>743</v>
          </cell>
          <cell r="AM122" t="str">
            <v>PRODIGO1056560</v>
          </cell>
          <cell r="AO122" t="str">
            <v>42292903  Surgical needle holders</v>
          </cell>
          <cell r="AR122" t="str">
            <v>Delicate Touch JACOBSON Ring-Handled Micro Needle Holders With lock. Mirror and Satin Finish. 9in (22.9cm)</v>
          </cell>
          <cell r="AS122" t="str">
            <v>HOLDER, NEEDLE, JACOBSON, MICRO, 9 IN, RING HANDLE, WITH LOCK, SATIN AND MIRROR FINISH, NON STERILE, DELICATE TOUCH, LATEX</v>
          </cell>
        </row>
        <row r="123">
          <cell r="AE123" t="str">
            <v>CH06158</v>
          </cell>
          <cell r="AF123" t="str">
            <v>CARDINAL_CH06158</v>
          </cell>
          <cell r="AG123"/>
          <cell r="AI123"/>
          <cell r="AJ123" t="str">
            <v>DEL TOUCH JACOBSON NDL HOLDER STR 9-1/2</v>
          </cell>
          <cell r="AL123">
            <v>743</v>
          </cell>
          <cell r="AM123" t="str">
            <v>PRODIGO1056561</v>
          </cell>
          <cell r="AO123" t="str">
            <v>42292903  Surgical needle holders</v>
          </cell>
          <cell r="AR123" t="str">
            <v>HOLDER NEEDLE JACOBSON 9.5 IN MICRO STRAIGHT WITH LOCK DUST ROUND SPRING HANDLE MIRROR SATIN FINISH STAINLESS STEEL DELICATE TOUCH</v>
          </cell>
          <cell r="AS123" t="str">
            <v>HOLDER, NEEDLE, JACOBSON, MICRO, 9.5 IN, STRAIGHT, ROUND SPRING HANDLE, WITH LOCK, SATIN AND MIRROR FINISH, STAINLESS STEEL, NON STERILE, DELICATE TOUCH, LATEX</v>
          </cell>
        </row>
        <row r="124">
          <cell r="AE124" t="str">
            <v>CH06159</v>
          </cell>
          <cell r="AF124" t="str">
            <v>CARDINAL_CH06159</v>
          </cell>
          <cell r="AG124"/>
          <cell r="AI124"/>
          <cell r="AJ124" t="str">
            <v>DEL TOUCH JACOBSON NDL HOLDER STR 9-1/2</v>
          </cell>
          <cell r="AL124">
            <v>743</v>
          </cell>
          <cell r="AM124" t="str">
            <v>PRODIGO1056562</v>
          </cell>
          <cell r="AO124" t="str">
            <v>42292903  Surgical needle holders</v>
          </cell>
          <cell r="AR124" t="str">
            <v>HOLDER NEEDLE JACOBSON 9.5 IN MICRO STRAIGHT DUST FLAT WITHOUT LOCK SPRING HANDLE MIRROR SATIN FINISH STAINLESS STEEL DELICATE TOUCH</v>
          </cell>
          <cell r="AS124" t="str">
            <v>HOLDER, NEEDLE, JACOBSON, MICRO, 9.5 IN, STRAIGHT, DUST FLAT, SPRING HANDLE, WITHOUT LOCK, SATIN AND MIRROR FINISH, STAINLESS STEEL, NON STERILE, DELICATE TOUCH, LATEX</v>
          </cell>
        </row>
        <row r="125">
          <cell r="AE125" t="str">
            <v>CH06160</v>
          </cell>
          <cell r="AF125" t="str">
            <v>CARDINAL_CH06160</v>
          </cell>
          <cell r="AG125"/>
          <cell r="AI125"/>
          <cell r="AJ125" t="str">
            <v>DEL TOUCH JACOBSON NDL HOLDER CVD 9-1/2</v>
          </cell>
          <cell r="AL125">
            <v>743</v>
          </cell>
          <cell r="AM125" t="str">
            <v>PRODIGO1056563</v>
          </cell>
          <cell r="AO125" t="str">
            <v>42292903  Surgical needle holders</v>
          </cell>
          <cell r="AR125" t="str">
            <v>HOLDER NEEDLE JACOBSON 9.5 IN MICRO CURVED WITH LOCK DUST FLAT SPRING HANDLE MIRROR SATIN FINISH STAINLESS STEEL ALUMINUM DELICATE TOUCH</v>
          </cell>
          <cell r="AS125" t="str">
            <v>HOLDER, NEEDLE, JACOBSON, MICRO, 9.5 IN, CURVED, DUST FLAT, SPRING HANDLE, WITH LOCK, SATIN AND MIRROR FINISH, STAINLESS STEEL, ALUMINUM, NON STERILE, DELICATE TOUCH, LATEX</v>
          </cell>
        </row>
        <row r="126">
          <cell r="AE126" t="str">
            <v>CH0624</v>
          </cell>
          <cell r="AF126" t="str">
            <v>CARDINAL_CH0624</v>
          </cell>
          <cell r="AG126"/>
          <cell r="AI126"/>
          <cell r="AJ126" t="str">
            <v>DEL TOUCH MICRO RING HNDL NEEDLE HOLDER</v>
          </cell>
          <cell r="AL126">
            <v>743</v>
          </cell>
          <cell r="AM126" t="str">
            <v>PRODIGO1056564</v>
          </cell>
          <cell r="AO126" t="str">
            <v>42292903  Surgical needle holders</v>
          </cell>
          <cell r="AR126" t="str">
            <v>HOLDER NEEDLE MICRO 5.75 IN DUST STRAIGHT RING HANDLE SATIN FINISH STAINLESS STEEL TUNGSTEN CARBIDE DELICATE TOUCH</v>
          </cell>
          <cell r="AS126" t="str">
            <v>HOLDER, NEEDLE, STRAIGHT, MICRO, 5.75 IN, RING HANDLE, SATIN FINISH, STAINLESS STEEL, TUNGSTEN CARBIDE, NON STERILE, DELICATE TOUCH, LATEX</v>
          </cell>
        </row>
        <row r="127">
          <cell r="AE127" t="str">
            <v>CH0628</v>
          </cell>
          <cell r="AF127" t="str">
            <v>CARDINAL_CH0628</v>
          </cell>
          <cell r="AG127"/>
          <cell r="AI127"/>
          <cell r="AJ127" t="str">
            <v>DEL TOUCH MICRO RING HNDL NEEDLE HOLDER</v>
          </cell>
          <cell r="AL127">
            <v>743</v>
          </cell>
          <cell r="AM127" t="str">
            <v>PRODIGO1056565</v>
          </cell>
          <cell r="AO127" t="str">
            <v>42292903  Surgical needle holders</v>
          </cell>
          <cell r="AR127" t="str">
            <v>HOLDER NEEDLE MICRO 6.25 IN DUST STRAIGHT RING HANDLE SATIN FINISH STAINLESS STEEL TUNGSTEN CARBIDE GOLD COATED DELICATE TOUCH</v>
          </cell>
          <cell r="AS127" t="str">
            <v>HOLDER, NEEDLE, STRAIGHT, MICRO, 6.25 IN, RING HANDLE, SATIN FINISH, STAINLESS STEEL, TUNGSTEN CARBIDE, GOLD COATED, NON STERILE, DELICATE TOUCH, LATEX</v>
          </cell>
        </row>
        <row r="128">
          <cell r="AE128" t="str">
            <v>CH0632</v>
          </cell>
          <cell r="AF128" t="str">
            <v>CARDINAL_CH0632</v>
          </cell>
          <cell r="AG128"/>
          <cell r="AI128"/>
          <cell r="AJ128" t="str">
            <v>DEL TOUCH MICRO RING HNDL NEEDLE HOLDER</v>
          </cell>
          <cell r="AL128">
            <v>743</v>
          </cell>
          <cell r="AM128" t="str">
            <v>PRODIGO1056566</v>
          </cell>
          <cell r="AO128" t="str">
            <v>42292903  Surgical needle holders</v>
          </cell>
          <cell r="AR128" t="str">
            <v>HOLDER NEEDLE MICRO 7.25 IN DUST STRAIGHT RING HANDLE SATIN FINISH STAINLESS STEEL TUNGSTEN CARBIDE GOLD COATED DELICATE TOUCH</v>
          </cell>
          <cell r="AS128" t="str">
            <v>HOLDER, NEEDLE, STRAIGHT, MICRO, 7.25 IN, RING HANDLE, SATIN FINISH, STAINLESS STEEL, TUNGSTEN CARBIDE, GOLD COATED, NON STERILE, DELICATE TOUCH, LATEX</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29"/>
  <sheetViews>
    <sheetView tabSelected="1" workbookViewId="0">
      <selection activeCell="A2" sqref="A2"/>
    </sheetView>
  </sheetViews>
  <sheetFormatPr defaultColWidth="9.109375" defaultRowHeight="12" x14ac:dyDescent="0.25"/>
  <cols>
    <col min="1" max="1" width="14.33203125" style="1" customWidth="1"/>
    <col min="2" max="2" width="10.33203125" style="1" customWidth="1"/>
    <col min="3" max="3" width="25.5546875" style="1" customWidth="1"/>
    <col min="4" max="4" width="8.33203125" style="1" customWidth="1"/>
    <col min="5" max="5" width="12.88671875" style="1" customWidth="1"/>
    <col min="6" max="6" width="14.88671875" style="1" customWidth="1"/>
    <col min="7" max="7" width="13" style="1" customWidth="1"/>
    <col min="8" max="8" width="8.44140625" style="1" customWidth="1"/>
    <col min="9" max="9" width="17.5546875" style="1" customWidth="1"/>
    <col min="10" max="10" width="34.109375" style="1" customWidth="1"/>
    <col min="11" max="11" width="9.88671875" style="1" customWidth="1"/>
    <col min="12" max="12" width="13.6640625" style="1" customWidth="1"/>
    <col min="13" max="13" width="8.6640625" style="1" customWidth="1"/>
    <col min="14" max="14" width="13.33203125" style="1" customWidth="1"/>
    <col min="15" max="15" width="9" style="1" customWidth="1"/>
    <col min="16" max="16" width="13.5546875" style="1" customWidth="1"/>
    <col min="17" max="17" width="8.5546875" style="1" customWidth="1"/>
    <col min="18" max="18" width="12.33203125" style="1" customWidth="1"/>
    <col min="19" max="19" width="10.109375" style="1" customWidth="1"/>
    <col min="20" max="20" width="13.5546875" style="1" customWidth="1"/>
    <col min="21" max="21" width="11.109375" style="1" customWidth="1"/>
    <col min="22" max="22" width="10.6640625" style="1" customWidth="1"/>
    <col min="23" max="23" width="6" style="1" customWidth="1"/>
    <col min="24" max="24" width="5.6640625" style="1" customWidth="1"/>
    <col min="25" max="25" width="26.88671875" style="1" customWidth="1"/>
    <col min="26" max="26" width="28.6640625" style="1" customWidth="1"/>
    <col min="27" max="27" width="25.44140625" style="1" customWidth="1"/>
    <col min="28" max="28" width="16.44140625" style="1" customWidth="1"/>
    <col min="29" max="29" width="34.6640625" style="1" customWidth="1"/>
    <col min="30" max="30" width="17.6640625" style="1" customWidth="1"/>
    <col min="31" max="31" width="9.44140625" style="1" customWidth="1"/>
    <col min="32" max="32" width="17.6640625" style="1" customWidth="1"/>
    <col min="33" max="33" width="16" style="1" customWidth="1"/>
    <col min="34" max="34" width="22.88671875" style="1" customWidth="1"/>
    <col min="35" max="35" width="8.33203125" style="1" customWidth="1"/>
    <col min="36" max="36" width="19" style="1" customWidth="1"/>
    <col min="37" max="37" width="17.6640625" style="1" customWidth="1"/>
    <col min="38" max="38" width="91" style="1" customWidth="1"/>
    <col min="39" max="39" width="29.88671875" style="1" customWidth="1"/>
    <col min="40" max="40" width="10.109375" style="1" customWidth="1"/>
    <col min="41" max="41" width="16.6640625" style="1" customWidth="1"/>
    <col min="42" max="42" width="7.44140625" style="1" customWidth="1"/>
    <col min="43" max="43" width="56.6640625" style="1" customWidth="1"/>
    <col min="44" max="44" width="11.33203125" style="1" customWidth="1"/>
    <col min="45" max="45" width="82.6640625" style="1" customWidth="1"/>
    <col min="46" max="46" width="121.109375" style="1" customWidth="1"/>
    <col min="47" max="48" width="144.44140625" style="1" customWidth="1"/>
    <col min="49" max="49" width="131" style="1" customWidth="1"/>
    <col min="50" max="50" width="59.33203125" style="1" customWidth="1"/>
    <col min="51" max="51" width="5" style="1" customWidth="1"/>
    <col min="52" max="52" width="12.109375" style="1" customWidth="1"/>
    <col min="53" max="53" width="18.5546875" style="1" customWidth="1"/>
    <col min="54" max="54" width="16.5546875" style="1" customWidth="1"/>
    <col min="55" max="55" width="25.33203125" style="1" customWidth="1"/>
    <col min="56" max="56" width="5.109375" style="1" customWidth="1"/>
    <col min="57" max="57" width="35.6640625" style="1" customWidth="1"/>
    <col min="58" max="58" width="38.109375" style="1" customWidth="1"/>
    <col min="59" max="59" width="14.88671875" style="1" customWidth="1"/>
    <col min="60" max="60" width="8" style="1" customWidth="1"/>
    <col min="61" max="61" width="11.5546875" style="1" customWidth="1"/>
    <col min="62" max="62" width="48.5546875" style="1" customWidth="1"/>
    <col min="63" max="63" width="14.33203125" style="1" customWidth="1"/>
    <col min="64" max="64" width="27.88671875" style="1" customWidth="1"/>
    <col min="65" max="65" width="6.88671875" style="1" customWidth="1"/>
    <col min="66" max="66" width="7.88671875" style="1" customWidth="1"/>
    <col min="67" max="67" width="45.44140625" style="1" customWidth="1"/>
    <col min="68" max="69" width="10.44140625" style="1" customWidth="1"/>
    <col min="70" max="70" width="24.88671875" style="1" customWidth="1"/>
    <col min="71" max="71" width="237.109375" style="1" customWidth="1"/>
    <col min="72" max="72" width="31.44140625" style="1" customWidth="1"/>
    <col min="73" max="73" width="22.44140625" style="1" customWidth="1"/>
    <col min="74" max="74" width="18.88671875" style="1" customWidth="1"/>
    <col min="75" max="75" width="8.88671875" style="1" customWidth="1"/>
    <col min="76" max="76" width="19.33203125" style="1" customWidth="1"/>
    <col min="77" max="77" width="38.109375" style="1" customWidth="1"/>
    <col min="78" max="78" width="15.6640625" style="1" customWidth="1"/>
    <col min="79" max="79" width="11.6640625" style="1" customWidth="1"/>
    <col min="80" max="80" width="16.109375" style="1" customWidth="1"/>
    <col min="81" max="81" width="9.33203125" style="1" customWidth="1"/>
    <col min="82" max="82" width="20" style="1" customWidth="1"/>
    <col min="83" max="83" width="18.6640625" style="1" customWidth="1"/>
    <col min="84" max="84" width="8.109375" style="1" customWidth="1"/>
    <col min="85" max="85" width="35.33203125" style="1" customWidth="1"/>
    <col min="86" max="86" width="26.44140625" style="1" customWidth="1"/>
    <col min="87" max="87" width="26.88671875" style="1" customWidth="1"/>
    <col min="88" max="88" width="34.109375" style="1" customWidth="1"/>
    <col min="89" max="89" width="12.109375" style="1" customWidth="1"/>
    <col min="90" max="90" width="14" style="1" customWidth="1"/>
    <col min="91" max="91" width="6.109375" style="1" customWidth="1"/>
    <col min="92" max="92" width="18.88671875" style="1" customWidth="1"/>
    <col min="93" max="93" width="20.33203125" style="1" customWidth="1"/>
    <col min="94" max="94" width="9.88671875" style="1" customWidth="1"/>
    <col min="95" max="95" width="12.109375" style="1" customWidth="1"/>
    <col min="96" max="96" width="4.6640625" style="1" customWidth="1"/>
    <col min="97" max="97" width="12.5546875" style="1" customWidth="1"/>
    <col min="98" max="98" width="10" style="1" customWidth="1"/>
    <col min="99" max="99" width="6.44140625" style="1" customWidth="1"/>
    <col min="100" max="100" width="15.88671875" style="1" customWidth="1"/>
    <col min="101" max="101" width="10.5546875" style="1" customWidth="1"/>
    <col min="102" max="103" width="17.6640625" style="1" customWidth="1"/>
    <col min="104" max="104" width="8.6640625" style="1" customWidth="1"/>
    <col min="105" max="105" width="8.44140625" style="1" customWidth="1"/>
    <col min="106" max="106" width="8.6640625" style="1" customWidth="1"/>
    <col min="107" max="107" width="10.109375" style="1" customWidth="1"/>
    <col min="108" max="108" width="9.6640625" style="1" customWidth="1"/>
    <col min="109" max="109" width="13.88671875" style="1" customWidth="1"/>
    <col min="110" max="110" width="6.88671875" style="1" customWidth="1"/>
    <col min="111" max="111" width="8.44140625" style="1" customWidth="1"/>
    <col min="112" max="112" width="14.88671875" style="1" customWidth="1"/>
    <col min="113" max="113" width="19.5546875" style="1" customWidth="1"/>
    <col min="114" max="114" width="12.5546875" style="1" customWidth="1"/>
    <col min="115" max="115" width="9.109375" style="1" customWidth="1"/>
    <col min="116" max="16384" width="9.109375" style="1"/>
  </cols>
  <sheetData>
    <row r="1" spans="1:114" ht="12" customHeight="1" x14ac:dyDescent="0.25">
      <c r="A1" s="2" t="s">
        <v>185</v>
      </c>
      <c r="B1" s="2" t="s">
        <v>336</v>
      </c>
      <c r="C1" s="2" t="s">
        <v>341</v>
      </c>
      <c r="D1" s="2" t="s">
        <v>104</v>
      </c>
      <c r="E1" s="2" t="s">
        <v>343</v>
      </c>
      <c r="F1" s="2" t="s">
        <v>114</v>
      </c>
      <c r="G1" s="2" t="s">
        <v>389</v>
      </c>
      <c r="H1" s="2" t="s">
        <v>216</v>
      </c>
      <c r="I1" s="2" t="s">
        <v>259</v>
      </c>
      <c r="J1" s="2" t="s">
        <v>260</v>
      </c>
      <c r="K1" s="2" t="s">
        <v>347</v>
      </c>
      <c r="L1" s="2" t="s">
        <v>22</v>
      </c>
      <c r="M1" s="2" t="s">
        <v>71</v>
      </c>
      <c r="N1" s="2" t="s">
        <v>228</v>
      </c>
      <c r="O1" s="2" t="s">
        <v>98</v>
      </c>
      <c r="P1" s="2" t="s">
        <v>89</v>
      </c>
      <c r="Q1" s="2" t="s">
        <v>133</v>
      </c>
      <c r="R1" s="2" t="s">
        <v>40</v>
      </c>
      <c r="S1" s="2" t="s">
        <v>290</v>
      </c>
      <c r="T1" s="2" t="s">
        <v>60</v>
      </c>
      <c r="U1" s="2" t="s">
        <v>115</v>
      </c>
      <c r="V1" s="2" t="s">
        <v>324</v>
      </c>
      <c r="W1" s="3" t="s">
        <v>91</v>
      </c>
      <c r="X1" s="3" t="s">
        <v>100</v>
      </c>
      <c r="Y1" s="4" t="s">
        <v>158</v>
      </c>
      <c r="Z1" s="5" t="s">
        <v>135</v>
      </c>
      <c r="AA1" s="6" t="s">
        <v>315</v>
      </c>
      <c r="AB1" s="4" t="s">
        <v>55</v>
      </c>
      <c r="AC1" s="5" t="s">
        <v>248</v>
      </c>
      <c r="AD1" s="6" t="s">
        <v>372</v>
      </c>
      <c r="AE1" s="2" t="s">
        <v>264</v>
      </c>
      <c r="AF1" s="2" t="s">
        <v>229</v>
      </c>
      <c r="AG1" s="7" t="s">
        <v>17</v>
      </c>
      <c r="AH1" s="2" t="s">
        <v>129</v>
      </c>
      <c r="AI1" s="5" t="s">
        <v>230</v>
      </c>
      <c r="AJ1" s="5" t="s">
        <v>56</v>
      </c>
      <c r="AK1" s="5" t="s">
        <v>209</v>
      </c>
      <c r="AL1" s="5" t="s">
        <v>181</v>
      </c>
      <c r="AM1" s="5" t="s">
        <v>21</v>
      </c>
      <c r="AN1" s="5" t="s">
        <v>28</v>
      </c>
      <c r="AO1" s="5" t="s">
        <v>323</v>
      </c>
      <c r="AP1" s="5" t="s">
        <v>357</v>
      </c>
      <c r="AQ1" s="6" t="s">
        <v>213</v>
      </c>
      <c r="AR1" s="2" t="s">
        <v>368</v>
      </c>
      <c r="AS1" s="2" t="s">
        <v>138</v>
      </c>
      <c r="AT1" s="8" t="s">
        <v>5</v>
      </c>
      <c r="AU1" s="6" t="s">
        <v>2</v>
      </c>
      <c r="AV1" s="6" t="s">
        <v>117</v>
      </c>
      <c r="AW1" s="9" t="s">
        <v>194</v>
      </c>
      <c r="AX1" s="9" t="s">
        <v>121</v>
      </c>
      <c r="AY1" s="10" t="s">
        <v>237</v>
      </c>
      <c r="AZ1" s="8" t="s">
        <v>281</v>
      </c>
      <c r="BA1" s="8" t="s">
        <v>184</v>
      </c>
      <c r="BB1" s="8" t="s">
        <v>292</v>
      </c>
      <c r="BC1" s="8" t="s">
        <v>233</v>
      </c>
      <c r="BD1" s="8" t="s">
        <v>146</v>
      </c>
      <c r="BE1" s="8" t="s">
        <v>113</v>
      </c>
      <c r="BF1" s="8" t="s">
        <v>345</v>
      </c>
      <c r="BG1" s="8" t="s">
        <v>200</v>
      </c>
      <c r="BH1" s="8" t="s">
        <v>348</v>
      </c>
      <c r="BI1" s="8" t="s">
        <v>46</v>
      </c>
      <c r="BJ1" s="8" t="s">
        <v>49</v>
      </c>
      <c r="BK1" s="8" t="s">
        <v>256</v>
      </c>
      <c r="BL1" s="8" t="s">
        <v>249</v>
      </c>
      <c r="BM1" s="8" t="s">
        <v>362</v>
      </c>
      <c r="BN1" s="8" t="s">
        <v>80</v>
      </c>
      <c r="BO1" s="8" t="s">
        <v>170</v>
      </c>
      <c r="BP1" s="8" t="s">
        <v>289</v>
      </c>
      <c r="BQ1" s="8" t="s">
        <v>381</v>
      </c>
      <c r="BR1" s="8" t="s">
        <v>156</v>
      </c>
      <c r="BS1" s="6" t="s">
        <v>25</v>
      </c>
      <c r="BT1" s="6" t="s">
        <v>295</v>
      </c>
      <c r="BU1" s="8" t="s">
        <v>67</v>
      </c>
      <c r="BV1" s="8" t="s">
        <v>69</v>
      </c>
      <c r="BW1" s="8" t="s">
        <v>223</v>
      </c>
      <c r="BX1" s="8" t="s">
        <v>232</v>
      </c>
      <c r="BY1" s="8" t="s">
        <v>243</v>
      </c>
      <c r="BZ1" s="8" t="s">
        <v>254</v>
      </c>
      <c r="CA1" s="8" t="s">
        <v>39</v>
      </c>
      <c r="CB1" s="8" t="s">
        <v>83</v>
      </c>
      <c r="CC1" s="11" t="s">
        <v>365</v>
      </c>
      <c r="CD1" s="11" t="s">
        <v>53</v>
      </c>
      <c r="CE1" s="11" t="s">
        <v>346</v>
      </c>
      <c r="CF1" s="11" t="s">
        <v>371</v>
      </c>
      <c r="CG1" s="11" t="s">
        <v>109</v>
      </c>
      <c r="CH1" s="11" t="s">
        <v>301</v>
      </c>
      <c r="CI1" s="11" t="s">
        <v>375</v>
      </c>
      <c r="CJ1" s="11" t="s">
        <v>159</v>
      </c>
      <c r="CK1" s="11" t="s">
        <v>319</v>
      </c>
      <c r="CL1" s="11" t="s">
        <v>255</v>
      </c>
      <c r="CM1" s="11" t="s">
        <v>207</v>
      </c>
      <c r="CN1" s="11" t="s">
        <v>112</v>
      </c>
      <c r="CO1" s="11" t="s">
        <v>31</v>
      </c>
      <c r="CP1" s="11" t="s">
        <v>206</v>
      </c>
      <c r="CQ1" s="11" t="s">
        <v>36</v>
      </c>
      <c r="CR1" s="11" t="s">
        <v>163</v>
      </c>
      <c r="CS1" s="11" t="s">
        <v>351</v>
      </c>
      <c r="CT1" s="11" t="s">
        <v>186</v>
      </c>
      <c r="CU1" s="11" t="s">
        <v>165</v>
      </c>
      <c r="CV1" s="5" t="s">
        <v>257</v>
      </c>
      <c r="CW1" s="5" t="s">
        <v>358</v>
      </c>
      <c r="CX1" s="5" t="s">
        <v>380</v>
      </c>
      <c r="CY1" s="5" t="s">
        <v>374</v>
      </c>
      <c r="CZ1" s="12" t="s">
        <v>0</v>
      </c>
      <c r="DA1" s="13" t="s">
        <v>400</v>
      </c>
      <c r="DB1" s="12" t="s">
        <v>32</v>
      </c>
      <c r="DC1" s="14" t="s">
        <v>29</v>
      </c>
      <c r="DD1" s="14" t="s">
        <v>63</v>
      </c>
      <c r="DE1" s="14" t="s">
        <v>210</v>
      </c>
      <c r="DF1" s="14" t="s">
        <v>328</v>
      </c>
      <c r="DG1" s="14" t="s">
        <v>33</v>
      </c>
      <c r="DH1" s="15" t="s">
        <v>18</v>
      </c>
      <c r="DI1" s="1" t="s">
        <v>440</v>
      </c>
      <c r="DJ1" s="1" t="s">
        <v>244</v>
      </c>
    </row>
    <row r="2" spans="1:114" ht="12" customHeight="1" x14ac:dyDescent="0.3">
      <c r="A2" s="16" t="s">
        <v>296</v>
      </c>
      <c r="B2" s="16" t="s">
        <v>377</v>
      </c>
      <c r="C2" s="16" t="s">
        <v>195</v>
      </c>
      <c r="D2" s="16" t="s">
        <v>44</v>
      </c>
      <c r="E2" s="16" t="s">
        <v>390</v>
      </c>
      <c r="F2" s="16" t="s">
        <v>44</v>
      </c>
      <c r="G2" s="16" t="s">
        <v>274</v>
      </c>
      <c r="H2" s="16" t="s">
        <v>44</v>
      </c>
      <c r="I2" s="16" t="s">
        <v>274</v>
      </c>
      <c r="J2" s="17" t="s">
        <v>58</v>
      </c>
      <c r="K2" s="16"/>
      <c r="L2" s="16"/>
      <c r="M2" s="16"/>
      <c r="N2" s="16"/>
      <c r="O2" s="16"/>
      <c r="P2" s="16"/>
      <c r="Q2" s="16"/>
      <c r="R2" s="16"/>
      <c r="S2" s="16"/>
      <c r="T2" s="16"/>
      <c r="U2" s="16"/>
      <c r="V2" s="16"/>
      <c r="W2" s="16">
        <v>3728</v>
      </c>
      <c r="X2" s="16">
        <v>1</v>
      </c>
      <c r="Y2" s="16" t="s">
        <v>310</v>
      </c>
      <c r="Z2" s="16" t="s">
        <v>310</v>
      </c>
      <c r="AA2" s="18" t="s">
        <v>130</v>
      </c>
      <c r="AB2" s="16" t="s">
        <v>92</v>
      </c>
      <c r="AC2" s="16">
        <v>401444</v>
      </c>
      <c r="AD2" s="18">
        <v>401444</v>
      </c>
      <c r="AE2" s="16" t="s">
        <v>182</v>
      </c>
      <c r="AF2" s="18">
        <v>401444</v>
      </c>
      <c r="AG2" s="18">
        <v>401444</v>
      </c>
      <c r="AH2" s="18" t="s">
        <v>403</v>
      </c>
      <c r="AI2" s="16"/>
      <c r="AJ2" s="16"/>
      <c r="AK2" s="16"/>
      <c r="AL2" s="16" t="s">
        <v>147</v>
      </c>
      <c r="AM2" s="16"/>
      <c r="AN2" s="16">
        <v>27</v>
      </c>
      <c r="AO2" s="16" t="s">
        <v>265</v>
      </c>
      <c r="AP2" s="16"/>
      <c r="AQ2" s="18" t="s">
        <v>349</v>
      </c>
      <c r="AR2" s="18" t="s">
        <v>96</v>
      </c>
      <c r="AS2" s="18" t="s">
        <v>116</v>
      </c>
      <c r="AT2" s="18" t="s">
        <v>52</v>
      </c>
      <c r="AU2" s="18" t="s">
        <v>404</v>
      </c>
      <c r="AV2" s="18" t="s">
        <v>404</v>
      </c>
      <c r="AW2" s="18" t="s">
        <v>139</v>
      </c>
      <c r="AX2" s="18" t="s">
        <v>405</v>
      </c>
      <c r="AY2" s="18">
        <f>LEN(SUBSTITUTE(AX2, ", "," "))</f>
        <v>59</v>
      </c>
      <c r="AZ2" s="18" t="s">
        <v>282</v>
      </c>
      <c r="BA2" s="18" t="s">
        <v>242</v>
      </c>
      <c r="BB2" s="18" t="s">
        <v>280</v>
      </c>
      <c r="BC2" s="18" t="s">
        <v>406</v>
      </c>
      <c r="BD2" s="18"/>
      <c r="BE2" s="18" t="s">
        <v>87</v>
      </c>
      <c r="BF2" s="18"/>
      <c r="BG2" s="18"/>
      <c r="BH2" s="18"/>
      <c r="BI2" s="18"/>
      <c r="BJ2" s="18" t="s">
        <v>353</v>
      </c>
      <c r="BK2" s="18"/>
      <c r="BL2" s="18"/>
      <c r="BM2" s="18"/>
      <c r="BN2" s="18" t="s">
        <v>293</v>
      </c>
      <c r="BO2" s="18" t="s">
        <v>172</v>
      </c>
      <c r="BP2" s="18" t="s">
        <v>333</v>
      </c>
      <c r="BQ2" s="18"/>
      <c r="BR2" s="18"/>
      <c r="BS2" s="20" t="s">
        <v>299</v>
      </c>
      <c r="BT2" s="18" t="s">
        <v>66</v>
      </c>
      <c r="BU2" s="18" t="s">
        <v>407</v>
      </c>
      <c r="BV2" s="18"/>
      <c r="BW2" s="18"/>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t="s">
        <v>439</v>
      </c>
      <c r="DI2" s="16" t="s">
        <v>72</v>
      </c>
      <c r="DJ2" s="16" t="s">
        <v>439</v>
      </c>
    </row>
    <row r="3" spans="1:114" ht="12" customHeight="1" x14ac:dyDescent="0.3">
      <c r="A3" s="16" t="s">
        <v>296</v>
      </c>
      <c r="B3" s="16" t="s">
        <v>378</v>
      </c>
      <c r="C3" s="16" t="s">
        <v>81</v>
      </c>
      <c r="D3" s="16" t="s">
        <v>44</v>
      </c>
      <c r="E3" s="16" t="s">
        <v>390</v>
      </c>
      <c r="F3" s="16" t="s">
        <v>44</v>
      </c>
      <c r="G3" s="16" t="s">
        <v>274</v>
      </c>
      <c r="H3" s="16" t="s">
        <v>44</v>
      </c>
      <c r="I3" s="16" t="s">
        <v>274</v>
      </c>
      <c r="J3" s="17" t="s">
        <v>58</v>
      </c>
      <c r="K3" s="16"/>
      <c r="L3" s="16"/>
      <c r="M3" s="16"/>
      <c r="N3" s="16"/>
      <c r="O3" s="16"/>
      <c r="P3" s="16"/>
      <c r="Q3" s="16"/>
      <c r="R3" s="16"/>
      <c r="S3" s="16"/>
      <c r="T3" s="16"/>
      <c r="U3" s="16"/>
      <c r="V3" s="16"/>
      <c r="W3" s="16">
        <v>3748</v>
      </c>
      <c r="X3" s="16">
        <v>1</v>
      </c>
      <c r="Y3" s="16" t="s">
        <v>310</v>
      </c>
      <c r="Z3" s="16" t="s">
        <v>310</v>
      </c>
      <c r="AA3" s="18" t="s">
        <v>130</v>
      </c>
      <c r="AB3" s="16" t="s">
        <v>92</v>
      </c>
      <c r="AC3" s="16">
        <v>401444</v>
      </c>
      <c r="AD3" s="18">
        <v>401444</v>
      </c>
      <c r="AE3" s="16" t="s">
        <v>182</v>
      </c>
      <c r="AF3" s="18">
        <v>401444</v>
      </c>
      <c r="AG3" s="18">
        <v>401444</v>
      </c>
      <c r="AH3" s="18" t="s">
        <v>403</v>
      </c>
      <c r="AI3" s="16"/>
      <c r="AJ3" s="16"/>
      <c r="AK3" s="16"/>
      <c r="AL3" s="16" t="s">
        <v>147</v>
      </c>
      <c r="AM3" s="16"/>
      <c r="AN3" s="16">
        <v>27</v>
      </c>
      <c r="AO3" s="16" t="s">
        <v>265</v>
      </c>
      <c r="AP3" s="16"/>
      <c r="AQ3" s="18" t="s">
        <v>349</v>
      </c>
      <c r="AR3" s="18" t="s">
        <v>96</v>
      </c>
      <c r="AS3" s="18" t="s">
        <v>116</v>
      </c>
      <c r="AT3" s="18" t="s">
        <v>52</v>
      </c>
      <c r="AU3" s="18" t="s">
        <v>404</v>
      </c>
      <c r="AV3" s="18" t="s">
        <v>404</v>
      </c>
      <c r="AW3" s="18" t="s">
        <v>139</v>
      </c>
      <c r="AX3" s="18" t="s">
        <v>405</v>
      </c>
      <c r="AY3" s="18">
        <f t="shared" ref="AY3:AY29" si="0">LEN(SUBSTITUTE(AX3, ", "," "))</f>
        <v>59</v>
      </c>
      <c r="AZ3" s="18" t="s">
        <v>282</v>
      </c>
      <c r="BA3" s="18" t="s">
        <v>242</v>
      </c>
      <c r="BB3" s="18" t="s">
        <v>280</v>
      </c>
      <c r="BC3" s="18" t="s">
        <v>406</v>
      </c>
      <c r="BD3" s="18"/>
      <c r="BE3" s="18" t="s">
        <v>87</v>
      </c>
      <c r="BF3" s="18"/>
      <c r="BG3" s="18"/>
      <c r="BH3" s="18"/>
      <c r="BI3" s="18"/>
      <c r="BJ3" s="18" t="s">
        <v>353</v>
      </c>
      <c r="BK3" s="18"/>
      <c r="BL3" s="18"/>
      <c r="BM3" s="18"/>
      <c r="BN3" s="18" t="s">
        <v>293</v>
      </c>
      <c r="BO3" s="18" t="s">
        <v>172</v>
      </c>
      <c r="BP3" s="18" t="s">
        <v>333</v>
      </c>
      <c r="BQ3" s="18"/>
      <c r="BR3" s="18"/>
      <c r="BS3" s="20" t="s">
        <v>299</v>
      </c>
      <c r="BT3" s="18" t="s">
        <v>66</v>
      </c>
      <c r="BU3" s="18" t="s">
        <v>407</v>
      </c>
      <c r="BV3" s="18"/>
      <c r="BW3" s="18"/>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t="s">
        <v>439</v>
      </c>
      <c r="DI3" s="16" t="s">
        <v>72</v>
      </c>
      <c r="DJ3" s="16" t="s">
        <v>439</v>
      </c>
    </row>
    <row r="4" spans="1:114" ht="12" customHeight="1" x14ac:dyDescent="0.3">
      <c r="A4" s="16" t="s">
        <v>296</v>
      </c>
      <c r="B4" s="16" t="s">
        <v>377</v>
      </c>
      <c r="C4" s="16" t="s">
        <v>195</v>
      </c>
      <c r="D4" s="16" t="s">
        <v>44</v>
      </c>
      <c r="E4" s="16" t="s">
        <v>390</v>
      </c>
      <c r="F4" s="16" t="s">
        <v>44</v>
      </c>
      <c r="G4" s="16" t="s">
        <v>274</v>
      </c>
      <c r="H4" s="16" t="s">
        <v>44</v>
      </c>
      <c r="I4" s="16" t="s">
        <v>274</v>
      </c>
      <c r="J4" s="17" t="s">
        <v>58</v>
      </c>
      <c r="K4" s="16"/>
      <c r="L4" s="16"/>
      <c r="M4" s="16"/>
      <c r="N4" s="16"/>
      <c r="O4" s="16"/>
      <c r="P4" s="16"/>
      <c r="Q4" s="16"/>
      <c r="R4" s="16"/>
      <c r="S4" s="16"/>
      <c r="T4" s="16"/>
      <c r="U4" s="16"/>
      <c r="V4" s="16"/>
      <c r="W4" s="16">
        <v>3743</v>
      </c>
      <c r="X4" s="16">
        <v>16</v>
      </c>
      <c r="Y4" s="16" t="s">
        <v>310</v>
      </c>
      <c r="Z4" s="16" t="s">
        <v>310</v>
      </c>
      <c r="AA4" s="18" t="s">
        <v>130</v>
      </c>
      <c r="AB4" s="16" t="s">
        <v>321</v>
      </c>
      <c r="AC4" s="16">
        <v>401449</v>
      </c>
      <c r="AD4" s="18">
        <v>401449</v>
      </c>
      <c r="AE4" s="16" t="s">
        <v>182</v>
      </c>
      <c r="AF4" s="18">
        <v>401449</v>
      </c>
      <c r="AG4" s="18">
        <v>401449</v>
      </c>
      <c r="AH4" s="18" t="s">
        <v>3</v>
      </c>
      <c r="AI4" s="16"/>
      <c r="AJ4" s="16"/>
      <c r="AK4" s="16"/>
      <c r="AL4" s="16" t="s">
        <v>300</v>
      </c>
      <c r="AM4" s="16"/>
      <c r="AN4" s="16">
        <v>27</v>
      </c>
      <c r="AO4" s="16" t="s">
        <v>1</v>
      </c>
      <c r="AP4" s="16"/>
      <c r="AQ4" s="18" t="s">
        <v>349</v>
      </c>
      <c r="AR4" s="18" t="s">
        <v>96</v>
      </c>
      <c r="AS4" s="18" t="s">
        <v>116</v>
      </c>
      <c r="AT4" s="18" t="s">
        <v>314</v>
      </c>
      <c r="AU4" s="18" t="s">
        <v>408</v>
      </c>
      <c r="AV4" s="18" t="s">
        <v>408</v>
      </c>
      <c r="AW4" s="18" t="s">
        <v>84</v>
      </c>
      <c r="AX4" s="18" t="s">
        <v>108</v>
      </c>
      <c r="AY4" s="18">
        <f t="shared" si="0"/>
        <v>59</v>
      </c>
      <c r="AZ4" s="18" t="s">
        <v>282</v>
      </c>
      <c r="BA4" s="18" t="s">
        <v>242</v>
      </c>
      <c r="BB4" s="18" t="s">
        <v>268</v>
      </c>
      <c r="BC4" s="18" t="s">
        <v>409</v>
      </c>
      <c r="BD4" s="18"/>
      <c r="BE4" s="18" t="s">
        <v>178</v>
      </c>
      <c r="BF4" s="18"/>
      <c r="BG4" s="18"/>
      <c r="BH4" s="18"/>
      <c r="BI4" s="18"/>
      <c r="BJ4" s="18" t="s">
        <v>353</v>
      </c>
      <c r="BK4" s="18"/>
      <c r="BL4" s="18"/>
      <c r="BM4" s="18"/>
      <c r="BN4" s="18" t="s">
        <v>293</v>
      </c>
      <c r="BO4" s="18" t="s">
        <v>172</v>
      </c>
      <c r="BP4" s="18" t="s">
        <v>333</v>
      </c>
      <c r="BQ4" s="18"/>
      <c r="BR4" s="18"/>
      <c r="BS4" s="20" t="s">
        <v>317</v>
      </c>
      <c r="BT4" s="18" t="s">
        <v>66</v>
      </c>
      <c r="BU4" s="18" t="s">
        <v>407</v>
      </c>
      <c r="BV4" s="18"/>
      <c r="BW4" s="18"/>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t="s">
        <v>439</v>
      </c>
      <c r="DI4" s="16" t="s">
        <v>72</v>
      </c>
      <c r="DJ4" s="16" t="s">
        <v>439</v>
      </c>
    </row>
    <row r="5" spans="1:114" ht="12" customHeight="1" x14ac:dyDescent="0.3">
      <c r="A5" s="16" t="s">
        <v>296</v>
      </c>
      <c r="B5" s="16" t="s">
        <v>378</v>
      </c>
      <c r="C5" s="16" t="s">
        <v>81</v>
      </c>
      <c r="D5" s="16" t="s">
        <v>44</v>
      </c>
      <c r="E5" s="16" t="s">
        <v>390</v>
      </c>
      <c r="F5" s="16" t="s">
        <v>44</v>
      </c>
      <c r="G5" s="16" t="s">
        <v>274</v>
      </c>
      <c r="H5" s="16" t="s">
        <v>44</v>
      </c>
      <c r="I5" s="16" t="s">
        <v>274</v>
      </c>
      <c r="J5" s="17" t="s">
        <v>58</v>
      </c>
      <c r="K5" s="16"/>
      <c r="L5" s="16"/>
      <c r="M5" s="16"/>
      <c r="N5" s="16"/>
      <c r="O5" s="16"/>
      <c r="P5" s="16"/>
      <c r="Q5" s="16"/>
      <c r="R5" s="16"/>
      <c r="S5" s="16"/>
      <c r="T5" s="16"/>
      <c r="U5" s="16"/>
      <c r="V5" s="16"/>
      <c r="W5" s="16">
        <v>3749</v>
      </c>
      <c r="X5" s="16">
        <v>2</v>
      </c>
      <c r="Y5" s="16" t="s">
        <v>310</v>
      </c>
      <c r="Z5" s="16" t="s">
        <v>310</v>
      </c>
      <c r="AA5" s="18" t="s">
        <v>130</v>
      </c>
      <c r="AB5" s="16" t="s">
        <v>321</v>
      </c>
      <c r="AC5" s="16">
        <v>401449</v>
      </c>
      <c r="AD5" s="18">
        <v>401449</v>
      </c>
      <c r="AE5" s="16" t="s">
        <v>182</v>
      </c>
      <c r="AF5" s="18">
        <v>401449</v>
      </c>
      <c r="AG5" s="18">
        <v>401449</v>
      </c>
      <c r="AH5" s="18" t="s">
        <v>3</v>
      </c>
      <c r="AI5" s="16"/>
      <c r="AJ5" s="16"/>
      <c r="AK5" s="16"/>
      <c r="AL5" s="16" t="s">
        <v>300</v>
      </c>
      <c r="AM5" s="16"/>
      <c r="AN5" s="16">
        <v>27</v>
      </c>
      <c r="AO5" s="16" t="s">
        <v>1</v>
      </c>
      <c r="AP5" s="16"/>
      <c r="AQ5" s="18" t="s">
        <v>349</v>
      </c>
      <c r="AR5" s="18" t="s">
        <v>96</v>
      </c>
      <c r="AS5" s="18" t="s">
        <v>116</v>
      </c>
      <c r="AT5" s="18" t="s">
        <v>314</v>
      </c>
      <c r="AU5" s="18" t="s">
        <v>408</v>
      </c>
      <c r="AV5" s="18" t="s">
        <v>408</v>
      </c>
      <c r="AW5" s="18" t="s">
        <v>84</v>
      </c>
      <c r="AX5" s="18" t="s">
        <v>108</v>
      </c>
      <c r="AY5" s="18">
        <f t="shared" si="0"/>
        <v>59</v>
      </c>
      <c r="AZ5" s="18" t="s">
        <v>282</v>
      </c>
      <c r="BA5" s="18" t="s">
        <v>242</v>
      </c>
      <c r="BB5" s="18" t="s">
        <v>268</v>
      </c>
      <c r="BC5" s="18" t="s">
        <v>409</v>
      </c>
      <c r="BD5" s="18"/>
      <c r="BE5" s="18" t="s">
        <v>178</v>
      </c>
      <c r="BF5" s="18"/>
      <c r="BG5" s="18"/>
      <c r="BH5" s="18"/>
      <c r="BI5" s="18"/>
      <c r="BJ5" s="18" t="s">
        <v>353</v>
      </c>
      <c r="BK5" s="18"/>
      <c r="BL5" s="18"/>
      <c r="BM5" s="18"/>
      <c r="BN5" s="18" t="s">
        <v>293</v>
      </c>
      <c r="BO5" s="18" t="s">
        <v>172</v>
      </c>
      <c r="BP5" s="18" t="s">
        <v>333</v>
      </c>
      <c r="BQ5" s="18"/>
      <c r="BR5" s="18"/>
      <c r="BS5" s="20" t="s">
        <v>317</v>
      </c>
      <c r="BT5" s="18" t="s">
        <v>66</v>
      </c>
      <c r="BU5" s="18" t="s">
        <v>407</v>
      </c>
      <c r="BV5" s="18"/>
      <c r="BW5" s="18"/>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t="s">
        <v>439</v>
      </c>
      <c r="DI5" s="16" t="s">
        <v>72</v>
      </c>
      <c r="DJ5" s="16" t="s">
        <v>439</v>
      </c>
    </row>
    <row r="6" spans="1:114" ht="12" customHeight="1" x14ac:dyDescent="0.3">
      <c r="A6" s="16" t="s">
        <v>296</v>
      </c>
      <c r="B6" s="16" t="s">
        <v>377</v>
      </c>
      <c r="C6" s="16" t="s">
        <v>195</v>
      </c>
      <c r="D6" s="16" t="s">
        <v>44</v>
      </c>
      <c r="E6" s="16" t="s">
        <v>390</v>
      </c>
      <c r="F6" s="16" t="s">
        <v>44</v>
      </c>
      <c r="G6" s="16" t="s">
        <v>274</v>
      </c>
      <c r="H6" s="16" t="s">
        <v>44</v>
      </c>
      <c r="I6" s="16" t="s">
        <v>274</v>
      </c>
      <c r="J6" s="17" t="s">
        <v>58</v>
      </c>
      <c r="K6" s="16"/>
      <c r="L6" s="16"/>
      <c r="M6" s="16"/>
      <c r="N6" s="16"/>
      <c r="O6" s="16"/>
      <c r="P6" s="16"/>
      <c r="Q6" s="16"/>
      <c r="R6" s="16"/>
      <c r="S6" s="16"/>
      <c r="T6" s="16"/>
      <c r="U6" s="16"/>
      <c r="V6" s="16"/>
      <c r="W6" s="16">
        <v>3729</v>
      </c>
      <c r="X6" s="16">
        <v>2</v>
      </c>
      <c r="Y6" s="16" t="s">
        <v>310</v>
      </c>
      <c r="Z6" s="16" t="s">
        <v>310</v>
      </c>
      <c r="AA6" s="18" t="s">
        <v>130</v>
      </c>
      <c r="AB6" s="16" t="s">
        <v>157</v>
      </c>
      <c r="AC6" s="16">
        <v>401450</v>
      </c>
      <c r="AD6" s="18">
        <v>401450</v>
      </c>
      <c r="AE6" s="16" t="s">
        <v>182</v>
      </c>
      <c r="AF6" s="18">
        <v>401450</v>
      </c>
      <c r="AG6" s="18">
        <v>401450</v>
      </c>
      <c r="AH6" s="18" t="s">
        <v>187</v>
      </c>
      <c r="AI6" s="16"/>
      <c r="AJ6" s="16"/>
      <c r="AK6" s="16"/>
      <c r="AL6" s="16" t="s">
        <v>338</v>
      </c>
      <c r="AM6" s="16"/>
      <c r="AN6" s="16">
        <v>27</v>
      </c>
      <c r="AO6" s="16" t="s">
        <v>320</v>
      </c>
      <c r="AP6" s="16"/>
      <c r="AQ6" s="18" t="s">
        <v>349</v>
      </c>
      <c r="AR6" s="18" t="s">
        <v>96</v>
      </c>
      <c r="AS6" s="18" t="s">
        <v>116</v>
      </c>
      <c r="AT6" s="18" t="s">
        <v>99</v>
      </c>
      <c r="AU6" s="18" t="s">
        <v>410</v>
      </c>
      <c r="AV6" s="18" t="s">
        <v>410</v>
      </c>
      <c r="AW6" s="18" t="s">
        <v>392</v>
      </c>
      <c r="AX6" s="18" t="s">
        <v>145</v>
      </c>
      <c r="AY6" s="18">
        <f t="shared" si="0"/>
        <v>59</v>
      </c>
      <c r="AZ6" s="18" t="s">
        <v>282</v>
      </c>
      <c r="BA6" s="18" t="s">
        <v>242</v>
      </c>
      <c r="BB6" s="18" t="s">
        <v>308</v>
      </c>
      <c r="BC6" s="18" t="s">
        <v>409</v>
      </c>
      <c r="BD6" s="18"/>
      <c r="BE6" s="18" t="s">
        <v>87</v>
      </c>
      <c r="BF6" s="18"/>
      <c r="BG6" s="18"/>
      <c r="BH6" s="18"/>
      <c r="BI6" s="18"/>
      <c r="BJ6" s="18" t="s">
        <v>353</v>
      </c>
      <c r="BK6" s="18"/>
      <c r="BL6" s="18"/>
      <c r="BM6" s="18"/>
      <c r="BN6" s="18" t="s">
        <v>293</v>
      </c>
      <c r="BO6" s="18" t="s">
        <v>172</v>
      </c>
      <c r="BP6" s="18" t="s">
        <v>333</v>
      </c>
      <c r="BQ6" s="18"/>
      <c r="BR6" s="18"/>
      <c r="BS6" s="20" t="s">
        <v>322</v>
      </c>
      <c r="BT6" s="18" t="s">
        <v>66</v>
      </c>
      <c r="BU6" s="18" t="s">
        <v>407</v>
      </c>
      <c r="BV6" s="18"/>
      <c r="BW6" s="18"/>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t="s">
        <v>439</v>
      </c>
      <c r="DI6" s="16" t="s">
        <v>72</v>
      </c>
      <c r="DJ6" s="16" t="s">
        <v>439</v>
      </c>
    </row>
    <row r="7" spans="1:114" ht="12" customHeight="1" x14ac:dyDescent="0.3">
      <c r="A7" s="16" t="s">
        <v>296</v>
      </c>
      <c r="B7" s="16" t="s">
        <v>378</v>
      </c>
      <c r="C7" s="16" t="s">
        <v>81</v>
      </c>
      <c r="D7" s="16" t="s">
        <v>44</v>
      </c>
      <c r="E7" s="16" t="s">
        <v>390</v>
      </c>
      <c r="F7" s="16" t="s">
        <v>44</v>
      </c>
      <c r="G7" s="16" t="s">
        <v>274</v>
      </c>
      <c r="H7" s="16" t="s">
        <v>44</v>
      </c>
      <c r="I7" s="16" t="s">
        <v>274</v>
      </c>
      <c r="J7" s="17" t="s">
        <v>58</v>
      </c>
      <c r="K7" s="16"/>
      <c r="L7" s="16"/>
      <c r="M7" s="16"/>
      <c r="N7" s="16"/>
      <c r="O7" s="16"/>
      <c r="P7" s="16"/>
      <c r="Q7" s="16"/>
      <c r="R7" s="16"/>
      <c r="S7" s="16"/>
      <c r="T7" s="16"/>
      <c r="U7" s="16"/>
      <c r="V7" s="16"/>
      <c r="W7" s="16">
        <v>3750</v>
      </c>
      <c r="X7" s="16">
        <v>3</v>
      </c>
      <c r="Y7" s="16" t="s">
        <v>310</v>
      </c>
      <c r="Z7" s="16" t="s">
        <v>310</v>
      </c>
      <c r="AA7" s="18" t="s">
        <v>130</v>
      </c>
      <c r="AB7" s="16" t="s">
        <v>157</v>
      </c>
      <c r="AC7" s="16">
        <v>401450</v>
      </c>
      <c r="AD7" s="18">
        <v>401450</v>
      </c>
      <c r="AE7" s="16" t="s">
        <v>182</v>
      </c>
      <c r="AF7" s="18">
        <v>401450</v>
      </c>
      <c r="AG7" s="18">
        <v>401450</v>
      </c>
      <c r="AH7" s="18" t="s">
        <v>187</v>
      </c>
      <c r="AI7" s="16"/>
      <c r="AJ7" s="16"/>
      <c r="AK7" s="16"/>
      <c r="AL7" s="16" t="s">
        <v>338</v>
      </c>
      <c r="AM7" s="16"/>
      <c r="AN7" s="16">
        <v>27</v>
      </c>
      <c r="AO7" s="16" t="s">
        <v>320</v>
      </c>
      <c r="AP7" s="16"/>
      <c r="AQ7" s="18" t="s">
        <v>349</v>
      </c>
      <c r="AR7" s="18" t="s">
        <v>96</v>
      </c>
      <c r="AS7" s="18" t="s">
        <v>116</v>
      </c>
      <c r="AT7" s="18" t="s">
        <v>99</v>
      </c>
      <c r="AU7" s="18" t="s">
        <v>410</v>
      </c>
      <c r="AV7" s="18" t="s">
        <v>410</v>
      </c>
      <c r="AW7" s="18" t="s">
        <v>392</v>
      </c>
      <c r="AX7" s="18" t="s">
        <v>145</v>
      </c>
      <c r="AY7" s="18">
        <f t="shared" si="0"/>
        <v>59</v>
      </c>
      <c r="AZ7" s="18" t="s">
        <v>282</v>
      </c>
      <c r="BA7" s="18" t="s">
        <v>242</v>
      </c>
      <c r="BB7" s="18" t="s">
        <v>308</v>
      </c>
      <c r="BC7" s="18" t="s">
        <v>409</v>
      </c>
      <c r="BD7" s="18"/>
      <c r="BE7" s="18" t="s">
        <v>87</v>
      </c>
      <c r="BF7" s="18"/>
      <c r="BG7" s="18"/>
      <c r="BH7" s="18"/>
      <c r="BI7" s="18"/>
      <c r="BJ7" s="18" t="s">
        <v>353</v>
      </c>
      <c r="BK7" s="18"/>
      <c r="BL7" s="18"/>
      <c r="BM7" s="18"/>
      <c r="BN7" s="18" t="s">
        <v>293</v>
      </c>
      <c r="BO7" s="18" t="s">
        <v>172</v>
      </c>
      <c r="BP7" s="18" t="s">
        <v>333</v>
      </c>
      <c r="BQ7" s="18"/>
      <c r="BR7" s="18"/>
      <c r="BS7" s="20" t="s">
        <v>322</v>
      </c>
      <c r="BT7" s="18" t="s">
        <v>66</v>
      </c>
      <c r="BU7" s="18" t="s">
        <v>407</v>
      </c>
      <c r="BV7" s="18"/>
      <c r="BW7" s="18"/>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t="s">
        <v>439</v>
      </c>
      <c r="DI7" s="16" t="s">
        <v>72</v>
      </c>
      <c r="DJ7" s="16" t="s">
        <v>439</v>
      </c>
    </row>
    <row r="8" spans="1:114" ht="12" customHeight="1" x14ac:dyDescent="0.3">
      <c r="A8" s="16" t="s">
        <v>296</v>
      </c>
      <c r="B8" s="16" t="s">
        <v>377</v>
      </c>
      <c r="C8" s="16" t="s">
        <v>195</v>
      </c>
      <c r="D8" s="16" t="s">
        <v>44</v>
      </c>
      <c r="E8" s="16" t="s">
        <v>390</v>
      </c>
      <c r="F8" s="16" t="s">
        <v>44</v>
      </c>
      <c r="G8" s="16" t="s">
        <v>274</v>
      </c>
      <c r="H8" s="16" t="s">
        <v>44</v>
      </c>
      <c r="I8" s="16" t="s">
        <v>274</v>
      </c>
      <c r="J8" s="17" t="s">
        <v>58</v>
      </c>
      <c r="K8" s="16"/>
      <c r="L8" s="16"/>
      <c r="M8" s="16"/>
      <c r="N8" s="16"/>
      <c r="O8" s="16"/>
      <c r="P8" s="16"/>
      <c r="Q8" s="16"/>
      <c r="R8" s="16"/>
      <c r="S8" s="16"/>
      <c r="T8" s="16"/>
      <c r="U8" s="16"/>
      <c r="V8" s="16"/>
      <c r="W8" s="16">
        <v>3731</v>
      </c>
      <c r="X8" s="16">
        <v>4</v>
      </c>
      <c r="Y8" s="16" t="s">
        <v>310</v>
      </c>
      <c r="Z8" s="16" t="s">
        <v>310</v>
      </c>
      <c r="AA8" s="18" t="s">
        <v>130</v>
      </c>
      <c r="AB8" s="16" t="s">
        <v>225</v>
      </c>
      <c r="AC8" s="16">
        <v>401451</v>
      </c>
      <c r="AD8" s="18">
        <v>401451</v>
      </c>
      <c r="AE8" s="16" t="s">
        <v>182</v>
      </c>
      <c r="AF8" s="18">
        <v>401451</v>
      </c>
      <c r="AG8" s="18">
        <v>401451</v>
      </c>
      <c r="AH8" s="18" t="s">
        <v>188</v>
      </c>
      <c r="AI8" s="16"/>
      <c r="AJ8" s="16"/>
      <c r="AK8" s="16"/>
      <c r="AL8" s="16" t="s">
        <v>231</v>
      </c>
      <c r="AM8" s="16"/>
      <c r="AN8" s="16">
        <v>27</v>
      </c>
      <c r="AO8" s="16" t="s">
        <v>106</v>
      </c>
      <c r="AP8" s="16"/>
      <c r="AQ8" s="18" t="s">
        <v>349</v>
      </c>
      <c r="AR8" s="18" t="s">
        <v>96</v>
      </c>
      <c r="AS8" s="18" t="s">
        <v>116</v>
      </c>
      <c r="AT8" s="18" t="s">
        <v>161</v>
      </c>
      <c r="AU8" s="18" t="s">
        <v>411</v>
      </c>
      <c r="AV8" s="18" t="s">
        <v>411</v>
      </c>
      <c r="AW8" s="18" t="s">
        <v>203</v>
      </c>
      <c r="AX8" s="18" t="s">
        <v>175</v>
      </c>
      <c r="AY8" s="18">
        <f t="shared" si="0"/>
        <v>59</v>
      </c>
      <c r="AZ8" s="18" t="s">
        <v>282</v>
      </c>
      <c r="BA8" s="18" t="s">
        <v>242</v>
      </c>
      <c r="BB8" s="18" t="s">
        <v>308</v>
      </c>
      <c r="BC8" s="18" t="s">
        <v>409</v>
      </c>
      <c r="BD8" s="18"/>
      <c r="BE8" s="18" t="s">
        <v>178</v>
      </c>
      <c r="BF8" s="18"/>
      <c r="BG8" s="18"/>
      <c r="BH8" s="18"/>
      <c r="BI8" s="18"/>
      <c r="BJ8" s="18" t="s">
        <v>353</v>
      </c>
      <c r="BK8" s="18"/>
      <c r="BL8" s="18"/>
      <c r="BM8" s="18"/>
      <c r="BN8" s="18" t="s">
        <v>293</v>
      </c>
      <c r="BO8" s="18" t="s">
        <v>172</v>
      </c>
      <c r="BP8" s="18" t="s">
        <v>333</v>
      </c>
      <c r="BQ8" s="18"/>
      <c r="BR8" s="18"/>
      <c r="BS8" s="20" t="s">
        <v>86</v>
      </c>
      <c r="BT8" s="18" t="s">
        <v>66</v>
      </c>
      <c r="BU8" s="18" t="s">
        <v>407</v>
      </c>
      <c r="BV8" s="18"/>
      <c r="BW8" s="18"/>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t="s">
        <v>439</v>
      </c>
      <c r="DI8" s="16" t="s">
        <v>72</v>
      </c>
      <c r="DJ8" s="16" t="s">
        <v>439</v>
      </c>
    </row>
    <row r="9" spans="1:114" ht="12" customHeight="1" x14ac:dyDescent="0.3">
      <c r="A9" s="16" t="s">
        <v>296</v>
      </c>
      <c r="B9" s="16" t="s">
        <v>378</v>
      </c>
      <c r="C9" s="16" t="s">
        <v>81</v>
      </c>
      <c r="D9" s="16" t="s">
        <v>44</v>
      </c>
      <c r="E9" s="16" t="s">
        <v>390</v>
      </c>
      <c r="F9" s="16" t="s">
        <v>44</v>
      </c>
      <c r="G9" s="16" t="s">
        <v>274</v>
      </c>
      <c r="H9" s="16" t="s">
        <v>44</v>
      </c>
      <c r="I9" s="16" t="s">
        <v>274</v>
      </c>
      <c r="J9" s="17" t="s">
        <v>58</v>
      </c>
      <c r="K9" s="16"/>
      <c r="L9" s="16"/>
      <c r="M9" s="16"/>
      <c r="N9" s="16"/>
      <c r="O9" s="16"/>
      <c r="P9" s="16"/>
      <c r="Q9" s="16"/>
      <c r="R9" s="16"/>
      <c r="S9" s="16"/>
      <c r="T9" s="16"/>
      <c r="U9" s="16"/>
      <c r="V9" s="16"/>
      <c r="W9" s="16">
        <v>3751</v>
      </c>
      <c r="X9" s="16">
        <v>4</v>
      </c>
      <c r="Y9" s="16" t="s">
        <v>310</v>
      </c>
      <c r="Z9" s="16" t="s">
        <v>310</v>
      </c>
      <c r="AA9" s="18" t="s">
        <v>130</v>
      </c>
      <c r="AB9" s="16" t="s">
        <v>225</v>
      </c>
      <c r="AC9" s="16">
        <v>401451</v>
      </c>
      <c r="AD9" s="18">
        <v>401451</v>
      </c>
      <c r="AE9" s="16" t="s">
        <v>182</v>
      </c>
      <c r="AF9" s="18">
        <v>401451</v>
      </c>
      <c r="AG9" s="18">
        <v>401451</v>
      </c>
      <c r="AH9" s="18" t="s">
        <v>188</v>
      </c>
      <c r="AI9" s="16"/>
      <c r="AJ9" s="16"/>
      <c r="AK9" s="16"/>
      <c r="AL9" s="16" t="s">
        <v>231</v>
      </c>
      <c r="AM9" s="16"/>
      <c r="AN9" s="16">
        <v>27</v>
      </c>
      <c r="AO9" s="16" t="s">
        <v>106</v>
      </c>
      <c r="AP9" s="16"/>
      <c r="AQ9" s="18" t="s">
        <v>349</v>
      </c>
      <c r="AR9" s="18" t="s">
        <v>96</v>
      </c>
      <c r="AS9" s="18" t="s">
        <v>116</v>
      </c>
      <c r="AT9" s="18" t="s">
        <v>161</v>
      </c>
      <c r="AU9" s="18" t="s">
        <v>411</v>
      </c>
      <c r="AV9" s="18" t="s">
        <v>411</v>
      </c>
      <c r="AW9" s="18" t="s">
        <v>203</v>
      </c>
      <c r="AX9" s="18" t="s">
        <v>175</v>
      </c>
      <c r="AY9" s="18">
        <f t="shared" si="0"/>
        <v>59</v>
      </c>
      <c r="AZ9" s="18" t="s">
        <v>282</v>
      </c>
      <c r="BA9" s="18" t="s">
        <v>242</v>
      </c>
      <c r="BB9" s="18" t="s">
        <v>308</v>
      </c>
      <c r="BC9" s="18" t="s">
        <v>409</v>
      </c>
      <c r="BD9" s="18"/>
      <c r="BE9" s="18" t="s">
        <v>178</v>
      </c>
      <c r="BF9" s="18"/>
      <c r="BG9" s="18"/>
      <c r="BH9" s="18"/>
      <c r="BI9" s="18"/>
      <c r="BJ9" s="18" t="s">
        <v>353</v>
      </c>
      <c r="BK9" s="18"/>
      <c r="BL9" s="18"/>
      <c r="BM9" s="18"/>
      <c r="BN9" s="18" t="s">
        <v>293</v>
      </c>
      <c r="BO9" s="18" t="s">
        <v>172</v>
      </c>
      <c r="BP9" s="18" t="s">
        <v>333</v>
      </c>
      <c r="BQ9" s="18"/>
      <c r="BR9" s="18"/>
      <c r="BS9" s="20" t="s">
        <v>412</v>
      </c>
      <c r="BT9" s="18" t="s">
        <v>66</v>
      </c>
      <c r="BU9" s="18" t="s">
        <v>407</v>
      </c>
      <c r="BV9" s="18"/>
      <c r="BW9" s="18"/>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t="s">
        <v>439</v>
      </c>
      <c r="DI9" s="16" t="s">
        <v>72</v>
      </c>
      <c r="DJ9" s="16" t="s">
        <v>439</v>
      </c>
    </row>
    <row r="10" spans="1:114" ht="12" customHeight="1" x14ac:dyDescent="0.3">
      <c r="A10" s="16" t="s">
        <v>296</v>
      </c>
      <c r="B10" s="16" t="s">
        <v>377</v>
      </c>
      <c r="C10" s="16" t="s">
        <v>195</v>
      </c>
      <c r="D10" s="16" t="s">
        <v>44</v>
      </c>
      <c r="E10" s="16" t="s">
        <v>390</v>
      </c>
      <c r="F10" s="16" t="s">
        <v>44</v>
      </c>
      <c r="G10" s="16" t="s">
        <v>274</v>
      </c>
      <c r="H10" s="16" t="s">
        <v>44</v>
      </c>
      <c r="I10" s="16" t="s">
        <v>274</v>
      </c>
      <c r="J10" s="17" t="s">
        <v>58</v>
      </c>
      <c r="K10" s="16"/>
      <c r="L10" s="16"/>
      <c r="M10" s="16"/>
      <c r="N10" s="16"/>
      <c r="O10" s="16"/>
      <c r="P10" s="16"/>
      <c r="Q10" s="16"/>
      <c r="R10" s="16"/>
      <c r="S10" s="16"/>
      <c r="T10" s="16"/>
      <c r="U10" s="16"/>
      <c r="V10" s="16"/>
      <c r="W10" s="16">
        <v>3732</v>
      </c>
      <c r="X10" s="16">
        <v>5</v>
      </c>
      <c r="Y10" s="16" t="s">
        <v>310</v>
      </c>
      <c r="Z10" s="16" t="s">
        <v>310</v>
      </c>
      <c r="AA10" s="18" t="s">
        <v>130</v>
      </c>
      <c r="AB10" s="16" t="s">
        <v>162</v>
      </c>
      <c r="AC10" s="16">
        <v>401470</v>
      </c>
      <c r="AD10" s="18">
        <v>401470</v>
      </c>
      <c r="AE10" s="16" t="s">
        <v>182</v>
      </c>
      <c r="AF10" s="18">
        <v>401470</v>
      </c>
      <c r="AG10" s="18">
        <v>401470</v>
      </c>
      <c r="AH10" s="18" t="s">
        <v>344</v>
      </c>
      <c r="AI10" s="16"/>
      <c r="AJ10" s="16"/>
      <c r="AK10" s="16"/>
      <c r="AL10" s="16" t="s">
        <v>48</v>
      </c>
      <c r="AM10" s="16"/>
      <c r="AN10" s="16">
        <v>27</v>
      </c>
      <c r="AO10" s="16" t="s">
        <v>286</v>
      </c>
      <c r="AP10" s="16"/>
      <c r="AQ10" s="18" t="s">
        <v>349</v>
      </c>
      <c r="AR10" s="18" t="s">
        <v>96</v>
      </c>
      <c r="AS10" s="18" t="s">
        <v>116</v>
      </c>
      <c r="AT10" s="18" t="s">
        <v>124</v>
      </c>
      <c r="AU10" s="18" t="s">
        <v>413</v>
      </c>
      <c r="AV10" s="18" t="s">
        <v>413</v>
      </c>
      <c r="AW10" s="18" t="s">
        <v>132</v>
      </c>
      <c r="AX10" s="18" t="s">
        <v>414</v>
      </c>
      <c r="AY10" s="18">
        <f t="shared" si="0"/>
        <v>59</v>
      </c>
      <c r="AZ10" s="18" t="s">
        <v>282</v>
      </c>
      <c r="BA10" s="18" t="s">
        <v>242</v>
      </c>
      <c r="BB10" s="18" t="s">
        <v>268</v>
      </c>
      <c r="BC10" s="18" t="s">
        <v>415</v>
      </c>
      <c r="BD10" s="18"/>
      <c r="BE10" s="18" t="s">
        <v>178</v>
      </c>
      <c r="BF10" s="18"/>
      <c r="BG10" s="18"/>
      <c r="BH10" s="18"/>
      <c r="BI10" s="18"/>
      <c r="BJ10" s="18" t="s">
        <v>353</v>
      </c>
      <c r="BK10" s="18"/>
      <c r="BL10" s="18"/>
      <c r="BM10" s="18"/>
      <c r="BN10" s="18" t="s">
        <v>293</v>
      </c>
      <c r="BO10" s="18" t="s">
        <v>172</v>
      </c>
      <c r="BP10" s="18" t="s">
        <v>333</v>
      </c>
      <c r="BQ10" s="18"/>
      <c r="BR10" s="18"/>
      <c r="BS10" s="20" t="s">
        <v>151</v>
      </c>
      <c r="BT10" s="18" t="s">
        <v>66</v>
      </c>
      <c r="BU10" s="18"/>
      <c r="BV10" s="18"/>
      <c r="BW10" s="18"/>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t="s">
        <v>439</v>
      </c>
      <c r="DI10" s="16" t="s">
        <v>72</v>
      </c>
      <c r="DJ10" s="16" t="s">
        <v>439</v>
      </c>
    </row>
    <row r="11" spans="1:114" ht="12" customHeight="1" x14ac:dyDescent="0.3">
      <c r="A11" s="16" t="s">
        <v>296</v>
      </c>
      <c r="B11" s="16" t="s">
        <v>377</v>
      </c>
      <c r="C11" s="16" t="s">
        <v>195</v>
      </c>
      <c r="D11" s="16" t="s">
        <v>44</v>
      </c>
      <c r="E11" s="16" t="s">
        <v>390</v>
      </c>
      <c r="F11" s="16" t="s">
        <v>44</v>
      </c>
      <c r="G11" s="16" t="s">
        <v>274</v>
      </c>
      <c r="H11" s="16" t="s">
        <v>44</v>
      </c>
      <c r="I11" s="16" t="s">
        <v>274</v>
      </c>
      <c r="J11" s="17" t="s">
        <v>58</v>
      </c>
      <c r="K11" s="16"/>
      <c r="L11" s="16"/>
      <c r="M11" s="16"/>
      <c r="N11" s="16"/>
      <c r="O11" s="16"/>
      <c r="P11" s="16"/>
      <c r="Q11" s="16"/>
      <c r="R11" s="16"/>
      <c r="S11" s="16"/>
      <c r="T11" s="16"/>
      <c r="U11" s="16"/>
      <c r="V11" s="16"/>
      <c r="W11" s="16">
        <v>3730</v>
      </c>
      <c r="X11" s="16">
        <v>3</v>
      </c>
      <c r="Y11" s="16" t="s">
        <v>310</v>
      </c>
      <c r="Z11" s="16" t="s">
        <v>310</v>
      </c>
      <c r="AA11" s="18" t="s">
        <v>130</v>
      </c>
      <c r="AB11" s="16" t="s">
        <v>189</v>
      </c>
      <c r="AC11" s="16">
        <v>401932</v>
      </c>
      <c r="AD11" s="18">
        <v>401932</v>
      </c>
      <c r="AE11" s="16" t="s">
        <v>182</v>
      </c>
      <c r="AF11" s="18">
        <v>401932</v>
      </c>
      <c r="AG11" s="18">
        <v>401932</v>
      </c>
      <c r="AH11" s="18" t="s">
        <v>398</v>
      </c>
      <c r="AI11" s="16"/>
      <c r="AJ11" s="16"/>
      <c r="AK11" s="16"/>
      <c r="AL11" s="16" t="s">
        <v>363</v>
      </c>
      <c r="AM11" s="16"/>
      <c r="AN11" s="16">
        <v>27</v>
      </c>
      <c r="AO11" s="16" t="s">
        <v>220</v>
      </c>
      <c r="AP11" s="16"/>
      <c r="AQ11" s="18" t="s">
        <v>349</v>
      </c>
      <c r="AR11" s="18" t="s">
        <v>96</v>
      </c>
      <c r="AS11" s="18" t="s">
        <v>116</v>
      </c>
      <c r="AT11" s="18" t="s">
        <v>383</v>
      </c>
      <c r="AU11" s="18" t="s">
        <v>416</v>
      </c>
      <c r="AV11" s="18" t="s">
        <v>416</v>
      </c>
      <c r="AW11" s="18" t="s">
        <v>272</v>
      </c>
      <c r="AX11" s="18" t="s">
        <v>205</v>
      </c>
      <c r="AY11" s="18">
        <f t="shared" si="0"/>
        <v>56</v>
      </c>
      <c r="AZ11" s="18" t="s">
        <v>282</v>
      </c>
      <c r="BA11" s="18" t="s">
        <v>242</v>
      </c>
      <c r="BB11" s="18" t="s">
        <v>361</v>
      </c>
      <c r="BC11" s="18" t="s">
        <v>417</v>
      </c>
      <c r="BD11" s="18"/>
      <c r="BE11" s="18" t="s">
        <v>34</v>
      </c>
      <c r="BF11" s="18"/>
      <c r="BG11" s="18"/>
      <c r="BH11" s="18"/>
      <c r="BI11" s="18"/>
      <c r="BJ11" s="18" t="s">
        <v>217</v>
      </c>
      <c r="BK11" s="18"/>
      <c r="BL11" s="18"/>
      <c r="BM11" s="18"/>
      <c r="BN11" s="18" t="s">
        <v>293</v>
      </c>
      <c r="BO11" s="18" t="s">
        <v>177</v>
      </c>
      <c r="BP11" s="18" t="s">
        <v>333</v>
      </c>
      <c r="BQ11" s="18"/>
      <c r="BR11" s="18"/>
      <c r="BS11" s="20" t="s">
        <v>356</v>
      </c>
      <c r="BT11" s="18" t="s">
        <v>66</v>
      </c>
      <c r="BU11" s="18" t="s">
        <v>407</v>
      </c>
      <c r="BV11" s="18"/>
      <c r="BW11" s="18"/>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t="s">
        <v>439</v>
      </c>
      <c r="DI11" s="16" t="s">
        <v>72</v>
      </c>
      <c r="DJ11" s="16" t="s">
        <v>439</v>
      </c>
    </row>
    <row r="12" spans="1:114" ht="12" customHeight="1" x14ac:dyDescent="0.3">
      <c r="A12" s="16" t="s">
        <v>296</v>
      </c>
      <c r="B12" s="16" t="s">
        <v>378</v>
      </c>
      <c r="C12" s="16" t="s">
        <v>81</v>
      </c>
      <c r="D12" s="16" t="s">
        <v>44</v>
      </c>
      <c r="E12" s="16" t="s">
        <v>390</v>
      </c>
      <c r="F12" s="16" t="s">
        <v>44</v>
      </c>
      <c r="G12" s="16" t="s">
        <v>274</v>
      </c>
      <c r="H12" s="16" t="s">
        <v>44</v>
      </c>
      <c r="I12" s="16" t="s">
        <v>274</v>
      </c>
      <c r="J12" s="17" t="s">
        <v>58</v>
      </c>
      <c r="K12" s="16"/>
      <c r="L12" s="16"/>
      <c r="M12" s="16"/>
      <c r="N12" s="16"/>
      <c r="O12" s="16"/>
      <c r="P12" s="16"/>
      <c r="Q12" s="16"/>
      <c r="R12" s="16"/>
      <c r="S12" s="16"/>
      <c r="T12" s="16"/>
      <c r="U12" s="16"/>
      <c r="V12" s="16"/>
      <c r="W12" s="16">
        <v>3752</v>
      </c>
      <c r="X12" s="16">
        <v>5</v>
      </c>
      <c r="Y12" s="16" t="s">
        <v>310</v>
      </c>
      <c r="Z12" s="16" t="s">
        <v>310</v>
      </c>
      <c r="AA12" s="18" t="s">
        <v>130</v>
      </c>
      <c r="AB12" s="16" t="s">
        <v>189</v>
      </c>
      <c r="AC12" s="16">
        <v>401932</v>
      </c>
      <c r="AD12" s="18">
        <v>401932</v>
      </c>
      <c r="AE12" s="16" t="s">
        <v>182</v>
      </c>
      <c r="AF12" s="18">
        <v>401932</v>
      </c>
      <c r="AG12" s="18">
        <v>401932</v>
      </c>
      <c r="AH12" s="18" t="s">
        <v>398</v>
      </c>
      <c r="AI12" s="16"/>
      <c r="AJ12" s="16"/>
      <c r="AK12" s="16"/>
      <c r="AL12" s="16" t="s">
        <v>363</v>
      </c>
      <c r="AM12" s="16"/>
      <c r="AN12" s="16">
        <v>27</v>
      </c>
      <c r="AO12" s="16" t="s">
        <v>220</v>
      </c>
      <c r="AP12" s="16"/>
      <c r="AQ12" s="18" t="s">
        <v>349</v>
      </c>
      <c r="AR12" s="18" t="s">
        <v>96</v>
      </c>
      <c r="AS12" s="18" t="s">
        <v>116</v>
      </c>
      <c r="AT12" s="18" t="s">
        <v>383</v>
      </c>
      <c r="AU12" s="18" t="s">
        <v>416</v>
      </c>
      <c r="AV12" s="18" t="s">
        <v>416</v>
      </c>
      <c r="AW12" s="18" t="s">
        <v>272</v>
      </c>
      <c r="AX12" s="18" t="s">
        <v>205</v>
      </c>
      <c r="AY12" s="18">
        <f t="shared" si="0"/>
        <v>56</v>
      </c>
      <c r="AZ12" s="18" t="s">
        <v>282</v>
      </c>
      <c r="BA12" s="18" t="s">
        <v>242</v>
      </c>
      <c r="BB12" s="18" t="s">
        <v>361</v>
      </c>
      <c r="BC12" s="18" t="s">
        <v>417</v>
      </c>
      <c r="BD12" s="18"/>
      <c r="BE12" s="18" t="s">
        <v>34</v>
      </c>
      <c r="BF12" s="18"/>
      <c r="BG12" s="18"/>
      <c r="BH12" s="18"/>
      <c r="BI12" s="18"/>
      <c r="BJ12" s="18" t="s">
        <v>217</v>
      </c>
      <c r="BK12" s="18"/>
      <c r="BL12" s="18"/>
      <c r="BM12" s="18"/>
      <c r="BN12" s="18" t="s">
        <v>293</v>
      </c>
      <c r="BO12" s="18" t="s">
        <v>177</v>
      </c>
      <c r="BP12" s="18" t="s">
        <v>333</v>
      </c>
      <c r="BQ12" s="18"/>
      <c r="BR12" s="18"/>
      <c r="BS12" s="20" t="s">
        <v>356</v>
      </c>
      <c r="BT12" s="18" t="s">
        <v>66</v>
      </c>
      <c r="BU12" s="18" t="s">
        <v>407</v>
      </c>
      <c r="BV12" s="18"/>
      <c r="BW12" s="18"/>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t="s">
        <v>439</v>
      </c>
      <c r="DI12" s="16" t="s">
        <v>72</v>
      </c>
      <c r="DJ12" s="16" t="s">
        <v>439</v>
      </c>
    </row>
    <row r="13" spans="1:114" ht="12" customHeight="1" x14ac:dyDescent="0.3">
      <c r="A13" s="16" t="s">
        <v>296</v>
      </c>
      <c r="B13" s="16" t="s">
        <v>377</v>
      </c>
      <c r="C13" s="16" t="s">
        <v>195</v>
      </c>
      <c r="D13" s="16" t="s">
        <v>44</v>
      </c>
      <c r="E13" s="16" t="s">
        <v>390</v>
      </c>
      <c r="F13" s="16" t="s">
        <v>44</v>
      </c>
      <c r="G13" s="16" t="s">
        <v>274</v>
      </c>
      <c r="H13" s="16" t="s">
        <v>44</v>
      </c>
      <c r="I13" s="16" t="s">
        <v>274</v>
      </c>
      <c r="J13" s="17" t="s">
        <v>58</v>
      </c>
      <c r="K13" s="16"/>
      <c r="L13" s="16"/>
      <c r="M13" s="16"/>
      <c r="N13" s="16"/>
      <c r="O13" s="16"/>
      <c r="P13" s="16"/>
      <c r="Q13" s="16"/>
      <c r="R13" s="16"/>
      <c r="S13" s="16"/>
      <c r="T13" s="16"/>
      <c r="U13" s="16"/>
      <c r="V13" s="16"/>
      <c r="W13" s="16">
        <v>3737</v>
      </c>
      <c r="X13" s="16">
        <v>10</v>
      </c>
      <c r="Y13" s="16" t="s">
        <v>310</v>
      </c>
      <c r="Z13" s="16" t="s">
        <v>310</v>
      </c>
      <c r="AA13" s="18" t="s">
        <v>130</v>
      </c>
      <c r="AB13" s="16" t="s">
        <v>402</v>
      </c>
      <c r="AC13" s="16">
        <v>401970</v>
      </c>
      <c r="AD13" s="18">
        <v>401970</v>
      </c>
      <c r="AE13" s="16" t="s">
        <v>182</v>
      </c>
      <c r="AF13" s="18">
        <v>401970</v>
      </c>
      <c r="AG13" s="18">
        <v>401970</v>
      </c>
      <c r="AH13" s="18" t="s">
        <v>42</v>
      </c>
      <c r="AI13" s="16"/>
      <c r="AJ13" s="16"/>
      <c r="AK13" s="16"/>
      <c r="AL13" s="16" t="s">
        <v>196</v>
      </c>
      <c r="AM13" s="16"/>
      <c r="AN13" s="16">
        <v>27</v>
      </c>
      <c r="AO13" s="16" t="s">
        <v>401</v>
      </c>
      <c r="AP13" s="16"/>
      <c r="AQ13" s="18" t="s">
        <v>136</v>
      </c>
      <c r="AR13" s="18" t="s">
        <v>96</v>
      </c>
      <c r="AS13" s="18" t="s">
        <v>116</v>
      </c>
      <c r="AT13" s="18" t="s">
        <v>391</v>
      </c>
      <c r="AU13" s="18" t="s">
        <v>385</v>
      </c>
      <c r="AV13" s="18" t="s">
        <v>385</v>
      </c>
      <c r="AW13" s="18" t="s">
        <v>180</v>
      </c>
      <c r="AX13" s="18" t="s">
        <v>179</v>
      </c>
      <c r="AY13" s="18">
        <f t="shared" si="0"/>
        <v>59</v>
      </c>
      <c r="AZ13" s="18" t="s">
        <v>342</v>
      </c>
      <c r="BA13" s="18" t="s">
        <v>282</v>
      </c>
      <c r="BB13" s="18" t="s">
        <v>6</v>
      </c>
      <c r="BC13" s="18"/>
      <c r="BD13" s="18"/>
      <c r="BE13" s="18" t="s">
        <v>164</v>
      </c>
      <c r="BF13" s="18"/>
      <c r="BG13" s="18"/>
      <c r="BH13" s="18"/>
      <c r="BI13" s="18"/>
      <c r="BJ13" s="18" t="s">
        <v>267</v>
      </c>
      <c r="BK13" s="18"/>
      <c r="BL13" s="18"/>
      <c r="BM13" s="18" t="s">
        <v>270</v>
      </c>
      <c r="BN13" s="18" t="s">
        <v>293</v>
      </c>
      <c r="BO13" s="18" t="s">
        <v>245</v>
      </c>
      <c r="BP13" s="18" t="s">
        <v>333</v>
      </c>
      <c r="BQ13" s="18"/>
      <c r="BR13" s="18" t="s">
        <v>24</v>
      </c>
      <c r="BS13" s="20" t="s">
        <v>119</v>
      </c>
      <c r="BT13" s="18" t="s">
        <v>66</v>
      </c>
      <c r="BU13" s="18" t="s">
        <v>407</v>
      </c>
      <c r="BV13" s="18"/>
      <c r="BW13" s="18"/>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t="s">
        <v>439</v>
      </c>
      <c r="DI13" s="16" t="s">
        <v>72</v>
      </c>
      <c r="DJ13" s="16" t="s">
        <v>439</v>
      </c>
    </row>
    <row r="14" spans="1:114" ht="12" customHeight="1" x14ac:dyDescent="0.3">
      <c r="A14" s="16" t="s">
        <v>296</v>
      </c>
      <c r="B14" s="16" t="s">
        <v>378</v>
      </c>
      <c r="C14" s="16" t="s">
        <v>81</v>
      </c>
      <c r="D14" s="16" t="s">
        <v>44</v>
      </c>
      <c r="E14" s="16" t="s">
        <v>390</v>
      </c>
      <c r="F14" s="16" t="s">
        <v>44</v>
      </c>
      <c r="G14" s="16" t="s">
        <v>274</v>
      </c>
      <c r="H14" s="16" t="s">
        <v>44</v>
      </c>
      <c r="I14" s="16" t="s">
        <v>274</v>
      </c>
      <c r="J14" s="17" t="s">
        <v>58</v>
      </c>
      <c r="K14" s="16"/>
      <c r="L14" s="16"/>
      <c r="M14" s="16"/>
      <c r="N14" s="16"/>
      <c r="O14" s="16"/>
      <c r="P14" s="16"/>
      <c r="Q14" s="16"/>
      <c r="R14" s="16"/>
      <c r="S14" s="16"/>
      <c r="T14" s="16"/>
      <c r="U14" s="16"/>
      <c r="V14" s="16"/>
      <c r="W14" s="16">
        <v>3753</v>
      </c>
      <c r="X14" s="16">
        <v>6</v>
      </c>
      <c r="Y14" s="16" t="s">
        <v>310</v>
      </c>
      <c r="Z14" s="16" t="s">
        <v>310</v>
      </c>
      <c r="AA14" s="18" t="s">
        <v>130</v>
      </c>
      <c r="AB14" s="16" t="s">
        <v>402</v>
      </c>
      <c r="AC14" s="16">
        <v>401970</v>
      </c>
      <c r="AD14" s="18">
        <v>401970</v>
      </c>
      <c r="AE14" s="16" t="s">
        <v>182</v>
      </c>
      <c r="AF14" s="18">
        <v>401970</v>
      </c>
      <c r="AG14" s="18">
        <v>401970</v>
      </c>
      <c r="AH14" s="18" t="s">
        <v>42</v>
      </c>
      <c r="AI14" s="16"/>
      <c r="AJ14" s="16"/>
      <c r="AK14" s="16"/>
      <c r="AL14" s="16" t="s">
        <v>196</v>
      </c>
      <c r="AM14" s="16"/>
      <c r="AN14" s="16">
        <v>27</v>
      </c>
      <c r="AO14" s="16" t="s">
        <v>401</v>
      </c>
      <c r="AP14" s="16"/>
      <c r="AQ14" s="18" t="s">
        <v>136</v>
      </c>
      <c r="AR14" s="18" t="s">
        <v>96</v>
      </c>
      <c r="AS14" s="18" t="s">
        <v>116</v>
      </c>
      <c r="AT14" s="18" t="s">
        <v>391</v>
      </c>
      <c r="AU14" s="18" t="s">
        <v>385</v>
      </c>
      <c r="AV14" s="18" t="s">
        <v>385</v>
      </c>
      <c r="AW14" s="18" t="s">
        <v>180</v>
      </c>
      <c r="AX14" s="18" t="s">
        <v>179</v>
      </c>
      <c r="AY14" s="18">
        <f t="shared" si="0"/>
        <v>59</v>
      </c>
      <c r="AZ14" s="18" t="s">
        <v>342</v>
      </c>
      <c r="BA14" s="18" t="s">
        <v>282</v>
      </c>
      <c r="BB14" s="18" t="s">
        <v>6</v>
      </c>
      <c r="BC14" s="18"/>
      <c r="BD14" s="18"/>
      <c r="BE14" s="18" t="s">
        <v>164</v>
      </c>
      <c r="BF14" s="18"/>
      <c r="BG14" s="18"/>
      <c r="BH14" s="18"/>
      <c r="BI14" s="18"/>
      <c r="BJ14" s="18" t="s">
        <v>267</v>
      </c>
      <c r="BK14" s="18"/>
      <c r="BL14" s="18"/>
      <c r="BM14" s="18" t="s">
        <v>270</v>
      </c>
      <c r="BN14" s="18" t="s">
        <v>293</v>
      </c>
      <c r="BO14" s="18" t="s">
        <v>245</v>
      </c>
      <c r="BP14" s="18" t="s">
        <v>333</v>
      </c>
      <c r="BQ14" s="18"/>
      <c r="BR14" s="18" t="s">
        <v>24</v>
      </c>
      <c r="BS14" s="20" t="s">
        <v>119</v>
      </c>
      <c r="BT14" s="18" t="s">
        <v>66</v>
      </c>
      <c r="BU14" s="18" t="s">
        <v>407</v>
      </c>
      <c r="BV14" s="18"/>
      <c r="BW14" s="18"/>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t="s">
        <v>439</v>
      </c>
      <c r="DI14" s="16" t="s">
        <v>72</v>
      </c>
      <c r="DJ14" s="16" t="s">
        <v>439</v>
      </c>
    </row>
    <row r="15" spans="1:114" ht="12" customHeight="1" x14ac:dyDescent="0.3">
      <c r="A15" s="16" t="s">
        <v>296</v>
      </c>
      <c r="B15" s="16" t="s">
        <v>377</v>
      </c>
      <c r="C15" s="16" t="s">
        <v>195</v>
      </c>
      <c r="D15" s="16" t="s">
        <v>44</v>
      </c>
      <c r="E15" s="16" t="s">
        <v>390</v>
      </c>
      <c r="F15" s="16" t="s">
        <v>44</v>
      </c>
      <c r="G15" s="16" t="s">
        <v>274</v>
      </c>
      <c r="H15" s="16" t="s">
        <v>44</v>
      </c>
      <c r="I15" s="16" t="s">
        <v>274</v>
      </c>
      <c r="J15" s="17" t="s">
        <v>58</v>
      </c>
      <c r="K15" s="16"/>
      <c r="L15" s="16"/>
      <c r="M15" s="16"/>
      <c r="N15" s="16"/>
      <c r="O15" s="16"/>
      <c r="P15" s="16"/>
      <c r="Q15" s="16"/>
      <c r="R15" s="16"/>
      <c r="S15" s="16"/>
      <c r="T15" s="16"/>
      <c r="U15" s="16"/>
      <c r="V15" s="16"/>
      <c r="W15" s="16">
        <v>3733</v>
      </c>
      <c r="X15" s="16">
        <v>6</v>
      </c>
      <c r="Y15" s="16" t="s">
        <v>310</v>
      </c>
      <c r="Z15" s="16" t="s">
        <v>310</v>
      </c>
      <c r="AA15" s="18" t="s">
        <v>130</v>
      </c>
      <c r="AB15" s="16" t="s">
        <v>376</v>
      </c>
      <c r="AC15" s="16">
        <v>402032</v>
      </c>
      <c r="AD15" s="18">
        <v>402032</v>
      </c>
      <c r="AE15" s="16" t="s">
        <v>182</v>
      </c>
      <c r="AF15" s="18">
        <v>402032</v>
      </c>
      <c r="AG15" s="18">
        <v>402032</v>
      </c>
      <c r="AH15" s="18" t="s">
        <v>153</v>
      </c>
      <c r="AI15" s="16"/>
      <c r="AJ15" s="16"/>
      <c r="AK15" s="16"/>
      <c r="AL15" s="16" t="s">
        <v>287</v>
      </c>
      <c r="AM15" s="16"/>
      <c r="AN15" s="16">
        <v>27</v>
      </c>
      <c r="AO15" s="16" t="s">
        <v>201</v>
      </c>
      <c r="AP15" s="16"/>
      <c r="AQ15" s="18" t="s">
        <v>349</v>
      </c>
      <c r="AR15" s="18" t="s">
        <v>96</v>
      </c>
      <c r="AS15" s="18" t="s">
        <v>116</v>
      </c>
      <c r="AT15" s="18" t="s">
        <v>276</v>
      </c>
      <c r="AU15" s="18" t="s">
        <v>418</v>
      </c>
      <c r="AV15" s="18" t="s">
        <v>418</v>
      </c>
      <c r="AW15" s="18" t="s">
        <v>140</v>
      </c>
      <c r="AX15" s="18" t="s">
        <v>419</v>
      </c>
      <c r="AY15" s="18">
        <f t="shared" si="0"/>
        <v>59</v>
      </c>
      <c r="AZ15" s="18" t="s">
        <v>282</v>
      </c>
      <c r="BA15" s="18" t="s">
        <v>242</v>
      </c>
      <c r="BB15" s="18" t="s">
        <v>20</v>
      </c>
      <c r="BC15" s="18" t="s">
        <v>420</v>
      </c>
      <c r="BD15" s="18"/>
      <c r="BE15" s="18" t="s">
        <v>297</v>
      </c>
      <c r="BF15" s="18"/>
      <c r="BG15" s="18"/>
      <c r="BH15" s="18"/>
      <c r="BI15" s="18"/>
      <c r="BJ15" s="18" t="s">
        <v>311</v>
      </c>
      <c r="BK15" s="18"/>
      <c r="BL15" s="18"/>
      <c r="BM15" s="18"/>
      <c r="BN15" s="18" t="s">
        <v>293</v>
      </c>
      <c r="BO15" s="18" t="s">
        <v>177</v>
      </c>
      <c r="BP15" s="18" t="s">
        <v>333</v>
      </c>
      <c r="BQ15" s="18"/>
      <c r="BR15" s="18" t="s">
        <v>397</v>
      </c>
      <c r="BS15" s="20" t="s">
        <v>95</v>
      </c>
      <c r="BT15" s="18" t="s">
        <v>66</v>
      </c>
      <c r="BU15" s="18"/>
      <c r="BV15" s="18"/>
      <c r="BW15" s="18"/>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t="s">
        <v>439</v>
      </c>
      <c r="DI15" s="16" t="s">
        <v>72</v>
      </c>
      <c r="DJ15" s="16" t="s">
        <v>439</v>
      </c>
    </row>
    <row r="16" spans="1:114" ht="12" customHeight="1" x14ac:dyDescent="0.3">
      <c r="A16" s="16" t="s">
        <v>296</v>
      </c>
      <c r="B16" s="16" t="s">
        <v>377</v>
      </c>
      <c r="C16" s="16" t="s">
        <v>195</v>
      </c>
      <c r="D16" s="16" t="s">
        <v>44</v>
      </c>
      <c r="E16" s="16" t="s">
        <v>76</v>
      </c>
      <c r="F16" s="16" t="s">
        <v>44</v>
      </c>
      <c r="G16" s="16" t="s">
        <v>274</v>
      </c>
      <c r="H16" s="16" t="s">
        <v>44</v>
      </c>
      <c r="I16" s="16" t="s">
        <v>274</v>
      </c>
      <c r="J16" s="17" t="s">
        <v>58</v>
      </c>
      <c r="K16" s="16"/>
      <c r="L16" s="16"/>
      <c r="M16" s="16"/>
      <c r="N16" s="16"/>
      <c r="O16" s="16"/>
      <c r="P16" s="16"/>
      <c r="Q16" s="16"/>
      <c r="R16" s="16"/>
      <c r="S16" s="16"/>
      <c r="T16" s="16"/>
      <c r="U16" s="16"/>
      <c r="V16" s="16"/>
      <c r="W16" s="16">
        <v>3738</v>
      </c>
      <c r="X16" s="16">
        <v>11</v>
      </c>
      <c r="Y16" s="16" t="s">
        <v>310</v>
      </c>
      <c r="Z16" s="16" t="s">
        <v>310</v>
      </c>
      <c r="AA16" s="18" t="s">
        <v>130</v>
      </c>
      <c r="AB16" s="16" t="s">
        <v>141</v>
      </c>
      <c r="AC16" s="16">
        <v>405149</v>
      </c>
      <c r="AD16" s="18">
        <v>405149</v>
      </c>
      <c r="AE16" s="16" t="s">
        <v>182</v>
      </c>
      <c r="AF16" s="18">
        <v>405149</v>
      </c>
      <c r="AG16" s="18">
        <v>405149</v>
      </c>
      <c r="AH16" s="18" t="s">
        <v>78</v>
      </c>
      <c r="AI16" s="16"/>
      <c r="AJ16" s="16"/>
      <c r="AK16" s="16"/>
      <c r="AL16" s="16" t="s">
        <v>382</v>
      </c>
      <c r="AM16" s="16"/>
      <c r="AN16" s="16">
        <v>27</v>
      </c>
      <c r="AO16" s="16" t="s">
        <v>88</v>
      </c>
      <c r="AP16" s="16"/>
      <c r="AQ16" s="18" t="s">
        <v>50</v>
      </c>
      <c r="AR16" s="18" t="s">
        <v>93</v>
      </c>
      <c r="AS16" s="18" t="s">
        <v>340</v>
      </c>
      <c r="AT16" s="18" t="s">
        <v>65</v>
      </c>
      <c r="AU16" s="18" t="s">
        <v>395</v>
      </c>
      <c r="AV16" s="18" t="s">
        <v>395</v>
      </c>
      <c r="AW16" s="18" t="s">
        <v>215</v>
      </c>
      <c r="AX16" s="18" t="s">
        <v>215</v>
      </c>
      <c r="AY16" s="18">
        <f t="shared" si="0"/>
        <v>55</v>
      </c>
      <c r="AZ16" s="18" t="s">
        <v>198</v>
      </c>
      <c r="BA16" s="18" t="s">
        <v>43</v>
      </c>
      <c r="BB16" s="18"/>
      <c r="BC16" s="18" t="s">
        <v>123</v>
      </c>
      <c r="BD16" s="18"/>
      <c r="BE16" s="18" t="s">
        <v>102</v>
      </c>
      <c r="BF16" s="18"/>
      <c r="BG16" s="18"/>
      <c r="BH16" s="18"/>
      <c r="BI16" s="18"/>
      <c r="BJ16" s="18" t="s">
        <v>193</v>
      </c>
      <c r="BK16" s="18"/>
      <c r="BL16" s="18"/>
      <c r="BM16" s="18"/>
      <c r="BN16" s="18" t="s">
        <v>293</v>
      </c>
      <c r="BO16" s="18" t="s">
        <v>37</v>
      </c>
      <c r="BP16" s="18" t="s">
        <v>333</v>
      </c>
      <c r="BQ16" s="18"/>
      <c r="BR16" s="18" t="s">
        <v>386</v>
      </c>
      <c r="BS16" s="20" t="s">
        <v>239</v>
      </c>
      <c r="BT16" s="18"/>
      <c r="BU16" s="18"/>
      <c r="BV16" s="18"/>
      <c r="BW16" s="18"/>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t="s">
        <v>439</v>
      </c>
      <c r="DI16" s="16" t="s">
        <v>72</v>
      </c>
      <c r="DJ16" s="16" t="s">
        <v>439</v>
      </c>
    </row>
    <row r="17" spans="1:114" ht="12" customHeight="1" x14ac:dyDescent="0.3">
      <c r="A17" s="16" t="s">
        <v>296</v>
      </c>
      <c r="B17" s="16" t="s">
        <v>377</v>
      </c>
      <c r="C17" s="16" t="s">
        <v>195</v>
      </c>
      <c r="D17" s="16" t="s">
        <v>44</v>
      </c>
      <c r="E17" s="16" t="s">
        <v>390</v>
      </c>
      <c r="F17" s="16" t="s">
        <v>44</v>
      </c>
      <c r="G17" s="16" t="s">
        <v>274</v>
      </c>
      <c r="H17" s="16" t="s">
        <v>44</v>
      </c>
      <c r="I17" s="16" t="s">
        <v>274</v>
      </c>
      <c r="J17" s="17" t="s">
        <v>58</v>
      </c>
      <c r="K17" s="16"/>
      <c r="L17" s="16"/>
      <c r="M17" s="16"/>
      <c r="N17" s="16"/>
      <c r="O17" s="16"/>
      <c r="P17" s="16"/>
      <c r="Q17" s="16"/>
      <c r="R17" s="16"/>
      <c r="S17" s="16"/>
      <c r="T17" s="16"/>
      <c r="U17" s="16"/>
      <c r="V17" s="16"/>
      <c r="W17" s="16">
        <v>3739</v>
      </c>
      <c r="X17" s="16">
        <v>12</v>
      </c>
      <c r="Y17" s="16" t="s">
        <v>310</v>
      </c>
      <c r="Z17" s="16" t="s">
        <v>310</v>
      </c>
      <c r="AA17" s="18" t="s">
        <v>130</v>
      </c>
      <c r="AB17" s="16" t="s">
        <v>332</v>
      </c>
      <c r="AC17" s="16" t="s">
        <v>332</v>
      </c>
      <c r="AD17" s="18" t="s">
        <v>137</v>
      </c>
      <c r="AE17" s="16" t="s">
        <v>182</v>
      </c>
      <c r="AF17" s="18" t="s">
        <v>137</v>
      </c>
      <c r="AG17" s="18" t="s">
        <v>332</v>
      </c>
      <c r="AH17" s="18" t="s">
        <v>330</v>
      </c>
      <c r="AI17" s="16"/>
      <c r="AJ17" s="16"/>
      <c r="AK17" s="16"/>
      <c r="AL17" s="16" t="s">
        <v>394</v>
      </c>
      <c r="AM17" s="16"/>
      <c r="AN17" s="16">
        <v>27</v>
      </c>
      <c r="AO17" s="16" t="s">
        <v>127</v>
      </c>
      <c r="AP17" s="16"/>
      <c r="AQ17" s="18" t="str">
        <f>VLOOKUP(AC17,[1]Sheet1!$AE:$AS,11,0)</f>
        <v>42203416  Cardiac ablation catheters</v>
      </c>
      <c r="AR17" s="18" t="str">
        <f>VLOOKUP(AC17,[1]Sheet1!$AE:$AS,12,0)</f>
        <v>C1730</v>
      </c>
      <c r="AS17" s="18" t="s">
        <v>116</v>
      </c>
      <c r="AT17" s="18" t="s">
        <v>128</v>
      </c>
      <c r="AU17" s="18" t="s">
        <v>197</v>
      </c>
      <c r="AV17" s="18" t="s">
        <v>197</v>
      </c>
      <c r="AW17" s="18" t="s">
        <v>155</v>
      </c>
      <c r="AX17" s="18" t="s">
        <v>318</v>
      </c>
      <c r="AY17" s="18">
        <f t="shared" si="0"/>
        <v>59</v>
      </c>
      <c r="AZ17" s="18" t="s">
        <v>282</v>
      </c>
      <c r="BA17" s="18" t="s">
        <v>359</v>
      </c>
      <c r="BB17" s="18" t="s">
        <v>258</v>
      </c>
      <c r="BC17" s="18" t="s">
        <v>74</v>
      </c>
      <c r="BD17" s="18"/>
      <c r="BE17" s="18" t="s">
        <v>166</v>
      </c>
      <c r="BF17" s="18"/>
      <c r="BG17" s="18"/>
      <c r="BH17" s="18"/>
      <c r="BI17" s="18"/>
      <c r="BJ17" s="18" t="s">
        <v>337</v>
      </c>
      <c r="BK17" s="18"/>
      <c r="BL17" s="18"/>
      <c r="BM17" s="18"/>
      <c r="BN17" s="18" t="s">
        <v>293</v>
      </c>
      <c r="BO17" s="18" t="s">
        <v>190</v>
      </c>
      <c r="BP17" s="18" t="s">
        <v>247</v>
      </c>
      <c r="BQ17" s="18"/>
      <c r="BR17" s="18"/>
      <c r="BS17" s="18" t="s">
        <v>214</v>
      </c>
      <c r="BT17" s="18" t="s">
        <v>66</v>
      </c>
      <c r="BU17" s="20"/>
      <c r="BV17" s="18"/>
      <c r="BW17" s="18"/>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t="s">
        <v>439</v>
      </c>
      <c r="DI17" s="16" t="s">
        <v>72</v>
      </c>
      <c r="DJ17" s="16" t="s">
        <v>439</v>
      </c>
    </row>
    <row r="18" spans="1:114" ht="12" customHeight="1" x14ac:dyDescent="0.3">
      <c r="A18" s="16" t="s">
        <v>296</v>
      </c>
      <c r="B18" s="16" t="s">
        <v>377</v>
      </c>
      <c r="C18" s="16" t="s">
        <v>195</v>
      </c>
      <c r="D18" s="16" t="s">
        <v>44</v>
      </c>
      <c r="E18" s="16" t="s">
        <v>390</v>
      </c>
      <c r="F18" s="16" t="s">
        <v>44</v>
      </c>
      <c r="G18" s="16" t="s">
        <v>274</v>
      </c>
      <c r="H18" s="16" t="s">
        <v>44</v>
      </c>
      <c r="I18" s="16" t="s">
        <v>274</v>
      </c>
      <c r="J18" s="17" t="s">
        <v>58</v>
      </c>
      <c r="K18" s="16"/>
      <c r="L18" s="16"/>
      <c r="M18" s="16"/>
      <c r="N18" s="16"/>
      <c r="O18" s="16"/>
      <c r="P18" s="16"/>
      <c r="Q18" s="16"/>
      <c r="R18" s="16"/>
      <c r="S18" s="16"/>
      <c r="T18" s="16"/>
      <c r="U18" s="16"/>
      <c r="V18" s="16"/>
      <c r="W18" s="16">
        <v>3740</v>
      </c>
      <c r="X18" s="16">
        <v>13</v>
      </c>
      <c r="Y18" s="16" t="s">
        <v>310</v>
      </c>
      <c r="Z18" s="16" t="s">
        <v>310</v>
      </c>
      <c r="AA18" s="18" t="s">
        <v>130</v>
      </c>
      <c r="AB18" s="16" t="s">
        <v>364</v>
      </c>
      <c r="AC18" s="16" t="s">
        <v>364</v>
      </c>
      <c r="AD18" s="18" t="s">
        <v>144</v>
      </c>
      <c r="AE18" s="16" t="s">
        <v>182</v>
      </c>
      <c r="AF18" s="18" t="s">
        <v>144</v>
      </c>
      <c r="AG18" s="18" t="s">
        <v>364</v>
      </c>
      <c r="AH18" s="18" t="s">
        <v>335</v>
      </c>
      <c r="AI18" s="16"/>
      <c r="AJ18" s="16"/>
      <c r="AK18" s="16"/>
      <c r="AL18" s="16" t="s">
        <v>54</v>
      </c>
      <c r="AM18" s="16"/>
      <c r="AN18" s="16">
        <v>27</v>
      </c>
      <c r="AO18" s="16" t="s">
        <v>120</v>
      </c>
      <c r="AP18" s="16"/>
      <c r="AQ18" s="18" t="str">
        <f>VLOOKUP(AC18,[1]Sheet1!$AE:$AS,11,0)</f>
        <v>42203416  Cardiac ablation catheters</v>
      </c>
      <c r="AR18" s="18" t="str">
        <f>VLOOKUP(AC18,[1]Sheet1!$AE:$AS,12,0)</f>
        <v>C1730</v>
      </c>
      <c r="AS18" s="18" t="s">
        <v>116</v>
      </c>
      <c r="AT18" s="18" t="s">
        <v>379</v>
      </c>
      <c r="AU18" s="18" t="s">
        <v>303</v>
      </c>
      <c r="AV18" s="18" t="s">
        <v>303</v>
      </c>
      <c r="AW18" s="18" t="s">
        <v>307</v>
      </c>
      <c r="AX18" s="18" t="s">
        <v>154</v>
      </c>
      <c r="AY18" s="18">
        <f t="shared" si="0"/>
        <v>59</v>
      </c>
      <c r="AZ18" s="18" t="s">
        <v>282</v>
      </c>
      <c r="BA18" s="18" t="s">
        <v>359</v>
      </c>
      <c r="BB18" s="18" t="s">
        <v>134</v>
      </c>
      <c r="BC18" s="18" t="s">
        <v>74</v>
      </c>
      <c r="BD18" s="18"/>
      <c r="BE18" s="18" t="s">
        <v>166</v>
      </c>
      <c r="BF18" s="18"/>
      <c r="BG18" s="18"/>
      <c r="BH18" s="18"/>
      <c r="BI18" s="18"/>
      <c r="BJ18" s="18" t="s">
        <v>337</v>
      </c>
      <c r="BK18" s="18"/>
      <c r="BL18" s="18"/>
      <c r="BM18" s="18"/>
      <c r="BN18" s="18" t="s">
        <v>293</v>
      </c>
      <c r="BO18" s="18" t="s">
        <v>190</v>
      </c>
      <c r="BP18" s="18" t="s">
        <v>247</v>
      </c>
      <c r="BQ18" s="18"/>
      <c r="BR18" s="18"/>
      <c r="BS18" s="18" t="s">
        <v>327</v>
      </c>
      <c r="BT18" s="18" t="s">
        <v>66</v>
      </c>
      <c r="BU18" s="18"/>
      <c r="BV18" s="18"/>
      <c r="BW18" s="18"/>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t="s">
        <v>439</v>
      </c>
      <c r="DI18" s="16" t="s">
        <v>72</v>
      </c>
      <c r="DJ18" s="16" t="s">
        <v>439</v>
      </c>
    </row>
    <row r="19" spans="1:114" ht="12" customHeight="1" x14ac:dyDescent="0.3">
      <c r="A19" s="16" t="s">
        <v>296</v>
      </c>
      <c r="B19" s="16" t="s">
        <v>377</v>
      </c>
      <c r="C19" s="16" t="s">
        <v>195</v>
      </c>
      <c r="D19" s="16" t="s">
        <v>44</v>
      </c>
      <c r="E19" s="16" t="s">
        <v>390</v>
      </c>
      <c r="F19" s="16" t="s">
        <v>44</v>
      </c>
      <c r="G19" s="16" t="s">
        <v>274</v>
      </c>
      <c r="H19" s="16" t="s">
        <v>44</v>
      </c>
      <c r="I19" s="16" t="s">
        <v>274</v>
      </c>
      <c r="J19" s="17" t="s">
        <v>58</v>
      </c>
      <c r="K19" s="16"/>
      <c r="L19" s="16"/>
      <c r="M19" s="16"/>
      <c r="N19" s="16"/>
      <c r="O19" s="16"/>
      <c r="P19" s="16"/>
      <c r="Q19" s="16"/>
      <c r="R19" s="16"/>
      <c r="S19" s="16"/>
      <c r="T19" s="16"/>
      <c r="U19" s="16"/>
      <c r="V19" s="16"/>
      <c r="W19" s="16">
        <v>3741</v>
      </c>
      <c r="X19" s="16">
        <v>14</v>
      </c>
      <c r="Y19" s="16" t="s">
        <v>310</v>
      </c>
      <c r="Z19" s="16" t="s">
        <v>310</v>
      </c>
      <c r="AA19" s="18" t="s">
        <v>130</v>
      </c>
      <c r="AB19" s="16" t="s">
        <v>192</v>
      </c>
      <c r="AC19" s="16" t="s">
        <v>192</v>
      </c>
      <c r="AD19" s="18" t="s">
        <v>192</v>
      </c>
      <c r="AE19" s="16" t="s">
        <v>182</v>
      </c>
      <c r="AF19" s="18" t="s">
        <v>192</v>
      </c>
      <c r="AG19" s="18" t="s">
        <v>192</v>
      </c>
      <c r="AH19" s="18" t="s">
        <v>173</v>
      </c>
      <c r="AI19" s="16"/>
      <c r="AJ19" s="16"/>
      <c r="AK19" s="16"/>
      <c r="AL19" s="16" t="s">
        <v>294</v>
      </c>
      <c r="AM19" s="16"/>
      <c r="AN19" s="16">
        <v>27</v>
      </c>
      <c r="AO19" s="16" t="s">
        <v>68</v>
      </c>
      <c r="AP19" s="16"/>
      <c r="AQ19" s="18" t="s">
        <v>349</v>
      </c>
      <c r="AR19" s="18" t="s">
        <v>96</v>
      </c>
      <c r="AS19" s="18" t="s">
        <v>116</v>
      </c>
      <c r="AT19" s="18" t="s">
        <v>160</v>
      </c>
      <c r="AU19" s="18" t="s">
        <v>421</v>
      </c>
      <c r="AV19" s="18" t="s">
        <v>421</v>
      </c>
      <c r="AW19" s="18" t="s">
        <v>13</v>
      </c>
      <c r="AX19" s="18" t="s">
        <v>288</v>
      </c>
      <c r="AY19" s="18">
        <f t="shared" si="0"/>
        <v>60</v>
      </c>
      <c r="AZ19" s="18" t="s">
        <v>282</v>
      </c>
      <c r="BA19" s="18" t="s">
        <v>242</v>
      </c>
      <c r="BB19" s="18" t="s">
        <v>373</v>
      </c>
      <c r="BC19" s="18" t="s">
        <v>422</v>
      </c>
      <c r="BD19" s="18"/>
      <c r="BE19" s="18" t="s">
        <v>297</v>
      </c>
      <c r="BF19" s="18" t="s">
        <v>202</v>
      </c>
      <c r="BG19" s="18"/>
      <c r="BH19" s="18"/>
      <c r="BI19" s="18"/>
      <c r="BJ19" s="18" t="s">
        <v>309</v>
      </c>
      <c r="BK19" s="18"/>
      <c r="BL19" s="18"/>
      <c r="BM19" s="18"/>
      <c r="BN19" s="18" t="s">
        <v>293</v>
      </c>
      <c r="BO19" s="18" t="s">
        <v>177</v>
      </c>
      <c r="BP19" s="18" t="s">
        <v>333</v>
      </c>
      <c r="BQ19" s="18"/>
      <c r="BR19" s="18"/>
      <c r="BS19" s="18" t="s">
        <v>219</v>
      </c>
      <c r="BT19" s="18"/>
      <c r="BU19" s="18"/>
      <c r="BV19" s="18"/>
      <c r="BW19" s="18"/>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t="s">
        <v>439</v>
      </c>
      <c r="DI19" s="16" t="s">
        <v>72</v>
      </c>
      <c r="DJ19" s="16" t="s">
        <v>439</v>
      </c>
    </row>
    <row r="20" spans="1:114" ht="12" customHeight="1" x14ac:dyDescent="0.3">
      <c r="A20" s="16" t="s">
        <v>296</v>
      </c>
      <c r="B20" s="16" t="s">
        <v>377</v>
      </c>
      <c r="C20" s="16" t="s">
        <v>195</v>
      </c>
      <c r="D20" s="16" t="s">
        <v>44</v>
      </c>
      <c r="E20" s="16" t="s">
        <v>390</v>
      </c>
      <c r="F20" s="16" t="s">
        <v>44</v>
      </c>
      <c r="G20" s="16" t="s">
        <v>274</v>
      </c>
      <c r="H20" s="16" t="s">
        <v>44</v>
      </c>
      <c r="I20" s="16" t="s">
        <v>274</v>
      </c>
      <c r="J20" s="17" t="s">
        <v>58</v>
      </c>
      <c r="K20" s="16"/>
      <c r="L20" s="16"/>
      <c r="M20" s="16"/>
      <c r="N20" s="16"/>
      <c r="O20" s="16"/>
      <c r="P20" s="16"/>
      <c r="Q20" s="16"/>
      <c r="R20" s="16"/>
      <c r="S20" s="16"/>
      <c r="T20" s="16"/>
      <c r="U20" s="16"/>
      <c r="V20" s="16"/>
      <c r="W20" s="16">
        <v>3734</v>
      </c>
      <c r="X20" s="16">
        <v>7</v>
      </c>
      <c r="Y20" s="16" t="s">
        <v>310</v>
      </c>
      <c r="Z20" s="16" t="s">
        <v>310</v>
      </c>
      <c r="AA20" s="18" t="s">
        <v>130</v>
      </c>
      <c r="AB20" s="16" t="s">
        <v>212</v>
      </c>
      <c r="AC20" s="16" t="s">
        <v>212</v>
      </c>
      <c r="AD20" s="18" t="s">
        <v>369</v>
      </c>
      <c r="AE20" s="16" t="s">
        <v>182</v>
      </c>
      <c r="AF20" s="18" t="s">
        <v>369</v>
      </c>
      <c r="AG20" s="18" t="s">
        <v>212</v>
      </c>
      <c r="AH20" s="18" t="s">
        <v>221</v>
      </c>
      <c r="AI20" s="16"/>
      <c r="AJ20" s="16"/>
      <c r="AK20" s="16"/>
      <c r="AL20" s="16" t="s">
        <v>399</v>
      </c>
      <c r="AM20" s="16"/>
      <c r="AN20" s="16">
        <v>27</v>
      </c>
      <c r="AO20" s="16" t="s">
        <v>15</v>
      </c>
      <c r="AP20" s="16"/>
      <c r="AQ20" s="18" t="str">
        <f>VLOOKUP(AC20,[1]Sheet1!$AE:$AS,11,0)</f>
        <v>42203430  Electrophysiology catheters</v>
      </c>
      <c r="AR20" s="18" t="str">
        <f>VLOOKUP(AC20,[1]Sheet1!$AE:$AS,12,0)</f>
        <v>C1730</v>
      </c>
      <c r="AS20" s="18" t="s">
        <v>116</v>
      </c>
      <c r="AT20" s="18" t="s">
        <v>169</v>
      </c>
      <c r="AU20" s="18" t="s">
        <v>423</v>
      </c>
      <c r="AV20" s="18" t="s">
        <v>423</v>
      </c>
      <c r="AW20" s="18" t="s">
        <v>176</v>
      </c>
      <c r="AX20" s="18" t="s">
        <v>424</v>
      </c>
      <c r="AY20" s="18">
        <f t="shared" si="0"/>
        <v>56</v>
      </c>
      <c r="AZ20" s="18" t="s">
        <v>282</v>
      </c>
      <c r="BA20" s="18" t="s">
        <v>118</v>
      </c>
      <c r="BB20" s="18" t="s">
        <v>258</v>
      </c>
      <c r="BC20" s="18" t="s">
        <v>425</v>
      </c>
      <c r="BD20" s="18"/>
      <c r="BE20" s="18" t="s">
        <v>11</v>
      </c>
      <c r="BF20" s="18"/>
      <c r="BG20" s="18"/>
      <c r="BH20" s="18"/>
      <c r="BI20" s="18"/>
      <c r="BJ20" s="18" t="s">
        <v>142</v>
      </c>
      <c r="BK20" s="18"/>
      <c r="BL20" s="18"/>
      <c r="BM20" s="18"/>
      <c r="BN20" s="18" t="s">
        <v>293</v>
      </c>
      <c r="BO20" s="18" t="s">
        <v>284</v>
      </c>
      <c r="BP20" s="18" t="s">
        <v>333</v>
      </c>
      <c r="BQ20" s="18"/>
      <c r="BR20" s="18"/>
      <c r="BS20" s="18" t="s">
        <v>305</v>
      </c>
      <c r="BT20" s="18" t="s">
        <v>66</v>
      </c>
      <c r="BU20" s="18"/>
      <c r="BV20" s="18"/>
      <c r="BW20" s="18"/>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t="s">
        <v>439</v>
      </c>
      <c r="DI20" s="16" t="s">
        <v>72</v>
      </c>
      <c r="DJ20" s="16" t="s">
        <v>439</v>
      </c>
    </row>
    <row r="21" spans="1:114" ht="12" customHeight="1" x14ac:dyDescent="0.3">
      <c r="A21" s="16" t="s">
        <v>296</v>
      </c>
      <c r="B21" s="16" t="s">
        <v>377</v>
      </c>
      <c r="C21" s="16" t="s">
        <v>195</v>
      </c>
      <c r="D21" s="16" t="s">
        <v>44</v>
      </c>
      <c r="E21" s="16" t="s">
        <v>390</v>
      </c>
      <c r="F21" s="16" t="s">
        <v>44</v>
      </c>
      <c r="G21" s="16" t="s">
        <v>274</v>
      </c>
      <c r="H21" s="16" t="s">
        <v>44</v>
      </c>
      <c r="I21" s="16" t="s">
        <v>274</v>
      </c>
      <c r="J21" s="17" t="s">
        <v>58</v>
      </c>
      <c r="K21" s="16"/>
      <c r="L21" s="16"/>
      <c r="M21" s="16"/>
      <c r="N21" s="16"/>
      <c r="O21" s="16"/>
      <c r="P21" s="16"/>
      <c r="Q21" s="16"/>
      <c r="R21" s="16"/>
      <c r="S21" s="16"/>
      <c r="T21" s="16"/>
      <c r="U21" s="16"/>
      <c r="V21" s="16"/>
      <c r="W21" s="16">
        <v>3735</v>
      </c>
      <c r="X21" s="16">
        <v>8</v>
      </c>
      <c r="Y21" s="16" t="s">
        <v>310</v>
      </c>
      <c r="Z21" s="16" t="s">
        <v>310</v>
      </c>
      <c r="AA21" s="18" t="s">
        <v>130</v>
      </c>
      <c r="AB21" s="16" t="s">
        <v>111</v>
      </c>
      <c r="AC21" s="16" t="s">
        <v>111</v>
      </c>
      <c r="AD21" s="18" t="s">
        <v>285</v>
      </c>
      <c r="AE21" s="16" t="s">
        <v>182</v>
      </c>
      <c r="AF21" s="18" t="s">
        <v>285</v>
      </c>
      <c r="AG21" s="18" t="s">
        <v>111</v>
      </c>
      <c r="AH21" s="18" t="s">
        <v>387</v>
      </c>
      <c r="AI21" s="16"/>
      <c r="AJ21" s="16"/>
      <c r="AK21" s="16"/>
      <c r="AL21" s="16" t="s">
        <v>283</v>
      </c>
      <c r="AM21" s="16"/>
      <c r="AN21" s="16">
        <v>27</v>
      </c>
      <c r="AO21" s="16" t="s">
        <v>23</v>
      </c>
      <c r="AP21" s="16"/>
      <c r="AQ21" s="18" t="str">
        <f>VLOOKUP(AC21,[1]Sheet1!$AE:$AS,11,0)</f>
        <v>42203430  Electrophysiology catheters</v>
      </c>
      <c r="AR21" s="18" t="str">
        <f>VLOOKUP(AC21,[1]Sheet1!$AE:$AS,12,0)</f>
        <v>C1730</v>
      </c>
      <c r="AS21" s="18" t="s">
        <v>116</v>
      </c>
      <c r="AT21" s="18" t="s">
        <v>169</v>
      </c>
      <c r="AU21" s="18" t="s">
        <v>426</v>
      </c>
      <c r="AV21" s="18" t="s">
        <v>426</v>
      </c>
      <c r="AW21" s="18" t="s">
        <v>218</v>
      </c>
      <c r="AX21" s="18" t="s">
        <v>427</v>
      </c>
      <c r="AY21" s="18">
        <f t="shared" si="0"/>
        <v>58</v>
      </c>
      <c r="AZ21" s="18" t="s">
        <v>282</v>
      </c>
      <c r="BA21" s="18" t="s">
        <v>118</v>
      </c>
      <c r="BB21" s="18" t="s">
        <v>258</v>
      </c>
      <c r="BC21" s="18" t="s">
        <v>428</v>
      </c>
      <c r="BD21" s="18"/>
      <c r="BE21" s="18" t="s">
        <v>11</v>
      </c>
      <c r="BF21" s="18"/>
      <c r="BG21" s="18"/>
      <c r="BH21" s="18"/>
      <c r="BI21" s="18"/>
      <c r="BJ21" s="18" t="s">
        <v>277</v>
      </c>
      <c r="BK21" s="18"/>
      <c r="BL21" s="18"/>
      <c r="BM21" s="18"/>
      <c r="BN21" s="18" t="s">
        <v>293</v>
      </c>
      <c r="BO21" s="18" t="s">
        <v>284</v>
      </c>
      <c r="BP21" s="18" t="s">
        <v>333</v>
      </c>
      <c r="BQ21" s="18"/>
      <c r="BR21" s="18"/>
      <c r="BS21" s="18" t="s">
        <v>143</v>
      </c>
      <c r="BT21" s="18" t="s">
        <v>66</v>
      </c>
      <c r="BU21" s="18"/>
      <c r="BV21" s="18"/>
      <c r="BW21" s="18"/>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t="s">
        <v>439</v>
      </c>
      <c r="DI21" s="16" t="s">
        <v>72</v>
      </c>
      <c r="DJ21" s="16" t="s">
        <v>439</v>
      </c>
    </row>
    <row r="22" spans="1:114" ht="12" customHeight="1" x14ac:dyDescent="0.3">
      <c r="A22" s="16" t="s">
        <v>296</v>
      </c>
      <c r="B22" s="16" t="s">
        <v>377</v>
      </c>
      <c r="C22" s="16" t="s">
        <v>195</v>
      </c>
      <c r="D22" s="16" t="s">
        <v>44</v>
      </c>
      <c r="E22" s="16" t="s">
        <v>390</v>
      </c>
      <c r="F22" s="16" t="s">
        <v>44</v>
      </c>
      <c r="G22" s="16" t="s">
        <v>274</v>
      </c>
      <c r="H22" s="16" t="s">
        <v>44</v>
      </c>
      <c r="I22" s="16" t="s">
        <v>274</v>
      </c>
      <c r="J22" s="17" t="s">
        <v>58</v>
      </c>
      <c r="K22" s="16"/>
      <c r="L22" s="16"/>
      <c r="M22" s="16"/>
      <c r="N22" s="16"/>
      <c r="O22" s="16"/>
      <c r="P22" s="16"/>
      <c r="Q22" s="16"/>
      <c r="R22" s="16"/>
      <c r="S22" s="16"/>
      <c r="T22" s="16"/>
      <c r="U22" s="16"/>
      <c r="V22" s="16"/>
      <c r="W22" s="16">
        <v>3744</v>
      </c>
      <c r="X22" s="16">
        <v>17</v>
      </c>
      <c r="Y22" s="16" t="s">
        <v>310</v>
      </c>
      <c r="Z22" s="16" t="s">
        <v>310</v>
      </c>
      <c r="AA22" s="18" t="s">
        <v>130</v>
      </c>
      <c r="AB22" s="16" t="s">
        <v>125</v>
      </c>
      <c r="AC22" s="16" t="s">
        <v>125</v>
      </c>
      <c r="AD22" s="18" t="s">
        <v>85</v>
      </c>
      <c r="AE22" s="16" t="s">
        <v>182</v>
      </c>
      <c r="AF22" s="18" t="s">
        <v>85</v>
      </c>
      <c r="AG22" s="18" t="s">
        <v>125</v>
      </c>
      <c r="AH22" s="18" t="s">
        <v>41</v>
      </c>
      <c r="AI22" s="16"/>
      <c r="AJ22" s="16"/>
      <c r="AK22" s="16"/>
      <c r="AL22" s="16" t="s">
        <v>122</v>
      </c>
      <c r="AM22" s="16"/>
      <c r="AN22" s="16">
        <v>27</v>
      </c>
      <c r="AO22" s="16" t="s">
        <v>61</v>
      </c>
      <c r="AP22" s="16"/>
      <c r="AQ22" s="18" t="str">
        <f>VLOOKUP(AC22,[1]Sheet1!$AE:$AS,11,0)</f>
        <v>42203430  Electrophysiology catheters</v>
      </c>
      <c r="AR22" s="18" t="str">
        <f>VLOOKUP(AC22,[1]Sheet1!$AE:$AS,12,0)</f>
        <v>C1730</v>
      </c>
      <c r="AS22" s="18" t="s">
        <v>116</v>
      </c>
      <c r="AT22" s="18" t="s">
        <v>325</v>
      </c>
      <c r="AU22" s="18" t="s">
        <v>429</v>
      </c>
      <c r="AV22" s="18" t="s">
        <v>429</v>
      </c>
      <c r="AW22" s="18" t="s">
        <v>326</v>
      </c>
      <c r="AX22" s="18" t="s">
        <v>430</v>
      </c>
      <c r="AY22" s="18">
        <f t="shared" si="0"/>
        <v>57</v>
      </c>
      <c r="AZ22" s="18" t="s">
        <v>282</v>
      </c>
      <c r="BA22" s="18" t="s">
        <v>118</v>
      </c>
      <c r="BB22" s="18" t="s">
        <v>306</v>
      </c>
      <c r="BC22" s="18" t="s">
        <v>425</v>
      </c>
      <c r="BD22" s="18"/>
      <c r="BE22" s="18" t="s">
        <v>11</v>
      </c>
      <c r="BF22" s="18"/>
      <c r="BG22" s="18"/>
      <c r="BH22" s="18"/>
      <c r="BI22" s="18"/>
      <c r="BJ22" s="18" t="s">
        <v>334</v>
      </c>
      <c r="BK22" s="18"/>
      <c r="BL22" s="18"/>
      <c r="BM22" s="18"/>
      <c r="BN22" s="18" t="s">
        <v>293</v>
      </c>
      <c r="BO22" s="18" t="s">
        <v>284</v>
      </c>
      <c r="BP22" s="18" t="s">
        <v>333</v>
      </c>
      <c r="BQ22" s="18"/>
      <c r="BR22" s="18"/>
      <c r="BS22" s="18" t="s">
        <v>350</v>
      </c>
      <c r="BT22" s="18" t="s">
        <v>66</v>
      </c>
      <c r="BU22" s="18"/>
      <c r="BV22" s="18"/>
      <c r="BW22" s="18"/>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t="s">
        <v>439</v>
      </c>
      <c r="DI22" s="16" t="s">
        <v>72</v>
      </c>
      <c r="DJ22" s="16" t="s">
        <v>439</v>
      </c>
    </row>
    <row r="23" spans="1:114" ht="12" customHeight="1" x14ac:dyDescent="0.3">
      <c r="A23" s="16" t="s">
        <v>296</v>
      </c>
      <c r="B23" s="16" t="s">
        <v>377</v>
      </c>
      <c r="C23" s="16" t="s">
        <v>195</v>
      </c>
      <c r="D23" s="16" t="s">
        <v>44</v>
      </c>
      <c r="E23" s="16" t="s">
        <v>390</v>
      </c>
      <c r="F23" s="16" t="s">
        <v>44</v>
      </c>
      <c r="G23" s="16" t="s">
        <v>274</v>
      </c>
      <c r="H23" s="16" t="s">
        <v>44</v>
      </c>
      <c r="I23" s="16" t="s">
        <v>274</v>
      </c>
      <c r="J23" s="17" t="s">
        <v>58</v>
      </c>
      <c r="K23" s="16"/>
      <c r="L23" s="16"/>
      <c r="M23" s="16"/>
      <c r="N23" s="16"/>
      <c r="O23" s="16"/>
      <c r="P23" s="16"/>
      <c r="Q23" s="16"/>
      <c r="R23" s="16"/>
      <c r="S23" s="16"/>
      <c r="T23" s="16"/>
      <c r="U23" s="16"/>
      <c r="V23" s="16"/>
      <c r="W23" s="16">
        <v>3745</v>
      </c>
      <c r="X23" s="16">
        <v>18</v>
      </c>
      <c r="Y23" s="16" t="s">
        <v>310</v>
      </c>
      <c r="Z23" s="16" t="s">
        <v>310</v>
      </c>
      <c r="AA23" s="18" t="s">
        <v>130</v>
      </c>
      <c r="AB23" s="16" t="s">
        <v>19</v>
      </c>
      <c r="AC23" s="16" t="s">
        <v>19</v>
      </c>
      <c r="AD23" s="18" t="s">
        <v>396</v>
      </c>
      <c r="AE23" s="16" t="s">
        <v>182</v>
      </c>
      <c r="AF23" s="18" t="s">
        <v>396</v>
      </c>
      <c r="AG23" s="18" t="s">
        <v>19</v>
      </c>
      <c r="AH23" s="18" t="s">
        <v>266</v>
      </c>
      <c r="AI23" s="16"/>
      <c r="AJ23" s="16"/>
      <c r="AK23" s="16"/>
      <c r="AL23" s="16" t="s">
        <v>271</v>
      </c>
      <c r="AM23" s="16"/>
      <c r="AN23" s="16">
        <v>27</v>
      </c>
      <c r="AO23" s="16" t="s">
        <v>14</v>
      </c>
      <c r="AP23" s="16"/>
      <c r="AQ23" s="18" t="str">
        <f>VLOOKUP(AC23,[1]Sheet1!$AE:$AS,11,0)</f>
        <v>42203430  Electrophysiology catheters</v>
      </c>
      <c r="AR23" s="18" t="str">
        <f>VLOOKUP(AC23,[1]Sheet1!$AE:$AS,12,0)</f>
        <v>C1730</v>
      </c>
      <c r="AS23" s="18" t="s">
        <v>116</v>
      </c>
      <c r="AT23" s="18" t="s">
        <v>325</v>
      </c>
      <c r="AU23" s="18" t="s">
        <v>431</v>
      </c>
      <c r="AV23" s="18" t="s">
        <v>431</v>
      </c>
      <c r="AW23" s="18" t="s">
        <v>103</v>
      </c>
      <c r="AX23" s="18" t="s">
        <v>432</v>
      </c>
      <c r="AY23" s="18">
        <f t="shared" si="0"/>
        <v>59</v>
      </c>
      <c r="AZ23" s="18" t="s">
        <v>282</v>
      </c>
      <c r="BA23" s="18" t="s">
        <v>118</v>
      </c>
      <c r="BB23" s="18" t="s">
        <v>306</v>
      </c>
      <c r="BC23" s="18" t="s">
        <v>428</v>
      </c>
      <c r="BD23" s="18"/>
      <c r="BE23" s="18" t="s">
        <v>11</v>
      </c>
      <c r="BF23" s="18"/>
      <c r="BG23" s="18"/>
      <c r="BH23" s="18"/>
      <c r="BI23" s="18"/>
      <c r="BJ23" s="18" t="s">
        <v>191</v>
      </c>
      <c r="BK23" s="18"/>
      <c r="BL23" s="18"/>
      <c r="BM23" s="18"/>
      <c r="BN23" s="18" t="s">
        <v>293</v>
      </c>
      <c r="BO23" s="18" t="s">
        <v>284</v>
      </c>
      <c r="BP23" s="18" t="s">
        <v>333</v>
      </c>
      <c r="BQ23" s="18"/>
      <c r="BR23" s="18"/>
      <c r="BS23" s="18" t="s">
        <v>224</v>
      </c>
      <c r="BT23" s="18" t="s">
        <v>66</v>
      </c>
      <c r="BU23" s="18"/>
      <c r="BV23" s="18"/>
      <c r="BW23" s="18"/>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t="s">
        <v>439</v>
      </c>
      <c r="DI23" s="16" t="s">
        <v>72</v>
      </c>
      <c r="DJ23" s="16" t="s">
        <v>439</v>
      </c>
    </row>
    <row r="24" spans="1:114" ht="12" customHeight="1" x14ac:dyDescent="0.3">
      <c r="A24" s="16" t="s">
        <v>296</v>
      </c>
      <c r="B24" s="16" t="s">
        <v>377</v>
      </c>
      <c r="C24" s="16" t="s">
        <v>195</v>
      </c>
      <c r="D24" s="16" t="s">
        <v>44</v>
      </c>
      <c r="E24" s="16" t="s">
        <v>390</v>
      </c>
      <c r="F24" s="16" t="s">
        <v>44</v>
      </c>
      <c r="G24" s="16" t="s">
        <v>274</v>
      </c>
      <c r="H24" s="16" t="s">
        <v>44</v>
      </c>
      <c r="I24" s="16" t="s">
        <v>274</v>
      </c>
      <c r="J24" s="17" t="s">
        <v>58</v>
      </c>
      <c r="K24" s="16"/>
      <c r="L24" s="16"/>
      <c r="M24" s="16"/>
      <c r="N24" s="16"/>
      <c r="O24" s="16"/>
      <c r="P24" s="16"/>
      <c r="Q24" s="16"/>
      <c r="R24" s="16"/>
      <c r="S24" s="16"/>
      <c r="T24" s="16"/>
      <c r="U24" s="16"/>
      <c r="V24" s="16"/>
      <c r="W24" s="16">
        <v>3736</v>
      </c>
      <c r="X24" s="16">
        <v>9</v>
      </c>
      <c r="Y24" s="16" t="s">
        <v>310</v>
      </c>
      <c r="Z24" s="16" t="s">
        <v>310</v>
      </c>
      <c r="AA24" s="18" t="s">
        <v>130</v>
      </c>
      <c r="AB24" s="16" t="s">
        <v>59</v>
      </c>
      <c r="AC24" s="16" t="s">
        <v>59</v>
      </c>
      <c r="AD24" s="18" t="s">
        <v>313</v>
      </c>
      <c r="AE24" s="16" t="s">
        <v>182</v>
      </c>
      <c r="AF24" s="18" t="s">
        <v>313</v>
      </c>
      <c r="AG24" s="18" t="s">
        <v>59</v>
      </c>
      <c r="AH24" s="18" t="s">
        <v>204</v>
      </c>
      <c r="AI24" s="16"/>
      <c r="AJ24" s="16"/>
      <c r="AK24" s="16"/>
      <c r="AL24" s="16" t="s">
        <v>208</v>
      </c>
      <c r="AM24" s="16"/>
      <c r="AN24" s="16">
        <v>27</v>
      </c>
      <c r="AO24" s="16" t="s">
        <v>339</v>
      </c>
      <c r="AP24" s="16"/>
      <c r="AQ24" s="18" t="str">
        <f>VLOOKUP(AC24,[1]Sheet1!$AE:$AS,11,0)</f>
        <v>42203430  Electrophysiology catheters</v>
      </c>
      <c r="AR24" s="18" t="str">
        <f>VLOOKUP(AC24,[1]Sheet1!$AE:$AS,12,0)</f>
        <v>C1730</v>
      </c>
      <c r="AS24" s="18" t="s">
        <v>116</v>
      </c>
      <c r="AT24" s="18" t="s">
        <v>298</v>
      </c>
      <c r="AU24" s="18" t="s">
        <v>433</v>
      </c>
      <c r="AV24" s="18" t="s">
        <v>433</v>
      </c>
      <c r="AW24" s="18" t="s">
        <v>4</v>
      </c>
      <c r="AX24" s="18" t="s">
        <v>434</v>
      </c>
      <c r="AY24" s="18">
        <f t="shared" si="0"/>
        <v>58</v>
      </c>
      <c r="AZ24" s="18" t="s">
        <v>282</v>
      </c>
      <c r="BA24" s="18" t="s">
        <v>242</v>
      </c>
      <c r="BB24" s="18" t="s">
        <v>240</v>
      </c>
      <c r="BC24" s="18" t="s">
        <v>435</v>
      </c>
      <c r="BD24" s="18"/>
      <c r="BE24" s="18" t="s">
        <v>7</v>
      </c>
      <c r="BF24" s="18"/>
      <c r="BG24" s="18"/>
      <c r="BH24" s="18"/>
      <c r="BI24" s="18"/>
      <c r="BJ24" s="18" t="s">
        <v>370</v>
      </c>
      <c r="BK24" s="18"/>
      <c r="BL24" s="18"/>
      <c r="BM24" s="18"/>
      <c r="BN24" s="18" t="s">
        <v>293</v>
      </c>
      <c r="BO24" s="18" t="s">
        <v>388</v>
      </c>
      <c r="BP24" s="18" t="s">
        <v>333</v>
      </c>
      <c r="BQ24" s="18"/>
      <c r="BR24" s="18"/>
      <c r="BS24" s="18" t="s">
        <v>168</v>
      </c>
      <c r="BT24" s="18" t="s">
        <v>66</v>
      </c>
      <c r="BU24" s="18"/>
      <c r="BV24" s="18"/>
      <c r="BW24" s="18"/>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t="s">
        <v>439</v>
      </c>
      <c r="DI24" s="16" t="s">
        <v>72</v>
      </c>
      <c r="DJ24" s="16" t="s">
        <v>439</v>
      </c>
    </row>
    <row r="25" spans="1:114" ht="12" customHeight="1" x14ac:dyDescent="0.3">
      <c r="A25" s="16" t="s">
        <v>296</v>
      </c>
      <c r="B25" s="16" t="s">
        <v>377</v>
      </c>
      <c r="C25" s="16" t="s">
        <v>195</v>
      </c>
      <c r="D25" s="16" t="s">
        <v>44</v>
      </c>
      <c r="E25" s="16" t="s">
        <v>76</v>
      </c>
      <c r="F25" s="16" t="s">
        <v>44</v>
      </c>
      <c r="G25" s="16" t="s">
        <v>274</v>
      </c>
      <c r="H25" s="16" t="s">
        <v>44</v>
      </c>
      <c r="I25" s="16" t="s">
        <v>274</v>
      </c>
      <c r="J25" s="17" t="s">
        <v>58</v>
      </c>
      <c r="K25" s="16"/>
      <c r="L25" s="16"/>
      <c r="M25" s="16"/>
      <c r="N25" s="16"/>
      <c r="O25" s="16"/>
      <c r="P25" s="16"/>
      <c r="Q25" s="16"/>
      <c r="R25" s="16"/>
      <c r="S25" s="16"/>
      <c r="T25" s="16"/>
      <c r="U25" s="16"/>
      <c r="V25" s="16"/>
      <c r="W25" s="16">
        <v>3746</v>
      </c>
      <c r="X25" s="16">
        <v>19</v>
      </c>
      <c r="Y25" s="16" t="s">
        <v>310</v>
      </c>
      <c r="Z25" s="16" t="s">
        <v>310</v>
      </c>
      <c r="AA25" s="18" t="s">
        <v>130</v>
      </c>
      <c r="AB25" s="16" t="s">
        <v>316</v>
      </c>
      <c r="AC25" s="16" t="s">
        <v>316</v>
      </c>
      <c r="AD25" s="18" t="s">
        <v>38</v>
      </c>
      <c r="AE25" s="16" t="s">
        <v>182</v>
      </c>
      <c r="AF25" s="18" t="s">
        <v>38</v>
      </c>
      <c r="AG25" s="18" t="s">
        <v>316</v>
      </c>
      <c r="AH25" s="18" t="s">
        <v>269</v>
      </c>
      <c r="AI25" s="16"/>
      <c r="AJ25" s="16"/>
      <c r="AK25" s="16"/>
      <c r="AL25" s="16" t="s">
        <v>101</v>
      </c>
      <c r="AM25" s="16"/>
      <c r="AN25" s="16">
        <v>27</v>
      </c>
      <c r="AO25" s="16" t="s">
        <v>360</v>
      </c>
      <c r="AP25" s="16"/>
      <c r="AQ25" s="18" t="str">
        <f>VLOOKUP(AC25,[1]Sheet1!$AE:$AS,11,0)</f>
        <v>42295810  Surgical thermal ablation system accessories</v>
      </c>
      <c r="AR25" s="18"/>
      <c r="AS25" s="18"/>
      <c r="AT25" s="18" t="s">
        <v>30</v>
      </c>
      <c r="AU25" s="18" t="s">
        <v>275</v>
      </c>
      <c r="AV25" s="18" t="s">
        <v>275</v>
      </c>
      <c r="AW25" s="18" t="s">
        <v>278</v>
      </c>
      <c r="AX25" s="18" t="s">
        <v>278</v>
      </c>
      <c r="AY25" s="18">
        <f t="shared" si="0"/>
        <v>39</v>
      </c>
      <c r="AZ25" s="18" t="s">
        <v>342</v>
      </c>
      <c r="BA25" s="18" t="s">
        <v>282</v>
      </c>
      <c r="BB25" s="18" t="s">
        <v>359</v>
      </c>
      <c r="BC25" s="18"/>
      <c r="BD25" s="18"/>
      <c r="BE25" s="18" t="s">
        <v>171</v>
      </c>
      <c r="BF25" s="18"/>
      <c r="BG25" s="18"/>
      <c r="BH25" s="18"/>
      <c r="BI25" s="18"/>
      <c r="BJ25" s="18" t="s">
        <v>70</v>
      </c>
      <c r="BK25" s="18"/>
      <c r="BL25" s="18"/>
      <c r="BM25" s="18"/>
      <c r="BN25" s="18" t="s">
        <v>293</v>
      </c>
      <c r="BO25" s="18"/>
      <c r="BP25" s="18" t="s">
        <v>247</v>
      </c>
      <c r="BQ25" s="18"/>
      <c r="BR25" s="18"/>
      <c r="BS25" s="18" t="s">
        <v>253</v>
      </c>
      <c r="BT25" s="18"/>
      <c r="BU25" s="18"/>
      <c r="BV25" s="18"/>
      <c r="BW25" s="18"/>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t="s">
        <v>439</v>
      </c>
      <c r="DI25" s="16" t="s">
        <v>72</v>
      </c>
      <c r="DJ25" s="16" t="s">
        <v>439</v>
      </c>
    </row>
    <row r="26" spans="1:114" ht="12" customHeight="1" x14ac:dyDescent="0.3">
      <c r="A26" s="16" t="s">
        <v>296</v>
      </c>
      <c r="B26" s="16" t="s">
        <v>377</v>
      </c>
      <c r="C26" s="16" t="s">
        <v>195</v>
      </c>
      <c r="D26" s="16" t="s">
        <v>44</v>
      </c>
      <c r="E26" s="16" t="s">
        <v>390</v>
      </c>
      <c r="F26" s="16" t="s">
        <v>44</v>
      </c>
      <c r="G26" s="16" t="s">
        <v>274</v>
      </c>
      <c r="H26" s="16" t="s">
        <v>44</v>
      </c>
      <c r="I26" s="16" t="s">
        <v>274</v>
      </c>
      <c r="J26" s="17" t="s">
        <v>58</v>
      </c>
      <c r="K26" s="16"/>
      <c r="L26" s="16"/>
      <c r="M26" s="16"/>
      <c r="N26" s="16"/>
      <c r="O26" s="16"/>
      <c r="P26" s="16"/>
      <c r="Q26" s="16"/>
      <c r="R26" s="16"/>
      <c r="S26" s="16"/>
      <c r="T26" s="16"/>
      <c r="U26" s="16"/>
      <c r="V26" s="16"/>
      <c r="W26" s="16">
        <v>3747</v>
      </c>
      <c r="X26" s="16">
        <v>20</v>
      </c>
      <c r="Y26" s="16" t="s">
        <v>310</v>
      </c>
      <c r="Z26" s="16" t="s">
        <v>310</v>
      </c>
      <c r="AA26" s="18" t="s">
        <v>130</v>
      </c>
      <c r="AB26" s="16" t="s">
        <v>8</v>
      </c>
      <c r="AC26" s="16" t="s">
        <v>8</v>
      </c>
      <c r="AD26" s="18" t="s">
        <v>149</v>
      </c>
      <c r="AE26" s="16" t="s">
        <v>182</v>
      </c>
      <c r="AF26" s="18" t="s">
        <v>149</v>
      </c>
      <c r="AG26" s="18" t="s">
        <v>8</v>
      </c>
      <c r="AH26" s="18" t="s">
        <v>199</v>
      </c>
      <c r="AI26" s="16"/>
      <c r="AJ26" s="16"/>
      <c r="AK26" s="16"/>
      <c r="AL26" s="16" t="s">
        <v>90</v>
      </c>
      <c r="AM26" s="16"/>
      <c r="AN26" s="16">
        <v>27</v>
      </c>
      <c r="AO26" s="16" t="s">
        <v>352</v>
      </c>
      <c r="AP26" s="16"/>
      <c r="AQ26" s="18" t="str">
        <f>VLOOKUP(AC26,[1]Sheet1!$AE:$AS,11,0)</f>
        <v>42203448  Diagnostic or interventional vascular catheter accessories</v>
      </c>
      <c r="AR26" s="18"/>
      <c r="AS26" s="18"/>
      <c r="AT26" s="18" t="s">
        <v>62</v>
      </c>
      <c r="AU26" s="18" t="s">
        <v>150</v>
      </c>
      <c r="AV26" s="18" t="s">
        <v>150</v>
      </c>
      <c r="AW26" s="18" t="s">
        <v>367</v>
      </c>
      <c r="AX26" s="18" t="s">
        <v>367</v>
      </c>
      <c r="AY26" s="18">
        <f t="shared" si="0"/>
        <v>42</v>
      </c>
      <c r="AZ26" s="18" t="s">
        <v>342</v>
      </c>
      <c r="BA26" s="18" t="s">
        <v>282</v>
      </c>
      <c r="BB26" s="18" t="s">
        <v>94</v>
      </c>
      <c r="BC26" s="18"/>
      <c r="BD26" s="18"/>
      <c r="BE26" s="18" t="s">
        <v>164</v>
      </c>
      <c r="BF26" s="18"/>
      <c r="BG26" s="18"/>
      <c r="BH26" s="18"/>
      <c r="BI26" s="18"/>
      <c r="BJ26" s="18" t="s">
        <v>57</v>
      </c>
      <c r="BK26" s="18"/>
      <c r="BL26" s="18"/>
      <c r="BM26" s="18"/>
      <c r="BN26" s="18" t="s">
        <v>293</v>
      </c>
      <c r="BO26" s="18"/>
      <c r="BP26" s="18" t="s">
        <v>247</v>
      </c>
      <c r="BQ26" s="18"/>
      <c r="BR26" s="18" t="s">
        <v>10</v>
      </c>
      <c r="BS26" s="18" t="s">
        <v>51</v>
      </c>
      <c r="BT26" s="18" t="s">
        <v>66</v>
      </c>
      <c r="BU26" s="18"/>
      <c r="BV26" s="18"/>
      <c r="BW26" s="18"/>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t="s">
        <v>439</v>
      </c>
      <c r="DI26" s="16" t="s">
        <v>72</v>
      </c>
      <c r="DJ26" s="16" t="s">
        <v>439</v>
      </c>
    </row>
    <row r="27" spans="1:114" ht="12" customHeight="1" x14ac:dyDescent="0.3">
      <c r="A27" s="16" t="s">
        <v>296</v>
      </c>
      <c r="B27" s="16" t="s">
        <v>377</v>
      </c>
      <c r="C27" s="16" t="s">
        <v>195</v>
      </c>
      <c r="D27" s="16" t="s">
        <v>44</v>
      </c>
      <c r="E27" s="16" t="s">
        <v>76</v>
      </c>
      <c r="F27" s="16" t="s">
        <v>44</v>
      </c>
      <c r="G27" s="16" t="s">
        <v>274</v>
      </c>
      <c r="H27" s="16" t="s">
        <v>44</v>
      </c>
      <c r="I27" s="16" t="s">
        <v>274</v>
      </c>
      <c r="J27" s="17" t="s">
        <v>58</v>
      </c>
      <c r="K27" s="16"/>
      <c r="L27" s="16"/>
      <c r="M27" s="16"/>
      <c r="N27" s="16"/>
      <c r="O27" s="16"/>
      <c r="P27" s="16"/>
      <c r="Q27" s="16"/>
      <c r="R27" s="16"/>
      <c r="S27" s="16"/>
      <c r="T27" s="16"/>
      <c r="U27" s="16"/>
      <c r="V27" s="16"/>
      <c r="W27" s="16">
        <v>3742</v>
      </c>
      <c r="X27" s="16">
        <v>15</v>
      </c>
      <c r="Y27" s="16" t="s">
        <v>310</v>
      </c>
      <c r="Z27" s="16" t="s">
        <v>310</v>
      </c>
      <c r="AA27" s="18" t="s">
        <v>130</v>
      </c>
      <c r="AB27" s="16" t="s">
        <v>97</v>
      </c>
      <c r="AC27" s="16" t="s">
        <v>97</v>
      </c>
      <c r="AD27" s="18" t="s">
        <v>77</v>
      </c>
      <c r="AE27" s="16" t="s">
        <v>182</v>
      </c>
      <c r="AF27" s="18" t="s">
        <v>77</v>
      </c>
      <c r="AG27" s="18" t="s">
        <v>97</v>
      </c>
      <c r="AH27" s="18" t="s">
        <v>16</v>
      </c>
      <c r="AI27" s="16"/>
      <c r="AJ27" s="16"/>
      <c r="AK27" s="16"/>
      <c r="AL27" s="16" t="s">
        <v>236</v>
      </c>
      <c r="AM27" s="16"/>
      <c r="AN27" s="16">
        <v>27</v>
      </c>
      <c r="AO27" s="16" t="s">
        <v>226</v>
      </c>
      <c r="AP27" s="16"/>
      <c r="AQ27" s="18" t="str">
        <f>VLOOKUP(AC27,[1]Sheet1!$AE:$AS,11,0)</f>
        <v>42203430  Electrophysiology catheters</v>
      </c>
      <c r="AR27" s="18" t="str">
        <f>VLOOKUP(AC27,[1]Sheet1!$AE:$AS,12,0)</f>
        <v>C1731</v>
      </c>
      <c r="AS27" s="18" t="s">
        <v>238</v>
      </c>
      <c r="AT27" s="18" t="s">
        <v>273</v>
      </c>
      <c r="AU27" s="18" t="s">
        <v>436</v>
      </c>
      <c r="AV27" s="18" t="s">
        <v>436</v>
      </c>
      <c r="AW27" s="18" t="s">
        <v>384</v>
      </c>
      <c r="AX27" s="18" t="s">
        <v>437</v>
      </c>
      <c r="AY27" s="18">
        <f t="shared" si="0"/>
        <v>56</v>
      </c>
      <c r="AZ27" s="18" t="s">
        <v>282</v>
      </c>
      <c r="BA27" s="18" t="s">
        <v>242</v>
      </c>
      <c r="BB27" s="18" t="s">
        <v>252</v>
      </c>
      <c r="BC27" s="18" t="s">
        <v>438</v>
      </c>
      <c r="BD27" s="18"/>
      <c r="BE27" s="18" t="s">
        <v>7</v>
      </c>
      <c r="BF27" s="18"/>
      <c r="BG27" s="18"/>
      <c r="BH27" s="18"/>
      <c r="BI27" s="18"/>
      <c r="BJ27" s="18" t="s">
        <v>262</v>
      </c>
      <c r="BK27" s="18"/>
      <c r="BL27" s="18"/>
      <c r="BM27" s="18"/>
      <c r="BN27" s="18" t="s">
        <v>293</v>
      </c>
      <c r="BO27" s="18" t="s">
        <v>251</v>
      </c>
      <c r="BP27" s="18" t="s">
        <v>333</v>
      </c>
      <c r="BQ27" s="18"/>
      <c r="BR27" s="18"/>
      <c r="BS27" s="18" t="s">
        <v>27</v>
      </c>
      <c r="BT27" s="18"/>
      <c r="BU27" s="18"/>
      <c r="BV27" s="18"/>
      <c r="BW27" s="18"/>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t="s">
        <v>439</v>
      </c>
      <c r="DI27" s="16" t="s">
        <v>72</v>
      </c>
      <c r="DJ27" s="16" t="s">
        <v>439</v>
      </c>
    </row>
    <row r="28" spans="1:114" ht="12" customHeight="1" x14ac:dyDescent="0.3">
      <c r="A28" s="16" t="s">
        <v>296</v>
      </c>
      <c r="B28" s="16" t="s">
        <v>9</v>
      </c>
      <c r="C28" s="16" t="s">
        <v>35</v>
      </c>
      <c r="D28" s="16" t="s">
        <v>366</v>
      </c>
      <c r="E28" s="16" t="s">
        <v>390</v>
      </c>
      <c r="F28" s="16" t="s">
        <v>366</v>
      </c>
      <c r="G28" s="16" t="s">
        <v>274</v>
      </c>
      <c r="H28" s="16" t="s">
        <v>44</v>
      </c>
      <c r="I28" s="16" t="s">
        <v>274</v>
      </c>
      <c r="J28" s="17" t="s">
        <v>58</v>
      </c>
      <c r="K28" s="16"/>
      <c r="L28" s="16"/>
      <c r="M28" s="16"/>
      <c r="N28" s="16"/>
      <c r="O28" s="16"/>
      <c r="P28" s="16"/>
      <c r="Q28" s="16"/>
      <c r="R28" s="16"/>
      <c r="S28" s="16"/>
      <c r="T28" s="16"/>
      <c r="U28" s="16"/>
      <c r="V28" s="16"/>
      <c r="W28" s="16">
        <v>3694</v>
      </c>
      <c r="X28" s="16">
        <v>1</v>
      </c>
      <c r="Y28" s="16" t="s">
        <v>331</v>
      </c>
      <c r="Z28" s="16" t="s">
        <v>234</v>
      </c>
      <c r="AA28" s="18" t="s">
        <v>105</v>
      </c>
      <c r="AB28" s="16" t="s">
        <v>152</v>
      </c>
      <c r="AC28" s="16">
        <v>213401</v>
      </c>
      <c r="AD28" s="18" t="s">
        <v>152</v>
      </c>
      <c r="AE28" s="16" t="s">
        <v>263</v>
      </c>
      <c r="AF28" s="18" t="s">
        <v>152</v>
      </c>
      <c r="AG28" s="19" t="s">
        <v>152</v>
      </c>
      <c r="AH28" s="18" t="s">
        <v>75</v>
      </c>
      <c r="AI28" s="16"/>
      <c r="AJ28" s="16"/>
      <c r="AK28" s="16"/>
      <c r="AL28" s="16" t="s">
        <v>174</v>
      </c>
      <c r="AM28" s="16"/>
      <c r="AN28" s="16">
        <v>363</v>
      </c>
      <c r="AO28" s="16" t="s">
        <v>126</v>
      </c>
      <c r="AP28" s="16"/>
      <c r="AQ28" s="18" t="s">
        <v>312</v>
      </c>
      <c r="AR28" s="18" t="s">
        <v>304</v>
      </c>
      <c r="AS28" s="18" t="s">
        <v>241</v>
      </c>
      <c r="AT28" s="18" t="s">
        <v>131</v>
      </c>
      <c r="AU28" s="18" t="s">
        <v>211</v>
      </c>
      <c r="AV28" s="18" t="s">
        <v>211</v>
      </c>
      <c r="AW28" s="18" t="s">
        <v>183</v>
      </c>
      <c r="AX28" s="18" t="s">
        <v>222</v>
      </c>
      <c r="AY28" s="18">
        <f t="shared" si="0"/>
        <v>59</v>
      </c>
      <c r="AZ28" s="18" t="s">
        <v>167</v>
      </c>
      <c r="BA28" s="18" t="s">
        <v>291</v>
      </c>
      <c r="BB28" s="18" t="s">
        <v>235</v>
      </c>
      <c r="BC28" s="18"/>
      <c r="BD28" s="18"/>
      <c r="BE28" s="20" t="s">
        <v>302</v>
      </c>
      <c r="BF28" s="18"/>
      <c r="BG28" s="18"/>
      <c r="BH28" s="18"/>
      <c r="BI28" s="18" t="s">
        <v>250</v>
      </c>
      <c r="BJ28" s="18" t="s">
        <v>110</v>
      </c>
      <c r="BK28" s="18" t="s">
        <v>82</v>
      </c>
      <c r="BL28" s="18"/>
      <c r="BM28" s="18"/>
      <c r="BN28" s="18" t="s">
        <v>293</v>
      </c>
      <c r="BO28" s="18"/>
      <c r="BP28" s="18" t="s">
        <v>247</v>
      </c>
      <c r="BQ28" s="18"/>
      <c r="BR28" s="18" t="s">
        <v>261</v>
      </c>
      <c r="BS28" s="18" t="s">
        <v>246</v>
      </c>
      <c r="BT28" s="18"/>
      <c r="BU28" s="18"/>
      <c r="BV28" s="18"/>
      <c r="BW28" s="18"/>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t="s">
        <v>439</v>
      </c>
      <c r="DI28" s="16" t="s">
        <v>72</v>
      </c>
      <c r="DJ28" s="16" t="s">
        <v>439</v>
      </c>
    </row>
    <row r="29" spans="1:114" ht="12" customHeight="1" x14ac:dyDescent="0.3">
      <c r="A29" s="16" t="s">
        <v>296</v>
      </c>
      <c r="B29" s="16" t="s">
        <v>9</v>
      </c>
      <c r="C29" s="16" t="s">
        <v>35</v>
      </c>
      <c r="D29" s="16" t="s">
        <v>366</v>
      </c>
      <c r="E29" s="16" t="s">
        <v>390</v>
      </c>
      <c r="F29" s="16" t="s">
        <v>366</v>
      </c>
      <c r="G29" s="16" t="s">
        <v>274</v>
      </c>
      <c r="H29" s="16" t="s">
        <v>44</v>
      </c>
      <c r="I29" s="16" t="s">
        <v>274</v>
      </c>
      <c r="J29" s="17" t="s">
        <v>58</v>
      </c>
      <c r="K29" s="16"/>
      <c r="L29" s="16"/>
      <c r="M29" s="16"/>
      <c r="N29" s="16"/>
      <c r="O29" s="16"/>
      <c r="P29" s="16"/>
      <c r="Q29" s="16"/>
      <c r="R29" s="16"/>
      <c r="S29" s="16"/>
      <c r="T29" s="16"/>
      <c r="U29" s="16"/>
      <c r="V29" s="16"/>
      <c r="W29" s="16">
        <v>3695</v>
      </c>
      <c r="X29" s="16">
        <v>2</v>
      </c>
      <c r="Y29" s="16" t="s">
        <v>331</v>
      </c>
      <c r="Z29" s="16" t="s">
        <v>234</v>
      </c>
      <c r="AA29" s="18" t="s">
        <v>105</v>
      </c>
      <c r="AB29" s="16" t="s">
        <v>26</v>
      </c>
      <c r="AC29" s="16">
        <v>711500</v>
      </c>
      <c r="AD29" s="18" t="s">
        <v>26</v>
      </c>
      <c r="AE29" s="16" t="s">
        <v>263</v>
      </c>
      <c r="AF29" s="18" t="s">
        <v>26</v>
      </c>
      <c r="AG29" s="19" t="s">
        <v>26</v>
      </c>
      <c r="AH29" s="18" t="s">
        <v>279</v>
      </c>
      <c r="AI29" s="16"/>
      <c r="AJ29" s="16"/>
      <c r="AK29" s="16"/>
      <c r="AL29" s="16" t="s">
        <v>148</v>
      </c>
      <c r="AM29" s="16"/>
      <c r="AN29" s="16">
        <v>363</v>
      </c>
      <c r="AO29" s="16" t="s">
        <v>355</v>
      </c>
      <c r="AP29" s="16"/>
      <c r="AQ29" s="18" t="s">
        <v>47</v>
      </c>
      <c r="AR29" s="18"/>
      <c r="AS29" s="18"/>
      <c r="AT29" s="18" t="s">
        <v>12</v>
      </c>
      <c r="AU29" s="18" t="s">
        <v>227</v>
      </c>
      <c r="AV29" s="18" t="s">
        <v>227</v>
      </c>
      <c r="AW29" s="18" t="s">
        <v>329</v>
      </c>
      <c r="AX29" s="18" t="s">
        <v>329</v>
      </c>
      <c r="AY29" s="18">
        <f t="shared" si="0"/>
        <v>39</v>
      </c>
      <c r="AZ29" s="18" t="s">
        <v>79</v>
      </c>
      <c r="BA29" s="18" t="s">
        <v>45</v>
      </c>
      <c r="BB29" s="18" t="s">
        <v>354</v>
      </c>
      <c r="BC29" s="18"/>
      <c r="BD29" s="18"/>
      <c r="BE29" s="18"/>
      <c r="BF29" s="18"/>
      <c r="BG29" s="18"/>
      <c r="BH29" s="18"/>
      <c r="BI29" s="18" t="s">
        <v>73</v>
      </c>
      <c r="BJ29" s="18" t="s">
        <v>393</v>
      </c>
      <c r="BK29" s="18"/>
      <c r="BL29" s="18"/>
      <c r="BM29" s="18"/>
      <c r="BN29" s="18" t="s">
        <v>293</v>
      </c>
      <c r="BO29" s="18"/>
      <c r="BP29" s="18" t="s">
        <v>333</v>
      </c>
      <c r="BQ29" s="18"/>
      <c r="BR29" s="18" t="s">
        <v>107</v>
      </c>
      <c r="BS29" s="18" t="s">
        <v>64</v>
      </c>
      <c r="BT29" s="18"/>
      <c r="BU29" s="18"/>
      <c r="BV29" s="18"/>
      <c r="BW29" s="18"/>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t="s">
        <v>439</v>
      </c>
      <c r="DI29" s="16" t="s">
        <v>72</v>
      </c>
      <c r="DJ29" s="16" t="s">
        <v>439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2023-08-16T13:58:47Z</dcterms:modified>
  <cp:category/>
</cp:coreProperties>
</file>