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5" sheetId="1" r:id="rId1"/>
  </sheets>
  <definedNames>
    <definedName name="_xlnm._FilterDatabase" localSheetId="0" hidden="1">'5'!$A$1:$DE$6</definedName>
  </definedNames>
  <calcPr calcId="145621"/>
</workbook>
</file>

<file path=xl/calcChain.xml><?xml version="1.0" encoding="utf-8"?>
<calcChain xmlns="http://schemas.openxmlformats.org/spreadsheetml/2006/main">
  <c r="AW3" i="1" l="1"/>
  <c r="AW4" i="1"/>
  <c r="AW5" i="1"/>
  <c r="AW6" i="1"/>
  <c r="AW2" i="1" l="1"/>
</calcChain>
</file>

<file path=xl/sharedStrings.xml><?xml version="1.0" encoding="utf-8"?>
<sst xmlns="http://schemas.openxmlformats.org/spreadsheetml/2006/main" count="273" uniqueCount="193">
  <si>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</si>
  <si>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</si>
  <si>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</si>
  <si>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</si>
  <si>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</si>
  <si>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</si>
  <si>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</si>
  <si>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</si>
  <si>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</si>
  <si>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</si>
  <si>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</si>
  <si>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</si>
  <si>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</si>
  <si>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</si>
  <si>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</si>
  <si>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</si>
  <si>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</si>
  <si>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</si>
  <si>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</si>
  <si>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</si>
  <si>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</si>
  <si>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</si>
  <si>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</si>
  <si>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</si>
  <si>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</si>
  <si>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</si>
  <si>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</si>
  <si>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</si>
  <si>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</si>
  <si>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</si>
  <si>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</si>
  <si>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</si>
  <si>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</si>
  <si>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</si>
  <si>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</si>
  <si>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</si>
  <si>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</si>
  <si>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</si>
  <si>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</si>
  <si>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</si>
  <si>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</si>
  <si>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</si>
  <si>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</si>
  <si>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</si>
  <si>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</si>
  <si>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</si>
  <si>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</si>
  <si>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</si>
  <si>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</si>
  <si>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</si>
  <si>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</si>
  <si>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</si>
  <si>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</si>
  <si>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</si>
  <si>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</si>
  <si>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</si>
  <si>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</si>
  <si>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</si>
  <si>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</si>
  <si>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</si>
  <si>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</si>
  <si>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</si>
  <si>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</si>
  <si>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</si>
  <si>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</si>
  <si>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</si>
  <si>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</si>
  <si>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</si>
  <si>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</si>
  <si>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</si>
  <si>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</si>
  <si>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</si>
  <si>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</si>
  <si>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</si>
  <si>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</si>
  <si>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</si>
  <si>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</si>
  <si>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</si>
  <si>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</si>
  <si>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</si>
  <si>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</si>
  <si>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</si>
  <si>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</si>
  <si>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</si>
  <si>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</si>
  <si>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</si>
  <si>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</si>
  <si>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</si>
  <si>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</si>
  <si>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</si>
  <si>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</si>
  <si>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</si>
  <si>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</si>
  <si>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</si>
  <si>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</si>
  <si>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</si>
  <si>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</si>
  <si>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</si>
  <si>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</si>
  <si>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</si>
  <si>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</si>
  <si>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</si>
  <si>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</si>
  <si>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</si>
  <si>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</si>
  <si>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</si>
  <si>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</si>
  <si>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</si>
  <si>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</si>
  <si>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</si>
  <si>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</si>
  <si>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016-250-2</t>
  </si>
  <si>
    <t>ForGhria_Output_2023-10-18</t>
  </si>
  <si>
    <t>MEDLINE INDUSTRIES INC</t>
  </si>
  <si>
    <t>MEDLINE</t>
  </si>
  <si>
    <t>DYKA1484</t>
  </si>
  <si>
    <t>SSI PREVENTION PACK DYKA1484</t>
  </si>
  <si>
    <t>PRODIGO1074822</t>
  </si>
  <si>
    <t>CND</t>
  </si>
  <si>
    <t>URL NOT FOUND</t>
  </si>
  <si>
    <t>UNSOURCED</t>
  </si>
  <si>
    <t>OK</t>
  </si>
  <si>
    <t>MEDLINE_DYKA1484</t>
  </si>
  <si>
    <t>SURGICAL PROCEDURE PACK</t>
  </si>
  <si>
    <t>PREVENTION</t>
  </si>
  <si>
    <t>SURGICAL SITE INFECTION</t>
  </si>
  <si>
    <t>SURGICAL PROCEDURE PACK, SURGICAL SITE INFECTION, PREVENTION</t>
  </si>
  <si>
    <t>SURGICAL PROCEDURE PACK, SURG SITE INF, PREVENTION</t>
  </si>
  <si>
    <t>42295414  Surgical specialty procedure packs</t>
  </si>
  <si>
    <t>A4550</t>
  </si>
  <si>
    <t>SURGICAL TRAYS</t>
  </si>
  <si>
    <t>016-250-3</t>
  </si>
  <si>
    <t>ForGhria_Output_2023-10-19</t>
  </si>
  <si>
    <t>GETINGE USA SALES LLC</t>
  </si>
  <si>
    <t>GETINGE</t>
  </si>
  <si>
    <t>750001100</t>
  </si>
  <si>
    <t>AC3038</t>
  </si>
  <si>
    <t>AC3043</t>
  </si>
  <si>
    <t>XO59000Z</t>
  </si>
  <si>
    <t>TIGERPAW PRO 45MM LAAO FASTENER &amp; TOOL</t>
  </si>
  <si>
    <t>CUTTER AORTIC MEDIUM 3.8MM DIA F/HEARTSTRING III PROXIMAL SEAL SYSTEM</t>
  </si>
  <si>
    <t>AORTIC CUTTER 4.3MM</t>
  </si>
  <si>
    <t>ACROBAT-I POSITIONER AND SUV STABILIZER</t>
  </si>
  <si>
    <t>PRODIGO1074898</t>
  </si>
  <si>
    <t>PRODIGO0820241</t>
  </si>
  <si>
    <t>PRODIGO0820244</t>
  </si>
  <si>
    <t>PRODIGO1074899</t>
  </si>
  <si>
    <t>AC-3038</t>
  </si>
  <si>
    <t>AC-3043</t>
  </si>
  <si>
    <t>SOURCED</t>
  </si>
  <si>
    <t>GETINGE USA INC</t>
  </si>
  <si>
    <t>BOSTON</t>
  </si>
  <si>
    <t>BOSTON_750001100</t>
  </si>
  <si>
    <t>BOSTON_AC3038</t>
  </si>
  <si>
    <t>BOSTON_AC3043</t>
  </si>
  <si>
    <t>BOSTON_XO59000Z</t>
  </si>
  <si>
    <t>STAPLER</t>
  </si>
  <si>
    <t>INTERNAL</t>
  </si>
  <si>
    <t>45 MM</t>
  </si>
  <si>
    <t>TIGERPAW PRO</t>
  </si>
  <si>
    <t>FASTENER</t>
  </si>
  <si>
    <t>POSITIONER</t>
  </si>
  <si>
    <t>SURGICAL</t>
  </si>
  <si>
    <t>42293406  Surgical implant positioners and holders</t>
  </si>
  <si>
    <t>42312009  Medical staplers for internal use</t>
  </si>
  <si>
    <t>SUV STABILIZER</t>
  </si>
  <si>
    <t>ACROBAT-I</t>
  </si>
  <si>
    <t>42296801  Cardiovascular or thoracic surgical instruments</t>
  </si>
  <si>
    <t>CUTTER</t>
  </si>
  <si>
    <t>AORTIC</t>
  </si>
  <si>
    <t>4.3 MM</t>
  </si>
  <si>
    <t>MEDIUM</t>
  </si>
  <si>
    <t>FOR HEARTSTRING III PROXIMAL SEAL SYSTEM</t>
  </si>
  <si>
    <t>LEFT ATRIAL</t>
  </si>
  <si>
    <t>APPENDAGE OCCLUSION, TOOL</t>
  </si>
  <si>
    <t>3.8 MM</t>
  </si>
  <si>
    <t>https://www.getinge.com/dam/hospital/documents/english/heartstring_iii_elm_brochure_released-en-global.pdf, https://accessgudid.nlm.nih.gov/devices/00607567700260</t>
  </si>
  <si>
    <t>STERILE</t>
  </si>
  <si>
    <t>LATEX</t>
  </si>
  <si>
    <t>https://www.getinge.com/dam/hospital/documents/english/heartstring_iii_elm_brochure_released-en-global.pdf, https://accessgudid.nlm.nih.gov/devices/00607567700277</t>
  </si>
  <si>
    <t>Aortic Cutter 3.8 mm</t>
  </si>
  <si>
    <t>Aortic Cutter 4.3 mm</t>
  </si>
  <si>
    <t>STAPLER, INTERNAL, FASTENER, 45 MM, LEFT ATRIAL, APPENDAGE OCCLUSION, TOOL, TIGERPAW PRO</t>
  </si>
  <si>
    <t>CUTTER, AORTIC, MEDIUM, 3.8 MM, FOR HEARTSTRING III PROXIMAL SEAL SYSTEM, STERILE, LATEX</t>
  </si>
  <si>
    <t>CUTTER, AORTIC, MEDIUM, 4.3 MM, FOR HEARTSTRING III PROXIMAL SEAL SYSTEM, STERILE, LATEX</t>
  </si>
  <si>
    <t>POSITIONER, SURGICAL, SUV STABILIZER, ACROBAT-I</t>
  </si>
  <si>
    <t>STAPLER, INT, FAST, 45 MM, LT ATR, APPENDAGE OCCL, TOOL, TIGERPAW PRO</t>
  </si>
  <si>
    <t>CUTTER, AORT, MED, 3.8 MM, FOR HEARTSTRING III PROX SEAL SYS, STRL, LTX</t>
  </si>
  <si>
    <t>CUTTER, AORT, MED, 4.3 MM, FOR HEARTSTRING III PROX SEAL SYS, STRL, LTX</t>
  </si>
  <si>
    <t>POSITIONER, SURG, SUV STBL, ACROBAT-I</t>
  </si>
  <si>
    <t>STAPLER, INT, FAST, 45 MM, LT ATR, APPENDAGE OCCL, TIGERPAW PRO</t>
  </si>
  <si>
    <t>CUTTER, AORT, MED, 3.8 MM, FOR HEARTSTRING III PROX SEAL SYS, LTX</t>
  </si>
  <si>
    <t>CUTTER, AORT, MED, 4.3 MM, FOR HEARTSTRING III PROX SEAL SYS, LTX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</si>
</sst>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26.85546875" bestFit="1" customWidth="1"/>
    <col min="23" max="23" width="23.5703125" bestFit="1" customWidth="1"/>
    <col min="24" max="24" width="9.140625" customWidth="1"/>
    <col min="25" max="25" width="20" bestFit="1" customWidth="1"/>
    <col min="26" max="26" width="9.7109375" bestFit="1" customWidth="1"/>
    <col min="27" max="27" width="9.140625" customWidth="1"/>
    <col min="28" max="28" width="19" bestFit="1" customWidth="1"/>
    <col min="30" max="30" width="10" bestFit="1" customWidth="1"/>
    <col min="32" max="32" width="18.28515625" bestFit="1" customWidth="1"/>
    <col min="33" max="35" width="9.140625" customWidth="1"/>
    <col min="36" max="36" width="43" bestFit="1" customWidth="1"/>
    <col min="37" max="40" width="9.140625" customWidth="1"/>
    <col min="41" max="41" width="39.28515625" bestFit="1" customWidth="1"/>
    <col min="42" max="43" width="9.140625" customWidth="1"/>
    <col min="44" max="44" width="43" bestFit="1" customWidth="1"/>
    <col min="45" max="45" width="16.42578125" customWidth="1"/>
    <col min="46" max="46" width="27.28515625" customWidth="1"/>
    <col min="47" max="47" width="17" customWidth="1"/>
    <col min="48" max="48" width="26.85546875" customWidth="1"/>
    <col min="49" max="49" width="9.140625" customWidth="1"/>
    <col min="50" max="50" width="26.28515625" bestFit="1" customWidth="1"/>
    <col min="52" max="52" width="20.140625" bestFit="1" customWidth="1"/>
    <col min="60" max="60" width="25.85546875" bestFit="1" customWidth="1"/>
    <col min="65" max="65" width="14.5703125" bestFit="1" customWidth="1"/>
  </cols>
  <sheetData>
    <row r="1" spans="1:109" s="16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7" t="s">
        <v>25</v>
      </c>
      <c r="AA1" s="5" t="s">
        <v>26</v>
      </c>
      <c r="AB1" s="8" t="s">
        <v>27</v>
      </c>
      <c r="AC1" s="1" t="s">
        <v>28</v>
      </c>
      <c r="AD1" s="1" t="s">
        <v>29</v>
      </c>
      <c r="AE1" s="9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1" t="s">
        <v>41</v>
      </c>
      <c r="AQ1" s="1" t="s">
        <v>42</v>
      </c>
      <c r="AR1" s="10" t="s">
        <v>43</v>
      </c>
      <c r="AS1" s="6" t="s">
        <v>44</v>
      </c>
      <c r="AT1" s="6" t="s">
        <v>45</v>
      </c>
      <c r="AU1" s="11" t="s">
        <v>46</v>
      </c>
      <c r="AV1" s="11" t="s">
        <v>47</v>
      </c>
      <c r="AW1" s="8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6" t="s">
        <v>68</v>
      </c>
      <c r="BR1" s="6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13" t="s">
        <v>101</v>
      </c>
      <c r="CY1" s="14" t="s">
        <v>102</v>
      </c>
      <c r="CZ1" s="13" t="s">
        <v>103</v>
      </c>
      <c r="DA1" s="15" t="s">
        <v>104</v>
      </c>
      <c r="DB1" s="15" t="s">
        <v>105</v>
      </c>
      <c r="DC1" s="15" t="s">
        <v>106</v>
      </c>
      <c r="DD1" s="15" t="s">
        <v>107</v>
      </c>
      <c r="DE1" s="15" t="s">
        <v>108</v>
      </c>
    </row>
    <row r="2" spans="1:109" x14ac:dyDescent="0.25">
      <c r="A2" s="17" t="s">
        <v>109</v>
      </c>
      <c r="B2" t="s">
        <v>111</v>
      </c>
      <c r="C2" t="s">
        <v>112</v>
      </c>
      <c r="D2" t="s">
        <v>118</v>
      </c>
      <c r="E2" t="s">
        <v>120</v>
      </c>
      <c r="F2" t="s">
        <v>118</v>
      </c>
      <c r="G2" t="s">
        <v>121</v>
      </c>
      <c r="H2" s="17" t="s">
        <v>110</v>
      </c>
      <c r="U2">
        <v>330</v>
      </c>
      <c r="V2">
        <v>1</v>
      </c>
      <c r="W2" t="s">
        <v>113</v>
      </c>
      <c r="X2" t="s">
        <v>114</v>
      </c>
      <c r="Y2" t="s">
        <v>113</v>
      </c>
      <c r="Z2" t="s">
        <v>115</v>
      </c>
      <c r="AA2" t="s">
        <v>115</v>
      </c>
      <c r="AB2" t="s">
        <v>115</v>
      </c>
      <c r="AC2" t="s">
        <v>114</v>
      </c>
      <c r="AD2" t="s">
        <v>115</v>
      </c>
      <c r="AE2" t="s">
        <v>115</v>
      </c>
      <c r="AF2" t="s">
        <v>122</v>
      </c>
      <c r="AJ2" t="s">
        <v>116</v>
      </c>
      <c r="AL2">
        <v>2341</v>
      </c>
      <c r="AM2" t="s">
        <v>117</v>
      </c>
      <c r="AO2" t="s">
        <v>128</v>
      </c>
      <c r="AP2" t="s">
        <v>129</v>
      </c>
      <c r="AQ2" t="s">
        <v>130</v>
      </c>
      <c r="AR2" t="s">
        <v>116</v>
      </c>
      <c r="AS2" t="s">
        <v>126</v>
      </c>
      <c r="AT2" t="s">
        <v>126</v>
      </c>
      <c r="AU2" t="s">
        <v>127</v>
      </c>
      <c r="AV2" t="s">
        <v>127</v>
      </c>
      <c r="AW2" s="19">
        <f>LEN(SUBSTITUTE(AV2, ", "," "))</f>
        <v>48</v>
      </c>
      <c r="AX2" s="18" t="s">
        <v>123</v>
      </c>
      <c r="AZ2" s="18" t="s">
        <v>125</v>
      </c>
      <c r="BH2" s="18" t="s">
        <v>124</v>
      </c>
      <c r="BQ2" t="s">
        <v>119</v>
      </c>
    </row>
    <row r="3" spans="1:109" x14ac:dyDescent="0.25">
      <c r="A3" s="17" t="s">
        <v>109</v>
      </c>
      <c r="B3" t="s">
        <v>131</v>
      </c>
      <c r="C3" t="s">
        <v>132</v>
      </c>
      <c r="D3" t="s">
        <v>118</v>
      </c>
      <c r="E3" t="s">
        <v>120</v>
      </c>
      <c r="F3" t="s">
        <v>118</v>
      </c>
      <c r="G3" t="s">
        <v>121</v>
      </c>
      <c r="H3" s="17" t="s">
        <v>110</v>
      </c>
      <c r="U3">
        <v>331</v>
      </c>
      <c r="V3">
        <v>1</v>
      </c>
      <c r="W3" t="s">
        <v>133</v>
      </c>
      <c r="X3" t="s">
        <v>134</v>
      </c>
      <c r="Y3" t="s">
        <v>150</v>
      </c>
      <c r="Z3" t="s">
        <v>135</v>
      </c>
      <c r="AA3">
        <v>750001100</v>
      </c>
      <c r="AB3" t="s">
        <v>135</v>
      </c>
      <c r="AC3" t="s">
        <v>151</v>
      </c>
      <c r="AD3" t="s">
        <v>135</v>
      </c>
      <c r="AE3" t="s">
        <v>135</v>
      </c>
      <c r="AF3" t="s">
        <v>152</v>
      </c>
      <c r="AJ3" t="s">
        <v>139</v>
      </c>
      <c r="AL3">
        <v>1482</v>
      </c>
      <c r="AM3" t="s">
        <v>143</v>
      </c>
      <c r="AO3" t="s">
        <v>164</v>
      </c>
      <c r="AR3" t="s">
        <v>139</v>
      </c>
      <c r="AS3" s="18" t="s">
        <v>182</v>
      </c>
      <c r="AT3" s="18" t="s">
        <v>182</v>
      </c>
      <c r="AU3" s="18" t="s">
        <v>186</v>
      </c>
      <c r="AV3" s="18" t="s">
        <v>190</v>
      </c>
      <c r="AW3" s="19">
        <f t="shared" ref="AW3:AW6" si="0">LEN(SUBSTITUTE(AV3, ", "," "))</f>
        <v>57</v>
      </c>
      <c r="AX3" s="18" t="s">
        <v>156</v>
      </c>
      <c r="AY3" s="18" t="s">
        <v>157</v>
      </c>
      <c r="AZ3" s="18" t="s">
        <v>160</v>
      </c>
      <c r="BC3" s="18" t="s">
        <v>158</v>
      </c>
      <c r="BG3" s="18" t="s">
        <v>173</v>
      </c>
      <c r="BH3" s="18" t="s">
        <v>174</v>
      </c>
      <c r="BM3" s="18" t="s">
        <v>159</v>
      </c>
      <c r="BQ3" t="s">
        <v>119</v>
      </c>
    </row>
    <row r="4" spans="1:109" x14ac:dyDescent="0.25">
      <c r="A4" s="17" t="s">
        <v>109</v>
      </c>
      <c r="B4" t="s">
        <v>131</v>
      </c>
      <c r="C4" t="s">
        <v>132</v>
      </c>
      <c r="D4" t="s">
        <v>118</v>
      </c>
      <c r="E4" t="s">
        <v>149</v>
      </c>
      <c r="F4" t="s">
        <v>118</v>
      </c>
      <c r="G4" t="s">
        <v>121</v>
      </c>
      <c r="H4" s="17" t="s">
        <v>110</v>
      </c>
      <c r="U4">
        <v>332</v>
      </c>
      <c r="V4">
        <v>2</v>
      </c>
      <c r="W4" t="s">
        <v>133</v>
      </c>
      <c r="X4" t="s">
        <v>134</v>
      </c>
      <c r="Y4" t="s">
        <v>150</v>
      </c>
      <c r="Z4" t="s">
        <v>136</v>
      </c>
      <c r="AA4" t="s">
        <v>136</v>
      </c>
      <c r="AB4" t="s">
        <v>147</v>
      </c>
      <c r="AC4" t="s">
        <v>151</v>
      </c>
      <c r="AD4" t="s">
        <v>147</v>
      </c>
      <c r="AE4" t="s">
        <v>136</v>
      </c>
      <c r="AF4" t="s">
        <v>153</v>
      </c>
      <c r="AJ4" t="s">
        <v>140</v>
      </c>
      <c r="AL4">
        <v>1482</v>
      </c>
      <c r="AM4" t="s">
        <v>144</v>
      </c>
      <c r="AO4" t="s">
        <v>167</v>
      </c>
      <c r="AR4" t="s">
        <v>180</v>
      </c>
      <c r="AS4" s="18" t="s">
        <v>183</v>
      </c>
      <c r="AT4" s="18" t="s">
        <v>183</v>
      </c>
      <c r="AU4" s="18" t="s">
        <v>187</v>
      </c>
      <c r="AV4" s="18" t="s">
        <v>191</v>
      </c>
      <c r="AW4" s="19">
        <f t="shared" si="0"/>
        <v>60</v>
      </c>
      <c r="AX4" s="18" t="s">
        <v>168</v>
      </c>
      <c r="AY4" s="18" t="s">
        <v>169</v>
      </c>
      <c r="BA4" s="18" t="s">
        <v>171</v>
      </c>
      <c r="BC4" s="18" t="s">
        <v>175</v>
      </c>
      <c r="BH4" s="18" t="s">
        <v>172</v>
      </c>
      <c r="BL4" t="s">
        <v>177</v>
      </c>
      <c r="BN4" t="s">
        <v>178</v>
      </c>
      <c r="BQ4" t="s">
        <v>176</v>
      </c>
    </row>
    <row r="5" spans="1:109" x14ac:dyDescent="0.25">
      <c r="A5" s="17" t="s">
        <v>109</v>
      </c>
      <c r="B5" t="s">
        <v>131</v>
      </c>
      <c r="C5" t="s">
        <v>132</v>
      </c>
      <c r="D5" t="s">
        <v>118</v>
      </c>
      <c r="E5" t="s">
        <v>149</v>
      </c>
      <c r="F5" t="s">
        <v>118</v>
      </c>
      <c r="G5" t="s">
        <v>121</v>
      </c>
      <c r="H5" s="17" t="s">
        <v>110</v>
      </c>
      <c r="U5">
        <v>333</v>
      </c>
      <c r="V5">
        <v>3</v>
      </c>
      <c r="W5" t="s">
        <v>133</v>
      </c>
      <c r="X5" t="s">
        <v>134</v>
      </c>
      <c r="Y5" t="s">
        <v>150</v>
      </c>
      <c r="Z5" t="s">
        <v>137</v>
      </c>
      <c r="AA5" t="s">
        <v>137</v>
      </c>
      <c r="AB5" t="s">
        <v>148</v>
      </c>
      <c r="AC5" t="s">
        <v>151</v>
      </c>
      <c r="AD5" t="s">
        <v>148</v>
      </c>
      <c r="AE5" t="s">
        <v>137</v>
      </c>
      <c r="AF5" t="s">
        <v>154</v>
      </c>
      <c r="AJ5" t="s">
        <v>141</v>
      </c>
      <c r="AL5">
        <v>1482</v>
      </c>
      <c r="AM5" t="s">
        <v>145</v>
      </c>
      <c r="AO5" t="s">
        <v>167</v>
      </c>
      <c r="AR5" t="s">
        <v>181</v>
      </c>
      <c r="AS5" s="18" t="s">
        <v>184</v>
      </c>
      <c r="AT5" s="18" t="s">
        <v>184</v>
      </c>
      <c r="AU5" s="18" t="s">
        <v>188</v>
      </c>
      <c r="AV5" s="18" t="s">
        <v>192</v>
      </c>
      <c r="AW5" s="19">
        <f t="shared" si="0"/>
        <v>60</v>
      </c>
      <c r="AX5" s="18" t="s">
        <v>168</v>
      </c>
      <c r="AY5" s="18" t="s">
        <v>169</v>
      </c>
      <c r="BA5" s="18" t="s">
        <v>171</v>
      </c>
      <c r="BC5" s="18" t="s">
        <v>170</v>
      </c>
      <c r="BH5" s="18" t="s">
        <v>172</v>
      </c>
      <c r="BL5" t="s">
        <v>177</v>
      </c>
      <c r="BN5" t="s">
        <v>178</v>
      </c>
      <c r="BQ5" t="s">
        <v>179</v>
      </c>
    </row>
    <row r="6" spans="1:109" x14ac:dyDescent="0.25">
      <c r="A6" s="17" t="s">
        <v>109</v>
      </c>
      <c r="B6" t="s">
        <v>131</v>
      </c>
      <c r="C6" t="s">
        <v>132</v>
      </c>
      <c r="D6" t="s">
        <v>118</v>
      </c>
      <c r="E6" t="s">
        <v>120</v>
      </c>
      <c r="F6" t="s">
        <v>118</v>
      </c>
      <c r="G6" t="s">
        <v>121</v>
      </c>
      <c r="H6" s="17" t="s">
        <v>110</v>
      </c>
      <c r="U6">
        <v>334</v>
      </c>
      <c r="V6">
        <v>4</v>
      </c>
      <c r="W6" t="s">
        <v>133</v>
      </c>
      <c r="X6" t="s">
        <v>134</v>
      </c>
      <c r="Y6" t="s">
        <v>150</v>
      </c>
      <c r="Z6" t="s">
        <v>138</v>
      </c>
      <c r="AA6" t="s">
        <v>138</v>
      </c>
      <c r="AB6" t="s">
        <v>138</v>
      </c>
      <c r="AC6" t="s">
        <v>151</v>
      </c>
      <c r="AD6" t="s">
        <v>138</v>
      </c>
      <c r="AE6" t="s">
        <v>138</v>
      </c>
      <c r="AF6" t="s">
        <v>155</v>
      </c>
      <c r="AJ6" t="s">
        <v>142</v>
      </c>
      <c r="AL6">
        <v>1482</v>
      </c>
      <c r="AM6" t="s">
        <v>146</v>
      </c>
      <c r="AO6" t="s">
        <v>163</v>
      </c>
      <c r="AR6" t="s">
        <v>142</v>
      </c>
      <c r="AS6" s="18" t="s">
        <v>185</v>
      </c>
      <c r="AT6" s="18" t="s">
        <v>185</v>
      </c>
      <c r="AU6" s="18" t="s">
        <v>189</v>
      </c>
      <c r="AV6" s="18" t="s">
        <v>189</v>
      </c>
      <c r="AW6" s="19">
        <f t="shared" si="0"/>
        <v>34</v>
      </c>
      <c r="AX6" s="18" t="s">
        <v>161</v>
      </c>
      <c r="AY6" s="18" t="s">
        <v>162</v>
      </c>
      <c r="BH6" s="18" t="s">
        <v>165</v>
      </c>
      <c r="BM6" s="18" t="s">
        <v>166</v>
      </c>
      <c r="BQ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2023-10-19T05:56:10Z</dcterms:created>
  <dcterms:modified xsi:type="dcterms:W3CDTF">2023-10-20T04:38:36Z</dcterms:modified>
</cp:coreProperties>
</file>