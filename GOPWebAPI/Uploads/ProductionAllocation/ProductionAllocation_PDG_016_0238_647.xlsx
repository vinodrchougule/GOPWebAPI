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6" sheetId="1" r:id="rId1"/>
  </sheets>
  <calcPr calcId="145621"/>
</workbook>
</file>

<file path=xl/calcChain.xml><?xml version="1.0" encoding="utf-8"?>
<calcChain xmlns="http://schemas.openxmlformats.org/spreadsheetml/2006/main">
  <c r="AW7" i="1" l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<sst xmlns="http://schemas.openxmlformats.org/spreadsheetml/2006/main" count="304" uniqueCount="192">
  <si>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</si>
  <si>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</si>
  <si>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</si>
  <si>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</si>
  <si>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</si>
  <si>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</si>
  <si>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</si>
  <si>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</si>
  <si>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</si>
  <si>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</si>
  <si>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</si>
  <si>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</si>
  <si>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</si>
  <si>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</si>
  <si>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</si>
  <si>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</si>
  <si>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</si>
  <si>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</si>
  <si>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</si>
  <si>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</si>
  <si>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</si>
  <si>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</si>
  <si>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</si>
  <si>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</si>
  <si>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</si>
  <si>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</si>
  <si>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</si>
  <si>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</si>
  <si>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</si>
  <si>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</si>
  <si>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</si>
  <si>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</si>
  <si>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</si>
  <si>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</si>
  <si>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</si>
  <si>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</si>
  <si>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</si>
  <si>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</si>
  <si>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</si>
  <si>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</si>
  <si>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</si>
  <si>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</si>
  <si>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</si>
  <si>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</si>
  <si>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</si>
  <si>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</si>
  <si>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</si>
  <si>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</si>
  <si>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</si>
  <si>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</si>
  <si>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</si>
  <si>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</si>
  <si>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</si>
  <si>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</si>
  <si>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</si>
  <si>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</si>
  <si>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</si>
  <si>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</si>
  <si>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</si>
  <si>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</si>
  <si>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</si>
  <si>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</si>
  <si>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</si>
  <si>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</si>
  <si>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</si>
  <si>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</si>
  <si>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</si>
  <si>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</si>
  <si>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</si>
  <si>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</si>
  <si>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</si>
  <si>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</si>
  <si>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</si>
  <si>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</si>
  <si>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</si>
  <si>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</si>
  <si>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</si>
  <si>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</si>
  <si>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</si>
  <si>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</si>
  <si>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</si>
  <si>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</si>
  <si>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</si>
  <si>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</si>
  <si>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</si>
  <si>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</si>
  <si>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</si>
  <si>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</si>
  <si>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</si>
  <si>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</si>
  <si>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</si>
  <si>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</si>
  <si>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</si>
  <si>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</si>
  <si>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</si>
  <si>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</si>
  <si>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</si>
  <si>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</si>
  <si>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</si>
  <si>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</si>
  <si>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</si>
  <si>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</si>
  <si>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</si>
  <si>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</si>
  <si>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</si>
  <si>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</si>
  <si>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</si>
  <si>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</si>
  <si>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</si>
  <si>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</si>
  <si>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016-238-2</t>
  </si>
  <si>
    <t>ForGhria_Output_2023-07-12</t>
  </si>
  <si>
    <t>GRIFOLS USA</t>
  </si>
  <si>
    <t>GRIFOLS BIOLOGICALS</t>
  </si>
  <si>
    <t>210128</t>
  </si>
  <si>
    <t>210524</t>
  </si>
  <si>
    <t>210525</t>
  </si>
  <si>
    <t>210549</t>
  </si>
  <si>
    <t>210550</t>
  </si>
  <si>
    <t>213288</t>
  </si>
  <si>
    <t>DG GEL 8 ABO RH 2D</t>
  </si>
  <si>
    <t>ANTI D RH1 IGG</t>
  </si>
  <si>
    <t xml:space="preserve">ANTI D RH1 IGM </t>
  </si>
  <si>
    <t>AHG ANTI IGG CLEAR</t>
  </si>
  <si>
    <t>AHG POLYSPECIFIC IGG+C3D CLEAR</t>
  </si>
  <si>
    <t>DG GEL ESSENTIAL CONTROL 2X2X6ML</t>
  </si>
  <si>
    <t>PRODIGO1053136</t>
  </si>
  <si>
    <t>PRODIGO1053137</t>
  </si>
  <si>
    <t>PRODIGO1053138</t>
  </si>
  <si>
    <t>PRODIGO1053139</t>
  </si>
  <si>
    <t>PRODIGO1053140</t>
  </si>
  <si>
    <t>PRODIGO1053141</t>
  </si>
  <si>
    <t>CND</t>
  </si>
  <si>
    <t>GRIFOLS</t>
  </si>
  <si>
    <t>GRIFOLS_210128</t>
  </si>
  <si>
    <t>GRIFOLS_210524</t>
  </si>
  <si>
    <t>GRIFOLS_210525</t>
  </si>
  <si>
    <t>GRIFOLS_210549</t>
  </si>
  <si>
    <t>GRIFOLS_210550</t>
  </si>
  <si>
    <t>GRIFOLS_213288</t>
  </si>
  <si>
    <t>41115804  Blood bank analyzer accessories or supplies</t>
  </si>
  <si>
    <t>41116127  Immunology or serology reagents or solutions or stains</t>
  </si>
  <si>
    <t>41115870  Immunohematology analyzer accessories or supplies</t>
  </si>
  <si>
    <t>DG Gel 8 ABO/Rh (2D)</t>
  </si>
  <si>
    <t>CARD, BLOOD BANK TEST, ABO/RH 2D, 8 COLUMN, FOR DG GEL SYSTEM, NON STERILE, LATEX</t>
  </si>
  <si>
    <t>CARD, BLD BNK TST, ABO/RH 2D, 8 CLMN, FOR DG GEL SYS, NS, LTX</t>
  </si>
  <si>
    <t>Anti-D IgG 5 x 10 Ml</t>
  </si>
  <si>
    <t>REAGENT, IMMUNOLOGY, ANTI-D RH1 IGG, 10 ML, NON STERILE, LATEX</t>
  </si>
  <si>
    <t>REAGENT, IMMUN, ANTI-D RH1 IGG, 10 ML, NS, LTX</t>
  </si>
  <si>
    <t>Anti-D IgM 5 x 10 mL</t>
  </si>
  <si>
    <t>REAGENT, IMMUNOLOGY, ANTI-D RH1 IGM, 10 ML, NON STERILE, LATEX</t>
  </si>
  <si>
    <t>REAGENT, IMMUN, ANTI-D RH1 IGM, 10 ML, NS, LTX</t>
  </si>
  <si>
    <t>AHG Anti-IgG-Clear 4 x 10 mL</t>
  </si>
  <si>
    <t>REAGENT, IMMUNOLOGY, AHG ANTI-IGG-CLEAR, 10 ML, MONOSPECIFIC, NON STERILE, LATEX</t>
  </si>
  <si>
    <t>REAGENT, IMMUN, AHG ANTI-IGG-CLEAR, 10 ML, MONOSPECIFIC, NS, LTX</t>
  </si>
  <si>
    <t>AHG Anti-IgG + C3d-Clear 4 x 10 mL</t>
  </si>
  <si>
    <t>REAGENT, IMMUNOLOGY, AHG ANTI-IGG + C3D-CLEAR, 10 ML, POLYSPECIFIC, NON STERILE, LATEX</t>
  </si>
  <si>
    <t>REAGENT, IMMUN, AHG ANTI-IGG + C3D-CLEAR, 10 ML, POLYSPEC, NS, LTX</t>
  </si>
  <si>
    <t>DG Gel Essential Control</t>
  </si>
  <si>
    <t>CARD, IMMUNOHEMATOLOGY, 6 ML, CONTROL, FOR DG GEL SYSTEM, NON STERILE, ESSENTIAL II, LATEX</t>
  </si>
  <si>
    <t>CARD, IMMUNOHEMATOLOGY, 6 ML, CTRL, FOR DG GEL SYS, NS, ESSENTIAL II, LTX</t>
  </si>
  <si>
    <t>CARD, IMMUNOHEMATOLOGY, 6 ML, CTRL, FOR DG GEL SYS, ESSENTIAL II</t>
  </si>
  <si>
    <t>CARD</t>
  </si>
  <si>
    <t>BLOOD BANK TEST</t>
  </si>
  <si>
    <t>ABO/RH 2D</t>
  </si>
  <si>
    <t>8 COLUMN, FOR DG GEL SYSTEM</t>
  </si>
  <si>
    <t>NON STERILE</t>
  </si>
  <si>
    <t>LATEX</t>
  </si>
  <si>
    <t>https://www.fda.gov/media/136584/download, https://accessgudid.nlm.nih.gov/devices/08437014205916</t>
  </si>
  <si>
    <t>REAGENT</t>
  </si>
  <si>
    <t>IMMUNOLOGY</t>
  </si>
  <si>
    <t>ANTI-D RH1 IGG</t>
  </si>
  <si>
    <t>10 ML</t>
  </si>
  <si>
    <t>http://asclsga.org/wp-content/uploads/2021/04/Antisera-Sales-Sheet-updated-CA_BTS2_2000003.pdf, https://accessgudid.nlm.nih.gov/devices/23661562105247</t>
  </si>
  <si>
    <t>ANTI-D RH1 IGM</t>
  </si>
  <si>
    <t>http://asclsga.org/wp-content/uploads/2021/04/Antisera-Sales-Sheet-updated-CA_BTS2_2000003.pdf, https://accessgudid.nlm.nih.gov/devices/23661562105254</t>
  </si>
  <si>
    <t>AHG ANTI-IGG-CLEAR</t>
  </si>
  <si>
    <t>MONOSPECIFIC</t>
  </si>
  <si>
    <t>http://asclsga.org/wp-content/uploads/2021/04/Antisera-Sales-Sheet-updated-CA_BTS2_2000003.pdf, https://accessgudid.nlm.nih.gov/devices/23661562105490</t>
  </si>
  <si>
    <t>AHG ANTI-IGG + C3D-CLEAR</t>
  </si>
  <si>
    <t>POLYSPECIFIC</t>
  </si>
  <si>
    <t>http://asclsga.org/wp-content/uploads/2021/04/Antisera-Sales-Sheet-updated-CA_BTS2_2000003.pdf, https://accessgudid.nlm.nih.gov/devices/23661562105506</t>
  </si>
  <si>
    <t>IMMUNOHEMATOLOGY</t>
  </si>
  <si>
    <t>6 ML</t>
  </si>
  <si>
    <t>CONTROL, FOR DG GEL SYSTEM</t>
  </si>
  <si>
    <t>ESSENTIAL II</t>
  </si>
  <si>
    <t>https://www.diagnostic.grifols.com/en/reagent-shipping-schedule, https://accessgudid.nlm.nih.gov/devices/07640137341381</t>
  </si>
  <si>
    <t>THIRD PARTY</t>
  </si>
  <si>
    <t>SOURCED</t>
  </si>
  <si>
    <t>OK</t>
  </si>
  <si>
    <t>Data Enrichment | UNSPSC Classification</t>
  </si>
  <si>
    <t>GRIFOLS USA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</si>
</sst>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7"/>
  <sheetViews>
    <sheetView tabSelected="1" workbookViewId="0"/>
  </sheetViews>
  <sheetFormatPr defaultColWidth="14.42578125" defaultRowHeight="15" x14ac:dyDescent="0.25"/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s="15" customFormat="1" ht="12.75" x14ac:dyDescent="0.2">
      <c r="A2" s="15" t="s">
        <v>109</v>
      </c>
      <c r="B2" s="18" t="s">
        <v>110</v>
      </c>
      <c r="C2" s="15" t="s">
        <v>111</v>
      </c>
      <c r="D2" s="15" t="s">
        <v>132</v>
      </c>
      <c r="E2" s="15" t="s">
        <v>187</v>
      </c>
      <c r="F2" s="15" t="s">
        <v>132</v>
      </c>
      <c r="G2" s="15" t="s">
        <v>189</v>
      </c>
      <c r="H2" s="17" t="s">
        <v>190</v>
      </c>
      <c r="U2" s="15">
        <v>178</v>
      </c>
      <c r="V2" s="15">
        <v>1</v>
      </c>
      <c r="W2" s="15" t="s">
        <v>112</v>
      </c>
      <c r="X2" s="15" t="s">
        <v>113</v>
      </c>
      <c r="Y2" s="15" t="s">
        <v>191</v>
      </c>
      <c r="Z2" s="19" t="s">
        <v>114</v>
      </c>
      <c r="AA2" s="15">
        <v>210128</v>
      </c>
      <c r="AB2" s="15" t="s">
        <v>114</v>
      </c>
      <c r="AC2" s="15" t="s">
        <v>133</v>
      </c>
      <c r="AD2" s="15" t="s">
        <v>114</v>
      </c>
      <c r="AE2" s="15" t="s">
        <v>114</v>
      </c>
      <c r="AF2" s="15" t="s">
        <v>134</v>
      </c>
      <c r="AJ2" s="15" t="s">
        <v>120</v>
      </c>
      <c r="AL2" s="15">
        <v>1548</v>
      </c>
      <c r="AM2" s="15" t="s">
        <v>126</v>
      </c>
      <c r="AO2" s="15" t="s">
        <v>140</v>
      </c>
      <c r="AR2" s="15" t="s">
        <v>143</v>
      </c>
      <c r="AS2" s="16" t="s">
        <v>144</v>
      </c>
      <c r="AT2" s="16" t="s">
        <v>144</v>
      </c>
      <c r="AU2" s="16" t="s">
        <v>145</v>
      </c>
      <c r="AV2" s="16" t="s">
        <v>145</v>
      </c>
      <c r="AW2" s="15">
        <f>LEN(SUBSTITUTE(AV2, ", "," "))</f>
        <v>55</v>
      </c>
      <c r="AX2" s="16" t="s">
        <v>162</v>
      </c>
      <c r="AY2" s="16" t="s">
        <v>163</v>
      </c>
      <c r="AZ2" s="16" t="s">
        <v>164</v>
      </c>
      <c r="BH2" s="16" t="s">
        <v>165</v>
      </c>
      <c r="BL2" s="16" t="s">
        <v>166</v>
      </c>
      <c r="BN2" s="16" t="s">
        <v>167</v>
      </c>
      <c r="BQ2" s="15" t="s">
        <v>168</v>
      </c>
    </row>
    <row r="3" spans="1:109" s="15" customFormat="1" ht="12.75" x14ac:dyDescent="0.2">
      <c r="A3" s="15" t="s">
        <v>109</v>
      </c>
      <c r="B3" s="18" t="s">
        <v>110</v>
      </c>
      <c r="C3" s="15" t="s">
        <v>111</v>
      </c>
      <c r="D3" s="15" t="s">
        <v>132</v>
      </c>
      <c r="E3" s="15" t="s">
        <v>188</v>
      </c>
      <c r="F3" s="15" t="s">
        <v>132</v>
      </c>
      <c r="G3" s="15" t="s">
        <v>189</v>
      </c>
      <c r="H3" s="17" t="s">
        <v>190</v>
      </c>
      <c r="U3" s="15">
        <v>179</v>
      </c>
      <c r="V3" s="15">
        <v>2</v>
      </c>
      <c r="W3" s="15" t="s">
        <v>112</v>
      </c>
      <c r="X3" s="15" t="s">
        <v>113</v>
      </c>
      <c r="Y3" s="15" t="s">
        <v>191</v>
      </c>
      <c r="Z3" s="19" t="s">
        <v>115</v>
      </c>
      <c r="AA3" s="15">
        <v>210524</v>
      </c>
      <c r="AB3" s="15" t="s">
        <v>115</v>
      </c>
      <c r="AC3" s="15" t="s">
        <v>133</v>
      </c>
      <c r="AD3" s="15" t="s">
        <v>115</v>
      </c>
      <c r="AE3" s="15" t="s">
        <v>115</v>
      </c>
      <c r="AF3" s="15" t="s">
        <v>135</v>
      </c>
      <c r="AJ3" s="15" t="s">
        <v>121</v>
      </c>
      <c r="AL3" s="15">
        <v>1548</v>
      </c>
      <c r="AM3" s="15" t="s">
        <v>127</v>
      </c>
      <c r="AO3" s="15" t="s">
        <v>141</v>
      </c>
      <c r="AR3" s="15" t="s">
        <v>146</v>
      </c>
      <c r="AS3" s="16" t="s">
        <v>147</v>
      </c>
      <c r="AT3" s="16" t="s">
        <v>147</v>
      </c>
      <c r="AU3" s="16" t="s">
        <v>148</v>
      </c>
      <c r="AV3" s="16" t="s">
        <v>148</v>
      </c>
      <c r="AW3" s="15">
        <f>LEN(SUBSTITUTE(AV3, ", "," "))</f>
        <v>41</v>
      </c>
      <c r="AX3" s="16" t="s">
        <v>169</v>
      </c>
      <c r="AY3" s="16" t="s">
        <v>170</v>
      </c>
      <c r="AZ3" s="16" t="s">
        <v>171</v>
      </c>
      <c r="BE3" s="16" t="s">
        <v>172</v>
      </c>
      <c r="BL3" s="16" t="s">
        <v>166</v>
      </c>
      <c r="BN3" s="16" t="s">
        <v>167</v>
      </c>
      <c r="BQ3" s="15" t="s">
        <v>173</v>
      </c>
    </row>
    <row r="4" spans="1:109" s="15" customFormat="1" ht="12.75" x14ac:dyDescent="0.2">
      <c r="A4" s="15" t="s">
        <v>109</v>
      </c>
      <c r="B4" s="18" t="s">
        <v>110</v>
      </c>
      <c r="C4" s="15" t="s">
        <v>111</v>
      </c>
      <c r="D4" s="15" t="s">
        <v>132</v>
      </c>
      <c r="E4" s="15" t="s">
        <v>188</v>
      </c>
      <c r="F4" s="15" t="s">
        <v>132</v>
      </c>
      <c r="G4" s="15" t="s">
        <v>189</v>
      </c>
      <c r="H4" s="17" t="s">
        <v>190</v>
      </c>
      <c r="U4" s="15">
        <v>180</v>
      </c>
      <c r="V4" s="15">
        <v>3</v>
      </c>
      <c r="W4" s="15" t="s">
        <v>112</v>
      </c>
      <c r="X4" s="15" t="s">
        <v>113</v>
      </c>
      <c r="Y4" s="15" t="s">
        <v>191</v>
      </c>
      <c r="Z4" s="19" t="s">
        <v>116</v>
      </c>
      <c r="AA4" s="15">
        <v>210525</v>
      </c>
      <c r="AB4" s="15" t="s">
        <v>116</v>
      </c>
      <c r="AC4" s="15" t="s">
        <v>133</v>
      </c>
      <c r="AD4" s="15" t="s">
        <v>116</v>
      </c>
      <c r="AE4" s="15" t="s">
        <v>116</v>
      </c>
      <c r="AF4" s="15" t="s">
        <v>136</v>
      </c>
      <c r="AJ4" s="15" t="s">
        <v>122</v>
      </c>
      <c r="AL4" s="15">
        <v>1548</v>
      </c>
      <c r="AM4" s="15" t="s">
        <v>128</v>
      </c>
      <c r="AO4" s="15" t="s">
        <v>141</v>
      </c>
      <c r="AR4" s="15" t="s">
        <v>149</v>
      </c>
      <c r="AS4" s="16" t="s">
        <v>150</v>
      </c>
      <c r="AT4" s="16" t="s">
        <v>150</v>
      </c>
      <c r="AU4" s="16" t="s">
        <v>151</v>
      </c>
      <c r="AV4" s="16" t="s">
        <v>151</v>
      </c>
      <c r="AW4" s="15">
        <f>LEN(SUBSTITUTE(AV4, ", "," "))</f>
        <v>41</v>
      </c>
      <c r="AX4" s="16" t="s">
        <v>169</v>
      </c>
      <c r="AY4" s="16" t="s">
        <v>170</v>
      </c>
      <c r="AZ4" s="16" t="s">
        <v>174</v>
      </c>
      <c r="BE4" s="16" t="s">
        <v>172</v>
      </c>
      <c r="BL4" s="16" t="s">
        <v>166</v>
      </c>
      <c r="BN4" s="16" t="s">
        <v>167</v>
      </c>
      <c r="BQ4" s="15" t="s">
        <v>175</v>
      </c>
    </row>
    <row r="5" spans="1:109" s="15" customFormat="1" ht="12.75" x14ac:dyDescent="0.2">
      <c r="A5" s="15" t="s">
        <v>109</v>
      </c>
      <c r="B5" s="18" t="s">
        <v>110</v>
      </c>
      <c r="C5" s="15" t="s">
        <v>111</v>
      </c>
      <c r="D5" s="15" t="s">
        <v>132</v>
      </c>
      <c r="E5" s="15" t="s">
        <v>188</v>
      </c>
      <c r="F5" s="15" t="s">
        <v>132</v>
      </c>
      <c r="G5" s="15" t="s">
        <v>189</v>
      </c>
      <c r="H5" s="17" t="s">
        <v>190</v>
      </c>
      <c r="U5" s="15">
        <v>181</v>
      </c>
      <c r="V5" s="15">
        <v>4</v>
      </c>
      <c r="W5" s="15" t="s">
        <v>112</v>
      </c>
      <c r="X5" s="15" t="s">
        <v>113</v>
      </c>
      <c r="Y5" s="15" t="s">
        <v>191</v>
      </c>
      <c r="Z5" s="19" t="s">
        <v>117</v>
      </c>
      <c r="AA5" s="15">
        <v>210549</v>
      </c>
      <c r="AB5" s="15" t="s">
        <v>117</v>
      </c>
      <c r="AC5" s="15" t="s">
        <v>133</v>
      </c>
      <c r="AD5" s="15" t="s">
        <v>117</v>
      </c>
      <c r="AE5" s="15" t="s">
        <v>117</v>
      </c>
      <c r="AF5" s="15" t="s">
        <v>137</v>
      </c>
      <c r="AJ5" s="15" t="s">
        <v>123</v>
      </c>
      <c r="AL5" s="15">
        <v>1548</v>
      </c>
      <c r="AM5" s="15" t="s">
        <v>129</v>
      </c>
      <c r="AO5" s="15" t="s">
        <v>141</v>
      </c>
      <c r="AR5" s="15" t="s">
        <v>152</v>
      </c>
      <c r="AS5" s="16" t="s">
        <v>153</v>
      </c>
      <c r="AT5" s="16" t="s">
        <v>153</v>
      </c>
      <c r="AU5" s="16" t="s">
        <v>154</v>
      </c>
      <c r="AV5" s="16" t="s">
        <v>154</v>
      </c>
      <c r="AW5" s="15">
        <f>LEN(SUBSTITUTE(AV5, ", "," "))</f>
        <v>58</v>
      </c>
      <c r="AX5" s="16" t="s">
        <v>169</v>
      </c>
      <c r="AY5" s="16" t="s">
        <v>170</v>
      </c>
      <c r="AZ5" s="16" t="s">
        <v>176</v>
      </c>
      <c r="BE5" s="16" t="s">
        <v>172</v>
      </c>
      <c r="BH5" s="16" t="s">
        <v>177</v>
      </c>
      <c r="BL5" s="16" t="s">
        <v>166</v>
      </c>
      <c r="BN5" s="16" t="s">
        <v>167</v>
      </c>
      <c r="BQ5" s="15" t="s">
        <v>178</v>
      </c>
    </row>
    <row r="6" spans="1:109" s="15" customFormat="1" ht="12.75" x14ac:dyDescent="0.2">
      <c r="A6" s="15" t="s">
        <v>109</v>
      </c>
      <c r="B6" s="18" t="s">
        <v>110</v>
      </c>
      <c r="C6" s="15" t="s">
        <v>111</v>
      </c>
      <c r="D6" s="15" t="s">
        <v>132</v>
      </c>
      <c r="E6" s="15" t="s">
        <v>188</v>
      </c>
      <c r="F6" s="15" t="s">
        <v>132</v>
      </c>
      <c r="G6" s="15" t="s">
        <v>189</v>
      </c>
      <c r="H6" s="17" t="s">
        <v>190</v>
      </c>
      <c r="U6" s="15">
        <v>182</v>
      </c>
      <c r="V6" s="15">
        <v>5</v>
      </c>
      <c r="W6" s="15" t="s">
        <v>112</v>
      </c>
      <c r="X6" s="15" t="s">
        <v>113</v>
      </c>
      <c r="Y6" s="15" t="s">
        <v>191</v>
      </c>
      <c r="Z6" s="19" t="s">
        <v>118</v>
      </c>
      <c r="AA6" s="15">
        <v>210550</v>
      </c>
      <c r="AB6" s="15" t="s">
        <v>118</v>
      </c>
      <c r="AC6" s="15" t="s">
        <v>133</v>
      </c>
      <c r="AD6" s="15" t="s">
        <v>118</v>
      </c>
      <c r="AE6" s="15" t="s">
        <v>118</v>
      </c>
      <c r="AF6" s="15" t="s">
        <v>138</v>
      </c>
      <c r="AJ6" s="15" t="s">
        <v>124</v>
      </c>
      <c r="AL6" s="15">
        <v>1548</v>
      </c>
      <c r="AM6" s="15" t="s">
        <v>130</v>
      </c>
      <c r="AO6" s="15" t="s">
        <v>141</v>
      </c>
      <c r="AR6" s="15" t="s">
        <v>155</v>
      </c>
      <c r="AS6" s="16" t="s">
        <v>156</v>
      </c>
      <c r="AT6" s="16" t="s">
        <v>156</v>
      </c>
      <c r="AU6" s="16" t="s">
        <v>157</v>
      </c>
      <c r="AV6" s="16" t="s">
        <v>157</v>
      </c>
      <c r="AW6" s="15">
        <f>LEN(SUBSTITUTE(AV6, ", "," "))</f>
        <v>60</v>
      </c>
      <c r="AX6" s="16" t="s">
        <v>169</v>
      </c>
      <c r="AY6" s="16" t="s">
        <v>170</v>
      </c>
      <c r="AZ6" s="16" t="s">
        <v>179</v>
      </c>
      <c r="BE6" s="16" t="s">
        <v>172</v>
      </c>
      <c r="BH6" s="16" t="s">
        <v>180</v>
      </c>
      <c r="BL6" s="16" t="s">
        <v>166</v>
      </c>
      <c r="BN6" s="16" t="s">
        <v>167</v>
      </c>
      <c r="BQ6" s="15" t="s">
        <v>181</v>
      </c>
    </row>
    <row r="7" spans="1:109" s="15" customFormat="1" ht="12.75" x14ac:dyDescent="0.2">
      <c r="A7" s="15" t="s">
        <v>109</v>
      </c>
      <c r="B7" s="18" t="s">
        <v>110</v>
      </c>
      <c r="C7" s="15" t="s">
        <v>111</v>
      </c>
      <c r="D7" s="15" t="s">
        <v>132</v>
      </c>
      <c r="E7" s="15" t="s">
        <v>188</v>
      </c>
      <c r="F7" s="15" t="s">
        <v>132</v>
      </c>
      <c r="G7" s="15" t="s">
        <v>189</v>
      </c>
      <c r="H7" s="17" t="s">
        <v>190</v>
      </c>
      <c r="U7" s="15">
        <v>183</v>
      </c>
      <c r="V7" s="15">
        <v>6</v>
      </c>
      <c r="W7" s="15" t="s">
        <v>112</v>
      </c>
      <c r="X7" s="15" t="s">
        <v>113</v>
      </c>
      <c r="Y7" s="15" t="s">
        <v>191</v>
      </c>
      <c r="Z7" s="19" t="s">
        <v>119</v>
      </c>
      <c r="AA7" s="15">
        <v>213288</v>
      </c>
      <c r="AB7" s="15" t="s">
        <v>119</v>
      </c>
      <c r="AC7" s="15" t="s">
        <v>133</v>
      </c>
      <c r="AD7" s="15" t="s">
        <v>119</v>
      </c>
      <c r="AE7" s="15" t="s">
        <v>119</v>
      </c>
      <c r="AF7" s="15" t="s">
        <v>139</v>
      </c>
      <c r="AJ7" s="15" t="s">
        <v>125</v>
      </c>
      <c r="AL7" s="15">
        <v>1548</v>
      </c>
      <c r="AM7" s="15" t="s">
        <v>131</v>
      </c>
      <c r="AO7" s="15" t="s">
        <v>142</v>
      </c>
      <c r="AR7" s="15" t="s">
        <v>158</v>
      </c>
      <c r="AS7" s="16" t="s">
        <v>159</v>
      </c>
      <c r="AT7" s="16" t="s">
        <v>159</v>
      </c>
      <c r="AU7" s="16" t="s">
        <v>160</v>
      </c>
      <c r="AV7" s="16" t="s">
        <v>161</v>
      </c>
      <c r="AW7" s="15">
        <f>LEN(SUBSTITUTE(AV7, ", "," "))</f>
        <v>59</v>
      </c>
      <c r="AX7" s="16" t="s">
        <v>162</v>
      </c>
      <c r="AY7" s="16" t="s">
        <v>182</v>
      </c>
      <c r="BE7" s="16" t="s">
        <v>183</v>
      </c>
      <c r="BH7" s="16" t="s">
        <v>184</v>
      </c>
      <c r="BL7" s="16" t="s">
        <v>166</v>
      </c>
      <c r="BM7" s="16" t="s">
        <v>185</v>
      </c>
      <c r="BN7" s="16" t="s">
        <v>167</v>
      </c>
      <c r="BQ7" s="15" t="s">
        <v>186</v>
      </c>
    </row>
  </sheetData>
  <sortState ref="A2:DE7">
    <sortCondition ref="AC2:AC7"/>
    <sortCondition ref="AE2:AE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2023-07-13T06:39:14Z</dcterms:created>
  <dcterms:modified xsi:type="dcterms:W3CDTF">2023-07-13T06:46:16Z</dcterms:modified>
</cp:coreProperties>
</file>