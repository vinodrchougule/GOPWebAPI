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PDG\"/>
    </mc:Choice>
  </mc:AlternateContent>
  <xr:revisionPtr revIDLastSave="0" documentId="8_{C55E4A0D-B809-4CA6-8104-3407B6C4B1E7}" xr6:coauthVersionLast="47" xr6:coauthVersionMax="47" xr10:uidLastSave="{00000000-0000-0000-0000-000000000000}"/>
  <bookViews>
    <workbookView xWindow="-120" yWindow="-120" windowWidth="20730" windowHeight="11160" xr2:uid="{D3518ADC-F32E-42D6-8BB2-2C115DC9E3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6" i="1" l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<sst xmlns="http://schemas.openxmlformats.org/spreadsheetml/2006/main" count="691" uniqueCount="303">
  <si>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</si>
  <si>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</si>
  <si>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</si>
  <si>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</si>
  <si>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</si>
  <si>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</si>
  <si>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</si>
  <si>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</si>
  <si>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</si>
  <si>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</si>
  <si>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</si>
  <si>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</si>
  <si>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</si>
  <si>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</si>
  <si>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</si>
  <si>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</si>
  <si>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</si>
  <si>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</si>
  <si>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</si>
  <si>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</si>
  <si>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</si>
  <si>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</si>
  <si>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</si>
  <si>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</si>
  <si>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</si>
  <si>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</si>
  <si>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</si>
  <si>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</si>
  <si>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</si>
  <si>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</si>
  <si>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</si>
  <si>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</si>
  <si>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</si>
  <si>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</si>
  <si>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</si>
  <si>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</si>
  <si>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</si>
  <si>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</si>
  <si>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</si>
  <si>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</si>
  <si>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</si>
  <si>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</si>
  <si>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</si>
  <si>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</si>
  <si>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</si>
  <si>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</si>
  <si>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</si>
  <si>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</si>
  <si>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</si>
  <si>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</si>
  <si>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</si>
  <si>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</si>
  <si>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</si>
  <si>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</si>
  <si>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</si>
  <si>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</si>
  <si>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</si>
  <si>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</si>
  <si>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</si>
  <si>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</si>
  <si>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</si>
  <si>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</si>
  <si>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</si>
  <si>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</si>
  <si>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</si>
  <si>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</si>
  <si>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</si>
  <si>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</si>
  <si>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</si>
  <si>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</si>
  <si>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</si>
  <si>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</si>
  <si>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</si>
  <si>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</si>
  <si>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</si>
  <si>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</si>
  <si>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</si>
  <si>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</si>
  <si>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</si>
  <si>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</si>
  <si>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</si>
  <si>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</si>
  <si>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</si>
  <si>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</si>
  <si>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</si>
  <si>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</si>
  <si>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</si>
  <si>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</si>
  <si>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</si>
  <si>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</si>
  <si>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</si>
  <si>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</si>
  <si>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</si>
  <si>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</si>
  <si>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</si>
  <si>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</si>
  <si>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</si>
  <si>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</si>
  <si>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</si>
  <si>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</si>
  <si>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</si>
  <si>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</si>
  <si>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</si>
  <si>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</si>
  <si>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</si>
  <si>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</si>
  <si>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</si>
  <si>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PDG</t>
  </si>
  <si>
    <t>016-229-6</t>
  </si>
  <si>
    <t>ForGhria_Output_2023-04-26</t>
  </si>
  <si>
    <t>CND</t>
  </si>
  <si>
    <t>Data Enrichment | UNSPSC Classification</t>
  </si>
  <si>
    <t>5_PRODIGO1045073</t>
  </si>
  <si>
    <t>ACTIVE MEDICAL INC</t>
  </si>
  <si>
    <t>ACTIVE MEDICAL DEVICES</t>
  </si>
  <si>
    <t>AURE02</t>
  </si>
  <si>
    <t>ACTIVE MEDICAL</t>
  </si>
  <si>
    <t>ACTIVE MEDICAL_AURE02</t>
  </si>
  <si>
    <t xml:space="preserve">Anchorsure Anchors Only 2 Anchors w/ Prolene Suture </t>
  </si>
  <si>
    <t>PRODIGO1045073</t>
  </si>
  <si>
    <t>11_PRODIGO1045066</t>
  </si>
  <si>
    <t>BARD DAVOL</t>
  </si>
  <si>
    <t>CR BARD</t>
  </si>
  <si>
    <t>0116310</t>
  </si>
  <si>
    <t>BD</t>
  </si>
  <si>
    <t>BD_0116310</t>
  </si>
  <si>
    <t>3DMAX MID MESH MEDIUM LEFT</t>
  </si>
  <si>
    <t>PRODIGO1045066</t>
  </si>
  <si>
    <t>6_PRODIGO1045067</t>
  </si>
  <si>
    <t>0116320</t>
  </si>
  <si>
    <t>BD_0116320</t>
  </si>
  <si>
    <t>3DMAX MID MESH MEDIUM RIGHT</t>
  </si>
  <si>
    <t>PRODIGO1045067</t>
  </si>
  <si>
    <t>016-229-5</t>
  </si>
  <si>
    <t>ForGhria_Output_2023-04-25</t>
  </si>
  <si>
    <t>1_PRODIGO1044995</t>
  </si>
  <si>
    <t>CARDINAL HEALTH</t>
  </si>
  <si>
    <t>D4225</t>
  </si>
  <si>
    <t>CARDINAL</t>
  </si>
  <si>
    <t>CARDINAL_D4225</t>
  </si>
  <si>
    <t>CAST PADDING WEBRIL 2"X4" YD STERILE</t>
  </si>
  <si>
    <t>PRODIGO1044995</t>
  </si>
  <si>
    <t>12_PRODIGO1045070</t>
  </si>
  <si>
    <t>KIMBERLY CLARK CORP</t>
  </si>
  <si>
    <t>KIMBERLY-CLARK</t>
  </si>
  <si>
    <t>03076</t>
  </si>
  <si>
    <t>HALYARD</t>
  </si>
  <si>
    <t>HALYARD_03076</t>
  </si>
  <si>
    <t>Kleenex Professional Facial Tissue for Business 03076 Flat Tissue Boxes 12 Boxes / Convenience Case 125 Tissues / Box</t>
  </si>
  <si>
    <t>PRODIGO1045070</t>
  </si>
  <si>
    <t>1_PRODIGO1045065</t>
  </si>
  <si>
    <t>05007</t>
  </si>
  <si>
    <t>HALYARD_05007</t>
  </si>
  <si>
    <t>WypAll L40 Disposable Cleaning and Drying Towels 05007 Limited Use Towels White 1 Jumbo Roll per Case 750 Sheets per Roll</t>
  </si>
  <si>
    <t>PRODIGO1045065</t>
  </si>
  <si>
    <t>7_PRODIGO1045071</t>
  </si>
  <si>
    <t>05841</t>
  </si>
  <si>
    <t>HALYARD_05841</t>
  </si>
  <si>
    <t>WypAll L30 DRC Towels 05841 Strong and Soft Wipes White 950 Towel Sheets / Jumbo Roll 1 Roll / Case</t>
  </si>
  <si>
    <t>PRODIGO1045071</t>
  </si>
  <si>
    <t>8_PRODIGO1045063</t>
  </si>
  <si>
    <t>06001</t>
  </si>
  <si>
    <t>HALYARD_06001</t>
  </si>
  <si>
    <t>Kimtech WetTask  Wipers- Hydronit Base Wiper - 12IN W x 6IN L</t>
  </si>
  <si>
    <t>PRODIGO1045063</t>
  </si>
  <si>
    <t>13_PRODIGO1045058</t>
  </si>
  <si>
    <t>07304</t>
  </si>
  <si>
    <t>HALYARD_07304</t>
  </si>
  <si>
    <t>Scott Essential Extra Soft Jumbo Roll Bathroom Tissue</t>
  </si>
  <si>
    <t>PRODIGO1045058</t>
  </si>
  <si>
    <t>14_PRODIGO1045062</t>
  </si>
  <si>
    <t>21286</t>
  </si>
  <si>
    <t>HALYARD_21286</t>
  </si>
  <si>
    <t>Kleenex Professional Anti-Viral Facial Tissue Cube for Business 21286 White 3 Boxes / Bundle 4 Bundles / Case 12 Boxes / Case</t>
  </si>
  <si>
    <t>PRODIGO1045062</t>
  </si>
  <si>
    <t>9_PRODIGO1045055</t>
  </si>
  <si>
    <t>21320</t>
  </si>
  <si>
    <t>HALYARD_21320</t>
  </si>
  <si>
    <t>Surpass Boutique Facial Tissue Cube 21320 2-Ply White Unscented 110 Face Tissue / Box 36 Boxes / Case</t>
  </si>
  <si>
    <t>PRODIGO1045055</t>
  </si>
  <si>
    <t>3_PRODIGO1045056</t>
  </si>
  <si>
    <t>41526</t>
  </si>
  <si>
    <t>HALYARD_41526</t>
  </si>
  <si>
    <t>SCOTT SOFTPK WIPE WH CS 50</t>
  </si>
  <si>
    <t>PRODIGO1045056</t>
  </si>
  <si>
    <t>2_PRODIGO1045059</t>
  </si>
  <si>
    <t>75260</t>
  </si>
  <si>
    <t>HALYARD_75260</t>
  </si>
  <si>
    <t>Scott Rags In A Box 75260 White 200 Shop Towels / Box 8 Boxes / Case</t>
  </si>
  <si>
    <t>PRODIGO1045059</t>
  </si>
  <si>
    <t>15_PRODIGO1044997</t>
  </si>
  <si>
    <t>MEDLINE INDUSTRIES INC</t>
  </si>
  <si>
    <t>MEDLINE</t>
  </si>
  <si>
    <t>CT44GRN</t>
  </si>
  <si>
    <t>MEDLINE_CT44GRN</t>
  </si>
  <si>
    <t>TAPE CASTING GREEN 4INX4YD</t>
  </si>
  <si>
    <t>PRODIGO1044997</t>
  </si>
  <si>
    <t>15_PRODIGO1045076</t>
  </si>
  <si>
    <t>MSC091050</t>
  </si>
  <si>
    <t>MEDLINE_MSC091050</t>
  </si>
  <si>
    <t>LIQUIBAND RAPID ADHESIVE 36/CS 0.8ML</t>
  </si>
  <si>
    <t>PRODIGO1045076</t>
  </si>
  <si>
    <t>4_PRODIGO1045077</t>
  </si>
  <si>
    <t>MSC091060</t>
  </si>
  <si>
    <t>MEDLINE_MSC091060</t>
  </si>
  <si>
    <t>LIQUIBAND SECURE WOUND CLOSURE 22CM</t>
  </si>
  <si>
    <t>PRODIGO1045077</t>
  </si>
  <si>
    <t>16_PRODIGO1045074</t>
  </si>
  <si>
    <t>MSC091070</t>
  </si>
  <si>
    <t>MEDLINE_MSC091070</t>
  </si>
  <si>
    <t>LIQUIBAND SECURE XL W/ MESH 2.7ML 42 CM</t>
  </si>
  <si>
    <t>PRODIGO1045074</t>
  </si>
  <si>
    <t>10_PRODIGO1045075</t>
  </si>
  <si>
    <t>MSC091080</t>
  </si>
  <si>
    <t>MEDLINE_MSC091080</t>
  </si>
  <si>
    <t>LIQUIBAND SECURE WOUND CLOSURE 60CM</t>
  </si>
  <si>
    <t>PRODIGO1045075</t>
  </si>
  <si>
    <t>2_PRODIGO1044999</t>
  </si>
  <si>
    <t>MEDTRONIC USA INC</t>
  </si>
  <si>
    <t>MEDTRONIC</t>
  </si>
  <si>
    <t>B31000</t>
  </si>
  <si>
    <t>MEDTRONIC_B31000</t>
  </si>
  <si>
    <t>SenSight DBS Burr Hold Device Additional Parts</t>
  </si>
  <si>
    <t>PRODIGO1044999</t>
  </si>
  <si>
    <t>12_PRODIGO1045000</t>
  </si>
  <si>
    <t>B31010</t>
  </si>
  <si>
    <t>MEDTRONIC_B31010</t>
  </si>
  <si>
    <t>SenSight Depth Stop Cranial Tunneler</t>
  </si>
  <si>
    <t>PRODIGO1045000</t>
  </si>
  <si>
    <t>16_PRODIGO1045001</t>
  </si>
  <si>
    <t>B31020</t>
  </si>
  <si>
    <t>MEDTRONIC_B31020</t>
  </si>
  <si>
    <t>SenSight Lead Cap Torque Wrench</t>
  </si>
  <si>
    <t>PRODIGO1045001</t>
  </si>
  <si>
    <t>3_PRODIGO1045002</t>
  </si>
  <si>
    <t>B31030</t>
  </si>
  <si>
    <t>MEDTRONIC_B31030</t>
  </si>
  <si>
    <t>SenSight Extension Tunneler</t>
  </si>
  <si>
    <t>PRODIGO1045002</t>
  </si>
  <si>
    <t>8_PRODIGO1045003</t>
  </si>
  <si>
    <t>B31040</t>
  </si>
  <si>
    <t>MEDTRONIC_B31040</t>
  </si>
  <si>
    <t>SenSight Lead Test Cable</t>
  </si>
  <si>
    <t>PRODIGO1045003</t>
  </si>
  <si>
    <t>4_PRODIGO1045004</t>
  </si>
  <si>
    <t>B31050</t>
  </si>
  <si>
    <t>MEDTRONIC_B31050</t>
  </si>
  <si>
    <t>SenSight Extension Test Cable</t>
  </si>
  <si>
    <t>PRODIGO1045004</t>
  </si>
  <si>
    <t>B31061</t>
  </si>
  <si>
    <t>MEDTRONIC_B31061</t>
  </si>
  <si>
    <t>SenSight Connector Plug</t>
  </si>
  <si>
    <t>PRODIGO1045005</t>
  </si>
  <si>
    <t>9_PRODIGO1045006</t>
  </si>
  <si>
    <t>B32000</t>
  </si>
  <si>
    <t>MEDTRONIC_B32000</t>
  </si>
  <si>
    <t>SenSight DBS Burr Hole Device Kit</t>
  </si>
  <si>
    <t>PRODIGO1045006</t>
  </si>
  <si>
    <t>18_PRODIGO1045008</t>
  </si>
  <si>
    <t>B3300542M</t>
  </si>
  <si>
    <t>MEDTRONIC_B3300542M</t>
  </si>
  <si>
    <t>SenSight DBS Lead 0.5MM 42CM Marker DBS</t>
  </si>
  <si>
    <t>PRODIGO1045008</t>
  </si>
  <si>
    <t>13_PRODIGO1045009</t>
  </si>
  <si>
    <t>B3301542</t>
  </si>
  <si>
    <t>MEDTRONIC_B3301542</t>
  </si>
  <si>
    <t>SenSight DBS Lead 1.5MM 42CM DBS</t>
  </si>
  <si>
    <t>PRODIGO1045009</t>
  </si>
  <si>
    <t>5_PRODIGO1045010</t>
  </si>
  <si>
    <t>B3301542M</t>
  </si>
  <si>
    <t>MEDTRONIC_B3301542M</t>
  </si>
  <si>
    <t>SenSight DBS Lead 1.5MM 42CM Marker DBS</t>
  </si>
  <si>
    <t>PRODIGO1045010</t>
  </si>
  <si>
    <t>19_PRODIGO1045011</t>
  </si>
  <si>
    <t>B3400040</t>
  </si>
  <si>
    <t>MEDTRONIC_B3400040</t>
  </si>
  <si>
    <t>SenSight DBS Extension 40CM DBS</t>
  </si>
  <si>
    <t>PRODIGO1045011</t>
  </si>
  <si>
    <t>10_PRODIGO1045012</t>
  </si>
  <si>
    <t>B3400040M</t>
  </si>
  <si>
    <t>MEDTRONIC_B3400040M</t>
  </si>
  <si>
    <t>SenSight DBS Extension 40CM MARKER DBS</t>
  </si>
  <si>
    <t>PRODIGO1045012</t>
  </si>
  <si>
    <t>6_PRODIGO1045013</t>
  </si>
  <si>
    <t>B3400060</t>
  </si>
  <si>
    <t>MEDTRONIC_B3400060</t>
  </si>
  <si>
    <t>SenSight DBS Extension 60CM DBS</t>
  </si>
  <si>
    <t>PRODIGO1045013</t>
  </si>
  <si>
    <t>14_PRODIGO1045014</t>
  </si>
  <si>
    <t>B3400060M</t>
  </si>
  <si>
    <t>MEDTRONIC_B3400060M</t>
  </si>
  <si>
    <t>SenSight DBS Extension 60CM MARKER DBS</t>
  </si>
  <si>
    <t>PRODIGO1045014</t>
  </si>
  <si>
    <t>7_PRODIGO1045015</t>
  </si>
  <si>
    <t>B3400095</t>
  </si>
  <si>
    <t>MEDTRONIC_B3400095</t>
  </si>
  <si>
    <t>SenSight DBS Extension 95CM DBS</t>
  </si>
  <si>
    <t>PRODIGO1045015</t>
  </si>
  <si>
    <t>11_PRODIGO1045016</t>
  </si>
  <si>
    <t>B3400095M</t>
  </si>
  <si>
    <t>MEDTRONIC_B3400095M</t>
  </si>
  <si>
    <t>SenSight DBS Extension 95CM MARKER DBS</t>
  </si>
  <si>
    <t>PRODIGO1045016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</si>
</sst>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/>
    <xf numFmtId="0" fontId="1" fillId="5" borderId="0" xfId="0" applyFont="1" applyFill="1" applyAlignment="1">
      <alignment horizontal="left"/>
    </xf>
    <xf numFmtId="49" fontId="1" fillId="4" borderId="0" xfId="0" applyNumberFormat="1" applyFont="1" applyFill="1"/>
    <xf numFmtId="0" fontId="1" fillId="4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49" fontId="1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/>
    </xf>
    <xf numFmtId="49" fontId="3" fillId="10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628C-1256-4FFD-8564-22AFF26A2645}">
  <dimension ref="A1:DC36"/>
  <sheetViews>
    <sheetView tabSelected="1" workbookViewId="0"/>
  </sheetViews>
  <sheetFormatPr defaultRowHeight="15" x14ac:dyDescent="0.25"/>
  <cols>
    <col min="8" max="8" width="34" bestFit="1" customWidth="1"/>
  </cols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1" t="s">
        <v>28</v>
      </c>
      <c r="AD1" s="7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8" t="s">
        <v>41</v>
      </c>
      <c r="AQ1" s="4" t="s">
        <v>42</v>
      </c>
      <c r="AR1" s="4" t="s">
        <v>43</v>
      </c>
      <c r="AS1" s="9" t="s">
        <v>44</v>
      </c>
      <c r="AT1" s="9" t="s">
        <v>45</v>
      </c>
      <c r="AU1" s="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4" t="s">
        <v>66</v>
      </c>
      <c r="BP1" s="4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6" t="s">
        <v>95</v>
      </c>
      <c r="CS1" s="6" t="s">
        <v>96</v>
      </c>
      <c r="CT1" s="11" t="s">
        <v>97</v>
      </c>
      <c r="CU1" s="6" t="s">
        <v>98</v>
      </c>
      <c r="CV1" s="6" t="s">
        <v>99</v>
      </c>
      <c r="CW1" s="12" t="s">
        <v>100</v>
      </c>
      <c r="CX1" s="13" t="s">
        <v>101</v>
      </c>
      <c r="CY1" s="12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</row>
    <row r="2" spans="1:107" x14ac:dyDescent="0.25">
      <c r="A2" s="15" t="s">
        <v>107</v>
      </c>
      <c r="B2" s="15" t="s">
        <v>108</v>
      </c>
      <c r="C2" s="15" t="s">
        <v>109</v>
      </c>
      <c r="D2" s="15" t="s">
        <v>110</v>
      </c>
      <c r="E2" s="15"/>
      <c r="F2" s="15" t="s">
        <v>110</v>
      </c>
      <c r="G2" s="15"/>
      <c r="H2" s="15" t="s">
        <v>111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 t="s">
        <v>112</v>
      </c>
      <c r="T2" s="15">
        <v>1</v>
      </c>
      <c r="U2" s="15">
        <v>5</v>
      </c>
      <c r="V2" s="15" t="s">
        <v>113</v>
      </c>
      <c r="W2" s="15" t="s">
        <v>114</v>
      </c>
      <c r="X2" s="15"/>
      <c r="Y2" s="15" t="s">
        <v>115</v>
      </c>
      <c r="Z2" s="15" t="s">
        <v>115</v>
      </c>
      <c r="AA2" s="15"/>
      <c r="AB2" s="15" t="s">
        <v>116</v>
      </c>
      <c r="AC2" s="15" t="s">
        <v>115</v>
      </c>
      <c r="AD2" s="15" t="s">
        <v>115</v>
      </c>
      <c r="AE2" s="15" t="s">
        <v>117</v>
      </c>
      <c r="AF2" s="15"/>
      <c r="AG2" s="15"/>
      <c r="AH2" s="15"/>
      <c r="AI2" s="15" t="s">
        <v>118</v>
      </c>
      <c r="AJ2" s="15"/>
      <c r="AK2" s="15">
        <v>64</v>
      </c>
      <c r="AL2" s="15" t="s">
        <v>119</v>
      </c>
      <c r="AM2" s="15"/>
      <c r="AN2" s="15"/>
      <c r="AO2" s="15"/>
      <c r="AP2" s="15"/>
      <c r="AQ2" s="15"/>
      <c r="AR2" s="15"/>
      <c r="AS2" s="15"/>
      <c r="AT2" s="15"/>
      <c r="AU2" s="15">
        <f t="shared" ref="AU2:AU36" si="0">LEN(SUBSTITUTE(AT2, ", "," "))</f>
        <v>0</v>
      </c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</row>
    <row r="3" spans="1:107" x14ac:dyDescent="0.25">
      <c r="A3" s="15" t="s">
        <v>107</v>
      </c>
      <c r="B3" s="15" t="s">
        <v>108</v>
      </c>
      <c r="C3" s="15" t="s">
        <v>109</v>
      </c>
      <c r="D3" s="15" t="s">
        <v>110</v>
      </c>
      <c r="E3" s="15"/>
      <c r="F3" s="15" t="s">
        <v>110</v>
      </c>
      <c r="G3" s="15"/>
      <c r="H3" s="15" t="s">
        <v>111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 t="s">
        <v>120</v>
      </c>
      <c r="T3" s="15">
        <v>2</v>
      </c>
      <c r="U3" s="15">
        <v>11</v>
      </c>
      <c r="V3" s="15" t="s">
        <v>121</v>
      </c>
      <c r="W3" s="15" t="s">
        <v>122</v>
      </c>
      <c r="X3" s="15"/>
      <c r="Y3" s="15" t="s">
        <v>123</v>
      </c>
      <c r="Z3" s="15">
        <v>116310</v>
      </c>
      <c r="AA3" s="15"/>
      <c r="AB3" s="15" t="s">
        <v>124</v>
      </c>
      <c r="AC3" s="15" t="s">
        <v>123</v>
      </c>
      <c r="AD3" s="15" t="s">
        <v>123</v>
      </c>
      <c r="AE3" s="15" t="s">
        <v>125</v>
      </c>
      <c r="AF3" s="15"/>
      <c r="AG3" s="15"/>
      <c r="AH3" s="15"/>
      <c r="AI3" s="15" t="s">
        <v>126</v>
      </c>
      <c r="AJ3" s="15"/>
      <c r="AK3" s="15">
        <v>421</v>
      </c>
      <c r="AL3" s="15" t="s">
        <v>127</v>
      </c>
      <c r="AM3" s="15"/>
      <c r="AN3" s="15"/>
      <c r="AO3" s="15"/>
      <c r="AP3" s="15"/>
      <c r="AQ3" s="15"/>
      <c r="AR3" s="15"/>
      <c r="AS3" s="15"/>
      <c r="AT3" s="15"/>
      <c r="AU3" s="15">
        <f t="shared" si="0"/>
        <v>0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</row>
    <row r="4" spans="1:107" x14ac:dyDescent="0.25">
      <c r="A4" s="15" t="s">
        <v>107</v>
      </c>
      <c r="B4" s="15" t="s">
        <v>108</v>
      </c>
      <c r="C4" s="15" t="s">
        <v>109</v>
      </c>
      <c r="D4" s="15" t="s">
        <v>110</v>
      </c>
      <c r="E4" s="15"/>
      <c r="F4" s="15" t="s">
        <v>110</v>
      </c>
      <c r="G4" s="15"/>
      <c r="H4" s="15" t="s">
        <v>111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 t="s">
        <v>128</v>
      </c>
      <c r="T4" s="15">
        <v>3</v>
      </c>
      <c r="U4" s="15">
        <v>6</v>
      </c>
      <c r="V4" s="15" t="s">
        <v>121</v>
      </c>
      <c r="W4" s="15" t="s">
        <v>122</v>
      </c>
      <c r="X4" s="15"/>
      <c r="Y4" s="15" t="s">
        <v>129</v>
      </c>
      <c r="Z4" s="15">
        <v>116320</v>
      </c>
      <c r="AA4" s="15"/>
      <c r="AB4" s="15" t="s">
        <v>124</v>
      </c>
      <c r="AC4" s="15" t="s">
        <v>129</v>
      </c>
      <c r="AD4" s="15" t="s">
        <v>129</v>
      </c>
      <c r="AE4" s="15" t="s">
        <v>130</v>
      </c>
      <c r="AF4" s="15"/>
      <c r="AG4" s="15"/>
      <c r="AH4" s="15"/>
      <c r="AI4" s="15" t="s">
        <v>131</v>
      </c>
      <c r="AJ4" s="15"/>
      <c r="AK4" s="15">
        <v>421</v>
      </c>
      <c r="AL4" s="15" t="s">
        <v>132</v>
      </c>
      <c r="AM4" s="15"/>
      <c r="AN4" s="15"/>
      <c r="AO4" s="15"/>
      <c r="AP4" s="15"/>
      <c r="AQ4" s="15"/>
      <c r="AR4" s="15"/>
      <c r="AS4" s="15"/>
      <c r="AT4" s="15"/>
      <c r="AU4" s="15">
        <f t="shared" si="0"/>
        <v>0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</row>
    <row r="5" spans="1:107" x14ac:dyDescent="0.25">
      <c r="A5" s="15" t="s">
        <v>107</v>
      </c>
      <c r="B5" s="15" t="s">
        <v>133</v>
      </c>
      <c r="C5" s="15" t="s">
        <v>134</v>
      </c>
      <c r="D5" s="15" t="s">
        <v>110</v>
      </c>
      <c r="E5" s="15"/>
      <c r="F5" s="15" t="s">
        <v>110</v>
      </c>
      <c r="G5" s="15"/>
      <c r="H5" s="15" t="s">
        <v>111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 t="s">
        <v>135</v>
      </c>
      <c r="T5" s="15">
        <v>4</v>
      </c>
      <c r="U5" s="15">
        <v>1</v>
      </c>
      <c r="V5" s="15" t="s">
        <v>136</v>
      </c>
      <c r="W5" s="15" t="s">
        <v>136</v>
      </c>
      <c r="X5" s="15"/>
      <c r="Y5" s="15" t="s">
        <v>137</v>
      </c>
      <c r="Z5" s="15" t="s">
        <v>137</v>
      </c>
      <c r="AA5" s="15"/>
      <c r="AB5" s="15" t="s">
        <v>138</v>
      </c>
      <c r="AC5" s="15" t="s">
        <v>137</v>
      </c>
      <c r="AD5" s="15" t="s">
        <v>137</v>
      </c>
      <c r="AE5" s="15" t="s">
        <v>139</v>
      </c>
      <c r="AF5" s="15"/>
      <c r="AG5" s="15"/>
      <c r="AH5" s="15"/>
      <c r="AI5" s="15" t="s">
        <v>140</v>
      </c>
      <c r="AJ5" s="15"/>
      <c r="AK5" s="15">
        <v>727</v>
      </c>
      <c r="AL5" s="15" t="s">
        <v>141</v>
      </c>
      <c r="AM5" s="15"/>
      <c r="AN5" s="15"/>
      <c r="AO5" s="15"/>
      <c r="AP5" s="15"/>
      <c r="AQ5" s="15"/>
      <c r="AR5" s="15"/>
      <c r="AS5" s="15"/>
      <c r="AT5" s="15"/>
      <c r="AU5" s="15">
        <f t="shared" si="0"/>
        <v>0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</row>
    <row r="6" spans="1:107" x14ac:dyDescent="0.25">
      <c r="A6" s="15" t="s">
        <v>107</v>
      </c>
      <c r="B6" s="15" t="s">
        <v>108</v>
      </c>
      <c r="C6" s="15" t="s">
        <v>109</v>
      </c>
      <c r="D6" s="15" t="s">
        <v>110</v>
      </c>
      <c r="E6" s="15"/>
      <c r="F6" s="15" t="s">
        <v>110</v>
      </c>
      <c r="G6" s="15"/>
      <c r="H6" s="15" t="s">
        <v>111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 t="s">
        <v>142</v>
      </c>
      <c r="T6" s="15">
        <v>5</v>
      </c>
      <c r="U6" s="15">
        <v>12</v>
      </c>
      <c r="V6" s="15" t="s">
        <v>143</v>
      </c>
      <c r="W6" s="15" t="s">
        <v>144</v>
      </c>
      <c r="X6" s="15"/>
      <c r="Y6" s="15" t="s">
        <v>145</v>
      </c>
      <c r="Z6" s="15">
        <v>3076</v>
      </c>
      <c r="AA6" s="15"/>
      <c r="AB6" s="15" t="s">
        <v>146</v>
      </c>
      <c r="AC6" s="15" t="s">
        <v>145</v>
      </c>
      <c r="AD6" s="15" t="s">
        <v>145</v>
      </c>
      <c r="AE6" s="15" t="s">
        <v>147</v>
      </c>
      <c r="AF6" s="15"/>
      <c r="AG6" s="15"/>
      <c r="AH6" s="15"/>
      <c r="AI6" s="15" t="s">
        <v>148</v>
      </c>
      <c r="AJ6" s="15"/>
      <c r="AK6" s="15">
        <v>1988</v>
      </c>
      <c r="AL6" s="15" t="s">
        <v>149</v>
      </c>
      <c r="AM6" s="15"/>
      <c r="AN6" s="15"/>
      <c r="AO6" s="15"/>
      <c r="AP6" s="15"/>
      <c r="AQ6" s="15"/>
      <c r="AR6" s="15"/>
      <c r="AS6" s="15"/>
      <c r="AT6" s="15"/>
      <c r="AU6" s="15">
        <f t="shared" si="0"/>
        <v>0</v>
      </c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</row>
    <row r="7" spans="1:107" x14ac:dyDescent="0.25">
      <c r="A7" s="15" t="s">
        <v>107</v>
      </c>
      <c r="B7" s="15" t="s">
        <v>108</v>
      </c>
      <c r="C7" s="15" t="s">
        <v>109</v>
      </c>
      <c r="D7" s="15" t="s">
        <v>110</v>
      </c>
      <c r="E7" s="15"/>
      <c r="F7" s="15" t="s">
        <v>110</v>
      </c>
      <c r="G7" s="15"/>
      <c r="H7" s="15" t="s">
        <v>111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 t="s">
        <v>150</v>
      </c>
      <c r="T7" s="15">
        <v>6</v>
      </c>
      <c r="U7" s="15">
        <v>1</v>
      </c>
      <c r="V7" s="15" t="s">
        <v>143</v>
      </c>
      <c r="W7" s="15" t="s">
        <v>144</v>
      </c>
      <c r="X7" s="15"/>
      <c r="Y7" s="15" t="s">
        <v>151</v>
      </c>
      <c r="Z7" s="15">
        <v>5007</v>
      </c>
      <c r="AA7" s="15"/>
      <c r="AB7" s="15" t="s">
        <v>146</v>
      </c>
      <c r="AC7" s="15" t="s">
        <v>151</v>
      </c>
      <c r="AD7" s="15" t="s">
        <v>151</v>
      </c>
      <c r="AE7" s="15" t="s">
        <v>152</v>
      </c>
      <c r="AF7" s="15"/>
      <c r="AG7" s="15"/>
      <c r="AH7" s="15"/>
      <c r="AI7" s="15" t="s">
        <v>153</v>
      </c>
      <c r="AJ7" s="15"/>
      <c r="AK7" s="15">
        <v>1988</v>
      </c>
      <c r="AL7" s="15" t="s">
        <v>154</v>
      </c>
      <c r="AM7" s="15"/>
      <c r="AN7" s="15"/>
      <c r="AO7" s="15"/>
      <c r="AP7" s="15"/>
      <c r="AQ7" s="15"/>
      <c r="AR7" s="15"/>
      <c r="AS7" s="15"/>
      <c r="AT7" s="15"/>
      <c r="AU7" s="15">
        <f t="shared" si="0"/>
        <v>0</v>
      </c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</row>
    <row r="8" spans="1:107" x14ac:dyDescent="0.25">
      <c r="A8" s="15" t="s">
        <v>107</v>
      </c>
      <c r="B8" s="15" t="s">
        <v>108</v>
      </c>
      <c r="C8" s="15" t="s">
        <v>109</v>
      </c>
      <c r="D8" s="15" t="s">
        <v>110</v>
      </c>
      <c r="E8" s="15"/>
      <c r="F8" s="15" t="s">
        <v>110</v>
      </c>
      <c r="G8" s="15"/>
      <c r="H8" s="15" t="s">
        <v>111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 t="s">
        <v>155</v>
      </c>
      <c r="T8" s="15">
        <v>7</v>
      </c>
      <c r="U8" s="15">
        <v>7</v>
      </c>
      <c r="V8" s="15" t="s">
        <v>143</v>
      </c>
      <c r="W8" s="15" t="s">
        <v>144</v>
      </c>
      <c r="X8" s="15"/>
      <c r="Y8" s="15" t="s">
        <v>156</v>
      </c>
      <c r="Z8" s="15">
        <v>5841</v>
      </c>
      <c r="AA8" s="15"/>
      <c r="AB8" s="15" t="s">
        <v>146</v>
      </c>
      <c r="AC8" s="15" t="s">
        <v>156</v>
      </c>
      <c r="AD8" s="15" t="s">
        <v>156</v>
      </c>
      <c r="AE8" s="15" t="s">
        <v>157</v>
      </c>
      <c r="AF8" s="15"/>
      <c r="AG8" s="15"/>
      <c r="AH8" s="15"/>
      <c r="AI8" s="15" t="s">
        <v>158</v>
      </c>
      <c r="AJ8" s="15"/>
      <c r="AK8" s="15">
        <v>1988</v>
      </c>
      <c r="AL8" s="15" t="s">
        <v>159</v>
      </c>
      <c r="AM8" s="15"/>
      <c r="AN8" s="15"/>
      <c r="AO8" s="15"/>
      <c r="AP8" s="15"/>
      <c r="AQ8" s="15"/>
      <c r="AR8" s="15"/>
      <c r="AS8" s="15"/>
      <c r="AT8" s="15"/>
      <c r="AU8" s="15">
        <f t="shared" si="0"/>
        <v>0</v>
      </c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</row>
    <row r="9" spans="1:107" x14ac:dyDescent="0.25">
      <c r="A9" s="15" t="s">
        <v>107</v>
      </c>
      <c r="B9" s="15" t="s">
        <v>108</v>
      </c>
      <c r="C9" s="15" t="s">
        <v>109</v>
      </c>
      <c r="D9" s="15" t="s">
        <v>110</v>
      </c>
      <c r="E9" s="15"/>
      <c r="F9" s="15" t="s">
        <v>110</v>
      </c>
      <c r="G9" s="15"/>
      <c r="H9" s="15" t="s">
        <v>111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 t="s">
        <v>160</v>
      </c>
      <c r="T9" s="15">
        <v>8</v>
      </c>
      <c r="U9" s="15">
        <v>8</v>
      </c>
      <c r="V9" s="15" t="s">
        <v>143</v>
      </c>
      <c r="W9" s="15" t="s">
        <v>144</v>
      </c>
      <c r="X9" s="15"/>
      <c r="Y9" s="15" t="s">
        <v>161</v>
      </c>
      <c r="Z9" s="15">
        <v>6001</v>
      </c>
      <c r="AA9" s="15"/>
      <c r="AB9" s="15" t="s">
        <v>146</v>
      </c>
      <c r="AC9" s="15" t="s">
        <v>161</v>
      </c>
      <c r="AD9" s="15" t="s">
        <v>161</v>
      </c>
      <c r="AE9" s="15" t="s">
        <v>162</v>
      </c>
      <c r="AF9" s="15"/>
      <c r="AG9" s="15"/>
      <c r="AH9" s="15"/>
      <c r="AI9" s="15" t="s">
        <v>163</v>
      </c>
      <c r="AJ9" s="15"/>
      <c r="AK9" s="15">
        <v>1988</v>
      </c>
      <c r="AL9" s="15" t="s">
        <v>164</v>
      </c>
      <c r="AM9" s="15"/>
      <c r="AN9" s="15"/>
      <c r="AO9" s="15"/>
      <c r="AP9" s="15"/>
      <c r="AQ9" s="15"/>
      <c r="AR9" s="15"/>
      <c r="AS9" s="15"/>
      <c r="AT9" s="15"/>
      <c r="AU9" s="15">
        <f t="shared" si="0"/>
        <v>0</v>
      </c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</row>
    <row r="10" spans="1:107" x14ac:dyDescent="0.25">
      <c r="A10" s="15" t="s">
        <v>107</v>
      </c>
      <c r="B10" s="15" t="s">
        <v>108</v>
      </c>
      <c r="C10" s="15" t="s">
        <v>109</v>
      </c>
      <c r="D10" s="15" t="s">
        <v>110</v>
      </c>
      <c r="E10" s="15"/>
      <c r="F10" s="15" t="s">
        <v>110</v>
      </c>
      <c r="G10" s="15"/>
      <c r="H10" s="15" t="s">
        <v>111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 t="s">
        <v>165</v>
      </c>
      <c r="T10" s="15">
        <v>9</v>
      </c>
      <c r="U10" s="15">
        <v>13</v>
      </c>
      <c r="V10" s="15" t="s">
        <v>143</v>
      </c>
      <c r="W10" s="15" t="s">
        <v>144</v>
      </c>
      <c r="X10" s="15"/>
      <c r="Y10" s="15" t="s">
        <v>166</v>
      </c>
      <c r="Z10" s="15">
        <v>7304</v>
      </c>
      <c r="AA10" s="15"/>
      <c r="AB10" s="15" t="s">
        <v>146</v>
      </c>
      <c r="AC10" s="15" t="s">
        <v>166</v>
      </c>
      <c r="AD10" s="15" t="s">
        <v>166</v>
      </c>
      <c r="AE10" s="15" t="s">
        <v>167</v>
      </c>
      <c r="AF10" s="15"/>
      <c r="AG10" s="15"/>
      <c r="AH10" s="15"/>
      <c r="AI10" s="15" t="s">
        <v>168</v>
      </c>
      <c r="AJ10" s="15"/>
      <c r="AK10" s="15">
        <v>1988</v>
      </c>
      <c r="AL10" s="15" t="s">
        <v>169</v>
      </c>
      <c r="AM10" s="15"/>
      <c r="AN10" s="15"/>
      <c r="AO10" s="15"/>
      <c r="AP10" s="15"/>
      <c r="AQ10" s="15"/>
      <c r="AR10" s="15"/>
      <c r="AS10" s="15"/>
      <c r="AT10" s="15"/>
      <c r="AU10" s="15">
        <f t="shared" si="0"/>
        <v>0</v>
      </c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</row>
    <row r="11" spans="1:107" x14ac:dyDescent="0.25">
      <c r="A11" s="15" t="s">
        <v>107</v>
      </c>
      <c r="B11" s="15" t="s">
        <v>108</v>
      </c>
      <c r="C11" s="15" t="s">
        <v>109</v>
      </c>
      <c r="D11" s="15" t="s">
        <v>110</v>
      </c>
      <c r="E11" s="15"/>
      <c r="F11" s="15" t="s">
        <v>110</v>
      </c>
      <c r="G11" s="15"/>
      <c r="H11" s="15" t="s">
        <v>111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 t="s">
        <v>170</v>
      </c>
      <c r="T11" s="15">
        <v>10</v>
      </c>
      <c r="U11" s="15">
        <v>14</v>
      </c>
      <c r="V11" s="15" t="s">
        <v>143</v>
      </c>
      <c r="W11" s="15" t="s">
        <v>144</v>
      </c>
      <c r="X11" s="15"/>
      <c r="Y11" s="15" t="s">
        <v>171</v>
      </c>
      <c r="Z11" s="15">
        <v>21286</v>
      </c>
      <c r="AA11" s="15"/>
      <c r="AB11" s="15" t="s">
        <v>146</v>
      </c>
      <c r="AC11" s="15" t="s">
        <v>171</v>
      </c>
      <c r="AD11" s="15" t="s">
        <v>171</v>
      </c>
      <c r="AE11" s="15" t="s">
        <v>172</v>
      </c>
      <c r="AF11" s="15"/>
      <c r="AG11" s="15"/>
      <c r="AH11" s="15"/>
      <c r="AI11" s="15" t="s">
        <v>173</v>
      </c>
      <c r="AJ11" s="15"/>
      <c r="AK11" s="15">
        <v>1988</v>
      </c>
      <c r="AL11" s="15" t="s">
        <v>174</v>
      </c>
      <c r="AM11" s="15"/>
      <c r="AN11" s="15"/>
      <c r="AO11" s="15"/>
      <c r="AP11" s="15"/>
      <c r="AQ11" s="15"/>
      <c r="AR11" s="15"/>
      <c r="AS11" s="15"/>
      <c r="AT11" s="15"/>
      <c r="AU11" s="15">
        <f t="shared" si="0"/>
        <v>0</v>
      </c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</row>
    <row r="12" spans="1:107" x14ac:dyDescent="0.25">
      <c r="A12" s="15" t="s">
        <v>107</v>
      </c>
      <c r="B12" s="15" t="s">
        <v>108</v>
      </c>
      <c r="C12" s="15" t="s">
        <v>109</v>
      </c>
      <c r="D12" s="15" t="s">
        <v>110</v>
      </c>
      <c r="E12" s="15"/>
      <c r="F12" s="15" t="s">
        <v>110</v>
      </c>
      <c r="G12" s="15"/>
      <c r="H12" s="15" t="s">
        <v>111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 t="s">
        <v>175</v>
      </c>
      <c r="T12" s="15">
        <v>11</v>
      </c>
      <c r="U12" s="15">
        <v>9</v>
      </c>
      <c r="V12" s="15" t="s">
        <v>143</v>
      </c>
      <c r="W12" s="15" t="s">
        <v>144</v>
      </c>
      <c r="X12" s="15"/>
      <c r="Y12" s="15" t="s">
        <v>176</v>
      </c>
      <c r="Z12" s="15">
        <v>21320</v>
      </c>
      <c r="AA12" s="15"/>
      <c r="AB12" s="15" t="s">
        <v>146</v>
      </c>
      <c r="AC12" s="15" t="s">
        <v>176</v>
      </c>
      <c r="AD12" s="15" t="s">
        <v>176</v>
      </c>
      <c r="AE12" s="15" t="s">
        <v>177</v>
      </c>
      <c r="AF12" s="15"/>
      <c r="AG12" s="15"/>
      <c r="AH12" s="15"/>
      <c r="AI12" s="15" t="s">
        <v>178</v>
      </c>
      <c r="AJ12" s="15"/>
      <c r="AK12" s="15">
        <v>1988</v>
      </c>
      <c r="AL12" s="15" t="s">
        <v>179</v>
      </c>
      <c r="AM12" s="15"/>
      <c r="AN12" s="15"/>
      <c r="AO12" s="15"/>
      <c r="AP12" s="15"/>
      <c r="AQ12" s="15"/>
      <c r="AR12" s="15"/>
      <c r="AS12" s="15"/>
      <c r="AT12" s="15"/>
      <c r="AU12" s="15">
        <f t="shared" si="0"/>
        <v>0</v>
      </c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</row>
    <row r="13" spans="1:107" x14ac:dyDescent="0.25">
      <c r="A13" s="15" t="s">
        <v>107</v>
      </c>
      <c r="B13" s="15" t="s">
        <v>108</v>
      </c>
      <c r="C13" s="15" t="s">
        <v>109</v>
      </c>
      <c r="D13" s="15" t="s">
        <v>110</v>
      </c>
      <c r="E13" s="15"/>
      <c r="F13" s="15" t="s">
        <v>110</v>
      </c>
      <c r="G13" s="15"/>
      <c r="H13" s="15" t="s">
        <v>111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 t="s">
        <v>180</v>
      </c>
      <c r="T13" s="15">
        <v>12</v>
      </c>
      <c r="U13" s="15">
        <v>3</v>
      </c>
      <c r="V13" s="15" t="s">
        <v>143</v>
      </c>
      <c r="W13" s="15" t="s">
        <v>144</v>
      </c>
      <c r="X13" s="15"/>
      <c r="Y13" s="15" t="s">
        <v>181</v>
      </c>
      <c r="Z13" s="15">
        <v>41526</v>
      </c>
      <c r="AA13" s="15"/>
      <c r="AB13" s="15" t="s">
        <v>146</v>
      </c>
      <c r="AC13" s="15" t="s">
        <v>181</v>
      </c>
      <c r="AD13" s="15" t="s">
        <v>181</v>
      </c>
      <c r="AE13" s="15" t="s">
        <v>182</v>
      </c>
      <c r="AF13" s="15"/>
      <c r="AG13" s="15"/>
      <c r="AH13" s="15"/>
      <c r="AI13" s="15" t="s">
        <v>183</v>
      </c>
      <c r="AJ13" s="15"/>
      <c r="AK13" s="15">
        <v>1988</v>
      </c>
      <c r="AL13" s="15" t="s">
        <v>184</v>
      </c>
      <c r="AM13" s="15"/>
      <c r="AN13" s="15"/>
      <c r="AO13" s="15"/>
      <c r="AP13" s="15"/>
      <c r="AQ13" s="15"/>
      <c r="AR13" s="15"/>
      <c r="AS13" s="15"/>
      <c r="AT13" s="15"/>
      <c r="AU13" s="15">
        <f t="shared" si="0"/>
        <v>0</v>
      </c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</row>
    <row r="14" spans="1:107" x14ac:dyDescent="0.25">
      <c r="A14" s="15" t="s">
        <v>107</v>
      </c>
      <c r="B14" s="15" t="s">
        <v>108</v>
      </c>
      <c r="C14" s="15" t="s">
        <v>109</v>
      </c>
      <c r="D14" s="15" t="s">
        <v>110</v>
      </c>
      <c r="E14" s="15"/>
      <c r="F14" s="15" t="s">
        <v>110</v>
      </c>
      <c r="G14" s="15"/>
      <c r="H14" s="15" t="s">
        <v>111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 t="s">
        <v>185</v>
      </c>
      <c r="T14" s="15">
        <v>13</v>
      </c>
      <c r="U14" s="15">
        <v>2</v>
      </c>
      <c r="V14" s="15" t="s">
        <v>143</v>
      </c>
      <c r="W14" s="15" t="s">
        <v>144</v>
      </c>
      <c r="X14" s="15"/>
      <c r="Y14" s="15" t="s">
        <v>186</v>
      </c>
      <c r="Z14" s="15">
        <v>75260</v>
      </c>
      <c r="AA14" s="15"/>
      <c r="AB14" s="15" t="s">
        <v>146</v>
      </c>
      <c r="AC14" s="15" t="s">
        <v>186</v>
      </c>
      <c r="AD14" s="15" t="s">
        <v>186</v>
      </c>
      <c r="AE14" s="15" t="s">
        <v>187</v>
      </c>
      <c r="AF14" s="15"/>
      <c r="AG14" s="15"/>
      <c r="AH14" s="15"/>
      <c r="AI14" s="15" t="s">
        <v>188</v>
      </c>
      <c r="AJ14" s="15"/>
      <c r="AK14" s="15">
        <v>1988</v>
      </c>
      <c r="AL14" s="15" t="s">
        <v>189</v>
      </c>
      <c r="AM14" s="15"/>
      <c r="AN14" s="15"/>
      <c r="AO14" s="15"/>
      <c r="AP14" s="15"/>
      <c r="AQ14" s="15"/>
      <c r="AR14" s="15"/>
      <c r="AS14" s="15"/>
      <c r="AT14" s="15"/>
      <c r="AU14" s="15">
        <f t="shared" si="0"/>
        <v>0</v>
      </c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</row>
    <row r="15" spans="1:107" x14ac:dyDescent="0.25">
      <c r="A15" s="15" t="s">
        <v>107</v>
      </c>
      <c r="B15" s="15" t="s">
        <v>133</v>
      </c>
      <c r="C15" s="15" t="s">
        <v>134</v>
      </c>
      <c r="D15" s="15" t="s">
        <v>110</v>
      </c>
      <c r="E15" s="15"/>
      <c r="F15" s="15" t="s">
        <v>110</v>
      </c>
      <c r="G15" s="15"/>
      <c r="H15" s="15" t="s">
        <v>111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 t="s">
        <v>190</v>
      </c>
      <c r="T15" s="15">
        <v>14</v>
      </c>
      <c r="U15" s="15">
        <v>15</v>
      </c>
      <c r="V15" s="15" t="s">
        <v>191</v>
      </c>
      <c r="W15" s="15" t="s">
        <v>192</v>
      </c>
      <c r="X15" s="15"/>
      <c r="Y15" s="15" t="s">
        <v>193</v>
      </c>
      <c r="Z15" s="15" t="s">
        <v>193</v>
      </c>
      <c r="AA15" s="15"/>
      <c r="AB15" s="15" t="s">
        <v>192</v>
      </c>
      <c r="AC15" s="15" t="s">
        <v>193</v>
      </c>
      <c r="AD15" s="15" t="s">
        <v>193</v>
      </c>
      <c r="AE15" s="15" t="s">
        <v>194</v>
      </c>
      <c r="AF15" s="15"/>
      <c r="AG15" s="15"/>
      <c r="AH15" s="15"/>
      <c r="AI15" s="15" t="s">
        <v>195</v>
      </c>
      <c r="AJ15" s="15"/>
      <c r="AK15" s="15">
        <v>2341</v>
      </c>
      <c r="AL15" s="15" t="s">
        <v>196</v>
      </c>
      <c r="AM15" s="15"/>
      <c r="AN15" s="15"/>
      <c r="AO15" s="15"/>
      <c r="AP15" s="15"/>
      <c r="AQ15" s="15"/>
      <c r="AR15" s="15"/>
      <c r="AS15" s="15"/>
      <c r="AT15" s="15"/>
      <c r="AU15" s="15">
        <f t="shared" si="0"/>
        <v>0</v>
      </c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</row>
    <row r="16" spans="1:107" x14ac:dyDescent="0.25">
      <c r="A16" s="15" t="s">
        <v>107</v>
      </c>
      <c r="B16" s="15" t="s">
        <v>108</v>
      </c>
      <c r="C16" s="15" t="s">
        <v>109</v>
      </c>
      <c r="D16" s="15" t="s">
        <v>110</v>
      </c>
      <c r="E16" s="15"/>
      <c r="F16" s="15" t="s">
        <v>110</v>
      </c>
      <c r="G16" s="15"/>
      <c r="H16" s="15" t="s">
        <v>111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 t="s">
        <v>197</v>
      </c>
      <c r="T16" s="15">
        <v>15</v>
      </c>
      <c r="U16" s="15">
        <v>15</v>
      </c>
      <c r="V16" s="15" t="s">
        <v>191</v>
      </c>
      <c r="W16" s="15" t="s">
        <v>192</v>
      </c>
      <c r="X16" s="15"/>
      <c r="Y16" s="15" t="s">
        <v>198</v>
      </c>
      <c r="Z16" s="15" t="s">
        <v>198</v>
      </c>
      <c r="AA16" s="15"/>
      <c r="AB16" s="15" t="s">
        <v>192</v>
      </c>
      <c r="AC16" s="15" t="s">
        <v>198</v>
      </c>
      <c r="AD16" s="15" t="s">
        <v>198</v>
      </c>
      <c r="AE16" s="15" t="s">
        <v>199</v>
      </c>
      <c r="AF16" s="15"/>
      <c r="AG16" s="15"/>
      <c r="AH16" s="15"/>
      <c r="AI16" s="15" t="s">
        <v>200</v>
      </c>
      <c r="AJ16" s="15"/>
      <c r="AK16" s="15">
        <v>2341</v>
      </c>
      <c r="AL16" s="15" t="s">
        <v>201</v>
      </c>
      <c r="AM16" s="15"/>
      <c r="AN16" s="15"/>
      <c r="AO16" s="15"/>
      <c r="AP16" s="15"/>
      <c r="AQ16" s="15"/>
      <c r="AR16" s="15"/>
      <c r="AS16" s="15"/>
      <c r="AT16" s="15"/>
      <c r="AU16" s="15">
        <f t="shared" si="0"/>
        <v>0</v>
      </c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</row>
    <row r="17" spans="1:107" x14ac:dyDescent="0.25">
      <c r="A17" s="15" t="s">
        <v>107</v>
      </c>
      <c r="B17" s="15" t="s">
        <v>108</v>
      </c>
      <c r="C17" s="15" t="s">
        <v>109</v>
      </c>
      <c r="D17" s="15" t="s">
        <v>110</v>
      </c>
      <c r="E17" s="15"/>
      <c r="F17" s="15" t="s">
        <v>110</v>
      </c>
      <c r="G17" s="15"/>
      <c r="H17" s="15" t="s">
        <v>111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 t="s">
        <v>202</v>
      </c>
      <c r="T17" s="15">
        <v>16</v>
      </c>
      <c r="U17" s="15">
        <v>4</v>
      </c>
      <c r="V17" s="15" t="s">
        <v>191</v>
      </c>
      <c r="W17" s="15" t="s">
        <v>192</v>
      </c>
      <c r="X17" s="15"/>
      <c r="Y17" s="15" t="s">
        <v>203</v>
      </c>
      <c r="Z17" s="15" t="s">
        <v>203</v>
      </c>
      <c r="AA17" s="15"/>
      <c r="AB17" s="15" t="s">
        <v>192</v>
      </c>
      <c r="AC17" s="15" t="s">
        <v>203</v>
      </c>
      <c r="AD17" s="15" t="s">
        <v>203</v>
      </c>
      <c r="AE17" s="15" t="s">
        <v>204</v>
      </c>
      <c r="AF17" s="15"/>
      <c r="AG17" s="15"/>
      <c r="AH17" s="15"/>
      <c r="AI17" s="15" t="s">
        <v>205</v>
      </c>
      <c r="AJ17" s="15"/>
      <c r="AK17" s="15">
        <v>2341</v>
      </c>
      <c r="AL17" s="15" t="s">
        <v>206</v>
      </c>
      <c r="AM17" s="15"/>
      <c r="AN17" s="15"/>
      <c r="AO17" s="15"/>
      <c r="AP17" s="15"/>
      <c r="AQ17" s="15"/>
      <c r="AR17" s="15"/>
      <c r="AS17" s="15"/>
      <c r="AT17" s="15"/>
      <c r="AU17" s="15">
        <f t="shared" si="0"/>
        <v>0</v>
      </c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</row>
    <row r="18" spans="1:107" x14ac:dyDescent="0.25">
      <c r="A18" s="15" t="s">
        <v>107</v>
      </c>
      <c r="B18" s="15" t="s">
        <v>108</v>
      </c>
      <c r="C18" s="15" t="s">
        <v>109</v>
      </c>
      <c r="D18" s="15" t="s">
        <v>110</v>
      </c>
      <c r="E18" s="15"/>
      <c r="F18" s="15" t="s">
        <v>110</v>
      </c>
      <c r="G18" s="15"/>
      <c r="H18" s="15" t="s">
        <v>111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 t="s">
        <v>207</v>
      </c>
      <c r="T18" s="15">
        <v>17</v>
      </c>
      <c r="U18" s="15">
        <v>16</v>
      </c>
      <c r="V18" s="15" t="s">
        <v>191</v>
      </c>
      <c r="W18" s="15" t="s">
        <v>192</v>
      </c>
      <c r="X18" s="15"/>
      <c r="Y18" s="15" t="s">
        <v>208</v>
      </c>
      <c r="Z18" s="15" t="s">
        <v>208</v>
      </c>
      <c r="AA18" s="15"/>
      <c r="AB18" s="15" t="s">
        <v>192</v>
      </c>
      <c r="AC18" s="15" t="s">
        <v>208</v>
      </c>
      <c r="AD18" s="15" t="s">
        <v>208</v>
      </c>
      <c r="AE18" s="15" t="s">
        <v>209</v>
      </c>
      <c r="AF18" s="15"/>
      <c r="AG18" s="15"/>
      <c r="AH18" s="15"/>
      <c r="AI18" s="15" t="s">
        <v>210</v>
      </c>
      <c r="AJ18" s="15"/>
      <c r="AK18" s="15">
        <v>2341</v>
      </c>
      <c r="AL18" s="15" t="s">
        <v>211</v>
      </c>
      <c r="AM18" s="15"/>
      <c r="AN18" s="15"/>
      <c r="AO18" s="15"/>
      <c r="AP18" s="15"/>
      <c r="AQ18" s="15"/>
      <c r="AR18" s="15"/>
      <c r="AS18" s="15"/>
      <c r="AT18" s="15"/>
      <c r="AU18" s="15">
        <f t="shared" si="0"/>
        <v>0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</row>
    <row r="19" spans="1:107" x14ac:dyDescent="0.25">
      <c r="A19" s="15" t="s">
        <v>107</v>
      </c>
      <c r="B19" s="15" t="s">
        <v>108</v>
      </c>
      <c r="C19" s="15" t="s">
        <v>109</v>
      </c>
      <c r="D19" s="15" t="s">
        <v>110</v>
      </c>
      <c r="E19" s="15"/>
      <c r="F19" s="15" t="s">
        <v>110</v>
      </c>
      <c r="G19" s="15"/>
      <c r="H19" s="15" t="s">
        <v>111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 t="s">
        <v>212</v>
      </c>
      <c r="T19" s="15">
        <v>18</v>
      </c>
      <c r="U19" s="15">
        <v>10</v>
      </c>
      <c r="V19" s="15" t="s">
        <v>191</v>
      </c>
      <c r="W19" s="15" t="s">
        <v>192</v>
      </c>
      <c r="X19" s="15"/>
      <c r="Y19" s="15" t="s">
        <v>213</v>
      </c>
      <c r="Z19" s="15" t="s">
        <v>213</v>
      </c>
      <c r="AA19" s="15"/>
      <c r="AB19" s="15" t="s">
        <v>192</v>
      </c>
      <c r="AC19" s="15" t="s">
        <v>213</v>
      </c>
      <c r="AD19" s="15" t="s">
        <v>213</v>
      </c>
      <c r="AE19" s="15" t="s">
        <v>214</v>
      </c>
      <c r="AF19" s="15"/>
      <c r="AG19" s="15"/>
      <c r="AH19" s="15"/>
      <c r="AI19" s="15" t="s">
        <v>215</v>
      </c>
      <c r="AJ19" s="15"/>
      <c r="AK19" s="15">
        <v>2341</v>
      </c>
      <c r="AL19" s="15" t="s">
        <v>216</v>
      </c>
      <c r="AM19" s="15"/>
      <c r="AN19" s="15"/>
      <c r="AO19" s="15"/>
      <c r="AP19" s="15"/>
      <c r="AQ19" s="15"/>
      <c r="AR19" s="15"/>
      <c r="AS19" s="15"/>
      <c r="AT19" s="15"/>
      <c r="AU19" s="15">
        <f t="shared" si="0"/>
        <v>0</v>
      </c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</row>
    <row r="20" spans="1:107" x14ac:dyDescent="0.25">
      <c r="A20" s="15" t="s">
        <v>107</v>
      </c>
      <c r="B20" s="15" t="s">
        <v>133</v>
      </c>
      <c r="C20" s="15" t="s">
        <v>134</v>
      </c>
      <c r="D20" s="15" t="s">
        <v>110</v>
      </c>
      <c r="E20" s="15"/>
      <c r="F20" s="15" t="s">
        <v>110</v>
      </c>
      <c r="G20" s="15"/>
      <c r="H20" s="15" t="s">
        <v>111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 t="s">
        <v>217</v>
      </c>
      <c r="T20" s="15">
        <v>19</v>
      </c>
      <c r="U20" s="15">
        <v>2</v>
      </c>
      <c r="V20" s="15" t="s">
        <v>218</v>
      </c>
      <c r="W20" s="15" t="s">
        <v>219</v>
      </c>
      <c r="X20" s="15"/>
      <c r="Y20" s="15" t="s">
        <v>220</v>
      </c>
      <c r="Z20" s="15" t="s">
        <v>220</v>
      </c>
      <c r="AA20" s="15"/>
      <c r="AB20" s="15" t="s">
        <v>219</v>
      </c>
      <c r="AC20" s="15" t="s">
        <v>220</v>
      </c>
      <c r="AD20" s="15" t="s">
        <v>220</v>
      </c>
      <c r="AE20" s="15" t="s">
        <v>221</v>
      </c>
      <c r="AF20" s="15"/>
      <c r="AG20" s="15"/>
      <c r="AH20" s="15"/>
      <c r="AI20" s="15" t="s">
        <v>222</v>
      </c>
      <c r="AJ20" s="15"/>
      <c r="AK20" s="15">
        <v>2361</v>
      </c>
      <c r="AL20" s="15" t="s">
        <v>223</v>
      </c>
      <c r="AM20" s="15"/>
      <c r="AN20" s="15"/>
      <c r="AO20" s="15"/>
      <c r="AP20" s="15"/>
      <c r="AQ20" s="15"/>
      <c r="AR20" s="15"/>
      <c r="AS20" s="15"/>
      <c r="AT20" s="15"/>
      <c r="AU20" s="15">
        <f t="shared" si="0"/>
        <v>0</v>
      </c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</row>
    <row r="21" spans="1:107" x14ac:dyDescent="0.25">
      <c r="A21" s="15" t="s">
        <v>107</v>
      </c>
      <c r="B21" s="15" t="s">
        <v>133</v>
      </c>
      <c r="C21" s="15" t="s">
        <v>134</v>
      </c>
      <c r="D21" s="15" t="s">
        <v>110</v>
      </c>
      <c r="E21" s="15"/>
      <c r="F21" s="15" t="s">
        <v>110</v>
      </c>
      <c r="G21" s="15"/>
      <c r="H21" s="15" t="s">
        <v>111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 t="s">
        <v>224</v>
      </c>
      <c r="T21" s="15">
        <v>20</v>
      </c>
      <c r="U21" s="15">
        <v>12</v>
      </c>
      <c r="V21" s="15" t="s">
        <v>218</v>
      </c>
      <c r="W21" s="15" t="s">
        <v>219</v>
      </c>
      <c r="X21" s="15"/>
      <c r="Y21" s="15" t="s">
        <v>225</v>
      </c>
      <c r="Z21" s="15" t="s">
        <v>225</v>
      </c>
      <c r="AA21" s="15"/>
      <c r="AB21" s="15" t="s">
        <v>219</v>
      </c>
      <c r="AC21" s="15" t="s">
        <v>225</v>
      </c>
      <c r="AD21" s="15" t="s">
        <v>225</v>
      </c>
      <c r="AE21" s="15" t="s">
        <v>226</v>
      </c>
      <c r="AF21" s="15"/>
      <c r="AG21" s="15"/>
      <c r="AH21" s="15"/>
      <c r="AI21" s="15" t="s">
        <v>227</v>
      </c>
      <c r="AJ21" s="15"/>
      <c r="AK21" s="15">
        <v>2361</v>
      </c>
      <c r="AL21" s="15" t="s">
        <v>228</v>
      </c>
      <c r="AM21" s="15"/>
      <c r="AN21" s="15"/>
      <c r="AO21" s="15"/>
      <c r="AP21" s="15"/>
      <c r="AQ21" s="15"/>
      <c r="AR21" s="15"/>
      <c r="AS21" s="15"/>
      <c r="AT21" s="15"/>
      <c r="AU21" s="15">
        <f t="shared" si="0"/>
        <v>0</v>
      </c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</row>
    <row r="22" spans="1:107" x14ac:dyDescent="0.25">
      <c r="A22" s="15" t="s">
        <v>107</v>
      </c>
      <c r="B22" s="15" t="s">
        <v>133</v>
      </c>
      <c r="C22" s="15" t="s">
        <v>134</v>
      </c>
      <c r="D22" s="15" t="s">
        <v>110</v>
      </c>
      <c r="E22" s="15"/>
      <c r="F22" s="15" t="s">
        <v>110</v>
      </c>
      <c r="G22" s="15"/>
      <c r="H22" s="15" t="s">
        <v>111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 t="s">
        <v>229</v>
      </c>
      <c r="T22" s="15">
        <v>21</v>
      </c>
      <c r="U22" s="15">
        <v>16</v>
      </c>
      <c r="V22" s="15" t="s">
        <v>218</v>
      </c>
      <c r="W22" s="15" t="s">
        <v>219</v>
      </c>
      <c r="X22" s="15"/>
      <c r="Y22" s="15" t="s">
        <v>230</v>
      </c>
      <c r="Z22" s="15" t="s">
        <v>230</v>
      </c>
      <c r="AA22" s="15"/>
      <c r="AB22" s="15" t="s">
        <v>219</v>
      </c>
      <c r="AC22" s="15" t="s">
        <v>230</v>
      </c>
      <c r="AD22" s="15" t="s">
        <v>230</v>
      </c>
      <c r="AE22" s="15" t="s">
        <v>231</v>
      </c>
      <c r="AF22" s="15"/>
      <c r="AG22" s="15"/>
      <c r="AH22" s="15"/>
      <c r="AI22" s="15" t="s">
        <v>232</v>
      </c>
      <c r="AJ22" s="15"/>
      <c r="AK22" s="15">
        <v>2361</v>
      </c>
      <c r="AL22" s="15" t="s">
        <v>233</v>
      </c>
      <c r="AM22" s="15"/>
      <c r="AN22" s="15"/>
      <c r="AO22" s="15"/>
      <c r="AP22" s="15"/>
      <c r="AQ22" s="15"/>
      <c r="AR22" s="15"/>
      <c r="AS22" s="15"/>
      <c r="AT22" s="15"/>
      <c r="AU22" s="15">
        <f t="shared" si="0"/>
        <v>0</v>
      </c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</row>
    <row r="23" spans="1:107" x14ac:dyDescent="0.25">
      <c r="A23" s="15" t="s">
        <v>107</v>
      </c>
      <c r="B23" s="15" t="s">
        <v>133</v>
      </c>
      <c r="C23" s="15" t="s">
        <v>134</v>
      </c>
      <c r="D23" s="15" t="s">
        <v>110</v>
      </c>
      <c r="E23" s="15"/>
      <c r="F23" s="15" t="s">
        <v>110</v>
      </c>
      <c r="G23" s="15"/>
      <c r="H23" s="15" t="s">
        <v>111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 t="s">
        <v>234</v>
      </c>
      <c r="T23" s="15">
        <v>22</v>
      </c>
      <c r="U23" s="15">
        <v>3</v>
      </c>
      <c r="V23" s="15" t="s">
        <v>218</v>
      </c>
      <c r="W23" s="15" t="s">
        <v>219</v>
      </c>
      <c r="X23" s="15"/>
      <c r="Y23" s="15" t="s">
        <v>235</v>
      </c>
      <c r="Z23" s="15" t="s">
        <v>235</v>
      </c>
      <c r="AA23" s="15"/>
      <c r="AB23" s="15" t="s">
        <v>219</v>
      </c>
      <c r="AC23" s="15" t="s">
        <v>235</v>
      </c>
      <c r="AD23" s="15" t="s">
        <v>235</v>
      </c>
      <c r="AE23" s="15" t="s">
        <v>236</v>
      </c>
      <c r="AF23" s="15"/>
      <c r="AG23" s="15"/>
      <c r="AH23" s="15"/>
      <c r="AI23" s="15" t="s">
        <v>237</v>
      </c>
      <c r="AJ23" s="15"/>
      <c r="AK23" s="15">
        <v>2361</v>
      </c>
      <c r="AL23" s="15" t="s">
        <v>238</v>
      </c>
      <c r="AM23" s="15"/>
      <c r="AN23" s="15"/>
      <c r="AO23" s="15"/>
      <c r="AP23" s="15"/>
      <c r="AQ23" s="15"/>
      <c r="AR23" s="15"/>
      <c r="AS23" s="15"/>
      <c r="AT23" s="15"/>
      <c r="AU23" s="15">
        <f t="shared" si="0"/>
        <v>0</v>
      </c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</row>
    <row r="24" spans="1:107" x14ac:dyDescent="0.25">
      <c r="A24" s="15" t="s">
        <v>107</v>
      </c>
      <c r="B24" s="15" t="s">
        <v>133</v>
      </c>
      <c r="C24" s="15" t="s">
        <v>134</v>
      </c>
      <c r="D24" s="15" t="s">
        <v>110</v>
      </c>
      <c r="E24" s="15"/>
      <c r="F24" s="15" t="s">
        <v>110</v>
      </c>
      <c r="G24" s="15"/>
      <c r="H24" s="15" t="s">
        <v>111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 t="s">
        <v>239</v>
      </c>
      <c r="T24" s="15">
        <v>23</v>
      </c>
      <c r="U24" s="15">
        <v>8</v>
      </c>
      <c r="V24" s="15" t="s">
        <v>218</v>
      </c>
      <c r="W24" s="15" t="s">
        <v>219</v>
      </c>
      <c r="X24" s="15"/>
      <c r="Y24" s="15" t="s">
        <v>240</v>
      </c>
      <c r="Z24" s="15" t="s">
        <v>240</v>
      </c>
      <c r="AA24" s="15"/>
      <c r="AB24" s="15" t="s">
        <v>219</v>
      </c>
      <c r="AC24" s="15" t="s">
        <v>240</v>
      </c>
      <c r="AD24" s="15" t="s">
        <v>240</v>
      </c>
      <c r="AE24" s="15" t="s">
        <v>241</v>
      </c>
      <c r="AF24" s="15"/>
      <c r="AG24" s="15"/>
      <c r="AH24" s="15"/>
      <c r="AI24" s="15" t="s">
        <v>242</v>
      </c>
      <c r="AJ24" s="15"/>
      <c r="AK24" s="15">
        <v>2361</v>
      </c>
      <c r="AL24" s="15" t="s">
        <v>243</v>
      </c>
      <c r="AM24" s="15"/>
      <c r="AN24" s="15"/>
      <c r="AO24" s="15"/>
      <c r="AP24" s="15"/>
      <c r="AQ24" s="15"/>
      <c r="AR24" s="15"/>
      <c r="AS24" s="15"/>
      <c r="AT24" s="15"/>
      <c r="AU24" s="15">
        <f t="shared" si="0"/>
        <v>0</v>
      </c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</row>
    <row r="25" spans="1:107" x14ac:dyDescent="0.25">
      <c r="A25" s="15" t="s">
        <v>107</v>
      </c>
      <c r="B25" s="15" t="s">
        <v>133</v>
      </c>
      <c r="C25" s="15" t="s">
        <v>134</v>
      </c>
      <c r="D25" s="15" t="s">
        <v>110</v>
      </c>
      <c r="E25" s="15"/>
      <c r="F25" s="15" t="s">
        <v>110</v>
      </c>
      <c r="G25" s="15"/>
      <c r="H25" s="15" t="s">
        <v>111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 t="s">
        <v>244</v>
      </c>
      <c r="T25" s="15">
        <v>24</v>
      </c>
      <c r="U25" s="15">
        <v>4</v>
      </c>
      <c r="V25" s="15" t="s">
        <v>218</v>
      </c>
      <c r="W25" s="15" t="s">
        <v>219</v>
      </c>
      <c r="X25" s="15"/>
      <c r="Y25" s="15" t="s">
        <v>245</v>
      </c>
      <c r="Z25" s="15" t="s">
        <v>245</v>
      </c>
      <c r="AA25" s="15"/>
      <c r="AB25" s="15" t="s">
        <v>219</v>
      </c>
      <c r="AC25" s="15" t="s">
        <v>245</v>
      </c>
      <c r="AD25" s="15" t="s">
        <v>245</v>
      </c>
      <c r="AE25" s="15" t="s">
        <v>246</v>
      </c>
      <c r="AF25" s="15"/>
      <c r="AG25" s="15"/>
      <c r="AH25" s="15"/>
      <c r="AI25" s="15" t="s">
        <v>247</v>
      </c>
      <c r="AJ25" s="15"/>
      <c r="AK25" s="15">
        <v>2361</v>
      </c>
      <c r="AL25" s="15" t="s">
        <v>248</v>
      </c>
      <c r="AM25" s="15"/>
      <c r="AN25" s="15"/>
      <c r="AO25" s="15"/>
      <c r="AP25" s="15"/>
      <c r="AQ25" s="15"/>
      <c r="AR25" s="15"/>
      <c r="AS25" s="15"/>
      <c r="AT25" s="15"/>
      <c r="AU25" s="15">
        <f t="shared" si="0"/>
        <v>0</v>
      </c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</row>
    <row r="26" spans="1:107" x14ac:dyDescent="0.25">
      <c r="A26" s="15" t="s">
        <v>107</v>
      </c>
      <c r="B26" s="15" t="s">
        <v>133</v>
      </c>
      <c r="C26" s="15" t="s">
        <v>134</v>
      </c>
      <c r="D26" s="15" t="s">
        <v>110</v>
      </c>
      <c r="E26" s="15"/>
      <c r="F26" s="15" t="s">
        <v>110</v>
      </c>
      <c r="G26" s="15"/>
      <c r="H26" s="15" t="s">
        <v>111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 t="s">
        <v>112</v>
      </c>
      <c r="T26" s="15">
        <v>25</v>
      </c>
      <c r="U26" s="15">
        <v>17</v>
      </c>
      <c r="V26" s="15" t="s">
        <v>218</v>
      </c>
      <c r="W26" s="15" t="s">
        <v>219</v>
      </c>
      <c r="X26" s="15"/>
      <c r="Y26" s="15" t="s">
        <v>249</v>
      </c>
      <c r="Z26" s="15" t="s">
        <v>249</v>
      </c>
      <c r="AA26" s="15"/>
      <c r="AB26" s="15" t="s">
        <v>219</v>
      </c>
      <c r="AC26" s="15" t="s">
        <v>249</v>
      </c>
      <c r="AD26" s="15" t="s">
        <v>249</v>
      </c>
      <c r="AE26" s="15" t="s">
        <v>250</v>
      </c>
      <c r="AF26" s="15"/>
      <c r="AG26" s="15"/>
      <c r="AH26" s="15"/>
      <c r="AI26" s="15" t="s">
        <v>251</v>
      </c>
      <c r="AJ26" s="15"/>
      <c r="AK26" s="15">
        <v>2361</v>
      </c>
      <c r="AL26" s="15" t="s">
        <v>252</v>
      </c>
      <c r="AM26" s="15"/>
      <c r="AN26" s="15"/>
      <c r="AO26" s="15"/>
      <c r="AP26" s="15"/>
      <c r="AQ26" s="15"/>
      <c r="AR26" s="15"/>
      <c r="AS26" s="15"/>
      <c r="AT26" s="15"/>
      <c r="AU26" s="15">
        <f t="shared" si="0"/>
        <v>0</v>
      </c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</row>
    <row r="27" spans="1:107" x14ac:dyDescent="0.25">
      <c r="A27" s="15" t="s">
        <v>107</v>
      </c>
      <c r="B27" s="15" t="s">
        <v>133</v>
      </c>
      <c r="C27" s="15" t="s">
        <v>134</v>
      </c>
      <c r="D27" s="15" t="s">
        <v>110</v>
      </c>
      <c r="E27" s="15"/>
      <c r="F27" s="15" t="s">
        <v>110</v>
      </c>
      <c r="G27" s="15"/>
      <c r="H27" s="15" t="s">
        <v>111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 t="s">
        <v>253</v>
      </c>
      <c r="T27" s="15">
        <v>26</v>
      </c>
      <c r="U27" s="15">
        <v>9</v>
      </c>
      <c r="V27" s="15" t="s">
        <v>218</v>
      </c>
      <c r="W27" s="15" t="s">
        <v>219</v>
      </c>
      <c r="X27" s="15"/>
      <c r="Y27" s="15" t="s">
        <v>254</v>
      </c>
      <c r="Z27" s="15" t="s">
        <v>254</v>
      </c>
      <c r="AA27" s="15"/>
      <c r="AB27" s="15" t="s">
        <v>219</v>
      </c>
      <c r="AC27" s="15" t="s">
        <v>254</v>
      </c>
      <c r="AD27" s="15" t="s">
        <v>254</v>
      </c>
      <c r="AE27" s="15" t="s">
        <v>255</v>
      </c>
      <c r="AF27" s="15"/>
      <c r="AG27" s="15"/>
      <c r="AH27" s="15"/>
      <c r="AI27" s="15" t="s">
        <v>256</v>
      </c>
      <c r="AJ27" s="15"/>
      <c r="AK27" s="15">
        <v>2361</v>
      </c>
      <c r="AL27" s="15" t="s">
        <v>257</v>
      </c>
      <c r="AM27" s="15"/>
      <c r="AN27" s="15"/>
      <c r="AO27" s="15"/>
      <c r="AP27" s="15"/>
      <c r="AQ27" s="15"/>
      <c r="AR27" s="15"/>
      <c r="AS27" s="15"/>
      <c r="AT27" s="15"/>
      <c r="AU27" s="15">
        <f t="shared" si="0"/>
        <v>0</v>
      </c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</row>
    <row r="28" spans="1:107" x14ac:dyDescent="0.25">
      <c r="A28" s="15" t="s">
        <v>107</v>
      </c>
      <c r="B28" s="15" t="s">
        <v>133</v>
      </c>
      <c r="C28" s="15" t="s">
        <v>134</v>
      </c>
      <c r="D28" s="15" t="s">
        <v>110</v>
      </c>
      <c r="E28" s="15"/>
      <c r="F28" s="15" t="s">
        <v>110</v>
      </c>
      <c r="G28" s="15"/>
      <c r="H28" s="15" t="s">
        <v>111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 t="s">
        <v>258</v>
      </c>
      <c r="T28" s="15">
        <v>27</v>
      </c>
      <c r="U28" s="15">
        <v>18</v>
      </c>
      <c r="V28" s="15" t="s">
        <v>218</v>
      </c>
      <c r="W28" s="15" t="s">
        <v>219</v>
      </c>
      <c r="X28" s="15"/>
      <c r="Y28" s="15" t="s">
        <v>259</v>
      </c>
      <c r="Z28" s="15" t="s">
        <v>259</v>
      </c>
      <c r="AA28" s="15"/>
      <c r="AB28" s="15" t="s">
        <v>219</v>
      </c>
      <c r="AC28" s="15" t="s">
        <v>259</v>
      </c>
      <c r="AD28" s="15" t="s">
        <v>259</v>
      </c>
      <c r="AE28" s="15" t="s">
        <v>260</v>
      </c>
      <c r="AF28" s="15"/>
      <c r="AG28" s="15"/>
      <c r="AH28" s="15"/>
      <c r="AI28" s="15" t="s">
        <v>261</v>
      </c>
      <c r="AJ28" s="15"/>
      <c r="AK28" s="15">
        <v>2361</v>
      </c>
      <c r="AL28" s="15" t="s">
        <v>262</v>
      </c>
      <c r="AM28" s="15"/>
      <c r="AN28" s="15"/>
      <c r="AO28" s="15"/>
      <c r="AP28" s="15"/>
      <c r="AQ28" s="15"/>
      <c r="AR28" s="15"/>
      <c r="AS28" s="15"/>
      <c r="AT28" s="15"/>
      <c r="AU28" s="15">
        <f t="shared" si="0"/>
        <v>0</v>
      </c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</row>
    <row r="29" spans="1:107" x14ac:dyDescent="0.25">
      <c r="A29" s="15" t="s">
        <v>107</v>
      </c>
      <c r="B29" s="15" t="s">
        <v>133</v>
      </c>
      <c r="C29" s="15" t="s">
        <v>134</v>
      </c>
      <c r="D29" s="15" t="s">
        <v>110</v>
      </c>
      <c r="E29" s="15"/>
      <c r="F29" s="15" t="s">
        <v>110</v>
      </c>
      <c r="G29" s="15"/>
      <c r="H29" s="15" t="s">
        <v>111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 t="s">
        <v>263</v>
      </c>
      <c r="T29" s="15">
        <v>28</v>
      </c>
      <c r="U29" s="15">
        <v>13</v>
      </c>
      <c r="V29" s="15" t="s">
        <v>218</v>
      </c>
      <c r="W29" s="15" t="s">
        <v>219</v>
      </c>
      <c r="X29" s="15"/>
      <c r="Y29" s="15" t="s">
        <v>264</v>
      </c>
      <c r="Z29" s="15" t="s">
        <v>264</v>
      </c>
      <c r="AA29" s="15"/>
      <c r="AB29" s="15" t="s">
        <v>219</v>
      </c>
      <c r="AC29" s="15" t="s">
        <v>264</v>
      </c>
      <c r="AD29" s="15" t="s">
        <v>264</v>
      </c>
      <c r="AE29" s="15" t="s">
        <v>265</v>
      </c>
      <c r="AF29" s="15"/>
      <c r="AG29" s="15"/>
      <c r="AH29" s="15"/>
      <c r="AI29" s="15" t="s">
        <v>266</v>
      </c>
      <c r="AJ29" s="15"/>
      <c r="AK29" s="15">
        <v>2361</v>
      </c>
      <c r="AL29" s="15" t="s">
        <v>267</v>
      </c>
      <c r="AM29" s="15"/>
      <c r="AN29" s="15"/>
      <c r="AO29" s="15"/>
      <c r="AP29" s="15"/>
      <c r="AQ29" s="15"/>
      <c r="AR29" s="15"/>
      <c r="AS29" s="15"/>
      <c r="AT29" s="15"/>
      <c r="AU29" s="15">
        <f t="shared" si="0"/>
        <v>0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</row>
    <row r="30" spans="1:107" x14ac:dyDescent="0.25">
      <c r="A30" s="15" t="s">
        <v>107</v>
      </c>
      <c r="B30" s="15" t="s">
        <v>133</v>
      </c>
      <c r="C30" s="15" t="s">
        <v>134</v>
      </c>
      <c r="D30" s="15" t="s">
        <v>110</v>
      </c>
      <c r="E30" s="15"/>
      <c r="F30" s="15" t="s">
        <v>110</v>
      </c>
      <c r="G30" s="15"/>
      <c r="H30" s="15" t="s">
        <v>111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 t="s">
        <v>268</v>
      </c>
      <c r="T30" s="15">
        <v>29</v>
      </c>
      <c r="U30" s="15">
        <v>5</v>
      </c>
      <c r="V30" s="15" t="s">
        <v>218</v>
      </c>
      <c r="W30" s="15" t="s">
        <v>219</v>
      </c>
      <c r="X30" s="15"/>
      <c r="Y30" s="15" t="s">
        <v>269</v>
      </c>
      <c r="Z30" s="15" t="s">
        <v>269</v>
      </c>
      <c r="AA30" s="15"/>
      <c r="AB30" s="15" t="s">
        <v>219</v>
      </c>
      <c r="AC30" s="15" t="s">
        <v>269</v>
      </c>
      <c r="AD30" s="15" t="s">
        <v>269</v>
      </c>
      <c r="AE30" s="15" t="s">
        <v>270</v>
      </c>
      <c r="AF30" s="15"/>
      <c r="AG30" s="15"/>
      <c r="AH30" s="15"/>
      <c r="AI30" s="15" t="s">
        <v>271</v>
      </c>
      <c r="AJ30" s="15"/>
      <c r="AK30" s="15">
        <v>2361</v>
      </c>
      <c r="AL30" s="15" t="s">
        <v>272</v>
      </c>
      <c r="AM30" s="15"/>
      <c r="AN30" s="15"/>
      <c r="AO30" s="15"/>
      <c r="AP30" s="15"/>
      <c r="AQ30" s="15"/>
      <c r="AR30" s="15"/>
      <c r="AS30" s="15"/>
      <c r="AT30" s="15"/>
      <c r="AU30" s="15">
        <f t="shared" si="0"/>
        <v>0</v>
      </c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</row>
    <row r="31" spans="1:107" x14ac:dyDescent="0.25">
      <c r="A31" s="15" t="s">
        <v>107</v>
      </c>
      <c r="B31" s="15" t="s">
        <v>133</v>
      </c>
      <c r="C31" s="15" t="s">
        <v>134</v>
      </c>
      <c r="D31" s="15" t="s">
        <v>110</v>
      </c>
      <c r="E31" s="15"/>
      <c r="F31" s="15" t="s">
        <v>110</v>
      </c>
      <c r="G31" s="15"/>
      <c r="H31" s="15" t="s">
        <v>111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 t="s">
        <v>273</v>
      </c>
      <c r="T31" s="15">
        <v>30</v>
      </c>
      <c r="U31" s="15">
        <v>19</v>
      </c>
      <c r="V31" s="15" t="s">
        <v>218</v>
      </c>
      <c r="W31" s="15" t="s">
        <v>219</v>
      </c>
      <c r="X31" s="15"/>
      <c r="Y31" s="15" t="s">
        <v>274</v>
      </c>
      <c r="Z31" s="15" t="s">
        <v>274</v>
      </c>
      <c r="AA31" s="15"/>
      <c r="AB31" s="15" t="s">
        <v>219</v>
      </c>
      <c r="AC31" s="15" t="s">
        <v>274</v>
      </c>
      <c r="AD31" s="15" t="s">
        <v>274</v>
      </c>
      <c r="AE31" s="15" t="s">
        <v>275</v>
      </c>
      <c r="AF31" s="15"/>
      <c r="AG31" s="15"/>
      <c r="AH31" s="15"/>
      <c r="AI31" s="15" t="s">
        <v>276</v>
      </c>
      <c r="AJ31" s="15"/>
      <c r="AK31" s="15">
        <v>2361</v>
      </c>
      <c r="AL31" s="15" t="s">
        <v>277</v>
      </c>
      <c r="AM31" s="15"/>
      <c r="AN31" s="15"/>
      <c r="AO31" s="15"/>
      <c r="AP31" s="15"/>
      <c r="AQ31" s="15"/>
      <c r="AR31" s="15"/>
      <c r="AS31" s="15"/>
      <c r="AT31" s="15"/>
      <c r="AU31" s="15">
        <f t="shared" si="0"/>
        <v>0</v>
      </c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</row>
    <row r="32" spans="1:107" x14ac:dyDescent="0.25">
      <c r="A32" s="15" t="s">
        <v>107</v>
      </c>
      <c r="B32" s="15" t="s">
        <v>133</v>
      </c>
      <c r="C32" s="15" t="s">
        <v>134</v>
      </c>
      <c r="D32" s="15" t="s">
        <v>110</v>
      </c>
      <c r="E32" s="15"/>
      <c r="F32" s="15" t="s">
        <v>110</v>
      </c>
      <c r="G32" s="15"/>
      <c r="H32" s="15" t="s">
        <v>111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 t="s">
        <v>278</v>
      </c>
      <c r="T32" s="15">
        <v>31</v>
      </c>
      <c r="U32" s="15">
        <v>10</v>
      </c>
      <c r="V32" s="15" t="s">
        <v>218</v>
      </c>
      <c r="W32" s="15" t="s">
        <v>219</v>
      </c>
      <c r="X32" s="15"/>
      <c r="Y32" s="15" t="s">
        <v>279</v>
      </c>
      <c r="Z32" s="15" t="s">
        <v>279</v>
      </c>
      <c r="AA32" s="15"/>
      <c r="AB32" s="15" t="s">
        <v>219</v>
      </c>
      <c r="AC32" s="15" t="s">
        <v>279</v>
      </c>
      <c r="AD32" s="15" t="s">
        <v>279</v>
      </c>
      <c r="AE32" s="15" t="s">
        <v>280</v>
      </c>
      <c r="AF32" s="15"/>
      <c r="AG32" s="15"/>
      <c r="AH32" s="15"/>
      <c r="AI32" s="15" t="s">
        <v>281</v>
      </c>
      <c r="AJ32" s="15"/>
      <c r="AK32" s="15">
        <v>2361</v>
      </c>
      <c r="AL32" s="15" t="s">
        <v>282</v>
      </c>
      <c r="AM32" s="15"/>
      <c r="AN32" s="15"/>
      <c r="AO32" s="15"/>
      <c r="AP32" s="15"/>
      <c r="AQ32" s="15"/>
      <c r="AR32" s="15"/>
      <c r="AS32" s="15"/>
      <c r="AT32" s="15"/>
      <c r="AU32" s="15">
        <f t="shared" si="0"/>
        <v>0</v>
      </c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</row>
    <row r="33" spans="1:107" x14ac:dyDescent="0.25">
      <c r="A33" s="15" t="s">
        <v>107</v>
      </c>
      <c r="B33" s="15" t="s">
        <v>133</v>
      </c>
      <c r="C33" s="15" t="s">
        <v>134</v>
      </c>
      <c r="D33" s="15" t="s">
        <v>110</v>
      </c>
      <c r="E33" s="15"/>
      <c r="F33" s="15" t="s">
        <v>110</v>
      </c>
      <c r="G33" s="15"/>
      <c r="H33" s="15" t="s">
        <v>111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 t="s">
        <v>283</v>
      </c>
      <c r="T33" s="15">
        <v>32</v>
      </c>
      <c r="U33" s="15">
        <v>6</v>
      </c>
      <c r="V33" s="15" t="s">
        <v>218</v>
      </c>
      <c r="W33" s="15" t="s">
        <v>219</v>
      </c>
      <c r="X33" s="15"/>
      <c r="Y33" s="15" t="s">
        <v>284</v>
      </c>
      <c r="Z33" s="15" t="s">
        <v>284</v>
      </c>
      <c r="AA33" s="15"/>
      <c r="AB33" s="15" t="s">
        <v>219</v>
      </c>
      <c r="AC33" s="15" t="s">
        <v>284</v>
      </c>
      <c r="AD33" s="15" t="s">
        <v>284</v>
      </c>
      <c r="AE33" s="15" t="s">
        <v>285</v>
      </c>
      <c r="AF33" s="15"/>
      <c r="AG33" s="15"/>
      <c r="AH33" s="15"/>
      <c r="AI33" s="15" t="s">
        <v>286</v>
      </c>
      <c r="AJ33" s="15"/>
      <c r="AK33" s="15">
        <v>2361</v>
      </c>
      <c r="AL33" s="15" t="s">
        <v>287</v>
      </c>
      <c r="AM33" s="15"/>
      <c r="AN33" s="15"/>
      <c r="AO33" s="15"/>
      <c r="AP33" s="15"/>
      <c r="AQ33" s="15"/>
      <c r="AR33" s="15"/>
      <c r="AS33" s="15"/>
      <c r="AT33" s="15"/>
      <c r="AU33" s="15">
        <f t="shared" si="0"/>
        <v>0</v>
      </c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</row>
    <row r="34" spans="1:107" x14ac:dyDescent="0.25">
      <c r="A34" s="15" t="s">
        <v>107</v>
      </c>
      <c r="B34" s="15" t="s">
        <v>133</v>
      </c>
      <c r="C34" s="15" t="s">
        <v>134</v>
      </c>
      <c r="D34" s="15" t="s">
        <v>110</v>
      </c>
      <c r="E34" s="15"/>
      <c r="F34" s="15" t="s">
        <v>110</v>
      </c>
      <c r="G34" s="15"/>
      <c r="H34" s="15" t="s">
        <v>111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 t="s">
        <v>288</v>
      </c>
      <c r="T34" s="15">
        <v>33</v>
      </c>
      <c r="U34" s="15">
        <v>14</v>
      </c>
      <c r="V34" s="15" t="s">
        <v>218</v>
      </c>
      <c r="W34" s="15" t="s">
        <v>219</v>
      </c>
      <c r="X34" s="15"/>
      <c r="Y34" s="15" t="s">
        <v>289</v>
      </c>
      <c r="Z34" s="15" t="s">
        <v>289</v>
      </c>
      <c r="AA34" s="15"/>
      <c r="AB34" s="15" t="s">
        <v>219</v>
      </c>
      <c r="AC34" s="15" t="s">
        <v>289</v>
      </c>
      <c r="AD34" s="15" t="s">
        <v>289</v>
      </c>
      <c r="AE34" s="15" t="s">
        <v>290</v>
      </c>
      <c r="AF34" s="15"/>
      <c r="AG34" s="15"/>
      <c r="AH34" s="15"/>
      <c r="AI34" s="15" t="s">
        <v>291</v>
      </c>
      <c r="AJ34" s="15"/>
      <c r="AK34" s="15">
        <v>2361</v>
      </c>
      <c r="AL34" s="15" t="s">
        <v>292</v>
      </c>
      <c r="AM34" s="15"/>
      <c r="AN34" s="15"/>
      <c r="AO34" s="15"/>
      <c r="AP34" s="15"/>
      <c r="AQ34" s="15"/>
      <c r="AR34" s="15"/>
      <c r="AS34" s="15"/>
      <c r="AT34" s="15"/>
      <c r="AU34" s="15">
        <f t="shared" si="0"/>
        <v>0</v>
      </c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</row>
    <row r="35" spans="1:107" x14ac:dyDescent="0.25">
      <c r="A35" s="15" t="s">
        <v>107</v>
      </c>
      <c r="B35" s="15" t="s">
        <v>133</v>
      </c>
      <c r="C35" s="15" t="s">
        <v>134</v>
      </c>
      <c r="D35" s="15" t="s">
        <v>110</v>
      </c>
      <c r="E35" s="15"/>
      <c r="F35" s="15" t="s">
        <v>110</v>
      </c>
      <c r="G35" s="15"/>
      <c r="H35" s="15" t="s">
        <v>111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 t="s">
        <v>293</v>
      </c>
      <c r="T35" s="15">
        <v>34</v>
      </c>
      <c r="U35" s="15">
        <v>7</v>
      </c>
      <c r="V35" s="15" t="s">
        <v>218</v>
      </c>
      <c r="W35" s="15" t="s">
        <v>219</v>
      </c>
      <c r="X35" s="15"/>
      <c r="Y35" s="15" t="s">
        <v>294</v>
      </c>
      <c r="Z35" s="15" t="s">
        <v>294</v>
      </c>
      <c r="AA35" s="15"/>
      <c r="AB35" s="15" t="s">
        <v>219</v>
      </c>
      <c r="AC35" s="15" t="s">
        <v>294</v>
      </c>
      <c r="AD35" s="15" t="s">
        <v>294</v>
      </c>
      <c r="AE35" s="15" t="s">
        <v>295</v>
      </c>
      <c r="AF35" s="15"/>
      <c r="AG35" s="15"/>
      <c r="AH35" s="15"/>
      <c r="AI35" s="15" t="s">
        <v>296</v>
      </c>
      <c r="AJ35" s="15"/>
      <c r="AK35" s="15">
        <v>2361</v>
      </c>
      <c r="AL35" s="15" t="s">
        <v>297</v>
      </c>
      <c r="AM35" s="15"/>
      <c r="AN35" s="15"/>
      <c r="AO35" s="15"/>
      <c r="AP35" s="15"/>
      <c r="AQ35" s="15"/>
      <c r="AR35" s="15"/>
      <c r="AS35" s="15"/>
      <c r="AT35" s="15"/>
      <c r="AU35" s="15">
        <f t="shared" si="0"/>
        <v>0</v>
      </c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</row>
    <row r="36" spans="1:107" x14ac:dyDescent="0.25">
      <c r="A36" s="15" t="s">
        <v>107</v>
      </c>
      <c r="B36" s="15" t="s">
        <v>133</v>
      </c>
      <c r="C36" s="15" t="s">
        <v>134</v>
      </c>
      <c r="D36" s="15" t="s">
        <v>110</v>
      </c>
      <c r="E36" s="15"/>
      <c r="F36" s="15" t="s">
        <v>110</v>
      </c>
      <c r="G36" s="15"/>
      <c r="H36" s="15" t="s">
        <v>111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 t="s">
        <v>298</v>
      </c>
      <c r="T36" s="15">
        <v>35</v>
      </c>
      <c r="U36" s="15">
        <v>11</v>
      </c>
      <c r="V36" s="15" t="s">
        <v>218</v>
      </c>
      <c r="W36" s="15" t="s">
        <v>219</v>
      </c>
      <c r="X36" s="15"/>
      <c r="Y36" s="15" t="s">
        <v>299</v>
      </c>
      <c r="Z36" s="15" t="s">
        <v>299</v>
      </c>
      <c r="AA36" s="15"/>
      <c r="AB36" s="15" t="s">
        <v>219</v>
      </c>
      <c r="AC36" s="15" t="s">
        <v>299</v>
      </c>
      <c r="AD36" s="15" t="s">
        <v>299</v>
      </c>
      <c r="AE36" s="15" t="s">
        <v>300</v>
      </c>
      <c r="AF36" s="15"/>
      <c r="AG36" s="15"/>
      <c r="AH36" s="15"/>
      <c r="AI36" s="15" t="s">
        <v>301</v>
      </c>
      <c r="AJ36" s="15"/>
      <c r="AK36" s="15">
        <v>2361</v>
      </c>
      <c r="AL36" s="15" t="s">
        <v>302</v>
      </c>
      <c r="AM36" s="15"/>
      <c r="AN36" s="15"/>
      <c r="AO36" s="15"/>
      <c r="AP36" s="15"/>
      <c r="AQ36" s="15"/>
      <c r="AR36" s="15"/>
      <c r="AS36" s="15"/>
      <c r="AT36" s="15"/>
      <c r="AU36" s="15">
        <f t="shared" si="0"/>
        <v>0</v>
      </c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Shobha AJ</cp:lastModifiedBy>
  <dcterms:created xsi:type="dcterms:W3CDTF">2023-04-27T14:52:03Z</dcterms:created>
  <dcterms:modified xsi:type="dcterms:W3CDTF">2023-04-27T14:54:18Z</dcterms:modified>
</cp:coreProperties>
</file>