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VAR" sheetId="1" r:id="rId1"/>
    <sheet name="GS146 Track" sheetId="2" r:id="rId2"/>
    <sheet name="Sheet2" sheetId="3" r:id="rId3"/>
  </sheets>
  <definedNames>
    <definedName name="_xlnm._FilterDatabase" localSheetId="0" hidden="1">VAR!$A$1:$M$175</definedName>
  </definedNames>
  <calcPr calcId="145621"/>
</workbook>
</file>

<file path=xl/calcChain.xml><?xml version="1.0" encoding="utf-8"?>
<calcChain xmlns="http://schemas.openxmlformats.org/spreadsheetml/2006/main">
  <c r="E136" i="1" l="1"/>
  <c r="E25" i="2" l="1"/>
  <c r="F16" i="2"/>
  <c r="F15" i="2" l="1"/>
  <c r="E23" i="2" l="1"/>
  <c r="E39" i="1" l="1"/>
  <c r="E114" i="1" l="1"/>
  <c r="D114" i="1"/>
  <c r="E52" i="1"/>
</calcChain>
</file>

<file path=xl/sharedStrings.xml><?xml version="1.0" encoding="utf-8"?>
<sst xmlns="http://schemas.openxmlformats.org/spreadsheetml/2006/main" count="940" uniqueCount="250">
  <si>
    <t>Batch</t>
  </si>
  <si>
    <t>Supplier</t>
  </si>
  <si>
    <t>Start date</t>
  </si>
  <si>
    <t>End Date</t>
  </si>
  <si>
    <t>GS58</t>
  </si>
  <si>
    <t>Mix batch</t>
  </si>
  <si>
    <t>Delivered</t>
  </si>
  <si>
    <t>GS59</t>
  </si>
  <si>
    <t>GS60</t>
  </si>
  <si>
    <t>GS61</t>
  </si>
  <si>
    <t>Eclass mapping Johnson and Johnson</t>
  </si>
  <si>
    <t>GS62</t>
  </si>
  <si>
    <t>GS52</t>
  </si>
  <si>
    <t>GS53</t>
  </si>
  <si>
    <t>GS54</t>
  </si>
  <si>
    <t>GS55</t>
  </si>
  <si>
    <t>GS56</t>
  </si>
  <si>
    <t>GS57</t>
  </si>
  <si>
    <t>Month</t>
  </si>
  <si>
    <t>GS63</t>
  </si>
  <si>
    <t>Stone computers</t>
  </si>
  <si>
    <t>Thermofisher</t>
  </si>
  <si>
    <t>GS64_B1</t>
  </si>
  <si>
    <t>GS64_B2</t>
  </si>
  <si>
    <t>GS65</t>
  </si>
  <si>
    <t>GS66</t>
  </si>
  <si>
    <t>Eclass mapping Smith and Nephew</t>
  </si>
  <si>
    <t>GS67</t>
  </si>
  <si>
    <t>Invoiced - October- 2016</t>
  </si>
  <si>
    <t>Invoiced - November- 2016</t>
  </si>
  <si>
    <t>GS68</t>
  </si>
  <si>
    <t>GS69</t>
  </si>
  <si>
    <t>GS70</t>
  </si>
  <si>
    <t>GS71</t>
  </si>
  <si>
    <t>GS72</t>
  </si>
  <si>
    <t>GS73</t>
  </si>
  <si>
    <t>GS74</t>
  </si>
  <si>
    <t>GS75</t>
  </si>
  <si>
    <t>Categorization - Mix batch</t>
  </si>
  <si>
    <t>Status</t>
  </si>
  <si>
    <t>Categorization - VWR_Fisher</t>
  </si>
  <si>
    <t>Cleansing</t>
  </si>
  <si>
    <t>Worked By</t>
  </si>
  <si>
    <t>Dr. BSW</t>
  </si>
  <si>
    <t>Task</t>
  </si>
  <si>
    <t>Categorization</t>
  </si>
  <si>
    <t>Eclass</t>
  </si>
  <si>
    <t>GS76</t>
  </si>
  <si>
    <t>GS77</t>
  </si>
  <si>
    <t>GS78</t>
  </si>
  <si>
    <t>GS79</t>
  </si>
  <si>
    <t>GS80</t>
  </si>
  <si>
    <t>GS81</t>
  </si>
  <si>
    <t>GS82</t>
  </si>
  <si>
    <t>GS83</t>
  </si>
  <si>
    <t>GS84</t>
  </si>
  <si>
    <t>GS87</t>
  </si>
  <si>
    <t>GS88</t>
  </si>
  <si>
    <t>Number of
 products</t>
  </si>
  <si>
    <t>Completed
 Items</t>
  </si>
  <si>
    <t>Number
 of days</t>
  </si>
  <si>
    <t>Invoiced - December- 2016</t>
  </si>
  <si>
    <t>Laboratory Equipment Spares and Accessories items</t>
  </si>
  <si>
    <t>Top10</t>
  </si>
  <si>
    <t>New Batch and Task</t>
  </si>
  <si>
    <t>Multi</t>
  </si>
  <si>
    <t>Categorization - Review</t>
  </si>
  <si>
    <t>Invoiced - January - 2017</t>
  </si>
  <si>
    <t>Description updation</t>
  </si>
  <si>
    <t>Smith and Nephew missing descriptions</t>
  </si>
  <si>
    <t>ZimmerBiomet</t>
  </si>
  <si>
    <t>GS85_B1</t>
  </si>
  <si>
    <t>GS85_B2</t>
  </si>
  <si>
    <t>GS85_B3</t>
  </si>
  <si>
    <t>Invoiced - February - 2017</t>
  </si>
  <si>
    <t>GS86_B2</t>
  </si>
  <si>
    <t>Cambridge Bio</t>
  </si>
  <si>
    <t>RS Components</t>
  </si>
  <si>
    <t>Codex</t>
  </si>
  <si>
    <t>ASAP</t>
  </si>
  <si>
    <t>XMA Items</t>
  </si>
  <si>
    <t>GS89</t>
  </si>
  <si>
    <t>GS90</t>
  </si>
  <si>
    <t>GS91</t>
  </si>
  <si>
    <t>GS92</t>
  </si>
  <si>
    <t>GS93</t>
  </si>
  <si>
    <t>GS94</t>
  </si>
  <si>
    <t>GS95</t>
  </si>
  <si>
    <t>GS96</t>
  </si>
  <si>
    <t>GS97</t>
  </si>
  <si>
    <t>GS98</t>
  </si>
  <si>
    <t>GS99</t>
  </si>
  <si>
    <t>GS100</t>
  </si>
  <si>
    <t>GS101</t>
  </si>
  <si>
    <t>GS102</t>
  </si>
  <si>
    <t>GS103</t>
  </si>
  <si>
    <t>GS104</t>
  </si>
  <si>
    <t>GS105</t>
  </si>
  <si>
    <t>GS106</t>
  </si>
  <si>
    <t>GS107</t>
  </si>
  <si>
    <t>GS108</t>
  </si>
  <si>
    <t>GS109</t>
  </si>
  <si>
    <t>MRO Team</t>
  </si>
  <si>
    <t>Miltenyi Biotec</t>
  </si>
  <si>
    <t>Centralisation</t>
  </si>
  <si>
    <t>Synthes</t>
  </si>
  <si>
    <t>On HOLD/ file completed</t>
  </si>
  <si>
    <t>Invoiced - March- 2017</t>
  </si>
  <si>
    <t>OffCatItems_SearchBetterData</t>
  </si>
  <si>
    <t>GS-92 Records – 34646 for April</t>
  </si>
  <si>
    <t>Boston</t>
  </si>
  <si>
    <t xml:space="preserve">Sigma </t>
  </si>
  <si>
    <t>Mix Vendor</t>
  </si>
  <si>
    <t>Office Depot mappings</t>
  </si>
  <si>
    <t xml:space="preserve">5204- Dr BSW/1261 MRO Team </t>
  </si>
  <si>
    <t xml:space="preserve">MRO Team </t>
  </si>
  <si>
    <t xml:space="preserve">1802- Dr BSW/149 MRO Team </t>
  </si>
  <si>
    <t>No File for GS96</t>
  </si>
  <si>
    <t>-</t>
  </si>
  <si>
    <t>Consturction suppliers</t>
  </si>
  <si>
    <t>Invoiced - April- 2017</t>
  </si>
  <si>
    <t>Medtronic</t>
  </si>
  <si>
    <t>HC Team</t>
  </si>
  <si>
    <t>Categorization - VWR</t>
  </si>
  <si>
    <t>Invoiced - May- 2017</t>
  </si>
  <si>
    <t>51166-Dr BSW/ 1197-HC Team</t>
  </si>
  <si>
    <t>Davies and Chadwicks</t>
  </si>
  <si>
    <t xml:space="preserve">5940- Dr BSW/398 HC Team </t>
  </si>
  <si>
    <t xml:space="preserve">906- Dr BSW/265 HC Team </t>
  </si>
  <si>
    <t>Thorlabs</t>
  </si>
  <si>
    <t>FisherScientific</t>
  </si>
  <si>
    <t xml:space="preserve">24071- Dr BSW/735 MRO Team </t>
  </si>
  <si>
    <t>Mixed</t>
  </si>
  <si>
    <t xml:space="preserve">2758- Dr BSW/1340 MRO Team </t>
  </si>
  <si>
    <t xml:space="preserve">2016- Dr BSW/6231 MRO Team </t>
  </si>
  <si>
    <t>GS110</t>
  </si>
  <si>
    <t>GS111</t>
  </si>
  <si>
    <t>GS112</t>
  </si>
  <si>
    <t>GS113</t>
  </si>
  <si>
    <t>GS114</t>
  </si>
  <si>
    <t>GS115</t>
  </si>
  <si>
    <t>GS116</t>
  </si>
  <si>
    <t>GS117</t>
  </si>
  <si>
    <t>GS118</t>
  </si>
  <si>
    <t>GS119</t>
  </si>
  <si>
    <t>GS120</t>
  </si>
  <si>
    <t>GS121</t>
  </si>
  <si>
    <t>GS122</t>
  </si>
  <si>
    <t>GS123</t>
  </si>
  <si>
    <t>GS124</t>
  </si>
  <si>
    <t>GS125</t>
  </si>
  <si>
    <t>Merck</t>
  </si>
  <si>
    <t xml:space="preserve">1370- Dr BSW/4714 MRO Team </t>
  </si>
  <si>
    <t>Invoiced - June- 2017</t>
  </si>
  <si>
    <t>WIP</t>
  </si>
  <si>
    <t>Generon SW1-198739</t>
  </si>
  <si>
    <t>Generon SW2-280378</t>
  </si>
  <si>
    <t>17814-Dr BSW/ 6665-HC Team</t>
  </si>
  <si>
    <t>7802 - Dr BSW</t>
  </si>
  <si>
    <t>Mapping and eCl@ss</t>
  </si>
  <si>
    <t>Number of</t>
  </si>
  <si>
    <t>products</t>
  </si>
  <si>
    <t>Completed</t>
  </si>
  <si>
    <t>Items</t>
  </si>
  <si>
    <t>Number</t>
  </si>
  <si>
    <t>of days</t>
  </si>
  <si>
    <t>Received Date</t>
  </si>
  <si>
    <t>Delivered Date</t>
  </si>
  <si>
    <t>Invoiced - July- 2017</t>
  </si>
  <si>
    <t>Dr. BSW -45571/MRO Team -37669</t>
  </si>
  <si>
    <t>Invoiced - August- 2017</t>
  </si>
  <si>
    <t>Invoiced - September- 2017</t>
  </si>
  <si>
    <t>GS126</t>
  </si>
  <si>
    <t>GS127</t>
  </si>
  <si>
    <t>GS128</t>
  </si>
  <si>
    <t>GS129</t>
  </si>
  <si>
    <t>GS130</t>
  </si>
  <si>
    <t>GS131</t>
  </si>
  <si>
    <t>GS132</t>
  </si>
  <si>
    <t>GS133</t>
  </si>
  <si>
    <t>GS134</t>
  </si>
  <si>
    <t>GS135</t>
  </si>
  <si>
    <t>GS136</t>
  </si>
  <si>
    <t>MRO Team/HC/BSW</t>
  </si>
  <si>
    <t>Invoiced - October- 2017</t>
  </si>
  <si>
    <t>Invoiced - November- 2017</t>
  </si>
  <si>
    <t>Invoiced - December- 2017</t>
  </si>
  <si>
    <t>HC/BSW</t>
  </si>
  <si>
    <t>Invoiced - January - 2018</t>
  </si>
  <si>
    <t>BSW</t>
  </si>
  <si>
    <t>Invoiced - February - 2018</t>
  </si>
  <si>
    <t>Categorization/Eclass</t>
  </si>
  <si>
    <t>HC/BSW -5247</t>
  </si>
  <si>
    <t>MRO Team-1819/BSW-510</t>
  </si>
  <si>
    <t>GS137</t>
  </si>
  <si>
    <t>Invoiced - March- 2018</t>
  </si>
  <si>
    <t>GS138</t>
  </si>
  <si>
    <t>GS139</t>
  </si>
  <si>
    <t>GS140</t>
  </si>
  <si>
    <t>Invoiced - April- 2018</t>
  </si>
  <si>
    <t>GS141</t>
  </si>
  <si>
    <t>BSW-3663/MRO-1732/353</t>
  </si>
  <si>
    <t>GS142</t>
  </si>
  <si>
    <t>GS143</t>
  </si>
  <si>
    <t>MRO</t>
  </si>
  <si>
    <t>Generon SW-198739</t>
  </si>
  <si>
    <t>BSW-6971/MRO-11795</t>
  </si>
  <si>
    <t>Invoiced - May- 2018</t>
  </si>
  <si>
    <t>GS144</t>
  </si>
  <si>
    <t>Invoiced - June- 2018</t>
  </si>
  <si>
    <t>GS145</t>
  </si>
  <si>
    <t>GS146</t>
  </si>
  <si>
    <t>UnCategorized</t>
  </si>
  <si>
    <t>Invoiced - July- 2018</t>
  </si>
  <si>
    <t>GS147</t>
  </si>
  <si>
    <t>wip</t>
  </si>
  <si>
    <t>GS113- SW2 – Priority1</t>
  </si>
  <si>
    <t>E-Class</t>
  </si>
  <si>
    <t>B5 - 32910</t>
  </si>
  <si>
    <t>GS148</t>
  </si>
  <si>
    <t>26,27,30,31,1,2,3,13,14,16,17,20,23,24, 27, 28,29,30,31</t>
  </si>
  <si>
    <t>Invoiced - August- 2018</t>
  </si>
  <si>
    <t>On Hand</t>
  </si>
  <si>
    <t>Pending</t>
  </si>
  <si>
    <t>2,3,4,5,6,7,11,12</t>
  </si>
  <si>
    <t>GS149</t>
  </si>
  <si>
    <t>GS150</t>
  </si>
  <si>
    <t xml:space="preserve">Aug-2018 VAR Details: </t>
  </si>
  <si>
    <t xml:space="preserve">Note: </t>
  </si>
  <si>
    <t>File</t>
  </si>
  <si>
    <t>Number of  products</t>
  </si>
  <si>
    <t>Remarks</t>
  </si>
  <si>
    <t>Work in Progress</t>
  </si>
  <si>
    <t>GS-149</t>
  </si>
  <si>
    <t>B1-40972</t>
  </si>
  <si>
    <t>GS-150</t>
  </si>
  <si>
    <r>
      <t>1.</t>
    </r>
    <r>
      <rPr>
        <sz val="7"/>
        <color rgb="FF1F497D"/>
        <rFont val="Times New Roman"/>
        <family val="1"/>
      </rPr>
      <t xml:space="preserve">       </t>
    </r>
    <r>
      <rPr>
        <sz val="11"/>
        <color rgb="FF1F497D"/>
        <rFont val="Calibri"/>
        <family val="2"/>
        <scheme val="minor"/>
      </rPr>
      <t>Below is the pending/remaining status of the Batch on hand:</t>
    </r>
  </si>
  <si>
    <t>Invoiced - September- 2018</t>
  </si>
  <si>
    <t>8,9,10,11,12,15-20</t>
  </si>
  <si>
    <t>Sep -2,3,4,5,6,7,11, Oct-15-26</t>
  </si>
  <si>
    <t>Aug - 3,14,16,17,20,24,27,28,29,30,31</t>
  </si>
  <si>
    <t>GS151</t>
  </si>
  <si>
    <t>Invoiced - October- 2018</t>
  </si>
  <si>
    <t>GS152</t>
  </si>
  <si>
    <t>Oct.. 29, 30 Nov 7</t>
  </si>
  <si>
    <t>GS153</t>
  </si>
  <si>
    <t>GS154</t>
  </si>
  <si>
    <t>For Dec</t>
  </si>
  <si>
    <t>Invoiced - November- 2018</t>
  </si>
  <si>
    <t>Eclass + GTIN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</si>
</sst>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color rgb="FF1F497D"/>
      <name val="Calibri"/>
      <family val="2"/>
    </font>
    <font>
      <sz val="11"/>
      <color rgb="FF1F497D"/>
      <name val="Calibri"/>
      <family val="2"/>
      <scheme val="minor"/>
    </font>
    <font>
      <sz val="7"/>
      <color rgb="FF1F497D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5" fontId="5" fillId="2" borderId="1" xfId="0" applyNumberFormat="1" applyFont="1" applyFill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3" borderId="1" xfId="0" applyFont="1" applyFill="1" applyBorder="1" applyAlignment="1"/>
    <xf numFmtId="0" fontId="5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5" fontId="4" fillId="0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17" fontId="0" fillId="0" borderId="0" xfId="0" applyNumberFormat="1"/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5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5" fontId="14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 indent="5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14" fontId="5" fillId="0" borderId="0" xfId="0" applyNumberFormat="1" applyFont="1"/>
    <xf numFmtId="15" fontId="5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15" fontId="4" fillId="0" borderId="2" xfId="0" applyNumberFormat="1" applyFont="1" applyBorder="1" applyAlignment="1">
      <alignment horizontal="center" vertical="center"/>
    </xf>
    <xf numFmtId="15" fontId="4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9"/>
  <sheetViews>
    <sheetView tabSelected="1" zoomScale="90" zoomScaleNormal="90" workbookViewId="0">
      <pane ySplit="1" topLeftCell="A128" activePane="bottomLeft" state="frozen"/>
      <selection pane="bottomLeft" activeCell="E134" sqref="E134"/>
    </sheetView>
  </sheetViews>
  <sheetFormatPr defaultRowHeight="12.75" customHeight="1" x14ac:dyDescent="0.2"/>
  <cols>
    <col min="1" max="1" width="9.42578125" style="1" customWidth="1"/>
    <col min="2" max="2" width="16.5703125" style="1" customWidth="1"/>
    <col min="3" max="3" width="20.42578125" style="1" bestFit="1" customWidth="1"/>
    <col min="4" max="4" width="15" style="1" bestFit="1" customWidth="1"/>
    <col min="5" max="5" width="15.42578125" style="1" bestFit="1" customWidth="1"/>
    <col min="6" max="6" width="10.140625" style="1" customWidth="1"/>
    <col min="7" max="7" width="14.7109375" style="4" customWidth="1"/>
    <col min="8" max="8" width="18.85546875" style="4" customWidth="1"/>
    <col min="9" max="9" width="11.42578125" style="4" customWidth="1"/>
    <col min="10" max="10" width="15.5703125" style="4" customWidth="1"/>
    <col min="11" max="11" width="25.5703125" style="50" bestFit="1" customWidth="1"/>
    <col min="12" max="12" width="32.7109375" style="4" bestFit="1" customWidth="1"/>
    <col min="13" max="13" width="13.42578125" style="1" customWidth="1"/>
    <col min="14" max="16384" width="9.140625" style="1"/>
  </cols>
  <sheetData>
    <row r="1" spans="1:12" s="3" customFormat="1" ht="25.5" x14ac:dyDescent="0.2">
      <c r="A1" s="2" t="s">
        <v>0</v>
      </c>
      <c r="B1" s="2" t="s">
        <v>1</v>
      </c>
      <c r="C1" s="2" t="s">
        <v>44</v>
      </c>
      <c r="D1" s="15" t="s">
        <v>58</v>
      </c>
      <c r="E1" s="15" t="s">
        <v>59</v>
      </c>
      <c r="F1" s="15" t="s">
        <v>212</v>
      </c>
      <c r="G1" s="15" t="s">
        <v>60</v>
      </c>
      <c r="H1" s="2" t="s">
        <v>2</v>
      </c>
      <c r="I1" s="2" t="s">
        <v>3</v>
      </c>
      <c r="J1" s="2" t="s">
        <v>39</v>
      </c>
      <c r="K1" s="44" t="s">
        <v>18</v>
      </c>
      <c r="L1" s="13" t="s">
        <v>42</v>
      </c>
    </row>
    <row r="2" spans="1:12" ht="12.75" customHeight="1" x14ac:dyDescent="0.2">
      <c r="A2" s="5" t="s">
        <v>12</v>
      </c>
      <c r="B2" s="5" t="s">
        <v>5</v>
      </c>
      <c r="C2" s="5" t="s">
        <v>45</v>
      </c>
      <c r="D2" s="6">
        <v>3136</v>
      </c>
      <c r="E2" s="6">
        <v>3118</v>
      </c>
      <c r="F2" s="6">
        <v>18</v>
      </c>
      <c r="G2" s="6">
        <v>2</v>
      </c>
      <c r="H2" s="7">
        <v>42644</v>
      </c>
      <c r="I2" s="7">
        <v>42647</v>
      </c>
      <c r="J2" s="6" t="s">
        <v>6</v>
      </c>
      <c r="K2" s="45" t="s">
        <v>28</v>
      </c>
      <c r="L2" s="14" t="s">
        <v>122</v>
      </c>
    </row>
    <row r="3" spans="1:12" ht="12.75" customHeight="1" x14ac:dyDescent="0.2">
      <c r="A3" s="5" t="s">
        <v>13</v>
      </c>
      <c r="B3" s="5" t="s">
        <v>5</v>
      </c>
      <c r="C3" s="5" t="s">
        <v>45</v>
      </c>
      <c r="D3" s="6">
        <v>12005</v>
      </c>
      <c r="E3" s="6">
        <v>6081</v>
      </c>
      <c r="F3" s="6">
        <v>5924</v>
      </c>
      <c r="G3" s="6">
        <v>2</v>
      </c>
      <c r="H3" s="7">
        <v>42648</v>
      </c>
      <c r="I3" s="7">
        <v>42649</v>
      </c>
      <c r="J3" s="6" t="s">
        <v>6</v>
      </c>
      <c r="K3" s="45" t="s">
        <v>28</v>
      </c>
      <c r="L3" s="14" t="s">
        <v>122</v>
      </c>
    </row>
    <row r="4" spans="1:12" ht="12.75" customHeight="1" x14ac:dyDescent="0.2">
      <c r="A4" s="5" t="s">
        <v>14</v>
      </c>
      <c r="B4" s="5" t="s">
        <v>5</v>
      </c>
      <c r="C4" s="5" t="s">
        <v>45</v>
      </c>
      <c r="D4" s="6">
        <v>47223</v>
      </c>
      <c r="E4" s="6">
        <v>20406</v>
      </c>
      <c r="F4" s="6">
        <v>26817</v>
      </c>
      <c r="G4" s="6">
        <v>5</v>
      </c>
      <c r="H4" s="7">
        <v>42650</v>
      </c>
      <c r="I4" s="7">
        <v>42660</v>
      </c>
      <c r="J4" s="6" t="s">
        <v>6</v>
      </c>
      <c r="K4" s="45" t="s">
        <v>28</v>
      </c>
      <c r="L4" s="14" t="s">
        <v>122</v>
      </c>
    </row>
    <row r="5" spans="1:12" ht="12.75" customHeight="1" x14ac:dyDescent="0.2">
      <c r="A5" s="5" t="s">
        <v>15</v>
      </c>
      <c r="B5" s="5" t="s">
        <v>5</v>
      </c>
      <c r="C5" s="5" t="s">
        <v>45</v>
      </c>
      <c r="D5" s="6">
        <v>26817</v>
      </c>
      <c r="E5" s="6">
        <v>11247</v>
      </c>
      <c r="F5" s="6">
        <v>15570</v>
      </c>
      <c r="G5" s="6">
        <v>4</v>
      </c>
      <c r="H5" s="7">
        <v>42661</v>
      </c>
      <c r="I5" s="7">
        <v>42664</v>
      </c>
      <c r="J5" s="6" t="s">
        <v>6</v>
      </c>
      <c r="K5" s="45" t="s">
        <v>28</v>
      </c>
      <c r="L5" s="14" t="s">
        <v>43</v>
      </c>
    </row>
    <row r="6" spans="1:12" ht="12.75" customHeight="1" x14ac:dyDescent="0.2">
      <c r="A6" s="5" t="s">
        <v>16</v>
      </c>
      <c r="B6" s="5" t="s">
        <v>5</v>
      </c>
      <c r="C6" s="5" t="s">
        <v>45</v>
      </c>
      <c r="D6" s="6">
        <v>7487</v>
      </c>
      <c r="E6" s="6">
        <v>6048</v>
      </c>
      <c r="F6" s="6">
        <v>1439</v>
      </c>
      <c r="G6" s="6">
        <v>3</v>
      </c>
      <c r="H6" s="7">
        <v>42665</v>
      </c>
      <c r="I6" s="7">
        <v>42669</v>
      </c>
      <c r="J6" s="6" t="s">
        <v>6</v>
      </c>
      <c r="K6" s="45" t="s">
        <v>28</v>
      </c>
      <c r="L6" s="14" t="s">
        <v>43</v>
      </c>
    </row>
    <row r="7" spans="1:12" ht="12.75" customHeight="1" x14ac:dyDescent="0.2">
      <c r="A7" s="5" t="s">
        <v>17</v>
      </c>
      <c r="B7" s="5" t="s">
        <v>5</v>
      </c>
      <c r="C7" s="5" t="s">
        <v>45</v>
      </c>
      <c r="D7" s="6">
        <v>17042</v>
      </c>
      <c r="E7" s="6">
        <v>9126</v>
      </c>
      <c r="F7" s="6">
        <v>7916</v>
      </c>
      <c r="G7" s="6">
        <v>2</v>
      </c>
      <c r="H7" s="7">
        <v>42670</v>
      </c>
      <c r="I7" s="7">
        <v>42671</v>
      </c>
      <c r="J7" s="6" t="s">
        <v>6</v>
      </c>
      <c r="K7" s="45" t="s">
        <v>28</v>
      </c>
      <c r="L7" s="14" t="s">
        <v>43</v>
      </c>
    </row>
    <row r="8" spans="1:12" ht="12.75" customHeight="1" x14ac:dyDescent="0.2">
      <c r="A8" s="5" t="s">
        <v>4</v>
      </c>
      <c r="B8" s="5" t="s">
        <v>5</v>
      </c>
      <c r="C8" s="5" t="s">
        <v>45</v>
      </c>
      <c r="D8" s="6">
        <v>4407</v>
      </c>
      <c r="E8" s="6">
        <v>4407</v>
      </c>
      <c r="F8" s="6">
        <v>0</v>
      </c>
      <c r="G8" s="6">
        <v>2</v>
      </c>
      <c r="H8" s="7">
        <v>42676</v>
      </c>
      <c r="I8" s="7">
        <v>42678</v>
      </c>
      <c r="J8" s="6" t="s">
        <v>6</v>
      </c>
      <c r="K8" s="46" t="s">
        <v>29</v>
      </c>
      <c r="L8" s="14" t="s">
        <v>43</v>
      </c>
    </row>
    <row r="9" spans="1:12" ht="12.75" customHeight="1" x14ac:dyDescent="0.2">
      <c r="A9" s="5" t="s">
        <v>7</v>
      </c>
      <c r="B9" s="5" t="s">
        <v>5</v>
      </c>
      <c r="C9" s="5" t="s">
        <v>45</v>
      </c>
      <c r="D9" s="6">
        <v>21618</v>
      </c>
      <c r="E9" s="6">
        <v>11235</v>
      </c>
      <c r="F9" s="6">
        <v>10383</v>
      </c>
      <c r="G9" s="6">
        <v>4</v>
      </c>
      <c r="H9" s="7">
        <v>42678</v>
      </c>
      <c r="I9" s="7">
        <v>42683</v>
      </c>
      <c r="J9" s="6" t="s">
        <v>6</v>
      </c>
      <c r="K9" s="46" t="s">
        <v>29</v>
      </c>
      <c r="L9" s="14" t="s">
        <v>43</v>
      </c>
    </row>
    <row r="10" spans="1:12" ht="12.75" customHeight="1" x14ac:dyDescent="0.2">
      <c r="A10" s="5" t="s">
        <v>8</v>
      </c>
      <c r="B10" s="5" t="s">
        <v>5</v>
      </c>
      <c r="C10" s="5" t="s">
        <v>45</v>
      </c>
      <c r="D10" s="6">
        <v>10382</v>
      </c>
      <c r="E10" s="6">
        <v>5022</v>
      </c>
      <c r="F10" s="6">
        <v>5360</v>
      </c>
      <c r="G10" s="6">
        <v>2</v>
      </c>
      <c r="H10" s="7">
        <v>42684</v>
      </c>
      <c r="I10" s="7">
        <v>42685</v>
      </c>
      <c r="J10" s="6" t="s">
        <v>6</v>
      </c>
      <c r="K10" s="46" t="s">
        <v>29</v>
      </c>
      <c r="L10" s="14" t="s">
        <v>43</v>
      </c>
    </row>
    <row r="11" spans="1:12" ht="12.75" customHeight="1" x14ac:dyDescent="0.2">
      <c r="A11" s="5" t="s">
        <v>9</v>
      </c>
      <c r="B11" s="5" t="s">
        <v>10</v>
      </c>
      <c r="C11" s="5" t="s">
        <v>46</v>
      </c>
      <c r="D11" s="6">
        <v>86578</v>
      </c>
      <c r="E11" s="6">
        <v>15572</v>
      </c>
      <c r="F11" s="6">
        <v>71006</v>
      </c>
      <c r="G11" s="6">
        <v>3</v>
      </c>
      <c r="H11" s="7">
        <v>42686</v>
      </c>
      <c r="I11" s="7">
        <v>42690</v>
      </c>
      <c r="J11" s="6" t="s">
        <v>6</v>
      </c>
      <c r="K11" s="46" t="s">
        <v>29</v>
      </c>
      <c r="L11" s="14" t="s">
        <v>43</v>
      </c>
    </row>
    <row r="12" spans="1:12" ht="12.75" customHeight="1" x14ac:dyDescent="0.2">
      <c r="A12" s="5" t="s">
        <v>11</v>
      </c>
      <c r="B12" s="5" t="s">
        <v>10</v>
      </c>
      <c r="C12" s="5" t="s">
        <v>46</v>
      </c>
      <c r="D12" s="6">
        <v>71006</v>
      </c>
      <c r="E12" s="6">
        <v>16832</v>
      </c>
      <c r="F12" s="6">
        <v>54174</v>
      </c>
      <c r="G12" s="6">
        <v>3</v>
      </c>
      <c r="H12" s="7">
        <v>42691</v>
      </c>
      <c r="I12" s="7">
        <v>42695</v>
      </c>
      <c r="J12" s="6" t="s">
        <v>6</v>
      </c>
      <c r="K12" s="46" t="s">
        <v>29</v>
      </c>
      <c r="L12" s="14" t="s">
        <v>43</v>
      </c>
    </row>
    <row r="13" spans="1:12" ht="12.75" customHeight="1" x14ac:dyDescent="0.2">
      <c r="A13" s="5" t="s">
        <v>19</v>
      </c>
      <c r="B13" s="5" t="s">
        <v>10</v>
      </c>
      <c r="C13" s="5" t="s">
        <v>46</v>
      </c>
      <c r="D13" s="6">
        <v>54174</v>
      </c>
      <c r="E13" s="6">
        <v>10046</v>
      </c>
      <c r="F13" s="6">
        <v>44128</v>
      </c>
      <c r="G13" s="6">
        <v>3</v>
      </c>
      <c r="H13" s="7">
        <v>42696</v>
      </c>
      <c r="I13" s="7">
        <v>42698</v>
      </c>
      <c r="J13" s="6" t="s">
        <v>6</v>
      </c>
      <c r="K13" s="46" t="s">
        <v>29</v>
      </c>
      <c r="L13" s="14" t="s">
        <v>43</v>
      </c>
    </row>
    <row r="14" spans="1:12" ht="12.75" customHeight="1" x14ac:dyDescent="0.2">
      <c r="A14" s="5" t="s">
        <v>22</v>
      </c>
      <c r="B14" s="5" t="s">
        <v>20</v>
      </c>
      <c r="C14" s="5" t="s">
        <v>45</v>
      </c>
      <c r="D14" s="6">
        <v>4516</v>
      </c>
      <c r="E14" s="6">
        <v>4514</v>
      </c>
      <c r="F14" s="6">
        <v>2</v>
      </c>
      <c r="G14" s="94">
        <v>2</v>
      </c>
      <c r="H14" s="7">
        <v>42699</v>
      </c>
      <c r="I14" s="7">
        <v>42702</v>
      </c>
      <c r="J14" s="94" t="s">
        <v>6</v>
      </c>
      <c r="K14" s="46" t="s">
        <v>29</v>
      </c>
      <c r="L14" s="14" t="s">
        <v>43</v>
      </c>
    </row>
    <row r="15" spans="1:12" ht="12.75" customHeight="1" x14ac:dyDescent="0.2">
      <c r="A15" s="5" t="s">
        <v>23</v>
      </c>
      <c r="B15" s="5" t="s">
        <v>21</v>
      </c>
      <c r="C15" s="5" t="s">
        <v>45</v>
      </c>
      <c r="D15" s="6">
        <v>18916</v>
      </c>
      <c r="E15" s="6">
        <v>18037</v>
      </c>
      <c r="F15" s="6">
        <v>879</v>
      </c>
      <c r="G15" s="95"/>
      <c r="H15" s="7">
        <v>42699</v>
      </c>
      <c r="I15" s="7">
        <v>42702</v>
      </c>
      <c r="J15" s="95"/>
      <c r="K15" s="46" t="s">
        <v>29</v>
      </c>
      <c r="L15" s="14" t="s">
        <v>43</v>
      </c>
    </row>
    <row r="16" spans="1:12" s="12" customFormat="1" ht="12.75" customHeight="1" x14ac:dyDescent="0.2">
      <c r="A16" s="11" t="s">
        <v>24</v>
      </c>
      <c r="B16" s="11" t="s">
        <v>10</v>
      </c>
      <c r="C16" s="5" t="s">
        <v>46</v>
      </c>
      <c r="D16" s="6">
        <v>44128</v>
      </c>
      <c r="E16" s="6">
        <v>4251</v>
      </c>
      <c r="F16" s="6">
        <v>39877</v>
      </c>
      <c r="G16" s="6">
        <v>1</v>
      </c>
      <c r="H16" s="7">
        <v>42703</v>
      </c>
      <c r="I16" s="7">
        <v>42704</v>
      </c>
      <c r="J16" s="6" t="s">
        <v>6</v>
      </c>
      <c r="K16" s="46" t="s">
        <v>29</v>
      </c>
      <c r="L16" s="14" t="s">
        <v>43</v>
      </c>
    </row>
    <row r="17" spans="1:12" ht="12.75" customHeight="1" x14ac:dyDescent="0.2">
      <c r="A17" s="11" t="s">
        <v>25</v>
      </c>
      <c r="B17" s="11" t="s">
        <v>26</v>
      </c>
      <c r="C17" s="5" t="s">
        <v>46</v>
      </c>
      <c r="D17" s="6">
        <v>28794</v>
      </c>
      <c r="E17" s="6">
        <v>15805</v>
      </c>
      <c r="F17" s="6">
        <v>12989</v>
      </c>
      <c r="G17" s="6">
        <v>3</v>
      </c>
      <c r="H17" s="7">
        <v>42704</v>
      </c>
      <c r="I17" s="7">
        <v>42706</v>
      </c>
      <c r="J17" s="6" t="s">
        <v>6</v>
      </c>
      <c r="K17" s="17" t="s">
        <v>61</v>
      </c>
      <c r="L17" s="14" t="s">
        <v>43</v>
      </c>
    </row>
    <row r="18" spans="1:12" ht="12.75" customHeight="1" x14ac:dyDescent="0.2">
      <c r="A18" s="11" t="s">
        <v>27</v>
      </c>
      <c r="B18" s="11" t="s">
        <v>26</v>
      </c>
      <c r="C18" s="5" t="s">
        <v>46</v>
      </c>
      <c r="D18" s="6">
        <v>12989</v>
      </c>
      <c r="E18" s="6">
        <v>12989</v>
      </c>
      <c r="F18" s="6">
        <v>0</v>
      </c>
      <c r="G18" s="6">
        <v>3</v>
      </c>
      <c r="H18" s="7">
        <v>42709</v>
      </c>
      <c r="I18" s="7">
        <v>42711</v>
      </c>
      <c r="J18" s="6" t="s">
        <v>6</v>
      </c>
      <c r="K18" s="17" t="s">
        <v>61</v>
      </c>
      <c r="L18" s="14" t="s">
        <v>43</v>
      </c>
    </row>
    <row r="19" spans="1:12" ht="12.75" customHeight="1" x14ac:dyDescent="0.2">
      <c r="A19" s="5" t="s">
        <v>30</v>
      </c>
      <c r="B19" s="5" t="s">
        <v>38</v>
      </c>
      <c r="C19" s="5" t="s">
        <v>45</v>
      </c>
      <c r="D19" s="6">
        <v>18140</v>
      </c>
      <c r="E19" s="6">
        <v>10066</v>
      </c>
      <c r="F19" s="6">
        <v>8074</v>
      </c>
      <c r="G19" s="6">
        <v>3</v>
      </c>
      <c r="H19" s="7">
        <v>42712</v>
      </c>
      <c r="I19" s="7">
        <v>42716</v>
      </c>
      <c r="J19" s="6" t="s">
        <v>6</v>
      </c>
      <c r="K19" s="17" t="s">
        <v>61</v>
      </c>
      <c r="L19" s="14" t="s">
        <v>43</v>
      </c>
    </row>
    <row r="20" spans="1:12" ht="12.75" customHeight="1" x14ac:dyDescent="0.2">
      <c r="A20" s="5" t="s">
        <v>31</v>
      </c>
      <c r="B20" s="5" t="s">
        <v>40</v>
      </c>
      <c r="C20" s="5" t="s">
        <v>45</v>
      </c>
      <c r="D20" s="6">
        <v>5134</v>
      </c>
      <c r="E20" s="6">
        <v>2703</v>
      </c>
      <c r="F20" s="6">
        <v>2431</v>
      </c>
      <c r="G20" s="6">
        <v>2</v>
      </c>
      <c r="H20" s="7">
        <v>42717</v>
      </c>
      <c r="I20" s="7">
        <v>42718</v>
      </c>
      <c r="J20" s="6" t="s">
        <v>6</v>
      </c>
      <c r="K20" s="17" t="s">
        <v>61</v>
      </c>
      <c r="L20" s="14" t="s">
        <v>43</v>
      </c>
    </row>
    <row r="21" spans="1:12" ht="12.75" customHeight="1" x14ac:dyDescent="0.2">
      <c r="A21" s="5" t="s">
        <v>32</v>
      </c>
      <c r="B21" s="5" t="s">
        <v>10</v>
      </c>
      <c r="C21" s="5" t="s">
        <v>46</v>
      </c>
      <c r="D21" s="6">
        <v>27388</v>
      </c>
      <c r="E21" s="6">
        <v>13167</v>
      </c>
      <c r="F21" s="6">
        <v>14221</v>
      </c>
      <c r="G21" s="6">
        <v>4</v>
      </c>
      <c r="H21" s="7">
        <v>42719</v>
      </c>
      <c r="I21" s="7">
        <v>42724</v>
      </c>
      <c r="J21" s="6" t="s">
        <v>6</v>
      </c>
      <c r="K21" s="17" t="s">
        <v>61</v>
      </c>
      <c r="L21" s="14" t="s">
        <v>122</v>
      </c>
    </row>
    <row r="22" spans="1:12" ht="12.75" customHeight="1" x14ac:dyDescent="0.2">
      <c r="A22" s="5" t="s">
        <v>33</v>
      </c>
      <c r="B22" s="5" t="s">
        <v>10</v>
      </c>
      <c r="C22" s="5" t="s">
        <v>46</v>
      </c>
      <c r="D22" s="6">
        <v>14221</v>
      </c>
      <c r="E22" s="6">
        <v>14221</v>
      </c>
      <c r="F22" s="6">
        <v>0</v>
      </c>
      <c r="G22" s="6">
        <v>4</v>
      </c>
      <c r="H22" s="7">
        <v>42724</v>
      </c>
      <c r="I22" s="7">
        <v>42730</v>
      </c>
      <c r="J22" s="6" t="s">
        <v>6</v>
      </c>
      <c r="K22" s="17" t="s">
        <v>61</v>
      </c>
      <c r="L22" s="14" t="s">
        <v>122</v>
      </c>
    </row>
    <row r="23" spans="1:12" ht="12.75" customHeight="1" x14ac:dyDescent="0.2">
      <c r="A23" s="5" t="s">
        <v>34</v>
      </c>
      <c r="B23" s="5" t="s">
        <v>41</v>
      </c>
      <c r="C23" s="5" t="s">
        <v>41</v>
      </c>
      <c r="D23" s="6">
        <v>12591</v>
      </c>
      <c r="E23" s="6">
        <v>12591</v>
      </c>
      <c r="F23" s="6">
        <v>0</v>
      </c>
      <c r="G23" s="6">
        <v>5</v>
      </c>
      <c r="H23" s="7">
        <v>42724</v>
      </c>
      <c r="I23" s="7">
        <v>42734</v>
      </c>
      <c r="J23" s="6" t="s">
        <v>6</v>
      </c>
      <c r="K23" s="17" t="s">
        <v>61</v>
      </c>
      <c r="L23" s="14" t="s">
        <v>122</v>
      </c>
    </row>
    <row r="24" spans="1:12" ht="12.75" customHeight="1" x14ac:dyDescent="0.2">
      <c r="A24" s="5" t="s">
        <v>35</v>
      </c>
      <c r="B24" s="5" t="s">
        <v>38</v>
      </c>
      <c r="C24" s="5" t="s">
        <v>45</v>
      </c>
      <c r="D24" s="6">
        <v>2513</v>
      </c>
      <c r="E24" s="6">
        <v>2372</v>
      </c>
      <c r="F24" s="6">
        <v>141</v>
      </c>
      <c r="G24" s="6">
        <v>1</v>
      </c>
      <c r="H24" s="7">
        <v>42737</v>
      </c>
      <c r="I24" s="7">
        <v>42739</v>
      </c>
      <c r="J24" s="6" t="s">
        <v>6</v>
      </c>
      <c r="K24" s="47" t="s">
        <v>67</v>
      </c>
      <c r="L24" s="14" t="s">
        <v>43</v>
      </c>
    </row>
    <row r="25" spans="1:12" ht="12.75" customHeight="1" x14ac:dyDescent="0.2">
      <c r="A25" s="5" t="s">
        <v>36</v>
      </c>
      <c r="B25" s="5" t="s">
        <v>62</v>
      </c>
      <c r="C25" s="5" t="s">
        <v>45</v>
      </c>
      <c r="D25" s="6">
        <v>46783</v>
      </c>
      <c r="E25" s="6">
        <v>34577</v>
      </c>
      <c r="F25" s="6">
        <v>12206</v>
      </c>
      <c r="G25" s="6">
        <v>5</v>
      </c>
      <c r="H25" s="7">
        <v>42739</v>
      </c>
      <c r="I25" s="7">
        <v>42751</v>
      </c>
      <c r="J25" s="6" t="s">
        <v>6</v>
      </c>
      <c r="K25" s="47" t="s">
        <v>67</v>
      </c>
      <c r="L25" s="14" t="s">
        <v>122</v>
      </c>
    </row>
    <row r="26" spans="1:12" ht="12.75" customHeight="1" x14ac:dyDescent="0.2">
      <c r="A26" s="5" t="s">
        <v>37</v>
      </c>
      <c r="B26" s="5" t="s">
        <v>63</v>
      </c>
      <c r="C26" s="5" t="s">
        <v>45</v>
      </c>
      <c r="D26" s="6">
        <v>1926</v>
      </c>
      <c r="E26" s="6">
        <v>1919</v>
      </c>
      <c r="F26" s="6">
        <v>7</v>
      </c>
      <c r="G26" s="6">
        <v>2</v>
      </c>
      <c r="H26" s="7">
        <v>42741</v>
      </c>
      <c r="I26" s="7">
        <v>42744</v>
      </c>
      <c r="J26" s="6" t="s">
        <v>6</v>
      </c>
      <c r="K26" s="47" t="s">
        <v>67</v>
      </c>
      <c r="L26" s="14" t="s">
        <v>43</v>
      </c>
    </row>
    <row r="27" spans="1:12" ht="12.75" customHeight="1" x14ac:dyDescent="0.2">
      <c r="A27" s="5" t="s">
        <v>47</v>
      </c>
      <c r="B27" s="5" t="s">
        <v>38</v>
      </c>
      <c r="C27" s="5" t="s">
        <v>45</v>
      </c>
      <c r="D27" s="6">
        <v>148</v>
      </c>
      <c r="E27" s="6">
        <v>142</v>
      </c>
      <c r="F27" s="6">
        <v>6</v>
      </c>
      <c r="G27" s="6">
        <v>1</v>
      </c>
      <c r="H27" s="7">
        <v>42745</v>
      </c>
      <c r="I27" s="7">
        <v>42745</v>
      </c>
      <c r="J27" s="6" t="s">
        <v>6</v>
      </c>
      <c r="K27" s="47" t="s">
        <v>67</v>
      </c>
      <c r="L27" s="14" t="s">
        <v>122</v>
      </c>
    </row>
    <row r="28" spans="1:12" ht="12.75" customHeight="1" x14ac:dyDescent="0.2">
      <c r="A28" s="5" t="s">
        <v>48</v>
      </c>
      <c r="B28" s="5" t="s">
        <v>64</v>
      </c>
      <c r="C28" s="5" t="s">
        <v>65</v>
      </c>
      <c r="D28" s="6">
        <v>1015</v>
      </c>
      <c r="E28" s="6">
        <v>1015</v>
      </c>
      <c r="F28" s="6">
        <v>0</v>
      </c>
      <c r="G28" s="6">
        <v>2</v>
      </c>
      <c r="H28" s="7">
        <v>42746</v>
      </c>
      <c r="I28" s="7">
        <v>42747</v>
      </c>
      <c r="J28" s="6" t="s">
        <v>6</v>
      </c>
      <c r="K28" s="47" t="s">
        <v>67</v>
      </c>
      <c r="L28" s="14" t="s">
        <v>122</v>
      </c>
    </row>
    <row r="29" spans="1:12" ht="12.75" customHeight="1" x14ac:dyDescent="0.2">
      <c r="A29" s="5" t="s">
        <v>49</v>
      </c>
      <c r="B29" s="5" t="s">
        <v>38</v>
      </c>
      <c r="C29" s="5" t="s">
        <v>45</v>
      </c>
      <c r="D29" s="6">
        <v>1454</v>
      </c>
      <c r="E29" s="6">
        <v>1454</v>
      </c>
      <c r="F29" s="6">
        <v>0</v>
      </c>
      <c r="G29" s="6">
        <v>2</v>
      </c>
      <c r="H29" s="7">
        <v>42751</v>
      </c>
      <c r="I29" s="7">
        <v>42752</v>
      </c>
      <c r="J29" s="6" t="s">
        <v>6</v>
      </c>
      <c r="K29" s="47" t="s">
        <v>67</v>
      </c>
      <c r="L29" s="14" t="s">
        <v>43</v>
      </c>
    </row>
    <row r="30" spans="1:12" ht="12.75" customHeight="1" x14ac:dyDescent="0.2">
      <c r="A30" s="5" t="s">
        <v>50</v>
      </c>
      <c r="B30" s="5" t="s">
        <v>66</v>
      </c>
      <c r="C30" s="5" t="s">
        <v>45</v>
      </c>
      <c r="D30" s="6">
        <v>2369</v>
      </c>
      <c r="E30" s="6">
        <v>2369</v>
      </c>
      <c r="F30" s="6">
        <v>0</v>
      </c>
      <c r="G30" s="6">
        <v>2</v>
      </c>
      <c r="H30" s="7">
        <v>42753</v>
      </c>
      <c r="I30" s="7">
        <v>42754</v>
      </c>
      <c r="J30" s="6" t="s">
        <v>6</v>
      </c>
      <c r="K30" s="47" t="s">
        <v>67</v>
      </c>
      <c r="L30" s="14" t="s">
        <v>122</v>
      </c>
    </row>
    <row r="31" spans="1:12" ht="12.75" customHeight="1" x14ac:dyDescent="0.2">
      <c r="A31" s="5" t="s">
        <v>51</v>
      </c>
      <c r="B31" s="5" t="s">
        <v>38</v>
      </c>
      <c r="C31" s="5" t="s">
        <v>45</v>
      </c>
      <c r="D31" s="6">
        <v>1553</v>
      </c>
      <c r="E31" s="6">
        <v>1552</v>
      </c>
      <c r="F31" s="6">
        <v>1</v>
      </c>
      <c r="G31" s="6">
        <v>2</v>
      </c>
      <c r="H31" s="7">
        <v>42755</v>
      </c>
      <c r="I31" s="7">
        <v>42758</v>
      </c>
      <c r="J31" s="6" t="s">
        <v>6</v>
      </c>
      <c r="K31" s="47" t="s">
        <v>67</v>
      </c>
      <c r="L31" s="14" t="s">
        <v>122</v>
      </c>
    </row>
    <row r="32" spans="1:12" ht="12.75" customHeight="1" x14ac:dyDescent="0.2">
      <c r="A32" s="5" t="s">
        <v>52</v>
      </c>
      <c r="B32" s="5" t="s">
        <v>38</v>
      </c>
      <c r="C32" s="5" t="s">
        <v>45</v>
      </c>
      <c r="D32" s="6">
        <v>6338</v>
      </c>
      <c r="E32" s="6">
        <v>5536</v>
      </c>
      <c r="F32" s="6">
        <v>802</v>
      </c>
      <c r="G32" s="6">
        <v>3</v>
      </c>
      <c r="H32" s="7">
        <v>42759</v>
      </c>
      <c r="I32" s="7">
        <v>42762</v>
      </c>
      <c r="J32" s="6" t="s">
        <v>6</v>
      </c>
      <c r="K32" s="47" t="s">
        <v>67</v>
      </c>
      <c r="L32" s="14" t="s">
        <v>127</v>
      </c>
    </row>
    <row r="33" spans="1:12" ht="12.75" customHeight="1" x14ac:dyDescent="0.2">
      <c r="A33" s="5" t="s">
        <v>53</v>
      </c>
      <c r="B33" s="5" t="s">
        <v>38</v>
      </c>
      <c r="C33" s="5" t="s">
        <v>45</v>
      </c>
      <c r="D33" s="6">
        <v>1497</v>
      </c>
      <c r="E33" s="6">
        <v>1490</v>
      </c>
      <c r="F33" s="6">
        <v>7</v>
      </c>
      <c r="G33" s="6">
        <v>2</v>
      </c>
      <c r="H33" s="7">
        <v>42765</v>
      </c>
      <c r="I33" s="7">
        <v>42766</v>
      </c>
      <c r="J33" s="6" t="s">
        <v>6</v>
      </c>
      <c r="K33" s="47" t="s">
        <v>67</v>
      </c>
      <c r="L33" s="14" t="s">
        <v>122</v>
      </c>
    </row>
    <row r="34" spans="1:12" ht="12.75" customHeight="1" x14ac:dyDescent="0.2">
      <c r="A34" s="5" t="s">
        <v>54</v>
      </c>
      <c r="B34" s="5" t="s">
        <v>69</v>
      </c>
      <c r="C34" s="5" t="s">
        <v>68</v>
      </c>
      <c r="D34" s="6">
        <v>160</v>
      </c>
      <c r="E34" s="6">
        <v>160</v>
      </c>
      <c r="F34" s="6">
        <v>0</v>
      </c>
      <c r="G34" s="6">
        <v>1</v>
      </c>
      <c r="H34" s="7">
        <v>42767</v>
      </c>
      <c r="I34" s="7">
        <v>42767</v>
      </c>
      <c r="J34" s="6" t="s">
        <v>6</v>
      </c>
      <c r="K34" s="48" t="s">
        <v>74</v>
      </c>
      <c r="L34" s="14" t="s">
        <v>122</v>
      </c>
    </row>
    <row r="35" spans="1:12" ht="12.75" customHeight="1" x14ac:dyDescent="0.2">
      <c r="A35" s="5" t="s">
        <v>52</v>
      </c>
      <c r="B35" s="5" t="s">
        <v>38</v>
      </c>
      <c r="C35" s="5" t="s">
        <v>45</v>
      </c>
      <c r="D35" s="6">
        <v>802</v>
      </c>
      <c r="E35" s="6">
        <v>795</v>
      </c>
      <c r="F35" s="6">
        <v>7</v>
      </c>
      <c r="G35" s="6">
        <v>1</v>
      </c>
      <c r="H35" s="7">
        <v>42768</v>
      </c>
      <c r="I35" s="7">
        <v>42768</v>
      </c>
      <c r="J35" s="6" t="s">
        <v>6</v>
      </c>
      <c r="K35" s="48" t="s">
        <v>74</v>
      </c>
      <c r="L35" s="14" t="s">
        <v>43</v>
      </c>
    </row>
    <row r="36" spans="1:12" ht="12.75" customHeight="1" x14ac:dyDescent="0.2">
      <c r="A36" s="5" t="s">
        <v>55</v>
      </c>
      <c r="B36" s="5" t="s">
        <v>38</v>
      </c>
      <c r="C36" s="5" t="s">
        <v>45</v>
      </c>
      <c r="D36" s="6">
        <v>1171</v>
      </c>
      <c r="E36" s="6">
        <v>1171</v>
      </c>
      <c r="F36" s="6">
        <v>0</v>
      </c>
      <c r="G36" s="6">
        <v>1</v>
      </c>
      <c r="H36" s="7">
        <v>42771</v>
      </c>
      <c r="I36" s="7">
        <v>42771</v>
      </c>
      <c r="J36" s="6" t="s">
        <v>6</v>
      </c>
      <c r="K36" s="48" t="s">
        <v>74</v>
      </c>
      <c r="L36" s="14" t="s">
        <v>128</v>
      </c>
    </row>
    <row r="37" spans="1:12" ht="12.75" customHeight="1" x14ac:dyDescent="0.2">
      <c r="A37" s="5" t="s">
        <v>71</v>
      </c>
      <c r="B37" s="5" t="s">
        <v>70</v>
      </c>
      <c r="C37" s="5" t="s">
        <v>68</v>
      </c>
      <c r="D37" s="94">
        <v>91038</v>
      </c>
      <c r="E37" s="6">
        <v>9869</v>
      </c>
      <c r="F37" s="6">
        <v>0</v>
      </c>
      <c r="G37" s="6">
        <v>3</v>
      </c>
      <c r="H37" s="7">
        <v>42773</v>
      </c>
      <c r="I37" s="7">
        <v>42775</v>
      </c>
      <c r="J37" s="6" t="s">
        <v>6</v>
      </c>
      <c r="K37" s="48" t="s">
        <v>74</v>
      </c>
      <c r="L37" s="14" t="s">
        <v>122</v>
      </c>
    </row>
    <row r="38" spans="1:12" ht="12.75" customHeight="1" x14ac:dyDescent="0.2">
      <c r="A38" s="5" t="s">
        <v>72</v>
      </c>
      <c r="B38" s="5" t="s">
        <v>70</v>
      </c>
      <c r="C38" s="5" t="s">
        <v>68</v>
      </c>
      <c r="D38" s="104"/>
      <c r="E38" s="6">
        <v>16366</v>
      </c>
      <c r="F38" s="6">
        <v>0</v>
      </c>
      <c r="G38" s="6">
        <v>5</v>
      </c>
      <c r="H38" s="7">
        <v>42776</v>
      </c>
      <c r="I38" s="7">
        <v>42782</v>
      </c>
      <c r="J38" s="6" t="s">
        <v>6</v>
      </c>
      <c r="K38" s="48" t="s">
        <v>74</v>
      </c>
      <c r="L38" s="14" t="s">
        <v>122</v>
      </c>
    </row>
    <row r="39" spans="1:12" ht="12.75" customHeight="1" x14ac:dyDescent="0.2">
      <c r="A39" s="5" t="s">
        <v>73</v>
      </c>
      <c r="B39" s="5" t="s">
        <v>70</v>
      </c>
      <c r="C39" s="5" t="s">
        <v>68</v>
      </c>
      <c r="D39" s="95"/>
      <c r="E39" s="6">
        <f>91038-26325</f>
        <v>64713</v>
      </c>
      <c r="F39" s="6">
        <v>0</v>
      </c>
      <c r="G39" s="6">
        <v>16</v>
      </c>
      <c r="H39" s="7">
        <v>42773</v>
      </c>
      <c r="I39" s="7">
        <v>42794</v>
      </c>
      <c r="J39" s="6" t="s">
        <v>6</v>
      </c>
      <c r="K39" s="48" t="s">
        <v>74</v>
      </c>
      <c r="L39" s="14" t="s">
        <v>122</v>
      </c>
    </row>
    <row r="40" spans="1:12" ht="12.75" customHeight="1" x14ac:dyDescent="0.2">
      <c r="A40" s="5" t="s">
        <v>75</v>
      </c>
      <c r="B40" s="5" t="s">
        <v>78</v>
      </c>
      <c r="C40" s="5" t="s">
        <v>45</v>
      </c>
      <c r="D40" s="6">
        <v>2913</v>
      </c>
      <c r="E40" s="6">
        <v>2913</v>
      </c>
      <c r="F40" s="6">
        <v>0</v>
      </c>
      <c r="G40" s="6">
        <v>2</v>
      </c>
      <c r="H40" s="7">
        <v>42794</v>
      </c>
      <c r="I40" s="7">
        <v>42796</v>
      </c>
      <c r="J40" s="6" t="s">
        <v>6</v>
      </c>
      <c r="K40" s="49" t="s">
        <v>107</v>
      </c>
      <c r="L40" s="14" t="s">
        <v>102</v>
      </c>
    </row>
    <row r="41" spans="1:12" ht="12.75" customHeight="1" x14ac:dyDescent="0.2">
      <c r="A41" s="5" t="s">
        <v>56</v>
      </c>
      <c r="B41" s="5" t="s">
        <v>80</v>
      </c>
      <c r="C41" s="5" t="s">
        <v>45</v>
      </c>
      <c r="D41" s="6">
        <v>1241</v>
      </c>
      <c r="E41" s="6">
        <v>1241</v>
      </c>
      <c r="F41" s="6">
        <v>0</v>
      </c>
      <c r="G41" s="6">
        <v>2</v>
      </c>
      <c r="H41" s="7">
        <v>42796</v>
      </c>
      <c r="I41" s="7">
        <v>42797</v>
      </c>
      <c r="J41" s="6" t="s">
        <v>6</v>
      </c>
      <c r="K41" s="49" t="s">
        <v>107</v>
      </c>
      <c r="L41" s="14" t="s">
        <v>102</v>
      </c>
    </row>
    <row r="42" spans="1:12" ht="12.75" customHeight="1" x14ac:dyDescent="0.2">
      <c r="A42" s="5" t="s">
        <v>57</v>
      </c>
      <c r="B42" s="5" t="s">
        <v>103</v>
      </c>
      <c r="C42" s="5" t="s">
        <v>45</v>
      </c>
      <c r="D42" s="6">
        <v>1294</v>
      </c>
      <c r="E42" s="6">
        <v>1294</v>
      </c>
      <c r="F42" s="6">
        <v>0</v>
      </c>
      <c r="G42" s="6">
        <v>1</v>
      </c>
      <c r="H42" s="7">
        <v>42800</v>
      </c>
      <c r="I42" s="7">
        <v>42800</v>
      </c>
      <c r="J42" s="6" t="s">
        <v>6</v>
      </c>
      <c r="K42" s="49" t="s">
        <v>107</v>
      </c>
      <c r="L42" s="14" t="s">
        <v>43</v>
      </c>
    </row>
    <row r="43" spans="1:12" ht="12.75" customHeight="1" x14ac:dyDescent="0.2">
      <c r="A43" s="17" t="s">
        <v>81</v>
      </c>
      <c r="B43" s="17" t="s">
        <v>76</v>
      </c>
      <c r="C43" s="17" t="s">
        <v>45</v>
      </c>
      <c r="D43" s="16">
        <v>70483</v>
      </c>
      <c r="E43" s="16"/>
      <c r="F43" s="16"/>
      <c r="G43" s="16"/>
      <c r="H43" s="18">
        <v>42801</v>
      </c>
      <c r="I43" s="18" t="s">
        <v>79</v>
      </c>
      <c r="J43" s="16" t="s">
        <v>106</v>
      </c>
      <c r="K43" s="49" t="s">
        <v>107</v>
      </c>
      <c r="L43" s="14" t="s">
        <v>43</v>
      </c>
    </row>
    <row r="44" spans="1:12" ht="12.75" customHeight="1" x14ac:dyDescent="0.2">
      <c r="A44" s="5" t="s">
        <v>82</v>
      </c>
      <c r="B44" s="5" t="s">
        <v>38</v>
      </c>
      <c r="C44" s="5" t="s">
        <v>45</v>
      </c>
      <c r="D44" s="6">
        <v>1150</v>
      </c>
      <c r="E44" s="6">
        <v>1150</v>
      </c>
      <c r="F44" s="6">
        <v>0</v>
      </c>
      <c r="G44" s="6">
        <v>1</v>
      </c>
      <c r="H44" s="7">
        <v>42801</v>
      </c>
      <c r="I44" s="7">
        <v>42801</v>
      </c>
      <c r="J44" s="6" t="s">
        <v>6</v>
      </c>
      <c r="K44" s="49" t="s">
        <v>107</v>
      </c>
      <c r="L44" s="14" t="s">
        <v>122</v>
      </c>
    </row>
    <row r="45" spans="1:12" ht="12.75" customHeight="1" x14ac:dyDescent="0.2">
      <c r="A45" s="5" t="s">
        <v>83</v>
      </c>
      <c r="B45" s="5" t="s">
        <v>105</v>
      </c>
      <c r="C45" s="5" t="s">
        <v>104</v>
      </c>
      <c r="D45" s="6">
        <v>61817</v>
      </c>
      <c r="E45" s="6">
        <v>61817</v>
      </c>
      <c r="F45" s="6">
        <v>0</v>
      </c>
      <c r="G45" s="6"/>
      <c r="H45" s="7">
        <v>42803</v>
      </c>
      <c r="I45" s="7">
        <v>42810</v>
      </c>
      <c r="J45" s="6" t="s">
        <v>6</v>
      </c>
      <c r="K45" s="49" t="s">
        <v>107</v>
      </c>
      <c r="L45" s="14" t="s">
        <v>122</v>
      </c>
    </row>
    <row r="46" spans="1:12" ht="12.75" customHeight="1" x14ac:dyDescent="0.2">
      <c r="A46" s="5" t="s">
        <v>84</v>
      </c>
      <c r="B46" s="5" t="s">
        <v>77</v>
      </c>
      <c r="C46" s="5" t="s">
        <v>45</v>
      </c>
      <c r="D46" s="6">
        <v>254990</v>
      </c>
      <c r="E46" s="6">
        <v>253568</v>
      </c>
      <c r="F46" s="6">
        <v>1422</v>
      </c>
      <c r="G46" s="6">
        <v>14</v>
      </c>
      <c r="H46" s="7">
        <v>42811</v>
      </c>
      <c r="I46" s="7">
        <v>42830</v>
      </c>
      <c r="J46" s="6" t="s">
        <v>6</v>
      </c>
      <c r="K46" s="49" t="s">
        <v>107</v>
      </c>
      <c r="L46" s="14" t="s">
        <v>102</v>
      </c>
    </row>
    <row r="47" spans="1:12" ht="12.75" customHeight="1" x14ac:dyDescent="0.2">
      <c r="A47" s="5" t="s">
        <v>85</v>
      </c>
      <c r="B47" s="5" t="s">
        <v>108</v>
      </c>
      <c r="C47" s="5" t="s">
        <v>41</v>
      </c>
      <c r="D47" s="6">
        <v>994</v>
      </c>
      <c r="E47" s="6">
        <v>86</v>
      </c>
      <c r="F47" s="6">
        <v>908</v>
      </c>
      <c r="G47" s="6">
        <v>1</v>
      </c>
      <c r="H47" s="7">
        <v>42831</v>
      </c>
      <c r="I47" s="7">
        <v>42831</v>
      </c>
      <c r="J47" s="6" t="s">
        <v>6</v>
      </c>
      <c r="K47" s="17" t="s">
        <v>120</v>
      </c>
      <c r="L47" s="14" t="s">
        <v>109</v>
      </c>
    </row>
    <row r="48" spans="1:12" ht="12.75" customHeight="1" x14ac:dyDescent="0.2">
      <c r="A48" s="5" t="s">
        <v>86</v>
      </c>
      <c r="B48" s="5" t="s">
        <v>110</v>
      </c>
      <c r="C48" s="5" t="s">
        <v>104</v>
      </c>
      <c r="D48" s="6">
        <v>11122</v>
      </c>
      <c r="E48" s="6">
        <v>11122</v>
      </c>
      <c r="F48" s="6">
        <v>0</v>
      </c>
      <c r="G48" s="6">
        <v>3</v>
      </c>
      <c r="H48" s="7">
        <v>42835</v>
      </c>
      <c r="I48" s="7">
        <v>42837</v>
      </c>
      <c r="J48" s="6" t="s">
        <v>6</v>
      </c>
      <c r="K48" s="17" t="s">
        <v>120</v>
      </c>
      <c r="L48" s="14" t="s">
        <v>122</v>
      </c>
    </row>
    <row r="49" spans="1:12" ht="12.75" customHeight="1" x14ac:dyDescent="0.2">
      <c r="A49" s="5" t="s">
        <v>87</v>
      </c>
      <c r="B49" s="5" t="s">
        <v>111</v>
      </c>
      <c r="C49" s="5" t="s">
        <v>45</v>
      </c>
      <c r="D49" s="6">
        <v>42230</v>
      </c>
      <c r="E49" s="6">
        <v>42230</v>
      </c>
      <c r="F49" s="6">
        <v>0</v>
      </c>
      <c r="G49" s="6">
        <v>5</v>
      </c>
      <c r="H49" s="7">
        <v>42838</v>
      </c>
      <c r="I49" s="7">
        <v>42844</v>
      </c>
      <c r="J49" s="6" t="s">
        <v>6</v>
      </c>
      <c r="K49" s="17" t="s">
        <v>120</v>
      </c>
      <c r="L49" s="14" t="s">
        <v>43</v>
      </c>
    </row>
    <row r="50" spans="1:12" ht="12.75" customHeight="1" x14ac:dyDescent="0.2">
      <c r="A50" s="8" t="s">
        <v>88</v>
      </c>
      <c r="B50" s="9" t="s">
        <v>118</v>
      </c>
      <c r="C50" s="9" t="s">
        <v>118</v>
      </c>
      <c r="D50" s="9" t="s">
        <v>118</v>
      </c>
      <c r="E50" s="9" t="s">
        <v>118</v>
      </c>
      <c r="F50" s="61" t="s">
        <v>118</v>
      </c>
      <c r="G50" s="9" t="s">
        <v>118</v>
      </c>
      <c r="H50" s="9" t="s">
        <v>118</v>
      </c>
      <c r="I50" s="9" t="s">
        <v>118</v>
      </c>
      <c r="J50" s="9" t="s">
        <v>118</v>
      </c>
      <c r="K50" s="17" t="s">
        <v>120</v>
      </c>
      <c r="L50" s="14" t="s">
        <v>117</v>
      </c>
    </row>
    <row r="51" spans="1:12" ht="12.75" customHeight="1" x14ac:dyDescent="0.2">
      <c r="A51" s="5" t="s">
        <v>89</v>
      </c>
      <c r="B51" s="5" t="s">
        <v>112</v>
      </c>
      <c r="C51" s="5" t="s">
        <v>45</v>
      </c>
      <c r="D51" s="6">
        <v>949</v>
      </c>
      <c r="E51" s="6">
        <v>949</v>
      </c>
      <c r="F51" s="6">
        <v>0</v>
      </c>
      <c r="G51" s="6">
        <v>2</v>
      </c>
      <c r="H51" s="7">
        <v>42845</v>
      </c>
      <c r="I51" s="7">
        <v>42846</v>
      </c>
      <c r="J51" s="6" t="s">
        <v>6</v>
      </c>
      <c r="K51" s="17" t="s">
        <v>120</v>
      </c>
      <c r="L51" s="14" t="s">
        <v>115</v>
      </c>
    </row>
    <row r="52" spans="1:12" ht="12.75" customHeight="1" x14ac:dyDescent="0.2">
      <c r="A52" s="5" t="s">
        <v>90</v>
      </c>
      <c r="B52" s="5" t="s">
        <v>113</v>
      </c>
      <c r="C52" s="5" t="s">
        <v>45</v>
      </c>
      <c r="D52" s="6">
        <v>6465</v>
      </c>
      <c r="E52" s="6">
        <f>6465-169</f>
        <v>6296</v>
      </c>
      <c r="F52" s="6">
        <v>169</v>
      </c>
      <c r="G52" s="6">
        <v>3</v>
      </c>
      <c r="H52" s="7">
        <v>42849</v>
      </c>
      <c r="I52" s="7">
        <v>42850</v>
      </c>
      <c r="J52" s="6" t="s">
        <v>6</v>
      </c>
      <c r="K52" s="17" t="s">
        <v>120</v>
      </c>
      <c r="L52" s="14" t="s">
        <v>114</v>
      </c>
    </row>
    <row r="53" spans="1:12" ht="12.75" customHeight="1" x14ac:dyDescent="0.2">
      <c r="A53" s="5" t="s">
        <v>91</v>
      </c>
      <c r="B53" s="5" t="s">
        <v>112</v>
      </c>
      <c r="C53" s="5" t="s">
        <v>45</v>
      </c>
      <c r="D53" s="6">
        <v>1951</v>
      </c>
      <c r="E53" s="6">
        <v>1949</v>
      </c>
      <c r="F53" s="6">
        <v>2</v>
      </c>
      <c r="G53" s="6">
        <v>2</v>
      </c>
      <c r="H53" s="7">
        <v>42851</v>
      </c>
      <c r="I53" s="7">
        <v>42852</v>
      </c>
      <c r="J53" s="6" t="s">
        <v>6</v>
      </c>
      <c r="K53" s="17" t="s">
        <v>120</v>
      </c>
      <c r="L53" s="14" t="s">
        <v>116</v>
      </c>
    </row>
    <row r="54" spans="1:12" ht="12.75" customHeight="1" x14ac:dyDescent="0.2">
      <c r="A54" s="5" t="s">
        <v>92</v>
      </c>
      <c r="B54" s="5" t="s">
        <v>119</v>
      </c>
      <c r="C54" s="5" t="s">
        <v>45</v>
      </c>
      <c r="D54" s="6">
        <v>1071</v>
      </c>
      <c r="E54" s="6">
        <v>1067</v>
      </c>
      <c r="F54" s="6">
        <v>4</v>
      </c>
      <c r="G54" s="6">
        <v>2</v>
      </c>
      <c r="H54" s="7">
        <v>42853</v>
      </c>
      <c r="I54" s="7">
        <v>42857</v>
      </c>
      <c r="J54" s="6" t="s">
        <v>6</v>
      </c>
      <c r="K54" s="49" t="s">
        <v>124</v>
      </c>
      <c r="L54" s="14" t="s">
        <v>102</v>
      </c>
    </row>
    <row r="55" spans="1:12" ht="12.75" customHeight="1" x14ac:dyDescent="0.2">
      <c r="A55" s="5" t="s">
        <v>93</v>
      </c>
      <c r="B55" s="5" t="s">
        <v>121</v>
      </c>
      <c r="C55" s="5" t="s">
        <v>41</v>
      </c>
      <c r="D55" s="6">
        <v>34347</v>
      </c>
      <c r="E55" s="6">
        <v>34347</v>
      </c>
      <c r="F55" s="6">
        <v>0</v>
      </c>
      <c r="G55" s="6">
        <v>4</v>
      </c>
      <c r="H55" s="7">
        <v>42858</v>
      </c>
      <c r="I55" s="7">
        <v>42863</v>
      </c>
      <c r="J55" s="6" t="s">
        <v>6</v>
      </c>
      <c r="K55" s="49" t="s">
        <v>124</v>
      </c>
      <c r="L55" s="14" t="s">
        <v>122</v>
      </c>
    </row>
    <row r="56" spans="1:12" ht="12.75" customHeight="1" x14ac:dyDescent="0.2">
      <c r="A56" s="5" t="s">
        <v>94</v>
      </c>
      <c r="B56" s="5" t="s">
        <v>112</v>
      </c>
      <c r="C56" s="5" t="s">
        <v>45</v>
      </c>
      <c r="D56" s="6">
        <v>14351</v>
      </c>
      <c r="E56" s="6">
        <v>14351</v>
      </c>
      <c r="F56" s="6">
        <v>0</v>
      </c>
      <c r="G56" s="6">
        <v>2</v>
      </c>
      <c r="H56" s="7">
        <v>42860</v>
      </c>
      <c r="I56" s="7">
        <v>42865</v>
      </c>
      <c r="J56" s="6" t="s">
        <v>6</v>
      </c>
      <c r="K56" s="49" t="s">
        <v>124</v>
      </c>
      <c r="L56" s="14" t="s">
        <v>43</v>
      </c>
    </row>
    <row r="57" spans="1:12" ht="12.75" customHeight="1" x14ac:dyDescent="0.2">
      <c r="A57" s="5" t="s">
        <v>95</v>
      </c>
      <c r="B57" s="5" t="s">
        <v>123</v>
      </c>
      <c r="C57" s="5" t="s">
        <v>45</v>
      </c>
      <c r="D57" s="6">
        <v>52360</v>
      </c>
      <c r="E57" s="6">
        <v>52358</v>
      </c>
      <c r="F57" s="6">
        <v>2</v>
      </c>
      <c r="G57" s="6">
        <v>5</v>
      </c>
      <c r="H57" s="7">
        <v>42866</v>
      </c>
      <c r="I57" s="7">
        <v>42886</v>
      </c>
      <c r="J57" s="6" t="s">
        <v>6</v>
      </c>
      <c r="K57" s="49" t="s">
        <v>124</v>
      </c>
      <c r="L57" s="14" t="s">
        <v>125</v>
      </c>
    </row>
    <row r="58" spans="1:12" ht="12.75" customHeight="1" x14ac:dyDescent="0.2">
      <c r="A58" s="5" t="s">
        <v>96</v>
      </c>
      <c r="B58" s="5" t="s">
        <v>126</v>
      </c>
      <c r="C58" s="5" t="s">
        <v>45</v>
      </c>
      <c r="D58" s="6">
        <v>2390</v>
      </c>
      <c r="E58" s="6">
        <v>2385</v>
      </c>
      <c r="F58" s="6">
        <v>5</v>
      </c>
      <c r="G58" s="6">
        <v>3</v>
      </c>
      <c r="H58" s="7">
        <v>42887</v>
      </c>
      <c r="I58" s="7">
        <v>42891</v>
      </c>
      <c r="J58" s="6" t="s">
        <v>6</v>
      </c>
      <c r="K58" s="47" t="s">
        <v>153</v>
      </c>
      <c r="L58" s="14" t="s">
        <v>102</v>
      </c>
    </row>
    <row r="59" spans="1:12" ht="12.75" customHeight="1" x14ac:dyDescent="0.2">
      <c r="A59" s="5" t="s">
        <v>97</v>
      </c>
      <c r="B59" s="5" t="s">
        <v>129</v>
      </c>
      <c r="C59" s="5" t="s">
        <v>45</v>
      </c>
      <c r="D59" s="6">
        <v>4956</v>
      </c>
      <c r="E59" s="6">
        <v>4956</v>
      </c>
      <c r="F59" s="6">
        <v>0</v>
      </c>
      <c r="G59" s="6">
        <v>2</v>
      </c>
      <c r="H59" s="7">
        <v>42892</v>
      </c>
      <c r="I59" s="7">
        <v>42893</v>
      </c>
      <c r="J59" s="6" t="s">
        <v>6</v>
      </c>
      <c r="K59" s="47" t="s">
        <v>153</v>
      </c>
      <c r="L59" s="14" t="s">
        <v>43</v>
      </c>
    </row>
    <row r="60" spans="1:12" ht="12.75" customHeight="1" x14ac:dyDescent="0.2">
      <c r="A60" s="5" t="s">
        <v>98</v>
      </c>
      <c r="B60" s="5" t="s">
        <v>130</v>
      </c>
      <c r="C60" s="5" t="s">
        <v>45</v>
      </c>
      <c r="D60" s="6">
        <v>24806</v>
      </c>
      <c r="E60" s="6">
        <v>24777</v>
      </c>
      <c r="F60" s="6">
        <v>29</v>
      </c>
      <c r="G60" s="6">
        <v>7</v>
      </c>
      <c r="H60" s="7">
        <v>42893</v>
      </c>
      <c r="I60" s="7">
        <v>42901</v>
      </c>
      <c r="J60" s="6" t="s">
        <v>6</v>
      </c>
      <c r="K60" s="47" t="s">
        <v>153</v>
      </c>
      <c r="L60" s="14" t="s">
        <v>131</v>
      </c>
    </row>
    <row r="61" spans="1:12" ht="12.75" customHeight="1" x14ac:dyDescent="0.2">
      <c r="A61" s="5" t="s">
        <v>99</v>
      </c>
      <c r="B61" s="5" t="s">
        <v>132</v>
      </c>
      <c r="C61" s="5" t="s">
        <v>45</v>
      </c>
      <c r="D61" s="6">
        <v>4098</v>
      </c>
      <c r="E61" s="6">
        <v>4095</v>
      </c>
      <c r="F61" s="6">
        <v>3</v>
      </c>
      <c r="G61" s="6">
        <v>2</v>
      </c>
      <c r="H61" s="7">
        <v>42902</v>
      </c>
      <c r="I61" s="7">
        <v>42905</v>
      </c>
      <c r="J61" s="6" t="s">
        <v>6</v>
      </c>
      <c r="K61" s="47" t="s">
        <v>153</v>
      </c>
      <c r="L61" s="14" t="s">
        <v>133</v>
      </c>
    </row>
    <row r="62" spans="1:12" ht="12.75" customHeight="1" x14ac:dyDescent="0.2">
      <c r="A62" s="5" t="s">
        <v>100</v>
      </c>
      <c r="B62" s="5" t="s">
        <v>132</v>
      </c>
      <c r="C62" s="5" t="s">
        <v>45</v>
      </c>
      <c r="D62" s="6">
        <v>8247</v>
      </c>
      <c r="E62" s="6">
        <v>8188</v>
      </c>
      <c r="F62" s="6">
        <v>59</v>
      </c>
      <c r="G62" s="6">
        <v>3</v>
      </c>
      <c r="H62" s="7">
        <v>42906</v>
      </c>
      <c r="I62" s="7">
        <v>42908</v>
      </c>
      <c r="J62" s="6" t="s">
        <v>6</v>
      </c>
      <c r="K62" s="47" t="s">
        <v>153</v>
      </c>
      <c r="L62" s="14" t="s">
        <v>134</v>
      </c>
    </row>
    <row r="63" spans="1:12" ht="12.75" customHeight="1" x14ac:dyDescent="0.2">
      <c r="A63" s="5" t="s">
        <v>101</v>
      </c>
      <c r="B63" s="5" t="s">
        <v>151</v>
      </c>
      <c r="C63" s="5" t="s">
        <v>46</v>
      </c>
      <c r="D63" s="6">
        <v>30417</v>
      </c>
      <c r="E63" s="6">
        <v>6416</v>
      </c>
      <c r="F63" s="6">
        <v>24001</v>
      </c>
      <c r="G63" s="6">
        <v>1.5</v>
      </c>
      <c r="H63" s="7">
        <v>42909</v>
      </c>
      <c r="I63" s="7">
        <v>42912</v>
      </c>
      <c r="J63" s="6" t="s">
        <v>6</v>
      </c>
      <c r="K63" s="47" t="s">
        <v>153</v>
      </c>
      <c r="L63" s="14" t="s">
        <v>43</v>
      </c>
    </row>
    <row r="64" spans="1:12" ht="12.75" customHeight="1" x14ac:dyDescent="0.2">
      <c r="A64" s="5" t="s">
        <v>135</v>
      </c>
      <c r="B64" s="5" t="s">
        <v>132</v>
      </c>
      <c r="C64" s="5" t="s">
        <v>46</v>
      </c>
      <c r="D64" s="6">
        <v>6084</v>
      </c>
      <c r="E64" s="6">
        <v>5878</v>
      </c>
      <c r="F64" s="6">
        <v>206</v>
      </c>
      <c r="G64" s="6">
        <v>2.5</v>
      </c>
      <c r="H64" s="7">
        <v>42912</v>
      </c>
      <c r="I64" s="7">
        <v>42914</v>
      </c>
      <c r="J64" s="6" t="s">
        <v>6</v>
      </c>
      <c r="K64" s="47" t="s">
        <v>153</v>
      </c>
      <c r="L64" s="14" t="s">
        <v>152</v>
      </c>
    </row>
    <row r="65" spans="1:12" ht="12.75" customHeight="1" x14ac:dyDescent="0.2">
      <c r="A65" s="5" t="s">
        <v>136</v>
      </c>
      <c r="B65" s="5" t="s">
        <v>132</v>
      </c>
      <c r="C65" s="5" t="s">
        <v>45</v>
      </c>
      <c r="D65" s="6">
        <v>890</v>
      </c>
      <c r="E65" s="6">
        <v>888</v>
      </c>
      <c r="F65" s="6">
        <v>2</v>
      </c>
      <c r="G65" s="6">
        <v>1</v>
      </c>
      <c r="H65" s="7">
        <v>42915</v>
      </c>
      <c r="I65" s="7">
        <v>42916</v>
      </c>
      <c r="J65" s="6" t="s">
        <v>6</v>
      </c>
      <c r="K65" s="47" t="s">
        <v>153</v>
      </c>
      <c r="L65" s="14" t="s">
        <v>115</v>
      </c>
    </row>
    <row r="66" spans="1:12" ht="12.75" customHeight="1" x14ac:dyDescent="0.2">
      <c r="A66" s="92" t="s">
        <v>137</v>
      </c>
      <c r="B66" s="92" t="s">
        <v>130</v>
      </c>
      <c r="C66" s="92" t="s">
        <v>45</v>
      </c>
      <c r="D66" s="94">
        <v>32291</v>
      </c>
      <c r="E66" s="6">
        <v>24489</v>
      </c>
      <c r="F66" s="6">
        <v>0</v>
      </c>
      <c r="G66" s="6">
        <v>5</v>
      </c>
      <c r="H66" s="7">
        <v>42919</v>
      </c>
      <c r="I66" s="7">
        <v>42923</v>
      </c>
      <c r="J66" s="6" t="s">
        <v>6</v>
      </c>
      <c r="K66" s="49" t="s">
        <v>168</v>
      </c>
      <c r="L66" s="14" t="s">
        <v>157</v>
      </c>
    </row>
    <row r="67" spans="1:12" ht="12.75" customHeight="1" x14ac:dyDescent="0.2">
      <c r="A67" s="97"/>
      <c r="B67" s="97"/>
      <c r="C67" s="97"/>
      <c r="D67" s="95"/>
      <c r="E67" s="6">
        <v>7802</v>
      </c>
      <c r="F67" s="6">
        <v>0</v>
      </c>
      <c r="G67" s="6">
        <v>3</v>
      </c>
      <c r="H67" s="7">
        <v>42928</v>
      </c>
      <c r="I67" s="19">
        <v>42933</v>
      </c>
      <c r="J67" s="6" t="s">
        <v>6</v>
      </c>
      <c r="K67" s="49" t="s">
        <v>168</v>
      </c>
      <c r="L67" s="20" t="s">
        <v>158</v>
      </c>
    </row>
    <row r="68" spans="1:12" ht="12.75" customHeight="1" x14ac:dyDescent="0.2">
      <c r="A68" s="108" t="s">
        <v>138</v>
      </c>
      <c r="B68" s="108" t="s">
        <v>205</v>
      </c>
      <c r="C68" s="108" t="s">
        <v>46</v>
      </c>
      <c r="D68" s="105">
        <v>198739</v>
      </c>
      <c r="E68" s="70">
        <v>52395</v>
      </c>
      <c r="F68" s="6"/>
      <c r="G68" s="6">
        <v>10</v>
      </c>
      <c r="H68" s="7">
        <v>43227</v>
      </c>
      <c r="I68" s="7">
        <v>43255</v>
      </c>
      <c r="J68" s="6" t="s">
        <v>6</v>
      </c>
      <c r="K68" s="47" t="s">
        <v>209</v>
      </c>
      <c r="L68" s="111" t="s">
        <v>43</v>
      </c>
    </row>
    <row r="69" spans="1:12" ht="12.75" customHeight="1" x14ac:dyDescent="0.2">
      <c r="A69" s="109"/>
      <c r="B69" s="109"/>
      <c r="C69" s="109"/>
      <c r="D69" s="106"/>
      <c r="E69" s="70">
        <v>51303</v>
      </c>
      <c r="F69" s="6"/>
      <c r="G69" s="6">
        <v>10</v>
      </c>
      <c r="H69" s="7">
        <v>43256</v>
      </c>
      <c r="I69" s="7">
        <v>43277</v>
      </c>
      <c r="J69" s="6" t="s">
        <v>6</v>
      </c>
      <c r="K69" s="47" t="s">
        <v>209</v>
      </c>
      <c r="L69" s="112"/>
    </row>
    <row r="70" spans="1:12" ht="12.75" customHeight="1" x14ac:dyDescent="0.2">
      <c r="A70" s="109"/>
      <c r="B70" s="109"/>
      <c r="C70" s="109"/>
      <c r="D70" s="106"/>
      <c r="E70" s="70">
        <v>30030</v>
      </c>
      <c r="F70" s="6"/>
      <c r="G70" s="6">
        <v>7</v>
      </c>
      <c r="H70" s="7">
        <v>43278</v>
      </c>
      <c r="I70" s="7">
        <v>43286</v>
      </c>
      <c r="J70" s="6" t="s">
        <v>6</v>
      </c>
      <c r="K70" s="49" t="s">
        <v>213</v>
      </c>
      <c r="L70" s="112"/>
    </row>
    <row r="71" spans="1:12" ht="12.75" customHeight="1" x14ac:dyDescent="0.2">
      <c r="A71" s="109"/>
      <c r="B71" s="109"/>
      <c r="C71" s="109"/>
      <c r="D71" s="106"/>
      <c r="E71" s="70">
        <v>32101</v>
      </c>
      <c r="F71" s="6"/>
      <c r="G71" s="6">
        <v>7</v>
      </c>
      <c r="H71" s="7">
        <v>43287</v>
      </c>
      <c r="I71" s="7">
        <v>43305</v>
      </c>
      <c r="J71" s="6" t="s">
        <v>6</v>
      </c>
      <c r="K71" s="49" t="s">
        <v>213</v>
      </c>
      <c r="L71" s="112"/>
    </row>
    <row r="72" spans="1:12" ht="12.75" customHeight="1" x14ac:dyDescent="0.2">
      <c r="A72" s="109"/>
      <c r="B72" s="110"/>
      <c r="C72" s="109"/>
      <c r="D72" s="107"/>
      <c r="E72" s="70">
        <v>32910</v>
      </c>
      <c r="F72" s="6"/>
      <c r="G72" s="6">
        <v>7</v>
      </c>
      <c r="H72" s="7">
        <v>43306</v>
      </c>
      <c r="I72" s="7">
        <v>43314</v>
      </c>
      <c r="J72" s="6" t="s">
        <v>6</v>
      </c>
      <c r="K72" s="46" t="s">
        <v>221</v>
      </c>
      <c r="L72" s="112"/>
    </row>
    <row r="73" spans="1:12" ht="12.75" customHeight="1" x14ac:dyDescent="0.2">
      <c r="A73" s="109"/>
      <c r="B73" s="108" t="s">
        <v>156</v>
      </c>
      <c r="C73" s="109"/>
      <c r="D73" s="105">
        <v>280378</v>
      </c>
      <c r="E73" s="70">
        <v>61416</v>
      </c>
      <c r="F73" s="6"/>
      <c r="G73" s="6">
        <v>19</v>
      </c>
      <c r="H73" s="7">
        <v>42926</v>
      </c>
      <c r="I73" s="7">
        <v>43068</v>
      </c>
      <c r="J73" s="6" t="s">
        <v>6</v>
      </c>
      <c r="K73" s="46" t="s">
        <v>185</v>
      </c>
      <c r="L73" s="112"/>
    </row>
    <row r="74" spans="1:12" ht="12.75" customHeight="1" x14ac:dyDescent="0.2">
      <c r="A74" s="109"/>
      <c r="B74" s="109"/>
      <c r="C74" s="109"/>
      <c r="D74" s="106"/>
      <c r="E74" s="70">
        <v>18697</v>
      </c>
      <c r="F74" s="6"/>
      <c r="G74" s="6">
        <v>5</v>
      </c>
      <c r="H74" s="7">
        <v>43069</v>
      </c>
      <c r="I74" s="7">
        <v>43076</v>
      </c>
      <c r="J74" s="6" t="s">
        <v>6</v>
      </c>
      <c r="K74" s="17" t="s">
        <v>186</v>
      </c>
      <c r="L74" s="112"/>
    </row>
    <row r="75" spans="1:12" ht="12.75" customHeight="1" x14ac:dyDescent="0.2">
      <c r="A75" s="109"/>
      <c r="B75" s="109"/>
      <c r="C75" s="109"/>
      <c r="D75" s="106"/>
      <c r="E75" s="70">
        <v>22912</v>
      </c>
      <c r="F75" s="6"/>
      <c r="G75" s="6">
        <v>7</v>
      </c>
      <c r="H75" s="7">
        <v>43098</v>
      </c>
      <c r="I75" s="7">
        <v>43108</v>
      </c>
      <c r="J75" s="6" t="s">
        <v>6</v>
      </c>
      <c r="K75" s="47" t="s">
        <v>188</v>
      </c>
      <c r="L75" s="112"/>
    </row>
    <row r="76" spans="1:12" ht="12.75" customHeight="1" x14ac:dyDescent="0.2">
      <c r="A76" s="109"/>
      <c r="B76" s="109"/>
      <c r="C76" s="109"/>
      <c r="D76" s="106"/>
      <c r="E76" s="70">
        <v>19226</v>
      </c>
      <c r="F76" s="6"/>
      <c r="G76" s="6">
        <v>5</v>
      </c>
      <c r="H76" s="7">
        <v>43109</v>
      </c>
      <c r="I76" s="7">
        <v>43116</v>
      </c>
      <c r="J76" s="6" t="s">
        <v>6</v>
      </c>
      <c r="K76" s="47" t="s">
        <v>188</v>
      </c>
      <c r="L76" s="112"/>
    </row>
    <row r="77" spans="1:12" ht="12.75" customHeight="1" x14ac:dyDescent="0.2">
      <c r="A77" s="109"/>
      <c r="B77" s="109"/>
      <c r="C77" s="109"/>
      <c r="D77" s="106"/>
      <c r="E77" s="70">
        <v>13396</v>
      </c>
      <c r="F77" s="6"/>
      <c r="G77" s="6">
        <v>3</v>
      </c>
      <c r="H77" s="7">
        <v>43117</v>
      </c>
      <c r="I77" s="7">
        <v>43119</v>
      </c>
      <c r="J77" s="6" t="s">
        <v>6</v>
      </c>
      <c r="K77" s="47" t="s">
        <v>188</v>
      </c>
      <c r="L77" s="112"/>
    </row>
    <row r="78" spans="1:12" ht="12.75" customHeight="1" x14ac:dyDescent="0.2">
      <c r="A78" s="109"/>
      <c r="B78" s="109"/>
      <c r="C78" s="109"/>
      <c r="D78" s="106"/>
      <c r="E78" s="70">
        <v>15206</v>
      </c>
      <c r="F78" s="6"/>
      <c r="G78" s="6">
        <v>4</v>
      </c>
      <c r="H78" s="7">
        <v>43125</v>
      </c>
      <c r="I78" s="7">
        <v>43131</v>
      </c>
      <c r="J78" s="6" t="s">
        <v>6</v>
      </c>
      <c r="K78" s="47" t="s">
        <v>188</v>
      </c>
      <c r="L78" s="112"/>
    </row>
    <row r="79" spans="1:12" ht="12.75" customHeight="1" x14ac:dyDescent="0.2">
      <c r="A79" s="109"/>
      <c r="B79" s="109"/>
      <c r="C79" s="109"/>
      <c r="D79" s="106"/>
      <c r="E79" s="70">
        <v>16006</v>
      </c>
      <c r="F79" s="6"/>
      <c r="G79" s="6">
        <v>4</v>
      </c>
      <c r="H79" s="7">
        <v>43146</v>
      </c>
      <c r="I79" s="7">
        <v>43151</v>
      </c>
      <c r="J79" s="6" t="s">
        <v>6</v>
      </c>
      <c r="K79" s="48" t="s">
        <v>190</v>
      </c>
      <c r="L79" s="112"/>
    </row>
    <row r="80" spans="1:12" ht="12.75" customHeight="1" x14ac:dyDescent="0.2">
      <c r="A80" s="109"/>
      <c r="B80" s="109"/>
      <c r="C80" s="109"/>
      <c r="D80" s="106"/>
      <c r="E80" s="70">
        <v>21296</v>
      </c>
      <c r="F80" s="6"/>
      <c r="G80" s="6">
        <v>6</v>
      </c>
      <c r="H80" s="7">
        <v>43152</v>
      </c>
      <c r="I80" s="7">
        <v>43159</v>
      </c>
      <c r="J80" s="6" t="s">
        <v>6</v>
      </c>
      <c r="K80" s="48" t="s">
        <v>190</v>
      </c>
      <c r="L80" s="112"/>
    </row>
    <row r="81" spans="1:12" ht="12.75" customHeight="1" x14ac:dyDescent="0.2">
      <c r="A81" s="109"/>
      <c r="B81" s="109"/>
      <c r="C81" s="109"/>
      <c r="D81" s="106"/>
      <c r="E81" s="70">
        <v>31143</v>
      </c>
      <c r="F81" s="6"/>
      <c r="G81" s="6">
        <v>9</v>
      </c>
      <c r="H81" s="7">
        <v>43160</v>
      </c>
      <c r="I81" s="7">
        <v>43186</v>
      </c>
      <c r="J81" s="6" t="s">
        <v>6</v>
      </c>
      <c r="K81" s="49" t="s">
        <v>195</v>
      </c>
      <c r="L81" s="112"/>
    </row>
    <row r="82" spans="1:12" ht="12.75" customHeight="1" x14ac:dyDescent="0.2">
      <c r="A82" s="109"/>
      <c r="B82" s="109"/>
      <c r="C82" s="109"/>
      <c r="D82" s="106"/>
      <c r="E82" s="70">
        <v>33450</v>
      </c>
      <c r="F82" s="6"/>
      <c r="G82" s="6">
        <v>6</v>
      </c>
      <c r="H82" s="7">
        <v>43196</v>
      </c>
      <c r="I82" s="7">
        <v>43206</v>
      </c>
      <c r="J82" s="6" t="s">
        <v>6</v>
      </c>
      <c r="K82" s="17" t="s">
        <v>199</v>
      </c>
      <c r="L82" s="112"/>
    </row>
    <row r="83" spans="1:12" ht="12.75" customHeight="1" x14ac:dyDescent="0.2">
      <c r="A83" s="110"/>
      <c r="B83" s="110"/>
      <c r="C83" s="110"/>
      <c r="D83" s="107"/>
      <c r="E83" s="70">
        <v>27630</v>
      </c>
      <c r="F83" s="6"/>
      <c r="G83" s="6">
        <v>5</v>
      </c>
      <c r="H83" s="56">
        <v>43215</v>
      </c>
      <c r="I83" s="7">
        <v>43227</v>
      </c>
      <c r="J83" s="6" t="s">
        <v>6</v>
      </c>
      <c r="K83" s="57" t="s">
        <v>207</v>
      </c>
      <c r="L83" s="113"/>
    </row>
    <row r="84" spans="1:12" ht="12.75" customHeight="1" x14ac:dyDescent="0.2">
      <c r="A84" s="92" t="s">
        <v>139</v>
      </c>
      <c r="B84" s="92" t="s">
        <v>132</v>
      </c>
      <c r="C84" s="92" t="s">
        <v>45</v>
      </c>
      <c r="D84" s="94">
        <v>78584</v>
      </c>
      <c r="E84" s="6">
        <v>41193</v>
      </c>
      <c r="F84" s="6">
        <v>18</v>
      </c>
      <c r="G84" s="6">
        <v>5</v>
      </c>
      <c r="H84" s="7">
        <v>42935</v>
      </c>
      <c r="I84" s="7">
        <v>42941</v>
      </c>
      <c r="J84" s="6" t="s">
        <v>6</v>
      </c>
      <c r="K84" s="49" t="s">
        <v>168</v>
      </c>
      <c r="L84" s="111" t="s">
        <v>43</v>
      </c>
    </row>
    <row r="85" spans="1:12" ht="12.75" customHeight="1" x14ac:dyDescent="0.2">
      <c r="A85" s="97"/>
      <c r="B85" s="97"/>
      <c r="C85" s="97"/>
      <c r="D85" s="95"/>
      <c r="E85" s="6">
        <v>37373</v>
      </c>
      <c r="F85" s="6"/>
      <c r="G85" s="6">
        <v>7</v>
      </c>
      <c r="H85" s="7">
        <v>42942</v>
      </c>
      <c r="I85" s="7">
        <v>42950</v>
      </c>
      <c r="J85" s="6" t="s">
        <v>6</v>
      </c>
      <c r="K85" s="46" t="s">
        <v>170</v>
      </c>
      <c r="L85" s="113"/>
    </row>
    <row r="86" spans="1:12" ht="12.75" customHeight="1" x14ac:dyDescent="0.2">
      <c r="A86" s="5" t="s">
        <v>140</v>
      </c>
      <c r="B86" s="5" t="s">
        <v>132</v>
      </c>
      <c r="C86" s="5" t="s">
        <v>45</v>
      </c>
      <c r="D86" s="6">
        <v>276</v>
      </c>
      <c r="E86" s="6">
        <v>276</v>
      </c>
      <c r="F86" s="6">
        <v>0</v>
      </c>
      <c r="G86" s="6">
        <v>1</v>
      </c>
      <c r="H86" s="7">
        <v>42935</v>
      </c>
      <c r="I86" s="7">
        <v>42935</v>
      </c>
      <c r="J86" s="6" t="s">
        <v>6</v>
      </c>
      <c r="K86" s="49" t="s">
        <v>168</v>
      </c>
      <c r="L86" s="14" t="s">
        <v>102</v>
      </c>
    </row>
    <row r="87" spans="1:12" ht="12.75" customHeight="1" x14ac:dyDescent="0.2">
      <c r="A87" s="5" t="s">
        <v>141</v>
      </c>
      <c r="B87" s="5" t="s">
        <v>132</v>
      </c>
      <c r="C87" s="5" t="s">
        <v>45</v>
      </c>
      <c r="D87" s="6">
        <v>7852</v>
      </c>
      <c r="E87" s="6">
        <v>7852</v>
      </c>
      <c r="F87" s="6">
        <v>0</v>
      </c>
      <c r="G87" s="6">
        <v>2</v>
      </c>
      <c r="H87" s="7">
        <v>42951</v>
      </c>
      <c r="I87" s="7">
        <v>42954</v>
      </c>
      <c r="J87" s="6" t="s">
        <v>6</v>
      </c>
      <c r="K87" s="46" t="s">
        <v>170</v>
      </c>
      <c r="L87" s="14" t="s">
        <v>43</v>
      </c>
    </row>
    <row r="88" spans="1:12" ht="12.75" customHeight="1" x14ac:dyDescent="0.2">
      <c r="A88" s="92" t="s">
        <v>142</v>
      </c>
      <c r="B88" s="92" t="s">
        <v>132</v>
      </c>
      <c r="C88" s="92" t="s">
        <v>45</v>
      </c>
      <c r="D88" s="94">
        <v>83240</v>
      </c>
      <c r="E88" s="6">
        <v>20727</v>
      </c>
      <c r="F88" s="6">
        <v>0</v>
      </c>
      <c r="G88" s="6">
        <v>5</v>
      </c>
      <c r="H88" s="7">
        <v>42957</v>
      </c>
      <c r="I88" s="7">
        <v>42965</v>
      </c>
      <c r="J88" s="6" t="s">
        <v>6</v>
      </c>
      <c r="K88" s="46" t="s">
        <v>170</v>
      </c>
      <c r="L88" s="111" t="s">
        <v>169</v>
      </c>
    </row>
    <row r="89" spans="1:12" ht="12.75" customHeight="1" x14ac:dyDescent="0.2">
      <c r="A89" s="96"/>
      <c r="B89" s="96"/>
      <c r="C89" s="96"/>
      <c r="D89" s="104"/>
      <c r="E89" s="6">
        <v>22095</v>
      </c>
      <c r="F89" s="6">
        <v>0</v>
      </c>
      <c r="G89" s="6">
        <v>5</v>
      </c>
      <c r="H89" s="7">
        <v>42965</v>
      </c>
      <c r="I89" s="7">
        <v>42971</v>
      </c>
      <c r="J89" s="6" t="s">
        <v>6</v>
      </c>
      <c r="K89" s="46" t="s">
        <v>170</v>
      </c>
      <c r="L89" s="112"/>
    </row>
    <row r="90" spans="1:12" ht="12.75" customHeight="1" x14ac:dyDescent="0.2">
      <c r="A90" s="96"/>
      <c r="B90" s="96"/>
      <c r="C90" s="96"/>
      <c r="D90" s="104"/>
      <c r="E90" s="6">
        <v>12362</v>
      </c>
      <c r="F90" s="6">
        <v>0</v>
      </c>
      <c r="G90" s="6">
        <v>3</v>
      </c>
      <c r="H90" s="7">
        <v>42976</v>
      </c>
      <c r="I90" s="7">
        <v>42978</v>
      </c>
      <c r="J90" s="6" t="s">
        <v>6</v>
      </c>
      <c r="K90" s="46" t="s">
        <v>170</v>
      </c>
      <c r="L90" s="112"/>
    </row>
    <row r="91" spans="1:12" ht="12.75" customHeight="1" x14ac:dyDescent="0.2">
      <c r="A91" s="96"/>
      <c r="B91" s="96"/>
      <c r="C91" s="96"/>
      <c r="D91" s="104"/>
      <c r="E91" s="6">
        <v>18880</v>
      </c>
      <c r="F91" s="6">
        <v>0</v>
      </c>
      <c r="G91" s="6">
        <v>8</v>
      </c>
      <c r="H91" s="7">
        <v>42979</v>
      </c>
      <c r="I91" s="7">
        <v>42991</v>
      </c>
      <c r="J91" s="6" t="s">
        <v>6</v>
      </c>
      <c r="K91" s="47" t="s">
        <v>171</v>
      </c>
      <c r="L91" s="112"/>
    </row>
    <row r="92" spans="1:12" ht="12.75" customHeight="1" x14ac:dyDescent="0.2">
      <c r="A92" s="97"/>
      <c r="B92" s="97"/>
      <c r="C92" s="97"/>
      <c r="D92" s="95"/>
      <c r="E92" s="6">
        <v>9176</v>
      </c>
      <c r="F92" s="6">
        <v>0</v>
      </c>
      <c r="G92" s="6">
        <v>4.5</v>
      </c>
      <c r="H92" s="7">
        <v>42992</v>
      </c>
      <c r="I92" s="7">
        <v>43003</v>
      </c>
      <c r="J92" s="6" t="s">
        <v>6</v>
      </c>
      <c r="K92" s="47" t="s">
        <v>171</v>
      </c>
      <c r="L92" s="113"/>
    </row>
    <row r="93" spans="1:12" ht="12.75" customHeight="1" x14ac:dyDescent="0.2">
      <c r="A93" s="5" t="s">
        <v>143</v>
      </c>
      <c r="B93" s="5" t="s">
        <v>62</v>
      </c>
      <c r="C93" s="5" t="s">
        <v>45</v>
      </c>
      <c r="D93" s="6">
        <v>2175</v>
      </c>
      <c r="E93" s="6">
        <v>2175</v>
      </c>
      <c r="F93" s="6">
        <v>0</v>
      </c>
      <c r="G93" s="6">
        <v>1.5</v>
      </c>
      <c r="H93" s="7">
        <v>42971</v>
      </c>
      <c r="I93" s="7">
        <v>42975</v>
      </c>
      <c r="J93" s="6" t="s">
        <v>6</v>
      </c>
      <c r="K93" s="46" t="s">
        <v>170</v>
      </c>
      <c r="L93" s="14" t="s">
        <v>43</v>
      </c>
    </row>
    <row r="94" spans="1:12" ht="12.75" customHeight="1" x14ac:dyDescent="0.2">
      <c r="A94" s="5" t="s">
        <v>144</v>
      </c>
      <c r="B94" s="5" t="s">
        <v>132</v>
      </c>
      <c r="C94" s="5" t="s">
        <v>45</v>
      </c>
      <c r="D94" s="6">
        <v>4361</v>
      </c>
      <c r="E94" s="6">
        <v>4361</v>
      </c>
      <c r="F94" s="6">
        <v>0</v>
      </c>
      <c r="G94" s="6">
        <v>1</v>
      </c>
      <c r="H94" s="7">
        <v>42998</v>
      </c>
      <c r="I94" s="7">
        <v>42999</v>
      </c>
      <c r="J94" s="6" t="s">
        <v>6</v>
      </c>
      <c r="K94" s="47" t="s">
        <v>171</v>
      </c>
      <c r="L94" s="14" t="s">
        <v>43</v>
      </c>
    </row>
    <row r="95" spans="1:12" ht="12.75" customHeight="1" x14ac:dyDescent="0.2">
      <c r="A95" s="5" t="s">
        <v>145</v>
      </c>
      <c r="B95" s="5" t="s">
        <v>132</v>
      </c>
      <c r="C95" s="5" t="s">
        <v>45</v>
      </c>
      <c r="D95" s="6">
        <v>5435</v>
      </c>
      <c r="E95" s="6">
        <v>5413</v>
      </c>
      <c r="F95" s="6">
        <v>22</v>
      </c>
      <c r="G95" s="6">
        <v>1</v>
      </c>
      <c r="H95" s="7">
        <v>42997</v>
      </c>
      <c r="I95" s="7">
        <v>42998</v>
      </c>
      <c r="J95" s="6" t="s">
        <v>6</v>
      </c>
      <c r="K95" s="47" t="s">
        <v>171</v>
      </c>
      <c r="L95" s="14" t="s">
        <v>43</v>
      </c>
    </row>
    <row r="96" spans="1:12" ht="12.75" customHeight="1" x14ac:dyDescent="0.2">
      <c r="A96" s="5" t="s">
        <v>146</v>
      </c>
      <c r="B96" s="5" t="s">
        <v>132</v>
      </c>
      <c r="C96" s="5" t="s">
        <v>45</v>
      </c>
      <c r="D96" s="6">
        <v>4123</v>
      </c>
      <c r="E96" s="6">
        <v>4084</v>
      </c>
      <c r="F96" s="6">
        <v>39</v>
      </c>
      <c r="G96" s="6">
        <v>1</v>
      </c>
      <c r="H96" s="7">
        <v>43004</v>
      </c>
      <c r="I96" s="7">
        <v>43004</v>
      </c>
      <c r="J96" s="6" t="s">
        <v>6</v>
      </c>
      <c r="K96" s="47" t="s">
        <v>171</v>
      </c>
      <c r="L96" s="14" t="s">
        <v>43</v>
      </c>
    </row>
    <row r="97" spans="1:12" ht="12.75" customHeight="1" x14ac:dyDescent="0.2">
      <c r="A97" s="92" t="s">
        <v>147</v>
      </c>
      <c r="B97" s="92" t="s">
        <v>132</v>
      </c>
      <c r="C97" s="92" t="s">
        <v>45</v>
      </c>
      <c r="D97" s="94">
        <v>86977</v>
      </c>
      <c r="E97" s="6">
        <v>56735</v>
      </c>
      <c r="F97" s="6">
        <v>0</v>
      </c>
      <c r="G97" s="6">
        <v>8</v>
      </c>
      <c r="H97" s="7">
        <v>43005</v>
      </c>
      <c r="I97" s="7">
        <v>43018</v>
      </c>
      <c r="J97" s="6" t="s">
        <v>6</v>
      </c>
      <c r="K97" s="45" t="s">
        <v>184</v>
      </c>
      <c r="L97" s="111" t="s">
        <v>183</v>
      </c>
    </row>
    <row r="98" spans="1:12" ht="12.75" customHeight="1" x14ac:dyDescent="0.2">
      <c r="A98" s="96"/>
      <c r="B98" s="96"/>
      <c r="C98" s="96"/>
      <c r="D98" s="104"/>
      <c r="E98" s="6">
        <v>27324</v>
      </c>
      <c r="F98" s="6">
        <v>0</v>
      </c>
      <c r="G98" s="6">
        <v>8</v>
      </c>
      <c r="H98" s="7">
        <v>43020</v>
      </c>
      <c r="I98" s="7">
        <v>43032</v>
      </c>
      <c r="J98" s="6" t="s">
        <v>6</v>
      </c>
      <c r="K98" s="45" t="s">
        <v>184</v>
      </c>
      <c r="L98" s="112"/>
    </row>
    <row r="99" spans="1:12" ht="12.75" customHeight="1" x14ac:dyDescent="0.2">
      <c r="A99" s="97"/>
      <c r="B99" s="97"/>
      <c r="C99" s="97"/>
      <c r="D99" s="95"/>
      <c r="E99" s="6">
        <v>2918</v>
      </c>
      <c r="F99" s="6">
        <v>0</v>
      </c>
      <c r="G99" s="6">
        <v>3</v>
      </c>
      <c r="H99" s="7">
        <v>43033</v>
      </c>
      <c r="I99" s="7">
        <v>43035</v>
      </c>
      <c r="J99" s="6" t="s">
        <v>6</v>
      </c>
      <c r="K99" s="45" t="s">
        <v>184</v>
      </c>
      <c r="L99" s="113"/>
    </row>
    <row r="100" spans="1:12" ht="12.75" customHeight="1" x14ac:dyDescent="0.2">
      <c r="A100" s="5" t="s">
        <v>148</v>
      </c>
      <c r="B100" s="5" t="s">
        <v>62</v>
      </c>
      <c r="C100" s="5" t="s">
        <v>45</v>
      </c>
      <c r="D100" s="6">
        <v>3895</v>
      </c>
      <c r="E100" s="6">
        <v>3895</v>
      </c>
      <c r="F100" s="6">
        <v>0</v>
      </c>
      <c r="G100" s="6">
        <v>1</v>
      </c>
      <c r="H100" s="7">
        <v>43019</v>
      </c>
      <c r="I100" s="7">
        <v>43019</v>
      </c>
      <c r="J100" s="6" t="s">
        <v>6</v>
      </c>
      <c r="K100" s="45" t="s">
        <v>184</v>
      </c>
      <c r="L100" s="14" t="s">
        <v>43</v>
      </c>
    </row>
    <row r="101" spans="1:12" ht="12.75" customHeight="1" x14ac:dyDescent="0.2">
      <c r="A101" s="5" t="s">
        <v>149</v>
      </c>
      <c r="B101" s="5" t="s">
        <v>62</v>
      </c>
      <c r="C101" s="5" t="s">
        <v>45</v>
      </c>
      <c r="D101" s="6">
        <v>3192</v>
      </c>
      <c r="E101" s="6">
        <v>3189</v>
      </c>
      <c r="F101" s="6">
        <v>3</v>
      </c>
      <c r="G101" s="6">
        <v>1</v>
      </c>
      <c r="H101" s="7">
        <v>43038</v>
      </c>
      <c r="I101" s="7">
        <v>43038</v>
      </c>
      <c r="J101" s="6" t="s">
        <v>6</v>
      </c>
      <c r="K101" s="45" t="s">
        <v>184</v>
      </c>
      <c r="L101" s="14" t="s">
        <v>43</v>
      </c>
    </row>
    <row r="102" spans="1:12" ht="12.75" customHeight="1" x14ac:dyDescent="0.2">
      <c r="A102" s="5" t="s">
        <v>150</v>
      </c>
      <c r="B102" s="5" t="s">
        <v>62</v>
      </c>
      <c r="C102" s="5" t="s">
        <v>45</v>
      </c>
      <c r="D102" s="6">
        <v>2174</v>
      </c>
      <c r="E102" s="6">
        <v>2174</v>
      </c>
      <c r="F102" s="6">
        <v>0</v>
      </c>
      <c r="G102" s="6">
        <v>1</v>
      </c>
      <c r="H102" s="7">
        <v>43039</v>
      </c>
      <c r="I102" s="7">
        <v>43039</v>
      </c>
      <c r="J102" s="6" t="s">
        <v>6</v>
      </c>
      <c r="K102" s="45" t="s">
        <v>184</v>
      </c>
      <c r="L102" s="14" t="s">
        <v>43</v>
      </c>
    </row>
    <row r="103" spans="1:12" ht="12.75" customHeight="1" x14ac:dyDescent="0.2">
      <c r="A103" s="92" t="s">
        <v>172</v>
      </c>
      <c r="B103" s="92" t="s">
        <v>62</v>
      </c>
      <c r="C103" s="92" t="s">
        <v>45</v>
      </c>
      <c r="D103" s="94">
        <v>80847</v>
      </c>
      <c r="E103" s="6">
        <v>38991</v>
      </c>
      <c r="F103" s="6">
        <v>22</v>
      </c>
      <c r="G103" s="6">
        <v>5.5</v>
      </c>
      <c r="H103" s="7">
        <v>43045</v>
      </c>
      <c r="I103" s="7">
        <v>43052</v>
      </c>
      <c r="J103" s="6" t="s">
        <v>6</v>
      </c>
      <c r="K103" s="46" t="s">
        <v>185</v>
      </c>
      <c r="L103" s="111" t="s">
        <v>43</v>
      </c>
    </row>
    <row r="104" spans="1:12" ht="12.75" customHeight="1" x14ac:dyDescent="0.2">
      <c r="A104" s="97"/>
      <c r="B104" s="97"/>
      <c r="C104" s="97"/>
      <c r="D104" s="95"/>
      <c r="E104" s="6">
        <v>41834</v>
      </c>
      <c r="F104" s="6"/>
      <c r="G104" s="6">
        <v>6</v>
      </c>
      <c r="H104" s="7">
        <v>43053</v>
      </c>
      <c r="I104" s="7">
        <v>43061</v>
      </c>
      <c r="J104" s="6" t="s">
        <v>6</v>
      </c>
      <c r="K104" s="46" t="s">
        <v>185</v>
      </c>
      <c r="L104" s="113"/>
    </row>
    <row r="105" spans="1:12" ht="12.75" customHeight="1" x14ac:dyDescent="0.2">
      <c r="A105" s="92" t="s">
        <v>173</v>
      </c>
      <c r="B105" s="92" t="s">
        <v>62</v>
      </c>
      <c r="C105" s="92" t="s">
        <v>45</v>
      </c>
      <c r="D105" s="94">
        <v>7914</v>
      </c>
      <c r="E105" s="6">
        <v>6371</v>
      </c>
      <c r="F105" s="6">
        <v>1232</v>
      </c>
      <c r="G105" s="6">
        <v>2</v>
      </c>
      <c r="H105" s="7">
        <v>43041</v>
      </c>
      <c r="I105" s="7">
        <v>43042</v>
      </c>
      <c r="J105" s="6" t="s">
        <v>6</v>
      </c>
      <c r="K105" s="46" t="s">
        <v>185</v>
      </c>
      <c r="L105" s="111" t="s">
        <v>183</v>
      </c>
    </row>
    <row r="106" spans="1:12" ht="12.75" customHeight="1" x14ac:dyDescent="0.2">
      <c r="A106" s="97"/>
      <c r="B106" s="97"/>
      <c r="C106" s="97"/>
      <c r="D106" s="95"/>
      <c r="E106" s="6">
        <v>311</v>
      </c>
      <c r="F106" s="6"/>
      <c r="G106" s="6">
        <v>0.5</v>
      </c>
      <c r="H106" s="7">
        <v>43045</v>
      </c>
      <c r="I106" s="7">
        <v>43045</v>
      </c>
      <c r="J106" s="6" t="s">
        <v>6</v>
      </c>
      <c r="K106" s="46" t="s">
        <v>185</v>
      </c>
      <c r="L106" s="113"/>
    </row>
    <row r="107" spans="1:12" ht="12.75" customHeight="1" x14ac:dyDescent="0.2">
      <c r="A107" s="5" t="s">
        <v>174</v>
      </c>
      <c r="B107" s="5" t="s">
        <v>62</v>
      </c>
      <c r="C107" s="5" t="s">
        <v>45</v>
      </c>
      <c r="D107" s="6">
        <v>21535</v>
      </c>
      <c r="E107" s="6">
        <v>21535</v>
      </c>
      <c r="F107" s="6">
        <v>0</v>
      </c>
      <c r="G107" s="6">
        <v>3</v>
      </c>
      <c r="H107" s="7">
        <v>43062</v>
      </c>
      <c r="I107" s="7">
        <v>43066</v>
      </c>
      <c r="J107" s="6" t="s">
        <v>6</v>
      </c>
      <c r="K107" s="46" t="s">
        <v>185</v>
      </c>
      <c r="L107" s="14" t="s">
        <v>43</v>
      </c>
    </row>
    <row r="108" spans="1:12" ht="12.75" customHeight="1" x14ac:dyDescent="0.2">
      <c r="A108" s="92" t="s">
        <v>175</v>
      </c>
      <c r="B108" s="92" t="s">
        <v>132</v>
      </c>
      <c r="C108" s="92" t="s">
        <v>45</v>
      </c>
      <c r="D108" s="94">
        <v>33238</v>
      </c>
      <c r="E108" s="6">
        <v>18471</v>
      </c>
      <c r="F108" s="6">
        <v>0</v>
      </c>
      <c r="G108" s="6">
        <v>5</v>
      </c>
      <c r="H108" s="7">
        <v>43076</v>
      </c>
      <c r="I108" s="7">
        <v>43082</v>
      </c>
      <c r="J108" s="6" t="s">
        <v>6</v>
      </c>
      <c r="K108" s="17" t="s">
        <v>186</v>
      </c>
      <c r="L108" s="14" t="s">
        <v>43</v>
      </c>
    </row>
    <row r="109" spans="1:12" ht="12.75" customHeight="1" x14ac:dyDescent="0.2">
      <c r="A109" s="96"/>
      <c r="B109" s="96"/>
      <c r="C109" s="96"/>
      <c r="D109" s="104"/>
      <c r="E109" s="6">
        <v>10129</v>
      </c>
      <c r="F109" s="6">
        <v>0</v>
      </c>
      <c r="G109" s="6">
        <v>7</v>
      </c>
      <c r="H109" s="7">
        <v>43083</v>
      </c>
      <c r="I109" s="7">
        <v>43091</v>
      </c>
      <c r="J109" s="6" t="s">
        <v>6</v>
      </c>
      <c r="K109" s="17" t="s">
        <v>186</v>
      </c>
      <c r="L109" s="14" t="s">
        <v>43</v>
      </c>
    </row>
    <row r="110" spans="1:12" ht="12.75" customHeight="1" x14ac:dyDescent="0.2">
      <c r="A110" s="97"/>
      <c r="B110" s="97"/>
      <c r="C110" s="97"/>
      <c r="D110" s="95"/>
      <c r="E110" s="6">
        <v>4638</v>
      </c>
      <c r="F110" s="6">
        <v>0</v>
      </c>
      <c r="G110" s="6">
        <v>3</v>
      </c>
      <c r="H110" s="7">
        <v>43095</v>
      </c>
      <c r="I110" s="7">
        <v>43097</v>
      </c>
      <c r="J110" s="6" t="s">
        <v>6</v>
      </c>
      <c r="K110" s="17" t="s">
        <v>186</v>
      </c>
      <c r="L110" s="14" t="s">
        <v>43</v>
      </c>
    </row>
    <row r="111" spans="1:12" ht="12.75" customHeight="1" x14ac:dyDescent="0.2">
      <c r="A111" s="5" t="s">
        <v>176</v>
      </c>
      <c r="B111" s="5" t="s">
        <v>132</v>
      </c>
      <c r="C111" s="5" t="s">
        <v>45</v>
      </c>
      <c r="D111" s="6">
        <v>6164</v>
      </c>
      <c r="E111" s="6">
        <v>6060</v>
      </c>
      <c r="F111" s="6">
        <v>104</v>
      </c>
      <c r="G111" s="6">
        <v>2</v>
      </c>
      <c r="H111" s="7">
        <v>43123</v>
      </c>
      <c r="I111" s="7">
        <v>43124</v>
      </c>
      <c r="J111" s="6" t="s">
        <v>6</v>
      </c>
      <c r="K111" s="47" t="s">
        <v>188</v>
      </c>
      <c r="L111" s="51" t="s">
        <v>187</v>
      </c>
    </row>
    <row r="112" spans="1:12" ht="12.75" customHeight="1" x14ac:dyDescent="0.2">
      <c r="A112" s="5" t="s">
        <v>177</v>
      </c>
      <c r="B112" s="5" t="s">
        <v>132</v>
      </c>
      <c r="C112" s="5" t="s">
        <v>45</v>
      </c>
      <c r="D112" s="6">
        <v>9399</v>
      </c>
      <c r="E112" s="6">
        <v>9399</v>
      </c>
      <c r="F112" s="6">
        <v>0</v>
      </c>
      <c r="G112" s="6">
        <v>3</v>
      </c>
      <c r="H112" s="7">
        <v>43133</v>
      </c>
      <c r="I112" s="7">
        <v>43137</v>
      </c>
      <c r="J112" s="6" t="s">
        <v>6</v>
      </c>
      <c r="K112" s="48" t="s">
        <v>190</v>
      </c>
      <c r="L112" s="51" t="s">
        <v>189</v>
      </c>
    </row>
    <row r="113" spans="1:12" ht="12.75" customHeight="1" x14ac:dyDescent="0.2">
      <c r="A113" s="5" t="s">
        <v>178</v>
      </c>
      <c r="B113" s="5" t="s">
        <v>132</v>
      </c>
      <c r="C113" s="5" t="s">
        <v>45</v>
      </c>
      <c r="D113" s="6">
        <v>8888</v>
      </c>
      <c r="E113" s="6">
        <v>8716</v>
      </c>
      <c r="F113" s="6">
        <v>172</v>
      </c>
      <c r="G113" s="6">
        <v>3</v>
      </c>
      <c r="H113" s="7">
        <v>43137</v>
      </c>
      <c r="I113" s="7">
        <v>43140</v>
      </c>
      <c r="J113" s="6" t="s">
        <v>6</v>
      </c>
      <c r="K113" s="48" t="s">
        <v>190</v>
      </c>
      <c r="L113" s="51" t="s">
        <v>192</v>
      </c>
    </row>
    <row r="114" spans="1:12" ht="12.75" customHeight="1" x14ac:dyDescent="0.2">
      <c r="A114" s="5" t="s">
        <v>179</v>
      </c>
      <c r="B114" s="5" t="s">
        <v>132</v>
      </c>
      <c r="C114" s="5" t="s">
        <v>191</v>
      </c>
      <c r="D114" s="6">
        <f>613+6703</f>
        <v>7316</v>
      </c>
      <c r="E114" s="6">
        <f>613+6703</f>
        <v>7316</v>
      </c>
      <c r="F114" s="6">
        <v>0</v>
      </c>
      <c r="G114" s="6">
        <v>2</v>
      </c>
      <c r="H114" s="7">
        <v>43143</v>
      </c>
      <c r="I114" s="7">
        <v>43145</v>
      </c>
      <c r="J114" s="6" t="s">
        <v>6</v>
      </c>
      <c r="K114" s="48" t="s">
        <v>190</v>
      </c>
      <c r="L114" s="51" t="s">
        <v>189</v>
      </c>
    </row>
    <row r="115" spans="1:12" ht="12.75" customHeight="1" x14ac:dyDescent="0.2">
      <c r="A115" s="92" t="s">
        <v>180</v>
      </c>
      <c r="B115" s="92" t="s">
        <v>132</v>
      </c>
      <c r="C115" s="92" t="s">
        <v>45</v>
      </c>
      <c r="D115" s="94">
        <v>8146</v>
      </c>
      <c r="E115" s="6">
        <v>5495</v>
      </c>
      <c r="F115" s="6">
        <v>0</v>
      </c>
      <c r="G115" s="6">
        <v>2</v>
      </c>
      <c r="H115" s="7">
        <v>43165</v>
      </c>
      <c r="I115" s="7">
        <v>43166</v>
      </c>
      <c r="J115" s="6" t="s">
        <v>6</v>
      </c>
      <c r="K115" s="49" t="s">
        <v>195</v>
      </c>
      <c r="L115" s="51" t="s">
        <v>189</v>
      </c>
    </row>
    <row r="116" spans="1:12" ht="12.75" customHeight="1" x14ac:dyDescent="0.2">
      <c r="A116" s="97"/>
      <c r="B116" s="97"/>
      <c r="C116" s="97"/>
      <c r="D116" s="95"/>
      <c r="E116" s="6">
        <v>2651</v>
      </c>
      <c r="F116" s="6"/>
      <c r="G116" s="6">
        <v>2</v>
      </c>
      <c r="H116" s="7">
        <v>43171</v>
      </c>
      <c r="I116" s="7">
        <v>43173</v>
      </c>
      <c r="J116" s="6" t="s">
        <v>6</v>
      </c>
      <c r="K116" s="49" t="s">
        <v>195</v>
      </c>
      <c r="L116" s="51" t="s">
        <v>189</v>
      </c>
    </row>
    <row r="117" spans="1:12" ht="12.75" customHeight="1" x14ac:dyDescent="0.2">
      <c r="A117" s="92" t="s">
        <v>181</v>
      </c>
      <c r="B117" s="92" t="s">
        <v>132</v>
      </c>
      <c r="C117" s="92" t="s">
        <v>45</v>
      </c>
      <c r="D117" s="94">
        <v>4906</v>
      </c>
      <c r="E117" s="6">
        <v>2558</v>
      </c>
      <c r="F117" s="6">
        <v>16</v>
      </c>
      <c r="G117" s="6">
        <v>2</v>
      </c>
      <c r="H117" s="7">
        <v>43173</v>
      </c>
      <c r="I117" s="7">
        <v>43175</v>
      </c>
      <c r="J117" s="6" t="s">
        <v>6</v>
      </c>
      <c r="K117" s="49" t="s">
        <v>195</v>
      </c>
      <c r="L117" s="51" t="s">
        <v>189</v>
      </c>
    </row>
    <row r="118" spans="1:12" ht="12.75" customHeight="1" x14ac:dyDescent="0.2">
      <c r="A118" s="97"/>
      <c r="B118" s="97"/>
      <c r="C118" s="97"/>
      <c r="D118" s="95"/>
      <c r="E118" s="6">
        <v>2332</v>
      </c>
      <c r="F118" s="6"/>
      <c r="G118" s="6">
        <v>2</v>
      </c>
      <c r="H118" s="7">
        <v>43178</v>
      </c>
      <c r="I118" s="7">
        <v>43179</v>
      </c>
      <c r="J118" s="6" t="s">
        <v>6</v>
      </c>
      <c r="K118" s="49" t="s">
        <v>195</v>
      </c>
      <c r="L118" s="51" t="s">
        <v>189</v>
      </c>
    </row>
    <row r="119" spans="1:12" ht="12.75" customHeight="1" x14ac:dyDescent="0.2">
      <c r="A119" s="5" t="s">
        <v>182</v>
      </c>
      <c r="B119" s="5" t="s">
        <v>132</v>
      </c>
      <c r="C119" s="5" t="s">
        <v>45</v>
      </c>
      <c r="D119" s="6">
        <v>1829</v>
      </c>
      <c r="E119" s="6">
        <v>1828</v>
      </c>
      <c r="F119" s="6">
        <v>1</v>
      </c>
      <c r="G119" s="6">
        <v>1</v>
      </c>
      <c r="H119" s="7">
        <v>43181</v>
      </c>
      <c r="I119" s="7">
        <v>43181</v>
      </c>
      <c r="J119" s="6" t="s">
        <v>6</v>
      </c>
      <c r="K119" s="49" t="s">
        <v>195</v>
      </c>
      <c r="L119" s="52" t="s">
        <v>193</v>
      </c>
    </row>
    <row r="120" spans="1:12" ht="12.75" customHeight="1" x14ac:dyDescent="0.2">
      <c r="A120" s="5" t="s">
        <v>194</v>
      </c>
      <c r="B120" s="5" t="s">
        <v>132</v>
      </c>
      <c r="C120" s="5" t="s">
        <v>45</v>
      </c>
      <c r="D120" s="6">
        <v>21851</v>
      </c>
      <c r="E120" s="6">
        <v>21851</v>
      </c>
      <c r="F120" s="6">
        <v>0</v>
      </c>
      <c r="G120" s="6">
        <v>6</v>
      </c>
      <c r="H120" s="7">
        <v>43187</v>
      </c>
      <c r="I120" s="7">
        <v>43196</v>
      </c>
      <c r="J120" s="6" t="s">
        <v>6</v>
      </c>
      <c r="K120" s="17" t="s">
        <v>199</v>
      </c>
      <c r="L120" s="51" t="s">
        <v>189</v>
      </c>
    </row>
    <row r="121" spans="1:12" s="54" customFormat="1" ht="12.75" customHeight="1" x14ac:dyDescent="0.2">
      <c r="A121" s="5" t="s">
        <v>196</v>
      </c>
      <c r="B121" s="5" t="s">
        <v>132</v>
      </c>
      <c r="C121" s="5" t="s">
        <v>45</v>
      </c>
      <c r="D121" s="6">
        <v>1926</v>
      </c>
      <c r="E121" s="6">
        <v>1924</v>
      </c>
      <c r="F121" s="6">
        <v>2</v>
      </c>
      <c r="G121" s="6">
        <v>1</v>
      </c>
      <c r="H121" s="7">
        <v>43196</v>
      </c>
      <c r="I121" s="7">
        <v>43199</v>
      </c>
      <c r="J121" s="6" t="s">
        <v>6</v>
      </c>
      <c r="K121" s="17" t="s">
        <v>199</v>
      </c>
      <c r="L121" s="51" t="s">
        <v>189</v>
      </c>
    </row>
    <row r="122" spans="1:12" s="54" customFormat="1" ht="12.75" customHeight="1" x14ac:dyDescent="0.2">
      <c r="A122" s="5" t="s">
        <v>197</v>
      </c>
      <c r="B122" s="5" t="s">
        <v>132</v>
      </c>
      <c r="C122" s="5" t="s">
        <v>45</v>
      </c>
      <c r="D122" s="6">
        <v>20644</v>
      </c>
      <c r="E122" s="6">
        <v>20579</v>
      </c>
      <c r="F122" s="6">
        <v>65</v>
      </c>
      <c r="G122" s="6">
        <v>6</v>
      </c>
      <c r="H122" s="7">
        <v>43207</v>
      </c>
      <c r="I122" s="7">
        <v>43214</v>
      </c>
      <c r="J122" s="6" t="s">
        <v>6</v>
      </c>
      <c r="K122" s="17" t="s">
        <v>199</v>
      </c>
      <c r="L122" s="51" t="s">
        <v>189</v>
      </c>
    </row>
    <row r="123" spans="1:12" s="54" customFormat="1" ht="12.75" customHeight="1" x14ac:dyDescent="0.2">
      <c r="A123" s="5" t="s">
        <v>198</v>
      </c>
      <c r="B123" s="5" t="s">
        <v>132</v>
      </c>
      <c r="C123" s="5" t="s">
        <v>45</v>
      </c>
      <c r="D123" s="6">
        <v>10000</v>
      </c>
      <c r="E123" s="6">
        <v>10000</v>
      </c>
      <c r="F123" s="6">
        <v>0</v>
      </c>
      <c r="G123" s="6">
        <v>2</v>
      </c>
      <c r="H123" s="7">
        <v>43222</v>
      </c>
      <c r="I123" s="7">
        <v>43224</v>
      </c>
      <c r="J123" s="6" t="s">
        <v>6</v>
      </c>
      <c r="K123" s="57" t="s">
        <v>207</v>
      </c>
      <c r="L123" s="55" t="s">
        <v>189</v>
      </c>
    </row>
    <row r="124" spans="1:12" s="54" customFormat="1" ht="12.75" customHeight="1" x14ac:dyDescent="0.2">
      <c r="A124" s="5" t="s">
        <v>200</v>
      </c>
      <c r="B124" s="5" t="s">
        <v>132</v>
      </c>
      <c r="C124" s="5" t="s">
        <v>45</v>
      </c>
      <c r="D124" s="6">
        <v>4016</v>
      </c>
      <c r="E124" s="6">
        <v>3955</v>
      </c>
      <c r="F124" s="6">
        <v>61</v>
      </c>
      <c r="G124" s="6">
        <v>2</v>
      </c>
      <c r="H124" s="7">
        <v>43228</v>
      </c>
      <c r="I124" s="7">
        <v>43230</v>
      </c>
      <c r="J124" s="6" t="s">
        <v>6</v>
      </c>
      <c r="K124" s="57" t="s">
        <v>207</v>
      </c>
      <c r="L124" s="53" t="s">
        <v>201</v>
      </c>
    </row>
    <row r="125" spans="1:12" s="54" customFormat="1" ht="12.75" customHeight="1" x14ac:dyDescent="0.2">
      <c r="A125" s="5" t="s">
        <v>202</v>
      </c>
      <c r="B125" s="5" t="s">
        <v>132</v>
      </c>
      <c r="C125" s="5" t="s">
        <v>45</v>
      </c>
      <c r="D125" s="6">
        <v>1481</v>
      </c>
      <c r="E125" s="6">
        <v>1406</v>
      </c>
      <c r="F125" s="6">
        <v>75</v>
      </c>
      <c r="G125" s="6">
        <v>2</v>
      </c>
      <c r="H125" s="7">
        <v>43238</v>
      </c>
      <c r="I125" s="7">
        <v>43241</v>
      </c>
      <c r="J125" s="6" t="s">
        <v>6</v>
      </c>
      <c r="K125" s="57" t="s">
        <v>207</v>
      </c>
      <c r="L125" s="53" t="s">
        <v>204</v>
      </c>
    </row>
    <row r="126" spans="1:12" s="54" customFormat="1" ht="12.75" customHeight="1" x14ac:dyDescent="0.2">
      <c r="A126" s="92" t="s">
        <v>203</v>
      </c>
      <c r="B126" s="92" t="s">
        <v>132</v>
      </c>
      <c r="C126" s="92" t="s">
        <v>45</v>
      </c>
      <c r="D126" s="6">
        <v>7741</v>
      </c>
      <c r="E126" s="6">
        <v>7731</v>
      </c>
      <c r="F126" s="6">
        <v>10</v>
      </c>
      <c r="G126" s="94">
        <v>7</v>
      </c>
      <c r="H126" s="116">
        <v>43241</v>
      </c>
      <c r="I126" s="116">
        <v>43251</v>
      </c>
      <c r="J126" s="94" t="s">
        <v>6</v>
      </c>
      <c r="K126" s="114" t="s">
        <v>207</v>
      </c>
      <c r="L126" s="98" t="s">
        <v>206</v>
      </c>
    </row>
    <row r="127" spans="1:12" s="54" customFormat="1" ht="12.75" customHeight="1" x14ac:dyDescent="0.2">
      <c r="A127" s="97"/>
      <c r="B127" s="97"/>
      <c r="C127" s="97"/>
      <c r="D127" s="6">
        <v>11205</v>
      </c>
      <c r="E127" s="6">
        <v>11168</v>
      </c>
      <c r="F127" s="6">
        <v>37</v>
      </c>
      <c r="G127" s="95"/>
      <c r="H127" s="117"/>
      <c r="I127" s="117"/>
      <c r="J127" s="95"/>
      <c r="K127" s="115"/>
      <c r="L127" s="100"/>
    </row>
    <row r="128" spans="1:12" s="54" customFormat="1" ht="12.75" customHeight="1" x14ac:dyDescent="0.2">
      <c r="A128" s="92" t="s">
        <v>208</v>
      </c>
      <c r="B128" s="92" t="s">
        <v>132</v>
      </c>
      <c r="C128" s="92" t="s">
        <v>45</v>
      </c>
      <c r="D128" s="94">
        <v>15411</v>
      </c>
      <c r="E128" s="6">
        <v>11028</v>
      </c>
      <c r="F128" s="6">
        <v>84</v>
      </c>
      <c r="G128" s="6">
        <v>4</v>
      </c>
      <c r="H128" s="7">
        <v>43263</v>
      </c>
      <c r="I128" s="7">
        <v>43266</v>
      </c>
      <c r="J128" s="6" t="s">
        <v>6</v>
      </c>
      <c r="K128" s="47" t="s">
        <v>209</v>
      </c>
      <c r="L128" s="53" t="s">
        <v>189</v>
      </c>
    </row>
    <row r="129" spans="1:13" s="54" customFormat="1" ht="12.75" customHeight="1" x14ac:dyDescent="0.2">
      <c r="A129" s="97"/>
      <c r="B129" s="97"/>
      <c r="C129" s="97"/>
      <c r="D129" s="95"/>
      <c r="E129" s="6">
        <v>4299</v>
      </c>
      <c r="F129" s="6">
        <v>0</v>
      </c>
      <c r="G129" s="6">
        <v>1</v>
      </c>
      <c r="H129" s="7">
        <v>43269</v>
      </c>
      <c r="I129" s="7">
        <v>43269</v>
      </c>
      <c r="J129" s="6" t="s">
        <v>6</v>
      </c>
      <c r="K129" s="47" t="s">
        <v>209</v>
      </c>
      <c r="L129" s="58" t="s">
        <v>189</v>
      </c>
    </row>
    <row r="130" spans="1:13" s="54" customFormat="1" ht="12.75" customHeight="1" x14ac:dyDescent="0.2">
      <c r="A130" s="92" t="s">
        <v>210</v>
      </c>
      <c r="B130" s="92" t="s">
        <v>132</v>
      </c>
      <c r="C130" s="92" t="s">
        <v>45</v>
      </c>
      <c r="D130" s="94">
        <v>7874</v>
      </c>
      <c r="E130" s="6">
        <v>7244</v>
      </c>
      <c r="F130" s="6">
        <v>4</v>
      </c>
      <c r="G130" s="6">
        <v>2</v>
      </c>
      <c r="H130" s="7">
        <v>43294</v>
      </c>
      <c r="I130" s="7">
        <v>43300</v>
      </c>
      <c r="J130" s="6" t="s">
        <v>6</v>
      </c>
      <c r="K130" s="49" t="s">
        <v>213</v>
      </c>
      <c r="L130" s="59" t="s">
        <v>189</v>
      </c>
    </row>
    <row r="131" spans="1:13" s="54" customFormat="1" ht="12.75" customHeight="1" x14ac:dyDescent="0.2">
      <c r="A131" s="97"/>
      <c r="B131" s="97"/>
      <c r="C131" s="97"/>
      <c r="D131" s="95"/>
      <c r="E131" s="6">
        <v>626</v>
      </c>
      <c r="F131" s="6">
        <v>0</v>
      </c>
      <c r="G131" s="6">
        <v>2</v>
      </c>
      <c r="H131" s="7">
        <v>43301</v>
      </c>
      <c r="I131" s="7">
        <v>43301</v>
      </c>
      <c r="J131" s="6" t="s">
        <v>6</v>
      </c>
      <c r="K131" s="49" t="s">
        <v>213</v>
      </c>
      <c r="L131" s="60" t="s">
        <v>189</v>
      </c>
    </row>
    <row r="132" spans="1:13" s="54" customFormat="1" ht="12.75" customHeight="1" x14ac:dyDescent="0.2">
      <c r="A132" s="101" t="s">
        <v>211</v>
      </c>
      <c r="B132" s="101" t="s">
        <v>132</v>
      </c>
      <c r="C132" s="101" t="s">
        <v>45</v>
      </c>
      <c r="D132" s="98">
        <v>514445</v>
      </c>
      <c r="E132" s="6">
        <v>35517</v>
      </c>
      <c r="F132" s="6">
        <v>0</v>
      </c>
      <c r="G132" s="6">
        <v>11</v>
      </c>
      <c r="H132" s="7">
        <v>43315</v>
      </c>
      <c r="I132" s="7">
        <v>43343</v>
      </c>
      <c r="J132" s="6" t="s">
        <v>6</v>
      </c>
      <c r="K132" s="46" t="s">
        <v>221</v>
      </c>
      <c r="L132" s="64" t="s">
        <v>189</v>
      </c>
      <c r="M132" s="88" t="s">
        <v>240</v>
      </c>
    </row>
    <row r="133" spans="1:13" s="54" customFormat="1" ht="12.75" customHeight="1" x14ac:dyDescent="0.2">
      <c r="A133" s="102"/>
      <c r="B133" s="102"/>
      <c r="C133" s="102"/>
      <c r="D133" s="99"/>
      <c r="E133" s="6">
        <v>49848</v>
      </c>
      <c r="F133" s="6">
        <v>0</v>
      </c>
      <c r="G133" s="6">
        <v>16</v>
      </c>
      <c r="H133" s="7">
        <v>43345</v>
      </c>
      <c r="I133" s="7">
        <v>43399</v>
      </c>
      <c r="J133" s="6" t="s">
        <v>6</v>
      </c>
      <c r="K133" s="45" t="s">
        <v>242</v>
      </c>
      <c r="L133" s="64" t="s">
        <v>189</v>
      </c>
      <c r="M133" s="88" t="s">
        <v>239</v>
      </c>
    </row>
    <row r="134" spans="1:13" s="54" customFormat="1" ht="12.75" customHeight="1" x14ac:dyDescent="0.2">
      <c r="A134" s="102"/>
      <c r="B134" s="102"/>
      <c r="C134" s="102"/>
      <c r="D134" s="99"/>
      <c r="E134" s="64"/>
      <c r="F134" s="64"/>
      <c r="G134" s="64"/>
      <c r="H134" s="10" t="s">
        <v>244</v>
      </c>
      <c r="I134" s="10"/>
      <c r="J134" s="64"/>
      <c r="K134" s="64" t="s">
        <v>247</v>
      </c>
      <c r="L134" s="64" t="s">
        <v>189</v>
      </c>
    </row>
    <row r="135" spans="1:13" s="54" customFormat="1" ht="12.75" customHeight="1" x14ac:dyDescent="0.2">
      <c r="A135" s="102"/>
      <c r="B135" s="102"/>
      <c r="C135" s="102"/>
      <c r="D135" s="99"/>
      <c r="E135" s="64"/>
      <c r="F135" s="64"/>
      <c r="G135" s="64"/>
      <c r="H135" s="10"/>
      <c r="I135" s="10"/>
      <c r="J135" s="64"/>
      <c r="K135" s="64" t="s">
        <v>247</v>
      </c>
      <c r="L135" s="64" t="s">
        <v>189</v>
      </c>
    </row>
    <row r="136" spans="1:13" s="54" customFormat="1" ht="12.75" customHeight="1" x14ac:dyDescent="0.2">
      <c r="A136" s="103"/>
      <c r="B136" s="103"/>
      <c r="C136" s="103"/>
      <c r="D136" s="100"/>
      <c r="E136" s="53">
        <f>D132-E132-E133</f>
        <v>429080</v>
      </c>
      <c r="F136" s="61"/>
      <c r="G136" s="53"/>
      <c r="H136" s="10"/>
      <c r="I136" s="10"/>
      <c r="J136" s="53"/>
      <c r="K136" s="64" t="s">
        <v>247</v>
      </c>
      <c r="L136" s="64" t="s">
        <v>189</v>
      </c>
    </row>
    <row r="137" spans="1:13" s="54" customFormat="1" ht="12.75" customHeight="1" x14ac:dyDescent="0.2">
      <c r="A137" s="92" t="s">
        <v>214</v>
      </c>
      <c r="B137" s="92" t="s">
        <v>132</v>
      </c>
      <c r="C137" s="92" t="s">
        <v>45</v>
      </c>
      <c r="D137" s="6">
        <v>5658</v>
      </c>
      <c r="E137" s="6">
        <v>5653</v>
      </c>
      <c r="F137" s="6">
        <v>5</v>
      </c>
      <c r="G137" s="6">
        <v>3</v>
      </c>
      <c r="H137" s="7">
        <v>43318</v>
      </c>
      <c r="I137" s="7">
        <v>43320</v>
      </c>
      <c r="J137" s="6" t="s">
        <v>6</v>
      </c>
      <c r="K137" s="46" t="s">
        <v>221</v>
      </c>
      <c r="L137" s="63" t="s">
        <v>189</v>
      </c>
    </row>
    <row r="138" spans="1:13" s="54" customFormat="1" ht="12.75" customHeight="1" x14ac:dyDescent="0.2">
      <c r="A138" s="97"/>
      <c r="B138" s="97"/>
      <c r="C138" s="97"/>
      <c r="D138" s="6">
        <v>3836</v>
      </c>
      <c r="E138" s="6">
        <v>3826</v>
      </c>
      <c r="F138" s="6">
        <v>10</v>
      </c>
      <c r="G138" s="6">
        <v>3</v>
      </c>
      <c r="H138" s="7">
        <v>43318</v>
      </c>
      <c r="I138" s="7">
        <v>43325</v>
      </c>
      <c r="J138" s="6" t="s">
        <v>6</v>
      </c>
      <c r="K138" s="46" t="s">
        <v>221</v>
      </c>
      <c r="L138" s="63" t="s">
        <v>189</v>
      </c>
    </row>
    <row r="139" spans="1:13" s="54" customFormat="1" ht="12.75" customHeight="1" x14ac:dyDescent="0.2">
      <c r="A139" s="5" t="s">
        <v>219</v>
      </c>
      <c r="B139" s="5" t="s">
        <v>132</v>
      </c>
      <c r="C139" s="5" t="s">
        <v>45</v>
      </c>
      <c r="D139" s="6">
        <v>6950</v>
      </c>
      <c r="E139" s="6">
        <v>6889</v>
      </c>
      <c r="F139" s="6">
        <v>61</v>
      </c>
      <c r="G139" s="6">
        <v>3</v>
      </c>
      <c r="H139" s="7">
        <v>43333</v>
      </c>
      <c r="I139" s="7">
        <v>43335</v>
      </c>
      <c r="J139" s="6" t="s">
        <v>6</v>
      </c>
      <c r="K139" s="46" t="s">
        <v>221</v>
      </c>
      <c r="L139" s="64" t="s">
        <v>189</v>
      </c>
    </row>
    <row r="140" spans="1:13" s="54" customFormat="1" ht="12.75" customHeight="1" x14ac:dyDescent="0.2">
      <c r="A140" s="92" t="s">
        <v>225</v>
      </c>
      <c r="B140" s="92" t="s">
        <v>132</v>
      </c>
      <c r="C140" s="92" t="s">
        <v>45</v>
      </c>
      <c r="D140" s="6">
        <v>1479</v>
      </c>
      <c r="E140" s="6">
        <v>1468</v>
      </c>
      <c r="F140" s="6">
        <v>11</v>
      </c>
      <c r="G140" s="6">
        <v>3</v>
      </c>
      <c r="H140" s="7">
        <v>43355</v>
      </c>
      <c r="I140" s="7">
        <v>43358</v>
      </c>
      <c r="J140" s="6" t="s">
        <v>6</v>
      </c>
      <c r="K140" s="47" t="s">
        <v>237</v>
      </c>
      <c r="L140" s="64" t="s">
        <v>189</v>
      </c>
    </row>
    <row r="141" spans="1:13" s="54" customFormat="1" ht="12.75" customHeight="1" x14ac:dyDescent="0.2">
      <c r="A141" s="96"/>
      <c r="B141" s="96"/>
      <c r="C141" s="96"/>
      <c r="D141" s="94">
        <v>75026</v>
      </c>
      <c r="E141" s="6">
        <v>40972</v>
      </c>
      <c r="F141" s="6">
        <v>0</v>
      </c>
      <c r="G141" s="6">
        <v>10</v>
      </c>
      <c r="H141" s="7">
        <v>43360</v>
      </c>
      <c r="I141" s="7">
        <v>43371</v>
      </c>
      <c r="J141" s="6" t="s">
        <v>6</v>
      </c>
      <c r="K141" s="47" t="s">
        <v>237</v>
      </c>
      <c r="L141" s="64" t="s">
        <v>189</v>
      </c>
      <c r="M141" s="87">
        <v>43364</v>
      </c>
    </row>
    <row r="142" spans="1:13" s="54" customFormat="1" ht="12.75" customHeight="1" x14ac:dyDescent="0.2">
      <c r="A142" s="97"/>
      <c r="B142" s="97"/>
      <c r="C142" s="97"/>
      <c r="D142" s="95"/>
      <c r="E142" s="6">
        <v>33993</v>
      </c>
      <c r="F142" s="6">
        <v>61</v>
      </c>
      <c r="G142" s="6">
        <v>9</v>
      </c>
      <c r="H142" s="7">
        <v>43374</v>
      </c>
      <c r="I142" s="7">
        <v>43385</v>
      </c>
      <c r="J142" s="6" t="s">
        <v>6</v>
      </c>
      <c r="K142" s="45" t="s">
        <v>242</v>
      </c>
      <c r="L142" s="64" t="s">
        <v>189</v>
      </c>
      <c r="M142" s="87">
        <v>43379</v>
      </c>
    </row>
    <row r="143" spans="1:13" s="54" customFormat="1" ht="12.75" customHeight="1" x14ac:dyDescent="0.2">
      <c r="A143" s="5" t="s">
        <v>226</v>
      </c>
      <c r="B143" s="5" t="s">
        <v>132</v>
      </c>
      <c r="C143" s="5" t="s">
        <v>45</v>
      </c>
      <c r="D143" s="6">
        <v>774</v>
      </c>
      <c r="E143" s="6">
        <v>761</v>
      </c>
      <c r="F143" s="6">
        <v>13</v>
      </c>
      <c r="G143" s="6">
        <v>1</v>
      </c>
      <c r="H143" s="7">
        <v>43370</v>
      </c>
      <c r="I143" s="7">
        <v>43370</v>
      </c>
      <c r="J143" s="6" t="s">
        <v>6</v>
      </c>
      <c r="K143" s="47" t="s">
        <v>237</v>
      </c>
      <c r="L143" s="64" t="s">
        <v>189</v>
      </c>
    </row>
    <row r="144" spans="1:13" s="54" customFormat="1" ht="12.75" customHeight="1" x14ac:dyDescent="0.2">
      <c r="A144" s="5" t="s">
        <v>241</v>
      </c>
      <c r="B144" s="5" t="s">
        <v>132</v>
      </c>
      <c r="C144" s="5" t="s">
        <v>45</v>
      </c>
      <c r="D144" s="6">
        <v>8505</v>
      </c>
      <c r="E144" s="6">
        <v>8505</v>
      </c>
      <c r="F144" s="6">
        <v>0</v>
      </c>
      <c r="G144" s="6">
        <v>4</v>
      </c>
      <c r="H144" s="7">
        <v>43404</v>
      </c>
      <c r="I144" s="7">
        <v>43410</v>
      </c>
      <c r="J144" s="6" t="s">
        <v>6</v>
      </c>
      <c r="K144" s="46" t="s">
        <v>248</v>
      </c>
      <c r="L144" s="64" t="s">
        <v>189</v>
      </c>
    </row>
    <row r="145" spans="1:13" s="54" customFormat="1" ht="12.75" customHeight="1" x14ac:dyDescent="0.2">
      <c r="A145" s="92" t="s">
        <v>243</v>
      </c>
      <c r="B145" s="92" t="s">
        <v>132</v>
      </c>
      <c r="C145" s="92" t="s">
        <v>45</v>
      </c>
      <c r="D145" s="6">
        <v>5348</v>
      </c>
      <c r="E145" s="6">
        <v>5338</v>
      </c>
      <c r="F145" s="6">
        <v>10</v>
      </c>
      <c r="G145" s="6">
        <v>6</v>
      </c>
      <c r="H145" s="7">
        <v>43413</v>
      </c>
      <c r="I145" s="7">
        <v>43420</v>
      </c>
      <c r="J145" s="6" t="s">
        <v>6</v>
      </c>
      <c r="K145" s="46" t="s">
        <v>248</v>
      </c>
      <c r="L145" s="64" t="s">
        <v>189</v>
      </c>
    </row>
    <row r="146" spans="1:13" s="54" customFormat="1" ht="12.75" customHeight="1" x14ac:dyDescent="0.2">
      <c r="A146" s="93"/>
      <c r="B146" s="93"/>
      <c r="C146" s="93"/>
      <c r="D146" s="91">
        <v>10992</v>
      </c>
      <c r="E146" s="6">
        <v>10986</v>
      </c>
      <c r="F146" s="6">
        <v>6</v>
      </c>
      <c r="G146" s="6">
        <v>8</v>
      </c>
      <c r="H146" s="7">
        <v>43423</v>
      </c>
      <c r="I146" s="7">
        <v>43432</v>
      </c>
      <c r="J146" s="6" t="s">
        <v>6</v>
      </c>
      <c r="K146" s="46" t="s">
        <v>248</v>
      </c>
      <c r="L146" s="64" t="s">
        <v>189</v>
      </c>
      <c r="M146" s="87"/>
    </row>
    <row r="147" spans="1:13" s="54" customFormat="1" ht="12.75" customHeight="1" x14ac:dyDescent="0.2">
      <c r="A147" s="90" t="s">
        <v>245</v>
      </c>
      <c r="B147" s="90" t="s">
        <v>132</v>
      </c>
      <c r="C147" s="90" t="s">
        <v>45</v>
      </c>
      <c r="D147" s="91">
        <v>15959</v>
      </c>
      <c r="E147" s="6">
        <v>15934</v>
      </c>
      <c r="F147" s="6">
        <v>25</v>
      </c>
      <c r="G147" s="6">
        <v>7</v>
      </c>
      <c r="H147" s="7">
        <v>43433</v>
      </c>
      <c r="I147" s="7">
        <v>43441</v>
      </c>
      <c r="J147" s="6" t="s">
        <v>6</v>
      </c>
      <c r="K147" s="64" t="s">
        <v>247</v>
      </c>
      <c r="L147" s="64" t="s">
        <v>189</v>
      </c>
      <c r="M147" s="87"/>
    </row>
    <row r="148" spans="1:13" s="54" customFormat="1" ht="12.75" customHeight="1" x14ac:dyDescent="0.2">
      <c r="A148" s="8" t="s">
        <v>246</v>
      </c>
      <c r="B148" s="8" t="s">
        <v>132</v>
      </c>
      <c r="C148" s="8" t="s">
        <v>249</v>
      </c>
      <c r="D148" s="89">
        <v>56321</v>
      </c>
      <c r="E148" s="64"/>
      <c r="F148" s="64"/>
      <c r="G148" s="64"/>
      <c r="H148" s="10">
        <v>43444</v>
      </c>
      <c r="I148" s="10"/>
      <c r="J148" s="64"/>
      <c r="K148" s="64" t="s">
        <v>247</v>
      </c>
      <c r="L148" s="64" t="s">
        <v>189</v>
      </c>
      <c r="M148" s="87"/>
    </row>
    <row r="149" spans="1:13" s="54" customFormat="1" ht="12.75" customHeight="1" x14ac:dyDescent="0.2">
      <c r="A149" s="8"/>
      <c r="B149" s="8"/>
      <c r="C149" s="8"/>
      <c r="D149" s="89"/>
      <c r="E149" s="64"/>
      <c r="F149" s="64"/>
      <c r="G149" s="64"/>
      <c r="H149" s="10"/>
      <c r="I149" s="10"/>
      <c r="J149" s="64"/>
      <c r="K149" s="64"/>
      <c r="L149" s="64"/>
      <c r="M149" s="87"/>
    </row>
    <row r="150" spans="1:13" s="54" customFormat="1" ht="12.75" customHeight="1" x14ac:dyDescent="0.2">
      <c r="A150" s="8"/>
      <c r="B150" s="8"/>
      <c r="C150" s="8"/>
      <c r="D150" s="89"/>
      <c r="E150" s="64"/>
      <c r="F150" s="64"/>
      <c r="G150" s="64"/>
      <c r="H150" s="10"/>
      <c r="I150" s="10"/>
      <c r="J150" s="64"/>
      <c r="K150" s="64"/>
      <c r="L150" s="64"/>
      <c r="M150" s="87"/>
    </row>
    <row r="151" spans="1:13" s="54" customFormat="1" ht="12.75" customHeight="1" x14ac:dyDescent="0.2">
      <c r="A151" s="8"/>
      <c r="B151" s="8"/>
      <c r="C151" s="8"/>
      <c r="D151" s="89"/>
      <c r="E151" s="64"/>
      <c r="F151" s="64"/>
      <c r="G151" s="64"/>
      <c r="H151" s="10"/>
      <c r="I151" s="10"/>
      <c r="J151" s="64"/>
      <c r="K151" s="64"/>
      <c r="L151" s="64"/>
      <c r="M151" s="87"/>
    </row>
    <row r="152" spans="1:13" s="54" customFormat="1" ht="12.75" customHeight="1" x14ac:dyDescent="0.2">
      <c r="A152" s="8"/>
      <c r="B152" s="8"/>
      <c r="C152" s="8"/>
      <c r="D152" s="89"/>
      <c r="E152" s="64"/>
      <c r="F152" s="64"/>
      <c r="G152" s="64"/>
      <c r="H152" s="10"/>
      <c r="I152" s="10"/>
      <c r="J152" s="64"/>
      <c r="K152" s="64"/>
      <c r="L152" s="64"/>
      <c r="M152" s="87"/>
    </row>
    <row r="153" spans="1:13" s="54" customFormat="1" ht="12.75" customHeight="1" x14ac:dyDescent="0.2">
      <c r="A153" s="8"/>
      <c r="B153" s="8"/>
      <c r="C153" s="8"/>
      <c r="D153" s="89"/>
      <c r="E153" s="64"/>
      <c r="F153" s="64"/>
      <c r="G153" s="64"/>
      <c r="H153" s="10"/>
      <c r="I153" s="10"/>
      <c r="J153" s="64"/>
      <c r="K153" s="64"/>
      <c r="L153" s="64"/>
      <c r="M153" s="87"/>
    </row>
    <row r="154" spans="1:13" s="54" customFormat="1" ht="12.75" customHeight="1" x14ac:dyDescent="0.2">
      <c r="A154" s="8"/>
      <c r="B154" s="8"/>
      <c r="C154" s="8"/>
      <c r="D154" s="89"/>
      <c r="E154" s="64"/>
      <c r="F154" s="64"/>
      <c r="G154" s="64"/>
      <c r="H154" s="10"/>
      <c r="I154" s="10"/>
      <c r="J154" s="64"/>
      <c r="K154" s="64"/>
      <c r="L154" s="64"/>
      <c r="M154" s="87"/>
    </row>
    <row r="155" spans="1:13" s="54" customFormat="1" ht="12.75" customHeight="1" x14ac:dyDescent="0.2">
      <c r="A155" s="8"/>
      <c r="B155" s="8"/>
      <c r="C155" s="8"/>
      <c r="D155" s="89"/>
      <c r="E155" s="64"/>
      <c r="F155" s="64"/>
      <c r="G155" s="64"/>
      <c r="H155" s="10"/>
      <c r="I155" s="10"/>
      <c r="J155" s="64"/>
      <c r="K155" s="64"/>
      <c r="L155" s="64"/>
      <c r="M155" s="87"/>
    </row>
    <row r="156" spans="1:13" s="54" customFormat="1" ht="12.75" customHeight="1" x14ac:dyDescent="0.2">
      <c r="A156" s="8"/>
      <c r="B156" s="8"/>
      <c r="C156" s="8"/>
      <c r="D156" s="89"/>
      <c r="E156" s="64"/>
      <c r="F156" s="64"/>
      <c r="G156" s="64"/>
      <c r="H156" s="10"/>
      <c r="I156" s="10"/>
      <c r="J156" s="64"/>
      <c r="K156" s="64"/>
      <c r="L156" s="64"/>
      <c r="M156" s="87"/>
    </row>
    <row r="157" spans="1:13" s="54" customFormat="1" ht="12.75" customHeight="1" x14ac:dyDescent="0.2">
      <c r="A157" s="8"/>
      <c r="B157" s="8"/>
      <c r="C157" s="8"/>
      <c r="D157" s="89"/>
      <c r="E157" s="64"/>
      <c r="F157" s="64"/>
      <c r="G157" s="64"/>
      <c r="H157" s="10"/>
      <c r="I157" s="10"/>
      <c r="J157" s="64"/>
      <c r="K157" s="64"/>
      <c r="L157" s="64"/>
      <c r="M157" s="87"/>
    </row>
    <row r="158" spans="1:13" s="54" customFormat="1" ht="12.75" customHeight="1" x14ac:dyDescent="0.2">
      <c r="A158" s="8"/>
      <c r="B158" s="8"/>
      <c r="C158" s="8"/>
      <c r="D158" s="89"/>
      <c r="E158" s="64"/>
      <c r="F158" s="64"/>
      <c r="G158" s="64"/>
      <c r="H158" s="10"/>
      <c r="I158" s="10"/>
      <c r="J158" s="64"/>
      <c r="K158" s="64"/>
      <c r="L158" s="64"/>
      <c r="M158" s="87"/>
    </row>
    <row r="159" spans="1:13" s="54" customFormat="1" ht="12.75" customHeight="1" x14ac:dyDescent="0.2">
      <c r="A159" s="8"/>
      <c r="B159" s="8"/>
      <c r="C159" s="8"/>
      <c r="D159" s="89"/>
      <c r="E159" s="64"/>
      <c r="F159" s="64"/>
      <c r="G159" s="64"/>
      <c r="H159" s="10"/>
      <c r="I159" s="10"/>
      <c r="J159" s="64"/>
      <c r="K159" s="64"/>
      <c r="L159" s="64"/>
      <c r="M159" s="87"/>
    </row>
    <row r="160" spans="1:13" s="54" customFormat="1" ht="12.75" customHeight="1" x14ac:dyDescent="0.2">
      <c r="A160" s="8"/>
      <c r="B160" s="8"/>
      <c r="C160" s="8"/>
      <c r="D160" s="89"/>
      <c r="E160" s="64"/>
      <c r="F160" s="64"/>
      <c r="G160" s="64"/>
      <c r="H160" s="10"/>
      <c r="I160" s="10"/>
      <c r="J160" s="64"/>
      <c r="K160" s="64"/>
      <c r="L160" s="64"/>
      <c r="M160" s="87"/>
    </row>
    <row r="161" spans="1:13" s="54" customFormat="1" ht="12.75" customHeight="1" x14ac:dyDescent="0.2">
      <c r="A161" s="8"/>
      <c r="B161" s="8"/>
      <c r="C161" s="8"/>
      <c r="D161" s="89"/>
      <c r="E161" s="64"/>
      <c r="F161" s="64"/>
      <c r="G161" s="64"/>
      <c r="H161" s="10"/>
      <c r="I161" s="10"/>
      <c r="J161" s="64"/>
      <c r="K161" s="64"/>
      <c r="L161" s="64"/>
      <c r="M161" s="87"/>
    </row>
    <row r="162" spans="1:13" s="54" customFormat="1" ht="12.75" customHeight="1" x14ac:dyDescent="0.2">
      <c r="A162" s="8"/>
      <c r="B162" s="8"/>
      <c r="C162" s="8"/>
      <c r="D162" s="89"/>
      <c r="E162" s="64"/>
      <c r="F162" s="64"/>
      <c r="G162" s="64"/>
      <c r="H162" s="10"/>
      <c r="I162" s="10"/>
      <c r="J162" s="64"/>
      <c r="K162" s="64"/>
      <c r="L162" s="64"/>
      <c r="M162" s="87"/>
    </row>
    <row r="163" spans="1:13" s="54" customFormat="1" ht="12.75" customHeight="1" x14ac:dyDescent="0.2">
      <c r="A163" s="8"/>
      <c r="B163" s="8"/>
      <c r="C163" s="8"/>
      <c r="D163" s="89"/>
      <c r="E163" s="64"/>
      <c r="F163" s="64"/>
      <c r="G163" s="64"/>
      <c r="H163" s="10"/>
      <c r="I163" s="10"/>
      <c r="J163" s="64"/>
      <c r="K163" s="64"/>
      <c r="L163" s="64"/>
      <c r="M163" s="87"/>
    </row>
    <row r="164" spans="1:13" s="54" customFormat="1" ht="12.75" customHeight="1" x14ac:dyDescent="0.2">
      <c r="A164" s="8"/>
      <c r="B164" s="8"/>
      <c r="C164" s="8"/>
      <c r="D164" s="89"/>
      <c r="E164" s="64"/>
      <c r="F164" s="64"/>
      <c r="G164" s="64"/>
      <c r="H164" s="10"/>
      <c r="I164" s="10"/>
      <c r="J164" s="64"/>
      <c r="K164" s="64"/>
      <c r="L164" s="64"/>
      <c r="M164" s="87"/>
    </row>
    <row r="165" spans="1:13" s="54" customFormat="1" ht="12.75" customHeight="1" x14ac:dyDescent="0.2">
      <c r="A165" s="8"/>
      <c r="B165" s="8"/>
      <c r="C165" s="8"/>
      <c r="D165" s="89"/>
      <c r="E165" s="64"/>
      <c r="F165" s="64"/>
      <c r="G165" s="64"/>
      <c r="H165" s="10"/>
      <c r="I165" s="10"/>
      <c r="J165" s="64"/>
      <c r="K165" s="64"/>
      <c r="L165" s="64"/>
      <c r="M165" s="87"/>
    </row>
    <row r="166" spans="1:13" s="54" customFormat="1" ht="12.75" customHeight="1" x14ac:dyDescent="0.2">
      <c r="A166" s="8"/>
      <c r="B166" s="8"/>
      <c r="C166" s="8"/>
      <c r="D166" s="89"/>
      <c r="E166" s="64"/>
      <c r="F166" s="64"/>
      <c r="G166" s="64"/>
      <c r="H166" s="10"/>
      <c r="I166" s="10"/>
      <c r="J166" s="64"/>
      <c r="K166" s="64"/>
      <c r="L166" s="64"/>
      <c r="M166" s="87"/>
    </row>
    <row r="167" spans="1:13" s="54" customFormat="1" ht="12.75" customHeight="1" x14ac:dyDescent="0.2">
      <c r="A167" s="8"/>
      <c r="B167" s="8"/>
      <c r="C167" s="8"/>
      <c r="D167" s="89"/>
      <c r="E167" s="64"/>
      <c r="F167" s="64"/>
      <c r="G167" s="64"/>
      <c r="H167" s="10"/>
      <c r="I167" s="10"/>
      <c r="J167" s="64"/>
      <c r="K167" s="64"/>
      <c r="L167" s="64"/>
      <c r="M167" s="87"/>
    </row>
    <row r="168" spans="1:13" s="54" customFormat="1" ht="12.75" customHeight="1" x14ac:dyDescent="0.2">
      <c r="A168" s="8"/>
      <c r="B168" s="8"/>
      <c r="C168" s="8"/>
      <c r="D168" s="89"/>
      <c r="E168" s="64"/>
      <c r="F168" s="64"/>
      <c r="G168" s="64"/>
      <c r="H168" s="10"/>
      <c r="I168" s="10"/>
      <c r="J168" s="64"/>
      <c r="K168" s="64"/>
      <c r="L168" s="64"/>
      <c r="M168" s="87"/>
    </row>
    <row r="169" spans="1:13" s="54" customFormat="1" ht="12.75" customHeight="1" x14ac:dyDescent="0.2">
      <c r="A169" s="8"/>
      <c r="B169" s="8"/>
      <c r="C169" s="8"/>
      <c r="D169" s="53"/>
      <c r="E169" s="53"/>
      <c r="F169" s="61"/>
      <c r="G169" s="53"/>
      <c r="H169" s="10"/>
      <c r="I169" s="10"/>
      <c r="J169" s="64"/>
      <c r="K169" s="64"/>
      <c r="L169" s="53"/>
    </row>
  </sheetData>
  <autoFilter ref="A1:M175"/>
  <mergeCells count="82">
    <mergeCell ref="G126:G127"/>
    <mergeCell ref="D128:D129"/>
    <mergeCell ref="A128:A129"/>
    <mergeCell ref="B128:B129"/>
    <mergeCell ref="C128:C129"/>
    <mergeCell ref="L126:L127"/>
    <mergeCell ref="K126:K127"/>
    <mergeCell ref="J126:J127"/>
    <mergeCell ref="I126:I127"/>
    <mergeCell ref="H126:H127"/>
    <mergeCell ref="B103:B104"/>
    <mergeCell ref="A103:A104"/>
    <mergeCell ref="D108:D110"/>
    <mergeCell ref="C108:C110"/>
    <mergeCell ref="B108:B110"/>
    <mergeCell ref="A108:A110"/>
    <mergeCell ref="C105:C106"/>
    <mergeCell ref="C103:C104"/>
    <mergeCell ref="A105:A106"/>
    <mergeCell ref="D115:D116"/>
    <mergeCell ref="C115:C116"/>
    <mergeCell ref="B115:B116"/>
    <mergeCell ref="B105:B106"/>
    <mergeCell ref="A115:A116"/>
    <mergeCell ref="L103:L104"/>
    <mergeCell ref="L84:L85"/>
    <mergeCell ref="L88:L92"/>
    <mergeCell ref="D97:D99"/>
    <mergeCell ref="D105:D106"/>
    <mergeCell ref="L97:L99"/>
    <mergeCell ref="L105:L106"/>
    <mergeCell ref="D88:D92"/>
    <mergeCell ref="D103:D104"/>
    <mergeCell ref="B97:B99"/>
    <mergeCell ref="C97:C99"/>
    <mergeCell ref="L68:L83"/>
    <mergeCell ref="B73:B83"/>
    <mergeCell ref="D84:D85"/>
    <mergeCell ref="C84:C85"/>
    <mergeCell ref="B84:B85"/>
    <mergeCell ref="C68:C83"/>
    <mergeCell ref="B68:B72"/>
    <mergeCell ref="D68:D72"/>
    <mergeCell ref="B132:B136"/>
    <mergeCell ref="A132:A136"/>
    <mergeCell ref="A97:A99"/>
    <mergeCell ref="G14:G15"/>
    <mergeCell ref="J14:J15"/>
    <mergeCell ref="D37:D39"/>
    <mergeCell ref="D66:D67"/>
    <mergeCell ref="D73:D83"/>
    <mergeCell ref="C66:C67"/>
    <mergeCell ref="A84:A85"/>
    <mergeCell ref="A68:A83"/>
    <mergeCell ref="C88:C92"/>
    <mergeCell ref="B88:B92"/>
    <mergeCell ref="A88:A92"/>
    <mergeCell ref="A66:A67"/>
    <mergeCell ref="B66:B67"/>
    <mergeCell ref="A137:A138"/>
    <mergeCell ref="B137:B138"/>
    <mergeCell ref="C137:C138"/>
    <mergeCell ref="D117:D118"/>
    <mergeCell ref="C117:C118"/>
    <mergeCell ref="B117:B118"/>
    <mergeCell ref="A117:A118"/>
    <mergeCell ref="A126:A127"/>
    <mergeCell ref="C126:C127"/>
    <mergeCell ref="B126:B127"/>
    <mergeCell ref="D130:D131"/>
    <mergeCell ref="C130:C131"/>
    <mergeCell ref="B130:B131"/>
    <mergeCell ref="A130:A131"/>
    <mergeCell ref="D132:D136"/>
    <mergeCell ref="C132:C136"/>
    <mergeCell ref="A145:A146"/>
    <mergeCell ref="B145:B146"/>
    <mergeCell ref="C145:C146"/>
    <mergeCell ref="D141:D142"/>
    <mergeCell ref="A140:A142"/>
    <mergeCell ref="B140:B142"/>
    <mergeCell ref="C140:C1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C1" workbookViewId="0">
      <selection activeCell="E28" sqref="E28"/>
    </sheetView>
  </sheetViews>
  <sheetFormatPr defaultRowHeight="12.75" x14ac:dyDescent="0.2"/>
  <cols>
    <col min="1" max="1" width="6.7109375" style="23" bestFit="1" customWidth="1"/>
    <col min="2" max="2" width="19.5703125" style="23" bestFit="1" customWidth="1"/>
    <col min="3" max="3" width="18" style="23" bestFit="1" customWidth="1"/>
    <col min="4" max="4" width="18.140625" style="23" bestFit="1" customWidth="1"/>
    <col min="5" max="5" width="15.7109375" style="23" bestFit="1" customWidth="1"/>
    <col min="6" max="6" width="9.5703125" style="23" customWidth="1"/>
    <col min="7" max="7" width="14.5703125" style="38" bestFit="1" customWidth="1"/>
    <col min="8" max="8" width="9.42578125" style="23" bestFit="1" customWidth="1"/>
    <col min="9" max="9" width="71" style="23" customWidth="1"/>
    <col min="10" max="10" width="10.85546875" style="38" customWidth="1"/>
    <col min="11" max="11" width="12.140625" style="23" bestFit="1" customWidth="1"/>
    <col min="12" max="12" width="9.5703125" style="23" bestFit="1" customWidth="1"/>
    <col min="13" max="16384" width="9.140625" style="23"/>
  </cols>
  <sheetData>
    <row r="1" spans="1:12" x14ac:dyDescent="0.2">
      <c r="A1" s="21" t="s">
        <v>0</v>
      </c>
      <c r="B1" s="21" t="s">
        <v>1</v>
      </c>
      <c r="C1" s="21" t="s">
        <v>44</v>
      </c>
      <c r="D1" s="21" t="s">
        <v>58</v>
      </c>
      <c r="E1" s="21" t="s">
        <v>59</v>
      </c>
      <c r="F1" s="21" t="s">
        <v>223</v>
      </c>
      <c r="G1" s="21" t="s">
        <v>60</v>
      </c>
      <c r="H1" s="21" t="s">
        <v>2</v>
      </c>
      <c r="I1" s="21" t="s">
        <v>3</v>
      </c>
      <c r="J1" s="21" t="s">
        <v>39</v>
      </c>
      <c r="K1" s="21" t="s">
        <v>18</v>
      </c>
      <c r="L1" s="22" t="s">
        <v>42</v>
      </c>
    </row>
    <row r="2" spans="1:12" hidden="1" x14ac:dyDescent="0.2">
      <c r="A2" s="119" t="s">
        <v>138</v>
      </c>
      <c r="B2" s="35" t="s">
        <v>155</v>
      </c>
      <c r="C2" s="120" t="s">
        <v>46</v>
      </c>
      <c r="D2" s="120">
        <v>479117</v>
      </c>
      <c r="E2" s="36"/>
      <c r="F2" s="71"/>
      <c r="G2" s="36"/>
      <c r="H2" s="121">
        <v>42926</v>
      </c>
      <c r="I2" s="121">
        <v>42986</v>
      </c>
      <c r="J2" s="120" t="s">
        <v>154</v>
      </c>
      <c r="K2" s="36"/>
      <c r="L2" s="118" t="s">
        <v>43</v>
      </c>
    </row>
    <row r="3" spans="1:12" hidden="1" x14ac:dyDescent="0.2">
      <c r="A3" s="119"/>
      <c r="B3" s="35" t="s">
        <v>156</v>
      </c>
      <c r="C3" s="120"/>
      <c r="D3" s="120"/>
      <c r="E3" s="36"/>
      <c r="F3" s="71"/>
      <c r="G3" s="36"/>
      <c r="H3" s="121"/>
      <c r="I3" s="121"/>
      <c r="J3" s="120"/>
      <c r="K3" s="36"/>
      <c r="L3" s="118"/>
    </row>
    <row r="4" spans="1:12" hidden="1" x14ac:dyDescent="0.2">
      <c r="A4" s="24" t="s">
        <v>138</v>
      </c>
      <c r="B4" s="24" t="s">
        <v>156</v>
      </c>
      <c r="C4" s="24" t="s">
        <v>159</v>
      </c>
      <c r="D4" s="25">
        <v>280378</v>
      </c>
      <c r="E4" s="24"/>
      <c r="F4" s="24"/>
      <c r="G4" s="25">
        <v>2</v>
      </c>
      <c r="H4" s="37">
        <v>42926</v>
      </c>
      <c r="I4" s="37">
        <v>42927</v>
      </c>
      <c r="J4" s="25" t="s">
        <v>154</v>
      </c>
      <c r="K4" s="24"/>
      <c r="L4" s="26" t="s">
        <v>43</v>
      </c>
    </row>
    <row r="5" spans="1:12" hidden="1" x14ac:dyDescent="0.2">
      <c r="A5" s="24" t="s">
        <v>138</v>
      </c>
      <c r="B5" s="24" t="s">
        <v>156</v>
      </c>
      <c r="C5" s="24" t="s">
        <v>159</v>
      </c>
      <c r="D5" s="25">
        <v>280378</v>
      </c>
      <c r="E5" s="24"/>
      <c r="F5" s="24"/>
      <c r="G5" s="25">
        <v>2</v>
      </c>
      <c r="H5" s="37">
        <v>42933</v>
      </c>
      <c r="I5" s="37">
        <v>42934</v>
      </c>
      <c r="J5" s="25" t="s">
        <v>154</v>
      </c>
      <c r="K5" s="24"/>
      <c r="L5" s="26" t="s">
        <v>43</v>
      </c>
    </row>
    <row r="6" spans="1:12" hidden="1" x14ac:dyDescent="0.2">
      <c r="A6" s="24" t="s">
        <v>138</v>
      </c>
      <c r="B6" s="24" t="s">
        <v>156</v>
      </c>
      <c r="C6" s="24" t="s">
        <v>159</v>
      </c>
      <c r="D6" s="25">
        <v>280378</v>
      </c>
      <c r="E6" s="24"/>
      <c r="F6" s="24"/>
      <c r="G6" s="25">
        <v>2.5</v>
      </c>
      <c r="H6" s="37">
        <v>42955</v>
      </c>
      <c r="I6" s="37">
        <v>42957</v>
      </c>
      <c r="J6" s="25" t="s">
        <v>154</v>
      </c>
      <c r="K6" s="24"/>
      <c r="L6" s="26" t="s">
        <v>43</v>
      </c>
    </row>
    <row r="7" spans="1:12" hidden="1" x14ac:dyDescent="0.2">
      <c r="A7" s="24" t="s">
        <v>138</v>
      </c>
      <c r="B7" s="24" t="s">
        <v>156</v>
      </c>
      <c r="C7" s="24" t="s">
        <v>159</v>
      </c>
      <c r="D7" s="25">
        <v>280378</v>
      </c>
      <c r="E7" s="24"/>
      <c r="F7" s="24"/>
      <c r="G7" s="25">
        <v>7</v>
      </c>
      <c r="H7" s="37">
        <v>43003</v>
      </c>
      <c r="I7" s="37">
        <v>43011</v>
      </c>
      <c r="J7" s="25" t="s">
        <v>154</v>
      </c>
      <c r="K7" s="24"/>
      <c r="L7" s="26" t="s">
        <v>43</v>
      </c>
    </row>
    <row r="8" spans="1:12" hidden="1" x14ac:dyDescent="0.2">
      <c r="A8" s="24" t="s">
        <v>138</v>
      </c>
      <c r="B8" s="24" t="s">
        <v>156</v>
      </c>
      <c r="C8" s="24" t="s">
        <v>159</v>
      </c>
      <c r="D8" s="25">
        <v>280378</v>
      </c>
      <c r="E8" s="24"/>
      <c r="F8" s="24"/>
      <c r="G8" s="25">
        <v>6</v>
      </c>
      <c r="H8" s="43">
        <v>43032</v>
      </c>
      <c r="I8" s="43">
        <v>43037</v>
      </c>
      <c r="J8" s="25" t="s">
        <v>162</v>
      </c>
      <c r="K8" s="24"/>
      <c r="L8" s="26" t="s">
        <v>43</v>
      </c>
    </row>
    <row r="9" spans="1:12" hidden="1" x14ac:dyDescent="0.2">
      <c r="A9" s="24" t="s">
        <v>138</v>
      </c>
      <c r="B9" s="40" t="s">
        <v>155</v>
      </c>
      <c r="C9" s="24" t="s">
        <v>159</v>
      </c>
      <c r="D9" s="25">
        <v>198739</v>
      </c>
      <c r="E9" s="24"/>
      <c r="F9" s="24"/>
      <c r="G9" s="25">
        <v>1</v>
      </c>
      <c r="H9" s="41">
        <v>43038</v>
      </c>
      <c r="I9" s="43">
        <v>43038</v>
      </c>
      <c r="J9" s="25" t="s">
        <v>154</v>
      </c>
      <c r="K9" s="24"/>
      <c r="L9" s="26" t="s">
        <v>43</v>
      </c>
    </row>
    <row r="10" spans="1:12" hidden="1" x14ac:dyDescent="0.2">
      <c r="A10" s="24" t="s">
        <v>138</v>
      </c>
      <c r="B10" s="42" t="s">
        <v>155</v>
      </c>
      <c r="C10" s="24" t="s">
        <v>159</v>
      </c>
      <c r="D10" s="25">
        <v>198739</v>
      </c>
      <c r="E10" s="24"/>
      <c r="F10" s="24"/>
      <c r="G10" s="25"/>
      <c r="H10" s="43">
        <v>43066</v>
      </c>
      <c r="I10" s="43"/>
      <c r="J10" s="25" t="s">
        <v>154</v>
      </c>
      <c r="K10" s="24"/>
      <c r="L10" s="26" t="s">
        <v>43</v>
      </c>
    </row>
    <row r="11" spans="1:12" x14ac:dyDescent="0.2">
      <c r="A11" s="24"/>
      <c r="B11" s="24"/>
      <c r="C11" s="24"/>
      <c r="D11" s="24"/>
      <c r="E11" s="24"/>
      <c r="F11" s="24"/>
      <c r="G11" s="25"/>
      <c r="H11" s="37"/>
      <c r="I11" s="37"/>
      <c r="J11" s="25"/>
      <c r="K11" s="24"/>
      <c r="L11" s="24"/>
    </row>
    <row r="12" spans="1:12" x14ac:dyDescent="0.2">
      <c r="A12" s="8" t="s">
        <v>225</v>
      </c>
      <c r="B12" s="8" t="s">
        <v>132</v>
      </c>
      <c r="C12" s="8" t="s">
        <v>45</v>
      </c>
      <c r="D12" s="98">
        <v>75026</v>
      </c>
      <c r="E12" s="64">
        <v>40972</v>
      </c>
      <c r="F12" s="64">
        <v>34054</v>
      </c>
      <c r="G12" s="25">
        <v>5</v>
      </c>
      <c r="H12" s="86">
        <v>43360</v>
      </c>
      <c r="I12" s="86">
        <v>43364</v>
      </c>
      <c r="J12" s="25"/>
      <c r="K12" s="24"/>
      <c r="L12" s="24"/>
    </row>
    <row r="13" spans="1:12" x14ac:dyDescent="0.2">
      <c r="A13" s="24"/>
      <c r="B13" s="24"/>
      <c r="C13" s="24"/>
      <c r="D13" s="100"/>
      <c r="E13" s="64">
        <v>34054</v>
      </c>
      <c r="F13" s="25">
        <v>0</v>
      </c>
      <c r="G13" s="25">
        <v>6</v>
      </c>
      <c r="H13" s="86">
        <v>43374</v>
      </c>
      <c r="I13" s="86">
        <v>43379</v>
      </c>
      <c r="J13" s="25"/>
      <c r="K13" s="24"/>
      <c r="L13" s="24"/>
    </row>
    <row r="14" spans="1:12" x14ac:dyDescent="0.2">
      <c r="A14" s="24"/>
      <c r="B14" s="24"/>
      <c r="C14" s="24"/>
      <c r="D14" s="24"/>
      <c r="E14" s="24"/>
      <c r="F14" s="24"/>
      <c r="G14" s="25"/>
      <c r="H14" s="86"/>
      <c r="I14" s="86"/>
      <c r="J14" s="25"/>
      <c r="K14" s="24"/>
      <c r="L14" s="24"/>
    </row>
    <row r="15" spans="1:12" x14ac:dyDescent="0.2">
      <c r="A15" s="8" t="s">
        <v>211</v>
      </c>
      <c r="B15" s="8" t="s">
        <v>132</v>
      </c>
      <c r="C15" s="8" t="s">
        <v>45</v>
      </c>
      <c r="D15" s="63">
        <v>514445</v>
      </c>
      <c r="E15" s="64">
        <v>65000</v>
      </c>
      <c r="F15" s="64">
        <f>D15-E15</f>
        <v>449445</v>
      </c>
      <c r="G15" s="64">
        <v>19</v>
      </c>
      <c r="H15" s="62">
        <v>43307</v>
      </c>
      <c r="I15" s="18" t="s">
        <v>220</v>
      </c>
      <c r="J15" s="25" t="s">
        <v>215</v>
      </c>
      <c r="K15" s="24"/>
      <c r="L15" s="26" t="s">
        <v>43</v>
      </c>
    </row>
    <row r="16" spans="1:12" x14ac:dyDescent="0.2">
      <c r="A16" s="24"/>
      <c r="B16" s="24"/>
      <c r="C16" s="24"/>
      <c r="D16" s="64"/>
      <c r="E16" s="64">
        <v>33254</v>
      </c>
      <c r="F16" s="64">
        <f>F15-E16</f>
        <v>416191</v>
      </c>
      <c r="G16" s="64"/>
      <c r="H16" s="37"/>
      <c r="I16" s="10" t="s">
        <v>224</v>
      </c>
      <c r="J16" s="25"/>
      <c r="K16" s="24"/>
      <c r="L16" s="24"/>
    </row>
    <row r="17" spans="1:12" x14ac:dyDescent="0.2">
      <c r="A17" s="24"/>
      <c r="B17" s="24"/>
      <c r="C17" s="24"/>
      <c r="D17" s="64"/>
      <c r="E17" s="64">
        <v>16594</v>
      </c>
      <c r="F17" s="64"/>
      <c r="G17" s="64"/>
      <c r="H17" s="86"/>
      <c r="I17" s="10" t="s">
        <v>238</v>
      </c>
      <c r="J17" s="25"/>
      <c r="K17" s="24"/>
      <c r="L17" s="24"/>
    </row>
    <row r="18" spans="1:12" x14ac:dyDescent="0.2">
      <c r="A18" s="24"/>
      <c r="B18" s="24"/>
      <c r="C18" s="24"/>
      <c r="D18" s="64"/>
      <c r="E18" s="64"/>
      <c r="F18" s="64"/>
      <c r="G18" s="64"/>
      <c r="H18" s="86"/>
      <c r="I18" s="10"/>
      <c r="J18" s="25"/>
      <c r="K18" s="24"/>
      <c r="L18" s="24"/>
    </row>
    <row r="19" spans="1:12" x14ac:dyDescent="0.2">
      <c r="A19" s="24"/>
      <c r="B19" s="24"/>
      <c r="C19" s="24"/>
      <c r="D19" s="64"/>
      <c r="E19" s="64"/>
      <c r="F19" s="64"/>
      <c r="G19" s="64"/>
      <c r="H19" s="37"/>
      <c r="I19" s="37"/>
      <c r="J19" s="25"/>
      <c r="K19" s="24"/>
      <c r="L19" s="24"/>
    </row>
    <row r="22" spans="1:12" x14ac:dyDescent="0.2">
      <c r="D22" s="64">
        <v>514445</v>
      </c>
      <c r="E22" s="23">
        <v>35517</v>
      </c>
    </row>
    <row r="23" spans="1:12" x14ac:dyDescent="0.2">
      <c r="E23" s="23">
        <f>65000-E22</f>
        <v>29483</v>
      </c>
    </row>
    <row r="25" spans="1:12" x14ac:dyDescent="0.2">
      <c r="E25" s="72">
        <f>SUM(E23:E24)</f>
        <v>29483</v>
      </c>
      <c r="F25" s="73" t="s">
        <v>222</v>
      </c>
    </row>
  </sheetData>
  <mergeCells count="8">
    <mergeCell ref="D12:D13"/>
    <mergeCell ref="L2:L3"/>
    <mergeCell ref="A2:A3"/>
    <mergeCell ref="C2:C3"/>
    <mergeCell ref="D2:D3"/>
    <mergeCell ref="H2:H3"/>
    <mergeCell ref="I2:I3"/>
    <mergeCell ref="J2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51"/>
  <sheetViews>
    <sheetView topLeftCell="A34" workbookViewId="0">
      <selection activeCell="B43" sqref="B43:I45"/>
    </sheetView>
  </sheetViews>
  <sheetFormatPr defaultRowHeight="15" x14ac:dyDescent="0.25"/>
  <cols>
    <col min="2" max="2" width="23.28515625" customWidth="1"/>
    <col min="3" max="3" width="13.85546875" customWidth="1"/>
    <col min="4" max="4" width="12.85546875" bestFit="1" customWidth="1"/>
    <col min="5" max="5" width="20.5703125" bestFit="1" customWidth="1"/>
    <col min="6" max="6" width="18.140625" bestFit="1" customWidth="1"/>
    <col min="7" max="7" width="16.85546875" bestFit="1" customWidth="1"/>
    <col min="8" max="8" width="13.85546875" bestFit="1" customWidth="1"/>
    <col min="9" max="9" width="14.42578125" bestFit="1" customWidth="1"/>
    <col min="11" max="11" width="18" bestFit="1" customWidth="1"/>
  </cols>
  <sheetData>
    <row r="3" spans="2:9" x14ac:dyDescent="0.25">
      <c r="B3" s="2" t="s">
        <v>0</v>
      </c>
      <c r="C3" s="2" t="s">
        <v>1</v>
      </c>
      <c r="D3" s="2" t="s">
        <v>44</v>
      </c>
      <c r="E3" s="2" t="s">
        <v>58</v>
      </c>
      <c r="F3" s="2" t="s">
        <v>59</v>
      </c>
      <c r="G3" s="2" t="s">
        <v>60</v>
      </c>
      <c r="H3" s="2" t="s">
        <v>2</v>
      </c>
      <c r="I3" s="2" t="s">
        <v>3</v>
      </c>
    </row>
    <row r="4" spans="2:9" x14ac:dyDescent="0.25">
      <c r="B4" s="101" t="s">
        <v>137</v>
      </c>
      <c r="C4" s="101" t="s">
        <v>130</v>
      </c>
      <c r="D4" s="101" t="s">
        <v>45</v>
      </c>
      <c r="E4" s="98">
        <v>32291</v>
      </c>
      <c r="F4" s="9">
        <v>24489</v>
      </c>
      <c r="G4" s="9">
        <v>5</v>
      </c>
      <c r="H4" s="10">
        <v>42919</v>
      </c>
      <c r="I4" s="10">
        <v>42923</v>
      </c>
    </row>
    <row r="5" spans="2:9" x14ac:dyDescent="0.25">
      <c r="B5" s="103"/>
      <c r="C5" s="103"/>
      <c r="D5" s="103"/>
      <c r="E5" s="100"/>
      <c r="F5" s="9">
        <v>7802</v>
      </c>
      <c r="G5" s="9">
        <v>3</v>
      </c>
      <c r="H5" s="10">
        <v>42928</v>
      </c>
      <c r="I5" s="29">
        <v>42933</v>
      </c>
    </row>
    <row r="6" spans="2:9" x14ac:dyDescent="0.25">
      <c r="B6" s="27" t="s">
        <v>139</v>
      </c>
      <c r="C6" s="27" t="s">
        <v>132</v>
      </c>
      <c r="D6" s="27" t="s">
        <v>45</v>
      </c>
      <c r="E6" s="28">
        <v>78584</v>
      </c>
      <c r="F6" s="9">
        <v>41193</v>
      </c>
      <c r="G6" s="9">
        <v>5</v>
      </c>
      <c r="H6" s="10">
        <v>42935</v>
      </c>
      <c r="I6" s="10">
        <v>42941</v>
      </c>
    </row>
    <row r="7" spans="2:9" x14ac:dyDescent="0.25">
      <c r="B7" s="8" t="s">
        <v>140</v>
      </c>
      <c r="C7" s="8" t="s">
        <v>132</v>
      </c>
      <c r="D7" s="8" t="s">
        <v>45</v>
      </c>
      <c r="E7" s="9">
        <v>276</v>
      </c>
      <c r="F7" s="9">
        <v>276</v>
      </c>
      <c r="G7" s="9">
        <v>1</v>
      </c>
      <c r="H7" s="10">
        <v>42935</v>
      </c>
      <c r="I7" s="10">
        <v>42935</v>
      </c>
    </row>
    <row r="9" spans="2:9" ht="15.75" thickBot="1" x14ac:dyDescent="0.3"/>
    <row r="10" spans="2:9" x14ac:dyDescent="0.25">
      <c r="B10" s="124" t="s">
        <v>0</v>
      </c>
      <c r="C10" s="124" t="s">
        <v>1</v>
      </c>
      <c r="D10" s="124" t="s">
        <v>44</v>
      </c>
      <c r="E10" s="30" t="s">
        <v>160</v>
      </c>
      <c r="F10" s="30" t="s">
        <v>162</v>
      </c>
      <c r="G10" s="30" t="s">
        <v>164</v>
      </c>
      <c r="H10" s="124" t="s">
        <v>166</v>
      </c>
      <c r="I10" s="124" t="s">
        <v>167</v>
      </c>
    </row>
    <row r="11" spans="2:9" ht="15.75" thickBot="1" x14ac:dyDescent="0.3">
      <c r="B11" s="125"/>
      <c r="C11" s="125"/>
      <c r="D11" s="125"/>
      <c r="E11" s="31" t="s">
        <v>161</v>
      </c>
      <c r="F11" s="31" t="s">
        <v>163</v>
      </c>
      <c r="G11" s="31" t="s">
        <v>165</v>
      </c>
      <c r="H11" s="125"/>
      <c r="I11" s="125"/>
    </row>
    <row r="12" spans="2:9" ht="15.75" thickBot="1" x14ac:dyDescent="0.3">
      <c r="B12" s="32" t="s">
        <v>96</v>
      </c>
      <c r="C12" s="33" t="s">
        <v>126</v>
      </c>
      <c r="D12" s="33" t="s">
        <v>45</v>
      </c>
      <c r="E12" s="33">
        <v>2390</v>
      </c>
      <c r="F12" s="33">
        <v>2385</v>
      </c>
      <c r="G12" s="33">
        <v>3</v>
      </c>
      <c r="H12" s="34">
        <v>42887</v>
      </c>
      <c r="I12" s="34">
        <v>42891</v>
      </c>
    </row>
    <row r="13" spans="2:9" ht="15.75" thickBot="1" x14ac:dyDescent="0.3">
      <c r="B13" s="32" t="s">
        <v>97</v>
      </c>
      <c r="C13" s="33" t="s">
        <v>129</v>
      </c>
      <c r="D13" s="33" t="s">
        <v>45</v>
      </c>
      <c r="E13" s="33">
        <v>4956</v>
      </c>
      <c r="F13" s="33">
        <v>4956</v>
      </c>
      <c r="G13" s="33">
        <v>2</v>
      </c>
      <c r="H13" s="34">
        <v>42892</v>
      </c>
      <c r="I13" s="34">
        <v>42893</v>
      </c>
    </row>
    <row r="14" spans="2:9" ht="15.75" thickBot="1" x14ac:dyDescent="0.3">
      <c r="B14" s="32" t="s">
        <v>98</v>
      </c>
      <c r="C14" s="33" t="s">
        <v>130</v>
      </c>
      <c r="D14" s="33" t="s">
        <v>45</v>
      </c>
      <c r="E14" s="33">
        <v>24806</v>
      </c>
      <c r="F14" s="33">
        <v>24777</v>
      </c>
      <c r="G14" s="33">
        <v>7</v>
      </c>
      <c r="H14" s="34">
        <v>42893</v>
      </c>
      <c r="I14" s="34">
        <v>42901</v>
      </c>
    </row>
    <row r="15" spans="2:9" ht="15.75" thickBot="1" x14ac:dyDescent="0.3">
      <c r="B15" s="32" t="s">
        <v>99</v>
      </c>
      <c r="C15" s="33" t="s">
        <v>132</v>
      </c>
      <c r="D15" s="33" t="s">
        <v>45</v>
      </c>
      <c r="E15" s="33">
        <v>4098</v>
      </c>
      <c r="F15" s="33">
        <v>4095</v>
      </c>
      <c r="G15" s="33">
        <v>2</v>
      </c>
      <c r="H15" s="34">
        <v>42902</v>
      </c>
      <c r="I15" s="34">
        <v>42905</v>
      </c>
    </row>
    <row r="16" spans="2:9" ht="15.75" thickBot="1" x14ac:dyDescent="0.3">
      <c r="B16" s="32" t="s">
        <v>100</v>
      </c>
      <c r="C16" s="33" t="s">
        <v>132</v>
      </c>
      <c r="D16" s="33" t="s">
        <v>45</v>
      </c>
      <c r="E16" s="33">
        <v>8247</v>
      </c>
      <c r="F16" s="33">
        <v>8188</v>
      </c>
      <c r="G16" s="33">
        <v>3</v>
      </c>
      <c r="H16" s="34">
        <v>42906</v>
      </c>
      <c r="I16" s="34">
        <v>42908</v>
      </c>
    </row>
    <row r="17" spans="2:9" ht="15.75" thickBot="1" x14ac:dyDescent="0.3">
      <c r="B17" s="32" t="s">
        <v>101</v>
      </c>
      <c r="C17" s="33" t="s">
        <v>151</v>
      </c>
      <c r="D17" s="33" t="s">
        <v>46</v>
      </c>
      <c r="E17" s="33">
        <v>30417</v>
      </c>
      <c r="F17" s="33">
        <v>6416</v>
      </c>
      <c r="G17" s="33">
        <v>1.5</v>
      </c>
      <c r="H17" s="34">
        <v>42909</v>
      </c>
      <c r="I17" s="34">
        <v>42912</v>
      </c>
    </row>
    <row r="18" spans="2:9" ht="15.75" thickBot="1" x14ac:dyDescent="0.3">
      <c r="B18" s="32" t="s">
        <v>135</v>
      </c>
      <c r="C18" s="33" t="s">
        <v>132</v>
      </c>
      <c r="D18" s="33" t="s">
        <v>46</v>
      </c>
      <c r="E18" s="33">
        <v>6084</v>
      </c>
      <c r="F18" s="33">
        <v>5878</v>
      </c>
      <c r="G18" s="33">
        <v>2.5</v>
      </c>
      <c r="H18" s="34">
        <v>42912</v>
      </c>
      <c r="I18" s="34">
        <v>42914</v>
      </c>
    </row>
    <row r="19" spans="2:9" ht="15.75" thickBot="1" x14ac:dyDescent="0.3">
      <c r="B19" s="32" t="s">
        <v>136</v>
      </c>
      <c r="C19" s="33" t="s">
        <v>132</v>
      </c>
      <c r="D19" s="33" t="s">
        <v>45</v>
      </c>
      <c r="E19" s="33">
        <v>890</v>
      </c>
      <c r="F19" s="33">
        <v>888</v>
      </c>
      <c r="G19" s="33">
        <v>1</v>
      </c>
      <c r="H19" s="34">
        <v>42915</v>
      </c>
      <c r="I19" s="34">
        <v>42916</v>
      </c>
    </row>
    <row r="23" spans="2:9" x14ac:dyDescent="0.25">
      <c r="B23" s="127" t="s">
        <v>0</v>
      </c>
      <c r="C23" s="127" t="s">
        <v>1</v>
      </c>
      <c r="D23" s="127" t="s">
        <v>44</v>
      </c>
      <c r="E23" s="39" t="s">
        <v>160</v>
      </c>
      <c r="F23" s="39" t="s">
        <v>162</v>
      </c>
      <c r="G23" s="39" t="s">
        <v>164</v>
      </c>
      <c r="H23" s="128" t="s">
        <v>166</v>
      </c>
      <c r="I23" s="128" t="s">
        <v>167</v>
      </c>
    </row>
    <row r="24" spans="2:9" x14ac:dyDescent="0.25">
      <c r="B24" s="127"/>
      <c r="C24" s="127"/>
      <c r="D24" s="127"/>
      <c r="E24" s="39" t="s">
        <v>161</v>
      </c>
      <c r="F24" s="39" t="s">
        <v>163</v>
      </c>
      <c r="G24" s="39" t="s">
        <v>165</v>
      </c>
      <c r="H24" s="128"/>
      <c r="I24" s="128"/>
    </row>
    <row r="25" spans="2:9" x14ac:dyDescent="0.25">
      <c r="B25" s="8" t="s">
        <v>139</v>
      </c>
      <c r="C25" s="8" t="s">
        <v>132</v>
      </c>
      <c r="D25" s="8" t="s">
        <v>45</v>
      </c>
      <c r="E25" s="9">
        <v>78584</v>
      </c>
      <c r="F25" s="9">
        <v>37373</v>
      </c>
      <c r="G25" s="9">
        <v>7</v>
      </c>
      <c r="H25" s="10">
        <v>42942</v>
      </c>
      <c r="I25" s="10">
        <v>42950</v>
      </c>
    </row>
    <row r="26" spans="2:9" x14ac:dyDescent="0.25">
      <c r="B26" s="8" t="s">
        <v>141</v>
      </c>
      <c r="C26" s="8" t="s">
        <v>132</v>
      </c>
      <c r="D26" s="8" t="s">
        <v>45</v>
      </c>
      <c r="E26" s="9">
        <v>7852</v>
      </c>
      <c r="F26" s="9">
        <v>7852</v>
      </c>
      <c r="G26" s="9">
        <v>2</v>
      </c>
      <c r="H26" s="10">
        <v>42951</v>
      </c>
      <c r="I26" s="10">
        <v>42954</v>
      </c>
    </row>
    <row r="27" spans="2:9" x14ac:dyDescent="0.25">
      <c r="B27" s="8" t="s">
        <v>143</v>
      </c>
      <c r="C27" s="8" t="s">
        <v>62</v>
      </c>
      <c r="D27" s="8" t="s">
        <v>45</v>
      </c>
      <c r="E27" s="9">
        <v>2175</v>
      </c>
      <c r="F27" s="9">
        <v>2175</v>
      </c>
      <c r="G27" s="9">
        <v>1.5</v>
      </c>
      <c r="H27" s="10">
        <v>42971</v>
      </c>
      <c r="I27" s="10">
        <v>42975</v>
      </c>
    </row>
    <row r="30" spans="2:9" x14ac:dyDescent="0.25">
      <c r="B30" s="69">
        <v>43313</v>
      </c>
    </row>
    <row r="31" spans="2:9" x14ac:dyDescent="0.25">
      <c r="B31" s="126" t="s">
        <v>0</v>
      </c>
      <c r="C31" s="126" t="s">
        <v>1</v>
      </c>
      <c r="D31" s="126" t="s">
        <v>44</v>
      </c>
      <c r="E31" s="65" t="s">
        <v>160</v>
      </c>
      <c r="F31" s="65" t="s">
        <v>162</v>
      </c>
      <c r="G31" s="65" t="s">
        <v>164</v>
      </c>
      <c r="H31" s="126" t="s">
        <v>166</v>
      </c>
      <c r="I31" s="126" t="s">
        <v>167</v>
      </c>
    </row>
    <row r="32" spans="2:9" x14ac:dyDescent="0.25">
      <c r="B32" s="126"/>
      <c r="C32" s="126"/>
      <c r="D32" s="126"/>
      <c r="E32" s="65" t="s">
        <v>161</v>
      </c>
      <c r="F32" s="65" t="s">
        <v>163</v>
      </c>
      <c r="G32" s="65" t="s">
        <v>165</v>
      </c>
      <c r="H32" s="126"/>
      <c r="I32" s="126"/>
    </row>
    <row r="33" spans="2:9" x14ac:dyDescent="0.25">
      <c r="B33" s="68" t="s">
        <v>216</v>
      </c>
      <c r="C33" s="66" t="s">
        <v>132</v>
      </c>
      <c r="D33" s="66" t="s">
        <v>217</v>
      </c>
      <c r="E33" s="66">
        <v>479117</v>
      </c>
      <c r="F33" s="66" t="s">
        <v>218</v>
      </c>
      <c r="G33" s="66">
        <v>7</v>
      </c>
      <c r="H33" s="67">
        <v>43306</v>
      </c>
      <c r="I33" s="67">
        <v>43314</v>
      </c>
    </row>
    <row r="34" spans="2:9" x14ac:dyDescent="0.25">
      <c r="B34" s="129" t="s">
        <v>137</v>
      </c>
      <c r="C34" s="129" t="s">
        <v>130</v>
      </c>
      <c r="D34" s="129" t="s">
        <v>45</v>
      </c>
      <c r="E34" s="64">
        <v>5658</v>
      </c>
      <c r="F34" s="64">
        <v>5653</v>
      </c>
      <c r="G34" s="64">
        <v>3</v>
      </c>
      <c r="H34" s="10">
        <v>43318</v>
      </c>
      <c r="I34" s="10">
        <v>43320</v>
      </c>
    </row>
    <row r="35" spans="2:9" x14ac:dyDescent="0.25">
      <c r="B35" s="129"/>
      <c r="C35" s="129"/>
      <c r="D35" s="129"/>
      <c r="E35" s="64">
        <v>3836</v>
      </c>
      <c r="F35" s="64"/>
      <c r="G35" s="64">
        <v>3</v>
      </c>
      <c r="H35" s="10">
        <v>43318</v>
      </c>
      <c r="I35" s="10">
        <v>43321</v>
      </c>
    </row>
    <row r="39" spans="2:9" x14ac:dyDescent="0.25">
      <c r="B39" s="74" t="s">
        <v>227</v>
      </c>
    </row>
    <row r="40" spans="2:9" ht="15.75" thickBot="1" x14ac:dyDescent="0.3">
      <c r="B40" s="74"/>
    </row>
    <row r="41" spans="2:9" x14ac:dyDescent="0.25">
      <c r="B41" s="124" t="s">
        <v>0</v>
      </c>
      <c r="C41" s="124" t="s">
        <v>1</v>
      </c>
      <c r="D41" s="124" t="s">
        <v>44</v>
      </c>
      <c r="E41" s="75" t="s">
        <v>160</v>
      </c>
      <c r="F41" s="75" t="s">
        <v>162</v>
      </c>
      <c r="G41" s="75" t="s">
        <v>164</v>
      </c>
      <c r="H41" s="124" t="s">
        <v>166</v>
      </c>
      <c r="I41" s="124" t="s">
        <v>167</v>
      </c>
    </row>
    <row r="42" spans="2:9" ht="15.75" thickBot="1" x14ac:dyDescent="0.3">
      <c r="B42" s="125"/>
      <c r="C42" s="125"/>
      <c r="D42" s="125"/>
      <c r="E42" s="76" t="s">
        <v>161</v>
      </c>
      <c r="F42" s="76" t="s">
        <v>163</v>
      </c>
      <c r="G42" s="76" t="s">
        <v>165</v>
      </c>
      <c r="H42" s="125"/>
      <c r="I42" s="125"/>
    </row>
    <row r="43" spans="2:9" ht="15.75" thickBot="1" x14ac:dyDescent="0.3">
      <c r="B43" s="122" t="s">
        <v>233</v>
      </c>
      <c r="C43" s="78" t="s">
        <v>132</v>
      </c>
      <c r="D43" s="78" t="s">
        <v>45</v>
      </c>
      <c r="E43" s="78">
        <v>1479</v>
      </c>
      <c r="F43" s="78">
        <v>1479</v>
      </c>
      <c r="G43" s="78">
        <v>3</v>
      </c>
      <c r="H43" s="79">
        <v>43355</v>
      </c>
      <c r="I43" s="79">
        <v>43358</v>
      </c>
    </row>
    <row r="44" spans="2:9" ht="15.75" thickBot="1" x14ac:dyDescent="0.3">
      <c r="B44" s="123"/>
      <c r="C44" s="78" t="s">
        <v>132</v>
      </c>
      <c r="D44" s="78" t="s">
        <v>45</v>
      </c>
      <c r="E44" s="78">
        <v>75026</v>
      </c>
      <c r="F44" s="78" t="s">
        <v>234</v>
      </c>
      <c r="G44" s="78">
        <v>10</v>
      </c>
      <c r="H44" s="79">
        <v>43360</v>
      </c>
      <c r="I44" s="79">
        <v>43371</v>
      </c>
    </row>
    <row r="45" spans="2:9" ht="15.75" thickBot="1" x14ac:dyDescent="0.3">
      <c r="B45" s="77" t="s">
        <v>235</v>
      </c>
      <c r="C45" s="78" t="s">
        <v>132</v>
      </c>
      <c r="D45" s="78" t="s">
        <v>45</v>
      </c>
      <c r="E45" s="78">
        <v>774</v>
      </c>
      <c r="F45" s="78">
        <v>761</v>
      </c>
      <c r="G45" s="78">
        <v>1</v>
      </c>
      <c r="H45" s="79">
        <v>43338</v>
      </c>
      <c r="I45" s="79">
        <v>43370</v>
      </c>
    </row>
    <row r="46" spans="2:9" x14ac:dyDescent="0.25">
      <c r="B46" s="74"/>
    </row>
    <row r="47" spans="2:9" x14ac:dyDescent="0.25">
      <c r="B47" s="74" t="s">
        <v>228</v>
      </c>
    </row>
    <row r="48" spans="2:9" x14ac:dyDescent="0.25">
      <c r="B48" s="80" t="s">
        <v>236</v>
      </c>
    </row>
    <row r="49" spans="2:7" ht="15.75" thickBot="1" x14ac:dyDescent="0.3">
      <c r="B49" s="74"/>
    </row>
    <row r="50" spans="2:7" ht="30.75" thickBot="1" x14ac:dyDescent="0.3">
      <c r="B50" s="81" t="s">
        <v>0</v>
      </c>
      <c r="C50" s="82" t="s">
        <v>229</v>
      </c>
      <c r="D50" s="82" t="s">
        <v>230</v>
      </c>
      <c r="E50" s="82" t="s">
        <v>6</v>
      </c>
      <c r="F50" s="82" t="s">
        <v>223</v>
      </c>
      <c r="G50" s="83" t="s">
        <v>231</v>
      </c>
    </row>
    <row r="51" spans="2:7" ht="15.75" thickBot="1" x14ac:dyDescent="0.3">
      <c r="B51" s="84" t="s">
        <v>211</v>
      </c>
      <c r="C51" s="85" t="s">
        <v>132</v>
      </c>
      <c r="D51" s="85">
        <v>514445</v>
      </c>
      <c r="E51" s="85">
        <v>35517</v>
      </c>
      <c r="F51" s="85">
        <v>478928</v>
      </c>
      <c r="G51" s="78" t="s">
        <v>232</v>
      </c>
    </row>
  </sheetData>
  <mergeCells count="28">
    <mergeCell ref="I10:I11"/>
    <mergeCell ref="B34:B35"/>
    <mergeCell ref="C34:C35"/>
    <mergeCell ref="D34:D35"/>
    <mergeCell ref="B31:B32"/>
    <mergeCell ref="C31:C32"/>
    <mergeCell ref="D31:D32"/>
    <mergeCell ref="I41:I42"/>
    <mergeCell ref="E4:E5"/>
    <mergeCell ref="B10:B11"/>
    <mergeCell ref="C10:C11"/>
    <mergeCell ref="D10:D11"/>
    <mergeCell ref="H31:H32"/>
    <mergeCell ref="B23:B24"/>
    <mergeCell ref="C23:C24"/>
    <mergeCell ref="D23:D24"/>
    <mergeCell ref="B4:B5"/>
    <mergeCell ref="C4:C5"/>
    <mergeCell ref="D4:D5"/>
    <mergeCell ref="I31:I32"/>
    <mergeCell ref="H23:H24"/>
    <mergeCell ref="I23:I24"/>
    <mergeCell ref="H10:H11"/>
    <mergeCell ref="B43:B44"/>
    <mergeCell ref="B41:B42"/>
    <mergeCell ref="C41:C42"/>
    <mergeCell ref="D41:D42"/>
    <mergeCell ref="H41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</vt:lpstr>
      <vt:lpstr>GS146 Track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Bheemaiah</dc:creator>
  <cp:lastModifiedBy>sho</cp:lastModifiedBy>
  <cp:lastPrinted>2017-10-30T11:15:44Z</cp:lastPrinted>
  <dcterms:created xsi:type="dcterms:W3CDTF">2016-11-17T10:30:36Z</dcterms:created>
  <dcterms:modified xsi:type="dcterms:W3CDTF">2018-12-10T05:26:28Z</dcterms:modified>
</cp:coreProperties>
</file>