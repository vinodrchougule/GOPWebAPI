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Sheet1!$A$1:$EF$21</definedName>
  </definedNames>
  <calcPr calcId="162913"/>
  <webPublishing codePage="0"/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</calcChain>
</file>

<file path=xl/sharedStrings.xml><?xml version="1.0" encoding="utf-8"?>
<sst xmlns="http://schemas.openxmlformats.org/spreadsheetml/2006/main" count="1473" uniqueCount="281">
  <si>
    <t>Sort Code</t>
  </si>
  <si>
    <t>CK5/6/8/18-L</t>
  </si>
  <si>
    <t>1ml NCL-Bcl-6-564</t>
  </si>
  <si>
    <t>Serial Number Control</t>
  </si>
  <si>
    <t>GrihaMfrCat</t>
  </si>
  <si>
    <t>CATHLAB</t>
  </si>
  <si>
    <t>Dental equipment and supplies</t>
  </si>
  <si>
    <t xml:space="preserve">Kit </t>
  </si>
  <si>
    <t>RE7260-CE</t>
  </si>
  <si>
    <t>Manufacturer catalog</t>
  </si>
  <si>
    <t>Griha_Mfr Name</t>
  </si>
  <si>
    <t>Start Date</t>
  </si>
  <si>
    <t>Measuring and observing and testing instruments</t>
  </si>
  <si>
    <t>Surgical products</t>
  </si>
  <si>
    <t>Corrected By</t>
  </si>
  <si>
    <t>Medical diagnostic imaging and nuclear medicine products</t>
  </si>
  <si>
    <t>Charge Dept/Cost Center</t>
  </si>
  <si>
    <t>Purchased</t>
  </si>
  <si>
    <t>Category</t>
  </si>
  <si>
    <t>Griha_Mfr Parent Name</t>
  </si>
  <si>
    <t>Starting Lot Prefix</t>
  </si>
  <si>
    <t>UNSPSC Segment Description</t>
  </si>
  <si>
    <t>Validation Comments</t>
  </si>
  <si>
    <t>HAAD Code</t>
  </si>
  <si>
    <t>SE Comments</t>
  </si>
  <si>
    <t>Food Beverage and Tobacco Products</t>
  </si>
  <si>
    <t>Customer Code</t>
  </si>
  <si>
    <t>Patient care and treatment products and supplies</t>
  </si>
  <si>
    <t>Status_1</t>
  </si>
  <si>
    <t>CE Code</t>
  </si>
  <si>
    <t>UNSPSC Commodity Code</t>
  </si>
  <si>
    <t>Long Description</t>
  </si>
  <si>
    <t>Costing Enabled</t>
  </si>
  <si>
    <t>Age</t>
  </si>
  <si>
    <t>1ml NCL-L-InhibinA_x000D__x000D_
Liquid Concentrated Monoclonal Antibody</t>
  </si>
  <si>
    <t>NAPSINA-L-CE</t>
  </si>
  <si>
    <t>C1780</t>
  </si>
  <si>
    <t>Sub</t>
  </si>
  <si>
    <t>SXH</t>
  </si>
  <si>
    <t>Level1</t>
  </si>
  <si>
    <t>DE Code</t>
  </si>
  <si>
    <t>Piece</t>
  </si>
  <si>
    <t>CYTOMED</t>
  </si>
  <si>
    <t>Orthodontic and prosthodontic equipment and supplies</t>
  </si>
  <si>
    <t>Volume</t>
  </si>
  <si>
    <t>CD117-L-CE</t>
  </si>
  <si>
    <t>Item</t>
  </si>
  <si>
    <t>Vascular imaging guidewire</t>
  </si>
  <si>
    <t>Description</t>
  </si>
  <si>
    <t>Spinal implants</t>
  </si>
  <si>
    <t>DENTAL</t>
  </si>
  <si>
    <t>Size</t>
  </si>
  <si>
    <t>Item Creation Date</t>
  </si>
  <si>
    <t>CD56-504-L-CE</t>
  </si>
  <si>
    <t>Intraocular lens IOL</t>
  </si>
  <si>
    <t>QE Comments</t>
  </si>
  <si>
    <t>Stocked</t>
  </si>
  <si>
    <t>Weight</t>
  </si>
  <si>
    <t>19299</t>
  </si>
  <si>
    <t>19298</t>
  </si>
  <si>
    <t>19291</t>
  </si>
  <si>
    <t>19290</t>
  </si>
  <si>
    <t>19293</t>
  </si>
  <si>
    <t>19292</t>
  </si>
  <si>
    <t>19295</t>
  </si>
  <si>
    <t>19297</t>
  </si>
  <si>
    <t>19296</t>
  </si>
  <si>
    <t>Novolink Max DAB(Polymer)(1250)</t>
  </si>
  <si>
    <t>GrihaVdrCat</t>
  </si>
  <si>
    <t>Medical Equipment and Accessories and Supplies</t>
  </si>
  <si>
    <t>Secondary description</t>
  </si>
  <si>
    <t>Potential Duplicate</t>
  </si>
  <si>
    <t>Level3</t>
  </si>
  <si>
    <t>Inventory Item</t>
  </si>
  <si>
    <t>Each</t>
  </si>
  <si>
    <t>Manufacturer</t>
  </si>
  <si>
    <t>B4158</t>
  </si>
  <si>
    <t>GENERAL MEDICAL CONSUMABLES</t>
  </si>
  <si>
    <t>Color</t>
  </si>
  <si>
    <t>Novolink Max Polymer(1250Test)_x000D__x000D_
(Include : Novolink Polymer Detection Kit) Product code: RE7260-K)</t>
  </si>
  <si>
    <t>Brandname</t>
  </si>
  <si>
    <t>OPERATION THEATRE</t>
  </si>
  <si>
    <t>Issue Uom</t>
  </si>
  <si>
    <t>Surgical implants and expanders and extenders and surgical wires and related products</t>
  </si>
  <si>
    <t>Qty1</t>
  </si>
  <si>
    <t>Level2</t>
  </si>
  <si>
    <t>LABORATORY</t>
  </si>
  <si>
    <t>CD79A-225-L-CE</t>
  </si>
  <si>
    <t>Inventory Asset Value</t>
  </si>
  <si>
    <t>Name</t>
  </si>
  <si>
    <t xml:space="preserve">1 ml NCL-L-CD4-368 </t>
  </si>
  <si>
    <t>Project</t>
  </si>
  <si>
    <t>CD4-368-L-CE</t>
  </si>
  <si>
    <t>Activities</t>
  </si>
  <si>
    <t>UNSPSC Commodity Description</t>
  </si>
  <si>
    <t>Surgical support supplies</t>
  </si>
  <si>
    <t>Vendor Code</t>
  </si>
  <si>
    <t>Consumables</t>
  </si>
  <si>
    <t>UOM3</t>
  </si>
  <si>
    <t>1ml NCL-L-Myf.4</t>
  </si>
  <si>
    <t>User Item Type _1</t>
  </si>
  <si>
    <t>UNSPSC Class Description</t>
  </si>
  <si>
    <t>Griha_Vdr Name</t>
  </si>
  <si>
    <t>Inventory Planning Method</t>
  </si>
  <si>
    <t>Novolink Max Polymer(1250Test)</t>
  </si>
  <si>
    <t>Job No</t>
  </si>
  <si>
    <t>VWF-L-CE</t>
  </si>
  <si>
    <t>QA Comments</t>
  </si>
  <si>
    <t>GL Code Description</t>
  </si>
  <si>
    <t>C1769</t>
  </si>
  <si>
    <t>Primary Dimensions</t>
  </si>
  <si>
    <t>Immunology or serology quality controls or calibrators or standards</t>
  </si>
  <si>
    <t>Latex_LatexFree</t>
  </si>
  <si>
    <t>Microorganism propagation and transformation media and kits and equipment</t>
  </si>
  <si>
    <t>Starting Serial Prefix</t>
  </si>
  <si>
    <t>Leica Biosystems- IHC- Novocastra</t>
  </si>
  <si>
    <t>CD8-4B11-L-CE</t>
  </si>
  <si>
    <t>Qty3</t>
  </si>
  <si>
    <t>CD163-L-CE</t>
  </si>
  <si>
    <t>Microbiology or bacteriology test kits or supplies</t>
  </si>
  <si>
    <t>Expense/Clearing Account</t>
  </si>
  <si>
    <t>Medical syringe with needle</t>
  </si>
  <si>
    <t>Disposable_Reusable</t>
  </si>
  <si>
    <t>1ml NCL-L-InhibinA</t>
  </si>
  <si>
    <t>006</t>
  </si>
  <si>
    <t>1 ml NCL-L-CD4-368</t>
  </si>
  <si>
    <t>CE Comments</t>
  </si>
  <si>
    <t>UOM2</t>
  </si>
  <si>
    <t>Production User</t>
  </si>
  <si>
    <t>Intravenous or arterial extension tubing</t>
  </si>
  <si>
    <t xml:space="preserve">The Manufacturer/ Foreign </t>
  </si>
  <si>
    <t>INHIBINA-L-CE</t>
  </si>
  <si>
    <t>Cycle Count Enabled</t>
  </si>
  <si>
    <t>CD19-163-L-CE</t>
  </si>
  <si>
    <t>Syringes and accessories</t>
  </si>
  <si>
    <t>1 ml NCL-L-CD79a-225</t>
  </si>
  <si>
    <t>Item Status</t>
  </si>
  <si>
    <t>Grihasoft Attribute Names</t>
  </si>
  <si>
    <t>Ref #</t>
  </si>
  <si>
    <t>Buy UOM</t>
  </si>
  <si>
    <t>Classificaion Comments</t>
  </si>
  <si>
    <t>1ml NCL-L-Napsin A</t>
  </si>
  <si>
    <t>Status</t>
  </si>
  <si>
    <t>LP34-L</t>
  </si>
  <si>
    <t>Data Enrichment</t>
  </si>
  <si>
    <t>Properties</t>
  </si>
  <si>
    <t xml:space="preserve">Price </t>
  </si>
  <si>
    <t>Laboratory and Measuring and Observing and Testing Equipment</t>
  </si>
  <si>
    <t>User Item Type</t>
  </si>
  <si>
    <t>Reagents Kit</t>
  </si>
  <si>
    <t>Item Group</t>
  </si>
  <si>
    <t>Lot Divisble</t>
  </si>
  <si>
    <t>Orthopedic surgical implants</t>
  </si>
  <si>
    <t>Starting Lot Number</t>
  </si>
  <si>
    <t>Ref Name</t>
  </si>
  <si>
    <t>Maximum Min-Max Quantity</t>
  </si>
  <si>
    <t>UNSPSC Family Description</t>
  </si>
  <si>
    <t>Service Type</t>
  </si>
  <si>
    <t>Miscellaneous_1</t>
  </si>
  <si>
    <t>Bone plate</t>
  </si>
  <si>
    <t>Lifecycle Phase</t>
  </si>
  <si>
    <t>Lab Reagent</t>
  </si>
  <si>
    <t>Qty2</t>
  </si>
  <si>
    <t>Nutritional supplements</t>
  </si>
  <si>
    <t>Bone screw</t>
  </si>
  <si>
    <t>UOM1</t>
  </si>
  <si>
    <t>1 ml NCL-L-CD8-4B11</t>
  </si>
  <si>
    <t>UNSPSC Segment Code</t>
  </si>
  <si>
    <t>Batch</t>
  </si>
  <si>
    <t>Composition</t>
  </si>
  <si>
    <t>1ml NCL-L-vWF</t>
  </si>
  <si>
    <t>Planner</t>
  </si>
  <si>
    <t>Griha Comments</t>
  </si>
  <si>
    <t>DHA Code</t>
  </si>
  <si>
    <t>Specilaity</t>
  </si>
  <si>
    <t>URL</t>
  </si>
  <si>
    <t>Novolink MaxDAB(Polymer)(1250)</t>
  </si>
  <si>
    <t>Combination nutritional supplements</t>
  </si>
  <si>
    <t>Production Comments</t>
  </si>
  <si>
    <t>Minimum Min-Max Quantity</t>
  </si>
  <si>
    <t>19294</t>
  </si>
  <si>
    <t>Gender</t>
  </si>
  <si>
    <t>MYF-4-L-CE</t>
  </si>
  <si>
    <t>ESI</t>
  </si>
  <si>
    <t>1ml NCL-L-PLAP-8A9</t>
  </si>
  <si>
    <t>Replenishment Source Type</t>
  </si>
  <si>
    <t>C1713</t>
  </si>
  <si>
    <t>SLNO</t>
  </si>
  <si>
    <t>QE Code</t>
  </si>
  <si>
    <t>Angioplasty balloon catheter</t>
  </si>
  <si>
    <t>Lot Control</t>
  </si>
  <si>
    <t>Lot User Defined</t>
  </si>
  <si>
    <t>Secondary Dimensions</t>
  </si>
  <si>
    <t>1 ml NCL-L-LP34</t>
  </si>
  <si>
    <t>Laboratory and scientific equipment</t>
  </si>
  <si>
    <t>1 ml NCL-L-LP34_x000D__x000D_
Liquid Concentrated Monoclonal Antibody, Use: C,F, P (Enzyme)</t>
  </si>
  <si>
    <t>QA Code</t>
  </si>
  <si>
    <t>List Price</t>
  </si>
  <si>
    <t>Starting Serial Number</t>
  </si>
  <si>
    <t>BCL-6-564-L-CE</t>
  </si>
  <si>
    <t>Sub cateogry</t>
  </si>
  <si>
    <t>Y</t>
  </si>
  <si>
    <t>N</t>
  </si>
  <si>
    <t>Template Name</t>
  </si>
  <si>
    <t>GTIN</t>
  </si>
  <si>
    <t>Unspsc 25 Version</t>
  </si>
  <si>
    <t>Orthopedic trauma implants</t>
  </si>
  <si>
    <t>1ml NCL-L-OCT3/4</t>
  </si>
  <si>
    <t>Description Duplicate</t>
  </si>
  <si>
    <t>Vendor Catalog</t>
  </si>
  <si>
    <t>1 ml NCL-L-CD163</t>
  </si>
  <si>
    <t>Surgical custom or specialty procedure packs</t>
  </si>
  <si>
    <t>GL Code</t>
  </si>
  <si>
    <t>Oral maxillofacial implants or sets</t>
  </si>
  <si>
    <t>UNSPSC Class Code</t>
  </si>
  <si>
    <t xml:space="preserve"> -</t>
  </si>
  <si>
    <t>Item Description Update</t>
  </si>
  <si>
    <t>Miscellaneous</t>
  </si>
  <si>
    <t>Nos</t>
  </si>
  <si>
    <t>Intravenous and arterial tubing and administration sets and related products</t>
  </si>
  <si>
    <t>Vascular imaging and interventional cardiology and cardiac catheterization lab products</t>
  </si>
  <si>
    <t>Sterile_NonSterile</t>
  </si>
  <si>
    <t>1ml NCL-L-LCA, CD45</t>
  </si>
  <si>
    <t>OCT3/4-L-CE</t>
  </si>
  <si>
    <t>LCA-L-CE</t>
  </si>
  <si>
    <t>1 ml NCL-L-CD56-504</t>
  </si>
  <si>
    <t>1ml NCL-L-CD117</t>
  </si>
  <si>
    <t>Combination vitamin and mineral nutritional supplement</t>
  </si>
  <si>
    <t>Sort Comment</t>
  </si>
  <si>
    <t>19305</t>
  </si>
  <si>
    <t>1ml NCL-L-vWF_x000D__x000D_
Liquid Concentrated Monoclonal Antibody</t>
  </si>
  <si>
    <t>19306</t>
  </si>
  <si>
    <t>SE Code</t>
  </si>
  <si>
    <t>Packaging Comments</t>
  </si>
  <si>
    <t>PLAP-8A9-L-CE</t>
  </si>
  <si>
    <t>Short 40 Description</t>
  </si>
  <si>
    <t>19308</t>
  </si>
  <si>
    <t>19309</t>
  </si>
  <si>
    <t>19300</t>
  </si>
  <si>
    <t>19301</t>
  </si>
  <si>
    <t>19302</t>
  </si>
  <si>
    <t>19303</t>
  </si>
  <si>
    <t>19304</t>
  </si>
  <si>
    <t>19307</t>
  </si>
  <si>
    <t>1 ml NCL-L-CD19-163</t>
  </si>
  <si>
    <t>ORTHOPAEDICS</t>
  </si>
  <si>
    <t>Asset Category</t>
  </si>
  <si>
    <t>Len</t>
  </si>
  <si>
    <t>OPHTHALMOLOGY</t>
  </si>
  <si>
    <t>Division</t>
  </si>
  <si>
    <t>Remarks</t>
  </si>
  <si>
    <t>UNSPSC Family Code</t>
  </si>
  <si>
    <t>Griha_Vdr Parent Name</t>
  </si>
  <si>
    <t>RE7270-CE</t>
  </si>
  <si>
    <t>Manual test kits and quality controls and calibrators and standards</t>
  </si>
  <si>
    <t>Location</t>
  </si>
  <si>
    <t>Vendor</t>
  </si>
  <si>
    <t>Intravenous and arterial administration products</t>
  </si>
  <si>
    <t>Type</t>
  </si>
  <si>
    <t>Reagent</t>
  </si>
  <si>
    <t>C1725</t>
  </si>
  <si>
    <t>Accepted Date</t>
  </si>
  <si>
    <t>Leica Biosystems</t>
  </si>
  <si>
    <t>Spinal screw</t>
  </si>
  <si>
    <t>Lot Expiration Enabled</t>
  </si>
  <si>
    <t>Active</t>
  </si>
  <si>
    <t>1ml NCL-L-LCA, CD45_x000D__x000D_
Mantle Cell Lymphoma_x000D__x000D_
Intense membrane staining of malignant lymphocytes.</t>
  </si>
  <si>
    <t>1ml NCL-L-Myf.4_x000D__x000D_
Liquid Concentrated Monoclonal Antibody</t>
  </si>
  <si>
    <t>1 ml NCL-L-CK5/6/8/18</t>
  </si>
  <si>
    <t>Applicator swabs and cotton balls</t>
  </si>
  <si>
    <t>Quality A/R</t>
  </si>
  <si>
    <t xml:space="preserve">1 ml NCL-L-CD5-4C7 </t>
  </si>
  <si>
    <t>A4649</t>
  </si>
  <si>
    <t>CD5-4C7-L-CE</t>
  </si>
  <si>
    <t>1ml NCL-L-CD117_x000D__x000D_
Please use this code instead of the obsolete code CD117-R-7-CE, since 2016, Mar 2020_x000D__x000D_</t>
  </si>
  <si>
    <t>Ref Catalog</t>
  </si>
  <si>
    <t>URL NOT FOUND</t>
  </si>
  <si>
    <t>41116127  Immunology or serology reagents or solutions or stains</t>
  </si>
  <si>
    <t>REAGENT</t>
  </si>
  <si>
    <t>IMMUNOLOGY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</si>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</sst>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9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em%20Templates%20for%20Consumables-Pharma%20and%20Others_SX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43">
          <cell r="W643" t="str">
            <v>19290</v>
          </cell>
        </row>
        <row r="644">
          <cell r="W644" t="str">
            <v>19291</v>
          </cell>
        </row>
        <row r="645">
          <cell r="W645" t="str">
            <v>19292</v>
          </cell>
        </row>
        <row r="646">
          <cell r="W646" t="str">
            <v>19293</v>
          </cell>
        </row>
        <row r="647">
          <cell r="W647" t="str">
            <v>19294</v>
          </cell>
        </row>
        <row r="648">
          <cell r="W648" t="str">
            <v>19295</v>
          </cell>
        </row>
        <row r="649">
          <cell r="W649" t="str">
            <v>19296</v>
          </cell>
        </row>
        <row r="650">
          <cell r="W650" t="str">
            <v>19297</v>
          </cell>
        </row>
        <row r="651">
          <cell r="W651" t="str">
            <v>19298</v>
          </cell>
        </row>
        <row r="652">
          <cell r="W652" t="str">
            <v>19299</v>
          </cell>
        </row>
        <row r="653">
          <cell r="W653" t="str">
            <v>19300</v>
          </cell>
        </row>
        <row r="654">
          <cell r="W654" t="str">
            <v>19301</v>
          </cell>
        </row>
        <row r="655">
          <cell r="W655" t="str">
            <v>19302</v>
          </cell>
        </row>
        <row r="656">
          <cell r="W656" t="str">
            <v>19303</v>
          </cell>
        </row>
        <row r="657">
          <cell r="W657" t="str">
            <v>19304</v>
          </cell>
        </row>
        <row r="658">
          <cell r="W658" t="str">
            <v>19305</v>
          </cell>
        </row>
        <row r="659">
          <cell r="W659" t="str">
            <v>19306</v>
          </cell>
        </row>
        <row r="660">
          <cell r="W660" t="str">
            <v>19307</v>
          </cell>
        </row>
        <row r="661">
          <cell r="W661" t="str">
            <v>19308</v>
          </cell>
        </row>
        <row r="662">
          <cell r="W662" t="str">
            <v>19309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1"/>
  <sheetViews>
    <sheetView tabSelected="1" topLeftCell="DY1" workbookViewId="0">
      <selection activeCell="EA13" sqref="EA13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7.140625" style="1" customWidth="1"/>
    <col min="24" max="24" width="38.140625" style="1" customWidth="1"/>
    <col min="25" max="25" width="50.28515625" style="1" customWidth="1"/>
    <col min="26" max="26" width="202.42578125" style="1" customWidth="1"/>
    <col min="27" max="27" width="255.7109375" style="1" customWidth="1"/>
    <col min="28" max="29" width="36.85546875" style="1" customWidth="1"/>
    <col min="30" max="30" width="61.7109375" style="1" customWidth="1"/>
    <col min="31" max="31" width="15.7109375" style="1" customWidth="1"/>
    <col min="32" max="32" width="13.5703125" style="1" customWidth="1"/>
    <col min="33" max="33" width="10.5703125" style="1" customWidth="1"/>
    <col min="34" max="34" width="11.42578125" style="1" customWidth="1"/>
    <col min="35" max="35" width="10.7109375" style="1" customWidth="1"/>
    <col min="36" max="36" width="22.5703125" style="1" customWidth="1"/>
    <col min="37" max="37" width="17" style="1" customWidth="1"/>
    <col min="38" max="38" width="9.5703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32.28515625" style="1" customWidth="1"/>
    <col min="43" max="43" width="5.42578125" style="1" customWidth="1"/>
    <col min="44" max="44" width="71.85546875" style="1" customWidth="1"/>
    <col min="45" max="45" width="53.5703125" style="1" customWidth="1"/>
    <col min="46" max="46" width="87.5703125" style="1" customWidth="1"/>
    <col min="47" max="47" width="92.5703125" style="1" customWidth="1"/>
    <col min="48" max="48" width="18.14062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1.7109375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5.7109375" style="1" customWidth="1"/>
    <col min="65" max="65" width="11.85546875" style="1" customWidth="1"/>
    <col min="66" max="66" width="17" style="1" customWidth="1"/>
    <col min="67" max="67" width="22" style="1" customWidth="1"/>
    <col min="68" max="68" width="12.42578125" style="1" customWidth="1"/>
    <col min="69" max="69" width="17.85546875" style="1" customWidth="1"/>
    <col min="70" max="70" width="20" style="1" customWidth="1"/>
    <col min="71" max="71" width="22" style="1" customWidth="1"/>
    <col min="72" max="72" width="20.140625" style="1" customWidth="1"/>
    <col min="73" max="73" width="22.28515625" style="1" customWidth="1"/>
    <col min="74" max="74" width="20.28515625" style="1" customWidth="1"/>
    <col min="75" max="75" width="25.42578125" style="1" customWidth="1"/>
    <col min="76" max="76" width="15.42578125" style="1" customWidth="1"/>
    <col min="77" max="77" width="24" style="1" customWidth="1"/>
    <col min="78" max="78" width="12.28515625" style="1" customWidth="1"/>
    <col min="79" max="79" width="11" style="1" customWidth="1"/>
    <col min="80" max="80" width="18.7109375" style="1" customWidth="1"/>
    <col min="81" max="81" width="15.140625" style="1" customWidth="1"/>
    <col min="82" max="82" width="20.85546875" style="1" customWidth="1"/>
    <col min="83" max="83" width="11.5703125" style="1" customWidth="1"/>
    <col min="84" max="84" width="15.28515625" style="1" customWidth="1"/>
    <col min="85" max="85" width="21" style="1" customWidth="1"/>
    <col min="86" max="86" width="11.7109375" style="1" customWidth="1"/>
    <col min="87" max="87" width="9.85546875" style="1" customWidth="1"/>
    <col min="88" max="88" width="10.85546875" style="1" customWidth="1"/>
    <col min="89" max="89" width="6" style="1" customWidth="1"/>
    <col min="90" max="90" width="7.140625" style="1" customWidth="1"/>
    <col min="91" max="91" width="6" style="1" customWidth="1"/>
    <col min="92" max="92" width="7.140625" style="1" customWidth="1"/>
    <col min="93" max="93" width="6" style="1" customWidth="1"/>
    <col min="94" max="94" width="7.140625" style="1" customWidth="1"/>
    <col min="95" max="95" width="6" style="1" customWidth="1"/>
    <col min="96" max="96" width="20.28515625" style="1" customWidth="1"/>
    <col min="97" max="97" width="25.140625" style="1" customWidth="1"/>
    <col min="98" max="98" width="18.28515625" style="1" customWidth="1"/>
    <col min="99" max="99" width="23.140625" style="1" customWidth="1"/>
    <col min="100" max="100" width="17" style="1" customWidth="1"/>
    <col min="101" max="101" width="21.85546875" style="1" customWidth="1"/>
    <col min="102" max="102" width="22.42578125" style="1" customWidth="1"/>
    <col min="103" max="103" width="27.28515625" style="1" customWidth="1"/>
    <col min="104" max="104" width="16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26</v>
      </c>
      <c r="B1" s="3" t="s">
        <v>105</v>
      </c>
      <c r="C1" s="2" t="s">
        <v>91</v>
      </c>
      <c r="D1" s="2" t="s">
        <v>232</v>
      </c>
      <c r="E1" s="2" t="s">
        <v>24</v>
      </c>
      <c r="F1" s="2" t="s">
        <v>29</v>
      </c>
      <c r="G1" s="2" t="s">
        <v>126</v>
      </c>
      <c r="H1" s="4" t="s">
        <v>128</v>
      </c>
      <c r="I1" s="4" t="s">
        <v>93</v>
      </c>
      <c r="J1" s="2" t="s">
        <v>0</v>
      </c>
      <c r="K1" s="2" t="s">
        <v>228</v>
      </c>
      <c r="L1" s="2" t="s">
        <v>188</v>
      </c>
      <c r="M1" s="2" t="s">
        <v>55</v>
      </c>
      <c r="N1" s="2" t="s">
        <v>196</v>
      </c>
      <c r="O1" s="2" t="s">
        <v>107</v>
      </c>
      <c r="P1" s="5" t="s">
        <v>40</v>
      </c>
      <c r="Q1" s="2" t="s">
        <v>14</v>
      </c>
      <c r="R1" s="2" t="s">
        <v>11</v>
      </c>
      <c r="S1" s="6" t="s">
        <v>261</v>
      </c>
      <c r="T1" s="6" t="s">
        <v>168</v>
      </c>
      <c r="U1" s="2" t="s">
        <v>270</v>
      </c>
      <c r="V1" s="7" t="s">
        <v>137</v>
      </c>
      <c r="W1" s="8" t="s">
        <v>187</v>
      </c>
      <c r="X1" s="9" t="s">
        <v>46</v>
      </c>
      <c r="Y1" s="9" t="s">
        <v>150</v>
      </c>
      <c r="Z1" s="9" t="s">
        <v>48</v>
      </c>
      <c r="AA1" s="9" t="s">
        <v>70</v>
      </c>
      <c r="AB1" s="9" t="s">
        <v>75</v>
      </c>
      <c r="AC1" s="9" t="s">
        <v>9</v>
      </c>
      <c r="AD1" s="9" t="s">
        <v>256</v>
      </c>
      <c r="AE1" s="10" t="s">
        <v>209</v>
      </c>
      <c r="AF1" s="9" t="s">
        <v>96</v>
      </c>
      <c r="AG1" s="9" t="s">
        <v>139</v>
      </c>
      <c r="AH1" s="9" t="s">
        <v>82</v>
      </c>
      <c r="AI1" s="9" t="s">
        <v>146</v>
      </c>
      <c r="AJ1" s="9" t="s">
        <v>18</v>
      </c>
      <c r="AK1" s="10" t="s">
        <v>200</v>
      </c>
      <c r="AL1" s="9" t="s">
        <v>28</v>
      </c>
      <c r="AM1" s="9" t="s">
        <v>204</v>
      </c>
      <c r="AN1" s="9" t="s">
        <v>212</v>
      </c>
      <c r="AO1" s="9" t="s">
        <v>108</v>
      </c>
      <c r="AP1" s="11" t="s">
        <v>174</v>
      </c>
      <c r="AQ1" s="11" t="s">
        <v>37</v>
      </c>
      <c r="AR1" s="11" t="s">
        <v>249</v>
      </c>
      <c r="AS1" s="11" t="s">
        <v>39</v>
      </c>
      <c r="AT1" s="11" t="s">
        <v>85</v>
      </c>
      <c r="AU1" s="11" t="s">
        <v>72</v>
      </c>
      <c r="AV1" s="11" t="s">
        <v>100</v>
      </c>
      <c r="AW1" s="11" t="s">
        <v>73</v>
      </c>
      <c r="AX1" s="11" t="s">
        <v>32</v>
      </c>
      <c r="AY1" s="11" t="s">
        <v>88</v>
      </c>
      <c r="AZ1" s="11" t="s">
        <v>56</v>
      </c>
      <c r="BA1" s="12" t="s">
        <v>103</v>
      </c>
      <c r="BB1" s="11" t="s">
        <v>185</v>
      </c>
      <c r="BC1" s="11" t="s">
        <v>171</v>
      </c>
      <c r="BD1" s="11" t="s">
        <v>179</v>
      </c>
      <c r="BE1" s="11" t="s">
        <v>155</v>
      </c>
      <c r="BF1" s="11" t="s">
        <v>17</v>
      </c>
      <c r="BG1" s="11" t="s">
        <v>197</v>
      </c>
      <c r="BH1" s="12" t="s">
        <v>16</v>
      </c>
      <c r="BI1" s="11" t="s">
        <v>160</v>
      </c>
      <c r="BJ1" s="11" t="s">
        <v>136</v>
      </c>
      <c r="BK1" s="11" t="s">
        <v>203</v>
      </c>
      <c r="BL1" s="11" t="s">
        <v>148</v>
      </c>
      <c r="BM1" s="12" t="s">
        <v>190</v>
      </c>
      <c r="BN1" s="12" t="s">
        <v>191</v>
      </c>
      <c r="BO1" s="12" t="s">
        <v>264</v>
      </c>
      <c r="BP1" s="12" t="s">
        <v>151</v>
      </c>
      <c r="BQ1" s="11" t="s">
        <v>20</v>
      </c>
      <c r="BR1" s="11" t="s">
        <v>153</v>
      </c>
      <c r="BS1" s="11" t="s">
        <v>3</v>
      </c>
      <c r="BT1" s="11" t="s">
        <v>114</v>
      </c>
      <c r="BU1" s="11" t="s">
        <v>198</v>
      </c>
      <c r="BV1" s="12" t="s">
        <v>132</v>
      </c>
      <c r="BW1" s="11" t="s">
        <v>120</v>
      </c>
      <c r="BX1" s="11" t="s">
        <v>246</v>
      </c>
      <c r="BY1" s="11" t="s">
        <v>216</v>
      </c>
      <c r="BZ1" s="13" t="s">
        <v>23</v>
      </c>
      <c r="CA1" s="13" t="s">
        <v>173</v>
      </c>
      <c r="CB1" s="14" t="s">
        <v>52</v>
      </c>
      <c r="CC1" s="15" t="s">
        <v>102</v>
      </c>
      <c r="CD1" s="15" t="s">
        <v>252</v>
      </c>
      <c r="CE1" s="15" t="s">
        <v>68</v>
      </c>
      <c r="CF1" s="15" t="s">
        <v>10</v>
      </c>
      <c r="CG1" s="15" t="s">
        <v>19</v>
      </c>
      <c r="CH1" s="15" t="s">
        <v>4</v>
      </c>
      <c r="CI1" s="15" t="s">
        <v>154</v>
      </c>
      <c r="CJ1" s="15" t="s">
        <v>275</v>
      </c>
      <c r="CK1" s="16" t="s">
        <v>138</v>
      </c>
      <c r="CL1" s="15" t="s">
        <v>165</v>
      </c>
      <c r="CM1" s="15" t="s">
        <v>84</v>
      </c>
      <c r="CN1" s="15" t="s">
        <v>127</v>
      </c>
      <c r="CO1" s="15" t="s">
        <v>162</v>
      </c>
      <c r="CP1" s="15" t="s">
        <v>98</v>
      </c>
      <c r="CQ1" s="15" t="s">
        <v>117</v>
      </c>
      <c r="CR1" s="15" t="s">
        <v>167</v>
      </c>
      <c r="CS1" s="15" t="s">
        <v>21</v>
      </c>
      <c r="CT1" s="15" t="s">
        <v>251</v>
      </c>
      <c r="CU1" s="15" t="s">
        <v>156</v>
      </c>
      <c r="CV1" s="15" t="s">
        <v>214</v>
      </c>
      <c r="CW1" s="15" t="s">
        <v>101</v>
      </c>
      <c r="CX1" s="15" t="s">
        <v>30</v>
      </c>
      <c r="CY1" s="15" t="s">
        <v>94</v>
      </c>
      <c r="CZ1" s="15" t="s">
        <v>205</v>
      </c>
      <c r="DA1" s="15" t="s">
        <v>31</v>
      </c>
      <c r="DB1" s="17" t="s">
        <v>158</v>
      </c>
      <c r="DC1" s="15" t="s">
        <v>235</v>
      </c>
      <c r="DD1" s="15" t="s">
        <v>247</v>
      </c>
      <c r="DE1" s="18" t="s">
        <v>89</v>
      </c>
      <c r="DF1" s="18" t="s">
        <v>258</v>
      </c>
      <c r="DG1" s="17" t="s">
        <v>80</v>
      </c>
      <c r="DH1" s="19" t="s">
        <v>169</v>
      </c>
      <c r="DI1" s="17" t="s">
        <v>33</v>
      </c>
      <c r="DJ1" s="19" t="s">
        <v>181</v>
      </c>
      <c r="DK1" s="17" t="s">
        <v>51</v>
      </c>
      <c r="DL1" s="19" t="s">
        <v>110</v>
      </c>
      <c r="DM1" s="17" t="s">
        <v>192</v>
      </c>
      <c r="DN1" s="19" t="s">
        <v>44</v>
      </c>
      <c r="DO1" s="17" t="s">
        <v>57</v>
      </c>
      <c r="DP1" s="19" t="s">
        <v>255</v>
      </c>
      <c r="DQ1" s="17" t="s">
        <v>145</v>
      </c>
      <c r="DR1" s="19" t="s">
        <v>221</v>
      </c>
      <c r="DS1" s="17" t="s">
        <v>112</v>
      </c>
      <c r="DT1" s="19" t="s">
        <v>122</v>
      </c>
      <c r="DU1" s="17" t="s">
        <v>78</v>
      </c>
      <c r="DV1" s="17" t="s">
        <v>217</v>
      </c>
      <c r="DW1" s="15" t="s">
        <v>175</v>
      </c>
      <c r="DX1" s="15" t="s">
        <v>22</v>
      </c>
      <c r="DY1" s="15" t="s">
        <v>233</v>
      </c>
      <c r="DZ1" s="15" t="s">
        <v>140</v>
      </c>
      <c r="EA1" s="15" t="s">
        <v>172</v>
      </c>
      <c r="EB1" s="15" t="s">
        <v>71</v>
      </c>
      <c r="EC1" s="20" t="s">
        <v>208</v>
      </c>
      <c r="ED1" s="21" t="s">
        <v>250</v>
      </c>
      <c r="EE1" s="1" t="s">
        <v>142</v>
      </c>
      <c r="EF1" s="1" t="s">
        <v>178</v>
      </c>
    </row>
    <row r="2" spans="1:136" ht="12" customHeight="1" x14ac:dyDescent="0.25">
      <c r="A2" s="22" t="s">
        <v>183</v>
      </c>
      <c r="B2" s="22" t="s">
        <v>124</v>
      </c>
      <c r="C2" s="22"/>
      <c r="D2" s="22" t="s">
        <v>38</v>
      </c>
      <c r="E2" s="22"/>
      <c r="F2" s="22"/>
      <c r="G2" s="22"/>
      <c r="H2" s="22" t="s">
        <v>38</v>
      </c>
      <c r="I2" s="22" t="s">
        <v>144</v>
      </c>
      <c r="J2" s="22" t="str">
        <f>VLOOKUP(W2,[1]Sheet1!$W$643:$W$662,1,0)</f>
        <v>19290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42</v>
      </c>
      <c r="W2" s="22" t="s">
        <v>61</v>
      </c>
      <c r="X2" s="22" t="s">
        <v>53</v>
      </c>
      <c r="Y2" s="22" t="s">
        <v>115</v>
      </c>
      <c r="Z2" s="22" t="s">
        <v>225</v>
      </c>
      <c r="AA2" s="22" t="s">
        <v>225</v>
      </c>
      <c r="AB2" s="22" t="s">
        <v>262</v>
      </c>
      <c r="AC2" s="22" t="s">
        <v>215</v>
      </c>
      <c r="AD2" s="22" t="s">
        <v>130</v>
      </c>
      <c r="AE2" s="22" t="s">
        <v>215</v>
      </c>
      <c r="AF2" s="22" t="s">
        <v>215</v>
      </c>
      <c r="AG2" s="22" t="s">
        <v>41</v>
      </c>
      <c r="AH2" s="22" t="s">
        <v>215</v>
      </c>
      <c r="AI2" s="22" t="s">
        <v>215</v>
      </c>
      <c r="AJ2" s="22" t="s">
        <v>97</v>
      </c>
      <c r="AK2" s="22" t="s">
        <v>157</v>
      </c>
      <c r="AL2" s="22" t="s">
        <v>265</v>
      </c>
      <c r="AM2" s="22" t="s">
        <v>215</v>
      </c>
      <c r="AN2" s="22" t="s">
        <v>215</v>
      </c>
      <c r="AO2" s="22" t="s">
        <v>215</v>
      </c>
      <c r="AP2" s="22" t="s">
        <v>81</v>
      </c>
      <c r="AQ2" s="22" t="s">
        <v>215</v>
      </c>
      <c r="AR2" s="22" t="s">
        <v>69</v>
      </c>
      <c r="AS2" s="22" t="s">
        <v>13</v>
      </c>
      <c r="AT2" s="22" t="s">
        <v>95</v>
      </c>
      <c r="AU2" s="22" t="s">
        <v>211</v>
      </c>
      <c r="AV2" s="22" t="s">
        <v>215</v>
      </c>
      <c r="AW2" s="22" t="s">
        <v>201</v>
      </c>
      <c r="AX2" s="22" t="s">
        <v>201</v>
      </c>
      <c r="AY2" s="22" t="s">
        <v>201</v>
      </c>
      <c r="AZ2" s="22" t="s">
        <v>201</v>
      </c>
      <c r="BA2" s="22" t="s">
        <v>215</v>
      </c>
      <c r="BB2" s="22" t="s">
        <v>215</v>
      </c>
      <c r="BC2" s="22" t="s">
        <v>215</v>
      </c>
      <c r="BD2" s="22" t="s">
        <v>215</v>
      </c>
      <c r="BE2" s="22" t="s">
        <v>215</v>
      </c>
      <c r="BF2" s="22" t="s">
        <v>201</v>
      </c>
      <c r="BG2" s="22">
        <v>4300</v>
      </c>
      <c r="BH2" s="22" t="s">
        <v>215</v>
      </c>
      <c r="BI2" s="22" t="s">
        <v>215</v>
      </c>
      <c r="BJ2" s="22" t="s">
        <v>265</v>
      </c>
      <c r="BK2" s="22" t="s">
        <v>215</v>
      </c>
      <c r="BL2" s="22" t="s">
        <v>215</v>
      </c>
      <c r="BM2" s="22" t="s">
        <v>202</v>
      </c>
      <c r="BN2" s="22" t="s">
        <v>202</v>
      </c>
      <c r="BO2" s="22" t="s">
        <v>215</v>
      </c>
      <c r="BP2" s="22" t="s">
        <v>215</v>
      </c>
      <c r="BQ2" s="22" t="s">
        <v>215</v>
      </c>
      <c r="BR2" s="22" t="s">
        <v>215</v>
      </c>
      <c r="BS2" s="22" t="s">
        <v>215</v>
      </c>
      <c r="BT2" s="22" t="s">
        <v>215</v>
      </c>
      <c r="BU2" s="22" t="s">
        <v>215</v>
      </c>
      <c r="BV2" s="22" t="s">
        <v>215</v>
      </c>
      <c r="BW2" s="22" t="s">
        <v>215</v>
      </c>
      <c r="BX2" s="22" t="s">
        <v>215</v>
      </c>
      <c r="BY2" s="22" t="s">
        <v>215</v>
      </c>
      <c r="BZ2" s="22" t="s">
        <v>272</v>
      </c>
      <c r="CA2" s="22" t="s">
        <v>272</v>
      </c>
      <c r="CB2" s="22">
        <v>44567.549756944398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277</v>
      </c>
      <c r="DA2" s="22"/>
      <c r="DB2" s="22"/>
      <c r="DC2" s="22"/>
      <c r="DD2" s="22"/>
      <c r="DE2" s="22" t="s">
        <v>278</v>
      </c>
      <c r="DF2" s="22" t="s">
        <v>279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 t="s">
        <v>276</v>
      </c>
      <c r="DX2" s="22"/>
      <c r="DY2" s="22"/>
      <c r="DZ2" s="22"/>
      <c r="EA2" s="22"/>
      <c r="EB2" s="22"/>
      <c r="EC2" s="22"/>
      <c r="ED2" s="22"/>
      <c r="EE2" s="1" t="s">
        <v>280</v>
      </c>
    </row>
    <row r="3" spans="1:136" ht="12" customHeight="1" x14ac:dyDescent="0.25">
      <c r="A3" s="22" t="s">
        <v>183</v>
      </c>
      <c r="B3" s="22" t="s">
        <v>124</v>
      </c>
      <c r="C3" s="22"/>
      <c r="D3" s="22" t="s">
        <v>38</v>
      </c>
      <c r="E3" s="22"/>
      <c r="F3" s="22"/>
      <c r="G3" s="22"/>
      <c r="H3" s="22" t="s">
        <v>38</v>
      </c>
      <c r="I3" s="22" t="s">
        <v>144</v>
      </c>
      <c r="J3" s="22" t="str">
        <f>VLOOKUP(W3,[1]Sheet1!$W$643:$W$662,1,0)</f>
        <v>19291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42</v>
      </c>
      <c r="W3" s="22" t="s">
        <v>60</v>
      </c>
      <c r="X3" s="22" t="s">
        <v>87</v>
      </c>
      <c r="Y3" s="22" t="s">
        <v>115</v>
      </c>
      <c r="Z3" s="22" t="s">
        <v>135</v>
      </c>
      <c r="AA3" s="22" t="s">
        <v>135</v>
      </c>
      <c r="AB3" s="22" t="s">
        <v>262</v>
      </c>
      <c r="AC3" s="22" t="s">
        <v>215</v>
      </c>
      <c r="AD3" s="22" t="s">
        <v>130</v>
      </c>
      <c r="AE3" s="22" t="s">
        <v>215</v>
      </c>
      <c r="AF3" s="22" t="s">
        <v>215</v>
      </c>
      <c r="AG3" s="22" t="s">
        <v>41</v>
      </c>
      <c r="AH3" s="22" t="s">
        <v>215</v>
      </c>
      <c r="AI3" s="22" t="s">
        <v>215</v>
      </c>
      <c r="AJ3" s="22" t="s">
        <v>97</v>
      </c>
      <c r="AK3" s="22" t="s">
        <v>157</v>
      </c>
      <c r="AL3" s="22" t="s">
        <v>265</v>
      </c>
      <c r="AM3" s="22" t="s">
        <v>215</v>
      </c>
      <c r="AN3" s="22" t="s">
        <v>215</v>
      </c>
      <c r="AO3" s="22" t="s">
        <v>215</v>
      </c>
      <c r="AP3" s="22" t="s">
        <v>50</v>
      </c>
      <c r="AQ3" s="22" t="s">
        <v>215</v>
      </c>
      <c r="AR3" s="22" t="s">
        <v>69</v>
      </c>
      <c r="AS3" s="22" t="s">
        <v>6</v>
      </c>
      <c r="AT3" s="22" t="s">
        <v>43</v>
      </c>
      <c r="AU3" s="22" t="s">
        <v>43</v>
      </c>
      <c r="AV3" s="22" t="s">
        <v>215</v>
      </c>
      <c r="AW3" s="22" t="s">
        <v>201</v>
      </c>
      <c r="AX3" s="22" t="s">
        <v>201</v>
      </c>
      <c r="AY3" s="22" t="s">
        <v>201</v>
      </c>
      <c r="AZ3" s="22" t="s">
        <v>201</v>
      </c>
      <c r="BA3" s="22" t="s">
        <v>215</v>
      </c>
      <c r="BB3" s="22" t="s">
        <v>215</v>
      </c>
      <c r="BC3" s="22" t="s">
        <v>215</v>
      </c>
      <c r="BD3" s="22" t="s">
        <v>215</v>
      </c>
      <c r="BE3" s="22" t="s">
        <v>215</v>
      </c>
      <c r="BF3" s="22" t="s">
        <v>201</v>
      </c>
      <c r="BG3" s="22">
        <v>700</v>
      </c>
      <c r="BH3" s="22" t="s">
        <v>215</v>
      </c>
      <c r="BI3" s="22" t="s">
        <v>215</v>
      </c>
      <c r="BJ3" s="22" t="s">
        <v>265</v>
      </c>
      <c r="BK3" s="22" t="s">
        <v>215</v>
      </c>
      <c r="BL3" s="22" t="s">
        <v>215</v>
      </c>
      <c r="BM3" s="22" t="s">
        <v>202</v>
      </c>
      <c r="BN3" s="22" t="s">
        <v>202</v>
      </c>
      <c r="BO3" s="22" t="s">
        <v>215</v>
      </c>
      <c r="BP3" s="22" t="s">
        <v>215</v>
      </c>
      <c r="BQ3" s="22" t="s">
        <v>215</v>
      </c>
      <c r="BR3" s="22" t="s">
        <v>215</v>
      </c>
      <c r="BS3" s="22" t="s">
        <v>215</v>
      </c>
      <c r="BT3" s="22" t="s">
        <v>215</v>
      </c>
      <c r="BU3" s="22" t="s">
        <v>215</v>
      </c>
      <c r="BV3" s="22" t="s">
        <v>215</v>
      </c>
      <c r="BW3" s="22" t="s">
        <v>215</v>
      </c>
      <c r="BX3" s="22" t="s">
        <v>215</v>
      </c>
      <c r="BY3" s="22" t="s">
        <v>215</v>
      </c>
      <c r="BZ3" s="22" t="s">
        <v>272</v>
      </c>
      <c r="CA3" s="22" t="s">
        <v>272</v>
      </c>
      <c r="CB3" s="22">
        <v>44567.561944444402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277</v>
      </c>
      <c r="DA3" s="22"/>
      <c r="DB3" s="22"/>
      <c r="DC3" s="22"/>
      <c r="DD3" s="22"/>
      <c r="DE3" s="22" t="s">
        <v>278</v>
      </c>
      <c r="DF3" s="22" t="s">
        <v>279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 t="s">
        <v>276</v>
      </c>
      <c r="DX3" s="22"/>
      <c r="DY3" s="22"/>
      <c r="DZ3" s="22"/>
      <c r="EA3" s="22"/>
      <c r="EB3" s="22"/>
      <c r="EC3" s="22"/>
      <c r="ED3" s="22"/>
      <c r="EE3" s="1" t="s">
        <v>280</v>
      </c>
    </row>
    <row r="4" spans="1:136" ht="12" customHeight="1" x14ac:dyDescent="0.25">
      <c r="A4" s="22" t="s">
        <v>183</v>
      </c>
      <c r="B4" s="22" t="s">
        <v>124</v>
      </c>
      <c r="C4" s="22"/>
      <c r="D4" s="22" t="s">
        <v>38</v>
      </c>
      <c r="E4" s="22"/>
      <c r="F4" s="22"/>
      <c r="G4" s="22"/>
      <c r="H4" s="22" t="s">
        <v>38</v>
      </c>
      <c r="I4" s="22" t="s">
        <v>144</v>
      </c>
      <c r="J4" s="22" t="str">
        <f>VLOOKUP(W4,[1]Sheet1!$W$643:$W$662,1,0)</f>
        <v>19292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42</v>
      </c>
      <c r="W4" s="22" t="s">
        <v>63</v>
      </c>
      <c r="X4" s="22" t="s">
        <v>133</v>
      </c>
      <c r="Y4" s="22" t="s">
        <v>115</v>
      </c>
      <c r="Z4" s="22" t="s">
        <v>244</v>
      </c>
      <c r="AA4" s="22" t="s">
        <v>244</v>
      </c>
      <c r="AB4" s="22" t="s">
        <v>262</v>
      </c>
      <c r="AC4" s="22" t="s">
        <v>215</v>
      </c>
      <c r="AD4" s="22" t="s">
        <v>130</v>
      </c>
      <c r="AE4" s="22" t="s">
        <v>215</v>
      </c>
      <c r="AF4" s="22" t="s">
        <v>215</v>
      </c>
      <c r="AG4" s="22" t="s">
        <v>41</v>
      </c>
      <c r="AH4" s="22" t="s">
        <v>215</v>
      </c>
      <c r="AI4" s="22" t="s">
        <v>215</v>
      </c>
      <c r="AJ4" s="22" t="s">
        <v>97</v>
      </c>
      <c r="AK4" s="22" t="s">
        <v>157</v>
      </c>
      <c r="AL4" s="22" t="s">
        <v>265</v>
      </c>
      <c r="AM4" s="22" t="s">
        <v>215</v>
      </c>
      <c r="AN4" s="22" t="s">
        <v>215</v>
      </c>
      <c r="AO4" s="22" t="s">
        <v>215</v>
      </c>
      <c r="AP4" s="22" t="s">
        <v>50</v>
      </c>
      <c r="AQ4" s="22" t="s">
        <v>215</v>
      </c>
      <c r="AR4" s="22" t="s">
        <v>69</v>
      </c>
      <c r="AS4" s="22" t="s">
        <v>13</v>
      </c>
      <c r="AT4" s="22" t="s">
        <v>83</v>
      </c>
      <c r="AU4" s="22" t="s">
        <v>213</v>
      </c>
      <c r="AV4" s="22" t="s">
        <v>215</v>
      </c>
      <c r="AW4" s="22" t="s">
        <v>201</v>
      </c>
      <c r="AX4" s="22" t="s">
        <v>201</v>
      </c>
      <c r="AY4" s="22" t="s">
        <v>201</v>
      </c>
      <c r="AZ4" s="22" t="s">
        <v>201</v>
      </c>
      <c r="BA4" s="22" t="s">
        <v>215</v>
      </c>
      <c r="BB4" s="22" t="s">
        <v>215</v>
      </c>
      <c r="BC4" s="22" t="s">
        <v>215</v>
      </c>
      <c r="BD4" s="22" t="s">
        <v>215</v>
      </c>
      <c r="BE4" s="22" t="s">
        <v>215</v>
      </c>
      <c r="BF4" s="22" t="s">
        <v>201</v>
      </c>
      <c r="BG4" s="22">
        <v>3289</v>
      </c>
      <c r="BH4" s="22" t="s">
        <v>215</v>
      </c>
      <c r="BI4" s="22" t="s">
        <v>215</v>
      </c>
      <c r="BJ4" s="22" t="s">
        <v>265</v>
      </c>
      <c r="BK4" s="22" t="s">
        <v>215</v>
      </c>
      <c r="BL4" s="22" t="s">
        <v>215</v>
      </c>
      <c r="BM4" s="22" t="s">
        <v>202</v>
      </c>
      <c r="BN4" s="22" t="s">
        <v>202</v>
      </c>
      <c r="BO4" s="22" t="s">
        <v>215</v>
      </c>
      <c r="BP4" s="22" t="s">
        <v>215</v>
      </c>
      <c r="BQ4" s="22" t="s">
        <v>215</v>
      </c>
      <c r="BR4" s="22" t="s">
        <v>215</v>
      </c>
      <c r="BS4" s="22" t="s">
        <v>215</v>
      </c>
      <c r="BT4" s="22" t="s">
        <v>215</v>
      </c>
      <c r="BU4" s="22" t="s">
        <v>215</v>
      </c>
      <c r="BV4" s="22" t="s">
        <v>215</v>
      </c>
      <c r="BW4" s="22" t="s">
        <v>215</v>
      </c>
      <c r="BX4" s="22" t="s">
        <v>215</v>
      </c>
      <c r="BY4" s="22" t="s">
        <v>215</v>
      </c>
      <c r="BZ4" s="22" t="s">
        <v>272</v>
      </c>
      <c r="CA4" s="22" t="s">
        <v>272</v>
      </c>
      <c r="CB4" s="22">
        <v>44567.567303240699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277</v>
      </c>
      <c r="DA4" s="22"/>
      <c r="DB4" s="22"/>
      <c r="DC4" s="22"/>
      <c r="DD4" s="22"/>
      <c r="DE4" s="22" t="s">
        <v>278</v>
      </c>
      <c r="DF4" s="22" t="s">
        <v>279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 t="s">
        <v>276</v>
      </c>
      <c r="DX4" s="22"/>
      <c r="DY4" s="22"/>
      <c r="DZ4" s="22"/>
      <c r="EA4" s="22"/>
      <c r="EB4" s="22"/>
      <c r="EC4" s="22"/>
      <c r="ED4" s="22"/>
      <c r="EE4" s="1" t="s">
        <v>280</v>
      </c>
    </row>
    <row r="5" spans="1:136" ht="12" customHeight="1" x14ac:dyDescent="0.25">
      <c r="A5" s="22" t="s">
        <v>183</v>
      </c>
      <c r="B5" s="22" t="s">
        <v>124</v>
      </c>
      <c r="C5" s="22"/>
      <c r="D5" s="22" t="s">
        <v>38</v>
      </c>
      <c r="E5" s="22"/>
      <c r="F5" s="22"/>
      <c r="G5" s="22"/>
      <c r="H5" s="22" t="s">
        <v>38</v>
      </c>
      <c r="I5" s="22" t="s">
        <v>144</v>
      </c>
      <c r="J5" s="22" t="str">
        <f>VLOOKUP(W5,[1]Sheet1!$W$643:$W$662,1,0)</f>
        <v>19293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42</v>
      </c>
      <c r="W5" s="22" t="s">
        <v>62</v>
      </c>
      <c r="X5" s="22" t="s">
        <v>116</v>
      </c>
      <c r="Y5" s="22" t="s">
        <v>115</v>
      </c>
      <c r="Z5" s="22" t="s">
        <v>166</v>
      </c>
      <c r="AA5" s="22" t="s">
        <v>166</v>
      </c>
      <c r="AB5" s="22" t="s">
        <v>262</v>
      </c>
      <c r="AC5" s="22" t="s">
        <v>215</v>
      </c>
      <c r="AD5" s="22" t="s">
        <v>130</v>
      </c>
      <c r="AE5" s="22" t="s">
        <v>215</v>
      </c>
      <c r="AF5" s="22" t="s">
        <v>215</v>
      </c>
      <c r="AG5" s="22" t="s">
        <v>41</v>
      </c>
      <c r="AH5" s="22" t="s">
        <v>215</v>
      </c>
      <c r="AI5" s="22" t="s">
        <v>215</v>
      </c>
      <c r="AJ5" s="22" t="s">
        <v>97</v>
      </c>
      <c r="AK5" s="22" t="s">
        <v>157</v>
      </c>
      <c r="AL5" s="22" t="s">
        <v>265</v>
      </c>
      <c r="AM5" s="22" t="s">
        <v>215</v>
      </c>
      <c r="AN5" s="22" t="s">
        <v>215</v>
      </c>
      <c r="AO5" s="22" t="s">
        <v>215</v>
      </c>
      <c r="AP5" s="22" t="s">
        <v>86</v>
      </c>
      <c r="AQ5" s="22" t="s">
        <v>215</v>
      </c>
      <c r="AR5" s="22" t="s">
        <v>147</v>
      </c>
      <c r="AS5" s="22" t="s">
        <v>12</v>
      </c>
      <c r="AT5" s="22" t="s">
        <v>254</v>
      </c>
      <c r="AU5" s="22" t="s">
        <v>111</v>
      </c>
      <c r="AV5" s="22" t="s">
        <v>215</v>
      </c>
      <c r="AW5" s="22" t="s">
        <v>201</v>
      </c>
      <c r="AX5" s="22" t="s">
        <v>201</v>
      </c>
      <c r="AY5" s="22" t="s">
        <v>201</v>
      </c>
      <c r="AZ5" s="22" t="s">
        <v>201</v>
      </c>
      <c r="BA5" s="22" t="s">
        <v>215</v>
      </c>
      <c r="BB5" s="22" t="s">
        <v>215</v>
      </c>
      <c r="BC5" s="22" t="s">
        <v>215</v>
      </c>
      <c r="BD5" s="22" t="s">
        <v>215</v>
      </c>
      <c r="BE5" s="22" t="s">
        <v>215</v>
      </c>
      <c r="BF5" s="22" t="s">
        <v>201</v>
      </c>
      <c r="BG5" s="22">
        <v>7.8</v>
      </c>
      <c r="BH5" s="22" t="s">
        <v>215</v>
      </c>
      <c r="BI5" s="22" t="s">
        <v>215</v>
      </c>
      <c r="BJ5" s="22" t="s">
        <v>265</v>
      </c>
      <c r="BK5" s="22" t="s">
        <v>215</v>
      </c>
      <c r="BL5" s="22" t="s">
        <v>215</v>
      </c>
      <c r="BM5" s="22" t="s">
        <v>201</v>
      </c>
      <c r="BN5" s="22" t="s">
        <v>201</v>
      </c>
      <c r="BO5" s="22" t="s">
        <v>215</v>
      </c>
      <c r="BP5" s="22" t="s">
        <v>215</v>
      </c>
      <c r="BQ5" s="22" t="s">
        <v>215</v>
      </c>
      <c r="BR5" s="22" t="s">
        <v>215</v>
      </c>
      <c r="BS5" s="22" t="s">
        <v>215</v>
      </c>
      <c r="BT5" s="22" t="s">
        <v>215</v>
      </c>
      <c r="BU5" s="22" t="s">
        <v>215</v>
      </c>
      <c r="BV5" s="22" t="s">
        <v>215</v>
      </c>
      <c r="BW5" s="22" t="s">
        <v>215</v>
      </c>
      <c r="BX5" s="22" t="s">
        <v>215</v>
      </c>
      <c r="BY5" s="22" t="s">
        <v>215</v>
      </c>
      <c r="BZ5" s="22" t="s">
        <v>272</v>
      </c>
      <c r="CA5" s="22" t="s">
        <v>272</v>
      </c>
      <c r="CB5" s="22">
        <v>44567.695972222202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277</v>
      </c>
      <c r="DA5" s="22"/>
      <c r="DB5" s="22"/>
      <c r="DC5" s="22"/>
      <c r="DD5" s="22"/>
      <c r="DE5" s="22" t="s">
        <v>278</v>
      </c>
      <c r="DF5" s="22" t="s">
        <v>279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 t="s">
        <v>276</v>
      </c>
      <c r="DX5" s="22"/>
      <c r="DY5" s="22"/>
      <c r="DZ5" s="22"/>
      <c r="EA5" s="22"/>
      <c r="EB5" s="22"/>
      <c r="EC5" s="22"/>
      <c r="ED5" s="22"/>
      <c r="EE5" s="1" t="s">
        <v>280</v>
      </c>
    </row>
    <row r="6" spans="1:136" ht="12" customHeight="1" x14ac:dyDescent="0.25">
      <c r="A6" s="22" t="s">
        <v>183</v>
      </c>
      <c r="B6" s="22" t="s">
        <v>124</v>
      </c>
      <c r="C6" s="22"/>
      <c r="D6" s="22" t="s">
        <v>38</v>
      </c>
      <c r="E6" s="22"/>
      <c r="F6" s="22"/>
      <c r="G6" s="22"/>
      <c r="H6" s="22" t="s">
        <v>38</v>
      </c>
      <c r="I6" s="22" t="s">
        <v>144</v>
      </c>
      <c r="J6" s="22" t="str">
        <f>VLOOKUP(W6,[1]Sheet1!$W$643:$W$662,1,0)</f>
        <v>19294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42</v>
      </c>
      <c r="W6" s="22" t="s">
        <v>180</v>
      </c>
      <c r="X6" s="22" t="s">
        <v>273</v>
      </c>
      <c r="Y6" s="22" t="s">
        <v>115</v>
      </c>
      <c r="Z6" s="22" t="s">
        <v>271</v>
      </c>
      <c r="AA6" s="22" t="s">
        <v>271</v>
      </c>
      <c r="AB6" s="22" t="s">
        <v>262</v>
      </c>
      <c r="AC6" s="22" t="s">
        <v>215</v>
      </c>
      <c r="AD6" s="22" t="s">
        <v>130</v>
      </c>
      <c r="AE6" s="22" t="s">
        <v>215</v>
      </c>
      <c r="AF6" s="22" t="s">
        <v>215</v>
      </c>
      <c r="AG6" s="22" t="s">
        <v>41</v>
      </c>
      <c r="AH6" s="22" t="s">
        <v>215</v>
      </c>
      <c r="AI6" s="22" t="s">
        <v>215</v>
      </c>
      <c r="AJ6" s="22" t="s">
        <v>97</v>
      </c>
      <c r="AK6" s="22" t="s">
        <v>157</v>
      </c>
      <c r="AL6" s="22" t="s">
        <v>265</v>
      </c>
      <c r="AM6" s="22" t="s">
        <v>215</v>
      </c>
      <c r="AN6" s="22" t="s">
        <v>215</v>
      </c>
      <c r="AO6" s="22" t="s">
        <v>215</v>
      </c>
      <c r="AP6" s="22" t="s">
        <v>248</v>
      </c>
      <c r="AQ6" s="22" t="s">
        <v>215</v>
      </c>
      <c r="AR6" s="22" t="s">
        <v>69</v>
      </c>
      <c r="AS6" s="22" t="s">
        <v>13</v>
      </c>
      <c r="AT6" s="22" t="s">
        <v>83</v>
      </c>
      <c r="AU6" s="22" t="s">
        <v>54</v>
      </c>
      <c r="AV6" s="22" t="s">
        <v>215</v>
      </c>
      <c r="AW6" s="22" t="s">
        <v>201</v>
      </c>
      <c r="AX6" s="22" t="s">
        <v>201</v>
      </c>
      <c r="AY6" s="22" t="s">
        <v>201</v>
      </c>
      <c r="AZ6" s="22" t="s">
        <v>201</v>
      </c>
      <c r="BA6" s="22" t="s">
        <v>215</v>
      </c>
      <c r="BB6" s="22" t="s">
        <v>215</v>
      </c>
      <c r="BC6" s="22" t="s">
        <v>215</v>
      </c>
      <c r="BD6" s="22" t="s">
        <v>215</v>
      </c>
      <c r="BE6" s="22" t="s">
        <v>215</v>
      </c>
      <c r="BF6" s="22" t="s">
        <v>201</v>
      </c>
      <c r="BG6" s="22">
        <v>1300</v>
      </c>
      <c r="BH6" s="22" t="s">
        <v>215</v>
      </c>
      <c r="BI6" s="22" t="s">
        <v>215</v>
      </c>
      <c r="BJ6" s="22" t="s">
        <v>265</v>
      </c>
      <c r="BK6" s="22" t="s">
        <v>215</v>
      </c>
      <c r="BL6" s="22" t="s">
        <v>215</v>
      </c>
      <c r="BM6" s="22" t="s">
        <v>201</v>
      </c>
      <c r="BN6" s="22" t="s">
        <v>201</v>
      </c>
      <c r="BO6" s="22" t="s">
        <v>215</v>
      </c>
      <c r="BP6" s="22" t="s">
        <v>215</v>
      </c>
      <c r="BQ6" s="22" t="s">
        <v>215</v>
      </c>
      <c r="BR6" s="22" t="s">
        <v>215</v>
      </c>
      <c r="BS6" s="22" t="s">
        <v>215</v>
      </c>
      <c r="BT6" s="22" t="s">
        <v>215</v>
      </c>
      <c r="BU6" s="22" t="s">
        <v>215</v>
      </c>
      <c r="BV6" s="22" t="s">
        <v>215</v>
      </c>
      <c r="BW6" s="22" t="s">
        <v>215</v>
      </c>
      <c r="BX6" s="22" t="s">
        <v>215</v>
      </c>
      <c r="BY6" s="22" t="s">
        <v>215</v>
      </c>
      <c r="BZ6" s="22" t="s">
        <v>36</v>
      </c>
      <c r="CA6" s="22" t="s">
        <v>36</v>
      </c>
      <c r="CB6" s="22">
        <v>44567.707164351901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277</v>
      </c>
      <c r="DA6" s="22"/>
      <c r="DB6" s="22"/>
      <c r="DC6" s="22"/>
      <c r="DD6" s="22"/>
      <c r="DE6" s="22" t="s">
        <v>278</v>
      </c>
      <c r="DF6" s="22" t="s">
        <v>279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 t="s">
        <v>276</v>
      </c>
      <c r="DX6" s="22"/>
      <c r="DY6" s="22"/>
      <c r="DZ6" s="22"/>
      <c r="EA6" s="22"/>
      <c r="EB6" s="22"/>
      <c r="EC6" s="22"/>
      <c r="ED6" s="22"/>
      <c r="EE6" s="1" t="s">
        <v>280</v>
      </c>
    </row>
    <row r="7" spans="1:136" ht="12" customHeight="1" x14ac:dyDescent="0.25">
      <c r="A7" s="22" t="s">
        <v>183</v>
      </c>
      <c r="B7" s="22" t="s">
        <v>124</v>
      </c>
      <c r="C7" s="22"/>
      <c r="D7" s="22" t="s">
        <v>38</v>
      </c>
      <c r="E7" s="22"/>
      <c r="F7" s="22"/>
      <c r="G7" s="22"/>
      <c r="H7" s="22" t="s">
        <v>38</v>
      </c>
      <c r="I7" s="22" t="s">
        <v>144</v>
      </c>
      <c r="J7" s="22" t="str">
        <f>VLOOKUP(W7,[1]Sheet1!$W$643:$W$662,1,0)</f>
        <v>19295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42</v>
      </c>
      <c r="W7" s="22" t="s">
        <v>64</v>
      </c>
      <c r="X7" s="22" t="s">
        <v>92</v>
      </c>
      <c r="Y7" s="22" t="s">
        <v>115</v>
      </c>
      <c r="Z7" s="22" t="s">
        <v>90</v>
      </c>
      <c r="AA7" s="22" t="s">
        <v>125</v>
      </c>
      <c r="AB7" s="22" t="s">
        <v>262</v>
      </c>
      <c r="AC7" s="22" t="s">
        <v>215</v>
      </c>
      <c r="AD7" s="22" t="s">
        <v>130</v>
      </c>
      <c r="AE7" s="22" t="s">
        <v>215</v>
      </c>
      <c r="AF7" s="22" t="s">
        <v>215</v>
      </c>
      <c r="AG7" s="22" t="s">
        <v>218</v>
      </c>
      <c r="AH7" s="22" t="s">
        <v>215</v>
      </c>
      <c r="AI7" s="22" t="s">
        <v>215</v>
      </c>
      <c r="AJ7" s="22" t="s">
        <v>97</v>
      </c>
      <c r="AK7" s="22" t="s">
        <v>157</v>
      </c>
      <c r="AL7" s="22" t="s">
        <v>265</v>
      </c>
      <c r="AM7" s="22" t="s">
        <v>215</v>
      </c>
      <c r="AN7" s="22" t="s">
        <v>215</v>
      </c>
      <c r="AO7" s="22" t="s">
        <v>215</v>
      </c>
      <c r="AP7" s="22" t="s">
        <v>77</v>
      </c>
      <c r="AQ7" s="22" t="s">
        <v>215</v>
      </c>
      <c r="AR7" s="22" t="s">
        <v>69</v>
      </c>
      <c r="AS7" s="22" t="s">
        <v>27</v>
      </c>
      <c r="AT7" s="22" t="s">
        <v>269</v>
      </c>
      <c r="AU7" s="22" t="s">
        <v>269</v>
      </c>
      <c r="AV7" s="22" t="s">
        <v>215</v>
      </c>
      <c r="AW7" s="22" t="s">
        <v>201</v>
      </c>
      <c r="AX7" s="22" t="s">
        <v>201</v>
      </c>
      <c r="AY7" s="22" t="s">
        <v>201</v>
      </c>
      <c r="AZ7" s="22" t="s">
        <v>201</v>
      </c>
      <c r="BA7" s="22" t="s">
        <v>215</v>
      </c>
      <c r="BB7" s="22" t="s">
        <v>215</v>
      </c>
      <c r="BC7" s="22" t="s">
        <v>215</v>
      </c>
      <c r="BD7" s="22" t="s">
        <v>215</v>
      </c>
      <c r="BE7" s="22" t="s">
        <v>215</v>
      </c>
      <c r="BF7" s="22" t="s">
        <v>201</v>
      </c>
      <c r="BG7" s="22">
        <v>3.5</v>
      </c>
      <c r="BH7" s="22" t="s">
        <v>215</v>
      </c>
      <c r="BI7" s="22" t="s">
        <v>215</v>
      </c>
      <c r="BJ7" s="22" t="s">
        <v>265</v>
      </c>
      <c r="BK7" s="22" t="s">
        <v>215</v>
      </c>
      <c r="BL7" s="22" t="s">
        <v>215</v>
      </c>
      <c r="BM7" s="22" t="s">
        <v>202</v>
      </c>
      <c r="BN7" s="22" t="s">
        <v>202</v>
      </c>
      <c r="BO7" s="22" t="s">
        <v>215</v>
      </c>
      <c r="BP7" s="22" t="s">
        <v>215</v>
      </c>
      <c r="BQ7" s="22" t="s">
        <v>215</v>
      </c>
      <c r="BR7" s="22" t="s">
        <v>215</v>
      </c>
      <c r="BS7" s="22" t="s">
        <v>215</v>
      </c>
      <c r="BT7" s="22" t="s">
        <v>215</v>
      </c>
      <c r="BU7" s="22" t="s">
        <v>215</v>
      </c>
      <c r="BV7" s="22" t="s">
        <v>215</v>
      </c>
      <c r="BW7" s="22" t="s">
        <v>215</v>
      </c>
      <c r="BX7" s="22" t="s">
        <v>215</v>
      </c>
      <c r="BY7" s="22" t="s">
        <v>215</v>
      </c>
      <c r="BZ7" s="22" t="s">
        <v>272</v>
      </c>
      <c r="CA7" s="22" t="s">
        <v>272</v>
      </c>
      <c r="CB7" s="22">
        <v>44568.492071759298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277</v>
      </c>
      <c r="DA7" s="22"/>
      <c r="DB7" s="22"/>
      <c r="DC7" s="22"/>
      <c r="DD7" s="22"/>
      <c r="DE7" s="22" t="s">
        <v>278</v>
      </c>
      <c r="DF7" s="22" t="s">
        <v>279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 t="s">
        <v>276</v>
      </c>
      <c r="DX7" s="22"/>
      <c r="DY7" s="22"/>
      <c r="DZ7" s="22"/>
      <c r="EA7" s="22"/>
      <c r="EB7" s="22"/>
      <c r="EC7" s="22"/>
      <c r="ED7" s="22"/>
      <c r="EE7" s="1" t="s">
        <v>280</v>
      </c>
    </row>
    <row r="8" spans="1:136" ht="12" customHeight="1" x14ac:dyDescent="0.25">
      <c r="A8" s="22" t="s">
        <v>183</v>
      </c>
      <c r="B8" s="22" t="s">
        <v>124</v>
      </c>
      <c r="C8" s="22"/>
      <c r="D8" s="22" t="s">
        <v>38</v>
      </c>
      <c r="E8" s="22"/>
      <c r="F8" s="22"/>
      <c r="G8" s="22"/>
      <c r="H8" s="22" t="s">
        <v>38</v>
      </c>
      <c r="I8" s="22" t="s">
        <v>144</v>
      </c>
      <c r="J8" s="22" t="str">
        <f>VLOOKUP(W8,[1]Sheet1!$W$643:$W$662,1,0)</f>
        <v>19296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42</v>
      </c>
      <c r="W8" s="22" t="s">
        <v>66</v>
      </c>
      <c r="X8" s="22" t="s">
        <v>131</v>
      </c>
      <c r="Y8" s="22" t="s">
        <v>115</v>
      </c>
      <c r="Z8" s="22" t="s">
        <v>123</v>
      </c>
      <c r="AA8" s="22" t="s">
        <v>34</v>
      </c>
      <c r="AB8" s="22" t="s">
        <v>262</v>
      </c>
      <c r="AC8" s="22" t="s">
        <v>215</v>
      </c>
      <c r="AD8" s="22" t="s">
        <v>130</v>
      </c>
      <c r="AE8" s="22" t="s">
        <v>215</v>
      </c>
      <c r="AF8" s="22" t="s">
        <v>215</v>
      </c>
      <c r="AG8" s="22" t="s">
        <v>41</v>
      </c>
      <c r="AH8" s="22" t="s">
        <v>215</v>
      </c>
      <c r="AI8" s="22" t="s">
        <v>215</v>
      </c>
      <c r="AJ8" s="22" t="s">
        <v>97</v>
      </c>
      <c r="AK8" s="22" t="s">
        <v>157</v>
      </c>
      <c r="AL8" s="22" t="s">
        <v>265</v>
      </c>
      <c r="AM8" s="22" t="s">
        <v>215</v>
      </c>
      <c r="AN8" s="22" t="s">
        <v>215</v>
      </c>
      <c r="AO8" s="22" t="s">
        <v>215</v>
      </c>
      <c r="AP8" s="22" t="s">
        <v>77</v>
      </c>
      <c r="AQ8" s="22" t="s">
        <v>215</v>
      </c>
      <c r="AR8" s="22" t="s">
        <v>69</v>
      </c>
      <c r="AS8" s="22" t="s">
        <v>257</v>
      </c>
      <c r="AT8" s="22" t="s">
        <v>219</v>
      </c>
      <c r="AU8" s="22" t="s">
        <v>129</v>
      </c>
      <c r="AV8" s="22" t="s">
        <v>215</v>
      </c>
      <c r="AW8" s="22" t="s">
        <v>201</v>
      </c>
      <c r="AX8" s="22" t="s">
        <v>201</v>
      </c>
      <c r="AY8" s="22" t="s">
        <v>201</v>
      </c>
      <c r="AZ8" s="22" t="s">
        <v>201</v>
      </c>
      <c r="BA8" s="22" t="s">
        <v>215</v>
      </c>
      <c r="BB8" s="22" t="s">
        <v>215</v>
      </c>
      <c r="BC8" s="22" t="s">
        <v>215</v>
      </c>
      <c r="BD8" s="22" t="s">
        <v>215</v>
      </c>
      <c r="BE8" s="22" t="s">
        <v>215</v>
      </c>
      <c r="BF8" s="22" t="s">
        <v>201</v>
      </c>
      <c r="BG8" s="22">
        <v>0.5</v>
      </c>
      <c r="BH8" s="22" t="s">
        <v>215</v>
      </c>
      <c r="BI8" s="22" t="s">
        <v>215</v>
      </c>
      <c r="BJ8" s="22" t="s">
        <v>265</v>
      </c>
      <c r="BK8" s="22" t="s">
        <v>215</v>
      </c>
      <c r="BL8" s="22" t="s">
        <v>215</v>
      </c>
      <c r="BM8" s="22" t="s">
        <v>202</v>
      </c>
      <c r="BN8" s="22" t="s">
        <v>202</v>
      </c>
      <c r="BO8" s="22" t="s">
        <v>215</v>
      </c>
      <c r="BP8" s="22" t="s">
        <v>215</v>
      </c>
      <c r="BQ8" s="22" t="s">
        <v>215</v>
      </c>
      <c r="BR8" s="22" t="s">
        <v>215</v>
      </c>
      <c r="BS8" s="22" t="s">
        <v>215</v>
      </c>
      <c r="BT8" s="22" t="s">
        <v>215</v>
      </c>
      <c r="BU8" s="22" t="s">
        <v>215</v>
      </c>
      <c r="BV8" s="22" t="s">
        <v>215</v>
      </c>
      <c r="BW8" s="22" t="s">
        <v>215</v>
      </c>
      <c r="BX8" s="22" t="s">
        <v>215</v>
      </c>
      <c r="BY8" s="22" t="s">
        <v>215</v>
      </c>
      <c r="BZ8" s="22" t="s">
        <v>272</v>
      </c>
      <c r="CA8" s="22" t="s">
        <v>272</v>
      </c>
      <c r="CB8" s="22">
        <v>44568.502465277801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277</v>
      </c>
      <c r="DA8" s="22"/>
      <c r="DB8" s="22"/>
      <c r="DC8" s="22"/>
      <c r="DD8" s="22"/>
      <c r="DE8" s="22" t="s">
        <v>278</v>
      </c>
      <c r="DF8" s="22" t="s">
        <v>279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 t="s">
        <v>276</v>
      </c>
      <c r="DX8" s="22"/>
      <c r="DY8" s="22"/>
      <c r="DZ8" s="22"/>
      <c r="EA8" s="22"/>
      <c r="EB8" s="22"/>
      <c r="EC8" s="22"/>
      <c r="ED8" s="22"/>
      <c r="EE8" s="1" t="s">
        <v>280</v>
      </c>
    </row>
    <row r="9" spans="1:136" ht="12" customHeight="1" x14ac:dyDescent="0.25">
      <c r="A9" s="22" t="s">
        <v>183</v>
      </c>
      <c r="B9" s="22" t="s">
        <v>124</v>
      </c>
      <c r="C9" s="22"/>
      <c r="D9" s="22" t="s">
        <v>38</v>
      </c>
      <c r="E9" s="22"/>
      <c r="F9" s="22"/>
      <c r="G9" s="22"/>
      <c r="H9" s="22" t="s">
        <v>38</v>
      </c>
      <c r="I9" s="22" t="s">
        <v>144</v>
      </c>
      <c r="J9" s="22" t="str">
        <f>VLOOKUP(W9,[1]Sheet1!$W$643:$W$662,1,0)</f>
        <v>19297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42</v>
      </c>
      <c r="W9" s="22" t="s">
        <v>65</v>
      </c>
      <c r="X9" s="22" t="s">
        <v>106</v>
      </c>
      <c r="Y9" s="22" t="s">
        <v>115</v>
      </c>
      <c r="Z9" s="22" t="s">
        <v>170</v>
      </c>
      <c r="AA9" s="22" t="s">
        <v>230</v>
      </c>
      <c r="AB9" s="22" t="s">
        <v>262</v>
      </c>
      <c r="AC9" s="22" t="s">
        <v>215</v>
      </c>
      <c r="AD9" s="22" t="s">
        <v>130</v>
      </c>
      <c r="AE9" s="22" t="s">
        <v>215</v>
      </c>
      <c r="AF9" s="22" t="s">
        <v>215</v>
      </c>
      <c r="AG9" s="22" t="s">
        <v>41</v>
      </c>
      <c r="AH9" s="22" t="s">
        <v>215</v>
      </c>
      <c r="AI9" s="22" t="s">
        <v>215</v>
      </c>
      <c r="AJ9" s="22" t="s">
        <v>259</v>
      </c>
      <c r="AK9" s="22" t="s">
        <v>157</v>
      </c>
      <c r="AL9" s="22" t="s">
        <v>265</v>
      </c>
      <c r="AM9" s="22" t="s">
        <v>215</v>
      </c>
      <c r="AN9" s="22" t="s">
        <v>215</v>
      </c>
      <c r="AO9" s="22" t="s">
        <v>215</v>
      </c>
      <c r="AP9" s="22" t="s">
        <v>86</v>
      </c>
      <c r="AQ9" s="22" t="s">
        <v>215</v>
      </c>
      <c r="AR9" s="22" t="s">
        <v>147</v>
      </c>
      <c r="AS9" s="22" t="s">
        <v>194</v>
      </c>
      <c r="AT9" s="22" t="s">
        <v>113</v>
      </c>
      <c r="AU9" s="22" t="s">
        <v>113</v>
      </c>
      <c r="AV9" s="22" t="s">
        <v>215</v>
      </c>
      <c r="AW9" s="22" t="s">
        <v>201</v>
      </c>
      <c r="AX9" s="22" t="s">
        <v>201</v>
      </c>
      <c r="AY9" s="22" t="s">
        <v>201</v>
      </c>
      <c r="AZ9" s="22" t="s">
        <v>201</v>
      </c>
      <c r="BA9" s="22" t="s">
        <v>215</v>
      </c>
      <c r="BB9" s="22" t="s">
        <v>215</v>
      </c>
      <c r="BC9" s="22" t="s">
        <v>215</v>
      </c>
      <c r="BD9" s="22" t="s">
        <v>215</v>
      </c>
      <c r="BE9" s="22" t="s">
        <v>215</v>
      </c>
      <c r="BF9" s="22" t="s">
        <v>201</v>
      </c>
      <c r="BG9" s="22">
        <v>2200</v>
      </c>
      <c r="BH9" s="22" t="s">
        <v>215</v>
      </c>
      <c r="BI9" s="22" t="s">
        <v>215</v>
      </c>
      <c r="BJ9" s="22" t="s">
        <v>265</v>
      </c>
      <c r="BK9" s="22" t="s">
        <v>215</v>
      </c>
      <c r="BL9" s="22" t="s">
        <v>215</v>
      </c>
      <c r="BM9" s="22" t="s">
        <v>201</v>
      </c>
      <c r="BN9" s="22" t="s">
        <v>201</v>
      </c>
      <c r="BO9" s="22" t="s">
        <v>215</v>
      </c>
      <c r="BP9" s="22" t="s">
        <v>215</v>
      </c>
      <c r="BQ9" s="22" t="s">
        <v>215</v>
      </c>
      <c r="BR9" s="22" t="s">
        <v>215</v>
      </c>
      <c r="BS9" s="22" t="s">
        <v>215</v>
      </c>
      <c r="BT9" s="22" t="s">
        <v>215</v>
      </c>
      <c r="BU9" s="22" t="s">
        <v>215</v>
      </c>
      <c r="BV9" s="22" t="s">
        <v>215</v>
      </c>
      <c r="BW9" s="22" t="s">
        <v>215</v>
      </c>
      <c r="BX9" s="22" t="s">
        <v>215</v>
      </c>
      <c r="BY9" s="22" t="s">
        <v>215</v>
      </c>
      <c r="BZ9" s="22" t="s">
        <v>272</v>
      </c>
      <c r="CA9" s="22" t="s">
        <v>272</v>
      </c>
      <c r="CB9" s="22">
        <v>44568.504409722198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277</v>
      </c>
      <c r="DA9" s="22"/>
      <c r="DB9" s="22"/>
      <c r="DC9" s="22"/>
      <c r="DD9" s="22"/>
      <c r="DE9" s="22" t="s">
        <v>278</v>
      </c>
      <c r="DF9" s="22" t="s">
        <v>279</v>
      </c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 t="s">
        <v>276</v>
      </c>
      <c r="DX9" s="22"/>
      <c r="DY9" s="22"/>
      <c r="DZ9" s="22"/>
      <c r="EA9" s="22"/>
      <c r="EB9" s="22"/>
      <c r="EC9" s="22"/>
      <c r="ED9" s="22"/>
      <c r="EE9" s="1" t="s">
        <v>280</v>
      </c>
    </row>
    <row r="10" spans="1:136" ht="12" customHeight="1" x14ac:dyDescent="0.25">
      <c r="A10" s="22" t="s">
        <v>183</v>
      </c>
      <c r="B10" s="22" t="s">
        <v>124</v>
      </c>
      <c r="C10" s="22"/>
      <c r="D10" s="22" t="s">
        <v>38</v>
      </c>
      <c r="E10" s="22"/>
      <c r="F10" s="22"/>
      <c r="G10" s="22"/>
      <c r="H10" s="22" t="s">
        <v>38</v>
      </c>
      <c r="I10" s="22" t="s">
        <v>144</v>
      </c>
      <c r="J10" s="22" t="str">
        <f>VLOOKUP(W10,[1]Sheet1!$W$643:$W$662,1,0)</f>
        <v>19298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42</v>
      </c>
      <c r="W10" s="22" t="s">
        <v>59</v>
      </c>
      <c r="X10" s="22" t="s">
        <v>182</v>
      </c>
      <c r="Y10" s="22" t="s">
        <v>115</v>
      </c>
      <c r="Z10" s="22" t="s">
        <v>99</v>
      </c>
      <c r="AA10" s="22" t="s">
        <v>267</v>
      </c>
      <c r="AB10" s="22" t="s">
        <v>262</v>
      </c>
      <c r="AC10" s="22" t="s">
        <v>215</v>
      </c>
      <c r="AD10" s="22" t="s">
        <v>130</v>
      </c>
      <c r="AE10" s="22" t="s">
        <v>215</v>
      </c>
      <c r="AF10" s="22" t="s">
        <v>215</v>
      </c>
      <c r="AG10" s="22" t="s">
        <v>41</v>
      </c>
      <c r="AH10" s="22" t="s">
        <v>215</v>
      </c>
      <c r="AI10" s="22" t="s">
        <v>215</v>
      </c>
      <c r="AJ10" s="22" t="s">
        <v>259</v>
      </c>
      <c r="AK10" s="22" t="s">
        <v>157</v>
      </c>
      <c r="AL10" s="22" t="s">
        <v>265</v>
      </c>
      <c r="AM10" s="22" t="s">
        <v>215</v>
      </c>
      <c r="AN10" s="22" t="s">
        <v>215</v>
      </c>
      <c r="AO10" s="22" t="s">
        <v>215</v>
      </c>
      <c r="AP10" s="22" t="s">
        <v>86</v>
      </c>
      <c r="AQ10" s="22" t="s">
        <v>215</v>
      </c>
      <c r="AR10" s="22" t="s">
        <v>147</v>
      </c>
      <c r="AS10" s="22" t="s">
        <v>194</v>
      </c>
      <c r="AT10" s="22" t="s">
        <v>113</v>
      </c>
      <c r="AU10" s="22" t="s">
        <v>113</v>
      </c>
      <c r="AV10" s="22" t="s">
        <v>215</v>
      </c>
      <c r="AW10" s="22" t="s">
        <v>201</v>
      </c>
      <c r="AX10" s="22" t="s">
        <v>201</v>
      </c>
      <c r="AY10" s="22" t="s">
        <v>201</v>
      </c>
      <c r="AZ10" s="22" t="s">
        <v>201</v>
      </c>
      <c r="BA10" s="22" t="s">
        <v>215</v>
      </c>
      <c r="BB10" s="22" t="s">
        <v>215</v>
      </c>
      <c r="BC10" s="22" t="s">
        <v>215</v>
      </c>
      <c r="BD10" s="22" t="s">
        <v>215</v>
      </c>
      <c r="BE10" s="22" t="s">
        <v>215</v>
      </c>
      <c r="BF10" s="22" t="s">
        <v>201</v>
      </c>
      <c r="BG10" s="22">
        <v>1600</v>
      </c>
      <c r="BH10" s="22" t="s">
        <v>215</v>
      </c>
      <c r="BI10" s="22" t="s">
        <v>215</v>
      </c>
      <c r="BJ10" s="22" t="s">
        <v>265</v>
      </c>
      <c r="BK10" s="22" t="s">
        <v>215</v>
      </c>
      <c r="BL10" s="22" t="s">
        <v>215</v>
      </c>
      <c r="BM10" s="22" t="s">
        <v>201</v>
      </c>
      <c r="BN10" s="22" t="s">
        <v>201</v>
      </c>
      <c r="BO10" s="22" t="s">
        <v>215</v>
      </c>
      <c r="BP10" s="22" t="s">
        <v>215</v>
      </c>
      <c r="BQ10" s="22" t="s">
        <v>215</v>
      </c>
      <c r="BR10" s="22" t="s">
        <v>215</v>
      </c>
      <c r="BS10" s="22" t="s">
        <v>215</v>
      </c>
      <c r="BT10" s="22" t="s">
        <v>215</v>
      </c>
      <c r="BU10" s="22" t="s">
        <v>215</v>
      </c>
      <c r="BV10" s="22" t="s">
        <v>215</v>
      </c>
      <c r="BW10" s="22" t="s">
        <v>215</v>
      </c>
      <c r="BX10" s="22" t="s">
        <v>215</v>
      </c>
      <c r="BY10" s="22" t="s">
        <v>215</v>
      </c>
      <c r="BZ10" s="22" t="s">
        <v>272</v>
      </c>
      <c r="CA10" s="22" t="s">
        <v>272</v>
      </c>
      <c r="CB10" s="22">
        <v>44568.507291666698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277</v>
      </c>
      <c r="DA10" s="22"/>
      <c r="DB10" s="22"/>
      <c r="DC10" s="22"/>
      <c r="DD10" s="22"/>
      <c r="DE10" s="22" t="s">
        <v>278</v>
      </c>
      <c r="DF10" s="22" t="s">
        <v>279</v>
      </c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 t="s">
        <v>276</v>
      </c>
      <c r="DX10" s="22"/>
      <c r="DY10" s="22"/>
      <c r="DZ10" s="22"/>
      <c r="EA10" s="22"/>
      <c r="EB10" s="22"/>
      <c r="EC10" s="22"/>
      <c r="ED10" s="22"/>
      <c r="EE10" s="1" t="s">
        <v>280</v>
      </c>
    </row>
    <row r="11" spans="1:136" ht="12" customHeight="1" x14ac:dyDescent="0.25">
      <c r="A11" s="22" t="s">
        <v>183</v>
      </c>
      <c r="B11" s="22" t="s">
        <v>124</v>
      </c>
      <c r="C11" s="22"/>
      <c r="D11" s="22" t="s">
        <v>38</v>
      </c>
      <c r="E11" s="22"/>
      <c r="F11" s="22"/>
      <c r="G11" s="22"/>
      <c r="H11" s="22" t="s">
        <v>38</v>
      </c>
      <c r="I11" s="22" t="s">
        <v>144</v>
      </c>
      <c r="J11" s="22" t="str">
        <f>VLOOKUP(W11,[1]Sheet1!$W$643:$W$662,1,0)</f>
        <v>19299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42</v>
      </c>
      <c r="W11" s="22" t="s">
        <v>58</v>
      </c>
      <c r="X11" s="22" t="s">
        <v>118</v>
      </c>
      <c r="Y11" s="22" t="s">
        <v>115</v>
      </c>
      <c r="Z11" s="22" t="s">
        <v>210</v>
      </c>
      <c r="AA11" s="22" t="s">
        <v>210</v>
      </c>
      <c r="AB11" s="22" t="s">
        <v>262</v>
      </c>
      <c r="AC11" s="22" t="s">
        <v>215</v>
      </c>
      <c r="AD11" s="22" t="s">
        <v>130</v>
      </c>
      <c r="AE11" s="22" t="s">
        <v>215</v>
      </c>
      <c r="AF11" s="22" t="s">
        <v>215</v>
      </c>
      <c r="AG11" s="22" t="s">
        <v>7</v>
      </c>
      <c r="AH11" s="22" t="s">
        <v>215</v>
      </c>
      <c r="AI11" s="22" t="s">
        <v>215</v>
      </c>
      <c r="AJ11" s="22" t="s">
        <v>149</v>
      </c>
      <c r="AK11" s="22" t="s">
        <v>157</v>
      </c>
      <c r="AL11" s="22" t="s">
        <v>265</v>
      </c>
      <c r="AM11" s="22" t="s">
        <v>215</v>
      </c>
      <c r="AN11" s="22" t="s">
        <v>215</v>
      </c>
      <c r="AO11" s="22" t="s">
        <v>215</v>
      </c>
      <c r="AP11" s="22" t="s">
        <v>86</v>
      </c>
      <c r="AQ11" s="22" t="s">
        <v>215</v>
      </c>
      <c r="AR11" s="22" t="s">
        <v>147</v>
      </c>
      <c r="AS11" s="22" t="s">
        <v>12</v>
      </c>
      <c r="AT11" s="22" t="s">
        <v>254</v>
      </c>
      <c r="AU11" s="22" t="s">
        <v>119</v>
      </c>
      <c r="AV11" s="22" t="s">
        <v>215</v>
      </c>
      <c r="AW11" s="22" t="s">
        <v>201</v>
      </c>
      <c r="AX11" s="22" t="s">
        <v>201</v>
      </c>
      <c r="AY11" s="22" t="s">
        <v>201</v>
      </c>
      <c r="AZ11" s="22" t="s">
        <v>201</v>
      </c>
      <c r="BA11" s="22" t="s">
        <v>215</v>
      </c>
      <c r="BB11" s="22" t="s">
        <v>215</v>
      </c>
      <c r="BC11" s="22" t="s">
        <v>215</v>
      </c>
      <c r="BD11" s="22" t="s">
        <v>215</v>
      </c>
      <c r="BE11" s="22" t="s">
        <v>215</v>
      </c>
      <c r="BF11" s="22" t="s">
        <v>201</v>
      </c>
      <c r="BG11" s="22">
        <v>8.5</v>
      </c>
      <c r="BH11" s="22" t="s">
        <v>215</v>
      </c>
      <c r="BI11" s="22" t="s">
        <v>215</v>
      </c>
      <c r="BJ11" s="22" t="s">
        <v>265</v>
      </c>
      <c r="BK11" s="22" t="s">
        <v>215</v>
      </c>
      <c r="BL11" s="22" t="s">
        <v>215</v>
      </c>
      <c r="BM11" s="22" t="s">
        <v>201</v>
      </c>
      <c r="BN11" s="22" t="s">
        <v>201</v>
      </c>
      <c r="BO11" s="22" t="s">
        <v>215</v>
      </c>
      <c r="BP11" s="22" t="s">
        <v>215</v>
      </c>
      <c r="BQ11" s="22" t="s">
        <v>215</v>
      </c>
      <c r="BR11" s="22" t="s">
        <v>215</v>
      </c>
      <c r="BS11" s="22" t="s">
        <v>215</v>
      </c>
      <c r="BT11" s="22" t="s">
        <v>215</v>
      </c>
      <c r="BU11" s="22" t="s">
        <v>215</v>
      </c>
      <c r="BV11" s="22" t="s">
        <v>215</v>
      </c>
      <c r="BW11" s="22" t="s">
        <v>215</v>
      </c>
      <c r="BX11" s="22" t="s">
        <v>215</v>
      </c>
      <c r="BY11" s="22" t="s">
        <v>215</v>
      </c>
      <c r="BZ11" s="22" t="s">
        <v>272</v>
      </c>
      <c r="CA11" s="22" t="s">
        <v>272</v>
      </c>
      <c r="CB11" s="22">
        <v>44568.515115740702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277</v>
      </c>
      <c r="DA11" s="22"/>
      <c r="DB11" s="22"/>
      <c r="DC11" s="22"/>
      <c r="DD11" s="22"/>
      <c r="DE11" s="22" t="s">
        <v>278</v>
      </c>
      <c r="DF11" s="22" t="s">
        <v>279</v>
      </c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 t="s">
        <v>276</v>
      </c>
      <c r="DX11" s="22"/>
      <c r="DY11" s="22"/>
      <c r="DZ11" s="22"/>
      <c r="EA11" s="22"/>
      <c r="EB11" s="22"/>
      <c r="EC11" s="22"/>
      <c r="ED11" s="22"/>
      <c r="EE11" s="1" t="s">
        <v>280</v>
      </c>
    </row>
    <row r="12" spans="1:136" ht="12" customHeight="1" x14ac:dyDescent="0.25">
      <c r="A12" s="22" t="s">
        <v>183</v>
      </c>
      <c r="B12" s="22" t="s">
        <v>124</v>
      </c>
      <c r="C12" s="22"/>
      <c r="D12" s="22" t="s">
        <v>38</v>
      </c>
      <c r="E12" s="22"/>
      <c r="F12" s="22"/>
      <c r="G12" s="22"/>
      <c r="H12" s="22" t="s">
        <v>38</v>
      </c>
      <c r="I12" s="22" t="s">
        <v>144</v>
      </c>
      <c r="J12" s="22" t="str">
        <f>VLOOKUP(W12,[1]Sheet1!$W$643:$W$662,1,0)</f>
        <v>19300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42</v>
      </c>
      <c r="W12" s="22" t="s">
        <v>238</v>
      </c>
      <c r="X12" s="22" t="s">
        <v>143</v>
      </c>
      <c r="Y12" s="22" t="s">
        <v>115</v>
      </c>
      <c r="Z12" s="22" t="s">
        <v>193</v>
      </c>
      <c r="AA12" s="22" t="s">
        <v>195</v>
      </c>
      <c r="AB12" s="22" t="s">
        <v>262</v>
      </c>
      <c r="AC12" s="22" t="s">
        <v>215</v>
      </c>
      <c r="AD12" s="22" t="s">
        <v>130</v>
      </c>
      <c r="AE12" s="22" t="s">
        <v>215</v>
      </c>
      <c r="AF12" s="22" t="s">
        <v>215</v>
      </c>
      <c r="AG12" s="22" t="s">
        <v>7</v>
      </c>
      <c r="AH12" s="22" t="s">
        <v>215</v>
      </c>
      <c r="AI12" s="22" t="s">
        <v>215</v>
      </c>
      <c r="AJ12" s="22" t="s">
        <v>149</v>
      </c>
      <c r="AK12" s="22" t="s">
        <v>157</v>
      </c>
      <c r="AL12" s="22" t="s">
        <v>265</v>
      </c>
      <c r="AM12" s="22" t="s">
        <v>215</v>
      </c>
      <c r="AN12" s="22" t="s">
        <v>215</v>
      </c>
      <c r="AO12" s="22" t="s">
        <v>215</v>
      </c>
      <c r="AP12" s="22" t="s">
        <v>77</v>
      </c>
      <c r="AQ12" s="22" t="s">
        <v>215</v>
      </c>
      <c r="AR12" s="22" t="s">
        <v>69</v>
      </c>
      <c r="AS12" s="22" t="s">
        <v>27</v>
      </c>
      <c r="AT12" s="22" t="s">
        <v>134</v>
      </c>
      <c r="AU12" s="22" t="s">
        <v>121</v>
      </c>
      <c r="AV12" s="22" t="s">
        <v>215</v>
      </c>
      <c r="AW12" s="22" t="s">
        <v>201</v>
      </c>
      <c r="AX12" s="22" t="s">
        <v>201</v>
      </c>
      <c r="AY12" s="22" t="s">
        <v>201</v>
      </c>
      <c r="AZ12" s="22" t="s">
        <v>201</v>
      </c>
      <c r="BA12" s="22" t="s">
        <v>215</v>
      </c>
      <c r="BB12" s="22" t="s">
        <v>215</v>
      </c>
      <c r="BC12" s="22" t="s">
        <v>215</v>
      </c>
      <c r="BD12" s="22" t="s">
        <v>215</v>
      </c>
      <c r="BE12" s="22" t="s">
        <v>215</v>
      </c>
      <c r="BF12" s="22" t="s">
        <v>201</v>
      </c>
      <c r="BG12" s="22">
        <v>30</v>
      </c>
      <c r="BH12" s="22" t="s">
        <v>215</v>
      </c>
      <c r="BI12" s="22" t="s">
        <v>215</v>
      </c>
      <c r="BJ12" s="22" t="s">
        <v>265</v>
      </c>
      <c r="BK12" s="22" t="s">
        <v>215</v>
      </c>
      <c r="BL12" s="22" t="s">
        <v>215</v>
      </c>
      <c r="BM12" s="22" t="s">
        <v>201</v>
      </c>
      <c r="BN12" s="22" t="s">
        <v>201</v>
      </c>
      <c r="BO12" s="22" t="s">
        <v>215</v>
      </c>
      <c r="BP12" s="22" t="s">
        <v>215</v>
      </c>
      <c r="BQ12" s="22" t="s">
        <v>215</v>
      </c>
      <c r="BR12" s="22" t="s">
        <v>215</v>
      </c>
      <c r="BS12" s="22" t="s">
        <v>215</v>
      </c>
      <c r="BT12" s="22" t="s">
        <v>215</v>
      </c>
      <c r="BU12" s="22" t="s">
        <v>215</v>
      </c>
      <c r="BV12" s="22" t="s">
        <v>215</v>
      </c>
      <c r="BW12" s="22" t="s">
        <v>215</v>
      </c>
      <c r="BX12" s="22" t="s">
        <v>215</v>
      </c>
      <c r="BY12" s="22" t="s">
        <v>215</v>
      </c>
      <c r="BZ12" s="22" t="s">
        <v>272</v>
      </c>
      <c r="CA12" s="22" t="s">
        <v>272</v>
      </c>
      <c r="CB12" s="22">
        <v>44568.627349536997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277</v>
      </c>
      <c r="DA12" s="22"/>
      <c r="DB12" s="22"/>
      <c r="DC12" s="22"/>
      <c r="DD12" s="22"/>
      <c r="DE12" s="22" t="s">
        <v>278</v>
      </c>
      <c r="DF12" s="22" t="s">
        <v>279</v>
      </c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 t="s">
        <v>276</v>
      </c>
      <c r="DX12" s="22"/>
      <c r="DY12" s="22"/>
      <c r="DZ12" s="22"/>
      <c r="EA12" s="22"/>
      <c r="EB12" s="22"/>
      <c r="EC12" s="22"/>
      <c r="ED12" s="22"/>
      <c r="EE12" s="1" t="s">
        <v>280</v>
      </c>
    </row>
    <row r="13" spans="1:136" ht="12" customHeight="1" x14ac:dyDescent="0.25">
      <c r="A13" s="22" t="s">
        <v>183</v>
      </c>
      <c r="B13" s="22" t="s">
        <v>124</v>
      </c>
      <c r="C13" s="22"/>
      <c r="D13" s="22" t="s">
        <v>38</v>
      </c>
      <c r="E13" s="22"/>
      <c r="F13" s="22"/>
      <c r="G13" s="22"/>
      <c r="H13" s="22" t="s">
        <v>38</v>
      </c>
      <c r="I13" s="22" t="s">
        <v>144</v>
      </c>
      <c r="J13" s="22" t="str">
        <f>VLOOKUP(W13,[1]Sheet1!$W$643:$W$662,1,0)</f>
        <v>19301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42</v>
      </c>
      <c r="W13" s="22" t="s">
        <v>239</v>
      </c>
      <c r="X13" s="22" t="s">
        <v>1</v>
      </c>
      <c r="Y13" s="22" t="s">
        <v>115</v>
      </c>
      <c r="Z13" s="22" t="s">
        <v>268</v>
      </c>
      <c r="AA13" s="22" t="s">
        <v>268</v>
      </c>
      <c r="AB13" s="22" t="s">
        <v>262</v>
      </c>
      <c r="AC13" s="22" t="s">
        <v>215</v>
      </c>
      <c r="AD13" s="22" t="s">
        <v>130</v>
      </c>
      <c r="AE13" s="22" t="s">
        <v>215</v>
      </c>
      <c r="AF13" s="22" t="s">
        <v>215</v>
      </c>
      <c r="AG13" s="22" t="s">
        <v>74</v>
      </c>
      <c r="AH13" s="22" t="s">
        <v>215</v>
      </c>
      <c r="AI13" s="22" t="s">
        <v>215</v>
      </c>
      <c r="AJ13" s="22" t="s">
        <v>259</v>
      </c>
      <c r="AK13" s="22" t="s">
        <v>157</v>
      </c>
      <c r="AL13" s="22" t="s">
        <v>265</v>
      </c>
      <c r="AM13" s="22" t="s">
        <v>215</v>
      </c>
      <c r="AN13" s="22" t="s">
        <v>215</v>
      </c>
      <c r="AO13" s="22" t="s">
        <v>215</v>
      </c>
      <c r="AP13" s="22" t="s">
        <v>5</v>
      </c>
      <c r="AQ13" s="22" t="s">
        <v>215</v>
      </c>
      <c r="AR13" s="22" t="s">
        <v>69</v>
      </c>
      <c r="AS13" s="22" t="s">
        <v>15</v>
      </c>
      <c r="AT13" s="22" t="s">
        <v>220</v>
      </c>
      <c r="AU13" s="22" t="s">
        <v>47</v>
      </c>
      <c r="AV13" s="22" t="s">
        <v>215</v>
      </c>
      <c r="AW13" s="22" t="s">
        <v>201</v>
      </c>
      <c r="AX13" s="22" t="s">
        <v>201</v>
      </c>
      <c r="AY13" s="22" t="s">
        <v>201</v>
      </c>
      <c r="AZ13" s="22" t="s">
        <v>201</v>
      </c>
      <c r="BA13" s="22" t="s">
        <v>215</v>
      </c>
      <c r="BB13" s="22" t="s">
        <v>215</v>
      </c>
      <c r="BC13" s="22" t="s">
        <v>215</v>
      </c>
      <c r="BD13" s="22" t="s">
        <v>215</v>
      </c>
      <c r="BE13" s="22" t="s">
        <v>215</v>
      </c>
      <c r="BF13" s="22" t="s">
        <v>201</v>
      </c>
      <c r="BG13" s="22">
        <v>350</v>
      </c>
      <c r="BH13" s="22" t="s">
        <v>215</v>
      </c>
      <c r="BI13" s="22" t="s">
        <v>215</v>
      </c>
      <c r="BJ13" s="22" t="s">
        <v>265</v>
      </c>
      <c r="BK13" s="22" t="s">
        <v>215</v>
      </c>
      <c r="BL13" s="22" t="s">
        <v>215</v>
      </c>
      <c r="BM13" s="22" t="s">
        <v>201</v>
      </c>
      <c r="BN13" s="22" t="s">
        <v>201</v>
      </c>
      <c r="BO13" s="22" t="s">
        <v>215</v>
      </c>
      <c r="BP13" s="22" t="s">
        <v>215</v>
      </c>
      <c r="BQ13" s="22" t="s">
        <v>215</v>
      </c>
      <c r="BR13" s="22" t="s">
        <v>215</v>
      </c>
      <c r="BS13" s="22" t="s">
        <v>215</v>
      </c>
      <c r="BT13" s="22" t="s">
        <v>215</v>
      </c>
      <c r="BU13" s="22" t="s">
        <v>215</v>
      </c>
      <c r="BV13" s="22" t="s">
        <v>215</v>
      </c>
      <c r="BW13" s="22" t="s">
        <v>215</v>
      </c>
      <c r="BX13" s="22" t="s">
        <v>215</v>
      </c>
      <c r="BY13" s="22" t="s">
        <v>215</v>
      </c>
      <c r="BZ13" s="22" t="s">
        <v>109</v>
      </c>
      <c r="CA13" s="22" t="s">
        <v>109</v>
      </c>
      <c r="CB13" s="22">
        <v>44568.641608796301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277</v>
      </c>
      <c r="DA13" s="22"/>
      <c r="DB13" s="22"/>
      <c r="DC13" s="22"/>
      <c r="DD13" s="22"/>
      <c r="DE13" s="22" t="s">
        <v>278</v>
      </c>
      <c r="DF13" s="22" t="s">
        <v>279</v>
      </c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 t="s">
        <v>276</v>
      </c>
      <c r="DX13" s="22"/>
      <c r="DY13" s="22"/>
      <c r="DZ13" s="22"/>
      <c r="EA13" s="22"/>
      <c r="EB13" s="22"/>
      <c r="EC13" s="22"/>
      <c r="ED13" s="22"/>
      <c r="EE13" s="1" t="s">
        <v>280</v>
      </c>
    </row>
    <row r="14" spans="1:136" ht="12" customHeight="1" x14ac:dyDescent="0.25">
      <c r="A14" s="22" t="s">
        <v>183</v>
      </c>
      <c r="B14" s="22" t="s">
        <v>124</v>
      </c>
      <c r="C14" s="22"/>
      <c r="D14" s="22" t="s">
        <v>38</v>
      </c>
      <c r="E14" s="22"/>
      <c r="F14" s="22"/>
      <c r="G14" s="22"/>
      <c r="H14" s="22" t="s">
        <v>38</v>
      </c>
      <c r="I14" s="22" t="s">
        <v>144</v>
      </c>
      <c r="J14" s="22" t="str">
        <f>VLOOKUP(W14,[1]Sheet1!$W$643:$W$662,1,0)</f>
        <v>19302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42</v>
      </c>
      <c r="W14" s="22" t="s">
        <v>240</v>
      </c>
      <c r="X14" s="22" t="s">
        <v>45</v>
      </c>
      <c r="Y14" s="22" t="s">
        <v>115</v>
      </c>
      <c r="Z14" s="22" t="s">
        <v>226</v>
      </c>
      <c r="AA14" s="22" t="s">
        <v>274</v>
      </c>
      <c r="AB14" s="22" t="s">
        <v>262</v>
      </c>
      <c r="AC14" s="22" t="s">
        <v>215</v>
      </c>
      <c r="AD14" s="22" t="s">
        <v>130</v>
      </c>
      <c r="AE14" s="22" t="s">
        <v>215</v>
      </c>
      <c r="AF14" s="22" t="s">
        <v>215</v>
      </c>
      <c r="AG14" s="22" t="s">
        <v>74</v>
      </c>
      <c r="AH14" s="22" t="s">
        <v>215</v>
      </c>
      <c r="AI14" s="22" t="s">
        <v>215</v>
      </c>
      <c r="AJ14" s="22" t="s">
        <v>149</v>
      </c>
      <c r="AK14" s="22" t="s">
        <v>157</v>
      </c>
      <c r="AL14" s="22" t="s">
        <v>265</v>
      </c>
      <c r="AM14" s="22" t="s">
        <v>215</v>
      </c>
      <c r="AN14" s="22" t="s">
        <v>215</v>
      </c>
      <c r="AO14" s="22" t="s">
        <v>215</v>
      </c>
      <c r="AP14" s="22" t="s">
        <v>245</v>
      </c>
      <c r="AQ14" s="22" t="s">
        <v>215</v>
      </c>
      <c r="AR14" s="22" t="s">
        <v>69</v>
      </c>
      <c r="AS14" s="22" t="s">
        <v>152</v>
      </c>
      <c r="AT14" s="22" t="s">
        <v>49</v>
      </c>
      <c r="AU14" s="22" t="s">
        <v>263</v>
      </c>
      <c r="AV14" s="22" t="s">
        <v>215</v>
      </c>
      <c r="AW14" s="22" t="s">
        <v>201</v>
      </c>
      <c r="AX14" s="22" t="s">
        <v>201</v>
      </c>
      <c r="AY14" s="22" t="s">
        <v>201</v>
      </c>
      <c r="AZ14" s="22" t="s">
        <v>201</v>
      </c>
      <c r="BA14" s="22" t="s">
        <v>215</v>
      </c>
      <c r="BB14" s="22" t="s">
        <v>215</v>
      </c>
      <c r="BC14" s="22" t="s">
        <v>215</v>
      </c>
      <c r="BD14" s="22" t="s">
        <v>215</v>
      </c>
      <c r="BE14" s="22" t="s">
        <v>215</v>
      </c>
      <c r="BF14" s="22" t="s">
        <v>201</v>
      </c>
      <c r="BG14" s="22">
        <v>1220</v>
      </c>
      <c r="BH14" s="22" t="s">
        <v>215</v>
      </c>
      <c r="BI14" s="22" t="s">
        <v>215</v>
      </c>
      <c r="BJ14" s="22" t="s">
        <v>265</v>
      </c>
      <c r="BK14" s="22" t="s">
        <v>215</v>
      </c>
      <c r="BL14" s="22" t="s">
        <v>215</v>
      </c>
      <c r="BM14" s="22" t="s">
        <v>202</v>
      </c>
      <c r="BN14" s="22" t="s">
        <v>202</v>
      </c>
      <c r="BO14" s="22" t="s">
        <v>215</v>
      </c>
      <c r="BP14" s="22" t="s">
        <v>215</v>
      </c>
      <c r="BQ14" s="22" t="s">
        <v>215</v>
      </c>
      <c r="BR14" s="22" t="s">
        <v>215</v>
      </c>
      <c r="BS14" s="22" t="s">
        <v>215</v>
      </c>
      <c r="BT14" s="22" t="s">
        <v>215</v>
      </c>
      <c r="BU14" s="22" t="s">
        <v>215</v>
      </c>
      <c r="BV14" s="22" t="s">
        <v>215</v>
      </c>
      <c r="BW14" s="22" t="s">
        <v>215</v>
      </c>
      <c r="BX14" s="22" t="s">
        <v>215</v>
      </c>
      <c r="BY14" s="22" t="s">
        <v>215</v>
      </c>
      <c r="BZ14" s="22" t="s">
        <v>186</v>
      </c>
      <c r="CA14" s="22" t="s">
        <v>186</v>
      </c>
      <c r="CB14" s="22">
        <v>44568.707662036999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277</v>
      </c>
      <c r="DA14" s="22"/>
      <c r="DB14" s="22"/>
      <c r="DC14" s="22"/>
      <c r="DD14" s="22"/>
      <c r="DE14" s="22" t="s">
        <v>278</v>
      </c>
      <c r="DF14" s="22" t="s">
        <v>279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 t="s">
        <v>276</v>
      </c>
      <c r="DX14" s="22"/>
      <c r="DY14" s="22"/>
      <c r="DZ14" s="22"/>
      <c r="EA14" s="22"/>
      <c r="EB14" s="22"/>
      <c r="EC14" s="22"/>
      <c r="ED14" s="22"/>
      <c r="EE14" s="1" t="s">
        <v>280</v>
      </c>
    </row>
    <row r="15" spans="1:136" ht="12" customHeight="1" x14ac:dyDescent="0.25">
      <c r="A15" s="22" t="s">
        <v>183</v>
      </c>
      <c r="B15" s="22" t="s">
        <v>124</v>
      </c>
      <c r="C15" s="22"/>
      <c r="D15" s="22" t="s">
        <v>38</v>
      </c>
      <c r="E15" s="22"/>
      <c r="F15" s="22"/>
      <c r="G15" s="22"/>
      <c r="H15" s="22" t="s">
        <v>38</v>
      </c>
      <c r="I15" s="22" t="s">
        <v>144</v>
      </c>
      <c r="J15" s="22" t="str">
        <f>VLOOKUP(W15,[1]Sheet1!$W$643:$W$662,1,0)</f>
        <v>19303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42</v>
      </c>
      <c r="W15" s="22" t="s">
        <v>241</v>
      </c>
      <c r="X15" s="22" t="s">
        <v>253</v>
      </c>
      <c r="Y15" s="22" t="s">
        <v>115</v>
      </c>
      <c r="Z15" s="22" t="s">
        <v>176</v>
      </c>
      <c r="AA15" s="22" t="s">
        <v>67</v>
      </c>
      <c r="AB15" s="22" t="s">
        <v>262</v>
      </c>
      <c r="AC15" s="22" t="s">
        <v>215</v>
      </c>
      <c r="AD15" s="22" t="s">
        <v>130</v>
      </c>
      <c r="AE15" s="22" t="s">
        <v>215</v>
      </c>
      <c r="AF15" s="22" t="s">
        <v>215</v>
      </c>
      <c r="AG15" s="22" t="s">
        <v>218</v>
      </c>
      <c r="AH15" s="22" t="s">
        <v>215</v>
      </c>
      <c r="AI15" s="22" t="s">
        <v>215</v>
      </c>
      <c r="AJ15" s="22" t="s">
        <v>259</v>
      </c>
      <c r="AK15" s="22" t="s">
        <v>161</v>
      </c>
      <c r="AL15" s="22" t="s">
        <v>265</v>
      </c>
      <c r="AM15" s="22" t="s">
        <v>215</v>
      </c>
      <c r="AN15" s="22" t="s">
        <v>215</v>
      </c>
      <c r="AO15" s="22" t="s">
        <v>215</v>
      </c>
      <c r="AP15" s="22" t="s">
        <v>86</v>
      </c>
      <c r="AQ15" s="22" t="s">
        <v>215</v>
      </c>
      <c r="AR15" s="22" t="s">
        <v>147</v>
      </c>
      <c r="AS15" s="22" t="s">
        <v>12</v>
      </c>
      <c r="AT15" s="22" t="s">
        <v>254</v>
      </c>
      <c r="AU15" s="22" t="s">
        <v>119</v>
      </c>
      <c r="AV15" s="22" t="s">
        <v>215</v>
      </c>
      <c r="AW15" s="22" t="s">
        <v>201</v>
      </c>
      <c r="AX15" s="22" t="s">
        <v>201</v>
      </c>
      <c r="AY15" s="22" t="s">
        <v>201</v>
      </c>
      <c r="AZ15" s="22" t="s">
        <v>201</v>
      </c>
      <c r="BA15" s="22" t="s">
        <v>215</v>
      </c>
      <c r="BB15" s="22" t="s">
        <v>215</v>
      </c>
      <c r="BC15" s="22" t="s">
        <v>215</v>
      </c>
      <c r="BD15" s="22" t="s">
        <v>215</v>
      </c>
      <c r="BE15" s="22" t="s">
        <v>215</v>
      </c>
      <c r="BF15" s="22" t="s">
        <v>201</v>
      </c>
      <c r="BG15" s="22">
        <v>960</v>
      </c>
      <c r="BH15" s="22" t="s">
        <v>215</v>
      </c>
      <c r="BI15" s="22" t="s">
        <v>215</v>
      </c>
      <c r="BJ15" s="22" t="s">
        <v>265</v>
      </c>
      <c r="BK15" s="22" t="s">
        <v>215</v>
      </c>
      <c r="BL15" s="22" t="s">
        <v>215</v>
      </c>
      <c r="BM15" s="22" t="s">
        <v>201</v>
      </c>
      <c r="BN15" s="22" t="s">
        <v>201</v>
      </c>
      <c r="BO15" s="22" t="s">
        <v>215</v>
      </c>
      <c r="BP15" s="22" t="s">
        <v>215</v>
      </c>
      <c r="BQ15" s="22" t="s">
        <v>215</v>
      </c>
      <c r="BR15" s="22" t="s">
        <v>215</v>
      </c>
      <c r="BS15" s="22" t="s">
        <v>215</v>
      </c>
      <c r="BT15" s="22" t="s">
        <v>215</v>
      </c>
      <c r="BU15" s="22" t="s">
        <v>215</v>
      </c>
      <c r="BV15" s="22" t="s">
        <v>215</v>
      </c>
      <c r="BW15" s="22" t="s">
        <v>215</v>
      </c>
      <c r="BX15" s="22" t="s">
        <v>215</v>
      </c>
      <c r="BY15" s="22" t="s">
        <v>215</v>
      </c>
      <c r="BZ15" s="22" t="s">
        <v>272</v>
      </c>
      <c r="CA15" s="22" t="s">
        <v>272</v>
      </c>
      <c r="CB15" s="22">
        <v>44570.754212963002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277</v>
      </c>
      <c r="DA15" s="22"/>
      <c r="DB15" s="22"/>
      <c r="DC15" s="22"/>
      <c r="DD15" s="22"/>
      <c r="DE15" s="22" t="s">
        <v>278</v>
      </c>
      <c r="DF15" s="22" t="s">
        <v>279</v>
      </c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 t="s">
        <v>276</v>
      </c>
      <c r="DX15" s="22"/>
      <c r="DY15" s="22"/>
      <c r="DZ15" s="22"/>
      <c r="EA15" s="22"/>
      <c r="EB15" s="22"/>
      <c r="EC15" s="22"/>
      <c r="ED15" s="22"/>
      <c r="EE15" s="1" t="s">
        <v>280</v>
      </c>
    </row>
    <row r="16" spans="1:136" ht="12" customHeight="1" x14ac:dyDescent="0.25">
      <c r="A16" s="22" t="s">
        <v>183</v>
      </c>
      <c r="B16" s="22" t="s">
        <v>124</v>
      </c>
      <c r="C16" s="22"/>
      <c r="D16" s="22" t="s">
        <v>38</v>
      </c>
      <c r="E16" s="22"/>
      <c r="F16" s="22"/>
      <c r="G16" s="22"/>
      <c r="H16" s="22" t="s">
        <v>38</v>
      </c>
      <c r="I16" s="22" t="s">
        <v>144</v>
      </c>
      <c r="J16" s="22" t="str">
        <f>VLOOKUP(W16,[1]Sheet1!$W$643:$W$662,1,0)</f>
        <v>19304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42</v>
      </c>
      <c r="W16" s="22" t="s">
        <v>242</v>
      </c>
      <c r="X16" s="22" t="s">
        <v>8</v>
      </c>
      <c r="Y16" s="22" t="s">
        <v>115</v>
      </c>
      <c r="Z16" s="22" t="s">
        <v>104</v>
      </c>
      <c r="AA16" s="22" t="s">
        <v>79</v>
      </c>
      <c r="AB16" s="22" t="s">
        <v>262</v>
      </c>
      <c r="AC16" s="22" t="s">
        <v>215</v>
      </c>
      <c r="AD16" s="22" t="s">
        <v>130</v>
      </c>
      <c r="AE16" s="22" t="s">
        <v>215</v>
      </c>
      <c r="AF16" s="22" t="s">
        <v>215</v>
      </c>
      <c r="AG16" s="22" t="s">
        <v>218</v>
      </c>
      <c r="AH16" s="22" t="s">
        <v>215</v>
      </c>
      <c r="AI16" s="22" t="s">
        <v>215</v>
      </c>
      <c r="AJ16" s="22" t="s">
        <v>149</v>
      </c>
      <c r="AK16" s="22" t="s">
        <v>161</v>
      </c>
      <c r="AL16" s="22" t="s">
        <v>265</v>
      </c>
      <c r="AM16" s="22" t="s">
        <v>215</v>
      </c>
      <c r="AN16" s="22" t="s">
        <v>215</v>
      </c>
      <c r="AO16" s="22" t="s">
        <v>215</v>
      </c>
      <c r="AP16" s="22" t="s">
        <v>77</v>
      </c>
      <c r="AQ16" s="22" t="s">
        <v>215</v>
      </c>
      <c r="AR16" s="22" t="s">
        <v>25</v>
      </c>
      <c r="AS16" s="22" t="s">
        <v>163</v>
      </c>
      <c r="AT16" s="22" t="s">
        <v>177</v>
      </c>
      <c r="AU16" s="22" t="s">
        <v>227</v>
      </c>
      <c r="AV16" s="22" t="s">
        <v>215</v>
      </c>
      <c r="AW16" s="22" t="s">
        <v>201</v>
      </c>
      <c r="AX16" s="22" t="s">
        <v>201</v>
      </c>
      <c r="AY16" s="22" t="s">
        <v>201</v>
      </c>
      <c r="AZ16" s="22" t="s">
        <v>201</v>
      </c>
      <c r="BA16" s="22" t="s">
        <v>215</v>
      </c>
      <c r="BB16" s="22" t="s">
        <v>215</v>
      </c>
      <c r="BC16" s="22" t="s">
        <v>215</v>
      </c>
      <c r="BD16" s="22" t="s">
        <v>215</v>
      </c>
      <c r="BE16" s="22" t="s">
        <v>215</v>
      </c>
      <c r="BF16" s="22" t="s">
        <v>201</v>
      </c>
      <c r="BG16" s="22">
        <v>1.96</v>
      </c>
      <c r="BH16" s="22" t="s">
        <v>215</v>
      </c>
      <c r="BI16" s="22" t="s">
        <v>215</v>
      </c>
      <c r="BJ16" s="22" t="s">
        <v>265</v>
      </c>
      <c r="BK16" s="22" t="s">
        <v>215</v>
      </c>
      <c r="BL16" s="22" t="s">
        <v>215</v>
      </c>
      <c r="BM16" s="22" t="s">
        <v>202</v>
      </c>
      <c r="BN16" s="22" t="s">
        <v>202</v>
      </c>
      <c r="BO16" s="22" t="s">
        <v>215</v>
      </c>
      <c r="BP16" s="22" t="s">
        <v>215</v>
      </c>
      <c r="BQ16" s="22" t="s">
        <v>215</v>
      </c>
      <c r="BR16" s="22" t="s">
        <v>215</v>
      </c>
      <c r="BS16" s="22" t="s">
        <v>215</v>
      </c>
      <c r="BT16" s="22" t="s">
        <v>215</v>
      </c>
      <c r="BU16" s="22" t="s">
        <v>215</v>
      </c>
      <c r="BV16" s="22" t="s">
        <v>215</v>
      </c>
      <c r="BW16" s="22" t="s">
        <v>215</v>
      </c>
      <c r="BX16" s="22" t="s">
        <v>215</v>
      </c>
      <c r="BY16" s="22" t="s">
        <v>215</v>
      </c>
      <c r="BZ16" s="22" t="s">
        <v>76</v>
      </c>
      <c r="CA16" s="22" t="s">
        <v>76</v>
      </c>
      <c r="CB16" s="22">
        <v>44571.427546296298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277</v>
      </c>
      <c r="DA16" s="22"/>
      <c r="DB16" s="22"/>
      <c r="DC16" s="22"/>
      <c r="DD16" s="22"/>
      <c r="DE16" s="22" t="s">
        <v>278</v>
      </c>
      <c r="DF16" s="22" t="s">
        <v>279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 t="s">
        <v>276</v>
      </c>
      <c r="DX16" s="22"/>
      <c r="DY16" s="22"/>
      <c r="DZ16" s="22"/>
      <c r="EA16" s="22"/>
      <c r="EB16" s="22"/>
      <c r="EC16" s="22"/>
      <c r="ED16" s="22"/>
      <c r="EE16" s="1" t="s">
        <v>280</v>
      </c>
    </row>
    <row r="17" spans="1:135" ht="12" customHeight="1" x14ac:dyDescent="0.25">
      <c r="A17" s="22" t="s">
        <v>183</v>
      </c>
      <c r="B17" s="22" t="s">
        <v>124</v>
      </c>
      <c r="C17" s="22"/>
      <c r="D17" s="22" t="s">
        <v>38</v>
      </c>
      <c r="E17" s="22"/>
      <c r="F17" s="22"/>
      <c r="G17" s="22"/>
      <c r="H17" s="22" t="s">
        <v>38</v>
      </c>
      <c r="I17" s="22" t="s">
        <v>144</v>
      </c>
      <c r="J17" s="22" t="str">
        <f>VLOOKUP(W17,[1]Sheet1!$W$643:$W$662,1,0)</f>
        <v>19305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42</v>
      </c>
      <c r="W17" s="22" t="s">
        <v>229</v>
      </c>
      <c r="X17" s="22" t="s">
        <v>199</v>
      </c>
      <c r="Y17" s="22" t="s">
        <v>115</v>
      </c>
      <c r="Z17" s="22" t="s">
        <v>2</v>
      </c>
      <c r="AA17" s="22" t="s">
        <v>2</v>
      </c>
      <c r="AB17" s="22" t="s">
        <v>262</v>
      </c>
      <c r="AC17" s="22" t="s">
        <v>215</v>
      </c>
      <c r="AD17" s="22" t="s">
        <v>130</v>
      </c>
      <c r="AE17" s="22" t="s">
        <v>215</v>
      </c>
      <c r="AF17" s="22" t="s">
        <v>215</v>
      </c>
      <c r="AG17" s="22" t="s">
        <v>218</v>
      </c>
      <c r="AH17" s="22" t="s">
        <v>215</v>
      </c>
      <c r="AI17" s="22" t="s">
        <v>215</v>
      </c>
      <c r="AJ17" s="22" t="s">
        <v>259</v>
      </c>
      <c r="AK17" s="22" t="s">
        <v>161</v>
      </c>
      <c r="AL17" s="22" t="s">
        <v>265</v>
      </c>
      <c r="AM17" s="22" t="s">
        <v>215</v>
      </c>
      <c r="AN17" s="22" t="s">
        <v>215</v>
      </c>
      <c r="AO17" s="22" t="s">
        <v>215</v>
      </c>
      <c r="AP17" s="22" t="s">
        <v>77</v>
      </c>
      <c r="AQ17" s="22" t="s">
        <v>215</v>
      </c>
      <c r="AR17" s="22" t="s">
        <v>25</v>
      </c>
      <c r="AS17" s="22" t="s">
        <v>163</v>
      </c>
      <c r="AT17" s="22" t="s">
        <v>177</v>
      </c>
      <c r="AU17" s="22" t="s">
        <v>227</v>
      </c>
      <c r="AV17" s="22" t="s">
        <v>215</v>
      </c>
      <c r="AW17" s="22" t="s">
        <v>201</v>
      </c>
      <c r="AX17" s="22" t="s">
        <v>201</v>
      </c>
      <c r="AY17" s="22" t="s">
        <v>201</v>
      </c>
      <c r="AZ17" s="22" t="s">
        <v>201</v>
      </c>
      <c r="BA17" s="22" t="s">
        <v>215</v>
      </c>
      <c r="BB17" s="22" t="s">
        <v>215</v>
      </c>
      <c r="BC17" s="22" t="s">
        <v>215</v>
      </c>
      <c r="BD17" s="22" t="s">
        <v>215</v>
      </c>
      <c r="BE17" s="22" t="s">
        <v>215</v>
      </c>
      <c r="BF17" s="22" t="s">
        <v>201</v>
      </c>
      <c r="BG17" s="22">
        <v>2.4500000000000002</v>
      </c>
      <c r="BH17" s="22" t="s">
        <v>215</v>
      </c>
      <c r="BI17" s="22" t="s">
        <v>215</v>
      </c>
      <c r="BJ17" s="22" t="s">
        <v>265</v>
      </c>
      <c r="BK17" s="22" t="s">
        <v>215</v>
      </c>
      <c r="BL17" s="22" t="s">
        <v>215</v>
      </c>
      <c r="BM17" s="22" t="s">
        <v>202</v>
      </c>
      <c r="BN17" s="22" t="s">
        <v>202</v>
      </c>
      <c r="BO17" s="22" t="s">
        <v>215</v>
      </c>
      <c r="BP17" s="22" t="s">
        <v>215</v>
      </c>
      <c r="BQ17" s="22" t="s">
        <v>215</v>
      </c>
      <c r="BR17" s="22" t="s">
        <v>215</v>
      </c>
      <c r="BS17" s="22" t="s">
        <v>215</v>
      </c>
      <c r="BT17" s="22" t="s">
        <v>215</v>
      </c>
      <c r="BU17" s="22" t="s">
        <v>215</v>
      </c>
      <c r="BV17" s="22" t="s">
        <v>215</v>
      </c>
      <c r="BW17" s="22" t="s">
        <v>215</v>
      </c>
      <c r="BX17" s="22" t="s">
        <v>215</v>
      </c>
      <c r="BY17" s="22" t="s">
        <v>215</v>
      </c>
      <c r="BZ17" s="22" t="s">
        <v>76</v>
      </c>
      <c r="CA17" s="22" t="s">
        <v>76</v>
      </c>
      <c r="CB17" s="22">
        <v>44571.437615740702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277</v>
      </c>
      <c r="DA17" s="22"/>
      <c r="DB17" s="22"/>
      <c r="DC17" s="22"/>
      <c r="DD17" s="22"/>
      <c r="DE17" s="22" t="s">
        <v>278</v>
      </c>
      <c r="DF17" s="22" t="s">
        <v>279</v>
      </c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 t="s">
        <v>276</v>
      </c>
      <c r="DX17" s="22"/>
      <c r="DY17" s="22"/>
      <c r="DZ17" s="22"/>
      <c r="EA17" s="22"/>
      <c r="EB17" s="22"/>
      <c r="EC17" s="22"/>
      <c r="ED17" s="22"/>
      <c r="EE17" s="1" t="s">
        <v>280</v>
      </c>
    </row>
    <row r="18" spans="1:135" ht="12" customHeight="1" x14ac:dyDescent="0.25">
      <c r="A18" s="22" t="s">
        <v>183</v>
      </c>
      <c r="B18" s="22" t="s">
        <v>124</v>
      </c>
      <c r="C18" s="22"/>
      <c r="D18" s="22" t="s">
        <v>38</v>
      </c>
      <c r="E18" s="22"/>
      <c r="F18" s="22"/>
      <c r="G18" s="22"/>
      <c r="H18" s="22" t="s">
        <v>38</v>
      </c>
      <c r="I18" s="22" t="s">
        <v>144</v>
      </c>
      <c r="J18" s="22" t="str">
        <f>VLOOKUP(W18,[1]Sheet1!$W$643:$W$662,1,0)</f>
        <v>19306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42</v>
      </c>
      <c r="W18" s="22" t="s">
        <v>231</v>
      </c>
      <c r="X18" s="22" t="s">
        <v>234</v>
      </c>
      <c r="Y18" s="22" t="s">
        <v>115</v>
      </c>
      <c r="Z18" s="22" t="s">
        <v>184</v>
      </c>
      <c r="AA18" s="22" t="s">
        <v>184</v>
      </c>
      <c r="AB18" s="22" t="s">
        <v>262</v>
      </c>
      <c r="AC18" s="22" t="s">
        <v>215</v>
      </c>
      <c r="AD18" s="22" t="s">
        <v>130</v>
      </c>
      <c r="AE18" s="22" t="s">
        <v>215</v>
      </c>
      <c r="AF18" s="22" t="s">
        <v>215</v>
      </c>
      <c r="AG18" s="22" t="s">
        <v>218</v>
      </c>
      <c r="AH18" s="22" t="s">
        <v>215</v>
      </c>
      <c r="AI18" s="22" t="s">
        <v>215</v>
      </c>
      <c r="AJ18" s="22" t="s">
        <v>259</v>
      </c>
      <c r="AK18" s="22" t="s">
        <v>161</v>
      </c>
      <c r="AL18" s="22" t="s">
        <v>265</v>
      </c>
      <c r="AM18" s="22" t="s">
        <v>215</v>
      </c>
      <c r="AN18" s="22" t="s">
        <v>215</v>
      </c>
      <c r="AO18" s="22" t="s">
        <v>215</v>
      </c>
      <c r="AP18" s="22" t="s">
        <v>5</v>
      </c>
      <c r="AQ18" s="22" t="s">
        <v>215</v>
      </c>
      <c r="AR18" s="22" t="s">
        <v>69</v>
      </c>
      <c r="AS18" s="22" t="s">
        <v>15</v>
      </c>
      <c r="AT18" s="22" t="s">
        <v>220</v>
      </c>
      <c r="AU18" s="22" t="s">
        <v>189</v>
      </c>
      <c r="AV18" s="22" t="s">
        <v>215</v>
      </c>
      <c r="AW18" s="22" t="s">
        <v>201</v>
      </c>
      <c r="AX18" s="22" t="s">
        <v>201</v>
      </c>
      <c r="AY18" s="22" t="s">
        <v>201</v>
      </c>
      <c r="AZ18" s="22" t="s">
        <v>201</v>
      </c>
      <c r="BA18" s="22" t="s">
        <v>215</v>
      </c>
      <c r="BB18" s="22" t="s">
        <v>215</v>
      </c>
      <c r="BC18" s="22" t="s">
        <v>215</v>
      </c>
      <c r="BD18" s="22" t="s">
        <v>215</v>
      </c>
      <c r="BE18" s="22" t="s">
        <v>215</v>
      </c>
      <c r="BF18" s="22" t="s">
        <v>201</v>
      </c>
      <c r="BG18" s="22">
        <v>575</v>
      </c>
      <c r="BH18" s="22" t="s">
        <v>215</v>
      </c>
      <c r="BI18" s="22" t="s">
        <v>215</v>
      </c>
      <c r="BJ18" s="22" t="s">
        <v>265</v>
      </c>
      <c r="BK18" s="22" t="s">
        <v>215</v>
      </c>
      <c r="BL18" s="22" t="s">
        <v>215</v>
      </c>
      <c r="BM18" s="22" t="s">
        <v>201</v>
      </c>
      <c r="BN18" s="22" t="s">
        <v>201</v>
      </c>
      <c r="BO18" s="22" t="s">
        <v>215</v>
      </c>
      <c r="BP18" s="22" t="s">
        <v>215</v>
      </c>
      <c r="BQ18" s="22" t="s">
        <v>215</v>
      </c>
      <c r="BR18" s="22" t="s">
        <v>215</v>
      </c>
      <c r="BS18" s="22" t="s">
        <v>215</v>
      </c>
      <c r="BT18" s="22" t="s">
        <v>215</v>
      </c>
      <c r="BU18" s="22" t="s">
        <v>215</v>
      </c>
      <c r="BV18" s="22" t="s">
        <v>215</v>
      </c>
      <c r="BW18" s="22" t="s">
        <v>215</v>
      </c>
      <c r="BX18" s="22" t="s">
        <v>215</v>
      </c>
      <c r="BY18" s="22" t="s">
        <v>215</v>
      </c>
      <c r="BZ18" s="22" t="s">
        <v>260</v>
      </c>
      <c r="CA18" s="22" t="s">
        <v>260</v>
      </c>
      <c r="CB18" s="22">
        <v>44571.461712962999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277</v>
      </c>
      <c r="DA18" s="22"/>
      <c r="DB18" s="22"/>
      <c r="DC18" s="22"/>
      <c r="DD18" s="22"/>
      <c r="DE18" s="22" t="s">
        <v>278</v>
      </c>
      <c r="DF18" s="22" t="s">
        <v>279</v>
      </c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 t="s">
        <v>276</v>
      </c>
      <c r="DX18" s="22"/>
      <c r="DY18" s="22"/>
      <c r="DZ18" s="22"/>
      <c r="EA18" s="22"/>
      <c r="EB18" s="22"/>
      <c r="EC18" s="22"/>
      <c r="ED18" s="22"/>
      <c r="EE18" s="1" t="s">
        <v>280</v>
      </c>
    </row>
    <row r="19" spans="1:135" ht="12" customHeight="1" x14ac:dyDescent="0.25">
      <c r="A19" s="22" t="s">
        <v>183</v>
      </c>
      <c r="B19" s="22" t="s">
        <v>124</v>
      </c>
      <c r="C19" s="22"/>
      <c r="D19" s="22" t="s">
        <v>38</v>
      </c>
      <c r="E19" s="22"/>
      <c r="F19" s="22"/>
      <c r="G19" s="22"/>
      <c r="H19" s="22" t="s">
        <v>38</v>
      </c>
      <c r="I19" s="22" t="s">
        <v>144</v>
      </c>
      <c r="J19" s="22" t="str">
        <f>VLOOKUP(W19,[1]Sheet1!$W$643:$W$662,1,0)</f>
        <v>19307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42</v>
      </c>
      <c r="W19" s="22" t="s">
        <v>243</v>
      </c>
      <c r="X19" s="22" t="s">
        <v>35</v>
      </c>
      <c r="Y19" s="22" t="s">
        <v>115</v>
      </c>
      <c r="Z19" s="22" t="s">
        <v>141</v>
      </c>
      <c r="AA19" s="22" t="s">
        <v>141</v>
      </c>
      <c r="AB19" s="22" t="s">
        <v>262</v>
      </c>
      <c r="AC19" s="22" t="s">
        <v>215</v>
      </c>
      <c r="AD19" s="22" t="s">
        <v>130</v>
      </c>
      <c r="AE19" s="22" t="s">
        <v>215</v>
      </c>
      <c r="AF19" s="22" t="s">
        <v>215</v>
      </c>
      <c r="AG19" s="22" t="s">
        <v>218</v>
      </c>
      <c r="AH19" s="22" t="s">
        <v>215</v>
      </c>
      <c r="AI19" s="22" t="s">
        <v>215</v>
      </c>
      <c r="AJ19" s="22" t="s">
        <v>259</v>
      </c>
      <c r="AK19" s="22" t="s">
        <v>161</v>
      </c>
      <c r="AL19" s="22" t="s">
        <v>265</v>
      </c>
      <c r="AM19" s="22" t="s">
        <v>215</v>
      </c>
      <c r="AN19" s="22" t="s">
        <v>215</v>
      </c>
      <c r="AO19" s="22" t="s">
        <v>215</v>
      </c>
      <c r="AP19" s="22" t="s">
        <v>245</v>
      </c>
      <c r="AQ19" s="22" t="s">
        <v>215</v>
      </c>
      <c r="AR19" s="22" t="s">
        <v>69</v>
      </c>
      <c r="AS19" s="22" t="s">
        <v>152</v>
      </c>
      <c r="AT19" s="22" t="s">
        <v>206</v>
      </c>
      <c r="AU19" s="22" t="s">
        <v>164</v>
      </c>
      <c r="AV19" s="22" t="s">
        <v>215</v>
      </c>
      <c r="AW19" s="22" t="s">
        <v>201</v>
      </c>
      <c r="AX19" s="22" t="s">
        <v>201</v>
      </c>
      <c r="AY19" s="22" t="s">
        <v>201</v>
      </c>
      <c r="AZ19" s="22" t="s">
        <v>201</v>
      </c>
      <c r="BA19" s="22" t="s">
        <v>215</v>
      </c>
      <c r="BB19" s="22" t="s">
        <v>215</v>
      </c>
      <c r="BC19" s="22" t="s">
        <v>215</v>
      </c>
      <c r="BD19" s="22" t="s">
        <v>215</v>
      </c>
      <c r="BE19" s="22" t="s">
        <v>215</v>
      </c>
      <c r="BF19" s="22" t="s">
        <v>201</v>
      </c>
      <c r="BG19" s="22">
        <v>407</v>
      </c>
      <c r="BH19" s="22" t="s">
        <v>215</v>
      </c>
      <c r="BI19" s="22" t="s">
        <v>215</v>
      </c>
      <c r="BJ19" s="22" t="s">
        <v>265</v>
      </c>
      <c r="BK19" s="22" t="s">
        <v>215</v>
      </c>
      <c r="BL19" s="22" t="s">
        <v>215</v>
      </c>
      <c r="BM19" s="22" t="s">
        <v>202</v>
      </c>
      <c r="BN19" s="22" t="s">
        <v>202</v>
      </c>
      <c r="BO19" s="22" t="s">
        <v>215</v>
      </c>
      <c r="BP19" s="22" t="s">
        <v>215</v>
      </c>
      <c r="BQ19" s="22" t="s">
        <v>215</v>
      </c>
      <c r="BR19" s="22" t="s">
        <v>215</v>
      </c>
      <c r="BS19" s="22" t="s">
        <v>215</v>
      </c>
      <c r="BT19" s="22" t="s">
        <v>215</v>
      </c>
      <c r="BU19" s="22" t="s">
        <v>215</v>
      </c>
      <c r="BV19" s="22" t="s">
        <v>215</v>
      </c>
      <c r="BW19" s="22" t="s">
        <v>215</v>
      </c>
      <c r="BX19" s="22" t="s">
        <v>215</v>
      </c>
      <c r="BY19" s="22" t="s">
        <v>215</v>
      </c>
      <c r="BZ19" s="22" t="s">
        <v>186</v>
      </c>
      <c r="CA19" s="22" t="s">
        <v>186</v>
      </c>
      <c r="CB19" s="22">
        <v>44571.527766203697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277</v>
      </c>
      <c r="DA19" s="22"/>
      <c r="DB19" s="22"/>
      <c r="DC19" s="22"/>
      <c r="DD19" s="22"/>
      <c r="DE19" s="22" t="s">
        <v>278</v>
      </c>
      <c r="DF19" s="22" t="s">
        <v>279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 t="s">
        <v>276</v>
      </c>
      <c r="DX19" s="22"/>
      <c r="DY19" s="22"/>
      <c r="DZ19" s="22"/>
      <c r="EA19" s="22"/>
      <c r="EB19" s="22"/>
      <c r="EC19" s="22"/>
      <c r="ED19" s="22"/>
      <c r="EE19" s="1" t="s">
        <v>280</v>
      </c>
    </row>
    <row r="20" spans="1:135" ht="12" customHeight="1" x14ac:dyDescent="0.25">
      <c r="A20" s="22" t="s">
        <v>183</v>
      </c>
      <c r="B20" s="22" t="s">
        <v>124</v>
      </c>
      <c r="C20" s="22"/>
      <c r="D20" s="22" t="s">
        <v>38</v>
      </c>
      <c r="E20" s="22"/>
      <c r="F20" s="22"/>
      <c r="G20" s="22"/>
      <c r="H20" s="22" t="s">
        <v>38</v>
      </c>
      <c r="I20" s="22" t="s">
        <v>144</v>
      </c>
      <c r="J20" s="22" t="str">
        <f>VLOOKUP(W20,[1]Sheet1!$W$643:$W$662,1,0)</f>
        <v>19308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42</v>
      </c>
      <c r="W20" s="22" t="s">
        <v>236</v>
      </c>
      <c r="X20" s="22" t="s">
        <v>224</v>
      </c>
      <c r="Y20" s="22" t="s">
        <v>115</v>
      </c>
      <c r="Z20" s="22" t="s">
        <v>222</v>
      </c>
      <c r="AA20" s="22" t="s">
        <v>266</v>
      </c>
      <c r="AB20" s="22" t="s">
        <v>262</v>
      </c>
      <c r="AC20" s="22" t="s">
        <v>215</v>
      </c>
      <c r="AD20" s="22" t="s">
        <v>130</v>
      </c>
      <c r="AE20" s="22" t="s">
        <v>215</v>
      </c>
      <c r="AF20" s="22" t="s">
        <v>215</v>
      </c>
      <c r="AG20" s="22" t="s">
        <v>218</v>
      </c>
      <c r="AH20" s="22" t="s">
        <v>215</v>
      </c>
      <c r="AI20" s="22" t="s">
        <v>215</v>
      </c>
      <c r="AJ20" s="22" t="s">
        <v>259</v>
      </c>
      <c r="AK20" s="22" t="s">
        <v>161</v>
      </c>
      <c r="AL20" s="22" t="s">
        <v>265</v>
      </c>
      <c r="AM20" s="22" t="s">
        <v>215</v>
      </c>
      <c r="AN20" s="22" t="s">
        <v>215</v>
      </c>
      <c r="AO20" s="22" t="s">
        <v>215</v>
      </c>
      <c r="AP20" s="22" t="s">
        <v>245</v>
      </c>
      <c r="AQ20" s="22" t="s">
        <v>215</v>
      </c>
      <c r="AR20" s="22" t="s">
        <v>69</v>
      </c>
      <c r="AS20" s="22" t="s">
        <v>152</v>
      </c>
      <c r="AT20" s="22" t="s">
        <v>206</v>
      </c>
      <c r="AU20" s="22" t="s">
        <v>159</v>
      </c>
      <c r="AV20" s="22" t="s">
        <v>215</v>
      </c>
      <c r="AW20" s="22" t="s">
        <v>201</v>
      </c>
      <c r="AX20" s="22" t="s">
        <v>201</v>
      </c>
      <c r="AY20" s="22" t="s">
        <v>201</v>
      </c>
      <c r="AZ20" s="22" t="s">
        <v>201</v>
      </c>
      <c r="BA20" s="22" t="s">
        <v>215</v>
      </c>
      <c r="BB20" s="22" t="s">
        <v>215</v>
      </c>
      <c r="BC20" s="22" t="s">
        <v>215</v>
      </c>
      <c r="BD20" s="22" t="s">
        <v>215</v>
      </c>
      <c r="BE20" s="22" t="s">
        <v>215</v>
      </c>
      <c r="BF20" s="22" t="s">
        <v>201</v>
      </c>
      <c r="BG20" s="22">
        <v>874.57</v>
      </c>
      <c r="BH20" s="22" t="s">
        <v>215</v>
      </c>
      <c r="BI20" s="22" t="s">
        <v>215</v>
      </c>
      <c r="BJ20" s="22" t="s">
        <v>265</v>
      </c>
      <c r="BK20" s="22" t="s">
        <v>215</v>
      </c>
      <c r="BL20" s="22" t="s">
        <v>215</v>
      </c>
      <c r="BM20" s="22" t="s">
        <v>202</v>
      </c>
      <c r="BN20" s="22" t="s">
        <v>202</v>
      </c>
      <c r="BO20" s="22" t="s">
        <v>215</v>
      </c>
      <c r="BP20" s="22" t="s">
        <v>215</v>
      </c>
      <c r="BQ20" s="22" t="s">
        <v>215</v>
      </c>
      <c r="BR20" s="22" t="s">
        <v>215</v>
      </c>
      <c r="BS20" s="22" t="s">
        <v>215</v>
      </c>
      <c r="BT20" s="22" t="s">
        <v>215</v>
      </c>
      <c r="BU20" s="22" t="s">
        <v>215</v>
      </c>
      <c r="BV20" s="22" t="s">
        <v>215</v>
      </c>
      <c r="BW20" s="22" t="s">
        <v>215</v>
      </c>
      <c r="BX20" s="22" t="s">
        <v>215</v>
      </c>
      <c r="BY20" s="22" t="s">
        <v>215</v>
      </c>
      <c r="BZ20" s="22" t="s">
        <v>186</v>
      </c>
      <c r="CA20" s="22" t="s">
        <v>186</v>
      </c>
      <c r="CB20" s="22">
        <v>44571.530868055597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277</v>
      </c>
      <c r="DA20" s="22"/>
      <c r="DB20" s="22"/>
      <c r="DC20" s="22"/>
      <c r="DD20" s="22"/>
      <c r="DE20" s="22" t="s">
        <v>278</v>
      </c>
      <c r="DF20" s="22" t="s">
        <v>279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 t="s">
        <v>276</v>
      </c>
      <c r="DX20" s="22"/>
      <c r="DY20" s="22"/>
      <c r="DZ20" s="22"/>
      <c r="EA20" s="22"/>
      <c r="EB20" s="22"/>
      <c r="EC20" s="22"/>
      <c r="ED20" s="22"/>
      <c r="EE20" s="1" t="s">
        <v>280</v>
      </c>
    </row>
    <row r="21" spans="1:135" ht="12" customHeight="1" x14ac:dyDescent="0.25">
      <c r="A21" s="22" t="s">
        <v>183</v>
      </c>
      <c r="B21" s="22" t="s">
        <v>124</v>
      </c>
      <c r="C21" s="22"/>
      <c r="D21" s="22" t="s">
        <v>38</v>
      </c>
      <c r="E21" s="22"/>
      <c r="F21" s="22"/>
      <c r="G21" s="22"/>
      <c r="H21" s="22" t="s">
        <v>38</v>
      </c>
      <c r="I21" s="22" t="s">
        <v>144</v>
      </c>
      <c r="J21" s="22" t="str">
        <f>VLOOKUP(W21,[1]Sheet1!$W$643:$W$662,1,0)</f>
        <v>19309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42</v>
      </c>
      <c r="W21" s="22" t="s">
        <v>237</v>
      </c>
      <c r="X21" s="22" t="s">
        <v>223</v>
      </c>
      <c r="Y21" s="22" t="s">
        <v>115</v>
      </c>
      <c r="Z21" s="22" t="s">
        <v>207</v>
      </c>
      <c r="AA21" s="22" t="s">
        <v>207</v>
      </c>
      <c r="AB21" s="22" t="s">
        <v>262</v>
      </c>
      <c r="AC21" s="22" t="s">
        <v>215</v>
      </c>
      <c r="AD21" s="22" t="s">
        <v>130</v>
      </c>
      <c r="AE21" s="22" t="s">
        <v>215</v>
      </c>
      <c r="AF21" s="22" t="s">
        <v>215</v>
      </c>
      <c r="AG21" s="22" t="s">
        <v>218</v>
      </c>
      <c r="AH21" s="22" t="s">
        <v>215</v>
      </c>
      <c r="AI21" s="22" t="s">
        <v>215</v>
      </c>
      <c r="AJ21" s="22" t="s">
        <v>259</v>
      </c>
      <c r="AK21" s="22" t="s">
        <v>161</v>
      </c>
      <c r="AL21" s="22" t="s">
        <v>265</v>
      </c>
      <c r="AM21" s="22" t="s">
        <v>215</v>
      </c>
      <c r="AN21" s="22" t="s">
        <v>215</v>
      </c>
      <c r="AO21" s="22" t="s">
        <v>215</v>
      </c>
      <c r="AP21" s="22" t="s">
        <v>245</v>
      </c>
      <c r="AQ21" s="22" t="s">
        <v>215</v>
      </c>
      <c r="AR21" s="22" t="s">
        <v>69</v>
      </c>
      <c r="AS21" s="22" t="s">
        <v>152</v>
      </c>
      <c r="AT21" s="22" t="s">
        <v>206</v>
      </c>
      <c r="AU21" s="22" t="s">
        <v>206</v>
      </c>
      <c r="AV21" s="22" t="s">
        <v>215</v>
      </c>
      <c r="AW21" s="22" t="s">
        <v>201</v>
      </c>
      <c r="AX21" s="22" t="s">
        <v>201</v>
      </c>
      <c r="AY21" s="22" t="s">
        <v>201</v>
      </c>
      <c r="AZ21" s="22" t="s">
        <v>201</v>
      </c>
      <c r="BA21" s="22" t="s">
        <v>215</v>
      </c>
      <c r="BB21" s="22" t="s">
        <v>215</v>
      </c>
      <c r="BC21" s="22" t="s">
        <v>215</v>
      </c>
      <c r="BD21" s="22" t="s">
        <v>215</v>
      </c>
      <c r="BE21" s="22" t="s">
        <v>215</v>
      </c>
      <c r="BF21" s="22" t="s">
        <v>201</v>
      </c>
      <c r="BG21" s="22">
        <v>2530.5700000000002</v>
      </c>
      <c r="BH21" s="22" t="s">
        <v>215</v>
      </c>
      <c r="BI21" s="22" t="s">
        <v>215</v>
      </c>
      <c r="BJ21" s="22" t="s">
        <v>265</v>
      </c>
      <c r="BK21" s="22" t="s">
        <v>215</v>
      </c>
      <c r="BL21" s="22" t="s">
        <v>215</v>
      </c>
      <c r="BM21" s="22" t="s">
        <v>202</v>
      </c>
      <c r="BN21" s="22" t="s">
        <v>202</v>
      </c>
      <c r="BO21" s="22" t="s">
        <v>215</v>
      </c>
      <c r="BP21" s="22" t="s">
        <v>215</v>
      </c>
      <c r="BQ21" s="22" t="s">
        <v>215</v>
      </c>
      <c r="BR21" s="22" t="s">
        <v>215</v>
      </c>
      <c r="BS21" s="22" t="s">
        <v>215</v>
      </c>
      <c r="BT21" s="22" t="s">
        <v>215</v>
      </c>
      <c r="BU21" s="22" t="s">
        <v>215</v>
      </c>
      <c r="BV21" s="22" t="s">
        <v>215</v>
      </c>
      <c r="BW21" s="22" t="s">
        <v>215</v>
      </c>
      <c r="BX21" s="22" t="s">
        <v>215</v>
      </c>
      <c r="BY21" s="22" t="s">
        <v>215</v>
      </c>
      <c r="BZ21" s="22" t="s">
        <v>186</v>
      </c>
      <c r="CA21" s="22" t="s">
        <v>186</v>
      </c>
      <c r="CB21" s="22">
        <v>44571.539687500001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 t="s">
        <v>276</v>
      </c>
      <c r="DX21" s="22"/>
      <c r="DY21" s="22"/>
      <c r="DZ21" s="22"/>
      <c r="EA21" s="22"/>
      <c r="EB21" s="22"/>
      <c r="EC21" s="22"/>
      <c r="ED21" s="22"/>
      <c r="EE21" s="1" t="s">
        <v>280</v>
      </c>
    </row>
  </sheetData>
  <autoFilter ref="A1:EF2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2023-11-29T13:05:49Z</dcterms:modified>
  <cp:category/>
</cp:coreProperties>
</file>