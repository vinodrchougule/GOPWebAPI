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arshini\Downloads\"/>
    </mc:Choice>
  </mc:AlternateContent>
  <bookViews>
    <workbookView xWindow="0" yWindow="0" windowWidth="20490" windowHeight="7455"/>
  </bookViews>
  <sheets>
    <sheet name="Sheet1" sheetId="1" r:id="rId1"/>
    <sheet name="Sheet2" sheetId="2" r:id="rId2"/>
    <sheet name="Sheet3" sheetId="3" r:id="rId3"/>
  </sheets>
  <definedNames>
    <definedName name="_xlnm._FilterDatabase" localSheetId="0" hidden="1">Sheet1!$A$1:$GF$15</definedName>
  </definedNames>
  <calcPr calcId="152511"/>
  <webPublishing codePage="0"/>
</workbook>
</file>

<file path=xl/calcChain.xml><?xml version="1.0" encoding="utf-8"?>
<calcChain xmlns="http://schemas.openxmlformats.org/spreadsheetml/2006/main">
  <c r="BE15" i="1" l="1"/>
  <c r="BE14" i="1"/>
  <c r="BE12" i="1"/>
  <c r="BE11" i="1"/>
  <c r="BE10" i="1"/>
  <c r="BE9" i="1"/>
  <c r="BE8" i="1"/>
  <c r="BE7" i="1"/>
  <c r="BE6" i="1"/>
  <c r="BE5" i="1"/>
  <c r="BE4" i="1"/>
  <c r="BE3" i="1"/>
  <c r="BE2" i="1"/>
  <c r="BC15" i="1"/>
  <c r="BC14" i="1"/>
  <c r="BC12" i="1"/>
  <c r="BC11" i="1"/>
  <c r="BC10" i="1"/>
  <c r="BC9" i="1"/>
  <c r="BC8" i="1"/>
  <c r="BC7" i="1"/>
  <c r="BC6" i="1"/>
  <c r="BC5" i="1"/>
  <c r="BC4" i="1"/>
  <c r="BC3" i="1"/>
  <c r="BC2" i="1"/>
</calcChain>
</file>

<file path=xl/sharedStrings.xml><?xml version="1.0" encoding="utf-8"?>
<sst xmlns="http://schemas.openxmlformats.org/spreadsheetml/2006/main" count="1374" uniqueCount="387">
  <si>
    <t>22.625</t>
  </si>
  <si>
    <t>COVI</t>
  </si>
  <si>
    <t>Sterile</t>
  </si>
  <si>
    <t>Lawson Number</t>
  </si>
  <si>
    <t>Length</t>
  </si>
  <si>
    <t>MSDS</t>
  </si>
  <si>
    <t>5-10317</t>
  </si>
  <si>
    <t>R_QTY2</t>
  </si>
  <si>
    <t>PC</t>
  </si>
  <si>
    <t>QC User</t>
  </si>
  <si>
    <t>SYR 10ML PREFILLED POUCH ST 30 EA/SP 240 EA/CA (306553)</t>
  </si>
  <si>
    <t>Final requestor's Clarification</t>
  </si>
  <si>
    <t>0860187</t>
  </si>
  <si>
    <t>332360</t>
  </si>
  <si>
    <t>1</t>
  </si>
  <si>
    <t>440013</t>
  </si>
  <si>
    <t>R_RequestType</t>
  </si>
  <si>
    <t>RLA</t>
  </si>
  <si>
    <t>R_QTY1</t>
  </si>
  <si>
    <t>CL0860187</t>
  </si>
  <si>
    <t>CRLN</t>
  </si>
  <si>
    <t>R_ChangeDetails</t>
  </si>
  <si>
    <t>GTIN1</t>
  </si>
  <si>
    <t>GTIN2</t>
  </si>
  <si>
    <t>GTIN3</t>
  </si>
  <si>
    <t>8.4</t>
  </si>
  <si>
    <t>Activated Hospital</t>
  </si>
  <si>
    <t>CASTING PLASTER 4 IN X 5 YD 12 EA/BX (7374)</t>
  </si>
  <si>
    <t>MT1 QC Code</t>
  </si>
  <si>
    <t>R_SecondaryUOM(s)</t>
  </si>
  <si>
    <t>Material</t>
  </si>
  <si>
    <t>INVENTORY TRACKED</t>
  </si>
  <si>
    <t>Update pricing and attach to CID</t>
  </si>
  <si>
    <t>Orientation</t>
  </si>
  <si>
    <t>ven cat#</t>
  </si>
  <si>
    <t>R_Inventorytracked location(s)</t>
  </si>
  <si>
    <t>MT1 QC Comments</t>
  </si>
  <si>
    <t>NS30835CARD</t>
  </si>
  <si>
    <t>QA Comment</t>
  </si>
  <si>
    <t>Feature3</t>
  </si>
  <si>
    <t>SEGMENT</t>
  </si>
  <si>
    <t>Disposable</t>
  </si>
  <si>
    <t>Error Comments</t>
  </si>
  <si>
    <t>BF306544</t>
  </si>
  <si>
    <t>Maryanne's Response</t>
  </si>
  <si>
    <t>UOM2</t>
  </si>
  <si>
    <t>Conversion</t>
  </si>
  <si>
    <t>ALLOW ISS</t>
  </si>
  <si>
    <t>QC Comment</t>
  </si>
  <si>
    <t>310CRK</t>
  </si>
  <si>
    <t>EA</t>
  </si>
  <si>
    <t>DESCRIPTION FROM VENDOR/FULL DESCRIPTION</t>
  </si>
  <si>
    <t>In-Activated Hospital</t>
  </si>
  <si>
    <t>GTINUOM</t>
  </si>
  <si>
    <t>The Given I/P Contract does not exist in lawson</t>
  </si>
  <si>
    <t>B2951-97</t>
  </si>
  <si>
    <t>MfrName</t>
  </si>
  <si>
    <t>JJ</t>
  </si>
  <si>
    <t>ELECTRODE TABS 0.96IN/23MM SILVEREST 4000 EA/CA(6503179V)</t>
  </si>
  <si>
    <t>BDM012AVL1920</t>
  </si>
  <si>
    <t>VENDOR NUMBER</t>
  </si>
  <si>
    <t>Add to Location(s)</t>
  </si>
  <si>
    <t>R_UOM3</t>
  </si>
  <si>
    <t>BAGEMS</t>
  </si>
  <si>
    <t>Production Comments</t>
  </si>
  <si>
    <t>HAL003VL1920</t>
  </si>
  <si>
    <t>UOM SELL 1</t>
  </si>
  <si>
    <t>URL</t>
  </si>
  <si>
    <t>6503179V</t>
  </si>
  <si>
    <t>NISS</t>
  </si>
  <si>
    <t>R_QTY4</t>
  </si>
  <si>
    <t>CRD012VL1999</t>
  </si>
  <si>
    <t>MT1 Comments</t>
  </si>
  <si>
    <t>Maryanne's Response2</t>
  </si>
  <si>
    <t>330CRK</t>
  </si>
  <si>
    <t>MT2</t>
  </si>
  <si>
    <t>R_SKUID</t>
  </si>
  <si>
    <t>CMPS</t>
  </si>
  <si>
    <t>50</t>
  </si>
  <si>
    <t>500</t>
  </si>
  <si>
    <t>CH8X10BIOD</t>
  </si>
  <si>
    <t>N</t>
  </si>
  <si>
    <t>R_QTY3</t>
  </si>
  <si>
    <t>LINE FC</t>
  </si>
  <si>
    <t>SYR PREFILLED NS 3ML 30 EA/BX 16 BX/CA(306544)-</t>
  </si>
  <si>
    <t>SP</t>
  </si>
  <si>
    <t>COMMODITY</t>
  </si>
  <si>
    <t>QA Code</t>
  </si>
  <si>
    <t>HUD</t>
  </si>
  <si>
    <t>10</t>
  </si>
  <si>
    <t>Field AP 2</t>
  </si>
  <si>
    <t>R_CONTRACT</t>
  </si>
  <si>
    <t>scl9024@nyp.org</t>
  </si>
  <si>
    <t>QTY1</t>
  </si>
  <si>
    <t>BUY2</t>
  </si>
  <si>
    <t>LEN3</t>
  </si>
  <si>
    <t>QC Code</t>
  </si>
  <si>
    <t>Gender</t>
  </si>
  <si>
    <t>R_GLCAT</t>
  </si>
  <si>
    <t>R_PatientChargable</t>
  </si>
  <si>
    <t>MFR Div</t>
  </si>
  <si>
    <t>Field AP 3</t>
  </si>
  <si>
    <t>MT2 ChangeType</t>
  </si>
  <si>
    <t>R_PUOMCost</t>
  </si>
  <si>
    <t>BF306553A</t>
  </si>
  <si>
    <t>FORMULA DIVIDE COLUMN E BY COLUMN H FOR PRICE</t>
  </si>
  <si>
    <t>CARDINAL HEALTH VL</t>
  </si>
  <si>
    <t>PK</t>
  </si>
  <si>
    <t>367342</t>
  </si>
  <si>
    <t>PDF</t>
  </si>
  <si>
    <t>8005069</t>
  </si>
  <si>
    <t>CLAMP CIRCUMCSN W/1.1CM BELL 12 EA/CA (310CRK)-</t>
  </si>
  <si>
    <t>JJ7374</t>
  </si>
  <si>
    <t>R_RequestID</t>
  </si>
  <si>
    <t>UOM3</t>
  </si>
  <si>
    <t>Y</t>
  </si>
  <si>
    <t>R_RequestorName</t>
  </si>
  <si>
    <t>R_UOM1</t>
  </si>
  <si>
    <t>173153</t>
  </si>
  <si>
    <t>BAG EMESIS BIODEGRADABLE PLSTC 144 EA/CA (NS30835CARD)</t>
  </si>
  <si>
    <t>R_VENDORNAME</t>
  </si>
  <si>
    <t>Noun</t>
  </si>
  <si>
    <t>MT2 Code</t>
  </si>
  <si>
    <t>Production User</t>
  </si>
  <si>
    <t>PERI CLEAR BOTTLE 1 EA/EA (0860187)</t>
  </si>
  <si>
    <t>KC5-10317</t>
  </si>
  <si>
    <t>MFR</t>
  </si>
  <si>
    <t>R_MFRName</t>
  </si>
  <si>
    <t>Supply Type</t>
  </si>
  <si>
    <t>67.99</t>
  </si>
  <si>
    <t xml:space="preserve"> New York Hospital Queens</t>
  </si>
  <si>
    <t>R_UOM2</t>
  </si>
  <si>
    <t>NON27213S</t>
  </si>
  <si>
    <t>Modifier</t>
  </si>
  <si>
    <t>desc</t>
  </si>
  <si>
    <t>32.94</t>
  </si>
  <si>
    <t>mfr cat#</t>
  </si>
  <si>
    <t>591970</t>
  </si>
  <si>
    <t>117.024</t>
  </si>
  <si>
    <t>CLAMP CIRCUMCSN W/1.3CM BELL STERILE 12 EA/CA (330CRK)-</t>
  </si>
  <si>
    <t>R_CONTRACTLINE #</t>
  </si>
  <si>
    <t>UOM SELL PRICE 2</t>
  </si>
  <si>
    <t>MFR Number</t>
  </si>
  <si>
    <t>TRK</t>
  </si>
  <si>
    <t>Form</t>
  </si>
  <si>
    <t>CLASS</t>
  </si>
  <si>
    <t>AA1020210</t>
  </si>
  <si>
    <t>Status</t>
  </si>
  <si>
    <t>LEN1</t>
  </si>
  <si>
    <t>306553</t>
  </si>
  <si>
    <t>24</t>
  </si>
  <si>
    <t>R_LAWSON</t>
  </si>
  <si>
    <t>GTIN</t>
  </si>
  <si>
    <t>SE/MT2 Comments</t>
  </si>
  <si>
    <t>Brandname</t>
  </si>
  <si>
    <t>R_FieldAP2</t>
  </si>
  <si>
    <t>SizeString</t>
  </si>
  <si>
    <t>Refrence</t>
  </si>
  <si>
    <t>UOM TRACKED 3</t>
  </si>
  <si>
    <t>R_AddtoLocation(s)</t>
  </si>
  <si>
    <t>BUY3</t>
  </si>
  <si>
    <t>CARMS9572VL2399</t>
  </si>
  <si>
    <t>uom00</t>
  </si>
  <si>
    <t>ACTIVE STATUS</t>
  </si>
  <si>
    <t xml:space="preserve">UOM TRANS 1 </t>
  </si>
  <si>
    <t>500521</t>
  </si>
  <si>
    <t>TUBE ET MURPHY HVT LP 8.5MM 10 EA/CA (5-10317)</t>
  </si>
  <si>
    <t>CLAMP OCCLUDING DRAPE/TUBE DEVON 1 EA/EA (31140281)</t>
  </si>
  <si>
    <t>R_FieldAP1</t>
  </si>
  <si>
    <t>173256</t>
  </si>
  <si>
    <t>457220</t>
  </si>
  <si>
    <t>CH8X10BIODB</t>
  </si>
  <si>
    <t>FLUIDSHIELD LEVEL 1 MASK 50 EA/BX 500 EA/CA (25867)</t>
  </si>
  <si>
    <t>R_MFRDIV</t>
  </si>
  <si>
    <t>SE/MT2 Code</t>
  </si>
  <si>
    <t>DAR</t>
  </si>
  <si>
    <t>SKUID</t>
  </si>
  <si>
    <t>REPLEN PRIORITY</t>
  </si>
  <si>
    <t>Feature1</t>
  </si>
  <si>
    <t>X</t>
  </si>
  <si>
    <t>R_PurchaseUOM</t>
  </si>
  <si>
    <t>12</t>
  </si>
  <si>
    <t>30</t>
  </si>
  <si>
    <t>BAG SPEC TRANS BIOHAZ 8X10IN W/3 WALL ZIP 1/EA(CH8X10BIODB)</t>
  </si>
  <si>
    <t>GTIN00</t>
  </si>
  <si>
    <t>20GS, 20OR</t>
  </si>
  <si>
    <t>UOM SELL 3</t>
  </si>
  <si>
    <t>mfr name</t>
  </si>
  <si>
    <t>SET VACUTAINER LUER 23GX.75IN PUSH BTN 200 EA/CA (367342)</t>
  </si>
  <si>
    <t>USER F5</t>
  </si>
  <si>
    <t>HAZARD CODE</t>
  </si>
  <si>
    <t>MT2 Comments</t>
  </si>
  <si>
    <t>ChangeType</t>
  </si>
  <si>
    <t>R_VENDORNUMBER</t>
  </si>
  <si>
    <t/>
  </si>
  <si>
    <t>COMMENT</t>
  </si>
  <si>
    <t xml:space="preserve">Hazardous Exposure </t>
  </si>
  <si>
    <t>725.065</t>
  </si>
  <si>
    <t>GL CAT</t>
  </si>
  <si>
    <t xml:space="preserve">UPC/UPN </t>
  </si>
  <si>
    <t>1.6437</t>
  </si>
  <si>
    <t>BD</t>
  </si>
  <si>
    <t>UOM SELL PRICE 4</t>
  </si>
  <si>
    <t>New Item</t>
  </si>
  <si>
    <t>ITEM MFG# - Mfr Catalog #</t>
  </si>
  <si>
    <t>PROC GROUP</t>
  </si>
  <si>
    <t>PRICE</t>
  </si>
  <si>
    <t>70.2</t>
  </si>
  <si>
    <t>R_UOM4</t>
  </si>
  <si>
    <t>R_Company</t>
  </si>
  <si>
    <t>Color</t>
  </si>
  <si>
    <t>423755</t>
  </si>
  <si>
    <t>0.6201</t>
  </si>
  <si>
    <t>Error Code</t>
  </si>
  <si>
    <t>RDG</t>
  </si>
  <si>
    <t>UOM SELL PRICE 1</t>
  </si>
  <si>
    <t>589416</t>
  </si>
  <si>
    <t>PANT SCRUB ELASTIC BLU SM 1 EA/EA (NON27213S)</t>
  </si>
  <si>
    <t>VIZ101VL2099</t>
  </si>
  <si>
    <t>A</t>
  </si>
  <si>
    <t>QTY3</t>
  </si>
  <si>
    <t>NON001VL1999</t>
  </si>
  <si>
    <t>144</t>
  </si>
  <si>
    <t>SKU</t>
  </si>
  <si>
    <t>CA</t>
  </si>
  <si>
    <t>BUY1</t>
  </si>
  <si>
    <t>LEN2</t>
  </si>
  <si>
    <t>HCPCS</t>
  </si>
  <si>
    <t>R_ITEMMFG#</t>
  </si>
  <si>
    <t>OR</t>
  </si>
  <si>
    <t>Feature2</t>
  </si>
  <si>
    <t>Width</t>
  </si>
  <si>
    <t>LAWSON DESCRIPTION (30 char)</t>
  </si>
  <si>
    <t>UOM TRACKED 2</t>
  </si>
  <si>
    <t>R_FieldAP3</t>
  </si>
  <si>
    <t>UOM TRACKED 4</t>
  </si>
  <si>
    <t>0.8273</t>
  </si>
  <si>
    <t>Need Clarification</t>
  </si>
  <si>
    <t>602534</t>
  </si>
  <si>
    <t>80</t>
  </si>
  <si>
    <t>Company</t>
  </si>
  <si>
    <t>BUY4</t>
  </si>
  <si>
    <t>CHANGE ITEM</t>
  </si>
  <si>
    <t>MEDL</t>
  </si>
  <si>
    <t>REFDB</t>
  </si>
  <si>
    <t>Activities</t>
  </si>
  <si>
    <t>447076</t>
  </si>
  <si>
    <t>Diameter</t>
  </si>
  <si>
    <t>UOM</t>
  </si>
  <si>
    <t>R_DESCRIPTIONFROMVENDOR/FULLDESCRIPTION</t>
  </si>
  <si>
    <t>PUOM Cost</t>
  </si>
  <si>
    <t>1.259</t>
  </si>
  <si>
    <t>DESCRIPTION 2</t>
  </si>
  <si>
    <t>DESCRIPTION 3</t>
  </si>
  <si>
    <t>CONTRACT LINE #</t>
  </si>
  <si>
    <t>NYPH</t>
  </si>
  <si>
    <t>STOCK UOM</t>
  </si>
  <si>
    <t>SOURCING</t>
  </si>
  <si>
    <t>BX</t>
  </si>
  <si>
    <t>VendorName</t>
  </si>
  <si>
    <t>R_VENDORCATALOG NUMBER/EDI TRANSMISSION NUMBER</t>
  </si>
  <si>
    <t>DimString</t>
  </si>
  <si>
    <t>UOM SELL 2</t>
  </si>
  <si>
    <t>CONTRACT</t>
  </si>
  <si>
    <t>UOM1</t>
  </si>
  <si>
    <t>Field AP 1</t>
  </si>
  <si>
    <t>Comments</t>
  </si>
  <si>
    <t>10GS, 10CCH, 60GSA, 60GSM, 60ORA, 60ORC, 60ORM, 60PYX, 80DHK, 80GS, 80OR, 88GS, 88OR, 82GS, 75GS, 75OR</t>
  </si>
  <si>
    <t>UOM TRANS 4</t>
  </si>
  <si>
    <t>QC Comments</t>
  </si>
  <si>
    <t>UOM TRANS 2</t>
  </si>
  <si>
    <t>UOM TRANS 3</t>
  </si>
  <si>
    <t>R_RequestorEmail</t>
  </si>
  <si>
    <t>NY20</t>
  </si>
  <si>
    <t>UOM TRACKED</t>
  </si>
  <si>
    <t>306544</t>
  </si>
  <si>
    <t>UOM4</t>
  </si>
  <si>
    <t>MT1 Code</t>
  </si>
  <si>
    <t>UOM SELL PRICE 3</t>
  </si>
  <si>
    <t>SupplyType</t>
  </si>
  <si>
    <t>QTY4</t>
  </si>
  <si>
    <t>Height</t>
  </si>
  <si>
    <t>ALLOW REC</t>
  </si>
  <si>
    <t>449322</t>
  </si>
  <si>
    <t>R_SKUStatus</t>
  </si>
  <si>
    <t>KIMB</t>
  </si>
  <si>
    <t>Multiple Vendors for PO13</t>
  </si>
  <si>
    <t>VENDOR CATALOG NUMBER/EDI TRANSMISSION NUMBER</t>
  </si>
  <si>
    <t>UOM SELL 4</t>
  </si>
  <si>
    <t>BDMS7290VL1999</t>
  </si>
  <si>
    <t>7374</t>
  </si>
  <si>
    <t>Latex</t>
  </si>
  <si>
    <t>R_MiscNotes</t>
  </si>
  <si>
    <t>FAMILY</t>
  </si>
  <si>
    <t>293283</t>
  </si>
  <si>
    <t>31140281-</t>
  </si>
  <si>
    <t>Lockett, Scott</t>
  </si>
  <si>
    <t>URL00</t>
  </si>
  <si>
    <t>25867</t>
  </si>
  <si>
    <t>QTY2</t>
  </si>
  <si>
    <t>31140281</t>
  </si>
  <si>
    <t>R_LATEXorLATEX FREE</t>
  </si>
  <si>
    <t>600.3</t>
  </si>
  <si>
    <t>14.8183</t>
  </si>
  <si>
    <t xml:space="preserve">ITEM NUMERIC 3 </t>
  </si>
  <si>
    <t>GTINUOM00</t>
  </si>
  <si>
    <t>575521</t>
  </si>
  <si>
    <t xml:space="preserve"> New York-Presbyterian Hospital</t>
  </si>
  <si>
    <t>GTIN4</t>
  </si>
  <si>
    <t>CASTING PLASTER 4 IN X 5 YD</t>
  </si>
  <si>
    <t>12 EA/BX (7374)</t>
  </si>
  <si>
    <t>42</t>
  </si>
  <si>
    <t>15</t>
  </si>
  <si>
    <t>05</t>
  </si>
  <si>
    <t>2</t>
  </si>
  <si>
    <t>SYR PREFILLED NS 3ML</t>
  </si>
  <si>
    <t>30 EA/BX 16 BX/CA(306544)-</t>
  </si>
  <si>
    <t>02</t>
  </si>
  <si>
    <t>PANT SCRUB ELASTIC BLU SM</t>
  </si>
  <si>
    <t>1 EA/EA (NON27213S)</t>
  </si>
  <si>
    <t>SYR 10ML PREFILLED POUCH ST</t>
  </si>
  <si>
    <t>14</t>
  </si>
  <si>
    <t>26</t>
  </si>
  <si>
    <t>CLAMP OCCLUDING DRAPE/TUBE</t>
  </si>
  <si>
    <t>29</t>
  </si>
  <si>
    <t>54</t>
  </si>
  <si>
    <t>00</t>
  </si>
  <si>
    <t>BAG EMESIS BIODEGRADABLE PLSTC</t>
  </si>
  <si>
    <t>144 EA/CA (NS30835CARD)</t>
  </si>
  <si>
    <t>47</t>
  </si>
  <si>
    <t>17</t>
  </si>
  <si>
    <t>07</t>
  </si>
  <si>
    <t>SL</t>
  </si>
  <si>
    <t>BAG SPEC TRANS BIOHAZ 8X10IN</t>
  </si>
  <si>
    <t>41</t>
  </si>
  <si>
    <t>PERI CLEAR BOTTLE</t>
  </si>
  <si>
    <t>1 EA/EA (0860187)</t>
  </si>
  <si>
    <t>ELECTRODE TABS 0.96IN/23MM</t>
  </si>
  <si>
    <t>18</t>
  </si>
  <si>
    <t>CLAMP CIRCUMCSN W/1.1CM BELL</t>
  </si>
  <si>
    <t>12 EA/CA (310CRK)-</t>
  </si>
  <si>
    <t>CLAMP CIRCUMCSN W/1.3CM BELL</t>
  </si>
  <si>
    <t>STERILE 12 EA/CA (330CRK)-</t>
  </si>
  <si>
    <t>FLUIDSHIELD LEVEL 1 MASK</t>
  </si>
  <si>
    <t>50 EA/BX 500 EA/CA (25867)</t>
  </si>
  <si>
    <t>SET VACUTAINER LUER 23GX.75IN</t>
  </si>
  <si>
    <t>PUSH BTN 200 EA/CA (367342)</t>
  </si>
  <si>
    <t>Latex Free</t>
  </si>
  <si>
    <t>C</t>
  </si>
  <si>
    <t>677</t>
  </si>
  <si>
    <t>All details matches with Lawson, Need to activate for 20OR Location, Need to update price to $32.94, Add Contract "HAL003VL1920", Lawson No. 602534</t>
  </si>
  <si>
    <t>All details matches with Lawson, Update Vendor name to 8005069 in IC12.2 Tab, Need to update price to $14.8183, Add Contract "VIZ101VL2099", Lawson No. 173256</t>
  </si>
  <si>
    <t>All details matches with Lawson, Need to activate for 82GS Location, Update Vendor name to 8005069 in IC12.2 Tab, Need to update price to $8.4, Add Contract "BDMS7290VL1999", Lawson No. 293283</t>
  </si>
  <si>
    <t>All details matches with Lawson, Need to update price to $725.065, Add Contract "NON001VL1999", Lawson No. 589416</t>
  </si>
  <si>
    <t>All details matches with Lawson, Update Vendor name to 8005069 in IC12.2 Tab, Need to update price to $0.8273, Add Contract "NON001VL1999", Lawson No. 500521</t>
  </si>
  <si>
    <t>All details matches with Lawson, Update Vendor name to 8005069 in IC12.2 Tab, Need to update price to $1.6437, Add Contract "NON001VL1999", Lawson No. 332360</t>
  </si>
  <si>
    <t>All details matches with Lawson, Need to update price to $1.259, Lawson No. 173153</t>
  </si>
  <si>
    <t>All details matches with Lawson, Need to update price to $70.2, Add Contract "BDM012AVL1920", Lawson No. 423755</t>
  </si>
  <si>
    <t>All details matches with Lawson, Need to change PUOM from CA of 240 to SP of 30 and Update Desc2, Need to activate for 82GS Location, Update Vendor name to 8005069 in IC12.2 Tab, Need to update price to $24, Add Contract "BDMS7290VL1999", Lawson No. 440013</t>
  </si>
  <si>
    <t>All details matches with Lawson, Need to change PUOM from EA of 1 to CA of 80 and Update Desc2, Need to activate for 60GSA, 60GSM, 75GS, 80GS, 82GS, 88GS Locations, Update Vendor name to 8005069 in IC12.2 Tab, Need to update price to $67.99, Add Contract "CARMS9572VL2399", Lawson No. 447076</t>
  </si>
  <si>
    <t>All details matches with Lawson, Need to change PUOM from SL of 12 to CA of 144 and Update Desc2, Need to activate for 60GSA, 60GSM, 75GS, 80GS, 82GS, 88GS Locations, Update Vendor name to 8005069 in IC12.2 Tab, Need to update price to $117.024, Add Contract "CRD012VL1999", Lawson No. 449322</t>
  </si>
  <si>
    <t>All details matches with Lawson, Need to change PUOM from EA of 1 to BX of 500 and Update Desc, Need to activate for 10CCH, 60GSA, 60GSM, 75GS, 80GS, 82GS, 88GS Locations, Update Vendor name to 8005069 in IC12.2 Tab, Need to update price to $22.625, Add Contract "CRD012VL1999", Lawson No. 457220</t>
  </si>
  <si>
    <t>MFR + VENDOR NAME CHANGE - CONTRACT</t>
  </si>
  <si>
    <t>ACTIVATION - CONTRACT</t>
  </si>
  <si>
    <t>PRICE UPDATE - CONTRACT</t>
  </si>
  <si>
    <t>PRICE UPDATE - NON CONTRACT WITH PRICE</t>
  </si>
  <si>
    <t>All details matches with Lawson, Need to change PUOM from CA of 4000 to PK of 10 and Update Desc2, Need to activate for 75OR Location, Update Vendor name to 8005069 in IC12.2 Tab, Need to update price to $0.6201, Contract is Associated with "NON001VL1999" Line#677 with Hold Flag "Y", Lawson No. 575521</t>
  </si>
  <si>
    <t>NY20,NY41,NYPH</t>
  </si>
  <si>
    <t>NY21,NY39,NY51,NY52</t>
  </si>
  <si>
    <t>NY10,NY20,NY21,NY41,NYPH</t>
  </si>
  <si>
    <t>NY10,NY20,NY41,NYPH</t>
  </si>
  <si>
    <t>6760</t>
  </si>
  <si>
    <t>6725</t>
  </si>
  <si>
    <t>7050</t>
  </si>
  <si>
    <t>6869</t>
  </si>
  <si>
    <t>6738</t>
  </si>
  <si>
    <t>6745</t>
  </si>
  <si>
    <t>6870</t>
  </si>
  <si>
    <t>6831</t>
  </si>
  <si>
    <t>SILVEREST 10 EA/PK (6503179V)</t>
  </si>
  <si>
    <t>W/3WALL ZIP 500/BX(CH8X10BIODB</t>
  </si>
  <si>
    <t>DEVON 80 EA/CA (31140281)</t>
  </si>
  <si>
    <t>30 EA/SP (306553)</t>
  </si>
  <si>
    <t>All details matches with Lawson, Update Vendor name to 8005069 in IC12.2 Tab, Need to update price to $600.3, Add Contract "NON001VL1999", Lawson No. 591970</t>
  </si>
  <si>
    <t>OK</t>
  </si>
  <si>
    <t>To Upload_MT1 yet to upload</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</si>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</sst>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11"/>
      <color rgb="FF000000"/>
      <name val="Calibri"/>
      <family val="2"/>
      <scheme val="minor"/>
    </font>
    <font>
      <b/>
      <sz val="11"/>
      <name val="Calibri"/>
      <family val="2"/>
      <scheme val="minor"/>
    </font>
    <font>
      <b/>
      <sz val="11"/>
      <color rgb="FFFFFFFF"/>
      <name val="Calibri"/>
      <family val="2"/>
      <scheme val="minor"/>
    </font>
    <font>
      <sz val="11"/>
      <name val="Calibri"/>
      <family val="2"/>
      <scheme val="minor"/>
    </font>
    <font>
      <sz val="11"/>
      <color rgb="FF000000"/>
      <name val="Calibri"/>
      <family val="2"/>
      <scheme val="minor"/>
    </font>
    <font>
      <sz val="10"/>
      <color rgb="FF000000"/>
      <name val="Arial"/>
      <family val="2"/>
    </font>
    <font>
      <sz val="11"/>
      <color theme="1"/>
      <name val="Calibri"/>
      <family val="2"/>
      <scheme val="minor"/>
    </font>
  </fonts>
  <fills count="17">
    <fill>
      <patternFill patternType="none"/>
    </fill>
    <fill>
      <patternFill patternType="gray125"/>
    </fill>
    <fill>
      <patternFill patternType="solid">
        <fgColor rgb="FFC0C0C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99"/>
        <bgColor indexed="64"/>
      </patternFill>
    </fill>
    <fill>
      <patternFill patternType="solid">
        <fgColor rgb="FFFFCC99"/>
        <bgColor indexed="64"/>
      </patternFill>
    </fill>
    <fill>
      <patternFill patternType="solid">
        <fgColor theme="3" tint="0.59999389629810485"/>
        <bgColor indexed="64"/>
      </patternFill>
    </fill>
    <fill>
      <patternFill patternType="solid">
        <fgColor rgb="FFFFFF99"/>
        <bgColor indexed="64"/>
      </patternFill>
    </fill>
    <fill>
      <patternFill patternType="solid">
        <fgColor rgb="FF00CCFF"/>
        <bgColor indexed="64"/>
      </patternFill>
    </fill>
    <fill>
      <patternFill patternType="solid">
        <fgColor rgb="FFCCFFFF"/>
        <bgColor indexed="64"/>
      </patternFill>
    </fill>
    <fill>
      <patternFill patternType="solid">
        <fgColor rgb="FFCCFFFF"/>
        <bgColor indexed="64"/>
      </patternFill>
    </fill>
    <fill>
      <patternFill patternType="solid">
        <fgColor rgb="FFFFFF00"/>
        <bgColor indexed="64"/>
      </patternFill>
    </fill>
    <fill>
      <patternFill patternType="solid">
        <fgColor rgb="FFFF99CC"/>
        <bgColor indexed="64"/>
      </patternFill>
    </fill>
    <fill>
      <patternFill patternType="solid">
        <fgColor rgb="FF800080"/>
        <bgColor indexed="64"/>
      </patternFill>
    </fill>
    <fill>
      <patternFill patternType="solid">
        <fgColor theme="6" tint="0.79995117038483843"/>
        <bgColor indexed="64"/>
      </patternFill>
    </fill>
    <fill>
      <patternFill patternType="solid">
        <fgColor rgb="FFFFFF00"/>
        <bgColor indexed="64"/>
      </patternFill>
    </fill>
  </fills>
  <borders count="5">
    <border>
      <left/>
      <right/>
      <top/>
      <bottom/>
      <diagonal/>
    </border>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8" fillId="0" borderId="0"/>
    <xf numFmtId="0" fontId="9" fillId="0" borderId="1"/>
  </cellStyleXfs>
  <cellXfs count="33">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applyAlignment="1">
      <alignment horizontal="left"/>
    </xf>
    <xf numFmtId="2" fontId="3" fillId="2" borderId="0" xfId="0" applyNumberFormat="1" applyFont="1" applyFill="1" applyBorder="1" applyAlignment="1">
      <alignment horizontal="left"/>
    </xf>
    <xf numFmtId="0" fontId="3" fillId="4" borderId="0" xfId="0" applyFont="1" applyFill="1" applyBorder="1"/>
    <xf numFmtId="0" fontId="3" fillId="5" borderId="0" xfId="0" applyFont="1" applyFill="1" applyBorder="1" applyAlignment="1">
      <alignment horizontal="left"/>
    </xf>
    <xf numFmtId="0" fontId="3" fillId="6" borderId="0" xfId="0" applyFont="1" applyFill="1" applyBorder="1" applyAlignment="1">
      <alignment horizontal="left"/>
    </xf>
    <xf numFmtId="0" fontId="3" fillId="7" borderId="0" xfId="0" applyFont="1" applyFill="1" applyBorder="1" applyAlignment="1">
      <alignment horizontal="left"/>
    </xf>
    <xf numFmtId="0" fontId="3" fillId="8" borderId="2" xfId="0" applyFont="1" applyFill="1" applyBorder="1"/>
    <xf numFmtId="0" fontId="3" fillId="9" borderId="0" xfId="0" applyFont="1" applyFill="1" applyBorder="1"/>
    <xf numFmtId="0" fontId="4" fillId="6" borderId="0" xfId="0" applyFont="1" applyFill="1" applyBorder="1" applyAlignment="1">
      <alignment horizontal="left"/>
    </xf>
    <xf numFmtId="0" fontId="3" fillId="10" borderId="0" xfId="0" applyFont="1" applyFill="1" applyBorder="1" applyAlignment="1">
      <alignment horizontal="left"/>
    </xf>
    <xf numFmtId="0" fontId="3" fillId="10" borderId="0" xfId="0" applyFont="1" applyFill="1" applyBorder="1"/>
    <xf numFmtId="0" fontId="4" fillId="10" borderId="0" xfId="0" applyFont="1" applyFill="1" applyBorder="1" applyAlignment="1">
      <alignment horizontal="left"/>
    </xf>
    <xf numFmtId="0" fontId="3" fillId="11" borderId="3" xfId="0" applyFont="1" applyFill="1" applyBorder="1" applyAlignment="1">
      <alignment horizontal="left"/>
    </xf>
    <xf numFmtId="0" fontId="4" fillId="12" borderId="0" xfId="0" applyFont="1" applyFill="1" applyBorder="1" applyAlignment="1">
      <alignment horizontal="left"/>
    </xf>
    <xf numFmtId="0" fontId="4" fillId="13" borderId="0" xfId="0" applyFont="1" applyFill="1" applyBorder="1" applyAlignment="1">
      <alignment horizontal="left"/>
    </xf>
    <xf numFmtId="0" fontId="3" fillId="11" borderId="0" xfId="0" applyFont="1" applyFill="1" applyBorder="1" applyAlignment="1">
      <alignment horizontal="left" vertical="top"/>
    </xf>
    <xf numFmtId="0" fontId="5" fillId="14" borderId="0" xfId="0" applyFont="1" applyFill="1" applyBorder="1" applyAlignment="1">
      <alignment horizontal="left" vertical="center"/>
    </xf>
    <xf numFmtId="0" fontId="6" fillId="15" borderId="4" xfId="0" applyFont="1" applyFill="1" applyBorder="1" applyAlignment="1">
      <alignment horizontal="left" indent="1"/>
    </xf>
    <xf numFmtId="0" fontId="7" fillId="16" borderId="0" xfId="0" applyFont="1" applyFill="1" applyBorder="1"/>
    <xf numFmtId="0" fontId="6" fillId="15" borderId="3" xfId="0" applyFont="1" applyFill="1" applyBorder="1" applyAlignment="1">
      <alignment horizontal="left" indent="1"/>
    </xf>
    <xf numFmtId="0" fontId="1" fillId="12" borderId="0" xfId="0" applyFont="1" applyFill="1" applyBorder="1"/>
    <xf numFmtId="0" fontId="6" fillId="0" borderId="0" xfId="0" applyFont="1" applyBorder="1" applyAlignment="1">
      <alignment horizontal="left"/>
    </xf>
    <xf numFmtId="0" fontId="6" fillId="0" borderId="0" xfId="0" applyFont="1" applyBorder="1"/>
    <xf numFmtId="0" fontId="7" fillId="0" borderId="0" xfId="6" applyFont="1"/>
    <xf numFmtId="0" fontId="7" fillId="0" borderId="0" xfId="6" applyFont="1" applyAlignment="1">
      <alignment horizontal="left"/>
    </xf>
    <xf numFmtId="0" fontId="1" fillId="0" borderId="0" xfId="0" applyFont="1" applyBorder="1"/>
    <xf numFmtId="0" fontId="6" fillId="0" borderId="0" xfId="0" quotePrefix="1" applyFont="1" applyBorder="1" applyAlignment="1">
      <alignment horizontal="left"/>
    </xf>
    <xf numFmtId="0" fontId="2" fillId="0" borderId="1" xfId="0" quotePrefix="1" applyFont="1"/>
    <xf numFmtId="0" fontId="0" fillId="0" borderId="1" xfId="7" applyFont="1"/>
    <xf numFmtId="0" fontId="9" fillId="0" borderId="1" xfId="0" applyFont="1"/>
  </cellXfs>
  <cellStyles count="8">
    <cellStyle name="Comma" xfId="4"/>
    <cellStyle name="Comma [0]" xfId="5"/>
    <cellStyle name="Currency" xfId="2"/>
    <cellStyle name="Currency [0]" xfId="3"/>
    <cellStyle name="Normal" xfId="0" builtinId="0"/>
    <cellStyle name="Normal 2" xfId="7"/>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F15"/>
  <sheetViews>
    <sheetView tabSelected="1" topLeftCell="DI1" workbookViewId="0">
      <pane xSplit="9090" ySplit="540" topLeftCell="GA1" activePane="bottomRight"/>
      <selection pane="topRight" activeCell="GG1" sqref="GG1:GG1048576"/>
      <selection pane="bottomLeft" activeCell="DO13" sqref="DO13"/>
      <selection pane="bottomRight" activeCell="GC4" sqref="GC4"/>
    </sheetView>
  </sheetViews>
  <sheetFormatPr defaultColWidth="9.140625" defaultRowHeight="12" x14ac:dyDescent="0.2"/>
  <cols>
    <col min="1" max="1" width="13.42578125" style="1" customWidth="1"/>
    <col min="2" max="2" width="9.7109375" style="1" customWidth="1"/>
    <col min="3" max="3" width="30.42578125" style="1" customWidth="1"/>
    <col min="4" max="4" width="13.28515625" style="1" customWidth="1"/>
    <col min="5" max="5" width="16" style="1" customWidth="1"/>
    <col min="6" max="6" width="30.42578125" style="1" customWidth="1"/>
    <col min="7" max="7" width="100.7109375" style="1" customWidth="1"/>
    <col min="8" max="8" width="29.42578125" style="1" customWidth="1"/>
    <col min="9" max="9" width="12.140625" style="1" customWidth="1"/>
    <col min="10" max="10" width="61.28515625" style="1" customWidth="1"/>
    <col min="11" max="11" width="21.140625" style="1" customWidth="1"/>
    <col min="12" max="12" width="9.85546875" style="1" customWidth="1"/>
    <col min="13" max="13" width="14.5703125" style="1" customWidth="1"/>
    <col min="14" max="14" width="13.5703125" style="1" customWidth="1"/>
    <col min="15" max="15" width="11.42578125" style="1" customWidth="1"/>
    <col min="16" max="16" width="20.85546875" style="1" customWidth="1"/>
    <col min="17" max="17" width="20" style="1" customWidth="1"/>
    <col min="18" max="18" width="54.85546875" style="1" customWidth="1"/>
    <col min="19" max="19" width="14" style="1" customWidth="1"/>
    <col min="20" max="20" width="17.140625" style="1" customWidth="1"/>
    <col min="21" max="21" width="20.5703125" style="1" customWidth="1"/>
    <col min="22" max="22" width="10" style="1" customWidth="1"/>
    <col min="23" max="23" width="8.85546875" style="1" customWidth="1"/>
    <col min="24" max="24" width="10" style="1" customWidth="1"/>
    <col min="25" max="25" width="8.85546875" style="1" customWidth="1"/>
    <col min="26" max="26" width="10" style="1" customWidth="1"/>
    <col min="27" max="27" width="8.85546875" style="1" customWidth="1"/>
    <col min="28" max="28" width="10" style="1" customWidth="1"/>
    <col min="29" max="29" width="8.85546875" style="1" customWidth="1"/>
    <col min="30" max="30" width="18.7109375" style="1" customWidth="1"/>
    <col min="31" max="31" width="19.28515625" style="1" customWidth="1"/>
    <col min="32" max="32" width="19.7109375" style="1" customWidth="1"/>
    <col min="33" max="33" width="18.85546875" style="1" customWidth="1"/>
    <col min="34" max="34" width="18.42578125" style="1" customWidth="1"/>
    <col min="35" max="35" width="13.7109375" style="1" customWidth="1"/>
    <col min="36" max="38" width="12.140625" style="1" customWidth="1"/>
    <col min="39" max="39" width="12.85546875" style="1" customWidth="1"/>
    <col min="40" max="40" width="6.5703125" style="1" customWidth="1"/>
    <col min="41" max="41" width="11.28515625" style="1" customWidth="1"/>
    <col min="42" max="42" width="9.140625" style="1" customWidth="1"/>
    <col min="43" max="43" width="100.7109375" style="1" customWidth="1"/>
    <col min="44" max="44" width="30.42578125" style="1" customWidth="1"/>
    <col min="45" max="45" width="16.5703125" style="1" customWidth="1"/>
    <col min="46" max="46" width="18.28515625" style="1" customWidth="1"/>
    <col min="47" max="47" width="12.85546875" style="1" customWidth="1"/>
    <col min="48" max="48" width="7.140625" style="1" customWidth="1"/>
    <col min="49" max="49" width="9.42578125" style="1" customWidth="1"/>
    <col min="50" max="50" width="25.7109375" style="1" customWidth="1"/>
    <col min="51" max="51" width="13.85546875" style="1" customWidth="1"/>
    <col min="52" max="52" width="10.7109375" style="1" customWidth="1"/>
    <col min="53" max="53" width="61.28515625" style="1" customWidth="1"/>
    <col min="54" max="54" width="30.28515625" style="1" customWidth="1"/>
    <col min="55" max="55" width="6.42578125" style="1" customWidth="1"/>
    <col min="56" max="56" width="15.42578125" style="1" customWidth="1"/>
    <col min="57" max="57" width="6.42578125" style="1" customWidth="1"/>
    <col min="58" max="58" width="15.42578125" style="1" customWidth="1"/>
    <col min="59" max="59" width="6.42578125" style="1" customWidth="1"/>
    <col min="60" max="60" width="20" style="1" customWidth="1"/>
    <col min="61" max="61" width="7.28515625" style="1" customWidth="1"/>
    <col min="62" max="62" width="5.7109375" style="1" customWidth="1"/>
    <col min="63" max="63" width="10.85546875" style="1" customWidth="1"/>
    <col min="64" max="64" width="8.5703125" style="1" customWidth="1"/>
    <col min="65" max="65" width="7.42578125" style="1" customWidth="1"/>
    <col min="66" max="66" width="13.85546875" style="1" customWidth="1"/>
    <col min="67" max="67" width="8.140625" style="1" customWidth="1"/>
    <col min="68" max="68" width="7.85546875" style="1" customWidth="1"/>
    <col min="69" max="69" width="14.85546875" style="1" customWidth="1"/>
    <col min="70" max="70" width="7.85546875" style="1" customWidth="1"/>
    <col min="71" max="71" width="6.7109375" style="1" customWidth="1"/>
    <col min="72" max="72" width="6.85546875" style="1" customWidth="1"/>
    <col min="73" max="73" width="7.85546875" style="1" customWidth="1"/>
    <col min="74" max="74" width="6.7109375" style="1" customWidth="1"/>
    <col min="75" max="75" width="6.85546875" style="1" customWidth="1"/>
    <col min="76" max="76" width="7.85546875" style="1" customWidth="1"/>
    <col min="77" max="77" width="6.7109375" style="1" customWidth="1"/>
    <col min="78" max="78" width="6.85546875" style="1" customWidth="1"/>
    <col min="79" max="79" width="7.85546875" style="1" customWidth="1"/>
    <col min="80" max="80" width="6.7109375" style="1" customWidth="1"/>
    <col min="81" max="82" width="6.85546875" style="1" customWidth="1"/>
    <col min="83" max="83" width="12.28515625" style="1" customWidth="1"/>
    <col min="84" max="84" width="13" style="1" customWidth="1"/>
    <col min="85" max="85" width="12" style="1" customWidth="1"/>
    <col min="86" max="86" width="50" style="1" customWidth="1"/>
    <col min="87" max="87" width="15.42578125" style="1" customWidth="1"/>
    <col min="88" max="88" width="14.7109375" style="1" customWidth="1"/>
    <col min="89" max="89" width="12.42578125" style="1" customWidth="1"/>
    <col min="90" max="90" width="18" style="1" customWidth="1"/>
    <col min="91" max="91" width="16.85546875" style="1" customWidth="1"/>
    <col min="92" max="92" width="14.7109375" style="1" customWidth="1"/>
    <col min="93" max="93" width="12.42578125" style="1" customWidth="1"/>
    <col min="94" max="94" width="18" style="1" customWidth="1"/>
    <col min="95" max="95" width="16.85546875" style="1" customWidth="1"/>
    <col min="96" max="96" width="14.7109375" style="1" customWidth="1"/>
    <col min="97" max="97" width="12.42578125" style="1" customWidth="1"/>
    <col min="98" max="98" width="18" style="1" customWidth="1"/>
    <col min="99" max="99" width="16.85546875" style="1" customWidth="1"/>
    <col min="100" max="100" width="14.7109375" style="1" customWidth="1"/>
    <col min="101" max="101" width="12.42578125" style="1" customWidth="1"/>
    <col min="102" max="102" width="18" style="1" customWidth="1"/>
    <col min="103" max="103" width="18.7109375" style="1" customWidth="1"/>
    <col min="104" max="104" width="17.5703125" style="1" customWidth="1"/>
    <col min="105" max="105" width="21.140625" style="1" customWidth="1"/>
    <col min="106" max="106" width="8.5703125" style="1" customWidth="1"/>
    <col min="107" max="107" width="12.28515625" style="1" customWidth="1"/>
    <col min="108" max="108" width="11.5703125" style="1" customWidth="1"/>
    <col min="109" max="109" width="14" style="1" customWidth="1"/>
    <col min="110" max="110" width="17.42578125" style="1" customWidth="1"/>
    <col min="111" max="111" width="17.140625" style="1" customWidth="1"/>
    <col min="112" max="114" width="10.85546875" style="1" customWidth="1"/>
    <col min="115" max="115" width="4.42578125" style="1" customWidth="1"/>
    <col min="116" max="116" width="15.42578125" style="1" customWidth="1"/>
    <col min="117" max="117" width="9.140625" style="1" customWidth="1"/>
    <col min="118" max="118" width="13" style="1" customWidth="1"/>
    <col min="119" max="119" width="11.7109375" style="1" customWidth="1"/>
    <col min="120" max="120" width="18.42578125" style="1" customWidth="1"/>
    <col min="121" max="121" width="20.85546875" style="1" customWidth="1"/>
    <col min="122" max="122" width="25.7109375" style="1" customWidth="1"/>
    <col min="123" max="123" width="10" style="1" customWidth="1"/>
    <col min="124" max="124" width="13.85546875" style="1" customWidth="1"/>
    <col min="125" max="125" width="19" style="1" customWidth="1"/>
    <col min="126" max="126" width="11" style="1" customWidth="1"/>
    <col min="127" max="127" width="16.140625" style="1" customWidth="1"/>
    <col min="128" max="129" width="5.5703125" style="1" customWidth="1"/>
    <col min="130" max="130" width="9.7109375" style="1" customWidth="1"/>
    <col min="131" max="131" width="43.5703125" style="1" customWidth="1"/>
    <col min="132" max="132" width="9.85546875" style="1" customWidth="1"/>
    <col min="133" max="133" width="17.85546875" style="1" customWidth="1"/>
    <col min="134" max="134" width="17.42578125" style="1" customWidth="1"/>
    <col min="135" max="135" width="11.42578125" style="1" customWidth="1"/>
    <col min="136" max="136" width="16.5703125" style="1" customWidth="1"/>
    <col min="137" max="137" width="21.7109375" style="1" customWidth="1"/>
    <col min="138" max="138" width="28.140625" style="1" customWidth="1"/>
    <col min="139" max="139" width="22.7109375" style="1" customWidth="1"/>
    <col min="140" max="140" width="11" style="1" customWidth="1"/>
    <col min="141" max="141" width="16.140625" style="1" customWidth="1"/>
    <col min="142" max="142" width="14" style="1" customWidth="1"/>
    <col min="143" max="143" width="19.140625" style="1" customWidth="1"/>
    <col min="144" max="144" width="11.7109375" style="1" customWidth="1"/>
    <col min="145" max="145" width="11.85546875" style="1" customWidth="1"/>
    <col min="146" max="146" width="9.28515625" style="1" customWidth="1"/>
    <col min="147" max="147" width="9.42578125" style="1" customWidth="1"/>
    <col min="148" max="148" width="10.7109375" style="1" customWidth="1"/>
    <col min="149" max="149" width="6.140625" style="1" customWidth="1"/>
    <col min="150" max="150" width="8.140625" style="1" customWidth="1"/>
    <col min="151" max="151" width="7.140625" style="1" customWidth="1"/>
    <col min="152" max="152" width="7.7109375" style="1" customWidth="1"/>
    <col min="153" max="153" width="6.85546875" style="1" customWidth="1"/>
    <col min="154" max="154" width="9.7109375" style="1" customWidth="1"/>
    <col min="155" max="155" width="10.5703125" style="1" customWidth="1"/>
    <col min="156" max="156" width="13.7109375" style="1" customWidth="1"/>
    <col min="157" max="157" width="9.85546875" style="1" customWidth="1"/>
    <col min="158" max="158" width="10" style="1" customWidth="1"/>
    <col min="159" max="159" width="9.85546875" style="1" customWidth="1"/>
    <col min="160" max="160" width="6.7109375" style="1" customWidth="1"/>
    <col min="161" max="161" width="8" style="1" customWidth="1"/>
    <col min="162" max="162" width="7.42578125" style="1" customWidth="1"/>
    <col min="163" max="163" width="7.85546875" style="1" customWidth="1"/>
    <col min="164" max="164" width="10.42578125" style="1" customWidth="1"/>
    <col min="165" max="166" width="10.85546875" style="1" customWidth="1"/>
    <col min="167" max="167" width="6.85546875" style="1" customWidth="1"/>
    <col min="168" max="168" width="9.42578125" style="1" customWidth="1"/>
    <col min="169" max="169" width="12.140625" style="1" customWidth="1"/>
    <col min="170" max="170" width="8.7109375" style="1" customWidth="1"/>
    <col min="171" max="171" width="12.28515625" style="1" customWidth="1"/>
    <col min="172" max="172" width="11.7109375" style="1" customWidth="1"/>
    <col min="173" max="173" width="6.7109375" style="1" customWidth="1"/>
    <col min="174" max="174" width="7.85546875" style="1" customWidth="1"/>
    <col min="175" max="175" width="7.42578125" style="1" customWidth="1"/>
    <col min="176" max="176" width="12.140625" style="1" customWidth="1"/>
    <col min="177" max="177" width="8.42578125" style="1" customWidth="1"/>
    <col min="178" max="178" width="12.85546875" style="1" customWidth="1"/>
    <col min="179" max="182" width="7.42578125" style="1" customWidth="1"/>
    <col min="183" max="183" width="9.85546875" style="1" customWidth="1"/>
    <col min="184" max="184" width="16" style="1" customWidth="1"/>
    <col min="185" max="185" width="7.5703125" style="1" customWidth="1"/>
    <col min="186" max="186" width="21.28515625" style="1" customWidth="1"/>
    <col min="187" max="187" width="9.28515625" style="1" customWidth="1"/>
    <col min="188" max="188" width="14.7109375" style="1" customWidth="1"/>
    <col min="189" max="16384" width="9.140625" style="1"/>
  </cols>
  <sheetData>
    <row r="1" spans="1:188" ht="12" customHeight="1" x14ac:dyDescent="0.25">
      <c r="A1" s="2" t="s">
        <v>113</v>
      </c>
      <c r="B1" s="2" t="s">
        <v>76</v>
      </c>
      <c r="C1" s="3" t="s">
        <v>209</v>
      </c>
      <c r="D1" s="2" t="s">
        <v>284</v>
      </c>
      <c r="E1" s="2" t="s">
        <v>16</v>
      </c>
      <c r="F1" s="2" t="s">
        <v>21</v>
      </c>
      <c r="G1" s="2" t="s">
        <v>159</v>
      </c>
      <c r="H1" s="2" t="s">
        <v>35</v>
      </c>
      <c r="I1" s="2" t="s">
        <v>151</v>
      </c>
      <c r="J1" s="2" t="s">
        <v>249</v>
      </c>
      <c r="K1" s="2" t="s">
        <v>301</v>
      </c>
      <c r="L1" s="2" t="s">
        <v>98</v>
      </c>
      <c r="M1" s="2" t="s">
        <v>228</v>
      </c>
      <c r="N1" s="2" t="s">
        <v>127</v>
      </c>
      <c r="O1" s="2" t="s">
        <v>173</v>
      </c>
      <c r="P1" s="2" t="s">
        <v>120</v>
      </c>
      <c r="Q1" s="2" t="s">
        <v>193</v>
      </c>
      <c r="R1" s="2" t="s">
        <v>260</v>
      </c>
      <c r="S1" s="4" t="s">
        <v>103</v>
      </c>
      <c r="T1" s="2" t="s">
        <v>180</v>
      </c>
      <c r="U1" s="2" t="s">
        <v>29</v>
      </c>
      <c r="V1" s="2" t="s">
        <v>117</v>
      </c>
      <c r="W1" s="2" t="s">
        <v>18</v>
      </c>
      <c r="X1" s="2" t="s">
        <v>131</v>
      </c>
      <c r="Y1" s="2" t="s">
        <v>7</v>
      </c>
      <c r="Z1" s="2" t="s">
        <v>62</v>
      </c>
      <c r="AA1" s="2" t="s">
        <v>82</v>
      </c>
      <c r="AB1" s="2" t="s">
        <v>208</v>
      </c>
      <c r="AC1" s="2" t="s">
        <v>70</v>
      </c>
      <c r="AD1" s="2" t="s">
        <v>91</v>
      </c>
      <c r="AE1" s="2" t="s">
        <v>140</v>
      </c>
      <c r="AF1" s="2" t="s">
        <v>99</v>
      </c>
      <c r="AG1" s="2" t="s">
        <v>116</v>
      </c>
      <c r="AH1" s="2" t="s">
        <v>272</v>
      </c>
      <c r="AI1" s="2" t="s">
        <v>292</v>
      </c>
      <c r="AJ1" s="2" t="s">
        <v>168</v>
      </c>
      <c r="AK1" s="2" t="s">
        <v>155</v>
      </c>
      <c r="AL1" s="2" t="s">
        <v>234</v>
      </c>
      <c r="AM1" s="5" t="s">
        <v>128</v>
      </c>
      <c r="AN1" s="5" t="s">
        <v>152</v>
      </c>
      <c r="AO1" s="5" t="s">
        <v>53</v>
      </c>
      <c r="AP1" s="6" t="s">
        <v>176</v>
      </c>
      <c r="AQ1" s="6" t="s">
        <v>61</v>
      </c>
      <c r="AR1" s="7" t="s">
        <v>240</v>
      </c>
      <c r="AS1" s="6" t="s">
        <v>3</v>
      </c>
      <c r="AT1" s="6" t="s">
        <v>60</v>
      </c>
      <c r="AU1" s="6" t="s">
        <v>287</v>
      </c>
      <c r="AV1" s="6" t="s">
        <v>126</v>
      </c>
      <c r="AW1" s="6" t="s">
        <v>100</v>
      </c>
      <c r="AX1" s="6" t="s">
        <v>204</v>
      </c>
      <c r="AY1" s="6" t="s">
        <v>142</v>
      </c>
      <c r="AZ1" s="6" t="s">
        <v>199</v>
      </c>
      <c r="BA1" s="6" t="s">
        <v>51</v>
      </c>
      <c r="BB1" s="6" t="s">
        <v>232</v>
      </c>
      <c r="BC1" s="8" t="s">
        <v>148</v>
      </c>
      <c r="BD1" s="6" t="s">
        <v>252</v>
      </c>
      <c r="BE1" s="8" t="s">
        <v>226</v>
      </c>
      <c r="BF1" s="6" t="s">
        <v>253</v>
      </c>
      <c r="BG1" s="8" t="s">
        <v>95</v>
      </c>
      <c r="BH1" s="6" t="s">
        <v>196</v>
      </c>
      <c r="BI1" s="6" t="s">
        <v>5</v>
      </c>
      <c r="BJ1" s="6" t="s">
        <v>223</v>
      </c>
      <c r="BK1" s="6" t="s">
        <v>40</v>
      </c>
      <c r="BL1" s="6" t="s">
        <v>293</v>
      </c>
      <c r="BM1" s="6" t="s">
        <v>145</v>
      </c>
      <c r="BN1" s="6" t="s">
        <v>86</v>
      </c>
      <c r="BO1" s="6" t="s">
        <v>198</v>
      </c>
      <c r="BP1" s="6" t="s">
        <v>227</v>
      </c>
      <c r="BQ1" s="6" t="s">
        <v>190</v>
      </c>
      <c r="BR1" s="6" t="s">
        <v>264</v>
      </c>
      <c r="BS1" s="6" t="s">
        <v>93</v>
      </c>
      <c r="BT1" s="6" t="s">
        <v>225</v>
      </c>
      <c r="BU1" s="6" t="s">
        <v>45</v>
      </c>
      <c r="BV1" s="6" t="s">
        <v>299</v>
      </c>
      <c r="BW1" s="6" t="s">
        <v>94</v>
      </c>
      <c r="BX1" s="6" t="s">
        <v>114</v>
      </c>
      <c r="BY1" s="6" t="s">
        <v>220</v>
      </c>
      <c r="BZ1" s="6" t="s">
        <v>160</v>
      </c>
      <c r="CA1" s="6" t="s">
        <v>276</v>
      </c>
      <c r="CB1" s="6" t="s">
        <v>280</v>
      </c>
      <c r="CC1" s="6" t="s">
        <v>241</v>
      </c>
      <c r="CD1" s="6" t="s">
        <v>248</v>
      </c>
      <c r="CE1" s="6" t="s">
        <v>250</v>
      </c>
      <c r="CF1" s="6" t="s">
        <v>256</v>
      </c>
      <c r="CG1" s="6" t="s">
        <v>46</v>
      </c>
      <c r="CH1" s="6" t="s">
        <v>105</v>
      </c>
      <c r="CI1" s="6" t="s">
        <v>274</v>
      </c>
      <c r="CJ1" s="6" t="s">
        <v>164</v>
      </c>
      <c r="CK1" s="6" t="s">
        <v>66</v>
      </c>
      <c r="CL1" s="6" t="s">
        <v>215</v>
      </c>
      <c r="CM1" s="6" t="s">
        <v>233</v>
      </c>
      <c r="CN1" s="6" t="s">
        <v>270</v>
      </c>
      <c r="CO1" s="6" t="s">
        <v>262</v>
      </c>
      <c r="CP1" s="6" t="s">
        <v>141</v>
      </c>
      <c r="CQ1" s="6" t="s">
        <v>158</v>
      </c>
      <c r="CR1" s="6" t="s">
        <v>271</v>
      </c>
      <c r="CS1" s="6" t="s">
        <v>186</v>
      </c>
      <c r="CT1" s="6" t="s">
        <v>278</v>
      </c>
      <c r="CU1" s="6" t="s">
        <v>235</v>
      </c>
      <c r="CV1" s="6" t="s">
        <v>268</v>
      </c>
      <c r="CW1" s="6" t="s">
        <v>288</v>
      </c>
      <c r="CX1" s="6" t="s">
        <v>202</v>
      </c>
      <c r="CY1" s="6" t="s">
        <v>263</v>
      </c>
      <c r="CZ1" s="6" t="s">
        <v>254</v>
      </c>
      <c r="DA1" s="7" t="s">
        <v>31</v>
      </c>
      <c r="DB1" s="7" t="s">
        <v>83</v>
      </c>
      <c r="DC1" s="7" t="s">
        <v>282</v>
      </c>
      <c r="DD1" s="7" t="s">
        <v>47</v>
      </c>
      <c r="DE1" s="7" t="s">
        <v>205</v>
      </c>
      <c r="DF1" s="7" t="s">
        <v>177</v>
      </c>
      <c r="DG1" s="7" t="s">
        <v>304</v>
      </c>
      <c r="DH1" s="7" t="s">
        <v>101</v>
      </c>
      <c r="DI1" s="7" t="s">
        <v>90</v>
      </c>
      <c r="DJ1" s="7" t="s">
        <v>265</v>
      </c>
      <c r="DK1" s="6" t="s">
        <v>8</v>
      </c>
      <c r="DL1" s="7" t="s">
        <v>163</v>
      </c>
      <c r="DM1" s="7" t="s">
        <v>189</v>
      </c>
      <c r="DN1" s="6" t="s">
        <v>192</v>
      </c>
      <c r="DO1" s="6" t="s">
        <v>266</v>
      </c>
      <c r="DP1" s="9" t="s">
        <v>26</v>
      </c>
      <c r="DQ1" s="9" t="s">
        <v>52</v>
      </c>
      <c r="DR1" s="10" t="s">
        <v>286</v>
      </c>
      <c r="DS1" s="11" t="s">
        <v>157</v>
      </c>
      <c r="DT1" s="12" t="s">
        <v>174</v>
      </c>
      <c r="DU1" s="13" t="s">
        <v>153</v>
      </c>
      <c r="DV1" s="12" t="s">
        <v>122</v>
      </c>
      <c r="DW1" s="13" t="s">
        <v>191</v>
      </c>
      <c r="DX1" s="11" t="s">
        <v>67</v>
      </c>
      <c r="DY1" s="11" t="s">
        <v>109</v>
      </c>
      <c r="DZ1" s="14" t="s">
        <v>96</v>
      </c>
      <c r="EA1" s="14" t="s">
        <v>48</v>
      </c>
      <c r="EB1" s="11" t="s">
        <v>87</v>
      </c>
      <c r="EC1" s="11" t="s">
        <v>38</v>
      </c>
      <c r="ED1" s="15" t="s">
        <v>102</v>
      </c>
      <c r="EE1" s="12" t="s">
        <v>213</v>
      </c>
      <c r="EF1" s="13" t="s">
        <v>42</v>
      </c>
      <c r="EG1" s="16" t="s">
        <v>44</v>
      </c>
      <c r="EH1" s="11" t="s">
        <v>11</v>
      </c>
      <c r="EI1" s="17" t="s">
        <v>73</v>
      </c>
      <c r="EJ1" s="12" t="s">
        <v>277</v>
      </c>
      <c r="EK1" s="13" t="s">
        <v>72</v>
      </c>
      <c r="EL1" s="18" t="s">
        <v>28</v>
      </c>
      <c r="EM1" s="18" t="s">
        <v>36</v>
      </c>
      <c r="EN1" s="19" t="s">
        <v>257</v>
      </c>
      <c r="EO1" s="19" t="s">
        <v>195</v>
      </c>
      <c r="EP1" s="19" t="s">
        <v>136</v>
      </c>
      <c r="EQ1" s="19" t="s">
        <v>34</v>
      </c>
      <c r="ER1" s="19" t="s">
        <v>187</v>
      </c>
      <c r="ES1" s="19" t="s">
        <v>134</v>
      </c>
      <c r="ET1" s="19" t="s">
        <v>162</v>
      </c>
      <c r="EU1" s="19" t="s">
        <v>206</v>
      </c>
      <c r="EV1" s="20" t="s">
        <v>244</v>
      </c>
      <c r="EW1" s="20" t="s">
        <v>121</v>
      </c>
      <c r="EX1" s="20" t="s">
        <v>133</v>
      </c>
      <c r="EY1" s="20" t="s">
        <v>56</v>
      </c>
      <c r="EZ1" s="20" t="s">
        <v>259</v>
      </c>
      <c r="FA1" s="20" t="s">
        <v>178</v>
      </c>
      <c r="FB1" s="20" t="s">
        <v>230</v>
      </c>
      <c r="FC1" s="20" t="s">
        <v>39</v>
      </c>
      <c r="FD1" s="20" t="s">
        <v>144</v>
      </c>
      <c r="FE1" s="20" t="s">
        <v>4</v>
      </c>
      <c r="FF1" s="20" t="s">
        <v>231</v>
      </c>
      <c r="FG1" s="20" t="s">
        <v>281</v>
      </c>
      <c r="FH1" s="20" t="s">
        <v>247</v>
      </c>
      <c r="FI1" s="20" t="s">
        <v>261</v>
      </c>
      <c r="FJ1" s="20" t="s">
        <v>156</v>
      </c>
      <c r="FK1" s="20" t="s">
        <v>210</v>
      </c>
      <c r="FL1" s="20" t="s">
        <v>30</v>
      </c>
      <c r="FM1" s="20" t="s">
        <v>33</v>
      </c>
      <c r="FN1" s="20" t="s">
        <v>97</v>
      </c>
      <c r="FO1" s="20" t="s">
        <v>154</v>
      </c>
      <c r="FP1" s="20" t="s">
        <v>41</v>
      </c>
      <c r="FQ1" s="20" t="s">
        <v>291</v>
      </c>
      <c r="FR1" s="20" t="s">
        <v>2</v>
      </c>
      <c r="FS1" s="20" t="s">
        <v>297</v>
      </c>
      <c r="FT1" s="21" t="s">
        <v>279</v>
      </c>
      <c r="FU1" s="21" t="s">
        <v>184</v>
      </c>
      <c r="FV1" s="21" t="s">
        <v>305</v>
      </c>
      <c r="FW1" s="22" t="s">
        <v>22</v>
      </c>
      <c r="FX1" s="22" t="s">
        <v>23</v>
      </c>
      <c r="FY1" s="22" t="s">
        <v>24</v>
      </c>
      <c r="FZ1" s="22" t="s">
        <v>308</v>
      </c>
      <c r="GA1" s="23" t="s">
        <v>245</v>
      </c>
      <c r="GB1" s="23" t="s">
        <v>123</v>
      </c>
      <c r="GC1" s="23" t="s">
        <v>147</v>
      </c>
      <c r="GD1" s="23" t="s">
        <v>64</v>
      </c>
      <c r="GE1" s="23" t="s">
        <v>9</v>
      </c>
      <c r="GF1" s="23" t="s">
        <v>269</v>
      </c>
    </row>
    <row r="2" spans="1:188" ht="12" customHeight="1" x14ac:dyDescent="0.25">
      <c r="A2" s="24">
        <v>17276</v>
      </c>
      <c r="B2" s="24">
        <v>1305458</v>
      </c>
      <c r="C2" s="25" t="s">
        <v>307</v>
      </c>
      <c r="D2" s="24" t="s">
        <v>203</v>
      </c>
      <c r="E2" s="25" t="s">
        <v>242</v>
      </c>
      <c r="F2" s="25" t="s">
        <v>32</v>
      </c>
      <c r="G2" s="25" t="s">
        <v>267</v>
      </c>
      <c r="H2" s="25" t="s">
        <v>194</v>
      </c>
      <c r="I2" s="25" t="s">
        <v>169</v>
      </c>
      <c r="J2" s="25" t="s">
        <v>27</v>
      </c>
      <c r="K2" s="25"/>
      <c r="L2" s="25" t="s">
        <v>194</v>
      </c>
      <c r="M2" s="25" t="s">
        <v>290</v>
      </c>
      <c r="N2" s="25" t="s">
        <v>57</v>
      </c>
      <c r="O2" s="25" t="s">
        <v>229</v>
      </c>
      <c r="P2" s="25" t="s">
        <v>106</v>
      </c>
      <c r="Q2" s="25" t="s">
        <v>110</v>
      </c>
      <c r="R2" s="25" t="s">
        <v>112</v>
      </c>
      <c r="S2" s="25" t="s">
        <v>303</v>
      </c>
      <c r="T2" s="25" t="s">
        <v>258</v>
      </c>
      <c r="U2" s="25" t="s">
        <v>194</v>
      </c>
      <c r="V2" s="25" t="s">
        <v>50</v>
      </c>
      <c r="W2" s="25" t="s">
        <v>14</v>
      </c>
      <c r="X2" s="25" t="s">
        <v>258</v>
      </c>
      <c r="Y2" s="25" t="s">
        <v>181</v>
      </c>
      <c r="Z2" s="25" t="s">
        <v>194</v>
      </c>
      <c r="AA2" s="25" t="s">
        <v>194</v>
      </c>
      <c r="AB2" s="25"/>
      <c r="AC2" s="25"/>
      <c r="AD2" s="25" t="s">
        <v>218</v>
      </c>
      <c r="AE2" s="25"/>
      <c r="AF2" s="25" t="s">
        <v>194</v>
      </c>
      <c r="AG2" s="25" t="s">
        <v>296</v>
      </c>
      <c r="AH2" s="25" t="s">
        <v>92</v>
      </c>
      <c r="AI2" s="25" t="s">
        <v>194</v>
      </c>
      <c r="AJ2" s="25" t="s">
        <v>194</v>
      </c>
      <c r="AK2" s="25" t="s">
        <v>194</v>
      </c>
      <c r="AL2" s="25" t="s">
        <v>194</v>
      </c>
      <c r="AM2" s="25" t="s">
        <v>194</v>
      </c>
      <c r="AN2" s="25" t="s">
        <v>194</v>
      </c>
      <c r="AO2" s="25" t="s">
        <v>194</v>
      </c>
      <c r="AP2" s="24">
        <v>1305458</v>
      </c>
      <c r="AQ2" s="24" t="s">
        <v>267</v>
      </c>
      <c r="AR2" s="24" t="s">
        <v>307</v>
      </c>
      <c r="AS2" s="24" t="s">
        <v>169</v>
      </c>
      <c r="AT2" s="24" t="s">
        <v>110</v>
      </c>
      <c r="AU2" s="24" t="s">
        <v>112</v>
      </c>
      <c r="AV2" s="26" t="s">
        <v>57</v>
      </c>
      <c r="AW2" s="27" t="s">
        <v>229</v>
      </c>
      <c r="AX2" s="24" t="s">
        <v>290</v>
      </c>
      <c r="AY2" s="24" t="s">
        <v>290</v>
      </c>
      <c r="AZ2" s="24"/>
      <c r="BA2" s="24" t="s">
        <v>27</v>
      </c>
      <c r="BB2" s="24" t="s">
        <v>309</v>
      </c>
      <c r="BC2" s="24">
        <f>LEN(BB2)</f>
        <v>27</v>
      </c>
      <c r="BD2" s="24" t="s">
        <v>310</v>
      </c>
      <c r="BE2" s="24">
        <f t="shared" ref="BE2:BE15" si="0">LEN(BD2)</f>
        <v>15</v>
      </c>
      <c r="BF2" s="29"/>
      <c r="BG2" s="24"/>
      <c r="BH2" s="24" t="s">
        <v>194</v>
      </c>
      <c r="BI2" s="24"/>
      <c r="BJ2" s="24"/>
      <c r="BK2" s="24"/>
      <c r="BL2" s="24"/>
      <c r="BM2" s="24"/>
      <c r="BN2" s="24"/>
      <c r="BO2" s="24" t="s">
        <v>371</v>
      </c>
      <c r="BP2" s="24"/>
      <c r="BQ2" s="24"/>
      <c r="BR2" s="24"/>
      <c r="BS2" s="24"/>
      <c r="BT2" s="24"/>
      <c r="BU2" s="24"/>
      <c r="BV2" s="24"/>
      <c r="BW2" s="24"/>
      <c r="BX2" s="24"/>
      <c r="BY2" s="24"/>
      <c r="BZ2" s="24"/>
      <c r="CA2" s="24"/>
      <c r="CB2" s="24"/>
      <c r="CC2" s="24"/>
      <c r="CD2" s="24" t="s">
        <v>258</v>
      </c>
      <c r="CE2" s="24" t="s">
        <v>303</v>
      </c>
      <c r="CF2" s="24"/>
      <c r="CG2" s="24"/>
      <c r="CH2" s="24"/>
      <c r="CI2" s="24"/>
      <c r="CJ2" s="24"/>
      <c r="CK2" s="24"/>
      <c r="CL2" s="24"/>
      <c r="CM2" s="24"/>
      <c r="CN2" s="24"/>
      <c r="CO2" s="24"/>
      <c r="CP2" s="24"/>
      <c r="CQ2" s="24"/>
      <c r="CR2" s="24"/>
      <c r="CS2" s="24"/>
      <c r="CT2" s="24"/>
      <c r="CU2" s="24"/>
      <c r="CV2" s="24"/>
      <c r="CW2" s="24"/>
      <c r="CX2" s="24"/>
      <c r="CY2" s="24" t="s">
        <v>218</v>
      </c>
      <c r="CZ2" s="24"/>
      <c r="DA2" s="24" t="s">
        <v>81</v>
      </c>
      <c r="DB2" s="24" t="s">
        <v>219</v>
      </c>
      <c r="DC2" s="24" t="s">
        <v>115</v>
      </c>
      <c r="DD2" s="24" t="s">
        <v>81</v>
      </c>
      <c r="DE2" s="24" t="s">
        <v>255</v>
      </c>
      <c r="DF2" s="24" t="s">
        <v>14</v>
      </c>
      <c r="DG2" s="24"/>
      <c r="DH2" s="24" t="s">
        <v>194</v>
      </c>
      <c r="DI2" s="24" t="s">
        <v>194</v>
      </c>
      <c r="DJ2" s="24" t="s">
        <v>194</v>
      </c>
      <c r="DK2" s="24" t="s">
        <v>81</v>
      </c>
      <c r="DL2" s="24" t="s">
        <v>219</v>
      </c>
      <c r="DM2" s="24"/>
      <c r="DN2" s="32" t="s">
        <v>363</v>
      </c>
      <c r="DO2" s="31" t="s">
        <v>351</v>
      </c>
      <c r="DP2" s="25"/>
      <c r="DQ2" s="25"/>
      <c r="DR2" s="25"/>
      <c r="DS2" s="25"/>
      <c r="DT2" s="25" t="s">
        <v>17</v>
      </c>
      <c r="DU2" s="25" t="s">
        <v>175</v>
      </c>
      <c r="DV2" s="25" t="s">
        <v>384</v>
      </c>
      <c r="DW2" s="25" t="s">
        <v>194</v>
      </c>
      <c r="DX2" s="25"/>
      <c r="DY2" s="25"/>
      <c r="DZ2" s="25" t="s">
        <v>143</v>
      </c>
      <c r="EA2" s="25"/>
      <c r="EB2" s="25" t="s">
        <v>214</v>
      </c>
      <c r="EC2" s="25" t="s">
        <v>385</v>
      </c>
      <c r="ED2" s="25"/>
      <c r="EE2" s="25"/>
      <c r="EF2" s="25"/>
      <c r="EG2" s="25"/>
      <c r="EH2" s="25"/>
      <c r="EI2" s="25"/>
      <c r="EJ2" s="25" t="s">
        <v>175</v>
      </c>
      <c r="EK2" s="25" t="s">
        <v>384</v>
      </c>
      <c r="EL2" s="25"/>
      <c r="EM2" s="25"/>
      <c r="EN2"/>
      <c r="EO2"/>
      <c r="EP2"/>
      <c r="EQ2"/>
      <c r="ER2"/>
      <c r="ES2"/>
      <c r="ET2"/>
      <c r="EU2"/>
      <c r="EV2" s="25"/>
      <c r="EW2" s="25"/>
      <c r="EX2" s="25"/>
      <c r="EY2" s="25"/>
      <c r="EZ2" s="25"/>
      <c r="FA2" s="25"/>
      <c r="FB2" s="25"/>
      <c r="FC2" s="25"/>
      <c r="FD2" s="25"/>
      <c r="FE2" s="25"/>
      <c r="FF2" s="25"/>
      <c r="FG2" s="25"/>
      <c r="FH2" s="25"/>
      <c r="FI2" s="25"/>
      <c r="FJ2" s="25"/>
      <c r="FK2" s="25"/>
      <c r="FL2" s="25"/>
      <c r="FM2" s="25"/>
      <c r="FN2" s="25"/>
      <c r="FO2" s="25"/>
      <c r="FP2" s="25"/>
      <c r="FQ2" s="25"/>
      <c r="FR2" s="25"/>
      <c r="FS2" s="25"/>
      <c r="FT2" s="25" t="s">
        <v>194</v>
      </c>
      <c r="FU2" s="25" t="s">
        <v>194</v>
      </c>
      <c r="FV2" s="25" t="s">
        <v>194</v>
      </c>
      <c r="FW2" s="25"/>
      <c r="FX2" s="25"/>
      <c r="FY2" s="25"/>
      <c r="FZ2" s="25"/>
      <c r="GA2" s="28" t="s">
        <v>75</v>
      </c>
      <c r="GB2" s="28" t="s">
        <v>175</v>
      </c>
      <c r="GC2" s="28" t="s">
        <v>386</v>
      </c>
      <c r="GD2" s="28"/>
      <c r="GE2" s="28" t="s">
        <v>175</v>
      </c>
      <c r="GF2" s="28"/>
    </row>
    <row r="3" spans="1:188" ht="12" customHeight="1" x14ac:dyDescent="0.25">
      <c r="A3" s="24">
        <v>17276</v>
      </c>
      <c r="B3" s="24">
        <v>1305465</v>
      </c>
      <c r="C3" s="25" t="s">
        <v>307</v>
      </c>
      <c r="D3" s="24" t="s">
        <v>203</v>
      </c>
      <c r="E3" s="25" t="s">
        <v>242</v>
      </c>
      <c r="F3" s="25" t="s">
        <v>32</v>
      </c>
      <c r="G3" s="25" t="s">
        <v>267</v>
      </c>
      <c r="H3" s="25" t="s">
        <v>194</v>
      </c>
      <c r="I3" s="25" t="s">
        <v>294</v>
      </c>
      <c r="J3" s="25" t="s">
        <v>84</v>
      </c>
      <c r="K3" s="25"/>
      <c r="L3" s="25" t="s">
        <v>194</v>
      </c>
      <c r="M3" s="25" t="s">
        <v>275</v>
      </c>
      <c r="N3" s="25" t="s">
        <v>201</v>
      </c>
      <c r="O3" s="25" t="s">
        <v>194</v>
      </c>
      <c r="P3" s="25" t="s">
        <v>106</v>
      </c>
      <c r="Q3" s="25" t="s">
        <v>110</v>
      </c>
      <c r="R3" s="25" t="s">
        <v>43</v>
      </c>
      <c r="S3" s="25" t="s">
        <v>25</v>
      </c>
      <c r="T3" s="25" t="s">
        <v>258</v>
      </c>
      <c r="U3" s="25" t="s">
        <v>194</v>
      </c>
      <c r="V3" s="25" t="s">
        <v>50</v>
      </c>
      <c r="W3" s="25" t="s">
        <v>14</v>
      </c>
      <c r="X3" s="25" t="s">
        <v>258</v>
      </c>
      <c r="Y3" s="25" t="s">
        <v>182</v>
      </c>
      <c r="Z3" s="25" t="s">
        <v>194</v>
      </c>
      <c r="AA3" s="25" t="s">
        <v>194</v>
      </c>
      <c r="AB3" s="25"/>
      <c r="AC3" s="25"/>
      <c r="AD3" s="25" t="s">
        <v>289</v>
      </c>
      <c r="AE3" s="25"/>
      <c r="AF3" s="25" t="s">
        <v>194</v>
      </c>
      <c r="AG3" s="25" t="s">
        <v>296</v>
      </c>
      <c r="AH3" s="25" t="s">
        <v>92</v>
      </c>
      <c r="AI3" s="25" t="s">
        <v>194</v>
      </c>
      <c r="AJ3" s="25" t="s">
        <v>194</v>
      </c>
      <c r="AK3" s="25" t="s">
        <v>194</v>
      </c>
      <c r="AL3" s="25" t="s">
        <v>194</v>
      </c>
      <c r="AM3" s="25" t="s">
        <v>194</v>
      </c>
      <c r="AN3" s="25" t="s">
        <v>194</v>
      </c>
      <c r="AO3" s="25" t="s">
        <v>194</v>
      </c>
      <c r="AP3" s="24">
        <v>1305465</v>
      </c>
      <c r="AQ3" s="24" t="s">
        <v>267</v>
      </c>
      <c r="AR3" s="24" t="s">
        <v>307</v>
      </c>
      <c r="AS3" s="24" t="s">
        <v>294</v>
      </c>
      <c r="AT3" s="24" t="s">
        <v>110</v>
      </c>
      <c r="AU3" s="24" t="s">
        <v>43</v>
      </c>
      <c r="AV3" s="26" t="s">
        <v>201</v>
      </c>
      <c r="AW3" s="27"/>
      <c r="AX3" s="24" t="s">
        <v>275</v>
      </c>
      <c r="AY3" s="24" t="s">
        <v>275</v>
      </c>
      <c r="AZ3" s="24"/>
      <c r="BA3" s="24" t="s">
        <v>84</v>
      </c>
      <c r="BB3" s="24" t="s">
        <v>315</v>
      </c>
      <c r="BC3" s="24">
        <f t="shared" ref="BC3:BC15" si="1">LEN(BB3)</f>
        <v>20</v>
      </c>
      <c r="BD3" s="24" t="s">
        <v>316</v>
      </c>
      <c r="BE3" s="24">
        <f t="shared" si="0"/>
        <v>26</v>
      </c>
      <c r="BF3" s="29"/>
      <c r="BG3" s="24"/>
      <c r="BH3" s="24" t="s">
        <v>194</v>
      </c>
      <c r="BI3" s="24"/>
      <c r="BJ3" s="24"/>
      <c r="BK3" s="24"/>
      <c r="BL3" s="24"/>
      <c r="BM3" s="24"/>
      <c r="BN3" s="24"/>
      <c r="BO3" s="24" t="s">
        <v>372</v>
      </c>
      <c r="BP3" s="24"/>
      <c r="BQ3" s="24"/>
      <c r="BR3" s="24"/>
      <c r="BS3" s="24"/>
      <c r="BT3" s="24"/>
      <c r="BU3" s="24"/>
      <c r="BV3" s="24"/>
      <c r="BW3" s="24"/>
      <c r="BX3" s="24"/>
      <c r="BY3" s="24"/>
      <c r="BZ3" s="24"/>
      <c r="CA3" s="24"/>
      <c r="CB3" s="24"/>
      <c r="CC3" s="24"/>
      <c r="CD3" s="24" t="s">
        <v>258</v>
      </c>
      <c r="CE3" s="24" t="s">
        <v>25</v>
      </c>
      <c r="CF3" s="24"/>
      <c r="CG3" s="24"/>
      <c r="CH3" s="24"/>
      <c r="CI3" s="24"/>
      <c r="CJ3" s="24"/>
      <c r="CK3" s="24"/>
      <c r="CL3" s="24"/>
      <c r="CM3" s="24"/>
      <c r="CN3" s="24"/>
      <c r="CO3" s="24"/>
      <c r="CP3" s="24"/>
      <c r="CQ3" s="24"/>
      <c r="CR3" s="24"/>
      <c r="CS3" s="24"/>
      <c r="CT3" s="24"/>
      <c r="CU3" s="24"/>
      <c r="CV3" s="24"/>
      <c r="CW3" s="24"/>
      <c r="CX3" s="24"/>
      <c r="CY3" s="24" t="s">
        <v>289</v>
      </c>
      <c r="CZ3" s="24"/>
      <c r="DA3" s="24" t="s">
        <v>81</v>
      </c>
      <c r="DB3" s="24" t="s">
        <v>219</v>
      </c>
      <c r="DC3" s="24" t="s">
        <v>115</v>
      </c>
      <c r="DD3" s="24" t="s">
        <v>81</v>
      </c>
      <c r="DE3" s="24" t="s">
        <v>255</v>
      </c>
      <c r="DF3" s="24" t="s">
        <v>14</v>
      </c>
      <c r="DG3" s="24"/>
      <c r="DH3" s="24" t="s">
        <v>194</v>
      </c>
      <c r="DI3" s="24" t="s">
        <v>194</v>
      </c>
      <c r="DJ3" s="24" t="s">
        <v>194</v>
      </c>
      <c r="DK3" s="24" t="s">
        <v>81</v>
      </c>
      <c r="DL3" s="24" t="s">
        <v>219</v>
      </c>
      <c r="DM3" s="24"/>
      <c r="DN3" s="32" t="s">
        <v>363</v>
      </c>
      <c r="DO3" s="31" t="s">
        <v>352</v>
      </c>
      <c r="DP3" s="25"/>
      <c r="DQ3" s="25"/>
      <c r="DR3" s="25"/>
      <c r="DS3" s="25"/>
      <c r="DT3" s="25" t="s">
        <v>17</v>
      </c>
      <c r="DU3" s="25" t="s">
        <v>175</v>
      </c>
      <c r="DV3" s="25" t="s">
        <v>384</v>
      </c>
      <c r="DW3" s="25" t="s">
        <v>194</v>
      </c>
      <c r="DX3" s="25"/>
      <c r="DY3" s="25"/>
      <c r="DZ3" s="25" t="s">
        <v>143</v>
      </c>
      <c r="EA3" s="25" t="s">
        <v>194</v>
      </c>
      <c r="EB3" s="25" t="s">
        <v>214</v>
      </c>
      <c r="EC3" s="25" t="s">
        <v>385</v>
      </c>
      <c r="ED3" s="25"/>
      <c r="EE3" s="25"/>
      <c r="EF3" s="25"/>
      <c r="EG3" s="25"/>
      <c r="EH3" s="25"/>
      <c r="EI3" s="25"/>
      <c r="EJ3" s="25" t="s">
        <v>175</v>
      </c>
      <c r="EK3" s="25" t="s">
        <v>384</v>
      </c>
      <c r="EL3" s="25"/>
      <c r="EM3" s="25"/>
      <c r="EN3"/>
      <c r="EO3"/>
      <c r="EP3"/>
      <c r="EQ3"/>
      <c r="ER3"/>
      <c r="ES3"/>
      <c r="ET3"/>
      <c r="EU3"/>
      <c r="EV3" s="25"/>
      <c r="EW3" s="25"/>
      <c r="EX3" s="25"/>
      <c r="EY3" s="25"/>
      <c r="EZ3" s="25"/>
      <c r="FA3" s="25"/>
      <c r="FB3" s="25"/>
      <c r="FC3" s="25"/>
      <c r="FD3" s="25"/>
      <c r="FE3" s="25"/>
      <c r="FF3" s="25"/>
      <c r="FG3" s="25"/>
      <c r="FH3" s="25"/>
      <c r="FI3" s="25"/>
      <c r="FJ3" s="25"/>
      <c r="FK3" s="25"/>
      <c r="FL3" s="25"/>
      <c r="FM3" s="25"/>
      <c r="FN3" s="25"/>
      <c r="FO3" s="25"/>
      <c r="FP3" s="25"/>
      <c r="FQ3" s="25"/>
      <c r="FR3" s="25"/>
      <c r="FS3" s="25"/>
      <c r="FT3" s="25" t="s">
        <v>194</v>
      </c>
      <c r="FU3" s="25" t="s">
        <v>194</v>
      </c>
      <c r="FV3" s="25" t="s">
        <v>194</v>
      </c>
      <c r="FW3" s="25"/>
      <c r="FX3" s="25"/>
      <c r="FY3" s="25"/>
      <c r="FZ3" s="25"/>
      <c r="GA3" s="28" t="s">
        <v>75</v>
      </c>
      <c r="GB3" s="28" t="s">
        <v>175</v>
      </c>
      <c r="GC3" s="28" t="s">
        <v>386</v>
      </c>
      <c r="GD3" s="28"/>
      <c r="GE3" s="28" t="s">
        <v>175</v>
      </c>
      <c r="GF3" s="28"/>
    </row>
    <row r="4" spans="1:188" ht="12" customHeight="1" x14ac:dyDescent="0.25">
      <c r="A4" s="24">
        <v>17276</v>
      </c>
      <c r="B4" s="24">
        <v>1305468</v>
      </c>
      <c r="C4" s="25" t="s">
        <v>307</v>
      </c>
      <c r="D4" s="24" t="s">
        <v>203</v>
      </c>
      <c r="E4" s="25" t="s">
        <v>242</v>
      </c>
      <c r="F4" s="25" t="s">
        <v>32</v>
      </c>
      <c r="G4" s="25" t="s">
        <v>267</v>
      </c>
      <c r="H4" s="25" t="s">
        <v>194</v>
      </c>
      <c r="I4" s="25" t="s">
        <v>13</v>
      </c>
      <c r="J4" s="25" t="s">
        <v>217</v>
      </c>
      <c r="K4" s="25"/>
      <c r="L4" s="25" t="s">
        <v>194</v>
      </c>
      <c r="M4" s="25" t="s">
        <v>132</v>
      </c>
      <c r="N4" s="25" t="s">
        <v>243</v>
      </c>
      <c r="O4" s="25" t="s">
        <v>194</v>
      </c>
      <c r="P4" s="25" t="s">
        <v>106</v>
      </c>
      <c r="Q4" s="25" t="s">
        <v>110</v>
      </c>
      <c r="R4" s="25" t="s">
        <v>132</v>
      </c>
      <c r="S4" s="25" t="s">
        <v>200</v>
      </c>
      <c r="T4" s="25" t="s">
        <v>50</v>
      </c>
      <c r="U4" s="25" t="s">
        <v>194</v>
      </c>
      <c r="V4" s="25" t="s">
        <v>50</v>
      </c>
      <c r="W4" s="25" t="s">
        <v>14</v>
      </c>
      <c r="X4" s="25" t="s">
        <v>194</v>
      </c>
      <c r="Y4" s="25" t="s">
        <v>194</v>
      </c>
      <c r="Z4" s="25" t="s">
        <v>194</v>
      </c>
      <c r="AA4" s="25" t="s">
        <v>194</v>
      </c>
      <c r="AB4" s="25"/>
      <c r="AC4" s="25"/>
      <c r="AD4" s="25" t="s">
        <v>221</v>
      </c>
      <c r="AE4" s="25"/>
      <c r="AF4" s="25" t="s">
        <v>194</v>
      </c>
      <c r="AG4" s="25" t="s">
        <v>296</v>
      </c>
      <c r="AH4" s="25" t="s">
        <v>92</v>
      </c>
      <c r="AI4" s="25" t="s">
        <v>194</v>
      </c>
      <c r="AJ4" s="25" t="s">
        <v>194</v>
      </c>
      <c r="AK4" s="25" t="s">
        <v>194</v>
      </c>
      <c r="AL4" s="25" t="s">
        <v>194</v>
      </c>
      <c r="AM4" s="25" t="s">
        <v>194</v>
      </c>
      <c r="AN4" s="25" t="s">
        <v>194</v>
      </c>
      <c r="AO4" s="25" t="s">
        <v>194</v>
      </c>
      <c r="AP4" s="24">
        <v>1305468</v>
      </c>
      <c r="AQ4" s="24" t="s">
        <v>267</v>
      </c>
      <c r="AR4" s="24" t="s">
        <v>307</v>
      </c>
      <c r="AS4" s="24" t="s">
        <v>13</v>
      </c>
      <c r="AT4" s="24" t="s">
        <v>110</v>
      </c>
      <c r="AU4" s="24" t="s">
        <v>132</v>
      </c>
      <c r="AV4" s="26" t="s">
        <v>243</v>
      </c>
      <c r="AW4" s="27"/>
      <c r="AX4" s="24" t="s">
        <v>132</v>
      </c>
      <c r="AY4" s="24" t="s">
        <v>132</v>
      </c>
      <c r="AZ4" s="24"/>
      <c r="BA4" s="24" t="s">
        <v>217</v>
      </c>
      <c r="BB4" s="24" t="s">
        <v>318</v>
      </c>
      <c r="BC4" s="24">
        <f t="shared" si="1"/>
        <v>25</v>
      </c>
      <c r="BD4" s="24" t="s">
        <v>319</v>
      </c>
      <c r="BE4" s="24">
        <f t="shared" si="0"/>
        <v>19</v>
      </c>
      <c r="BF4" s="29"/>
      <c r="BG4" s="24"/>
      <c r="BH4" s="24" t="s">
        <v>194</v>
      </c>
      <c r="BI4" s="24"/>
      <c r="BJ4" s="24"/>
      <c r="BK4" s="24"/>
      <c r="BL4" s="24"/>
      <c r="BM4" s="24"/>
      <c r="BN4" s="24"/>
      <c r="BO4" s="24" t="s">
        <v>373</v>
      </c>
      <c r="BP4" s="24"/>
      <c r="BQ4" s="24"/>
      <c r="BR4" s="24"/>
      <c r="BS4" s="24"/>
      <c r="BT4" s="24"/>
      <c r="BU4" s="24"/>
      <c r="BV4" s="24"/>
      <c r="BW4" s="24"/>
      <c r="BX4" s="24"/>
      <c r="BY4" s="24"/>
      <c r="BZ4" s="24"/>
      <c r="CA4" s="24"/>
      <c r="CB4" s="24"/>
      <c r="CC4" s="24"/>
      <c r="CD4" s="24" t="s">
        <v>50</v>
      </c>
      <c r="CE4" s="24" t="s">
        <v>200</v>
      </c>
      <c r="CF4" s="24"/>
      <c r="CG4" s="24"/>
      <c r="CH4" s="24"/>
      <c r="CI4" s="24"/>
      <c r="CJ4" s="24"/>
      <c r="CK4" s="24"/>
      <c r="CL4" s="24"/>
      <c r="CM4" s="24"/>
      <c r="CN4" s="24"/>
      <c r="CO4" s="24"/>
      <c r="CP4" s="24"/>
      <c r="CQ4" s="24"/>
      <c r="CR4" s="24"/>
      <c r="CS4" s="24"/>
      <c r="CT4" s="24"/>
      <c r="CU4" s="24"/>
      <c r="CV4" s="24"/>
      <c r="CW4" s="24"/>
      <c r="CX4" s="24"/>
      <c r="CY4" s="24" t="s">
        <v>221</v>
      </c>
      <c r="CZ4" s="24"/>
      <c r="DA4" s="24" t="s">
        <v>81</v>
      </c>
      <c r="DB4" s="24" t="s">
        <v>219</v>
      </c>
      <c r="DC4" s="24" t="s">
        <v>115</v>
      </c>
      <c r="DD4" s="24" t="s">
        <v>81</v>
      </c>
      <c r="DE4" s="24" t="s">
        <v>255</v>
      </c>
      <c r="DF4" s="24" t="s">
        <v>14</v>
      </c>
      <c r="DG4" s="24"/>
      <c r="DH4" s="24" t="s">
        <v>194</v>
      </c>
      <c r="DI4" s="24" t="s">
        <v>194</v>
      </c>
      <c r="DJ4" s="24" t="s">
        <v>194</v>
      </c>
      <c r="DK4" s="24" t="s">
        <v>81</v>
      </c>
      <c r="DL4" s="24" t="s">
        <v>219</v>
      </c>
      <c r="DM4" s="24"/>
      <c r="DN4" s="32" t="s">
        <v>363</v>
      </c>
      <c r="DO4" s="31" t="s">
        <v>355</v>
      </c>
      <c r="DP4" s="25"/>
      <c r="DQ4" s="25"/>
      <c r="DR4" s="25"/>
      <c r="DS4" s="25"/>
      <c r="DT4" s="25" t="s">
        <v>17</v>
      </c>
      <c r="DU4" s="25" t="s">
        <v>175</v>
      </c>
      <c r="DV4" s="25" t="s">
        <v>384</v>
      </c>
      <c r="DW4" s="25" t="s">
        <v>194</v>
      </c>
      <c r="DX4" s="25"/>
      <c r="DY4" s="25"/>
      <c r="DZ4" s="25" t="s">
        <v>143</v>
      </c>
      <c r="EA4" s="25" t="s">
        <v>194</v>
      </c>
      <c r="EB4" s="25" t="s">
        <v>214</v>
      </c>
      <c r="EC4" s="25" t="s">
        <v>385</v>
      </c>
      <c r="ED4" s="25"/>
      <c r="EE4" s="25"/>
      <c r="EF4" s="25"/>
      <c r="EG4" s="25"/>
      <c r="EH4" s="25"/>
      <c r="EI4" s="25"/>
      <c r="EJ4" s="25" t="s">
        <v>175</v>
      </c>
      <c r="EK4" s="25" t="s">
        <v>384</v>
      </c>
      <c r="EL4" s="25"/>
      <c r="EM4" s="25"/>
      <c r="EN4"/>
      <c r="EO4"/>
      <c r="EP4"/>
      <c r="EQ4"/>
      <c r="ER4"/>
      <c r="ES4"/>
      <c r="ET4"/>
      <c r="EU4"/>
      <c r="EV4" s="25"/>
      <c r="EW4" s="25"/>
      <c r="EX4" s="25"/>
      <c r="EY4" s="25"/>
      <c r="EZ4" s="25"/>
      <c r="FA4" s="25"/>
      <c r="FB4" s="25"/>
      <c r="FC4" s="25"/>
      <c r="FD4" s="25"/>
      <c r="FE4" s="25"/>
      <c r="FF4" s="25"/>
      <c r="FG4" s="25"/>
      <c r="FH4" s="25"/>
      <c r="FI4" s="25"/>
      <c r="FJ4" s="25"/>
      <c r="FK4" s="25"/>
      <c r="FL4" s="25"/>
      <c r="FM4" s="25"/>
      <c r="FN4" s="25"/>
      <c r="FO4" s="25"/>
      <c r="FP4" s="25"/>
      <c r="FQ4" s="25"/>
      <c r="FR4" s="25"/>
      <c r="FS4" s="25"/>
      <c r="FT4" s="25" t="s">
        <v>194</v>
      </c>
      <c r="FU4" s="25" t="s">
        <v>194</v>
      </c>
      <c r="FV4" s="25" t="s">
        <v>194</v>
      </c>
      <c r="FW4" s="25"/>
      <c r="FX4" s="25"/>
      <c r="FY4" s="25"/>
      <c r="FZ4" s="25"/>
      <c r="GA4" s="28" t="s">
        <v>75</v>
      </c>
      <c r="GB4" s="28" t="s">
        <v>175</v>
      </c>
      <c r="GC4" s="28" t="s">
        <v>386</v>
      </c>
      <c r="GD4" s="28"/>
      <c r="GE4" s="28" t="s">
        <v>175</v>
      </c>
      <c r="GF4" s="28"/>
    </row>
    <row r="5" spans="1:188" ht="12" customHeight="1" x14ac:dyDescent="0.25">
      <c r="A5" s="24">
        <v>17276</v>
      </c>
      <c r="B5" s="24">
        <v>1305472</v>
      </c>
      <c r="C5" s="25" t="s">
        <v>307</v>
      </c>
      <c r="D5" s="24" t="s">
        <v>203</v>
      </c>
      <c r="E5" s="25" t="s">
        <v>242</v>
      </c>
      <c r="F5" s="25" t="s">
        <v>32</v>
      </c>
      <c r="G5" s="25" t="s">
        <v>267</v>
      </c>
      <c r="H5" s="25" t="s">
        <v>194</v>
      </c>
      <c r="I5" s="25" t="s">
        <v>15</v>
      </c>
      <c r="J5" s="25" t="s">
        <v>10</v>
      </c>
      <c r="K5" s="25"/>
      <c r="L5" s="25" t="s">
        <v>194</v>
      </c>
      <c r="M5" s="25" t="s">
        <v>149</v>
      </c>
      <c r="N5" s="25" t="s">
        <v>201</v>
      </c>
      <c r="O5" s="25" t="s">
        <v>194</v>
      </c>
      <c r="P5" s="25" t="s">
        <v>106</v>
      </c>
      <c r="Q5" s="25" t="s">
        <v>110</v>
      </c>
      <c r="R5" s="25" t="s">
        <v>104</v>
      </c>
      <c r="S5" s="25" t="s">
        <v>150</v>
      </c>
      <c r="T5" s="25" t="s">
        <v>85</v>
      </c>
      <c r="U5" s="25"/>
      <c r="V5" s="25" t="s">
        <v>50</v>
      </c>
      <c r="W5" s="25" t="s">
        <v>14</v>
      </c>
      <c r="X5" s="25" t="s">
        <v>85</v>
      </c>
      <c r="Y5" s="25" t="s">
        <v>182</v>
      </c>
      <c r="Z5" s="25" t="s">
        <v>194</v>
      </c>
      <c r="AA5" s="25" t="s">
        <v>194</v>
      </c>
      <c r="AB5" s="25"/>
      <c r="AC5" s="25"/>
      <c r="AD5" s="25" t="s">
        <v>289</v>
      </c>
      <c r="AE5" s="25"/>
      <c r="AF5" s="25" t="s">
        <v>194</v>
      </c>
      <c r="AG5" s="25" t="s">
        <v>296</v>
      </c>
      <c r="AH5" s="25" t="s">
        <v>92</v>
      </c>
      <c r="AI5" s="25" t="s">
        <v>194</v>
      </c>
      <c r="AJ5" s="25" t="s">
        <v>194</v>
      </c>
      <c r="AK5" s="25" t="s">
        <v>194</v>
      </c>
      <c r="AL5" s="25" t="s">
        <v>194</v>
      </c>
      <c r="AM5" s="25" t="s">
        <v>194</v>
      </c>
      <c r="AN5" s="25" t="s">
        <v>194</v>
      </c>
      <c r="AO5" s="25" t="s">
        <v>194</v>
      </c>
      <c r="AP5" s="24">
        <v>1305472</v>
      </c>
      <c r="AQ5" s="24" t="s">
        <v>267</v>
      </c>
      <c r="AR5" s="24" t="s">
        <v>307</v>
      </c>
      <c r="AS5" s="24" t="s">
        <v>15</v>
      </c>
      <c r="AT5" s="24" t="s">
        <v>110</v>
      </c>
      <c r="AU5" s="24" t="s">
        <v>104</v>
      </c>
      <c r="AV5" s="26" t="s">
        <v>201</v>
      </c>
      <c r="AW5" s="27"/>
      <c r="AX5" s="24" t="s">
        <v>149</v>
      </c>
      <c r="AY5" s="24" t="s">
        <v>149</v>
      </c>
      <c r="AZ5" s="24"/>
      <c r="BA5" s="24" t="s">
        <v>10</v>
      </c>
      <c r="BB5" s="24" t="s">
        <v>320</v>
      </c>
      <c r="BC5" s="24">
        <f t="shared" si="1"/>
        <v>27</v>
      </c>
      <c r="BD5" s="24" t="s">
        <v>382</v>
      </c>
      <c r="BE5" s="24">
        <f t="shared" si="0"/>
        <v>17</v>
      </c>
      <c r="BF5" s="29"/>
      <c r="BG5" s="24"/>
      <c r="BH5" s="24" t="s">
        <v>194</v>
      </c>
      <c r="BI5" s="24" t="s">
        <v>81</v>
      </c>
      <c r="BJ5" s="24"/>
      <c r="BK5" s="24" t="s">
        <v>311</v>
      </c>
      <c r="BL5" s="24" t="s">
        <v>321</v>
      </c>
      <c r="BM5" s="24" t="s">
        <v>322</v>
      </c>
      <c r="BN5" s="24" t="s">
        <v>312</v>
      </c>
      <c r="BO5" s="24" t="s">
        <v>372</v>
      </c>
      <c r="BP5" s="24"/>
      <c r="BQ5" s="24" t="s">
        <v>347</v>
      </c>
      <c r="BR5" s="24" t="s">
        <v>50</v>
      </c>
      <c r="BS5" s="24">
        <v>1</v>
      </c>
      <c r="BT5" s="24" t="s">
        <v>314</v>
      </c>
      <c r="BU5" s="24" t="s">
        <v>85</v>
      </c>
      <c r="BV5" s="24">
        <v>30</v>
      </c>
      <c r="BW5" s="24">
        <v>1</v>
      </c>
      <c r="BX5" s="24" t="s">
        <v>258</v>
      </c>
      <c r="BY5" s="24">
        <v>30</v>
      </c>
      <c r="BZ5" s="24"/>
      <c r="CA5" s="24" t="s">
        <v>224</v>
      </c>
      <c r="CB5" s="24">
        <v>240</v>
      </c>
      <c r="CC5" s="24">
        <v>2</v>
      </c>
      <c r="CD5" s="24" t="s">
        <v>85</v>
      </c>
      <c r="CE5" s="24" t="s">
        <v>150</v>
      </c>
      <c r="CF5" s="24" t="s">
        <v>50</v>
      </c>
      <c r="CG5" s="24">
        <v>30</v>
      </c>
      <c r="CH5" s="24"/>
      <c r="CI5" s="24" t="s">
        <v>179</v>
      </c>
      <c r="CJ5" s="24">
        <v>1</v>
      </c>
      <c r="CK5" s="24">
        <v>1</v>
      </c>
      <c r="CL5" s="24">
        <v>1</v>
      </c>
      <c r="CM5" s="24"/>
      <c r="CN5" s="24">
        <v>2</v>
      </c>
      <c r="CO5" s="24"/>
      <c r="CP5" s="24"/>
      <c r="CQ5" s="24"/>
      <c r="CR5" s="24">
        <v>2</v>
      </c>
      <c r="CS5" s="24"/>
      <c r="CT5" s="24"/>
      <c r="CU5" s="24"/>
      <c r="CV5" s="24">
        <v>2</v>
      </c>
      <c r="CW5" s="24"/>
      <c r="CX5" s="24"/>
      <c r="CY5" s="24" t="s">
        <v>289</v>
      </c>
      <c r="CZ5" s="24"/>
      <c r="DA5" s="24" t="s">
        <v>81</v>
      </c>
      <c r="DB5" s="24" t="s">
        <v>219</v>
      </c>
      <c r="DC5" s="24" t="s">
        <v>115</v>
      </c>
      <c r="DD5" s="24" t="s">
        <v>81</v>
      </c>
      <c r="DE5" s="24" t="s">
        <v>255</v>
      </c>
      <c r="DF5" s="24" t="s">
        <v>14</v>
      </c>
      <c r="DG5" s="24"/>
      <c r="DH5" s="24" t="s">
        <v>194</v>
      </c>
      <c r="DI5" s="24" t="s">
        <v>194</v>
      </c>
      <c r="DJ5" s="24" t="s">
        <v>194</v>
      </c>
      <c r="DK5" s="24" t="s">
        <v>81</v>
      </c>
      <c r="DL5" s="24" t="s">
        <v>219</v>
      </c>
      <c r="DM5" s="24"/>
      <c r="DN5" s="32" t="s">
        <v>362</v>
      </c>
      <c r="DO5" s="31" t="s">
        <v>358</v>
      </c>
      <c r="DP5" s="25" t="s">
        <v>255</v>
      </c>
      <c r="DQ5" s="25"/>
      <c r="DR5" s="25"/>
      <c r="DS5" s="25"/>
      <c r="DT5" s="25" t="s">
        <v>17</v>
      </c>
      <c r="DU5" s="25" t="s">
        <v>175</v>
      </c>
      <c r="DV5" s="25" t="s">
        <v>384</v>
      </c>
      <c r="DW5" s="25" t="s">
        <v>194</v>
      </c>
      <c r="DX5" s="25"/>
      <c r="DY5" s="25"/>
      <c r="DZ5" s="25" t="s">
        <v>143</v>
      </c>
      <c r="EA5" s="25" t="s">
        <v>194</v>
      </c>
      <c r="EB5" s="25" t="s">
        <v>214</v>
      </c>
      <c r="EC5" s="25" t="s">
        <v>385</v>
      </c>
      <c r="ED5" s="25"/>
      <c r="EE5" s="25"/>
      <c r="EF5" s="25"/>
      <c r="EG5" s="25"/>
      <c r="EH5" s="25"/>
      <c r="EI5" s="25"/>
      <c r="EJ5" s="25" t="s">
        <v>175</v>
      </c>
      <c r="EK5" s="25" t="s">
        <v>384</v>
      </c>
      <c r="EL5" s="25"/>
      <c r="EM5" s="25"/>
      <c r="EN5"/>
      <c r="EO5"/>
      <c r="EP5"/>
      <c r="EQ5"/>
      <c r="ER5"/>
      <c r="ES5"/>
      <c r="ET5"/>
      <c r="EU5"/>
      <c r="EV5" s="25"/>
      <c r="EW5" s="25"/>
      <c r="EX5" s="25"/>
      <c r="EY5" s="25"/>
      <c r="EZ5" s="25"/>
      <c r="FA5" s="25"/>
      <c r="FB5" s="25"/>
      <c r="FC5" s="25"/>
      <c r="FD5" s="25"/>
      <c r="FE5" s="25"/>
      <c r="FF5" s="25"/>
      <c r="FG5" s="25"/>
      <c r="FH5" s="25"/>
      <c r="FI5" s="25"/>
      <c r="FJ5" s="25"/>
      <c r="FK5" s="25"/>
      <c r="FL5" s="25"/>
      <c r="FM5" s="25"/>
      <c r="FN5" s="25"/>
      <c r="FO5" s="25"/>
      <c r="FP5" s="25"/>
      <c r="FQ5" s="25"/>
      <c r="FR5" s="25"/>
      <c r="FS5" s="25"/>
      <c r="FT5" s="25" t="s">
        <v>194</v>
      </c>
      <c r="FU5" s="25" t="s">
        <v>194</v>
      </c>
      <c r="FV5" s="25" t="s">
        <v>194</v>
      </c>
      <c r="FW5" s="25"/>
      <c r="FX5" s="25"/>
      <c r="FY5" s="25"/>
      <c r="FZ5" s="25"/>
      <c r="GA5" s="28" t="s">
        <v>75</v>
      </c>
      <c r="GB5" s="28" t="s">
        <v>175</v>
      </c>
      <c r="GC5" s="28" t="s">
        <v>386</v>
      </c>
      <c r="GD5" s="28"/>
      <c r="GE5" s="28" t="s">
        <v>175</v>
      </c>
      <c r="GF5" s="28"/>
    </row>
    <row r="6" spans="1:188" ht="12" customHeight="1" x14ac:dyDescent="0.25">
      <c r="A6" s="24">
        <v>17276</v>
      </c>
      <c r="B6" s="24">
        <v>1305474</v>
      </c>
      <c r="C6" s="25" t="s">
        <v>307</v>
      </c>
      <c r="D6" s="24" t="s">
        <v>203</v>
      </c>
      <c r="E6" s="25" t="s">
        <v>242</v>
      </c>
      <c r="F6" s="25" t="s">
        <v>32</v>
      </c>
      <c r="G6" s="25" t="s">
        <v>267</v>
      </c>
      <c r="H6" s="25" t="s">
        <v>194</v>
      </c>
      <c r="I6" s="25" t="s">
        <v>246</v>
      </c>
      <c r="J6" s="25" t="s">
        <v>167</v>
      </c>
      <c r="K6" s="25"/>
      <c r="L6" s="25" t="s">
        <v>194</v>
      </c>
      <c r="M6" s="25" t="s">
        <v>300</v>
      </c>
      <c r="N6" s="25" t="s">
        <v>1</v>
      </c>
      <c r="O6" s="25" t="s">
        <v>194</v>
      </c>
      <c r="P6" s="25" t="s">
        <v>106</v>
      </c>
      <c r="Q6" s="25" t="s">
        <v>110</v>
      </c>
      <c r="R6" s="25" t="s">
        <v>295</v>
      </c>
      <c r="S6" s="25" t="s">
        <v>129</v>
      </c>
      <c r="T6" s="25" t="s">
        <v>224</v>
      </c>
      <c r="U6" s="25" t="s">
        <v>194</v>
      </c>
      <c r="V6" s="25" t="s">
        <v>50</v>
      </c>
      <c r="W6" s="25" t="s">
        <v>14</v>
      </c>
      <c r="X6" s="25" t="s">
        <v>224</v>
      </c>
      <c r="Y6" s="25" t="s">
        <v>239</v>
      </c>
      <c r="Z6" s="25" t="s">
        <v>194</v>
      </c>
      <c r="AA6" s="25" t="s">
        <v>194</v>
      </c>
      <c r="AB6" s="25"/>
      <c r="AC6" s="25"/>
      <c r="AD6" s="25" t="s">
        <v>161</v>
      </c>
      <c r="AE6" s="25"/>
      <c r="AF6" s="25" t="s">
        <v>194</v>
      </c>
      <c r="AG6" s="25" t="s">
        <v>296</v>
      </c>
      <c r="AH6" s="25" t="s">
        <v>92</v>
      </c>
      <c r="AI6" s="25" t="s">
        <v>194</v>
      </c>
      <c r="AJ6" s="25" t="s">
        <v>194</v>
      </c>
      <c r="AK6" s="25" t="s">
        <v>194</v>
      </c>
      <c r="AL6" s="25" t="s">
        <v>194</v>
      </c>
      <c r="AM6" s="25" t="s">
        <v>194</v>
      </c>
      <c r="AN6" s="25" t="s">
        <v>194</v>
      </c>
      <c r="AO6" s="25" t="s">
        <v>194</v>
      </c>
      <c r="AP6" s="24">
        <v>1305474</v>
      </c>
      <c r="AQ6" s="24" t="s">
        <v>267</v>
      </c>
      <c r="AR6" s="24" t="s">
        <v>307</v>
      </c>
      <c r="AS6" s="24" t="s">
        <v>246</v>
      </c>
      <c r="AT6" s="24" t="s">
        <v>110</v>
      </c>
      <c r="AU6" s="24" t="s">
        <v>295</v>
      </c>
      <c r="AV6" s="26" t="s">
        <v>1</v>
      </c>
      <c r="AW6" s="27"/>
      <c r="AX6" s="24" t="s">
        <v>300</v>
      </c>
      <c r="AY6" s="24" t="s">
        <v>300</v>
      </c>
      <c r="AZ6" s="24"/>
      <c r="BA6" s="24" t="s">
        <v>167</v>
      </c>
      <c r="BB6" s="24" t="s">
        <v>323</v>
      </c>
      <c r="BC6" s="24">
        <f t="shared" si="1"/>
        <v>26</v>
      </c>
      <c r="BD6" s="24" t="s">
        <v>381</v>
      </c>
      <c r="BE6" s="24">
        <f t="shared" si="0"/>
        <v>25</v>
      </c>
      <c r="BF6" s="29"/>
      <c r="BG6" s="24"/>
      <c r="BH6" s="24" t="s">
        <v>194</v>
      </c>
      <c r="BI6" s="24" t="s">
        <v>81</v>
      </c>
      <c r="BJ6" s="24"/>
      <c r="BK6" s="24" t="s">
        <v>311</v>
      </c>
      <c r="BL6" s="24" t="s">
        <v>324</v>
      </c>
      <c r="BM6" s="24" t="s">
        <v>325</v>
      </c>
      <c r="BN6" s="24" t="s">
        <v>326</v>
      </c>
      <c r="BO6" s="24" t="s">
        <v>374</v>
      </c>
      <c r="BP6" s="24"/>
      <c r="BQ6" s="24"/>
      <c r="BR6" s="24" t="s">
        <v>50</v>
      </c>
      <c r="BS6" s="24">
        <v>1</v>
      </c>
      <c r="BT6" s="24">
        <v>2</v>
      </c>
      <c r="BU6" s="24" t="s">
        <v>224</v>
      </c>
      <c r="BV6" s="24">
        <v>80</v>
      </c>
      <c r="BW6" s="24">
        <v>1</v>
      </c>
      <c r="BX6" s="24"/>
      <c r="BY6" s="24"/>
      <c r="BZ6" s="24"/>
      <c r="CA6" s="24"/>
      <c r="CB6" s="24"/>
      <c r="CC6" s="24"/>
      <c r="CD6" s="24" t="s">
        <v>224</v>
      </c>
      <c r="CE6" s="24" t="s">
        <v>129</v>
      </c>
      <c r="CF6" s="24" t="s">
        <v>50</v>
      </c>
      <c r="CG6" s="24">
        <v>80</v>
      </c>
      <c r="CH6" s="24"/>
      <c r="CI6" s="24" t="s">
        <v>179</v>
      </c>
      <c r="CJ6" s="24">
        <v>1</v>
      </c>
      <c r="CK6" s="24">
        <v>1</v>
      </c>
      <c r="CL6" s="24">
        <v>1</v>
      </c>
      <c r="CM6" s="24"/>
      <c r="CN6" s="24">
        <v>2</v>
      </c>
      <c r="CO6" s="24"/>
      <c r="CP6" s="24"/>
      <c r="CQ6" s="24"/>
      <c r="CR6" s="24"/>
      <c r="CS6" s="24"/>
      <c r="CT6" s="24"/>
      <c r="CU6" s="24"/>
      <c r="CV6" s="24"/>
      <c r="CW6" s="24"/>
      <c r="CX6" s="24"/>
      <c r="CY6" s="24" t="s">
        <v>161</v>
      </c>
      <c r="CZ6" s="24"/>
      <c r="DA6" s="24" t="s">
        <v>81</v>
      </c>
      <c r="DB6" s="24" t="s">
        <v>219</v>
      </c>
      <c r="DC6" s="24" t="s">
        <v>115</v>
      </c>
      <c r="DD6" s="24" t="s">
        <v>81</v>
      </c>
      <c r="DE6" s="24" t="s">
        <v>255</v>
      </c>
      <c r="DF6" s="24" t="s">
        <v>14</v>
      </c>
      <c r="DG6" s="24"/>
      <c r="DH6" s="24" t="s">
        <v>194</v>
      </c>
      <c r="DI6" s="24" t="s">
        <v>194</v>
      </c>
      <c r="DJ6" s="24" t="s">
        <v>194</v>
      </c>
      <c r="DK6" s="24" t="s">
        <v>81</v>
      </c>
      <c r="DL6" s="24" t="s">
        <v>219</v>
      </c>
      <c r="DM6" s="24"/>
      <c r="DN6" s="32" t="s">
        <v>362</v>
      </c>
      <c r="DO6" s="31" t="s">
        <v>359</v>
      </c>
      <c r="DP6" s="25" t="s">
        <v>255</v>
      </c>
      <c r="DQ6" s="25"/>
      <c r="DR6" s="25"/>
      <c r="DS6" s="25"/>
      <c r="DT6" s="25" t="s">
        <v>17</v>
      </c>
      <c r="DU6" s="25" t="s">
        <v>175</v>
      </c>
      <c r="DV6" s="25" t="s">
        <v>384</v>
      </c>
      <c r="DW6" s="25" t="s">
        <v>194</v>
      </c>
      <c r="DX6" s="25"/>
      <c r="DY6" s="25"/>
      <c r="DZ6" s="25" t="s">
        <v>143</v>
      </c>
      <c r="EA6" s="25" t="s">
        <v>54</v>
      </c>
      <c r="EB6" s="25" t="s">
        <v>214</v>
      </c>
      <c r="EC6" s="25" t="s">
        <v>237</v>
      </c>
      <c r="ED6" s="25"/>
      <c r="EE6" s="25"/>
      <c r="EF6" s="25"/>
      <c r="EG6" s="25"/>
      <c r="EH6" s="25"/>
      <c r="EI6" s="25"/>
      <c r="EJ6" s="25" t="s">
        <v>175</v>
      </c>
      <c r="EK6" s="25" t="s">
        <v>384</v>
      </c>
      <c r="EL6" s="25"/>
      <c r="EM6" s="25"/>
      <c r="EN6"/>
      <c r="EO6"/>
      <c r="EP6"/>
      <c r="EQ6"/>
      <c r="ER6"/>
      <c r="ES6"/>
      <c r="ET6"/>
      <c r="EU6"/>
      <c r="EV6" s="25"/>
      <c r="EW6" s="25"/>
      <c r="EX6" s="25"/>
      <c r="EY6" s="25"/>
      <c r="EZ6" s="25"/>
      <c r="FA6" s="25"/>
      <c r="FB6" s="25"/>
      <c r="FC6" s="25"/>
      <c r="FD6" s="25"/>
      <c r="FE6" s="25"/>
      <c r="FF6" s="25"/>
      <c r="FG6" s="25"/>
      <c r="FH6" s="25"/>
      <c r="FI6" s="25"/>
      <c r="FJ6" s="25"/>
      <c r="FK6" s="25"/>
      <c r="FL6" s="25"/>
      <c r="FM6" s="25"/>
      <c r="FN6" s="25"/>
      <c r="FO6" s="25"/>
      <c r="FP6" s="25"/>
      <c r="FQ6" s="25"/>
      <c r="FR6" s="25"/>
      <c r="FS6" s="25"/>
      <c r="FT6" s="25" t="s">
        <v>194</v>
      </c>
      <c r="FU6" s="25" t="s">
        <v>194</v>
      </c>
      <c r="FV6" s="25" t="s">
        <v>194</v>
      </c>
      <c r="FW6" s="25"/>
      <c r="FX6" s="25"/>
      <c r="FY6" s="25"/>
      <c r="FZ6" s="25"/>
      <c r="GA6" s="28" t="s">
        <v>75</v>
      </c>
      <c r="GB6" s="28" t="s">
        <v>175</v>
      </c>
      <c r="GC6" s="28" t="s">
        <v>386</v>
      </c>
      <c r="GD6" s="28"/>
      <c r="GE6" s="28" t="s">
        <v>175</v>
      </c>
      <c r="GF6" s="28"/>
    </row>
    <row r="7" spans="1:188" ht="12" customHeight="1" x14ac:dyDescent="0.25">
      <c r="A7" s="24">
        <v>17276</v>
      </c>
      <c r="B7" s="24">
        <v>1305475</v>
      </c>
      <c r="C7" s="25" t="s">
        <v>307</v>
      </c>
      <c r="D7" s="24" t="s">
        <v>203</v>
      </c>
      <c r="E7" s="25" t="s">
        <v>242</v>
      </c>
      <c r="F7" s="25" t="s">
        <v>32</v>
      </c>
      <c r="G7" s="25" t="s">
        <v>267</v>
      </c>
      <c r="H7" s="25" t="s">
        <v>194</v>
      </c>
      <c r="I7" s="25" t="s">
        <v>283</v>
      </c>
      <c r="J7" s="25" t="s">
        <v>119</v>
      </c>
      <c r="K7" s="25"/>
      <c r="L7" s="25" t="s">
        <v>194</v>
      </c>
      <c r="M7" s="25" t="s">
        <v>37</v>
      </c>
      <c r="N7" s="25" t="s">
        <v>77</v>
      </c>
      <c r="O7" s="25" t="s">
        <v>194</v>
      </c>
      <c r="P7" s="25" t="s">
        <v>106</v>
      </c>
      <c r="Q7" s="25" t="s">
        <v>110</v>
      </c>
      <c r="R7" s="25" t="s">
        <v>63</v>
      </c>
      <c r="S7" s="25" t="s">
        <v>138</v>
      </c>
      <c r="T7" s="25" t="s">
        <v>224</v>
      </c>
      <c r="U7" s="25" t="s">
        <v>194</v>
      </c>
      <c r="V7" s="25" t="s">
        <v>50</v>
      </c>
      <c r="W7" s="25" t="s">
        <v>14</v>
      </c>
      <c r="X7" s="25" t="s">
        <v>224</v>
      </c>
      <c r="Y7" s="25" t="s">
        <v>222</v>
      </c>
      <c r="Z7" s="25" t="s">
        <v>194</v>
      </c>
      <c r="AA7" s="25" t="s">
        <v>194</v>
      </c>
      <c r="AB7" s="25"/>
      <c r="AC7" s="25"/>
      <c r="AD7" s="25" t="s">
        <v>71</v>
      </c>
      <c r="AE7" s="25"/>
      <c r="AF7" s="25" t="s">
        <v>194</v>
      </c>
      <c r="AG7" s="25" t="s">
        <v>296</v>
      </c>
      <c r="AH7" s="25" t="s">
        <v>92</v>
      </c>
      <c r="AI7" s="25" t="s">
        <v>194</v>
      </c>
      <c r="AJ7" s="25" t="s">
        <v>194</v>
      </c>
      <c r="AK7" s="25" t="s">
        <v>194</v>
      </c>
      <c r="AL7" s="25" t="s">
        <v>194</v>
      </c>
      <c r="AM7" s="25" t="s">
        <v>194</v>
      </c>
      <c r="AN7" s="25" t="s">
        <v>194</v>
      </c>
      <c r="AO7" s="25" t="s">
        <v>194</v>
      </c>
      <c r="AP7" s="24">
        <v>1305475</v>
      </c>
      <c r="AQ7" s="24" t="s">
        <v>267</v>
      </c>
      <c r="AR7" s="24" t="s">
        <v>307</v>
      </c>
      <c r="AS7" s="24" t="s">
        <v>283</v>
      </c>
      <c r="AT7" s="24" t="s">
        <v>110</v>
      </c>
      <c r="AU7" s="24" t="s">
        <v>63</v>
      </c>
      <c r="AV7" s="26" t="s">
        <v>77</v>
      </c>
      <c r="AW7" s="27"/>
      <c r="AX7" s="24" t="s">
        <v>37</v>
      </c>
      <c r="AY7" s="24" t="s">
        <v>37</v>
      </c>
      <c r="AZ7" s="24"/>
      <c r="BA7" s="24" t="s">
        <v>119</v>
      </c>
      <c r="BB7" s="24" t="s">
        <v>327</v>
      </c>
      <c r="BC7" s="24">
        <f t="shared" si="1"/>
        <v>30</v>
      </c>
      <c r="BD7" s="24" t="s">
        <v>328</v>
      </c>
      <c r="BE7" s="24">
        <f t="shared" si="0"/>
        <v>23</v>
      </c>
      <c r="BF7" s="29"/>
      <c r="BG7" s="24"/>
      <c r="BH7" s="24" t="s">
        <v>194</v>
      </c>
      <c r="BI7" s="24" t="s">
        <v>81</v>
      </c>
      <c r="BJ7" s="24"/>
      <c r="BK7" s="24" t="s">
        <v>329</v>
      </c>
      <c r="BL7" s="24" t="s">
        <v>181</v>
      </c>
      <c r="BM7" s="24" t="s">
        <v>330</v>
      </c>
      <c r="BN7" s="24" t="s">
        <v>331</v>
      </c>
      <c r="BO7" s="24" t="s">
        <v>375</v>
      </c>
      <c r="BP7" s="24"/>
      <c r="BQ7" s="24" t="s">
        <v>347</v>
      </c>
      <c r="BR7" s="24" t="s">
        <v>50</v>
      </c>
      <c r="BS7" s="24">
        <v>1</v>
      </c>
      <c r="BT7" s="24" t="s">
        <v>314</v>
      </c>
      <c r="BU7" s="24" t="s">
        <v>332</v>
      </c>
      <c r="BV7" s="24">
        <v>12</v>
      </c>
      <c r="BW7" s="24">
        <v>2</v>
      </c>
      <c r="BX7" s="24" t="s">
        <v>224</v>
      </c>
      <c r="BY7" s="24">
        <v>144</v>
      </c>
      <c r="BZ7" s="24">
        <v>1</v>
      </c>
      <c r="CA7" s="24"/>
      <c r="CB7" s="24"/>
      <c r="CC7" s="24"/>
      <c r="CD7" s="24" t="s">
        <v>224</v>
      </c>
      <c r="CE7" s="24" t="s">
        <v>138</v>
      </c>
      <c r="CF7" s="24" t="s">
        <v>50</v>
      </c>
      <c r="CG7" s="24">
        <v>144</v>
      </c>
      <c r="CH7" s="24"/>
      <c r="CI7" s="24" t="s">
        <v>179</v>
      </c>
      <c r="CJ7" s="24">
        <v>1</v>
      </c>
      <c r="CK7" s="24">
        <v>1</v>
      </c>
      <c r="CL7" s="24">
        <v>1</v>
      </c>
      <c r="CM7" s="24"/>
      <c r="CN7" s="24">
        <v>2</v>
      </c>
      <c r="CO7" s="24"/>
      <c r="CP7" s="24"/>
      <c r="CQ7" s="24"/>
      <c r="CR7" s="24">
        <v>2</v>
      </c>
      <c r="CS7" s="24"/>
      <c r="CT7" s="24"/>
      <c r="CU7" s="24"/>
      <c r="CV7" s="24"/>
      <c r="CW7" s="24"/>
      <c r="CX7" s="24"/>
      <c r="CY7" s="24" t="s">
        <v>71</v>
      </c>
      <c r="CZ7" s="24"/>
      <c r="DA7" s="24" t="s">
        <v>81</v>
      </c>
      <c r="DB7" s="24" t="s">
        <v>219</v>
      </c>
      <c r="DC7" s="24" t="s">
        <v>115</v>
      </c>
      <c r="DD7" s="24" t="s">
        <v>81</v>
      </c>
      <c r="DE7" s="24" t="s">
        <v>255</v>
      </c>
      <c r="DF7" s="24" t="s">
        <v>14</v>
      </c>
      <c r="DG7" s="24"/>
      <c r="DH7" s="24" t="s">
        <v>194</v>
      </c>
      <c r="DI7" s="24" t="s">
        <v>194</v>
      </c>
      <c r="DJ7" s="24" t="s">
        <v>194</v>
      </c>
      <c r="DK7" s="24" t="s">
        <v>81</v>
      </c>
      <c r="DL7" s="24" t="s">
        <v>219</v>
      </c>
      <c r="DM7" s="24"/>
      <c r="DN7" s="32" t="s">
        <v>362</v>
      </c>
      <c r="DO7" s="31" t="s">
        <v>360</v>
      </c>
      <c r="DP7" s="25" t="s">
        <v>255</v>
      </c>
      <c r="DQ7" s="25"/>
      <c r="DR7" s="25"/>
      <c r="DS7" s="25"/>
      <c r="DT7" s="25" t="s">
        <v>17</v>
      </c>
      <c r="DU7" s="25" t="s">
        <v>175</v>
      </c>
      <c r="DV7" s="25" t="s">
        <v>384</v>
      </c>
      <c r="DW7" s="25" t="s">
        <v>194</v>
      </c>
      <c r="DX7" s="25"/>
      <c r="DY7" s="25"/>
      <c r="DZ7" s="25" t="s">
        <v>143</v>
      </c>
      <c r="EA7" s="25" t="s">
        <v>194</v>
      </c>
      <c r="EB7" s="25" t="s">
        <v>214</v>
      </c>
      <c r="EC7" s="25" t="s">
        <v>385</v>
      </c>
      <c r="ED7" s="25"/>
      <c r="EE7" s="25"/>
      <c r="EF7" s="25"/>
      <c r="EG7" s="25"/>
      <c r="EH7" s="25"/>
      <c r="EI7" s="25"/>
      <c r="EJ7" s="25" t="s">
        <v>175</v>
      </c>
      <c r="EK7" s="25" t="s">
        <v>384</v>
      </c>
      <c r="EL7" s="25"/>
      <c r="EM7" s="25"/>
      <c r="EN7"/>
      <c r="EO7"/>
      <c r="EP7"/>
      <c r="EQ7"/>
      <c r="ER7"/>
      <c r="ES7"/>
      <c r="ET7"/>
      <c r="EU7"/>
      <c r="EV7" s="25"/>
      <c r="EW7" s="25"/>
      <c r="EX7" s="25"/>
      <c r="EY7" s="25"/>
      <c r="EZ7" s="25"/>
      <c r="FA7" s="25"/>
      <c r="FB7" s="25"/>
      <c r="FC7" s="25"/>
      <c r="FD7" s="25"/>
      <c r="FE7" s="25"/>
      <c r="FF7" s="25"/>
      <c r="FG7" s="25"/>
      <c r="FH7" s="25"/>
      <c r="FI7" s="25"/>
      <c r="FJ7" s="25"/>
      <c r="FK7" s="25"/>
      <c r="FL7" s="25"/>
      <c r="FM7" s="25"/>
      <c r="FN7" s="25"/>
      <c r="FO7" s="25"/>
      <c r="FP7" s="25"/>
      <c r="FQ7" s="25"/>
      <c r="FR7" s="25"/>
      <c r="FS7" s="25"/>
      <c r="FT7" s="25" t="s">
        <v>194</v>
      </c>
      <c r="FU7" s="25" t="s">
        <v>194</v>
      </c>
      <c r="FV7" s="25" t="s">
        <v>194</v>
      </c>
      <c r="FW7" s="25"/>
      <c r="FX7" s="25"/>
      <c r="FY7" s="25"/>
      <c r="FZ7" s="25"/>
      <c r="GA7" s="28" t="s">
        <v>75</v>
      </c>
      <c r="GB7" s="28" t="s">
        <v>175</v>
      </c>
      <c r="GC7" s="28" t="s">
        <v>386</v>
      </c>
      <c r="GD7" s="28"/>
      <c r="GE7" s="28" t="s">
        <v>175</v>
      </c>
      <c r="GF7" s="28"/>
    </row>
    <row r="8" spans="1:188" ht="12" customHeight="1" x14ac:dyDescent="0.25">
      <c r="A8" s="24">
        <v>17276</v>
      </c>
      <c r="B8" s="24">
        <v>1305476</v>
      </c>
      <c r="C8" s="25" t="s">
        <v>307</v>
      </c>
      <c r="D8" s="24" t="s">
        <v>203</v>
      </c>
      <c r="E8" s="25" t="s">
        <v>242</v>
      </c>
      <c r="F8" s="25" t="s">
        <v>32</v>
      </c>
      <c r="G8" s="25" t="s">
        <v>267</v>
      </c>
      <c r="H8" s="25" t="s">
        <v>194</v>
      </c>
      <c r="I8" s="25" t="s">
        <v>170</v>
      </c>
      <c r="J8" s="25" t="s">
        <v>183</v>
      </c>
      <c r="K8" s="25"/>
      <c r="L8" s="25" t="s">
        <v>194</v>
      </c>
      <c r="M8" s="25" t="s">
        <v>171</v>
      </c>
      <c r="N8" s="25" t="s">
        <v>77</v>
      </c>
      <c r="O8" s="25" t="s">
        <v>194</v>
      </c>
      <c r="P8" s="25" t="s">
        <v>106</v>
      </c>
      <c r="Q8" s="25" t="s">
        <v>110</v>
      </c>
      <c r="R8" s="25" t="s">
        <v>80</v>
      </c>
      <c r="S8" s="25" t="s">
        <v>0</v>
      </c>
      <c r="T8" s="25" t="s">
        <v>258</v>
      </c>
      <c r="U8" s="25" t="s">
        <v>194</v>
      </c>
      <c r="V8" s="25" t="s">
        <v>50</v>
      </c>
      <c r="W8" s="25" t="s">
        <v>14</v>
      </c>
      <c r="X8" s="25" t="s">
        <v>258</v>
      </c>
      <c r="Y8" s="25" t="s">
        <v>79</v>
      </c>
      <c r="Z8" s="25" t="s">
        <v>194</v>
      </c>
      <c r="AA8" s="25" t="s">
        <v>194</v>
      </c>
      <c r="AB8" s="25"/>
      <c r="AC8" s="25"/>
      <c r="AD8" s="25" t="s">
        <v>71</v>
      </c>
      <c r="AE8" s="25"/>
      <c r="AF8" s="25" t="s">
        <v>194</v>
      </c>
      <c r="AG8" s="25" t="s">
        <v>296</v>
      </c>
      <c r="AH8" s="25" t="s">
        <v>92</v>
      </c>
      <c r="AI8" s="25" t="s">
        <v>194</v>
      </c>
      <c r="AJ8" s="25" t="s">
        <v>194</v>
      </c>
      <c r="AK8" s="25" t="s">
        <v>194</v>
      </c>
      <c r="AL8" s="25" t="s">
        <v>194</v>
      </c>
      <c r="AM8" s="25" t="s">
        <v>194</v>
      </c>
      <c r="AN8" s="25" t="s">
        <v>194</v>
      </c>
      <c r="AO8" s="25" t="s">
        <v>194</v>
      </c>
      <c r="AP8" s="24">
        <v>1305476</v>
      </c>
      <c r="AQ8" s="24" t="s">
        <v>267</v>
      </c>
      <c r="AR8" s="24" t="s">
        <v>307</v>
      </c>
      <c r="AS8" s="24" t="s">
        <v>170</v>
      </c>
      <c r="AT8" s="24" t="s">
        <v>110</v>
      </c>
      <c r="AU8" s="24" t="s">
        <v>80</v>
      </c>
      <c r="AV8" s="26" t="s">
        <v>77</v>
      </c>
      <c r="AW8" s="27"/>
      <c r="AX8" s="24" t="s">
        <v>171</v>
      </c>
      <c r="AY8" s="24" t="s">
        <v>171</v>
      </c>
      <c r="AZ8" s="24"/>
      <c r="BA8" s="24" t="s">
        <v>183</v>
      </c>
      <c r="BB8" s="24" t="s">
        <v>333</v>
      </c>
      <c r="BC8" s="24">
        <f t="shared" si="1"/>
        <v>28</v>
      </c>
      <c r="BD8" s="24" t="s">
        <v>380</v>
      </c>
      <c r="BE8" s="24">
        <f t="shared" si="0"/>
        <v>30</v>
      </c>
      <c r="BF8" s="29"/>
      <c r="BG8" s="24"/>
      <c r="BH8" s="24" t="s">
        <v>194</v>
      </c>
      <c r="BI8" s="24" t="s">
        <v>81</v>
      </c>
      <c r="BJ8" s="24"/>
      <c r="BK8" s="24" t="s">
        <v>334</v>
      </c>
      <c r="BL8" s="24" t="s">
        <v>89</v>
      </c>
      <c r="BM8" s="24" t="s">
        <v>334</v>
      </c>
      <c r="BN8" s="24" t="s">
        <v>313</v>
      </c>
      <c r="BO8" s="24" t="s">
        <v>376</v>
      </c>
      <c r="BP8" s="24"/>
      <c r="BQ8" s="24"/>
      <c r="BR8" s="24" t="s">
        <v>50</v>
      </c>
      <c r="BS8" s="24">
        <v>1</v>
      </c>
      <c r="BT8" s="24">
        <v>2</v>
      </c>
      <c r="BU8" s="24" t="s">
        <v>258</v>
      </c>
      <c r="BV8" s="24">
        <v>500</v>
      </c>
      <c r="BW8" s="24">
        <v>1</v>
      </c>
      <c r="BX8" s="24" t="s">
        <v>224</v>
      </c>
      <c r="BY8" s="24">
        <v>1000</v>
      </c>
      <c r="BZ8" s="24" t="s">
        <v>314</v>
      </c>
      <c r="CA8" s="24"/>
      <c r="CB8" s="24"/>
      <c r="CC8" s="24"/>
      <c r="CD8" s="24" t="s">
        <v>258</v>
      </c>
      <c r="CE8" s="24" t="s">
        <v>0</v>
      </c>
      <c r="CF8" s="24" t="s">
        <v>50</v>
      </c>
      <c r="CG8" s="24">
        <v>500</v>
      </c>
      <c r="CH8" s="24"/>
      <c r="CI8" s="24" t="s">
        <v>179</v>
      </c>
      <c r="CJ8" s="24">
        <v>1</v>
      </c>
      <c r="CK8" s="24">
        <v>1</v>
      </c>
      <c r="CL8" s="24">
        <v>1</v>
      </c>
      <c r="CM8" s="24"/>
      <c r="CN8" s="24">
        <v>2</v>
      </c>
      <c r="CO8" s="24"/>
      <c r="CP8" s="24"/>
      <c r="CQ8" s="24"/>
      <c r="CR8" s="24">
        <v>2</v>
      </c>
      <c r="CS8" s="24"/>
      <c r="CT8" s="24"/>
      <c r="CU8" s="24"/>
      <c r="CV8" s="24"/>
      <c r="CW8" s="24"/>
      <c r="CX8" s="24"/>
      <c r="CY8" s="24" t="s">
        <v>71</v>
      </c>
      <c r="CZ8" s="24"/>
      <c r="DA8" s="24" t="s">
        <v>81</v>
      </c>
      <c r="DB8" s="24" t="s">
        <v>219</v>
      </c>
      <c r="DC8" s="24" t="s">
        <v>115</v>
      </c>
      <c r="DD8" s="24" t="s">
        <v>81</v>
      </c>
      <c r="DE8" s="24" t="s">
        <v>255</v>
      </c>
      <c r="DF8" s="24" t="s">
        <v>14</v>
      </c>
      <c r="DG8" s="24"/>
      <c r="DH8" s="24" t="s">
        <v>194</v>
      </c>
      <c r="DI8" s="24" t="s">
        <v>194</v>
      </c>
      <c r="DJ8" s="24" t="s">
        <v>194</v>
      </c>
      <c r="DK8" s="24" t="s">
        <v>81</v>
      </c>
      <c r="DL8" s="24" t="s">
        <v>219</v>
      </c>
      <c r="DM8" s="24"/>
      <c r="DN8" s="32" t="s">
        <v>362</v>
      </c>
      <c r="DO8" s="31" t="s">
        <v>361</v>
      </c>
      <c r="DP8" s="25" t="s">
        <v>255</v>
      </c>
      <c r="DQ8" s="25"/>
      <c r="DR8" s="25"/>
      <c r="DS8" s="25"/>
      <c r="DT8" s="25" t="s">
        <v>17</v>
      </c>
      <c r="DU8" s="25" t="s">
        <v>175</v>
      </c>
      <c r="DV8" s="25" t="s">
        <v>384</v>
      </c>
      <c r="DW8" s="25" t="s">
        <v>194</v>
      </c>
      <c r="DX8" s="25"/>
      <c r="DY8" s="25"/>
      <c r="DZ8" s="25" t="s">
        <v>143</v>
      </c>
      <c r="EA8" s="25" t="s">
        <v>194</v>
      </c>
      <c r="EB8" s="25" t="s">
        <v>214</v>
      </c>
      <c r="EC8" s="25" t="s">
        <v>385</v>
      </c>
      <c r="ED8" s="25"/>
      <c r="EE8" s="25"/>
      <c r="EF8" s="25"/>
      <c r="EG8" s="25"/>
      <c r="EH8" s="25"/>
      <c r="EI8" s="25"/>
      <c r="EJ8" s="25" t="s">
        <v>175</v>
      </c>
      <c r="EK8" s="25" t="s">
        <v>384</v>
      </c>
      <c r="EL8" s="25"/>
      <c r="EM8" s="25"/>
      <c r="EN8"/>
      <c r="EO8"/>
      <c r="EP8"/>
      <c r="EQ8"/>
      <c r="ER8"/>
      <c r="ES8"/>
      <c r="ET8"/>
      <c r="EU8"/>
      <c r="EV8" s="25"/>
      <c r="EW8" s="25"/>
      <c r="EX8" s="25"/>
      <c r="EY8" s="25"/>
      <c r="EZ8" s="25"/>
      <c r="FA8" s="25"/>
      <c r="FB8" s="25"/>
      <c r="FC8" s="25"/>
      <c r="FD8" s="25"/>
      <c r="FE8" s="25"/>
      <c r="FF8" s="25"/>
      <c r="FG8" s="25"/>
      <c r="FH8" s="25"/>
      <c r="FI8" s="25"/>
      <c r="FJ8" s="25"/>
      <c r="FK8" s="25"/>
      <c r="FL8" s="25"/>
      <c r="FM8" s="25"/>
      <c r="FN8" s="25"/>
      <c r="FO8" s="25"/>
      <c r="FP8" s="25"/>
      <c r="FQ8" s="25"/>
      <c r="FR8" s="25"/>
      <c r="FS8" s="25"/>
      <c r="FT8" s="25" t="s">
        <v>194</v>
      </c>
      <c r="FU8" s="25" t="s">
        <v>194</v>
      </c>
      <c r="FV8" s="25" t="s">
        <v>194</v>
      </c>
      <c r="FW8" s="25"/>
      <c r="FX8" s="25"/>
      <c r="FY8" s="25"/>
      <c r="FZ8" s="25"/>
      <c r="GA8" s="28" t="s">
        <v>75</v>
      </c>
      <c r="GB8" s="28" t="s">
        <v>175</v>
      </c>
      <c r="GC8" s="28" t="s">
        <v>386</v>
      </c>
      <c r="GD8" s="28"/>
      <c r="GE8" s="28" t="s">
        <v>175</v>
      </c>
      <c r="GF8" s="28"/>
    </row>
    <row r="9" spans="1:188" ht="12" customHeight="1" x14ac:dyDescent="0.25">
      <c r="A9" s="24">
        <v>17276</v>
      </c>
      <c r="B9" s="24">
        <v>1305481</v>
      </c>
      <c r="C9" s="25" t="s">
        <v>307</v>
      </c>
      <c r="D9" s="24" t="s">
        <v>203</v>
      </c>
      <c r="E9" s="25" t="s">
        <v>242</v>
      </c>
      <c r="F9" s="25" t="s">
        <v>32</v>
      </c>
      <c r="G9" s="25" t="s">
        <v>267</v>
      </c>
      <c r="H9" s="25" t="s">
        <v>194</v>
      </c>
      <c r="I9" s="25" t="s">
        <v>165</v>
      </c>
      <c r="J9" s="25" t="s">
        <v>124</v>
      </c>
      <c r="K9" s="25"/>
      <c r="L9" s="25" t="s">
        <v>194</v>
      </c>
      <c r="M9" s="25" t="s">
        <v>12</v>
      </c>
      <c r="N9" s="25" t="s">
        <v>20</v>
      </c>
      <c r="O9" s="25" t="s">
        <v>194</v>
      </c>
      <c r="P9" s="25" t="s">
        <v>106</v>
      </c>
      <c r="Q9" s="25" t="s">
        <v>110</v>
      </c>
      <c r="R9" s="25" t="s">
        <v>19</v>
      </c>
      <c r="S9" s="25" t="s">
        <v>236</v>
      </c>
      <c r="T9" s="25" t="s">
        <v>50</v>
      </c>
      <c r="U9" s="25" t="s">
        <v>194</v>
      </c>
      <c r="V9" s="25" t="s">
        <v>50</v>
      </c>
      <c r="W9" s="25" t="s">
        <v>14</v>
      </c>
      <c r="X9" s="25" t="s">
        <v>194</v>
      </c>
      <c r="Y9" s="25" t="s">
        <v>194</v>
      </c>
      <c r="Z9" s="25" t="s">
        <v>194</v>
      </c>
      <c r="AA9" s="25" t="s">
        <v>194</v>
      </c>
      <c r="AB9" s="25"/>
      <c r="AC9" s="25"/>
      <c r="AD9" s="25" t="s">
        <v>221</v>
      </c>
      <c r="AE9" s="25"/>
      <c r="AF9" s="25" t="s">
        <v>194</v>
      </c>
      <c r="AG9" s="25" t="s">
        <v>296</v>
      </c>
      <c r="AH9" s="25" t="s">
        <v>92</v>
      </c>
      <c r="AI9" s="25" t="s">
        <v>194</v>
      </c>
      <c r="AJ9" s="25" t="s">
        <v>194</v>
      </c>
      <c r="AK9" s="25" t="s">
        <v>194</v>
      </c>
      <c r="AL9" s="25" t="s">
        <v>194</v>
      </c>
      <c r="AM9" s="25" t="s">
        <v>194</v>
      </c>
      <c r="AN9" s="25" t="s">
        <v>194</v>
      </c>
      <c r="AO9" s="25" t="s">
        <v>194</v>
      </c>
      <c r="AP9" s="24">
        <v>1305481</v>
      </c>
      <c r="AQ9" s="24" t="s">
        <v>267</v>
      </c>
      <c r="AR9" s="24" t="s">
        <v>307</v>
      </c>
      <c r="AS9" s="24" t="s">
        <v>165</v>
      </c>
      <c r="AT9" s="24" t="s">
        <v>110</v>
      </c>
      <c r="AU9" s="24" t="s">
        <v>19</v>
      </c>
      <c r="AV9" s="26" t="s">
        <v>20</v>
      </c>
      <c r="AW9" s="27"/>
      <c r="AX9" s="24" t="s">
        <v>12</v>
      </c>
      <c r="AY9" s="24" t="s">
        <v>12</v>
      </c>
      <c r="AZ9" s="24"/>
      <c r="BA9" s="24" t="s">
        <v>124</v>
      </c>
      <c r="BB9" s="24" t="s">
        <v>335</v>
      </c>
      <c r="BC9" s="24">
        <f t="shared" si="1"/>
        <v>17</v>
      </c>
      <c r="BD9" s="24" t="s">
        <v>336</v>
      </c>
      <c r="BE9" s="24">
        <f t="shared" si="0"/>
        <v>17</v>
      </c>
      <c r="BF9" s="29"/>
      <c r="BG9" s="24"/>
      <c r="BH9" s="24" t="s">
        <v>194</v>
      </c>
      <c r="BI9" s="24"/>
      <c r="BJ9" s="24"/>
      <c r="BK9" s="24"/>
      <c r="BL9" s="24"/>
      <c r="BM9" s="24"/>
      <c r="BN9" s="24"/>
      <c r="BO9" s="24" t="s">
        <v>377</v>
      </c>
      <c r="BP9" s="24"/>
      <c r="BQ9" s="24"/>
      <c r="BR9" s="24"/>
      <c r="BS9" s="24"/>
      <c r="BT9" s="24"/>
      <c r="BU9" s="24"/>
      <c r="BV9" s="24"/>
      <c r="BW9" s="24"/>
      <c r="BX9" s="24"/>
      <c r="BY9" s="24"/>
      <c r="BZ9" s="24"/>
      <c r="CA9" s="24"/>
      <c r="CB9" s="24"/>
      <c r="CC9" s="24"/>
      <c r="CD9" s="24" t="s">
        <v>50</v>
      </c>
      <c r="CE9" s="24" t="s">
        <v>236</v>
      </c>
      <c r="CF9" s="24"/>
      <c r="CG9" s="24"/>
      <c r="CH9" s="24"/>
      <c r="CI9" s="24"/>
      <c r="CJ9" s="24"/>
      <c r="CK9" s="24"/>
      <c r="CL9" s="24"/>
      <c r="CM9" s="24"/>
      <c r="CN9" s="24"/>
      <c r="CO9" s="24"/>
      <c r="CP9" s="24"/>
      <c r="CQ9" s="24"/>
      <c r="CR9" s="24"/>
      <c r="CS9" s="24"/>
      <c r="CT9" s="24"/>
      <c r="CU9" s="24"/>
      <c r="CV9" s="24"/>
      <c r="CW9" s="24"/>
      <c r="CX9" s="24"/>
      <c r="CY9" s="24" t="s">
        <v>221</v>
      </c>
      <c r="CZ9" s="24"/>
      <c r="DA9" s="24" t="s">
        <v>81</v>
      </c>
      <c r="DB9" s="24" t="s">
        <v>219</v>
      </c>
      <c r="DC9" s="24" t="s">
        <v>115</v>
      </c>
      <c r="DD9" s="24" t="s">
        <v>81</v>
      </c>
      <c r="DE9" s="24" t="s">
        <v>255</v>
      </c>
      <c r="DF9" s="24" t="s">
        <v>14</v>
      </c>
      <c r="DG9" s="24"/>
      <c r="DH9" s="24" t="s">
        <v>194</v>
      </c>
      <c r="DI9" s="24" t="s">
        <v>194</v>
      </c>
      <c r="DJ9" s="24" t="s">
        <v>194</v>
      </c>
      <c r="DK9" s="24" t="s">
        <v>81</v>
      </c>
      <c r="DL9" s="24" t="s">
        <v>219</v>
      </c>
      <c r="DM9" s="24"/>
      <c r="DN9" s="32" t="s">
        <v>363</v>
      </c>
      <c r="DO9" s="31" t="s">
        <v>354</v>
      </c>
      <c r="DP9" s="25"/>
      <c r="DQ9" s="25"/>
      <c r="DR9" s="25"/>
      <c r="DS9" s="25"/>
      <c r="DT9" s="25" t="s">
        <v>17</v>
      </c>
      <c r="DU9" s="25" t="s">
        <v>175</v>
      </c>
      <c r="DV9" s="25" t="s">
        <v>384</v>
      </c>
      <c r="DW9" s="25" t="s">
        <v>194</v>
      </c>
      <c r="DX9" s="25"/>
      <c r="DY9" s="25"/>
      <c r="DZ9" s="25" t="s">
        <v>143</v>
      </c>
      <c r="EA9" s="25" t="s">
        <v>194</v>
      </c>
      <c r="EB9" s="25" t="s">
        <v>214</v>
      </c>
      <c r="EC9" s="25" t="s">
        <v>385</v>
      </c>
      <c r="ED9" s="25"/>
      <c r="EE9" s="25"/>
      <c r="EF9" s="25"/>
      <c r="EG9" s="25"/>
      <c r="EH9" s="25"/>
      <c r="EI9" s="25"/>
      <c r="EJ9" s="25" t="s">
        <v>175</v>
      </c>
      <c r="EK9" s="25" t="s">
        <v>384</v>
      </c>
      <c r="EL9" s="25"/>
      <c r="EM9" s="25"/>
      <c r="EN9"/>
      <c r="EO9"/>
      <c r="EP9"/>
      <c r="EQ9"/>
      <c r="ER9"/>
      <c r="ES9"/>
      <c r="ET9"/>
      <c r="EU9"/>
      <c r="EV9" s="25"/>
      <c r="EW9" s="25"/>
      <c r="EX9" s="25"/>
      <c r="EY9" s="25"/>
      <c r="EZ9" s="25"/>
      <c r="FA9" s="25"/>
      <c r="FB9" s="25"/>
      <c r="FC9" s="25"/>
      <c r="FD9" s="25"/>
      <c r="FE9" s="25"/>
      <c r="FF9" s="25"/>
      <c r="FG9" s="25"/>
      <c r="FH9" s="25"/>
      <c r="FI9" s="25"/>
      <c r="FJ9" s="25"/>
      <c r="FK9" s="25"/>
      <c r="FL9" s="25"/>
      <c r="FM9" s="25"/>
      <c r="FN9" s="25"/>
      <c r="FO9" s="25"/>
      <c r="FP9" s="25"/>
      <c r="FQ9" s="25"/>
      <c r="FR9" s="25"/>
      <c r="FS9" s="25"/>
      <c r="FT9" s="25" t="s">
        <v>194</v>
      </c>
      <c r="FU9" s="25" t="s">
        <v>194</v>
      </c>
      <c r="FV9" s="25" t="s">
        <v>194</v>
      </c>
      <c r="FW9" s="25"/>
      <c r="FX9" s="25"/>
      <c r="FY9" s="25"/>
      <c r="FZ9" s="25"/>
      <c r="GA9" s="28" t="s">
        <v>75</v>
      </c>
      <c r="GB9" s="28" t="s">
        <v>175</v>
      </c>
      <c r="GC9" s="28" t="s">
        <v>386</v>
      </c>
      <c r="GD9" s="28"/>
      <c r="GE9" s="28" t="s">
        <v>175</v>
      </c>
      <c r="GF9" s="28"/>
    </row>
    <row r="10" spans="1:188" ht="12" customHeight="1" x14ac:dyDescent="0.25">
      <c r="A10" s="24">
        <v>17276</v>
      </c>
      <c r="B10" s="24">
        <v>1305482</v>
      </c>
      <c r="C10" s="25" t="s">
        <v>307</v>
      </c>
      <c r="D10" s="24" t="s">
        <v>203</v>
      </c>
      <c r="E10" s="25" t="s">
        <v>242</v>
      </c>
      <c r="F10" s="25" t="s">
        <v>32</v>
      </c>
      <c r="G10" s="25" t="s">
        <v>267</v>
      </c>
      <c r="H10" s="25" t="s">
        <v>194</v>
      </c>
      <c r="I10" s="25" t="s">
        <v>306</v>
      </c>
      <c r="J10" s="25" t="s">
        <v>58</v>
      </c>
      <c r="K10" s="25"/>
      <c r="L10" s="25" t="s">
        <v>194</v>
      </c>
      <c r="M10" s="25" t="s">
        <v>68</v>
      </c>
      <c r="N10" s="25" t="s">
        <v>69</v>
      </c>
      <c r="O10" s="25" t="s">
        <v>194</v>
      </c>
      <c r="P10" s="25" t="s">
        <v>106</v>
      </c>
      <c r="Q10" s="25" t="s">
        <v>110</v>
      </c>
      <c r="R10" s="25" t="s">
        <v>146</v>
      </c>
      <c r="S10" s="25" t="s">
        <v>212</v>
      </c>
      <c r="T10" s="25" t="s">
        <v>107</v>
      </c>
      <c r="U10" s="25" t="s">
        <v>194</v>
      </c>
      <c r="V10" s="25" t="s">
        <v>50</v>
      </c>
      <c r="W10" s="25" t="s">
        <v>14</v>
      </c>
      <c r="X10" s="25" t="s">
        <v>107</v>
      </c>
      <c r="Y10" s="25" t="s">
        <v>89</v>
      </c>
      <c r="Z10" s="25" t="s">
        <v>194</v>
      </c>
      <c r="AA10" s="25" t="s">
        <v>194</v>
      </c>
      <c r="AB10" s="25"/>
      <c r="AC10" s="25"/>
      <c r="AD10" s="25" t="s">
        <v>221</v>
      </c>
      <c r="AE10" s="25"/>
      <c r="AF10" s="25" t="s">
        <v>194</v>
      </c>
      <c r="AG10" s="25" t="s">
        <v>296</v>
      </c>
      <c r="AH10" s="25" t="s">
        <v>92</v>
      </c>
      <c r="AI10" s="25" t="s">
        <v>194</v>
      </c>
      <c r="AJ10" s="25" t="s">
        <v>194</v>
      </c>
      <c r="AK10" s="25" t="s">
        <v>194</v>
      </c>
      <c r="AL10" s="25" t="s">
        <v>194</v>
      </c>
      <c r="AM10" s="25" t="s">
        <v>194</v>
      </c>
      <c r="AN10" s="25" t="s">
        <v>194</v>
      </c>
      <c r="AO10" s="25" t="s">
        <v>194</v>
      </c>
      <c r="AP10" s="24">
        <v>1305482</v>
      </c>
      <c r="AQ10" s="24" t="s">
        <v>267</v>
      </c>
      <c r="AR10" s="24" t="s">
        <v>307</v>
      </c>
      <c r="AS10" s="24" t="s">
        <v>306</v>
      </c>
      <c r="AT10" s="24" t="s">
        <v>110</v>
      </c>
      <c r="AU10" s="24" t="s">
        <v>146</v>
      </c>
      <c r="AV10" s="26" t="s">
        <v>69</v>
      </c>
      <c r="AW10" s="27"/>
      <c r="AX10" s="24" t="s">
        <v>68</v>
      </c>
      <c r="AY10" s="24" t="s">
        <v>68</v>
      </c>
      <c r="AZ10" s="24"/>
      <c r="BA10" s="24" t="s">
        <v>58</v>
      </c>
      <c r="BB10" s="24" t="s">
        <v>337</v>
      </c>
      <c r="BC10" s="24">
        <f t="shared" si="1"/>
        <v>26</v>
      </c>
      <c r="BD10" s="24" t="s">
        <v>379</v>
      </c>
      <c r="BE10" s="24">
        <f t="shared" si="0"/>
        <v>29</v>
      </c>
      <c r="BF10" s="29"/>
      <c r="BG10" s="24"/>
      <c r="BH10" s="24" t="s">
        <v>194</v>
      </c>
      <c r="BI10" s="24" t="s">
        <v>81</v>
      </c>
      <c r="BJ10" s="24"/>
      <c r="BK10" s="24" t="s">
        <v>311</v>
      </c>
      <c r="BL10" s="24" t="s">
        <v>321</v>
      </c>
      <c r="BM10" s="24" t="s">
        <v>338</v>
      </c>
      <c r="BN10" s="24" t="s">
        <v>317</v>
      </c>
      <c r="BO10" s="24" t="s">
        <v>377</v>
      </c>
      <c r="BP10" s="24"/>
      <c r="BQ10" s="24"/>
      <c r="BR10" s="24" t="s">
        <v>50</v>
      </c>
      <c r="BS10" s="24">
        <v>1</v>
      </c>
      <c r="BT10" s="24"/>
      <c r="BU10" s="24" t="s">
        <v>107</v>
      </c>
      <c r="BV10" s="24">
        <v>10</v>
      </c>
      <c r="BW10" s="24">
        <v>1</v>
      </c>
      <c r="BX10" s="24" t="s">
        <v>258</v>
      </c>
      <c r="BY10" s="24">
        <v>500</v>
      </c>
      <c r="BZ10" s="24"/>
      <c r="CA10" s="24" t="s">
        <v>224</v>
      </c>
      <c r="CB10" s="24">
        <v>4000</v>
      </c>
      <c r="CC10" s="24">
        <v>2</v>
      </c>
      <c r="CD10" s="24" t="s">
        <v>107</v>
      </c>
      <c r="CE10" s="24" t="s">
        <v>212</v>
      </c>
      <c r="CF10" s="24" t="s">
        <v>50</v>
      </c>
      <c r="CG10" s="24">
        <v>10</v>
      </c>
      <c r="CH10" s="24"/>
      <c r="CI10" s="24" t="s">
        <v>179</v>
      </c>
      <c r="CJ10" s="24">
        <v>1</v>
      </c>
      <c r="CK10" s="24">
        <v>1</v>
      </c>
      <c r="CL10" s="24">
        <v>1</v>
      </c>
      <c r="CM10" s="24"/>
      <c r="CN10" s="24">
        <v>2</v>
      </c>
      <c r="CO10" s="24"/>
      <c r="CP10" s="24"/>
      <c r="CQ10" s="24"/>
      <c r="CR10" s="24">
        <v>2</v>
      </c>
      <c r="CS10" s="24"/>
      <c r="CT10" s="24"/>
      <c r="CU10" s="24"/>
      <c r="CV10" s="24">
        <v>2</v>
      </c>
      <c r="CW10" s="24"/>
      <c r="CX10" s="24"/>
      <c r="CY10" s="24" t="s">
        <v>221</v>
      </c>
      <c r="CZ10" s="30" t="s">
        <v>349</v>
      </c>
      <c r="DA10" s="24" t="s">
        <v>81</v>
      </c>
      <c r="DB10" s="24" t="s">
        <v>348</v>
      </c>
      <c r="DC10" s="24" t="s">
        <v>115</v>
      </c>
      <c r="DD10" s="24" t="s">
        <v>81</v>
      </c>
      <c r="DE10" s="24" t="s">
        <v>255</v>
      </c>
      <c r="DF10" s="24" t="s">
        <v>14</v>
      </c>
      <c r="DG10" s="24"/>
      <c r="DH10" s="24" t="s">
        <v>194</v>
      </c>
      <c r="DI10" s="24" t="s">
        <v>194</v>
      </c>
      <c r="DJ10" s="24" t="s">
        <v>194</v>
      </c>
      <c r="DK10" s="24" t="s">
        <v>81</v>
      </c>
      <c r="DL10" s="24" t="s">
        <v>219</v>
      </c>
      <c r="DM10" s="24"/>
      <c r="DN10" s="32" t="s">
        <v>362</v>
      </c>
      <c r="DO10" s="31" t="s">
        <v>366</v>
      </c>
      <c r="DP10" s="25" t="s">
        <v>255</v>
      </c>
      <c r="DQ10" s="25"/>
      <c r="DR10" s="25"/>
      <c r="DS10" s="25"/>
      <c r="DT10" s="25" t="s">
        <v>17</v>
      </c>
      <c r="DU10" s="25" t="s">
        <v>175</v>
      </c>
      <c r="DV10" s="25" t="s">
        <v>384</v>
      </c>
      <c r="DW10" s="25" t="s">
        <v>194</v>
      </c>
      <c r="DX10" s="25"/>
      <c r="DY10" s="25"/>
      <c r="DZ10" s="25" t="s">
        <v>143</v>
      </c>
      <c r="EA10" s="25" t="s">
        <v>194</v>
      </c>
      <c r="EB10" s="25" t="s">
        <v>214</v>
      </c>
      <c r="EC10" s="25" t="s">
        <v>385</v>
      </c>
      <c r="ED10" s="25"/>
      <c r="EE10" s="25"/>
      <c r="EF10" s="25"/>
      <c r="EG10" s="25"/>
      <c r="EH10" s="25"/>
      <c r="EI10" s="25"/>
      <c r="EJ10" s="25" t="s">
        <v>175</v>
      </c>
      <c r="EK10" s="25" t="s">
        <v>384</v>
      </c>
      <c r="EL10" s="25"/>
      <c r="EM10" s="25"/>
      <c r="EN10"/>
      <c r="EO10"/>
      <c r="EP10"/>
      <c r="EQ10"/>
      <c r="ER10"/>
      <c r="ES10"/>
      <c r="ET10"/>
      <c r="EU10"/>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t="s">
        <v>194</v>
      </c>
      <c r="FU10" s="25" t="s">
        <v>194</v>
      </c>
      <c r="FV10" s="25" t="s">
        <v>194</v>
      </c>
      <c r="FW10" s="25"/>
      <c r="FX10" s="25"/>
      <c r="FY10" s="25"/>
      <c r="FZ10" s="25"/>
      <c r="GA10" s="28" t="s">
        <v>75</v>
      </c>
      <c r="GB10" s="28" t="s">
        <v>175</v>
      </c>
      <c r="GC10" s="28" t="s">
        <v>386</v>
      </c>
      <c r="GD10" s="28"/>
      <c r="GE10" s="28" t="s">
        <v>175</v>
      </c>
      <c r="GF10" s="28"/>
    </row>
    <row r="11" spans="1:188" ht="12" customHeight="1" x14ac:dyDescent="0.25">
      <c r="A11" s="24">
        <v>17276</v>
      </c>
      <c r="B11" s="24">
        <v>1305484</v>
      </c>
      <c r="C11" s="25" t="s">
        <v>307</v>
      </c>
      <c r="D11" s="24" t="s">
        <v>203</v>
      </c>
      <c r="E11" s="25" t="s">
        <v>242</v>
      </c>
      <c r="F11" s="25" t="s">
        <v>32</v>
      </c>
      <c r="G11" s="25" t="s">
        <v>267</v>
      </c>
      <c r="H11" s="25" t="s">
        <v>194</v>
      </c>
      <c r="I11" s="25" t="s">
        <v>216</v>
      </c>
      <c r="J11" s="25" t="s">
        <v>111</v>
      </c>
      <c r="K11" s="25"/>
      <c r="L11" s="25" t="s">
        <v>194</v>
      </c>
      <c r="M11" s="25" t="s">
        <v>49</v>
      </c>
      <c r="N11" s="25" t="s">
        <v>243</v>
      </c>
      <c r="O11" s="25" t="s">
        <v>194</v>
      </c>
      <c r="P11" s="25" t="s">
        <v>106</v>
      </c>
      <c r="Q11" s="25" t="s">
        <v>110</v>
      </c>
      <c r="R11" s="25" t="s">
        <v>49</v>
      </c>
      <c r="S11" s="25" t="s">
        <v>197</v>
      </c>
      <c r="T11" s="25" t="s">
        <v>224</v>
      </c>
      <c r="U11" s="25" t="s">
        <v>194</v>
      </c>
      <c r="V11" s="25" t="s">
        <v>50</v>
      </c>
      <c r="W11" s="25" t="s">
        <v>14</v>
      </c>
      <c r="X11" s="25" t="s">
        <v>224</v>
      </c>
      <c r="Y11" s="25" t="s">
        <v>181</v>
      </c>
      <c r="Z11" s="25" t="s">
        <v>194</v>
      </c>
      <c r="AA11" s="25" t="s">
        <v>194</v>
      </c>
      <c r="AB11" s="25"/>
      <c r="AC11" s="25"/>
      <c r="AD11" s="25" t="s">
        <v>221</v>
      </c>
      <c r="AE11" s="25"/>
      <c r="AF11" s="25" t="s">
        <v>194</v>
      </c>
      <c r="AG11" s="25" t="s">
        <v>296</v>
      </c>
      <c r="AH11" s="25" t="s">
        <v>92</v>
      </c>
      <c r="AI11" s="25" t="s">
        <v>194</v>
      </c>
      <c r="AJ11" s="25" t="s">
        <v>194</v>
      </c>
      <c r="AK11" s="25" t="s">
        <v>194</v>
      </c>
      <c r="AL11" s="25" t="s">
        <v>194</v>
      </c>
      <c r="AM11" s="25" t="s">
        <v>194</v>
      </c>
      <c r="AN11" s="25" t="s">
        <v>194</v>
      </c>
      <c r="AO11" s="25" t="s">
        <v>194</v>
      </c>
      <c r="AP11" s="24">
        <v>1305484</v>
      </c>
      <c r="AQ11" s="24" t="s">
        <v>267</v>
      </c>
      <c r="AR11" s="24" t="s">
        <v>307</v>
      </c>
      <c r="AS11" s="24" t="s">
        <v>216</v>
      </c>
      <c r="AT11" s="24" t="s">
        <v>110</v>
      </c>
      <c r="AU11" s="24" t="s">
        <v>49</v>
      </c>
      <c r="AV11" s="26"/>
      <c r="AW11" s="27"/>
      <c r="AX11" s="24"/>
      <c r="AY11" s="24"/>
      <c r="AZ11" s="24"/>
      <c r="BA11" s="24" t="s">
        <v>111</v>
      </c>
      <c r="BB11" s="24" t="s">
        <v>339</v>
      </c>
      <c r="BC11" s="24">
        <f t="shared" si="1"/>
        <v>28</v>
      </c>
      <c r="BD11" s="24" t="s">
        <v>340</v>
      </c>
      <c r="BE11" s="24">
        <f t="shared" si="0"/>
        <v>18</v>
      </c>
      <c r="BF11" s="29"/>
      <c r="BG11" s="24"/>
      <c r="BH11" s="24" t="s">
        <v>194</v>
      </c>
      <c r="BI11" s="24"/>
      <c r="BJ11" s="24"/>
      <c r="BK11" s="24"/>
      <c r="BL11" s="24"/>
      <c r="BM11" s="24"/>
      <c r="BN11" s="24"/>
      <c r="BO11" s="24"/>
      <c r="BP11" s="24"/>
      <c r="BQ11" s="24"/>
      <c r="BR11" s="24"/>
      <c r="BS11" s="24"/>
      <c r="BT11" s="24"/>
      <c r="BU11" s="24"/>
      <c r="BV11" s="24"/>
      <c r="BW11" s="24"/>
      <c r="BX11" s="24"/>
      <c r="BY11" s="24"/>
      <c r="BZ11" s="24"/>
      <c r="CA11" s="24"/>
      <c r="CB11" s="24"/>
      <c r="CC11" s="24"/>
      <c r="CD11" s="24" t="s">
        <v>224</v>
      </c>
      <c r="CE11" s="24" t="s">
        <v>197</v>
      </c>
      <c r="CF11" s="24"/>
      <c r="CG11" s="24"/>
      <c r="CH11" s="24"/>
      <c r="CI11" s="24"/>
      <c r="CJ11" s="24"/>
      <c r="CK11" s="24"/>
      <c r="CL11" s="24"/>
      <c r="CM11" s="24"/>
      <c r="CN11" s="24"/>
      <c r="CO11" s="24"/>
      <c r="CP11" s="24"/>
      <c r="CQ11" s="24"/>
      <c r="CR11" s="24"/>
      <c r="CS11" s="24"/>
      <c r="CT11" s="24"/>
      <c r="CU11" s="24"/>
      <c r="CV11" s="24"/>
      <c r="CW11" s="24"/>
      <c r="CX11" s="24"/>
      <c r="CY11" s="24" t="s">
        <v>221</v>
      </c>
      <c r="CZ11" s="24"/>
      <c r="DA11" s="24" t="s">
        <v>81</v>
      </c>
      <c r="DB11" s="24" t="s">
        <v>219</v>
      </c>
      <c r="DC11" s="24" t="s">
        <v>115</v>
      </c>
      <c r="DD11" s="24" t="s">
        <v>81</v>
      </c>
      <c r="DE11" s="24" t="s">
        <v>255</v>
      </c>
      <c r="DF11" s="24" t="s">
        <v>14</v>
      </c>
      <c r="DG11" s="24"/>
      <c r="DH11" s="24" t="s">
        <v>194</v>
      </c>
      <c r="DI11" s="24" t="s">
        <v>194</v>
      </c>
      <c r="DJ11" s="24" t="s">
        <v>194</v>
      </c>
      <c r="DK11" s="24" t="s">
        <v>194</v>
      </c>
      <c r="DL11" s="24" t="s">
        <v>219</v>
      </c>
      <c r="DM11" s="24"/>
      <c r="DN11" s="32" t="s">
        <v>364</v>
      </c>
      <c r="DO11" s="31" t="s">
        <v>353</v>
      </c>
      <c r="DP11" s="25" t="s">
        <v>367</v>
      </c>
      <c r="DQ11" s="25" t="s">
        <v>368</v>
      </c>
      <c r="DR11" s="25"/>
      <c r="DS11" s="25"/>
      <c r="DT11" s="25" t="s">
        <v>17</v>
      </c>
      <c r="DU11" s="25" t="s">
        <v>175</v>
      </c>
      <c r="DV11" s="25" t="s">
        <v>384</v>
      </c>
      <c r="DW11" s="25" t="s">
        <v>194</v>
      </c>
      <c r="DX11" s="25"/>
      <c r="DY11" s="25"/>
      <c r="DZ11" s="25" t="s">
        <v>143</v>
      </c>
      <c r="EA11" s="25" t="s">
        <v>194</v>
      </c>
      <c r="EB11" s="25" t="s">
        <v>214</v>
      </c>
      <c r="EC11" s="25" t="s">
        <v>385</v>
      </c>
      <c r="ED11" s="25"/>
      <c r="EE11" s="25"/>
      <c r="EF11" s="25"/>
      <c r="EG11" s="25"/>
      <c r="EH11" s="25"/>
      <c r="EI11" s="25"/>
      <c r="EJ11" s="25" t="s">
        <v>175</v>
      </c>
      <c r="EK11" s="25" t="s">
        <v>384</v>
      </c>
      <c r="EL11" s="25"/>
      <c r="EM11" s="25"/>
      <c r="EN11"/>
      <c r="EO11"/>
      <c r="EP11"/>
      <c r="EQ11"/>
      <c r="ER11"/>
      <c r="ES11"/>
      <c r="ET11"/>
      <c r="EU11"/>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t="s">
        <v>194</v>
      </c>
      <c r="FU11" s="25" t="s">
        <v>194</v>
      </c>
      <c r="FV11" s="25" t="s">
        <v>194</v>
      </c>
      <c r="FW11" s="25"/>
      <c r="FX11" s="25"/>
      <c r="FY11" s="25"/>
      <c r="FZ11" s="25"/>
      <c r="GA11" s="28" t="s">
        <v>75</v>
      </c>
      <c r="GB11" s="28" t="s">
        <v>175</v>
      </c>
      <c r="GC11" s="28" t="s">
        <v>386</v>
      </c>
      <c r="GD11" s="28"/>
      <c r="GE11" s="28" t="s">
        <v>175</v>
      </c>
      <c r="GF11" s="28"/>
    </row>
    <row r="12" spans="1:188" ht="12" customHeight="1" x14ac:dyDescent="0.25">
      <c r="A12" s="24">
        <v>17276</v>
      </c>
      <c r="B12" s="24">
        <v>1305485</v>
      </c>
      <c r="C12" s="25" t="s">
        <v>307</v>
      </c>
      <c r="D12" s="24" t="s">
        <v>203</v>
      </c>
      <c r="E12" s="25" t="s">
        <v>242</v>
      </c>
      <c r="F12" s="25" t="s">
        <v>32</v>
      </c>
      <c r="G12" s="25" t="s">
        <v>267</v>
      </c>
      <c r="H12" s="25" t="s">
        <v>194</v>
      </c>
      <c r="I12" s="25" t="s">
        <v>137</v>
      </c>
      <c r="J12" s="25" t="s">
        <v>139</v>
      </c>
      <c r="K12" s="25"/>
      <c r="L12" s="25" t="s">
        <v>194</v>
      </c>
      <c r="M12" s="25" t="s">
        <v>74</v>
      </c>
      <c r="N12" s="25" t="s">
        <v>243</v>
      </c>
      <c r="O12" s="25" t="s">
        <v>194</v>
      </c>
      <c r="P12" s="25" t="s">
        <v>106</v>
      </c>
      <c r="Q12" s="25" t="s">
        <v>110</v>
      </c>
      <c r="R12" s="25" t="s">
        <v>74</v>
      </c>
      <c r="S12" s="25" t="s">
        <v>302</v>
      </c>
      <c r="T12" s="25" t="s">
        <v>224</v>
      </c>
      <c r="U12" s="25" t="s">
        <v>194</v>
      </c>
      <c r="V12" s="25" t="s">
        <v>50</v>
      </c>
      <c r="W12" s="25" t="s">
        <v>14</v>
      </c>
      <c r="X12" s="25" t="s">
        <v>224</v>
      </c>
      <c r="Y12" s="25" t="s">
        <v>181</v>
      </c>
      <c r="Z12" s="25" t="s">
        <v>194</v>
      </c>
      <c r="AA12" s="25" t="s">
        <v>194</v>
      </c>
      <c r="AB12" s="25"/>
      <c r="AC12" s="25"/>
      <c r="AD12" s="25" t="s">
        <v>221</v>
      </c>
      <c r="AE12" s="25"/>
      <c r="AF12" s="25" t="s">
        <v>194</v>
      </c>
      <c r="AG12" s="25" t="s">
        <v>296</v>
      </c>
      <c r="AH12" s="25" t="s">
        <v>92</v>
      </c>
      <c r="AI12" s="25" t="s">
        <v>194</v>
      </c>
      <c r="AJ12" s="25" t="s">
        <v>194</v>
      </c>
      <c r="AK12" s="25" t="s">
        <v>194</v>
      </c>
      <c r="AL12" s="25" t="s">
        <v>194</v>
      </c>
      <c r="AM12" s="25" t="s">
        <v>194</v>
      </c>
      <c r="AN12" s="25" t="s">
        <v>194</v>
      </c>
      <c r="AO12" s="25" t="s">
        <v>194</v>
      </c>
      <c r="AP12" s="24">
        <v>1305485</v>
      </c>
      <c r="AQ12" s="24" t="s">
        <v>267</v>
      </c>
      <c r="AR12" s="24" t="s">
        <v>307</v>
      </c>
      <c r="AS12" s="24" t="s">
        <v>137</v>
      </c>
      <c r="AT12" s="24" t="s">
        <v>110</v>
      </c>
      <c r="AU12" s="24" t="s">
        <v>74</v>
      </c>
      <c r="AV12" s="26" t="s">
        <v>243</v>
      </c>
      <c r="AW12" s="27"/>
      <c r="AX12" s="24" t="s">
        <v>74</v>
      </c>
      <c r="AY12" s="24" t="s">
        <v>74</v>
      </c>
      <c r="AZ12" s="24"/>
      <c r="BA12" s="24" t="s">
        <v>139</v>
      </c>
      <c r="BB12" s="24" t="s">
        <v>341</v>
      </c>
      <c r="BC12" s="24">
        <f t="shared" si="1"/>
        <v>28</v>
      </c>
      <c r="BD12" s="24" t="s">
        <v>342</v>
      </c>
      <c r="BE12" s="24">
        <f t="shared" si="0"/>
        <v>26</v>
      </c>
      <c r="BF12" s="29"/>
      <c r="BG12" s="24"/>
      <c r="BH12" s="24" t="s">
        <v>194</v>
      </c>
      <c r="BI12" s="24"/>
      <c r="BJ12" s="24"/>
      <c r="BK12" s="24"/>
      <c r="BL12" s="24"/>
      <c r="BM12" s="24"/>
      <c r="BN12" s="24"/>
      <c r="BO12" s="24" t="s">
        <v>378</v>
      </c>
      <c r="BP12" s="24"/>
      <c r="BQ12" s="24"/>
      <c r="BR12" s="24"/>
      <c r="BS12" s="24"/>
      <c r="BT12" s="24"/>
      <c r="BU12" s="24"/>
      <c r="BV12" s="24"/>
      <c r="BW12" s="24"/>
      <c r="BX12" s="24"/>
      <c r="BY12" s="24"/>
      <c r="BZ12" s="24"/>
      <c r="CA12" s="24"/>
      <c r="CB12" s="24"/>
      <c r="CC12" s="24"/>
      <c r="CD12" s="24" t="s">
        <v>224</v>
      </c>
      <c r="CE12" s="24" t="s">
        <v>302</v>
      </c>
      <c r="CF12" s="24"/>
      <c r="CG12" s="24"/>
      <c r="CH12" s="24"/>
      <c r="CI12" s="24"/>
      <c r="CJ12" s="24"/>
      <c r="CK12" s="24"/>
      <c r="CL12" s="24"/>
      <c r="CM12" s="24"/>
      <c r="CN12" s="24"/>
      <c r="CO12" s="24"/>
      <c r="CP12" s="24"/>
      <c r="CQ12" s="24"/>
      <c r="CR12" s="24"/>
      <c r="CS12" s="24"/>
      <c r="CT12" s="24"/>
      <c r="CU12" s="24"/>
      <c r="CV12" s="24"/>
      <c r="CW12" s="24"/>
      <c r="CX12" s="24"/>
      <c r="CY12" s="24" t="s">
        <v>221</v>
      </c>
      <c r="CZ12" s="24"/>
      <c r="DA12" s="24" t="s">
        <v>81</v>
      </c>
      <c r="DB12" s="24" t="s">
        <v>219</v>
      </c>
      <c r="DC12" s="24" t="s">
        <v>115</v>
      </c>
      <c r="DD12" s="24" t="s">
        <v>81</v>
      </c>
      <c r="DE12" s="24" t="s">
        <v>255</v>
      </c>
      <c r="DF12" s="24" t="s">
        <v>14</v>
      </c>
      <c r="DG12" s="24"/>
      <c r="DH12" s="24" t="s">
        <v>194</v>
      </c>
      <c r="DI12" s="24" t="s">
        <v>194</v>
      </c>
      <c r="DJ12" s="24" t="s">
        <v>194</v>
      </c>
      <c r="DK12" s="24" t="s">
        <v>81</v>
      </c>
      <c r="DL12" s="24" t="s">
        <v>219</v>
      </c>
      <c r="DM12" s="24"/>
      <c r="DN12" s="32" t="s">
        <v>363</v>
      </c>
      <c r="DO12" s="31" t="s">
        <v>383</v>
      </c>
      <c r="DP12" s="25"/>
      <c r="DQ12" s="25"/>
      <c r="DR12" s="25"/>
      <c r="DS12" s="25"/>
      <c r="DT12" s="25" t="s">
        <v>17</v>
      </c>
      <c r="DU12" s="25" t="s">
        <v>175</v>
      </c>
      <c r="DV12" s="25" t="s">
        <v>384</v>
      </c>
      <c r="DW12" s="25" t="s">
        <v>194</v>
      </c>
      <c r="DX12" s="25"/>
      <c r="DY12" s="25"/>
      <c r="DZ12" s="25" t="s">
        <v>143</v>
      </c>
      <c r="EA12" s="25" t="s">
        <v>194</v>
      </c>
      <c r="EB12" s="25" t="s">
        <v>214</v>
      </c>
      <c r="EC12" s="25" t="s">
        <v>385</v>
      </c>
      <c r="ED12" s="25"/>
      <c r="EE12" s="25"/>
      <c r="EF12" s="25"/>
      <c r="EG12" s="25"/>
      <c r="EH12" s="25"/>
      <c r="EI12" s="25"/>
      <c r="EJ12" s="25" t="s">
        <v>175</v>
      </c>
      <c r="EK12" s="25" t="s">
        <v>384</v>
      </c>
      <c r="EL12" s="25"/>
      <c r="EM12" s="25"/>
      <c r="EN12"/>
      <c r="EO12"/>
      <c r="EP12"/>
      <c r="EQ12"/>
      <c r="ER12"/>
      <c r="ES12"/>
      <c r="ET12"/>
      <c r="EU12"/>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t="s">
        <v>194</v>
      </c>
      <c r="FU12" s="25" t="s">
        <v>194</v>
      </c>
      <c r="FV12" s="25" t="s">
        <v>194</v>
      </c>
      <c r="FW12" s="25"/>
      <c r="FX12" s="25"/>
      <c r="FY12" s="25"/>
      <c r="FZ12" s="25"/>
      <c r="GA12" s="28" t="s">
        <v>75</v>
      </c>
      <c r="GB12" s="28" t="s">
        <v>175</v>
      </c>
      <c r="GC12" s="28" t="s">
        <v>386</v>
      </c>
      <c r="GD12" s="28"/>
      <c r="GE12" s="28" t="s">
        <v>175</v>
      </c>
      <c r="GF12" s="28"/>
    </row>
    <row r="13" spans="1:188" ht="12" customHeight="1" x14ac:dyDescent="0.25">
      <c r="A13" s="24">
        <v>17278</v>
      </c>
      <c r="B13" s="24">
        <v>1305489</v>
      </c>
      <c r="C13" s="25" t="s">
        <v>130</v>
      </c>
      <c r="D13" s="24" t="s">
        <v>203</v>
      </c>
      <c r="E13" s="25" t="s">
        <v>242</v>
      </c>
      <c r="F13" s="25" t="s">
        <v>32</v>
      </c>
      <c r="G13" s="25" t="s">
        <v>185</v>
      </c>
      <c r="H13" s="25" t="s">
        <v>194</v>
      </c>
      <c r="I13" s="25" t="s">
        <v>118</v>
      </c>
      <c r="J13" s="25" t="s">
        <v>166</v>
      </c>
      <c r="K13" s="25" t="s">
        <v>194</v>
      </c>
      <c r="L13" s="25" t="s">
        <v>194</v>
      </c>
      <c r="M13" s="25" t="s">
        <v>6</v>
      </c>
      <c r="N13" s="25" t="s">
        <v>88</v>
      </c>
      <c r="O13" s="25" t="s">
        <v>194</v>
      </c>
      <c r="P13" s="25" t="s">
        <v>106</v>
      </c>
      <c r="Q13" s="25" t="s">
        <v>110</v>
      </c>
      <c r="R13" s="25" t="s">
        <v>125</v>
      </c>
      <c r="S13" s="25" t="s">
        <v>251</v>
      </c>
      <c r="T13" s="25" t="s">
        <v>50</v>
      </c>
      <c r="U13" s="25" t="s">
        <v>194</v>
      </c>
      <c r="V13" s="25" t="s">
        <v>50</v>
      </c>
      <c r="W13" s="25" t="s">
        <v>14</v>
      </c>
      <c r="X13" s="25" t="s">
        <v>194</v>
      </c>
      <c r="Y13" s="25" t="s">
        <v>194</v>
      </c>
      <c r="Z13" s="25" t="s">
        <v>194</v>
      </c>
      <c r="AA13" s="25" t="s">
        <v>194</v>
      </c>
      <c r="AB13" s="25"/>
      <c r="AC13" s="25"/>
      <c r="AD13" s="25"/>
      <c r="AE13" s="25"/>
      <c r="AF13" s="25" t="s">
        <v>194</v>
      </c>
      <c r="AG13" s="25" t="s">
        <v>296</v>
      </c>
      <c r="AH13" s="25" t="s">
        <v>92</v>
      </c>
      <c r="AI13" s="25" t="s">
        <v>194</v>
      </c>
      <c r="AJ13" s="25" t="s">
        <v>194</v>
      </c>
      <c r="AK13" s="25" t="s">
        <v>194</v>
      </c>
      <c r="AL13" s="25" t="s">
        <v>194</v>
      </c>
      <c r="AM13" s="25" t="s">
        <v>194</v>
      </c>
      <c r="AN13" s="25" t="s">
        <v>194</v>
      </c>
      <c r="AO13" s="25" t="s">
        <v>194</v>
      </c>
      <c r="AP13" s="24">
        <v>1305489</v>
      </c>
      <c r="AQ13" s="24" t="s">
        <v>185</v>
      </c>
      <c r="AR13" s="24" t="s">
        <v>130</v>
      </c>
      <c r="AS13" s="24" t="s">
        <v>118</v>
      </c>
      <c r="AT13" s="24" t="s">
        <v>110</v>
      </c>
      <c r="AU13" s="24" t="s">
        <v>125</v>
      </c>
      <c r="AV13" s="26"/>
      <c r="AW13" s="27"/>
      <c r="AX13" s="24"/>
      <c r="AY13" s="24"/>
      <c r="AZ13" s="24"/>
      <c r="BA13" s="24" t="s">
        <v>166</v>
      </c>
      <c r="BB13" s="24"/>
      <c r="BC13" s="24"/>
      <c r="BD13" s="24"/>
      <c r="BE13" s="24"/>
      <c r="BF13" s="29"/>
      <c r="BG13" s="24"/>
      <c r="BH13" s="24" t="s">
        <v>194</v>
      </c>
      <c r="BI13" s="24"/>
      <c r="BJ13" s="24"/>
      <c r="BK13" s="24"/>
      <c r="BL13" s="24"/>
      <c r="BM13" s="24"/>
      <c r="BN13" s="24"/>
      <c r="BO13" s="24"/>
      <c r="BP13" s="24"/>
      <c r="BQ13" s="24"/>
      <c r="BR13" s="24"/>
      <c r="BS13" s="24"/>
      <c r="BT13" s="24"/>
      <c r="BU13" s="24"/>
      <c r="BV13" s="24"/>
      <c r="BW13" s="24"/>
      <c r="BX13" s="24"/>
      <c r="BY13" s="24"/>
      <c r="BZ13" s="24"/>
      <c r="CA13" s="24"/>
      <c r="CB13" s="24"/>
      <c r="CC13" s="24"/>
      <c r="CD13" s="24" t="s">
        <v>50</v>
      </c>
      <c r="CE13" s="24" t="s">
        <v>251</v>
      </c>
      <c r="CF13" s="24" t="s">
        <v>50</v>
      </c>
      <c r="CG13" s="24">
        <v>1</v>
      </c>
      <c r="CH13" s="24"/>
      <c r="CI13" s="24"/>
      <c r="CJ13" s="24"/>
      <c r="CK13" s="24"/>
      <c r="CL13" s="24"/>
      <c r="CM13" s="24"/>
      <c r="CN13" s="24"/>
      <c r="CO13" s="24"/>
      <c r="CP13" s="24"/>
      <c r="CQ13" s="24"/>
      <c r="CR13" s="24"/>
      <c r="CS13" s="24"/>
      <c r="CT13" s="24"/>
      <c r="CU13" s="24"/>
      <c r="CV13" s="24"/>
      <c r="CW13" s="24"/>
      <c r="CX13" s="24"/>
      <c r="CY13" s="24"/>
      <c r="CZ13" s="24"/>
      <c r="DA13" s="24" t="s">
        <v>81</v>
      </c>
      <c r="DB13" s="24"/>
      <c r="DC13" s="24" t="s">
        <v>115</v>
      </c>
      <c r="DD13" s="24" t="s">
        <v>81</v>
      </c>
      <c r="DE13" s="24" t="s">
        <v>273</v>
      </c>
      <c r="DF13" s="24" t="s">
        <v>14</v>
      </c>
      <c r="DG13" s="24"/>
      <c r="DH13" s="24" t="s">
        <v>194</v>
      </c>
      <c r="DI13" s="24" t="s">
        <v>194</v>
      </c>
      <c r="DJ13" s="24" t="s">
        <v>194</v>
      </c>
      <c r="DK13" s="24" t="s">
        <v>194</v>
      </c>
      <c r="DL13" s="24" t="s">
        <v>219</v>
      </c>
      <c r="DM13" s="24"/>
      <c r="DN13" s="32" t="s">
        <v>365</v>
      </c>
      <c r="DO13" s="31" t="s">
        <v>356</v>
      </c>
      <c r="DP13" s="25" t="s">
        <v>369</v>
      </c>
      <c r="DQ13" s="25"/>
      <c r="DR13" s="25"/>
      <c r="DS13" s="25"/>
      <c r="DT13" s="25" t="s">
        <v>17</v>
      </c>
      <c r="DU13" s="25" t="s">
        <v>175</v>
      </c>
      <c r="DV13" s="25" t="s">
        <v>384</v>
      </c>
      <c r="DW13" s="25" t="s">
        <v>194</v>
      </c>
      <c r="DX13" s="25"/>
      <c r="DY13" s="25"/>
      <c r="DZ13" s="25" t="s">
        <v>143</v>
      </c>
      <c r="EA13" s="25" t="s">
        <v>194</v>
      </c>
      <c r="EB13" s="25" t="s">
        <v>214</v>
      </c>
      <c r="EC13" s="25" t="s">
        <v>385</v>
      </c>
      <c r="ED13" s="25"/>
      <c r="EE13" s="25"/>
      <c r="EF13" s="25"/>
      <c r="EG13" s="25"/>
      <c r="EH13" s="25"/>
      <c r="EI13" s="25"/>
      <c r="EJ13" s="25" t="s">
        <v>175</v>
      </c>
      <c r="EK13" s="25" t="s">
        <v>384</v>
      </c>
      <c r="EL13" s="25"/>
      <c r="EM13" s="25"/>
      <c r="EN13"/>
      <c r="EO13"/>
      <c r="EP13"/>
      <c r="EQ13"/>
      <c r="ER13"/>
      <c r="ES13"/>
      <c r="ET13"/>
      <c r="EU13"/>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t="s">
        <v>194</v>
      </c>
      <c r="FU13" s="25" t="s">
        <v>194</v>
      </c>
      <c r="FV13" s="25" t="s">
        <v>194</v>
      </c>
      <c r="FW13" s="25"/>
      <c r="FX13" s="25"/>
      <c r="FY13" s="25"/>
      <c r="FZ13" s="25"/>
      <c r="GA13" s="28" t="s">
        <v>75</v>
      </c>
      <c r="GB13" s="28" t="s">
        <v>175</v>
      </c>
      <c r="GC13" s="28" t="s">
        <v>386</v>
      </c>
      <c r="GD13" s="28"/>
      <c r="GE13" s="28" t="s">
        <v>175</v>
      </c>
      <c r="GF13" s="28"/>
    </row>
    <row r="14" spans="1:188" ht="12" customHeight="1" x14ac:dyDescent="0.25">
      <c r="A14" s="24">
        <v>17278</v>
      </c>
      <c r="B14" s="24">
        <v>1305490</v>
      </c>
      <c r="C14" s="25" t="s">
        <v>130</v>
      </c>
      <c r="D14" s="24" t="s">
        <v>203</v>
      </c>
      <c r="E14" s="25" t="s">
        <v>242</v>
      </c>
      <c r="F14" s="25" t="s">
        <v>32</v>
      </c>
      <c r="G14" s="25" t="s">
        <v>185</v>
      </c>
      <c r="H14" s="25" t="s">
        <v>194</v>
      </c>
      <c r="I14" s="25" t="s">
        <v>238</v>
      </c>
      <c r="J14" s="25" t="s">
        <v>172</v>
      </c>
      <c r="K14" s="25" t="s">
        <v>194</v>
      </c>
      <c r="L14" s="25" t="s">
        <v>194</v>
      </c>
      <c r="M14" s="25" t="s">
        <v>298</v>
      </c>
      <c r="N14" s="25" t="s">
        <v>285</v>
      </c>
      <c r="O14" s="25" t="s">
        <v>194</v>
      </c>
      <c r="P14" s="25" t="s">
        <v>106</v>
      </c>
      <c r="Q14" s="25" t="s">
        <v>110</v>
      </c>
      <c r="R14" s="25" t="s">
        <v>298</v>
      </c>
      <c r="S14" s="25" t="s">
        <v>135</v>
      </c>
      <c r="T14" s="25" t="s">
        <v>224</v>
      </c>
      <c r="U14" s="25" t="s">
        <v>194</v>
      </c>
      <c r="V14" s="25" t="s">
        <v>50</v>
      </c>
      <c r="W14" s="25" t="s">
        <v>14</v>
      </c>
      <c r="X14" s="25" t="s">
        <v>224</v>
      </c>
      <c r="Y14" s="25" t="s">
        <v>79</v>
      </c>
      <c r="Z14" s="25" t="s">
        <v>194</v>
      </c>
      <c r="AA14" s="25" t="s">
        <v>194</v>
      </c>
      <c r="AB14" s="25"/>
      <c r="AC14" s="25"/>
      <c r="AD14" s="25" t="s">
        <v>65</v>
      </c>
      <c r="AE14" s="25"/>
      <c r="AF14" s="25" t="s">
        <v>194</v>
      </c>
      <c r="AG14" s="25" t="s">
        <v>296</v>
      </c>
      <c r="AH14" s="25" t="s">
        <v>92</v>
      </c>
      <c r="AI14" s="25" t="s">
        <v>194</v>
      </c>
      <c r="AJ14" s="25" t="s">
        <v>194</v>
      </c>
      <c r="AK14" s="25" t="s">
        <v>194</v>
      </c>
      <c r="AL14" s="25" t="s">
        <v>194</v>
      </c>
      <c r="AM14" s="25" t="s">
        <v>194</v>
      </c>
      <c r="AN14" s="25" t="s">
        <v>194</v>
      </c>
      <c r="AO14" s="25" t="s">
        <v>194</v>
      </c>
      <c r="AP14" s="24">
        <v>1305490</v>
      </c>
      <c r="AQ14" s="24" t="s">
        <v>185</v>
      </c>
      <c r="AR14" s="24" t="s">
        <v>130</v>
      </c>
      <c r="AS14" s="24" t="s">
        <v>238</v>
      </c>
      <c r="AT14" s="24" t="s">
        <v>110</v>
      </c>
      <c r="AU14" s="24" t="s">
        <v>298</v>
      </c>
      <c r="AV14" s="26" t="s">
        <v>285</v>
      </c>
      <c r="AW14" s="27"/>
      <c r="AX14" s="24" t="s">
        <v>298</v>
      </c>
      <c r="AY14" s="24" t="s">
        <v>298</v>
      </c>
      <c r="AZ14" s="24"/>
      <c r="BA14" s="24" t="s">
        <v>172</v>
      </c>
      <c r="BB14" s="24" t="s">
        <v>343</v>
      </c>
      <c r="BC14" s="24">
        <f t="shared" si="1"/>
        <v>24</v>
      </c>
      <c r="BD14" s="24" t="s">
        <v>344</v>
      </c>
      <c r="BE14" s="24">
        <f t="shared" si="0"/>
        <v>26</v>
      </c>
      <c r="BF14" s="29"/>
      <c r="BG14" s="24"/>
      <c r="BH14" s="24" t="s">
        <v>194</v>
      </c>
      <c r="BI14" s="24"/>
      <c r="BJ14" s="24"/>
      <c r="BK14" s="24"/>
      <c r="BL14" s="24"/>
      <c r="BM14" s="24"/>
      <c r="BN14" s="24"/>
      <c r="BO14" s="24" t="s">
        <v>377</v>
      </c>
      <c r="BP14" s="24"/>
      <c r="BQ14" s="24"/>
      <c r="BR14" s="24"/>
      <c r="BS14" s="24"/>
      <c r="BT14" s="24"/>
      <c r="BU14" s="24"/>
      <c r="BV14" s="24"/>
      <c r="BW14" s="24"/>
      <c r="BX14" s="24"/>
      <c r="BY14" s="24"/>
      <c r="BZ14" s="24"/>
      <c r="CA14" s="24"/>
      <c r="CB14" s="24"/>
      <c r="CC14" s="24"/>
      <c r="CD14" s="24" t="s">
        <v>224</v>
      </c>
      <c r="CE14" s="24" t="s">
        <v>135</v>
      </c>
      <c r="CF14" s="24"/>
      <c r="CG14" s="24"/>
      <c r="CH14" s="24"/>
      <c r="CI14" s="24"/>
      <c r="CJ14" s="24"/>
      <c r="CK14" s="24"/>
      <c r="CL14" s="24"/>
      <c r="CM14" s="24"/>
      <c r="CN14" s="24"/>
      <c r="CO14" s="24"/>
      <c r="CP14" s="24"/>
      <c r="CQ14" s="24"/>
      <c r="CR14" s="24"/>
      <c r="CS14" s="24"/>
      <c r="CT14" s="24"/>
      <c r="CU14" s="24"/>
      <c r="CV14" s="24"/>
      <c r="CW14" s="24"/>
      <c r="CX14" s="24"/>
      <c r="CY14" s="24" t="s">
        <v>65</v>
      </c>
      <c r="CZ14" s="24"/>
      <c r="DA14" s="24" t="s">
        <v>81</v>
      </c>
      <c r="DB14" s="24" t="s">
        <v>219</v>
      </c>
      <c r="DC14" s="24" t="s">
        <v>115</v>
      </c>
      <c r="DD14" s="24" t="s">
        <v>81</v>
      </c>
      <c r="DE14" s="24" t="s">
        <v>273</v>
      </c>
      <c r="DF14" s="24" t="s">
        <v>14</v>
      </c>
      <c r="DG14" s="24"/>
      <c r="DH14" s="24" t="s">
        <v>194</v>
      </c>
      <c r="DI14" s="24" t="s">
        <v>194</v>
      </c>
      <c r="DJ14" s="24" t="s">
        <v>194</v>
      </c>
      <c r="DK14" s="24" t="s">
        <v>81</v>
      </c>
      <c r="DL14" s="24" t="s">
        <v>219</v>
      </c>
      <c r="DM14" s="24"/>
      <c r="DN14" s="32" t="s">
        <v>363</v>
      </c>
      <c r="DO14" s="31" t="s">
        <v>350</v>
      </c>
      <c r="DP14" s="25"/>
      <c r="DQ14" s="25"/>
      <c r="DR14" s="25"/>
      <c r="DS14" s="25"/>
      <c r="DT14" s="25" t="s">
        <v>17</v>
      </c>
      <c r="DU14" s="25" t="s">
        <v>175</v>
      </c>
      <c r="DV14" s="25" t="s">
        <v>384</v>
      </c>
      <c r="DW14" s="25" t="s">
        <v>194</v>
      </c>
      <c r="DX14" s="25"/>
      <c r="DY14" s="25"/>
      <c r="DZ14" s="25" t="s">
        <v>143</v>
      </c>
      <c r="EA14" s="25" t="s">
        <v>194</v>
      </c>
      <c r="EB14" s="25" t="s">
        <v>214</v>
      </c>
      <c r="EC14" s="25" t="s">
        <v>385</v>
      </c>
      <c r="ED14" s="25"/>
      <c r="EE14" s="25"/>
      <c r="EF14" s="25"/>
      <c r="EG14" s="25"/>
      <c r="EH14" s="25"/>
      <c r="EI14" s="25"/>
      <c r="EJ14" s="25" t="s">
        <v>175</v>
      </c>
      <c r="EK14" s="25" t="s">
        <v>384</v>
      </c>
      <c r="EL14" s="25"/>
      <c r="EM14" s="25"/>
      <c r="EN14"/>
      <c r="EO14"/>
      <c r="EP14"/>
      <c r="EQ14"/>
      <c r="ER14"/>
      <c r="ES14"/>
      <c r="ET14"/>
      <c r="EU14"/>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t="s">
        <v>194</v>
      </c>
      <c r="FU14" s="25" t="s">
        <v>194</v>
      </c>
      <c r="FV14" s="25" t="s">
        <v>194</v>
      </c>
      <c r="FW14" s="25"/>
      <c r="FX14" s="25"/>
      <c r="FY14" s="25"/>
      <c r="FZ14" s="25"/>
      <c r="GA14" s="28" t="s">
        <v>75</v>
      </c>
      <c r="GB14" s="28" t="s">
        <v>175</v>
      </c>
      <c r="GC14" s="28" t="s">
        <v>386</v>
      </c>
      <c r="GD14" s="28"/>
      <c r="GE14" s="28" t="s">
        <v>175</v>
      </c>
      <c r="GF14" s="28"/>
    </row>
    <row r="15" spans="1:188" ht="12" customHeight="1" x14ac:dyDescent="0.25">
      <c r="A15" s="24">
        <v>17278</v>
      </c>
      <c r="B15" s="24">
        <v>1305493</v>
      </c>
      <c r="C15" s="25" t="s">
        <v>130</v>
      </c>
      <c r="D15" s="24" t="s">
        <v>203</v>
      </c>
      <c r="E15" s="25" t="s">
        <v>242</v>
      </c>
      <c r="F15" s="25" t="s">
        <v>32</v>
      </c>
      <c r="G15" s="25" t="s">
        <v>185</v>
      </c>
      <c r="H15" s="25" t="s">
        <v>194</v>
      </c>
      <c r="I15" s="25" t="s">
        <v>211</v>
      </c>
      <c r="J15" s="25" t="s">
        <v>188</v>
      </c>
      <c r="K15" s="25" t="s">
        <v>194</v>
      </c>
      <c r="L15" s="25" t="s">
        <v>194</v>
      </c>
      <c r="M15" s="25" t="s">
        <v>108</v>
      </c>
      <c r="N15" s="25" t="s">
        <v>201</v>
      </c>
      <c r="O15" s="25" t="s">
        <v>194</v>
      </c>
      <c r="P15" s="25" t="s">
        <v>106</v>
      </c>
      <c r="Q15" s="25" t="s">
        <v>110</v>
      </c>
      <c r="R15" s="25" t="s">
        <v>55</v>
      </c>
      <c r="S15" s="25" t="s">
        <v>207</v>
      </c>
      <c r="T15" s="25" t="s">
        <v>258</v>
      </c>
      <c r="U15" s="25" t="s">
        <v>194</v>
      </c>
      <c r="V15" s="25" t="s">
        <v>50</v>
      </c>
      <c r="W15" s="25" t="s">
        <v>14</v>
      </c>
      <c r="X15" s="25" t="s">
        <v>258</v>
      </c>
      <c r="Y15" s="25" t="s">
        <v>78</v>
      </c>
      <c r="Z15" s="25" t="s">
        <v>194</v>
      </c>
      <c r="AA15" s="25" t="s">
        <v>194</v>
      </c>
      <c r="AB15" s="25"/>
      <c r="AC15" s="25"/>
      <c r="AD15" s="25" t="s">
        <v>59</v>
      </c>
      <c r="AE15" s="25"/>
      <c r="AF15" s="25" t="s">
        <v>194</v>
      </c>
      <c r="AG15" s="25" t="s">
        <v>296</v>
      </c>
      <c r="AH15" s="25" t="s">
        <v>92</v>
      </c>
      <c r="AI15" s="25" t="s">
        <v>194</v>
      </c>
      <c r="AJ15" s="25" t="s">
        <v>194</v>
      </c>
      <c r="AK15" s="25" t="s">
        <v>194</v>
      </c>
      <c r="AL15" s="25" t="s">
        <v>194</v>
      </c>
      <c r="AM15" s="25" t="s">
        <v>194</v>
      </c>
      <c r="AN15" s="25" t="s">
        <v>194</v>
      </c>
      <c r="AO15" s="25" t="s">
        <v>194</v>
      </c>
      <c r="AP15" s="24">
        <v>1305493</v>
      </c>
      <c r="AQ15" s="24" t="s">
        <v>185</v>
      </c>
      <c r="AR15" s="24" t="s">
        <v>130</v>
      </c>
      <c r="AS15" s="24" t="s">
        <v>211</v>
      </c>
      <c r="AT15" s="24" t="s">
        <v>110</v>
      </c>
      <c r="AU15" s="24" t="s">
        <v>55</v>
      </c>
      <c r="AV15" s="26"/>
      <c r="AW15" s="27"/>
      <c r="AX15" s="24"/>
      <c r="AY15" s="24"/>
      <c r="AZ15" s="24"/>
      <c r="BA15" s="24" t="s">
        <v>188</v>
      </c>
      <c r="BB15" s="24" t="s">
        <v>345</v>
      </c>
      <c r="BC15" s="24">
        <f t="shared" si="1"/>
        <v>29</v>
      </c>
      <c r="BD15" s="24" t="s">
        <v>346</v>
      </c>
      <c r="BE15" s="24">
        <f t="shared" si="0"/>
        <v>27</v>
      </c>
      <c r="BF15" s="29"/>
      <c r="BG15" s="24"/>
      <c r="BH15" s="24" t="s">
        <v>194</v>
      </c>
      <c r="BI15" s="24"/>
      <c r="BJ15" s="24"/>
      <c r="BK15" s="24"/>
      <c r="BL15" s="24"/>
      <c r="BM15" s="24"/>
      <c r="BN15" s="24"/>
      <c r="BO15" s="24"/>
      <c r="BP15" s="24"/>
      <c r="BQ15" s="24"/>
      <c r="BR15" s="24"/>
      <c r="BS15" s="24"/>
      <c r="BT15" s="24"/>
      <c r="BU15" s="24"/>
      <c r="BV15" s="24"/>
      <c r="BW15" s="24"/>
      <c r="BX15" s="24"/>
      <c r="BY15" s="24"/>
      <c r="BZ15" s="24"/>
      <c r="CA15" s="24"/>
      <c r="CB15" s="24"/>
      <c r="CC15" s="24"/>
      <c r="CD15" s="24" t="s">
        <v>258</v>
      </c>
      <c r="CE15" s="24" t="s">
        <v>207</v>
      </c>
      <c r="CF15" s="24"/>
      <c r="CG15" s="24"/>
      <c r="CH15" s="24"/>
      <c r="CI15" s="24"/>
      <c r="CJ15" s="24"/>
      <c r="CK15" s="24"/>
      <c r="CL15" s="24"/>
      <c r="CM15" s="24"/>
      <c r="CN15" s="24"/>
      <c r="CO15" s="24"/>
      <c r="CP15" s="24"/>
      <c r="CQ15" s="24"/>
      <c r="CR15" s="24"/>
      <c r="CS15" s="24"/>
      <c r="CT15" s="24"/>
      <c r="CU15" s="24"/>
      <c r="CV15" s="24"/>
      <c r="CW15" s="24"/>
      <c r="CX15" s="24"/>
      <c r="CY15" s="24" t="s">
        <v>59</v>
      </c>
      <c r="CZ15" s="24"/>
      <c r="DA15" s="24" t="s">
        <v>81</v>
      </c>
      <c r="DB15" s="24" t="s">
        <v>219</v>
      </c>
      <c r="DC15" s="24" t="s">
        <v>115</v>
      </c>
      <c r="DD15" s="24" t="s">
        <v>81</v>
      </c>
      <c r="DE15" s="24" t="s">
        <v>273</v>
      </c>
      <c r="DF15" s="24" t="s">
        <v>14</v>
      </c>
      <c r="DG15" s="24"/>
      <c r="DH15" s="24" t="s">
        <v>194</v>
      </c>
      <c r="DI15" s="24" t="s">
        <v>194</v>
      </c>
      <c r="DJ15" s="24" t="s">
        <v>194</v>
      </c>
      <c r="DK15" s="24" t="s">
        <v>194</v>
      </c>
      <c r="DL15" s="24" t="s">
        <v>219</v>
      </c>
      <c r="DM15" s="24"/>
      <c r="DN15" s="32" t="s">
        <v>364</v>
      </c>
      <c r="DO15" s="31" t="s">
        <v>357</v>
      </c>
      <c r="DP15" s="25" t="s">
        <v>370</v>
      </c>
      <c r="DQ15" s="25"/>
      <c r="DR15" s="25"/>
      <c r="DS15" s="25"/>
      <c r="DT15" s="25" t="s">
        <v>17</v>
      </c>
      <c r="DU15" s="25" t="s">
        <v>175</v>
      </c>
      <c r="DV15" s="25" t="s">
        <v>384</v>
      </c>
      <c r="DW15" s="25" t="s">
        <v>194</v>
      </c>
      <c r="DX15" s="25"/>
      <c r="DY15" s="25"/>
      <c r="DZ15" s="25" t="s">
        <v>143</v>
      </c>
      <c r="EA15" s="25" t="s">
        <v>194</v>
      </c>
      <c r="EB15" s="25" t="s">
        <v>214</v>
      </c>
      <c r="EC15" s="25" t="s">
        <v>385</v>
      </c>
      <c r="ED15" s="25"/>
      <c r="EE15" s="25"/>
      <c r="EF15" s="25"/>
      <c r="EG15" s="25"/>
      <c r="EH15" s="25"/>
      <c r="EI15" s="25"/>
      <c r="EJ15" s="25" t="s">
        <v>175</v>
      </c>
      <c r="EK15" s="25" t="s">
        <v>384</v>
      </c>
      <c r="EL15" s="25"/>
      <c r="EM15" s="25"/>
      <c r="EN15"/>
      <c r="EO15"/>
      <c r="EP15"/>
      <c r="EQ15"/>
      <c r="ER15"/>
      <c r="ES15"/>
      <c r="ET15"/>
      <c r="EU1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t="s">
        <v>194</v>
      </c>
      <c r="FU15" s="25" t="s">
        <v>194</v>
      </c>
      <c r="FV15" s="25" t="s">
        <v>194</v>
      </c>
      <c r="FW15" s="25"/>
      <c r="FX15" s="25"/>
      <c r="FY15" s="25"/>
      <c r="FZ15" s="25"/>
      <c r="GA15" s="28" t="s">
        <v>75</v>
      </c>
      <c r="GB15" s="28" t="s">
        <v>175</v>
      </c>
      <c r="GC15" s="28" t="s">
        <v>386</v>
      </c>
      <c r="GD15" s="28"/>
      <c r="GE15" s="28" t="s">
        <v>175</v>
      </c>
      <c r="GF15" s="28"/>
    </row>
  </sheetData>
  <autoFilter ref="A1:GF15"/>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Darshini</cp:lastModifiedBy>
  <dcterms:created xsi:type="dcterms:W3CDTF">2013-06-26T05:33:36Z</dcterms:created>
  <dcterms:modified xsi:type="dcterms:W3CDTF">2023-06-30T06:08:23Z</dcterms:modified>
  <cp:category/>
</cp:coreProperties>
</file>