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4AE73F43-1818-4D0A-B56E-FEA92460D6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70" i="1" l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<sst xmlns="http://schemas.openxmlformats.org/spreadsheetml/2006/main" count="2578" uniqueCount="956">
  <si>
    <t>RapidClean Grasper Modular CFH Babcock Ratchet Lock Handle 5.0 mm 450 mm</t>
  </si>
  <si>
    <t>PRODIGO1066603</t>
  </si>
  <si>
    <t>016-244</t>
  </si>
  <si>
    <t>Symmetry Scissors Potts-Smith 25° Angle Serrated Black Handle 7 in</t>
  </si>
  <si>
    <t>901050B</t>
  </si>
  <si>
    <t>PRODIGO1066611</t>
  </si>
  <si>
    <t>PRODIGO1066601</t>
  </si>
  <si>
    <t>PRODIGO1066631</t>
  </si>
  <si>
    <t>PRODIGO1066621</t>
  </si>
  <si>
    <t>Symmetry Suction Tube Fukushima Tapered Teardrop 6 Fr 178 mm</t>
  </si>
  <si>
    <t>PRODIGO1066598</t>
  </si>
  <si>
    <t>PRODIGO1066588</t>
  </si>
  <si>
    <t>905053L</t>
  </si>
  <si>
    <t>Rhoton Scissors Straight Bayonet 216 mm</t>
  </si>
  <si>
    <t>901050R</t>
  </si>
  <si>
    <t>Ref#</t>
  </si>
  <si>
    <t>HCPCS description</t>
  </si>
  <si>
    <t>Item Description (Long Description)</t>
  </si>
  <si>
    <t>Symmetry Suction Tube Fukushima Tapered Teardrop 8 Fr 229 mm</t>
  </si>
  <si>
    <t>Symmetry Insert Bottle Nose Dissecting Forceps 5 mm</t>
  </si>
  <si>
    <t>677873</t>
  </si>
  <si>
    <t>971078RC</t>
  </si>
  <si>
    <t>URL</t>
  </si>
  <si>
    <t>Mfg Ref ID</t>
  </si>
  <si>
    <t>Bookwalter Retractor Blade Opti-Length Malleable Blade w/Lip 2 in x 11 in Ebonized</t>
  </si>
  <si>
    <t>To Process</t>
  </si>
  <si>
    <t>Classification Remarks1</t>
  </si>
  <si>
    <t>Olsen Bipolar Forceps Kit Olsen Standard Twin Pin Cord &amp; Surgiwipe Bayonet Insulated Smooth Straight 0.5 mm Tips 8 1/4 in 210 mm Single Use (10/bx)</t>
  </si>
  <si>
    <t>Bookwalter Retractor Blade Opti-Length Malleable Blade w/Lip 3 in x 11 in Ebonized</t>
  </si>
  <si>
    <t>Project2</t>
  </si>
  <si>
    <t>HCPCS Desc1</t>
  </si>
  <si>
    <t>Symmetry Probe Palpitation 12 5/8 in 32 cm</t>
  </si>
  <si>
    <t>Symmetry Grasper Slide Locking Double-Action 5.0 mm Aggressive Jaw 330 mm</t>
  </si>
  <si>
    <t>Symmetry Forceps Duval Ratchet Handle &amp; Rotation 10 mm 320 mm</t>
  </si>
  <si>
    <t>PRODIGO1066577</t>
  </si>
  <si>
    <t>PRODIGO1066597</t>
  </si>
  <si>
    <t>PRODIGO1066587</t>
  </si>
  <si>
    <t>677864</t>
  </si>
  <si>
    <t>Symmetry Adenotome Laforce #2 Medium</t>
  </si>
  <si>
    <t>Property</t>
  </si>
  <si>
    <t>Standardized UNSPSC1</t>
  </si>
  <si>
    <t>677863</t>
  </si>
  <si>
    <t>Rhoton Scissors Curved Bayonet 216 mm</t>
  </si>
  <si>
    <t>Symmetry Sheath 5 mm Diameter w/Flushport 320 mm</t>
  </si>
  <si>
    <t>Mfg Item Number</t>
  </si>
  <si>
    <t>Standardized UNSPSC</t>
  </si>
  <si>
    <t>OB01</t>
  </si>
  <si>
    <t>Data Enrichment | UNSPSC Classification</t>
  </si>
  <si>
    <t>Symmetry Rongeur Spurling Angled Up 4 mm x 10 mm Jaws 6 in</t>
  </si>
  <si>
    <t>Symmetry Case Hudson Drill For Use w/Instrument Set 26-1075</t>
  </si>
  <si>
    <t>Accepted Date</t>
  </si>
  <si>
    <t>PRODIGO1066616</t>
  </si>
  <si>
    <t>PRODIGO1066606</t>
  </si>
  <si>
    <t>PRODIGO1066636</t>
  </si>
  <si>
    <t>PRODIGO1066626</t>
  </si>
  <si>
    <t>Delivered</t>
  </si>
  <si>
    <t>961079R</t>
  </si>
  <si>
    <t>905053</t>
  </si>
  <si>
    <t>Potential Duplicates</t>
  </si>
  <si>
    <t>Description Duplicate</t>
  </si>
  <si>
    <t>Liquid Scope HelpOR™ II Liquid Scope WarmOR™ Long two trocar swabs (5-8mm and 10-12mm) one microfiber cloth Sterile (10/bx)</t>
  </si>
  <si>
    <t>QE Code</t>
  </si>
  <si>
    <t>Symmetry Forceps Micro Straight 0.3 mm Wide Teeth 7 in</t>
  </si>
  <si>
    <t>Long Description</t>
  </si>
  <si>
    <t>Symmetry Forceps Dissecting Rotating Cup Tooth 5 mm 350 mm</t>
  </si>
  <si>
    <t>711813</t>
  </si>
  <si>
    <t>Sterile</t>
  </si>
  <si>
    <t>554922</t>
  </si>
  <si>
    <t>801729</t>
  </si>
  <si>
    <t>SYMMETRY SURGICAL</t>
  </si>
  <si>
    <t>Mapped with 066</t>
  </si>
  <si>
    <t>Symmetry Forceps Bottle Nose Dissecting Insulated 5 mm Tip 320 mm</t>
  </si>
  <si>
    <t>QA Comments</t>
  </si>
  <si>
    <t>554923</t>
  </si>
  <si>
    <t>Symmetry Clamp DeBakey-Castaneda Curved Shanks Angled 25° 1.4 mm Jaw Width 4 3/4 in</t>
  </si>
  <si>
    <t>Ref</t>
  </si>
  <si>
    <t>PRODIGO1066612</t>
  </si>
  <si>
    <t>Symmetry Forceps Monopolar Maryland Dissecting Insulated 10 mm 317 mm</t>
  </si>
  <si>
    <t>PRODIGO1066590</t>
  </si>
  <si>
    <t>Symmetry Clamp DeBakey-Castaneda Curved Shanks Angled 45° 1.4 mm Jaw Width 4 3/4 in</t>
  </si>
  <si>
    <t>RefName</t>
  </si>
  <si>
    <t>PRODIGO1066576</t>
  </si>
  <si>
    <t>QA Code</t>
  </si>
  <si>
    <t>SlNo</t>
  </si>
  <si>
    <t>PRODIGO1066596</t>
  </si>
  <si>
    <t>PRODIGO1066586</t>
  </si>
  <si>
    <t>SE Code</t>
  </si>
  <si>
    <t>861034</t>
  </si>
  <si>
    <t>Previous CE Code</t>
  </si>
  <si>
    <t>PRODIGO1066610</t>
  </si>
  <si>
    <t>PRODIGO1066629</t>
  </si>
  <si>
    <t>PRODIGO1066619</t>
  </si>
  <si>
    <t>PRODIGO1066609</t>
  </si>
  <si>
    <t>PRODIGO1066639</t>
  </si>
  <si>
    <t>211002C</t>
  </si>
  <si>
    <t>Potential Duplicates1</t>
  </si>
  <si>
    <t>PrimaryDimension(IDXODXLXWXHXDXTHK)</t>
  </si>
  <si>
    <t>961089R45</t>
  </si>
  <si>
    <t>PRODIGO1066602</t>
  </si>
  <si>
    <t>PRODIGO1066632</t>
  </si>
  <si>
    <t>PRODIGO1066622</t>
  </si>
  <si>
    <t>531546CD</t>
  </si>
  <si>
    <t>Activities</t>
  </si>
  <si>
    <t>951048SLDA</t>
  </si>
  <si>
    <t>ASIS Item Description (Long Description 4000)</t>
  </si>
  <si>
    <t>Symmetry Scissors Micro Curved Right 200 mm</t>
  </si>
  <si>
    <t>Long Description 254 Enriched</t>
  </si>
  <si>
    <t>Sort Code</t>
  </si>
  <si>
    <t>545608</t>
  </si>
  <si>
    <t>PRODIGO1066617</t>
  </si>
  <si>
    <t>PRODIGO1066607</t>
  </si>
  <si>
    <t>PRODIGO1066637</t>
  </si>
  <si>
    <t>PRODIGO1066627</t>
  </si>
  <si>
    <t>PRODIGO1066592</t>
  </si>
  <si>
    <t>Symmetry Adenotome Laforce #3 Large</t>
  </si>
  <si>
    <t>905050</t>
  </si>
  <si>
    <t>802000</t>
  </si>
  <si>
    <t>901069R</t>
  </si>
  <si>
    <t>Status</t>
  </si>
  <si>
    <t>Short Description 60 Enriched</t>
  </si>
  <si>
    <t>DE Code</t>
  </si>
  <si>
    <t>Olsen Bipolar Forceps Kit Olsen Standard Twin Pin Cord &amp; Surgiwipe Bayonet Insulated Smooth Straight 1.5 mm Tips 7 1/2 in 191 mm Single Use (10/bx)</t>
  </si>
  <si>
    <t>531544CD</t>
  </si>
  <si>
    <t>PRODIGO1066459</t>
  </si>
  <si>
    <t>Standardized Manufacturer Name</t>
  </si>
  <si>
    <t>ForGhria_Output_2023-08-14</t>
  </si>
  <si>
    <t>801728</t>
  </si>
  <si>
    <t>PRODIGO1066580</t>
  </si>
  <si>
    <t>Project1</t>
  </si>
  <si>
    <t>Symmetry Adenotome Shambaugh Large</t>
  </si>
  <si>
    <t>Descr Status</t>
  </si>
  <si>
    <t>11kProdigoItemKey</t>
  </si>
  <si>
    <t>PRODIGO1066638</t>
  </si>
  <si>
    <t>677859</t>
  </si>
  <si>
    <t>Symmetry Suction Tube Fukushima Tapered Teardrop 4 Fr 203 mm</t>
  </si>
  <si>
    <t>PRODIGO1066582</t>
  </si>
  <si>
    <t>Rhoton Needle Holder Bayonet Straight Tip 8 1/2 in</t>
  </si>
  <si>
    <t>Location</t>
  </si>
  <si>
    <t>545609</t>
  </si>
  <si>
    <t>677866</t>
  </si>
  <si>
    <t>Symmetry Suction Tube Fukushima Tapered Teardrop 7 Fr 178 mm</t>
  </si>
  <si>
    <t>Symmetry Suction Tube Fukushima Tapered Teardrop 8 Fr 178 mm</t>
  </si>
  <si>
    <t>Miscellaneous</t>
  </si>
  <si>
    <t>201360KI</t>
  </si>
  <si>
    <t>Mfg Name</t>
  </si>
  <si>
    <t>Prodigo Standard Short Description - 254</t>
  </si>
  <si>
    <t>Tab</t>
  </si>
  <si>
    <t>PRODIGO1066613</t>
  </si>
  <si>
    <t>Batch</t>
  </si>
  <si>
    <t>PRODIGO1066633</t>
  </si>
  <si>
    <t>PRODIGO1066623</t>
  </si>
  <si>
    <t>BrandName</t>
  </si>
  <si>
    <t>Symmetry Forceps Cup Ratchet Handle &amp; Rotation 5 mm 320 mm</t>
  </si>
  <si>
    <t>Uterine ElevatOR PRO with Occluder Balloon Balloon Only Sterile Box/6</t>
  </si>
  <si>
    <t>901115L</t>
  </si>
  <si>
    <t>Item Name (Short Description)</t>
  </si>
  <si>
    <t>Modifier</t>
  </si>
  <si>
    <t>Symmetry Rongeur Spurling Straight 4 mm x 10 mm Jaws 6 in</t>
  </si>
  <si>
    <t>Customer Code</t>
  </si>
  <si>
    <t>File Name</t>
  </si>
  <si>
    <t>Quality A/R</t>
  </si>
  <si>
    <t>RefCat</t>
  </si>
  <si>
    <t>Item Description (Long Description 4000)1</t>
  </si>
  <si>
    <t>Symmetry Suction Tube Fukushima Tapered Teardrop 9 Fr 229 mm</t>
  </si>
  <si>
    <t>Short Description</t>
  </si>
  <si>
    <t>905050L</t>
  </si>
  <si>
    <t>Volume/Weight</t>
  </si>
  <si>
    <t>PRODIGO1066575</t>
  </si>
  <si>
    <t>URL1</t>
  </si>
  <si>
    <t>UNSPSC Description</t>
  </si>
  <si>
    <t>LSH02</t>
  </si>
  <si>
    <t>PRODIGO1066595</t>
  </si>
  <si>
    <t>PRODIGO1066585</t>
  </si>
  <si>
    <t>UNSPC V24</t>
  </si>
  <si>
    <t>SLNo_Prod</t>
  </si>
  <si>
    <t>Symmetry Rongeur Spurling Angle Down 4 mm x 10 mm Jaws 6 in</t>
  </si>
  <si>
    <t>Remarks1</t>
  </si>
  <si>
    <t>Symmetry Insert Duckbill Grasping Forceps 5 mm 320 mm</t>
  </si>
  <si>
    <t>Remarks</t>
  </si>
  <si>
    <t>801723</t>
  </si>
  <si>
    <t>Symmetry Probe Palpitation 17 3/4 in 45 cm</t>
  </si>
  <si>
    <t>PRODIGO1066640</t>
  </si>
  <si>
    <t>QE Comments</t>
  </si>
  <si>
    <t>PRODIGO1066630</t>
  </si>
  <si>
    <t>PRODIGO1066620</t>
  </si>
  <si>
    <t>UNSPSC</t>
  </si>
  <si>
    <t>Classification Remarks</t>
  </si>
  <si>
    <t>Size</t>
  </si>
  <si>
    <t>711013</t>
  </si>
  <si>
    <t>Symmetry Forceps Allis Grasping Ratchet Handle &amp; Rotation</t>
  </si>
  <si>
    <t>971035RC</t>
  </si>
  <si>
    <t>Symmetry Forceps Monopolar Cup Tooth Dissecting Insulated Handle 5 mm 320 mm</t>
  </si>
  <si>
    <t>677872</t>
  </si>
  <si>
    <t>677862</t>
  </si>
  <si>
    <t>Symmetry Sheath 5 mm Diameter w/Flushport 450 mm</t>
  </si>
  <si>
    <t>901069B</t>
  </si>
  <si>
    <t>Symmetry Suction Tube Fukushima Tapered Teardrop 7 Fr 203 mm</t>
  </si>
  <si>
    <t>Symmetry Kerrison Rongeur Cervical 40° Up 4.0 mm 7 in</t>
  </si>
  <si>
    <t>802006</t>
  </si>
  <si>
    <t>802016</t>
  </si>
  <si>
    <t>Delivered Date</t>
  </si>
  <si>
    <t>Potential / Desc Duplicate across Consolidated</t>
  </si>
  <si>
    <t>Symmetry Forceps Grasping w/O Flushport Ratchet Handle Snake Tooth 5 mm 320 mm</t>
  </si>
  <si>
    <t>Packaging for drugs and solutions</t>
  </si>
  <si>
    <t>Symmetry Suction Tube Fukushima Tapered Teardrop 6 Fr 203 mm</t>
  </si>
  <si>
    <t>901035IL</t>
  </si>
  <si>
    <t>Standardized Manufacturer Item Number</t>
  </si>
  <si>
    <t>Symmetry Suction Tube Fukushima Tapered Teardrop 8 Fr 203 mm</t>
  </si>
  <si>
    <t>677499</t>
  </si>
  <si>
    <t>Symmetry Forceps Grasping 5 mm</t>
  </si>
  <si>
    <t>PRODIGO1066591</t>
  </si>
  <si>
    <t>PRODIGO1066581</t>
  </si>
  <si>
    <t>Miscellaneous1</t>
  </si>
  <si>
    <t>Material</t>
  </si>
  <si>
    <t>ProdigoItemKey1</t>
  </si>
  <si>
    <t>971050RC</t>
  </si>
  <si>
    <t>PRODIGO1066594</t>
  </si>
  <si>
    <t>PRODIGO1066584</t>
  </si>
  <si>
    <t>RapidClean Grasper Modular CFH Babcock Ratchet Lock Handle 10.0 mm 330 mm</t>
  </si>
  <si>
    <t>901030B</t>
  </si>
  <si>
    <t>Production Comments</t>
  </si>
  <si>
    <t>201420KI</t>
  </si>
  <si>
    <t>901030I</t>
  </si>
  <si>
    <t>Latex</t>
  </si>
  <si>
    <t>Symmetry Needle Puncture Needle 5.0 mm Diameter 19 Gauge w/Irrigation 13 in 33 cm</t>
  </si>
  <si>
    <t>Symmetry Scissors Micro Curved Left 200 mm</t>
  </si>
  <si>
    <t>901035I</t>
  </si>
  <si>
    <t>801722</t>
  </si>
  <si>
    <t>201380KI</t>
  </si>
  <si>
    <t>Noun</t>
  </si>
  <si>
    <t>802009</t>
  </si>
  <si>
    <t>545607</t>
  </si>
  <si>
    <t>971055RC</t>
  </si>
  <si>
    <t>572244</t>
  </si>
  <si>
    <t>572274</t>
  </si>
  <si>
    <t>Symmetry Needle Puncture Needle 5.0 mm Diameter 19 Gauge w/Irrigation 45 cm</t>
  </si>
  <si>
    <t>572214</t>
  </si>
  <si>
    <t>Start Date</t>
  </si>
  <si>
    <t>711012</t>
  </si>
  <si>
    <t>Adjective</t>
  </si>
  <si>
    <t>901115</t>
  </si>
  <si>
    <t>PDF</t>
  </si>
  <si>
    <t>PDG</t>
  </si>
  <si>
    <t>Age</t>
  </si>
  <si>
    <t>Symmetry Scissors Micro Pituitary Straight 200 mm</t>
  </si>
  <si>
    <t>Long Description 254 Enriched1</t>
  </si>
  <si>
    <t>Symmetry Insert Fundus Tri-Max Grasper Forceps 5 mm 320 mm</t>
  </si>
  <si>
    <t>Symmetry Scissors Micro Curved Sharp/Sharp 5 1/2 in</t>
  </si>
  <si>
    <t>Short Description 60 Enriched1</t>
  </si>
  <si>
    <t>677858</t>
  </si>
  <si>
    <t>Sort Comment</t>
  </si>
  <si>
    <t>PRODIGO1066614</t>
  </si>
  <si>
    <t>PRODIGO1066604</t>
  </si>
  <si>
    <t>PRODIGO1066634</t>
  </si>
  <si>
    <t>PRODIGO1066624</t>
  </si>
  <si>
    <t>PRODIGO1066457</t>
  </si>
  <si>
    <t>Symmetry Scissors Micro Curved Sharp/Sharp 7 in</t>
  </si>
  <si>
    <t>Production User</t>
  </si>
  <si>
    <t>558999F</t>
  </si>
  <si>
    <t>Symmetry Grasper Fundus 5 mm 362 mm</t>
  </si>
  <si>
    <t>Symmetry Forceps DeBakey 1.5 mm Tip 12 in</t>
  </si>
  <si>
    <t>Validated MFR Name</t>
  </si>
  <si>
    <t>Symmetry Suction Tube Fukushima Tapered Teardrop 5 Fr 203 mm</t>
  </si>
  <si>
    <t>861032</t>
  </si>
  <si>
    <t>Brandname1</t>
  </si>
  <si>
    <t>Conc</t>
  </si>
  <si>
    <t>PRODIGO1066618</t>
  </si>
  <si>
    <t>PRODIGO1066608</t>
  </si>
  <si>
    <t>ProdigoItemKey</t>
  </si>
  <si>
    <t>PRODIGO1066628</t>
  </si>
  <si>
    <t>Symmetry Suction Tube Fukushima Tapered Teardrop 9 Fr 178 mm</t>
  </si>
  <si>
    <t>Count</t>
  </si>
  <si>
    <t>971083RC</t>
  </si>
  <si>
    <t>901040B</t>
  </si>
  <si>
    <t>Job No</t>
  </si>
  <si>
    <t>Len</t>
  </si>
  <si>
    <t>677861</t>
  </si>
  <si>
    <t>Rhoton Needle Holder Bayonet Curved</t>
  </si>
  <si>
    <t>901040I</t>
  </si>
  <si>
    <t>Project</t>
  </si>
  <si>
    <t>SE Comments</t>
  </si>
  <si>
    <t>Secondary Dimension(IDXODXLXWXHXDXTHK)</t>
  </si>
  <si>
    <t>PRODIGO1066579</t>
  </si>
  <si>
    <t>UNSPSC Description1</t>
  </si>
  <si>
    <t>Symmetry Forceps Micro Straight 0.3 mm Wide Teeth 5 1/2 in</t>
  </si>
  <si>
    <t>PRODIGO1066458</t>
  </si>
  <si>
    <t>Gender</t>
  </si>
  <si>
    <t>Project_Code</t>
  </si>
  <si>
    <t>PRODIGO1066589</t>
  </si>
  <si>
    <t>PRODIGO1066615</t>
  </si>
  <si>
    <t>PRODIGO1066605</t>
  </si>
  <si>
    <t>PRODIGO1066635</t>
  </si>
  <si>
    <t>PRODIGO1066625</t>
  </si>
  <si>
    <t>Symmetry Kerrison Rongeur Cervical 40° Up 3.0 mm 7 in</t>
  </si>
  <si>
    <t>Source</t>
  </si>
  <si>
    <t>To_Process</t>
  </si>
  <si>
    <t>Corrected By</t>
  </si>
  <si>
    <t>Color</t>
  </si>
  <si>
    <t>PRODIGO1066599</t>
  </si>
  <si>
    <t>UNSPSC1</t>
  </si>
  <si>
    <t>PRODIGO1066593</t>
  </si>
  <si>
    <t>PRODIGO1066583</t>
  </si>
  <si>
    <t>677504</t>
  </si>
  <si>
    <t>HCPCS code</t>
  </si>
  <si>
    <t>PRODIGO1066578</t>
  </si>
  <si>
    <t>Symmetry Forceps Fundus Tri-Max Grasper Ratchet Handle 5 mm 320 mm</t>
  </si>
  <si>
    <t>Symmetry Forceps Monopolar Duckbill Grasping Insulated 5 mm 320 mm</t>
  </si>
  <si>
    <t>HCPCS1</t>
  </si>
  <si>
    <t>Validated MFR Num</t>
  </si>
  <si>
    <t>901065I</t>
  </si>
  <si>
    <t>Symmetry Scissors Potts-Smith 60° Angle Serrated Blades Black Handle 7 in</t>
  </si>
  <si>
    <t>Symmetry Insert Grasping Forceps Snake Tooth 5 mm 320 mm</t>
  </si>
  <si>
    <t>64kProdigoItemKey</t>
  </si>
  <si>
    <t>Disposable</t>
  </si>
  <si>
    <t>PRODIGO1066460</t>
  </si>
  <si>
    <t>Source1</t>
  </si>
  <si>
    <t>CE Comments</t>
  </si>
  <si>
    <t>Olsen Bipolar Forceps Kit Olsen Standard Twin Pin Cord &amp; Surgiwipe Bayonet Insulated Smooth Straight 0.75 mm Tips 7 1/8 in 181 mm Single Use (10/bx)</t>
  </si>
  <si>
    <t>677865</t>
  </si>
  <si>
    <t>AIH</t>
  </si>
  <si>
    <t>677800</t>
  </si>
  <si>
    <t>677860</t>
  </si>
  <si>
    <t>Job No1</t>
  </si>
  <si>
    <t>Ultra Instruments Blade Retractor Henly 1 in x 5/8 in Center</t>
  </si>
  <si>
    <t>SOURCED</t>
  </si>
  <si>
    <t>OK</t>
  </si>
  <si>
    <t>SYMMETRY MEDICAL INC</t>
  </si>
  <si>
    <t>54-5607</t>
  </si>
  <si>
    <t>54-5608</t>
  </si>
  <si>
    <t>54-5609</t>
  </si>
  <si>
    <t>55-4922</t>
  </si>
  <si>
    <t>55-4923</t>
  </si>
  <si>
    <t>57-2214</t>
  </si>
  <si>
    <t>57-2244</t>
  </si>
  <si>
    <t>57-2274</t>
  </si>
  <si>
    <t>67-7499</t>
  </si>
  <si>
    <t>67-7504</t>
  </si>
  <si>
    <t>67-7800</t>
  </si>
  <si>
    <t>67-7858</t>
  </si>
  <si>
    <t>67-7859</t>
  </si>
  <si>
    <t>67-7860</t>
  </si>
  <si>
    <t>67-7861</t>
  </si>
  <si>
    <t>67-7862</t>
  </si>
  <si>
    <t>67-7863</t>
  </si>
  <si>
    <t>67-7864</t>
  </si>
  <si>
    <t>67-7865</t>
  </si>
  <si>
    <t>67-7866</t>
  </si>
  <si>
    <t>67-7872</t>
  </si>
  <si>
    <t>67-7873</t>
  </si>
  <si>
    <t>71-1012</t>
  </si>
  <si>
    <t>71-1013</t>
  </si>
  <si>
    <t>71-1813</t>
  </si>
  <si>
    <t>80-1722</t>
  </si>
  <si>
    <t>80-1723</t>
  </si>
  <si>
    <t>80-1728</t>
  </si>
  <si>
    <t>80-1729</t>
  </si>
  <si>
    <t>80-2000</t>
  </si>
  <si>
    <t>80-2006</t>
  </si>
  <si>
    <t>80-2009</t>
  </si>
  <si>
    <t>80-2016</t>
  </si>
  <si>
    <t>86-1032</t>
  </si>
  <si>
    <t>86-1034</t>
  </si>
  <si>
    <t>90-1115</t>
  </si>
  <si>
    <t>90-5050</t>
  </si>
  <si>
    <t>90-5053</t>
  </si>
  <si>
    <t>20-1360KI</t>
  </si>
  <si>
    <t>20-1380KI</t>
  </si>
  <si>
    <t>20-1420KI</t>
  </si>
  <si>
    <t>21-1002C</t>
  </si>
  <si>
    <t>53-1544CD</t>
  </si>
  <si>
    <t>53-1546CD</t>
  </si>
  <si>
    <t>55-8999F</t>
  </si>
  <si>
    <t>90-1030B</t>
  </si>
  <si>
    <t>90-1030I</t>
  </si>
  <si>
    <t>90-1035I</t>
  </si>
  <si>
    <t>90-1035IL</t>
  </si>
  <si>
    <t>90-1040B</t>
  </si>
  <si>
    <t>90-1040I</t>
  </si>
  <si>
    <t>90-1050B</t>
  </si>
  <si>
    <t>90-1050R</t>
  </si>
  <si>
    <t>90-1065I</t>
  </si>
  <si>
    <t>90-1069B</t>
  </si>
  <si>
    <t>90-1069R</t>
  </si>
  <si>
    <t>90-1115L</t>
  </si>
  <si>
    <t>90-5050L</t>
  </si>
  <si>
    <t>90-5053L</t>
  </si>
  <si>
    <t>95-1048SL-DA</t>
  </si>
  <si>
    <t>96-1079R</t>
  </si>
  <si>
    <t>96-1089R-45</t>
  </si>
  <si>
    <t>97-1035RC</t>
  </si>
  <si>
    <t>97-1050RC</t>
  </si>
  <si>
    <t>97-1055RC</t>
  </si>
  <si>
    <t>97-1078RC</t>
  </si>
  <si>
    <t>97-1083RC</t>
  </si>
  <si>
    <t>LSH-02</t>
  </si>
  <si>
    <t>OB-01</t>
  </si>
  <si>
    <t>JNJ</t>
  </si>
  <si>
    <t>JNJ_545607</t>
  </si>
  <si>
    <t>JNJ_545608</t>
  </si>
  <si>
    <t>JNJ_545609</t>
  </si>
  <si>
    <t>JNJ_554922</t>
  </si>
  <si>
    <t>JNJ_554923</t>
  </si>
  <si>
    <t>JNJ_572214</t>
  </si>
  <si>
    <t>JNJ_572244</t>
  </si>
  <si>
    <t>JNJ_572274</t>
  </si>
  <si>
    <t>JNJ_677499</t>
  </si>
  <si>
    <t>JNJ_677504</t>
  </si>
  <si>
    <t>JNJ_677800</t>
  </si>
  <si>
    <t>JNJ_677858</t>
  </si>
  <si>
    <t>JNJ_677859</t>
  </si>
  <si>
    <t>JNJ_677860</t>
  </si>
  <si>
    <t>JNJ_677861</t>
  </si>
  <si>
    <t>JNJ_677862</t>
  </si>
  <si>
    <t>JNJ_677863</t>
  </si>
  <si>
    <t>JNJ_677864</t>
  </si>
  <si>
    <t>JNJ_677865</t>
  </si>
  <si>
    <t>JNJ_677866</t>
  </si>
  <si>
    <t>JNJ_677872</t>
  </si>
  <si>
    <t>JNJ_677873</t>
  </si>
  <si>
    <t>JNJ_711012</t>
  </si>
  <si>
    <t>JNJ_711013</t>
  </si>
  <si>
    <t>JNJ_711813</t>
  </si>
  <si>
    <t>JNJ_801722</t>
  </si>
  <si>
    <t>JNJ_801723</t>
  </si>
  <si>
    <t>JNJ_801728</t>
  </si>
  <si>
    <t>JNJ_801729</t>
  </si>
  <si>
    <t>JNJ_802000</t>
  </si>
  <si>
    <t>JNJ_802006</t>
  </si>
  <si>
    <t>JNJ_802009</t>
  </si>
  <si>
    <t>JNJ_802016</t>
  </si>
  <si>
    <t>JNJ_861032</t>
  </si>
  <si>
    <t>JNJ_861034</t>
  </si>
  <si>
    <t>JNJ_901115</t>
  </si>
  <si>
    <t>JNJ_905050</t>
  </si>
  <si>
    <t>JNJ_905053</t>
  </si>
  <si>
    <t>JNJ_201360KI</t>
  </si>
  <si>
    <t>JNJ_201380KI</t>
  </si>
  <si>
    <t>JNJ_201420KI</t>
  </si>
  <si>
    <t>JNJ_211002C</t>
  </si>
  <si>
    <t>JNJ_531544CD</t>
  </si>
  <si>
    <t>JNJ_531546CD</t>
  </si>
  <si>
    <t>JNJ_558999F</t>
  </si>
  <si>
    <t>JNJ_901030B</t>
  </si>
  <si>
    <t>JNJ_901030I</t>
  </si>
  <si>
    <t>JNJ_901035I</t>
  </si>
  <si>
    <t>JNJ_901035IL</t>
  </si>
  <si>
    <t>JNJ_901040B</t>
  </si>
  <si>
    <t>JNJ_901040I</t>
  </si>
  <si>
    <t>JNJ_901050B</t>
  </si>
  <si>
    <t>JNJ_901050R</t>
  </si>
  <si>
    <t>JNJ_901065I</t>
  </si>
  <si>
    <t>JNJ_901069B</t>
  </si>
  <si>
    <t>JNJ_901069R</t>
  </si>
  <si>
    <t>JNJ_901115L</t>
  </si>
  <si>
    <t>JNJ_905050L</t>
  </si>
  <si>
    <t>JNJ_905053L</t>
  </si>
  <si>
    <t>JNJ_951048SLDA</t>
  </si>
  <si>
    <t>JNJ_961079R</t>
  </si>
  <si>
    <t>JNJ_961089R45</t>
  </si>
  <si>
    <t>JNJ_971035RC</t>
  </si>
  <si>
    <t>JNJ_971050RC</t>
  </si>
  <si>
    <t>JNJ_971055RC</t>
  </si>
  <si>
    <t>JNJ_971078RC</t>
  </si>
  <si>
    <t>JNJ_971083RC</t>
  </si>
  <si>
    <t>JNJ_LSH02</t>
  </si>
  <si>
    <t>JNJ_OB01</t>
  </si>
  <si>
    <t>42291614  Surgical scissors</t>
  </si>
  <si>
    <t>42291802  Surgical clamps or clips or forceps</t>
  </si>
  <si>
    <t>42291612  Surgical rongeurs</t>
  </si>
  <si>
    <t>42293139  Retractor accessories</t>
  </si>
  <si>
    <t>42293515  Medical or surgical suction tubings</t>
  </si>
  <si>
    <t>42291619  Surgical tomes</t>
  </si>
  <si>
    <t>42292903  Surgical needle holders</t>
  </si>
  <si>
    <t>42294978  Endoscopic trocar or sheath or obturator or cannula</t>
  </si>
  <si>
    <t>42294903  Endoscopic aspiration or biopsy needles</t>
  </si>
  <si>
    <t>42294928  Endoscopic probes</t>
  </si>
  <si>
    <t>42281509  Sterilization containers or trays</t>
  </si>
  <si>
    <t>42294908  Endoscopic clamp or dissector or grasper or forceps</t>
  </si>
  <si>
    <t>42191906  Blanket or solution warmer cabinets</t>
  </si>
  <si>
    <t>42143115  Uterine manipulators or injectors</t>
  </si>
  <si>
    <t>Scissor Micro 200 Mm Pituitary Straight Alligator Action Semi Malleable Shaft</t>
  </si>
  <si>
    <t>Scissor Micro 200 Mm Pituitary Curved Left Alligator Action Semi Malleable Shaft</t>
  </si>
  <si>
    <t>Scissor Micro 200 Mm Pituitary Curved Right Alligator Action Semi Malleable Shaft</t>
  </si>
  <si>
    <t>Clamp 25 Degree 4.75 In 1.4 Mm Debakey-castaneda Angled Curved Shank Non Sterile Latex</t>
  </si>
  <si>
    <t>Clamp 45 Degree 4.75 In 1.4 Mm Debakey-castaneda Angled Curved Shank Non Sterile Latex</t>
  </si>
  <si>
    <t>Rongeur 4x10 Mm 6 In Kerrison Straight Spurling Non Sterile Latex</t>
  </si>
  <si>
    <t>Rongeur 4x10 Mm 6 In Kerrison Angled Up Spurling Non Sterile Latex</t>
  </si>
  <si>
    <t>Rongeur 4x10 Mm 6 In Kerrison Angled Down Spurling Non Sterile Latex</t>
  </si>
  <si>
    <t>Bookwalter Opti-length Blade 3x11 In Lip Ebonized Malleable Non Sterile Latex</t>
  </si>
  <si>
    <t>Bookwalter Opti-length Blade 2x11 In Lip Ebonized Malleable Non Sterile Latex</t>
  </si>
  <si>
    <t>Forcep 1.5 Mm 12 In Debakey Non Sterile Latex</t>
  </si>
  <si>
    <t>Tube 6 Frx178 Mm Fukushima Tapered Teardrop Non Sterile Latex</t>
  </si>
  <si>
    <t>Tube 7 Frx178 Mm Fukushima Tapered Teardrop Non Sterile Latex</t>
  </si>
  <si>
    <t>Tube 8 Frx178 Mm Fukushima Tapered Teardrop Non Sterile Latex</t>
  </si>
  <si>
    <t>Tube 9 Frx178 Mm Fukushima Tapered Teardrop Non Sterile Latex</t>
  </si>
  <si>
    <t>Tube 4 Frx203 Mm Fukushima Tapered Teardrop Non Sterile Latex</t>
  </si>
  <si>
    <t>Tube 5 Frx203 Mm Fukushima Tapered Teardrop Non Sterile Latex</t>
  </si>
  <si>
    <t>Tube 6 Frx203 Mm Fukushima Tapered Teardrop Non Sterile Latex</t>
  </si>
  <si>
    <t>Tube 7 Frx203 Mm Fukushima Tapered Teardrop Non Sterile Latex</t>
  </si>
  <si>
    <t>Tube 8 Frx203 Mm Fukushima Tapered Teardrop Non Sterile Latex</t>
  </si>
  <si>
    <t>Tube 8 Frx229 Mm Fukushima Tapered Teardrop Non Sterile Latex</t>
  </si>
  <si>
    <t>Tube 9 Frx229 Mm Fukushima Tapered Teardrop Non Sterile Latex</t>
  </si>
  <si>
    <t>Adenotome Medium 2 16 Mm Laforce Non Sterile Latex</t>
  </si>
  <si>
    <t>Adenotome Large 3 18 Mm Laforce Non Sterile Latex</t>
  </si>
  <si>
    <t>Adenotome Large Shambaugh Non Sterile Latex</t>
  </si>
  <si>
    <t>Rhoton Scissor 216 Mm Straight Bayonet</t>
  </si>
  <si>
    <t>Rhoton Scissor 216 Mm Curved Bayonet</t>
  </si>
  <si>
    <t>Rhoton Holder 8.5 In Straight Bayonet Tip Non Sterile Latex</t>
  </si>
  <si>
    <t>Rhoton Holder 8.5 In Curved Bayonet Tip Non Sterile Latex</t>
  </si>
  <si>
    <t>Forcep Micro 0.3 Mm 5.5 In Straight Wide Teeth</t>
  </si>
  <si>
    <t>Scissor Micro 5.5 In Curved Sharp/sharp</t>
  </si>
  <si>
    <t>Forcep Micro 0.3 Mm 7 In Straight Wide Teeth</t>
  </si>
  <si>
    <t>Scissor Micro 7 In Curved Sharp/sharp</t>
  </si>
  <si>
    <t>Scissor 25 Degree 7 In Potts-smith Angled Serrated Blade Handle Black Non Sterile Latex</t>
  </si>
  <si>
    <t>Scissor 60 Degree 7 In Potts-smith Angled Serrated Blade Handle Black Non Sterile Latex</t>
  </si>
  <si>
    <t>Sheath 5x320 Mm With Flushport</t>
  </si>
  <si>
    <t>Needle 5 Mmx13 In 19 Ga Irrigation Puncture Aspiration Non Sterile Latex</t>
  </si>
  <si>
    <t>Probe 12-5/8 In Palpation Non Sterile Latex</t>
  </si>
  <si>
    <t>Olsen Forcep Kit Standard 0.75 Mm 7-1/8 In Bipolar Straight  Smooth Twin Pin Cord Surgiwipe Bayonet Handle Insulated Tip Sterile Disposable Latex</t>
  </si>
  <si>
    <t>Olsen Forcep Kit Standard 1.5 Mm 7.5 In Bipolar Straight  Smooth Twin Pin Cord Surgiwipe Bayonet Handle Insulated Tip Sterile Disposable Latex</t>
  </si>
  <si>
    <t>Olsen Forcep Kit Standard 0.5 Mm 8.25 In Bipolar Straight  Smooth Twin Pin Cord Surgiwipe Bayonet Handle Insulated Tip Sterile Disposable Latex</t>
  </si>
  <si>
    <t>Case Hudson Drill For 26-1075 Set Non Sterile Latex</t>
  </si>
  <si>
    <t>Rapidclean Rongeur 40 Degree 3 Mm 7 In Cervical Kerrison Upward Non Sterile Latex</t>
  </si>
  <si>
    <t>Rapidclean Rongeur 40 Degree 4 Mm 7 In Cervical Kerrison Upward Non Sterile Latex</t>
  </si>
  <si>
    <t>Ultra Instruments Blade 1x5/8 In Henly Center Non Sterile Latex</t>
  </si>
  <si>
    <t>Insert 5 Mm Bottle Nose Dissecting Double Action Monopolar Insulated Handle Replacement Jaw Assembly Non Sterile Latex</t>
  </si>
  <si>
    <t>Forcep 5x320 Mm Bottle Nose Dissecting Double Action Monopolar Insulated Handle</t>
  </si>
  <si>
    <t>Forcep 5x320 Mm Cup Tooth Dissecting Double Action Monopolar Insulated Handle Non Sterile Latex</t>
  </si>
  <si>
    <t>Forcep 5 Mm Grasping</t>
  </si>
  <si>
    <t>Insert 5x320 Mm Duckbill Grasping Dissecting Double Action Monopolar Fully Insulated Flattened Serrated Jaw Insulated Handle Replacement Jaw Assembly</t>
  </si>
  <si>
    <t>Forcep 5x320 Mm Duckbill Grasping Dissecting Double Action Monopolar Fully Insulated Flattened Serrated Jaw Insulated Handle Non Sterile Latex</t>
  </si>
  <si>
    <t>Insert 5x320 Mm Fundus Grasping Double Action Trimax Ratchet Handle</t>
  </si>
  <si>
    <t>Forcep 5x320 Mm Fundus Grasping Double Action Trimax Ratchet Handle Replacement Jaw Assembly</t>
  </si>
  <si>
    <t>Forcep 10x317 Mm Maryland Dissecting Double Action Monopolar Fully Insulated Non Sterile Latex</t>
  </si>
  <si>
    <t>Insert 5x320 Mm Snake Tooth 2x2 Teeth Grasping Double Action Rotation Knob Non Insulated Without Flushport Ratchet Handle Replacement Jaw Assembly</t>
  </si>
  <si>
    <t>Forcep 5x320 Mm Snake Tooth 2x2 Teeth Grasping Double Action Rotation Knob Non Insulated Without Flushport Ratchet Handle</t>
  </si>
  <si>
    <t>Sheath 5x450 Mm Outer With Flushport Insulated</t>
  </si>
  <si>
    <t>Needle 5 Mmx45 Cm 19 Ga Irrigation Puncture Aspiration Non Sterile Latex</t>
  </si>
  <si>
    <t>Probe 5 Mmx45 Cm Palpation With Centimeter Graduations Non Sterile Latex</t>
  </si>
  <si>
    <t>Grasper 5x330 Mm Double Action Slide Locking Aggressive Jaw</t>
  </si>
  <si>
    <t>Rapidclean Grasper 10x330 Mm Babcock Double Action Locking Ratchet Handle Modular Carbon Fiber Handle Non Sterile Latex</t>
  </si>
  <si>
    <t>Rapidclean Grasper 5x450 Mm Babcock Double Action Locking Ratchet Handle Modular Carbon Fiber Handle Non Sterile Latex</t>
  </si>
  <si>
    <t>Forcep 5x350 Mm Cup Tooth Dissecting Double Action Rotation Fully Insulated Non Locking Handle Non Sterile Latex</t>
  </si>
  <si>
    <t>Grasper 5x362 Mm Fundus Non Sterile Latex</t>
  </si>
  <si>
    <t>Forcep 5x320 Mm Cup Tooth Grasping Double Action Rotation Ratchet Handle Non Sterile Latex</t>
  </si>
  <si>
    <t>Forcep 5x320 Mm Allis Grasping Rotation Ratchet Handle Non Sterile Latex</t>
  </si>
  <si>
    <t>Forcep 10x320 Mm Duval Grasping Rotation Ratchet Handle Non Sterile Latex</t>
  </si>
  <si>
    <t>Liquid Scope Helpor Ii Liquid Scope Warmor Warmer 5-8 Mm 10-12 Mm Two Long Trocar Swab One Microfiber Cloth Sterile Latex-free</t>
  </si>
  <si>
    <t>Elevator Pro Manipulator Uterine With Occluder Balloon Sterile Latex</t>
  </si>
  <si>
    <t>SCISSOR, SURGICAL, MICRO, 200 MM, PITUITARY, STRAIGHT, ALLIGATOR ACTION, SEMI MALLEABLE SHAFT</t>
  </si>
  <si>
    <t>SCISSOR, SURG, MIC, 200 MM, PIT, STR, ALLIGATOR ACT, SEMI MALL SHFT</t>
  </si>
  <si>
    <t>SCISSOR, SURG, MIC, 200 MM, PIT, STR, ALLIGATOR ACT, SEMI MALL</t>
  </si>
  <si>
    <t>SCISSOR, SURGICAL, MICRO, 200 MM, PITUITARY, CURVED LEFT, ALLIGATOR ACTION, SEMI MALLEABLE SHAFT</t>
  </si>
  <si>
    <t>SCISSOR, SURG, MIC, 200 MM, PIT, CRV LT, ALLIGATOR ACT, SEMI MALL SHFT</t>
  </si>
  <si>
    <t>SCISSOR, SURG, MIC, 200 MM, PIT, CRV LT, ALLIGATOR ACT, SEMI MALL</t>
  </si>
  <si>
    <t>SCISSOR, SURGICAL, MICRO, 200 MM, PITUITARY, CURVED RIGHT, ALLIGATOR ACTION, SEMI MALLEABLE SHAFT</t>
  </si>
  <si>
    <t>SCISSOR, SURG, MIC, 200 MM, PIT, CRV RT, ALLIGATOR ACT, SEMI MALL SHFT</t>
  </si>
  <si>
    <t>SCISSOR, SURG, MIC, 200 MM, PIT, CRV RT, ALLIGATOR ACT, SEMI MALL</t>
  </si>
  <si>
    <t>CLAMP, SURGICAL, DEBAKEY-CASTANEDA, 25 DEGREE, 4.75 IN, 1.4 MM, ANGLED, CURVED SHANK, WITH JAW, NON STERILE, LATEX</t>
  </si>
  <si>
    <t>CLAMP, SURG, DEBAKEY-CASTANEDA, 25 DEG, 4.75 IN, 1.4 MM, ANGLED, CRV SHANK, W/ JAW, NS, LTX</t>
  </si>
  <si>
    <t>CLAMP, SURG, DEBAKEY-CASTANEDA, 25 DEG, 4.75 IN, 1.4 MM, CRV SHANK</t>
  </si>
  <si>
    <t>CLAMP, SURGICAL, DEBAKEY-CASTANEDA, 45 DEGREE, 4.75 IN, 1.4 MM, ANGLED, CURVED SHANK, WITH JAW, NON STERILE, LATEX</t>
  </si>
  <si>
    <t>CLAMP, SURG, DEBAKEY-CASTANEDA, 45 DEG, 4.75 IN, 1.4 MM, ANGLED, CRV SHANK, W/ JAW, NS, LTX</t>
  </si>
  <si>
    <t>CLAMP, SURG, DEBAKEY-CASTANEDA, 45 DEG, 4.75 IN, 1.4 MM, CRV SHANK</t>
  </si>
  <si>
    <t>RONGEUR, SURGICAL, KERRISON, 4X10 MM, 6 IN, STRAIGHT, SPURLING, WITH JAW, NON STERILE, LATEX</t>
  </si>
  <si>
    <t>RONGEUR, SURG, KERRISON, 4X10 MM, 6 IN, STR, SPURLING, W/ JAW, NS, LTX</t>
  </si>
  <si>
    <t>RONGEUR, SURG, KERRISON, 4X10 MM, 6 IN, STR, SPURLING, NS, LTX</t>
  </si>
  <si>
    <t>RONGEUR, SURGICAL, KERRISON, 4X10 MM, 6 IN, ANGLED UP, SPURLING, WITH JAW, NON STERILE, LATEX</t>
  </si>
  <si>
    <t>RONGEUR, SURG, KERRISON, 4X10 MM, 6 IN, ANGLED UP, SPURLING, W/ JAW, NS, LTX</t>
  </si>
  <si>
    <t>RONGEUR, SURG, KERRISON, 4X10 MM, 6 IN, ANGLED UP, SPURLING, NS, LTX</t>
  </si>
  <si>
    <t>RONGEUR, SURGICAL, KERRISON, 4X10 MM, 6 IN, ANGLED DOWN, SPURLING, WITH JAW, NON STERILE, LATEX</t>
  </si>
  <si>
    <t>RONGEUR, SURG, KERRISON, 4X10 MM, 6 IN, ANGLED DN, SPURLING, W/ JAW, NS, LTX</t>
  </si>
  <si>
    <t>RONGEUR, SURG, KERRISON, 4X10 MM, 6 IN, ANGLED DN, SPURLING, NS, LTX</t>
  </si>
  <si>
    <t>BLADE, RETRACTOR, EBONIZED, 3X11 IN, LIP, MALLEABLE, NON STERILE, BOOKWALTER, OPTI-LENGTH, LATEX</t>
  </si>
  <si>
    <t>BLADE, RETRACTOR, EBONIZED, 3X11 IN, LIP, MALL, NS, BOOKWALTER, OPTI-LENGTH, LTX</t>
  </si>
  <si>
    <t>BLADE, RETRACTOR, EBONIZED, 3X11 IN, LIP, BOOKWALTER, OPTI-LENGTH</t>
  </si>
  <si>
    <t>BLADE, RETRACTOR, EBONIZED, 2X11 IN, LIP, MALLEABLE, NON STERILE, BOOKWALTER, OPTI-LENGTH, LATEX</t>
  </si>
  <si>
    <t>BLADE, RETRACTOR, EBONIZED, 2X11 IN, LIP, MALL, NS, BOOKWALTER, OPTI-LENGTH, LTX</t>
  </si>
  <si>
    <t>BLADE, RETRACTOR, EBONIZED, 2X11 IN, LIP, BOOKWALTER, OPTI-LENGTH</t>
  </si>
  <si>
    <t>FORCEP, SURGICAL, DEBAKEY, 1.5 MM, 12 IN, WITH TIP, NON STERILE, LATEX</t>
  </si>
  <si>
    <t>FORCEP, SURG, DEBAKEY, 1.5 MM, 12 IN, W/ TIP, NS, LTX</t>
  </si>
  <si>
    <t>TUBE, SUCTION, FUKUSHIMA, 6 FRX178 MM, TAPERED, TEARDROP, NON STERILE, LATEX</t>
  </si>
  <si>
    <t>TUBE, SUCTION, FUKUSHIMA, 6 FRX178 MM, TAPR, TEARDROP, NS, LTX</t>
  </si>
  <si>
    <t>TUBE, SUCTION, FUKUSHIMA, 7 FRX178 MM, TAPERED, TEARDROP, NON STERILE, LATEX</t>
  </si>
  <si>
    <t>TUBE, SUCTION, FUKUSHIMA, 7 FRX178 MM, TAPR, TEARDROP, NS, LTX</t>
  </si>
  <si>
    <t>TUBE, SUCTION, FUKUSHIMA, 8 FRX178 MM, TAPERED, TEARDROP, NON STERILE, LATEX</t>
  </si>
  <si>
    <t>TUBE, SUCTION, FUKUSHIMA, 8 FRX178 MM, TAPR, TEARDROP, NS, LTX</t>
  </si>
  <si>
    <t>TUBE, SUCTION, FUKUSHIMA, 9 FRX178 MM, TAPERED, TEARDROP, NON STERILE, LATEX</t>
  </si>
  <si>
    <t>TUBE, SUCTION, FUKUSHIMA, 9 FRX178 MM, TAPR, TEARDROP, NS, LTX</t>
  </si>
  <si>
    <t>TUBE, SUCTION, FUKUSHIMA, 4 FRX203 MM, TAPERED, TEARDROP, NON STERILE, LATEX</t>
  </si>
  <si>
    <t>TUBE, SUCTION, FUKUSHIMA, 4 FRX203 MM, TAPR, TEARDROP, NS, LTX</t>
  </si>
  <si>
    <t>TUBE, SUCTION, FUKUSHIMA, 5 FRX203 MM, TAPERED, TEARDROP, NON STERILE, LATEX</t>
  </si>
  <si>
    <t>TUBE, SUCTION, FUKUSHIMA, 5 FRX203 MM, TAPR, TEARDROP, NS, LTX</t>
  </si>
  <si>
    <t>TUBE, SUCTION, FUKUSHIMA, 6 FRX203 MM, TAPERED, TEARDROP, NON STERILE, LATEX</t>
  </si>
  <si>
    <t>TUBE, SUCTION, FUKUSHIMA, 6 FRX203 MM, TAPR, TEARDROP, NS, LTX</t>
  </si>
  <si>
    <t>TUBE, SUCTION, FUKUSHIMA, 7 FRX203 MM, TAPERED, TEARDROP, NON STERILE, LATEX</t>
  </si>
  <si>
    <t>TUBE, SUCTION, FUKUSHIMA, 7 FRX203 MM, TAPR, TEARDROP, NS, LTX</t>
  </si>
  <si>
    <t>TUBE, SUCTION, FUKUSHIMA, 8 FRX203 MM, TAPERED, TEARDROP, NON STERILE, LATEX</t>
  </si>
  <si>
    <t>TUBE, SUCTION, FUKUSHIMA, 8 FRX203 MM, TAPR, TEARDROP, NS, LTX</t>
  </si>
  <si>
    <t>TUBE, SUCTION, FUKUSHIMA, 8 FRX229 MM, TAPERED, TEARDROP, NON STERILE, LATEX</t>
  </si>
  <si>
    <t>TUBE, SUCTION, FUKUSHIMA, 8 FRX229 MM, TAPR, TEARDROP, NS, LTX</t>
  </si>
  <si>
    <t>TUBE, SUCTION, FUKUSHIMA, 9 FRX229 MM, TAPERED, TEARDROP, NON STERILE, LATEX</t>
  </si>
  <si>
    <t>TUBE, SUCTION, FUKUSHIMA, 9 FRX229 MM, TAPR, TEARDROP, NS, LTX</t>
  </si>
  <si>
    <t>ADENOTOME, SURGICAL, LAFORCE, MEDIUM, 2, 16 MM, NON STERILE, LATEX</t>
  </si>
  <si>
    <t>ADENOTOME, SURG, LAFORCE, MED, 2, 16 MM, NS, LTX</t>
  </si>
  <si>
    <t>ADENOTOME, SURGICAL, LAFORCE, LARGE, 3, 18 MM, NON STERILE, LATEX</t>
  </si>
  <si>
    <t>ADENOTOME, SURG, LAFORCE, LG, 3, 18 MM, NS, LTX</t>
  </si>
  <si>
    <t>ADENOTOME, SURGICAL, SHAMBAUGH, LARGE, NON STERILE, LATEX</t>
  </si>
  <si>
    <t>ADENOTOME, SURG, SHAMBAUGH, LG, NS, LTX</t>
  </si>
  <si>
    <t>SCISSOR, SURGICAL, STRAIGHT, 216 MM, BAYONET, RHOTON</t>
  </si>
  <si>
    <t>SCISSOR, SURG, STR, 216 MM, BAYNT, RHOTON</t>
  </si>
  <si>
    <t>SCISSOR, SURGICAL, CURVED, 216 MM, BAYONET, RHOTON</t>
  </si>
  <si>
    <t>SCISSOR, SURG, CRV, 216 MM, BAYNT, RHOTON</t>
  </si>
  <si>
    <t>HOLDER, NEEDLE, STRAIGHT, 8.5 IN, BAYONET, TIP, NON STERILE, RHOTON, LATEX</t>
  </si>
  <si>
    <t>HOLDER, NDL, STR, 8.5 IN, BAYNT, TIP, NS, RHOTON, LTX</t>
  </si>
  <si>
    <t>HOLDER, NEEDLE, CURVED, 8.5 IN, BAYONET, TIP, NON STERILE, RHOTON, LATEX</t>
  </si>
  <si>
    <t>HOLDER, NDL, CRV, 8.5 IN, BAYNT, TIP, NS, RHOTON, LTX</t>
  </si>
  <si>
    <t>FORCEP, SURGICAL, MICRO, 0.3 MM, 5.5 IN, STRAIGHT, WIDE TEETH</t>
  </si>
  <si>
    <t>FORCEP, SURG, MIC, 0.3 MM, 5.5 IN, STR, WIDE TEETH</t>
  </si>
  <si>
    <t>SCISSOR, SURGICAL, MICRO, 5.5 IN, CURVED, SHARP/SHARP</t>
  </si>
  <si>
    <t>SCISSOR, SURG, MIC, 5.5 IN, CRV, SHARP/SHARP</t>
  </si>
  <si>
    <t>FORCEP, SURGICAL, MICRO, 0.3 MM, 7 IN, STRAIGHT, WIDE TEETH</t>
  </si>
  <si>
    <t>FORCEP, SURG, MIC, 0.3 MM, 7 IN, STR, WIDE TEETH</t>
  </si>
  <si>
    <t>SCISSOR, SURGICAL, MICRO, 7 IN, CURVED, SHARP/SHARP</t>
  </si>
  <si>
    <t>SCISSOR, SURG, MIC, 7 IN, CRV, SHARP/SHARP</t>
  </si>
  <si>
    <t>SCISSOR, SURGICAL, POTTS-SMITH, 25 DEGREE, 7 IN, ANGLED, SERRATED BLADE, HANDLE, BLACK, NON STERILE, LATEX</t>
  </si>
  <si>
    <t>SCISSOR, SURG, POTT SMITH, 25 DEG, 7 IN, ANGLED, SERRATED BLADE, HNDL, BLK, NS, LTX</t>
  </si>
  <si>
    <t>SCISSOR, SURG, POTT SMITH, 25 DEG, 7 IN, ANGLED, SERRATED BLADE</t>
  </si>
  <si>
    <t>SCISSOR, SURGICAL, POTTS-SMITH, 60 DEGREE, 7 IN, ANGLED, SERRATED BLADE, HANDLE, BLACK, NON STERILE, LATEX</t>
  </si>
  <si>
    <t>SCISSOR, SURG, POTT SMITH, 60 DEG, 7 IN, ANGLED, SERRATED BLADE, HNDL, BLK, NS, LTX</t>
  </si>
  <si>
    <t>SCISSOR, SURG, POTT SMITH, 60 DEG, 7 IN, ANGLED, SERRATED BLADE</t>
  </si>
  <si>
    <t>SHEATH, ENDOSCOPIC, 5X320 MM, WITH FLUSHPORT</t>
  </si>
  <si>
    <t>SHEATH, ENDOSCP, 5X320 MM, W/ FLUSHPORT</t>
  </si>
  <si>
    <t>NEEDLE, ENDOSCOPIC, IRRIGATION, 5 MMX13 IN, 19 GA, PUNCTURE, ASPIRATION, NON STERILE, LATEX</t>
  </si>
  <si>
    <t>NEEDLE, ENDOSCP, IRRIGATION, 5 MMX13 IN, 19 GA, PUNC, ASPIR, NS, LTX</t>
  </si>
  <si>
    <t>PROBE, ENDOSCOPIC, PALPATION, 12-5/8 IN, NON STERILE, LATEX</t>
  </si>
  <si>
    <t>PROBE, ENDOSCP, PALPATION, 12-5/8 IN, NS, LTX</t>
  </si>
  <si>
    <t>FORCEP KIT, BIPOLAR, STANDARD, 0.75 MM, 7-1/8 IN, STRAIGHT , SMOOTH, TWIN PIN CORD, SURGIWIPE, BAYONET HANDLE, INSULATED TIP, STERILE, OLSEN, LATEX, DISPOSABLE</t>
  </si>
  <si>
    <t>FORCEP KIT, BPLR, STD, 0.75 MM, 7-1/8 IN, STR, SMOOTH, TWIN PIN CRD, SURGIWIPE, BAYNT HNDL, INSUL TIP, STRL, OLSEN, LTX, DISP</t>
  </si>
  <si>
    <t>FORCEP KIT, BPLR, STD, 0.75 MM, 7-1/8 IN, STR, SMOOTH, TWIN, OLSEN</t>
  </si>
  <si>
    <t>FORCEP KIT, BIPOLAR, STANDARD, 1.5 MM, 7.5 IN, STRAIGHT , SMOOTH, TWIN PIN CORD, SURGIWIPE, BAYONET HANDLE, INSULATED TIP, STERILE, OLSEN, LATEX, DISPOSABLE</t>
  </si>
  <si>
    <t>FORCEP KIT, BPLR, STD, 1.5 MM, 7.5 IN, STR, SMOOTH, TWIN PIN CRD, SURGIWIPE, BAYNT HNDL, INSUL TIP, STRL, OLSEN, LTX, DISP</t>
  </si>
  <si>
    <t>FORCEP KIT, BPLR, STD, 1.5 MM, 7.5 IN, STR, SMOOTH, TWIN, OLSEN</t>
  </si>
  <si>
    <t>FORCEP KIT, BIPOLAR, STANDARD, 0.5 MM, 8.25 IN, STRAIGHT , SMOOTH, TWIN PIN CORD, SURGIWIPE, BAYONET HANDLE, INSULATED TIP, STERILE, OLSEN, LATEX, DISPOSABLE</t>
  </si>
  <si>
    <t>FORCEP KIT, BPLR, STD, 0.5 MM, 8.25 IN, STR, SMOOTH, TWIN PIN CRD, SURGIWIPE, BAYNT HNDL, INSUL TIP, STRL, OLSEN, LTX, DISP</t>
  </si>
  <si>
    <t>FORCEP KIT, BPLR, STD, 0.5 MM, 8.25 IN, STR, SMOOTH, TWIN, OLSEN</t>
  </si>
  <si>
    <t>CASE, INSTRUMENT, HUDSON DRILL, FOR 26-1075 SET, NON STERILE, LATEX</t>
  </si>
  <si>
    <t>CASE, INSTRUMENT, HUDSON DRL, FOR 26-1075 SET, NS, LTX</t>
  </si>
  <si>
    <t>RONGEUR, SURGICAL, KERRISON, 40 DEGREE, 3 MM, 7 IN, CERVICAL, UPWARD, NON STERILE, LATEX</t>
  </si>
  <si>
    <t>RONGEUR, SURG, KERRISON, 40 DEG, 3 MM, 7 IN, CERV, UPWARD, NS, LTX</t>
  </si>
  <si>
    <t>RONGEUR, SURGICAL, KERRISON, 40 DEGREE, 4 MM, 7 IN, CERVICAL, UPWARD, NON STERILE, LATEX</t>
  </si>
  <si>
    <t>RONGEUR, SURG, KERRISON, 40 DEG, 4 MM, 7 IN, CERV, UPWARD, NS, LTX</t>
  </si>
  <si>
    <t>BLADE, RETRACTOR, HENLY, 1X5/8 IN, CENTER, NON STERILE, ULTRA INSTRUMENTS, LATEX</t>
  </si>
  <si>
    <t>BLADE, RETRACTOR, HENLY, 1X5/8 IN, CENTER, NS, ULTRA INSTRMT, LTX</t>
  </si>
  <si>
    <t>INSERT, FORCEP, BOTTLE NOSE, 5 MM, DISSECTING, DOUBLE ACTION, MONOPOLAR, INSULATED HANDLE, REPLACEMENT JAW ASSEMBLY, NON STERILE, LATEX</t>
  </si>
  <si>
    <t>INSERT, FORCEP, BTL NOSE, 5 MM, DISECT, DBL ACT, MONOPOLAR, INSUL HNDL, REPL JAW ASMBLY, NS, LTX</t>
  </si>
  <si>
    <t>INSERT, FORCEP, BTL NOSE, 5 MM, DISECT, DBL ACT, MONOPOLAR, INSUL</t>
  </si>
  <si>
    <t>FORCEP, ENDOSCOPIC, BOTTLE NOSE, 5X320 MM, DISSECTING, DOUBLE ACTION, MONOPOLAR, INSULATED HANDLE</t>
  </si>
  <si>
    <t>FORCEP, ENDOSCP, BTL NOSE, 5X320 MM, DISECT, DBL ACT, MONOPOLAR, INSUL HNDL</t>
  </si>
  <si>
    <t>FORCEP, ENDOSCP, BTL NOSE, 5X320 MM, DISECT, DBL ACT, MONOPOLAR</t>
  </si>
  <si>
    <t>FORCEP, ENDOSCOPIC, CUP TOOTH, 5X320 MM, DISSECTING, DOUBLE ACTION, MONOPOLAR, INSULATED HANDLE, NON STERILE, LATEX</t>
  </si>
  <si>
    <t>FORCEP, ENDOSCP, CUP TOOTH, 5X320 MM, DISECT, DBL ACT, MONOPOLAR, INSUL HNDL, NS, LTX</t>
  </si>
  <si>
    <t>FORCEP, ENDOSCP, CUP TOOTH, 5X320 MM, DISECT, DBL ACT, MONOPOLAR</t>
  </si>
  <si>
    <t>FORCEP, ENDOSCOPIC, GRASPING, 5 MM</t>
  </si>
  <si>
    <t>FORCEP, ENDOSCP, GRASPING, 5 MM</t>
  </si>
  <si>
    <t>INSERT, FORCEP, DUCKBILL, 5X320 MM, GRASPING, DISSECTING, DOUBLE ACTION, MONOPOLAR, FULLY INSULATED, FLATTENED SERRATED JAW, INSULATED HANDLE, REPLACEMENT JAW ASSEMBLY</t>
  </si>
  <si>
    <t>INSERT, FORCEP, DUCKBILL, 5X320 MM, GRASPING, DISECT, DBL ACT, MONOPOLAR, FULL INSUL, FLATTENED SERRATED JAW, INSUL HNDL, REPL JAW ASMBLY</t>
  </si>
  <si>
    <t>INSERT, FORCEP, DUCKBILL, 5X320 MM, GRASPING, DISECT, DBL ACT</t>
  </si>
  <si>
    <t>FORCEP, ENDOSCOPIC, DUCKBILL, 5X320 MM, GRASPING, DISSECTING, DOUBLE ACTION, MONOPOLAR, FULLY INSULATED, FLATTENED SERRATED JAW, INSULATED HANDLE, NON STERILE, LATEX</t>
  </si>
  <si>
    <t>FORCEP, ENDOSCP, DUCKBILL, 5X320 MM, GRASPING, DISECT, DBL ACT, MONOPOLAR, FULL INSUL, FLATTENED SERRATED JAW, INSUL HNDL, NS, LTX</t>
  </si>
  <si>
    <t>FORCEP, ENDOSCP, DUCKBILL, 5X320 MM, GRASPING, DISECT, DBL ACT</t>
  </si>
  <si>
    <t>INSERT, FORCEP, FUNDUS, 5X320 MM, GRASPING, DOUBLE ACTION, TRIMAX, RATCHET HANDLE</t>
  </si>
  <si>
    <t>INSERT, FORCEP, FUND, 5X320 MM, GRASPING, DBL ACT, TRIMAX, RATCH HNDL</t>
  </si>
  <si>
    <t>INSERT, FORCEP, FUND, 5X320 MM, GRASPING, DBL ACT, TRIMAX, RATCH</t>
  </si>
  <si>
    <t>FORCEP, ENDOSCOPIC, FUNDUS, 5X320 MM, GRASPING, DOUBLE ACTION, TRIMAX, RATCHET HANDLE, REPLACEMENT JAW ASSEMBLY</t>
  </si>
  <si>
    <t>FORCEP, ENDOSCP, FUND, 5X320 MM, GRASPING, DBL ACT, TRIMAX, RATCH HNDL, REPL JAW ASMBLY</t>
  </si>
  <si>
    <t>FORCEP, ENDOSCP, FUND, 5X320 MM, GRASPING, DBL ACT, TRIMAX</t>
  </si>
  <si>
    <t>FORCEP, ENDOSCOPIC, MARYLAND, 10X317 MM, DISSECTING, DOUBLE ACTION, MONOPOLAR, FULLY INSULATED, NON STERILE, LATEX</t>
  </si>
  <si>
    <t>FORCEP, ENDOSCP, MARYLAND, 10X317 MM, DISECT, DBL ACT, MONOPOLAR, FULL INSUL, NS, LTX</t>
  </si>
  <si>
    <t>FORCEP, ENDOSCP, MARYLAND, 10X317 MM, DISECT, DBL ACT, MONOPOLAR</t>
  </si>
  <si>
    <t>INSERT, FORCEP, SNAKE TOOTH, 5X320 MM, 2X2 TEETH, GRASPING, DOUBLE ACTION, ROTATION KNOB, NON INSULATED, WITHOUT FLUSHPORT, RATCHET HANDLE, REPLACEMENT JAW ASSEMBLY</t>
  </si>
  <si>
    <t>INSERT, FORCEP, SNAKE TOOTH, 5X320 MM, 2X2 TEETH, GRASPING, DBL ACT, ROT KNOB, N INSUL, W/O FLUSHPORT, RATCH HNDL, REPL JAW ASMBLY</t>
  </si>
  <si>
    <t>INSERT, FORCEP, SNAKE TOOTH, 5X320 MM, 2X2 TEETH, GRASPING</t>
  </si>
  <si>
    <t>FORCEP, ENDOSCOPIC, SNAKE TOOTH, 5X320 MM, 2X2 TEETH, GRASPING, DOUBLE ACTION, ROTATION KNOB, NON INSULATED, WITHOUT FLUSHPORT, RATCHET HANDLE</t>
  </si>
  <si>
    <t>FORCEP, ENDOSCP, SNAKE TOOTH, 5X320 MM, 2X2 TEETH, GRASPING, DBL ACT, ROT KNOB, N INSUL, W/O FLUSHPORT, RATCH HNDL</t>
  </si>
  <si>
    <t>FORCEP, ENDOSCP, SNAKE TOOTH, 5X320 MM, 2X2 TEETH, GRASPING</t>
  </si>
  <si>
    <t>SHEATH, ENDOSCOPIC, OUTER, 5X450 MM, WITH FLUSHPORT, INSULATED</t>
  </si>
  <si>
    <t>SHEATH, ENDOSCP, OUTER, 5X450 MM, W/ FLUSHPORT, INSUL</t>
  </si>
  <si>
    <t>NEEDLE, ENDOSCOPIC, IRRIGATION, 5 MMX45 CM, 19 GA, PUNCTURE, ASPIRATION, NON STERILE, LATEX</t>
  </si>
  <si>
    <t>NEEDLE, ENDOSCP, IRRIGATION, 5 MMX45 CM, 19 GA, PUNC, ASPIR, NS, LTX</t>
  </si>
  <si>
    <t>PROBE, ENDOSCOPIC, PALPATION, 5 MMX45 CM, WITH CENTIMETER GRADUATIONS, NON STERILE, LATEX</t>
  </si>
  <si>
    <t>PROBE, ENDOSCP, PALPATION, 5 MMX45 CM, W/ CM GRADUATIONS, NS, LTX</t>
  </si>
  <si>
    <t>GRASPER, ENDOSCOPIC, 5X330 MM, DOUBLE ACTION, SLIDE LOCKING, AGGRESSIVE JAW</t>
  </si>
  <si>
    <t>GRASPER, ENDOSCP, 5X330 MM, DBL ACT, SLIDE LCK, AGGRESSIVE JAW</t>
  </si>
  <si>
    <t>GRASPER, ENDOSCOPIC, BABCOCK, 10X330 MM, DOUBLE ACTION, LOCKING, RATCHET HANDLE, MODULAR CARBON FIBER HANDLE, NON STERILE, RAPIDCLEAN, LATEX</t>
  </si>
  <si>
    <t>GRASPER, ENDOSCP, BABCOCK, 10X330 MM, DBL ACT, LCK, RATCH HNDL, MOD CARBON FIBER HNDL, NS, RAPIDCLEAN, LTX</t>
  </si>
  <si>
    <t>GRASPER, ENDOSCP, BABCOCK, 10X330 MM, DBL ACT, LCK, RAPIDCLEAN</t>
  </si>
  <si>
    <t>GRASPER, ENDOSCOPIC, BABCOCK, 5X450 MM, DOUBLE ACTION, LOCKING, RATCHET HANDLE, MODULAR CARBON FIBER HANDLE, NON STERILE, RAPIDCLEAN, LATEX</t>
  </si>
  <si>
    <t>GRASPER, ENDOSCP, BABCOCK, 5X450 MM, DBL ACT, LCK, RATCH HNDL, MOD CARBON FIBER HNDL, NS, RAPIDCLEAN, LTX</t>
  </si>
  <si>
    <t>GRASPER, ENDOSCP, BABCOCK, 5X450 MM, DBL ACT, LCK, RAPIDCLEAN</t>
  </si>
  <si>
    <t>FORCEP, ENDOSCOPIC, CUP TOOTH, 5X350 MM, DISSECTING, DOUBLE ACTION, ROTATION, FULLY INSULATED, NON LOCKING HANDLE, NON STERILE, LATEX</t>
  </si>
  <si>
    <t>FORCEP, ENDOSCP, CUP TOOTH, 5X350 MM, DISECT, DBL ACT, ROT, FULL INSUL, N LCK HNDL, NS, LTX</t>
  </si>
  <si>
    <t>FORCEP, ENDOSCP, CUP TOOTH, 5X350 MM, DISECT, DBL ACT, ROT</t>
  </si>
  <si>
    <t>GRASPER, ENDOSCOPIC, FUNDUS, 5X362 MM, NON STERILE, LATEX</t>
  </si>
  <si>
    <t>GRASPER, ENDOSCP, FUND, 5X362 MM, NS, LTX</t>
  </si>
  <si>
    <t>FORCEP, ENDOSCOPIC, CUP TOOTH, 5X320 MM, GRASPING, DOUBLE ACTION, ROTATION, RATCHET HANDLE, NON STERILE, LATEX</t>
  </si>
  <si>
    <t>FORCEP, ENDOSCP, CUP TOOTH, 5X320 MM, GRASPING, DBL ACT, ROT, RATCH HNDL, NS, LTX</t>
  </si>
  <si>
    <t>FORCEP, ENDOSCP, CUP TOOTH, 5X320 MM, GRASPING, DBL ACT, ROT</t>
  </si>
  <si>
    <t>FORCEP, ENDOSCOPIC, ALLIS, 5X320 MM, GRASPING, ROTATION, RATCHET HANDLE, NON STERILE, LATEX</t>
  </si>
  <si>
    <t>FORCEP, ENDOSCP, ALLIS, 5X320 MM, GRASPING, ROT, RATCH HNDL, NS, LTX</t>
  </si>
  <si>
    <t>FORCEP, ENDOSCOPIC, DUVAL, 10X320 MM, GRASPING, ROTATION, RATCHET HANDLE, NON STERILE, LATEX</t>
  </si>
  <si>
    <t>FORCEP, ENDOSCP, DUVAL, 10X320 MM, GRASPING, ROT, RATCH HNDL, NS, LTX</t>
  </si>
  <si>
    <t>FORCEP, ENDOSCP, DUVAL, 10X320 MM, GRASPING, ROT, RATCH HNDL, NS</t>
  </si>
  <si>
    <t>WARMER, INSTRUMENT, 5-8 MM, 10-12 MM, TWO LONG TROCAR SWAB, ONE MICROFIBER CLOTH, STERILE, LIQUID SCOPE HELPOR II, LIQUID SCOPE WARMOR, LATEX-FREE</t>
  </si>
  <si>
    <t>WARMER, INSTRUMENT, 5-8 MM, 10-12 MM, TWO LNG TROCAR SWAB, 1 MICROFIBER CLTH, STRL, LIQ SCP HELPOR II, LIQ SCP WARMOR, LF</t>
  </si>
  <si>
    <t>WARMER, INSTRUMENT, 5-8 MM, 10-12 MM, LIQ SCP HELPOR II</t>
  </si>
  <si>
    <t>MANIPULATOR, SURGICAL, UTERINE, WITH OCCLUDER, BALLOON, STERILE, ELEVATOR PRO, LATEX</t>
  </si>
  <si>
    <t>MANIPULATOR, SURG, UTER, W/ OCCL, BALLOON, STRL, ELEV PRO, LTX</t>
  </si>
  <si>
    <t>SCISSOR</t>
  </si>
  <si>
    <t>SURGICAL</t>
  </si>
  <si>
    <t>MICRO</t>
  </si>
  <si>
    <t>200 MM</t>
  </si>
  <si>
    <t>PITUITARY</t>
  </si>
  <si>
    <t>STRAIGHT, ALLIGATOR ACTION, SEMI MALLEABLE SHAFT</t>
  </si>
  <si>
    <t>SYMMETRY</t>
  </si>
  <si>
    <t>https://shop.symmetrysurgical.com/en/product/sites-of-care-ambulatory-surgery-center/54-5607, https://shop.symmetrysurgical.com/en/Image/GetDocument/48</t>
  </si>
  <si>
    <t>CURVED LEFT, ALLIGATOR ACTION, SEMI MALLEABLE SHAFT</t>
  </si>
  <si>
    <t>https://shop.symmetrysurgical.com/en/product/sites-of-care-ambulatory-surgery-center/54-5608, https://shop.symmetrysurgical.com/en/Image/GetDocument/48</t>
  </si>
  <si>
    <t>CURVED RIGHT, ALLIGATOR ACTION, SEMI MALLEABLE SHAFT</t>
  </si>
  <si>
    <t>https://shop.symmetrysurgical.com/en/product/sites-of-care-ambulatory-surgery-center/54-5609, https://shop.symmetrysurgical.com/en/Image/GetDocument/48</t>
  </si>
  <si>
    <t>CLAMP</t>
  </si>
  <si>
    <t>DEBAKEY-CASTANEDA</t>
  </si>
  <si>
    <t>25 DEGREE</t>
  </si>
  <si>
    <t>4.75 IN</t>
  </si>
  <si>
    <t>1.4 MM</t>
  </si>
  <si>
    <t>ANGLED, CURVED SHANK, WITH JAW</t>
  </si>
  <si>
    <t>NON STERILE</t>
  </si>
  <si>
    <t>LATEX</t>
  </si>
  <si>
    <t xml:space="preserve">SYMMETRY Width </t>
  </si>
  <si>
    <t>https://shop.symmetrysurgical.com/en/product/sites-of-care-ambulatory-surgery-center/55-4922, https://accessgudid.nlm.nih.gov/devices/00887482037485</t>
  </si>
  <si>
    <t>45 DEGREE</t>
  </si>
  <si>
    <t>https://shop.symmetrysurgical.com/en/product/sites-of-care-ambulatory-surgery-center/55-4923, https://accessgudid.nlm.nih.gov/devices/00887482037492</t>
  </si>
  <si>
    <t>RONGEUR</t>
  </si>
  <si>
    <t>KERRISON</t>
  </si>
  <si>
    <t>4X10 MM</t>
  </si>
  <si>
    <t>6 IN</t>
  </si>
  <si>
    <t>STRAIGHT, SPURLING, WITH JAW</t>
  </si>
  <si>
    <t>https://shop.symmetrysurgical.com/en/Image/GetDocument/48, https://accessgudid.nlm.nih.gov/devices/00887482045916</t>
  </si>
  <si>
    <t>ANGLED UP, SPURLING, WITH JAW</t>
  </si>
  <si>
    <t>https://shop.symmetrysurgical.com/en/Image/GetDocument/48, https://accessgudid.nlm.nih.gov/devices/00887482040850</t>
  </si>
  <si>
    <t>ANGLED DOWN, SPURLING, WITH JAW</t>
  </si>
  <si>
    <t>https://shop.symmetrysurgical.com/en/Image/GetDocument/48, https://accessgudid.nlm.nih.gov/devices/00887482095003</t>
  </si>
  <si>
    <t>BLADE</t>
  </si>
  <si>
    <t>RETRACTOR</t>
  </si>
  <si>
    <t>EBONIZED</t>
  </si>
  <si>
    <t>3X11 IN</t>
  </si>
  <si>
    <t>LIP</t>
  </si>
  <si>
    <t>MALLEABLE</t>
  </si>
  <si>
    <t>BOOKWALTER, OPTI-LENGTH</t>
  </si>
  <si>
    <t>https://www.camaramx.com/wp-content/themes/camara/images/pdf/14-Retractors.pdf, https://accessgudid.nlm.nih.gov/devices/00887482027981</t>
  </si>
  <si>
    <t>2X11 IN</t>
  </si>
  <si>
    <t>https://www.camaramx.com/wp-content/themes/camara/images/pdf/14-Retractors.pdf, https://accessgudid.nlm.nih.gov/devices/00887482028025</t>
  </si>
  <si>
    <t>FORCEP</t>
  </si>
  <si>
    <t>DEBAKEY</t>
  </si>
  <si>
    <t>1.5 MM</t>
  </si>
  <si>
    <t>12 IN</t>
  </si>
  <si>
    <t>WITH TIP</t>
  </si>
  <si>
    <t>https://shop.symmetrysurgical.com/en/product/sites-of-care-ambulatory-surgery-center/67-7800, https://accessgudid.nlm.nih.gov/devices/00887482028711</t>
  </si>
  <si>
    <t>TUBE</t>
  </si>
  <si>
    <t>SUCTION</t>
  </si>
  <si>
    <t>FUKUSHIMA</t>
  </si>
  <si>
    <t>6 FRX178 MM</t>
  </si>
  <si>
    <t>TAPERED, TEARDROP</t>
  </si>
  <si>
    <t>https://shop.symmetrysurgical.com/en/product/sites-of-care-ambulatory-surgery-center/67-7858, https://accessgudid.nlm.nih.gov/devices/00887482028834</t>
  </si>
  <si>
    <t>7 FRX178 MM</t>
  </si>
  <si>
    <t>https://shop.symmetrysurgical.com/en/product/sites-of-care-ambulatory-surgery-center/67-7859, https://accessgudid.nlm.nih.gov/devices/00887482028841</t>
  </si>
  <si>
    <t>8 FRX178 MM</t>
  </si>
  <si>
    <t>https://shop.symmetrysurgical.com/en/product/sites-of-care-ambulatory-surgery-center/67-7860, https://accessgudid.nlm.nih.gov/devices/00887482028858</t>
  </si>
  <si>
    <t>9 FRX178 MM</t>
  </si>
  <si>
    <t>https://shop.symmetrysurgical.com/en/product/sites-of-care-ambulatory-surgery-center/67-7861, https://accessgudid.nlm.nih.gov/devices/00887482028865</t>
  </si>
  <si>
    <t>4 FRX203 MM</t>
  </si>
  <si>
    <t>https://shop.symmetrysurgical.com/en/product/sites-of-care-ambulatory-surgery-center/67-7862, https://accessgudid.nlm.nih.gov/devices/00887482028872</t>
  </si>
  <si>
    <t>5 FRX203 MM</t>
  </si>
  <si>
    <t>https://shop.symmetrysurgical.com/en/product/sites-of-care-ambulatory-surgery-center/67-7863, https://accessgudid.nlm.nih.gov/devices/00887482028889</t>
  </si>
  <si>
    <t>6 FRX203 MM</t>
  </si>
  <si>
    <t>https://shop.symmetrysurgical.com/en/product/sites-of-care-ambulatory-surgery-center/67-7864, https://accessgudid.nlm.nih.gov/devices/00887482028896</t>
  </si>
  <si>
    <t>7 FRX203 MM</t>
  </si>
  <si>
    <t>https://shop.symmetrysurgical.com/en/product/sites-of-care-ambulatory-surgery-center/67-7865, https://accessgudid.nlm.nih.gov/devices/00887482028902</t>
  </si>
  <si>
    <t>8 FRX203 MM</t>
  </si>
  <si>
    <t>https://shop.symmetrysurgical.com/en/product/sites-of-care-ambulatory-surgery-center/67-7866, https://accessgudid.nlm.nih.gov/devices/00887482028919</t>
  </si>
  <si>
    <t>8 FRX229 MM</t>
  </si>
  <si>
    <t>https://shop.symmetrysurgical.com/en/product/sites-of-care-ambulatory-surgery-center/67-7872, https://accessgudid.nlm.nih.gov/devices/00887482028971</t>
  </si>
  <si>
    <t>9 FRX229 MM</t>
  </si>
  <si>
    <t>https://shop.symmetrysurgical.com/en/product/sites-of-care-ambulatory-surgery-center/67-7873, https://accessgudid.nlm.nih.gov/devices/00887482028988</t>
  </si>
  <si>
    <t>ADENOTOME</t>
  </si>
  <si>
    <t>LAFORCE</t>
  </si>
  <si>
    <t>MEDIUM, 2</t>
  </si>
  <si>
    <t>16 MM</t>
  </si>
  <si>
    <t>https://shop.symmetrysurgical.com/en/Image/GetDocument/51, https://accessgudid.nlm.nih.gov/devices/00887482122242</t>
  </si>
  <si>
    <t>LARGE, 3</t>
  </si>
  <si>
    <t>18 MM</t>
  </si>
  <si>
    <t>https://shop.symmetrysurgical.com/en/Image/GetDocument/51, https://accessgudid.nlm.nih.gov/devices/00887482122259</t>
  </si>
  <si>
    <t>SHAMBAUGH</t>
  </si>
  <si>
    <t>LARGE</t>
  </si>
  <si>
    <t>https://shop.symmetrysurgical.com/en/product/sites-of-care-ambulatory-surgery-center/71-1813, https://accessgudid.nlm.nih.gov/devices/00887482122303</t>
  </si>
  <si>
    <t>STRAIGHT</t>
  </si>
  <si>
    <t>216 MM</t>
  </si>
  <si>
    <t>BAYONET</t>
  </si>
  <si>
    <t>RHOTON</t>
  </si>
  <si>
    <t>https://shop.symmetrysurgical.com/en/product/sites-of-care-ambulatory-surgery-center/80-1722</t>
  </si>
  <si>
    <t>CURVED</t>
  </si>
  <si>
    <t>https://shop.symmetrysurgical.com/en/product/sites-of-care-ambulatory-surgery-center/80-1723</t>
  </si>
  <si>
    <t>HOLDER</t>
  </si>
  <si>
    <t>NEEDLE</t>
  </si>
  <si>
    <t>8.5 IN</t>
  </si>
  <si>
    <t>BAYONET, TIP</t>
  </si>
  <si>
    <t>https://shop.symmetrysurgical.com/en/product/sites-of-care-ambulatory-surgery-center/80-1728, https://accessgudid.nlm.nih.gov/devices/00887482031674</t>
  </si>
  <si>
    <t>https://shop.symmetrysurgical.com/en/product/sites-of-care-ambulatory-surgery-center/80-1729, https://accessgudid.nlm.nih.gov/devices/00887482031681</t>
  </si>
  <si>
    <t>MICRO, 0.3 MM</t>
  </si>
  <si>
    <t>5.5 IN</t>
  </si>
  <si>
    <t>STRAIGHT, WIDE TEETH</t>
  </si>
  <si>
    <t>https://shop.symmetrysurgical.com/en/product/sites-of-care-ambulatory-surgery-center/80-2000</t>
  </si>
  <si>
    <t>CURVED, SHARP/SHARP</t>
  </si>
  <si>
    <t>https://shop.symmetrysurgical.com/en/product/sites-of-care-ambulatory-surgery-center/80-2006</t>
  </si>
  <si>
    <t>7 IN</t>
  </si>
  <si>
    <t>https://shop.symmetrysurgical.com/en/product/sites-of-care-ambulatory-surgery-center/80-2009</t>
  </si>
  <si>
    <t>https://shop.symmetrysurgical.com/en/product/sites-of-care-ambulatory-surgery-center/80-2016</t>
  </si>
  <si>
    <t>POTTS-SMITH</t>
  </si>
  <si>
    <t>ANGLED, SERRATED BLADE, HANDLE</t>
  </si>
  <si>
    <t>BLACK</t>
  </si>
  <si>
    <t>https://shop.symmetrysurgical.com/en/product/sites-of-care-ambulatory-surgery-center/86-1032, https://accessgudid.nlm.nih.gov/devices/00887482127995</t>
  </si>
  <si>
    <t>60 DEGREE</t>
  </si>
  <si>
    <t>https://shop.symmetrysurgical.com/en/product/sites-of-care-ambulatory-surgery-center/86-1034, https://accessgudid.nlm.nih.gov/devices/00887482128015</t>
  </si>
  <si>
    <t>SHEATH</t>
  </si>
  <si>
    <t>ENDOSCOPIC</t>
  </si>
  <si>
    <t>5X320 MM</t>
  </si>
  <si>
    <t>WITH FLUSHPORT</t>
  </si>
  <si>
    <t>https://shop.symmetrysurgical.com/en/product/sites-of-care-ambulatory-surgery-center/90-1115</t>
  </si>
  <si>
    <t>IRRIGATION</t>
  </si>
  <si>
    <t>5 MMX13 IN</t>
  </si>
  <si>
    <t>19 GA</t>
  </si>
  <si>
    <t>PUNCTURE, ASPIRATION</t>
  </si>
  <si>
    <t>SYMMETRY 33 cm</t>
  </si>
  <si>
    <t>https://shop.symmetrysurgical.com/en/product/sites-of-care-ambulatory-surgery-center/90-5050, https://accessgudid.nlm.nih.gov/devices/00887482129807</t>
  </si>
  <si>
    <t>PROBE</t>
  </si>
  <si>
    <t>PALPATION</t>
  </si>
  <si>
    <t>12-5/8 IN</t>
  </si>
  <si>
    <t>SYMMETRY 32 cm</t>
  </si>
  <si>
    <t>https://shop.symmetrysurgical.com/en/product/sites-of-care-ambulatory-surgery-center/90-5053, https://accessgudid.nlm.nih.gov/devices/00887482129869</t>
  </si>
  <si>
    <t>FORCEP KIT</t>
  </si>
  <si>
    <t>BIPOLAR</t>
  </si>
  <si>
    <t>STANDARD, 0.75 MM</t>
  </si>
  <si>
    <t>7-1/8 IN</t>
  </si>
  <si>
    <t>STRAIGHT , SMOOTH, TWIN PIN CORD, SURGIWIPE, BAYONET HANDLE, INSULATED TIP</t>
  </si>
  <si>
    <t>STERILE</t>
  </si>
  <si>
    <t>OLSEN</t>
  </si>
  <si>
    <t>DISPOSABLE</t>
  </si>
  <si>
    <t>(10/bx) 181 MM</t>
  </si>
  <si>
    <t>https://shop.symmetrysurgical.com/en/product/sites-of-care-ambulatory-surgery-center/20-1360KI, https://accessgudid.nlm.nih.gov/devices/00841785104015</t>
  </si>
  <si>
    <t>STANDARD, 1.5 MM</t>
  </si>
  <si>
    <t>7.5 IN</t>
  </si>
  <si>
    <t>(10/bx) 191 MM</t>
  </si>
  <si>
    <t>https://shop.symmetrysurgical.com/en/product/sites-of-care-ambulatory-surgery-center/20-1380KI, https://accessgudid.nlm.nih.gov/devices/00841785104213</t>
  </si>
  <si>
    <t>STANDARD, 0.5 MM</t>
  </si>
  <si>
    <t>8.25 IN</t>
  </si>
  <si>
    <t>(10/bx), 210 MM</t>
  </si>
  <si>
    <t>https://shop.symmetrysurgical.com/en/product/sites-of-care-ambulatory-surgery-center/20-1420KI, https://accessgudid.nlm.nih.gov/devices/00841785104732</t>
  </si>
  <si>
    <t>CASE</t>
  </si>
  <si>
    <t>INSTRUMENT</t>
  </si>
  <si>
    <t>HUDSON DRILL, FOR 26-1075 SET</t>
  </si>
  <si>
    <t>SYMMETRY Use w/</t>
  </si>
  <si>
    <t>https://shop.symmetrysurgical.com/en/product/sites-of-care-ambulatory-surgery-center/21-1002C, https://accessgudid.nlm.nih.gov/devices/00887482032893</t>
  </si>
  <si>
    <t>40 DEGREE, 3 MM</t>
  </si>
  <si>
    <t>CERVICAL</t>
  </si>
  <si>
    <t>UPWARD</t>
  </si>
  <si>
    <t>https://shop.symmetrysurgical.com/en/product/specialty-orthopaedic-surgery/53-15-40.42.44-CD, https://accessgudid.nlm.nih.gov/devices/00887482034477</t>
  </si>
  <si>
    <t>40 DEGREE, 4 MM</t>
  </si>
  <si>
    <t>https://shop.symmetrysurgical.com/en/product/specialty-orthopaedic-surgery/53-15-40.42.44-CD, https://accessgudid.nlm.nih.gov/devices/00887482034484</t>
  </si>
  <si>
    <t>HENLY</t>
  </si>
  <si>
    <t>1X5/8 IN</t>
  </si>
  <si>
    <t>CENTER</t>
  </si>
  <si>
    <t>ULTRA INSTRUMENTS</t>
  </si>
  <si>
    <t>https://shop.symmetrysurgical.com/en/product/sites-of-care-ambulatory-surgery-center/55-8999F, https://accessgudid.nlm.nih.gov/devices/00887482090602</t>
  </si>
  <si>
    <t>INSERT</t>
  </si>
  <si>
    <t>BOTTLE NOSE</t>
  </si>
  <si>
    <t>5 MM</t>
  </si>
  <si>
    <t>DISSECTING, DOUBLE ACTION, MONOPOLAR, INSULATED HANDLE, REPLACEMENT JAW ASSEMBLY</t>
  </si>
  <si>
    <t>https://shop.symmetrysurgical.com/en/product/sites-of-care-ambulatory-surgery-center/90-1030B, https://accessgudid.nlm.nih.gov/devices/00887482128732</t>
  </si>
  <si>
    <t>DISSECTING, DOUBLE ACTION, MONOPOLAR, INSULATED HANDLE</t>
  </si>
  <si>
    <t xml:space="preserve">SYMMETRY Tip </t>
  </si>
  <si>
    <t>https://shop.symmetrysurgical.com/en/product/sites-of-care-ambulatory-surgery-center/90-1030I, https://shop.symmetrysurgical.com/en/product/sites-of-care-ambulatory-surgery-center/90-1030I</t>
  </si>
  <si>
    <t>CUP TOOTH</t>
  </si>
  <si>
    <t>https://www.camaramx.com/wp-content/themes/camara/images/pdf/15-%20Laparoscopic.pdf, https://accessgudid.nlm.nih.gov/devices/00887482142080</t>
  </si>
  <si>
    <t>GRASPING</t>
  </si>
  <si>
    <t>https://shop.symmetrysurgical.com/en/product/sites-of-care-ambulatory-surgery-center/90-1035IL</t>
  </si>
  <si>
    <t>DUCKBILL</t>
  </si>
  <si>
    <t>GRASPING, DISSECTING, DOUBLE ACTION, MONOPOLAR, FULLY INSULATED, FLATTENED SERRATED JAW, INSULATED HANDLE, REPLACEMENT JAW ASSEMBLY</t>
  </si>
  <si>
    <t>https://shop.symmetrysurgical.com/en/product/sites-of-care-ambulatory-surgery-center/90-1040B</t>
  </si>
  <si>
    <t>GRASPING, DISSECTING, DOUBLE ACTION, MONOPOLAR, FULLY INSULATED, FLATTENED SERRATED JAW, INSULATED HANDLE</t>
  </si>
  <si>
    <t>https://www.camaramx.com/wp-content/themes/camara/images/pdf/15-%20Laparoscopic.pdf, https://accessgudid.nlm.nih.gov/devices/00887482142097</t>
  </si>
  <si>
    <t>FUNDUS</t>
  </si>
  <si>
    <t>GRASPING, DOUBLE ACTION, TRIMAX, RATCHET HANDLE</t>
  </si>
  <si>
    <t>https://www.camaramx.com/wp-content/themes/camara/images/pdf/15-%20Laparoscopic.pdf</t>
  </si>
  <si>
    <t>GRASPING, DOUBLE ACTION, TRIMAX, RATCHET HANDLE, REPLACEMENT JAW ASSEMBLY</t>
  </si>
  <si>
    <t>MARYLAND</t>
  </si>
  <si>
    <t>10X317 MM</t>
  </si>
  <si>
    <t>DISSECTING, DOUBLE ACTION, MONOPOLAR, FULLY INSULATED</t>
  </si>
  <si>
    <t>https://www.camaramx.com/wp-content/themes/camara/images/pdf/15-%20Laparoscopic.pdf, https://accessgudid.nlm.nih.gov/devices/00190776081966</t>
  </si>
  <si>
    <t>SNAKE TOOTH</t>
  </si>
  <si>
    <t>2X2 TEETH, GRASPING, DOUBLE ACTION, ROTATION KNOB, NON INSULATED, WITHOUT FLUSHPORT, RATCHET HANDLE, REPLACEMENT JAW ASSEMBLY</t>
  </si>
  <si>
    <t>2X2 TEETH, GRASPING, DOUBLE ACTION, ROTATION KNOB, NON INSULATED, WITHOUT FLUSHPORT, RATCHET HANDLE</t>
  </si>
  <si>
    <t>OUTER</t>
  </si>
  <si>
    <t>5X450 MM</t>
  </si>
  <si>
    <t>WITH FLUSHPORT, INSULATED</t>
  </si>
  <si>
    <t>5 MMX45 CM</t>
  </si>
  <si>
    <t>https://www.camaramx.com/wp-content/themes/camara/images/pdf/15-%20Laparoscopic.pdf, https://accessgudid.nlm.nih.gov/devices/00887482129814</t>
  </si>
  <si>
    <t>WITH CENTIMETER GRADUATIONS</t>
  </si>
  <si>
    <t>SYMMETRY 17 3/4 in</t>
  </si>
  <si>
    <t>https://www.camaramx.com/wp-content/themes/camara/images/pdf/15-%20Laparoscopic.pdf, https://accessgudid.nlm.nih.gov/devices/00887482129876</t>
  </si>
  <si>
    <t>GRASPER</t>
  </si>
  <si>
    <t>5X330 MM</t>
  </si>
  <si>
    <t>DOUBLE ACTION, SLIDE LOCKING, AGGRESSIVE JAW</t>
  </si>
  <si>
    <t>https://shop.symmetrysurgical.com/en/product/sites-of-care-ambulatory-surgery-center/95-1048SL-DA</t>
  </si>
  <si>
    <t>BABCOCK</t>
  </si>
  <si>
    <t>10X330 MM</t>
  </si>
  <si>
    <t>DOUBLE ACTION, LOCKING, RATCHET HANDLE, MODULAR CARBON FIBER HANDLE</t>
  </si>
  <si>
    <t>RAPIDCLEAN</t>
  </si>
  <si>
    <t>https://www.camaramx.com/wp-content/themes/camara/images/pdf/15-%20Laparoscopic.pdf, https://accessgudid.nlm.nih.gov/devices/00887482131718</t>
  </si>
  <si>
    <t>https://www.camaramx.com/wp-content/themes/camara/images/pdf/15-%20Laparoscopic.pdf, https://accessgudid.nlm.nih.gov/devices/00887482143391</t>
  </si>
  <si>
    <t>5X350 MM</t>
  </si>
  <si>
    <t>DISSECTING, DOUBLE ACTION, ROTATION, FULLY INSULATED, NON LOCKING HANDLE</t>
  </si>
  <si>
    <t>https://www.camaramx.com/wp-content/themes/camara/images/pdf/15-%20Laparoscopic.pdf, https://accessgudid.nlm.nih.gov/devices/00887482131916</t>
  </si>
  <si>
    <t>5X362 MM</t>
  </si>
  <si>
    <t>https://shop.symmetrysurgical.com/en/product/sites-of-care-ambulatory-surgery-center/97-1050RC, https://accessgudid.nlm.nih.gov/devices/00887482131961</t>
  </si>
  <si>
    <t>GRASPING, DOUBLE ACTION, ROTATION, RATCHET HANDLE</t>
  </si>
  <si>
    <t>https://www.camaramx.com/wp-content/themes/camara/images/pdf/15-%20Laparoscopic.pdf, https://accessgudid.nlm.nih.gov/devices/00887482131992</t>
  </si>
  <si>
    <t>ALLIS</t>
  </si>
  <si>
    <t>GRASPING, ROTATION, RATCHET HANDLE</t>
  </si>
  <si>
    <t>https://www.camaramx.com/wp-content/themes/camara/images/pdf/15-%20Laparoscopic.pdf, https://accessgudid.nlm.nih.gov/devices/00887482132159</t>
  </si>
  <si>
    <t>DUVAL</t>
  </si>
  <si>
    <t>10X320 MM</t>
  </si>
  <si>
    <t>https://www.camaramx.com/wp-content/themes/camara/images/pdf/15-%20Laparoscopic.pdf, https://accessgudid.nlm.nih.gov/devices/00887482132180</t>
  </si>
  <si>
    <t>WARMER</t>
  </si>
  <si>
    <t>5-8 MM, 10-12 MM</t>
  </si>
  <si>
    <t>TWO LONG TROCAR SWAB, ONE MICROFIBER CLOTH</t>
  </si>
  <si>
    <t>LIQUID SCOPE HELPOR II, LIQUID SCOPE WARMOR</t>
  </si>
  <si>
    <t>LATEX-FREE</t>
  </si>
  <si>
    <t>(10/bx)</t>
  </si>
  <si>
    <t>https://shop.symmetrysurgical.com/en/product/portfolios-minimally-invasive-surgery/LSH-01.02--LSH-02, https://accessgudid.nlm.nih.gov/devices/09349967004869</t>
  </si>
  <si>
    <t>MANIPULATOR</t>
  </si>
  <si>
    <t>UTERINE</t>
  </si>
  <si>
    <t>WITH OCCLUDER, BALLOON</t>
  </si>
  <si>
    <t>ELEVATOR PRO</t>
  </si>
  <si>
    <t xml:space="preserve">Box/6 Only </t>
  </si>
  <si>
    <t>https://shop.symmetrysurgical.com/en/product/portfolios-minimally-invasive-surgery-trans-vaginal-management/UE-TVPRO-32.35.37--OB-01, https://accessgudid.nlm.nih.gov/devices/09349967004890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</si>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</sst>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1" xfId="0" applyFont="1"/>
    <xf numFmtId="0" fontId="7" fillId="0" borderId="2" xfId="0" applyFont="1" applyBorder="1"/>
    <xf numFmtId="49" fontId="6" fillId="0" borderId="1" xfId="0" applyNumberFormat="1" applyFont="1"/>
    <xf numFmtId="0" fontId="6" fillId="0" borderId="1" xfId="0" quotePrefix="1" applyFont="1"/>
    <xf numFmtId="0" fontId="6" fillId="0" borderId="1" xfId="0" applyFont="1" applyAlignment="1">
      <alignment horizontal="left"/>
    </xf>
    <xf numFmtId="0" fontId="6" fillId="0" borderId="1" xfId="0" quotePrefix="1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70"/>
  <sheetViews>
    <sheetView tabSelected="1" topLeftCell="CS1" workbookViewId="0">
      <selection activeCell="DF1" sqref="DF1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20.8554687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122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158</v>
      </c>
      <c r="B1" s="2" t="s">
        <v>274</v>
      </c>
      <c r="C1" s="2" t="s">
        <v>279</v>
      </c>
      <c r="D1" s="2" t="s">
        <v>86</v>
      </c>
      <c r="E1" s="2" t="s">
        <v>280</v>
      </c>
      <c r="F1" s="2" t="s">
        <v>257</v>
      </c>
      <c r="G1" s="2" t="s">
        <v>316</v>
      </c>
      <c r="H1" s="2" t="s">
        <v>102</v>
      </c>
      <c r="I1" s="2" t="s">
        <v>107</v>
      </c>
      <c r="J1" s="2" t="s">
        <v>250</v>
      </c>
      <c r="K1" s="2" t="s">
        <v>61</v>
      </c>
      <c r="L1" s="2" t="s">
        <v>182</v>
      </c>
      <c r="M1" s="2" t="s">
        <v>82</v>
      </c>
      <c r="N1" s="2" t="s">
        <v>72</v>
      </c>
      <c r="O1" s="2" t="s">
        <v>120</v>
      </c>
      <c r="P1" s="2" t="s">
        <v>296</v>
      </c>
      <c r="Q1" s="2" t="s">
        <v>237</v>
      </c>
      <c r="R1" s="2" t="s">
        <v>50</v>
      </c>
      <c r="S1" s="2" t="s">
        <v>160</v>
      </c>
      <c r="T1" s="2" t="s">
        <v>174</v>
      </c>
      <c r="U1" s="3" t="s">
        <v>75</v>
      </c>
      <c r="V1" s="3" t="s">
        <v>83</v>
      </c>
      <c r="W1" s="4" t="s">
        <v>144</v>
      </c>
      <c r="X1" s="5" t="s">
        <v>124</v>
      </c>
      <c r="Y1" s="6" t="s">
        <v>261</v>
      </c>
      <c r="Z1" s="4" t="s">
        <v>44</v>
      </c>
      <c r="AA1" s="5" t="s">
        <v>206</v>
      </c>
      <c r="AB1" s="6" t="s">
        <v>308</v>
      </c>
      <c r="AC1" s="2" t="s">
        <v>80</v>
      </c>
      <c r="AD1" s="2" t="s">
        <v>161</v>
      </c>
      <c r="AE1" s="7" t="s">
        <v>15</v>
      </c>
      <c r="AF1" s="2" t="s">
        <v>265</v>
      </c>
      <c r="AG1" s="5" t="s">
        <v>185</v>
      </c>
      <c r="AH1" s="5" t="s">
        <v>45</v>
      </c>
      <c r="AI1" s="5" t="s">
        <v>169</v>
      </c>
      <c r="AJ1" s="5" t="s">
        <v>155</v>
      </c>
      <c r="AK1" s="5" t="s">
        <v>17</v>
      </c>
      <c r="AL1" s="5" t="s">
        <v>23</v>
      </c>
      <c r="AM1" s="5" t="s">
        <v>268</v>
      </c>
      <c r="AN1" s="5" t="s">
        <v>294</v>
      </c>
      <c r="AO1" s="6" t="s">
        <v>173</v>
      </c>
      <c r="AP1" s="2" t="s">
        <v>303</v>
      </c>
      <c r="AQ1" s="2" t="s">
        <v>16</v>
      </c>
      <c r="AR1" s="8" t="s">
        <v>104</v>
      </c>
      <c r="AS1" s="6" t="s">
        <v>63</v>
      </c>
      <c r="AT1" s="6" t="s">
        <v>106</v>
      </c>
      <c r="AU1" s="9" t="s">
        <v>164</v>
      </c>
      <c r="AV1" s="9" t="s">
        <v>119</v>
      </c>
      <c r="AW1" s="10" t="s">
        <v>275</v>
      </c>
      <c r="AX1" s="8" t="s">
        <v>229</v>
      </c>
      <c r="AY1" s="8" t="s">
        <v>156</v>
      </c>
      <c r="AZ1" s="8" t="s">
        <v>239</v>
      </c>
      <c r="BA1" s="8" t="s">
        <v>187</v>
      </c>
      <c r="BB1" s="8" t="s">
        <v>243</v>
      </c>
      <c r="BC1" s="8" t="s">
        <v>96</v>
      </c>
      <c r="BD1" s="8" t="s">
        <v>281</v>
      </c>
      <c r="BE1" s="8" t="s">
        <v>166</v>
      </c>
      <c r="BF1" s="8" t="s">
        <v>286</v>
      </c>
      <c r="BG1" s="8" t="s">
        <v>137</v>
      </c>
      <c r="BH1" s="8" t="s">
        <v>39</v>
      </c>
      <c r="BI1" s="8" t="s">
        <v>213</v>
      </c>
      <c r="BJ1" s="8" t="s">
        <v>203</v>
      </c>
      <c r="BK1" s="8" t="s">
        <v>297</v>
      </c>
      <c r="BL1" s="8" t="s">
        <v>66</v>
      </c>
      <c r="BM1" s="8" t="s">
        <v>151</v>
      </c>
      <c r="BN1" s="8" t="s">
        <v>223</v>
      </c>
      <c r="BO1" s="8" t="s">
        <v>313</v>
      </c>
      <c r="BP1" s="8" t="s">
        <v>142</v>
      </c>
      <c r="BQ1" s="6" t="s">
        <v>22</v>
      </c>
      <c r="BR1" s="6" t="s">
        <v>241</v>
      </c>
      <c r="BS1" s="8" t="s">
        <v>58</v>
      </c>
      <c r="BT1" s="8" t="s">
        <v>59</v>
      </c>
      <c r="BU1" s="8" t="s">
        <v>178</v>
      </c>
      <c r="BV1" s="8" t="s">
        <v>186</v>
      </c>
      <c r="BW1" s="8" t="s">
        <v>201</v>
      </c>
      <c r="BX1" s="8" t="s">
        <v>88</v>
      </c>
      <c r="BY1" s="8" t="s">
        <v>130</v>
      </c>
      <c r="BZ1" s="8" t="s">
        <v>70</v>
      </c>
      <c r="CA1" s="11" t="s">
        <v>299</v>
      </c>
      <c r="CB1" s="11" t="s">
        <v>40</v>
      </c>
      <c r="CC1" s="11" t="s">
        <v>283</v>
      </c>
      <c r="CD1" s="11" t="s">
        <v>307</v>
      </c>
      <c r="CE1" s="11" t="s">
        <v>162</v>
      </c>
      <c r="CF1" s="11" t="s">
        <v>248</v>
      </c>
      <c r="CG1" s="11" t="s">
        <v>245</v>
      </c>
      <c r="CH1" s="11" t="s">
        <v>145</v>
      </c>
      <c r="CI1" s="11" t="s">
        <v>264</v>
      </c>
      <c r="CJ1" s="11" t="s">
        <v>212</v>
      </c>
      <c r="CK1" s="11" t="s">
        <v>168</v>
      </c>
      <c r="CL1" s="11" t="s">
        <v>95</v>
      </c>
      <c r="CM1" s="11" t="s">
        <v>26</v>
      </c>
      <c r="CN1" s="11" t="s">
        <v>176</v>
      </c>
      <c r="CO1" s="11" t="s">
        <v>30</v>
      </c>
      <c r="CP1" s="11" t="s">
        <v>146</v>
      </c>
      <c r="CQ1" s="11" t="s">
        <v>287</v>
      </c>
      <c r="CR1" s="11" t="s">
        <v>159</v>
      </c>
      <c r="CS1" s="11" t="s">
        <v>148</v>
      </c>
      <c r="CT1" s="5" t="s">
        <v>214</v>
      </c>
      <c r="CU1" s="5" t="s">
        <v>295</v>
      </c>
      <c r="CV1" s="5" t="s">
        <v>312</v>
      </c>
      <c r="CW1" s="5" t="s">
        <v>131</v>
      </c>
      <c r="CX1" s="12" t="s">
        <v>128</v>
      </c>
      <c r="CY1" s="13" t="s">
        <v>322</v>
      </c>
      <c r="CZ1" s="12" t="s">
        <v>29</v>
      </c>
      <c r="DA1" s="14" t="s">
        <v>25</v>
      </c>
      <c r="DB1" s="14" t="s">
        <v>55</v>
      </c>
      <c r="DC1" s="14" t="s">
        <v>200</v>
      </c>
      <c r="DD1" s="14" t="s">
        <v>271</v>
      </c>
      <c r="DE1" s="14" t="s">
        <v>315</v>
      </c>
      <c r="DF1" s="1" t="s">
        <v>118</v>
      </c>
      <c r="DG1" s="1" t="s">
        <v>220</v>
      </c>
    </row>
    <row r="2" spans="1:111" ht="12" customHeight="1" x14ac:dyDescent="0.25">
      <c r="A2" s="15" t="s">
        <v>242</v>
      </c>
      <c r="B2" s="15" t="s">
        <v>2</v>
      </c>
      <c r="C2" s="15" t="s">
        <v>125</v>
      </c>
      <c r="D2" t="s">
        <v>319</v>
      </c>
      <c r="E2" s="18" t="s">
        <v>324</v>
      </c>
      <c r="F2" t="s">
        <v>319</v>
      </c>
      <c r="G2" s="18" t="s">
        <v>325</v>
      </c>
      <c r="H2" s="16" t="s">
        <v>47</v>
      </c>
      <c r="I2"/>
      <c r="J2"/>
      <c r="K2"/>
      <c r="L2"/>
      <c r="M2"/>
      <c r="N2"/>
      <c r="O2"/>
      <c r="P2"/>
      <c r="Q2"/>
      <c r="R2"/>
      <c r="S2"/>
      <c r="T2"/>
      <c r="U2">
        <v>324</v>
      </c>
      <c r="V2" s="17">
        <v>140</v>
      </c>
      <c r="W2" t="s">
        <v>69</v>
      </c>
      <c r="X2" t="s">
        <v>69</v>
      </c>
      <c r="Y2" s="19" t="s">
        <v>326</v>
      </c>
      <c r="Z2" t="s">
        <v>231</v>
      </c>
      <c r="AA2" t="s">
        <v>231</v>
      </c>
      <c r="AB2" s="18" t="s">
        <v>327</v>
      </c>
      <c r="AC2" s="18" t="s">
        <v>396</v>
      </c>
      <c r="AD2" s="18" t="s">
        <v>327</v>
      </c>
      <c r="AE2" s="20" t="s">
        <v>231</v>
      </c>
      <c r="AF2" s="18" t="s">
        <v>397</v>
      </c>
      <c r="AG2"/>
      <c r="AH2"/>
      <c r="AI2"/>
      <c r="AJ2" s="17" t="s">
        <v>244</v>
      </c>
      <c r="AK2"/>
      <c r="AL2" s="17">
        <v>3639</v>
      </c>
      <c r="AM2" s="17" t="s">
        <v>34</v>
      </c>
      <c r="AN2"/>
      <c r="AO2" s="18" t="s">
        <v>466</v>
      </c>
      <c r="AP2"/>
      <c r="AQ2"/>
      <c r="AR2" s="18" t="s">
        <v>480</v>
      </c>
      <c r="AS2" s="22" t="s">
        <v>549</v>
      </c>
      <c r="AT2" s="22" t="s">
        <v>549</v>
      </c>
      <c r="AU2" s="22" t="s">
        <v>550</v>
      </c>
      <c r="AV2" s="22" t="s">
        <v>551</v>
      </c>
      <c r="AW2" s="22">
        <f t="shared" ref="AW2:AW65" si="0">LEN(SUBSTITUTE(AV2, ", "," "))</f>
        <v>55</v>
      </c>
      <c r="AX2" s="22" t="s">
        <v>718</v>
      </c>
      <c r="AY2" s="18" t="s">
        <v>719</v>
      </c>
      <c r="AZ2" s="18"/>
      <c r="BA2" s="18" t="s">
        <v>720</v>
      </c>
      <c r="BB2" s="18"/>
      <c r="BC2" s="18" t="s">
        <v>721</v>
      </c>
      <c r="BD2" s="18"/>
      <c r="BE2" s="18"/>
      <c r="BF2" s="18"/>
      <c r="BG2" s="18" t="s">
        <v>722</v>
      </c>
      <c r="BH2" s="18" t="s">
        <v>723</v>
      </c>
      <c r="BI2" s="18"/>
      <c r="BJ2" s="18"/>
      <c r="BK2" s="18"/>
      <c r="BL2" s="18"/>
      <c r="BM2" s="18"/>
      <c r="BN2" s="18"/>
      <c r="BO2" s="18"/>
      <c r="BP2" s="18" t="s">
        <v>724</v>
      </c>
      <c r="BQ2" s="18" t="s">
        <v>725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955</v>
      </c>
    </row>
    <row r="3" spans="1:111" ht="12" customHeight="1" x14ac:dyDescent="0.25">
      <c r="A3" s="15" t="s">
        <v>242</v>
      </c>
      <c r="B3" s="15" t="s">
        <v>2</v>
      </c>
      <c r="C3" s="15" t="s">
        <v>125</v>
      </c>
      <c r="D3" t="s">
        <v>319</v>
      </c>
      <c r="E3" s="18" t="s">
        <v>324</v>
      </c>
      <c r="F3" t="s">
        <v>319</v>
      </c>
      <c r="G3" s="18" t="s">
        <v>325</v>
      </c>
      <c r="H3" s="16" t="s">
        <v>47</v>
      </c>
      <c r="I3"/>
      <c r="J3"/>
      <c r="K3"/>
      <c r="L3"/>
      <c r="M3"/>
      <c r="N3"/>
      <c r="O3"/>
      <c r="P3"/>
      <c r="Q3"/>
      <c r="R3"/>
      <c r="S3"/>
      <c r="T3"/>
      <c r="U3">
        <v>325</v>
      </c>
      <c r="V3" s="17">
        <v>141</v>
      </c>
      <c r="W3" t="s">
        <v>69</v>
      </c>
      <c r="X3" t="s">
        <v>69</v>
      </c>
      <c r="Y3" s="19" t="s">
        <v>326</v>
      </c>
      <c r="Z3" t="s">
        <v>108</v>
      </c>
      <c r="AA3" t="s">
        <v>108</v>
      </c>
      <c r="AB3" s="18" t="s">
        <v>328</v>
      </c>
      <c r="AC3" s="18" t="s">
        <v>396</v>
      </c>
      <c r="AD3" s="18" t="s">
        <v>328</v>
      </c>
      <c r="AE3" s="20" t="s">
        <v>108</v>
      </c>
      <c r="AF3" s="18" t="s">
        <v>398</v>
      </c>
      <c r="AG3"/>
      <c r="AH3"/>
      <c r="AI3"/>
      <c r="AJ3" s="17" t="s">
        <v>225</v>
      </c>
      <c r="AK3"/>
      <c r="AL3" s="17">
        <v>3639</v>
      </c>
      <c r="AM3" s="17" t="s">
        <v>304</v>
      </c>
      <c r="AN3"/>
      <c r="AO3" s="18" t="s">
        <v>466</v>
      </c>
      <c r="AP3"/>
      <c r="AQ3"/>
      <c r="AR3" s="18" t="s">
        <v>481</v>
      </c>
      <c r="AS3" s="22" t="s">
        <v>552</v>
      </c>
      <c r="AT3" s="22" t="s">
        <v>552</v>
      </c>
      <c r="AU3" s="22" t="s">
        <v>553</v>
      </c>
      <c r="AV3" s="22" t="s">
        <v>554</v>
      </c>
      <c r="AW3" s="22">
        <f t="shared" si="0"/>
        <v>58</v>
      </c>
      <c r="AX3" s="22" t="s">
        <v>718</v>
      </c>
      <c r="AY3" s="18" t="s">
        <v>719</v>
      </c>
      <c r="AZ3" s="18"/>
      <c r="BA3" s="18" t="s">
        <v>720</v>
      </c>
      <c r="BB3" s="18"/>
      <c r="BC3" s="18" t="s">
        <v>721</v>
      </c>
      <c r="BD3" s="18"/>
      <c r="BE3" s="18"/>
      <c r="BF3" s="18"/>
      <c r="BG3" s="18" t="s">
        <v>722</v>
      </c>
      <c r="BH3" s="18" t="s">
        <v>726</v>
      </c>
      <c r="BI3" s="18"/>
      <c r="BJ3" s="18"/>
      <c r="BK3" s="18"/>
      <c r="BL3" s="18"/>
      <c r="BM3" s="18"/>
      <c r="BN3" s="18"/>
      <c r="BO3" s="18"/>
      <c r="BP3" s="18" t="s">
        <v>724</v>
      </c>
      <c r="BQ3" s="18" t="s">
        <v>727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955</v>
      </c>
    </row>
    <row r="4" spans="1:111" ht="12" customHeight="1" x14ac:dyDescent="0.25">
      <c r="A4" s="15" t="s">
        <v>242</v>
      </c>
      <c r="B4" s="15" t="s">
        <v>2</v>
      </c>
      <c r="C4" s="15" t="s">
        <v>125</v>
      </c>
      <c r="D4" t="s">
        <v>319</v>
      </c>
      <c r="E4" s="18" t="s">
        <v>324</v>
      </c>
      <c r="F4" t="s">
        <v>319</v>
      </c>
      <c r="G4" s="18" t="s">
        <v>325</v>
      </c>
      <c r="H4" s="16" t="s">
        <v>47</v>
      </c>
      <c r="I4"/>
      <c r="J4"/>
      <c r="K4"/>
      <c r="L4"/>
      <c r="M4"/>
      <c r="N4"/>
      <c r="O4"/>
      <c r="P4"/>
      <c r="Q4"/>
      <c r="R4"/>
      <c r="S4"/>
      <c r="T4"/>
      <c r="U4">
        <v>326</v>
      </c>
      <c r="V4" s="17">
        <v>142</v>
      </c>
      <c r="W4" t="s">
        <v>69</v>
      </c>
      <c r="X4" t="s">
        <v>69</v>
      </c>
      <c r="Y4" s="19" t="s">
        <v>326</v>
      </c>
      <c r="Z4" t="s">
        <v>138</v>
      </c>
      <c r="AA4" t="s">
        <v>138</v>
      </c>
      <c r="AB4" s="18" t="s">
        <v>329</v>
      </c>
      <c r="AC4" s="18" t="s">
        <v>396</v>
      </c>
      <c r="AD4" s="18" t="s">
        <v>329</v>
      </c>
      <c r="AE4" s="20" t="s">
        <v>138</v>
      </c>
      <c r="AF4" s="18" t="s">
        <v>399</v>
      </c>
      <c r="AG4"/>
      <c r="AH4"/>
      <c r="AI4"/>
      <c r="AJ4" s="17" t="s">
        <v>105</v>
      </c>
      <c r="AK4"/>
      <c r="AL4" s="17">
        <v>3639</v>
      </c>
      <c r="AM4" s="17" t="s">
        <v>282</v>
      </c>
      <c r="AN4"/>
      <c r="AO4" s="18" t="s">
        <v>466</v>
      </c>
      <c r="AP4"/>
      <c r="AQ4"/>
      <c r="AR4" s="18" t="s">
        <v>482</v>
      </c>
      <c r="AS4" s="22" t="s">
        <v>555</v>
      </c>
      <c r="AT4" s="22" t="s">
        <v>555</v>
      </c>
      <c r="AU4" s="22" t="s">
        <v>556</v>
      </c>
      <c r="AV4" s="22" t="s">
        <v>557</v>
      </c>
      <c r="AW4" s="22">
        <f t="shared" si="0"/>
        <v>58</v>
      </c>
      <c r="AX4" s="22" t="s">
        <v>718</v>
      </c>
      <c r="AY4" s="18" t="s">
        <v>719</v>
      </c>
      <c r="AZ4" s="18"/>
      <c r="BA4" s="18" t="s">
        <v>720</v>
      </c>
      <c r="BB4" s="18"/>
      <c r="BC4" s="18" t="s">
        <v>721</v>
      </c>
      <c r="BD4" s="18"/>
      <c r="BE4" s="18"/>
      <c r="BF4" s="18"/>
      <c r="BG4" s="18" t="s">
        <v>722</v>
      </c>
      <c r="BH4" s="18" t="s">
        <v>728</v>
      </c>
      <c r="BI4" s="18"/>
      <c r="BJ4" s="18"/>
      <c r="BK4" s="18"/>
      <c r="BL4" s="18"/>
      <c r="BM4" s="18"/>
      <c r="BN4" s="18"/>
      <c r="BO4" s="18"/>
      <c r="BP4" s="18" t="s">
        <v>724</v>
      </c>
      <c r="BQ4" s="18" t="s">
        <v>729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955</v>
      </c>
    </row>
    <row r="5" spans="1:111" ht="12" customHeight="1" x14ac:dyDescent="0.25">
      <c r="A5" s="15" t="s">
        <v>242</v>
      </c>
      <c r="B5" s="15" t="s">
        <v>2</v>
      </c>
      <c r="C5" s="15" t="s">
        <v>125</v>
      </c>
      <c r="D5" t="s">
        <v>319</v>
      </c>
      <c r="E5" s="18" t="s">
        <v>324</v>
      </c>
      <c r="F5" t="s">
        <v>319</v>
      </c>
      <c r="G5" s="18" t="s">
        <v>325</v>
      </c>
      <c r="H5" s="16" t="s">
        <v>47</v>
      </c>
      <c r="I5"/>
      <c r="J5"/>
      <c r="K5"/>
      <c r="L5"/>
      <c r="M5"/>
      <c r="N5"/>
      <c r="O5"/>
      <c r="P5"/>
      <c r="Q5"/>
      <c r="R5"/>
      <c r="S5"/>
      <c r="T5"/>
      <c r="U5">
        <v>327</v>
      </c>
      <c r="V5" s="17">
        <v>143</v>
      </c>
      <c r="W5" t="s">
        <v>69</v>
      </c>
      <c r="X5" t="s">
        <v>69</v>
      </c>
      <c r="Y5" s="19" t="s">
        <v>326</v>
      </c>
      <c r="Z5" t="s">
        <v>67</v>
      </c>
      <c r="AA5" t="s">
        <v>67</v>
      </c>
      <c r="AB5" s="18" t="s">
        <v>330</v>
      </c>
      <c r="AC5" s="18" t="s">
        <v>396</v>
      </c>
      <c r="AD5" s="18" t="s">
        <v>330</v>
      </c>
      <c r="AE5" s="20" t="s">
        <v>67</v>
      </c>
      <c r="AF5" s="18" t="s">
        <v>400</v>
      </c>
      <c r="AG5"/>
      <c r="AH5"/>
      <c r="AI5"/>
      <c r="AJ5" s="17" t="s">
        <v>74</v>
      </c>
      <c r="AK5"/>
      <c r="AL5" s="17">
        <v>3639</v>
      </c>
      <c r="AM5" s="17" t="s">
        <v>127</v>
      </c>
      <c r="AN5"/>
      <c r="AO5" s="18" t="s">
        <v>467</v>
      </c>
      <c r="AP5"/>
      <c r="AQ5"/>
      <c r="AR5" s="18" t="s">
        <v>483</v>
      </c>
      <c r="AS5" s="22" t="s">
        <v>558</v>
      </c>
      <c r="AT5" s="22" t="s">
        <v>558</v>
      </c>
      <c r="AU5" s="22" t="s">
        <v>559</v>
      </c>
      <c r="AV5" s="22" t="s">
        <v>560</v>
      </c>
      <c r="AW5" s="22">
        <f t="shared" si="0"/>
        <v>60</v>
      </c>
      <c r="AX5" s="22" t="s">
        <v>730</v>
      </c>
      <c r="AY5" s="18" t="s">
        <v>719</v>
      </c>
      <c r="AZ5" s="22" t="s">
        <v>731</v>
      </c>
      <c r="BA5" s="18" t="s">
        <v>732</v>
      </c>
      <c r="BB5" s="18"/>
      <c r="BC5" s="18" t="s">
        <v>733</v>
      </c>
      <c r="BD5" s="18" t="s">
        <v>734</v>
      </c>
      <c r="BE5" s="18"/>
      <c r="BF5" s="18"/>
      <c r="BG5" s="18"/>
      <c r="BH5" s="18" t="s">
        <v>735</v>
      </c>
      <c r="BI5" s="18"/>
      <c r="BJ5" s="18"/>
      <c r="BK5" s="18"/>
      <c r="BL5" s="18" t="s">
        <v>736</v>
      </c>
      <c r="BM5" s="18"/>
      <c r="BN5" s="18" t="s">
        <v>737</v>
      </c>
      <c r="BO5" s="18"/>
      <c r="BP5" s="18" t="s">
        <v>738</v>
      </c>
      <c r="BQ5" s="18" t="s">
        <v>739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955</v>
      </c>
    </row>
    <row r="6" spans="1:111" ht="12" customHeight="1" x14ac:dyDescent="0.25">
      <c r="A6" s="15" t="s">
        <v>242</v>
      </c>
      <c r="B6" s="15" t="s">
        <v>2</v>
      </c>
      <c r="C6" s="15" t="s">
        <v>125</v>
      </c>
      <c r="D6" t="s">
        <v>319</v>
      </c>
      <c r="E6" s="18" t="s">
        <v>324</v>
      </c>
      <c r="F6" t="s">
        <v>319</v>
      </c>
      <c r="G6" s="18" t="s">
        <v>325</v>
      </c>
      <c r="H6" s="16" t="s">
        <v>47</v>
      </c>
      <c r="I6"/>
      <c r="J6"/>
      <c r="K6"/>
      <c r="L6"/>
      <c r="M6"/>
      <c r="N6"/>
      <c r="O6"/>
      <c r="P6"/>
      <c r="Q6"/>
      <c r="R6"/>
      <c r="S6"/>
      <c r="T6"/>
      <c r="U6">
        <v>328</v>
      </c>
      <c r="V6" s="17">
        <v>144</v>
      </c>
      <c r="W6" t="s">
        <v>69</v>
      </c>
      <c r="X6" t="s">
        <v>69</v>
      </c>
      <c r="Y6" s="19" t="s">
        <v>326</v>
      </c>
      <c r="Z6" t="s">
        <v>73</v>
      </c>
      <c r="AA6" t="s">
        <v>73</v>
      </c>
      <c r="AB6" s="18" t="s">
        <v>331</v>
      </c>
      <c r="AC6" s="18" t="s">
        <v>396</v>
      </c>
      <c r="AD6" s="18" t="s">
        <v>331</v>
      </c>
      <c r="AE6" s="20" t="s">
        <v>73</v>
      </c>
      <c r="AF6" s="18" t="s">
        <v>401</v>
      </c>
      <c r="AG6"/>
      <c r="AH6"/>
      <c r="AI6"/>
      <c r="AJ6" s="17" t="s">
        <v>79</v>
      </c>
      <c r="AK6"/>
      <c r="AL6" s="17">
        <v>3639</v>
      </c>
      <c r="AM6" s="17" t="s">
        <v>211</v>
      </c>
      <c r="AN6"/>
      <c r="AO6" s="18" t="s">
        <v>467</v>
      </c>
      <c r="AP6"/>
      <c r="AQ6"/>
      <c r="AR6" s="18" t="s">
        <v>484</v>
      </c>
      <c r="AS6" s="22" t="s">
        <v>561</v>
      </c>
      <c r="AT6" s="22" t="s">
        <v>561</v>
      </c>
      <c r="AU6" s="22" t="s">
        <v>562</v>
      </c>
      <c r="AV6" s="22" t="s">
        <v>563</v>
      </c>
      <c r="AW6" s="22">
        <f t="shared" si="0"/>
        <v>60</v>
      </c>
      <c r="AX6" s="22" t="s">
        <v>730</v>
      </c>
      <c r="AY6" s="18" t="s">
        <v>719</v>
      </c>
      <c r="AZ6" s="22" t="s">
        <v>731</v>
      </c>
      <c r="BA6" s="18" t="s">
        <v>740</v>
      </c>
      <c r="BB6" s="18"/>
      <c r="BC6" s="18" t="s">
        <v>733</v>
      </c>
      <c r="BD6" s="18" t="s">
        <v>734</v>
      </c>
      <c r="BE6" s="18"/>
      <c r="BF6" s="18"/>
      <c r="BG6" s="18"/>
      <c r="BH6" s="18" t="s">
        <v>735</v>
      </c>
      <c r="BI6" s="18"/>
      <c r="BJ6" s="18"/>
      <c r="BK6" s="18"/>
      <c r="BL6" s="18" t="s">
        <v>736</v>
      </c>
      <c r="BM6" s="18"/>
      <c r="BN6" s="18" t="s">
        <v>737</v>
      </c>
      <c r="BO6" s="18"/>
      <c r="BP6" s="18" t="s">
        <v>738</v>
      </c>
      <c r="BQ6" s="18" t="s">
        <v>741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955</v>
      </c>
    </row>
    <row r="7" spans="1:111" ht="12" customHeight="1" x14ac:dyDescent="0.25">
      <c r="A7" s="15" t="s">
        <v>242</v>
      </c>
      <c r="B7" s="15" t="s">
        <v>2</v>
      </c>
      <c r="C7" s="15" t="s">
        <v>125</v>
      </c>
      <c r="D7" t="s">
        <v>319</v>
      </c>
      <c r="E7" s="18" t="s">
        <v>324</v>
      </c>
      <c r="F7" t="s">
        <v>319</v>
      </c>
      <c r="G7" s="18" t="s">
        <v>325</v>
      </c>
      <c r="H7" s="16" t="s">
        <v>47</v>
      </c>
      <c r="I7"/>
      <c r="J7"/>
      <c r="K7"/>
      <c r="L7"/>
      <c r="M7"/>
      <c r="N7"/>
      <c r="O7"/>
      <c r="P7"/>
      <c r="Q7"/>
      <c r="R7"/>
      <c r="S7"/>
      <c r="T7"/>
      <c r="U7">
        <v>330</v>
      </c>
      <c r="V7" s="17">
        <v>146</v>
      </c>
      <c r="W7" t="s">
        <v>69</v>
      </c>
      <c r="X7" t="s">
        <v>69</v>
      </c>
      <c r="Y7" s="19" t="s">
        <v>326</v>
      </c>
      <c r="Z7" t="s">
        <v>236</v>
      </c>
      <c r="AA7" t="s">
        <v>236</v>
      </c>
      <c r="AB7" s="18" t="s">
        <v>332</v>
      </c>
      <c r="AC7" s="18" t="s">
        <v>396</v>
      </c>
      <c r="AD7" s="18" t="s">
        <v>332</v>
      </c>
      <c r="AE7" s="20" t="s">
        <v>236</v>
      </c>
      <c r="AF7" s="18" t="s">
        <v>402</v>
      </c>
      <c r="AG7"/>
      <c r="AH7"/>
      <c r="AI7"/>
      <c r="AJ7" s="17" t="s">
        <v>157</v>
      </c>
      <c r="AK7"/>
      <c r="AL7" s="17">
        <v>3639</v>
      </c>
      <c r="AM7" s="17" t="s">
        <v>301</v>
      </c>
      <c r="AN7"/>
      <c r="AO7" s="18" t="s">
        <v>468</v>
      </c>
      <c r="AP7"/>
      <c r="AQ7"/>
      <c r="AR7" s="18" t="s">
        <v>485</v>
      </c>
      <c r="AS7" s="18" t="s">
        <v>564</v>
      </c>
      <c r="AT7" s="18" t="s">
        <v>564</v>
      </c>
      <c r="AU7" s="18" t="s">
        <v>565</v>
      </c>
      <c r="AV7" s="18" t="s">
        <v>566</v>
      </c>
      <c r="AW7" s="22">
        <f t="shared" si="0"/>
        <v>54</v>
      </c>
      <c r="AX7" s="18" t="s">
        <v>742</v>
      </c>
      <c r="AY7" s="18" t="s">
        <v>719</v>
      </c>
      <c r="AZ7" s="21" t="s">
        <v>743</v>
      </c>
      <c r="BA7" s="18" t="s">
        <v>744</v>
      </c>
      <c r="BB7" s="18"/>
      <c r="BC7" s="18" t="s">
        <v>745</v>
      </c>
      <c r="BD7" s="18"/>
      <c r="BE7" s="22"/>
      <c r="BF7" s="18"/>
      <c r="BG7" s="18"/>
      <c r="BH7" s="21" t="s">
        <v>746</v>
      </c>
      <c r="BI7" s="18"/>
      <c r="BJ7" s="18"/>
      <c r="BK7" s="18"/>
      <c r="BL7" s="18" t="s">
        <v>736</v>
      </c>
      <c r="BM7" s="18"/>
      <c r="BN7" s="18" t="s">
        <v>737</v>
      </c>
      <c r="BO7" s="18"/>
      <c r="BP7" s="18" t="s">
        <v>724</v>
      </c>
      <c r="BQ7" s="18" t="s">
        <v>747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955</v>
      </c>
    </row>
    <row r="8" spans="1:111" ht="12" customHeight="1" x14ac:dyDescent="0.25">
      <c r="A8" s="15" t="s">
        <v>242</v>
      </c>
      <c r="B8" s="15" t="s">
        <v>2</v>
      </c>
      <c r="C8" s="15" t="s">
        <v>125</v>
      </c>
      <c r="D8" t="s">
        <v>319</v>
      </c>
      <c r="E8" s="18" t="s">
        <v>324</v>
      </c>
      <c r="F8" t="s">
        <v>319</v>
      </c>
      <c r="G8" s="18" t="s">
        <v>325</v>
      </c>
      <c r="H8" s="16" t="s">
        <v>47</v>
      </c>
      <c r="I8"/>
      <c r="J8"/>
      <c r="K8"/>
      <c r="L8"/>
      <c r="M8"/>
      <c r="N8"/>
      <c r="O8"/>
      <c r="P8"/>
      <c r="Q8"/>
      <c r="R8"/>
      <c r="S8"/>
      <c r="T8"/>
      <c r="U8">
        <v>331</v>
      </c>
      <c r="V8" s="17">
        <v>147</v>
      </c>
      <c r="W8" t="s">
        <v>69</v>
      </c>
      <c r="X8" t="s">
        <v>69</v>
      </c>
      <c r="Y8" s="19" t="s">
        <v>326</v>
      </c>
      <c r="Z8" t="s">
        <v>233</v>
      </c>
      <c r="AA8" t="s">
        <v>233</v>
      </c>
      <c r="AB8" s="18" t="s">
        <v>333</v>
      </c>
      <c r="AC8" s="18" t="s">
        <v>396</v>
      </c>
      <c r="AD8" s="18" t="s">
        <v>333</v>
      </c>
      <c r="AE8" s="20" t="s">
        <v>233</v>
      </c>
      <c r="AF8" s="18" t="s">
        <v>403</v>
      </c>
      <c r="AG8"/>
      <c r="AH8"/>
      <c r="AI8"/>
      <c r="AJ8" s="17" t="s">
        <v>48</v>
      </c>
      <c r="AK8"/>
      <c r="AL8" s="17">
        <v>3639</v>
      </c>
      <c r="AM8" s="17" t="s">
        <v>217</v>
      </c>
      <c r="AN8"/>
      <c r="AO8" s="18" t="s">
        <v>468</v>
      </c>
      <c r="AP8"/>
      <c r="AQ8"/>
      <c r="AR8" s="18" t="s">
        <v>486</v>
      </c>
      <c r="AS8" s="18" t="s">
        <v>567</v>
      </c>
      <c r="AT8" s="18" t="s">
        <v>567</v>
      </c>
      <c r="AU8" s="18" t="s">
        <v>568</v>
      </c>
      <c r="AV8" s="18" t="s">
        <v>569</v>
      </c>
      <c r="AW8" s="22">
        <f t="shared" si="0"/>
        <v>60</v>
      </c>
      <c r="AX8" s="18" t="s">
        <v>742</v>
      </c>
      <c r="AY8" s="18" t="s">
        <v>719</v>
      </c>
      <c r="AZ8" s="21" t="s">
        <v>743</v>
      </c>
      <c r="BA8" s="18" t="s">
        <v>744</v>
      </c>
      <c r="BB8" s="18"/>
      <c r="BC8" s="18" t="s">
        <v>745</v>
      </c>
      <c r="BD8" s="18"/>
      <c r="BE8" s="22"/>
      <c r="BF8" s="18"/>
      <c r="BG8" s="18"/>
      <c r="BH8" s="21" t="s">
        <v>748</v>
      </c>
      <c r="BI8" s="18"/>
      <c r="BJ8" s="18"/>
      <c r="BK8" s="18"/>
      <c r="BL8" s="18" t="s">
        <v>736</v>
      </c>
      <c r="BM8" s="18"/>
      <c r="BN8" s="18" t="s">
        <v>737</v>
      </c>
      <c r="BO8" s="18"/>
      <c r="BP8" s="18" t="s">
        <v>724</v>
      </c>
      <c r="BQ8" s="18" t="s">
        <v>749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955</v>
      </c>
    </row>
    <row r="9" spans="1:111" ht="12" customHeight="1" x14ac:dyDescent="0.25">
      <c r="A9" s="15" t="s">
        <v>242</v>
      </c>
      <c r="B9" s="15" t="s">
        <v>2</v>
      </c>
      <c r="C9" s="15" t="s">
        <v>125</v>
      </c>
      <c r="D9" t="s">
        <v>319</v>
      </c>
      <c r="E9" s="18" t="s">
        <v>324</v>
      </c>
      <c r="F9" t="s">
        <v>319</v>
      </c>
      <c r="G9" s="18" t="s">
        <v>325</v>
      </c>
      <c r="H9" s="16" t="s">
        <v>47</v>
      </c>
      <c r="I9"/>
      <c r="J9"/>
      <c r="K9"/>
      <c r="L9"/>
      <c r="M9"/>
      <c r="N9"/>
      <c r="O9"/>
      <c r="P9"/>
      <c r="Q9"/>
      <c r="R9"/>
      <c r="S9"/>
      <c r="T9"/>
      <c r="U9">
        <v>332</v>
      </c>
      <c r="V9" s="17">
        <v>148</v>
      </c>
      <c r="W9" t="s">
        <v>69</v>
      </c>
      <c r="X9" t="s">
        <v>69</v>
      </c>
      <c r="Y9" s="19" t="s">
        <v>326</v>
      </c>
      <c r="Z9" t="s">
        <v>234</v>
      </c>
      <c r="AA9" t="s">
        <v>234</v>
      </c>
      <c r="AB9" s="18" t="s">
        <v>334</v>
      </c>
      <c r="AC9" s="18" t="s">
        <v>396</v>
      </c>
      <c r="AD9" s="18" t="s">
        <v>334</v>
      </c>
      <c r="AE9" s="20" t="s">
        <v>234</v>
      </c>
      <c r="AF9" s="18" t="s">
        <v>404</v>
      </c>
      <c r="AG9"/>
      <c r="AH9"/>
      <c r="AI9"/>
      <c r="AJ9" s="17" t="s">
        <v>175</v>
      </c>
      <c r="AK9"/>
      <c r="AL9" s="17">
        <v>3639</v>
      </c>
      <c r="AM9" s="17" t="s">
        <v>172</v>
      </c>
      <c r="AN9"/>
      <c r="AO9" s="18" t="s">
        <v>468</v>
      </c>
      <c r="AP9"/>
      <c r="AQ9"/>
      <c r="AR9" s="18" t="s">
        <v>487</v>
      </c>
      <c r="AS9" s="18" t="s">
        <v>570</v>
      </c>
      <c r="AT9" s="18" t="s">
        <v>570</v>
      </c>
      <c r="AU9" s="18" t="s">
        <v>571</v>
      </c>
      <c r="AV9" s="18" t="s">
        <v>572</v>
      </c>
      <c r="AW9" s="22">
        <f t="shared" si="0"/>
        <v>60</v>
      </c>
      <c r="AX9" s="18" t="s">
        <v>742</v>
      </c>
      <c r="AY9" s="18" t="s">
        <v>719</v>
      </c>
      <c r="AZ9" s="21" t="s">
        <v>743</v>
      </c>
      <c r="BA9" s="18" t="s">
        <v>744</v>
      </c>
      <c r="BB9" s="18"/>
      <c r="BC9" s="18" t="s">
        <v>745</v>
      </c>
      <c r="BD9" s="18"/>
      <c r="BE9" s="22"/>
      <c r="BF9" s="18"/>
      <c r="BG9" s="18"/>
      <c r="BH9" s="21" t="s">
        <v>750</v>
      </c>
      <c r="BI9" s="18"/>
      <c r="BJ9" s="18"/>
      <c r="BK9" s="18"/>
      <c r="BL9" s="18" t="s">
        <v>736</v>
      </c>
      <c r="BM9" s="18"/>
      <c r="BN9" s="18" t="s">
        <v>737</v>
      </c>
      <c r="BO9" s="18"/>
      <c r="BP9" s="18" t="s">
        <v>724</v>
      </c>
      <c r="BQ9" s="18" t="s">
        <v>751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955</v>
      </c>
    </row>
    <row r="10" spans="1:111" ht="12" customHeight="1" x14ac:dyDescent="0.25">
      <c r="A10" s="15" t="s">
        <v>242</v>
      </c>
      <c r="B10" s="15" t="s">
        <v>2</v>
      </c>
      <c r="C10" s="15" t="s">
        <v>125</v>
      </c>
      <c r="D10" t="s">
        <v>319</v>
      </c>
      <c r="E10" s="18" t="s">
        <v>324</v>
      </c>
      <c r="F10" t="s">
        <v>319</v>
      </c>
      <c r="G10" s="18" t="s">
        <v>325</v>
      </c>
      <c r="H10" s="16" t="s">
        <v>47</v>
      </c>
      <c r="I10"/>
      <c r="J10"/>
      <c r="K10"/>
      <c r="L10"/>
      <c r="M10"/>
      <c r="N10"/>
      <c r="O10"/>
      <c r="P10"/>
      <c r="Q10"/>
      <c r="R10"/>
      <c r="S10"/>
      <c r="T10"/>
      <c r="U10">
        <v>333</v>
      </c>
      <c r="V10" s="17">
        <v>149</v>
      </c>
      <c r="W10" t="s">
        <v>69</v>
      </c>
      <c r="X10" t="s">
        <v>69</v>
      </c>
      <c r="Y10" s="19" t="s">
        <v>326</v>
      </c>
      <c r="Z10" t="s">
        <v>208</v>
      </c>
      <c r="AA10" t="s">
        <v>208</v>
      </c>
      <c r="AB10" s="18" t="s">
        <v>335</v>
      </c>
      <c r="AC10" s="18" t="s">
        <v>396</v>
      </c>
      <c r="AD10" s="18" t="s">
        <v>335</v>
      </c>
      <c r="AE10" s="20" t="s">
        <v>208</v>
      </c>
      <c r="AF10" s="18" t="s">
        <v>405</v>
      </c>
      <c r="AG10"/>
      <c r="AH10"/>
      <c r="AI10"/>
      <c r="AJ10" s="17" t="s">
        <v>28</v>
      </c>
      <c r="AK10"/>
      <c r="AL10" s="17">
        <v>3639</v>
      </c>
      <c r="AM10" s="17" t="s">
        <v>85</v>
      </c>
      <c r="AN10"/>
      <c r="AO10" s="18" t="s">
        <v>469</v>
      </c>
      <c r="AP10"/>
      <c r="AQ10"/>
      <c r="AR10" s="21" t="s">
        <v>488</v>
      </c>
      <c r="AS10" s="18" t="s">
        <v>573</v>
      </c>
      <c r="AT10" s="18" t="s">
        <v>573</v>
      </c>
      <c r="AU10" s="18" t="s">
        <v>574</v>
      </c>
      <c r="AV10" s="18" t="s">
        <v>575</v>
      </c>
      <c r="AW10" s="22">
        <f t="shared" si="0"/>
        <v>59</v>
      </c>
      <c r="AX10" s="18" t="s">
        <v>752</v>
      </c>
      <c r="AY10" s="18" t="s">
        <v>753</v>
      </c>
      <c r="AZ10" s="18" t="s">
        <v>754</v>
      </c>
      <c r="BA10" s="18"/>
      <c r="BB10" s="18"/>
      <c r="BC10" s="18" t="s">
        <v>755</v>
      </c>
      <c r="BD10" s="18"/>
      <c r="BE10" s="18"/>
      <c r="BF10" s="18"/>
      <c r="BG10" s="18" t="s">
        <v>756</v>
      </c>
      <c r="BH10" s="22" t="s">
        <v>757</v>
      </c>
      <c r="BI10" s="18"/>
      <c r="BJ10" s="18"/>
      <c r="BK10" s="18"/>
      <c r="BL10" s="18" t="s">
        <v>736</v>
      </c>
      <c r="BM10" s="21" t="s">
        <v>758</v>
      </c>
      <c r="BN10" s="18" t="s">
        <v>737</v>
      </c>
      <c r="BO10" s="18"/>
      <c r="BP10" s="18"/>
      <c r="BQ10" s="18" t="s">
        <v>759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955</v>
      </c>
    </row>
    <row r="11" spans="1:111" ht="12" customHeight="1" x14ac:dyDescent="0.25">
      <c r="A11" s="15" t="s">
        <v>242</v>
      </c>
      <c r="B11" s="15" t="s">
        <v>2</v>
      </c>
      <c r="C11" s="15" t="s">
        <v>125</v>
      </c>
      <c r="D11" t="s">
        <v>319</v>
      </c>
      <c r="E11" s="18" t="s">
        <v>324</v>
      </c>
      <c r="F11" t="s">
        <v>319</v>
      </c>
      <c r="G11" s="18" t="s">
        <v>325</v>
      </c>
      <c r="H11" s="16" t="s">
        <v>47</v>
      </c>
      <c r="I11"/>
      <c r="J11"/>
      <c r="K11"/>
      <c r="L11"/>
      <c r="M11"/>
      <c r="N11"/>
      <c r="O11"/>
      <c r="P11"/>
      <c r="Q11"/>
      <c r="R11"/>
      <c r="S11"/>
      <c r="T11"/>
      <c r="U11">
        <v>334</v>
      </c>
      <c r="V11" s="17">
        <v>150</v>
      </c>
      <c r="W11" t="s">
        <v>69</v>
      </c>
      <c r="X11" t="s">
        <v>69</v>
      </c>
      <c r="Y11" s="19" t="s">
        <v>326</v>
      </c>
      <c r="Z11" t="s">
        <v>302</v>
      </c>
      <c r="AA11" t="s">
        <v>302</v>
      </c>
      <c r="AB11" s="18" t="s">
        <v>336</v>
      </c>
      <c r="AC11" s="18" t="s">
        <v>396</v>
      </c>
      <c r="AD11" s="18" t="s">
        <v>336</v>
      </c>
      <c r="AE11" s="20" t="s">
        <v>302</v>
      </c>
      <c r="AF11" s="18" t="s">
        <v>406</v>
      </c>
      <c r="AG11"/>
      <c r="AH11"/>
      <c r="AI11"/>
      <c r="AJ11" s="17" t="s">
        <v>24</v>
      </c>
      <c r="AK11"/>
      <c r="AL11" s="17">
        <v>3639</v>
      </c>
      <c r="AM11" s="17" t="s">
        <v>36</v>
      </c>
      <c r="AN11"/>
      <c r="AO11" s="18" t="s">
        <v>469</v>
      </c>
      <c r="AP11"/>
      <c r="AQ11"/>
      <c r="AR11" s="21" t="s">
        <v>489</v>
      </c>
      <c r="AS11" s="18" t="s">
        <v>576</v>
      </c>
      <c r="AT11" s="18" t="s">
        <v>576</v>
      </c>
      <c r="AU11" s="18" t="s">
        <v>577</v>
      </c>
      <c r="AV11" s="18" t="s">
        <v>578</v>
      </c>
      <c r="AW11" s="22">
        <f t="shared" si="0"/>
        <v>59</v>
      </c>
      <c r="AX11" s="18" t="s">
        <v>752</v>
      </c>
      <c r="AY11" s="18" t="s">
        <v>753</v>
      </c>
      <c r="AZ11" s="18" t="s">
        <v>754</v>
      </c>
      <c r="BA11" s="18"/>
      <c r="BB11" s="18"/>
      <c r="BC11" s="18" t="s">
        <v>760</v>
      </c>
      <c r="BD11" s="18"/>
      <c r="BE11" s="18"/>
      <c r="BF11" s="18"/>
      <c r="BG11" s="18" t="s">
        <v>756</v>
      </c>
      <c r="BH11" s="22" t="s">
        <v>757</v>
      </c>
      <c r="BI11" s="18"/>
      <c r="BJ11" s="18"/>
      <c r="BK11" s="18"/>
      <c r="BL11" s="18" t="s">
        <v>736</v>
      </c>
      <c r="BM11" s="21" t="s">
        <v>758</v>
      </c>
      <c r="BN11" s="18" t="s">
        <v>737</v>
      </c>
      <c r="BO11" s="18"/>
      <c r="BP11" s="18"/>
      <c r="BQ11" s="18" t="s">
        <v>761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955</v>
      </c>
    </row>
    <row r="12" spans="1:111" ht="12" customHeight="1" x14ac:dyDescent="0.25">
      <c r="A12" s="15" t="s">
        <v>242</v>
      </c>
      <c r="B12" s="15" t="s">
        <v>2</v>
      </c>
      <c r="C12" s="15" t="s">
        <v>125</v>
      </c>
      <c r="D12" t="s">
        <v>319</v>
      </c>
      <c r="E12" s="18" t="s">
        <v>324</v>
      </c>
      <c r="F12" t="s">
        <v>319</v>
      </c>
      <c r="G12" s="18" t="s">
        <v>325</v>
      </c>
      <c r="H12" s="16" t="s">
        <v>47</v>
      </c>
      <c r="I12"/>
      <c r="J12"/>
      <c r="K12"/>
      <c r="L12"/>
      <c r="M12"/>
      <c r="N12"/>
      <c r="O12"/>
      <c r="P12"/>
      <c r="Q12"/>
      <c r="R12"/>
      <c r="S12"/>
      <c r="T12"/>
      <c r="U12">
        <v>335</v>
      </c>
      <c r="V12" s="17">
        <v>151</v>
      </c>
      <c r="W12" t="s">
        <v>69</v>
      </c>
      <c r="X12" t="s">
        <v>69</v>
      </c>
      <c r="Y12" s="19" t="s">
        <v>326</v>
      </c>
      <c r="Z12" t="s">
        <v>320</v>
      </c>
      <c r="AA12" t="s">
        <v>320</v>
      </c>
      <c r="AB12" s="18" t="s">
        <v>337</v>
      </c>
      <c r="AC12" s="18" t="s">
        <v>396</v>
      </c>
      <c r="AD12" s="18" t="s">
        <v>337</v>
      </c>
      <c r="AE12" s="20" t="s">
        <v>320</v>
      </c>
      <c r="AF12" s="18" t="s">
        <v>407</v>
      </c>
      <c r="AG12"/>
      <c r="AH12"/>
      <c r="AI12"/>
      <c r="AJ12" s="17" t="s">
        <v>260</v>
      </c>
      <c r="AK12"/>
      <c r="AL12" s="17">
        <v>3639</v>
      </c>
      <c r="AM12" s="17" t="s">
        <v>11</v>
      </c>
      <c r="AN12"/>
      <c r="AO12" s="18" t="s">
        <v>467</v>
      </c>
      <c r="AP12"/>
      <c r="AQ12"/>
      <c r="AR12" s="18" t="s">
        <v>490</v>
      </c>
      <c r="AS12" s="18" t="s">
        <v>579</v>
      </c>
      <c r="AT12" s="18" t="s">
        <v>579</v>
      </c>
      <c r="AU12" s="18" t="s">
        <v>580</v>
      </c>
      <c r="AV12" s="18" t="s">
        <v>580</v>
      </c>
      <c r="AW12" s="22">
        <f t="shared" si="0"/>
        <v>46</v>
      </c>
      <c r="AX12" s="18" t="s">
        <v>762</v>
      </c>
      <c r="AY12" s="18" t="s">
        <v>719</v>
      </c>
      <c r="AZ12" s="18" t="s">
        <v>763</v>
      </c>
      <c r="BA12" s="18" t="s">
        <v>764</v>
      </c>
      <c r="BB12" s="18"/>
      <c r="BC12" s="18" t="s">
        <v>765</v>
      </c>
      <c r="BD12" s="18"/>
      <c r="BE12" s="18"/>
      <c r="BF12" s="18"/>
      <c r="BG12" s="18"/>
      <c r="BH12" s="22" t="s">
        <v>766</v>
      </c>
      <c r="BI12" s="18"/>
      <c r="BJ12" s="18"/>
      <c r="BK12" s="18"/>
      <c r="BL12" s="18" t="s">
        <v>736</v>
      </c>
      <c r="BM12" s="18"/>
      <c r="BN12" s="18" t="s">
        <v>737</v>
      </c>
      <c r="BO12" s="18"/>
      <c r="BP12" s="18" t="s">
        <v>724</v>
      </c>
      <c r="BQ12" s="18" t="s">
        <v>767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955</v>
      </c>
    </row>
    <row r="13" spans="1:111" ht="12" customHeight="1" x14ac:dyDescent="0.25">
      <c r="A13" s="15" t="s">
        <v>242</v>
      </c>
      <c r="B13" s="15" t="s">
        <v>2</v>
      </c>
      <c r="C13" s="15" t="s">
        <v>125</v>
      </c>
      <c r="D13" t="s">
        <v>319</v>
      </c>
      <c r="E13" s="18" t="s">
        <v>324</v>
      </c>
      <c r="F13" t="s">
        <v>319</v>
      </c>
      <c r="G13" s="18" t="s">
        <v>325</v>
      </c>
      <c r="H13" s="16" t="s">
        <v>47</v>
      </c>
      <c r="I13"/>
      <c r="J13"/>
      <c r="K13"/>
      <c r="L13"/>
      <c r="M13"/>
      <c r="N13"/>
      <c r="O13"/>
      <c r="P13"/>
      <c r="Q13"/>
      <c r="R13"/>
      <c r="S13"/>
      <c r="T13"/>
      <c r="U13">
        <v>336</v>
      </c>
      <c r="V13" s="17">
        <v>152</v>
      </c>
      <c r="W13" t="s">
        <v>69</v>
      </c>
      <c r="X13" t="s">
        <v>69</v>
      </c>
      <c r="Y13" s="19" t="s">
        <v>326</v>
      </c>
      <c r="Z13" t="s">
        <v>249</v>
      </c>
      <c r="AA13" t="s">
        <v>249</v>
      </c>
      <c r="AB13" s="18" t="s">
        <v>338</v>
      </c>
      <c r="AC13" s="18" t="s">
        <v>396</v>
      </c>
      <c r="AD13" s="18" t="s">
        <v>338</v>
      </c>
      <c r="AE13" s="20" t="s">
        <v>249</v>
      </c>
      <c r="AF13" s="18" t="s">
        <v>408</v>
      </c>
      <c r="AG13"/>
      <c r="AH13"/>
      <c r="AI13"/>
      <c r="AJ13" s="17" t="s">
        <v>9</v>
      </c>
      <c r="AK13"/>
      <c r="AL13" s="17">
        <v>3639</v>
      </c>
      <c r="AM13" s="17" t="s">
        <v>288</v>
      </c>
      <c r="AN13"/>
      <c r="AO13" s="18" t="s">
        <v>470</v>
      </c>
      <c r="AP13"/>
      <c r="AQ13"/>
      <c r="AR13" s="18" t="s">
        <v>491</v>
      </c>
      <c r="AS13" s="18" t="s">
        <v>581</v>
      </c>
      <c r="AT13" s="18" t="s">
        <v>581</v>
      </c>
      <c r="AU13" s="18" t="s">
        <v>582</v>
      </c>
      <c r="AV13" s="18" t="s">
        <v>582</v>
      </c>
      <c r="AW13" s="22">
        <f t="shared" si="0"/>
        <v>55</v>
      </c>
      <c r="AX13" s="18" t="s">
        <v>768</v>
      </c>
      <c r="AY13" s="18" t="s">
        <v>769</v>
      </c>
      <c r="AZ13" s="18" t="s">
        <v>770</v>
      </c>
      <c r="BA13" s="18"/>
      <c r="BB13" s="18"/>
      <c r="BC13" s="22" t="s">
        <v>771</v>
      </c>
      <c r="BD13" s="18"/>
      <c r="BE13" s="18"/>
      <c r="BF13" s="18"/>
      <c r="BG13" s="18"/>
      <c r="BH13" s="22" t="s">
        <v>772</v>
      </c>
      <c r="BI13" s="18"/>
      <c r="BJ13" s="18"/>
      <c r="BK13" s="18"/>
      <c r="BL13" s="18" t="s">
        <v>736</v>
      </c>
      <c r="BM13" s="18"/>
      <c r="BN13" s="18" t="s">
        <v>737</v>
      </c>
      <c r="BO13" s="18"/>
      <c r="BP13" s="18" t="s">
        <v>724</v>
      </c>
      <c r="BQ13" s="18" t="s">
        <v>773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955</v>
      </c>
    </row>
    <row r="14" spans="1:111" ht="12" customHeight="1" x14ac:dyDescent="0.25">
      <c r="A14" s="15" t="s">
        <v>242</v>
      </c>
      <c r="B14" s="15" t="s">
        <v>2</v>
      </c>
      <c r="C14" s="15" t="s">
        <v>125</v>
      </c>
      <c r="D14" t="s">
        <v>319</v>
      </c>
      <c r="E14" s="18" t="s">
        <v>324</v>
      </c>
      <c r="F14" t="s">
        <v>319</v>
      </c>
      <c r="G14" s="18" t="s">
        <v>325</v>
      </c>
      <c r="H14" s="16" t="s">
        <v>47</v>
      </c>
      <c r="I14"/>
      <c r="J14"/>
      <c r="K14"/>
      <c r="L14"/>
      <c r="M14"/>
      <c r="N14"/>
      <c r="O14"/>
      <c r="P14"/>
      <c r="Q14"/>
      <c r="R14"/>
      <c r="S14"/>
      <c r="T14"/>
      <c r="U14">
        <v>337</v>
      </c>
      <c r="V14" s="17">
        <v>153</v>
      </c>
      <c r="W14" t="s">
        <v>69</v>
      </c>
      <c r="X14" t="s">
        <v>69</v>
      </c>
      <c r="Y14" s="19" t="s">
        <v>326</v>
      </c>
      <c r="Z14" t="s">
        <v>133</v>
      </c>
      <c r="AA14" t="s">
        <v>133</v>
      </c>
      <c r="AB14" s="18" t="s">
        <v>339</v>
      </c>
      <c r="AC14" s="18" t="s">
        <v>396</v>
      </c>
      <c r="AD14" s="18" t="s">
        <v>339</v>
      </c>
      <c r="AE14" s="20" t="s">
        <v>133</v>
      </c>
      <c r="AF14" s="18" t="s">
        <v>409</v>
      </c>
      <c r="AG14"/>
      <c r="AH14"/>
      <c r="AI14"/>
      <c r="AJ14" s="17" t="s">
        <v>140</v>
      </c>
      <c r="AK14"/>
      <c r="AL14" s="17">
        <v>3639</v>
      </c>
      <c r="AM14" s="17" t="s">
        <v>78</v>
      </c>
      <c r="AN14"/>
      <c r="AO14" s="18" t="s">
        <v>470</v>
      </c>
      <c r="AP14"/>
      <c r="AQ14"/>
      <c r="AR14" s="18" t="s">
        <v>492</v>
      </c>
      <c r="AS14" s="18" t="s">
        <v>583</v>
      </c>
      <c r="AT14" s="18" t="s">
        <v>583</v>
      </c>
      <c r="AU14" s="18" t="s">
        <v>584</v>
      </c>
      <c r="AV14" s="18" t="s">
        <v>584</v>
      </c>
      <c r="AW14" s="22">
        <f t="shared" si="0"/>
        <v>55</v>
      </c>
      <c r="AX14" s="18" t="s">
        <v>768</v>
      </c>
      <c r="AY14" s="18" t="s">
        <v>769</v>
      </c>
      <c r="AZ14" s="18" t="s">
        <v>770</v>
      </c>
      <c r="BA14" s="18"/>
      <c r="BB14" s="18"/>
      <c r="BC14" s="22" t="s">
        <v>774</v>
      </c>
      <c r="BD14" s="18"/>
      <c r="BE14" s="18"/>
      <c r="BF14" s="18"/>
      <c r="BG14" s="18"/>
      <c r="BH14" s="22" t="s">
        <v>772</v>
      </c>
      <c r="BI14" s="18"/>
      <c r="BJ14" s="18"/>
      <c r="BK14" s="18"/>
      <c r="BL14" s="18" t="s">
        <v>736</v>
      </c>
      <c r="BM14" s="18"/>
      <c r="BN14" s="18" t="s">
        <v>737</v>
      </c>
      <c r="BO14" s="18"/>
      <c r="BP14" s="18" t="s">
        <v>724</v>
      </c>
      <c r="BQ14" s="18" t="s">
        <v>775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955</v>
      </c>
    </row>
    <row r="15" spans="1:111" ht="12" customHeight="1" x14ac:dyDescent="0.25">
      <c r="A15" s="15" t="s">
        <v>242</v>
      </c>
      <c r="B15" s="15" t="s">
        <v>2</v>
      </c>
      <c r="C15" s="15" t="s">
        <v>125</v>
      </c>
      <c r="D15" t="s">
        <v>319</v>
      </c>
      <c r="E15" s="18" t="s">
        <v>324</v>
      </c>
      <c r="F15" t="s">
        <v>319</v>
      </c>
      <c r="G15" s="18" t="s">
        <v>325</v>
      </c>
      <c r="H15" s="16" t="s">
        <v>47</v>
      </c>
      <c r="I15"/>
      <c r="J15"/>
      <c r="K15"/>
      <c r="L15"/>
      <c r="M15"/>
      <c r="N15"/>
      <c r="O15"/>
      <c r="P15"/>
      <c r="Q15"/>
      <c r="R15"/>
      <c r="S15"/>
      <c r="T15"/>
      <c r="U15">
        <v>338</v>
      </c>
      <c r="V15" s="17">
        <v>154</v>
      </c>
      <c r="W15" t="s">
        <v>69</v>
      </c>
      <c r="X15" t="s">
        <v>69</v>
      </c>
      <c r="Y15" s="19" t="s">
        <v>326</v>
      </c>
      <c r="Z15" t="s">
        <v>321</v>
      </c>
      <c r="AA15" t="s">
        <v>321</v>
      </c>
      <c r="AB15" s="18" t="s">
        <v>340</v>
      </c>
      <c r="AC15" s="18" t="s">
        <v>396</v>
      </c>
      <c r="AD15" s="18" t="s">
        <v>340</v>
      </c>
      <c r="AE15" s="20" t="s">
        <v>321</v>
      </c>
      <c r="AF15" s="18" t="s">
        <v>410</v>
      </c>
      <c r="AG15"/>
      <c r="AH15"/>
      <c r="AI15"/>
      <c r="AJ15" s="17" t="s">
        <v>141</v>
      </c>
      <c r="AK15"/>
      <c r="AL15" s="17">
        <v>3639</v>
      </c>
      <c r="AM15" s="17" t="s">
        <v>210</v>
      </c>
      <c r="AN15"/>
      <c r="AO15" s="18" t="s">
        <v>470</v>
      </c>
      <c r="AP15"/>
      <c r="AQ15"/>
      <c r="AR15" s="18" t="s">
        <v>493</v>
      </c>
      <c r="AS15" s="18" t="s">
        <v>585</v>
      </c>
      <c r="AT15" s="18" t="s">
        <v>585</v>
      </c>
      <c r="AU15" s="18" t="s">
        <v>586</v>
      </c>
      <c r="AV15" s="18" t="s">
        <v>586</v>
      </c>
      <c r="AW15" s="22">
        <f t="shared" si="0"/>
        <v>55</v>
      </c>
      <c r="AX15" s="18" t="s">
        <v>768</v>
      </c>
      <c r="AY15" s="18" t="s">
        <v>769</v>
      </c>
      <c r="AZ15" s="18" t="s">
        <v>770</v>
      </c>
      <c r="BA15" s="18"/>
      <c r="BB15" s="18"/>
      <c r="BC15" s="22" t="s">
        <v>776</v>
      </c>
      <c r="BD15" s="18"/>
      <c r="BE15" s="18"/>
      <c r="BF15" s="18"/>
      <c r="BG15" s="18"/>
      <c r="BH15" s="22" t="s">
        <v>772</v>
      </c>
      <c r="BI15" s="18"/>
      <c r="BJ15" s="18"/>
      <c r="BK15" s="18"/>
      <c r="BL15" s="18" t="s">
        <v>736</v>
      </c>
      <c r="BM15" s="18"/>
      <c r="BN15" s="18" t="s">
        <v>737</v>
      </c>
      <c r="BO15" s="18"/>
      <c r="BP15" s="18" t="s">
        <v>724</v>
      </c>
      <c r="BQ15" s="18" t="s">
        <v>777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955</v>
      </c>
    </row>
    <row r="16" spans="1:111" ht="12" customHeight="1" x14ac:dyDescent="0.25">
      <c r="A16" s="15" t="s">
        <v>242</v>
      </c>
      <c r="B16" s="15" t="s">
        <v>2</v>
      </c>
      <c r="C16" s="15" t="s">
        <v>125</v>
      </c>
      <c r="D16" t="s">
        <v>319</v>
      </c>
      <c r="E16" s="18" t="s">
        <v>324</v>
      </c>
      <c r="F16" t="s">
        <v>319</v>
      </c>
      <c r="G16" s="18" t="s">
        <v>325</v>
      </c>
      <c r="H16" s="16" t="s">
        <v>47</v>
      </c>
      <c r="I16"/>
      <c r="J16"/>
      <c r="K16"/>
      <c r="L16"/>
      <c r="M16"/>
      <c r="N16"/>
      <c r="O16"/>
      <c r="P16"/>
      <c r="Q16"/>
      <c r="R16"/>
      <c r="S16"/>
      <c r="T16"/>
      <c r="U16">
        <v>339</v>
      </c>
      <c r="V16" s="17">
        <v>155</v>
      </c>
      <c r="W16" t="s">
        <v>69</v>
      </c>
      <c r="X16" t="s">
        <v>69</v>
      </c>
      <c r="Y16" s="19" t="s">
        <v>326</v>
      </c>
      <c r="Z16" t="s">
        <v>276</v>
      </c>
      <c r="AA16" t="s">
        <v>276</v>
      </c>
      <c r="AB16" s="18" t="s">
        <v>341</v>
      </c>
      <c r="AC16" s="18" t="s">
        <v>396</v>
      </c>
      <c r="AD16" s="18" t="s">
        <v>341</v>
      </c>
      <c r="AE16" s="20" t="s">
        <v>276</v>
      </c>
      <c r="AF16" s="18" t="s">
        <v>411</v>
      </c>
      <c r="AG16"/>
      <c r="AH16"/>
      <c r="AI16"/>
      <c r="AJ16" s="17" t="s">
        <v>270</v>
      </c>
      <c r="AK16"/>
      <c r="AL16" s="17">
        <v>3639</v>
      </c>
      <c r="AM16" s="17" t="s">
        <v>113</v>
      </c>
      <c r="AN16"/>
      <c r="AO16" s="18" t="s">
        <v>470</v>
      </c>
      <c r="AP16"/>
      <c r="AQ16"/>
      <c r="AR16" s="18" t="s">
        <v>494</v>
      </c>
      <c r="AS16" s="18" t="s">
        <v>587</v>
      </c>
      <c r="AT16" s="18" t="s">
        <v>587</v>
      </c>
      <c r="AU16" s="18" t="s">
        <v>588</v>
      </c>
      <c r="AV16" s="18" t="s">
        <v>588</v>
      </c>
      <c r="AW16" s="22">
        <f t="shared" si="0"/>
        <v>55</v>
      </c>
      <c r="AX16" s="18" t="s">
        <v>768</v>
      </c>
      <c r="AY16" s="18" t="s">
        <v>769</v>
      </c>
      <c r="AZ16" s="18" t="s">
        <v>770</v>
      </c>
      <c r="BA16" s="18"/>
      <c r="BB16" s="18"/>
      <c r="BC16" s="22" t="s">
        <v>778</v>
      </c>
      <c r="BD16" s="18"/>
      <c r="BE16" s="18"/>
      <c r="BF16" s="18"/>
      <c r="BG16" s="18"/>
      <c r="BH16" s="22" t="s">
        <v>772</v>
      </c>
      <c r="BI16" s="18"/>
      <c r="BJ16" s="18"/>
      <c r="BK16" s="18"/>
      <c r="BL16" s="18" t="s">
        <v>736</v>
      </c>
      <c r="BM16" s="18"/>
      <c r="BN16" s="18" t="s">
        <v>737</v>
      </c>
      <c r="BO16" s="18"/>
      <c r="BP16" s="18" t="s">
        <v>724</v>
      </c>
      <c r="BQ16" s="18" t="s">
        <v>779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955</v>
      </c>
    </row>
    <row r="17" spans="1:110" ht="12" customHeight="1" x14ac:dyDescent="0.25">
      <c r="A17" s="15" t="s">
        <v>242</v>
      </c>
      <c r="B17" s="15" t="s">
        <v>2</v>
      </c>
      <c r="C17" s="15" t="s">
        <v>125</v>
      </c>
      <c r="D17" t="s">
        <v>319</v>
      </c>
      <c r="E17" s="18" t="s">
        <v>324</v>
      </c>
      <c r="F17" t="s">
        <v>319</v>
      </c>
      <c r="G17" s="18" t="s">
        <v>325</v>
      </c>
      <c r="H17" s="16" t="s">
        <v>47</v>
      </c>
      <c r="I17"/>
      <c r="J17"/>
      <c r="K17"/>
      <c r="L17"/>
      <c r="M17"/>
      <c r="N17"/>
      <c r="O17"/>
      <c r="P17"/>
      <c r="Q17"/>
      <c r="R17"/>
      <c r="S17"/>
      <c r="T17"/>
      <c r="U17">
        <v>340</v>
      </c>
      <c r="V17" s="17">
        <v>156</v>
      </c>
      <c r="W17" t="s">
        <v>69</v>
      </c>
      <c r="X17" t="s">
        <v>69</v>
      </c>
      <c r="Y17" s="19" t="s">
        <v>326</v>
      </c>
      <c r="Z17" t="s">
        <v>193</v>
      </c>
      <c r="AA17" t="s">
        <v>193</v>
      </c>
      <c r="AB17" s="18" t="s">
        <v>342</v>
      </c>
      <c r="AC17" s="18" t="s">
        <v>396</v>
      </c>
      <c r="AD17" s="18" t="s">
        <v>342</v>
      </c>
      <c r="AE17" s="20" t="s">
        <v>193</v>
      </c>
      <c r="AF17" s="18" t="s">
        <v>412</v>
      </c>
      <c r="AG17"/>
      <c r="AH17"/>
      <c r="AI17"/>
      <c r="AJ17" s="17" t="s">
        <v>134</v>
      </c>
      <c r="AK17"/>
      <c r="AL17" s="17">
        <v>3639</v>
      </c>
      <c r="AM17" s="17" t="s">
        <v>300</v>
      </c>
      <c r="AN17"/>
      <c r="AO17" s="18" t="s">
        <v>470</v>
      </c>
      <c r="AP17"/>
      <c r="AQ17"/>
      <c r="AR17" s="18" t="s">
        <v>495</v>
      </c>
      <c r="AS17" s="18" t="s">
        <v>589</v>
      </c>
      <c r="AT17" s="18" t="s">
        <v>589</v>
      </c>
      <c r="AU17" s="18" t="s">
        <v>590</v>
      </c>
      <c r="AV17" s="18" t="s">
        <v>590</v>
      </c>
      <c r="AW17" s="22">
        <f t="shared" si="0"/>
        <v>55</v>
      </c>
      <c r="AX17" s="18" t="s">
        <v>768</v>
      </c>
      <c r="AY17" s="18" t="s">
        <v>769</v>
      </c>
      <c r="AZ17" s="18" t="s">
        <v>770</v>
      </c>
      <c r="BA17" s="18"/>
      <c r="BB17" s="18"/>
      <c r="BC17" s="22" t="s">
        <v>780</v>
      </c>
      <c r="BD17" s="18"/>
      <c r="BE17" s="18"/>
      <c r="BF17" s="18"/>
      <c r="BG17" s="18"/>
      <c r="BH17" s="22" t="s">
        <v>772</v>
      </c>
      <c r="BI17" s="18"/>
      <c r="BJ17" s="18"/>
      <c r="BK17" s="18"/>
      <c r="BL17" s="18" t="s">
        <v>736</v>
      </c>
      <c r="BM17" s="18"/>
      <c r="BN17" s="18" t="s">
        <v>737</v>
      </c>
      <c r="BO17" s="18"/>
      <c r="BP17" s="18" t="s">
        <v>724</v>
      </c>
      <c r="BQ17" s="18" t="s">
        <v>781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955</v>
      </c>
    </row>
    <row r="18" spans="1:110" ht="12" customHeight="1" x14ac:dyDescent="0.25">
      <c r="A18" s="15" t="s">
        <v>242</v>
      </c>
      <c r="B18" s="15" t="s">
        <v>2</v>
      </c>
      <c r="C18" s="15" t="s">
        <v>125</v>
      </c>
      <c r="D18" t="s">
        <v>319</v>
      </c>
      <c r="E18" s="18" t="s">
        <v>324</v>
      </c>
      <c r="F18" t="s">
        <v>319</v>
      </c>
      <c r="G18" s="18" t="s">
        <v>325</v>
      </c>
      <c r="H18" s="16" t="s">
        <v>47</v>
      </c>
      <c r="I18"/>
      <c r="J18"/>
      <c r="K18"/>
      <c r="L18"/>
      <c r="M18"/>
      <c r="N18"/>
      <c r="O18"/>
      <c r="P18"/>
      <c r="Q18"/>
      <c r="R18"/>
      <c r="S18"/>
      <c r="T18"/>
      <c r="U18">
        <v>341</v>
      </c>
      <c r="V18" s="17">
        <v>157</v>
      </c>
      <c r="W18" t="s">
        <v>69</v>
      </c>
      <c r="X18" t="s">
        <v>69</v>
      </c>
      <c r="Y18" s="19" t="s">
        <v>326</v>
      </c>
      <c r="Z18" t="s">
        <v>41</v>
      </c>
      <c r="AA18" t="s">
        <v>41</v>
      </c>
      <c r="AB18" s="18" t="s">
        <v>343</v>
      </c>
      <c r="AC18" s="18" t="s">
        <v>396</v>
      </c>
      <c r="AD18" s="18" t="s">
        <v>343</v>
      </c>
      <c r="AE18" s="20" t="s">
        <v>41</v>
      </c>
      <c r="AF18" s="18" t="s">
        <v>413</v>
      </c>
      <c r="AG18"/>
      <c r="AH18"/>
      <c r="AI18"/>
      <c r="AJ18" s="17" t="s">
        <v>262</v>
      </c>
      <c r="AK18"/>
      <c r="AL18" s="17">
        <v>3639</v>
      </c>
      <c r="AM18" s="17" t="s">
        <v>216</v>
      </c>
      <c r="AN18"/>
      <c r="AO18" s="18" t="s">
        <v>470</v>
      </c>
      <c r="AP18"/>
      <c r="AQ18"/>
      <c r="AR18" s="18" t="s">
        <v>496</v>
      </c>
      <c r="AS18" s="18" t="s">
        <v>591</v>
      </c>
      <c r="AT18" s="18" t="s">
        <v>591</v>
      </c>
      <c r="AU18" s="18" t="s">
        <v>592</v>
      </c>
      <c r="AV18" s="18" t="s">
        <v>592</v>
      </c>
      <c r="AW18" s="22">
        <f t="shared" si="0"/>
        <v>55</v>
      </c>
      <c r="AX18" s="18" t="s">
        <v>768</v>
      </c>
      <c r="AY18" s="18" t="s">
        <v>769</v>
      </c>
      <c r="AZ18" s="18" t="s">
        <v>770</v>
      </c>
      <c r="BA18" s="18"/>
      <c r="BB18" s="18"/>
      <c r="BC18" s="22" t="s">
        <v>782</v>
      </c>
      <c r="BD18" s="18"/>
      <c r="BE18" s="18"/>
      <c r="BF18" s="18"/>
      <c r="BG18" s="18"/>
      <c r="BH18" s="22" t="s">
        <v>772</v>
      </c>
      <c r="BI18" s="18"/>
      <c r="BJ18" s="18"/>
      <c r="BK18" s="18"/>
      <c r="BL18" s="18" t="s">
        <v>736</v>
      </c>
      <c r="BM18" s="18"/>
      <c r="BN18" s="18" t="s">
        <v>737</v>
      </c>
      <c r="BO18" s="18"/>
      <c r="BP18" s="18" t="s">
        <v>724</v>
      </c>
      <c r="BQ18" s="18" t="s">
        <v>783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955</v>
      </c>
    </row>
    <row r="19" spans="1:110" ht="12" customHeight="1" x14ac:dyDescent="0.25">
      <c r="A19" s="15" t="s">
        <v>242</v>
      </c>
      <c r="B19" s="15" t="s">
        <v>2</v>
      </c>
      <c r="C19" s="15" t="s">
        <v>125</v>
      </c>
      <c r="D19" t="s">
        <v>319</v>
      </c>
      <c r="E19" s="18" t="s">
        <v>324</v>
      </c>
      <c r="F19" t="s">
        <v>319</v>
      </c>
      <c r="G19" s="18" t="s">
        <v>325</v>
      </c>
      <c r="H19" s="16" t="s">
        <v>47</v>
      </c>
      <c r="I19"/>
      <c r="J19"/>
      <c r="K19"/>
      <c r="L19"/>
      <c r="M19"/>
      <c r="N19"/>
      <c r="O19"/>
      <c r="P19"/>
      <c r="Q19"/>
      <c r="R19"/>
      <c r="S19"/>
      <c r="T19"/>
      <c r="U19">
        <v>342</v>
      </c>
      <c r="V19" s="17">
        <v>158</v>
      </c>
      <c r="W19" t="s">
        <v>69</v>
      </c>
      <c r="X19" t="s">
        <v>69</v>
      </c>
      <c r="Y19" s="19" t="s">
        <v>326</v>
      </c>
      <c r="Z19" t="s">
        <v>37</v>
      </c>
      <c r="AA19" t="s">
        <v>37</v>
      </c>
      <c r="AB19" s="18" t="s">
        <v>344</v>
      </c>
      <c r="AC19" s="18" t="s">
        <v>396</v>
      </c>
      <c r="AD19" s="18" t="s">
        <v>344</v>
      </c>
      <c r="AE19" s="20" t="s">
        <v>37</v>
      </c>
      <c r="AF19" s="18" t="s">
        <v>414</v>
      </c>
      <c r="AG19"/>
      <c r="AH19"/>
      <c r="AI19"/>
      <c r="AJ19" s="17" t="s">
        <v>204</v>
      </c>
      <c r="AK19"/>
      <c r="AL19" s="17">
        <v>3639</v>
      </c>
      <c r="AM19" s="17" t="s">
        <v>171</v>
      </c>
      <c r="AN19"/>
      <c r="AO19" s="18" t="s">
        <v>470</v>
      </c>
      <c r="AP19"/>
      <c r="AQ19"/>
      <c r="AR19" s="18" t="s">
        <v>497</v>
      </c>
      <c r="AS19" s="18" t="s">
        <v>593</v>
      </c>
      <c r="AT19" s="18" t="s">
        <v>593</v>
      </c>
      <c r="AU19" s="18" t="s">
        <v>594</v>
      </c>
      <c r="AV19" s="18" t="s">
        <v>594</v>
      </c>
      <c r="AW19" s="22">
        <f t="shared" si="0"/>
        <v>55</v>
      </c>
      <c r="AX19" s="18" t="s">
        <v>768</v>
      </c>
      <c r="AY19" s="18" t="s">
        <v>769</v>
      </c>
      <c r="AZ19" s="18" t="s">
        <v>770</v>
      </c>
      <c r="BA19" s="18"/>
      <c r="BB19" s="18"/>
      <c r="BC19" s="22" t="s">
        <v>784</v>
      </c>
      <c r="BD19" s="18"/>
      <c r="BE19" s="18"/>
      <c r="BF19" s="18"/>
      <c r="BG19" s="18"/>
      <c r="BH19" s="22" t="s">
        <v>772</v>
      </c>
      <c r="BI19" s="18"/>
      <c r="BJ19" s="18"/>
      <c r="BK19" s="18"/>
      <c r="BL19" s="18" t="s">
        <v>736</v>
      </c>
      <c r="BM19" s="18"/>
      <c r="BN19" s="18" t="s">
        <v>737</v>
      </c>
      <c r="BO19" s="18"/>
      <c r="BP19" s="18" t="s">
        <v>724</v>
      </c>
      <c r="BQ19" s="18" t="s">
        <v>785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955</v>
      </c>
    </row>
    <row r="20" spans="1:110" ht="12" customHeight="1" x14ac:dyDescent="0.25">
      <c r="A20" s="15" t="s">
        <v>242</v>
      </c>
      <c r="B20" s="15" t="s">
        <v>2</v>
      </c>
      <c r="C20" s="15" t="s">
        <v>125</v>
      </c>
      <c r="D20" t="s">
        <v>319</v>
      </c>
      <c r="E20" s="18" t="s">
        <v>324</v>
      </c>
      <c r="F20" t="s">
        <v>319</v>
      </c>
      <c r="G20" s="18" t="s">
        <v>325</v>
      </c>
      <c r="H20" s="16" t="s">
        <v>47</v>
      </c>
      <c r="I20"/>
      <c r="J20"/>
      <c r="K20"/>
      <c r="L20"/>
      <c r="M20"/>
      <c r="N20"/>
      <c r="O20"/>
      <c r="P20"/>
      <c r="Q20"/>
      <c r="R20"/>
      <c r="S20"/>
      <c r="T20"/>
      <c r="U20">
        <v>343</v>
      </c>
      <c r="V20" s="17">
        <v>159</v>
      </c>
      <c r="W20" t="s">
        <v>69</v>
      </c>
      <c r="X20" t="s">
        <v>69</v>
      </c>
      <c r="Y20" s="19" t="s">
        <v>326</v>
      </c>
      <c r="Z20" t="s">
        <v>318</v>
      </c>
      <c r="AA20" t="s">
        <v>318</v>
      </c>
      <c r="AB20" s="18" t="s">
        <v>345</v>
      </c>
      <c r="AC20" s="18" t="s">
        <v>396</v>
      </c>
      <c r="AD20" s="18" t="s">
        <v>345</v>
      </c>
      <c r="AE20" s="20" t="s">
        <v>318</v>
      </c>
      <c r="AF20" s="18" t="s">
        <v>415</v>
      </c>
      <c r="AG20"/>
      <c r="AH20"/>
      <c r="AI20"/>
      <c r="AJ20" s="17" t="s">
        <v>196</v>
      </c>
      <c r="AK20"/>
      <c r="AL20" s="17">
        <v>3639</v>
      </c>
      <c r="AM20" s="17" t="s">
        <v>84</v>
      </c>
      <c r="AN20"/>
      <c r="AO20" s="18" t="s">
        <v>470</v>
      </c>
      <c r="AP20"/>
      <c r="AQ20"/>
      <c r="AR20" s="18" t="s">
        <v>498</v>
      </c>
      <c r="AS20" s="18" t="s">
        <v>595</v>
      </c>
      <c r="AT20" s="18" t="s">
        <v>595</v>
      </c>
      <c r="AU20" s="18" t="s">
        <v>596</v>
      </c>
      <c r="AV20" s="18" t="s">
        <v>596</v>
      </c>
      <c r="AW20" s="22">
        <f t="shared" si="0"/>
        <v>55</v>
      </c>
      <c r="AX20" s="18" t="s">
        <v>768</v>
      </c>
      <c r="AY20" s="18" t="s">
        <v>769</v>
      </c>
      <c r="AZ20" s="18" t="s">
        <v>770</v>
      </c>
      <c r="BA20" s="18"/>
      <c r="BB20" s="18"/>
      <c r="BC20" s="22" t="s">
        <v>786</v>
      </c>
      <c r="BD20" s="18"/>
      <c r="BE20" s="18"/>
      <c r="BF20" s="18"/>
      <c r="BG20" s="18"/>
      <c r="BH20" s="22" t="s">
        <v>772</v>
      </c>
      <c r="BI20" s="18"/>
      <c r="BJ20" s="18"/>
      <c r="BK20" s="18"/>
      <c r="BL20" s="18" t="s">
        <v>736</v>
      </c>
      <c r="BM20" s="18"/>
      <c r="BN20" s="18" t="s">
        <v>737</v>
      </c>
      <c r="BO20" s="18"/>
      <c r="BP20" s="18" t="s">
        <v>724</v>
      </c>
      <c r="BQ20" s="18" t="s">
        <v>787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955</v>
      </c>
    </row>
    <row r="21" spans="1:110" ht="12" customHeight="1" x14ac:dyDescent="0.25">
      <c r="A21" s="15" t="s">
        <v>242</v>
      </c>
      <c r="B21" s="15" t="s">
        <v>2</v>
      </c>
      <c r="C21" s="15" t="s">
        <v>125</v>
      </c>
      <c r="D21" t="s">
        <v>319</v>
      </c>
      <c r="E21" s="18" t="s">
        <v>324</v>
      </c>
      <c r="F21" t="s">
        <v>319</v>
      </c>
      <c r="G21" s="18" t="s">
        <v>325</v>
      </c>
      <c r="H21" s="16" t="s">
        <v>47</v>
      </c>
      <c r="I21"/>
      <c r="J21"/>
      <c r="K21"/>
      <c r="L21"/>
      <c r="M21"/>
      <c r="N21"/>
      <c r="O21"/>
      <c r="P21"/>
      <c r="Q21"/>
      <c r="R21"/>
      <c r="S21"/>
      <c r="T21"/>
      <c r="U21">
        <v>344</v>
      </c>
      <c r="V21" s="17">
        <v>160</v>
      </c>
      <c r="W21" t="s">
        <v>69</v>
      </c>
      <c r="X21" t="s">
        <v>69</v>
      </c>
      <c r="Y21" s="19" t="s">
        <v>326</v>
      </c>
      <c r="Z21" t="s">
        <v>139</v>
      </c>
      <c r="AA21" t="s">
        <v>139</v>
      </c>
      <c r="AB21" s="18" t="s">
        <v>346</v>
      </c>
      <c r="AC21" s="18" t="s">
        <v>396</v>
      </c>
      <c r="AD21" s="18" t="s">
        <v>346</v>
      </c>
      <c r="AE21" s="20" t="s">
        <v>139</v>
      </c>
      <c r="AF21" s="18" t="s">
        <v>416</v>
      </c>
      <c r="AG21"/>
      <c r="AH21"/>
      <c r="AI21"/>
      <c r="AJ21" s="17" t="s">
        <v>207</v>
      </c>
      <c r="AK21"/>
      <c r="AL21" s="17">
        <v>3639</v>
      </c>
      <c r="AM21" s="17" t="s">
        <v>35</v>
      </c>
      <c r="AN21"/>
      <c r="AO21" s="18" t="s">
        <v>470</v>
      </c>
      <c r="AP21"/>
      <c r="AQ21"/>
      <c r="AR21" s="18" t="s">
        <v>499</v>
      </c>
      <c r="AS21" s="18" t="s">
        <v>597</v>
      </c>
      <c r="AT21" s="18" t="s">
        <v>597</v>
      </c>
      <c r="AU21" s="18" t="s">
        <v>598</v>
      </c>
      <c r="AV21" s="18" t="s">
        <v>598</v>
      </c>
      <c r="AW21" s="22">
        <f t="shared" si="0"/>
        <v>55</v>
      </c>
      <c r="AX21" s="18" t="s">
        <v>768</v>
      </c>
      <c r="AY21" s="18" t="s">
        <v>769</v>
      </c>
      <c r="AZ21" s="18" t="s">
        <v>770</v>
      </c>
      <c r="BA21" s="18"/>
      <c r="BB21" s="18"/>
      <c r="BC21" s="22" t="s">
        <v>788</v>
      </c>
      <c r="BD21" s="18"/>
      <c r="BE21" s="18"/>
      <c r="BF21" s="18"/>
      <c r="BG21" s="18"/>
      <c r="BH21" s="22" t="s">
        <v>772</v>
      </c>
      <c r="BI21" s="18"/>
      <c r="BJ21" s="18"/>
      <c r="BK21" s="18"/>
      <c r="BL21" s="18" t="s">
        <v>736</v>
      </c>
      <c r="BM21" s="18"/>
      <c r="BN21" s="18" t="s">
        <v>737</v>
      </c>
      <c r="BO21" s="18"/>
      <c r="BP21" s="18" t="s">
        <v>724</v>
      </c>
      <c r="BQ21" s="18" t="s">
        <v>789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955</v>
      </c>
    </row>
    <row r="22" spans="1:110" ht="12" customHeight="1" x14ac:dyDescent="0.25">
      <c r="A22" s="15" t="s">
        <v>242</v>
      </c>
      <c r="B22" s="15" t="s">
        <v>2</v>
      </c>
      <c r="C22" s="15" t="s">
        <v>125</v>
      </c>
      <c r="D22" t="s">
        <v>319</v>
      </c>
      <c r="E22" s="18" t="s">
        <v>324</v>
      </c>
      <c r="F22" t="s">
        <v>319</v>
      </c>
      <c r="G22" s="18" t="s">
        <v>325</v>
      </c>
      <c r="H22" s="16" t="s">
        <v>47</v>
      </c>
      <c r="I22"/>
      <c r="J22"/>
      <c r="K22"/>
      <c r="L22"/>
      <c r="M22"/>
      <c r="N22"/>
      <c r="O22"/>
      <c r="P22"/>
      <c r="Q22"/>
      <c r="R22"/>
      <c r="S22"/>
      <c r="T22"/>
      <c r="U22">
        <v>345</v>
      </c>
      <c r="V22" s="17">
        <v>161</v>
      </c>
      <c r="W22" t="s">
        <v>69</v>
      </c>
      <c r="X22" t="s">
        <v>69</v>
      </c>
      <c r="Y22" s="19" t="s">
        <v>326</v>
      </c>
      <c r="Z22" t="s">
        <v>192</v>
      </c>
      <c r="AA22" t="s">
        <v>192</v>
      </c>
      <c r="AB22" s="18" t="s">
        <v>347</v>
      </c>
      <c r="AC22" s="18" t="s">
        <v>396</v>
      </c>
      <c r="AD22" s="18" t="s">
        <v>347</v>
      </c>
      <c r="AE22" s="20" t="s">
        <v>192</v>
      </c>
      <c r="AF22" s="18" t="s">
        <v>417</v>
      </c>
      <c r="AG22"/>
      <c r="AH22"/>
      <c r="AI22"/>
      <c r="AJ22" s="17" t="s">
        <v>18</v>
      </c>
      <c r="AK22"/>
      <c r="AL22" s="17">
        <v>3639</v>
      </c>
      <c r="AM22" s="17" t="s">
        <v>10</v>
      </c>
      <c r="AN22"/>
      <c r="AO22" s="18" t="s">
        <v>470</v>
      </c>
      <c r="AP22"/>
      <c r="AQ22"/>
      <c r="AR22" s="18" t="s">
        <v>500</v>
      </c>
      <c r="AS22" s="18" t="s">
        <v>599</v>
      </c>
      <c r="AT22" s="18" t="s">
        <v>599</v>
      </c>
      <c r="AU22" s="18" t="s">
        <v>600</v>
      </c>
      <c r="AV22" s="18" t="s">
        <v>600</v>
      </c>
      <c r="AW22" s="22">
        <f t="shared" si="0"/>
        <v>55</v>
      </c>
      <c r="AX22" s="18" t="s">
        <v>768</v>
      </c>
      <c r="AY22" s="18" t="s">
        <v>769</v>
      </c>
      <c r="AZ22" s="18" t="s">
        <v>770</v>
      </c>
      <c r="BA22" s="18"/>
      <c r="BB22" s="18"/>
      <c r="BC22" s="22" t="s">
        <v>790</v>
      </c>
      <c r="BD22" s="18"/>
      <c r="BE22" s="18"/>
      <c r="BF22" s="18"/>
      <c r="BG22" s="18"/>
      <c r="BH22" s="22" t="s">
        <v>772</v>
      </c>
      <c r="BI22" s="18"/>
      <c r="BJ22" s="18"/>
      <c r="BK22" s="18"/>
      <c r="BL22" s="18" t="s">
        <v>736</v>
      </c>
      <c r="BM22" s="18"/>
      <c r="BN22" s="18" t="s">
        <v>737</v>
      </c>
      <c r="BO22" s="18"/>
      <c r="BP22" s="18" t="s">
        <v>724</v>
      </c>
      <c r="BQ22" s="18" t="s">
        <v>791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955</v>
      </c>
    </row>
    <row r="23" spans="1:110" ht="12" customHeight="1" x14ac:dyDescent="0.25">
      <c r="A23" s="15" t="s">
        <v>242</v>
      </c>
      <c r="B23" s="15" t="s">
        <v>2</v>
      </c>
      <c r="C23" s="15" t="s">
        <v>125</v>
      </c>
      <c r="D23" t="s">
        <v>319</v>
      </c>
      <c r="E23" s="18" t="s">
        <v>324</v>
      </c>
      <c r="F23" t="s">
        <v>319</v>
      </c>
      <c r="G23" s="18" t="s">
        <v>325</v>
      </c>
      <c r="H23" s="16" t="s">
        <v>47</v>
      </c>
      <c r="I23"/>
      <c r="J23"/>
      <c r="K23"/>
      <c r="L23"/>
      <c r="M23"/>
      <c r="N23"/>
      <c r="O23"/>
      <c r="P23"/>
      <c r="Q23"/>
      <c r="R23"/>
      <c r="S23"/>
      <c r="T23"/>
      <c r="U23">
        <v>346</v>
      </c>
      <c r="V23" s="17">
        <v>162</v>
      </c>
      <c r="W23" t="s">
        <v>69</v>
      </c>
      <c r="X23" t="s">
        <v>69</v>
      </c>
      <c r="Y23" s="19" t="s">
        <v>326</v>
      </c>
      <c r="Z23" t="s">
        <v>20</v>
      </c>
      <c r="AA23" t="s">
        <v>20</v>
      </c>
      <c r="AB23" s="18" t="s">
        <v>348</v>
      </c>
      <c r="AC23" s="18" t="s">
        <v>396</v>
      </c>
      <c r="AD23" s="18" t="s">
        <v>348</v>
      </c>
      <c r="AE23" s="20" t="s">
        <v>20</v>
      </c>
      <c r="AF23" s="18" t="s">
        <v>418</v>
      </c>
      <c r="AG23"/>
      <c r="AH23"/>
      <c r="AI23"/>
      <c r="AJ23" s="17" t="s">
        <v>163</v>
      </c>
      <c r="AK23"/>
      <c r="AL23" s="17">
        <v>3639</v>
      </c>
      <c r="AM23" s="17" t="s">
        <v>298</v>
      </c>
      <c r="AN23"/>
      <c r="AO23" s="18" t="s">
        <v>470</v>
      </c>
      <c r="AP23"/>
      <c r="AQ23"/>
      <c r="AR23" s="18" t="s">
        <v>501</v>
      </c>
      <c r="AS23" s="18" t="s">
        <v>601</v>
      </c>
      <c r="AT23" s="18" t="s">
        <v>601</v>
      </c>
      <c r="AU23" s="18" t="s">
        <v>602</v>
      </c>
      <c r="AV23" s="18" t="s">
        <v>602</v>
      </c>
      <c r="AW23" s="22">
        <f t="shared" si="0"/>
        <v>55</v>
      </c>
      <c r="AX23" s="18" t="s">
        <v>768</v>
      </c>
      <c r="AY23" s="18" t="s">
        <v>769</v>
      </c>
      <c r="AZ23" s="18" t="s">
        <v>770</v>
      </c>
      <c r="BA23" s="18"/>
      <c r="BB23" s="18"/>
      <c r="BC23" s="22" t="s">
        <v>792</v>
      </c>
      <c r="BD23" s="18"/>
      <c r="BE23" s="18"/>
      <c r="BF23" s="18"/>
      <c r="BG23" s="18"/>
      <c r="BH23" s="22" t="s">
        <v>772</v>
      </c>
      <c r="BI23" s="18"/>
      <c r="BJ23" s="18"/>
      <c r="BK23" s="18"/>
      <c r="BL23" s="18" t="s">
        <v>736</v>
      </c>
      <c r="BM23" s="18"/>
      <c r="BN23" s="18" t="s">
        <v>737</v>
      </c>
      <c r="BO23" s="18"/>
      <c r="BP23" s="18" t="s">
        <v>724</v>
      </c>
      <c r="BQ23" s="18" t="s">
        <v>793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955</v>
      </c>
    </row>
    <row r="24" spans="1:110" ht="12" customHeight="1" x14ac:dyDescent="0.25">
      <c r="A24" s="15" t="s">
        <v>242</v>
      </c>
      <c r="B24" s="15" t="s">
        <v>2</v>
      </c>
      <c r="C24" s="15" t="s">
        <v>125</v>
      </c>
      <c r="D24" t="s">
        <v>319</v>
      </c>
      <c r="E24" s="18" t="s">
        <v>324</v>
      </c>
      <c r="F24" t="s">
        <v>319</v>
      </c>
      <c r="G24" s="18" t="s">
        <v>325</v>
      </c>
      <c r="H24" s="16" t="s">
        <v>47</v>
      </c>
      <c r="I24"/>
      <c r="J24"/>
      <c r="K24"/>
      <c r="L24"/>
      <c r="M24"/>
      <c r="N24"/>
      <c r="O24"/>
      <c r="P24"/>
      <c r="Q24"/>
      <c r="R24"/>
      <c r="S24"/>
      <c r="T24"/>
      <c r="U24">
        <v>347</v>
      </c>
      <c r="V24" s="17">
        <v>163</v>
      </c>
      <c r="W24" t="s">
        <v>69</v>
      </c>
      <c r="X24" t="s">
        <v>69</v>
      </c>
      <c r="Y24" s="19" t="s">
        <v>326</v>
      </c>
      <c r="Z24" t="s">
        <v>238</v>
      </c>
      <c r="AA24" t="s">
        <v>238</v>
      </c>
      <c r="AB24" s="18" t="s">
        <v>349</v>
      </c>
      <c r="AC24" s="18" t="s">
        <v>396</v>
      </c>
      <c r="AD24" s="18" t="s">
        <v>349</v>
      </c>
      <c r="AE24" s="20" t="s">
        <v>238</v>
      </c>
      <c r="AF24" s="18" t="s">
        <v>419</v>
      </c>
      <c r="AG24"/>
      <c r="AH24"/>
      <c r="AI24"/>
      <c r="AJ24" s="17" t="s">
        <v>38</v>
      </c>
      <c r="AK24"/>
      <c r="AL24" s="17">
        <v>3639</v>
      </c>
      <c r="AM24" s="17" t="s">
        <v>6</v>
      </c>
      <c r="AN24"/>
      <c r="AO24" s="18" t="s">
        <v>471</v>
      </c>
      <c r="AP24"/>
      <c r="AQ24"/>
      <c r="AR24" s="18" t="s">
        <v>502</v>
      </c>
      <c r="AS24" s="21" t="s">
        <v>603</v>
      </c>
      <c r="AT24" s="21" t="s">
        <v>603</v>
      </c>
      <c r="AU24" s="21" t="s">
        <v>604</v>
      </c>
      <c r="AV24" s="21" t="s">
        <v>604</v>
      </c>
      <c r="AW24" s="22">
        <f t="shared" si="0"/>
        <v>41</v>
      </c>
      <c r="AX24" s="21" t="s">
        <v>794</v>
      </c>
      <c r="AY24" s="18" t="s">
        <v>719</v>
      </c>
      <c r="AZ24" s="21" t="s">
        <v>795</v>
      </c>
      <c r="BA24" s="21" t="s">
        <v>796</v>
      </c>
      <c r="BB24" s="18"/>
      <c r="BC24" s="22" t="s">
        <v>797</v>
      </c>
      <c r="BD24" s="18"/>
      <c r="BE24" s="18"/>
      <c r="BF24" s="18"/>
      <c r="BG24" s="18"/>
      <c r="BH24" s="18"/>
      <c r="BI24" s="18"/>
      <c r="BJ24" s="18"/>
      <c r="BK24" s="18"/>
      <c r="BL24" s="18" t="s">
        <v>736</v>
      </c>
      <c r="BM24" s="18"/>
      <c r="BN24" s="18" t="s">
        <v>737</v>
      </c>
      <c r="BO24" s="18"/>
      <c r="BP24" s="18" t="s">
        <v>724</v>
      </c>
      <c r="BQ24" s="18" t="s">
        <v>798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955</v>
      </c>
    </row>
    <row r="25" spans="1:110" ht="12" customHeight="1" x14ac:dyDescent="0.25">
      <c r="A25" s="15" t="s">
        <v>242</v>
      </c>
      <c r="B25" s="15" t="s">
        <v>2</v>
      </c>
      <c r="C25" s="15" t="s">
        <v>125</v>
      </c>
      <c r="D25" t="s">
        <v>319</v>
      </c>
      <c r="E25" s="18" t="s">
        <v>324</v>
      </c>
      <c r="F25" t="s">
        <v>319</v>
      </c>
      <c r="G25" s="18" t="s">
        <v>325</v>
      </c>
      <c r="H25" s="16" t="s">
        <v>47</v>
      </c>
      <c r="I25"/>
      <c r="J25"/>
      <c r="K25"/>
      <c r="L25"/>
      <c r="M25"/>
      <c r="N25"/>
      <c r="O25"/>
      <c r="P25"/>
      <c r="Q25"/>
      <c r="R25"/>
      <c r="S25"/>
      <c r="T25"/>
      <c r="U25">
        <v>348</v>
      </c>
      <c r="V25" s="17">
        <v>164</v>
      </c>
      <c r="W25" t="s">
        <v>69</v>
      </c>
      <c r="X25" t="s">
        <v>69</v>
      </c>
      <c r="Y25" s="19" t="s">
        <v>326</v>
      </c>
      <c r="Z25" t="s">
        <v>188</v>
      </c>
      <c r="AA25" t="s">
        <v>188</v>
      </c>
      <c r="AB25" s="18" t="s">
        <v>350</v>
      </c>
      <c r="AC25" s="18" t="s">
        <v>396</v>
      </c>
      <c r="AD25" s="18" t="s">
        <v>350</v>
      </c>
      <c r="AE25" s="20" t="s">
        <v>188</v>
      </c>
      <c r="AF25" s="18" t="s">
        <v>420</v>
      </c>
      <c r="AG25"/>
      <c r="AH25"/>
      <c r="AI25"/>
      <c r="AJ25" s="17" t="s">
        <v>114</v>
      </c>
      <c r="AK25"/>
      <c r="AL25" s="17">
        <v>3639</v>
      </c>
      <c r="AM25" s="17" t="s">
        <v>98</v>
      </c>
      <c r="AN25"/>
      <c r="AO25" s="18" t="s">
        <v>471</v>
      </c>
      <c r="AP25"/>
      <c r="AQ25"/>
      <c r="AR25" s="18" t="s">
        <v>503</v>
      </c>
      <c r="AS25" s="21" t="s">
        <v>605</v>
      </c>
      <c r="AT25" s="21" t="s">
        <v>605</v>
      </c>
      <c r="AU25" s="21" t="s">
        <v>606</v>
      </c>
      <c r="AV25" s="21" t="s">
        <v>606</v>
      </c>
      <c r="AW25" s="22">
        <f t="shared" si="0"/>
        <v>40</v>
      </c>
      <c r="AX25" s="21" t="s">
        <v>794</v>
      </c>
      <c r="AY25" s="18" t="s">
        <v>719</v>
      </c>
      <c r="AZ25" s="21" t="s">
        <v>795</v>
      </c>
      <c r="BA25" s="21" t="s">
        <v>799</v>
      </c>
      <c r="BB25" s="18"/>
      <c r="BC25" s="22" t="s">
        <v>800</v>
      </c>
      <c r="BD25" s="18"/>
      <c r="BE25" s="18"/>
      <c r="BF25" s="18"/>
      <c r="BG25" s="18"/>
      <c r="BH25" s="18"/>
      <c r="BI25" s="18"/>
      <c r="BJ25" s="18"/>
      <c r="BK25" s="18"/>
      <c r="BL25" s="18" t="s">
        <v>736</v>
      </c>
      <c r="BM25" s="18"/>
      <c r="BN25" s="18" t="s">
        <v>737</v>
      </c>
      <c r="BO25" s="18"/>
      <c r="BP25" s="18" t="s">
        <v>724</v>
      </c>
      <c r="BQ25" s="18" t="s">
        <v>801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955</v>
      </c>
    </row>
    <row r="26" spans="1:110" ht="12" customHeight="1" x14ac:dyDescent="0.25">
      <c r="A26" s="15" t="s">
        <v>242</v>
      </c>
      <c r="B26" s="15" t="s">
        <v>2</v>
      </c>
      <c r="C26" s="15" t="s">
        <v>125</v>
      </c>
      <c r="D26" t="s">
        <v>319</v>
      </c>
      <c r="E26" s="18" t="s">
        <v>324</v>
      </c>
      <c r="F26" t="s">
        <v>319</v>
      </c>
      <c r="G26" s="18" t="s">
        <v>325</v>
      </c>
      <c r="H26" s="16" t="s">
        <v>47</v>
      </c>
      <c r="I26"/>
      <c r="J26"/>
      <c r="K26"/>
      <c r="L26"/>
      <c r="M26"/>
      <c r="N26"/>
      <c r="O26"/>
      <c r="P26"/>
      <c r="Q26"/>
      <c r="R26"/>
      <c r="S26"/>
      <c r="T26"/>
      <c r="U26">
        <v>349</v>
      </c>
      <c r="V26" s="17">
        <v>165</v>
      </c>
      <c r="W26" t="s">
        <v>69</v>
      </c>
      <c r="X26" t="s">
        <v>69</v>
      </c>
      <c r="Y26" s="19" t="s">
        <v>326</v>
      </c>
      <c r="Z26" t="s">
        <v>65</v>
      </c>
      <c r="AA26" t="s">
        <v>65</v>
      </c>
      <c r="AB26" s="18" t="s">
        <v>351</v>
      </c>
      <c r="AC26" s="18" t="s">
        <v>396</v>
      </c>
      <c r="AD26" s="18" t="s">
        <v>351</v>
      </c>
      <c r="AE26" s="20" t="s">
        <v>65</v>
      </c>
      <c r="AF26" s="18" t="s">
        <v>421</v>
      </c>
      <c r="AG26"/>
      <c r="AH26"/>
      <c r="AI26"/>
      <c r="AJ26" s="17" t="s">
        <v>129</v>
      </c>
      <c r="AK26"/>
      <c r="AL26" s="17">
        <v>3639</v>
      </c>
      <c r="AM26" s="17" t="s">
        <v>1</v>
      </c>
      <c r="AN26"/>
      <c r="AO26" s="18" t="s">
        <v>471</v>
      </c>
      <c r="AP26"/>
      <c r="AQ26"/>
      <c r="AR26" s="18" t="s">
        <v>504</v>
      </c>
      <c r="AS26" s="21" t="s">
        <v>607</v>
      </c>
      <c r="AT26" s="21" t="s">
        <v>607</v>
      </c>
      <c r="AU26" s="21" t="s">
        <v>608</v>
      </c>
      <c r="AV26" s="21" t="s">
        <v>608</v>
      </c>
      <c r="AW26" s="22">
        <f t="shared" si="0"/>
        <v>34</v>
      </c>
      <c r="AX26" s="21" t="s">
        <v>794</v>
      </c>
      <c r="AY26" s="18" t="s">
        <v>719</v>
      </c>
      <c r="AZ26" s="22" t="s">
        <v>802</v>
      </c>
      <c r="BA26" s="18" t="s">
        <v>803</v>
      </c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 t="s">
        <v>736</v>
      </c>
      <c r="BM26" s="18"/>
      <c r="BN26" s="18" t="s">
        <v>737</v>
      </c>
      <c r="BO26" s="18"/>
      <c r="BP26" s="18" t="s">
        <v>724</v>
      </c>
      <c r="BQ26" s="18" t="s">
        <v>804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955</v>
      </c>
    </row>
    <row r="27" spans="1:110" ht="12" customHeight="1" x14ac:dyDescent="0.25">
      <c r="A27" s="15" t="s">
        <v>242</v>
      </c>
      <c r="B27" s="15" t="s">
        <v>2</v>
      </c>
      <c r="C27" s="15" t="s">
        <v>125</v>
      </c>
      <c r="D27" t="s">
        <v>319</v>
      </c>
      <c r="E27" s="18" t="s">
        <v>324</v>
      </c>
      <c r="F27" t="s">
        <v>319</v>
      </c>
      <c r="G27" s="18" t="s">
        <v>325</v>
      </c>
      <c r="H27" s="16" t="s">
        <v>47</v>
      </c>
      <c r="I27"/>
      <c r="J27"/>
      <c r="K27"/>
      <c r="L27"/>
      <c r="M27"/>
      <c r="N27"/>
      <c r="O27"/>
      <c r="P27"/>
      <c r="Q27"/>
      <c r="R27"/>
      <c r="S27"/>
      <c r="T27"/>
      <c r="U27">
        <v>350</v>
      </c>
      <c r="V27" s="17">
        <v>166</v>
      </c>
      <c r="W27" t="s">
        <v>69</v>
      </c>
      <c r="X27" t="s">
        <v>69</v>
      </c>
      <c r="Y27" s="19" t="s">
        <v>326</v>
      </c>
      <c r="Z27" t="s">
        <v>227</v>
      </c>
      <c r="AA27" t="s">
        <v>227</v>
      </c>
      <c r="AB27" s="18" t="s">
        <v>352</v>
      </c>
      <c r="AC27" s="18" t="s">
        <v>396</v>
      </c>
      <c r="AD27" s="18" t="s">
        <v>352</v>
      </c>
      <c r="AE27" s="20" t="s">
        <v>227</v>
      </c>
      <c r="AF27" s="18" t="s">
        <v>422</v>
      </c>
      <c r="AG27"/>
      <c r="AH27"/>
      <c r="AI27"/>
      <c r="AJ27" s="17" t="s">
        <v>13</v>
      </c>
      <c r="AK27"/>
      <c r="AL27" s="17">
        <v>3639</v>
      </c>
      <c r="AM27" s="17" t="s">
        <v>252</v>
      </c>
      <c r="AN27"/>
      <c r="AO27" s="18" t="s">
        <v>466</v>
      </c>
      <c r="AP27"/>
      <c r="AQ27"/>
      <c r="AR27" s="18" t="s">
        <v>505</v>
      </c>
      <c r="AS27" s="22" t="s">
        <v>609</v>
      </c>
      <c r="AT27" s="22" t="s">
        <v>609</v>
      </c>
      <c r="AU27" s="22" t="s">
        <v>610</v>
      </c>
      <c r="AV27" s="22" t="s">
        <v>610</v>
      </c>
      <c r="AW27" s="22">
        <f t="shared" si="0"/>
        <v>36</v>
      </c>
      <c r="AX27" s="22" t="s">
        <v>718</v>
      </c>
      <c r="AY27" s="18" t="s">
        <v>719</v>
      </c>
      <c r="AZ27" s="18" t="s">
        <v>805</v>
      </c>
      <c r="BA27" s="18"/>
      <c r="BB27" s="18"/>
      <c r="BC27" s="22" t="s">
        <v>806</v>
      </c>
      <c r="BD27" s="18"/>
      <c r="BE27" s="18"/>
      <c r="BF27" s="18"/>
      <c r="BG27" s="18"/>
      <c r="BH27" s="18" t="s">
        <v>807</v>
      </c>
      <c r="BI27" s="18"/>
      <c r="BJ27" s="18"/>
      <c r="BK27" s="18"/>
      <c r="BL27" s="18"/>
      <c r="BM27" s="18" t="s">
        <v>808</v>
      </c>
      <c r="BN27" s="18"/>
      <c r="BO27" s="18"/>
      <c r="BP27" s="18"/>
      <c r="BQ27" s="18" t="s">
        <v>809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955</v>
      </c>
    </row>
    <row r="28" spans="1:110" ht="12" customHeight="1" x14ac:dyDescent="0.25">
      <c r="A28" s="15" t="s">
        <v>242</v>
      </c>
      <c r="B28" s="15" t="s">
        <v>2</v>
      </c>
      <c r="C28" s="15" t="s">
        <v>125</v>
      </c>
      <c r="D28" t="s">
        <v>319</v>
      </c>
      <c r="E28" s="18" t="s">
        <v>324</v>
      </c>
      <c r="F28" t="s">
        <v>319</v>
      </c>
      <c r="G28" s="18" t="s">
        <v>325</v>
      </c>
      <c r="H28" s="16" t="s">
        <v>47</v>
      </c>
      <c r="I28"/>
      <c r="J28"/>
      <c r="K28"/>
      <c r="L28"/>
      <c r="M28"/>
      <c r="N28"/>
      <c r="O28"/>
      <c r="P28"/>
      <c r="Q28"/>
      <c r="R28"/>
      <c r="S28"/>
      <c r="T28"/>
      <c r="U28">
        <v>351</v>
      </c>
      <c r="V28" s="17">
        <v>167</v>
      </c>
      <c r="W28" t="s">
        <v>69</v>
      </c>
      <c r="X28" t="s">
        <v>69</v>
      </c>
      <c r="Y28" s="19" t="s">
        <v>326</v>
      </c>
      <c r="Z28" t="s">
        <v>179</v>
      </c>
      <c r="AA28" t="s">
        <v>179</v>
      </c>
      <c r="AB28" s="18" t="s">
        <v>353</v>
      </c>
      <c r="AC28" s="18" t="s">
        <v>396</v>
      </c>
      <c r="AD28" s="18" t="s">
        <v>353</v>
      </c>
      <c r="AE28" s="20" t="s">
        <v>179</v>
      </c>
      <c r="AF28" s="18" t="s">
        <v>423</v>
      </c>
      <c r="AG28"/>
      <c r="AH28"/>
      <c r="AI28"/>
      <c r="AJ28" s="17" t="s">
        <v>42</v>
      </c>
      <c r="AK28"/>
      <c r="AL28" s="17">
        <v>3639</v>
      </c>
      <c r="AM28" s="17" t="s">
        <v>290</v>
      </c>
      <c r="AN28"/>
      <c r="AO28" s="18" t="s">
        <v>466</v>
      </c>
      <c r="AP28"/>
      <c r="AQ28"/>
      <c r="AR28" s="18" t="s">
        <v>506</v>
      </c>
      <c r="AS28" s="22" t="s">
        <v>611</v>
      </c>
      <c r="AT28" s="22" t="s">
        <v>611</v>
      </c>
      <c r="AU28" s="22" t="s">
        <v>612</v>
      </c>
      <c r="AV28" s="22" t="s">
        <v>612</v>
      </c>
      <c r="AW28" s="22">
        <f t="shared" si="0"/>
        <v>36</v>
      </c>
      <c r="AX28" s="22" t="s">
        <v>718</v>
      </c>
      <c r="AY28" s="18" t="s">
        <v>719</v>
      </c>
      <c r="AZ28" s="18" t="s">
        <v>810</v>
      </c>
      <c r="BA28" s="18"/>
      <c r="BB28" s="18"/>
      <c r="BC28" s="22" t="s">
        <v>806</v>
      </c>
      <c r="BD28" s="18"/>
      <c r="BE28" s="18"/>
      <c r="BF28" s="18"/>
      <c r="BG28" s="18"/>
      <c r="BH28" s="18" t="s">
        <v>807</v>
      </c>
      <c r="BI28" s="18"/>
      <c r="BJ28" s="18"/>
      <c r="BK28" s="18"/>
      <c r="BL28" s="18"/>
      <c r="BM28" s="18" t="s">
        <v>808</v>
      </c>
      <c r="BN28" s="18"/>
      <c r="BO28" s="18"/>
      <c r="BP28" s="18"/>
      <c r="BQ28" s="18" t="s">
        <v>811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955</v>
      </c>
    </row>
    <row r="29" spans="1:110" ht="12" customHeight="1" x14ac:dyDescent="0.25">
      <c r="A29" s="15" t="s">
        <v>242</v>
      </c>
      <c r="B29" s="15" t="s">
        <v>2</v>
      </c>
      <c r="C29" s="15" t="s">
        <v>125</v>
      </c>
      <c r="D29" t="s">
        <v>319</v>
      </c>
      <c r="E29" s="18" t="s">
        <v>324</v>
      </c>
      <c r="F29" t="s">
        <v>319</v>
      </c>
      <c r="G29" s="18" t="s">
        <v>325</v>
      </c>
      <c r="H29" s="16" t="s">
        <v>47</v>
      </c>
      <c r="I29"/>
      <c r="J29"/>
      <c r="K29"/>
      <c r="L29"/>
      <c r="M29"/>
      <c r="N29"/>
      <c r="O29"/>
      <c r="P29"/>
      <c r="Q29"/>
      <c r="R29"/>
      <c r="S29"/>
      <c r="T29"/>
      <c r="U29">
        <v>352</v>
      </c>
      <c r="V29" s="17">
        <v>168</v>
      </c>
      <c r="W29" t="s">
        <v>69</v>
      </c>
      <c r="X29" t="s">
        <v>69</v>
      </c>
      <c r="Y29" s="19" t="s">
        <v>326</v>
      </c>
      <c r="Z29" t="s">
        <v>126</v>
      </c>
      <c r="AA29" t="s">
        <v>126</v>
      </c>
      <c r="AB29" s="18" t="s">
        <v>354</v>
      </c>
      <c r="AC29" s="18" t="s">
        <v>396</v>
      </c>
      <c r="AD29" s="18" t="s">
        <v>354</v>
      </c>
      <c r="AE29" s="20" t="s">
        <v>126</v>
      </c>
      <c r="AF29" s="18" t="s">
        <v>424</v>
      </c>
      <c r="AG29"/>
      <c r="AH29"/>
      <c r="AI29"/>
      <c r="AJ29" s="17" t="s">
        <v>136</v>
      </c>
      <c r="AK29"/>
      <c r="AL29" s="17">
        <v>3639</v>
      </c>
      <c r="AM29" s="17" t="s">
        <v>52</v>
      </c>
      <c r="AN29"/>
      <c r="AO29" s="18" t="s">
        <v>472</v>
      </c>
      <c r="AP29"/>
      <c r="AQ29"/>
      <c r="AR29" s="18" t="s">
        <v>507</v>
      </c>
      <c r="AS29" s="18" t="s">
        <v>613</v>
      </c>
      <c r="AT29" s="18" t="s">
        <v>613</v>
      </c>
      <c r="AU29" s="18" t="s">
        <v>614</v>
      </c>
      <c r="AV29" s="18" t="s">
        <v>614</v>
      </c>
      <c r="AW29" s="22">
        <f t="shared" si="0"/>
        <v>45</v>
      </c>
      <c r="AX29" s="18" t="s">
        <v>812</v>
      </c>
      <c r="AY29" s="18" t="s">
        <v>813</v>
      </c>
      <c r="AZ29" s="18" t="s">
        <v>805</v>
      </c>
      <c r="BA29" s="18"/>
      <c r="BB29" s="18"/>
      <c r="BC29" s="22" t="s">
        <v>814</v>
      </c>
      <c r="BD29" s="18"/>
      <c r="BE29" s="18"/>
      <c r="BF29" s="18"/>
      <c r="BG29" s="18"/>
      <c r="BH29" s="18" t="s">
        <v>815</v>
      </c>
      <c r="BI29" s="18"/>
      <c r="BJ29" s="18"/>
      <c r="BK29" s="18"/>
      <c r="BL29" s="18" t="s">
        <v>736</v>
      </c>
      <c r="BM29" s="18" t="s">
        <v>808</v>
      </c>
      <c r="BN29" s="18" t="s">
        <v>737</v>
      </c>
      <c r="BO29" s="18"/>
      <c r="BP29" s="18"/>
      <c r="BQ29" s="18" t="s">
        <v>816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955</v>
      </c>
    </row>
    <row r="30" spans="1:110" ht="12" customHeight="1" x14ac:dyDescent="0.25">
      <c r="A30" s="15" t="s">
        <v>242</v>
      </c>
      <c r="B30" s="15" t="s">
        <v>2</v>
      </c>
      <c r="C30" s="15" t="s">
        <v>125</v>
      </c>
      <c r="D30" t="s">
        <v>319</v>
      </c>
      <c r="E30" s="18" t="s">
        <v>324</v>
      </c>
      <c r="F30" t="s">
        <v>319</v>
      </c>
      <c r="G30" s="18" t="s">
        <v>325</v>
      </c>
      <c r="H30" s="16" t="s">
        <v>47</v>
      </c>
      <c r="I30"/>
      <c r="J30"/>
      <c r="K30"/>
      <c r="L30"/>
      <c r="M30"/>
      <c r="N30"/>
      <c r="O30"/>
      <c r="P30"/>
      <c r="Q30"/>
      <c r="R30"/>
      <c r="S30"/>
      <c r="T30"/>
      <c r="U30">
        <v>353</v>
      </c>
      <c r="V30" s="17">
        <v>169</v>
      </c>
      <c r="W30" t="s">
        <v>69</v>
      </c>
      <c r="X30" t="s">
        <v>69</v>
      </c>
      <c r="Y30" s="19" t="s">
        <v>326</v>
      </c>
      <c r="Z30" t="s">
        <v>68</v>
      </c>
      <c r="AA30" t="s">
        <v>68</v>
      </c>
      <c r="AB30" s="18" t="s">
        <v>355</v>
      </c>
      <c r="AC30" s="18" t="s">
        <v>396</v>
      </c>
      <c r="AD30" s="18" t="s">
        <v>355</v>
      </c>
      <c r="AE30" s="20" t="s">
        <v>68</v>
      </c>
      <c r="AF30" s="18" t="s">
        <v>425</v>
      </c>
      <c r="AG30"/>
      <c r="AH30"/>
      <c r="AI30"/>
      <c r="AJ30" s="17" t="s">
        <v>277</v>
      </c>
      <c r="AK30"/>
      <c r="AL30" s="17">
        <v>3639</v>
      </c>
      <c r="AM30" s="17" t="s">
        <v>110</v>
      </c>
      <c r="AN30"/>
      <c r="AO30" s="18" t="s">
        <v>472</v>
      </c>
      <c r="AP30"/>
      <c r="AQ30"/>
      <c r="AR30" s="18" t="s">
        <v>508</v>
      </c>
      <c r="AS30" s="18" t="s">
        <v>615</v>
      </c>
      <c r="AT30" s="18" t="s">
        <v>615</v>
      </c>
      <c r="AU30" s="18" t="s">
        <v>616</v>
      </c>
      <c r="AV30" s="18" t="s">
        <v>616</v>
      </c>
      <c r="AW30" s="22">
        <f t="shared" si="0"/>
        <v>45</v>
      </c>
      <c r="AX30" s="18" t="s">
        <v>812</v>
      </c>
      <c r="AY30" s="18" t="s">
        <v>813</v>
      </c>
      <c r="AZ30" s="18" t="s">
        <v>810</v>
      </c>
      <c r="BA30" s="18"/>
      <c r="BB30" s="18"/>
      <c r="BC30" s="22" t="s">
        <v>814</v>
      </c>
      <c r="BD30" s="18"/>
      <c r="BE30" s="18"/>
      <c r="BF30" s="18"/>
      <c r="BG30" s="18"/>
      <c r="BH30" s="18" t="s">
        <v>815</v>
      </c>
      <c r="BI30" s="18"/>
      <c r="BJ30" s="18"/>
      <c r="BK30" s="18"/>
      <c r="BL30" s="18" t="s">
        <v>736</v>
      </c>
      <c r="BM30" s="18" t="s">
        <v>808</v>
      </c>
      <c r="BN30" s="18" t="s">
        <v>737</v>
      </c>
      <c r="BO30" s="18"/>
      <c r="BP30" s="18"/>
      <c r="BQ30" s="18" t="s">
        <v>817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955</v>
      </c>
    </row>
    <row r="31" spans="1:110" ht="12" customHeight="1" x14ac:dyDescent="0.25">
      <c r="A31" s="15" t="s">
        <v>242</v>
      </c>
      <c r="B31" s="15" t="s">
        <v>2</v>
      </c>
      <c r="C31" s="15" t="s">
        <v>125</v>
      </c>
      <c r="D31" t="s">
        <v>319</v>
      </c>
      <c r="E31" s="18" t="s">
        <v>324</v>
      </c>
      <c r="F31" t="s">
        <v>319</v>
      </c>
      <c r="G31" s="18" t="s">
        <v>325</v>
      </c>
      <c r="H31" s="16" t="s">
        <v>47</v>
      </c>
      <c r="I31"/>
      <c r="J31"/>
      <c r="K31"/>
      <c r="L31"/>
      <c r="M31"/>
      <c r="N31"/>
      <c r="O31"/>
      <c r="P31"/>
      <c r="Q31"/>
      <c r="R31"/>
      <c r="S31"/>
      <c r="T31"/>
      <c r="U31">
        <v>354</v>
      </c>
      <c r="V31" s="17">
        <v>170</v>
      </c>
      <c r="W31" t="s">
        <v>69</v>
      </c>
      <c r="X31" t="s">
        <v>69</v>
      </c>
      <c r="Y31" s="19" t="s">
        <v>326</v>
      </c>
      <c r="Z31" t="s">
        <v>116</v>
      </c>
      <c r="AA31" t="s">
        <v>116</v>
      </c>
      <c r="AB31" s="18" t="s">
        <v>356</v>
      </c>
      <c r="AC31" s="18" t="s">
        <v>396</v>
      </c>
      <c r="AD31" s="18" t="s">
        <v>356</v>
      </c>
      <c r="AE31" s="20" t="s">
        <v>116</v>
      </c>
      <c r="AF31" s="18" t="s">
        <v>426</v>
      </c>
      <c r="AG31"/>
      <c r="AH31"/>
      <c r="AI31"/>
      <c r="AJ31" s="17" t="s">
        <v>284</v>
      </c>
      <c r="AK31"/>
      <c r="AL31" s="17">
        <v>3639</v>
      </c>
      <c r="AM31" s="17" t="s">
        <v>267</v>
      </c>
      <c r="AN31"/>
      <c r="AO31" s="18" t="s">
        <v>467</v>
      </c>
      <c r="AP31"/>
      <c r="AQ31"/>
      <c r="AR31" s="18" t="s">
        <v>509</v>
      </c>
      <c r="AS31" s="18" t="s">
        <v>617</v>
      </c>
      <c r="AT31" s="18" t="s">
        <v>617</v>
      </c>
      <c r="AU31" s="18" t="s">
        <v>618</v>
      </c>
      <c r="AV31" s="18" t="s">
        <v>618</v>
      </c>
      <c r="AW31" s="22">
        <f t="shared" si="0"/>
        <v>44</v>
      </c>
      <c r="AX31" s="18" t="s">
        <v>762</v>
      </c>
      <c r="AY31" s="18" t="s">
        <v>719</v>
      </c>
      <c r="AZ31" s="18"/>
      <c r="BA31" s="18" t="s">
        <v>818</v>
      </c>
      <c r="BB31" s="18"/>
      <c r="BC31" s="18" t="s">
        <v>819</v>
      </c>
      <c r="BD31" s="18"/>
      <c r="BE31" s="18"/>
      <c r="BF31" s="18"/>
      <c r="BG31" s="18"/>
      <c r="BH31" s="22" t="s">
        <v>820</v>
      </c>
      <c r="BI31" s="18"/>
      <c r="BJ31" s="18"/>
      <c r="BK31" s="18"/>
      <c r="BL31" s="18"/>
      <c r="BM31" s="18"/>
      <c r="BN31" s="18"/>
      <c r="BO31" s="18"/>
      <c r="BP31" s="18" t="s">
        <v>724</v>
      </c>
      <c r="BQ31" s="18" t="s">
        <v>821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955</v>
      </c>
    </row>
    <row r="32" spans="1:110" ht="12" customHeight="1" x14ac:dyDescent="0.25">
      <c r="A32" s="15" t="s">
        <v>242</v>
      </c>
      <c r="B32" s="15" t="s">
        <v>2</v>
      </c>
      <c r="C32" s="15" t="s">
        <v>125</v>
      </c>
      <c r="D32" t="s">
        <v>319</v>
      </c>
      <c r="E32" s="18" t="s">
        <v>324</v>
      </c>
      <c r="F32" t="s">
        <v>319</v>
      </c>
      <c r="G32" s="18" t="s">
        <v>325</v>
      </c>
      <c r="H32" s="16" t="s">
        <v>47</v>
      </c>
      <c r="I32"/>
      <c r="J32"/>
      <c r="K32"/>
      <c r="L32"/>
      <c r="M32"/>
      <c r="N32"/>
      <c r="O32"/>
      <c r="P32"/>
      <c r="Q32"/>
      <c r="R32"/>
      <c r="S32"/>
      <c r="T32"/>
      <c r="U32">
        <v>355</v>
      </c>
      <c r="V32" s="17">
        <v>171</v>
      </c>
      <c r="W32" t="s">
        <v>69</v>
      </c>
      <c r="X32" t="s">
        <v>69</v>
      </c>
      <c r="Y32" s="19" t="s">
        <v>326</v>
      </c>
      <c r="Z32" t="s">
        <v>198</v>
      </c>
      <c r="AA32" t="s">
        <v>198</v>
      </c>
      <c r="AB32" s="18" t="s">
        <v>357</v>
      </c>
      <c r="AC32" s="18" t="s">
        <v>396</v>
      </c>
      <c r="AD32" s="18" t="s">
        <v>357</v>
      </c>
      <c r="AE32" s="20" t="s">
        <v>198</v>
      </c>
      <c r="AF32" s="18" t="s">
        <v>427</v>
      </c>
      <c r="AG32"/>
      <c r="AH32"/>
      <c r="AI32"/>
      <c r="AJ32" s="17" t="s">
        <v>247</v>
      </c>
      <c r="AK32"/>
      <c r="AL32" s="17">
        <v>3639</v>
      </c>
      <c r="AM32" s="17" t="s">
        <v>92</v>
      </c>
      <c r="AN32"/>
      <c r="AO32" s="18" t="s">
        <v>466</v>
      </c>
      <c r="AP32"/>
      <c r="AQ32"/>
      <c r="AR32" s="18" t="s">
        <v>510</v>
      </c>
      <c r="AS32" s="18" t="s">
        <v>619</v>
      </c>
      <c r="AT32" s="18" t="s">
        <v>619</v>
      </c>
      <c r="AU32" s="18" t="s">
        <v>620</v>
      </c>
      <c r="AV32" s="18" t="s">
        <v>620</v>
      </c>
      <c r="AW32" s="22">
        <f t="shared" si="0"/>
        <v>39</v>
      </c>
      <c r="AX32" s="18" t="s">
        <v>718</v>
      </c>
      <c r="AY32" s="18" t="s">
        <v>719</v>
      </c>
      <c r="AZ32" s="18"/>
      <c r="BA32" s="18" t="s">
        <v>720</v>
      </c>
      <c r="BB32" s="18"/>
      <c r="BC32" s="18" t="s">
        <v>819</v>
      </c>
      <c r="BD32" s="18"/>
      <c r="BE32" s="18"/>
      <c r="BF32" s="18"/>
      <c r="BG32" s="18"/>
      <c r="BH32" s="22" t="s">
        <v>822</v>
      </c>
      <c r="BI32" s="18"/>
      <c r="BJ32" s="18"/>
      <c r="BK32" s="18"/>
      <c r="BL32" s="18"/>
      <c r="BM32" s="18"/>
      <c r="BN32" s="18"/>
      <c r="BO32" s="18"/>
      <c r="BP32" s="18" t="s">
        <v>724</v>
      </c>
      <c r="BQ32" s="18" t="s">
        <v>823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955</v>
      </c>
    </row>
    <row r="33" spans="1:110" ht="12" customHeight="1" x14ac:dyDescent="0.25">
      <c r="A33" s="15" t="s">
        <v>242</v>
      </c>
      <c r="B33" s="15" t="s">
        <v>2</v>
      </c>
      <c r="C33" s="15" t="s">
        <v>125</v>
      </c>
      <c r="D33" t="s">
        <v>319</v>
      </c>
      <c r="E33" s="18" t="s">
        <v>324</v>
      </c>
      <c r="F33" t="s">
        <v>319</v>
      </c>
      <c r="G33" s="18" t="s">
        <v>325</v>
      </c>
      <c r="H33" s="16" t="s">
        <v>47</v>
      </c>
      <c r="I33"/>
      <c r="J33"/>
      <c r="K33"/>
      <c r="L33"/>
      <c r="M33"/>
      <c r="N33"/>
      <c r="O33"/>
      <c r="P33"/>
      <c r="Q33"/>
      <c r="R33"/>
      <c r="S33"/>
      <c r="T33"/>
      <c r="U33">
        <v>356</v>
      </c>
      <c r="V33" s="17">
        <v>172</v>
      </c>
      <c r="W33" t="s">
        <v>69</v>
      </c>
      <c r="X33" t="s">
        <v>69</v>
      </c>
      <c r="Y33" s="19" t="s">
        <v>326</v>
      </c>
      <c r="Z33" t="s">
        <v>230</v>
      </c>
      <c r="AA33" t="s">
        <v>230</v>
      </c>
      <c r="AB33" s="18" t="s">
        <v>358</v>
      </c>
      <c r="AC33" s="18" t="s">
        <v>396</v>
      </c>
      <c r="AD33" s="18" t="s">
        <v>358</v>
      </c>
      <c r="AE33" s="20" t="s">
        <v>230</v>
      </c>
      <c r="AF33" s="18" t="s">
        <v>428</v>
      </c>
      <c r="AG33"/>
      <c r="AH33"/>
      <c r="AI33"/>
      <c r="AJ33" s="17" t="s">
        <v>62</v>
      </c>
      <c r="AK33"/>
      <c r="AL33" s="17">
        <v>3639</v>
      </c>
      <c r="AM33" s="17" t="s">
        <v>89</v>
      </c>
      <c r="AN33"/>
      <c r="AO33" s="18" t="s">
        <v>467</v>
      </c>
      <c r="AP33"/>
      <c r="AQ33"/>
      <c r="AR33" s="18" t="s">
        <v>511</v>
      </c>
      <c r="AS33" s="18" t="s">
        <v>621</v>
      </c>
      <c r="AT33" s="18" t="s">
        <v>621</v>
      </c>
      <c r="AU33" s="18" t="s">
        <v>622</v>
      </c>
      <c r="AV33" s="18" t="s">
        <v>622</v>
      </c>
      <c r="AW33" s="22">
        <f t="shared" si="0"/>
        <v>42</v>
      </c>
      <c r="AX33" s="18" t="s">
        <v>762</v>
      </c>
      <c r="AY33" s="18" t="s">
        <v>719</v>
      </c>
      <c r="AZ33" s="18"/>
      <c r="BA33" s="18" t="s">
        <v>818</v>
      </c>
      <c r="BB33" s="18"/>
      <c r="BC33" s="22" t="s">
        <v>824</v>
      </c>
      <c r="BD33" s="18"/>
      <c r="BE33" s="18"/>
      <c r="BF33" s="18"/>
      <c r="BG33" s="18"/>
      <c r="BH33" s="22" t="s">
        <v>820</v>
      </c>
      <c r="BI33" s="18"/>
      <c r="BJ33" s="18"/>
      <c r="BK33" s="18"/>
      <c r="BL33" s="18"/>
      <c r="BM33" s="18"/>
      <c r="BN33" s="18"/>
      <c r="BO33" s="18"/>
      <c r="BP33" s="18" t="s">
        <v>724</v>
      </c>
      <c r="BQ33" s="18" t="s">
        <v>825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955</v>
      </c>
    </row>
    <row r="34" spans="1:110" ht="12" customHeight="1" x14ac:dyDescent="0.25">
      <c r="A34" s="15" t="s">
        <v>242</v>
      </c>
      <c r="B34" s="15" t="s">
        <v>2</v>
      </c>
      <c r="C34" s="15" t="s">
        <v>125</v>
      </c>
      <c r="D34" t="s">
        <v>319</v>
      </c>
      <c r="E34" s="18" t="s">
        <v>324</v>
      </c>
      <c r="F34" t="s">
        <v>319</v>
      </c>
      <c r="G34" s="18" t="s">
        <v>325</v>
      </c>
      <c r="H34" s="16" t="s">
        <v>47</v>
      </c>
      <c r="I34"/>
      <c r="J34"/>
      <c r="K34"/>
      <c r="L34"/>
      <c r="M34"/>
      <c r="N34"/>
      <c r="O34"/>
      <c r="P34"/>
      <c r="Q34"/>
      <c r="R34"/>
      <c r="S34"/>
      <c r="T34"/>
      <c r="U34">
        <v>357</v>
      </c>
      <c r="V34" s="17">
        <v>173</v>
      </c>
      <c r="W34" t="s">
        <v>69</v>
      </c>
      <c r="X34" t="s">
        <v>69</v>
      </c>
      <c r="Y34" s="19" t="s">
        <v>326</v>
      </c>
      <c r="Z34" t="s">
        <v>199</v>
      </c>
      <c r="AA34" t="s">
        <v>199</v>
      </c>
      <c r="AB34" s="18" t="s">
        <v>359</v>
      </c>
      <c r="AC34" s="18" t="s">
        <v>396</v>
      </c>
      <c r="AD34" s="18" t="s">
        <v>359</v>
      </c>
      <c r="AE34" s="20" t="s">
        <v>199</v>
      </c>
      <c r="AF34" s="18" t="s">
        <v>429</v>
      </c>
      <c r="AG34"/>
      <c r="AH34"/>
      <c r="AI34"/>
      <c r="AJ34" s="17" t="s">
        <v>256</v>
      </c>
      <c r="AK34"/>
      <c r="AL34" s="17">
        <v>3639</v>
      </c>
      <c r="AM34" s="17" t="s">
        <v>5</v>
      </c>
      <c r="AN34"/>
      <c r="AO34" s="18" t="s">
        <v>466</v>
      </c>
      <c r="AP34"/>
      <c r="AQ34"/>
      <c r="AR34" s="18" t="s">
        <v>512</v>
      </c>
      <c r="AS34" s="18" t="s">
        <v>623</v>
      </c>
      <c r="AT34" s="18" t="s">
        <v>623</v>
      </c>
      <c r="AU34" s="18" t="s">
        <v>624</v>
      </c>
      <c r="AV34" s="18" t="s">
        <v>624</v>
      </c>
      <c r="AW34" s="22">
        <f t="shared" si="0"/>
        <v>37</v>
      </c>
      <c r="AX34" s="18" t="s">
        <v>718</v>
      </c>
      <c r="AY34" s="18" t="s">
        <v>719</v>
      </c>
      <c r="AZ34" s="18"/>
      <c r="BA34" s="18" t="s">
        <v>720</v>
      </c>
      <c r="BB34" s="18"/>
      <c r="BC34" s="22" t="s">
        <v>824</v>
      </c>
      <c r="BD34" s="18"/>
      <c r="BE34" s="18"/>
      <c r="BF34" s="18"/>
      <c r="BG34" s="18"/>
      <c r="BH34" s="22" t="s">
        <v>822</v>
      </c>
      <c r="BI34" s="18"/>
      <c r="BJ34" s="18"/>
      <c r="BK34" s="18"/>
      <c r="BL34" s="18"/>
      <c r="BM34" s="18"/>
      <c r="BN34" s="18"/>
      <c r="BO34" s="18"/>
      <c r="BP34" s="18" t="s">
        <v>724</v>
      </c>
      <c r="BQ34" s="18" t="s">
        <v>826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955</v>
      </c>
    </row>
    <row r="35" spans="1:110" ht="12" customHeight="1" x14ac:dyDescent="0.25">
      <c r="A35" s="15" t="s">
        <v>242</v>
      </c>
      <c r="B35" s="15" t="s">
        <v>2</v>
      </c>
      <c r="C35" s="15" t="s">
        <v>125</v>
      </c>
      <c r="D35" t="s">
        <v>319</v>
      </c>
      <c r="E35" s="18" t="s">
        <v>324</v>
      </c>
      <c r="F35" t="s">
        <v>319</v>
      </c>
      <c r="G35" s="18" t="s">
        <v>325</v>
      </c>
      <c r="H35" s="16" t="s">
        <v>47</v>
      </c>
      <c r="I35"/>
      <c r="J35"/>
      <c r="K35"/>
      <c r="L35"/>
      <c r="M35"/>
      <c r="N35"/>
      <c r="O35"/>
      <c r="P35"/>
      <c r="Q35"/>
      <c r="R35"/>
      <c r="S35"/>
      <c r="T35"/>
      <c r="U35">
        <v>358</v>
      </c>
      <c r="V35" s="17">
        <v>174</v>
      </c>
      <c r="W35" t="s">
        <v>69</v>
      </c>
      <c r="X35" t="s">
        <v>69</v>
      </c>
      <c r="Y35" s="19" t="s">
        <v>326</v>
      </c>
      <c r="Z35" t="s">
        <v>263</v>
      </c>
      <c r="AA35" t="s">
        <v>263</v>
      </c>
      <c r="AB35" s="18" t="s">
        <v>360</v>
      </c>
      <c r="AC35" s="18" t="s">
        <v>396</v>
      </c>
      <c r="AD35" s="18" t="s">
        <v>360</v>
      </c>
      <c r="AE35" s="20" t="s">
        <v>263</v>
      </c>
      <c r="AF35" s="18" t="s">
        <v>430</v>
      </c>
      <c r="AG35"/>
      <c r="AH35"/>
      <c r="AI35"/>
      <c r="AJ35" s="17" t="s">
        <v>3</v>
      </c>
      <c r="AK35"/>
      <c r="AL35" s="17">
        <v>3639</v>
      </c>
      <c r="AM35" s="17" t="s">
        <v>76</v>
      </c>
      <c r="AN35"/>
      <c r="AO35" s="18" t="s">
        <v>466</v>
      </c>
      <c r="AP35"/>
      <c r="AQ35"/>
      <c r="AR35" s="18" t="s">
        <v>513</v>
      </c>
      <c r="AS35" s="18" t="s">
        <v>625</v>
      </c>
      <c r="AT35" s="18" t="s">
        <v>625</v>
      </c>
      <c r="AU35" s="18" t="s">
        <v>626</v>
      </c>
      <c r="AV35" s="18" t="s">
        <v>627</v>
      </c>
      <c r="AW35" s="22">
        <f t="shared" si="0"/>
        <v>57</v>
      </c>
      <c r="AX35" s="18" t="s">
        <v>718</v>
      </c>
      <c r="AY35" s="18" t="s">
        <v>719</v>
      </c>
      <c r="AZ35" s="18" t="s">
        <v>827</v>
      </c>
      <c r="BA35" s="18" t="s">
        <v>732</v>
      </c>
      <c r="BB35" s="18"/>
      <c r="BC35" s="22" t="s">
        <v>824</v>
      </c>
      <c r="BD35" s="18"/>
      <c r="BE35" s="18"/>
      <c r="BF35" s="18"/>
      <c r="BG35" s="18"/>
      <c r="BH35" s="22" t="s">
        <v>828</v>
      </c>
      <c r="BI35" s="18"/>
      <c r="BJ35" s="18"/>
      <c r="BK35" s="18" t="s">
        <v>829</v>
      </c>
      <c r="BL35" s="18" t="s">
        <v>736</v>
      </c>
      <c r="BM35" s="18"/>
      <c r="BN35" s="18" t="s">
        <v>737</v>
      </c>
      <c r="BO35" s="18"/>
      <c r="BP35" s="18" t="s">
        <v>724</v>
      </c>
      <c r="BQ35" s="18" t="s">
        <v>830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955</v>
      </c>
    </row>
    <row r="36" spans="1:110" ht="12" customHeight="1" x14ac:dyDescent="0.25">
      <c r="A36" s="15" t="s">
        <v>242</v>
      </c>
      <c r="B36" s="15" t="s">
        <v>2</v>
      </c>
      <c r="C36" s="15" t="s">
        <v>125</v>
      </c>
      <c r="D36" t="s">
        <v>319</v>
      </c>
      <c r="E36" s="18" t="s">
        <v>324</v>
      </c>
      <c r="F36" t="s">
        <v>319</v>
      </c>
      <c r="G36" s="18" t="s">
        <v>325</v>
      </c>
      <c r="H36" s="16" t="s">
        <v>47</v>
      </c>
      <c r="I36"/>
      <c r="J36"/>
      <c r="K36"/>
      <c r="L36"/>
      <c r="M36"/>
      <c r="N36"/>
      <c r="O36"/>
      <c r="P36"/>
      <c r="Q36"/>
      <c r="R36"/>
      <c r="S36"/>
      <c r="T36"/>
      <c r="U36">
        <v>359</v>
      </c>
      <c r="V36" s="17">
        <v>175</v>
      </c>
      <c r="W36" t="s">
        <v>69</v>
      </c>
      <c r="X36" t="s">
        <v>69</v>
      </c>
      <c r="Y36" s="19" t="s">
        <v>326</v>
      </c>
      <c r="Z36" t="s">
        <v>87</v>
      </c>
      <c r="AA36" t="s">
        <v>87</v>
      </c>
      <c r="AB36" s="18" t="s">
        <v>361</v>
      </c>
      <c r="AC36" s="18" t="s">
        <v>396</v>
      </c>
      <c r="AD36" s="18" t="s">
        <v>361</v>
      </c>
      <c r="AE36" s="20" t="s">
        <v>87</v>
      </c>
      <c r="AF36" s="18" t="s">
        <v>431</v>
      </c>
      <c r="AG36"/>
      <c r="AH36"/>
      <c r="AI36"/>
      <c r="AJ36" s="17" t="s">
        <v>310</v>
      </c>
      <c r="AK36"/>
      <c r="AL36" s="17">
        <v>3639</v>
      </c>
      <c r="AM36" s="17" t="s">
        <v>147</v>
      </c>
      <c r="AN36"/>
      <c r="AO36" s="18" t="s">
        <v>466</v>
      </c>
      <c r="AP36"/>
      <c r="AQ36"/>
      <c r="AR36" s="18" t="s">
        <v>514</v>
      </c>
      <c r="AS36" s="18" t="s">
        <v>628</v>
      </c>
      <c r="AT36" s="18" t="s">
        <v>628</v>
      </c>
      <c r="AU36" s="18" t="s">
        <v>629</v>
      </c>
      <c r="AV36" s="18" t="s">
        <v>630</v>
      </c>
      <c r="AW36" s="22">
        <f t="shared" si="0"/>
        <v>57</v>
      </c>
      <c r="AX36" s="18" t="s">
        <v>718</v>
      </c>
      <c r="AY36" s="18" t="s">
        <v>719</v>
      </c>
      <c r="AZ36" s="18" t="s">
        <v>827</v>
      </c>
      <c r="BA36" s="18" t="s">
        <v>831</v>
      </c>
      <c r="BB36" s="18"/>
      <c r="BC36" s="22" t="s">
        <v>824</v>
      </c>
      <c r="BD36" s="18"/>
      <c r="BE36" s="18"/>
      <c r="BF36" s="18"/>
      <c r="BG36" s="18"/>
      <c r="BH36" s="22" t="s">
        <v>828</v>
      </c>
      <c r="BI36" s="18"/>
      <c r="BJ36" s="18"/>
      <c r="BK36" s="18" t="s">
        <v>829</v>
      </c>
      <c r="BL36" s="18" t="s">
        <v>736</v>
      </c>
      <c r="BM36" s="18"/>
      <c r="BN36" s="18" t="s">
        <v>737</v>
      </c>
      <c r="BO36" s="18"/>
      <c r="BP36" s="18" t="s">
        <v>724</v>
      </c>
      <c r="BQ36" s="18" t="s">
        <v>832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955</v>
      </c>
    </row>
    <row r="37" spans="1:110" ht="12" customHeight="1" x14ac:dyDescent="0.25">
      <c r="A37" s="15" t="s">
        <v>242</v>
      </c>
      <c r="B37" s="15" t="s">
        <v>2</v>
      </c>
      <c r="C37" s="15" t="s">
        <v>125</v>
      </c>
      <c r="D37" t="s">
        <v>319</v>
      </c>
      <c r="E37" s="18" t="s">
        <v>324</v>
      </c>
      <c r="F37" t="s">
        <v>319</v>
      </c>
      <c r="G37" s="18" t="s">
        <v>325</v>
      </c>
      <c r="H37" s="16" t="s">
        <v>47</v>
      </c>
      <c r="I37"/>
      <c r="J37"/>
      <c r="K37"/>
      <c r="L37"/>
      <c r="M37"/>
      <c r="N37"/>
      <c r="O37"/>
      <c r="P37"/>
      <c r="Q37"/>
      <c r="R37"/>
      <c r="S37"/>
      <c r="T37"/>
      <c r="U37">
        <v>371</v>
      </c>
      <c r="V37" s="17">
        <v>187</v>
      </c>
      <c r="W37" t="s">
        <v>69</v>
      </c>
      <c r="X37" t="s">
        <v>69</v>
      </c>
      <c r="Y37" s="19" t="s">
        <v>326</v>
      </c>
      <c r="Z37" t="s">
        <v>240</v>
      </c>
      <c r="AA37" t="s">
        <v>240</v>
      </c>
      <c r="AB37" s="18" t="s">
        <v>362</v>
      </c>
      <c r="AC37" s="18" t="s">
        <v>396</v>
      </c>
      <c r="AD37" s="18" t="s">
        <v>362</v>
      </c>
      <c r="AE37" s="20" t="s">
        <v>240</v>
      </c>
      <c r="AF37" s="18" t="s">
        <v>432</v>
      </c>
      <c r="AG37"/>
      <c r="AH37"/>
      <c r="AI37"/>
      <c r="AJ37" s="17" t="s">
        <v>43</v>
      </c>
      <c r="AK37"/>
      <c r="AL37" s="17">
        <v>3639</v>
      </c>
      <c r="AM37" s="17" t="s">
        <v>292</v>
      </c>
      <c r="AN37"/>
      <c r="AO37" s="18" t="s">
        <v>473</v>
      </c>
      <c r="AP37"/>
      <c r="AQ37"/>
      <c r="AR37" s="18" t="s">
        <v>515</v>
      </c>
      <c r="AS37" s="18" t="s">
        <v>631</v>
      </c>
      <c r="AT37" s="18" t="s">
        <v>631</v>
      </c>
      <c r="AU37" s="18" t="s">
        <v>632</v>
      </c>
      <c r="AV37" s="18" t="s">
        <v>632</v>
      </c>
      <c r="AW37" s="22">
        <f t="shared" si="0"/>
        <v>36</v>
      </c>
      <c r="AX37" s="18" t="s">
        <v>833</v>
      </c>
      <c r="AY37" s="18" t="s">
        <v>834</v>
      </c>
      <c r="AZ37" s="18"/>
      <c r="BA37" s="18"/>
      <c r="BB37" s="18"/>
      <c r="BC37" s="22" t="s">
        <v>835</v>
      </c>
      <c r="BD37" s="18"/>
      <c r="BE37" s="18"/>
      <c r="BF37" s="18"/>
      <c r="BG37" s="18"/>
      <c r="BH37" s="22" t="s">
        <v>836</v>
      </c>
      <c r="BI37" s="18"/>
      <c r="BJ37" s="18"/>
      <c r="BK37" s="18"/>
      <c r="BL37" s="18"/>
      <c r="BM37" s="18"/>
      <c r="BN37" s="18"/>
      <c r="BO37" s="18"/>
      <c r="BP37" s="18" t="s">
        <v>724</v>
      </c>
      <c r="BQ37" s="18" t="s">
        <v>837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955</v>
      </c>
    </row>
    <row r="38" spans="1:110" ht="12" customHeight="1" x14ac:dyDescent="0.25">
      <c r="A38" s="15" t="s">
        <v>242</v>
      </c>
      <c r="B38" s="15" t="s">
        <v>2</v>
      </c>
      <c r="C38" s="15" t="s">
        <v>125</v>
      </c>
      <c r="D38" t="s">
        <v>319</v>
      </c>
      <c r="E38" s="18" t="s">
        <v>324</v>
      </c>
      <c r="F38" t="s">
        <v>319</v>
      </c>
      <c r="G38" s="18" t="s">
        <v>325</v>
      </c>
      <c r="H38" s="16" t="s">
        <v>47</v>
      </c>
      <c r="I38"/>
      <c r="J38"/>
      <c r="K38"/>
      <c r="L38"/>
      <c r="M38"/>
      <c r="N38"/>
      <c r="O38"/>
      <c r="P38"/>
      <c r="Q38"/>
      <c r="R38"/>
      <c r="S38"/>
      <c r="T38"/>
      <c r="U38">
        <v>373</v>
      </c>
      <c r="V38" s="17">
        <v>189</v>
      </c>
      <c r="W38" t="s">
        <v>69</v>
      </c>
      <c r="X38" t="s">
        <v>69</v>
      </c>
      <c r="Y38" s="19" t="s">
        <v>326</v>
      </c>
      <c r="Z38" t="s">
        <v>115</v>
      </c>
      <c r="AA38" t="s">
        <v>115</v>
      </c>
      <c r="AB38" s="18" t="s">
        <v>363</v>
      </c>
      <c r="AC38" s="18" t="s">
        <v>396</v>
      </c>
      <c r="AD38" s="18" t="s">
        <v>363</v>
      </c>
      <c r="AE38" s="20" t="s">
        <v>115</v>
      </c>
      <c r="AF38" s="18" t="s">
        <v>433</v>
      </c>
      <c r="AG38"/>
      <c r="AH38"/>
      <c r="AI38"/>
      <c r="AJ38" s="17" t="s">
        <v>224</v>
      </c>
      <c r="AK38"/>
      <c r="AL38" s="17">
        <v>3639</v>
      </c>
      <c r="AM38" s="17" t="s">
        <v>112</v>
      </c>
      <c r="AN38"/>
      <c r="AO38" s="18" t="s">
        <v>474</v>
      </c>
      <c r="AP38"/>
      <c r="AQ38"/>
      <c r="AR38" s="18" t="s">
        <v>516</v>
      </c>
      <c r="AS38" s="18" t="s">
        <v>633</v>
      </c>
      <c r="AT38" s="18" t="s">
        <v>633</v>
      </c>
      <c r="AU38" s="18" t="s">
        <v>634</v>
      </c>
      <c r="AV38" s="18" t="s">
        <v>634</v>
      </c>
      <c r="AW38" s="22">
        <f t="shared" si="0"/>
        <v>60</v>
      </c>
      <c r="AX38" s="18" t="s">
        <v>813</v>
      </c>
      <c r="AY38" s="18" t="s">
        <v>834</v>
      </c>
      <c r="AZ38" s="18" t="s">
        <v>838</v>
      </c>
      <c r="BA38" s="18"/>
      <c r="BB38" s="18"/>
      <c r="BC38" s="18" t="s">
        <v>839</v>
      </c>
      <c r="BD38" s="18" t="s">
        <v>840</v>
      </c>
      <c r="BE38" s="18"/>
      <c r="BF38" s="18"/>
      <c r="BG38" s="18"/>
      <c r="BH38" s="22" t="s">
        <v>841</v>
      </c>
      <c r="BI38" s="18"/>
      <c r="BJ38" s="18"/>
      <c r="BK38" s="18"/>
      <c r="BL38" s="18" t="s">
        <v>736</v>
      </c>
      <c r="BM38" s="18"/>
      <c r="BN38" s="18" t="s">
        <v>737</v>
      </c>
      <c r="BO38" s="18"/>
      <c r="BP38" s="18" t="s">
        <v>842</v>
      </c>
      <c r="BQ38" s="18" t="s">
        <v>843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955</v>
      </c>
    </row>
    <row r="39" spans="1:110" ht="12" customHeight="1" x14ac:dyDescent="0.25">
      <c r="A39" s="15" t="s">
        <v>242</v>
      </c>
      <c r="B39" s="15" t="s">
        <v>2</v>
      </c>
      <c r="C39" s="15" t="s">
        <v>125</v>
      </c>
      <c r="D39" t="s">
        <v>319</v>
      </c>
      <c r="E39" s="18" t="s">
        <v>324</v>
      </c>
      <c r="F39" t="s">
        <v>319</v>
      </c>
      <c r="G39" s="18" t="s">
        <v>325</v>
      </c>
      <c r="H39" s="16" t="s">
        <v>47</v>
      </c>
      <c r="I39"/>
      <c r="J39"/>
      <c r="K39"/>
      <c r="L39"/>
      <c r="M39"/>
      <c r="N39"/>
      <c r="O39"/>
      <c r="P39"/>
      <c r="Q39"/>
      <c r="R39"/>
      <c r="S39"/>
      <c r="T39"/>
      <c r="U39">
        <v>375</v>
      </c>
      <c r="V39" s="17">
        <v>191</v>
      </c>
      <c r="W39" t="s">
        <v>69</v>
      </c>
      <c r="X39" t="s">
        <v>69</v>
      </c>
      <c r="Y39" s="19" t="s">
        <v>326</v>
      </c>
      <c r="Z39" t="s">
        <v>57</v>
      </c>
      <c r="AA39" t="s">
        <v>57</v>
      </c>
      <c r="AB39" s="18" t="s">
        <v>364</v>
      </c>
      <c r="AC39" s="18" t="s">
        <v>396</v>
      </c>
      <c r="AD39" s="18" t="s">
        <v>364</v>
      </c>
      <c r="AE39" s="20" t="s">
        <v>57</v>
      </c>
      <c r="AF39" s="18" t="s">
        <v>434</v>
      </c>
      <c r="AG39"/>
      <c r="AH39"/>
      <c r="AI39"/>
      <c r="AJ39" s="17" t="s">
        <v>31</v>
      </c>
      <c r="AK39"/>
      <c r="AL39" s="17">
        <v>3639</v>
      </c>
      <c r="AM39" s="17" t="s">
        <v>90</v>
      </c>
      <c r="AN39"/>
      <c r="AO39" s="18" t="s">
        <v>475</v>
      </c>
      <c r="AP39"/>
      <c r="AQ39"/>
      <c r="AR39" s="18" t="s">
        <v>517</v>
      </c>
      <c r="AS39" s="18" t="s">
        <v>635</v>
      </c>
      <c r="AT39" s="18" t="s">
        <v>635</v>
      </c>
      <c r="AU39" s="18" t="s">
        <v>636</v>
      </c>
      <c r="AV39" s="18" t="s">
        <v>636</v>
      </c>
      <c r="AW39" s="22">
        <f t="shared" si="0"/>
        <v>40</v>
      </c>
      <c r="AX39" s="18" t="s">
        <v>844</v>
      </c>
      <c r="AY39" s="18" t="s">
        <v>834</v>
      </c>
      <c r="AZ39" s="21" t="s">
        <v>845</v>
      </c>
      <c r="BA39" s="18"/>
      <c r="BB39" s="18"/>
      <c r="BC39" s="18" t="s">
        <v>846</v>
      </c>
      <c r="BD39" s="18"/>
      <c r="BE39" s="18"/>
      <c r="BF39" s="18"/>
      <c r="BG39" s="18"/>
      <c r="BH39" s="22"/>
      <c r="BI39" s="18"/>
      <c r="BJ39" s="18"/>
      <c r="BK39" s="18"/>
      <c r="BL39" s="18" t="s">
        <v>736</v>
      </c>
      <c r="BM39" s="18"/>
      <c r="BN39" s="18" t="s">
        <v>737</v>
      </c>
      <c r="BO39" s="18"/>
      <c r="BP39" s="18" t="s">
        <v>847</v>
      </c>
      <c r="BQ39" s="18" t="s">
        <v>848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955</v>
      </c>
    </row>
    <row r="40" spans="1:110" ht="12" customHeight="1" x14ac:dyDescent="0.25">
      <c r="A40" s="15" t="s">
        <v>242</v>
      </c>
      <c r="B40" s="15" t="s">
        <v>2</v>
      </c>
      <c r="C40" s="15" t="s">
        <v>125</v>
      </c>
      <c r="D40" t="s">
        <v>319</v>
      </c>
      <c r="E40" s="18" t="s">
        <v>324</v>
      </c>
      <c r="F40" t="s">
        <v>319</v>
      </c>
      <c r="G40" s="18" t="s">
        <v>325</v>
      </c>
      <c r="H40" s="16" t="s">
        <v>47</v>
      </c>
      <c r="I40"/>
      <c r="J40"/>
      <c r="K40"/>
      <c r="L40"/>
      <c r="M40"/>
      <c r="N40"/>
      <c r="O40"/>
      <c r="P40"/>
      <c r="Q40"/>
      <c r="R40"/>
      <c r="S40"/>
      <c r="T40"/>
      <c r="U40">
        <v>204</v>
      </c>
      <c r="V40" s="17">
        <v>20</v>
      </c>
      <c r="W40" t="s">
        <v>69</v>
      </c>
      <c r="X40" t="s">
        <v>69</v>
      </c>
      <c r="Y40" s="19" t="s">
        <v>326</v>
      </c>
      <c r="Z40" t="s">
        <v>143</v>
      </c>
      <c r="AA40" t="s">
        <v>143</v>
      </c>
      <c r="AB40" s="18" t="s">
        <v>365</v>
      </c>
      <c r="AC40" s="18" t="s">
        <v>396</v>
      </c>
      <c r="AD40" s="18" t="s">
        <v>365</v>
      </c>
      <c r="AE40" s="20" t="s">
        <v>143</v>
      </c>
      <c r="AF40" s="18" t="s">
        <v>435</v>
      </c>
      <c r="AG40"/>
      <c r="AH40"/>
      <c r="AI40"/>
      <c r="AJ40" s="17" t="s">
        <v>317</v>
      </c>
      <c r="AK40"/>
      <c r="AL40" s="17">
        <v>3639</v>
      </c>
      <c r="AM40" s="17" t="s">
        <v>255</v>
      </c>
      <c r="AN40"/>
      <c r="AO40" s="18" t="s">
        <v>467</v>
      </c>
      <c r="AP40"/>
      <c r="AQ40"/>
      <c r="AR40" s="18" t="s">
        <v>518</v>
      </c>
      <c r="AS40" s="18" t="s">
        <v>637</v>
      </c>
      <c r="AT40" s="18" t="s">
        <v>637</v>
      </c>
      <c r="AU40" s="18" t="s">
        <v>638</v>
      </c>
      <c r="AV40" s="18" t="s">
        <v>639</v>
      </c>
      <c r="AW40" s="22">
        <f t="shared" si="0"/>
        <v>58</v>
      </c>
      <c r="AX40" s="18" t="s">
        <v>849</v>
      </c>
      <c r="AY40" s="18"/>
      <c r="AZ40" s="18" t="s">
        <v>850</v>
      </c>
      <c r="BA40" s="18" t="s">
        <v>851</v>
      </c>
      <c r="BB40" s="18"/>
      <c r="BC40" s="22" t="s">
        <v>852</v>
      </c>
      <c r="BD40" s="18"/>
      <c r="BE40" s="18"/>
      <c r="BF40" s="18"/>
      <c r="BG40" s="18"/>
      <c r="BH40" s="22" t="s">
        <v>853</v>
      </c>
      <c r="BI40" s="18"/>
      <c r="BJ40" s="18"/>
      <c r="BK40" s="18"/>
      <c r="BL40" s="18" t="s">
        <v>854</v>
      </c>
      <c r="BM40" s="18" t="s">
        <v>855</v>
      </c>
      <c r="BN40" s="18" t="s">
        <v>737</v>
      </c>
      <c r="BO40" s="18" t="s">
        <v>856</v>
      </c>
      <c r="BP40" s="18" t="s">
        <v>857</v>
      </c>
      <c r="BQ40" s="18" t="s">
        <v>858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955</v>
      </c>
    </row>
    <row r="41" spans="1:110" ht="12" customHeight="1" x14ac:dyDescent="0.25">
      <c r="A41" s="15" t="s">
        <v>242</v>
      </c>
      <c r="B41" s="15" t="s">
        <v>2</v>
      </c>
      <c r="C41" s="15" t="s">
        <v>125</v>
      </c>
      <c r="D41" t="s">
        <v>319</v>
      </c>
      <c r="E41" s="18" t="s">
        <v>324</v>
      </c>
      <c r="F41" t="s">
        <v>319</v>
      </c>
      <c r="G41" s="18" t="s">
        <v>325</v>
      </c>
      <c r="H41" s="16" t="s">
        <v>47</v>
      </c>
      <c r="I41"/>
      <c r="J41"/>
      <c r="K41"/>
      <c r="L41"/>
      <c r="M41"/>
      <c r="N41"/>
      <c r="O41"/>
      <c r="P41"/>
      <c r="Q41"/>
      <c r="R41"/>
      <c r="S41"/>
      <c r="T41"/>
      <c r="U41">
        <v>205</v>
      </c>
      <c r="V41" s="17">
        <v>21</v>
      </c>
      <c r="W41" t="s">
        <v>69</v>
      </c>
      <c r="X41" t="s">
        <v>69</v>
      </c>
      <c r="Y41" s="19" t="s">
        <v>326</v>
      </c>
      <c r="Z41" t="s">
        <v>228</v>
      </c>
      <c r="AA41" t="s">
        <v>228</v>
      </c>
      <c r="AB41" s="18" t="s">
        <v>366</v>
      </c>
      <c r="AC41" s="18" t="s">
        <v>396</v>
      </c>
      <c r="AD41" s="18" t="s">
        <v>366</v>
      </c>
      <c r="AE41" s="20" t="s">
        <v>228</v>
      </c>
      <c r="AF41" s="18" t="s">
        <v>436</v>
      </c>
      <c r="AG41"/>
      <c r="AH41"/>
      <c r="AI41"/>
      <c r="AJ41" s="17" t="s">
        <v>121</v>
      </c>
      <c r="AK41"/>
      <c r="AL41" s="17">
        <v>3639</v>
      </c>
      <c r="AM41" s="17" t="s">
        <v>285</v>
      </c>
      <c r="AN41"/>
      <c r="AO41" s="18" t="s">
        <v>467</v>
      </c>
      <c r="AP41"/>
      <c r="AQ41"/>
      <c r="AR41" s="18" t="s">
        <v>519</v>
      </c>
      <c r="AS41" s="18" t="s">
        <v>640</v>
      </c>
      <c r="AT41" s="18" t="s">
        <v>640</v>
      </c>
      <c r="AU41" s="18" t="s">
        <v>641</v>
      </c>
      <c r="AV41" s="18" t="s">
        <v>642</v>
      </c>
      <c r="AW41" s="22">
        <f t="shared" si="0"/>
        <v>55</v>
      </c>
      <c r="AX41" s="18" t="s">
        <v>849</v>
      </c>
      <c r="AY41" s="18"/>
      <c r="AZ41" s="18" t="s">
        <v>850</v>
      </c>
      <c r="BA41" s="18" t="s">
        <v>859</v>
      </c>
      <c r="BB41" s="18"/>
      <c r="BC41" s="22" t="s">
        <v>860</v>
      </c>
      <c r="BD41" s="18"/>
      <c r="BE41" s="18"/>
      <c r="BF41" s="18"/>
      <c r="BG41" s="18"/>
      <c r="BH41" s="22" t="s">
        <v>853</v>
      </c>
      <c r="BI41" s="18"/>
      <c r="BJ41" s="18"/>
      <c r="BK41" s="18"/>
      <c r="BL41" s="18" t="s">
        <v>854</v>
      </c>
      <c r="BM41" s="18" t="s">
        <v>855</v>
      </c>
      <c r="BN41" s="18" t="s">
        <v>737</v>
      </c>
      <c r="BO41" s="18" t="s">
        <v>856</v>
      </c>
      <c r="BP41" s="18" t="s">
        <v>861</v>
      </c>
      <c r="BQ41" s="18" t="s">
        <v>862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955</v>
      </c>
    </row>
    <row r="42" spans="1:110" ht="12" customHeight="1" x14ac:dyDescent="0.25">
      <c r="A42" s="15" t="s">
        <v>242</v>
      </c>
      <c r="B42" s="15" t="s">
        <v>2</v>
      </c>
      <c r="C42" s="15" t="s">
        <v>125</v>
      </c>
      <c r="D42" t="s">
        <v>319</v>
      </c>
      <c r="E42" s="18" t="s">
        <v>324</v>
      </c>
      <c r="F42" t="s">
        <v>319</v>
      </c>
      <c r="G42" s="18" t="s">
        <v>325</v>
      </c>
      <c r="H42" s="16" t="s">
        <v>47</v>
      </c>
      <c r="I42"/>
      <c r="J42"/>
      <c r="K42"/>
      <c r="L42"/>
      <c r="M42"/>
      <c r="N42"/>
      <c r="O42"/>
      <c r="P42"/>
      <c r="Q42"/>
      <c r="R42"/>
      <c r="S42"/>
      <c r="T42"/>
      <c r="U42">
        <v>206</v>
      </c>
      <c r="V42" s="17">
        <v>22</v>
      </c>
      <c r="W42" t="s">
        <v>69</v>
      </c>
      <c r="X42" t="s">
        <v>69</v>
      </c>
      <c r="Y42" s="19" t="s">
        <v>326</v>
      </c>
      <c r="Z42" t="s">
        <v>221</v>
      </c>
      <c r="AA42" t="s">
        <v>221</v>
      </c>
      <c r="AB42" s="18" t="s">
        <v>367</v>
      </c>
      <c r="AC42" s="18" t="s">
        <v>396</v>
      </c>
      <c r="AD42" s="18" t="s">
        <v>367</v>
      </c>
      <c r="AE42" s="20" t="s">
        <v>221</v>
      </c>
      <c r="AF42" s="18" t="s">
        <v>437</v>
      </c>
      <c r="AG42"/>
      <c r="AH42"/>
      <c r="AI42"/>
      <c r="AJ42" s="17" t="s">
        <v>27</v>
      </c>
      <c r="AK42"/>
      <c r="AL42" s="17">
        <v>3639</v>
      </c>
      <c r="AM42" s="17" t="s">
        <v>123</v>
      </c>
      <c r="AN42"/>
      <c r="AO42" s="18" t="s">
        <v>467</v>
      </c>
      <c r="AP42"/>
      <c r="AQ42"/>
      <c r="AR42" s="18" t="s">
        <v>520</v>
      </c>
      <c r="AS42" s="18" t="s">
        <v>643</v>
      </c>
      <c r="AT42" s="18" t="s">
        <v>643</v>
      </c>
      <c r="AU42" s="18" t="s">
        <v>644</v>
      </c>
      <c r="AV42" s="18" t="s">
        <v>645</v>
      </c>
      <c r="AW42" s="22">
        <f t="shared" si="0"/>
        <v>56</v>
      </c>
      <c r="AX42" s="18" t="s">
        <v>849</v>
      </c>
      <c r="AY42" s="18"/>
      <c r="AZ42" s="18" t="s">
        <v>850</v>
      </c>
      <c r="BA42" s="18" t="s">
        <v>863</v>
      </c>
      <c r="BB42" s="18"/>
      <c r="BC42" s="22" t="s">
        <v>864</v>
      </c>
      <c r="BD42" s="18"/>
      <c r="BE42" s="18"/>
      <c r="BF42" s="18"/>
      <c r="BG42" s="18"/>
      <c r="BH42" s="22" t="s">
        <v>853</v>
      </c>
      <c r="BI42" s="18"/>
      <c r="BJ42" s="18"/>
      <c r="BK42" s="18"/>
      <c r="BL42" s="18" t="s">
        <v>854</v>
      </c>
      <c r="BM42" s="18" t="s">
        <v>855</v>
      </c>
      <c r="BN42" s="18" t="s">
        <v>737</v>
      </c>
      <c r="BO42" s="18" t="s">
        <v>856</v>
      </c>
      <c r="BP42" s="18" t="s">
        <v>865</v>
      </c>
      <c r="BQ42" s="18" t="s">
        <v>866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955</v>
      </c>
    </row>
    <row r="43" spans="1:110" ht="12" customHeight="1" x14ac:dyDescent="0.25">
      <c r="A43" s="15" t="s">
        <v>242</v>
      </c>
      <c r="B43" s="15" t="s">
        <v>2</v>
      </c>
      <c r="C43" s="15" t="s">
        <v>125</v>
      </c>
      <c r="D43" t="s">
        <v>319</v>
      </c>
      <c r="E43" s="18" t="s">
        <v>324</v>
      </c>
      <c r="F43" t="s">
        <v>319</v>
      </c>
      <c r="G43" s="18" t="s">
        <v>325</v>
      </c>
      <c r="H43" s="16" t="s">
        <v>47</v>
      </c>
      <c r="I43"/>
      <c r="J43"/>
      <c r="K43"/>
      <c r="L43"/>
      <c r="M43"/>
      <c r="N43"/>
      <c r="O43"/>
      <c r="P43"/>
      <c r="Q43"/>
      <c r="R43"/>
      <c r="S43"/>
      <c r="T43"/>
      <c r="U43">
        <v>207</v>
      </c>
      <c r="V43" s="17">
        <v>23</v>
      </c>
      <c r="W43" t="s">
        <v>69</v>
      </c>
      <c r="X43" t="s">
        <v>69</v>
      </c>
      <c r="Y43" s="19" t="s">
        <v>326</v>
      </c>
      <c r="Z43" t="s">
        <v>94</v>
      </c>
      <c r="AA43" t="s">
        <v>94</v>
      </c>
      <c r="AB43" s="18" t="s">
        <v>368</v>
      </c>
      <c r="AC43" s="18" t="s">
        <v>396</v>
      </c>
      <c r="AD43" s="18" t="s">
        <v>368</v>
      </c>
      <c r="AE43" s="20" t="s">
        <v>94</v>
      </c>
      <c r="AF43" s="18" t="s">
        <v>438</v>
      </c>
      <c r="AG43"/>
      <c r="AH43"/>
      <c r="AI43"/>
      <c r="AJ43" s="17" t="s">
        <v>49</v>
      </c>
      <c r="AK43"/>
      <c r="AL43" s="17">
        <v>3639</v>
      </c>
      <c r="AM43" s="17" t="s">
        <v>314</v>
      </c>
      <c r="AN43"/>
      <c r="AO43" s="18" t="s">
        <v>476</v>
      </c>
      <c r="AP43"/>
      <c r="AQ43"/>
      <c r="AR43" s="18" t="s">
        <v>521</v>
      </c>
      <c r="AS43" s="18" t="s">
        <v>646</v>
      </c>
      <c r="AT43" s="18" t="s">
        <v>646</v>
      </c>
      <c r="AU43" s="18" t="s">
        <v>647</v>
      </c>
      <c r="AV43" s="18" t="s">
        <v>647</v>
      </c>
      <c r="AW43" s="22">
        <f t="shared" si="0"/>
        <v>49</v>
      </c>
      <c r="AX43" s="18" t="s">
        <v>867</v>
      </c>
      <c r="AY43" s="18" t="s">
        <v>868</v>
      </c>
      <c r="AZ43" s="18"/>
      <c r="BA43" s="18"/>
      <c r="BB43" s="18"/>
      <c r="BC43" s="18"/>
      <c r="BD43" s="18"/>
      <c r="BE43" s="18"/>
      <c r="BF43" s="18"/>
      <c r="BG43" s="18"/>
      <c r="BH43" s="22" t="s">
        <v>869</v>
      </c>
      <c r="BI43" s="18"/>
      <c r="BJ43" s="18"/>
      <c r="BK43" s="18"/>
      <c r="BL43" s="18" t="s">
        <v>736</v>
      </c>
      <c r="BM43" s="18"/>
      <c r="BN43" s="18" t="s">
        <v>737</v>
      </c>
      <c r="BO43" s="18"/>
      <c r="BP43" s="18" t="s">
        <v>870</v>
      </c>
      <c r="BQ43" s="18" t="s">
        <v>871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955</v>
      </c>
    </row>
    <row r="44" spans="1:110" ht="12" customHeight="1" x14ac:dyDescent="0.25">
      <c r="A44" s="15" t="s">
        <v>242</v>
      </c>
      <c r="B44" s="15" t="s">
        <v>2</v>
      </c>
      <c r="C44" s="15" t="s">
        <v>125</v>
      </c>
      <c r="D44" t="s">
        <v>319</v>
      </c>
      <c r="E44" s="18" t="s">
        <v>324</v>
      </c>
      <c r="F44" t="s">
        <v>319</v>
      </c>
      <c r="G44" s="18" t="s">
        <v>325</v>
      </c>
      <c r="H44" s="16" t="s">
        <v>47</v>
      </c>
      <c r="I44"/>
      <c r="J44"/>
      <c r="K44"/>
      <c r="L44"/>
      <c r="M44"/>
      <c r="N44"/>
      <c r="O44"/>
      <c r="P44"/>
      <c r="Q44"/>
      <c r="R44"/>
      <c r="S44"/>
      <c r="T44"/>
      <c r="U44">
        <v>322</v>
      </c>
      <c r="V44" s="17">
        <v>138</v>
      </c>
      <c r="W44" t="s">
        <v>69</v>
      </c>
      <c r="X44" t="s">
        <v>69</v>
      </c>
      <c r="Y44" s="19" t="s">
        <v>326</v>
      </c>
      <c r="Z44" t="s">
        <v>122</v>
      </c>
      <c r="AA44" t="s">
        <v>122</v>
      </c>
      <c r="AB44" s="18" t="s">
        <v>369</v>
      </c>
      <c r="AC44" s="18" t="s">
        <v>396</v>
      </c>
      <c r="AD44" s="18" t="s">
        <v>369</v>
      </c>
      <c r="AE44" s="20" t="s">
        <v>122</v>
      </c>
      <c r="AF44" s="18" t="s">
        <v>439</v>
      </c>
      <c r="AG44"/>
      <c r="AH44"/>
      <c r="AI44"/>
      <c r="AJ44" s="17" t="s">
        <v>293</v>
      </c>
      <c r="AK44"/>
      <c r="AL44" s="17">
        <v>3639</v>
      </c>
      <c r="AM44" s="17" t="s">
        <v>167</v>
      </c>
      <c r="AN44"/>
      <c r="AO44" s="18" t="s">
        <v>468</v>
      </c>
      <c r="AP44"/>
      <c r="AQ44"/>
      <c r="AR44" s="18" t="s">
        <v>522</v>
      </c>
      <c r="AS44" s="22" t="s">
        <v>648</v>
      </c>
      <c r="AT44" s="22" t="s">
        <v>648</v>
      </c>
      <c r="AU44" s="22" t="s">
        <v>649</v>
      </c>
      <c r="AV44" s="22" t="s">
        <v>649</v>
      </c>
      <c r="AW44" s="22">
        <f t="shared" si="0"/>
        <v>57</v>
      </c>
      <c r="AX44" s="22" t="s">
        <v>742</v>
      </c>
      <c r="AY44" s="18" t="s">
        <v>719</v>
      </c>
      <c r="AZ44" s="18" t="s">
        <v>743</v>
      </c>
      <c r="BA44" s="18" t="s">
        <v>872</v>
      </c>
      <c r="BB44" s="18"/>
      <c r="BC44" s="18" t="s">
        <v>824</v>
      </c>
      <c r="BD44" s="18"/>
      <c r="BE44" s="18"/>
      <c r="BF44" s="18"/>
      <c r="BG44" s="18" t="s">
        <v>873</v>
      </c>
      <c r="BH44" s="22" t="s">
        <v>874</v>
      </c>
      <c r="BI44" s="18"/>
      <c r="BJ44" s="18"/>
      <c r="BK44" s="18"/>
      <c r="BL44" s="18" t="s">
        <v>736</v>
      </c>
      <c r="BM44" s="18"/>
      <c r="BN44" s="18" t="s">
        <v>737</v>
      </c>
      <c r="BO44" s="18"/>
      <c r="BP44" s="18" t="s">
        <v>724</v>
      </c>
      <c r="BQ44" s="18" t="s">
        <v>875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955</v>
      </c>
    </row>
    <row r="45" spans="1:110" ht="12" customHeight="1" x14ac:dyDescent="0.25">
      <c r="A45" s="15" t="s">
        <v>242</v>
      </c>
      <c r="B45" s="15" t="s">
        <v>2</v>
      </c>
      <c r="C45" s="15" t="s">
        <v>125</v>
      </c>
      <c r="D45" t="s">
        <v>319</v>
      </c>
      <c r="E45" s="18" t="s">
        <v>324</v>
      </c>
      <c r="F45" t="s">
        <v>319</v>
      </c>
      <c r="G45" s="18" t="s">
        <v>325</v>
      </c>
      <c r="H45" s="16" t="s">
        <v>47</v>
      </c>
      <c r="I45"/>
      <c r="J45"/>
      <c r="K45"/>
      <c r="L45"/>
      <c r="M45"/>
      <c r="N45"/>
      <c r="O45"/>
      <c r="P45"/>
      <c r="Q45"/>
      <c r="R45"/>
      <c r="S45"/>
      <c r="T45"/>
      <c r="U45">
        <v>323</v>
      </c>
      <c r="V45" s="17">
        <v>139</v>
      </c>
      <c r="W45" t="s">
        <v>69</v>
      </c>
      <c r="X45" t="s">
        <v>69</v>
      </c>
      <c r="Y45" s="19" t="s">
        <v>326</v>
      </c>
      <c r="Z45" t="s">
        <v>101</v>
      </c>
      <c r="AA45" t="s">
        <v>101</v>
      </c>
      <c r="AB45" s="18" t="s">
        <v>370</v>
      </c>
      <c r="AC45" s="18" t="s">
        <v>396</v>
      </c>
      <c r="AD45" s="18" t="s">
        <v>370</v>
      </c>
      <c r="AE45" s="20" t="s">
        <v>101</v>
      </c>
      <c r="AF45" s="18" t="s">
        <v>440</v>
      </c>
      <c r="AG45"/>
      <c r="AH45"/>
      <c r="AI45"/>
      <c r="AJ45" s="17" t="s">
        <v>197</v>
      </c>
      <c r="AK45"/>
      <c r="AL45" s="17">
        <v>3639</v>
      </c>
      <c r="AM45" s="17" t="s">
        <v>81</v>
      </c>
      <c r="AN45"/>
      <c r="AO45" s="18" t="s">
        <v>468</v>
      </c>
      <c r="AP45"/>
      <c r="AQ45"/>
      <c r="AR45" s="18" t="s">
        <v>523</v>
      </c>
      <c r="AS45" s="22" t="s">
        <v>650</v>
      </c>
      <c r="AT45" s="22" t="s">
        <v>650</v>
      </c>
      <c r="AU45" s="22" t="s">
        <v>651</v>
      </c>
      <c r="AV45" s="22" t="s">
        <v>651</v>
      </c>
      <c r="AW45" s="22">
        <f t="shared" si="0"/>
        <v>57</v>
      </c>
      <c r="AX45" s="22" t="s">
        <v>742</v>
      </c>
      <c r="AY45" s="18" t="s">
        <v>719</v>
      </c>
      <c r="AZ45" s="18" t="s">
        <v>743</v>
      </c>
      <c r="BA45" s="18" t="s">
        <v>876</v>
      </c>
      <c r="BB45" s="18"/>
      <c r="BC45" s="18" t="s">
        <v>824</v>
      </c>
      <c r="BD45" s="18"/>
      <c r="BE45" s="18"/>
      <c r="BF45" s="18"/>
      <c r="BG45" s="18" t="s">
        <v>873</v>
      </c>
      <c r="BH45" s="22" t="s">
        <v>874</v>
      </c>
      <c r="BI45" s="18"/>
      <c r="BJ45" s="18"/>
      <c r="BK45" s="18"/>
      <c r="BL45" s="18" t="s">
        <v>736</v>
      </c>
      <c r="BM45" s="18"/>
      <c r="BN45" s="18" t="s">
        <v>737</v>
      </c>
      <c r="BO45" s="18"/>
      <c r="BP45" s="18" t="s">
        <v>724</v>
      </c>
      <c r="BQ45" s="18" t="s">
        <v>877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955</v>
      </c>
    </row>
    <row r="46" spans="1:110" ht="12" customHeight="1" x14ac:dyDescent="0.25">
      <c r="A46" s="15" t="s">
        <v>242</v>
      </c>
      <c r="B46" s="15" t="s">
        <v>2</v>
      </c>
      <c r="C46" s="15" t="s">
        <v>125</v>
      </c>
      <c r="D46" t="s">
        <v>319</v>
      </c>
      <c r="E46" s="18" t="s">
        <v>324</v>
      </c>
      <c r="F46" t="s">
        <v>319</v>
      </c>
      <c r="G46" s="18" t="s">
        <v>325</v>
      </c>
      <c r="H46" s="16" t="s">
        <v>47</v>
      </c>
      <c r="I46"/>
      <c r="J46"/>
      <c r="K46"/>
      <c r="L46"/>
      <c r="M46"/>
      <c r="N46"/>
      <c r="O46"/>
      <c r="P46"/>
      <c r="Q46"/>
      <c r="R46"/>
      <c r="S46"/>
      <c r="T46"/>
      <c r="U46">
        <v>329</v>
      </c>
      <c r="V46" s="17">
        <v>145</v>
      </c>
      <c r="W46" t="s">
        <v>69</v>
      </c>
      <c r="X46" t="s">
        <v>69</v>
      </c>
      <c r="Y46" s="19" t="s">
        <v>326</v>
      </c>
      <c r="Z46" t="s">
        <v>258</v>
      </c>
      <c r="AA46" t="s">
        <v>258</v>
      </c>
      <c r="AB46" s="18" t="s">
        <v>371</v>
      </c>
      <c r="AC46" s="18" t="s">
        <v>396</v>
      </c>
      <c r="AD46" s="18" t="s">
        <v>371</v>
      </c>
      <c r="AE46" s="20" t="s">
        <v>258</v>
      </c>
      <c r="AF46" s="18" t="s">
        <v>441</v>
      </c>
      <c r="AG46"/>
      <c r="AH46"/>
      <c r="AI46"/>
      <c r="AJ46" s="17" t="s">
        <v>323</v>
      </c>
      <c r="AK46"/>
      <c r="AL46" s="17">
        <v>3639</v>
      </c>
      <c r="AM46" s="17" t="s">
        <v>135</v>
      </c>
      <c r="AN46"/>
      <c r="AO46" s="18" t="s">
        <v>469</v>
      </c>
      <c r="AP46"/>
      <c r="AQ46"/>
      <c r="AR46" s="21" t="s">
        <v>524</v>
      </c>
      <c r="AS46" s="18" t="s">
        <v>652</v>
      </c>
      <c r="AT46" s="18" t="s">
        <v>652</v>
      </c>
      <c r="AU46" s="18" t="s">
        <v>653</v>
      </c>
      <c r="AV46" s="18" t="s">
        <v>653</v>
      </c>
      <c r="AW46" s="22">
        <f t="shared" si="0"/>
        <v>58</v>
      </c>
      <c r="AX46" s="18" t="s">
        <v>752</v>
      </c>
      <c r="AY46" s="18" t="s">
        <v>753</v>
      </c>
      <c r="AZ46" s="18" t="s">
        <v>878</v>
      </c>
      <c r="BA46" s="18"/>
      <c r="BB46" s="18"/>
      <c r="BC46" s="18" t="s">
        <v>879</v>
      </c>
      <c r="BD46" s="18"/>
      <c r="BE46" s="18"/>
      <c r="BF46" s="18"/>
      <c r="BG46" s="18"/>
      <c r="BH46" s="18" t="s">
        <v>880</v>
      </c>
      <c r="BI46" s="18"/>
      <c r="BJ46" s="18"/>
      <c r="BK46" s="18"/>
      <c r="BL46" s="18" t="s">
        <v>736</v>
      </c>
      <c r="BM46" s="21" t="s">
        <v>881</v>
      </c>
      <c r="BN46" s="18" t="s">
        <v>737</v>
      </c>
      <c r="BO46" s="18"/>
      <c r="BP46" s="18"/>
      <c r="BQ46" s="18" t="s">
        <v>882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955</v>
      </c>
    </row>
    <row r="47" spans="1:110" ht="12" customHeight="1" x14ac:dyDescent="0.25">
      <c r="A47" s="15" t="s">
        <v>242</v>
      </c>
      <c r="B47" s="15" t="s">
        <v>2</v>
      </c>
      <c r="C47" s="15" t="s">
        <v>125</v>
      </c>
      <c r="D47" t="s">
        <v>319</v>
      </c>
      <c r="E47" s="18" t="s">
        <v>324</v>
      </c>
      <c r="F47" t="s">
        <v>319</v>
      </c>
      <c r="G47" s="18" t="s">
        <v>325</v>
      </c>
      <c r="H47" s="16" t="s">
        <v>47</v>
      </c>
      <c r="I47"/>
      <c r="J47"/>
      <c r="K47"/>
      <c r="L47"/>
      <c r="M47"/>
      <c r="N47"/>
      <c r="O47"/>
      <c r="P47"/>
      <c r="Q47"/>
      <c r="R47"/>
      <c r="S47"/>
      <c r="T47"/>
      <c r="U47">
        <v>360</v>
      </c>
      <c r="V47" s="17">
        <v>176</v>
      </c>
      <c r="W47" t="s">
        <v>69</v>
      </c>
      <c r="X47" t="s">
        <v>69</v>
      </c>
      <c r="Y47" s="19" t="s">
        <v>326</v>
      </c>
      <c r="Z47" t="s">
        <v>219</v>
      </c>
      <c r="AA47" t="s">
        <v>219</v>
      </c>
      <c r="AB47" s="18" t="s">
        <v>372</v>
      </c>
      <c r="AC47" s="18" t="s">
        <v>396</v>
      </c>
      <c r="AD47" s="18" t="s">
        <v>372</v>
      </c>
      <c r="AE47" s="20" t="s">
        <v>219</v>
      </c>
      <c r="AF47" s="18" t="s">
        <v>442</v>
      </c>
      <c r="AG47"/>
      <c r="AH47"/>
      <c r="AI47"/>
      <c r="AJ47" s="17" t="s">
        <v>19</v>
      </c>
      <c r="AK47"/>
      <c r="AL47" s="17">
        <v>3639</v>
      </c>
      <c r="AM47" s="17" t="s">
        <v>251</v>
      </c>
      <c r="AN47"/>
      <c r="AO47" s="18" t="s">
        <v>477</v>
      </c>
      <c r="AP47"/>
      <c r="AQ47"/>
      <c r="AR47" s="18" t="s">
        <v>525</v>
      </c>
      <c r="AS47" s="18" t="s">
        <v>654</v>
      </c>
      <c r="AT47" s="18" t="s">
        <v>654</v>
      </c>
      <c r="AU47" s="18" t="s">
        <v>655</v>
      </c>
      <c r="AV47" s="18" t="s">
        <v>656</v>
      </c>
      <c r="AW47" s="22">
        <f t="shared" si="0"/>
        <v>58</v>
      </c>
      <c r="AX47" s="18" t="s">
        <v>883</v>
      </c>
      <c r="AY47" s="18" t="s">
        <v>762</v>
      </c>
      <c r="AZ47" s="21" t="s">
        <v>884</v>
      </c>
      <c r="BA47" s="18"/>
      <c r="BB47" s="18"/>
      <c r="BC47" s="18" t="s">
        <v>885</v>
      </c>
      <c r="BD47" s="18"/>
      <c r="BE47" s="18"/>
      <c r="BF47" s="18"/>
      <c r="BG47" s="18"/>
      <c r="BH47" s="23" t="s">
        <v>886</v>
      </c>
      <c r="BI47" s="18"/>
      <c r="BJ47" s="18"/>
      <c r="BK47" s="18"/>
      <c r="BL47" s="18" t="s">
        <v>736</v>
      </c>
      <c r="BM47" s="18"/>
      <c r="BN47" s="18" t="s">
        <v>737</v>
      </c>
      <c r="BO47" s="18"/>
      <c r="BP47" s="18" t="s">
        <v>724</v>
      </c>
      <c r="BQ47" s="18" t="s">
        <v>887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955</v>
      </c>
    </row>
    <row r="48" spans="1:110" ht="12" customHeight="1" x14ac:dyDescent="0.25">
      <c r="A48" s="15" t="s">
        <v>242</v>
      </c>
      <c r="B48" s="15" t="s">
        <v>2</v>
      </c>
      <c r="C48" s="15" t="s">
        <v>125</v>
      </c>
      <c r="D48" t="s">
        <v>319</v>
      </c>
      <c r="E48" s="18" t="s">
        <v>324</v>
      </c>
      <c r="F48" t="s">
        <v>319</v>
      </c>
      <c r="G48" s="18" t="s">
        <v>325</v>
      </c>
      <c r="H48" s="16" t="s">
        <v>47</v>
      </c>
      <c r="I48"/>
      <c r="J48"/>
      <c r="K48"/>
      <c r="L48"/>
      <c r="M48"/>
      <c r="N48"/>
      <c r="O48"/>
      <c r="P48"/>
      <c r="Q48"/>
      <c r="R48"/>
      <c r="S48"/>
      <c r="T48"/>
      <c r="U48">
        <v>361</v>
      </c>
      <c r="V48" s="17">
        <v>177</v>
      </c>
      <c r="W48" t="s">
        <v>69</v>
      </c>
      <c r="X48" t="s">
        <v>69</v>
      </c>
      <c r="Y48" s="19" t="s">
        <v>326</v>
      </c>
      <c r="Z48" t="s">
        <v>222</v>
      </c>
      <c r="AA48" t="s">
        <v>222</v>
      </c>
      <c r="AB48" s="18" t="s">
        <v>373</v>
      </c>
      <c r="AC48" s="18" t="s">
        <v>396</v>
      </c>
      <c r="AD48" s="18" t="s">
        <v>373</v>
      </c>
      <c r="AE48" s="20" t="s">
        <v>222</v>
      </c>
      <c r="AF48" s="18" t="s">
        <v>443</v>
      </c>
      <c r="AG48"/>
      <c r="AH48"/>
      <c r="AI48"/>
      <c r="AJ48" s="17" t="s">
        <v>71</v>
      </c>
      <c r="AK48"/>
      <c r="AL48" s="17">
        <v>3639</v>
      </c>
      <c r="AM48" s="17" t="s">
        <v>289</v>
      </c>
      <c r="AN48"/>
      <c r="AO48" s="18" t="s">
        <v>477</v>
      </c>
      <c r="AP48"/>
      <c r="AQ48"/>
      <c r="AR48" s="18" t="s">
        <v>526</v>
      </c>
      <c r="AS48" s="18" t="s">
        <v>657</v>
      </c>
      <c r="AT48" s="18" t="s">
        <v>657</v>
      </c>
      <c r="AU48" s="18" t="s">
        <v>658</v>
      </c>
      <c r="AV48" s="18" t="s">
        <v>659</v>
      </c>
      <c r="AW48" s="22">
        <f t="shared" si="0"/>
        <v>57</v>
      </c>
      <c r="AX48" s="18" t="s">
        <v>762</v>
      </c>
      <c r="AY48" s="22" t="s">
        <v>834</v>
      </c>
      <c r="AZ48" s="21" t="s">
        <v>884</v>
      </c>
      <c r="BA48" s="18"/>
      <c r="BB48" s="18"/>
      <c r="BC48" s="18" t="s">
        <v>835</v>
      </c>
      <c r="BD48" s="18"/>
      <c r="BE48" s="18"/>
      <c r="BF48" s="18"/>
      <c r="BG48" s="18"/>
      <c r="BH48" s="23" t="s">
        <v>888</v>
      </c>
      <c r="BI48" s="18"/>
      <c r="BJ48" s="18"/>
      <c r="BK48" s="18"/>
      <c r="BL48" s="18"/>
      <c r="BM48" s="18"/>
      <c r="BN48" s="18"/>
      <c r="BO48" s="18"/>
      <c r="BP48" s="18" t="s">
        <v>889</v>
      </c>
      <c r="BQ48" s="18" t="s">
        <v>890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955</v>
      </c>
    </row>
    <row r="49" spans="1:110" ht="12" customHeight="1" x14ac:dyDescent="0.25">
      <c r="A49" s="15" t="s">
        <v>242</v>
      </c>
      <c r="B49" s="15" t="s">
        <v>2</v>
      </c>
      <c r="C49" s="15" t="s">
        <v>125</v>
      </c>
      <c r="D49" t="s">
        <v>319</v>
      </c>
      <c r="E49" s="18" t="s">
        <v>324</v>
      </c>
      <c r="F49" t="s">
        <v>319</v>
      </c>
      <c r="G49" s="18" t="s">
        <v>325</v>
      </c>
      <c r="H49" s="16" t="s">
        <v>47</v>
      </c>
      <c r="I49"/>
      <c r="J49"/>
      <c r="K49"/>
      <c r="L49"/>
      <c r="M49"/>
      <c r="N49"/>
      <c r="O49"/>
      <c r="P49"/>
      <c r="Q49"/>
      <c r="R49"/>
      <c r="S49"/>
      <c r="T49"/>
      <c r="U49">
        <v>362</v>
      </c>
      <c r="V49" s="17">
        <v>178</v>
      </c>
      <c r="W49" t="s">
        <v>69</v>
      </c>
      <c r="X49" t="s">
        <v>69</v>
      </c>
      <c r="Y49" s="19" t="s">
        <v>326</v>
      </c>
      <c r="Z49" t="s">
        <v>226</v>
      </c>
      <c r="AA49" t="s">
        <v>226</v>
      </c>
      <c r="AB49" s="18" t="s">
        <v>374</v>
      </c>
      <c r="AC49" s="18" t="s">
        <v>396</v>
      </c>
      <c r="AD49" s="18" t="s">
        <v>374</v>
      </c>
      <c r="AE49" s="20" t="s">
        <v>226</v>
      </c>
      <c r="AF49" s="18" t="s">
        <v>444</v>
      </c>
      <c r="AG49"/>
      <c r="AH49"/>
      <c r="AI49"/>
      <c r="AJ49" s="17" t="s">
        <v>191</v>
      </c>
      <c r="AK49"/>
      <c r="AL49" s="17">
        <v>3639</v>
      </c>
      <c r="AM49" s="17" t="s">
        <v>51</v>
      </c>
      <c r="AN49"/>
      <c r="AO49" s="18" t="s">
        <v>477</v>
      </c>
      <c r="AP49"/>
      <c r="AQ49"/>
      <c r="AR49" s="18" t="s">
        <v>527</v>
      </c>
      <c r="AS49" s="18" t="s">
        <v>660</v>
      </c>
      <c r="AT49" s="18" t="s">
        <v>660</v>
      </c>
      <c r="AU49" s="18" t="s">
        <v>661</v>
      </c>
      <c r="AV49" s="18" t="s">
        <v>662</v>
      </c>
      <c r="AW49" s="22">
        <f t="shared" si="0"/>
        <v>58</v>
      </c>
      <c r="AX49" s="18" t="s">
        <v>762</v>
      </c>
      <c r="AY49" s="22" t="s">
        <v>834</v>
      </c>
      <c r="AZ49" s="18" t="s">
        <v>891</v>
      </c>
      <c r="BA49" s="18"/>
      <c r="BB49" s="18"/>
      <c r="BC49" s="18" t="s">
        <v>835</v>
      </c>
      <c r="BD49" s="18"/>
      <c r="BE49" s="18"/>
      <c r="BF49" s="18"/>
      <c r="BG49" s="18"/>
      <c r="BH49" s="23" t="s">
        <v>888</v>
      </c>
      <c r="BI49" s="18"/>
      <c r="BJ49" s="18"/>
      <c r="BK49" s="18"/>
      <c r="BL49" s="18" t="s">
        <v>736</v>
      </c>
      <c r="BM49" s="18"/>
      <c r="BN49" s="18" t="s">
        <v>737</v>
      </c>
      <c r="BO49" s="18"/>
      <c r="BP49" s="18" t="s">
        <v>724</v>
      </c>
      <c r="BQ49" s="18" t="s">
        <v>892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955</v>
      </c>
    </row>
    <row r="50" spans="1:110" ht="12" customHeight="1" x14ac:dyDescent="0.25">
      <c r="A50" s="15" t="s">
        <v>242</v>
      </c>
      <c r="B50" s="15" t="s">
        <v>2</v>
      </c>
      <c r="C50" s="15" t="s">
        <v>125</v>
      </c>
      <c r="D50" t="s">
        <v>319</v>
      </c>
      <c r="E50" s="18" t="s">
        <v>324</v>
      </c>
      <c r="F50" t="s">
        <v>319</v>
      </c>
      <c r="G50" s="18" t="s">
        <v>325</v>
      </c>
      <c r="H50" s="16" t="s">
        <v>47</v>
      </c>
      <c r="I50"/>
      <c r="J50"/>
      <c r="K50"/>
      <c r="L50"/>
      <c r="M50"/>
      <c r="N50"/>
      <c r="O50"/>
      <c r="P50"/>
      <c r="Q50"/>
      <c r="R50"/>
      <c r="S50"/>
      <c r="T50"/>
      <c r="U50">
        <v>363</v>
      </c>
      <c r="V50" s="17">
        <v>179</v>
      </c>
      <c r="W50" t="s">
        <v>69</v>
      </c>
      <c r="X50" t="s">
        <v>69</v>
      </c>
      <c r="Y50" s="19" t="s">
        <v>326</v>
      </c>
      <c r="Z50" t="s">
        <v>205</v>
      </c>
      <c r="AA50" t="s">
        <v>205</v>
      </c>
      <c r="AB50" s="18" t="s">
        <v>375</v>
      </c>
      <c r="AC50" s="18" t="s">
        <v>396</v>
      </c>
      <c r="AD50" s="18" t="s">
        <v>375</v>
      </c>
      <c r="AE50" s="20" t="s">
        <v>205</v>
      </c>
      <c r="AF50" s="18" t="s">
        <v>445</v>
      </c>
      <c r="AG50"/>
      <c r="AH50"/>
      <c r="AI50"/>
      <c r="AJ50" s="17" t="s">
        <v>209</v>
      </c>
      <c r="AK50"/>
      <c r="AL50" s="17">
        <v>3639</v>
      </c>
      <c r="AM50" s="17" t="s">
        <v>109</v>
      </c>
      <c r="AN50"/>
      <c r="AO50" s="18" t="s">
        <v>477</v>
      </c>
      <c r="AP50"/>
      <c r="AQ50"/>
      <c r="AR50" s="18" t="s">
        <v>528</v>
      </c>
      <c r="AS50" s="18" t="s">
        <v>663</v>
      </c>
      <c r="AT50" s="18" t="s">
        <v>663</v>
      </c>
      <c r="AU50" s="18" t="s">
        <v>664</v>
      </c>
      <c r="AV50" s="18" t="s">
        <v>664</v>
      </c>
      <c r="AW50" s="22">
        <f t="shared" si="0"/>
        <v>28</v>
      </c>
      <c r="AX50" s="18" t="s">
        <v>762</v>
      </c>
      <c r="AY50" s="22" t="s">
        <v>834</v>
      </c>
      <c r="AZ50" s="18" t="s">
        <v>893</v>
      </c>
      <c r="BA50" s="18"/>
      <c r="BB50" s="18"/>
      <c r="BC50" s="18" t="s">
        <v>885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 t="s">
        <v>724</v>
      </c>
      <c r="BQ50" s="18" t="s">
        <v>894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955</v>
      </c>
    </row>
    <row r="51" spans="1:110" ht="12" customHeight="1" x14ac:dyDescent="0.25">
      <c r="A51" s="15" t="s">
        <v>242</v>
      </c>
      <c r="B51" s="15" t="s">
        <v>2</v>
      </c>
      <c r="C51" s="15" t="s">
        <v>125</v>
      </c>
      <c r="D51" t="s">
        <v>319</v>
      </c>
      <c r="E51" s="18" t="s">
        <v>324</v>
      </c>
      <c r="F51" t="s">
        <v>319</v>
      </c>
      <c r="G51" s="18" t="s">
        <v>325</v>
      </c>
      <c r="H51" s="16" t="s">
        <v>47</v>
      </c>
      <c r="I51"/>
      <c r="J51"/>
      <c r="K51"/>
      <c r="L51"/>
      <c r="M51"/>
      <c r="N51"/>
      <c r="O51"/>
      <c r="P51"/>
      <c r="Q51"/>
      <c r="R51"/>
      <c r="S51"/>
      <c r="T51"/>
      <c r="U51">
        <v>364</v>
      </c>
      <c r="V51" s="17">
        <v>180</v>
      </c>
      <c r="W51" t="s">
        <v>69</v>
      </c>
      <c r="X51" t="s">
        <v>69</v>
      </c>
      <c r="Y51" s="19" t="s">
        <v>326</v>
      </c>
      <c r="Z51" t="s">
        <v>273</v>
      </c>
      <c r="AA51" t="s">
        <v>273</v>
      </c>
      <c r="AB51" s="18" t="s">
        <v>376</v>
      </c>
      <c r="AC51" s="18" t="s">
        <v>396</v>
      </c>
      <c r="AD51" s="18" t="s">
        <v>376</v>
      </c>
      <c r="AE51" s="20" t="s">
        <v>273</v>
      </c>
      <c r="AF51" s="18" t="s">
        <v>446</v>
      </c>
      <c r="AG51"/>
      <c r="AH51"/>
      <c r="AI51"/>
      <c r="AJ51" s="17" t="s">
        <v>177</v>
      </c>
      <c r="AK51"/>
      <c r="AL51" s="17">
        <v>3639</v>
      </c>
      <c r="AM51" s="17" t="s">
        <v>266</v>
      </c>
      <c r="AN51"/>
      <c r="AO51" s="18" t="s">
        <v>477</v>
      </c>
      <c r="AP51"/>
      <c r="AQ51"/>
      <c r="AR51" s="18" t="s">
        <v>529</v>
      </c>
      <c r="AS51" s="18" t="s">
        <v>665</v>
      </c>
      <c r="AT51" s="18" t="s">
        <v>665</v>
      </c>
      <c r="AU51" s="18" t="s">
        <v>666</v>
      </c>
      <c r="AV51" s="18" t="s">
        <v>667</v>
      </c>
      <c r="AW51" s="22">
        <f t="shared" si="0"/>
        <v>55</v>
      </c>
      <c r="AX51" s="18" t="s">
        <v>883</v>
      </c>
      <c r="AY51" s="18" t="s">
        <v>762</v>
      </c>
      <c r="AZ51" s="22" t="s">
        <v>895</v>
      </c>
      <c r="BA51" s="18"/>
      <c r="BB51" s="18"/>
      <c r="BC51" s="18" t="s">
        <v>835</v>
      </c>
      <c r="BD51" s="18"/>
      <c r="BE51" s="18"/>
      <c r="BF51" s="18"/>
      <c r="BG51" s="18"/>
      <c r="BH51" s="23" t="s">
        <v>896</v>
      </c>
      <c r="BI51" s="18"/>
      <c r="BJ51" s="18"/>
      <c r="BK51" s="18"/>
      <c r="BL51" s="18"/>
      <c r="BM51" s="18"/>
      <c r="BN51" s="18"/>
      <c r="BO51" s="18"/>
      <c r="BP51" s="18" t="s">
        <v>724</v>
      </c>
      <c r="BQ51" s="18" t="s">
        <v>897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955</v>
      </c>
    </row>
    <row r="52" spans="1:110" ht="12" customHeight="1" x14ac:dyDescent="0.25">
      <c r="A52" s="15" t="s">
        <v>242</v>
      </c>
      <c r="B52" s="15" t="s">
        <v>2</v>
      </c>
      <c r="C52" s="15" t="s">
        <v>125</v>
      </c>
      <c r="D52" t="s">
        <v>319</v>
      </c>
      <c r="E52" s="18" t="s">
        <v>324</v>
      </c>
      <c r="F52" t="s">
        <v>319</v>
      </c>
      <c r="G52" s="18" t="s">
        <v>325</v>
      </c>
      <c r="H52" s="16" t="s">
        <v>47</v>
      </c>
      <c r="I52"/>
      <c r="J52"/>
      <c r="K52"/>
      <c r="L52"/>
      <c r="M52"/>
      <c r="N52"/>
      <c r="O52"/>
      <c r="P52"/>
      <c r="Q52"/>
      <c r="R52"/>
      <c r="S52"/>
      <c r="T52"/>
      <c r="U52">
        <v>365</v>
      </c>
      <c r="V52" s="17">
        <v>181</v>
      </c>
      <c r="W52" t="s">
        <v>69</v>
      </c>
      <c r="X52" t="s">
        <v>69</v>
      </c>
      <c r="Y52" s="19" t="s">
        <v>326</v>
      </c>
      <c r="Z52" t="s">
        <v>278</v>
      </c>
      <c r="AA52" t="s">
        <v>278</v>
      </c>
      <c r="AB52" s="18" t="s">
        <v>377</v>
      </c>
      <c r="AC52" s="18" t="s">
        <v>396</v>
      </c>
      <c r="AD52" s="18" t="s">
        <v>377</v>
      </c>
      <c r="AE52" s="20" t="s">
        <v>278</v>
      </c>
      <c r="AF52" s="18" t="s">
        <v>447</v>
      </c>
      <c r="AG52"/>
      <c r="AH52"/>
      <c r="AI52"/>
      <c r="AJ52" s="17" t="s">
        <v>306</v>
      </c>
      <c r="AK52"/>
      <c r="AL52" s="17">
        <v>3639</v>
      </c>
      <c r="AM52" s="17" t="s">
        <v>91</v>
      </c>
      <c r="AN52"/>
      <c r="AO52" s="18" t="s">
        <v>477</v>
      </c>
      <c r="AP52"/>
      <c r="AQ52"/>
      <c r="AR52" s="18" t="s">
        <v>530</v>
      </c>
      <c r="AS52" s="18" t="s">
        <v>668</v>
      </c>
      <c r="AT52" s="18" t="s">
        <v>668</v>
      </c>
      <c r="AU52" s="18" t="s">
        <v>669</v>
      </c>
      <c r="AV52" s="18" t="s">
        <v>670</v>
      </c>
      <c r="AW52" s="22">
        <f t="shared" si="0"/>
        <v>56</v>
      </c>
      <c r="AX52" s="18" t="s">
        <v>762</v>
      </c>
      <c r="AY52" s="22" t="s">
        <v>834</v>
      </c>
      <c r="AZ52" s="22" t="s">
        <v>895</v>
      </c>
      <c r="BA52" s="18"/>
      <c r="BB52" s="18"/>
      <c r="BC52" s="18" t="s">
        <v>835</v>
      </c>
      <c r="BD52" s="18"/>
      <c r="BE52" s="18"/>
      <c r="BF52" s="18"/>
      <c r="BG52" s="18"/>
      <c r="BH52" s="23" t="s">
        <v>898</v>
      </c>
      <c r="BI52" s="18"/>
      <c r="BJ52" s="18"/>
      <c r="BK52" s="18"/>
      <c r="BL52" s="18" t="s">
        <v>736</v>
      </c>
      <c r="BM52" s="18"/>
      <c r="BN52" s="18" t="s">
        <v>737</v>
      </c>
      <c r="BO52" s="18"/>
      <c r="BP52" s="18" t="s">
        <v>724</v>
      </c>
      <c r="BQ52" s="18" t="s">
        <v>899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955</v>
      </c>
    </row>
    <row r="53" spans="1:110" ht="12" customHeight="1" x14ac:dyDescent="0.25">
      <c r="A53" s="15" t="s">
        <v>242</v>
      </c>
      <c r="B53" s="15" t="s">
        <v>2</v>
      </c>
      <c r="C53" s="15" t="s">
        <v>125</v>
      </c>
      <c r="D53" t="s">
        <v>319</v>
      </c>
      <c r="E53" s="18" t="s">
        <v>324</v>
      </c>
      <c r="F53" t="s">
        <v>319</v>
      </c>
      <c r="G53" s="18" t="s">
        <v>325</v>
      </c>
      <c r="H53" s="16" t="s">
        <v>47</v>
      </c>
      <c r="I53"/>
      <c r="J53"/>
      <c r="K53"/>
      <c r="L53"/>
      <c r="M53"/>
      <c r="N53"/>
      <c r="O53"/>
      <c r="P53"/>
      <c r="Q53"/>
      <c r="R53"/>
      <c r="S53"/>
      <c r="T53"/>
      <c r="U53">
        <v>366</v>
      </c>
      <c r="V53" s="17">
        <v>182</v>
      </c>
      <c r="W53" t="s">
        <v>69</v>
      </c>
      <c r="X53" t="s">
        <v>69</v>
      </c>
      <c r="Y53" s="19" t="s">
        <v>326</v>
      </c>
      <c r="Z53" t="s">
        <v>4</v>
      </c>
      <c r="AA53" t="s">
        <v>4</v>
      </c>
      <c r="AB53" s="18" t="s">
        <v>378</v>
      </c>
      <c r="AC53" s="18" t="s">
        <v>396</v>
      </c>
      <c r="AD53" s="18" t="s">
        <v>378</v>
      </c>
      <c r="AE53" s="20" t="s">
        <v>4</v>
      </c>
      <c r="AF53" s="18" t="s">
        <v>448</v>
      </c>
      <c r="AG53"/>
      <c r="AH53"/>
      <c r="AI53"/>
      <c r="AJ53" s="17" t="s">
        <v>246</v>
      </c>
      <c r="AK53"/>
      <c r="AL53" s="17">
        <v>3639</v>
      </c>
      <c r="AM53" s="17" t="s">
        <v>184</v>
      </c>
      <c r="AN53"/>
      <c r="AO53" s="18" t="s">
        <v>477</v>
      </c>
      <c r="AP53"/>
      <c r="AQ53"/>
      <c r="AR53" s="18" t="s">
        <v>531</v>
      </c>
      <c r="AS53" s="18" t="s">
        <v>671</v>
      </c>
      <c r="AT53" s="18" t="s">
        <v>671</v>
      </c>
      <c r="AU53" s="18" t="s">
        <v>672</v>
      </c>
      <c r="AV53" s="18" t="s">
        <v>673</v>
      </c>
      <c r="AW53" s="22">
        <f t="shared" si="0"/>
        <v>57</v>
      </c>
      <c r="AX53" s="18" t="s">
        <v>883</v>
      </c>
      <c r="AY53" s="18" t="s">
        <v>762</v>
      </c>
      <c r="AZ53" s="18" t="s">
        <v>900</v>
      </c>
      <c r="BA53" s="18"/>
      <c r="BB53" s="18"/>
      <c r="BC53" s="18" t="s">
        <v>835</v>
      </c>
      <c r="BD53" s="18"/>
      <c r="BE53" s="18"/>
      <c r="BF53" s="18"/>
      <c r="BG53" s="18"/>
      <c r="BH53" s="22" t="s">
        <v>901</v>
      </c>
      <c r="BI53" s="18"/>
      <c r="BJ53" s="18"/>
      <c r="BK53" s="18"/>
      <c r="BL53" s="18"/>
      <c r="BM53" s="18"/>
      <c r="BN53" s="18"/>
      <c r="BO53" s="18"/>
      <c r="BP53" s="18" t="s">
        <v>724</v>
      </c>
      <c r="BQ53" s="18" t="s">
        <v>902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955</v>
      </c>
    </row>
    <row r="54" spans="1:110" ht="12" customHeight="1" x14ac:dyDescent="0.25">
      <c r="A54" s="15" t="s">
        <v>242</v>
      </c>
      <c r="B54" s="15" t="s">
        <v>2</v>
      </c>
      <c r="C54" s="15" t="s">
        <v>125</v>
      </c>
      <c r="D54" t="s">
        <v>319</v>
      </c>
      <c r="E54" s="18" t="s">
        <v>324</v>
      </c>
      <c r="F54" t="s">
        <v>319</v>
      </c>
      <c r="G54" s="18" t="s">
        <v>325</v>
      </c>
      <c r="H54" s="16" t="s">
        <v>47</v>
      </c>
      <c r="I54"/>
      <c r="J54"/>
      <c r="K54"/>
      <c r="L54"/>
      <c r="M54"/>
      <c r="N54"/>
      <c r="O54"/>
      <c r="P54"/>
      <c r="Q54"/>
      <c r="R54"/>
      <c r="S54"/>
      <c r="T54"/>
      <c r="U54">
        <v>367</v>
      </c>
      <c r="V54" s="17">
        <v>183</v>
      </c>
      <c r="W54" t="s">
        <v>69</v>
      </c>
      <c r="X54" t="s">
        <v>69</v>
      </c>
      <c r="Y54" s="19" t="s">
        <v>326</v>
      </c>
      <c r="Z54" t="s">
        <v>14</v>
      </c>
      <c r="AA54" t="s">
        <v>14</v>
      </c>
      <c r="AB54" s="18" t="s">
        <v>379</v>
      </c>
      <c r="AC54" s="18" t="s">
        <v>396</v>
      </c>
      <c r="AD54" s="18" t="s">
        <v>379</v>
      </c>
      <c r="AE54" s="20" t="s">
        <v>14</v>
      </c>
      <c r="AF54" s="18" t="s">
        <v>449</v>
      </c>
      <c r="AG54"/>
      <c r="AH54"/>
      <c r="AI54"/>
      <c r="AJ54" s="17" t="s">
        <v>305</v>
      </c>
      <c r="AK54"/>
      <c r="AL54" s="17">
        <v>3639</v>
      </c>
      <c r="AM54" s="17" t="s">
        <v>8</v>
      </c>
      <c r="AN54"/>
      <c r="AO54" s="18" t="s">
        <v>477</v>
      </c>
      <c r="AP54"/>
      <c r="AQ54"/>
      <c r="AR54" s="18" t="s">
        <v>532</v>
      </c>
      <c r="AS54" s="18" t="s">
        <v>674</v>
      </c>
      <c r="AT54" s="18" t="s">
        <v>674</v>
      </c>
      <c r="AU54" s="18" t="s">
        <v>675</v>
      </c>
      <c r="AV54" s="18" t="s">
        <v>676</v>
      </c>
      <c r="AW54" s="22">
        <f t="shared" si="0"/>
        <v>52</v>
      </c>
      <c r="AX54" s="18" t="s">
        <v>762</v>
      </c>
      <c r="AY54" s="22" t="s">
        <v>834</v>
      </c>
      <c r="AZ54" s="18" t="s">
        <v>900</v>
      </c>
      <c r="BA54" s="18"/>
      <c r="BB54" s="18"/>
      <c r="BC54" s="18" t="s">
        <v>835</v>
      </c>
      <c r="BD54" s="18"/>
      <c r="BE54" s="18"/>
      <c r="BF54" s="18"/>
      <c r="BG54" s="18"/>
      <c r="BH54" s="22" t="s">
        <v>903</v>
      </c>
      <c r="BI54" s="18"/>
      <c r="BJ54" s="18"/>
      <c r="BK54" s="18"/>
      <c r="BL54" s="18"/>
      <c r="BM54" s="18"/>
      <c r="BN54" s="18"/>
      <c r="BO54" s="18"/>
      <c r="BP54" s="18" t="s">
        <v>724</v>
      </c>
      <c r="BQ54" s="18" t="s">
        <v>902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955</v>
      </c>
    </row>
    <row r="55" spans="1:110" ht="12" customHeight="1" x14ac:dyDescent="0.25">
      <c r="A55" s="15" t="s">
        <v>242</v>
      </c>
      <c r="B55" s="15" t="s">
        <v>2</v>
      </c>
      <c r="C55" s="15" t="s">
        <v>125</v>
      </c>
      <c r="D55" t="s">
        <v>319</v>
      </c>
      <c r="E55" s="18" t="s">
        <v>324</v>
      </c>
      <c r="F55" t="s">
        <v>319</v>
      </c>
      <c r="G55" s="18" t="s">
        <v>325</v>
      </c>
      <c r="H55" s="16" t="s">
        <v>47</v>
      </c>
      <c r="I55"/>
      <c r="J55"/>
      <c r="K55"/>
      <c r="L55"/>
      <c r="M55"/>
      <c r="N55"/>
      <c r="O55"/>
      <c r="P55"/>
      <c r="Q55"/>
      <c r="R55"/>
      <c r="S55"/>
      <c r="T55"/>
      <c r="U55">
        <v>368</v>
      </c>
      <c r="V55" s="17">
        <v>184</v>
      </c>
      <c r="W55" t="s">
        <v>69</v>
      </c>
      <c r="X55" t="s">
        <v>69</v>
      </c>
      <c r="Y55" s="19" t="s">
        <v>326</v>
      </c>
      <c r="Z55" t="s">
        <v>309</v>
      </c>
      <c r="AA55" t="s">
        <v>309</v>
      </c>
      <c r="AB55" s="18" t="s">
        <v>380</v>
      </c>
      <c r="AC55" s="18" t="s">
        <v>396</v>
      </c>
      <c r="AD55" s="18" t="s">
        <v>380</v>
      </c>
      <c r="AE55" s="20" t="s">
        <v>309</v>
      </c>
      <c r="AF55" s="18" t="s">
        <v>450</v>
      </c>
      <c r="AG55"/>
      <c r="AH55"/>
      <c r="AI55"/>
      <c r="AJ55" s="17" t="s">
        <v>77</v>
      </c>
      <c r="AK55"/>
      <c r="AL55" s="17">
        <v>3639</v>
      </c>
      <c r="AM55" s="17" t="s">
        <v>100</v>
      </c>
      <c r="AN55"/>
      <c r="AO55" s="18" t="s">
        <v>477</v>
      </c>
      <c r="AP55"/>
      <c r="AQ55"/>
      <c r="AR55" s="18" t="s">
        <v>533</v>
      </c>
      <c r="AS55" s="18" t="s">
        <v>677</v>
      </c>
      <c r="AT55" s="18" t="s">
        <v>677</v>
      </c>
      <c r="AU55" s="18" t="s">
        <v>678</v>
      </c>
      <c r="AV55" s="18" t="s">
        <v>679</v>
      </c>
      <c r="AW55" s="22">
        <f t="shared" si="0"/>
        <v>58</v>
      </c>
      <c r="AX55" s="18" t="s">
        <v>762</v>
      </c>
      <c r="AY55" s="22" t="s">
        <v>834</v>
      </c>
      <c r="AZ55" s="21" t="s">
        <v>904</v>
      </c>
      <c r="BA55" s="18"/>
      <c r="BB55" s="18"/>
      <c r="BC55" s="18" t="s">
        <v>905</v>
      </c>
      <c r="BD55" s="18"/>
      <c r="BE55" s="18"/>
      <c r="BF55" s="18"/>
      <c r="BG55" s="18"/>
      <c r="BH55" s="22" t="s">
        <v>906</v>
      </c>
      <c r="BI55" s="18"/>
      <c r="BJ55" s="18"/>
      <c r="BK55" s="18"/>
      <c r="BL55" s="18" t="s">
        <v>736</v>
      </c>
      <c r="BM55" s="18"/>
      <c r="BN55" s="18" t="s">
        <v>737</v>
      </c>
      <c r="BO55" s="18"/>
      <c r="BP55" s="18" t="s">
        <v>724</v>
      </c>
      <c r="BQ55" s="18" t="s">
        <v>907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955</v>
      </c>
    </row>
    <row r="56" spans="1:110" ht="12" customHeight="1" x14ac:dyDescent="0.25">
      <c r="A56" s="15" t="s">
        <v>242</v>
      </c>
      <c r="B56" s="15" t="s">
        <v>2</v>
      </c>
      <c r="C56" s="15" t="s">
        <v>125</v>
      </c>
      <c r="D56" t="s">
        <v>319</v>
      </c>
      <c r="E56" s="18" t="s">
        <v>324</v>
      </c>
      <c r="F56" t="s">
        <v>319</v>
      </c>
      <c r="G56" s="18" t="s">
        <v>325</v>
      </c>
      <c r="H56" s="16" t="s">
        <v>47</v>
      </c>
      <c r="I56"/>
      <c r="J56"/>
      <c r="K56"/>
      <c r="L56"/>
      <c r="M56"/>
      <c r="N56"/>
      <c r="O56"/>
      <c r="P56"/>
      <c r="Q56"/>
      <c r="R56"/>
      <c r="S56"/>
      <c r="T56"/>
      <c r="U56">
        <v>369</v>
      </c>
      <c r="V56" s="17">
        <v>185</v>
      </c>
      <c r="W56" t="s">
        <v>69</v>
      </c>
      <c r="X56" t="s">
        <v>69</v>
      </c>
      <c r="Y56" s="19" t="s">
        <v>326</v>
      </c>
      <c r="Z56" t="s">
        <v>195</v>
      </c>
      <c r="AA56" t="s">
        <v>195</v>
      </c>
      <c r="AB56" s="18" t="s">
        <v>381</v>
      </c>
      <c r="AC56" s="18" t="s">
        <v>396</v>
      </c>
      <c r="AD56" s="18" t="s">
        <v>381</v>
      </c>
      <c r="AE56" s="20" t="s">
        <v>195</v>
      </c>
      <c r="AF56" s="18" t="s">
        <v>451</v>
      </c>
      <c r="AG56"/>
      <c r="AH56"/>
      <c r="AI56"/>
      <c r="AJ56" s="17" t="s">
        <v>311</v>
      </c>
      <c r="AK56"/>
      <c r="AL56" s="17">
        <v>3639</v>
      </c>
      <c r="AM56" s="17" t="s">
        <v>150</v>
      </c>
      <c r="AN56"/>
      <c r="AO56" s="18" t="s">
        <v>477</v>
      </c>
      <c r="AP56"/>
      <c r="AQ56"/>
      <c r="AR56" s="18" t="s">
        <v>534</v>
      </c>
      <c r="AS56" s="18" t="s">
        <v>680</v>
      </c>
      <c r="AT56" s="18" t="s">
        <v>680</v>
      </c>
      <c r="AU56" s="18" t="s">
        <v>681</v>
      </c>
      <c r="AV56" s="18" t="s">
        <v>682</v>
      </c>
      <c r="AW56" s="22">
        <f t="shared" si="0"/>
        <v>53</v>
      </c>
      <c r="AX56" s="18" t="s">
        <v>883</v>
      </c>
      <c r="AY56" s="18" t="s">
        <v>762</v>
      </c>
      <c r="AZ56" s="22" t="s">
        <v>908</v>
      </c>
      <c r="BA56" s="18"/>
      <c r="BB56" s="18"/>
      <c r="BC56" s="18" t="s">
        <v>835</v>
      </c>
      <c r="BD56" s="18"/>
      <c r="BE56" s="18"/>
      <c r="BF56" s="18"/>
      <c r="BG56" s="18"/>
      <c r="BH56" s="18" t="s">
        <v>909</v>
      </c>
      <c r="BI56" s="18"/>
      <c r="BJ56" s="18"/>
      <c r="BK56" s="18"/>
      <c r="BL56" s="18"/>
      <c r="BM56" s="18"/>
      <c r="BN56" s="18"/>
      <c r="BO56" s="18"/>
      <c r="BP56" s="18" t="s">
        <v>724</v>
      </c>
      <c r="BQ56" s="18" t="s">
        <v>902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955</v>
      </c>
    </row>
    <row r="57" spans="1:110" ht="12" customHeight="1" x14ac:dyDescent="0.25">
      <c r="A57" s="15" t="s">
        <v>242</v>
      </c>
      <c r="B57" s="15" t="s">
        <v>2</v>
      </c>
      <c r="C57" s="15" t="s">
        <v>125</v>
      </c>
      <c r="D57" t="s">
        <v>319</v>
      </c>
      <c r="E57" s="18" t="s">
        <v>324</v>
      </c>
      <c r="F57" t="s">
        <v>319</v>
      </c>
      <c r="G57" s="18" t="s">
        <v>325</v>
      </c>
      <c r="H57" s="16" t="s">
        <v>47</v>
      </c>
      <c r="I57"/>
      <c r="J57"/>
      <c r="K57"/>
      <c r="L57"/>
      <c r="M57"/>
      <c r="N57"/>
      <c r="O57"/>
      <c r="P57"/>
      <c r="Q57"/>
      <c r="R57"/>
      <c r="S57"/>
      <c r="T57"/>
      <c r="U57">
        <v>370</v>
      </c>
      <c r="V57" s="17">
        <v>186</v>
      </c>
      <c r="W57" t="s">
        <v>69</v>
      </c>
      <c r="X57" t="s">
        <v>69</v>
      </c>
      <c r="Y57" s="19" t="s">
        <v>326</v>
      </c>
      <c r="Z57" t="s">
        <v>117</v>
      </c>
      <c r="AA57" t="s">
        <v>117</v>
      </c>
      <c r="AB57" s="18" t="s">
        <v>382</v>
      </c>
      <c r="AC57" s="18" t="s">
        <v>396</v>
      </c>
      <c r="AD57" s="18" t="s">
        <v>382</v>
      </c>
      <c r="AE57" s="20" t="s">
        <v>117</v>
      </c>
      <c r="AF57" s="18" t="s">
        <v>452</v>
      </c>
      <c r="AG57"/>
      <c r="AH57"/>
      <c r="AI57"/>
      <c r="AJ57" s="17" t="s">
        <v>202</v>
      </c>
      <c r="AK57"/>
      <c r="AL57" s="17">
        <v>3639</v>
      </c>
      <c r="AM57" s="17" t="s">
        <v>254</v>
      </c>
      <c r="AN57"/>
      <c r="AO57" s="18" t="s">
        <v>477</v>
      </c>
      <c r="AP57"/>
      <c r="AQ57"/>
      <c r="AR57" s="18" t="s">
        <v>535</v>
      </c>
      <c r="AS57" s="18" t="s">
        <v>683</v>
      </c>
      <c r="AT57" s="18" t="s">
        <v>683</v>
      </c>
      <c r="AU57" s="18" t="s">
        <v>684</v>
      </c>
      <c r="AV57" s="18" t="s">
        <v>685</v>
      </c>
      <c r="AW57" s="22">
        <f t="shared" si="0"/>
        <v>54</v>
      </c>
      <c r="AX57" s="18" t="s">
        <v>762</v>
      </c>
      <c r="AY57" s="22" t="s">
        <v>834</v>
      </c>
      <c r="AZ57" s="22" t="s">
        <v>908</v>
      </c>
      <c r="BA57" s="18"/>
      <c r="BB57" s="18"/>
      <c r="BC57" s="18" t="s">
        <v>835</v>
      </c>
      <c r="BD57" s="18"/>
      <c r="BE57" s="18"/>
      <c r="BF57" s="18"/>
      <c r="BG57" s="18"/>
      <c r="BH57" s="18" t="s">
        <v>910</v>
      </c>
      <c r="BI57" s="18"/>
      <c r="BJ57" s="18"/>
      <c r="BK57" s="18"/>
      <c r="BL57" s="18"/>
      <c r="BM57" s="18"/>
      <c r="BN57" s="18"/>
      <c r="BO57" s="18"/>
      <c r="BP57" s="18" t="s">
        <v>724</v>
      </c>
      <c r="BQ57" s="18" t="s">
        <v>902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955</v>
      </c>
    </row>
    <row r="58" spans="1:110" ht="12" customHeight="1" x14ac:dyDescent="0.25">
      <c r="A58" s="15" t="s">
        <v>242</v>
      </c>
      <c r="B58" s="15" t="s">
        <v>2</v>
      </c>
      <c r="C58" s="15" t="s">
        <v>125</v>
      </c>
      <c r="D58" t="s">
        <v>319</v>
      </c>
      <c r="E58" s="18" t="s">
        <v>324</v>
      </c>
      <c r="F58" t="s">
        <v>319</v>
      </c>
      <c r="G58" s="18" t="s">
        <v>325</v>
      </c>
      <c r="H58" s="16" t="s">
        <v>47</v>
      </c>
      <c r="I58"/>
      <c r="J58"/>
      <c r="K58"/>
      <c r="L58"/>
      <c r="M58"/>
      <c r="N58"/>
      <c r="O58"/>
      <c r="P58"/>
      <c r="Q58"/>
      <c r="R58"/>
      <c r="S58"/>
      <c r="T58"/>
      <c r="U58">
        <v>372</v>
      </c>
      <c r="V58" s="17">
        <v>188</v>
      </c>
      <c r="W58" t="s">
        <v>69</v>
      </c>
      <c r="X58" t="s">
        <v>69</v>
      </c>
      <c r="Y58" s="19" t="s">
        <v>326</v>
      </c>
      <c r="Z58" t="s">
        <v>154</v>
      </c>
      <c r="AA58" t="s">
        <v>154</v>
      </c>
      <c r="AB58" s="18" t="s">
        <v>383</v>
      </c>
      <c r="AC58" s="18" t="s">
        <v>396</v>
      </c>
      <c r="AD58" s="18" t="s">
        <v>383</v>
      </c>
      <c r="AE58" s="20" t="s">
        <v>154</v>
      </c>
      <c r="AF58" s="18" t="s">
        <v>453</v>
      </c>
      <c r="AG58"/>
      <c r="AH58"/>
      <c r="AI58"/>
      <c r="AJ58" s="17" t="s">
        <v>194</v>
      </c>
      <c r="AK58"/>
      <c r="AL58" s="17">
        <v>3639</v>
      </c>
      <c r="AM58" s="17" t="s">
        <v>54</v>
      </c>
      <c r="AN58"/>
      <c r="AO58" s="18" t="s">
        <v>473</v>
      </c>
      <c r="AP58"/>
      <c r="AQ58"/>
      <c r="AR58" s="18" t="s">
        <v>536</v>
      </c>
      <c r="AS58" s="18" t="s">
        <v>686</v>
      </c>
      <c r="AT58" s="18" t="s">
        <v>686</v>
      </c>
      <c r="AU58" s="18" t="s">
        <v>687</v>
      </c>
      <c r="AV58" s="18" t="s">
        <v>687</v>
      </c>
      <c r="AW58" s="22">
        <f t="shared" si="0"/>
        <v>48</v>
      </c>
      <c r="AX58" s="18" t="s">
        <v>833</v>
      </c>
      <c r="AY58" s="22" t="s">
        <v>834</v>
      </c>
      <c r="AZ58" s="18" t="s">
        <v>911</v>
      </c>
      <c r="BA58" s="18"/>
      <c r="BB58" s="18"/>
      <c r="BC58" s="18" t="s">
        <v>912</v>
      </c>
      <c r="BD58" s="18"/>
      <c r="BE58" s="18"/>
      <c r="BF58" s="18"/>
      <c r="BG58" s="18"/>
      <c r="BH58" s="23" t="s">
        <v>913</v>
      </c>
      <c r="BI58" s="18"/>
      <c r="BJ58" s="18"/>
      <c r="BK58" s="18"/>
      <c r="BL58" s="18"/>
      <c r="BM58" s="18"/>
      <c r="BN58" s="18"/>
      <c r="BO58" s="18"/>
      <c r="BP58" s="18" t="s">
        <v>724</v>
      </c>
      <c r="BQ58" s="18" t="s">
        <v>902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955</v>
      </c>
    </row>
    <row r="59" spans="1:110" ht="12" customHeight="1" x14ac:dyDescent="0.25">
      <c r="A59" s="15" t="s">
        <v>242</v>
      </c>
      <c r="B59" s="15" t="s">
        <v>2</v>
      </c>
      <c r="C59" s="15" t="s">
        <v>125</v>
      </c>
      <c r="D59" t="s">
        <v>319</v>
      </c>
      <c r="E59" s="18" t="s">
        <v>324</v>
      </c>
      <c r="F59" t="s">
        <v>319</v>
      </c>
      <c r="G59" s="18" t="s">
        <v>325</v>
      </c>
      <c r="H59" s="16" t="s">
        <v>47</v>
      </c>
      <c r="I59"/>
      <c r="J59"/>
      <c r="K59"/>
      <c r="L59"/>
      <c r="M59"/>
      <c r="N59"/>
      <c r="O59"/>
      <c r="P59"/>
      <c r="Q59"/>
      <c r="R59"/>
      <c r="S59"/>
      <c r="T59"/>
      <c r="U59">
        <v>374</v>
      </c>
      <c r="V59" s="17">
        <v>190</v>
      </c>
      <c r="W59" t="s">
        <v>69</v>
      </c>
      <c r="X59" t="s">
        <v>69</v>
      </c>
      <c r="Y59" s="19" t="s">
        <v>326</v>
      </c>
      <c r="Z59" t="s">
        <v>165</v>
      </c>
      <c r="AA59" t="s">
        <v>165</v>
      </c>
      <c r="AB59" s="18" t="s">
        <v>384</v>
      </c>
      <c r="AC59" s="18" t="s">
        <v>396</v>
      </c>
      <c r="AD59" s="18" t="s">
        <v>384</v>
      </c>
      <c r="AE59" s="20" t="s">
        <v>165</v>
      </c>
      <c r="AF59" s="18" t="s">
        <v>454</v>
      </c>
      <c r="AG59"/>
      <c r="AH59"/>
      <c r="AI59"/>
      <c r="AJ59" s="17" t="s">
        <v>235</v>
      </c>
      <c r="AK59"/>
      <c r="AL59" s="17">
        <v>3639</v>
      </c>
      <c r="AM59" s="17" t="s">
        <v>269</v>
      </c>
      <c r="AN59"/>
      <c r="AO59" s="18" t="s">
        <v>474</v>
      </c>
      <c r="AP59"/>
      <c r="AQ59"/>
      <c r="AR59" s="18" t="s">
        <v>537</v>
      </c>
      <c r="AS59" s="18" t="s">
        <v>688</v>
      </c>
      <c r="AT59" s="18" t="s">
        <v>688</v>
      </c>
      <c r="AU59" s="18" t="s">
        <v>689</v>
      </c>
      <c r="AV59" s="18" t="s">
        <v>689</v>
      </c>
      <c r="AW59" s="22">
        <f t="shared" si="0"/>
        <v>60</v>
      </c>
      <c r="AX59" s="18" t="s">
        <v>813</v>
      </c>
      <c r="AY59" s="22" t="s">
        <v>834</v>
      </c>
      <c r="AZ59" s="18" t="s">
        <v>838</v>
      </c>
      <c r="BA59" s="18"/>
      <c r="BB59" s="18"/>
      <c r="BC59" s="18" t="s">
        <v>914</v>
      </c>
      <c r="BD59" s="18" t="s">
        <v>840</v>
      </c>
      <c r="BE59" s="18"/>
      <c r="BF59" s="18"/>
      <c r="BG59" s="18"/>
      <c r="BH59" s="22" t="s">
        <v>841</v>
      </c>
      <c r="BI59" s="18"/>
      <c r="BJ59" s="18"/>
      <c r="BK59" s="18"/>
      <c r="BL59" s="18" t="s">
        <v>736</v>
      </c>
      <c r="BM59" s="18"/>
      <c r="BN59" s="18" t="s">
        <v>737</v>
      </c>
      <c r="BO59" s="18"/>
      <c r="BP59" s="18" t="s">
        <v>724</v>
      </c>
      <c r="BQ59" s="18" t="s">
        <v>915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955</v>
      </c>
    </row>
    <row r="60" spans="1:110" ht="12" customHeight="1" x14ac:dyDescent="0.25">
      <c r="A60" s="15" t="s">
        <v>242</v>
      </c>
      <c r="B60" s="15" t="s">
        <v>2</v>
      </c>
      <c r="C60" s="15" t="s">
        <v>125</v>
      </c>
      <c r="D60" t="s">
        <v>319</v>
      </c>
      <c r="E60" s="18" t="s">
        <v>324</v>
      </c>
      <c r="F60" t="s">
        <v>319</v>
      </c>
      <c r="G60" s="18" t="s">
        <v>325</v>
      </c>
      <c r="H60" s="16" t="s">
        <v>47</v>
      </c>
      <c r="I60"/>
      <c r="J60"/>
      <c r="K60"/>
      <c r="L60"/>
      <c r="M60"/>
      <c r="N60"/>
      <c r="O60"/>
      <c r="P60"/>
      <c r="Q60"/>
      <c r="R60"/>
      <c r="S60"/>
      <c r="T60"/>
      <c r="U60">
        <v>376</v>
      </c>
      <c r="V60" s="17">
        <v>192</v>
      </c>
      <c r="W60" t="s">
        <v>69</v>
      </c>
      <c r="X60" t="s">
        <v>69</v>
      </c>
      <c r="Y60" s="19" t="s">
        <v>326</v>
      </c>
      <c r="Z60" t="s">
        <v>12</v>
      </c>
      <c r="AA60" t="s">
        <v>12</v>
      </c>
      <c r="AB60" s="18" t="s">
        <v>385</v>
      </c>
      <c r="AC60" s="18" t="s">
        <v>396</v>
      </c>
      <c r="AD60" s="18" t="s">
        <v>385</v>
      </c>
      <c r="AE60" s="20" t="s">
        <v>12</v>
      </c>
      <c r="AF60" s="18" t="s">
        <v>455</v>
      </c>
      <c r="AG60"/>
      <c r="AH60"/>
      <c r="AI60"/>
      <c r="AJ60" s="17" t="s">
        <v>180</v>
      </c>
      <c r="AK60"/>
      <c r="AL60" s="17">
        <v>3639</v>
      </c>
      <c r="AM60" s="17" t="s">
        <v>183</v>
      </c>
      <c r="AN60"/>
      <c r="AO60" s="18" t="s">
        <v>475</v>
      </c>
      <c r="AP60"/>
      <c r="AQ60"/>
      <c r="AR60" s="18" t="s">
        <v>538</v>
      </c>
      <c r="AS60" s="18" t="s">
        <v>690</v>
      </c>
      <c r="AT60" s="18" t="s">
        <v>690</v>
      </c>
      <c r="AU60" s="18" t="s">
        <v>691</v>
      </c>
      <c r="AV60" s="18" t="s">
        <v>691</v>
      </c>
      <c r="AW60" s="22">
        <f t="shared" si="0"/>
        <v>59</v>
      </c>
      <c r="AX60" s="18" t="s">
        <v>844</v>
      </c>
      <c r="AY60" s="22" t="s">
        <v>834</v>
      </c>
      <c r="AZ60" s="21" t="s">
        <v>845</v>
      </c>
      <c r="BA60" s="18"/>
      <c r="BB60" s="18"/>
      <c r="BC60" s="18" t="s">
        <v>914</v>
      </c>
      <c r="BD60" s="18"/>
      <c r="BE60" s="18"/>
      <c r="BF60" s="18"/>
      <c r="BG60" s="18"/>
      <c r="BH60" s="23" t="s">
        <v>916</v>
      </c>
      <c r="BI60" s="18"/>
      <c r="BJ60" s="18"/>
      <c r="BK60" s="18"/>
      <c r="BL60" s="18" t="s">
        <v>736</v>
      </c>
      <c r="BM60" s="18"/>
      <c r="BN60" s="18" t="s">
        <v>737</v>
      </c>
      <c r="BO60" s="18"/>
      <c r="BP60" s="18" t="s">
        <v>917</v>
      </c>
      <c r="BQ60" s="18" t="s">
        <v>918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955</v>
      </c>
    </row>
    <row r="61" spans="1:110" ht="12" customHeight="1" x14ac:dyDescent="0.25">
      <c r="A61" s="15" t="s">
        <v>242</v>
      </c>
      <c r="B61" s="15" t="s">
        <v>2</v>
      </c>
      <c r="C61" s="15" t="s">
        <v>125</v>
      </c>
      <c r="D61" t="s">
        <v>319</v>
      </c>
      <c r="E61" s="18" t="s">
        <v>324</v>
      </c>
      <c r="F61" t="s">
        <v>319</v>
      </c>
      <c r="G61" s="18" t="s">
        <v>325</v>
      </c>
      <c r="H61" s="16" t="s">
        <v>47</v>
      </c>
      <c r="I61"/>
      <c r="J61"/>
      <c r="K61"/>
      <c r="L61"/>
      <c r="M61"/>
      <c r="N61"/>
      <c r="O61"/>
      <c r="P61"/>
      <c r="Q61"/>
      <c r="R61"/>
      <c r="S61"/>
      <c r="T61"/>
      <c r="U61">
        <v>377</v>
      </c>
      <c r="V61" s="17">
        <v>193</v>
      </c>
      <c r="W61" t="s">
        <v>69</v>
      </c>
      <c r="X61" t="s">
        <v>69</v>
      </c>
      <c r="Y61" s="19" t="s">
        <v>326</v>
      </c>
      <c r="Z61" t="s">
        <v>103</v>
      </c>
      <c r="AA61" t="s">
        <v>103</v>
      </c>
      <c r="AB61" s="18" t="s">
        <v>386</v>
      </c>
      <c r="AC61" s="18" t="s">
        <v>396</v>
      </c>
      <c r="AD61" s="18" t="s">
        <v>386</v>
      </c>
      <c r="AE61" s="20" t="s">
        <v>103</v>
      </c>
      <c r="AF61" s="18" t="s">
        <v>456</v>
      </c>
      <c r="AG61"/>
      <c r="AH61"/>
      <c r="AI61"/>
      <c r="AJ61" s="17" t="s">
        <v>32</v>
      </c>
      <c r="AK61"/>
      <c r="AL61" s="17">
        <v>3639</v>
      </c>
      <c r="AM61" s="17" t="s">
        <v>7</v>
      </c>
      <c r="AN61"/>
      <c r="AO61" s="18" t="s">
        <v>477</v>
      </c>
      <c r="AP61"/>
      <c r="AQ61"/>
      <c r="AR61" s="18" t="s">
        <v>539</v>
      </c>
      <c r="AS61" s="18" t="s">
        <v>692</v>
      </c>
      <c r="AT61" s="18" t="s">
        <v>692</v>
      </c>
      <c r="AU61" s="18" t="s">
        <v>693</v>
      </c>
      <c r="AV61" s="18" t="s">
        <v>693</v>
      </c>
      <c r="AW61" s="22">
        <f t="shared" si="0"/>
        <v>57</v>
      </c>
      <c r="AX61" s="18" t="s">
        <v>919</v>
      </c>
      <c r="AY61" s="22" t="s">
        <v>834</v>
      </c>
      <c r="AZ61" s="18"/>
      <c r="BA61" s="18"/>
      <c r="BB61" s="18"/>
      <c r="BC61" s="22" t="s">
        <v>920</v>
      </c>
      <c r="BD61" s="18"/>
      <c r="BE61" s="18"/>
      <c r="BF61" s="18"/>
      <c r="BG61" s="18"/>
      <c r="BH61" s="22" t="s">
        <v>921</v>
      </c>
      <c r="BI61" s="18"/>
      <c r="BJ61" s="18"/>
      <c r="BK61" s="18"/>
      <c r="BL61" s="18"/>
      <c r="BM61" s="18"/>
      <c r="BN61" s="18"/>
      <c r="BO61" s="18"/>
      <c r="BP61" s="18" t="s">
        <v>724</v>
      </c>
      <c r="BQ61" s="18" t="s">
        <v>922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955</v>
      </c>
    </row>
    <row r="62" spans="1:110" ht="12" customHeight="1" x14ac:dyDescent="0.25">
      <c r="A62" s="15" t="s">
        <v>242</v>
      </c>
      <c r="B62" s="15" t="s">
        <v>2</v>
      </c>
      <c r="C62" s="15" t="s">
        <v>125</v>
      </c>
      <c r="D62" t="s">
        <v>319</v>
      </c>
      <c r="E62" s="18" t="s">
        <v>324</v>
      </c>
      <c r="F62" t="s">
        <v>319</v>
      </c>
      <c r="G62" s="18" t="s">
        <v>325</v>
      </c>
      <c r="H62" s="16" t="s">
        <v>47</v>
      </c>
      <c r="I62"/>
      <c r="J62"/>
      <c r="K62"/>
      <c r="L62"/>
      <c r="M62"/>
      <c r="N62"/>
      <c r="O62"/>
      <c r="P62"/>
      <c r="Q62"/>
      <c r="R62"/>
      <c r="S62"/>
      <c r="T62"/>
      <c r="U62">
        <v>378</v>
      </c>
      <c r="V62" s="17">
        <v>194</v>
      </c>
      <c r="W62" t="s">
        <v>69</v>
      </c>
      <c r="X62" t="s">
        <v>69</v>
      </c>
      <c r="Y62" s="19" t="s">
        <v>326</v>
      </c>
      <c r="Z62" t="s">
        <v>56</v>
      </c>
      <c r="AA62" t="s">
        <v>56</v>
      </c>
      <c r="AB62" s="18" t="s">
        <v>387</v>
      </c>
      <c r="AC62" s="18" t="s">
        <v>396</v>
      </c>
      <c r="AD62" s="18" t="s">
        <v>387</v>
      </c>
      <c r="AE62" s="20" t="s">
        <v>56</v>
      </c>
      <c r="AF62" s="18" t="s">
        <v>457</v>
      </c>
      <c r="AG62"/>
      <c r="AH62"/>
      <c r="AI62"/>
      <c r="AJ62" s="17" t="s">
        <v>218</v>
      </c>
      <c r="AK62"/>
      <c r="AL62" s="17">
        <v>3639</v>
      </c>
      <c r="AM62" s="17" t="s">
        <v>99</v>
      </c>
      <c r="AN62"/>
      <c r="AO62" s="18" t="s">
        <v>477</v>
      </c>
      <c r="AP62"/>
      <c r="AQ62"/>
      <c r="AR62" s="22" t="s">
        <v>540</v>
      </c>
      <c r="AS62" s="22" t="s">
        <v>694</v>
      </c>
      <c r="AT62" s="22" t="s">
        <v>694</v>
      </c>
      <c r="AU62" s="22" t="s">
        <v>695</v>
      </c>
      <c r="AV62" s="22" t="s">
        <v>696</v>
      </c>
      <c r="AW62" s="22">
        <f t="shared" si="0"/>
        <v>56</v>
      </c>
      <c r="AX62" s="22" t="s">
        <v>919</v>
      </c>
      <c r="AY62" s="22" t="s">
        <v>834</v>
      </c>
      <c r="AZ62" s="22" t="s">
        <v>923</v>
      </c>
      <c r="BA62" s="22"/>
      <c r="BB62" s="22"/>
      <c r="BC62" s="22" t="s">
        <v>924</v>
      </c>
      <c r="BD62" s="22"/>
      <c r="BE62" s="22"/>
      <c r="BF62" s="22"/>
      <c r="BG62" s="22"/>
      <c r="BH62" s="22" t="s">
        <v>925</v>
      </c>
      <c r="BI62" s="22"/>
      <c r="BJ62" s="22"/>
      <c r="BK62" s="22"/>
      <c r="BL62" s="18" t="s">
        <v>736</v>
      </c>
      <c r="BM62" s="22" t="s">
        <v>926</v>
      </c>
      <c r="BN62" s="18" t="s">
        <v>737</v>
      </c>
      <c r="BO62" s="22"/>
      <c r="BP62" s="22"/>
      <c r="BQ62" s="22" t="s">
        <v>927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955</v>
      </c>
    </row>
    <row r="63" spans="1:110" ht="12" customHeight="1" x14ac:dyDescent="0.25">
      <c r="A63" s="15" t="s">
        <v>242</v>
      </c>
      <c r="B63" s="15" t="s">
        <v>2</v>
      </c>
      <c r="C63" s="15" t="s">
        <v>125</v>
      </c>
      <c r="D63" t="s">
        <v>319</v>
      </c>
      <c r="E63" s="18" t="s">
        <v>324</v>
      </c>
      <c r="F63" t="s">
        <v>319</v>
      </c>
      <c r="G63" s="18" t="s">
        <v>325</v>
      </c>
      <c r="H63" s="16" t="s">
        <v>47</v>
      </c>
      <c r="I63"/>
      <c r="J63"/>
      <c r="K63"/>
      <c r="L63"/>
      <c r="M63"/>
      <c r="N63"/>
      <c r="O63"/>
      <c r="P63"/>
      <c r="Q63"/>
      <c r="R63"/>
      <c r="S63"/>
      <c r="T63"/>
      <c r="U63">
        <v>379</v>
      </c>
      <c r="V63" s="17">
        <v>195</v>
      </c>
      <c r="W63" t="s">
        <v>69</v>
      </c>
      <c r="X63" t="s">
        <v>69</v>
      </c>
      <c r="Y63" s="19" t="s">
        <v>326</v>
      </c>
      <c r="Z63" t="s">
        <v>97</v>
      </c>
      <c r="AA63" t="s">
        <v>97</v>
      </c>
      <c r="AB63" s="18" t="s">
        <v>388</v>
      </c>
      <c r="AC63" s="18" t="s">
        <v>396</v>
      </c>
      <c r="AD63" s="18" t="s">
        <v>388</v>
      </c>
      <c r="AE63" s="20" t="s">
        <v>97</v>
      </c>
      <c r="AF63" s="18" t="s">
        <v>458</v>
      </c>
      <c r="AG63"/>
      <c r="AH63"/>
      <c r="AI63"/>
      <c r="AJ63" s="17" t="s">
        <v>0</v>
      </c>
      <c r="AK63"/>
      <c r="AL63" s="17">
        <v>3639</v>
      </c>
      <c r="AM63" s="17" t="s">
        <v>149</v>
      </c>
      <c r="AN63"/>
      <c r="AO63" s="18" t="s">
        <v>477</v>
      </c>
      <c r="AP63"/>
      <c r="AQ63"/>
      <c r="AR63" s="22" t="s">
        <v>541</v>
      </c>
      <c r="AS63" s="22" t="s">
        <v>697</v>
      </c>
      <c r="AT63" s="22" t="s">
        <v>697</v>
      </c>
      <c r="AU63" s="22" t="s">
        <v>698</v>
      </c>
      <c r="AV63" s="22" t="s">
        <v>699</v>
      </c>
      <c r="AW63" s="22">
        <f t="shared" si="0"/>
        <v>55</v>
      </c>
      <c r="AX63" s="22" t="s">
        <v>919</v>
      </c>
      <c r="AY63" s="22" t="s">
        <v>834</v>
      </c>
      <c r="AZ63" s="22" t="s">
        <v>923</v>
      </c>
      <c r="BA63" s="22"/>
      <c r="BB63" s="22"/>
      <c r="BC63" s="22" t="s">
        <v>912</v>
      </c>
      <c r="BD63" s="22"/>
      <c r="BE63" s="22"/>
      <c r="BF63" s="22"/>
      <c r="BG63" s="22"/>
      <c r="BH63" s="22" t="s">
        <v>925</v>
      </c>
      <c r="BI63" s="22"/>
      <c r="BJ63" s="22"/>
      <c r="BK63" s="22"/>
      <c r="BL63" s="18" t="s">
        <v>736</v>
      </c>
      <c r="BM63" s="22" t="s">
        <v>926</v>
      </c>
      <c r="BN63" s="18" t="s">
        <v>737</v>
      </c>
      <c r="BO63" s="22"/>
      <c r="BP63" s="22"/>
      <c r="BQ63" s="22" t="s">
        <v>928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955</v>
      </c>
    </row>
    <row r="64" spans="1:110" ht="12" customHeight="1" x14ac:dyDescent="0.25">
      <c r="A64" s="15" t="s">
        <v>242</v>
      </c>
      <c r="B64" s="15" t="s">
        <v>2</v>
      </c>
      <c r="C64" s="15" t="s">
        <v>125</v>
      </c>
      <c r="D64" t="s">
        <v>319</v>
      </c>
      <c r="E64" s="18" t="s">
        <v>324</v>
      </c>
      <c r="F64" t="s">
        <v>319</v>
      </c>
      <c r="G64" s="18" t="s">
        <v>325</v>
      </c>
      <c r="H64" s="16" t="s">
        <v>47</v>
      </c>
      <c r="I64"/>
      <c r="J64"/>
      <c r="K64"/>
      <c r="L64"/>
      <c r="M64"/>
      <c r="N64"/>
      <c r="O64"/>
      <c r="P64"/>
      <c r="Q64"/>
      <c r="R64"/>
      <c r="S64"/>
      <c r="T64"/>
      <c r="U64">
        <v>380</v>
      </c>
      <c r="V64" s="17">
        <v>196</v>
      </c>
      <c r="W64" t="s">
        <v>69</v>
      </c>
      <c r="X64" t="s">
        <v>69</v>
      </c>
      <c r="Y64" s="19" t="s">
        <v>326</v>
      </c>
      <c r="Z64" t="s">
        <v>190</v>
      </c>
      <c r="AA64" t="s">
        <v>190</v>
      </c>
      <c r="AB64" s="18" t="s">
        <v>389</v>
      </c>
      <c r="AC64" s="18" t="s">
        <v>396</v>
      </c>
      <c r="AD64" s="18" t="s">
        <v>389</v>
      </c>
      <c r="AE64" s="20" t="s">
        <v>190</v>
      </c>
      <c r="AF64" s="18" t="s">
        <v>459</v>
      </c>
      <c r="AG64"/>
      <c r="AH64"/>
      <c r="AI64"/>
      <c r="AJ64" s="17" t="s">
        <v>64</v>
      </c>
      <c r="AK64"/>
      <c r="AL64" s="17">
        <v>3639</v>
      </c>
      <c r="AM64" s="17" t="s">
        <v>253</v>
      </c>
      <c r="AN64"/>
      <c r="AO64" s="18" t="s">
        <v>477</v>
      </c>
      <c r="AP64"/>
      <c r="AQ64"/>
      <c r="AR64" s="22" t="s">
        <v>542</v>
      </c>
      <c r="AS64" s="22" t="s">
        <v>700</v>
      </c>
      <c r="AT64" s="22" t="s">
        <v>700</v>
      </c>
      <c r="AU64" s="22" t="s">
        <v>701</v>
      </c>
      <c r="AV64" s="22" t="s">
        <v>702</v>
      </c>
      <c r="AW64" s="22">
        <f t="shared" si="0"/>
        <v>52</v>
      </c>
      <c r="AX64" s="22" t="s">
        <v>762</v>
      </c>
      <c r="AY64" s="22" t="s">
        <v>834</v>
      </c>
      <c r="AZ64" s="22" t="s">
        <v>891</v>
      </c>
      <c r="BA64" s="22"/>
      <c r="BB64" s="22"/>
      <c r="BC64" s="22" t="s">
        <v>929</v>
      </c>
      <c r="BD64" s="22"/>
      <c r="BE64" s="22"/>
      <c r="BF64" s="22"/>
      <c r="BG64" s="22"/>
      <c r="BH64" s="22" t="s">
        <v>930</v>
      </c>
      <c r="BI64" s="22"/>
      <c r="BJ64" s="22"/>
      <c r="BK64" s="22"/>
      <c r="BL64" s="18" t="s">
        <v>736</v>
      </c>
      <c r="BM64" s="22"/>
      <c r="BN64" s="18" t="s">
        <v>737</v>
      </c>
      <c r="BO64" s="22"/>
      <c r="BP64" s="18" t="s">
        <v>724</v>
      </c>
      <c r="BQ64" s="22" t="s">
        <v>931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955</v>
      </c>
    </row>
    <row r="65" spans="1:110" ht="12" customHeight="1" x14ac:dyDescent="0.25">
      <c r="A65" s="15" t="s">
        <v>242</v>
      </c>
      <c r="B65" s="15" t="s">
        <v>2</v>
      </c>
      <c r="C65" s="15" t="s">
        <v>125</v>
      </c>
      <c r="D65" t="s">
        <v>319</v>
      </c>
      <c r="E65" s="18" t="s">
        <v>324</v>
      </c>
      <c r="F65" t="s">
        <v>319</v>
      </c>
      <c r="G65" s="18" t="s">
        <v>325</v>
      </c>
      <c r="H65" s="16" t="s">
        <v>47</v>
      </c>
      <c r="I65"/>
      <c r="J65"/>
      <c r="K65"/>
      <c r="L65"/>
      <c r="M65"/>
      <c r="N65"/>
      <c r="O65"/>
      <c r="P65"/>
      <c r="Q65"/>
      <c r="R65"/>
      <c r="S65"/>
      <c r="T65"/>
      <c r="U65">
        <v>381</v>
      </c>
      <c r="V65" s="17">
        <v>197</v>
      </c>
      <c r="W65" t="s">
        <v>69</v>
      </c>
      <c r="X65" t="s">
        <v>69</v>
      </c>
      <c r="Y65" s="19" t="s">
        <v>326</v>
      </c>
      <c r="Z65" t="s">
        <v>215</v>
      </c>
      <c r="AA65" t="s">
        <v>215</v>
      </c>
      <c r="AB65" s="18" t="s">
        <v>390</v>
      </c>
      <c r="AC65" s="18" t="s">
        <v>396</v>
      </c>
      <c r="AD65" s="18" t="s">
        <v>390</v>
      </c>
      <c r="AE65" s="20" t="s">
        <v>215</v>
      </c>
      <c r="AF65" s="18" t="s">
        <v>460</v>
      </c>
      <c r="AG65"/>
      <c r="AH65"/>
      <c r="AI65"/>
      <c r="AJ65" s="17" t="s">
        <v>259</v>
      </c>
      <c r="AK65"/>
      <c r="AL65" s="17">
        <v>3639</v>
      </c>
      <c r="AM65" s="17" t="s">
        <v>291</v>
      </c>
      <c r="AN65"/>
      <c r="AO65" s="18" t="s">
        <v>477</v>
      </c>
      <c r="AP65"/>
      <c r="AQ65"/>
      <c r="AR65" s="22" t="s">
        <v>543</v>
      </c>
      <c r="AS65" s="22" t="s">
        <v>703</v>
      </c>
      <c r="AT65" s="22" t="s">
        <v>703</v>
      </c>
      <c r="AU65" s="22" t="s">
        <v>704</v>
      </c>
      <c r="AV65" s="22" t="s">
        <v>704</v>
      </c>
      <c r="AW65" s="22">
        <f t="shared" si="0"/>
        <v>36</v>
      </c>
      <c r="AX65" s="22" t="s">
        <v>919</v>
      </c>
      <c r="AY65" s="22" t="s">
        <v>834</v>
      </c>
      <c r="AZ65" s="22" t="s">
        <v>900</v>
      </c>
      <c r="BA65" s="22"/>
      <c r="BB65" s="22"/>
      <c r="BC65" s="22" t="s">
        <v>932</v>
      </c>
      <c r="BD65" s="22"/>
      <c r="BE65" s="22"/>
      <c r="BF65" s="22"/>
      <c r="BG65" s="22"/>
      <c r="BH65" s="22"/>
      <c r="BI65" s="22"/>
      <c r="BJ65" s="22"/>
      <c r="BK65" s="22"/>
      <c r="BL65" s="18" t="s">
        <v>736</v>
      </c>
      <c r="BM65" s="22"/>
      <c r="BN65" s="18" t="s">
        <v>737</v>
      </c>
      <c r="BO65" s="22"/>
      <c r="BP65" s="18" t="s">
        <v>724</v>
      </c>
      <c r="BQ65" s="22" t="s">
        <v>933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955</v>
      </c>
    </row>
    <row r="66" spans="1:110" ht="12" customHeight="1" x14ac:dyDescent="0.25">
      <c r="A66" s="15" t="s">
        <v>242</v>
      </c>
      <c r="B66" s="15" t="s">
        <v>2</v>
      </c>
      <c r="C66" s="15" t="s">
        <v>125</v>
      </c>
      <c r="D66" t="s">
        <v>319</v>
      </c>
      <c r="E66" s="18" t="s">
        <v>324</v>
      </c>
      <c r="F66" t="s">
        <v>319</v>
      </c>
      <c r="G66" s="18" t="s">
        <v>325</v>
      </c>
      <c r="H66" s="16" t="s">
        <v>47</v>
      </c>
      <c r="I66"/>
      <c r="J66"/>
      <c r="K66"/>
      <c r="L66"/>
      <c r="M66"/>
      <c r="N66"/>
      <c r="O66"/>
      <c r="P66"/>
      <c r="Q66"/>
      <c r="R66"/>
      <c r="S66"/>
      <c r="T66"/>
      <c r="U66">
        <v>382</v>
      </c>
      <c r="V66" s="17">
        <v>198</v>
      </c>
      <c r="W66" t="s">
        <v>69</v>
      </c>
      <c r="X66" t="s">
        <v>69</v>
      </c>
      <c r="Y66" s="19" t="s">
        <v>326</v>
      </c>
      <c r="Z66" t="s">
        <v>232</v>
      </c>
      <c r="AA66" t="s">
        <v>232</v>
      </c>
      <c r="AB66" s="18" t="s">
        <v>391</v>
      </c>
      <c r="AC66" s="18" t="s">
        <v>396</v>
      </c>
      <c r="AD66" s="18" t="s">
        <v>391</v>
      </c>
      <c r="AE66" s="20" t="s">
        <v>232</v>
      </c>
      <c r="AF66" s="18" t="s">
        <v>461</v>
      </c>
      <c r="AG66"/>
      <c r="AH66"/>
      <c r="AI66"/>
      <c r="AJ66" s="17" t="s">
        <v>152</v>
      </c>
      <c r="AK66"/>
      <c r="AL66" s="17">
        <v>3639</v>
      </c>
      <c r="AM66" s="17" t="s">
        <v>53</v>
      </c>
      <c r="AN66"/>
      <c r="AO66" s="18" t="s">
        <v>477</v>
      </c>
      <c r="AP66"/>
      <c r="AQ66"/>
      <c r="AR66" s="22" t="s">
        <v>544</v>
      </c>
      <c r="AS66" s="22" t="s">
        <v>705</v>
      </c>
      <c r="AT66" s="22" t="s">
        <v>705</v>
      </c>
      <c r="AU66" s="22" t="s">
        <v>706</v>
      </c>
      <c r="AV66" s="22" t="s">
        <v>707</v>
      </c>
      <c r="AW66" s="22">
        <f t="shared" ref="AW66:AW70" si="1">LEN(SUBSTITUTE(AV66, ", "," "))</f>
        <v>54</v>
      </c>
      <c r="AX66" s="22" t="s">
        <v>762</v>
      </c>
      <c r="AY66" s="22" t="s">
        <v>834</v>
      </c>
      <c r="AZ66" s="22" t="s">
        <v>891</v>
      </c>
      <c r="BA66" s="22"/>
      <c r="BB66" s="22"/>
      <c r="BC66" s="18" t="s">
        <v>835</v>
      </c>
      <c r="BD66" s="22"/>
      <c r="BE66" s="22"/>
      <c r="BF66" s="22"/>
      <c r="BG66" s="22"/>
      <c r="BH66" s="22" t="s">
        <v>934</v>
      </c>
      <c r="BI66" s="22"/>
      <c r="BJ66" s="22"/>
      <c r="BK66" s="22"/>
      <c r="BL66" s="18" t="s">
        <v>736</v>
      </c>
      <c r="BM66" s="22"/>
      <c r="BN66" s="18" t="s">
        <v>737</v>
      </c>
      <c r="BO66" s="22"/>
      <c r="BP66" s="18" t="s">
        <v>724</v>
      </c>
      <c r="BQ66" s="22" t="s">
        <v>935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955</v>
      </c>
    </row>
    <row r="67" spans="1:110" ht="12" customHeight="1" x14ac:dyDescent="0.25">
      <c r="A67" s="15" t="s">
        <v>242</v>
      </c>
      <c r="B67" s="15" t="s">
        <v>2</v>
      </c>
      <c r="C67" s="15" t="s">
        <v>125</v>
      </c>
      <c r="D67" t="s">
        <v>319</v>
      </c>
      <c r="E67" s="18" t="s">
        <v>324</v>
      </c>
      <c r="F67" t="s">
        <v>319</v>
      </c>
      <c r="G67" s="18" t="s">
        <v>325</v>
      </c>
      <c r="H67" s="16" t="s">
        <v>47</v>
      </c>
      <c r="I67"/>
      <c r="J67"/>
      <c r="K67"/>
      <c r="L67"/>
      <c r="M67"/>
      <c r="N67"/>
      <c r="O67"/>
      <c r="P67"/>
      <c r="Q67"/>
      <c r="R67"/>
      <c r="S67"/>
      <c r="T67"/>
      <c r="U67">
        <v>383</v>
      </c>
      <c r="V67" s="17">
        <v>199</v>
      </c>
      <c r="W67" t="s">
        <v>69</v>
      </c>
      <c r="X67" t="s">
        <v>69</v>
      </c>
      <c r="Y67" s="19" t="s">
        <v>326</v>
      </c>
      <c r="Z67" t="s">
        <v>21</v>
      </c>
      <c r="AA67" t="s">
        <v>21</v>
      </c>
      <c r="AB67" s="18" t="s">
        <v>392</v>
      </c>
      <c r="AC67" s="18" t="s">
        <v>396</v>
      </c>
      <c r="AD67" s="18" t="s">
        <v>392</v>
      </c>
      <c r="AE67" s="20" t="s">
        <v>21</v>
      </c>
      <c r="AF67" s="18" t="s">
        <v>462</v>
      </c>
      <c r="AG67"/>
      <c r="AH67"/>
      <c r="AI67"/>
      <c r="AJ67" s="17" t="s">
        <v>189</v>
      </c>
      <c r="AK67"/>
      <c r="AL67" s="17">
        <v>3639</v>
      </c>
      <c r="AM67" s="17" t="s">
        <v>111</v>
      </c>
      <c r="AN67"/>
      <c r="AO67" s="18" t="s">
        <v>477</v>
      </c>
      <c r="AP67"/>
      <c r="AQ67"/>
      <c r="AR67" s="22" t="s">
        <v>545</v>
      </c>
      <c r="AS67" s="22" t="s">
        <v>708</v>
      </c>
      <c r="AT67" s="22" t="s">
        <v>708</v>
      </c>
      <c r="AU67" s="22" t="s">
        <v>709</v>
      </c>
      <c r="AV67" s="22" t="s">
        <v>709</v>
      </c>
      <c r="AW67" s="22">
        <f t="shared" si="1"/>
        <v>60</v>
      </c>
      <c r="AX67" s="22" t="s">
        <v>762</v>
      </c>
      <c r="AY67" s="22" t="s">
        <v>834</v>
      </c>
      <c r="AZ67" s="22" t="s">
        <v>936</v>
      </c>
      <c r="BA67" s="22"/>
      <c r="BB67" s="22"/>
      <c r="BC67" s="18" t="s">
        <v>835</v>
      </c>
      <c r="BD67" s="22"/>
      <c r="BE67" s="22"/>
      <c r="BF67" s="22"/>
      <c r="BG67" s="22"/>
      <c r="BH67" s="22" t="s">
        <v>937</v>
      </c>
      <c r="BI67" s="22"/>
      <c r="BJ67" s="22"/>
      <c r="BK67" s="22"/>
      <c r="BL67" s="18" t="s">
        <v>736</v>
      </c>
      <c r="BM67" s="22"/>
      <c r="BN67" s="18" t="s">
        <v>737</v>
      </c>
      <c r="BO67" s="22"/>
      <c r="BP67" s="18" t="s">
        <v>724</v>
      </c>
      <c r="BQ67" s="22" t="s">
        <v>938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955</v>
      </c>
    </row>
    <row r="68" spans="1:110" ht="12" customHeight="1" x14ac:dyDescent="0.25">
      <c r="A68" s="15" t="s">
        <v>242</v>
      </c>
      <c r="B68" s="15" t="s">
        <v>2</v>
      </c>
      <c r="C68" s="15" t="s">
        <v>125</v>
      </c>
      <c r="D68" t="s">
        <v>319</v>
      </c>
      <c r="E68" s="18" t="s">
        <v>324</v>
      </c>
      <c r="F68" t="s">
        <v>319</v>
      </c>
      <c r="G68" s="18" t="s">
        <v>325</v>
      </c>
      <c r="H68" s="16" t="s">
        <v>47</v>
      </c>
      <c r="I68"/>
      <c r="J68"/>
      <c r="K68"/>
      <c r="L68"/>
      <c r="M68"/>
      <c r="N68"/>
      <c r="O68"/>
      <c r="P68"/>
      <c r="Q68"/>
      <c r="R68"/>
      <c r="S68"/>
      <c r="T68"/>
      <c r="U68">
        <v>384</v>
      </c>
      <c r="V68" s="17">
        <v>200</v>
      </c>
      <c r="W68" t="s">
        <v>69</v>
      </c>
      <c r="X68" t="s">
        <v>69</v>
      </c>
      <c r="Y68" s="19" t="s">
        <v>326</v>
      </c>
      <c r="Z68" t="s">
        <v>272</v>
      </c>
      <c r="AA68" t="s">
        <v>272</v>
      </c>
      <c r="AB68" s="18" t="s">
        <v>393</v>
      </c>
      <c r="AC68" s="18" t="s">
        <v>396</v>
      </c>
      <c r="AD68" s="18" t="s">
        <v>393</v>
      </c>
      <c r="AE68" s="20" t="s">
        <v>272</v>
      </c>
      <c r="AF68" s="18" t="s">
        <v>463</v>
      </c>
      <c r="AG68"/>
      <c r="AH68"/>
      <c r="AI68"/>
      <c r="AJ68" s="17" t="s">
        <v>33</v>
      </c>
      <c r="AK68"/>
      <c r="AL68" s="17">
        <v>3639</v>
      </c>
      <c r="AM68" s="17" t="s">
        <v>132</v>
      </c>
      <c r="AN68"/>
      <c r="AO68" s="18" t="s">
        <v>477</v>
      </c>
      <c r="AP68"/>
      <c r="AQ68"/>
      <c r="AR68" s="22" t="s">
        <v>546</v>
      </c>
      <c r="AS68" s="22" t="s">
        <v>710</v>
      </c>
      <c r="AT68" s="22" t="s">
        <v>710</v>
      </c>
      <c r="AU68" s="22" t="s">
        <v>711</v>
      </c>
      <c r="AV68" s="22" t="s">
        <v>712</v>
      </c>
      <c r="AW68" s="22">
        <f t="shared" si="1"/>
        <v>57</v>
      </c>
      <c r="AX68" s="22" t="s">
        <v>762</v>
      </c>
      <c r="AY68" s="22" t="s">
        <v>834</v>
      </c>
      <c r="AZ68" s="22" t="s">
        <v>939</v>
      </c>
      <c r="BA68" s="22"/>
      <c r="BB68" s="22"/>
      <c r="BC68" s="18" t="s">
        <v>940</v>
      </c>
      <c r="BD68" s="22"/>
      <c r="BE68" s="22"/>
      <c r="BF68" s="22"/>
      <c r="BG68" s="22"/>
      <c r="BH68" s="22" t="s">
        <v>937</v>
      </c>
      <c r="BI68" s="22"/>
      <c r="BJ68" s="22"/>
      <c r="BK68" s="22"/>
      <c r="BL68" s="18" t="s">
        <v>736</v>
      </c>
      <c r="BM68" s="22"/>
      <c r="BN68" s="18" t="s">
        <v>737</v>
      </c>
      <c r="BO68" s="22"/>
      <c r="BP68" s="18" t="s">
        <v>724</v>
      </c>
      <c r="BQ68" s="22" t="s">
        <v>941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955</v>
      </c>
    </row>
    <row r="69" spans="1:110" ht="12" customHeight="1" x14ac:dyDescent="0.25">
      <c r="A69" s="15" t="s">
        <v>242</v>
      </c>
      <c r="B69" s="15" t="s">
        <v>2</v>
      </c>
      <c r="C69" s="15" t="s">
        <v>125</v>
      </c>
      <c r="D69" t="s">
        <v>319</v>
      </c>
      <c r="E69" s="18" t="s">
        <v>324</v>
      </c>
      <c r="F69" t="s">
        <v>319</v>
      </c>
      <c r="G69" s="18" t="s">
        <v>325</v>
      </c>
      <c r="H69" s="16" t="s">
        <v>47</v>
      </c>
      <c r="I69"/>
      <c r="J69"/>
      <c r="K69"/>
      <c r="L69"/>
      <c r="M69"/>
      <c r="N69"/>
      <c r="O69"/>
      <c r="P69"/>
      <c r="Q69"/>
      <c r="R69"/>
      <c r="S69"/>
      <c r="T69"/>
      <c r="U69">
        <v>385</v>
      </c>
      <c r="V69" s="17">
        <v>201</v>
      </c>
      <c r="W69" t="s">
        <v>69</v>
      </c>
      <c r="X69" t="s">
        <v>69</v>
      </c>
      <c r="Y69" s="19" t="s">
        <v>326</v>
      </c>
      <c r="Z69" t="s">
        <v>170</v>
      </c>
      <c r="AA69" t="s">
        <v>170</v>
      </c>
      <c r="AB69" s="18" t="s">
        <v>394</v>
      </c>
      <c r="AC69" s="18" t="s">
        <v>396</v>
      </c>
      <c r="AD69" s="18" t="s">
        <v>394</v>
      </c>
      <c r="AE69" s="20" t="s">
        <v>170</v>
      </c>
      <c r="AF69" s="18" t="s">
        <v>464</v>
      </c>
      <c r="AG69"/>
      <c r="AH69"/>
      <c r="AI69"/>
      <c r="AJ69" s="17" t="s">
        <v>60</v>
      </c>
      <c r="AK69"/>
      <c r="AL69" s="17">
        <v>3639</v>
      </c>
      <c r="AM69" s="17" t="s">
        <v>93</v>
      </c>
      <c r="AN69"/>
      <c r="AO69" s="18" t="s">
        <v>478</v>
      </c>
      <c r="AP69"/>
      <c r="AQ69"/>
      <c r="AR69" s="21" t="s">
        <v>547</v>
      </c>
      <c r="AS69" s="18" t="s">
        <v>713</v>
      </c>
      <c r="AT69" s="18" t="s">
        <v>713</v>
      </c>
      <c r="AU69" s="18" t="s">
        <v>714</v>
      </c>
      <c r="AV69" s="18" t="s">
        <v>715</v>
      </c>
      <c r="AW69" s="22">
        <f t="shared" si="1"/>
        <v>51</v>
      </c>
      <c r="AX69" s="18" t="s">
        <v>942</v>
      </c>
      <c r="AY69" s="22" t="s">
        <v>868</v>
      </c>
      <c r="AZ69" s="18"/>
      <c r="BA69" s="18"/>
      <c r="BB69" s="18"/>
      <c r="BC69" s="18" t="s">
        <v>943</v>
      </c>
      <c r="BD69" s="18"/>
      <c r="BE69" s="18"/>
      <c r="BF69" s="18"/>
      <c r="BG69" s="18"/>
      <c r="BH69" s="22" t="s">
        <v>944</v>
      </c>
      <c r="BI69" s="18"/>
      <c r="BJ69" s="18"/>
      <c r="BK69" s="18"/>
      <c r="BL69" s="18" t="s">
        <v>854</v>
      </c>
      <c r="BM69" s="21" t="s">
        <v>945</v>
      </c>
      <c r="BN69" s="18" t="s">
        <v>946</v>
      </c>
      <c r="BO69" s="18"/>
      <c r="BP69" s="18" t="s">
        <v>947</v>
      </c>
      <c r="BQ69" s="18" t="s">
        <v>948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955</v>
      </c>
    </row>
    <row r="70" spans="1:110" ht="12" customHeight="1" x14ac:dyDescent="0.25">
      <c r="A70" s="15" t="s">
        <v>242</v>
      </c>
      <c r="B70" s="15" t="s">
        <v>2</v>
      </c>
      <c r="C70" s="15" t="s">
        <v>125</v>
      </c>
      <c r="D70" t="s">
        <v>319</v>
      </c>
      <c r="E70" s="18" t="s">
        <v>324</v>
      </c>
      <c r="F70" t="s">
        <v>319</v>
      </c>
      <c r="G70" s="18" t="s">
        <v>325</v>
      </c>
      <c r="H70" s="16" t="s">
        <v>47</v>
      </c>
      <c r="I70"/>
      <c r="J70"/>
      <c r="K70"/>
      <c r="L70"/>
      <c r="M70"/>
      <c r="N70"/>
      <c r="O70"/>
      <c r="P70"/>
      <c r="Q70"/>
      <c r="R70"/>
      <c r="S70"/>
      <c r="T70"/>
      <c r="U70">
        <v>386</v>
      </c>
      <c r="V70" s="17">
        <v>202</v>
      </c>
      <c r="W70" t="s">
        <v>69</v>
      </c>
      <c r="X70" t="s">
        <v>69</v>
      </c>
      <c r="Y70" s="19" t="s">
        <v>326</v>
      </c>
      <c r="Z70" t="s">
        <v>46</v>
      </c>
      <c r="AA70" t="s">
        <v>46</v>
      </c>
      <c r="AB70" s="18" t="s">
        <v>395</v>
      </c>
      <c r="AC70" s="18" t="s">
        <v>396</v>
      </c>
      <c r="AD70" s="18" t="s">
        <v>395</v>
      </c>
      <c r="AE70" s="20" t="s">
        <v>46</v>
      </c>
      <c r="AF70" s="18" t="s">
        <v>465</v>
      </c>
      <c r="AG70"/>
      <c r="AH70"/>
      <c r="AI70"/>
      <c r="AJ70" s="17" t="s">
        <v>153</v>
      </c>
      <c r="AK70"/>
      <c r="AL70" s="17">
        <v>3639</v>
      </c>
      <c r="AM70" s="17" t="s">
        <v>181</v>
      </c>
      <c r="AN70"/>
      <c r="AO70" s="18" t="s">
        <v>479</v>
      </c>
      <c r="AP70"/>
      <c r="AQ70"/>
      <c r="AR70" s="22" t="s">
        <v>548</v>
      </c>
      <c r="AS70" s="22" t="s">
        <v>716</v>
      </c>
      <c r="AT70" s="22" t="s">
        <v>716</v>
      </c>
      <c r="AU70" s="22" t="s">
        <v>717</v>
      </c>
      <c r="AV70" s="22" t="s">
        <v>717</v>
      </c>
      <c r="AW70" s="22">
        <f t="shared" si="1"/>
        <v>55</v>
      </c>
      <c r="AX70" s="22" t="s">
        <v>949</v>
      </c>
      <c r="AY70" s="22" t="s">
        <v>719</v>
      </c>
      <c r="AZ70" s="18"/>
      <c r="BA70" s="18"/>
      <c r="BB70" s="18"/>
      <c r="BC70" s="18"/>
      <c r="BD70" s="18"/>
      <c r="BE70" s="18"/>
      <c r="BF70" s="18"/>
      <c r="BG70" s="22" t="s">
        <v>950</v>
      </c>
      <c r="BH70" s="18" t="s">
        <v>951</v>
      </c>
      <c r="BI70" s="18"/>
      <c r="BJ70" s="18"/>
      <c r="BK70" s="18"/>
      <c r="BL70" s="18" t="s">
        <v>854</v>
      </c>
      <c r="BM70" s="22" t="s">
        <v>952</v>
      </c>
      <c r="BN70" s="18" t="s">
        <v>737</v>
      </c>
      <c r="BO70" s="18"/>
      <c r="BP70" s="18" t="s">
        <v>953</v>
      </c>
      <c r="BQ70" s="18" t="s">
        <v>954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955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2023-08-18T11:26:44Z</dcterms:modified>
  <cp:category/>
</cp:coreProperties>
</file>