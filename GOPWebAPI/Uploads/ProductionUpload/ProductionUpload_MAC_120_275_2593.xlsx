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Sheet1!$A$1:$AQ$301</definedName>
  </definedNames>
  <calcPr calcId="144525"/>
</workbook>
</file>

<file path=xl/sharedStrings.xml><?xml version="1.0" encoding="utf-8"?>
<sst xmlns="http://schemas.openxmlformats.org/spreadsheetml/2006/main" count="6943" uniqueCount="2268">
  <si>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</si>
  <si>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</si>
  <si>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</si>
  <si>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</si>
  <si>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</si>
  <si>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</si>
  <si>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</si>
  <si>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</si>
  <si>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</si>
  <si>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</si>
  <si>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</si>
  <si>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</si>
  <si>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</si>
  <si>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</si>
  <si>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</si>
  <si>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</si>
  <si>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</si>
  <si>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</si>
  <si>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</si>
  <si>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</si>
  <si>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</si>
  <si>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</si>
  <si>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</si>
  <si>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</si>
  <si>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</si>
  <si>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</si>
  <si>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</si>
  <si>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</si>
  <si>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</si>
  <si>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</si>
  <si>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</si>
  <si>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</si>
  <si>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</si>
  <si>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</si>
  <si>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</si>
  <si>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</si>
  <si>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</si>
  <si>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</si>
  <si>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</si>
  <si>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</si>
  <si>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</si>
  <si>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</si>
  <si>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</si>
  <si>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</si>
  <si>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</si>
  <si>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BHC</t>
  </si>
  <si>
    <t>1227853</t>
  </si>
  <si>
    <t>CPAP / BPAP Accessories</t>
  </si>
  <si>
    <t>3B MEDICAL INC</t>
  </si>
  <si>
    <t>3B Medical Inc-3BMEDI</t>
  </si>
  <si>
    <t>3BMEDI</t>
  </si>
  <si>
    <t>3B Medical Inc</t>
  </si>
  <si>
    <t>1004</t>
  </si>
  <si>
    <t/>
  </si>
  <si>
    <t>Approved for SM</t>
  </si>
  <si>
    <t>3B</t>
  </si>
  <si>
    <t>ATTENUATER</t>
  </si>
  <si>
    <t>ATTENUATER, F/CPAP VCOM FLOW (50/CS)</t>
  </si>
  <si>
    <t>Production Completed</t>
  </si>
  <si>
    <t>Ok</t>
  </si>
  <si>
    <t>1074593</t>
  </si>
  <si>
    <t>Dermatoscopes</t>
  </si>
  <si>
    <t>3GEN LLC</t>
  </si>
  <si>
    <t>3GEN-3GENLC</t>
  </si>
  <si>
    <t>3GENLC</t>
  </si>
  <si>
    <t>3GEN</t>
  </si>
  <si>
    <t>DL200HR</t>
  </si>
  <si>
    <t>42182004</t>
  </si>
  <si>
    <t>UNSPSC v23.0701</t>
  </si>
  <si>
    <t>42182004  Dermatoscopes</t>
  </si>
  <si>
    <t>DERMLITE</t>
  </si>
  <si>
    <t>DERMLITE, DL200 HR POCKET DERMATOSCOPE D/S</t>
  </si>
  <si>
    <t>1073618</t>
  </si>
  <si>
    <t>DL4W</t>
  </si>
  <si>
    <t>DERMATOSCOPE</t>
  </si>
  <si>
    <t>DERMATOSCOPE, DEMLITE IV</t>
  </si>
  <si>
    <t>1066564</t>
  </si>
  <si>
    <t>Stockings and Socks</t>
  </si>
  <si>
    <t>3M HEALTH CARE</t>
  </si>
  <si>
    <t>3M-3MPERS</t>
  </si>
  <si>
    <t>3MPERS</t>
  </si>
  <si>
    <t>3M</t>
  </si>
  <si>
    <t>71022EN</t>
  </si>
  <si>
    <t>42142802</t>
  </si>
  <si>
    <t>Vascular or compression apparel or support</t>
  </si>
  <si>
    <t>42142802  Vascular or compression apparel or support</t>
  </si>
  <si>
    <t>ENERGIZING</t>
  </si>
  <si>
    <t>ENERGIZING TROUSER SOCKS WMN M(12PR/CS)</t>
  </si>
  <si>
    <t>1066565</t>
  </si>
  <si>
    <t>71023EN</t>
  </si>
  <si>
    <t>ENERGIZING TROUSER SOCKS WMN L(12PR/CS)</t>
  </si>
  <si>
    <t>1066574</t>
  </si>
  <si>
    <t>Blood Pressure Accessories</t>
  </si>
  <si>
    <t>A &amp; D ENGINEERING</t>
  </si>
  <si>
    <t>A&amp;D Engineering-ADENGR</t>
  </si>
  <si>
    <t>ADENGR</t>
  </si>
  <si>
    <t>A&amp;D Engineering</t>
  </si>
  <si>
    <t>AX-134005759-S</t>
  </si>
  <si>
    <t>42181605</t>
  </si>
  <si>
    <t>Blood pressure cuffs or bladders</t>
  </si>
  <si>
    <t>42181605  Blood pressure cuffs or bladders</t>
  </si>
  <si>
    <t>A&amp;D</t>
  </si>
  <si>
    <t>AX134005759S</t>
  </si>
  <si>
    <t>ARM</t>
  </si>
  <si>
    <t>ARM CUFF COVERS, F/ TM-2657P (5/PK)</t>
  </si>
  <si>
    <t>1066357</t>
  </si>
  <si>
    <t>Diagnostic Recording Paper and Film</t>
  </si>
  <si>
    <t>AX:PP147-S</t>
  </si>
  <si>
    <t>42181608</t>
  </si>
  <si>
    <t>Blood pressure measuring instruments accessories</t>
  </si>
  <si>
    <t>42181608  Blood pressure measuring instruments accessories</t>
  </si>
  <si>
    <t>AXPP147S</t>
  </si>
  <si>
    <t>PAPER</t>
  </si>
  <si>
    <t>PAPER, PRINTER BP MONITOR (5/P)</t>
  </si>
  <si>
    <t>1066358</t>
  </si>
  <si>
    <t>Diagnostic Accessories</t>
  </si>
  <si>
    <t>TB233</t>
  </si>
  <si>
    <t>42181606</t>
  </si>
  <si>
    <t>Blood pressure inflation hoses or pneumatic hoses or adapters</t>
  </si>
  <si>
    <t>42181606  Blood pressure inflation hoses or pneumatic hoses or adapters</t>
  </si>
  <si>
    <t>AC</t>
  </si>
  <si>
    <t>AC POWER ADAPTER</t>
  </si>
  <si>
    <t>1066360</t>
  </si>
  <si>
    <t>Blood Pressure Units</t>
  </si>
  <si>
    <t>TM-2657P</t>
  </si>
  <si>
    <t>42181609</t>
  </si>
  <si>
    <t>Blood pressure monitor dome kits</t>
  </si>
  <si>
    <t>42181609  Blood pressure monitor dome kits</t>
  </si>
  <si>
    <t>TM2657P</t>
  </si>
  <si>
    <t>MONITOR</t>
  </si>
  <si>
    <t>MONITOR, BLOOD PRESSURE W/PRINTER DISPLAY 3"</t>
  </si>
  <si>
    <t>1066359</t>
  </si>
  <si>
    <t>Furnishing Accessories</t>
  </si>
  <si>
    <t>TM-ST520</t>
  </si>
  <si>
    <t>42181602</t>
  </si>
  <si>
    <t>Electronic blood pressure units</t>
  </si>
  <si>
    <t>42181602  Electronic blood pressure units</t>
  </si>
  <si>
    <t>TMST520</t>
  </si>
  <si>
    <t>STAND</t>
  </si>
  <si>
    <t>STAND, DEDICATED F/FULLY AUTOM</t>
  </si>
  <si>
    <t>1074033</t>
  </si>
  <si>
    <t>Urological Accessories</t>
  </si>
  <si>
    <t>A+ MEDICAL PRODUCTS INC</t>
  </si>
  <si>
    <t>A+ Medical-APLUSM</t>
  </si>
  <si>
    <t>APLUSM</t>
  </si>
  <si>
    <t>A+ Medical</t>
  </si>
  <si>
    <t>CAP</t>
  </si>
  <si>
    <t>42141607</t>
  </si>
  <si>
    <t>Patient urinals</t>
  </si>
  <si>
    <t>42141607  Patient urinals</t>
  </si>
  <si>
    <t>A+</t>
  </si>
  <si>
    <t>CAP, URINAL F/URINEALL 20001 (24/CS)</t>
  </si>
  <si>
    <t>1229851</t>
  </si>
  <si>
    <t>Handles</t>
  </si>
  <si>
    <t>ACCUTEC BLADES INC</t>
  </si>
  <si>
    <t>AccuTec Blades-ACCTEC</t>
  </si>
  <si>
    <t>ACCTEC</t>
  </si>
  <si>
    <t>AccuTec Blades</t>
  </si>
  <si>
    <t>ANTL-1000-0000</t>
  </si>
  <si>
    <t>ACCUTEC</t>
  </si>
  <si>
    <t>ANTL10000000</t>
  </si>
  <si>
    <t>HANDLE</t>
  </si>
  <si>
    <t>HANDLE, #8 ACCUPOINT W/BLADES #60 (5/CS)</t>
  </si>
  <si>
    <t>1066529</t>
  </si>
  <si>
    <t>First Aid Kits</t>
  </si>
  <si>
    <t>ACME UNITED CORPPAC-KIT SAFETY EQUIP</t>
  </si>
  <si>
    <t>Acme United-PK</t>
  </si>
  <si>
    <t>PK</t>
  </si>
  <si>
    <t>Acme United</t>
  </si>
  <si>
    <t>90648</t>
  </si>
  <si>
    <t>42192420</t>
  </si>
  <si>
    <t>First aid kit cases or bags</t>
  </si>
  <si>
    <t>42192420  First aid kit cases or bags</t>
  </si>
  <si>
    <t>ACME UNITED</t>
  </si>
  <si>
    <t>REFILL</t>
  </si>
  <si>
    <t>REFILL, FIRST AID KIT</t>
  </si>
  <si>
    <t>1066520</t>
  </si>
  <si>
    <t>713083</t>
  </si>
  <si>
    <t>REFILL KIT, FIRST AID K25</t>
  </si>
  <si>
    <t>1066522</t>
  </si>
  <si>
    <t>Emergency Kits</t>
  </si>
  <si>
    <t>713094</t>
  </si>
  <si>
    <t>42172002</t>
  </si>
  <si>
    <t>Mobile medical services first response kits</t>
  </si>
  <si>
    <t>42172002  Mobile medical services first response kits</t>
  </si>
  <si>
    <t>HOLSTER</t>
  </si>
  <si>
    <t>HOLSTER KIT, EMS W/KELLY FORCE</t>
  </si>
  <si>
    <t>1066505</t>
  </si>
  <si>
    <t>Casework and Medical Cabinets</t>
  </si>
  <si>
    <t>1001-FAE-0103</t>
  </si>
  <si>
    <t>New Item</t>
  </si>
  <si>
    <t>42191905</t>
  </si>
  <si>
    <t>Medical treatment cabinets</t>
  </si>
  <si>
    <t>42191905  Medical treatment cabinets</t>
  </si>
  <si>
    <t>1001FAE0103</t>
  </si>
  <si>
    <t>CABINET</t>
  </si>
  <si>
    <t>CABINET, FIRST AID SMARTCOMPLI</t>
  </si>
  <si>
    <t>1066497</t>
  </si>
  <si>
    <t>Cylinders and Cylinder Carts</t>
  </si>
  <si>
    <t>LIFE-1-612</t>
  </si>
  <si>
    <t>42271701</t>
  </si>
  <si>
    <t>Medical gas cylinders or related devices</t>
  </si>
  <si>
    <t>42271701  Medical gas cylinders or related devices</t>
  </si>
  <si>
    <t>LIFE1612</t>
  </si>
  <si>
    <t>TANK</t>
  </si>
  <si>
    <t>TANK, OXY LIFE OXYGENPAC 6 &amp; 1/S</t>
  </si>
  <si>
    <t>1066500</t>
  </si>
  <si>
    <t>RC-613</t>
  </si>
  <si>
    <t>RC613</t>
  </si>
  <si>
    <t>EMERGENCY</t>
  </si>
  <si>
    <t>EMERGENCY PACK, PERSONAL SFTY (10/CS)</t>
  </si>
  <si>
    <t>1066501</t>
  </si>
  <si>
    <t>RC-622</t>
  </si>
  <si>
    <t>RC622</t>
  </si>
  <si>
    <t>EMERGENCY PACK, PERSONAL SFTY (6/CS)</t>
  </si>
  <si>
    <t>1065894</t>
  </si>
  <si>
    <t>Reclosable Bags</t>
  </si>
  <si>
    <t>ACTION BAG COMPANY</t>
  </si>
  <si>
    <t>Action Bag-ACTBAG</t>
  </si>
  <si>
    <t>ACTBAG</t>
  </si>
  <si>
    <t>Action Bag</t>
  </si>
  <si>
    <t>A50802S</t>
  </si>
  <si>
    <t>24111514</t>
  </si>
  <si>
    <t>Zipper bag</t>
  </si>
  <si>
    <t>24111514  Zipper bag</t>
  </si>
  <si>
    <t>ACTION BAG CO</t>
  </si>
  <si>
    <t>BAG</t>
  </si>
  <si>
    <t>BAG, STAT RE-CLOSABLE RED 2MIL5"X8" (1000/CS)</t>
  </si>
  <si>
    <t>1069976</t>
  </si>
  <si>
    <t>Cauterizing Units</t>
  </si>
  <si>
    <t>ACUDERM INC</t>
  </si>
  <si>
    <t>Acuderm-ACUDRM</t>
  </si>
  <si>
    <t>ACUDRM</t>
  </si>
  <si>
    <t>Acuderm</t>
  </si>
  <si>
    <t>ACT-LT</t>
  </si>
  <si>
    <t>42295143</t>
  </si>
  <si>
    <t>Electrosurgical or electrocautery accessories or attachments</t>
  </si>
  <si>
    <t>42295143  Electrosurgical or electrocautery accessories or attachments</t>
  </si>
  <si>
    <t>ACUDERM</t>
  </si>
  <si>
    <t>ACTLT</t>
  </si>
  <si>
    <t>TIP</t>
  </si>
  <si>
    <t>TIP, CAUTERY ACU-CAUTERY DISP LOOP TIPS &amp; COVERS (10/BX)</t>
  </si>
  <si>
    <t>1229815</t>
  </si>
  <si>
    <t>ADVANCED MEDICAL RESOURCES LLC</t>
  </si>
  <si>
    <t>Advanced Medical Resources LLC-AMRLLC</t>
  </si>
  <si>
    <t>AMRLLC</t>
  </si>
  <si>
    <t>Advanced Medical Resources LLC</t>
  </si>
  <si>
    <t>RCONN</t>
  </si>
  <si>
    <t>ADVANCED MEDICAL</t>
  </si>
  <si>
    <t>CONNECTOR</t>
  </si>
  <si>
    <t>CONNECTOR, GAS OUTLET</t>
  </si>
  <si>
    <t>1227996</t>
  </si>
  <si>
    <t>Anesthetics</t>
  </si>
  <si>
    <t>AFAXYS INC</t>
  </si>
  <si>
    <t>Afaxys Pharma LLC-AFAXPA</t>
  </si>
  <si>
    <t>AFAXPA</t>
  </si>
  <si>
    <t>Afaxys Pharma LLC</t>
  </si>
  <si>
    <t>50102040010</t>
  </si>
  <si>
    <t>AFAXYS</t>
  </si>
  <si>
    <t>LIDOCAINE</t>
  </si>
  <si>
    <t>LIDOCAINE HCL, MDV 1% 10MG/ML 20ML (10/PK)</t>
  </si>
  <si>
    <t>1229376</t>
  </si>
  <si>
    <t>AG INDUSTRIES</t>
  </si>
  <si>
    <t>AG Industries-AGINDS</t>
  </si>
  <si>
    <t>AGINDS</t>
  </si>
  <si>
    <t>AG Industries</t>
  </si>
  <si>
    <t>SP-RMS-S</t>
  </si>
  <si>
    <t>SPRMSS</t>
  </si>
  <si>
    <t>SEAL</t>
  </si>
  <si>
    <t>SEAL, MASK MIRANI</t>
  </si>
  <si>
    <t>1066769</t>
  </si>
  <si>
    <t>AIR SOURCE INDUSTRIES</t>
  </si>
  <si>
    <t>Air Source Industries-ASORSI</t>
  </si>
  <si>
    <t>ASORSI</t>
  </si>
  <si>
    <t>Air Source Industries</t>
  </si>
  <si>
    <t>OXUSPE</t>
  </si>
  <si>
    <t>AIR SOURCE</t>
  </si>
  <si>
    <t>OXYGEN</t>
  </si>
  <si>
    <t>OXYGEN CYL REFILL EXCH E DS</t>
  </si>
  <si>
    <t>1074435</t>
  </si>
  <si>
    <t>Hypodermic Needles</t>
  </si>
  <si>
    <t>AIR-TITE PRODUCTS COMPANY INC</t>
  </si>
  <si>
    <t>AirTite Products-AIRTIT</t>
  </si>
  <si>
    <t>AIRTIT</t>
  </si>
  <si>
    <t>AirTite Products</t>
  </si>
  <si>
    <t>TSK3206</t>
  </si>
  <si>
    <t>42142523</t>
  </si>
  <si>
    <t>Hypodermic needle</t>
  </si>
  <si>
    <t>42142523  Hypodermic needle</t>
  </si>
  <si>
    <t>AIRTITE</t>
  </si>
  <si>
    <t>NEEDLE</t>
  </si>
  <si>
    <t>NEEDLE, HYPODERMIC STERIJECT 32GX6MM (100/BX)</t>
  </si>
  <si>
    <t>1074556</t>
  </si>
  <si>
    <t>Bins</t>
  </si>
  <si>
    <t>AKRO MILS</t>
  </si>
  <si>
    <t>Akro-Mils-AKRMIL</t>
  </si>
  <si>
    <t>AKRMIL</t>
  </si>
  <si>
    <t>Akro-Mils</t>
  </si>
  <si>
    <t>35300SCLAR</t>
  </si>
  <si>
    <t>24112003</t>
  </si>
  <si>
    <t>Non metallic bins</t>
  </si>
  <si>
    <t>24112003  Non metallic bins</t>
  </si>
  <si>
    <t>AKRO-MILS</t>
  </si>
  <si>
    <t>TOTE</t>
  </si>
  <si>
    <t>TOTE, NEST &amp; STACK CLR 29.5"X19.5"X15" (3/CT)</t>
  </si>
  <si>
    <t>1066213</t>
  </si>
  <si>
    <t>Drainage and Suction Accessories</t>
  </si>
  <si>
    <t>ALLIED HEALTHCARE PRODUCTS</t>
  </si>
  <si>
    <t>Allied Healthcare-ALHOXG</t>
  </si>
  <si>
    <t>ALHOXG</t>
  </si>
  <si>
    <t>Allied Healthcare</t>
  </si>
  <si>
    <t>S66-0006</t>
  </si>
  <si>
    <t>42295167</t>
  </si>
  <si>
    <t>Surgical suction machine or vacuum extractor or ultrasonic Surgical aspirator or regulator accessories</t>
  </si>
  <si>
    <t>42295167  Surgical suction machine or vacuum extractor or ultrasonic Surgical aspirator or regulator accessories</t>
  </si>
  <si>
    <t>ALLIED</t>
  </si>
  <si>
    <t>S660006</t>
  </si>
  <si>
    <t>HANDLE, ASPIRATOR F/SCHUCO S130A SCTN PUMP</t>
  </si>
  <si>
    <t>1067108</t>
  </si>
  <si>
    <t>Infusion Pumps</t>
  </si>
  <si>
    <t>THE ALTERNATIVE SOURCE MEDICAL LLC</t>
  </si>
  <si>
    <t>The Alternative Source Medical LLC-ALTSRC</t>
  </si>
  <si>
    <t>ALTSRC</t>
  </si>
  <si>
    <t>The Alternative Source Medical LLC</t>
  </si>
  <si>
    <t>ABTPLM+</t>
  </si>
  <si>
    <t>42222001</t>
  </si>
  <si>
    <t>Intravenous infusion pumps for general use</t>
  </si>
  <si>
    <t>42222001  Intravenous infusion pumps for general use</t>
  </si>
  <si>
    <t>ALTERNATIVE SOURCE</t>
  </si>
  <si>
    <t>ABTPLM</t>
  </si>
  <si>
    <t>PUMP</t>
  </si>
  <si>
    <t>PUMP, INFUSION A+ ABBOTT PLUM REFURB D/S</t>
  </si>
  <si>
    <t>1228870</t>
  </si>
  <si>
    <t>BB400ES</t>
  </si>
  <si>
    <t>PUMP, INFUSION W/BATTERY/POLE CLAMP &amp; POWER CORD REFURB</t>
  </si>
  <si>
    <t>1073661</t>
  </si>
  <si>
    <t>Anesthesia Systems</t>
  </si>
  <si>
    <t>DRAGV2000</t>
  </si>
  <si>
    <t>42271801</t>
  </si>
  <si>
    <t>Respiratory humidifiers or vaporizers</t>
  </si>
  <si>
    <t>42271801  Respiratory humidifiers or vaporizers</t>
  </si>
  <si>
    <t>VAPORIZER</t>
  </si>
  <si>
    <t>VAPORIZER, ANES DRAGER 2000 REFURB</t>
  </si>
  <si>
    <t>1228571</t>
  </si>
  <si>
    <t>HAGPB1</t>
  </si>
  <si>
    <t>BASE</t>
  </si>
  <si>
    <t>BASE, TABLE POWER F/SLIT LAMP REFURB</t>
  </si>
  <si>
    <t>1228568</t>
  </si>
  <si>
    <t>Tonometers</t>
  </si>
  <si>
    <t>HAS870</t>
  </si>
  <si>
    <t>TONOMETER</t>
  </si>
  <si>
    <t>TONOMETER, HAAG STREIT 870 W/MOUNT REFURB</t>
  </si>
  <si>
    <t>1228559</t>
  </si>
  <si>
    <t>Optometry Examination Instruments</t>
  </si>
  <si>
    <t>MAG2SL</t>
  </si>
  <si>
    <t>LAMP</t>
  </si>
  <si>
    <t>LAMP, SLIT MARCO G2 ULTRA W/3-STEP MAG CHANGER OMNI REFURB</t>
  </si>
  <si>
    <t>1073297</t>
  </si>
  <si>
    <t>Multi-Function Wall Transformers</t>
  </si>
  <si>
    <t>WA767BP</t>
  </si>
  <si>
    <t>42182024</t>
  </si>
  <si>
    <t>Medical exam scope or specula transformers</t>
  </si>
  <si>
    <t>42182024  Medical exam scope or specula transformers</t>
  </si>
  <si>
    <t>DIAGNOSTIC</t>
  </si>
  <si>
    <t>DIAGNOSTIC SYS, W/WALL TRANSFORMER INTEGRATED REFURB D/S</t>
  </si>
  <si>
    <t>1067436</t>
  </si>
  <si>
    <t>AMBCO ELECTRONICS</t>
  </si>
  <si>
    <t>Ambco Electronics-AMBCO</t>
  </si>
  <si>
    <t>AMBCO</t>
  </si>
  <si>
    <t>Ambco Electronics</t>
  </si>
  <si>
    <t>AB-4240</t>
  </si>
  <si>
    <t>42182426</t>
  </si>
  <si>
    <t>Audiometer accessories</t>
  </si>
  <si>
    <t>42182426  Audiometer accessories</t>
  </si>
  <si>
    <t>AB4240</t>
  </si>
  <si>
    <t>AUDIOMETRIC</t>
  </si>
  <si>
    <t>AUDIOMETRIC BOOTH AB-4240</t>
  </si>
  <si>
    <t>1067662</t>
  </si>
  <si>
    <t>Laryngeal Mask Airways</t>
  </si>
  <si>
    <t>AMBU INC</t>
  </si>
  <si>
    <t>Ambu-AMBU</t>
  </si>
  <si>
    <t>AMBU</t>
  </si>
  <si>
    <t>Ambu</t>
  </si>
  <si>
    <t>408250000</t>
  </si>
  <si>
    <t>42272018</t>
  </si>
  <si>
    <t>Intubation laryngoscope accessories</t>
  </si>
  <si>
    <t>42272018  Intubation laryngoscope accessories</t>
  </si>
  <si>
    <t>AURAGAIN</t>
  </si>
  <si>
    <t>AURAGAIN DISP LARYN MSK 2.5 (10/CS)</t>
  </si>
  <si>
    <t>1073519</t>
  </si>
  <si>
    <t>418102400</t>
  </si>
  <si>
    <t>42222004</t>
  </si>
  <si>
    <t>Patient controlled analgesia infusion pumps</t>
  </si>
  <si>
    <t>42222004  Patient controlled analgesia infusion pumps</t>
  </si>
  <si>
    <t>PUMP, PAIN ACTION FUSER 5-15ML/HR 400ML (4/CS)</t>
  </si>
  <si>
    <t>1073521</t>
  </si>
  <si>
    <t>419102650</t>
  </si>
  <si>
    <t>PUMP, INFUSOR ACTION BLOCK 5-15ML/HR 650ML (4/CS)</t>
  </si>
  <si>
    <t>1067666</t>
  </si>
  <si>
    <t>Resuscitators</t>
  </si>
  <si>
    <t>530213030</t>
  </si>
  <si>
    <t>42272309</t>
  </si>
  <si>
    <t>Resuscitator component accessories</t>
  </si>
  <si>
    <t>42272309  Resuscitator component accessories</t>
  </si>
  <si>
    <t>SPUR</t>
  </si>
  <si>
    <t>SPUR II CHILD RESC W/MANOMETER(12/CS)</t>
  </si>
  <si>
    <t>1065874</t>
  </si>
  <si>
    <t>Circuits</t>
  </si>
  <si>
    <t>VU080-61</t>
  </si>
  <si>
    <t>42272209</t>
  </si>
  <si>
    <t>Ventilator circuits</t>
  </si>
  <si>
    <t>42272209  Ventilator circuits</t>
  </si>
  <si>
    <t>VU08061</t>
  </si>
  <si>
    <t>CIRCUIT</t>
  </si>
  <si>
    <t>CIRCUIT, VENTILATOR UNIV (25/CS)</t>
  </si>
  <si>
    <t>1064761</t>
  </si>
  <si>
    <t>AMD TECHNOLOGIES INC</t>
  </si>
  <si>
    <t>AMD Technologies-AMDTCH</t>
  </si>
  <si>
    <t>AMDTCH</t>
  </si>
  <si>
    <t>AMD Technologies</t>
  </si>
  <si>
    <t>20613</t>
  </si>
  <si>
    <t>42204000</t>
  </si>
  <si>
    <t>Medical radiological shielding and protection products</t>
  </si>
  <si>
    <t>42204000  Medical radiological shielding and protection products</t>
  </si>
  <si>
    <t>AMD</t>
  </si>
  <si>
    <t>SHEETING</t>
  </si>
  <si>
    <t>SHEETING, LEAD VNYL 1.0MM 7"X17"</t>
  </si>
  <si>
    <t>1073615</t>
  </si>
  <si>
    <t>Breast Pumps and Kits</t>
  </si>
  <si>
    <t>AMEDA INC</t>
  </si>
  <si>
    <t>Ameda Inc-AMEDAI</t>
  </si>
  <si>
    <t>AMEDAI</t>
  </si>
  <si>
    <t>Ameda Inc</t>
  </si>
  <si>
    <t>17064M</t>
  </si>
  <si>
    <t>42231901</t>
  </si>
  <si>
    <t>Breast pumps</t>
  </si>
  <si>
    <t>42231901  Breast pumps</t>
  </si>
  <si>
    <t>AMEDA</t>
  </si>
  <si>
    <t>BREAST</t>
  </si>
  <si>
    <t>BREAST PUMP, MANUAL ONE HND</t>
  </si>
  <si>
    <t>1228302</t>
  </si>
  <si>
    <t>Otoscopes</t>
  </si>
  <si>
    <t>AMERICAN DIAGNOSTIC CORP</t>
  </si>
  <si>
    <t>American Diagnostic Corp-AMDIAG</t>
  </si>
  <si>
    <t>AMDIAG</t>
  </si>
  <si>
    <t>American Diagnostic Corp</t>
  </si>
  <si>
    <t>5611L-37</t>
  </si>
  <si>
    <t>AMER DIAGNOSTIC</t>
  </si>
  <si>
    <t>5611L37</t>
  </si>
  <si>
    <t>ADSTATION</t>
  </si>
  <si>
    <t>ADSTATION, OTOSCOPE LED W/SPEC/750W</t>
  </si>
  <si>
    <t>1067594</t>
  </si>
  <si>
    <t>Binaural Stethoscopes</t>
  </si>
  <si>
    <t>606BD</t>
  </si>
  <si>
    <t>42182103</t>
  </si>
  <si>
    <t>Medical acoustic stethoscopes</t>
  </si>
  <si>
    <t>42182103  Medical acoustic stethoscopes</t>
  </si>
  <si>
    <t>STETHOSCOPE</t>
  </si>
  <si>
    <t>STETHOSCOPE, CARDIOLOGY ULTRA-</t>
  </si>
  <si>
    <t>1067620</t>
  </si>
  <si>
    <t>Cuff and Stethoscope Sets</t>
  </si>
  <si>
    <t>768-641-11ABCA</t>
  </si>
  <si>
    <t>42181601</t>
  </si>
  <si>
    <t>Aneroid blood pressure units</t>
  </si>
  <si>
    <t>42181601  Aneroid blood pressure units</t>
  </si>
  <si>
    <t>76864111ABCA</t>
  </si>
  <si>
    <t>ANEROID/SPRAGUE</t>
  </si>
  <si>
    <t>ANEROID/SPRAGUE KIT, POCKET PR</t>
  </si>
  <si>
    <t>1067637</t>
  </si>
  <si>
    <t>Blood Pressure Cuffs</t>
  </si>
  <si>
    <t>845-10SAN-1</t>
  </si>
  <si>
    <t>84510SAN1</t>
  </si>
  <si>
    <t>ADCUFF</t>
  </si>
  <si>
    <t>ADCUFF &amp; BLDR SM ADT 1TB NAVY</t>
  </si>
  <si>
    <t>1067647</t>
  </si>
  <si>
    <t>9005BAT</t>
  </si>
  <si>
    <t>BATTERY</t>
  </si>
  <si>
    <t>BATTERY, RECHARGEABLE LITHIUM-ION ADVIEW2</t>
  </si>
  <si>
    <t>1067649</t>
  </si>
  <si>
    <t>9005DON</t>
  </si>
  <si>
    <t>ADVIEW2</t>
  </si>
  <si>
    <t>ADVIEW2 WI-FI DONGLE DS</t>
  </si>
  <si>
    <t>1066613</t>
  </si>
  <si>
    <t>9005PC</t>
  </si>
  <si>
    <t>CORD</t>
  </si>
  <si>
    <t>CORD, POWER USA ADVIEW2 120 VAC (1/EA)</t>
  </si>
  <si>
    <t>1229101</t>
  </si>
  <si>
    <t>ARDO MEDICAL INC</t>
  </si>
  <si>
    <t>Ardo Medical Inc-ARDOMD</t>
  </si>
  <si>
    <t>ARDOMD</t>
  </si>
  <si>
    <t>Ardo Medical Inc</t>
  </si>
  <si>
    <t>63.00.511</t>
  </si>
  <si>
    <t>ARDO</t>
  </si>
  <si>
    <t>6300511</t>
  </si>
  <si>
    <t>PUMP, BREAST ELEC DBL PLUS ARDO ALYSSA HOSPITAL STRENGTH</t>
  </si>
  <si>
    <t>1229102</t>
  </si>
  <si>
    <t>63.00.524</t>
  </si>
  <si>
    <t>6300524</t>
  </si>
  <si>
    <t>PUMP, BREAST ELEC DBL MULTI-USER BELLIS HOSPITAL GRADE</t>
  </si>
  <si>
    <t>1069653</t>
  </si>
  <si>
    <t>Copy and Printer Paper</t>
  </si>
  <si>
    <t>ARJO INC</t>
  </si>
  <si>
    <t>Arjo Inc-ARJOIN</t>
  </si>
  <si>
    <t>ARJOIN</t>
  </si>
  <si>
    <t>Arjo Inc</t>
  </si>
  <si>
    <t>ACC14</t>
  </si>
  <si>
    <t>14111507</t>
  </si>
  <si>
    <t>Printer or copier paper</t>
  </si>
  <si>
    <t>14111507  Printer or copier paper</t>
  </si>
  <si>
    <t>PAPER, PRINTER DOPPLER NO GRID(1/RL 2RL/PK)</t>
  </si>
  <si>
    <t>1227858</t>
  </si>
  <si>
    <t>ARMEDICA MFG CORP</t>
  </si>
  <si>
    <t>Armedica Mfg Corporation-ARA</t>
  </si>
  <si>
    <t>ARA</t>
  </si>
  <si>
    <t>Armedica Mfg Corporation</t>
  </si>
  <si>
    <t>19061-OW</t>
  </si>
  <si>
    <t>ARMEDICA</t>
  </si>
  <si>
    <t>19061OW</t>
  </si>
  <si>
    <t>KIT</t>
  </si>
  <si>
    <t>KIT, LIFT F/AMSX60 W/CLEARANCE6"</t>
  </si>
  <si>
    <t>1228415</t>
  </si>
  <si>
    <t>Respiratory Accessories</t>
  </si>
  <si>
    <t>ATOS MEDICAL INC</t>
  </si>
  <si>
    <t>Atos Medical-ATOSMD</t>
  </si>
  <si>
    <t>ATOSMD</t>
  </si>
  <si>
    <t>Atos Medical</t>
  </si>
  <si>
    <t>7246-A7503</t>
  </si>
  <si>
    <t>ATOS</t>
  </si>
  <si>
    <t>7246A7503</t>
  </si>
  <si>
    <t>ADAPTOR</t>
  </si>
  <si>
    <t>ADAPTOR, CASSETTE PROVOX PULMONARY TRACH</t>
  </si>
  <si>
    <t>1069878</t>
  </si>
  <si>
    <t>MICRO AUDIOMETRICS CORP</t>
  </si>
  <si>
    <t>Micro Audiometrics-MICAUD</t>
  </si>
  <si>
    <t>MICAUD</t>
  </si>
  <si>
    <t>Micro Audiometrics</t>
  </si>
  <si>
    <t>90.07</t>
  </si>
  <si>
    <t>AUDIOMETRICS</t>
  </si>
  <si>
    <t>9007</t>
  </si>
  <si>
    <t>PAPER, AUDIOMETER SEIKO 4 3/8"</t>
  </si>
  <si>
    <t>1069879</t>
  </si>
  <si>
    <t>90.35</t>
  </si>
  <si>
    <t>9035</t>
  </si>
  <si>
    <t>PATCH</t>
  </si>
  <si>
    <t>PATCH CORD SET, AUDIOMETER (2/2/PK</t>
  </si>
  <si>
    <t>1074958</t>
  </si>
  <si>
    <t>custom items 1</t>
  </si>
  <si>
    <t>AUSTIN MEDICAL INC</t>
  </si>
  <si>
    <t>Austin Medical Inc-AUSMSP</t>
  </si>
  <si>
    <t>AUSMSP</t>
  </si>
  <si>
    <t>Austin Medical Inc</t>
  </si>
  <si>
    <t>AU-10-089S</t>
  </si>
  <si>
    <t>42295414</t>
  </si>
  <si>
    <t>Surgical specialty procedure packs</t>
  </si>
  <si>
    <t>42295414  Surgical specialty procedure packs</t>
  </si>
  <si>
    <t>AUSTIN</t>
  </si>
  <si>
    <t>AU10089S</t>
  </si>
  <si>
    <t>CPT</t>
  </si>
  <si>
    <t>CPT, STR ASPIRATION TUBING (25/CS)</t>
  </si>
  <si>
    <t>1229159</t>
  </si>
  <si>
    <t>Ambulatory Accessories</t>
  </si>
  <si>
    <t>AUXO MEDICAL LLC</t>
  </si>
  <si>
    <t>Auxo Medical-AUXOMD</t>
  </si>
  <si>
    <t>AUXOMD</t>
  </si>
  <si>
    <t>Auxo Medical</t>
  </si>
  <si>
    <t>075112</t>
  </si>
  <si>
    <t>AUXO</t>
  </si>
  <si>
    <t>PAD</t>
  </si>
  <si>
    <t>PAD, REPLCMNT F/STRETCHER 5E8</t>
  </si>
  <si>
    <t>1069039</t>
  </si>
  <si>
    <t>AM-62914</t>
  </si>
  <si>
    <t>42192701</t>
  </si>
  <si>
    <t>Obstetrics or gynecology exam table accessories</t>
  </si>
  <si>
    <t>42192701  Obstetrics or gynecology exam table accessories</t>
  </si>
  <si>
    <t>AM62914</t>
  </si>
  <si>
    <t>ASSEMBLY</t>
  </si>
  <si>
    <t>ASSEMBLY, CALF SUPPORTF/OB/GYNSTRETCHER HILL-ROM P8050</t>
  </si>
  <si>
    <t>1067404</t>
  </si>
  <si>
    <t>AM-COMPASS-R</t>
  </si>
  <si>
    <t>42181904</t>
  </si>
  <si>
    <t>Multiparameter vital sign units</t>
  </si>
  <si>
    <t>42181904  Multiparameter vital sign units</t>
  </si>
  <si>
    <t>AMCOMPASSR</t>
  </si>
  <si>
    <t>EKG</t>
  </si>
  <si>
    <t>EKG, 3LEAD NIBP CUFF ADLT/FINGER PULSE OX REFURB</t>
  </si>
  <si>
    <t>789143</t>
  </si>
  <si>
    <t>AM-CPOSIRADWIL5319</t>
  </si>
  <si>
    <t>AMCPOSIRADWIL5319</t>
  </si>
  <si>
    <t>FRAME</t>
  </si>
  <si>
    <t>FRAME, SURG TBL WILSON OSI 5319 REFURB</t>
  </si>
  <si>
    <t>1067144</t>
  </si>
  <si>
    <t>Combination Vital Signs Monitors</t>
  </si>
  <si>
    <t>AM-DP400V2</t>
  </si>
  <si>
    <t>AMDP400V2</t>
  </si>
  <si>
    <t>MONITOR, VITAL SIGNS DINAMAP PREFURB</t>
  </si>
  <si>
    <t>1074292</t>
  </si>
  <si>
    <t>Medical Procedure Lighting</t>
  </si>
  <si>
    <t>AM-L9000</t>
  </si>
  <si>
    <t>42294972</t>
  </si>
  <si>
    <t>Endoscopic or surgical light sources</t>
  </si>
  <si>
    <t>42294972  Endoscopic or surgical light sources</t>
  </si>
  <si>
    <t>AML9000</t>
  </si>
  <si>
    <t>LIGHT</t>
  </si>
  <si>
    <t>LIGHT, OR LED STRYKER L9000 9000 REFURB</t>
  </si>
  <si>
    <t>1068295</t>
  </si>
  <si>
    <t>AM-M3516A</t>
  </si>
  <si>
    <t>42172105</t>
  </si>
  <si>
    <t>Mobile medical service automated external defibrillator AED accessories</t>
  </si>
  <si>
    <t>42172105  Mobile medical service automated external defibrillator AED accessories</t>
  </si>
  <si>
    <t>AMM3516A</t>
  </si>
  <si>
    <t>BATTERY, HEARTSTART DEFIB PHILLIPS</t>
  </si>
  <si>
    <t>1228420</t>
  </si>
  <si>
    <t>AM-M625-UP</t>
  </si>
  <si>
    <t>AMM625UP</t>
  </si>
  <si>
    <t>UPHOLSTERY</t>
  </si>
  <si>
    <t>UPHOLSTERY, F/MIDMARK 625 EXAMTABLE REFURBISHED</t>
  </si>
  <si>
    <t>1073356</t>
  </si>
  <si>
    <t>IV Therapy Accessories</t>
  </si>
  <si>
    <t>AM-PR-4000</t>
  </si>
  <si>
    <t>42221803</t>
  </si>
  <si>
    <t>Intravenous or arterial catheter positioning tapes or dressings or straps or cuffs</t>
  </si>
  <si>
    <t>42221803  Intravenous or arterial catheter positioning tapes or dressings or straps or cuffs</t>
  </si>
  <si>
    <t>AMPR4000</t>
  </si>
  <si>
    <t>STRAP</t>
  </si>
  <si>
    <t>STRAP, ARMBOARD ALERO DLX SAFETY W/DBL VELCRO CLOSURES</t>
  </si>
  <si>
    <t>1066233</t>
  </si>
  <si>
    <t>AM-PROPAQ246-CO2</t>
  </si>
  <si>
    <t>AMPROPAQ246CO2</t>
  </si>
  <si>
    <t>MONITOR, PATIENT VITAL SIGNS WELCH ALLYN W/ETCO2 REFURB</t>
  </si>
  <si>
    <t>1229344</t>
  </si>
  <si>
    <t>Mattresses</t>
  </si>
  <si>
    <t>AM-SP-5250</t>
  </si>
  <si>
    <t>AMSP5250</t>
  </si>
  <si>
    <t>PAD SET, STD F/STRETCHER 800 UNI-CARE 4"</t>
  </si>
  <si>
    <t>1075180</t>
  </si>
  <si>
    <t>Dispensers</t>
  </si>
  <si>
    <t>KIMBERLY CLARK PROFESSIONAL &amp; CONSUMER</t>
  </si>
  <si>
    <t>Kimberly Clark-KCPDSP</t>
  </si>
  <si>
    <t>KCPDSP</t>
  </si>
  <si>
    <t>Kimberly Clark</t>
  </si>
  <si>
    <t>47071</t>
  </si>
  <si>
    <t>47131701</t>
  </si>
  <si>
    <t>Paper towel dispensers</t>
  </si>
  <si>
    <t>47131701  Paper towel dispensers</t>
  </si>
  <si>
    <t>AVANOS</t>
  </si>
  <si>
    <t>DISPENSER</t>
  </si>
  <si>
    <t>DISPENSER, TOWEL MANUAL SLIMROLL WHT (1/CS) PINK CORE</t>
  </si>
  <si>
    <t>1075181</t>
  </si>
  <si>
    <t>47089</t>
  </si>
  <si>
    <t>DISPENSER, TOWEL MANUAL SLIMROLL BLK (1/CS) PINK CORE</t>
  </si>
  <si>
    <t>1228211</t>
  </si>
  <si>
    <t>Gastrostomy Tubes</t>
  </si>
  <si>
    <t>AVANOS MEDICAL SALES LLC</t>
  </si>
  <si>
    <t>Avanos Medical Sales LLC-AVANOS</t>
  </si>
  <si>
    <t>Avanos Medical Sales LLC</t>
  </si>
  <si>
    <t>8160-20</t>
  </si>
  <si>
    <t>816020</t>
  </si>
  <si>
    <t>PEG</t>
  </si>
  <si>
    <t>PEG KIT, ENDOSCOPIC GASTRO W/ENFIT CONN PULL 20FR (2/CS)</t>
  </si>
  <si>
    <t>1066074</t>
  </si>
  <si>
    <t>Nerve Block Trays</t>
  </si>
  <si>
    <t>181A403</t>
  </si>
  <si>
    <t>42142535</t>
  </si>
  <si>
    <t>Anesthesia nerve block kit or tray</t>
  </si>
  <si>
    <t>42142535  Anesthesia nerve block kit or tray</t>
  </si>
  <si>
    <t>BLOCK</t>
  </si>
  <si>
    <t>BLOCK TRAY, NERVE UNIVERSAL (20/CS)</t>
  </si>
  <si>
    <t>1228892</t>
  </si>
  <si>
    <t>Laceration and Minor Procedure Trays</t>
  </si>
  <si>
    <t>181A486</t>
  </si>
  <si>
    <t>CUSTOM</t>
  </si>
  <si>
    <t>CUSTOM PACK, UNIVERSAL PROCEDURE TRAY (20/CS)</t>
  </si>
  <si>
    <t>1073481</t>
  </si>
  <si>
    <t>C270100</t>
  </si>
  <si>
    <t>PUMP, INFUSION HOME C-SERIES 270ML 10ML/HR (6/BX 4BX/CS)</t>
  </si>
  <si>
    <t>1074507</t>
  </si>
  <si>
    <t>Nerve Block Needles</t>
  </si>
  <si>
    <t>EBL20100SG</t>
  </si>
  <si>
    <t>42142541</t>
  </si>
  <si>
    <t>Spinal aspiration needles</t>
  </si>
  <si>
    <t>42142541  Spinal aspiration needles</t>
  </si>
  <si>
    <t>NEEDLE, SPINAL ON-Q SNGL SHOT 20GX4" (10/CS)</t>
  </si>
  <si>
    <t>1074508</t>
  </si>
  <si>
    <t>EBL20150SG</t>
  </si>
  <si>
    <t>NEEDLE, SPINAL ON-Q SNGL SHOT 20GX6" (10/CS)</t>
  </si>
  <si>
    <t>1074499</t>
  </si>
  <si>
    <t>AVID MEDICAL INC</t>
  </si>
  <si>
    <t>Avid Medical-AVIDMD</t>
  </si>
  <si>
    <t>AVIDMD</t>
  </si>
  <si>
    <t>Avid Medical</t>
  </si>
  <si>
    <t>DADC013-02</t>
  </si>
  <si>
    <t>42294211</t>
  </si>
  <si>
    <t>Surgical custom or specialty instrument or procedure sets</t>
  </si>
  <si>
    <t>42294211  Surgical custom or specialty instrument or procedure sets</t>
  </si>
  <si>
    <t>AVID MEDICAL</t>
  </si>
  <si>
    <t>DADC01302</t>
  </si>
  <si>
    <t>CPT, GLOVE SZ9 (DONORALLIANCE)(25/CS)</t>
  </si>
  <si>
    <t>1066711</t>
  </si>
  <si>
    <t>SUN MED GROUP HOLDINGS</t>
  </si>
  <si>
    <t>Sun Med-SUNMED</t>
  </si>
  <si>
    <t>SUNMED</t>
  </si>
  <si>
    <t>Sun Med</t>
  </si>
  <si>
    <t>9590</t>
  </si>
  <si>
    <t>42272229</t>
  </si>
  <si>
    <t>Anesthesia breathing circuits</t>
  </si>
  <si>
    <t>42272229  Anesthesia breathing circuits</t>
  </si>
  <si>
    <t>AZIMUTH</t>
  </si>
  <si>
    <t>CIRCUIT, ANES EXPND B/V FILTERW/3L BAG ADLT (20/CS)</t>
  </si>
  <si>
    <t>1228299</t>
  </si>
  <si>
    <t>3-3101-80</t>
  </si>
  <si>
    <t>3310180</t>
  </si>
  <si>
    <t>CONNECTOR, ENDOTRACHEAL TU 60 DEGREE W/O PORT 8MMX15MM</t>
  </si>
  <si>
    <t>1075074</t>
  </si>
  <si>
    <t>Nebulizers</t>
  </si>
  <si>
    <t>8924TG-7-50</t>
  </si>
  <si>
    <t>42271802</t>
  </si>
  <si>
    <t>42271802  Nebulizers</t>
  </si>
  <si>
    <t>8924TG750</t>
  </si>
  <si>
    <t>NEBULIZER</t>
  </si>
  <si>
    <t>NEBULIZER, ELAS STRP AERMASK 7' W/THRD GRP ADLT (50/CS)</t>
  </si>
  <si>
    <t>1066626</t>
  </si>
  <si>
    <t>HS4011</t>
  </si>
  <si>
    <t>42272211</t>
  </si>
  <si>
    <t>Hyperinflation products</t>
  </si>
  <si>
    <t>42272211  Hyperinflation products</t>
  </si>
  <si>
    <t>BAG SYSTEM, HYPERINFLATION 1L W/MANOMETER (20/CS)</t>
  </si>
  <si>
    <t>1073626</t>
  </si>
  <si>
    <t>Aspiration and Biopsy Needles</t>
  </si>
  <si>
    <t>BARD PERIPHERAL VASCULAR</t>
  </si>
  <si>
    <t>Bard Peripheral Vascular-BRDPHL</t>
  </si>
  <si>
    <t>BRDPHL</t>
  </si>
  <si>
    <t>Bard Peripheral Vascular</t>
  </si>
  <si>
    <t>C1210B</t>
  </si>
  <si>
    <t>42142504</t>
  </si>
  <si>
    <t>Biopsy needles</t>
  </si>
  <si>
    <t>42142504  Biopsy needles</t>
  </si>
  <si>
    <t>BARD</t>
  </si>
  <si>
    <t>NEEDLE, BIOPSY TRUEGUIDE COAXIAL 11GX7CM (5/CS)</t>
  </si>
  <si>
    <t>1073627</t>
  </si>
  <si>
    <t>C1213B</t>
  </si>
  <si>
    <t>NEEDLE, BIOPSY TRUEGUIDE COAXIAL 11GX10CM (5/CS)</t>
  </si>
  <si>
    <t>1228222</t>
  </si>
  <si>
    <t>Catheter and Bag Kits and Trays</t>
  </si>
  <si>
    <t>CR BARD UROLOGICAL DIV.</t>
  </si>
  <si>
    <t>Bard-BRDMED</t>
  </si>
  <si>
    <t>BRDMED</t>
  </si>
  <si>
    <t>Bard</t>
  </si>
  <si>
    <t>INTS16</t>
  </si>
  <si>
    <t>TRAY</t>
  </si>
  <si>
    <t>TRAY, CATHETER INTMT SURESTEP LF 16FR (20/CS)</t>
  </si>
  <si>
    <t>1228682</t>
  </si>
  <si>
    <t>Clinical Laboratory Accessories</t>
  </si>
  <si>
    <t>BECKMAN COULTER REAGENT DEPT,</t>
  </si>
  <si>
    <t>Beckman Coulter-COULTR</t>
  </si>
  <si>
    <t>COULTR</t>
  </si>
  <si>
    <t>Beckman Coulter</t>
  </si>
  <si>
    <t>B31698</t>
  </si>
  <si>
    <t>BECKMAN</t>
  </si>
  <si>
    <t>SCANNER</t>
  </si>
  <si>
    <t>SCANNER KIT, IMAGING HONEYWELLXERON AREA 1950</t>
  </si>
  <si>
    <t>1228651</t>
  </si>
  <si>
    <t>B44420</t>
  </si>
  <si>
    <t>PRINTER</t>
  </si>
  <si>
    <t>PRINTER, REMISOL ADV ZEBRA BC</t>
  </si>
  <si>
    <t>1228694</t>
  </si>
  <si>
    <t>B62967</t>
  </si>
  <si>
    <t>CABINET, SERVER COMPLETE</t>
  </si>
  <si>
    <t>1228657</t>
  </si>
  <si>
    <t>B72121</t>
  </si>
  <si>
    <t>CABLE</t>
  </si>
  <si>
    <t>CABLE, F/AUTOMATION SYS DXA 5000 ETHERNET BECKHOFF</t>
  </si>
  <si>
    <t>1228652</t>
  </si>
  <si>
    <t>B72122</t>
  </si>
  <si>
    <t>CABLE, F/AUTOMATION SYS DXA 5000 ETHERNET BECKHOFF 10.0M</t>
  </si>
  <si>
    <t>1228653</t>
  </si>
  <si>
    <t>B72123</t>
  </si>
  <si>
    <t>CABLE, F/AUTOMATION SYS DXA 5000 ETHERNET BECKHOFF 15.0M</t>
  </si>
  <si>
    <t>1228654</t>
  </si>
  <si>
    <t>B72124</t>
  </si>
  <si>
    <t>CABLE, F/AUTOMATION SYS DXA 5000 ETHERNET BECKHOFF 20.0M</t>
  </si>
  <si>
    <t>1228655</t>
  </si>
  <si>
    <t>B72125</t>
  </si>
  <si>
    <t>CABLE, F/AUTOMATION SYS DXA 5000 ETHERNET BECKHOFF 25.0M</t>
  </si>
  <si>
    <t>1228656</t>
  </si>
  <si>
    <t>C01916</t>
  </si>
  <si>
    <t>CABLE, F/AUTOMATION SYSTEM DXA5000 ETHERCAT</t>
  </si>
  <si>
    <t>1074589</t>
  </si>
  <si>
    <t>Calipers</t>
  </si>
  <si>
    <t>BEL-ART PRODUCTS</t>
  </si>
  <si>
    <t>Bel-Art Products-BELART</t>
  </si>
  <si>
    <t>BELART</t>
  </si>
  <si>
    <t>Bel-Art Products</t>
  </si>
  <si>
    <t>13415-0000</t>
  </si>
  <si>
    <t>42293001</t>
  </si>
  <si>
    <t>Surgical calipers or rulers or protractors</t>
  </si>
  <si>
    <t>42293001  Surgical calipers or rulers or protractors</t>
  </si>
  <si>
    <t>BEL-ART</t>
  </si>
  <si>
    <t>134150000</t>
  </si>
  <si>
    <t>CALIPER</t>
  </si>
  <si>
    <t>CALIPER, VERNIER W/METRIC/ENGLISH SCALES</t>
  </si>
  <si>
    <t>1073734</t>
  </si>
  <si>
    <t>Body Pressure Relief Accessories</t>
  </si>
  <si>
    <t>BIG BOYZ INDUSTRIES INC</t>
  </si>
  <si>
    <t>Big Boyz-BIGBOY</t>
  </si>
  <si>
    <t>BIGBOY</t>
  </si>
  <si>
    <t>Big Boyz</t>
  </si>
  <si>
    <t>MATSTAT</t>
  </si>
  <si>
    <t>42191816</t>
  </si>
  <si>
    <t>Alternating pressure systems</t>
  </si>
  <si>
    <t>42191816  Alternating pressure systems</t>
  </si>
  <si>
    <t>BIG BOYZ</t>
  </si>
  <si>
    <t>STABILIZER</t>
  </si>
  <si>
    <t>STABILIZER, MATTRESS (4/ST) D/S</t>
  </si>
  <si>
    <t>636204</t>
  </si>
  <si>
    <t>Instrument and Solution Stands</t>
  </si>
  <si>
    <t>BLICKMAN HEALTH IND., INC.</t>
  </si>
  <si>
    <t>Blickman-BLIKMN</t>
  </si>
  <si>
    <t>BLIKMN</t>
  </si>
  <si>
    <t>Blickman</t>
  </si>
  <si>
    <t>0717807100</t>
  </si>
  <si>
    <t>42295101</t>
  </si>
  <si>
    <t>Basin or pail stands for surgical use</t>
  </si>
  <si>
    <t>UNSPSC v22.0601</t>
  </si>
  <si>
    <t>42295101  Basin or pail stands for surgical use</t>
  </si>
  <si>
    <t>BLICKMAN</t>
  </si>
  <si>
    <t>STAND, BASIN SOL SNGL S/S W/H-BRACE D/S</t>
  </si>
  <si>
    <t>1067172</t>
  </si>
  <si>
    <t>Lip Balm</t>
  </si>
  <si>
    <t>BLISTEX INC.</t>
  </si>
  <si>
    <t>Blistex-BLISTX</t>
  </si>
  <si>
    <t>BLISTX</t>
  </si>
  <si>
    <t>Blistex</t>
  </si>
  <si>
    <t>X5000</t>
  </si>
  <si>
    <t>53131630</t>
  </si>
  <si>
    <t>Lip balm</t>
  </si>
  <si>
    <t>53131630  Lip balm</t>
  </si>
  <si>
    <t>BLISTEX</t>
  </si>
  <si>
    <t>BLISTEX, OINT LIP .5GM (500/BX/BX 6BX/CS)</t>
  </si>
  <si>
    <t>1067183</t>
  </si>
  <si>
    <t>Gurneys and Stretchers</t>
  </si>
  <si>
    <t>BOUND TREE MEDICAL LLC</t>
  </si>
  <si>
    <t>Bound Tree Medical-BNDTRE</t>
  </si>
  <si>
    <t>BNDTRE</t>
  </si>
  <si>
    <t>Bound Tree Medical</t>
  </si>
  <si>
    <t>471220</t>
  </si>
  <si>
    <t>42192221</t>
  </si>
  <si>
    <t>Patient stretcher accessories</t>
  </si>
  <si>
    <t>42192221  Patient stretcher accessories</t>
  </si>
  <si>
    <t>BOUND TREE</t>
  </si>
  <si>
    <t>SPINE/NECK</t>
  </si>
  <si>
    <t>SPINE/NECK IMMOBILIZER, REEVES</t>
  </si>
  <si>
    <t>1075015</t>
  </si>
  <si>
    <t>Transfer Sheets</t>
  </si>
  <si>
    <t>3271-60402</t>
  </si>
  <si>
    <t>42132105</t>
  </si>
  <si>
    <t>Hospital bed sheets or mattress covers</t>
  </si>
  <si>
    <t>42132105  Hospital bed sheets or mattress covers</t>
  </si>
  <si>
    <t>327160402</t>
  </si>
  <si>
    <t>SHEET</t>
  </si>
  <si>
    <t>SHEET, TRANSFER PATIENT POLY PRO DISP FITTED BLU (50/CS)</t>
  </si>
  <si>
    <t>1067179</t>
  </si>
  <si>
    <t>253-DCF-200</t>
  </si>
  <si>
    <t>253DCF200</t>
  </si>
  <si>
    <t>BATTERY, DEFIBRILLATOR DEFIBTE</t>
  </si>
  <si>
    <t>1067186</t>
  </si>
  <si>
    <t>Education and Reference Materials</t>
  </si>
  <si>
    <t>480382 -8TH</t>
  </si>
  <si>
    <t>42301504</t>
  </si>
  <si>
    <t>Kits for medical education or training</t>
  </si>
  <si>
    <t>42301504  Kits for medical education or training</t>
  </si>
  <si>
    <t>4803828TH</t>
  </si>
  <si>
    <t>GUIDE</t>
  </si>
  <si>
    <t>GUIDE, CRITICAL CARE ACLS 8TH</t>
  </si>
  <si>
    <t>1068054</t>
  </si>
  <si>
    <t>Mannequins and Models</t>
  </si>
  <si>
    <t>934-DEMOKITA</t>
  </si>
  <si>
    <t>934DEMOKITA</t>
  </si>
  <si>
    <t>TRAINING</t>
  </si>
  <si>
    <t>TRAINING KIT, BIG DEMO BONE INJECTION GUN ADLT</t>
  </si>
  <si>
    <t>1068055</t>
  </si>
  <si>
    <t>934-DEMOKITP</t>
  </si>
  <si>
    <t>934DEMOKITP</t>
  </si>
  <si>
    <t>TRAINING KIT, BIG DEMO BONE INJECTION GUN PED</t>
  </si>
  <si>
    <t>1067412</t>
  </si>
  <si>
    <t>PPE Dispensers</t>
  </si>
  <si>
    <t>BOWMAN MANUFACTURING CO.</t>
  </si>
  <si>
    <t>Bowman Manufacturing-BOWMAN</t>
  </si>
  <si>
    <t>BOWMAN</t>
  </si>
  <si>
    <t>Bowman Manufacturing</t>
  </si>
  <si>
    <t>GS-124</t>
  </si>
  <si>
    <t>42132201</t>
  </si>
  <si>
    <t>Medical glove boxes or dispensers</t>
  </si>
  <si>
    <t>42132201  Medical glove boxes or dispensers</t>
  </si>
  <si>
    <t>GS124</t>
  </si>
  <si>
    <t>DISPENSER, GLOVE BOX QUAD W/DIVIDERS S/STL</t>
  </si>
  <si>
    <t>1073605</t>
  </si>
  <si>
    <t>PD200-0212</t>
  </si>
  <si>
    <t>42131600</t>
  </si>
  <si>
    <t>Medical staff clothing and related articles</t>
  </si>
  <si>
    <t>42131600  Medical staff clothing and related articles</t>
  </si>
  <si>
    <t>PD2000212</t>
  </si>
  <si>
    <t>DISPENSER, BOOT/SHOECOVER WALLMOUNT UNIV</t>
  </si>
  <si>
    <t>1065863</t>
  </si>
  <si>
    <t>Instrument Accessories</t>
  </si>
  <si>
    <t>BR SURGICAL, LLC</t>
  </si>
  <si>
    <t>BR Surgical-BRSURG</t>
  </si>
  <si>
    <t>BRSURG</t>
  </si>
  <si>
    <t>BR Surgical</t>
  </si>
  <si>
    <t>BR82-12025</t>
  </si>
  <si>
    <t>42294938</t>
  </si>
  <si>
    <t>Sealing caps for endoscopes</t>
  </si>
  <si>
    <t>42294938  Sealing caps for endoscopes</t>
  </si>
  <si>
    <t>BR SURGICAL</t>
  </si>
  <si>
    <t>BR8212025</t>
  </si>
  <si>
    <t>CAP, VAPOR BLK F/LARGE ENDO CADDY TUBE</t>
  </si>
  <si>
    <t>1065741</t>
  </si>
  <si>
    <t>Laryngoscopes</t>
  </si>
  <si>
    <t>BR900-7301</t>
  </si>
  <si>
    <t>42272001</t>
  </si>
  <si>
    <t>Intubation laryngoscopes</t>
  </si>
  <si>
    <t>42272001  Intubation laryngoscopes</t>
  </si>
  <si>
    <t>BR9007301</t>
  </si>
  <si>
    <t>STROBOSCOPE</t>
  </si>
  <si>
    <t>STROBOSCOPE, LARYNGEAL STROBOUX III HD LED</t>
  </si>
  <si>
    <t>1066079</t>
  </si>
  <si>
    <t>Anesthesia Injection Needles</t>
  </si>
  <si>
    <t>B. BRAUN MEDICAL INC.</t>
  </si>
  <si>
    <t>B. Braun-BBRAUN</t>
  </si>
  <si>
    <t>BBRAUN</t>
  </si>
  <si>
    <t>B. Braun</t>
  </si>
  <si>
    <t>339124</t>
  </si>
  <si>
    <t>42142502</t>
  </si>
  <si>
    <t>Anesthesia needles</t>
  </si>
  <si>
    <t>42142502  Anesthesia needles</t>
  </si>
  <si>
    <t>BRAUN</t>
  </si>
  <si>
    <t>NEEDLE, EPIDURAL TUOHY NRFIT 17GX3.5" (25/BX)</t>
  </si>
  <si>
    <t>1066080</t>
  </si>
  <si>
    <t>339127</t>
  </si>
  <si>
    <t>NEEDLE, NRFIT TUOHY EPIDURAL 18GX6" (25/BX)</t>
  </si>
  <si>
    <t>1066082</t>
  </si>
  <si>
    <t>339132</t>
  </si>
  <si>
    <t>NEEDLE, SPINOCAN 20GX3.5" (50/BX)</t>
  </si>
  <si>
    <t>1066083</t>
  </si>
  <si>
    <t>Needles and Syringes Accessories</t>
  </si>
  <si>
    <t>339160</t>
  </si>
  <si>
    <t>42142500</t>
  </si>
  <si>
    <t>Injection and aspiration needles and accessories</t>
  </si>
  <si>
    <t>42142500  Injection and aspiration needles and accessories</t>
  </si>
  <si>
    <t>FILTER</t>
  </si>
  <si>
    <t>FILTER, EPIDURAL FLAT NRFIT (25/BX)</t>
  </si>
  <si>
    <t>1066086</t>
  </si>
  <si>
    <t>339163</t>
  </si>
  <si>
    <t>42221604</t>
  </si>
  <si>
    <t>Intravenous or arterial tubing adapter or connector</t>
  </si>
  <si>
    <t>42221604  Intravenous or arterial tubing adapter or connector</t>
  </si>
  <si>
    <t>CONNECTOR, MEDICAL DEVICE NRFIT 19G (50/BX)</t>
  </si>
  <si>
    <t>1066087</t>
  </si>
  <si>
    <t>339164</t>
  </si>
  <si>
    <t>CONNECTOR, MEDICAL DEVICE NRFIT 20G-24G (50/BX)</t>
  </si>
  <si>
    <t>1066090</t>
  </si>
  <si>
    <t>Combined Spinal and Epidural Trays</t>
  </si>
  <si>
    <t>339180</t>
  </si>
  <si>
    <t>42321622</t>
  </si>
  <si>
    <t>Spinal implant kits or systems</t>
  </si>
  <si>
    <t>42321622  Spinal implant kits or systems</t>
  </si>
  <si>
    <t>KIT, S25BKN SPINOCAN NRFIT (10/BX)</t>
  </si>
  <si>
    <t>1066092</t>
  </si>
  <si>
    <t>Epidural Trays</t>
  </si>
  <si>
    <t>339188</t>
  </si>
  <si>
    <t>PERI</t>
  </si>
  <si>
    <t>PERI FIX KIT, ACCU-BLOC NRFIT (10/BX)</t>
  </si>
  <si>
    <t>1066093</t>
  </si>
  <si>
    <t>339192</t>
  </si>
  <si>
    <t>EPIDURAL</t>
  </si>
  <si>
    <t>EPIDURAL TRAY, SD18TDN 18G SD NRFIT (10/BX) RX</t>
  </si>
  <si>
    <t>1064702</t>
  </si>
  <si>
    <t>IV Administration Sets</t>
  </si>
  <si>
    <t>363433</t>
  </si>
  <si>
    <t>42221609</t>
  </si>
  <si>
    <t>Intravenous or arterial tubing administration sets</t>
  </si>
  <si>
    <t>42221609  Intravenous or arterial tubing administration sets</t>
  </si>
  <si>
    <t>PUMP SET, IV ASV UNIV 15DRP/ML3ULTRASITES (24/CS)</t>
  </si>
  <si>
    <t>1064930</t>
  </si>
  <si>
    <t>Cold</t>
  </si>
  <si>
    <t>BREG INC</t>
  </si>
  <si>
    <t>Breg-BREGIN</t>
  </si>
  <si>
    <t>BREGIN</t>
  </si>
  <si>
    <t>Breg</t>
  </si>
  <si>
    <t>02320</t>
  </si>
  <si>
    <t>42142111</t>
  </si>
  <si>
    <t>Therapeutic ice packs or pillows</t>
  </si>
  <si>
    <t>42142111  Therapeutic ice packs or pillows</t>
  </si>
  <si>
    <t>BREG</t>
  </si>
  <si>
    <t>PAD, POLAR COLD THERAPY KNEE/SHOULDER</t>
  </si>
  <si>
    <t>1064924</t>
  </si>
  <si>
    <t>Physical Therapy Accessories</t>
  </si>
  <si>
    <t>02653</t>
  </si>
  <si>
    <t>42142108</t>
  </si>
  <si>
    <t>Therapeutic heating or cooling pads or compresses or packs</t>
  </si>
  <si>
    <t>42142108  Therapeutic heating or cooling pads or compresses or packs</t>
  </si>
  <si>
    <t>PAD, POLAR WRAP COLD THERAPY SHOULDER SM/MED</t>
  </si>
  <si>
    <t>1064925</t>
  </si>
  <si>
    <t>02655</t>
  </si>
  <si>
    <t>PAD, POLAR WRAP COLD THERAPY SHOULDER LG/XLG</t>
  </si>
  <si>
    <t>1075173</t>
  </si>
  <si>
    <t>THE BREWER COMPANY</t>
  </si>
  <si>
    <t>The Brewer Company-BREWER</t>
  </si>
  <si>
    <t>BREWER</t>
  </si>
  <si>
    <t>The Brewer Company</t>
  </si>
  <si>
    <t>99994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</si>
  <si>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</si>
  <si>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</si>
  <si>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</si>
  <si>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ACTUATOR</t>
  </si>
  <si>
    <t>ACTUATOR, TILT F/ASSIST 7000 PROC TBL</t>
  </si>
  <si>
    <t>1066715</t>
  </si>
  <si>
    <t>101443</t>
  </si>
  <si>
    <t>BOX/PACKING</t>
  </si>
  <si>
    <t>BOX/PACKING MATERIAL, F/HI-LO EXAM TABLE</t>
  </si>
  <si>
    <t>1075247</t>
  </si>
  <si>
    <t>101625-US364</t>
  </si>
  <si>
    <t>42192111</t>
  </si>
  <si>
    <t>Medical stool or chair accessories</t>
  </si>
  <si>
    <t>42192111  Medical stool or chair accessories</t>
  </si>
  <si>
    <t>101625US364</t>
  </si>
  <si>
    <t>UPHOLSTERY, SEAT CUSHION F/LABSTOOL BURG</t>
  </si>
  <si>
    <t>1067318</t>
  </si>
  <si>
    <t>PR36</t>
  </si>
  <si>
    <t>42192001</t>
  </si>
  <si>
    <t>Medical exam or procedure tables for general use</t>
  </si>
  <si>
    <t>42192001  Medical exam or procedure tables for general use</t>
  </si>
  <si>
    <t>BREWER UPHOL CABERNET DS</t>
  </si>
  <si>
    <t>1067320</t>
  </si>
  <si>
    <t>PR40</t>
  </si>
  <si>
    <t>BREWER UPHOL BLACK SATIN DS</t>
  </si>
  <si>
    <t>1067321</t>
  </si>
  <si>
    <t>PR47</t>
  </si>
  <si>
    <t>BREWER UPHOL TAPESTRY RED DS</t>
  </si>
  <si>
    <t>1067322</t>
  </si>
  <si>
    <t>PR49</t>
  </si>
  <si>
    <t>BREWER UPHOL DEEP SEA DS</t>
  </si>
  <si>
    <t>1067324</t>
  </si>
  <si>
    <t>PR52</t>
  </si>
  <si>
    <t>BREWER UPHOL SADDLE DS</t>
  </si>
  <si>
    <t>1067327</t>
  </si>
  <si>
    <t>PR57</t>
  </si>
  <si>
    <t>BREWER UPHOL CLAMSHELL DS</t>
  </si>
  <si>
    <t>1073708</t>
  </si>
  <si>
    <t>VINYL</t>
  </si>
  <si>
    <t>VINYL, UPHOLSTERY FABRIC CLAMSHELL 1YD</t>
  </si>
  <si>
    <t>1067328</t>
  </si>
  <si>
    <t>PR92</t>
  </si>
  <si>
    <t>BREWER UPHOL GUNMETAL DS</t>
  </si>
  <si>
    <t>1072649</t>
  </si>
  <si>
    <t>Ultraviolet Lights</t>
  </si>
  <si>
    <t>BULBTRONICS, INC.</t>
  </si>
  <si>
    <t>Bulbtronics-BULBTR</t>
  </si>
  <si>
    <t>BULBTR</t>
  </si>
  <si>
    <t>Bulbtronics</t>
  </si>
  <si>
    <t>0016451</t>
  </si>
  <si>
    <t>39101616</t>
  </si>
  <si>
    <t>Ultraviolet UV lamps</t>
  </si>
  <si>
    <t>39101616  Ultraviolet UV lamps</t>
  </si>
  <si>
    <t>BULBTRONICS</t>
  </si>
  <si>
    <t>LAMP, GERMICIDAL ULTRAVIOLET DBL END 8W</t>
  </si>
  <si>
    <t>1073565</t>
  </si>
  <si>
    <t>BURTON MEDICAL LLC</t>
  </si>
  <si>
    <t>Burton Medical Products-PHLPBT</t>
  </si>
  <si>
    <t>PHLPBT</t>
  </si>
  <si>
    <t>Burton Medical Products</t>
  </si>
  <si>
    <t>1009728</t>
  </si>
  <si>
    <t>42182606</t>
  </si>
  <si>
    <t>Medical exam or surgical headlights or headlamp accessories</t>
  </si>
  <si>
    <t>42182606  Medical exam or surgical headlights or headlamp accessories</t>
  </si>
  <si>
    <t>BURTON</t>
  </si>
  <si>
    <t>CAP, LIGHT TERMINAL END BLOCK</t>
  </si>
  <si>
    <t>1073687</t>
  </si>
  <si>
    <t>1009729</t>
  </si>
  <si>
    <t>BLOCK, TERMINAL SOCKET II</t>
  </si>
  <si>
    <t>1066336</t>
  </si>
  <si>
    <t>4000333</t>
  </si>
  <si>
    <t>42182600</t>
  </si>
  <si>
    <t>Medical exam lights or lamps</t>
  </si>
  <si>
    <t>42182600  Medical exam lights or lamps</t>
  </si>
  <si>
    <t>EXTENSION</t>
  </si>
  <si>
    <t>EXTENSION, DOWN TUBE F/OUTPT LED SNGL CEILING LIGHT</t>
  </si>
  <si>
    <t>1066284</t>
  </si>
  <si>
    <t>Needle Holders</t>
  </si>
  <si>
    <t>BUSSE HOSPITAL DISPOSABLES</t>
  </si>
  <si>
    <t>Busse Hospital Disposables-BUSSE</t>
  </si>
  <si>
    <t>BUSSE</t>
  </si>
  <si>
    <t>Busse Hospital Disposables</t>
  </si>
  <si>
    <t>599</t>
  </si>
  <si>
    <t>42142529</t>
  </si>
  <si>
    <t>Needle trays or holders</t>
  </si>
  <si>
    <t>42142529  Needle trays or holders</t>
  </si>
  <si>
    <t>HOLDER</t>
  </si>
  <si>
    <t>HOLDER, NEEDLE SAF-T-CUBE (1000/CS)</t>
  </si>
  <si>
    <t>1071692</t>
  </si>
  <si>
    <t>CAPSA SOLUTIONS LLC</t>
  </si>
  <si>
    <t>Capsa Solutions-CAPSAS</t>
  </si>
  <si>
    <t>CAPSAS</t>
  </si>
  <si>
    <t>Capsa Solutions</t>
  </si>
  <si>
    <t>SP-310001</t>
  </si>
  <si>
    <t>42192407</t>
  </si>
  <si>
    <t>Medical cart accessories</t>
  </si>
  <si>
    <t>42192407  Medical cart accessories</t>
  </si>
  <si>
    <t>CAPSA</t>
  </si>
  <si>
    <t>SP310001</t>
  </si>
  <si>
    <t>KEY</t>
  </si>
  <si>
    <t>KEY, F/MEDICAL CART IM-1 D/S</t>
  </si>
  <si>
    <t>1067265</t>
  </si>
  <si>
    <t>UG-200610</t>
  </si>
  <si>
    <t>42191904</t>
  </si>
  <si>
    <t>Narcotic cabinets or safes</t>
  </si>
  <si>
    <t>42191904  Narcotic cabinets or safes</t>
  </si>
  <si>
    <t>UG200610</t>
  </si>
  <si>
    <t>BOX</t>
  </si>
  <si>
    <t>BOX, NARCOTIC UPGRADE F/NEW CART ORDER ONLY W/LOCK 10" D/S</t>
  </si>
  <si>
    <t>1067264</t>
  </si>
  <si>
    <t>UG-2.5WUD-DIV</t>
  </si>
  <si>
    <t>UG25WUDDIV</t>
  </si>
  <si>
    <t>RAIL</t>
  </si>
  <si>
    <t>RAIL SYSTEM, DIVIDERS F/2.5 WIDE DRWR D/S</t>
  </si>
  <si>
    <t>1067266</t>
  </si>
  <si>
    <t>UG-3WUD-DIV</t>
  </si>
  <si>
    <t>UG3WUDDIV</t>
  </si>
  <si>
    <t>DIVIDER</t>
  </si>
  <si>
    <t>DIVIDER, RAIL EXTERNAL M3PC D/S</t>
  </si>
  <si>
    <t>1073608</t>
  </si>
  <si>
    <t>ECG Electrodes</t>
  </si>
  <si>
    <t>VYAIRE MEDICAL</t>
  </si>
  <si>
    <t>Vyaire Biomed-VYABIO</t>
  </si>
  <si>
    <t>VYABIO</t>
  </si>
  <si>
    <t>Vyaire Biomed</t>
  </si>
  <si>
    <t>466631</t>
  </si>
  <si>
    <t>42181708</t>
  </si>
  <si>
    <t>Electrocardiography EKG electrode patches</t>
  </si>
  <si>
    <t>42181708  Electrocardiography EKG electrode patches</t>
  </si>
  <si>
    <t>CARDINAL</t>
  </si>
  <si>
    <t>ELECTRODE</t>
  </si>
  <si>
    <t>ELECTRODE, EKG WET GEL DISP (5/PK)</t>
  </si>
  <si>
    <t>1066614</t>
  </si>
  <si>
    <t>Vyaire Medical-VYARMD</t>
  </si>
  <si>
    <t>VYARMD</t>
  </si>
  <si>
    <t>Vyaire Medical</t>
  </si>
  <si>
    <t>1576006</t>
  </si>
  <si>
    <t>CIRCUIT, VENT VOLUME ADLT (10/CS)</t>
  </si>
  <si>
    <t>1074590</t>
  </si>
  <si>
    <t>CARDINAL HEALTHCARE</t>
  </si>
  <si>
    <t>Cardinal-CARDNL</t>
  </si>
  <si>
    <t>CARDNL</t>
  </si>
  <si>
    <t>Cardinal</t>
  </si>
  <si>
    <t>65652-109</t>
  </si>
  <si>
    <t>42293511</t>
  </si>
  <si>
    <t>Medical or surgical suction or vacuum appliance accessories</t>
  </si>
  <si>
    <t>42293511  Medical or surgical suction or vacuum appliance accessories</t>
  </si>
  <si>
    <t>65652109</t>
  </si>
  <si>
    <t>ADAPTER</t>
  </si>
  <si>
    <t>ADAPTER, F/CRD &amp; PT PORTS UNIVRT ANGL 90DEG (50/CS)</t>
  </si>
  <si>
    <t>1065834</t>
  </si>
  <si>
    <t>65652-598</t>
  </si>
  <si>
    <t>65652598</t>
  </si>
  <si>
    <t>STAND, ROLLING F/CANISTER LG VOLUME 12L 18" (1/CS)</t>
  </si>
  <si>
    <t>1075135</t>
  </si>
  <si>
    <t>Vyaire Medical-VYACIR</t>
  </si>
  <si>
    <t>VYACIR</t>
  </si>
  <si>
    <t>7772020LP</t>
  </si>
  <si>
    <t>42272224</t>
  </si>
  <si>
    <t>Ventilator circuit kits</t>
  </si>
  <si>
    <t>42272224  Ventilator circuit kits</t>
  </si>
  <si>
    <t>GENERATOR</t>
  </si>
  <si>
    <t>GENERATOR KIT, LP INF FLO (10/CS)</t>
  </si>
  <si>
    <t>1073450</t>
  </si>
  <si>
    <t>Pediatric Diapers and Training Pants</t>
  </si>
  <si>
    <t>Cardinal-CARICO</t>
  </si>
  <si>
    <t>CARICO</t>
  </si>
  <si>
    <t>80008A-</t>
  </si>
  <si>
    <t>53102305</t>
  </si>
  <si>
    <t>Infant diapers</t>
  </si>
  <si>
    <t>53102305  Infant diapers</t>
  </si>
  <si>
    <t>80008A</t>
  </si>
  <si>
    <t>DIAPER</t>
  </si>
  <si>
    <t>DIAPER, CURITY BABY SZ1 8-12LBS (40/BG 8BG/CS) KENICO</t>
  </si>
  <si>
    <t>1073748</t>
  </si>
  <si>
    <t>A46XXXXX</t>
  </si>
  <si>
    <t>CIRCUIT, ANES BREATHING ADLT (20/CS)</t>
  </si>
  <si>
    <t>1073606</t>
  </si>
  <si>
    <t>CAREFUSION SOLUTIONS LLC</t>
  </si>
  <si>
    <t>V. Mueller-CARVMU</t>
  </si>
  <si>
    <t>CARVMU</t>
  </si>
  <si>
    <t>V. Mueller</t>
  </si>
  <si>
    <t>AU17210</t>
  </si>
  <si>
    <t>42292903</t>
  </si>
  <si>
    <t>Surgical needle holders</t>
  </si>
  <si>
    <t>42292903  Surgical needle holders</t>
  </si>
  <si>
    <t>NEEDLE HOLDER, SOFRMAN 5MM JAWSTRT 6 3/8" D/S</t>
  </si>
  <si>
    <t>1074513</t>
  </si>
  <si>
    <t>Sterilization Accessories</t>
  </si>
  <si>
    <t>BP2-1AS</t>
  </si>
  <si>
    <t>42281509</t>
  </si>
  <si>
    <t>Sterilization containers or trays</t>
  </si>
  <si>
    <t>42281509  Sterilization containers or trays</t>
  </si>
  <si>
    <t>BP21AS</t>
  </si>
  <si>
    <t>BASKET</t>
  </si>
  <si>
    <t>BASKET, STRLZ GENESIS PERF STACKING MID LNTH 1"</t>
  </si>
  <si>
    <t>1066653</t>
  </si>
  <si>
    <t>Sterilization Trays and Containers</t>
  </si>
  <si>
    <t>BP3-2VS</t>
  </si>
  <si>
    <t>BP32VS</t>
  </si>
  <si>
    <t>BASKET, INSTR STRLZ GENESIS FULL LNTH PERF W/VERT HNDLS D/S</t>
  </si>
  <si>
    <t>1066655</t>
  </si>
  <si>
    <t>GR1892-3</t>
  </si>
  <si>
    <t>42281500</t>
  </si>
  <si>
    <t>Autoclave and sterilizer equipment and accessories</t>
  </si>
  <si>
    <t>42281500  Autoclave and sterilizer equipment and accessories</t>
  </si>
  <si>
    <t>GR18923</t>
  </si>
  <si>
    <t>BRACKET</t>
  </si>
  <si>
    <t>BRACKET, ALUM .17" F/INSTR BAR(1/PR) D/S</t>
  </si>
  <si>
    <t>1066656</t>
  </si>
  <si>
    <t>GR5312</t>
  </si>
  <si>
    <t>BAR</t>
  </si>
  <si>
    <t>BAR, INSTR STRLZ 4SLOT SIL 2.8" D/S</t>
  </si>
  <si>
    <t>1066661</t>
  </si>
  <si>
    <t>GR5350</t>
  </si>
  <si>
    <t>BAR, INSTR STRLZ OPN END SIL 15MMX1.5" D/S</t>
  </si>
  <si>
    <t>1066662</t>
  </si>
  <si>
    <t>GR5351</t>
  </si>
  <si>
    <t>BAR, INSTR STRLZ CLSD END LNG SIL 8MMX1 1/2" D/S</t>
  </si>
  <si>
    <t>1066657</t>
  </si>
  <si>
    <t>GR5370</t>
  </si>
  <si>
    <t>BAR, INSTR STRLZ LONG SIL 10HOLE STAR PATTERN D/S</t>
  </si>
  <si>
    <t>1066658</t>
  </si>
  <si>
    <t>GR5373</t>
  </si>
  <si>
    <t>BAR, INSTR STRLZ 12SLOT SIL 5MMX7" D/S</t>
  </si>
  <si>
    <t>1074399</t>
  </si>
  <si>
    <t>Files</t>
  </si>
  <si>
    <t>MO10054</t>
  </si>
  <si>
    <t>42151620</t>
  </si>
  <si>
    <t>Dental files or rasps</t>
  </si>
  <si>
    <t>42151620  Dental files or rasps</t>
  </si>
  <si>
    <t>FILE</t>
  </si>
  <si>
    <t>FILE, BONE ORAL DBL END 7 3/4"</t>
  </si>
  <si>
    <t>1074402</t>
  </si>
  <si>
    <t>Specialty Instruments</t>
  </si>
  <si>
    <t>OP0905-302</t>
  </si>
  <si>
    <t>42293504</t>
  </si>
  <si>
    <t>Ophthalmic irrigation or aspiration supplies</t>
  </si>
  <si>
    <t>42293504  Ophthalmic irrigation or aspiration supplies</t>
  </si>
  <si>
    <t>OP0905302</t>
  </si>
  <si>
    <t>CANNULA</t>
  </si>
  <si>
    <t>CANNULA, AIR INJECTION ANGLD 27G 7MM</t>
  </si>
  <si>
    <t>1066199</t>
  </si>
  <si>
    <t>OP0906-401</t>
  </si>
  <si>
    <t>42292801</t>
  </si>
  <si>
    <t>Ophthalmic marking instruments</t>
  </si>
  <si>
    <t>42292801  Ophthalmic marking instruments</t>
  </si>
  <si>
    <t>OP0906401</t>
  </si>
  <si>
    <t>DEPRESSOR/MARKER</t>
  </si>
  <si>
    <t>DEPRESSOR/MARKER, SCLERAL O'CONNOR 5 1/4" D/S</t>
  </si>
  <si>
    <t>1066203</t>
  </si>
  <si>
    <t>Hooks</t>
  </si>
  <si>
    <t>OP0923-304</t>
  </si>
  <si>
    <t>42296805</t>
  </si>
  <si>
    <t>Ophthalmic surgery instruments</t>
  </si>
  <si>
    <t>42296805  Ophthalmic surgery instruments</t>
  </si>
  <si>
    <t>OP0923304</t>
  </si>
  <si>
    <t>HOOK</t>
  </si>
  <si>
    <t>HOOK, MANIPULATING LENS SINSKEYII BLNT TIP 4 1/2" D/S</t>
  </si>
  <si>
    <t>1066205</t>
  </si>
  <si>
    <t>OP7418</t>
  </si>
  <si>
    <t>NEEDLE HOLDER, BARRAQUER DEL CRVD W/CATCH 4"</t>
  </si>
  <si>
    <t>1066206</t>
  </si>
  <si>
    <t>OP7430-001</t>
  </si>
  <si>
    <t>OP7430001</t>
  </si>
  <si>
    <t>NEEDLE HOLDER, MICROSURGICAL CRVD W/O CATCH D/S</t>
  </si>
  <si>
    <t>1074409</t>
  </si>
  <si>
    <t>Rulers</t>
  </si>
  <si>
    <t>OS2730</t>
  </si>
  <si>
    <t>RULER</t>
  </si>
  <si>
    <t>RULER, FLEXIBLE 12"X13MM</t>
  </si>
  <si>
    <t>1066660</t>
  </si>
  <si>
    <t>PP1-1</t>
  </si>
  <si>
    <t>42281510</t>
  </si>
  <si>
    <t>Sterilization instrument clips or racks or stringers or holders</t>
  </si>
  <si>
    <t>42281510  Sterilization instrument clips or racks or stringers or holders</t>
  </si>
  <si>
    <t>PP11</t>
  </si>
  <si>
    <t>PIN</t>
  </si>
  <si>
    <t>PIN, INSTR STRLZ GENESIS 1" D/S</t>
  </si>
  <si>
    <t>1066659</t>
  </si>
  <si>
    <t>PP1-2</t>
  </si>
  <si>
    <t>PP12</t>
  </si>
  <si>
    <t>PIN, INSTR STRLZ GENESIS 1 1/2" D/S</t>
  </si>
  <si>
    <t>1065475</t>
  </si>
  <si>
    <t>Cardinal-CARDCS</t>
  </si>
  <si>
    <t>CARDCS</t>
  </si>
  <si>
    <t>SAN54APDIB</t>
  </si>
  <si>
    <t>CPT, ANGIO (DISCOVERSC) (2/CS)</t>
  </si>
  <si>
    <t>1074251</t>
  </si>
  <si>
    <t>SU16128</t>
  </si>
  <si>
    <t>NEEDLE HOLDER, VITAL HEANEY CVRD TC D/S</t>
  </si>
  <si>
    <t>1065921</t>
  </si>
  <si>
    <t>Elevators</t>
  </si>
  <si>
    <t>VM101-5406</t>
  </si>
  <si>
    <t>42292702</t>
  </si>
  <si>
    <t>Surgical elevators or levers</t>
  </si>
  <si>
    <t>42292702  Surgical elevators or levers</t>
  </si>
  <si>
    <t>VM1015406</t>
  </si>
  <si>
    <t>ELEVATOR</t>
  </si>
  <si>
    <t>ELEVATOR, LEMPERT CRVD 7MM D/S</t>
  </si>
  <si>
    <t>1075006</t>
  </si>
  <si>
    <t>Handles with Blades</t>
  </si>
  <si>
    <t>VM104-1881</t>
  </si>
  <si>
    <t>42291630</t>
  </si>
  <si>
    <t>Surgical knife handles</t>
  </si>
  <si>
    <t>42291630  Surgical knife handles</t>
  </si>
  <si>
    <t>VM1041881</t>
  </si>
  <si>
    <t>KNIFE</t>
  </si>
  <si>
    <t>KNIFE, JOSEPH BUTTON END ANGL D/S</t>
  </si>
  <si>
    <t>1075353</t>
  </si>
  <si>
    <t>VM71-2302</t>
  </si>
  <si>
    <t>VM712302</t>
  </si>
  <si>
    <t>ELEVATOR, LANGENBECK PERIOSTEAL BLADE 8"</t>
  </si>
  <si>
    <t>1075090</t>
  </si>
  <si>
    <t>Instrument Trays</t>
  </si>
  <si>
    <t>CIVCO MEDICAL INSTRUMENTS CO</t>
  </si>
  <si>
    <t>Civco Medical Instruments-CIVCOM</t>
  </si>
  <si>
    <t>CIVCOM</t>
  </si>
  <si>
    <t>Civco Medical Instruments</t>
  </si>
  <si>
    <t>610-2215</t>
  </si>
  <si>
    <t>42282002</t>
  </si>
  <si>
    <t>Disinfectant soaking pans</t>
  </si>
  <si>
    <t>42282002  Disinfectant soaking pans</t>
  </si>
  <si>
    <t>CIVCO</t>
  </si>
  <si>
    <t>6102215</t>
  </si>
  <si>
    <t>TRAY, SOAKING F/SCOPES &amp; PROBES 1 BASE/1 LID</t>
  </si>
  <si>
    <t>1066886</t>
  </si>
  <si>
    <t>Medical Procedure Tables</t>
  </si>
  <si>
    <t>CLINTON INDUSTRIES</t>
  </si>
  <si>
    <t>Clinton Industries-CLTN</t>
  </si>
  <si>
    <t>CLTN</t>
  </si>
  <si>
    <t>Clinton Industries</t>
  </si>
  <si>
    <t>8870</t>
  </si>
  <si>
    <t>CLINTON</t>
  </si>
  <si>
    <t>FAMILY</t>
  </si>
  <si>
    <t>FAMILY PRACTICE TABLE 8870 DS</t>
  </si>
  <si>
    <t>1075103</t>
  </si>
  <si>
    <t>9722</t>
  </si>
  <si>
    <t>42192706</t>
  </si>
  <si>
    <t>Pediatric examination table accessories</t>
  </si>
  <si>
    <t>42192706  Pediatric examination table accessories</t>
  </si>
  <si>
    <t>DECAL</t>
  </si>
  <si>
    <t>DECAL, FISH 14"</t>
  </si>
  <si>
    <t>1075101</t>
  </si>
  <si>
    <t>9744</t>
  </si>
  <si>
    <t>GRAPHIC</t>
  </si>
  <si>
    <t>GRAPHIC, HOCKEY PENGUIN 9"</t>
  </si>
  <si>
    <t>1065657</t>
  </si>
  <si>
    <t>Desks</t>
  </si>
  <si>
    <t>079C-AB</t>
  </si>
  <si>
    <t>56101703</t>
  </si>
  <si>
    <t>56101703  Desks</t>
  </si>
  <si>
    <t>079CAB</t>
  </si>
  <si>
    <t>DESK</t>
  </si>
  <si>
    <t>DESK, WALL MOUNT COMPUTER STATION LT SDE 1LEG AZTEC BLU</t>
  </si>
  <si>
    <t>1073417</t>
  </si>
  <si>
    <t>Couches and Sofas</t>
  </si>
  <si>
    <t>3620-27-INT-3WW</t>
  </si>
  <si>
    <t>362027INT3WW</t>
  </si>
  <si>
    <t>COUCH</t>
  </si>
  <si>
    <t>COUCH, RECOVERY WOOD LEG WEDGEWOOD NATURAL 27"</t>
  </si>
  <si>
    <t>1066879</t>
  </si>
  <si>
    <t>3713-15-1GR-3WG</t>
  </si>
  <si>
    <t>3713151GR3WG</t>
  </si>
  <si>
    <t>COUCH, APRON UPHOLSTERED 2DRWR</t>
  </si>
  <si>
    <t>1074321</t>
  </si>
  <si>
    <t>5140-1NT</t>
  </si>
  <si>
    <t>42251626</t>
  </si>
  <si>
    <t>Rehabilitation exercise component accessories</t>
  </si>
  <si>
    <t>42251626  Rehabilitation exercise component accessories</t>
  </si>
  <si>
    <t>51401NT</t>
  </si>
  <si>
    <t>RACK</t>
  </si>
  <si>
    <t>RACK, EXERCISE BAND ZEUS SUPERRAC NATURAL</t>
  </si>
  <si>
    <t>1073335</t>
  </si>
  <si>
    <t>6361-EPO-3RB</t>
  </si>
  <si>
    <t>42192109</t>
  </si>
  <si>
    <t>Blood drawing or phlebotomy chair accessories</t>
  </si>
  <si>
    <t>42192109  Blood drawing or phlebotomy chair accessories</t>
  </si>
  <si>
    <t>6361EPO3RB</t>
  </si>
  <si>
    <t>PAD, ELBOW ONLY RBLU F/BLOOD DRAW CHAIR</t>
  </si>
  <si>
    <t>1073336</t>
  </si>
  <si>
    <t>6361-FAPO-3RB</t>
  </si>
  <si>
    <t>42141705</t>
  </si>
  <si>
    <t>Decubitus prevention Patient positioning cushions or pads or pillows</t>
  </si>
  <si>
    <t>42141705  Decubitus prevention Patient positioning cushions or pads or pillows</t>
  </si>
  <si>
    <t>6361FAPO3RB</t>
  </si>
  <si>
    <t>PAD, ARM ONLY FLIP F/BLOOD DRAW CHAIR</t>
  </si>
  <si>
    <t>1073654</t>
  </si>
  <si>
    <t>8272-1MP-2MP-5C</t>
  </si>
  <si>
    <t>82721MP2MP5C</t>
  </si>
  <si>
    <t>CABINET, WALL W/SHELF 3DR MAPLE/SLVR HNDLS 72"</t>
  </si>
  <si>
    <t>1075102</t>
  </si>
  <si>
    <t>9733-A</t>
  </si>
  <si>
    <t>9733A</t>
  </si>
  <si>
    <t>GRAPHIC, TIGER BUDDIES</t>
  </si>
  <si>
    <t>1073723</t>
  </si>
  <si>
    <t>CODAN US CORPORATION</t>
  </si>
  <si>
    <t>Codan US Corporation-CODNUS</t>
  </si>
  <si>
    <t>CODNUS</t>
  </si>
  <si>
    <t>Codan US Corporation</t>
  </si>
  <si>
    <t>C354N</t>
  </si>
  <si>
    <t>42221500</t>
  </si>
  <si>
    <t>Intravenous and arterial cannulas and catheters and accessories</t>
  </si>
  <si>
    <t>42221500  Intravenous and arterial cannulas and catheters and accessories</t>
  </si>
  <si>
    <t>CODAN</t>
  </si>
  <si>
    <t>SPIKE</t>
  </si>
  <si>
    <t>SPIKE, VALVE VENTED TAKE SET W/SWAN-LOCK NDL-FREE ADPT (50/C</t>
  </si>
  <si>
    <t>1065367</t>
  </si>
  <si>
    <t>Wheelchair Accessories</t>
  </si>
  <si>
    <t>THE COMFORT COMPANY</t>
  </si>
  <si>
    <t>The Comfort Company-CMFORT</t>
  </si>
  <si>
    <t>CMFORT</t>
  </si>
  <si>
    <t>The Comfort Company</t>
  </si>
  <si>
    <t>AB-BS16W16L</t>
  </si>
  <si>
    <t>42192208</t>
  </si>
  <si>
    <t>Wheelchair accessories</t>
  </si>
  <si>
    <t>42192208  Wheelchair accessories</t>
  </si>
  <si>
    <t>COMFORT COMPANY</t>
  </si>
  <si>
    <t>ABBS16W16L</t>
  </si>
  <si>
    <t>FABRIC</t>
  </si>
  <si>
    <t>FABRIC, ACTA BACK BS F/WHEELCHAIR 16WX16L</t>
  </si>
  <si>
    <t>1075142</t>
  </si>
  <si>
    <t>AMPSA814</t>
  </si>
  <si>
    <t>PAD, SUPP AMPUTEE F/W/C SWINGAWAY STYL BLK 8"X14"</t>
  </si>
  <si>
    <t>1075150</t>
  </si>
  <si>
    <t>COOK UROLOGICAL, INC.</t>
  </si>
  <si>
    <t>Cook Medical-COKINC</t>
  </si>
  <si>
    <t>COKINC</t>
  </si>
  <si>
    <t>Cook Medical</t>
  </si>
  <si>
    <t>G44355</t>
  </si>
  <si>
    <t>COOK</t>
  </si>
  <si>
    <t>NEEDLE, BIOPSY SNGL LUMEN OVUM17GX35CM</t>
  </si>
  <si>
    <t>1073243</t>
  </si>
  <si>
    <t>Retractors</t>
  </si>
  <si>
    <t>COOPER SURGICAL</t>
  </si>
  <si>
    <t>Cooper Surgical-CPRSRG</t>
  </si>
  <si>
    <t>CPRSRG</t>
  </si>
  <si>
    <t>Cooper Surgical</t>
  </si>
  <si>
    <t>3327-4G</t>
  </si>
  <si>
    <t>42293102</t>
  </si>
  <si>
    <t>Surgical retraction hooks</t>
  </si>
  <si>
    <t>42293102  Surgical retraction hooks</t>
  </si>
  <si>
    <t>COOPER</t>
  </si>
  <si>
    <t>33274G</t>
  </si>
  <si>
    <t>HOOK, RETRACTOR 2FNGR SHRP 7MM(4/PK)</t>
  </si>
  <si>
    <t>1066910</t>
  </si>
  <si>
    <t>First Aid</t>
  </si>
  <si>
    <t>CORETEX PRODUCTS</t>
  </si>
  <si>
    <t>Coretex Products-CORTEX</t>
  </si>
  <si>
    <t>CORTEX</t>
  </si>
  <si>
    <t>Coretex Products</t>
  </si>
  <si>
    <t>12643</t>
  </si>
  <si>
    <t>53131648</t>
  </si>
  <si>
    <t>Insect repellant</t>
  </si>
  <si>
    <t>53131648  Insect repellant</t>
  </si>
  <si>
    <t>CORETEX</t>
  </si>
  <si>
    <t>BUGX</t>
  </si>
  <si>
    <t>BUGX, TOWELETTE INSECT REPELLANT (300/CS)</t>
  </si>
  <si>
    <t>1066911</t>
  </si>
  <si>
    <t>12644</t>
  </si>
  <si>
    <t>BUGX, TOWELETTE INSECT REPELLANT (50/CS)</t>
  </si>
  <si>
    <t>1066913</t>
  </si>
  <si>
    <t>12840</t>
  </si>
  <si>
    <t>BUGX, TOWELETTE DEET FREE (25/BX 4BX/CS)</t>
  </si>
  <si>
    <t>1066914</t>
  </si>
  <si>
    <t>12844</t>
  </si>
  <si>
    <t>BUGX, TOWELETTE DEET FREE (50/BX)</t>
  </si>
  <si>
    <t>1066915</t>
  </si>
  <si>
    <t>12850</t>
  </si>
  <si>
    <t>BUGX, SPR DEET FREE 2OZ (12/CS)</t>
  </si>
  <si>
    <t>1066916</t>
  </si>
  <si>
    <t>12851</t>
  </si>
  <si>
    <t>BUGX, SPR DEET FREE 4OZ (12/CS)</t>
  </si>
  <si>
    <t>1066917</t>
  </si>
  <si>
    <t>Moisturizers</t>
  </si>
  <si>
    <t>22664</t>
  </si>
  <si>
    <t>53131616</t>
  </si>
  <si>
    <t>Para pharmaceutical creams or lotions</t>
  </si>
  <si>
    <t>53131616  Para pharmaceutical creams or lotions</t>
  </si>
  <si>
    <t>BARRIER</t>
  </si>
  <si>
    <t>BARRIER, HAND &amp; SKIN CORTEX (12/CS)</t>
  </si>
  <si>
    <t>1066920</t>
  </si>
  <si>
    <t>33740</t>
  </si>
  <si>
    <t>42141503</t>
  </si>
  <si>
    <t>Skin preparation wipes</t>
  </si>
  <si>
    <t>42141503  Skin preparation wipes</t>
  </si>
  <si>
    <t>STINGX</t>
  </si>
  <si>
    <t>STINGX, TOWELETTE W/PAIN RELIEF (25/BX8BX/CS)</t>
  </si>
  <si>
    <t>1066921</t>
  </si>
  <si>
    <t>33741</t>
  </si>
  <si>
    <t>STINGX, TOWELETTE W/PAIN RELIEF (300/CS)</t>
  </si>
  <si>
    <t>1066924</t>
  </si>
  <si>
    <t>71558</t>
  </si>
  <si>
    <t>DISPENSER, WALL MOUNT LOTION SUNSCREEN SPF 30+ 750ML</t>
  </si>
  <si>
    <t>1066926</t>
  </si>
  <si>
    <t>71690</t>
  </si>
  <si>
    <t>LIP</t>
  </si>
  <si>
    <t>LIP BALM, SUNX SPF50 .15OZ (24/CS)</t>
  </si>
  <si>
    <t>1066927</t>
  </si>
  <si>
    <t>Anti-Itch and Antifungals</t>
  </si>
  <si>
    <t>84666</t>
  </si>
  <si>
    <t>53131600</t>
  </si>
  <si>
    <t>Bath and body</t>
  </si>
  <si>
    <t>53131600  Bath and body</t>
  </si>
  <si>
    <t>CLEANSER</t>
  </si>
  <si>
    <t>CLEANSER, SKIN LOTION IVY X POST-CONTACT 4OZ (12/CS)</t>
  </si>
  <si>
    <t>1066928</t>
  </si>
  <si>
    <t>91550</t>
  </si>
  <si>
    <t>KIT, OUTDOOR SKIN PROTECTION 16PC W/SOFT CASE (12/CS)</t>
  </si>
  <si>
    <t>1066929</t>
  </si>
  <si>
    <t>Sunscreens</t>
  </si>
  <si>
    <t>91661</t>
  </si>
  <si>
    <t>53131609</t>
  </si>
  <si>
    <t>Sun protection products</t>
  </si>
  <si>
    <t>53131609  Sun protection products</t>
  </si>
  <si>
    <t>DISPENSER, TOWLETTE SUNX 30SPF+ STOCKED WALL MOUNT (50/CS)</t>
  </si>
  <si>
    <t>1065113</t>
  </si>
  <si>
    <t>Knee</t>
  </si>
  <si>
    <t>CORFLEX INC.</t>
  </si>
  <si>
    <t>Corflex-CORFLX</t>
  </si>
  <si>
    <t>CORFLX</t>
  </si>
  <si>
    <t>Corflex</t>
  </si>
  <si>
    <t>86-6184-000</t>
  </si>
  <si>
    <t>42241703</t>
  </si>
  <si>
    <t>Knee therapeutic brace or support</t>
  </si>
  <si>
    <t>42241703  Knee therapeutic brace or support</t>
  </si>
  <si>
    <t>CORFLEX</t>
  </si>
  <si>
    <t>866184000</t>
  </si>
  <si>
    <t>PATELLA</t>
  </si>
  <si>
    <t>PATELLA STABILIZER, COOLTEX J-PULL W/LO PRO HINGE RT MED 13"</t>
  </si>
  <si>
    <t>1066435</t>
  </si>
  <si>
    <t>Ankle, Foot and Toe</t>
  </si>
  <si>
    <t>CREATIVE FOAM CORPORATION</t>
  </si>
  <si>
    <t>Creative Foam Corp-CRETVE</t>
  </si>
  <si>
    <t>CRETVE</t>
  </si>
  <si>
    <t>Creative Foam Corp</t>
  </si>
  <si>
    <t>10159</t>
  </si>
  <si>
    <t>42241706</t>
  </si>
  <si>
    <t>Orthotics or foot care products</t>
  </si>
  <si>
    <t>42241706  Orthotics or foot care products</t>
  </si>
  <si>
    <t>CREATIVE FOAM</t>
  </si>
  <si>
    <t>METATARSAL</t>
  </si>
  <si>
    <t>METATARSAL PAD, FELT FLESH 1/8" FELT (100/BG)</t>
  </si>
  <si>
    <t>1066437</t>
  </si>
  <si>
    <t>10319S</t>
  </si>
  <si>
    <t>METATARSAL PAD, FELT WHT 1/4" (100/BG)</t>
  </si>
  <si>
    <t>1065359</t>
  </si>
  <si>
    <t>Drinking Utensils</t>
  </si>
  <si>
    <t>DEROYAL INDUSTRIES</t>
  </si>
  <si>
    <t>DeRoyal-DEROYL</t>
  </si>
  <si>
    <t>DEROYL</t>
  </si>
  <si>
    <t>DeRoyal</t>
  </si>
  <si>
    <t>HD-395-0060</t>
  </si>
  <si>
    <t>42192603</t>
  </si>
  <si>
    <t>Medicine feeding cups or bottles</t>
  </si>
  <si>
    <t>42192603  Medicine feeding cups or bottles</t>
  </si>
  <si>
    <t>DEROYAL</t>
  </si>
  <si>
    <t>HD3950060</t>
  </si>
  <si>
    <t>CUP</t>
  </si>
  <si>
    <t>CUP, MEDICINE DISP 2OZ (1380/CS)</t>
  </si>
  <si>
    <t>1067776</t>
  </si>
  <si>
    <t>DISASTER MANAGEMENT SYSTEMS, INC</t>
  </si>
  <si>
    <t>Disaster Management Systems-DISAST</t>
  </si>
  <si>
    <t>DISAST</t>
  </si>
  <si>
    <t>Disaster Management Systems</t>
  </si>
  <si>
    <t>DMS-05004</t>
  </si>
  <si>
    <t>42192419</t>
  </si>
  <si>
    <t>Extrication product cases or bags</t>
  </si>
  <si>
    <t>42192419  Extrication product cases or bags</t>
  </si>
  <si>
    <t>DISASTER</t>
  </si>
  <si>
    <t>DMS05004</t>
  </si>
  <si>
    <t>TARP</t>
  </si>
  <si>
    <t>TARP, TRIAGE SET-OF-4 RED/YLW/</t>
  </si>
  <si>
    <t>1067777</t>
  </si>
  <si>
    <t>Wound Care Accessories</t>
  </si>
  <si>
    <t>DMS-05012</t>
  </si>
  <si>
    <t>42142305</t>
  </si>
  <si>
    <t>Medical paper charting system accessories</t>
  </si>
  <si>
    <t>42142305  Medical paper charting system accessories</t>
  </si>
  <si>
    <t>DMS05012</t>
  </si>
  <si>
    <t>ID</t>
  </si>
  <si>
    <t>ID FLAG KIT, TRTMT AREA W/CARRY BAG</t>
  </si>
  <si>
    <t>1067770</t>
  </si>
  <si>
    <t>Tags</t>
  </si>
  <si>
    <t>DMS-05420</t>
  </si>
  <si>
    <t>42171502</t>
  </si>
  <si>
    <t>Mobile medical services triage tags</t>
  </si>
  <si>
    <t>42171502  Mobile medical services triage tags</t>
  </si>
  <si>
    <t>DMS05420</t>
  </si>
  <si>
    <t>TAG</t>
  </si>
  <si>
    <t>TAG KIT, TRIAGE ALL RISK W/PATIENT WRISTBAND (50/PK)</t>
  </si>
  <si>
    <t>1067771</t>
  </si>
  <si>
    <t>Forms</t>
  </si>
  <si>
    <t>DMS-05568</t>
  </si>
  <si>
    <t>55101520</t>
  </si>
  <si>
    <t>Instruction sheets or booklets</t>
  </si>
  <si>
    <t>55101520  Instruction sheets or booklets</t>
  </si>
  <si>
    <t>DMS05568</t>
  </si>
  <si>
    <t>INCIDENT</t>
  </si>
  <si>
    <t>INCIDENT COMMAND WORKSHEETS DS</t>
  </si>
  <si>
    <t>1067773</t>
  </si>
  <si>
    <t>DMS-05763</t>
  </si>
  <si>
    <t>DMS05763</t>
  </si>
  <si>
    <t>DISPENSER, RIBBON TRIAGE W/RED/YLW/GRN &amp; BLK/WHT STRIPE</t>
  </si>
  <si>
    <t>1067780</t>
  </si>
  <si>
    <t>DMS-05793</t>
  </si>
  <si>
    <t>42171500</t>
  </si>
  <si>
    <t>Mobile medical services disaster management products and mobile medical services supplies</t>
  </si>
  <si>
    <t>42171500  Mobile medical services disaster management products and mobile medical services supplies</t>
  </si>
  <si>
    <t>DMS05793</t>
  </si>
  <si>
    <t>RIBBON</t>
  </si>
  <si>
    <t>RIBBON, TRIAGE REPLCMNT PACK</t>
  </si>
  <si>
    <t>1067774</t>
  </si>
  <si>
    <t>Training Equipment and Kits</t>
  </si>
  <si>
    <t>DMS-05810</t>
  </si>
  <si>
    <t>42172001</t>
  </si>
  <si>
    <t>Mobile medical services first aid kits</t>
  </si>
  <si>
    <t>42172001  Mobile medical services first aid kits</t>
  </si>
  <si>
    <t>DMS05810</t>
  </si>
  <si>
    <t>KIT, DISASTER MANAGEMENT EMT3 QUICK KIT F/SMALL MCI D/S</t>
  </si>
  <si>
    <t>1067775</t>
  </si>
  <si>
    <t>DMS-05844</t>
  </si>
  <si>
    <t>42301502</t>
  </si>
  <si>
    <t>Anatomical human mannequins for medical education or training</t>
  </si>
  <si>
    <t>42301502  Anatomical human mannequins for medical education or training</t>
  </si>
  <si>
    <t>DMS05844</t>
  </si>
  <si>
    <t>TRAINING KIT, MCI EMT3 BASIC TABLETOP D/S</t>
  </si>
  <si>
    <t>1067782</t>
  </si>
  <si>
    <t>DMS-05986</t>
  </si>
  <si>
    <t>DMS05986</t>
  </si>
  <si>
    <t>REHAB</t>
  </si>
  <si>
    <t>REHAB TAG NFPA 1584 DS</t>
  </si>
  <si>
    <t>1067783</t>
  </si>
  <si>
    <t>DMS-06020</t>
  </si>
  <si>
    <t>42142303</t>
  </si>
  <si>
    <t>Patient identification and information products</t>
  </si>
  <si>
    <t>42142303  Patient identification and information products</t>
  </si>
  <si>
    <t>DMS06020</t>
  </si>
  <si>
    <t>CARD</t>
  </si>
  <si>
    <t>CARD DECK, VICTIM ACTIVE SHOOTER</t>
  </si>
  <si>
    <t>1071381</t>
  </si>
  <si>
    <t>Laundry Bags and Liners</t>
  </si>
  <si>
    <t>DIVERSEY INC</t>
  </si>
  <si>
    <t>Sealed Air *Diversey*-SLDAIR</t>
  </si>
  <si>
    <t>SLDAIR</t>
  </si>
  <si>
    <t>Sealed Air *Diversey*</t>
  </si>
  <si>
    <t>D7517287</t>
  </si>
  <si>
    <t>24111506</t>
  </si>
  <si>
    <t>Laundry nets or bags</t>
  </si>
  <si>
    <t>24111506  Laundry nets or bags</t>
  </si>
  <si>
    <t>DIVERSEY</t>
  </si>
  <si>
    <t>BAG, LAUNDRY F/TASKI MOBILE WORKSTATION D/S D/S</t>
  </si>
  <si>
    <t>1075270</t>
  </si>
  <si>
    <t>Orthopedic Accessories</t>
  </si>
  <si>
    <t>DJ ORTHOPEDICS</t>
  </si>
  <si>
    <t>DJO-DJORTH</t>
  </si>
  <si>
    <t>DJORTH</t>
  </si>
  <si>
    <t>DJO</t>
  </si>
  <si>
    <t>11-0059-9-00000</t>
  </si>
  <si>
    <t>110059900000</t>
  </si>
  <si>
    <t>PAD KIT, ATROPHY F/KNEE BRACE UNVI</t>
  </si>
  <si>
    <t>1072696</t>
  </si>
  <si>
    <t>DRE MEDICAL GROUP</t>
  </si>
  <si>
    <t>Dre Equipment-DRE</t>
  </si>
  <si>
    <t>DRE</t>
  </si>
  <si>
    <t>Dre Equipment</t>
  </si>
  <si>
    <t>P00169</t>
  </si>
  <si>
    <t>CONNECTOR, NIBP FITTING HOSE ML F/HP MONITOR</t>
  </si>
  <si>
    <t>1072698</t>
  </si>
  <si>
    <t>P00170</t>
  </si>
  <si>
    <t>CONNECTOR, NIBP FITTING HOSE FML F/HP MONITOR</t>
  </si>
  <si>
    <t>1064622</t>
  </si>
  <si>
    <t>DRIVE MEDICAL DESIGN</t>
  </si>
  <si>
    <t>Drive Medical-DRVMED</t>
  </si>
  <si>
    <t>DRVMED</t>
  </si>
  <si>
    <t>Drive Medical</t>
  </si>
  <si>
    <t>15541</t>
  </si>
  <si>
    <t>42191815</t>
  </si>
  <si>
    <t>Patient care bed accessories</t>
  </si>
  <si>
    <t>42191815  Patient care bed accessories</t>
  </si>
  <si>
    <t>DRIVE MEDICAL</t>
  </si>
  <si>
    <t>HEAD</t>
  </si>
  <si>
    <t>HEAD SPRING, F/DELTA BED D/S</t>
  </si>
  <si>
    <t>1073175</t>
  </si>
  <si>
    <t>12021T</t>
  </si>
  <si>
    <t>42211622</t>
  </si>
  <si>
    <t>Commode accessories for the physically challenged</t>
  </si>
  <si>
    <t>42211622  Commode accessories for the physically challenged</t>
  </si>
  <si>
    <t>TIP, RUBBER F/DLX BARIATRIC SHOWER CHAIR D/S</t>
  </si>
  <si>
    <t>1073671</t>
  </si>
  <si>
    <t>Over Bed Tables</t>
  </si>
  <si>
    <t>13080-HOFM</t>
  </si>
  <si>
    <t>42191801</t>
  </si>
  <si>
    <t>Overbed tables</t>
  </si>
  <si>
    <t>42191801  Overbed tables</t>
  </si>
  <si>
    <t>13080HOFM</t>
  </si>
  <si>
    <t>TABE</t>
  </si>
  <si>
    <t>TABE, OVERBED BARIATRIC H-BASEOVL D/S</t>
  </si>
  <si>
    <t>1065358</t>
  </si>
  <si>
    <t>9501S7261L</t>
  </si>
  <si>
    <t>42211505</t>
  </si>
  <si>
    <t>Walker or rollator accessories</t>
  </si>
  <si>
    <t>42211505  Walker or rollator accessories</t>
  </si>
  <si>
    <t>LOCK</t>
  </si>
  <si>
    <t>LOCK, WHEEL F/ROLLATOR 726 LT</t>
  </si>
  <si>
    <t>1074492</t>
  </si>
  <si>
    <t>9503H79019</t>
  </si>
  <si>
    <t>AXEL</t>
  </si>
  <si>
    <t>AXEL, CASTER F/790 KNEE WALKER</t>
  </si>
  <si>
    <t>1066342</t>
  </si>
  <si>
    <t>Gauze Dressings</t>
  </si>
  <si>
    <t>DUKAL CORP.</t>
  </si>
  <si>
    <t>Dukal-DUKAL</t>
  </si>
  <si>
    <t>DUKAL</t>
  </si>
  <si>
    <t>Dukal</t>
  </si>
  <si>
    <t>5942</t>
  </si>
  <si>
    <t>42311500</t>
  </si>
  <si>
    <t>Bandages and dressings and related products</t>
  </si>
  <si>
    <t>42311500  Bandages and dressings and related products</t>
  </si>
  <si>
    <t>PAD, ABD COMBINE N/S 8"X7.5" (25/BG16BG/CS)</t>
  </si>
  <si>
    <t>1066348</t>
  </si>
  <si>
    <t>5945</t>
  </si>
  <si>
    <t>PAD, ABD COMBINE N/S 12"X16" (25/BG 6BG/CS)</t>
  </si>
  <si>
    <t>1074370</t>
  </si>
  <si>
    <t>Bras</t>
  </si>
  <si>
    <t>900510-1</t>
  </si>
  <si>
    <t>42312501</t>
  </si>
  <si>
    <t>Mammary support binders</t>
  </si>
  <si>
    <t>42312501  Mammary support binders</t>
  </si>
  <si>
    <t>9005101</t>
  </si>
  <si>
    <t>BRA</t>
  </si>
  <si>
    <t>BRA, BACKLESS SPA REFLECTIONS SM/MED BLK (1/BG 100BG/BX 6BX/</t>
  </si>
  <si>
    <t>1068595</t>
  </si>
  <si>
    <t>Protective Guards</t>
  </si>
  <si>
    <t>841B</t>
  </si>
  <si>
    <t>42311518</t>
  </si>
  <si>
    <t>Medical eye pads or patches</t>
  </si>
  <si>
    <t>42311518  Medical eye pads or patches</t>
  </si>
  <si>
    <t>EYE</t>
  </si>
  <si>
    <t>EYE PAD, OVAL ABSRB STR 1 5/8"</t>
  </si>
  <si>
    <t>1068325</t>
  </si>
  <si>
    <t>Batteries</t>
  </si>
  <si>
    <t>DURACELL DISTRIBUTING INC</t>
  </si>
  <si>
    <t>Duracell-DUDIIN</t>
  </si>
  <si>
    <t>DUDIIN</t>
  </si>
  <si>
    <t>Duracell</t>
  </si>
  <si>
    <t>DLCR2BPK</t>
  </si>
  <si>
    <t>26111711</t>
  </si>
  <si>
    <t>Lithium batteries</t>
  </si>
  <si>
    <t>26111711  Lithium batteries</t>
  </si>
  <si>
    <t>DURACELL</t>
  </si>
  <si>
    <t>BATTERY, LITHIUM DURACELL CR2 3V (6/BX)</t>
  </si>
  <si>
    <t>1073209</t>
  </si>
  <si>
    <t>EDANUSA &amp; MDPRO</t>
  </si>
  <si>
    <t>EdanUSA &amp; MDPro-EDANUS</t>
  </si>
  <si>
    <t>EDANUS</t>
  </si>
  <si>
    <t>EdanUSA &amp; MDPro</t>
  </si>
  <si>
    <t>MP5000_PHANTOM</t>
  </si>
  <si>
    <t>42201711</t>
  </si>
  <si>
    <t>Medical ultrasound or doppler or echocardiograph transducer</t>
  </si>
  <si>
    <t>42201711  Medical ultrasound or doppler or echocardiograph transducer</t>
  </si>
  <si>
    <t>EDAN</t>
  </si>
  <si>
    <t>MP5000PHANTOM</t>
  </si>
  <si>
    <t>BLADDER</t>
  </si>
  <si>
    <t>BLADDER, PHANTOM F/CALIBRATIONOF ULTSND SCANNER</t>
  </si>
  <si>
    <t>1073686</t>
  </si>
  <si>
    <t>PLATE_IM8</t>
  </si>
  <si>
    <t>42192402</t>
  </si>
  <si>
    <t>Diagnostic or monitoring equipment specific carts or stands</t>
  </si>
  <si>
    <t>42192402  Diagnostic or monitoring equipment specific carts or stands</t>
  </si>
  <si>
    <t>PLATEIM8</t>
  </si>
  <si>
    <t>PLATE</t>
  </si>
  <si>
    <t>PLATE, F/IM8, IM60, X12 MONITOR</t>
  </si>
  <si>
    <t>1071126</t>
  </si>
  <si>
    <t>Nurse's Station Accessories</t>
  </si>
  <si>
    <t>EMS TECHNOLOGY SOLUTIONS LLC</t>
  </si>
  <si>
    <t>EMS Technology Solutions LLC-EMTECH</t>
  </si>
  <si>
    <t>EMTECH</t>
  </si>
  <si>
    <t>EMS Technology Solutions LLC</t>
  </si>
  <si>
    <t>7527C-G2</t>
  </si>
  <si>
    <t>42191611</t>
  </si>
  <si>
    <t>Nurse communication modules or systems</t>
  </si>
  <si>
    <t>42191611  Nurse communication modules or systems</t>
  </si>
  <si>
    <t>EMS</t>
  </si>
  <si>
    <t>7527CG2</t>
  </si>
  <si>
    <t>WORKABOUT</t>
  </si>
  <si>
    <t>WORKABOUT PRO DS</t>
  </si>
  <si>
    <t>1071124</t>
  </si>
  <si>
    <t>GBT4100</t>
  </si>
  <si>
    <t>43211711</t>
  </si>
  <si>
    <t>Scanners</t>
  </si>
  <si>
    <t>43211711  Scanners</t>
  </si>
  <si>
    <t>GRYPHON</t>
  </si>
  <si>
    <t>GRYPHON GBT4100 DS</t>
  </si>
  <si>
    <t>1071125</t>
  </si>
  <si>
    <t>IQ10011</t>
  </si>
  <si>
    <t>43211701</t>
  </si>
  <si>
    <t>Bar code reader equipment</t>
  </si>
  <si>
    <t>43211701  Bar code reader equipment</t>
  </si>
  <si>
    <t>READER</t>
  </si>
  <si>
    <t>READER, BARCODE DATAOGIC QUICKSCAN QD2100 D/S</t>
  </si>
  <si>
    <t>1068397</t>
  </si>
  <si>
    <t>IQ10157</t>
  </si>
  <si>
    <t>OIQ</t>
  </si>
  <si>
    <t>OIQ KOAMTAC BARCODE SLED KITDS</t>
  </si>
  <si>
    <t>1068398</t>
  </si>
  <si>
    <t>Locks and Safety Seals</t>
  </si>
  <si>
    <t>IQ10168</t>
  </si>
  <si>
    <t>24141504</t>
  </si>
  <si>
    <t>Tamper proof or security seals</t>
  </si>
  <si>
    <t>24141504  Tamper proof or security seals</t>
  </si>
  <si>
    <t>OIQ BARCODED CAB SEALS DS</t>
  </si>
  <si>
    <t>1071429</t>
  </si>
  <si>
    <t>IQ10181</t>
  </si>
  <si>
    <t>QIQ</t>
  </si>
  <si>
    <t>QIQ KOAMTAC KDC20I READER DS</t>
  </si>
  <si>
    <t>1068358</t>
  </si>
  <si>
    <t>EMSAR - WILMINGTON, OHIO</t>
  </si>
  <si>
    <t>EMSAR Inc-EMAR</t>
  </si>
  <si>
    <t>EMAR</t>
  </si>
  <si>
    <t>EMSAR Inc</t>
  </si>
  <si>
    <t>0390201</t>
  </si>
  <si>
    <t>42143605</t>
  </si>
  <si>
    <t>Restraint straps or buckles or supplies</t>
  </si>
  <si>
    <t>42143605  Restraint straps or buckles or supplies</t>
  </si>
  <si>
    <t>EMSAR</t>
  </si>
  <si>
    <t>KED</t>
  </si>
  <si>
    <t>KED STRAPS REPLACEMENT</t>
  </si>
  <si>
    <t>1071427</t>
  </si>
  <si>
    <t>Fees, Specials and Others</t>
  </si>
  <si>
    <t>FERNO EMS</t>
  </si>
  <si>
    <t>42171616</t>
  </si>
  <si>
    <t>Mobile medical services ambulance cot accessories</t>
  </si>
  <si>
    <t>42171616  Mobile medical services ambulance cot accessories</t>
  </si>
  <si>
    <t>FERNOEMS</t>
  </si>
  <si>
    <t>LABOR</t>
  </si>
  <si>
    <t>LABOR EMS FERNO DS</t>
  </si>
  <si>
    <t>1071428</t>
  </si>
  <si>
    <t>PM SCOOP</t>
  </si>
  <si>
    <t>42171619</t>
  </si>
  <si>
    <t>Mobile medical services scoop stretcher accessories</t>
  </si>
  <si>
    <t>42171619  Mobile medical services scoop stretcher accessories</t>
  </si>
  <si>
    <t>PMSCOOP</t>
  </si>
  <si>
    <t>PREVENT</t>
  </si>
  <si>
    <t>PREVENT MAIN FERNO SCOOP DS</t>
  </si>
  <si>
    <t>1074348</t>
  </si>
  <si>
    <t>Warming Cabinets</t>
  </si>
  <si>
    <t>ENTHERMICS MEDICAL SYSTEMS</t>
  </si>
  <si>
    <t>Enthermics Medical Systems-ENMESY</t>
  </si>
  <si>
    <t>ENMESY</t>
  </si>
  <si>
    <t>Enthermics Medical Systems</t>
  </si>
  <si>
    <t>500021</t>
  </si>
  <si>
    <t>42191906</t>
  </si>
  <si>
    <t>Blanket or solution warmer cabinets</t>
  </si>
  <si>
    <t>42191906  Blanket or solution warmer cabinets</t>
  </si>
  <si>
    <t>ENTHERMICS MEDICAL</t>
  </si>
  <si>
    <t>CABINET, BLANKET WARMING EC750W/WINDOWDOOR</t>
  </si>
  <si>
    <t>1074345</t>
  </si>
  <si>
    <t>500022</t>
  </si>
  <si>
    <t>CABINET, BLANKET WARMING EC250W/WINDOW DOOR</t>
  </si>
  <si>
    <t>1066111</t>
  </si>
  <si>
    <t>Slings</t>
  </si>
  <si>
    <t>EZ WAY INC</t>
  </si>
  <si>
    <t>Ez Way Inc-EZWAYI</t>
  </si>
  <si>
    <t>EZWAYI</t>
  </si>
  <si>
    <t>Ez Way Inc</t>
  </si>
  <si>
    <t>50352</t>
  </si>
  <si>
    <t>42192303</t>
  </si>
  <si>
    <t>Patient suspended seats or slings</t>
  </si>
  <si>
    <t>42192303  Patient suspended seats or slings</t>
  </si>
  <si>
    <t>EZ WAY</t>
  </si>
  <si>
    <t>HIP</t>
  </si>
  <si>
    <t>HIP SLING, TRANSFER SUPINE WIPEABLE D/S</t>
  </si>
  <si>
    <t>1074891</t>
  </si>
  <si>
    <t>Traction Components</t>
  </si>
  <si>
    <t>FABRICATION ENTERPRISES INC</t>
  </si>
  <si>
    <t>Fabrication Enterprises-FABENT</t>
  </si>
  <si>
    <t>FABENT</t>
  </si>
  <si>
    <t>Fabrication Enterprises</t>
  </si>
  <si>
    <t>00-4504</t>
  </si>
  <si>
    <t>FABRICATION ENTERPRISES</t>
  </si>
  <si>
    <t>004504</t>
  </si>
  <si>
    <t>PHYSICAL</t>
  </si>
  <si>
    <t>PHYSICAL THERAPY SYS, SFT TISSUE CERVICAL PIVOT</t>
  </si>
  <si>
    <t>1073236</t>
  </si>
  <si>
    <t>68-0126</t>
  </si>
  <si>
    <t>52121606</t>
  </si>
  <si>
    <t>Place mats</t>
  </si>
  <si>
    <t>52121606  Place mats</t>
  </si>
  <si>
    <t>680126</t>
  </si>
  <si>
    <t>PAD, FOOD GROUPS MYPLATE TEAR (50SHEET/PD)</t>
  </si>
  <si>
    <t>1073226</t>
  </si>
  <si>
    <t>Scissors and Shears</t>
  </si>
  <si>
    <t>77-0002</t>
  </si>
  <si>
    <t>42291615</t>
  </si>
  <si>
    <t>Surgical shears</t>
  </si>
  <si>
    <t>42291615  Surgical shears</t>
  </si>
  <si>
    <t>770002</t>
  </si>
  <si>
    <t>SHEARS</t>
  </si>
  <si>
    <t>SHEARS, MEDICUT BLK 7 1/4"</t>
  </si>
  <si>
    <t>1073227</t>
  </si>
  <si>
    <t>77-0014</t>
  </si>
  <si>
    <t>42182005</t>
  </si>
  <si>
    <t>Ophthalmoscopes or otoscopes or scope sets</t>
  </si>
  <si>
    <t>42182005  Ophthalmoscopes or otoscopes or scope sets</t>
  </si>
  <si>
    <t>770014</t>
  </si>
  <si>
    <t>OTOSCOPE</t>
  </si>
  <si>
    <t>OTOSCOPE, DIAGNOSTIX PORTABLE SET 3.5V OTOL/OPHL D/S</t>
  </si>
  <si>
    <t>1064765</t>
  </si>
  <si>
    <t>Bed Side Rails</t>
  </si>
  <si>
    <t>86-0100</t>
  </si>
  <si>
    <t>42191804</t>
  </si>
  <si>
    <t>Medical or surgical bedside rails</t>
  </si>
  <si>
    <t>42191804  Medical or surgical bedside rails</t>
  </si>
  <si>
    <t>860100</t>
  </si>
  <si>
    <t>RAIL, BED ASSIST SINGLE HANDLE</t>
  </si>
  <si>
    <t>1068709</t>
  </si>
  <si>
    <t>Therapeutic Paraffin</t>
  </si>
  <si>
    <t>11-1722-6</t>
  </si>
  <si>
    <t>42142128</t>
  </si>
  <si>
    <t>Therapeutic paraffin bath accessories</t>
  </si>
  <si>
    <t>42142128  Therapeutic paraffin bath accessories</t>
  </si>
  <si>
    <t>1117226</t>
  </si>
  <si>
    <t>WAX</t>
  </si>
  <si>
    <t>WAX, PARAFFIN REFILL BLK WINTERGREEN 1LB (6/BX)</t>
  </si>
  <si>
    <t>1068437</t>
  </si>
  <si>
    <t>Assessment Tools</t>
  </si>
  <si>
    <t>12-1014-25</t>
  </si>
  <si>
    <t>42182701</t>
  </si>
  <si>
    <t>Goniometers or arthrometers</t>
  </si>
  <si>
    <t>42182701  Goniometers or arthrometers</t>
  </si>
  <si>
    <t>12101425</t>
  </si>
  <si>
    <t>GONIOMETER</t>
  </si>
  <si>
    <t>GONIOMETER, FINGER BASELINE 6"</t>
  </si>
  <si>
    <t>1064887</t>
  </si>
  <si>
    <t>Hook and Loop Strapping</t>
  </si>
  <si>
    <t>24-7021BLK</t>
  </si>
  <si>
    <t>42241520</t>
  </si>
  <si>
    <t>Casting or splinting accessories</t>
  </si>
  <si>
    <t>42241520  Casting or splinting accessories</t>
  </si>
  <si>
    <t>247021BLK</t>
  </si>
  <si>
    <t>FASTENER</t>
  </si>
  <si>
    <t>FASTENER, LOOP W/STD WOVEN-BACK 2"X25YDS D/S</t>
  </si>
  <si>
    <t>1074888</t>
  </si>
  <si>
    <t>Self-Help Aids</t>
  </si>
  <si>
    <t>50-1501G</t>
  </si>
  <si>
    <t>42211901</t>
  </si>
  <si>
    <t>Anti slip materials for the physically challenged</t>
  </si>
  <si>
    <t>42211901  Anti slip materials for the physically challenged</t>
  </si>
  <si>
    <t>501501G</t>
  </si>
  <si>
    <t>ROLL</t>
  </si>
  <si>
    <t>ROLL, EXER DYCEM NONSLIP MATERIAL FOREST GRN 8"X6 1/2'</t>
  </si>
  <si>
    <t>1074886</t>
  </si>
  <si>
    <t>50-1502G</t>
  </si>
  <si>
    <t>501502G</t>
  </si>
  <si>
    <t>ROLL, EXER DYCEM NON-SLIP MATERIAL FOREST GRN 8"X3 1/4'</t>
  </si>
  <si>
    <t>1075086</t>
  </si>
  <si>
    <t>Exercise Weights</t>
  </si>
  <si>
    <t>Z1-1707</t>
  </si>
  <si>
    <t>49201600</t>
  </si>
  <si>
    <t>Weight and resistance training equipment</t>
  </si>
  <si>
    <t>49201600  Weight and resistance training equipment</t>
  </si>
  <si>
    <t>Z11707</t>
  </si>
  <si>
    <t>BOX, STOCKROOM CRATE WEIGHT</t>
  </si>
  <si>
    <t>1064884</t>
  </si>
  <si>
    <t>Total Body</t>
  </si>
  <si>
    <t>Z1-1922</t>
  </si>
  <si>
    <t>42251705</t>
  </si>
  <si>
    <t>Parallel bars for rehabilitation or therapy</t>
  </si>
  <si>
    <t>42251705  Parallel bars for rehabilitation or therapy</t>
  </si>
  <si>
    <t>Z11922</t>
  </si>
  <si>
    <t>BARS</t>
  </si>
  <si>
    <t>BARS, PARALLEL FLOOR MOUNTED BARI 10'</t>
  </si>
  <si>
    <t>1071467</t>
  </si>
  <si>
    <t>FARETEC INC</t>
  </si>
  <si>
    <t>Faretec Inc-FARETC</t>
  </si>
  <si>
    <t>FARETC</t>
  </si>
  <si>
    <t>Faretec Inc</t>
  </si>
  <si>
    <t>1124300</t>
  </si>
  <si>
    <t>FARETEC</t>
  </si>
  <si>
    <t>RATCHET</t>
  </si>
  <si>
    <t>RATCHET F/QD-4 #1124300 DS</t>
  </si>
  <si>
    <t>1074928</t>
  </si>
  <si>
    <t>Pharmacy Needles</t>
  </si>
  <si>
    <t>FISHER SCIENTIFIC</t>
  </si>
  <si>
    <t>Fisher Scientific-FSHSCI</t>
  </si>
  <si>
    <t>FSHSCI</t>
  </si>
  <si>
    <t>Fisher Scientific</t>
  </si>
  <si>
    <t>14-815-602</t>
  </si>
  <si>
    <t>42142609</t>
  </si>
  <si>
    <t>Medical syringes with needle</t>
  </si>
  <si>
    <t>42142609  Medical syringes with needle</t>
  </si>
  <si>
    <t>FISHER</t>
  </si>
  <si>
    <t>14815602</t>
  </si>
  <si>
    <t>NEEDLE, BLUNT POINT LL S/STL 14GX2" (6/PK)</t>
  </si>
  <si>
    <t>1071710</t>
  </si>
  <si>
    <t>Equipment and Physician Bags</t>
  </si>
  <si>
    <t>FLEMING INDUSTRIES</t>
  </si>
  <si>
    <t>Fleming Industries-FLEMNG</t>
  </si>
  <si>
    <t>FLEMNG</t>
  </si>
  <si>
    <t>Fleming Industries</t>
  </si>
  <si>
    <t>34530</t>
  </si>
  <si>
    <t>42201861</t>
  </si>
  <si>
    <t>Medical x ray equipment case or cover accessories</t>
  </si>
  <si>
    <t>42201861  Medical x ray equipment case or cover accessories</t>
  </si>
  <si>
    <t>FLEMING</t>
  </si>
  <si>
    <t>IDX</t>
  </si>
  <si>
    <t>IDX IV MODULE</t>
  </si>
  <si>
    <t>1069334</t>
  </si>
  <si>
    <t>35132</t>
  </si>
  <si>
    <t>BACKPACK</t>
  </si>
  <si>
    <t>BACKPACK, BLS TRAUMA AED CASE</t>
  </si>
  <si>
    <t>1069345</t>
  </si>
  <si>
    <t>36026</t>
  </si>
  <si>
    <t>42172009</t>
  </si>
  <si>
    <t>Mobile medical services search and rescue kits</t>
  </si>
  <si>
    <t>42172009  Mobile medical services search and rescue kits</t>
  </si>
  <si>
    <t>BIOPPE</t>
  </si>
  <si>
    <t>BIOPPE PERSONAL PROTECTION BAG</t>
  </si>
  <si>
    <t>1072301</t>
  </si>
  <si>
    <t>39426</t>
  </si>
  <si>
    <t>42143611</t>
  </si>
  <si>
    <t>Patient stabilization or fall prevention device accessories</t>
  </si>
  <si>
    <t>42143611  Patient stabilization or fall prevention device accessories</t>
  </si>
  <si>
    <t>BAG, MEDICAL BLS MEDMODULE 10"</t>
  </si>
  <si>
    <t>1069347</t>
  </si>
  <si>
    <t>39520</t>
  </si>
  <si>
    <t>42192425</t>
  </si>
  <si>
    <t>Long distance response LDR trauma cases or bags</t>
  </si>
  <si>
    <t>42192425  Long distance response LDR trauma cases or bags</t>
  </si>
  <si>
    <t>BAG, OPIOID OVERDOSE KIT SINGLE DOSE BAG-ONLY BLK</t>
  </si>
  <si>
    <t>1069327</t>
  </si>
  <si>
    <t>30520F-RD</t>
  </si>
  <si>
    <t>42192307</t>
  </si>
  <si>
    <t>Patient lift accessories</t>
  </si>
  <si>
    <t>42192307  Patient lift accessories</t>
  </si>
  <si>
    <t>30520FRD</t>
  </si>
  <si>
    <t>STRAP, PT SAFETY MTL BKL/RED 2PC 5'</t>
  </si>
  <si>
    <t>1072271</t>
  </si>
  <si>
    <t>32325-RDUP</t>
  </si>
  <si>
    <t>42171900</t>
  </si>
  <si>
    <t>Medical equipment bags and cases and carriers and related products</t>
  </si>
  <si>
    <t>42171900  Medical equipment bags and cases and carriers and related products</t>
  </si>
  <si>
    <t>32325RDUP</t>
  </si>
  <si>
    <t>ULTRA</t>
  </si>
  <si>
    <t>ULTRA SOFT BOX PL RED UP DS</t>
  </si>
  <si>
    <t>1072272</t>
  </si>
  <si>
    <t>32350-UP-RB</t>
  </si>
  <si>
    <t>32350UPRB</t>
  </si>
  <si>
    <t>ULTRA TRAUMA PK ROYAL UP DS</t>
  </si>
  <si>
    <t>1072274</t>
  </si>
  <si>
    <t>32405-RDUP</t>
  </si>
  <si>
    <t>32405RDUP</t>
  </si>
  <si>
    <t>BAG, TRAUMA LUCAS 2 PACK W/O CONTENTS RED UNIV</t>
  </si>
  <si>
    <t>1072275</t>
  </si>
  <si>
    <t>32405-RED</t>
  </si>
  <si>
    <t>32405RED</t>
  </si>
  <si>
    <t>LUCAS</t>
  </si>
  <si>
    <t>LUCAS 2 PACK RED NYLON DS</t>
  </si>
  <si>
    <t>1069331</t>
  </si>
  <si>
    <t>32499AT-RED</t>
  </si>
  <si>
    <t>32499ATRED</t>
  </si>
  <si>
    <t>BAG, EMS PACK CASE TRIPLE RED</t>
  </si>
  <si>
    <t>1072279</t>
  </si>
  <si>
    <t>34016DP-GN</t>
  </si>
  <si>
    <t>42192414</t>
  </si>
  <si>
    <t>Airway management bags</t>
  </si>
  <si>
    <t>42192414  Airway management bags</t>
  </si>
  <si>
    <t>34016DPGN</t>
  </si>
  <si>
    <t>BAG, TRAUMA/OXYGEN BREATHSAVERPLUS GRN 27"X13"X11"</t>
  </si>
  <si>
    <t>1071484</t>
  </si>
  <si>
    <t>34024-GN</t>
  </si>
  <si>
    <t>42271718</t>
  </si>
  <si>
    <t>Oxygen therapy delivery system products</t>
  </si>
  <si>
    <t>42271718  Oxygen therapy delivery system products</t>
  </si>
  <si>
    <t>34024GN</t>
  </si>
  <si>
    <t>BAG, OXY SLEEVE GRN</t>
  </si>
  <si>
    <t>1072283</t>
  </si>
  <si>
    <t>Transfer Boards</t>
  </si>
  <si>
    <t>35717-LGP</t>
  </si>
  <si>
    <t>42143609</t>
  </si>
  <si>
    <t>Patient restraint boards</t>
  </si>
  <si>
    <t>42143609  Patient restraint boards</t>
  </si>
  <si>
    <t>35717LGP</t>
  </si>
  <si>
    <t>PRO-LITE</t>
  </si>
  <si>
    <t>PRO-LITE XT LIMEGRN WPINS DS</t>
  </si>
  <si>
    <t>1072285</t>
  </si>
  <si>
    <t>35719Y-P</t>
  </si>
  <si>
    <t>42171613</t>
  </si>
  <si>
    <t>Mobile medical services spine boards</t>
  </si>
  <si>
    <t>42171613  Mobile medical services spine boards</t>
  </si>
  <si>
    <t>35719YP</t>
  </si>
  <si>
    <t>PRO</t>
  </si>
  <si>
    <t>PRO ECO SPINEBRD YELLOW W/P DS</t>
  </si>
  <si>
    <t>1072289</t>
  </si>
  <si>
    <t>35775-PO</t>
  </si>
  <si>
    <t>35775PO</t>
  </si>
  <si>
    <t>ULTRAVUE</t>
  </si>
  <si>
    <t>ULTRAVUE BKBRD ORN W/PIN DS</t>
  </si>
  <si>
    <t>1072291</t>
  </si>
  <si>
    <t>35840-T</t>
  </si>
  <si>
    <t>35840T</t>
  </si>
  <si>
    <t>PEDI</t>
  </si>
  <si>
    <t>PEDI AIR ALIGN SYS CSTM TEALDS</t>
  </si>
  <si>
    <t>1072292</t>
  </si>
  <si>
    <t>35940-CASE-RD</t>
  </si>
  <si>
    <t>35940CASERD</t>
  </si>
  <si>
    <t>ULTRA SPACSAV CARRY CASE</t>
  </si>
  <si>
    <t>1072293</t>
  </si>
  <si>
    <t>35940-OL</t>
  </si>
  <si>
    <t>35940OL</t>
  </si>
  <si>
    <t>ULTRA SPACESAV NO-PIN OLIVE DS</t>
  </si>
  <si>
    <t>1072296</t>
  </si>
  <si>
    <t>35940-POL</t>
  </si>
  <si>
    <t>35940POL</t>
  </si>
  <si>
    <t>ULTRA SPACESAV W/PN OLV DS</t>
  </si>
  <si>
    <t>1072297</t>
  </si>
  <si>
    <t>35940-Y</t>
  </si>
  <si>
    <t>35940Y</t>
  </si>
  <si>
    <t>BACKBOARD</t>
  </si>
  <si>
    <t>BACKBOARD, TRANS ULTRA SPACE SAVE W/O PINS YLW</t>
  </si>
  <si>
    <t>1069342</t>
  </si>
  <si>
    <t>36010-BK</t>
  </si>
  <si>
    <t>36010BK</t>
  </si>
  <si>
    <t>OPIOID</t>
  </si>
  <si>
    <t>OPIOID OVERDOSE KIT CASE BLK</t>
  </si>
  <si>
    <t>1069343</t>
  </si>
  <si>
    <t>36010-SY</t>
  </si>
  <si>
    <t>36010SY</t>
  </si>
  <si>
    <t>BAG, OPIOID OVERDOSE KIT BAG-ONLY SAFETY YLW</t>
  </si>
  <si>
    <t>1072300</t>
  </si>
  <si>
    <t>36011-PRO-OR</t>
  </si>
  <si>
    <t>36011PROOR</t>
  </si>
  <si>
    <t>CASE</t>
  </si>
  <si>
    <t>CASE, ANAPHYLAXIS PROFESSIONAL</t>
  </si>
  <si>
    <t>1069321</t>
  </si>
  <si>
    <t>QRB REPAIR CFD</t>
  </si>
  <si>
    <t>42191910</t>
  </si>
  <si>
    <t>Medical equipment maintenance and repair tool kit chests</t>
  </si>
  <si>
    <t>42191910  Medical equipment maintenance and repair tool kit chests</t>
  </si>
  <si>
    <t>QRBREPAIRCFD</t>
  </si>
  <si>
    <t>REPAIR</t>
  </si>
  <si>
    <t>REPAIR, BAG CFD QRB D/S</t>
  </si>
  <si>
    <t>1069322</t>
  </si>
  <si>
    <t>X 34025-BK-CFD</t>
  </si>
  <si>
    <t>X34025BKCFD</t>
  </si>
  <si>
    <t>BAG, EMS CFD OMNI II MASTER CA</t>
  </si>
  <si>
    <t>1069323</t>
  </si>
  <si>
    <t>X 34025-GN-CFD</t>
  </si>
  <si>
    <t>X34025GNCFD</t>
  </si>
  <si>
    <t>1069324</t>
  </si>
  <si>
    <t>X 34025-NB-CFD</t>
  </si>
  <si>
    <t>X34025NBCFD</t>
  </si>
  <si>
    <t>1069325</t>
  </si>
  <si>
    <t>X 34025-RB-CFD</t>
  </si>
  <si>
    <t>X34025RBCFD</t>
  </si>
  <si>
    <t>1064668</t>
  </si>
  <si>
    <t>Torso</t>
  </si>
  <si>
    <t>FREEMAN MANUFACTURING CO</t>
  </si>
  <si>
    <t>Freeman Manufacturing-FREEMN</t>
  </si>
  <si>
    <t>FREEMN</t>
  </si>
  <si>
    <t>Freeman Manufacturing</t>
  </si>
  <si>
    <t>8142-1</t>
  </si>
  <si>
    <t>42241802</t>
  </si>
  <si>
    <t>Back or lumbar or sacral orthopedic softgoods</t>
  </si>
  <si>
    <t>42241802  Back or lumbar or sacral orthopedic softgoods</t>
  </si>
  <si>
    <t>FREEMAN</t>
  </si>
  <si>
    <t>81421</t>
  </si>
  <si>
    <t>CASH</t>
  </si>
  <si>
    <t>CASH BRACE, ORTHOSIS W/FIXED PADS UNIV</t>
  </si>
  <si>
    <t>1066052</t>
  </si>
  <si>
    <t>FUTURE HEALTH CONCEPTS, INC.</t>
  </si>
  <si>
    <t>Future Health Concepts-FUTHLT</t>
  </si>
  <si>
    <t>FUTHLT</t>
  </si>
  <si>
    <t>Future Health Concepts</t>
  </si>
  <si>
    <t>BB11X22X12D</t>
  </si>
  <si>
    <t>FUTURE HEALTH CONCEPTS</t>
  </si>
  <si>
    <t>PAD, ARMBOARD F/SURG TABLE 11"X22"X2"</t>
  </si>
  <si>
    <t>1073287</t>
  </si>
  <si>
    <t>Regulators</t>
  </si>
  <si>
    <t>FHCFM-15UO-CH-M</t>
  </si>
  <si>
    <t>42271705</t>
  </si>
  <si>
    <t>Oxygen delivery connectors or adapters</t>
  </si>
  <si>
    <t>42271705  Oxygen delivery connectors or adapters</t>
  </si>
  <si>
    <t>FHCFM15UOCHM</t>
  </si>
  <si>
    <t>FLOWMETER</t>
  </si>
  <si>
    <t>FLOWMETER, O2 W/CHEMTRON ADAPTER MRI</t>
  </si>
  <si>
    <t>1074616</t>
  </si>
  <si>
    <t>FHCH0028-01</t>
  </si>
  <si>
    <t>FHCH002801</t>
  </si>
  <si>
    <t>RIVET</t>
  </si>
  <si>
    <t>RIVET, F/STRETCHER FHC7100 ML &amp; FML (10/PK)</t>
  </si>
  <si>
    <t>1074618</t>
  </si>
  <si>
    <t>FHCW0115-08</t>
  </si>
  <si>
    <t>FHCW011508</t>
  </si>
  <si>
    <t>WASHER</t>
  </si>
  <si>
    <t>WASHER, NYLON F/FHC 7100 SIDE RAIL (10/PK)</t>
  </si>
  <si>
    <t>1075092</t>
  </si>
  <si>
    <t>GE HEALTHCARE ACCESSORIES</t>
  </si>
  <si>
    <t>GE Healthcare-GEMSEQ</t>
  </si>
  <si>
    <t>GEMSEQ</t>
  </si>
  <si>
    <t>GE Healthcare</t>
  </si>
  <si>
    <t>418830-001</t>
  </si>
  <si>
    <t>42143127</t>
  </si>
  <si>
    <t>Acute care fetal or maternal monitoring unit accessories</t>
  </si>
  <si>
    <t>42143127  Acute care fetal or maternal monitoring unit accessories</t>
  </si>
  <si>
    <t>GE</t>
  </si>
  <si>
    <t>418830001</t>
  </si>
  <si>
    <t>BATTERY, F/TIME KEEPER RAM</t>
  </si>
  <si>
    <t>1073263</t>
  </si>
  <si>
    <t>GE Healthcare-GEDCAR</t>
  </si>
  <si>
    <t>GEDCAR</t>
  </si>
  <si>
    <t>2009010-855</t>
  </si>
  <si>
    <t>2009010855</t>
  </si>
  <si>
    <t>MONITOR, VITAL SIGNS PROMO D/S</t>
  </si>
  <si>
    <t>1066218</t>
  </si>
  <si>
    <t>2067634-054</t>
  </si>
  <si>
    <t>81112216</t>
  </si>
  <si>
    <t>Educational or reference software maintenance</t>
  </si>
  <si>
    <t>81112216  Educational or reference software maintenance</t>
  </si>
  <si>
    <t>2067634054</t>
  </si>
  <si>
    <t>ADAPTOR, PC BLUE TOOTH F/MARS V8</t>
  </si>
  <si>
    <t>1066225</t>
  </si>
  <si>
    <t>2067634-055</t>
  </si>
  <si>
    <t>43211614</t>
  </si>
  <si>
    <t>Bluetooth universal serial bus USB adapter</t>
  </si>
  <si>
    <t>43211614  Bluetooth universal serial bus USB adapter</t>
  </si>
  <si>
    <t>2067634055</t>
  </si>
  <si>
    <t>APPLICATION</t>
  </si>
  <si>
    <t>APPLICATION, PC F/MARS V8</t>
  </si>
  <si>
    <t>1073681</t>
  </si>
  <si>
    <t>2072532-001-305079</t>
  </si>
  <si>
    <t>42181716</t>
  </si>
  <si>
    <t>Electrocardiography EKG accessories</t>
  </si>
  <si>
    <t>42181716  Electrocardiography EKG accessories</t>
  </si>
  <si>
    <t>2072532001305079</t>
  </si>
  <si>
    <t>UPGRADE</t>
  </si>
  <si>
    <t>UPGRADE, F/EKG MAC2000 MACHINEADD MEMORY</t>
  </si>
  <si>
    <t>1069663</t>
  </si>
  <si>
    <t>2072532-001-329978</t>
  </si>
  <si>
    <t>2072532001329978</t>
  </si>
  <si>
    <t>UPGRADE, MAC2000 200 MEMORY &amp; PDF EXPORT</t>
  </si>
  <si>
    <t>1154258</t>
  </si>
  <si>
    <t>B105</t>
  </si>
  <si>
    <t>42181706</t>
  </si>
  <si>
    <t>Electrocardiography EKG monitor screens</t>
  </si>
  <si>
    <t>42181706  Electrocardiography EKG monitor screens</t>
  </si>
  <si>
    <t>MONITOR, PT SPO2/NIBP/IBP/RR/ECG/ETCO2 TOUCH SCREEN 10.1"</t>
  </si>
  <si>
    <t>1065655</t>
  </si>
  <si>
    <t>GEORGIA PACIFIC</t>
  </si>
  <si>
    <t>Georgia Pacific-GPDISP</t>
  </si>
  <si>
    <t>GPDISP</t>
  </si>
  <si>
    <t>Georgia Pacific</t>
  </si>
  <si>
    <t>56783A</t>
  </si>
  <si>
    <t>47131710</t>
  </si>
  <si>
    <t>Toilet tissue dispensers</t>
  </si>
  <si>
    <t>47131710  Toilet tissue dispensers</t>
  </si>
  <si>
    <t>DISPENSER, TISSUE BATH COMPACTBL ROLL GRY W/BLU (1/EA)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</si>
</sst>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C9C9CB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16" borderId="0" applyNumberFormat="0" applyBorder="0" applyAlignment="0" applyProtection="0">
      <alignment vertical="center"/>
    </xf>
    <xf numFmtId="177" fontId="8" fillId="0" borderId="0">
      <alignment vertical="center"/>
    </xf>
    <xf numFmtId="179" fontId="8" fillId="0" borderId="0">
      <alignment vertical="center"/>
    </xf>
    <xf numFmtId="178" fontId="8" fillId="0" borderId="0">
      <alignment vertical="center"/>
    </xf>
    <xf numFmtId="176" fontId="8" fillId="0" borderId="0">
      <alignment vertical="center"/>
    </xf>
    <xf numFmtId="9" fontId="8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17" borderId="3" applyNumberFormat="0" applyFon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4" borderId="2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8" fillId="25" borderId="2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49" fontId="4" fillId="9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4" fillId="1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N1" t="str">
            <v>Sl No</v>
          </cell>
          <cell r="O1" t="str">
            <v>Item: Item</v>
          </cell>
          <cell r="P1" t="str">
            <v>Item: Item Catalog Category</v>
          </cell>
          <cell r="Q1" t="str">
            <v>Item: E1 Manufacturer Name</v>
          </cell>
          <cell r="R1" t="str">
            <v>Item: Manufacturer Name</v>
          </cell>
          <cell r="S1" t="str">
            <v>Item: Vendor Abbreviation</v>
          </cell>
          <cell r="T1" t="str">
            <v>Item: Primary Manufacturer</v>
          </cell>
          <cell r="U1" t="str">
            <v>Item: Manufacturer Number</v>
          </cell>
          <cell r="V1" t="str">
            <v>Item: Pharma Item Number</v>
          </cell>
          <cell r="W1" t="str">
            <v>Item: Alternate Manufacturer Number</v>
          </cell>
          <cell r="X1" t="str">
            <v>Item: Item Status</v>
          </cell>
          <cell r="Y1" t="str">
            <v>Item: UNSPSC Code</v>
          </cell>
          <cell r="Z1" t="str">
            <v>Item: UNSPSC Note</v>
          </cell>
          <cell r="AA1" t="str">
            <v>Item: UNSPSC Version</v>
          </cell>
          <cell r="AB1" t="str">
            <v>Item Discontinued</v>
          </cell>
          <cell r="AC1" t="str">
            <v>Client_UNSPSC</v>
          </cell>
          <cell r="AD1" t="str">
            <v>RefName</v>
          </cell>
          <cell r="AE1" t="str">
            <v>RefNum</v>
          </cell>
          <cell r="AF1" t="str">
            <v>Ref#</v>
          </cell>
          <cell r="AG1" t="str">
            <v>Conc</v>
          </cell>
          <cell r="AH1" t="str">
            <v>Noun</v>
          </cell>
          <cell r="AI1" t="str">
            <v>Noun_Count</v>
          </cell>
          <cell r="AJ1" t="str">
            <v>Item: Description</v>
          </cell>
          <cell r="AK1" t="str">
            <v>Item: Long Description</v>
          </cell>
          <cell r="AL1" t="str">
            <v>Unspsc V25</v>
          </cell>
        </row>
        <row r="2">
          <cell r="N2">
            <v>1</v>
          </cell>
          <cell r="O2">
            <v>1227853</v>
          </cell>
          <cell r="P2" t="str">
            <v>CPAP / BPAP Accessories</v>
          </cell>
          <cell r="Q2" t="str">
            <v>3B MEDICAL INC</v>
          </cell>
          <cell r="R2" t="str">
            <v>3B Medical Inc-3BMEDI</v>
          </cell>
          <cell r="S2" t="str">
            <v>3BMEDI</v>
          </cell>
          <cell r="T2" t="str">
            <v>3B Medical Inc</v>
          </cell>
          <cell r="U2">
            <v>1004</v>
          </cell>
        </row>
        <row r="2">
          <cell r="X2" t="str">
            <v>Approved for SM</v>
          </cell>
        </row>
        <row r="2">
          <cell r="AD2" t="str">
            <v>3B</v>
          </cell>
          <cell r="AE2">
            <v>1004</v>
          </cell>
          <cell r="AF2" t="str">
            <v>1004</v>
          </cell>
        </row>
        <row r="2">
          <cell r="AH2" t="str">
            <v>ATTENUATER</v>
          </cell>
          <cell r="AI2">
            <v>1</v>
          </cell>
          <cell r="AJ2" t="str">
            <v>ATTENUATER, F/CPAP VCOM FLOW (50/CS)</v>
          </cell>
        </row>
        <row r="2">
          <cell r="AL2" t="str">
            <v>42272231  Continuous positive airway pressure CPAP system accessories</v>
          </cell>
        </row>
        <row r="3">
          <cell r="N3">
            <v>2</v>
          </cell>
          <cell r="O3">
            <v>1074593</v>
          </cell>
          <cell r="P3" t="str">
            <v>Dermatoscopes</v>
          </cell>
          <cell r="Q3" t="str">
            <v>3GEN LLC</v>
          </cell>
          <cell r="R3" t="str">
            <v>3GEN-3GENLC</v>
          </cell>
          <cell r="S3" t="str">
            <v>3GENLC</v>
          </cell>
          <cell r="T3" t="str">
            <v>3GEN</v>
          </cell>
          <cell r="U3" t="str">
            <v>DL200HR</v>
          </cell>
        </row>
        <row r="3">
          <cell r="X3" t="str">
            <v>Approved for SM</v>
          </cell>
          <cell r="Y3">
            <v>42182004</v>
          </cell>
          <cell r="Z3" t="str">
            <v>Dermatoscopes</v>
          </cell>
          <cell r="AA3" t="str">
            <v>UNSPSC v23.0701</v>
          </cell>
        </row>
        <row r="3">
          <cell r="AC3" t="str">
            <v>42182004  Dermatoscopes</v>
          </cell>
          <cell r="AD3" t="str">
            <v>3GEN</v>
          </cell>
          <cell r="AE3" t="str">
            <v>DL200HR</v>
          </cell>
          <cell r="AF3" t="str">
            <v>DL200HR</v>
          </cell>
        </row>
        <row r="3">
          <cell r="AH3" t="str">
            <v>DERMLITE</v>
          </cell>
          <cell r="AI3">
            <v>1</v>
          </cell>
          <cell r="AJ3" t="str">
            <v>DERMLITE, DL200 HR POCKET DERMATOSCOPE D/S</v>
          </cell>
        </row>
        <row r="3">
          <cell r="AL3" t="str">
            <v>42182004  Dermatoscopes</v>
          </cell>
        </row>
        <row r="4">
          <cell r="N4">
            <v>3</v>
          </cell>
          <cell r="O4">
            <v>1073618</v>
          </cell>
          <cell r="P4" t="str">
            <v>Dermatoscopes</v>
          </cell>
          <cell r="Q4" t="str">
            <v>3GEN LLC</v>
          </cell>
          <cell r="R4" t="str">
            <v>3GEN-3GENLC</v>
          </cell>
          <cell r="S4" t="str">
            <v>3GENLC</v>
          </cell>
          <cell r="T4" t="str">
            <v>3GEN</v>
          </cell>
          <cell r="U4" t="str">
            <v>DL4W</v>
          </cell>
        </row>
        <row r="4">
          <cell r="X4" t="str">
            <v>Approved for SM</v>
          </cell>
          <cell r="Y4">
            <v>42182004</v>
          </cell>
          <cell r="Z4" t="str">
            <v>Dermatoscopes</v>
          </cell>
          <cell r="AA4" t="str">
            <v>UNSPSC v23.0701</v>
          </cell>
        </row>
        <row r="4">
          <cell r="AC4" t="str">
            <v>42182004  Dermatoscopes</v>
          </cell>
          <cell r="AD4" t="str">
            <v>3GEN</v>
          </cell>
          <cell r="AE4" t="str">
            <v>DL4W</v>
          </cell>
          <cell r="AF4" t="str">
            <v>DL4W</v>
          </cell>
        </row>
        <row r="4">
          <cell r="AH4" t="str">
            <v>DERMATOSCOPE</v>
          </cell>
          <cell r="AI4">
            <v>1</v>
          </cell>
          <cell r="AJ4" t="str">
            <v>DERMATOSCOPE, DEMLITE IV</v>
          </cell>
        </row>
        <row r="4">
          <cell r="AL4" t="str">
            <v>42182004  Dermatoscopes</v>
          </cell>
        </row>
        <row r="5">
          <cell r="N5">
            <v>12</v>
          </cell>
          <cell r="O5">
            <v>1066564</v>
          </cell>
          <cell r="P5" t="str">
            <v>Stockings and Socks</v>
          </cell>
          <cell r="Q5" t="str">
            <v>3M HEALTH CARE</v>
          </cell>
          <cell r="R5" t="str">
            <v>3M-3MPERS</v>
          </cell>
          <cell r="S5" t="str">
            <v>3MPERS</v>
          </cell>
          <cell r="T5" t="str">
            <v>3M</v>
          </cell>
          <cell r="U5" t="str">
            <v>71022EN</v>
          </cell>
        </row>
        <row r="5">
          <cell r="X5" t="str">
            <v>Approved for SM</v>
          </cell>
          <cell r="Y5">
            <v>42142802</v>
          </cell>
          <cell r="Z5" t="str">
            <v>Vascular or compression apparel or support</v>
          </cell>
          <cell r="AA5" t="str">
            <v>UNSPSC v23.0701</v>
          </cell>
        </row>
        <row r="5">
          <cell r="AC5" t="str">
            <v>42142802  Vascular or compression apparel or support</v>
          </cell>
          <cell r="AD5" t="str">
            <v>3M</v>
          </cell>
          <cell r="AE5" t="str">
            <v>71022EN</v>
          </cell>
          <cell r="AF5" t="str">
            <v>71022EN</v>
          </cell>
        </row>
        <row r="5">
          <cell r="AH5" t="str">
            <v>ENERGIZING</v>
          </cell>
          <cell r="AI5">
            <v>2</v>
          </cell>
          <cell r="AJ5" t="str">
            <v>ENERGIZING TROUSER SOCKS WMN M(12PR/CS)</v>
          </cell>
        </row>
        <row r="5">
          <cell r="AL5" t="str">
            <v>42142802  Vascular or compression apparel or support</v>
          </cell>
        </row>
        <row r="6">
          <cell r="N6">
            <v>13</v>
          </cell>
          <cell r="O6">
            <v>1066565</v>
          </cell>
          <cell r="P6" t="str">
            <v>Stockings and Socks</v>
          </cell>
          <cell r="Q6" t="str">
            <v>3M HEALTH CARE</v>
          </cell>
          <cell r="R6" t="str">
            <v>3M-3MPERS</v>
          </cell>
          <cell r="S6" t="str">
            <v>3MPERS</v>
          </cell>
          <cell r="T6" t="str">
            <v>3M</v>
          </cell>
          <cell r="U6" t="str">
            <v>71023EN</v>
          </cell>
        </row>
        <row r="6">
          <cell r="X6" t="str">
            <v>Approved for SM</v>
          </cell>
          <cell r="Y6">
            <v>42142802</v>
          </cell>
          <cell r="Z6" t="str">
            <v>Vascular or compression apparel or support</v>
          </cell>
          <cell r="AA6" t="str">
            <v>UNSPSC v23.0701</v>
          </cell>
        </row>
        <row r="6">
          <cell r="AC6" t="str">
            <v>42142802  Vascular or compression apparel or support</v>
          </cell>
          <cell r="AD6" t="str">
            <v>3M</v>
          </cell>
          <cell r="AE6" t="str">
            <v>71023EN</v>
          </cell>
          <cell r="AF6" t="str">
            <v>71023EN</v>
          </cell>
        </row>
        <row r="6">
          <cell r="AH6" t="str">
            <v>ENERGIZING</v>
          </cell>
          <cell r="AI6">
            <v>2</v>
          </cell>
          <cell r="AJ6" t="str">
            <v>ENERGIZING TROUSER SOCKS WMN L(12PR/CS)</v>
          </cell>
        </row>
        <row r="6">
          <cell r="AL6" t="str">
            <v>42142802  Vascular or compression apparel or support</v>
          </cell>
        </row>
        <row r="7">
          <cell r="N7">
            <v>19</v>
          </cell>
          <cell r="O7">
            <v>1066574</v>
          </cell>
          <cell r="P7" t="str">
            <v>Blood Pressure Accessories</v>
          </cell>
          <cell r="Q7" t="str">
            <v>A &amp; D ENGINEERING</v>
          </cell>
          <cell r="R7" t="str">
            <v>A&amp;D Engineering-ADENGR</v>
          </cell>
          <cell r="S7" t="str">
            <v>ADENGR</v>
          </cell>
          <cell r="T7" t="str">
            <v>A&amp;D Engineering</v>
          </cell>
          <cell r="U7" t="str">
            <v>AX-134005759-S</v>
          </cell>
        </row>
        <row r="7">
          <cell r="X7" t="str">
            <v>Approved for SM</v>
          </cell>
          <cell r="Y7">
            <v>42181605</v>
          </cell>
          <cell r="Z7" t="str">
            <v>Blood pressure cuffs or bladders</v>
          </cell>
          <cell r="AA7" t="str">
            <v>UNSPSC v23.0701</v>
          </cell>
        </row>
        <row r="7">
          <cell r="AC7" t="str">
            <v>42181605  Blood pressure cuffs or bladders</v>
          </cell>
          <cell r="AD7" t="str">
            <v>A&amp;D</v>
          </cell>
          <cell r="AE7" t="str">
            <v>AX-134005759-S</v>
          </cell>
          <cell r="AF7" t="str">
            <v>AX134005759S</v>
          </cell>
        </row>
        <row r="7">
          <cell r="AH7" t="str">
            <v>ARM</v>
          </cell>
          <cell r="AI7">
            <v>11</v>
          </cell>
          <cell r="AJ7" t="str">
            <v>ARM CUFF COVERS, F/ TM-2657P (5/PK)</v>
          </cell>
        </row>
        <row r="7">
          <cell r="AL7" t="str">
            <v>42181605  Blood pressure cuffs or bladders</v>
          </cell>
        </row>
        <row r="8">
          <cell r="N8">
            <v>18</v>
          </cell>
          <cell r="O8">
            <v>1066357</v>
          </cell>
          <cell r="P8" t="str">
            <v>Diagnostic Recording Paper and Film</v>
          </cell>
          <cell r="Q8" t="str">
            <v>A &amp; D ENGINEERING</v>
          </cell>
          <cell r="R8" t="str">
            <v>A&amp;D Engineering-ADENGR</v>
          </cell>
          <cell r="S8" t="str">
            <v>ADENGR</v>
          </cell>
          <cell r="T8" t="str">
            <v>A&amp;D Engineering</v>
          </cell>
          <cell r="U8" t="str">
            <v>AX:PP147-S</v>
          </cell>
        </row>
        <row r="8">
          <cell r="X8" t="str">
            <v>Approved for SM</v>
          </cell>
          <cell r="Y8">
            <v>42181608</v>
          </cell>
          <cell r="Z8" t="str">
            <v>Blood pressure measuring instruments accessories</v>
          </cell>
          <cell r="AA8" t="str">
            <v>UNSPSC v23.0701</v>
          </cell>
        </row>
        <row r="8">
          <cell r="AC8" t="str">
            <v>42181608  Blood pressure measuring instruments accessories</v>
          </cell>
          <cell r="AD8" t="str">
            <v>A&amp;D</v>
          </cell>
          <cell r="AE8" t="str">
            <v>AX:PP147-S</v>
          </cell>
          <cell r="AF8" t="str">
            <v>AXPP147S</v>
          </cell>
        </row>
        <row r="8">
          <cell r="AH8" t="str">
            <v>PAPER</v>
          </cell>
          <cell r="AI8">
            <v>16</v>
          </cell>
          <cell r="AJ8" t="str">
            <v>PAPER, PRINTER BP MONITOR (5/P)</v>
          </cell>
        </row>
        <row r="8">
          <cell r="AL8" t="str">
            <v>42181608  Blood pressure measuring instruments accessories</v>
          </cell>
        </row>
        <row r="9">
          <cell r="N9">
            <v>20</v>
          </cell>
          <cell r="O9">
            <v>1066358</v>
          </cell>
          <cell r="P9" t="str">
            <v>Diagnostic Accessories</v>
          </cell>
          <cell r="Q9" t="str">
            <v>A &amp; D ENGINEERING</v>
          </cell>
          <cell r="R9" t="str">
            <v>A&amp;D Engineering-ADENGR</v>
          </cell>
          <cell r="S9" t="str">
            <v>ADENGR</v>
          </cell>
          <cell r="T9" t="str">
            <v>A&amp;D Engineering</v>
          </cell>
          <cell r="U9" t="str">
            <v>TB233</v>
          </cell>
        </row>
        <row r="9">
          <cell r="X9" t="str">
            <v>Approved for SM</v>
          </cell>
          <cell r="Y9">
            <v>42181606</v>
          </cell>
          <cell r="Z9" t="str">
            <v>Blood pressure inflation hoses or pneumatic hoses or adapters</v>
          </cell>
          <cell r="AA9" t="str">
            <v>UNSPSC v23.0701</v>
          </cell>
        </row>
        <row r="9">
          <cell r="AC9" t="str">
            <v>42181606  Blood pressure inflation hoses or pneumatic hoses or adapters</v>
          </cell>
          <cell r="AD9" t="str">
            <v>A&amp;D</v>
          </cell>
          <cell r="AE9" t="str">
            <v>TB233</v>
          </cell>
          <cell r="AF9" t="str">
            <v>TB233</v>
          </cell>
        </row>
        <row r="9">
          <cell r="AH9" t="str">
            <v>AC</v>
          </cell>
          <cell r="AI9">
            <v>1</v>
          </cell>
          <cell r="AJ9" t="str">
            <v>AC POWER ADAPTER</v>
          </cell>
        </row>
        <row r="9">
          <cell r="AL9" t="str">
            <v>42181606  Blood pressure inflation hoses or pneumatic hoses or adapters</v>
          </cell>
        </row>
        <row r="10">
          <cell r="N10">
            <v>21</v>
          </cell>
          <cell r="O10">
            <v>1066360</v>
          </cell>
          <cell r="P10" t="str">
            <v>Blood Pressure Units</v>
          </cell>
          <cell r="Q10" t="str">
            <v>A &amp; D ENGINEERING</v>
          </cell>
          <cell r="R10" t="str">
            <v>A&amp;D Engineering-ADENGR</v>
          </cell>
          <cell r="S10" t="str">
            <v>ADENGR</v>
          </cell>
          <cell r="T10" t="str">
            <v>A&amp;D Engineering</v>
          </cell>
          <cell r="U10" t="str">
            <v>TM-2657P</v>
          </cell>
        </row>
        <row r="10">
          <cell r="X10" t="str">
            <v>Approved for SM</v>
          </cell>
          <cell r="Y10">
            <v>42181609</v>
          </cell>
          <cell r="Z10" t="str">
            <v>Blood pressure monitor dome kits</v>
          </cell>
          <cell r="AA10" t="str">
            <v>UNSPSC v23.0701</v>
          </cell>
        </row>
        <row r="10">
          <cell r="AC10" t="str">
            <v>42181609  Blood pressure monitor dome kits</v>
          </cell>
          <cell r="AD10" t="str">
            <v>A&amp;D</v>
          </cell>
          <cell r="AE10" t="str">
            <v>TM-2657P</v>
          </cell>
          <cell r="AF10" t="str">
            <v>TM2657P</v>
          </cell>
        </row>
        <row r="10">
          <cell r="AH10" t="str">
            <v>MONITOR</v>
          </cell>
          <cell r="AI10">
            <v>26</v>
          </cell>
          <cell r="AJ10" t="str">
            <v>MONITOR, BLOOD PRESSURE W/PRINTER DISPLAY 3"</v>
          </cell>
        </row>
        <row r="10">
          <cell r="AL10" t="str">
            <v>42181609  Blood pressure monitor dome kits</v>
          </cell>
        </row>
        <row r="11">
          <cell r="N11">
            <v>22</v>
          </cell>
          <cell r="O11">
            <v>1066359</v>
          </cell>
          <cell r="P11" t="str">
            <v>Furnishing Accessories</v>
          </cell>
          <cell r="Q11" t="str">
            <v>A &amp; D ENGINEERING</v>
          </cell>
          <cell r="R11" t="str">
            <v>A&amp;D Engineering-ADENGR</v>
          </cell>
          <cell r="S11" t="str">
            <v>ADENGR</v>
          </cell>
          <cell r="T11" t="str">
            <v>A&amp;D Engineering</v>
          </cell>
          <cell r="U11" t="str">
            <v>TM-ST520</v>
          </cell>
        </row>
        <row r="11">
          <cell r="X11" t="str">
            <v>Approved for SM</v>
          </cell>
          <cell r="Y11">
            <v>42181602</v>
          </cell>
          <cell r="Z11" t="str">
            <v>Electronic blood pressure units</v>
          </cell>
          <cell r="AA11" t="str">
            <v>UNSPSC v23.0701</v>
          </cell>
        </row>
        <row r="11">
          <cell r="AC11" t="str">
            <v>42181602  Electronic blood pressure units</v>
          </cell>
          <cell r="AD11" t="str">
            <v>A&amp;D</v>
          </cell>
          <cell r="AE11" t="str">
            <v>TM-ST520</v>
          </cell>
          <cell r="AF11" t="str">
            <v>TMST520</v>
          </cell>
        </row>
        <row r="11">
          <cell r="AH11" t="str">
            <v>STAND</v>
          </cell>
          <cell r="AI11">
            <v>12</v>
          </cell>
          <cell r="AJ11" t="str">
            <v>STAND, DEDICATED F/FULLY AUTOM</v>
          </cell>
        </row>
        <row r="11">
          <cell r="AL11" t="str">
            <v>42181602  Electronic blood pressure units</v>
          </cell>
        </row>
        <row r="12">
          <cell r="N12">
            <v>23</v>
          </cell>
          <cell r="O12">
            <v>1074033</v>
          </cell>
          <cell r="P12" t="str">
            <v>Urological Accessories</v>
          </cell>
          <cell r="Q12" t="str">
            <v>A+ MEDICAL PRODUCTS INC</v>
          </cell>
          <cell r="R12" t="str">
            <v>A+ Medical-APLUSM</v>
          </cell>
          <cell r="S12" t="str">
            <v>APLUSM</v>
          </cell>
          <cell r="T12" t="str">
            <v>A+ Medical</v>
          </cell>
          <cell r="U12" t="str">
            <v>CAP</v>
          </cell>
        </row>
        <row r="12">
          <cell r="X12" t="str">
            <v>Approved for SM</v>
          </cell>
          <cell r="Y12">
            <v>42141607</v>
          </cell>
          <cell r="Z12" t="str">
            <v>Patient urinals</v>
          </cell>
          <cell r="AA12" t="str">
            <v>UNSPSC v23.0701</v>
          </cell>
        </row>
        <row r="12">
          <cell r="AC12" t="str">
            <v>42141607  Patient urinals</v>
          </cell>
          <cell r="AD12" t="str">
            <v>A+</v>
          </cell>
          <cell r="AE12" t="str">
            <v>CAP</v>
          </cell>
          <cell r="AF12" t="str">
            <v>CAP</v>
          </cell>
        </row>
        <row r="12">
          <cell r="AH12" t="str">
            <v>CAP</v>
          </cell>
          <cell r="AI12">
            <v>11</v>
          </cell>
          <cell r="AJ12" t="str">
            <v>CAP, URINAL F/URINEALL 20001 (24/CS)</v>
          </cell>
        </row>
        <row r="12">
          <cell r="AL12" t="str">
            <v>42141607  Patient urinals</v>
          </cell>
        </row>
        <row r="13">
          <cell r="N13">
            <v>85</v>
          </cell>
          <cell r="O13">
            <v>1229851</v>
          </cell>
          <cell r="P13" t="str">
            <v>Handles</v>
          </cell>
          <cell r="Q13" t="str">
            <v>ACCUTEC BLADES INC</v>
          </cell>
          <cell r="R13" t="str">
            <v>AccuTec Blades-ACCTEC</v>
          </cell>
          <cell r="S13" t="str">
            <v>ACCTEC</v>
          </cell>
          <cell r="T13" t="str">
            <v>AccuTec Blades</v>
          </cell>
          <cell r="U13" t="str">
            <v>ANTL-1000-0000</v>
          </cell>
        </row>
        <row r="13">
          <cell r="X13" t="str">
            <v>Approved for SM</v>
          </cell>
        </row>
        <row r="13">
          <cell r="AD13" t="str">
            <v>ACCUTEC</v>
          </cell>
          <cell r="AE13" t="str">
            <v>ANTL-1000-0000</v>
          </cell>
          <cell r="AF13" t="str">
            <v>ANTL10000000</v>
          </cell>
        </row>
        <row r="13">
          <cell r="AH13" t="str">
            <v>HANDLE</v>
          </cell>
          <cell r="AI13">
            <v>7</v>
          </cell>
          <cell r="AJ13" t="str">
            <v>HANDLE, #8 ACCUPOINT W/BLADES #60 (5/CS)</v>
          </cell>
        </row>
        <row r="13">
          <cell r="AL13" t="str">
            <v>21101900  Poultry and livestock equipment</v>
          </cell>
        </row>
        <row r="14">
          <cell r="N14">
            <v>110</v>
          </cell>
          <cell r="O14">
            <v>1066529</v>
          </cell>
          <cell r="P14" t="str">
            <v>First Aid Kits</v>
          </cell>
          <cell r="Q14" t="str">
            <v>ACME UNITED CORPPAC-KIT SAFETY EQUIP</v>
          </cell>
          <cell r="R14" t="str">
            <v>Acme United-PK</v>
          </cell>
          <cell r="S14" t="str">
            <v>PK</v>
          </cell>
          <cell r="T14" t="str">
            <v>Acme United</v>
          </cell>
          <cell r="U14">
            <v>90648</v>
          </cell>
        </row>
        <row r="14">
          <cell r="X14" t="str">
            <v>Approved for SM</v>
          </cell>
          <cell r="Y14">
            <v>42192420</v>
          </cell>
          <cell r="Z14" t="str">
            <v>First aid kit cases or bags</v>
          </cell>
          <cell r="AA14" t="str">
            <v>UNSPSC v23.0701</v>
          </cell>
        </row>
        <row r="14">
          <cell r="AC14" t="str">
            <v>42192420  First aid kit cases or bags</v>
          </cell>
          <cell r="AD14" t="str">
            <v>ACME UNITED</v>
          </cell>
          <cell r="AE14">
            <v>90648</v>
          </cell>
          <cell r="AF14" t="str">
            <v>90648</v>
          </cell>
        </row>
        <row r="14">
          <cell r="AH14" t="str">
            <v>REFILL</v>
          </cell>
          <cell r="AI14">
            <v>5</v>
          </cell>
          <cell r="AJ14" t="str">
            <v>REFILL, FIRST AID KIT</v>
          </cell>
        </row>
        <row r="14">
          <cell r="AL14" t="str">
            <v>42192420  First aid kit cases or bags</v>
          </cell>
        </row>
        <row r="15">
          <cell r="N15">
            <v>112</v>
          </cell>
          <cell r="O15">
            <v>1066520</v>
          </cell>
          <cell r="P15" t="str">
            <v>First Aid Kits</v>
          </cell>
          <cell r="Q15" t="str">
            <v>ACME UNITED CORPPAC-KIT SAFETY EQUIP</v>
          </cell>
          <cell r="R15" t="str">
            <v>Acme United-PK</v>
          </cell>
          <cell r="S15" t="str">
            <v>PK</v>
          </cell>
          <cell r="T15" t="str">
            <v>Acme United</v>
          </cell>
          <cell r="U15">
            <v>713083</v>
          </cell>
        </row>
        <row r="15">
          <cell r="X15" t="str">
            <v>Approved for SM</v>
          </cell>
          <cell r="Y15">
            <v>42192420</v>
          </cell>
          <cell r="Z15" t="str">
            <v>First aid kit cases or bags</v>
          </cell>
          <cell r="AA15" t="str">
            <v>UNSPSC v23.0701</v>
          </cell>
        </row>
        <row r="15">
          <cell r="AC15" t="str">
            <v>42192420  First aid kit cases or bags</v>
          </cell>
          <cell r="AD15" t="str">
            <v>ACME UNITED</v>
          </cell>
          <cell r="AE15">
            <v>713083</v>
          </cell>
          <cell r="AF15" t="str">
            <v>713083</v>
          </cell>
        </row>
        <row r="15">
          <cell r="AH15" t="str">
            <v>REFILL</v>
          </cell>
          <cell r="AI15">
            <v>5</v>
          </cell>
          <cell r="AJ15" t="str">
            <v>REFILL KIT, FIRST AID K25</v>
          </cell>
        </row>
        <row r="15">
          <cell r="AL15" t="str">
            <v>42192420  First aid kit cases or bags</v>
          </cell>
        </row>
        <row r="16">
          <cell r="N16">
            <v>113</v>
          </cell>
          <cell r="O16">
            <v>1066522</v>
          </cell>
          <cell r="P16" t="str">
            <v>Emergency Kits</v>
          </cell>
          <cell r="Q16" t="str">
            <v>ACME UNITED CORPPAC-KIT SAFETY EQUIP</v>
          </cell>
          <cell r="R16" t="str">
            <v>Acme United-PK</v>
          </cell>
          <cell r="S16" t="str">
            <v>PK</v>
          </cell>
          <cell r="T16" t="str">
            <v>Acme United</v>
          </cell>
          <cell r="U16">
            <v>713094</v>
          </cell>
        </row>
        <row r="16">
          <cell r="X16" t="str">
            <v>Approved for SM</v>
          </cell>
          <cell r="Y16">
            <v>42172002</v>
          </cell>
          <cell r="Z16" t="str">
            <v>Mobile medical services first response kits</v>
          </cell>
          <cell r="AA16" t="str">
            <v>UNSPSC v23.0701</v>
          </cell>
        </row>
        <row r="16">
          <cell r="AC16" t="str">
            <v>42172002  Mobile medical services first response kits</v>
          </cell>
          <cell r="AD16" t="str">
            <v>ACME UNITED</v>
          </cell>
          <cell r="AE16">
            <v>713094</v>
          </cell>
          <cell r="AF16" t="str">
            <v>713094</v>
          </cell>
        </row>
        <row r="16">
          <cell r="AH16" t="str">
            <v>HOLSTER</v>
          </cell>
          <cell r="AI16">
            <v>1</v>
          </cell>
          <cell r="AJ16" t="str">
            <v>HOLSTER KIT, EMS W/KELLY FORCE</v>
          </cell>
        </row>
        <row r="16">
          <cell r="AL16" t="str">
            <v>42172002  Mobile medical services first response kits</v>
          </cell>
        </row>
        <row r="17">
          <cell r="N17">
            <v>114</v>
          </cell>
          <cell r="O17">
            <v>1066505</v>
          </cell>
          <cell r="P17" t="str">
            <v>Casework and Medical Cabinets</v>
          </cell>
          <cell r="Q17" t="str">
            <v>ACME UNITED CORPPAC-KIT SAFETY EQUIP</v>
          </cell>
          <cell r="R17" t="str">
            <v>Acme United-PK</v>
          </cell>
          <cell r="S17" t="str">
            <v>PK</v>
          </cell>
          <cell r="T17" t="str">
            <v>Acme United</v>
          </cell>
          <cell r="U17" t="str">
            <v>1001-FAE-0103</v>
          </cell>
        </row>
        <row r="17">
          <cell r="X17" t="str">
            <v>New Item</v>
          </cell>
          <cell r="Y17">
            <v>42191905</v>
          </cell>
          <cell r="Z17" t="str">
            <v>Medical treatment cabinets</v>
          </cell>
          <cell r="AA17" t="str">
            <v>UNSPSC v23.0701</v>
          </cell>
        </row>
        <row r="17">
          <cell r="AC17" t="str">
            <v>42191905  Medical treatment cabinets</v>
          </cell>
          <cell r="AD17" t="str">
            <v>ACME UNITED</v>
          </cell>
          <cell r="AE17" t="str">
            <v>1001-FAE-0103</v>
          </cell>
          <cell r="AF17" t="str">
            <v>1001FAE0103</v>
          </cell>
        </row>
        <row r="17">
          <cell r="AH17" t="str">
            <v>CABINET</v>
          </cell>
          <cell r="AI17">
            <v>28</v>
          </cell>
          <cell r="AJ17" t="str">
            <v>CABINET, FIRST AID SMARTCOMPLI</v>
          </cell>
        </row>
        <row r="17">
          <cell r="AL17" t="str">
            <v>42191905  Medical treatment cabinets</v>
          </cell>
        </row>
        <row r="18">
          <cell r="N18">
            <v>115</v>
          </cell>
          <cell r="O18">
            <v>1066497</v>
          </cell>
          <cell r="P18" t="str">
            <v>Cylinders and Cylinder Carts</v>
          </cell>
          <cell r="Q18" t="str">
            <v>ACME UNITED CORPPAC-KIT SAFETY EQUIP</v>
          </cell>
          <cell r="R18" t="str">
            <v>Acme United-PK</v>
          </cell>
          <cell r="S18" t="str">
            <v>PK</v>
          </cell>
          <cell r="T18" t="str">
            <v>Acme United</v>
          </cell>
          <cell r="U18" t="str">
            <v>LIFE-1-612</v>
          </cell>
        </row>
        <row r="18">
          <cell r="X18" t="str">
            <v>New Item</v>
          </cell>
          <cell r="Y18">
            <v>42271701</v>
          </cell>
          <cell r="Z18" t="str">
            <v>Medical gas cylinders or related devices</v>
          </cell>
          <cell r="AA18" t="str">
            <v>UNSPSC v23.0701</v>
          </cell>
        </row>
        <row r="18">
          <cell r="AC18" t="str">
            <v>42271701  Medical gas cylinders or related devices</v>
          </cell>
          <cell r="AD18" t="str">
            <v>ACME UNITED</v>
          </cell>
          <cell r="AE18" t="str">
            <v>LIFE-1-612</v>
          </cell>
          <cell r="AF18" t="str">
            <v>LIFE1612</v>
          </cell>
        </row>
        <row r="18">
          <cell r="AH18" t="str">
            <v>TANK</v>
          </cell>
          <cell r="AI18">
            <v>3</v>
          </cell>
          <cell r="AJ18" t="str">
            <v>TANK, OXY LIFE OXYGENPAC 6 &amp; 1/S</v>
          </cell>
        </row>
        <row r="18">
          <cell r="AL18" t="str">
            <v>42271701  Medical gas cylinders or related devices</v>
          </cell>
        </row>
        <row r="19">
          <cell r="N19">
            <v>116</v>
          </cell>
          <cell r="O19">
            <v>1066500</v>
          </cell>
          <cell r="P19" t="str">
            <v>Emergency Kits</v>
          </cell>
          <cell r="Q19" t="str">
            <v>ACME UNITED CORPPAC-KIT SAFETY EQUIP</v>
          </cell>
          <cell r="R19" t="str">
            <v>Acme United-PK</v>
          </cell>
          <cell r="S19" t="str">
            <v>PK</v>
          </cell>
          <cell r="T19" t="str">
            <v>Acme United</v>
          </cell>
          <cell r="U19" t="str">
            <v>RC-613</v>
          </cell>
        </row>
        <row r="19">
          <cell r="X19" t="str">
            <v>Approved for SM</v>
          </cell>
          <cell r="Y19">
            <v>42172002</v>
          </cell>
          <cell r="Z19" t="str">
            <v>Mobile medical services first response kits</v>
          </cell>
          <cell r="AA19" t="str">
            <v>UNSPSC v23.0701</v>
          </cell>
        </row>
        <row r="19">
          <cell r="AC19" t="str">
            <v>42172002  Mobile medical services first response kits</v>
          </cell>
          <cell r="AD19" t="str">
            <v>ACME UNITED</v>
          </cell>
          <cell r="AE19" t="str">
            <v>RC-613</v>
          </cell>
          <cell r="AF19" t="str">
            <v>RC613</v>
          </cell>
        </row>
        <row r="19">
          <cell r="AH19" t="str">
            <v>EMERGENCY</v>
          </cell>
          <cell r="AI19">
            <v>4</v>
          </cell>
          <cell r="AJ19" t="str">
            <v>EMERGENCY PACK, PERSONAL SFTY (10/CS)</v>
          </cell>
        </row>
        <row r="19">
          <cell r="AL19" t="str">
            <v>42172002  Mobile medical services first response kits</v>
          </cell>
        </row>
        <row r="20">
          <cell r="N20">
            <v>117</v>
          </cell>
          <cell r="O20">
            <v>1066501</v>
          </cell>
          <cell r="P20" t="str">
            <v>Emergency Kits</v>
          </cell>
          <cell r="Q20" t="str">
            <v>ACME UNITED CORPPAC-KIT SAFETY EQUIP</v>
          </cell>
          <cell r="R20" t="str">
            <v>Acme United-PK</v>
          </cell>
          <cell r="S20" t="str">
            <v>PK</v>
          </cell>
          <cell r="T20" t="str">
            <v>Acme United</v>
          </cell>
          <cell r="U20" t="str">
            <v>RC-622</v>
          </cell>
        </row>
        <row r="20">
          <cell r="X20" t="str">
            <v>Approved for SM</v>
          </cell>
          <cell r="Y20">
            <v>42172002</v>
          </cell>
          <cell r="Z20" t="str">
            <v>Mobile medical services first response kits</v>
          </cell>
          <cell r="AA20" t="str">
            <v>UNSPSC v23.0701</v>
          </cell>
        </row>
        <row r="20">
          <cell r="AC20" t="str">
            <v>42172002  Mobile medical services first response kits</v>
          </cell>
          <cell r="AD20" t="str">
            <v>ACME UNITED</v>
          </cell>
          <cell r="AE20" t="str">
            <v>RC-622</v>
          </cell>
          <cell r="AF20" t="str">
            <v>RC622</v>
          </cell>
        </row>
        <row r="20">
          <cell r="AH20" t="str">
            <v>EMERGENCY</v>
          </cell>
          <cell r="AI20">
            <v>4</v>
          </cell>
          <cell r="AJ20" t="str">
            <v>EMERGENCY PACK, PERSONAL SFTY (6/CS)</v>
          </cell>
        </row>
        <row r="20">
          <cell r="AL20" t="str">
            <v>42172002  Mobile medical services first response kits</v>
          </cell>
        </row>
        <row r="21">
          <cell r="N21">
            <v>118</v>
          </cell>
          <cell r="O21">
            <v>1065894</v>
          </cell>
          <cell r="P21" t="str">
            <v>Reclosable Bags</v>
          </cell>
          <cell r="Q21" t="str">
            <v>ACTION BAG COMPANY</v>
          </cell>
          <cell r="R21" t="str">
            <v>Action Bag-ACTBAG</v>
          </cell>
          <cell r="S21" t="str">
            <v>ACTBAG</v>
          </cell>
          <cell r="T21" t="str">
            <v>Action Bag</v>
          </cell>
          <cell r="U21" t="str">
            <v>A50802S</v>
          </cell>
        </row>
        <row r="21">
          <cell r="X21" t="str">
            <v>Approved for SM</v>
          </cell>
          <cell r="Y21">
            <v>24111514</v>
          </cell>
          <cell r="Z21" t="str">
            <v>Zipper bag</v>
          </cell>
          <cell r="AA21" t="str">
            <v>UNSPSC v23.0701</v>
          </cell>
        </row>
        <row r="21">
          <cell r="AC21" t="str">
            <v>24111514  Zipper bag</v>
          </cell>
          <cell r="AD21" t="str">
            <v>ACTION BAG CO</v>
          </cell>
          <cell r="AE21" t="str">
            <v>A50802S</v>
          </cell>
          <cell r="AF21" t="str">
            <v>A50802S</v>
          </cell>
        </row>
        <row r="21">
          <cell r="AH21" t="str">
            <v>BAG</v>
          </cell>
          <cell r="AI21">
            <v>46</v>
          </cell>
          <cell r="AJ21" t="str">
            <v>BAG, STAT RE-CLOSABLE RED 2MIL5"X8" (1000/CS)</v>
          </cell>
        </row>
        <row r="21">
          <cell r="AL21" t="str">
            <v>24111514  Zipper bag</v>
          </cell>
        </row>
        <row r="22">
          <cell r="N22">
            <v>119</v>
          </cell>
          <cell r="O22">
            <v>1069976</v>
          </cell>
          <cell r="P22" t="str">
            <v>Cauterizing Units</v>
          </cell>
          <cell r="Q22" t="str">
            <v>ACUDERM INC</v>
          </cell>
          <cell r="R22" t="str">
            <v>Acuderm-ACUDRM</v>
          </cell>
          <cell r="S22" t="str">
            <v>ACUDRM</v>
          </cell>
          <cell r="T22" t="str">
            <v>Acuderm</v>
          </cell>
          <cell r="U22" t="str">
            <v>ACT-LT</v>
          </cell>
        </row>
        <row r="22">
          <cell r="X22" t="str">
            <v>Approved for SM</v>
          </cell>
          <cell r="Y22">
            <v>42295143</v>
          </cell>
          <cell r="Z22" t="str">
            <v>Electrosurgical or electrocautery accessories or attachments</v>
          </cell>
          <cell r="AA22" t="str">
            <v>UNSPSC v23.0701</v>
          </cell>
        </row>
        <row r="22">
          <cell r="AC22" t="str">
            <v>42295143  Electrosurgical or electrocautery accessories or attachments</v>
          </cell>
          <cell r="AD22" t="str">
            <v>ACUDERM</v>
          </cell>
          <cell r="AE22" t="str">
            <v>ACT-LT</v>
          </cell>
          <cell r="AF22" t="str">
            <v>ACTLT</v>
          </cell>
        </row>
        <row r="22">
          <cell r="AH22" t="str">
            <v>TIP</v>
          </cell>
          <cell r="AI22">
            <v>9</v>
          </cell>
          <cell r="AJ22" t="str">
            <v>TIP, CAUTERY ACU-CAUTERY DISP LOOP TIPS &amp; COVERS (10/BX)</v>
          </cell>
        </row>
        <row r="22">
          <cell r="AL22" t="str">
            <v>42295143  Electrosurgical or electrocautery accessories or attachments</v>
          </cell>
        </row>
        <row r="23">
          <cell r="N23">
            <v>132</v>
          </cell>
          <cell r="O23">
            <v>1229815</v>
          </cell>
        </row>
        <row r="23">
          <cell r="Q23" t="str">
            <v>ADVANCED MEDICAL RESOURCES LLC</v>
          </cell>
          <cell r="R23" t="str">
            <v>Advanced Medical Resources LLC-AMRLLC</v>
          </cell>
          <cell r="S23" t="str">
            <v>AMRLLC</v>
          </cell>
          <cell r="T23" t="str">
            <v>Advanced Medical Resources LLC</v>
          </cell>
          <cell r="U23" t="str">
            <v>RCONN</v>
          </cell>
        </row>
        <row r="23">
          <cell r="X23" t="str">
            <v>New Item</v>
          </cell>
        </row>
        <row r="23">
          <cell r="AD23" t="str">
            <v>ADVANCED MEDICAL</v>
          </cell>
          <cell r="AE23" t="str">
            <v>RCONN</v>
          </cell>
          <cell r="AF23" t="str">
            <v>RCONN</v>
          </cell>
        </row>
        <row r="23">
          <cell r="AH23" t="str">
            <v>CONNECTOR</v>
          </cell>
          <cell r="AI23">
            <v>10</v>
          </cell>
          <cell r="AJ23" t="str">
            <v>CONNECTOR, GAS OUTLET</v>
          </cell>
        </row>
        <row r="23">
          <cell r="AL23" t="str">
            <v>42271705  Oxygen delivery connectors or adapters</v>
          </cell>
        </row>
        <row r="24">
          <cell r="N24">
            <v>146</v>
          </cell>
          <cell r="O24">
            <v>1227996</v>
          </cell>
          <cell r="P24" t="str">
            <v>Anesthetics</v>
          </cell>
          <cell r="Q24" t="str">
            <v>AFAXYS INC</v>
          </cell>
          <cell r="R24" t="str">
            <v>Afaxys Pharma LLC-AFAXPA</v>
          </cell>
          <cell r="S24" t="str">
            <v>AFAXPA</v>
          </cell>
          <cell r="T24" t="str">
            <v>Afaxys Pharma LLC</v>
          </cell>
          <cell r="U24">
            <v>50102040010</v>
          </cell>
        </row>
        <row r="24">
          <cell r="X24" t="str">
            <v>Approved for SM</v>
          </cell>
        </row>
        <row r="24">
          <cell r="AD24" t="str">
            <v>AFAXYS</v>
          </cell>
          <cell r="AE24">
            <v>50102040010</v>
          </cell>
          <cell r="AF24" t="str">
            <v>50102040010</v>
          </cell>
        </row>
        <row r="24">
          <cell r="AH24" t="str">
            <v>LIDOCAINE</v>
          </cell>
          <cell r="AI24">
            <v>1</v>
          </cell>
          <cell r="AJ24" t="str">
            <v>LIDOCAINE HCL, MDV 1% 10MG/ML 20ML (10/PK)</v>
          </cell>
        </row>
        <row r="24">
          <cell r="AL24" t="str">
            <v>51271629  Lidocaine hydrochloride</v>
          </cell>
        </row>
        <row r="25">
          <cell r="N25">
            <v>147</v>
          </cell>
          <cell r="O25">
            <v>1229376</v>
          </cell>
        </row>
        <row r="25">
          <cell r="Q25" t="str">
            <v>AG INDUSTRIES</v>
          </cell>
          <cell r="R25" t="str">
            <v>AG Industries-AGINDS</v>
          </cell>
          <cell r="S25" t="str">
            <v>AGINDS</v>
          </cell>
          <cell r="T25" t="str">
            <v>AG Industries</v>
          </cell>
          <cell r="U25" t="str">
            <v>SP-RMS-S</v>
          </cell>
        </row>
        <row r="25">
          <cell r="X25" t="str">
            <v>New Item</v>
          </cell>
        </row>
        <row r="25">
          <cell r="AD25" t="str">
            <v>AG INDUSTRIES</v>
          </cell>
          <cell r="AE25" t="str">
            <v>SP-RMS-S</v>
          </cell>
          <cell r="AF25" t="str">
            <v>SPRMSS</v>
          </cell>
        </row>
        <row r="25">
          <cell r="AH25" t="str">
            <v>SEAL</v>
          </cell>
          <cell r="AI25">
            <v>3</v>
          </cell>
          <cell r="AJ25" t="str">
            <v>SEAL, MASK MIRANI</v>
          </cell>
        </row>
        <row r="25">
          <cell r="AL25" t="str">
            <v>42271909  Artificial airway accessories</v>
          </cell>
        </row>
        <row r="26">
          <cell r="N26">
            <v>149</v>
          </cell>
          <cell r="O26">
            <v>1066769</v>
          </cell>
          <cell r="P26" t="str">
            <v>Cylinders and Cylinder Carts</v>
          </cell>
          <cell r="Q26" t="str">
            <v>AIR SOURCE INDUSTRIES</v>
          </cell>
          <cell r="R26" t="str">
            <v>Air Source Industries-ASORSI</v>
          </cell>
          <cell r="S26" t="str">
            <v>ASORSI</v>
          </cell>
          <cell r="T26" t="str">
            <v>Air Source Industries</v>
          </cell>
          <cell r="U26" t="str">
            <v>OXUSPE</v>
          </cell>
        </row>
        <row r="26">
          <cell r="X26" t="str">
            <v>New Item</v>
          </cell>
          <cell r="Y26">
            <v>42271701</v>
          </cell>
          <cell r="Z26" t="str">
            <v>Medical gas cylinders or related devices</v>
          </cell>
          <cell r="AA26" t="str">
            <v>UNSPSC v23.0701</v>
          </cell>
        </row>
        <row r="26">
          <cell r="AC26" t="str">
            <v>42271701  Medical gas cylinders or related devices</v>
          </cell>
          <cell r="AD26" t="str">
            <v>AIR SOURCE</v>
          </cell>
          <cell r="AE26" t="str">
            <v>OXUSPE</v>
          </cell>
          <cell r="AF26" t="str">
            <v>OXUSPE</v>
          </cell>
        </row>
        <row r="26">
          <cell r="AH26" t="str">
            <v>OXYGEN</v>
          </cell>
          <cell r="AI26">
            <v>2</v>
          </cell>
          <cell r="AJ26" t="str">
            <v>OXYGEN CYL REFILL EXCH E DS</v>
          </cell>
        </row>
        <row r="26">
          <cell r="AL26" t="str">
            <v>42271701  Medical gas cylinders or related devices</v>
          </cell>
        </row>
        <row r="27">
          <cell r="N27">
            <v>151</v>
          </cell>
          <cell r="O27">
            <v>1074435</v>
          </cell>
          <cell r="P27" t="str">
            <v>Hypodermic Needles</v>
          </cell>
          <cell r="Q27" t="str">
            <v>AIR-TITE PRODUCTS COMPANY INC</v>
          </cell>
          <cell r="R27" t="str">
            <v>AirTite Products-AIRTIT</v>
          </cell>
          <cell r="S27" t="str">
            <v>AIRTIT</v>
          </cell>
          <cell r="T27" t="str">
            <v>AirTite Products</v>
          </cell>
          <cell r="U27" t="str">
            <v>TSK3206</v>
          </cell>
        </row>
        <row r="27">
          <cell r="X27" t="str">
            <v>Approved for SM</v>
          </cell>
          <cell r="Y27">
            <v>42142523</v>
          </cell>
          <cell r="Z27" t="str">
            <v>Hypodermic needle</v>
          </cell>
          <cell r="AA27" t="str">
            <v>UNSPSC v23.0701</v>
          </cell>
        </row>
        <row r="27">
          <cell r="AC27" t="str">
            <v>42142523  Hypodermic needle</v>
          </cell>
          <cell r="AD27" t="str">
            <v>AIRTITE</v>
          </cell>
          <cell r="AE27" t="str">
            <v>TSK3206</v>
          </cell>
          <cell r="AF27" t="str">
            <v>TSK3206</v>
          </cell>
        </row>
        <row r="27">
          <cell r="AH27" t="str">
            <v>NEEDLE</v>
          </cell>
          <cell r="AI27">
            <v>39</v>
          </cell>
          <cell r="AJ27" t="str">
            <v>NEEDLE, HYPODERMIC STERIJECT 32GX6MM (100/BX)</v>
          </cell>
        </row>
        <row r="27">
          <cell r="AL27" t="str">
            <v>42142523  Hypodermic needle</v>
          </cell>
        </row>
        <row r="28">
          <cell r="N28">
            <v>152</v>
          </cell>
          <cell r="O28">
            <v>1074556</v>
          </cell>
          <cell r="P28" t="str">
            <v>Bins</v>
          </cell>
          <cell r="Q28" t="str">
            <v>AKRO MILS</v>
          </cell>
          <cell r="R28" t="str">
            <v>Akro-Mils-AKRMIL</v>
          </cell>
          <cell r="S28" t="str">
            <v>AKRMIL</v>
          </cell>
          <cell r="T28" t="str">
            <v>Akro-Mils</v>
          </cell>
          <cell r="U28" t="str">
            <v>35300SCLAR</v>
          </cell>
        </row>
        <row r="28">
          <cell r="X28" t="str">
            <v>Approved for SM</v>
          </cell>
          <cell r="Y28">
            <v>24112003</v>
          </cell>
          <cell r="Z28" t="str">
            <v>Non metallic bins</v>
          </cell>
          <cell r="AA28" t="str">
            <v>UNSPSC v23.0701</v>
          </cell>
        </row>
        <row r="28">
          <cell r="AC28" t="str">
            <v>24112003  Non metallic bins</v>
          </cell>
          <cell r="AD28" t="str">
            <v>AKRO-MILS</v>
          </cell>
          <cell r="AE28" t="str">
            <v>35300SCLAR</v>
          </cell>
          <cell r="AF28" t="str">
            <v>35300SCLAR</v>
          </cell>
        </row>
        <row r="28">
          <cell r="AH28" t="str">
            <v>TOTE</v>
          </cell>
          <cell r="AI28">
            <v>1</v>
          </cell>
          <cell r="AJ28" t="str">
            <v>TOTE, NEST &amp; STACK CLR 29.5"X19.5"X15" (3/CT)</v>
          </cell>
        </row>
        <row r="28">
          <cell r="AL28" t="str">
            <v>24112003  Non metallic bins</v>
          </cell>
        </row>
        <row r="29">
          <cell r="N29">
            <v>221</v>
          </cell>
          <cell r="O29">
            <v>1066213</v>
          </cell>
          <cell r="P29" t="str">
            <v>Drainage and Suction Accessories</v>
          </cell>
          <cell r="Q29" t="str">
            <v>ALLIED HEALTHCARE PRODUCTS</v>
          </cell>
          <cell r="R29" t="str">
            <v>Allied Healthcare-ALHOXG</v>
          </cell>
          <cell r="S29" t="str">
            <v>ALHOXG</v>
          </cell>
          <cell r="T29" t="str">
            <v>Allied Healthcare</v>
          </cell>
          <cell r="U29" t="str">
            <v>S66-0006</v>
          </cell>
        </row>
        <row r="29">
          <cell r="X29" t="str">
            <v>Approved for SM</v>
          </cell>
          <cell r="Y29">
            <v>42295167</v>
          </cell>
          <cell r="Z29" t="str">
            <v>Surgical suction machine or vacuum extractor or ultrasonic Surgical aspirator or regulator accessories</v>
          </cell>
          <cell r="AA29" t="str">
            <v>UNSPSC v23.0701</v>
          </cell>
        </row>
        <row r="29">
          <cell r="AC29" t="str">
            <v>42295167  Surgical suction machine or vacuum extractor or ultrasonic Surgical aspirator or regulator accessories</v>
          </cell>
          <cell r="AD29" t="str">
            <v>ALLIED</v>
          </cell>
          <cell r="AE29" t="str">
            <v>S66-0006</v>
          </cell>
          <cell r="AF29" t="str">
            <v>S660006</v>
          </cell>
        </row>
        <row r="29">
          <cell r="AH29" t="str">
            <v>HANDLE</v>
          </cell>
          <cell r="AI29">
            <v>7</v>
          </cell>
          <cell r="AJ29" t="str">
            <v>HANDLE, ASPIRATOR F/SCHUCO S130A SCTN PUMP</v>
          </cell>
        </row>
        <row r="29">
          <cell r="AL29" t="str">
            <v>42295167  Surgical suction machine or vacuum extractor or ultrasonic Surgical aspirator or regulator accessories</v>
          </cell>
        </row>
        <row r="30">
          <cell r="N30">
            <v>4629</v>
          </cell>
          <cell r="O30">
            <v>1067108</v>
          </cell>
          <cell r="P30" t="str">
            <v>Infusion Pumps</v>
          </cell>
          <cell r="Q30" t="str">
            <v>THE ALTERNATIVE SOURCE MEDICAL LLC</v>
          </cell>
          <cell r="R30" t="str">
            <v>The Alternative Source Medical LLC-ALTSRC</v>
          </cell>
          <cell r="S30" t="str">
            <v>ALTSRC</v>
          </cell>
          <cell r="T30" t="str">
            <v>The Alternative Source Medical LLC</v>
          </cell>
          <cell r="U30" t="str">
            <v>ABTPLM+</v>
          </cell>
        </row>
        <row r="30">
          <cell r="X30" t="str">
            <v>Approved for SM</v>
          </cell>
          <cell r="Y30">
            <v>42222001</v>
          </cell>
          <cell r="Z30" t="str">
            <v>Intravenous infusion pumps for general use</v>
          </cell>
          <cell r="AA30" t="str">
            <v>UNSPSC v23.0701</v>
          </cell>
        </row>
        <row r="30">
          <cell r="AC30" t="str">
            <v>42222001  Intravenous infusion pumps for general use</v>
          </cell>
          <cell r="AD30" t="str">
            <v>ALTERNATIVE SOURCE</v>
          </cell>
          <cell r="AE30" t="str">
            <v>ABTPLM+</v>
          </cell>
          <cell r="AF30" t="str">
            <v>ABTPLM</v>
          </cell>
        </row>
        <row r="30">
          <cell r="AH30" t="str">
            <v>PUMP</v>
          </cell>
          <cell r="AI30">
            <v>16</v>
          </cell>
          <cell r="AJ30" t="str">
            <v>PUMP, INFUSION A+ ABBOTT PLUM REFURB D/S</v>
          </cell>
        </row>
        <row r="30">
          <cell r="AL30" t="str">
            <v>42222001  Intravenous infusion pumps for general use</v>
          </cell>
        </row>
        <row r="31">
          <cell r="N31">
            <v>4630</v>
          </cell>
          <cell r="O31">
            <v>1228870</v>
          </cell>
          <cell r="P31" t="str">
            <v>Infusion Pumps</v>
          </cell>
          <cell r="Q31" t="str">
            <v>THE ALTERNATIVE SOURCE MEDICAL LLC</v>
          </cell>
          <cell r="R31" t="str">
            <v>The Alternative Source Medical LLC-ALTSRC</v>
          </cell>
          <cell r="S31" t="str">
            <v>ALTSRC</v>
          </cell>
          <cell r="T31" t="str">
            <v>The Alternative Source Medical LLC</v>
          </cell>
          <cell r="U31" t="str">
            <v>BB400ES</v>
          </cell>
        </row>
        <row r="31">
          <cell r="X31" t="str">
            <v>Approved for SM</v>
          </cell>
        </row>
        <row r="31">
          <cell r="AD31" t="str">
            <v>ALTERNATIVE SOURCE</v>
          </cell>
          <cell r="AE31" t="str">
            <v>BB400ES</v>
          </cell>
          <cell r="AF31" t="str">
            <v>BB400ES</v>
          </cell>
        </row>
        <row r="31">
          <cell r="AH31" t="str">
            <v>PUMP</v>
          </cell>
          <cell r="AI31">
            <v>16</v>
          </cell>
          <cell r="AJ31" t="str">
            <v>PUMP, INFUSION W/BATTERY/POLE CLAMP &amp; POWER CORD REFURB</v>
          </cell>
        </row>
        <row r="31">
          <cell r="AL31" t="str">
            <v>42222001  Intravenous infusion pumps for general use</v>
          </cell>
        </row>
        <row r="32">
          <cell r="N32">
            <v>4631</v>
          </cell>
          <cell r="O32">
            <v>1073661</v>
          </cell>
          <cell r="P32" t="str">
            <v>Anesthesia Systems</v>
          </cell>
          <cell r="Q32" t="str">
            <v>THE ALTERNATIVE SOURCE MEDICAL LLC</v>
          </cell>
          <cell r="R32" t="str">
            <v>The Alternative Source Medical LLC-ALTSRC</v>
          </cell>
          <cell r="S32" t="str">
            <v>ALTSRC</v>
          </cell>
          <cell r="T32" t="str">
            <v>The Alternative Source Medical LLC</v>
          </cell>
          <cell r="U32" t="str">
            <v>DRAGV2000</v>
          </cell>
        </row>
        <row r="32">
          <cell r="X32" t="str">
            <v>Approved for SM</v>
          </cell>
          <cell r="Y32">
            <v>42271801</v>
          </cell>
          <cell r="Z32" t="str">
            <v>Respiratory humidifiers or vaporizers</v>
          </cell>
          <cell r="AA32" t="str">
            <v>UNSPSC v23.0701</v>
          </cell>
        </row>
        <row r="32">
          <cell r="AC32" t="str">
            <v>42271801  Respiratory humidifiers or vaporizers</v>
          </cell>
          <cell r="AD32" t="str">
            <v>ALTERNATIVE SOURCE</v>
          </cell>
          <cell r="AE32" t="str">
            <v>DRAGV2000</v>
          </cell>
          <cell r="AF32" t="str">
            <v>DRAGV2000</v>
          </cell>
        </row>
        <row r="32">
          <cell r="AH32" t="str">
            <v>VAPORIZER</v>
          </cell>
          <cell r="AI32">
            <v>1</v>
          </cell>
          <cell r="AJ32" t="str">
            <v>VAPORIZER, ANES DRAGER 2000 REFURB</v>
          </cell>
        </row>
        <row r="32">
          <cell r="AL32" t="str">
            <v>42271801  Respiratory humidifiers or vaporizers</v>
          </cell>
        </row>
        <row r="33">
          <cell r="N33">
            <v>4632</v>
          </cell>
          <cell r="O33">
            <v>1228571</v>
          </cell>
          <cell r="P33" t="str">
            <v>Furnishing Accessories</v>
          </cell>
          <cell r="Q33" t="str">
            <v>THE ALTERNATIVE SOURCE MEDICAL LLC</v>
          </cell>
          <cell r="R33" t="str">
            <v>The Alternative Source Medical LLC-ALTSRC</v>
          </cell>
          <cell r="S33" t="str">
            <v>ALTSRC</v>
          </cell>
          <cell r="T33" t="str">
            <v>The Alternative Source Medical LLC</v>
          </cell>
          <cell r="U33" t="str">
            <v>HAGPB1</v>
          </cell>
        </row>
        <row r="33">
          <cell r="X33" t="str">
            <v>Approved for SM</v>
          </cell>
        </row>
        <row r="33">
          <cell r="AD33" t="str">
            <v>ALTERNATIVE SOURCE</v>
          </cell>
          <cell r="AE33" t="str">
            <v>HAGPB1</v>
          </cell>
          <cell r="AF33" t="str">
            <v>HAGPB1</v>
          </cell>
        </row>
        <row r="33">
          <cell r="AH33" t="str">
            <v>BASE</v>
          </cell>
          <cell r="AI33">
            <v>4</v>
          </cell>
          <cell r="AJ33" t="str">
            <v>BASE, TABLE POWER F/SLIT LAMP REFURB</v>
          </cell>
        </row>
        <row r="33">
          <cell r="AL33" t="str">
            <v>42251810  Work table or station accessories for rehabilitation or therapy</v>
          </cell>
        </row>
        <row r="34">
          <cell r="N34">
            <v>4633</v>
          </cell>
          <cell r="O34">
            <v>1228568</v>
          </cell>
          <cell r="P34" t="str">
            <v>Tonometers</v>
          </cell>
          <cell r="Q34" t="str">
            <v>THE ALTERNATIVE SOURCE MEDICAL LLC</v>
          </cell>
          <cell r="R34" t="str">
            <v>The Alternative Source Medical LLC-ALTSRC</v>
          </cell>
          <cell r="S34" t="str">
            <v>ALTSRC</v>
          </cell>
          <cell r="T34" t="str">
            <v>The Alternative Source Medical LLC</v>
          </cell>
          <cell r="U34" t="str">
            <v>HAS870</v>
          </cell>
        </row>
        <row r="34">
          <cell r="X34" t="str">
            <v>Approved for SM</v>
          </cell>
        </row>
        <row r="34">
          <cell r="AD34" t="str">
            <v>ALTERNATIVE SOURCE</v>
          </cell>
          <cell r="AE34" t="str">
            <v>HAS870</v>
          </cell>
          <cell r="AF34" t="str">
            <v>HAS870</v>
          </cell>
        </row>
        <row r="34">
          <cell r="AH34" t="str">
            <v>TONOMETER</v>
          </cell>
          <cell r="AI34">
            <v>1</v>
          </cell>
          <cell r="AJ34" t="str">
            <v>TONOMETER, HAAG STREIT 870 W/MOUNT REFURB</v>
          </cell>
        </row>
        <row r="34">
          <cell r="AL34" t="str">
            <v>42183018  Ophthalmic tonometers</v>
          </cell>
        </row>
        <row r="35">
          <cell r="N35">
            <v>4634</v>
          </cell>
          <cell r="O35">
            <v>1228559</v>
          </cell>
          <cell r="P35" t="str">
            <v>Optometry Examination Instruments</v>
          </cell>
          <cell r="Q35" t="str">
            <v>THE ALTERNATIVE SOURCE MEDICAL LLC</v>
          </cell>
          <cell r="R35" t="str">
            <v>The Alternative Source Medical LLC-ALTSRC</v>
          </cell>
          <cell r="S35" t="str">
            <v>ALTSRC</v>
          </cell>
          <cell r="T35" t="str">
            <v>The Alternative Source Medical LLC</v>
          </cell>
          <cell r="U35" t="str">
            <v>MAG2SL</v>
          </cell>
        </row>
        <row r="35">
          <cell r="X35" t="str">
            <v>Approved for SM</v>
          </cell>
        </row>
        <row r="35">
          <cell r="AD35" t="str">
            <v>ALTERNATIVE SOURCE</v>
          </cell>
          <cell r="AE35" t="str">
            <v>MAG2SL</v>
          </cell>
          <cell r="AF35" t="str">
            <v>MAG2SL</v>
          </cell>
        </row>
        <row r="35">
          <cell r="AH35" t="str">
            <v>LAMP</v>
          </cell>
          <cell r="AI35">
            <v>9</v>
          </cell>
          <cell r="AJ35" t="str">
            <v>LAMP, SLIT MARCO G2 ULTRA W/3-STEP MAG CHANGER OMNI REFURB</v>
          </cell>
        </row>
        <row r="35">
          <cell r="AL35" t="str">
            <v>42183015  Ophthalmic slit lamps</v>
          </cell>
        </row>
        <row r="36">
          <cell r="N36">
            <v>4635</v>
          </cell>
          <cell r="O36">
            <v>1073297</v>
          </cell>
          <cell r="P36" t="str">
            <v>Multi-Function Wall Transformers</v>
          </cell>
          <cell r="Q36" t="str">
            <v>THE ALTERNATIVE SOURCE MEDICAL LLC</v>
          </cell>
          <cell r="R36" t="str">
            <v>The Alternative Source Medical LLC-ALTSRC</v>
          </cell>
          <cell r="S36" t="str">
            <v>ALTSRC</v>
          </cell>
          <cell r="T36" t="str">
            <v>The Alternative Source Medical LLC</v>
          </cell>
          <cell r="U36" t="str">
            <v>WA767BP</v>
          </cell>
        </row>
        <row r="36">
          <cell r="X36" t="str">
            <v>Approved for SM</v>
          </cell>
          <cell r="Y36">
            <v>42182024</v>
          </cell>
          <cell r="Z36" t="str">
            <v>Medical exam scope or specula transformers</v>
          </cell>
          <cell r="AA36" t="str">
            <v>UNSPSC v23.0701</v>
          </cell>
        </row>
        <row r="36">
          <cell r="AC36" t="str">
            <v>42182024  Medical exam scope or specula transformers</v>
          </cell>
          <cell r="AD36" t="str">
            <v>ALTERNATIVE SOURCE</v>
          </cell>
          <cell r="AE36" t="str">
            <v>WA767BP</v>
          </cell>
          <cell r="AF36" t="str">
            <v>WA767BP</v>
          </cell>
        </row>
        <row r="36">
          <cell r="AH36" t="str">
            <v>DIAGNOSTIC</v>
          </cell>
          <cell r="AI36">
            <v>4</v>
          </cell>
          <cell r="AJ36" t="str">
            <v>DIAGNOSTIC SYS, W/WALL TRANSFORMER INTEGRATED REFURB D/S</v>
          </cell>
        </row>
        <row r="36">
          <cell r="AL36" t="str">
            <v>42182024  Medical exam scope or specula transformers</v>
          </cell>
        </row>
        <row r="37">
          <cell r="N37">
            <v>225</v>
          </cell>
          <cell r="O37">
            <v>1067436</v>
          </cell>
          <cell r="P37" t="str">
            <v>Diagnostic Accessories</v>
          </cell>
          <cell r="Q37" t="str">
            <v>AMBCO ELECTRONICS</v>
          </cell>
          <cell r="R37" t="str">
            <v>Ambco Electronics-AMBCO</v>
          </cell>
          <cell r="S37" t="str">
            <v>AMBCO</v>
          </cell>
          <cell r="T37" t="str">
            <v>Ambco Electronics</v>
          </cell>
          <cell r="U37" t="str">
            <v>AB-4240</v>
          </cell>
        </row>
        <row r="37">
          <cell r="X37" t="str">
            <v>Approved for SM</v>
          </cell>
          <cell r="Y37">
            <v>42182426</v>
          </cell>
          <cell r="Z37" t="str">
            <v>Audiometer accessories</v>
          </cell>
          <cell r="AA37" t="str">
            <v>UNSPSC v23.0701</v>
          </cell>
        </row>
        <row r="37">
          <cell r="AC37" t="str">
            <v>42182426  Audiometer accessories</v>
          </cell>
          <cell r="AD37" t="str">
            <v>AMBCO</v>
          </cell>
          <cell r="AE37" t="str">
            <v>AB-4240</v>
          </cell>
          <cell r="AF37" t="str">
            <v>AB4240</v>
          </cell>
        </row>
        <row r="37">
          <cell r="AH37" t="str">
            <v>AUDIOMETRIC</v>
          </cell>
          <cell r="AI37">
            <v>1</v>
          </cell>
          <cell r="AJ37" t="str">
            <v>AUDIOMETRIC BOOTH AB-4240</v>
          </cell>
        </row>
        <row r="37">
          <cell r="AL37" t="str">
            <v>42182426  Audiometer accessories</v>
          </cell>
        </row>
        <row r="38">
          <cell r="N38">
            <v>226</v>
          </cell>
          <cell r="O38">
            <v>1067662</v>
          </cell>
          <cell r="P38" t="str">
            <v>Laryngeal Mask Airways</v>
          </cell>
          <cell r="Q38" t="str">
            <v>AMBU INC</v>
          </cell>
          <cell r="R38" t="str">
            <v>Ambu-AMBU</v>
          </cell>
          <cell r="S38" t="str">
            <v>AMBU</v>
          </cell>
          <cell r="T38" t="str">
            <v>Ambu</v>
          </cell>
          <cell r="U38">
            <v>408250000</v>
          </cell>
        </row>
        <row r="38">
          <cell r="X38" t="str">
            <v>Approved for SM</v>
          </cell>
          <cell r="Y38">
            <v>42272018</v>
          </cell>
          <cell r="Z38" t="str">
            <v>Intubation laryngoscope accessories</v>
          </cell>
          <cell r="AA38" t="str">
            <v>UNSPSC v23.0701</v>
          </cell>
        </row>
        <row r="38">
          <cell r="AC38" t="str">
            <v>42272018  Intubation laryngoscope accessories</v>
          </cell>
          <cell r="AD38" t="str">
            <v>AMBU</v>
          </cell>
          <cell r="AE38">
            <v>408250000</v>
          </cell>
          <cell r="AF38" t="str">
            <v>408250000</v>
          </cell>
        </row>
        <row r="38">
          <cell r="AH38" t="str">
            <v>AURAGAIN</v>
          </cell>
          <cell r="AI38">
            <v>1</v>
          </cell>
          <cell r="AJ38" t="str">
            <v>AURAGAIN DISP LARYN MSK 2.5 (10/CS)</v>
          </cell>
        </row>
        <row r="38">
          <cell r="AL38" t="str">
            <v>42272018  Intubation laryngoscope accessories</v>
          </cell>
        </row>
        <row r="39">
          <cell r="N39">
            <v>227</v>
          </cell>
          <cell r="O39">
            <v>1073519</v>
          </cell>
          <cell r="P39" t="str">
            <v>Infusion Pumps</v>
          </cell>
          <cell r="Q39" t="str">
            <v>AMBU INC</v>
          </cell>
          <cell r="R39" t="str">
            <v>Ambu-AMBU</v>
          </cell>
          <cell r="S39" t="str">
            <v>AMBU</v>
          </cell>
          <cell r="T39" t="str">
            <v>Ambu</v>
          </cell>
          <cell r="U39">
            <v>418102400</v>
          </cell>
        </row>
        <row r="39">
          <cell r="X39" t="str">
            <v>Approved for SM</v>
          </cell>
          <cell r="Y39">
            <v>42222004</v>
          </cell>
          <cell r="Z39" t="str">
            <v>Patient controlled analgesia infusion pumps</v>
          </cell>
          <cell r="AA39" t="str">
            <v>UNSPSC v23.0701</v>
          </cell>
        </row>
        <row r="39">
          <cell r="AC39" t="str">
            <v>42222004  Patient controlled analgesia infusion pumps</v>
          </cell>
          <cell r="AD39" t="str">
            <v>AMBU</v>
          </cell>
          <cell r="AE39">
            <v>418102400</v>
          </cell>
          <cell r="AF39" t="str">
            <v>418102400</v>
          </cell>
        </row>
        <row r="39">
          <cell r="AH39" t="str">
            <v>PUMP</v>
          </cell>
          <cell r="AI39">
            <v>16</v>
          </cell>
          <cell r="AJ39" t="str">
            <v>PUMP, PAIN ACTION FUSER 5-15ML/HR 400ML (4/CS)</v>
          </cell>
        </row>
        <row r="39">
          <cell r="AL39" t="str">
            <v>42222004  Patient controlled analgesia infusion pumps</v>
          </cell>
        </row>
        <row r="40">
          <cell r="N40">
            <v>228</v>
          </cell>
          <cell r="O40">
            <v>1073521</v>
          </cell>
          <cell r="P40" t="str">
            <v>Infusion Pumps</v>
          </cell>
          <cell r="Q40" t="str">
            <v>AMBU INC</v>
          </cell>
          <cell r="R40" t="str">
            <v>Ambu-AMBU</v>
          </cell>
          <cell r="S40" t="str">
            <v>AMBU</v>
          </cell>
          <cell r="T40" t="str">
            <v>Ambu</v>
          </cell>
          <cell r="U40">
            <v>419102650</v>
          </cell>
        </row>
        <row r="40">
          <cell r="X40" t="str">
            <v>Approved for SM</v>
          </cell>
          <cell r="Y40">
            <v>42222004</v>
          </cell>
          <cell r="Z40" t="str">
            <v>Patient controlled analgesia infusion pumps</v>
          </cell>
          <cell r="AA40" t="str">
            <v>UNSPSC v23.0701</v>
          </cell>
        </row>
        <row r="40">
          <cell r="AC40" t="str">
            <v>42222004  Patient controlled analgesia infusion pumps</v>
          </cell>
          <cell r="AD40" t="str">
            <v>AMBU</v>
          </cell>
          <cell r="AE40">
            <v>419102650</v>
          </cell>
          <cell r="AF40" t="str">
            <v>419102650</v>
          </cell>
        </row>
        <row r="40">
          <cell r="AH40" t="str">
            <v>PUMP</v>
          </cell>
          <cell r="AI40">
            <v>16</v>
          </cell>
          <cell r="AJ40" t="str">
            <v>PUMP, INFUSOR ACTION BLOCK 5-15ML/HR 650ML (4/CS)</v>
          </cell>
        </row>
        <row r="40">
          <cell r="AL40" t="str">
            <v>42222004  Patient controlled analgesia infusion pumps</v>
          </cell>
        </row>
        <row r="41">
          <cell r="N41">
            <v>231</v>
          </cell>
          <cell r="O41">
            <v>1067666</v>
          </cell>
          <cell r="P41" t="str">
            <v>Resuscitators</v>
          </cell>
          <cell r="Q41" t="str">
            <v>AMBU INC</v>
          </cell>
          <cell r="R41" t="str">
            <v>Ambu-AMBU</v>
          </cell>
          <cell r="S41" t="str">
            <v>AMBU</v>
          </cell>
          <cell r="T41" t="str">
            <v>Ambu</v>
          </cell>
          <cell r="U41">
            <v>530213030</v>
          </cell>
        </row>
        <row r="41">
          <cell r="X41" t="str">
            <v>Approved for SM</v>
          </cell>
          <cell r="Y41">
            <v>42272309</v>
          </cell>
          <cell r="Z41" t="str">
            <v>Resuscitator component accessories</v>
          </cell>
          <cell r="AA41" t="str">
            <v>UNSPSC v23.0701</v>
          </cell>
        </row>
        <row r="41">
          <cell r="AC41" t="str">
            <v>42272309  Resuscitator component accessories</v>
          </cell>
          <cell r="AD41" t="str">
            <v>AMBU</v>
          </cell>
          <cell r="AE41">
            <v>530213030</v>
          </cell>
          <cell r="AF41" t="str">
            <v>530213030</v>
          </cell>
        </row>
        <row r="41">
          <cell r="AH41" t="str">
            <v>SPUR</v>
          </cell>
          <cell r="AI41">
            <v>1</v>
          </cell>
          <cell r="AJ41" t="str">
            <v>SPUR II CHILD RESC W/MANOMETER(12/CS)</v>
          </cell>
        </row>
        <row r="41">
          <cell r="AL41" t="str">
            <v>42272309  Resuscitator component accessories</v>
          </cell>
        </row>
        <row r="42">
          <cell r="N42">
            <v>233</v>
          </cell>
          <cell r="O42">
            <v>1065874</v>
          </cell>
          <cell r="P42" t="str">
            <v>Circuits</v>
          </cell>
          <cell r="Q42" t="str">
            <v>AMBU INC</v>
          </cell>
          <cell r="R42" t="str">
            <v>Ambu-AMBU</v>
          </cell>
          <cell r="S42" t="str">
            <v>AMBU</v>
          </cell>
          <cell r="T42" t="str">
            <v>Ambu</v>
          </cell>
          <cell r="U42" t="str">
            <v>VU080-61</v>
          </cell>
        </row>
        <row r="42">
          <cell r="X42" t="str">
            <v>Approved for SM</v>
          </cell>
          <cell r="Y42">
            <v>42272209</v>
          </cell>
          <cell r="Z42" t="str">
            <v>Ventilator circuits</v>
          </cell>
          <cell r="AA42" t="str">
            <v>UNSPSC v23.0701</v>
          </cell>
        </row>
        <row r="42">
          <cell r="AC42" t="str">
            <v>42272209  Ventilator circuits</v>
          </cell>
          <cell r="AD42" t="str">
            <v>AMBU</v>
          </cell>
          <cell r="AE42" t="str">
            <v>VU080-61</v>
          </cell>
          <cell r="AF42" t="str">
            <v>VU08061</v>
          </cell>
        </row>
        <row r="42">
          <cell r="AH42" t="str">
            <v>CIRCUIT</v>
          </cell>
          <cell r="AI42">
            <v>6</v>
          </cell>
          <cell r="AJ42" t="str">
            <v>CIRCUIT, VENTILATOR UNIV (25/CS)</v>
          </cell>
        </row>
        <row r="42">
          <cell r="AL42" t="str">
            <v>42272209  Ventilator circuits</v>
          </cell>
        </row>
        <row r="43">
          <cell r="N43">
            <v>234</v>
          </cell>
          <cell r="O43">
            <v>1064761</v>
          </cell>
          <cell r="P43" t="str">
            <v>Diagnostic Accessories</v>
          </cell>
          <cell r="Q43" t="str">
            <v>AMD TECHNOLOGIES INC</v>
          </cell>
          <cell r="R43" t="str">
            <v>AMD Technologies-AMDTCH</v>
          </cell>
          <cell r="S43" t="str">
            <v>AMDTCH</v>
          </cell>
          <cell r="T43" t="str">
            <v>AMD Technologies</v>
          </cell>
          <cell r="U43">
            <v>20613</v>
          </cell>
        </row>
        <row r="43">
          <cell r="X43" t="str">
            <v>Approved for SM</v>
          </cell>
          <cell r="Y43">
            <v>42204000</v>
          </cell>
          <cell r="Z43" t="str">
            <v>Medical radiological shielding and protection products</v>
          </cell>
          <cell r="AA43" t="str">
            <v>UNSPSC v23.0701</v>
          </cell>
        </row>
        <row r="43">
          <cell r="AC43" t="str">
            <v>42204000  Medical radiological shielding and protection products</v>
          </cell>
          <cell r="AD43" t="str">
            <v>AMD</v>
          </cell>
          <cell r="AE43">
            <v>20613</v>
          </cell>
          <cell r="AF43" t="str">
            <v>20613</v>
          </cell>
        </row>
        <row r="43">
          <cell r="AH43" t="str">
            <v>SHEETING</v>
          </cell>
          <cell r="AI43">
            <v>1</v>
          </cell>
          <cell r="AJ43" t="str">
            <v>SHEETING, LEAD VNYL 1.0MM 7"X17"</v>
          </cell>
        </row>
        <row r="43">
          <cell r="AL43" t="str">
            <v>42204000  Medical radiological shielding and protection products</v>
          </cell>
        </row>
        <row r="44">
          <cell r="N44">
            <v>235</v>
          </cell>
          <cell r="O44">
            <v>1073615</v>
          </cell>
          <cell r="P44" t="str">
            <v>Breast Pumps and Kits</v>
          </cell>
          <cell r="Q44" t="str">
            <v>AMEDA INC</v>
          </cell>
          <cell r="R44" t="str">
            <v>Ameda Inc-AMEDAI</v>
          </cell>
          <cell r="S44" t="str">
            <v>AMEDAI</v>
          </cell>
          <cell r="T44" t="str">
            <v>Ameda Inc</v>
          </cell>
          <cell r="U44" t="str">
            <v>17064M</v>
          </cell>
        </row>
        <row r="44">
          <cell r="X44" t="str">
            <v>Approved for SM</v>
          </cell>
          <cell r="Y44">
            <v>42231901</v>
          </cell>
          <cell r="Z44" t="str">
            <v>Breast pumps</v>
          </cell>
          <cell r="AA44" t="str">
            <v>UNSPSC v23.0701</v>
          </cell>
        </row>
        <row r="44">
          <cell r="AC44" t="str">
            <v>42231901  Breast pumps</v>
          </cell>
          <cell r="AD44" t="str">
            <v>AMEDA</v>
          </cell>
          <cell r="AE44" t="str">
            <v>17064M</v>
          </cell>
          <cell r="AF44" t="str">
            <v>17064M</v>
          </cell>
        </row>
        <row r="44">
          <cell r="AH44" t="str">
            <v>BREAST</v>
          </cell>
          <cell r="AI44">
            <v>2</v>
          </cell>
          <cell r="AJ44" t="str">
            <v>BREAST PUMP, MANUAL ONE HND</v>
          </cell>
        </row>
        <row r="44">
          <cell r="AL44" t="str">
            <v>42231901  Breast pumps</v>
          </cell>
        </row>
        <row r="45">
          <cell r="N45">
            <v>260</v>
          </cell>
          <cell r="O45">
            <v>1228302</v>
          </cell>
          <cell r="P45" t="str">
            <v>Otoscopes</v>
          </cell>
          <cell r="Q45" t="str">
            <v>AMERICAN DIAGNOSTIC CORP</v>
          </cell>
          <cell r="R45" t="str">
            <v>American Diagnostic Corp-AMDIAG</v>
          </cell>
          <cell r="S45" t="str">
            <v>AMDIAG</v>
          </cell>
          <cell r="T45" t="str">
            <v>American Diagnostic Corp</v>
          </cell>
          <cell r="U45" t="str">
            <v>5611L-37</v>
          </cell>
        </row>
        <row r="45">
          <cell r="X45" t="str">
            <v>Approved for SM</v>
          </cell>
        </row>
        <row r="45">
          <cell r="AD45" t="str">
            <v>AMER DIAGNOSTIC</v>
          </cell>
          <cell r="AE45" t="str">
            <v>5611L-37</v>
          </cell>
          <cell r="AF45" t="str">
            <v>5611L37</v>
          </cell>
        </row>
        <row r="45">
          <cell r="AH45" t="str">
            <v>ADSTATION</v>
          </cell>
          <cell r="AI45">
            <v>1</v>
          </cell>
          <cell r="AJ45" t="str">
            <v>ADSTATION, OTOSCOPE LED W/SPEC/750W</v>
          </cell>
        </row>
        <row r="45">
          <cell r="AL45" t="str">
            <v>42295534  Otologic implants</v>
          </cell>
        </row>
        <row r="46">
          <cell r="N46">
            <v>261</v>
          </cell>
          <cell r="O46">
            <v>1067594</v>
          </cell>
          <cell r="P46" t="str">
            <v>Binaural Stethoscopes</v>
          </cell>
          <cell r="Q46" t="str">
            <v>AMERICAN DIAGNOSTIC CORP</v>
          </cell>
          <cell r="R46" t="str">
            <v>American Diagnostic Corp-AMDIAG</v>
          </cell>
          <cell r="S46" t="str">
            <v>AMDIAG</v>
          </cell>
          <cell r="T46" t="str">
            <v>American Diagnostic Corp</v>
          </cell>
          <cell r="U46" t="str">
            <v>606BD</v>
          </cell>
        </row>
        <row r="46">
          <cell r="X46" t="str">
            <v>Approved for SM</v>
          </cell>
          <cell r="Y46">
            <v>42182103</v>
          </cell>
          <cell r="Z46" t="str">
            <v>Medical acoustic stethoscopes</v>
          </cell>
          <cell r="AA46" t="str">
            <v>UNSPSC v23.0701</v>
          </cell>
        </row>
        <row r="46">
          <cell r="AC46" t="str">
            <v>42182103  Medical acoustic stethoscopes</v>
          </cell>
          <cell r="AD46" t="str">
            <v>AMER DIAGNOSTIC</v>
          </cell>
          <cell r="AE46" t="str">
            <v>606BD</v>
          </cell>
          <cell r="AF46" t="str">
            <v>606BD</v>
          </cell>
        </row>
        <row r="46">
          <cell r="AH46" t="str">
            <v>STETHOSCOPE</v>
          </cell>
          <cell r="AI46">
            <v>1</v>
          </cell>
          <cell r="AJ46" t="str">
            <v>STETHOSCOPE, CARDIOLOGY ULTRA-</v>
          </cell>
        </row>
        <row r="46">
          <cell r="AL46" t="str">
            <v>42182103  Medical acoustic stethoscopes</v>
          </cell>
        </row>
        <row r="47">
          <cell r="N47">
            <v>267</v>
          </cell>
          <cell r="O47">
            <v>1067620</v>
          </cell>
          <cell r="P47" t="str">
            <v>Cuff and Stethoscope Sets</v>
          </cell>
          <cell r="Q47" t="str">
            <v>AMERICAN DIAGNOSTIC CORP</v>
          </cell>
          <cell r="R47" t="str">
            <v>American Diagnostic Corp-AMDIAG</v>
          </cell>
          <cell r="S47" t="str">
            <v>AMDIAG</v>
          </cell>
          <cell r="T47" t="str">
            <v>American Diagnostic Corp</v>
          </cell>
          <cell r="U47" t="str">
            <v>768-641-11ABCA</v>
          </cell>
        </row>
        <row r="47">
          <cell r="X47" t="str">
            <v>Approved for SM</v>
          </cell>
          <cell r="Y47">
            <v>42181601</v>
          </cell>
          <cell r="Z47" t="str">
            <v>Aneroid blood pressure units</v>
          </cell>
          <cell r="AA47" t="str">
            <v>UNSPSC v23.0701</v>
          </cell>
        </row>
        <row r="47">
          <cell r="AC47" t="str">
            <v>42181601  Aneroid blood pressure units</v>
          </cell>
          <cell r="AD47" t="str">
            <v>AMER DIAGNOSTIC</v>
          </cell>
          <cell r="AE47" t="str">
            <v>768-641-11ABCA</v>
          </cell>
          <cell r="AF47" t="str">
            <v>76864111ABCA</v>
          </cell>
        </row>
        <row r="47">
          <cell r="AH47" t="str">
            <v>ANEROID/SPRAGUE</v>
          </cell>
          <cell r="AI47">
            <v>1</v>
          </cell>
          <cell r="AJ47" t="str">
            <v>ANEROID/SPRAGUE KIT, POCKET PR</v>
          </cell>
        </row>
        <row r="47">
          <cell r="AL47" t="str">
            <v>42181601  Aneroid blood pressure units</v>
          </cell>
        </row>
        <row r="48">
          <cell r="N48">
            <v>275</v>
          </cell>
          <cell r="O48">
            <v>1067637</v>
          </cell>
          <cell r="P48" t="str">
            <v>Blood Pressure Cuffs</v>
          </cell>
          <cell r="Q48" t="str">
            <v>AMERICAN DIAGNOSTIC CORP</v>
          </cell>
          <cell r="R48" t="str">
            <v>American Diagnostic Corp-AMDIAG</v>
          </cell>
          <cell r="S48" t="str">
            <v>AMDIAG</v>
          </cell>
          <cell r="T48" t="str">
            <v>American Diagnostic Corp</v>
          </cell>
          <cell r="U48" t="str">
            <v>845-10SAN-1</v>
          </cell>
        </row>
        <row r="48">
          <cell r="X48" t="str">
            <v>Approved for SM</v>
          </cell>
          <cell r="Y48">
            <v>42181605</v>
          </cell>
          <cell r="Z48" t="str">
            <v>Blood pressure cuffs or bladders</v>
          </cell>
          <cell r="AA48" t="str">
            <v>UNSPSC v23.0701</v>
          </cell>
        </row>
        <row r="48">
          <cell r="AC48" t="str">
            <v>42181605  Blood pressure cuffs or bladders</v>
          </cell>
          <cell r="AD48" t="str">
            <v>AMER DIAGNOSTIC</v>
          </cell>
          <cell r="AE48" t="str">
            <v>845-10SAN-1</v>
          </cell>
          <cell r="AF48" t="str">
            <v>84510SAN1</v>
          </cell>
        </row>
        <row r="48">
          <cell r="AH48" t="str">
            <v>ADCUFF</v>
          </cell>
          <cell r="AI48">
            <v>1</v>
          </cell>
          <cell r="AJ48" t="str">
            <v>ADCUFF &amp; BLDR SM ADT 1TB NAVY</v>
          </cell>
        </row>
        <row r="48">
          <cell r="AL48" t="str">
            <v>42181605  Blood pressure cuffs or bladders</v>
          </cell>
        </row>
        <row r="49">
          <cell r="N49">
            <v>277</v>
          </cell>
          <cell r="O49">
            <v>1067647</v>
          </cell>
          <cell r="P49" t="str">
            <v>Diagnostic Accessories</v>
          </cell>
          <cell r="Q49" t="str">
            <v>AMERICAN DIAGNOSTIC CORP</v>
          </cell>
          <cell r="R49" t="str">
            <v>American Diagnostic Corp-AMDIAG</v>
          </cell>
          <cell r="S49" t="str">
            <v>AMDIAG</v>
          </cell>
          <cell r="T49" t="str">
            <v>American Diagnostic Corp</v>
          </cell>
          <cell r="U49" t="str">
            <v>9005BAT</v>
          </cell>
        </row>
        <row r="49">
          <cell r="X49" t="str">
            <v>Approved for SM</v>
          </cell>
          <cell r="Y49">
            <v>42181601</v>
          </cell>
          <cell r="Z49" t="str">
            <v>Aneroid blood pressure units</v>
          </cell>
          <cell r="AA49" t="str">
            <v>UNSPSC v23.0701</v>
          </cell>
        </row>
        <row r="49">
          <cell r="AC49" t="str">
            <v>42181601  Aneroid blood pressure units</v>
          </cell>
          <cell r="AD49" t="str">
            <v>AMER DIAGNOSTIC</v>
          </cell>
          <cell r="AE49" t="str">
            <v>9005BAT</v>
          </cell>
          <cell r="AF49" t="str">
            <v>9005BAT</v>
          </cell>
        </row>
        <row r="49">
          <cell r="AH49" t="str">
            <v>BATTERY</v>
          </cell>
          <cell r="AI49">
            <v>15</v>
          </cell>
          <cell r="AJ49" t="str">
            <v>BATTERY, RECHARGEABLE LITHIUM-ION ADVIEW2</v>
          </cell>
        </row>
        <row r="49">
          <cell r="AL49" t="str">
            <v>42181601  Aneroid blood pressure units</v>
          </cell>
        </row>
        <row r="50">
          <cell r="N50">
            <v>278</v>
          </cell>
          <cell r="O50">
            <v>1067649</v>
          </cell>
          <cell r="P50" t="str">
            <v>Diagnostic Accessories</v>
          </cell>
          <cell r="Q50" t="str">
            <v>AMERICAN DIAGNOSTIC CORP</v>
          </cell>
          <cell r="R50" t="str">
            <v>American Diagnostic Corp-AMDIAG</v>
          </cell>
          <cell r="S50" t="str">
            <v>AMDIAG</v>
          </cell>
          <cell r="T50" t="str">
            <v>American Diagnostic Corp</v>
          </cell>
          <cell r="U50" t="str">
            <v>9005DON</v>
          </cell>
        </row>
        <row r="50">
          <cell r="X50" t="str">
            <v>Approved for SM</v>
          </cell>
          <cell r="Y50">
            <v>42181608</v>
          </cell>
          <cell r="Z50" t="str">
            <v>Blood pressure measuring instruments accessories</v>
          </cell>
          <cell r="AA50" t="str">
            <v>UNSPSC v23.0701</v>
          </cell>
        </row>
        <row r="50">
          <cell r="AC50" t="str">
            <v>42181608  Blood pressure measuring instruments accessories</v>
          </cell>
          <cell r="AD50" t="str">
            <v>AMER DIAGNOSTIC</v>
          </cell>
          <cell r="AE50" t="str">
            <v>9005DON</v>
          </cell>
          <cell r="AF50" t="str">
            <v>9005DON</v>
          </cell>
        </row>
        <row r="50">
          <cell r="AH50" t="str">
            <v>ADVIEW2</v>
          </cell>
          <cell r="AI50">
            <v>1</v>
          </cell>
          <cell r="AJ50" t="str">
            <v>ADVIEW2 WI-FI DONGLE DS</v>
          </cell>
        </row>
        <row r="50">
          <cell r="AL50" t="str">
            <v>42181608  Blood pressure measuring instruments accessories</v>
          </cell>
        </row>
        <row r="51">
          <cell r="N51">
            <v>279</v>
          </cell>
          <cell r="O51">
            <v>1066613</v>
          </cell>
          <cell r="P51" t="str">
            <v>Diagnostic Accessories</v>
          </cell>
          <cell r="Q51" t="str">
            <v>AMERICAN DIAGNOSTIC CORP</v>
          </cell>
          <cell r="R51" t="str">
            <v>American Diagnostic Corp-AMDIAG</v>
          </cell>
          <cell r="S51" t="str">
            <v>AMDIAG</v>
          </cell>
          <cell r="T51" t="str">
            <v>American Diagnostic Corp</v>
          </cell>
          <cell r="U51" t="str">
            <v>9005PC</v>
          </cell>
        </row>
        <row r="51">
          <cell r="X51" t="str">
            <v>Approved for SM</v>
          </cell>
          <cell r="Y51">
            <v>42181608</v>
          </cell>
          <cell r="Z51" t="str">
            <v>Blood pressure measuring instruments accessories</v>
          </cell>
          <cell r="AA51" t="str">
            <v>UNSPSC v23.0701</v>
          </cell>
        </row>
        <row r="51">
          <cell r="AC51" t="str">
            <v>42181608  Blood pressure measuring instruments accessories</v>
          </cell>
          <cell r="AD51" t="str">
            <v>AMER DIAGNOSTIC</v>
          </cell>
          <cell r="AE51" t="str">
            <v>9005PC</v>
          </cell>
          <cell r="AF51" t="str">
            <v>9005PC</v>
          </cell>
        </row>
        <row r="51">
          <cell r="AH51" t="str">
            <v>CORD</v>
          </cell>
          <cell r="AI51">
            <v>6</v>
          </cell>
          <cell r="AJ51" t="str">
            <v>CORD, POWER USA ADVIEW2 120 VAC (1/EA)</v>
          </cell>
        </row>
        <row r="51">
          <cell r="AL51" t="str">
            <v>42181608  Blood pressure measuring instruments accessories</v>
          </cell>
        </row>
        <row r="52">
          <cell r="N52">
            <v>331</v>
          </cell>
          <cell r="O52">
            <v>1229101</v>
          </cell>
          <cell r="P52" t="str">
            <v>Breast Pumps and Kits</v>
          </cell>
          <cell r="Q52" t="str">
            <v>ARDO MEDICAL INC</v>
          </cell>
          <cell r="R52" t="str">
            <v>Ardo Medical Inc-ARDOMD</v>
          </cell>
          <cell r="S52" t="str">
            <v>ARDOMD</v>
          </cell>
          <cell r="T52" t="str">
            <v>Ardo Medical Inc</v>
          </cell>
          <cell r="U52" t="str">
            <v>63.00.511</v>
          </cell>
        </row>
        <row r="52">
          <cell r="X52" t="str">
            <v>Approved for SM</v>
          </cell>
        </row>
        <row r="52">
          <cell r="AD52" t="str">
            <v>ARDO</v>
          </cell>
          <cell r="AE52" t="str">
            <v>63.00.511</v>
          </cell>
          <cell r="AF52" t="str">
            <v>6300511</v>
          </cell>
        </row>
        <row r="52">
          <cell r="AH52" t="str">
            <v>PUMP</v>
          </cell>
          <cell r="AI52">
            <v>16</v>
          </cell>
          <cell r="AJ52" t="str">
            <v>PUMP, BREAST ELEC DBL PLUS ARDO ALYSSA HOSPITAL STRENGTH</v>
          </cell>
        </row>
        <row r="52">
          <cell r="AL52" t="str">
            <v>42231905  Breast pump accessories or accessory kits</v>
          </cell>
        </row>
        <row r="53">
          <cell r="N53">
            <v>332</v>
          </cell>
          <cell r="O53">
            <v>1229102</v>
          </cell>
          <cell r="P53" t="str">
            <v>Breast Pumps and Kits</v>
          </cell>
          <cell r="Q53" t="str">
            <v>ARDO MEDICAL INC</v>
          </cell>
          <cell r="R53" t="str">
            <v>Ardo Medical Inc-ARDOMD</v>
          </cell>
          <cell r="S53" t="str">
            <v>ARDOMD</v>
          </cell>
          <cell r="T53" t="str">
            <v>Ardo Medical Inc</v>
          </cell>
          <cell r="U53" t="str">
            <v>63.00.524</v>
          </cell>
        </row>
        <row r="53">
          <cell r="X53" t="str">
            <v>Approved for SM</v>
          </cell>
        </row>
        <row r="53">
          <cell r="AD53" t="str">
            <v>ARDO</v>
          </cell>
          <cell r="AE53" t="str">
            <v>63.00.524</v>
          </cell>
          <cell r="AF53" t="str">
            <v>6300524</v>
          </cell>
        </row>
        <row r="53">
          <cell r="AH53" t="str">
            <v>PUMP</v>
          </cell>
          <cell r="AI53">
            <v>16</v>
          </cell>
          <cell r="AJ53" t="str">
            <v>PUMP, BREAST ELEC DBL MULTI-USER BELLIS HOSPITAL GRADE</v>
          </cell>
        </row>
        <row r="53">
          <cell r="AL53" t="str">
            <v>42231905  Breast pump accessories or accessory kits</v>
          </cell>
        </row>
        <row r="54">
          <cell r="N54">
            <v>335</v>
          </cell>
          <cell r="O54">
            <v>1069653</v>
          </cell>
          <cell r="P54" t="str">
            <v>Copy and Printer Paper</v>
          </cell>
          <cell r="Q54" t="str">
            <v>ARJO INC</v>
          </cell>
          <cell r="R54" t="str">
            <v>Arjo Inc-ARJOIN</v>
          </cell>
          <cell r="S54" t="str">
            <v>ARJOIN</v>
          </cell>
          <cell r="T54" t="str">
            <v>Arjo Inc</v>
          </cell>
          <cell r="U54" t="str">
            <v>ACC14</v>
          </cell>
        </row>
        <row r="54">
          <cell r="X54" t="str">
            <v>Approved for SM</v>
          </cell>
          <cell r="Y54">
            <v>14111507</v>
          </cell>
          <cell r="Z54" t="str">
            <v>Printer or copier paper</v>
          </cell>
          <cell r="AA54" t="str">
            <v>UNSPSC v23.0701</v>
          </cell>
        </row>
        <row r="54">
          <cell r="AC54" t="str">
            <v>14111507  Printer or copier paper</v>
          </cell>
          <cell r="AD54" t="str">
            <v>ARJO INC</v>
          </cell>
          <cell r="AE54" t="str">
            <v>ACC14</v>
          </cell>
          <cell r="AF54" t="str">
            <v>ACC14</v>
          </cell>
        </row>
        <row r="54">
          <cell r="AH54" t="str">
            <v>PAPER</v>
          </cell>
          <cell r="AI54">
            <v>16</v>
          </cell>
          <cell r="AJ54" t="str">
            <v>PAPER, PRINTER DOPPLER NO GRID(1/RL 2RL/PK)</v>
          </cell>
        </row>
        <row r="54">
          <cell r="AL54" t="str">
            <v>14111507  Printer or copier paper</v>
          </cell>
        </row>
        <row r="55">
          <cell r="N55">
            <v>337</v>
          </cell>
          <cell r="O55">
            <v>1227858</v>
          </cell>
          <cell r="P55" t="str">
            <v>Furnishing Accessories</v>
          </cell>
          <cell r="Q55" t="str">
            <v>ARMEDICA MFG CORP</v>
          </cell>
          <cell r="R55" t="str">
            <v>Armedica Mfg Corporation-ARA</v>
          </cell>
          <cell r="S55" t="str">
            <v>ARA</v>
          </cell>
          <cell r="T55" t="str">
            <v>Armedica Mfg Corporation</v>
          </cell>
          <cell r="U55" t="str">
            <v>19061-OW</v>
          </cell>
        </row>
        <row r="55">
          <cell r="X55" t="str">
            <v>Approved for SM</v>
          </cell>
        </row>
        <row r="55">
          <cell r="AD55" t="str">
            <v>ARMEDICA</v>
          </cell>
          <cell r="AE55" t="str">
            <v>19061-OW</v>
          </cell>
          <cell r="AF55" t="str">
            <v>19061OW</v>
          </cell>
        </row>
        <row r="55">
          <cell r="AH55" t="str">
            <v>KIT</v>
          </cell>
          <cell r="AI55">
            <v>22</v>
          </cell>
          <cell r="AJ55" t="str">
            <v>KIT, LIFT F/AMSX60 W/CLEARANCE6"</v>
          </cell>
        </row>
        <row r="55">
          <cell r="AL55" t="str">
            <v>42192001  Medical exam or procedure tables for general use</v>
          </cell>
        </row>
        <row r="56">
          <cell r="N56">
            <v>405</v>
          </cell>
          <cell r="O56">
            <v>1228415</v>
          </cell>
          <cell r="P56" t="str">
            <v>Respiratory Accessories</v>
          </cell>
          <cell r="Q56" t="str">
            <v>ATOS MEDICAL INC</v>
          </cell>
          <cell r="R56" t="str">
            <v>Atos Medical-ATOSMD</v>
          </cell>
          <cell r="S56" t="str">
            <v>ATOSMD</v>
          </cell>
          <cell r="T56" t="str">
            <v>Atos Medical</v>
          </cell>
          <cell r="U56" t="str">
            <v>7246-A7503</v>
          </cell>
        </row>
        <row r="56">
          <cell r="X56" t="str">
            <v>Approved for SM</v>
          </cell>
        </row>
        <row r="56">
          <cell r="AD56" t="str">
            <v>ATOS</v>
          </cell>
          <cell r="AE56" t="str">
            <v>7246-A7503</v>
          </cell>
          <cell r="AF56" t="str">
            <v>7246A7503</v>
          </cell>
        </row>
        <row r="56">
          <cell r="AH56" t="str">
            <v>ADAPTOR</v>
          </cell>
          <cell r="AI56">
            <v>2</v>
          </cell>
          <cell r="AJ56" t="str">
            <v>ADAPTOR, CASSETTE PROVOX PULMONARY TRACH</v>
          </cell>
        </row>
        <row r="56">
          <cell r="AL56" t="str">
            <v>42295534  Otologic implants</v>
          </cell>
        </row>
        <row r="57">
          <cell r="N57">
            <v>3198</v>
          </cell>
          <cell r="O57">
            <v>1069878</v>
          </cell>
          <cell r="P57" t="str">
            <v>Diagnostic Recording Paper and Film</v>
          </cell>
          <cell r="Q57" t="str">
            <v>MICRO AUDIOMETRICS CORP</v>
          </cell>
          <cell r="R57" t="str">
            <v>Micro Audiometrics-MICAUD</v>
          </cell>
          <cell r="S57" t="str">
            <v>MICAUD</v>
          </cell>
          <cell r="T57" t="str">
            <v>Micro Audiometrics</v>
          </cell>
          <cell r="U57">
            <v>90.07</v>
          </cell>
        </row>
        <row r="57">
          <cell r="X57" t="str">
            <v>Approved for SM</v>
          </cell>
          <cell r="Y57">
            <v>42182426</v>
          </cell>
          <cell r="Z57" t="str">
            <v>Audiometer accessories</v>
          </cell>
          <cell r="AA57" t="str">
            <v>UNSPSC v23.0701</v>
          </cell>
        </row>
        <row r="57">
          <cell r="AC57" t="str">
            <v>42182426  Audiometer accessories</v>
          </cell>
          <cell r="AD57" t="str">
            <v>AUDIOMETRICS</v>
          </cell>
          <cell r="AE57">
            <v>90.07</v>
          </cell>
          <cell r="AF57" t="str">
            <v>9007</v>
          </cell>
        </row>
        <row r="57">
          <cell r="AH57" t="str">
            <v>PAPER</v>
          </cell>
          <cell r="AI57">
            <v>16</v>
          </cell>
          <cell r="AJ57" t="str">
            <v>PAPER, AUDIOMETER SEIKO 4 3/8"</v>
          </cell>
        </row>
        <row r="57">
          <cell r="AL57" t="str">
            <v>42182426  Audiometer accessories</v>
          </cell>
        </row>
        <row r="58">
          <cell r="N58">
            <v>3199</v>
          </cell>
          <cell r="O58">
            <v>1069879</v>
          </cell>
          <cell r="P58" t="str">
            <v>Diagnostic Accessories</v>
          </cell>
          <cell r="Q58" t="str">
            <v>MICRO AUDIOMETRICS CORP</v>
          </cell>
          <cell r="R58" t="str">
            <v>Micro Audiometrics-MICAUD</v>
          </cell>
          <cell r="S58" t="str">
            <v>MICAUD</v>
          </cell>
          <cell r="T58" t="str">
            <v>Micro Audiometrics</v>
          </cell>
          <cell r="U58">
            <v>90.35</v>
          </cell>
        </row>
        <row r="58">
          <cell r="X58" t="str">
            <v>Approved for SM</v>
          </cell>
          <cell r="Y58">
            <v>42182426</v>
          </cell>
          <cell r="Z58" t="str">
            <v>Audiometer accessories</v>
          </cell>
          <cell r="AA58" t="str">
            <v>UNSPSC v23.0701</v>
          </cell>
        </row>
        <row r="58">
          <cell r="AC58" t="str">
            <v>42182426  Audiometer accessories</v>
          </cell>
          <cell r="AD58" t="str">
            <v>AUDIOMETRICS</v>
          </cell>
          <cell r="AE58">
            <v>90.35</v>
          </cell>
          <cell r="AF58" t="str">
            <v>9035</v>
          </cell>
        </row>
        <row r="58">
          <cell r="AH58" t="str">
            <v>PATCH</v>
          </cell>
          <cell r="AI58">
            <v>1</v>
          </cell>
          <cell r="AJ58" t="str">
            <v>PATCH CORD SET, AUDIOMETER (2/2/PK</v>
          </cell>
        </row>
        <row r="58">
          <cell r="AL58" t="str">
            <v>42182426  Audiometer accessories</v>
          </cell>
        </row>
        <row r="59">
          <cell r="N59">
            <v>408</v>
          </cell>
          <cell r="O59">
            <v>1074958</v>
          </cell>
          <cell r="P59" t="str">
            <v>custom items 1</v>
          </cell>
          <cell r="Q59" t="str">
            <v>AUSTIN MEDICAL INC</v>
          </cell>
          <cell r="R59" t="str">
            <v>Austin Medical Inc-AUSMSP</v>
          </cell>
          <cell r="S59" t="str">
            <v>AUSMSP</v>
          </cell>
          <cell r="T59" t="str">
            <v>Austin Medical Inc</v>
          </cell>
          <cell r="U59" t="str">
            <v>AU-10-089S</v>
          </cell>
        </row>
        <row r="59">
          <cell r="X59" t="str">
            <v>Approved for SM</v>
          </cell>
          <cell r="Y59">
            <v>42295414</v>
          </cell>
          <cell r="Z59" t="str">
            <v>Surgical specialty procedure packs</v>
          </cell>
          <cell r="AA59" t="str">
            <v>UNSPSC v23.0701</v>
          </cell>
        </row>
        <row r="59">
          <cell r="AC59" t="str">
            <v>42295414  Surgical specialty procedure packs</v>
          </cell>
          <cell r="AD59" t="str">
            <v>AUSTIN</v>
          </cell>
          <cell r="AE59" t="str">
            <v>AU-10-089S</v>
          </cell>
          <cell r="AF59" t="str">
            <v>AU10089S</v>
          </cell>
        </row>
        <row r="59">
          <cell r="AH59" t="str">
            <v>CPT</v>
          </cell>
          <cell r="AI59">
            <v>4</v>
          </cell>
          <cell r="AJ59" t="str">
            <v>CPT, STR ASPIRATION TUBING (25/CS)</v>
          </cell>
        </row>
        <row r="59">
          <cell r="AL59" t="str">
            <v>42295414  Surgical specialty procedure packs</v>
          </cell>
        </row>
        <row r="60">
          <cell r="N60">
            <v>409</v>
          </cell>
          <cell r="O60">
            <v>1229159</v>
          </cell>
          <cell r="P60" t="str">
            <v>Ambulatory Accessories</v>
          </cell>
          <cell r="Q60" t="str">
            <v>AUXO MEDICAL LLC</v>
          </cell>
          <cell r="R60" t="str">
            <v>Auxo Medical-AUXOMD</v>
          </cell>
          <cell r="S60" t="str">
            <v>AUXOMD</v>
          </cell>
          <cell r="T60" t="str">
            <v>Auxo Medical</v>
          </cell>
          <cell r="U60">
            <v>75112</v>
          </cell>
        </row>
        <row r="60">
          <cell r="X60" t="str">
            <v>Approved for SM</v>
          </cell>
        </row>
        <row r="60">
          <cell r="AD60" t="str">
            <v>AUXO</v>
          </cell>
          <cell r="AE60">
            <v>75112</v>
          </cell>
          <cell r="AF60" t="str">
            <v>075112</v>
          </cell>
        </row>
        <row r="60">
          <cell r="AH60" t="str">
            <v>PAD</v>
          </cell>
          <cell r="AI60">
            <v>39</v>
          </cell>
          <cell r="AJ60" t="str">
            <v>PAD, REPLCMNT F/STRETCHER 5E8</v>
          </cell>
        </row>
        <row r="60">
          <cell r="AL60" t="str">
            <v>42192221  Patient stretcher accessories</v>
          </cell>
        </row>
        <row r="61">
          <cell r="N61">
            <v>411</v>
          </cell>
          <cell r="O61">
            <v>1069039</v>
          </cell>
          <cell r="P61" t="str">
            <v>Ambulatory Accessories</v>
          </cell>
          <cell r="Q61" t="str">
            <v>AUXO MEDICAL LLC</v>
          </cell>
          <cell r="R61" t="str">
            <v>Auxo Medical-AUXOMD</v>
          </cell>
          <cell r="S61" t="str">
            <v>AUXOMD</v>
          </cell>
          <cell r="T61" t="str">
            <v>Auxo Medical</v>
          </cell>
          <cell r="U61" t="str">
            <v>AM-62914</v>
          </cell>
        </row>
        <row r="61">
          <cell r="X61" t="str">
            <v>Approved for SM</v>
          </cell>
          <cell r="Y61">
            <v>42192701</v>
          </cell>
          <cell r="Z61" t="str">
            <v>Obstetrics or gynecology exam table accessories</v>
          </cell>
          <cell r="AA61" t="str">
            <v>UNSPSC v23.0701</v>
          </cell>
        </row>
        <row r="61">
          <cell r="AC61" t="str">
            <v>42192701  Obstetrics or gynecology exam table accessories</v>
          </cell>
          <cell r="AD61" t="str">
            <v>AUXO</v>
          </cell>
          <cell r="AE61" t="str">
            <v>AM-62914</v>
          </cell>
          <cell r="AF61" t="str">
            <v>AM62914</v>
          </cell>
        </row>
        <row r="61">
          <cell r="AH61" t="str">
            <v>ASSEMBLY</v>
          </cell>
          <cell r="AI61">
            <v>7</v>
          </cell>
          <cell r="AJ61" t="str">
            <v>ASSEMBLY, CALF SUPPORTF/OB/GYNSTRETCHER HILL-ROM P8050</v>
          </cell>
        </row>
        <row r="61">
          <cell r="AL61" t="str">
            <v>42192701  Obstetrics or gynecology exam table accessories</v>
          </cell>
        </row>
        <row r="62">
          <cell r="N62">
            <v>412</v>
          </cell>
          <cell r="O62">
            <v>1067404</v>
          </cell>
          <cell r="P62" t="str">
            <v>Diagnostic Accessories</v>
          </cell>
          <cell r="Q62" t="str">
            <v>AUXO MEDICAL LLC</v>
          </cell>
          <cell r="R62" t="str">
            <v>Auxo Medical-AUXOMD</v>
          </cell>
          <cell r="S62" t="str">
            <v>AUXOMD</v>
          </cell>
          <cell r="T62" t="str">
            <v>Auxo Medical</v>
          </cell>
          <cell r="U62" t="str">
            <v>AM-COMPASS-R</v>
          </cell>
        </row>
        <row r="62">
          <cell r="X62" t="str">
            <v>Approved for SM</v>
          </cell>
          <cell r="Y62">
            <v>42181904</v>
          </cell>
          <cell r="Z62" t="str">
            <v>Multiparameter vital sign units</v>
          </cell>
          <cell r="AA62" t="str">
            <v>UNSPSC v23.0701</v>
          </cell>
        </row>
        <row r="62">
          <cell r="AC62" t="str">
            <v>42181904  Multiparameter vital sign units</v>
          </cell>
          <cell r="AD62" t="str">
            <v>AUXO</v>
          </cell>
          <cell r="AE62" t="str">
            <v>AM-COMPASS-R</v>
          </cell>
          <cell r="AF62" t="str">
            <v>AMCOMPASSR</v>
          </cell>
        </row>
        <row r="62">
          <cell r="AH62" t="str">
            <v>EKG</v>
          </cell>
          <cell r="AI62">
            <v>1</v>
          </cell>
          <cell r="AJ62" t="str">
            <v>EKG, 3LEAD NIBP CUFF ADLT/FINGER PULSE OX REFURB</v>
          </cell>
        </row>
        <row r="62">
          <cell r="AL62" t="str">
            <v>42181904  Multiparameter vital sign units</v>
          </cell>
        </row>
        <row r="63">
          <cell r="N63">
            <v>413</v>
          </cell>
          <cell r="O63">
            <v>789143</v>
          </cell>
          <cell r="P63" t="str">
            <v>Furnishing Accessories</v>
          </cell>
          <cell r="Q63" t="str">
            <v>AUXO MEDICAL LLC</v>
          </cell>
          <cell r="R63" t="str">
            <v>Auxo Medical-AUXOMD</v>
          </cell>
          <cell r="S63" t="str">
            <v>AUXOMD</v>
          </cell>
          <cell r="T63" t="str">
            <v>Auxo Medical</v>
          </cell>
          <cell r="U63" t="str">
            <v>AM-CPOSIRADWIL5319</v>
          </cell>
        </row>
        <row r="63">
          <cell r="X63" t="str">
            <v>Approved for SM</v>
          </cell>
        </row>
        <row r="63">
          <cell r="AD63" t="str">
            <v>AUXO</v>
          </cell>
          <cell r="AE63" t="str">
            <v>AM-CPOSIRADWIL5319</v>
          </cell>
          <cell r="AF63" t="str">
            <v>AMCPOSIRADWIL5319</v>
          </cell>
        </row>
        <row r="63">
          <cell r="AH63" t="str">
            <v>FRAME</v>
          </cell>
          <cell r="AI63">
            <v>4</v>
          </cell>
          <cell r="AJ63" t="str">
            <v>FRAME, SURG TBL WILSON OSI 5319 REFURB</v>
          </cell>
        </row>
        <row r="63">
          <cell r="AL63" t="str">
            <v>42295156  Operating room patient positioning device accessories for general use</v>
          </cell>
        </row>
        <row r="64">
          <cell r="N64">
            <v>414</v>
          </cell>
          <cell r="O64">
            <v>1067144</v>
          </cell>
          <cell r="P64" t="str">
            <v>Combination Vital Signs Monitors</v>
          </cell>
          <cell r="Q64" t="str">
            <v>AUXO MEDICAL LLC</v>
          </cell>
          <cell r="R64" t="str">
            <v>Auxo Medical-AUXOMD</v>
          </cell>
          <cell r="S64" t="str">
            <v>AUXOMD</v>
          </cell>
          <cell r="T64" t="str">
            <v>Auxo Medical</v>
          </cell>
          <cell r="U64" t="str">
            <v>AM-DP400V2</v>
          </cell>
        </row>
        <row r="64">
          <cell r="X64" t="str">
            <v>Approved for SM</v>
          </cell>
          <cell r="Y64">
            <v>42181904</v>
          </cell>
          <cell r="Z64" t="str">
            <v>Multiparameter vital sign units</v>
          </cell>
          <cell r="AA64" t="str">
            <v>UNSPSC v23.0701</v>
          </cell>
        </row>
        <row r="64">
          <cell r="AC64" t="str">
            <v>42181904  Multiparameter vital sign units</v>
          </cell>
          <cell r="AD64" t="str">
            <v>AUXO</v>
          </cell>
          <cell r="AE64" t="str">
            <v>AM-DP400V2</v>
          </cell>
          <cell r="AF64" t="str">
            <v>AMDP400V2</v>
          </cell>
        </row>
        <row r="64">
          <cell r="AH64" t="str">
            <v>MONITOR</v>
          </cell>
          <cell r="AI64">
            <v>26</v>
          </cell>
          <cell r="AJ64" t="str">
            <v>MONITOR, VITAL SIGNS DINAMAP PREFURB</v>
          </cell>
        </row>
        <row r="64">
          <cell r="AL64" t="str">
            <v>42181904  Multiparameter vital sign units</v>
          </cell>
        </row>
        <row r="65">
          <cell r="N65">
            <v>417</v>
          </cell>
          <cell r="O65">
            <v>1074292</v>
          </cell>
          <cell r="P65" t="str">
            <v>Medical Procedure Lighting</v>
          </cell>
          <cell r="Q65" t="str">
            <v>AUXO MEDICAL LLC</v>
          </cell>
          <cell r="R65" t="str">
            <v>Auxo Medical-AUXOMD</v>
          </cell>
          <cell r="S65" t="str">
            <v>AUXOMD</v>
          </cell>
          <cell r="T65" t="str">
            <v>Auxo Medical</v>
          </cell>
          <cell r="U65" t="str">
            <v>AM-L9000</v>
          </cell>
        </row>
        <row r="65">
          <cell r="X65" t="str">
            <v>Approved for SM</v>
          </cell>
          <cell r="Y65">
            <v>42294972</v>
          </cell>
          <cell r="Z65" t="str">
            <v>Endoscopic or surgical light sources</v>
          </cell>
          <cell r="AA65" t="str">
            <v>UNSPSC v23.0701</v>
          </cell>
        </row>
        <row r="65">
          <cell r="AC65" t="str">
            <v>42294972  Endoscopic or surgical light sources</v>
          </cell>
          <cell r="AD65" t="str">
            <v>AUXO</v>
          </cell>
          <cell r="AE65" t="str">
            <v>AM-L9000</v>
          </cell>
          <cell r="AF65" t="str">
            <v>AML9000</v>
          </cell>
        </row>
        <row r="65">
          <cell r="AH65" t="str">
            <v>LIGHT</v>
          </cell>
          <cell r="AI65">
            <v>1</v>
          </cell>
          <cell r="AJ65" t="str">
            <v>LIGHT, OR LED STRYKER L9000 9000 REFURB</v>
          </cell>
        </row>
        <row r="65">
          <cell r="AL65" t="str">
            <v>42294972  Endoscopic or surgical light sources</v>
          </cell>
        </row>
        <row r="66">
          <cell r="N66">
            <v>418</v>
          </cell>
          <cell r="O66">
            <v>1068295</v>
          </cell>
          <cell r="P66" t="str">
            <v>Diagnostic Accessories</v>
          </cell>
          <cell r="Q66" t="str">
            <v>AUXO MEDICAL LLC</v>
          </cell>
          <cell r="R66" t="str">
            <v>Auxo Medical-AUXOMD</v>
          </cell>
          <cell r="S66" t="str">
            <v>AUXOMD</v>
          </cell>
          <cell r="T66" t="str">
            <v>Auxo Medical</v>
          </cell>
          <cell r="U66" t="str">
            <v>AM-M3516A</v>
          </cell>
        </row>
        <row r="66">
          <cell r="X66" t="str">
            <v>Approved for SM</v>
          </cell>
          <cell r="Y66">
            <v>42172105</v>
          </cell>
          <cell r="Z66" t="str">
            <v>Mobile medical service automated external defibrillator AED accessories</v>
          </cell>
          <cell r="AA66" t="str">
            <v>UNSPSC v23.0701</v>
          </cell>
        </row>
        <row r="66">
          <cell r="AC66" t="str">
            <v>42172105  Mobile medical service automated external defibrillator AED accessories</v>
          </cell>
          <cell r="AD66" t="str">
            <v>AUXO</v>
          </cell>
          <cell r="AE66" t="str">
            <v>AM-M3516A</v>
          </cell>
          <cell r="AF66" t="str">
            <v>AMM3516A</v>
          </cell>
        </row>
        <row r="66">
          <cell r="AH66" t="str">
            <v>BATTERY</v>
          </cell>
          <cell r="AI66">
            <v>15</v>
          </cell>
          <cell r="AJ66" t="str">
            <v>BATTERY, HEARTSTART DEFIB PHILLIPS</v>
          </cell>
        </row>
        <row r="66">
          <cell r="AL66" t="str">
            <v>42172105  Mobile medical service automated external defibrillator AED accessories</v>
          </cell>
        </row>
        <row r="67">
          <cell r="N67">
            <v>419</v>
          </cell>
          <cell r="O67">
            <v>1228420</v>
          </cell>
          <cell r="P67" t="str">
            <v>Furnishing Accessories</v>
          </cell>
          <cell r="Q67" t="str">
            <v>AUXO MEDICAL LLC</v>
          </cell>
          <cell r="R67" t="str">
            <v>Auxo Medical-AUXOMD</v>
          </cell>
          <cell r="S67" t="str">
            <v>AUXOMD</v>
          </cell>
          <cell r="T67" t="str">
            <v>Auxo Medical</v>
          </cell>
          <cell r="U67" t="str">
            <v>AM-M625-UP</v>
          </cell>
        </row>
        <row r="67">
          <cell r="X67" t="str">
            <v>Approved for SM</v>
          </cell>
        </row>
        <row r="67">
          <cell r="AD67" t="str">
            <v>AUXO</v>
          </cell>
          <cell r="AE67" t="str">
            <v>AM-M625-UP</v>
          </cell>
          <cell r="AF67" t="str">
            <v>AMM625UP</v>
          </cell>
        </row>
        <row r="67">
          <cell r="AH67" t="str">
            <v>UPHOLSTERY</v>
          </cell>
          <cell r="AI67">
            <v>12</v>
          </cell>
          <cell r="AJ67" t="str">
            <v>UPHOLSTERY, F/MIDMARK 625 EXAMTABLE REFURBISHED</v>
          </cell>
        </row>
        <row r="67">
          <cell r="AL67" t="str">
            <v>42192002  Medical exam or procedure table accessories for general use excluding cover sheets</v>
          </cell>
        </row>
        <row r="68">
          <cell r="N68">
            <v>420</v>
          </cell>
          <cell r="O68">
            <v>1073356</v>
          </cell>
          <cell r="P68" t="str">
            <v>IV Therapy Accessories</v>
          </cell>
          <cell r="Q68" t="str">
            <v>AUXO MEDICAL LLC</v>
          </cell>
          <cell r="R68" t="str">
            <v>Auxo Medical-AUXOMD</v>
          </cell>
          <cell r="S68" t="str">
            <v>AUXOMD</v>
          </cell>
          <cell r="T68" t="str">
            <v>Auxo Medical</v>
          </cell>
          <cell r="U68" t="str">
            <v>AM-PR-4000</v>
          </cell>
        </row>
        <row r="68">
          <cell r="X68" t="str">
            <v>Approved for SM</v>
          </cell>
          <cell r="Y68">
            <v>42221803</v>
          </cell>
          <cell r="Z68" t="str">
            <v>Intravenous or arterial catheter positioning tapes or dressings or straps or cuffs</v>
          </cell>
          <cell r="AA68" t="str">
            <v>UNSPSC v23.0701</v>
          </cell>
        </row>
        <row r="68">
          <cell r="AC68" t="str">
            <v>42221803  Intravenous or arterial catheter positioning tapes or dressings or straps or cuffs</v>
          </cell>
          <cell r="AD68" t="str">
            <v>AUXO</v>
          </cell>
          <cell r="AE68" t="str">
            <v>AM-PR-4000</v>
          </cell>
          <cell r="AF68" t="str">
            <v>AMPR4000</v>
          </cell>
        </row>
        <row r="68">
          <cell r="AH68" t="str">
            <v>STRAP</v>
          </cell>
          <cell r="AI68">
            <v>7</v>
          </cell>
          <cell r="AJ68" t="str">
            <v>STRAP, ARMBOARD ALERO DLX SAFETY W/DBL VELCRO CLOSURES</v>
          </cell>
        </row>
        <row r="68">
          <cell r="AL68" t="str">
            <v>42221803  Intravenous or arterial catheter positioning tapes or dressings or straps or cuffs</v>
          </cell>
        </row>
        <row r="69">
          <cell r="N69">
            <v>421</v>
          </cell>
          <cell r="O69">
            <v>1066233</v>
          </cell>
          <cell r="P69" t="str">
            <v>Combination Vital Signs Monitors</v>
          </cell>
          <cell r="Q69" t="str">
            <v>AUXO MEDICAL LLC</v>
          </cell>
          <cell r="R69" t="str">
            <v>Auxo Medical-AUXOMD</v>
          </cell>
          <cell r="S69" t="str">
            <v>AUXOMD</v>
          </cell>
          <cell r="T69" t="str">
            <v>Auxo Medical</v>
          </cell>
          <cell r="U69" t="str">
            <v>AM-PROPAQ246-CO2</v>
          </cell>
        </row>
        <row r="69">
          <cell r="X69" t="str">
            <v>Approved for SM</v>
          </cell>
          <cell r="Y69">
            <v>42181904</v>
          </cell>
          <cell r="Z69" t="str">
            <v>Multiparameter vital sign units</v>
          </cell>
          <cell r="AA69" t="str">
            <v>UNSPSC v23.0701</v>
          </cell>
        </row>
        <row r="69">
          <cell r="AC69" t="str">
            <v>42181904  Multiparameter vital sign units</v>
          </cell>
          <cell r="AD69" t="str">
            <v>AUXO</v>
          </cell>
          <cell r="AE69" t="str">
            <v>AM-PROPAQ246-CO2</v>
          </cell>
          <cell r="AF69" t="str">
            <v>AMPROPAQ246CO2</v>
          </cell>
        </row>
        <row r="69">
          <cell r="AH69" t="str">
            <v>MONITOR</v>
          </cell>
          <cell r="AI69">
            <v>26</v>
          </cell>
          <cell r="AJ69" t="str">
            <v>MONITOR, PATIENT VITAL SIGNS WELCH ALLYN W/ETCO2 REFURB</v>
          </cell>
        </row>
        <row r="69">
          <cell r="AL69" t="str">
            <v>42181904  Multiparameter vital sign units</v>
          </cell>
        </row>
        <row r="70">
          <cell r="N70">
            <v>427</v>
          </cell>
          <cell r="O70">
            <v>1229344</v>
          </cell>
          <cell r="P70" t="str">
            <v>Mattresses</v>
          </cell>
          <cell r="Q70" t="str">
            <v>AUXO MEDICAL LLC</v>
          </cell>
          <cell r="R70" t="str">
            <v>Auxo Medical-AUXOMD</v>
          </cell>
          <cell r="S70" t="str">
            <v>AUXOMD</v>
          </cell>
          <cell r="T70" t="str">
            <v>Auxo Medical</v>
          </cell>
          <cell r="U70" t="str">
            <v>AM-SP-5250</v>
          </cell>
        </row>
        <row r="70">
          <cell r="X70" t="str">
            <v>Approved for SM</v>
          </cell>
        </row>
        <row r="70">
          <cell r="AD70" t="str">
            <v>AUXO</v>
          </cell>
          <cell r="AE70" t="str">
            <v>AM-SP-5250</v>
          </cell>
          <cell r="AF70" t="str">
            <v>AMSP5250</v>
          </cell>
        </row>
        <row r="70">
          <cell r="AH70" t="str">
            <v>PAD</v>
          </cell>
          <cell r="AI70">
            <v>39</v>
          </cell>
          <cell r="AJ70" t="str">
            <v>PAD SET, STD F/STRETCHER 800 UNI-CARE 4"</v>
          </cell>
        </row>
        <row r="70">
          <cell r="AL70" t="str">
            <v>42192221  Patient stretcher accessories</v>
          </cell>
        </row>
        <row r="71">
          <cell r="N71">
            <v>2330</v>
          </cell>
          <cell r="O71">
            <v>1075180</v>
          </cell>
          <cell r="P71" t="str">
            <v>Dispensers</v>
          </cell>
          <cell r="Q71" t="str">
            <v>KIMBERLY CLARK PROFESSIONAL &amp; CONSUMER</v>
          </cell>
          <cell r="R71" t="str">
            <v>Kimberly Clark-KCPDSP</v>
          </cell>
          <cell r="S71" t="str">
            <v>KCPDSP</v>
          </cell>
          <cell r="T71" t="str">
            <v>Kimberly Clark</v>
          </cell>
          <cell r="U71">
            <v>47071</v>
          </cell>
        </row>
        <row r="71">
          <cell r="X71" t="str">
            <v>Approved for SM</v>
          </cell>
          <cell r="Y71">
            <v>47131701</v>
          </cell>
          <cell r="Z71" t="str">
            <v>Paper towel dispensers</v>
          </cell>
          <cell r="AA71" t="str">
            <v>UNSPSC v23.0701</v>
          </cell>
        </row>
        <row r="71">
          <cell r="AC71" t="str">
            <v>47131701  Paper towel dispensers</v>
          </cell>
          <cell r="AD71" t="str">
            <v>AVANOS</v>
          </cell>
          <cell r="AE71">
            <v>47071</v>
          </cell>
          <cell r="AF71" t="str">
            <v>47071</v>
          </cell>
        </row>
        <row r="71">
          <cell r="AH71" t="str">
            <v>DISPENSER</v>
          </cell>
          <cell r="AI71">
            <v>14</v>
          </cell>
          <cell r="AJ71" t="str">
            <v>DISPENSER, TOWEL MANUAL SLIMROLL WHT (1/CS) PINK CORE</v>
          </cell>
        </row>
        <row r="71">
          <cell r="AL71" t="str">
            <v>47131701  Paper towel dispensers</v>
          </cell>
        </row>
        <row r="72">
          <cell r="N72">
            <v>2331</v>
          </cell>
          <cell r="O72">
            <v>1075181</v>
          </cell>
          <cell r="P72" t="str">
            <v>Dispensers</v>
          </cell>
          <cell r="Q72" t="str">
            <v>KIMBERLY CLARK PROFESSIONAL &amp; CONSUMER</v>
          </cell>
          <cell r="R72" t="str">
            <v>Kimberly Clark-KCPDSP</v>
          </cell>
          <cell r="S72" t="str">
            <v>KCPDSP</v>
          </cell>
          <cell r="T72" t="str">
            <v>Kimberly Clark</v>
          </cell>
          <cell r="U72">
            <v>47089</v>
          </cell>
        </row>
        <row r="72">
          <cell r="X72" t="str">
            <v>Approved for SM</v>
          </cell>
          <cell r="Y72">
            <v>47131701</v>
          </cell>
          <cell r="Z72" t="str">
            <v>Paper towel dispensers</v>
          </cell>
          <cell r="AA72" t="str">
            <v>UNSPSC v23.0701</v>
          </cell>
        </row>
        <row r="72">
          <cell r="AC72" t="str">
            <v>47131701  Paper towel dispensers</v>
          </cell>
          <cell r="AD72" t="str">
            <v>AVANOS</v>
          </cell>
          <cell r="AE72">
            <v>47089</v>
          </cell>
          <cell r="AF72" t="str">
            <v>47089</v>
          </cell>
        </row>
        <row r="72">
          <cell r="AH72" t="str">
            <v>DISPENSER</v>
          </cell>
          <cell r="AI72">
            <v>14</v>
          </cell>
          <cell r="AJ72" t="str">
            <v>DISPENSER, TOWEL MANUAL SLIMROLL BLK (1/CS) PINK CORE</v>
          </cell>
        </row>
        <row r="72">
          <cell r="AL72" t="str">
            <v>47131701  Paper towel dispensers</v>
          </cell>
        </row>
        <row r="73">
          <cell r="N73">
            <v>436</v>
          </cell>
          <cell r="O73">
            <v>1228211</v>
          </cell>
          <cell r="P73" t="str">
            <v>Gastrostomy Tubes</v>
          </cell>
          <cell r="Q73" t="str">
            <v>AVANOS MEDICAL SALES LLC</v>
          </cell>
          <cell r="R73" t="str">
            <v>Avanos Medical Sales LLC-AVANOS</v>
          </cell>
          <cell r="S73" t="str">
            <v>AVANOS</v>
          </cell>
          <cell r="T73" t="str">
            <v>Avanos Medical Sales LLC</v>
          </cell>
          <cell r="U73" t="str">
            <v>8160-20</v>
          </cell>
        </row>
        <row r="73">
          <cell r="X73" t="str">
            <v>Approved for SM</v>
          </cell>
        </row>
        <row r="73">
          <cell r="AD73" t="str">
            <v>AVANOS</v>
          </cell>
          <cell r="AE73" t="str">
            <v>8160-20</v>
          </cell>
          <cell r="AF73" t="str">
            <v>816020</v>
          </cell>
        </row>
        <row r="73">
          <cell r="AH73" t="str">
            <v>PEG</v>
          </cell>
          <cell r="AI73">
            <v>1</v>
          </cell>
          <cell r="AJ73" t="str">
            <v>PEG KIT, ENDOSCOPIC GASTRO W/ENFIT CONN PULL 20FR (2/CS)</v>
          </cell>
        </row>
        <row r="73">
          <cell r="AL73" t="str">
            <v>42231600  Gastrostomy and jejunostomy access devices or accessories</v>
          </cell>
        </row>
        <row r="74">
          <cell r="N74">
            <v>434</v>
          </cell>
          <cell r="O74">
            <v>1066074</v>
          </cell>
          <cell r="P74" t="str">
            <v>Nerve Block Trays</v>
          </cell>
          <cell r="Q74" t="str">
            <v>AVANOS MEDICAL SALES LLC</v>
          </cell>
          <cell r="R74" t="str">
            <v>Avanos Medical Sales LLC-AVANOS</v>
          </cell>
          <cell r="S74" t="str">
            <v>AVANOS</v>
          </cell>
          <cell r="T74" t="str">
            <v>Avanos Medical Sales LLC</v>
          </cell>
          <cell r="U74" t="str">
            <v>181A403</v>
          </cell>
        </row>
        <row r="74">
          <cell r="X74" t="str">
            <v>Approved for SM</v>
          </cell>
          <cell r="Y74">
            <v>42142535</v>
          </cell>
          <cell r="Z74" t="str">
            <v>Anesthesia nerve block kit or tray</v>
          </cell>
          <cell r="AA74" t="str">
            <v>UNSPSC v23.0701</v>
          </cell>
        </row>
        <row r="74">
          <cell r="AC74" t="str">
            <v>42142535  Anesthesia nerve block kit or tray</v>
          </cell>
          <cell r="AD74" t="str">
            <v>AVANOS</v>
          </cell>
          <cell r="AE74" t="str">
            <v>181A403</v>
          </cell>
          <cell r="AF74" t="str">
            <v>181A403</v>
          </cell>
        </row>
        <row r="74">
          <cell r="AH74" t="str">
            <v>BLOCK</v>
          </cell>
          <cell r="AI74">
            <v>4</v>
          </cell>
          <cell r="AJ74" t="str">
            <v>BLOCK TRAY, NERVE UNIVERSAL (20/CS)</v>
          </cell>
        </row>
        <row r="74">
          <cell r="AL74" t="str">
            <v>42142535  Anesthesia nerve block kit or tray</v>
          </cell>
        </row>
        <row r="75">
          <cell r="N75">
            <v>435</v>
          </cell>
          <cell r="O75">
            <v>1228892</v>
          </cell>
          <cell r="P75" t="str">
            <v>Laceration and Minor Procedure Trays</v>
          </cell>
          <cell r="Q75" t="str">
            <v>AVANOS MEDICAL SALES LLC</v>
          </cell>
          <cell r="R75" t="str">
            <v>Avanos Medical Sales LLC-AVANOS</v>
          </cell>
          <cell r="S75" t="str">
            <v>AVANOS</v>
          </cell>
          <cell r="T75" t="str">
            <v>Avanos Medical Sales LLC</v>
          </cell>
          <cell r="U75" t="str">
            <v>181A486</v>
          </cell>
        </row>
        <row r="75">
          <cell r="X75" t="str">
            <v>Approved for SM</v>
          </cell>
        </row>
        <row r="75">
          <cell r="AD75" t="str">
            <v>AVANOS</v>
          </cell>
          <cell r="AE75" t="str">
            <v>181A486</v>
          </cell>
          <cell r="AF75" t="str">
            <v>181A486</v>
          </cell>
        </row>
        <row r="75">
          <cell r="AH75" t="str">
            <v>CUSTOM</v>
          </cell>
          <cell r="AI75">
            <v>3</v>
          </cell>
          <cell r="AJ75" t="str">
            <v>CUSTOM PACK, UNIVERSAL PROCEDURE TRAY (20/CS)</v>
          </cell>
        </row>
        <row r="75">
          <cell r="AL75" t="str">
            <v>42295480  Surgical customizable packs</v>
          </cell>
        </row>
        <row r="76">
          <cell r="N76">
            <v>437</v>
          </cell>
          <cell r="O76">
            <v>1073481</v>
          </cell>
          <cell r="P76" t="str">
            <v>Infusion Pumps</v>
          </cell>
          <cell r="Q76" t="str">
            <v>AVANOS MEDICAL SALES LLC</v>
          </cell>
          <cell r="R76" t="str">
            <v>Avanos Medical Sales LLC-AVANOS</v>
          </cell>
          <cell r="S76" t="str">
            <v>AVANOS</v>
          </cell>
          <cell r="T76" t="str">
            <v>Avanos Medical Sales LLC</v>
          </cell>
          <cell r="U76" t="str">
            <v>C270100</v>
          </cell>
        </row>
        <row r="76">
          <cell r="X76" t="str">
            <v>Approved for SM</v>
          </cell>
          <cell r="Y76">
            <v>42222001</v>
          </cell>
          <cell r="Z76" t="str">
            <v>Intravenous infusion pumps for general use</v>
          </cell>
          <cell r="AA76" t="str">
            <v>UNSPSC v23.0701</v>
          </cell>
        </row>
        <row r="76">
          <cell r="AC76" t="str">
            <v>42222001  Intravenous infusion pumps for general use</v>
          </cell>
          <cell r="AD76" t="str">
            <v>AVANOS</v>
          </cell>
          <cell r="AE76" t="str">
            <v>C270100</v>
          </cell>
          <cell r="AF76" t="str">
            <v>C270100</v>
          </cell>
        </row>
        <row r="76">
          <cell r="AH76" t="str">
            <v>PUMP</v>
          </cell>
          <cell r="AI76">
            <v>16</v>
          </cell>
          <cell r="AJ76" t="str">
            <v>PUMP, INFUSION HOME C-SERIES 270ML 10ML/HR (6/BX 4BX/CS)</v>
          </cell>
        </row>
        <row r="76">
          <cell r="AL76" t="str">
            <v>42222001  Intravenous infusion pumps for general use</v>
          </cell>
        </row>
        <row r="77">
          <cell r="N77">
            <v>438</v>
          </cell>
          <cell r="O77">
            <v>1074507</v>
          </cell>
          <cell r="P77" t="str">
            <v>Nerve Block Needles</v>
          </cell>
          <cell r="Q77" t="str">
            <v>AVANOS MEDICAL SALES LLC</v>
          </cell>
          <cell r="R77" t="str">
            <v>Avanos Medical Sales LLC-AVANOS</v>
          </cell>
          <cell r="S77" t="str">
            <v>AVANOS</v>
          </cell>
          <cell r="T77" t="str">
            <v>Avanos Medical Sales LLC</v>
          </cell>
          <cell r="U77" t="str">
            <v>EBL20100SG</v>
          </cell>
        </row>
        <row r="77">
          <cell r="X77" t="str">
            <v>Approved for SM</v>
          </cell>
          <cell r="Y77">
            <v>42142541</v>
          </cell>
          <cell r="Z77" t="str">
            <v>Spinal aspiration needles</v>
          </cell>
          <cell r="AA77" t="str">
            <v>UNSPSC v23.0701</v>
          </cell>
        </row>
        <row r="77">
          <cell r="AC77" t="str">
            <v>42142541  Spinal aspiration needles</v>
          </cell>
          <cell r="AD77" t="str">
            <v>AVANOS</v>
          </cell>
          <cell r="AE77" t="str">
            <v>EBL20100SG</v>
          </cell>
          <cell r="AF77" t="str">
            <v>EBL20100SG</v>
          </cell>
        </row>
        <row r="77">
          <cell r="AH77" t="str">
            <v>NEEDLE</v>
          </cell>
          <cell r="AI77">
            <v>39</v>
          </cell>
          <cell r="AJ77" t="str">
            <v>NEEDLE, SPINAL ON-Q SNGL SHOT 20GX4" (10/CS)</v>
          </cell>
        </row>
        <row r="77">
          <cell r="AL77" t="str">
            <v>42142541  Spinal aspiration needles</v>
          </cell>
        </row>
        <row r="78">
          <cell r="N78">
            <v>439</v>
          </cell>
          <cell r="O78">
            <v>1074508</v>
          </cell>
          <cell r="P78" t="str">
            <v>Nerve Block Needles</v>
          </cell>
          <cell r="Q78" t="str">
            <v>AVANOS MEDICAL SALES LLC</v>
          </cell>
          <cell r="R78" t="str">
            <v>Avanos Medical Sales LLC-AVANOS</v>
          </cell>
          <cell r="S78" t="str">
            <v>AVANOS</v>
          </cell>
          <cell r="T78" t="str">
            <v>Avanos Medical Sales LLC</v>
          </cell>
          <cell r="U78" t="str">
            <v>EBL20150SG</v>
          </cell>
        </row>
        <row r="78">
          <cell r="X78" t="str">
            <v>Approved for SM</v>
          </cell>
          <cell r="Y78">
            <v>42142541</v>
          </cell>
          <cell r="Z78" t="str">
            <v>Spinal aspiration needles</v>
          </cell>
          <cell r="AA78" t="str">
            <v>UNSPSC v23.0701</v>
          </cell>
        </row>
        <row r="78">
          <cell r="AC78" t="str">
            <v>42142541  Spinal aspiration needles</v>
          </cell>
          <cell r="AD78" t="str">
            <v>AVANOS</v>
          </cell>
          <cell r="AE78" t="str">
            <v>EBL20150SG</v>
          </cell>
          <cell r="AF78" t="str">
            <v>EBL20150SG</v>
          </cell>
        </row>
        <row r="78">
          <cell r="AH78" t="str">
            <v>NEEDLE</v>
          </cell>
          <cell r="AI78">
            <v>39</v>
          </cell>
          <cell r="AJ78" t="str">
            <v>NEEDLE, SPINAL ON-Q SNGL SHOT 20GX6" (10/CS)</v>
          </cell>
        </row>
        <row r="78">
          <cell r="AL78" t="str">
            <v>42142541  Spinal aspiration needles</v>
          </cell>
        </row>
        <row r="79">
          <cell r="N79">
            <v>440</v>
          </cell>
          <cell r="O79">
            <v>1074499</v>
          </cell>
          <cell r="P79" t="str">
            <v>custom items 1</v>
          </cell>
          <cell r="Q79" t="str">
            <v>AVID MEDICAL INC</v>
          </cell>
          <cell r="R79" t="str">
            <v>Avid Medical-AVIDMD</v>
          </cell>
          <cell r="S79" t="str">
            <v>AVIDMD</v>
          </cell>
          <cell r="T79" t="str">
            <v>Avid Medical</v>
          </cell>
          <cell r="U79" t="str">
            <v>DADC013-02</v>
          </cell>
        </row>
        <row r="79">
          <cell r="X79" t="str">
            <v>New Item</v>
          </cell>
          <cell r="Y79">
            <v>42294211</v>
          </cell>
          <cell r="Z79" t="str">
            <v>Surgical custom or specialty instrument or procedure sets</v>
          </cell>
          <cell r="AA79" t="str">
            <v>UNSPSC v23.0701</v>
          </cell>
        </row>
        <row r="79">
          <cell r="AC79" t="str">
            <v>42294211  Surgical custom or specialty instrument or procedure sets</v>
          </cell>
          <cell r="AD79" t="str">
            <v>AVID MEDICAL</v>
          </cell>
          <cell r="AE79" t="str">
            <v>DADC013-02</v>
          </cell>
          <cell r="AF79" t="str">
            <v>DADC01302</v>
          </cell>
        </row>
        <row r="79">
          <cell r="AH79" t="str">
            <v>CPT</v>
          </cell>
          <cell r="AI79">
            <v>4</v>
          </cell>
          <cell r="AJ79" t="str">
            <v>CPT, GLOVE SZ9 (DONORALLIANCE)(25/CS)</v>
          </cell>
        </row>
        <row r="79">
          <cell r="AL79" t="str">
            <v>42294211  Surgical custom or specialty instrument or procedure sets</v>
          </cell>
        </row>
        <row r="80">
          <cell r="N80">
            <v>4439</v>
          </cell>
          <cell r="O80">
            <v>1066711</v>
          </cell>
          <cell r="P80" t="str">
            <v>Circuits</v>
          </cell>
          <cell r="Q80" t="str">
            <v>SUN MED GROUP HOLDINGS</v>
          </cell>
          <cell r="R80" t="str">
            <v>Sun Med-SUNMED</v>
          </cell>
          <cell r="S80" t="str">
            <v>SUNMED</v>
          </cell>
          <cell r="T80" t="str">
            <v>Sun Med</v>
          </cell>
          <cell r="U80">
            <v>9590</v>
          </cell>
        </row>
        <row r="80">
          <cell r="X80" t="str">
            <v>Approved for SM</v>
          </cell>
          <cell r="Y80">
            <v>42272229</v>
          </cell>
          <cell r="Z80" t="str">
            <v>Anesthesia breathing circuits</v>
          </cell>
          <cell r="AA80" t="str">
            <v>UNSPSC v23.0701</v>
          </cell>
        </row>
        <row r="80">
          <cell r="AC80" t="str">
            <v>42272229  Anesthesia breathing circuits</v>
          </cell>
          <cell r="AD80" t="str">
            <v>AZIMUTH</v>
          </cell>
          <cell r="AE80">
            <v>9590</v>
          </cell>
          <cell r="AF80" t="str">
            <v>9590</v>
          </cell>
        </row>
        <row r="80">
          <cell r="AH80" t="str">
            <v>CIRCUIT</v>
          </cell>
          <cell r="AI80">
            <v>6</v>
          </cell>
          <cell r="AJ80" t="str">
            <v>CIRCUIT, ANES EXPND B/V FILTERW/3L BAG ADLT (20/CS)</v>
          </cell>
        </row>
        <row r="80">
          <cell r="AL80" t="str">
            <v>42272229  Anesthesia breathing circuits</v>
          </cell>
        </row>
        <row r="81">
          <cell r="N81">
            <v>4446</v>
          </cell>
          <cell r="O81">
            <v>1228299</v>
          </cell>
        </row>
        <row r="81">
          <cell r="Q81" t="str">
            <v>SUN MED GROUP HOLDINGS</v>
          </cell>
          <cell r="R81" t="str">
            <v>Sun Med-SUNMED</v>
          </cell>
          <cell r="S81" t="str">
            <v>SUNMED</v>
          </cell>
          <cell r="T81" t="str">
            <v>Sun Med</v>
          </cell>
          <cell r="U81" t="str">
            <v>3-3101-80</v>
          </cell>
        </row>
        <row r="81">
          <cell r="X81" t="str">
            <v>New Item</v>
          </cell>
        </row>
        <row r="81">
          <cell r="AD81" t="str">
            <v>AZIMUTH</v>
          </cell>
          <cell r="AE81" t="str">
            <v>3-3101-80</v>
          </cell>
          <cell r="AF81" t="str">
            <v>3310180</v>
          </cell>
        </row>
        <row r="81">
          <cell r="AH81" t="str">
            <v>CONNECTOR</v>
          </cell>
          <cell r="AI81">
            <v>10</v>
          </cell>
          <cell r="AJ81" t="str">
            <v>CONNECTOR, ENDOTRACHEAL TU 60 DEGREE W/O PORT 8MMX15MM</v>
          </cell>
        </row>
        <row r="81">
          <cell r="AL81" t="str">
            <v>42271909  Artificial airway accessories</v>
          </cell>
        </row>
        <row r="82">
          <cell r="N82">
            <v>4447</v>
          </cell>
          <cell r="O82">
            <v>1075074</v>
          </cell>
          <cell r="P82" t="str">
            <v>Nebulizers</v>
          </cell>
          <cell r="Q82" t="str">
            <v>SUN MED GROUP HOLDINGS</v>
          </cell>
          <cell r="R82" t="str">
            <v>Sun Med-SUNMED</v>
          </cell>
          <cell r="S82" t="str">
            <v>SUNMED</v>
          </cell>
          <cell r="T82" t="str">
            <v>Sun Med</v>
          </cell>
          <cell r="U82" t="str">
            <v>8924TG-7-50</v>
          </cell>
        </row>
        <row r="82">
          <cell r="X82" t="str">
            <v>Approved for SM</v>
          </cell>
          <cell r="Y82">
            <v>42271802</v>
          </cell>
          <cell r="Z82" t="str">
            <v>Nebulizers</v>
          </cell>
          <cell r="AA82" t="str">
            <v>UNSPSC v23.0701</v>
          </cell>
        </row>
        <row r="82">
          <cell r="AC82" t="str">
            <v>42271802  Nebulizers</v>
          </cell>
          <cell r="AD82" t="str">
            <v>AZIMUTH</v>
          </cell>
          <cell r="AE82" t="str">
            <v>8924TG-7-50</v>
          </cell>
          <cell r="AF82" t="str">
            <v>8924TG750</v>
          </cell>
        </row>
        <row r="82">
          <cell r="AH82" t="str">
            <v>NEBULIZER</v>
          </cell>
          <cell r="AI82">
            <v>1</v>
          </cell>
          <cell r="AJ82" t="str">
            <v>NEBULIZER, ELAS STRP AERMASK 7' W/THRD GRP ADLT (50/CS)</v>
          </cell>
        </row>
        <row r="82">
          <cell r="AL82" t="str">
            <v>42271802  Nebulizers</v>
          </cell>
        </row>
        <row r="83">
          <cell r="N83">
            <v>4448</v>
          </cell>
          <cell r="O83">
            <v>1066626</v>
          </cell>
          <cell r="P83" t="str">
            <v>Resuscitators</v>
          </cell>
          <cell r="Q83" t="str">
            <v>SUN MED GROUP HOLDINGS</v>
          </cell>
          <cell r="R83" t="str">
            <v>Sun Med-SUNMED</v>
          </cell>
          <cell r="S83" t="str">
            <v>SUNMED</v>
          </cell>
          <cell r="T83" t="str">
            <v>Sun Med</v>
          </cell>
          <cell r="U83" t="str">
            <v>HS4011</v>
          </cell>
        </row>
        <row r="83">
          <cell r="X83" t="str">
            <v>Approved for SM</v>
          </cell>
          <cell r="Y83">
            <v>42272211</v>
          </cell>
          <cell r="Z83" t="str">
            <v>Hyperinflation products</v>
          </cell>
          <cell r="AA83" t="str">
            <v>UNSPSC v23.0701</v>
          </cell>
        </row>
        <row r="83">
          <cell r="AC83" t="str">
            <v>42272211  Hyperinflation products</v>
          </cell>
          <cell r="AD83" t="str">
            <v>AZIMUTH</v>
          </cell>
          <cell r="AE83" t="str">
            <v>HS4011</v>
          </cell>
          <cell r="AF83" t="str">
            <v>HS4011</v>
          </cell>
        </row>
        <row r="83">
          <cell r="AH83" t="str">
            <v>BAG</v>
          </cell>
          <cell r="AI83">
            <v>46</v>
          </cell>
          <cell r="AJ83" t="str">
            <v>BAG SYSTEM, HYPERINFLATION 1L W/MANOMETER (20/CS)</v>
          </cell>
        </row>
        <row r="83">
          <cell r="AL83" t="str">
            <v>42272211  Hyperinflation products</v>
          </cell>
        </row>
        <row r="84">
          <cell r="N84">
            <v>459</v>
          </cell>
          <cell r="O84">
            <v>1073626</v>
          </cell>
          <cell r="P84" t="str">
            <v>Aspiration and Biopsy Needles</v>
          </cell>
          <cell r="Q84" t="str">
            <v>BARD PERIPHERAL VASCULAR</v>
          </cell>
          <cell r="R84" t="str">
            <v>Bard Peripheral Vascular-BRDPHL</v>
          </cell>
          <cell r="S84" t="str">
            <v>BRDPHL</v>
          </cell>
          <cell r="T84" t="str">
            <v>Bard Peripheral Vascular</v>
          </cell>
          <cell r="U84" t="str">
            <v>C1210B</v>
          </cell>
        </row>
        <row r="84">
          <cell r="X84" t="str">
            <v>Approved for SM</v>
          </cell>
          <cell r="Y84">
            <v>42142504</v>
          </cell>
          <cell r="Z84" t="str">
            <v>Biopsy needles</v>
          </cell>
          <cell r="AA84" t="str">
            <v>UNSPSC v23.0701</v>
          </cell>
        </row>
        <row r="84">
          <cell r="AC84" t="str">
            <v>42142504  Biopsy needles</v>
          </cell>
          <cell r="AD84" t="str">
            <v>BARD</v>
          </cell>
          <cell r="AE84" t="str">
            <v>C1210B</v>
          </cell>
          <cell r="AF84" t="str">
            <v>C1210B</v>
          </cell>
        </row>
        <row r="84">
          <cell r="AH84" t="str">
            <v>NEEDLE</v>
          </cell>
          <cell r="AI84">
            <v>39</v>
          </cell>
          <cell r="AJ84" t="str">
            <v>NEEDLE, BIOPSY TRUEGUIDE COAXIAL 11GX7CM (5/CS)</v>
          </cell>
        </row>
        <row r="84">
          <cell r="AL84" t="str">
            <v>42142504  Biopsy needles</v>
          </cell>
        </row>
        <row r="85">
          <cell r="N85">
            <v>460</v>
          </cell>
          <cell r="O85">
            <v>1073627</v>
          </cell>
          <cell r="P85" t="str">
            <v>Aspiration and Biopsy Needles</v>
          </cell>
          <cell r="Q85" t="str">
            <v>BARD PERIPHERAL VASCULAR</v>
          </cell>
          <cell r="R85" t="str">
            <v>Bard Peripheral Vascular-BRDPHL</v>
          </cell>
          <cell r="S85" t="str">
            <v>BRDPHL</v>
          </cell>
          <cell r="T85" t="str">
            <v>Bard Peripheral Vascular</v>
          </cell>
          <cell r="U85" t="str">
            <v>C1213B</v>
          </cell>
        </row>
        <row r="85">
          <cell r="X85" t="str">
            <v>Approved for SM</v>
          </cell>
          <cell r="Y85">
            <v>42142504</v>
          </cell>
          <cell r="Z85" t="str">
            <v>Biopsy needles</v>
          </cell>
          <cell r="AA85" t="str">
            <v>UNSPSC v23.0701</v>
          </cell>
        </row>
        <row r="85">
          <cell r="AC85" t="str">
            <v>42142504  Biopsy needles</v>
          </cell>
          <cell r="AD85" t="str">
            <v>BARD</v>
          </cell>
          <cell r="AE85" t="str">
            <v>C1213B</v>
          </cell>
          <cell r="AF85" t="str">
            <v>C1213B</v>
          </cell>
        </row>
        <row r="85">
          <cell r="AH85" t="str">
            <v>NEEDLE</v>
          </cell>
          <cell r="AI85">
            <v>39</v>
          </cell>
          <cell r="AJ85" t="str">
            <v>NEEDLE, BIOPSY TRUEGUIDE COAXIAL 11GX10CM (5/CS)</v>
          </cell>
        </row>
        <row r="85">
          <cell r="AL85" t="str">
            <v>42142504  Biopsy needles</v>
          </cell>
        </row>
        <row r="86">
          <cell r="N86">
            <v>1214</v>
          </cell>
          <cell r="O86">
            <v>1228222</v>
          </cell>
          <cell r="P86" t="str">
            <v>Catheter and Bag Kits and Trays</v>
          </cell>
          <cell r="Q86" t="str">
            <v>CR BARD UROLOGICAL DIV.</v>
          </cell>
          <cell r="R86" t="str">
            <v>Bard-BRDMED</v>
          </cell>
          <cell r="S86" t="str">
            <v>BRDMED</v>
          </cell>
          <cell r="T86" t="str">
            <v>Bard</v>
          </cell>
          <cell r="U86" t="str">
            <v>INTS16</v>
          </cell>
        </row>
        <row r="86">
          <cell r="X86" t="str">
            <v>New Item</v>
          </cell>
        </row>
        <row r="86">
          <cell r="AD86" t="str">
            <v>BARD</v>
          </cell>
          <cell r="AE86" t="str">
            <v>INTS16</v>
          </cell>
          <cell r="AF86" t="str">
            <v>INTS16</v>
          </cell>
        </row>
        <row r="86">
          <cell r="AH86" t="str">
            <v>TRAY</v>
          </cell>
          <cell r="AI86">
            <v>10</v>
          </cell>
          <cell r="AJ86" t="str">
            <v>TRAY, CATHETER INTMT SURESTEP LF 16FR (20/CS)</v>
          </cell>
        </row>
        <row r="86">
          <cell r="AL86" t="str">
            <v>42221509  Intravenous or arterial catheter trays</v>
          </cell>
        </row>
        <row r="87">
          <cell r="N87">
            <v>489</v>
          </cell>
          <cell r="O87">
            <v>1228682</v>
          </cell>
          <cell r="P87" t="str">
            <v>Clinical Laboratory Accessories</v>
          </cell>
          <cell r="Q87" t="str">
            <v>BECKMAN COULTER REAGENT DEPT,</v>
          </cell>
          <cell r="R87" t="str">
            <v>Beckman Coulter-COULTR</v>
          </cell>
          <cell r="S87" t="str">
            <v>COULTR</v>
          </cell>
          <cell r="T87" t="str">
            <v>Beckman Coulter</v>
          </cell>
          <cell r="U87" t="str">
            <v>B31698</v>
          </cell>
        </row>
        <row r="87">
          <cell r="X87" t="str">
            <v>Approved for SM</v>
          </cell>
        </row>
        <row r="87">
          <cell r="AD87" t="str">
            <v>BECKMAN</v>
          </cell>
          <cell r="AE87" t="str">
            <v>B31698</v>
          </cell>
          <cell r="AF87" t="str">
            <v>B31698</v>
          </cell>
        </row>
        <row r="87">
          <cell r="AH87" t="str">
            <v>SCANNER</v>
          </cell>
          <cell r="AI87">
            <v>5</v>
          </cell>
          <cell r="AJ87" t="str">
            <v>SCANNER KIT, IMAGING HONEYWELLXERON AREA 1950</v>
          </cell>
        </row>
        <row r="87">
          <cell r="AL87" t="str">
            <v>42181918  Multiparameter vital sign unit accessories</v>
          </cell>
        </row>
        <row r="88">
          <cell r="N88">
            <v>491</v>
          </cell>
          <cell r="O88">
            <v>1228651</v>
          </cell>
          <cell r="P88" t="str">
            <v>Clinical Laboratory Accessories</v>
          </cell>
          <cell r="Q88" t="str">
            <v>BECKMAN COULTER REAGENT DEPT,</v>
          </cell>
          <cell r="R88" t="str">
            <v>Beckman Coulter-COULTR</v>
          </cell>
          <cell r="S88" t="str">
            <v>COULTR</v>
          </cell>
          <cell r="T88" t="str">
            <v>Beckman Coulter</v>
          </cell>
          <cell r="U88" t="str">
            <v>B44420</v>
          </cell>
        </row>
        <row r="88">
          <cell r="X88" t="str">
            <v>Approved for SM</v>
          </cell>
        </row>
        <row r="88">
          <cell r="AD88" t="str">
            <v>BECKMAN</v>
          </cell>
          <cell r="AE88" t="str">
            <v>B44420</v>
          </cell>
          <cell r="AF88" t="str">
            <v>B44420</v>
          </cell>
        </row>
        <row r="88">
          <cell r="AH88" t="str">
            <v>PRINTER</v>
          </cell>
          <cell r="AI88">
            <v>7</v>
          </cell>
          <cell r="AJ88" t="str">
            <v>PRINTER, REMISOL ADV ZEBRA BC</v>
          </cell>
        </row>
        <row r="88">
          <cell r="AL88" t="str">
            <v>14111507  Printer or copier paper</v>
          </cell>
        </row>
        <row r="89">
          <cell r="N89">
            <v>493</v>
          </cell>
          <cell r="O89">
            <v>1228694</v>
          </cell>
          <cell r="P89" t="str">
            <v>Clinical Laboratory Accessories</v>
          </cell>
          <cell r="Q89" t="str">
            <v>BECKMAN COULTER REAGENT DEPT,</v>
          </cell>
          <cell r="R89" t="str">
            <v>Beckman Coulter-COULTR</v>
          </cell>
          <cell r="S89" t="str">
            <v>COULTR</v>
          </cell>
          <cell r="T89" t="str">
            <v>Beckman Coulter</v>
          </cell>
          <cell r="U89" t="str">
            <v>B62967</v>
          </cell>
        </row>
        <row r="89">
          <cell r="X89" t="str">
            <v>Approved for SM</v>
          </cell>
        </row>
        <row r="89">
          <cell r="AD89" t="str">
            <v>BECKMAN</v>
          </cell>
          <cell r="AE89" t="str">
            <v>B62967</v>
          </cell>
          <cell r="AF89" t="str">
            <v>B62967</v>
          </cell>
        </row>
        <row r="89">
          <cell r="AH89" t="str">
            <v>CABINET</v>
          </cell>
          <cell r="AI89">
            <v>28</v>
          </cell>
          <cell r="AJ89" t="str">
            <v>CABINET, SERVER COMPLETE</v>
          </cell>
        </row>
        <row r="89">
          <cell r="AL89" t="str">
            <v>42191914  Medical or surgical instrument storage cabinet or chest accessories</v>
          </cell>
        </row>
        <row r="90">
          <cell r="N90">
            <v>495</v>
          </cell>
          <cell r="O90">
            <v>1228657</v>
          </cell>
          <cell r="P90" t="str">
            <v>Clinical Laboratory Accessories</v>
          </cell>
          <cell r="Q90" t="str">
            <v>BECKMAN COULTER REAGENT DEPT,</v>
          </cell>
          <cell r="R90" t="str">
            <v>Beckman Coulter-COULTR</v>
          </cell>
          <cell r="S90" t="str">
            <v>COULTR</v>
          </cell>
          <cell r="T90" t="str">
            <v>Beckman Coulter</v>
          </cell>
          <cell r="U90" t="str">
            <v>B72121</v>
          </cell>
        </row>
        <row r="90">
          <cell r="X90" t="str">
            <v>Approved for SM</v>
          </cell>
        </row>
        <row r="90">
          <cell r="AD90" t="str">
            <v>BECKMAN</v>
          </cell>
          <cell r="AE90" t="str">
            <v>B72121</v>
          </cell>
          <cell r="AF90" t="str">
            <v>B72121</v>
          </cell>
        </row>
        <row r="90">
          <cell r="AH90" t="str">
            <v>CABLE</v>
          </cell>
          <cell r="AI90">
            <v>30</v>
          </cell>
          <cell r="AJ90" t="str">
            <v>CABLE, F/AUTOMATION SYS DXA 5000 ETHERNET BECKHOFF</v>
          </cell>
        </row>
        <row r="90">
          <cell r="AL90" t="str">
            <v>42181905  Medical transducer monitor cables</v>
          </cell>
        </row>
        <row r="91">
          <cell r="N91">
            <v>496</v>
          </cell>
          <cell r="O91">
            <v>1228652</v>
          </cell>
          <cell r="P91" t="str">
            <v>Clinical Laboratory Accessories</v>
          </cell>
          <cell r="Q91" t="str">
            <v>BECKMAN COULTER REAGENT DEPT,</v>
          </cell>
          <cell r="R91" t="str">
            <v>Beckman Coulter-COULTR</v>
          </cell>
          <cell r="S91" t="str">
            <v>COULTR</v>
          </cell>
          <cell r="T91" t="str">
            <v>Beckman Coulter</v>
          </cell>
          <cell r="U91" t="str">
            <v>B72122</v>
          </cell>
        </row>
        <row r="91">
          <cell r="X91" t="str">
            <v>Approved for SM</v>
          </cell>
        </row>
        <row r="91">
          <cell r="AD91" t="str">
            <v>BECKMAN</v>
          </cell>
          <cell r="AE91" t="str">
            <v>B72122</v>
          </cell>
          <cell r="AF91" t="str">
            <v>B72122</v>
          </cell>
        </row>
        <row r="91">
          <cell r="AH91" t="str">
            <v>CABLE</v>
          </cell>
          <cell r="AI91">
            <v>30</v>
          </cell>
          <cell r="AJ91" t="str">
            <v>CABLE, F/AUTOMATION SYS DXA 5000 ETHERNET BECKHOFF 10.0M</v>
          </cell>
        </row>
        <row r="91">
          <cell r="AL91" t="str">
            <v>42181905  Medical transducer monitor cables</v>
          </cell>
        </row>
        <row r="92">
          <cell r="N92">
            <v>497</v>
          </cell>
          <cell r="O92">
            <v>1228653</v>
          </cell>
          <cell r="P92" t="str">
            <v>Clinical Laboratory Accessories</v>
          </cell>
          <cell r="Q92" t="str">
            <v>BECKMAN COULTER REAGENT DEPT,</v>
          </cell>
          <cell r="R92" t="str">
            <v>Beckman Coulter-COULTR</v>
          </cell>
          <cell r="S92" t="str">
            <v>COULTR</v>
          </cell>
          <cell r="T92" t="str">
            <v>Beckman Coulter</v>
          </cell>
          <cell r="U92" t="str">
            <v>B72123</v>
          </cell>
        </row>
        <row r="92">
          <cell r="X92" t="str">
            <v>Approved for SM</v>
          </cell>
        </row>
        <row r="92">
          <cell r="AD92" t="str">
            <v>BECKMAN</v>
          </cell>
          <cell r="AE92" t="str">
            <v>B72123</v>
          </cell>
          <cell r="AF92" t="str">
            <v>B72123</v>
          </cell>
        </row>
        <row r="92">
          <cell r="AH92" t="str">
            <v>CABLE</v>
          </cell>
          <cell r="AI92">
            <v>30</v>
          </cell>
          <cell r="AJ92" t="str">
            <v>CABLE, F/AUTOMATION SYS DXA 5000 ETHERNET BECKHOFF 15.0M</v>
          </cell>
        </row>
        <row r="92">
          <cell r="AL92" t="str">
            <v>42181905  Medical transducer monitor cables</v>
          </cell>
        </row>
        <row r="93">
          <cell r="N93">
            <v>498</v>
          </cell>
          <cell r="O93">
            <v>1228654</v>
          </cell>
          <cell r="P93" t="str">
            <v>Clinical Laboratory Accessories</v>
          </cell>
          <cell r="Q93" t="str">
            <v>BECKMAN COULTER REAGENT DEPT,</v>
          </cell>
          <cell r="R93" t="str">
            <v>Beckman Coulter-COULTR</v>
          </cell>
          <cell r="S93" t="str">
            <v>COULTR</v>
          </cell>
          <cell r="T93" t="str">
            <v>Beckman Coulter</v>
          </cell>
          <cell r="U93" t="str">
            <v>B72124</v>
          </cell>
        </row>
        <row r="93">
          <cell r="X93" t="str">
            <v>Approved for SM</v>
          </cell>
        </row>
        <row r="93">
          <cell r="AD93" t="str">
            <v>BECKMAN</v>
          </cell>
          <cell r="AE93" t="str">
            <v>B72124</v>
          </cell>
          <cell r="AF93" t="str">
            <v>B72124</v>
          </cell>
        </row>
        <row r="93">
          <cell r="AH93" t="str">
            <v>CABLE</v>
          </cell>
          <cell r="AI93">
            <v>30</v>
          </cell>
          <cell r="AJ93" t="str">
            <v>CABLE, F/AUTOMATION SYS DXA 5000 ETHERNET BECKHOFF 20.0M</v>
          </cell>
        </row>
        <row r="93">
          <cell r="AL93" t="str">
            <v>42181905  Medical transducer monitor cables</v>
          </cell>
        </row>
        <row r="94">
          <cell r="N94">
            <v>499</v>
          </cell>
          <cell r="O94">
            <v>1228655</v>
          </cell>
          <cell r="P94" t="str">
            <v>Clinical Laboratory Accessories</v>
          </cell>
          <cell r="Q94" t="str">
            <v>BECKMAN COULTER REAGENT DEPT,</v>
          </cell>
          <cell r="R94" t="str">
            <v>Beckman Coulter-COULTR</v>
          </cell>
          <cell r="S94" t="str">
            <v>COULTR</v>
          </cell>
          <cell r="T94" t="str">
            <v>Beckman Coulter</v>
          </cell>
          <cell r="U94" t="str">
            <v>B72125</v>
          </cell>
        </row>
        <row r="94">
          <cell r="X94" t="str">
            <v>Approved for SM</v>
          </cell>
        </row>
        <row r="94">
          <cell r="AD94" t="str">
            <v>BECKMAN</v>
          </cell>
          <cell r="AE94" t="str">
            <v>B72125</v>
          </cell>
          <cell r="AF94" t="str">
            <v>B72125</v>
          </cell>
        </row>
        <row r="94">
          <cell r="AH94" t="str">
            <v>CABLE</v>
          </cell>
          <cell r="AI94">
            <v>30</v>
          </cell>
          <cell r="AJ94" t="str">
            <v>CABLE, F/AUTOMATION SYS DXA 5000 ETHERNET BECKHOFF 25.0M</v>
          </cell>
        </row>
        <row r="94">
          <cell r="AL94" t="str">
            <v>42181905  Medical transducer monitor cables</v>
          </cell>
        </row>
        <row r="95">
          <cell r="N95">
            <v>500</v>
          </cell>
          <cell r="O95">
            <v>1228656</v>
          </cell>
          <cell r="P95" t="str">
            <v>Clinical Laboratory Accessories</v>
          </cell>
          <cell r="Q95" t="str">
            <v>BECKMAN COULTER REAGENT DEPT,</v>
          </cell>
          <cell r="R95" t="str">
            <v>Beckman Coulter-COULTR</v>
          </cell>
          <cell r="S95" t="str">
            <v>COULTR</v>
          </cell>
          <cell r="T95" t="str">
            <v>Beckman Coulter</v>
          </cell>
          <cell r="U95" t="str">
            <v>C01916</v>
          </cell>
        </row>
        <row r="95">
          <cell r="X95" t="str">
            <v>Approved for SM</v>
          </cell>
        </row>
        <row r="95">
          <cell r="AD95" t="str">
            <v>BECKMAN</v>
          </cell>
          <cell r="AE95" t="str">
            <v>C01916</v>
          </cell>
          <cell r="AF95" t="str">
            <v>C01916</v>
          </cell>
        </row>
        <row r="95">
          <cell r="AH95" t="str">
            <v>CABLE</v>
          </cell>
          <cell r="AI95">
            <v>30</v>
          </cell>
          <cell r="AJ95" t="str">
            <v>CABLE, F/AUTOMATION SYSTEM DXA5000 ETHERCAT</v>
          </cell>
        </row>
        <row r="95">
          <cell r="AL95" t="str">
            <v>42181905  Medical transducer monitor cables</v>
          </cell>
        </row>
        <row r="96">
          <cell r="N96">
            <v>548</v>
          </cell>
          <cell r="O96">
            <v>1074589</v>
          </cell>
          <cell r="P96" t="str">
            <v>Calipers</v>
          </cell>
          <cell r="Q96" t="str">
            <v>BEL-ART PRODUCTS</v>
          </cell>
          <cell r="R96" t="str">
            <v>Bel-Art Products-BELART</v>
          </cell>
          <cell r="S96" t="str">
            <v>BELART</v>
          </cell>
          <cell r="T96" t="str">
            <v>Bel-Art Products</v>
          </cell>
          <cell r="U96" t="str">
            <v>13415-0000</v>
          </cell>
        </row>
        <row r="96">
          <cell r="X96" t="str">
            <v>Approved for SM</v>
          </cell>
          <cell r="Y96">
            <v>42293001</v>
          </cell>
          <cell r="Z96" t="str">
            <v>Surgical calipers or rulers or protractors</v>
          </cell>
          <cell r="AA96" t="str">
            <v>UNSPSC v23.0701</v>
          </cell>
        </row>
        <row r="96">
          <cell r="AC96" t="str">
            <v>42293001  Surgical calipers or rulers or protractors</v>
          </cell>
          <cell r="AD96" t="str">
            <v>BEL-ART</v>
          </cell>
          <cell r="AE96" t="str">
            <v>13415-0000</v>
          </cell>
          <cell r="AF96" t="str">
            <v>134150000</v>
          </cell>
        </row>
        <row r="96">
          <cell r="AH96" t="str">
            <v>CALIPER</v>
          </cell>
          <cell r="AI96">
            <v>1</v>
          </cell>
          <cell r="AJ96" t="str">
            <v>CALIPER, VERNIER W/METRIC/ENGLISH SCALES</v>
          </cell>
        </row>
        <row r="96">
          <cell r="AL96" t="str">
            <v>42293001  Surgical calipers or rulers or protractors</v>
          </cell>
        </row>
        <row r="97">
          <cell r="N97">
            <v>550</v>
          </cell>
          <cell r="O97">
            <v>1073734</v>
          </cell>
          <cell r="P97" t="str">
            <v>Body Pressure Relief Accessories</v>
          </cell>
          <cell r="Q97" t="str">
            <v>BIG BOYZ INDUSTRIES INC</v>
          </cell>
          <cell r="R97" t="str">
            <v>Big Boyz-BIGBOY</v>
          </cell>
          <cell r="S97" t="str">
            <v>BIGBOY</v>
          </cell>
          <cell r="T97" t="str">
            <v>Big Boyz</v>
          </cell>
          <cell r="U97" t="str">
            <v>MATSTAT</v>
          </cell>
        </row>
        <row r="97">
          <cell r="X97" t="str">
            <v>Approved for SM</v>
          </cell>
          <cell r="Y97">
            <v>42191816</v>
          </cell>
          <cell r="Z97" t="str">
            <v>Alternating pressure systems</v>
          </cell>
          <cell r="AA97" t="str">
            <v>UNSPSC v23.0701</v>
          </cell>
        </row>
        <row r="97">
          <cell r="AC97" t="str">
            <v>42191816  Alternating pressure systems</v>
          </cell>
          <cell r="AD97" t="str">
            <v>BIG BOYZ</v>
          </cell>
          <cell r="AE97" t="str">
            <v>MATSTAT</v>
          </cell>
          <cell r="AF97" t="str">
            <v>MATSTAT</v>
          </cell>
        </row>
        <row r="97">
          <cell r="AH97" t="str">
            <v>STABILIZER</v>
          </cell>
          <cell r="AI97">
            <v>1</v>
          </cell>
          <cell r="AJ97" t="str">
            <v>STABILIZER, MATTRESS (4/ST) D/S</v>
          </cell>
        </row>
        <row r="97">
          <cell r="AL97" t="str">
            <v>42141701  Alternating pressure systems</v>
          </cell>
        </row>
        <row r="98">
          <cell r="N98">
            <v>570</v>
          </cell>
          <cell r="O98">
            <v>636204</v>
          </cell>
          <cell r="P98" t="str">
            <v>Instrument and Solution Stands</v>
          </cell>
          <cell r="Q98" t="str">
            <v>BLICKMAN HEALTH IND., INC.</v>
          </cell>
          <cell r="R98" t="str">
            <v>Blickman-BLIKMN</v>
          </cell>
          <cell r="S98" t="str">
            <v>BLIKMN</v>
          </cell>
          <cell r="T98" t="str">
            <v>Blickman</v>
          </cell>
          <cell r="U98">
            <v>717807100</v>
          </cell>
        </row>
        <row r="98">
          <cell r="X98" t="str">
            <v>Approved for SM</v>
          </cell>
          <cell r="Y98">
            <v>42295101</v>
          </cell>
          <cell r="Z98" t="str">
            <v>Basin or pail stands for surgical use</v>
          </cell>
          <cell r="AA98" t="str">
            <v>UNSPSC v22.0601</v>
          </cell>
        </row>
        <row r="98">
          <cell r="AC98" t="str">
            <v>42295101  Basin or pail stands for surgical use</v>
          </cell>
          <cell r="AD98" t="str">
            <v>BLICKMAN</v>
          </cell>
          <cell r="AE98">
            <v>717807100</v>
          </cell>
          <cell r="AF98" t="str">
            <v>0717807100</v>
          </cell>
        </row>
        <row r="98">
          <cell r="AH98" t="str">
            <v>STAND</v>
          </cell>
          <cell r="AI98">
            <v>12</v>
          </cell>
          <cell r="AJ98" t="str">
            <v>STAND, BASIN SOL SNGL S/S W/H-BRACE D/S</v>
          </cell>
        </row>
        <row r="98">
          <cell r="AL98" t="str">
            <v>42295101  Basin or pail stands for surgical use</v>
          </cell>
        </row>
        <row r="99">
          <cell r="N99">
            <v>571</v>
          </cell>
          <cell r="O99">
            <v>1067172</v>
          </cell>
          <cell r="P99" t="str">
            <v>Lip Balm</v>
          </cell>
          <cell r="Q99" t="str">
            <v>BLISTEX INC.</v>
          </cell>
          <cell r="R99" t="str">
            <v>Blistex-BLISTX</v>
          </cell>
          <cell r="S99" t="str">
            <v>BLISTX</v>
          </cell>
          <cell r="T99" t="str">
            <v>Blistex</v>
          </cell>
          <cell r="U99" t="str">
            <v>X5000</v>
          </cell>
        </row>
        <row r="99">
          <cell r="X99" t="str">
            <v>Approved for SM</v>
          </cell>
          <cell r="Y99">
            <v>53131630</v>
          </cell>
          <cell r="Z99" t="str">
            <v>Lip balm</v>
          </cell>
          <cell r="AA99" t="str">
            <v>UNSPSC v23.0701</v>
          </cell>
        </row>
        <row r="99">
          <cell r="AC99" t="str">
            <v>53131630  Lip balm</v>
          </cell>
          <cell r="AD99" t="str">
            <v>BLISTEX</v>
          </cell>
          <cell r="AE99" t="str">
            <v>X5000</v>
          </cell>
          <cell r="AF99" t="str">
            <v>X5000</v>
          </cell>
        </row>
        <row r="99">
          <cell r="AH99" t="str">
            <v>BLISTEX</v>
          </cell>
          <cell r="AI99">
            <v>1</v>
          </cell>
          <cell r="AJ99" t="str">
            <v>BLISTEX, OINT LIP .5GM (500/BX/BX 6BX/CS)</v>
          </cell>
        </row>
        <row r="99">
          <cell r="AL99" t="str">
            <v>53131630  Lip balm</v>
          </cell>
        </row>
        <row r="100">
          <cell r="N100">
            <v>573</v>
          </cell>
          <cell r="O100">
            <v>1067183</v>
          </cell>
          <cell r="P100" t="str">
            <v>Gurneys and Stretchers</v>
          </cell>
          <cell r="Q100" t="str">
            <v>BOUND TREE MEDICAL LLC</v>
          </cell>
          <cell r="R100" t="str">
            <v>Bound Tree Medical-BNDTRE</v>
          </cell>
          <cell r="S100" t="str">
            <v>BNDTRE</v>
          </cell>
          <cell r="T100" t="str">
            <v>Bound Tree Medical</v>
          </cell>
          <cell r="U100">
            <v>471220</v>
          </cell>
        </row>
        <row r="100">
          <cell r="X100" t="str">
            <v>New Item</v>
          </cell>
          <cell r="Y100">
            <v>42192221</v>
          </cell>
          <cell r="Z100" t="str">
            <v>Patient stretcher accessories</v>
          </cell>
          <cell r="AA100" t="str">
            <v>UNSPSC v23.0701</v>
          </cell>
        </row>
        <row r="100">
          <cell r="AC100" t="str">
            <v>42192221  Patient stretcher accessories</v>
          </cell>
          <cell r="AD100" t="str">
            <v>BOUND TREE</v>
          </cell>
          <cell r="AE100">
            <v>471220</v>
          </cell>
          <cell r="AF100" t="str">
            <v>471220</v>
          </cell>
        </row>
        <row r="100">
          <cell r="AH100" t="str">
            <v>SPINE/NECK</v>
          </cell>
          <cell r="AI100">
            <v>1</v>
          </cell>
          <cell r="AJ100" t="str">
            <v>SPINE/NECK IMMOBILIZER, REEVES</v>
          </cell>
        </row>
        <row r="100">
          <cell r="AL100" t="str">
            <v>42192221  Patient stretcher accessories</v>
          </cell>
        </row>
        <row r="101">
          <cell r="N101">
            <v>578</v>
          </cell>
          <cell r="O101">
            <v>1075015</v>
          </cell>
          <cell r="P101" t="str">
            <v>Transfer Sheets</v>
          </cell>
          <cell r="Q101" t="str">
            <v>BOUND TREE MEDICAL LLC</v>
          </cell>
          <cell r="R101" t="str">
            <v>Bound Tree Medical-BNDTRE</v>
          </cell>
          <cell r="S101" t="str">
            <v>BNDTRE</v>
          </cell>
          <cell r="T101" t="str">
            <v>Bound Tree Medical</v>
          </cell>
          <cell r="U101" t="str">
            <v>3271-60402</v>
          </cell>
        </row>
        <row r="101">
          <cell r="X101" t="str">
            <v>Approved for SM</v>
          </cell>
          <cell r="Y101">
            <v>42132105</v>
          </cell>
          <cell r="Z101" t="str">
            <v>Hospital bed sheets or mattress covers</v>
          </cell>
          <cell r="AA101" t="str">
            <v>UNSPSC v23.0701</v>
          </cell>
        </row>
        <row r="101">
          <cell r="AC101" t="str">
            <v>42132105  Hospital bed sheets or mattress covers</v>
          </cell>
          <cell r="AD101" t="str">
            <v>BOUND TREE</v>
          </cell>
          <cell r="AE101" t="str">
            <v>3271-60402</v>
          </cell>
          <cell r="AF101" t="str">
            <v>327160402</v>
          </cell>
        </row>
        <row r="101">
          <cell r="AH101" t="str">
            <v>SHEET</v>
          </cell>
          <cell r="AI101">
            <v>2</v>
          </cell>
          <cell r="AJ101" t="str">
            <v>SHEET, TRANSFER PATIENT POLY PRO DISP FITTED BLU (50/CS)</v>
          </cell>
        </row>
        <row r="101">
          <cell r="AL101" t="str">
            <v>42132105  Hospital bed sheets or mattress covers</v>
          </cell>
        </row>
        <row r="102">
          <cell r="N102">
            <v>576</v>
          </cell>
          <cell r="O102">
            <v>1067179</v>
          </cell>
          <cell r="P102" t="str">
            <v>Diagnostic Accessories</v>
          </cell>
          <cell r="Q102" t="str">
            <v>BOUND TREE MEDICAL LLC</v>
          </cell>
          <cell r="R102" t="str">
            <v>Bound Tree Medical-BNDTRE</v>
          </cell>
          <cell r="S102" t="str">
            <v>BNDTRE</v>
          </cell>
          <cell r="T102" t="str">
            <v>Bound Tree Medical</v>
          </cell>
          <cell r="U102" t="str">
            <v>253-DCF-200</v>
          </cell>
        </row>
        <row r="102">
          <cell r="X102" t="str">
            <v>Approved for SM</v>
          </cell>
          <cell r="Y102">
            <v>42172105</v>
          </cell>
          <cell r="Z102" t="str">
            <v>Mobile medical service automated external defibrillator AED accessories</v>
          </cell>
          <cell r="AA102" t="str">
            <v>UNSPSC v23.0701</v>
          </cell>
        </row>
        <row r="102">
          <cell r="AC102" t="str">
            <v>42172105  Mobile medical service automated external defibrillator AED accessories</v>
          </cell>
          <cell r="AD102" t="str">
            <v>BOUND TREE</v>
          </cell>
          <cell r="AE102" t="str">
            <v>253-DCF-200</v>
          </cell>
          <cell r="AF102" t="str">
            <v>253DCF200</v>
          </cell>
        </row>
        <row r="102">
          <cell r="AH102" t="str">
            <v>BATTERY</v>
          </cell>
          <cell r="AI102">
            <v>15</v>
          </cell>
          <cell r="AJ102" t="str">
            <v>BATTERY, DEFIBRILLATOR DEFIBTE</v>
          </cell>
        </row>
        <row r="102">
          <cell r="AL102" t="str">
            <v>42172105  Mobile medical service automated external defibrillator AED accessories</v>
          </cell>
        </row>
        <row r="103">
          <cell r="N103">
            <v>579</v>
          </cell>
          <cell r="O103">
            <v>1067186</v>
          </cell>
          <cell r="P103" t="str">
            <v>Education and Reference Materials</v>
          </cell>
          <cell r="Q103" t="str">
            <v>BOUND TREE MEDICAL LLC</v>
          </cell>
          <cell r="R103" t="str">
            <v>Bound Tree Medical-BNDTRE</v>
          </cell>
          <cell r="S103" t="str">
            <v>BNDTRE</v>
          </cell>
          <cell r="T103" t="str">
            <v>Bound Tree Medical</v>
          </cell>
          <cell r="U103" t="str">
            <v>480382 -8TH</v>
          </cell>
        </row>
        <row r="103">
          <cell r="X103" t="str">
            <v>Approved for SM</v>
          </cell>
          <cell r="Y103">
            <v>42301504</v>
          </cell>
          <cell r="Z103" t="str">
            <v>Kits for medical education or training</v>
          </cell>
          <cell r="AA103" t="str">
            <v>UNSPSC v23.0701</v>
          </cell>
        </row>
        <row r="103">
          <cell r="AC103" t="str">
            <v>42301504  Kits for medical education or training</v>
          </cell>
          <cell r="AD103" t="str">
            <v>BOUND TREE</v>
          </cell>
          <cell r="AE103" t="str">
            <v>480382 -8TH</v>
          </cell>
          <cell r="AF103" t="str">
            <v>4803828TH</v>
          </cell>
        </row>
        <row r="103">
          <cell r="AH103" t="str">
            <v>GUIDE</v>
          </cell>
          <cell r="AI103">
            <v>3</v>
          </cell>
          <cell r="AJ103" t="str">
            <v>GUIDE, CRITICAL CARE ACLS 8TH</v>
          </cell>
        </row>
        <row r="103">
          <cell r="AL103" t="str">
            <v>42301504  Kits for medical education or training</v>
          </cell>
        </row>
        <row r="104">
          <cell r="N104">
            <v>580</v>
          </cell>
          <cell r="O104">
            <v>1068054</v>
          </cell>
          <cell r="P104" t="str">
            <v>Mannequins and Models</v>
          </cell>
          <cell r="Q104" t="str">
            <v>BOUND TREE MEDICAL LLC</v>
          </cell>
          <cell r="R104" t="str">
            <v>Bound Tree Medical-BNDTRE</v>
          </cell>
          <cell r="S104" t="str">
            <v>BNDTRE</v>
          </cell>
          <cell r="T104" t="str">
            <v>Bound Tree Medical</v>
          </cell>
          <cell r="U104" t="str">
            <v>934-DEMOKITA</v>
          </cell>
        </row>
        <row r="104">
          <cell r="X104" t="str">
            <v>Approved for SM</v>
          </cell>
          <cell r="Y104">
            <v>42301504</v>
          </cell>
          <cell r="Z104" t="str">
            <v>Kits for medical education or training</v>
          </cell>
          <cell r="AA104" t="str">
            <v>UNSPSC v23.0701</v>
          </cell>
        </row>
        <row r="104">
          <cell r="AC104" t="str">
            <v>42301504  Kits for medical education or training</v>
          </cell>
          <cell r="AD104" t="str">
            <v>BOUND TREE</v>
          </cell>
          <cell r="AE104" t="str">
            <v>934-DEMOKITA</v>
          </cell>
          <cell r="AF104" t="str">
            <v>934DEMOKITA</v>
          </cell>
        </row>
        <row r="104">
          <cell r="AH104" t="str">
            <v>TRAINING</v>
          </cell>
          <cell r="AI104">
            <v>5</v>
          </cell>
          <cell r="AJ104" t="str">
            <v>TRAINING KIT, BIG DEMO BONE INJECTION GUN ADLT</v>
          </cell>
        </row>
        <row r="104">
          <cell r="AL104" t="str">
            <v>42301504  Kits for medical education or training</v>
          </cell>
        </row>
        <row r="105">
          <cell r="N105">
            <v>581</v>
          </cell>
          <cell r="O105">
            <v>1068055</v>
          </cell>
          <cell r="P105" t="str">
            <v>Mannequins and Models</v>
          </cell>
          <cell r="Q105" t="str">
            <v>BOUND TREE MEDICAL LLC</v>
          </cell>
          <cell r="R105" t="str">
            <v>Bound Tree Medical-BNDTRE</v>
          </cell>
          <cell r="S105" t="str">
            <v>BNDTRE</v>
          </cell>
          <cell r="T105" t="str">
            <v>Bound Tree Medical</v>
          </cell>
          <cell r="U105" t="str">
            <v>934-DEMOKITP</v>
          </cell>
        </row>
        <row r="105">
          <cell r="X105" t="str">
            <v>Approved for SM</v>
          </cell>
          <cell r="Y105">
            <v>42301504</v>
          </cell>
          <cell r="Z105" t="str">
            <v>Kits for medical education or training</v>
          </cell>
          <cell r="AA105" t="str">
            <v>UNSPSC v23.0701</v>
          </cell>
        </row>
        <row r="105">
          <cell r="AC105" t="str">
            <v>42301504  Kits for medical education or training</v>
          </cell>
          <cell r="AD105" t="str">
            <v>BOUND TREE</v>
          </cell>
          <cell r="AE105" t="str">
            <v>934-DEMOKITP</v>
          </cell>
          <cell r="AF105" t="str">
            <v>934DEMOKITP</v>
          </cell>
        </row>
        <row r="105">
          <cell r="AH105" t="str">
            <v>TRAINING</v>
          </cell>
          <cell r="AI105">
            <v>5</v>
          </cell>
          <cell r="AJ105" t="str">
            <v>TRAINING KIT, BIG DEMO BONE INJECTION GUN PED</v>
          </cell>
        </row>
        <row r="105">
          <cell r="AL105" t="str">
            <v>42301504  Kits for medical education or training</v>
          </cell>
        </row>
        <row r="106">
          <cell r="N106">
            <v>582</v>
          </cell>
          <cell r="O106">
            <v>1067412</v>
          </cell>
          <cell r="P106" t="str">
            <v>PPE Dispensers</v>
          </cell>
          <cell r="Q106" t="str">
            <v>BOWMAN MANUFACTURING CO.</v>
          </cell>
          <cell r="R106" t="str">
            <v>Bowman Manufacturing-BOWMAN</v>
          </cell>
          <cell r="S106" t="str">
            <v>BOWMAN</v>
          </cell>
          <cell r="T106" t="str">
            <v>Bowman Manufacturing</v>
          </cell>
          <cell r="U106" t="str">
            <v>GS-124</v>
          </cell>
        </row>
        <row r="106">
          <cell r="X106" t="str">
            <v>Approved for SM</v>
          </cell>
          <cell r="Y106">
            <v>42132201</v>
          </cell>
          <cell r="Z106" t="str">
            <v>Medical glove boxes or dispensers</v>
          </cell>
          <cell r="AA106" t="str">
            <v>UNSPSC v23.0701</v>
          </cell>
        </row>
        <row r="106">
          <cell r="AC106" t="str">
            <v>42132201  Medical glove boxes or dispensers</v>
          </cell>
          <cell r="AD106" t="str">
            <v>BOWMAN</v>
          </cell>
          <cell r="AE106" t="str">
            <v>GS-124</v>
          </cell>
          <cell r="AF106" t="str">
            <v>GS124</v>
          </cell>
        </row>
        <row r="106">
          <cell r="AH106" t="str">
            <v>DISPENSER</v>
          </cell>
          <cell r="AI106">
            <v>14</v>
          </cell>
          <cell r="AJ106" t="str">
            <v>DISPENSER, GLOVE BOX QUAD W/DIVIDERS S/STL</v>
          </cell>
        </row>
        <row r="106">
          <cell r="AL106" t="str">
            <v>42132201  Medical glove boxes or dispensers</v>
          </cell>
        </row>
        <row r="107">
          <cell r="N107">
            <v>583</v>
          </cell>
          <cell r="O107">
            <v>1073605</v>
          </cell>
          <cell r="P107" t="str">
            <v>PPE Dispensers</v>
          </cell>
          <cell r="Q107" t="str">
            <v>BOWMAN MANUFACTURING CO.</v>
          </cell>
          <cell r="R107" t="str">
            <v>Bowman Manufacturing-BOWMAN</v>
          </cell>
          <cell r="S107" t="str">
            <v>BOWMAN</v>
          </cell>
          <cell r="T107" t="str">
            <v>Bowman Manufacturing</v>
          </cell>
          <cell r="U107" t="str">
            <v>PD200-0212</v>
          </cell>
        </row>
        <row r="107">
          <cell r="X107" t="str">
            <v>Approved for SM</v>
          </cell>
          <cell r="Y107">
            <v>42131600</v>
          </cell>
          <cell r="Z107" t="str">
            <v>Medical staff clothing and related articles</v>
          </cell>
          <cell r="AA107" t="str">
            <v>UNSPSC v23.0701</v>
          </cell>
        </row>
        <row r="107">
          <cell r="AC107" t="str">
            <v>42131600  Medical staff clothing and related articles</v>
          </cell>
          <cell r="AD107" t="str">
            <v>BOWMAN</v>
          </cell>
          <cell r="AE107" t="str">
            <v>PD200-0212</v>
          </cell>
          <cell r="AF107" t="str">
            <v>PD2000212</v>
          </cell>
        </row>
        <row r="107">
          <cell r="AH107" t="str">
            <v>DISPENSER</v>
          </cell>
          <cell r="AI107">
            <v>14</v>
          </cell>
          <cell r="AJ107" t="str">
            <v>DISPENSER, BOOT/SHOECOVER WALLMOUNT UNIV</v>
          </cell>
        </row>
        <row r="107">
          <cell r="AL107" t="str">
            <v>42131600  Medical staff clothing and related articles</v>
          </cell>
        </row>
        <row r="108">
          <cell r="N108">
            <v>596</v>
          </cell>
          <cell r="O108">
            <v>1065863</v>
          </cell>
          <cell r="P108" t="str">
            <v>Instrument Accessories</v>
          </cell>
          <cell r="Q108" t="str">
            <v>BR SURGICAL, LLC</v>
          </cell>
          <cell r="R108" t="str">
            <v>BR Surgical-BRSURG</v>
          </cell>
          <cell r="S108" t="str">
            <v>BRSURG</v>
          </cell>
          <cell r="T108" t="str">
            <v>BR Surgical</v>
          </cell>
          <cell r="U108" t="str">
            <v>BR82-12025</v>
          </cell>
        </row>
        <row r="108">
          <cell r="X108" t="str">
            <v>Approved for SM</v>
          </cell>
          <cell r="Y108">
            <v>42294938</v>
          </cell>
          <cell r="Z108" t="str">
            <v>Sealing caps for endoscopes</v>
          </cell>
          <cell r="AA108" t="str">
            <v>UNSPSC v23.0701</v>
          </cell>
        </row>
        <row r="108">
          <cell r="AC108" t="str">
            <v>42294938  Sealing caps for endoscopes</v>
          </cell>
          <cell r="AD108" t="str">
            <v>BR SURGICAL</v>
          </cell>
          <cell r="AE108" t="str">
            <v>BR82-12025</v>
          </cell>
          <cell r="AF108" t="str">
            <v>BR8212025</v>
          </cell>
        </row>
        <row r="108">
          <cell r="AH108" t="str">
            <v>CAP</v>
          </cell>
          <cell r="AI108">
            <v>11</v>
          </cell>
          <cell r="AJ108" t="str">
            <v>CAP, VAPOR BLK F/LARGE ENDO CADDY TUBE</v>
          </cell>
        </row>
        <row r="108">
          <cell r="AL108" t="str">
            <v>42294938  Sealing caps for endoscopes</v>
          </cell>
        </row>
        <row r="109">
          <cell r="N109">
            <v>597</v>
          </cell>
          <cell r="O109">
            <v>1065741</v>
          </cell>
          <cell r="P109" t="str">
            <v>Laryngoscopes</v>
          </cell>
          <cell r="Q109" t="str">
            <v>BR SURGICAL, LLC</v>
          </cell>
          <cell r="R109" t="str">
            <v>BR Surgical-BRSURG</v>
          </cell>
          <cell r="S109" t="str">
            <v>BRSURG</v>
          </cell>
          <cell r="T109" t="str">
            <v>BR Surgical</v>
          </cell>
          <cell r="U109" t="str">
            <v>BR900-7301</v>
          </cell>
        </row>
        <row r="109">
          <cell r="X109" t="str">
            <v>Approved for SM</v>
          </cell>
          <cell r="Y109">
            <v>42272001</v>
          </cell>
          <cell r="Z109" t="str">
            <v>Intubation laryngoscopes</v>
          </cell>
          <cell r="AA109" t="str">
            <v>UNSPSC v23.0701</v>
          </cell>
        </row>
        <row r="109">
          <cell r="AC109" t="str">
            <v>42272001  Intubation laryngoscopes</v>
          </cell>
          <cell r="AD109" t="str">
            <v>BR SURGICAL</v>
          </cell>
          <cell r="AE109" t="str">
            <v>BR900-7301</v>
          </cell>
          <cell r="AF109" t="str">
            <v>BR9007301</v>
          </cell>
        </row>
        <row r="109">
          <cell r="AH109" t="str">
            <v>STROBOSCOPE</v>
          </cell>
          <cell r="AI109">
            <v>1</v>
          </cell>
          <cell r="AJ109" t="str">
            <v>STROBOSCOPE, LARYNGEAL STROBOUX III HD LED</v>
          </cell>
        </row>
        <row r="109">
          <cell r="AL109" t="str">
            <v>42272001  Intubation laryngoscopes</v>
          </cell>
        </row>
        <row r="110">
          <cell r="N110">
            <v>441</v>
          </cell>
          <cell r="O110">
            <v>1066079</v>
          </cell>
          <cell r="P110" t="str">
            <v>Anesthesia Injection Needles</v>
          </cell>
          <cell r="Q110" t="str">
            <v>B. BRAUN MEDICAL INC.</v>
          </cell>
          <cell r="R110" t="str">
            <v>B. Braun-BBRAUN</v>
          </cell>
          <cell r="S110" t="str">
            <v>BBRAUN</v>
          </cell>
          <cell r="T110" t="str">
            <v>B. Braun</v>
          </cell>
          <cell r="U110">
            <v>339124</v>
          </cell>
        </row>
        <row r="110">
          <cell r="X110" t="str">
            <v>Approved for SM</v>
          </cell>
          <cell r="Y110">
            <v>42142502</v>
          </cell>
          <cell r="Z110" t="str">
            <v>Anesthesia needles</v>
          </cell>
          <cell r="AA110" t="str">
            <v>UNSPSC v23.0701</v>
          </cell>
        </row>
        <row r="110">
          <cell r="AC110" t="str">
            <v>42142502  Anesthesia needles</v>
          </cell>
          <cell r="AD110" t="str">
            <v>BRAUN</v>
          </cell>
          <cell r="AE110">
            <v>339124</v>
          </cell>
          <cell r="AF110" t="str">
            <v>339124</v>
          </cell>
        </row>
        <row r="110">
          <cell r="AH110" t="str">
            <v>NEEDLE</v>
          </cell>
          <cell r="AI110">
            <v>39</v>
          </cell>
          <cell r="AJ110" t="str">
            <v>NEEDLE, EPIDURAL TUOHY NRFIT 17GX3.5" (25/BX)</v>
          </cell>
        </row>
        <row r="110">
          <cell r="AL110" t="str">
            <v>42142502  Anesthesia needles</v>
          </cell>
        </row>
        <row r="111">
          <cell r="N111">
            <v>442</v>
          </cell>
          <cell r="O111">
            <v>1066080</v>
          </cell>
          <cell r="P111" t="str">
            <v>Anesthesia Injection Needles</v>
          </cell>
          <cell r="Q111" t="str">
            <v>B. BRAUN MEDICAL INC.</v>
          </cell>
          <cell r="R111" t="str">
            <v>B. Braun-BBRAUN</v>
          </cell>
          <cell r="S111" t="str">
            <v>BBRAUN</v>
          </cell>
          <cell r="T111" t="str">
            <v>B. Braun</v>
          </cell>
          <cell r="U111">
            <v>339127</v>
          </cell>
        </row>
        <row r="111">
          <cell r="X111" t="str">
            <v>Approved for SM</v>
          </cell>
          <cell r="Y111">
            <v>42142502</v>
          </cell>
          <cell r="Z111" t="str">
            <v>Anesthesia needles</v>
          </cell>
          <cell r="AA111" t="str">
            <v>UNSPSC v23.0701</v>
          </cell>
        </row>
        <row r="111">
          <cell r="AC111" t="str">
            <v>42142502  Anesthesia needles</v>
          </cell>
          <cell r="AD111" t="str">
            <v>BRAUN</v>
          </cell>
          <cell r="AE111">
            <v>339127</v>
          </cell>
          <cell r="AF111" t="str">
            <v>339127</v>
          </cell>
        </row>
        <row r="111">
          <cell r="AH111" t="str">
            <v>NEEDLE</v>
          </cell>
          <cell r="AI111">
            <v>39</v>
          </cell>
          <cell r="AJ111" t="str">
            <v>NEEDLE, NRFIT TUOHY EPIDURAL 18GX6" (25/BX)</v>
          </cell>
        </row>
        <row r="111">
          <cell r="AL111" t="str">
            <v>42142502  Anesthesia needles</v>
          </cell>
        </row>
        <row r="112">
          <cell r="N112">
            <v>443</v>
          </cell>
          <cell r="O112">
            <v>1066082</v>
          </cell>
          <cell r="P112" t="str">
            <v>Anesthesia Injection Needles</v>
          </cell>
          <cell r="Q112" t="str">
            <v>B. BRAUN MEDICAL INC.</v>
          </cell>
          <cell r="R112" t="str">
            <v>B. Braun-BBRAUN</v>
          </cell>
          <cell r="S112" t="str">
            <v>BBRAUN</v>
          </cell>
          <cell r="T112" t="str">
            <v>B. Braun</v>
          </cell>
          <cell r="U112">
            <v>339132</v>
          </cell>
        </row>
        <row r="112">
          <cell r="X112" t="str">
            <v>Approved for SM</v>
          </cell>
          <cell r="Y112">
            <v>42142541</v>
          </cell>
          <cell r="Z112" t="str">
            <v>Spinal aspiration needles</v>
          </cell>
          <cell r="AA112" t="str">
            <v>UNSPSC v23.0701</v>
          </cell>
        </row>
        <row r="112">
          <cell r="AC112" t="str">
            <v>42142541  Spinal aspiration needles</v>
          </cell>
          <cell r="AD112" t="str">
            <v>BRAUN</v>
          </cell>
          <cell r="AE112">
            <v>339132</v>
          </cell>
          <cell r="AF112" t="str">
            <v>339132</v>
          </cell>
        </row>
        <row r="112">
          <cell r="AH112" t="str">
            <v>NEEDLE</v>
          </cell>
          <cell r="AI112">
            <v>39</v>
          </cell>
          <cell r="AJ112" t="str">
            <v>NEEDLE, SPINOCAN 20GX3.5" (50/BX)</v>
          </cell>
        </row>
        <row r="112">
          <cell r="AL112" t="str">
            <v>42142541  Spinal aspiration needles</v>
          </cell>
        </row>
        <row r="113">
          <cell r="N113">
            <v>444</v>
          </cell>
          <cell r="O113">
            <v>1066083</v>
          </cell>
          <cell r="P113" t="str">
            <v>Needles and Syringes Accessories</v>
          </cell>
          <cell r="Q113" t="str">
            <v>B. BRAUN MEDICAL INC.</v>
          </cell>
          <cell r="R113" t="str">
            <v>B. Braun-BBRAUN</v>
          </cell>
          <cell r="S113" t="str">
            <v>BBRAUN</v>
          </cell>
          <cell r="T113" t="str">
            <v>B. Braun</v>
          </cell>
          <cell r="U113">
            <v>339160</v>
          </cell>
        </row>
        <row r="113">
          <cell r="X113" t="str">
            <v>Approved for SM</v>
          </cell>
          <cell r="Y113">
            <v>42142500</v>
          </cell>
          <cell r="Z113" t="str">
            <v>Injection and aspiration needles and accessories</v>
          </cell>
          <cell r="AA113" t="str">
            <v>UNSPSC v23.0701</v>
          </cell>
        </row>
        <row r="113">
          <cell r="AC113" t="str">
            <v>42142500  Injection and aspiration needles and accessories</v>
          </cell>
          <cell r="AD113" t="str">
            <v>BRAUN</v>
          </cell>
          <cell r="AE113">
            <v>339160</v>
          </cell>
          <cell r="AF113" t="str">
            <v>339160</v>
          </cell>
        </row>
        <row r="113">
          <cell r="AH113" t="str">
            <v>FILTER</v>
          </cell>
          <cell r="AI113">
            <v>16</v>
          </cell>
          <cell r="AJ113" t="str">
            <v>FILTER, EPIDURAL FLAT NRFIT (25/BX)</v>
          </cell>
        </row>
        <row r="113">
          <cell r="AL113" t="str">
            <v>42142500  Injection and aspiration needles and accessories</v>
          </cell>
        </row>
        <row r="114">
          <cell r="N114">
            <v>446</v>
          </cell>
          <cell r="O114">
            <v>1066086</v>
          </cell>
          <cell r="P114" t="str">
            <v>IV Therapy Accessories</v>
          </cell>
          <cell r="Q114" t="str">
            <v>B. BRAUN MEDICAL INC.</v>
          </cell>
          <cell r="R114" t="str">
            <v>B. Braun-BBRAUN</v>
          </cell>
          <cell r="S114" t="str">
            <v>BBRAUN</v>
          </cell>
          <cell r="T114" t="str">
            <v>B. Braun</v>
          </cell>
          <cell r="U114">
            <v>339163</v>
          </cell>
        </row>
        <row r="114">
          <cell r="X114" t="str">
            <v>Approved for SM</v>
          </cell>
          <cell r="Y114">
            <v>42221604</v>
          </cell>
          <cell r="Z114" t="str">
            <v>Intravenous or arterial tubing adapter or connector</v>
          </cell>
          <cell r="AA114" t="str">
            <v>UNSPSC v23.0701</v>
          </cell>
        </row>
        <row r="114">
          <cell r="AC114" t="str">
            <v>42221604  Intravenous or arterial tubing adapter or connector</v>
          </cell>
          <cell r="AD114" t="str">
            <v>BRAUN</v>
          </cell>
          <cell r="AE114">
            <v>339163</v>
          </cell>
          <cell r="AF114" t="str">
            <v>339163</v>
          </cell>
        </row>
        <row r="114">
          <cell r="AH114" t="str">
            <v>CONNECTOR</v>
          </cell>
          <cell r="AI114">
            <v>10</v>
          </cell>
          <cell r="AJ114" t="str">
            <v>CONNECTOR, MEDICAL DEVICE NRFIT 19G (50/BX)</v>
          </cell>
        </row>
        <row r="114">
          <cell r="AL114" t="str">
            <v>42221604  Intravenous or arterial tubing adapter or connector</v>
          </cell>
        </row>
        <row r="115">
          <cell r="N115">
            <v>447</v>
          </cell>
          <cell r="O115">
            <v>1066087</v>
          </cell>
          <cell r="P115" t="str">
            <v>IV Therapy Accessories</v>
          </cell>
          <cell r="Q115" t="str">
            <v>B. BRAUN MEDICAL INC.</v>
          </cell>
          <cell r="R115" t="str">
            <v>B. Braun-BBRAUN</v>
          </cell>
          <cell r="S115" t="str">
            <v>BBRAUN</v>
          </cell>
          <cell r="T115" t="str">
            <v>B. Braun</v>
          </cell>
          <cell r="U115">
            <v>339164</v>
          </cell>
        </row>
        <row r="115">
          <cell r="X115" t="str">
            <v>Approved for SM</v>
          </cell>
          <cell r="Y115">
            <v>42221604</v>
          </cell>
          <cell r="Z115" t="str">
            <v>Intravenous or arterial tubing adapter or connector</v>
          </cell>
          <cell r="AA115" t="str">
            <v>UNSPSC v23.0701</v>
          </cell>
        </row>
        <row r="115">
          <cell r="AC115" t="str">
            <v>42221604  Intravenous or arterial tubing adapter or connector</v>
          </cell>
          <cell r="AD115" t="str">
            <v>BRAUN</v>
          </cell>
          <cell r="AE115">
            <v>339164</v>
          </cell>
          <cell r="AF115" t="str">
            <v>339164</v>
          </cell>
        </row>
        <row r="115">
          <cell r="AH115" t="str">
            <v>CONNECTOR</v>
          </cell>
          <cell r="AI115">
            <v>10</v>
          </cell>
          <cell r="AJ115" t="str">
            <v>CONNECTOR, MEDICAL DEVICE NRFIT 20G-24G (50/BX)</v>
          </cell>
        </row>
        <row r="115">
          <cell r="AL115" t="str">
            <v>42221604  Intravenous or arterial tubing adapter or connector</v>
          </cell>
        </row>
        <row r="116">
          <cell r="N116">
            <v>450</v>
          </cell>
          <cell r="O116">
            <v>1066090</v>
          </cell>
          <cell r="P116" t="str">
            <v>Combined Spinal and Epidural Trays</v>
          </cell>
          <cell r="Q116" t="str">
            <v>B. BRAUN MEDICAL INC.</v>
          </cell>
          <cell r="R116" t="str">
            <v>B. Braun-BBRAUN</v>
          </cell>
          <cell r="S116" t="str">
            <v>BBRAUN</v>
          </cell>
          <cell r="T116" t="str">
            <v>B. Braun</v>
          </cell>
          <cell r="U116">
            <v>339180</v>
          </cell>
        </row>
        <row r="116">
          <cell r="X116" t="str">
            <v>New Item</v>
          </cell>
          <cell r="Y116">
            <v>42321622</v>
          </cell>
          <cell r="Z116" t="str">
            <v>Spinal implant kits or systems</v>
          </cell>
          <cell r="AA116" t="str">
            <v>UNSPSC v23.0701</v>
          </cell>
        </row>
        <row r="116">
          <cell r="AC116" t="str">
            <v>42321622  Spinal implant kits or systems</v>
          </cell>
          <cell r="AD116" t="str">
            <v>BRAUN</v>
          </cell>
          <cell r="AE116">
            <v>339180</v>
          </cell>
          <cell r="AF116" t="str">
            <v>339180</v>
          </cell>
        </row>
        <row r="116">
          <cell r="AH116" t="str">
            <v>KIT</v>
          </cell>
          <cell r="AI116">
            <v>22</v>
          </cell>
          <cell r="AJ116" t="str">
            <v>KIT, S25BKN SPINOCAN NRFIT (10/BX)</v>
          </cell>
        </row>
        <row r="116">
          <cell r="AL116" t="str">
            <v>42321622  Spinal implant kits or systems</v>
          </cell>
        </row>
        <row r="117">
          <cell r="N117">
            <v>451</v>
          </cell>
          <cell r="O117">
            <v>1066092</v>
          </cell>
          <cell r="P117" t="str">
            <v>Epidural Trays</v>
          </cell>
          <cell r="Q117" t="str">
            <v>B. BRAUN MEDICAL INC.</v>
          </cell>
          <cell r="R117" t="str">
            <v>B. Braun-BBRAUN</v>
          </cell>
          <cell r="S117" t="str">
            <v>BBRAUN</v>
          </cell>
          <cell r="T117" t="str">
            <v>B. Braun</v>
          </cell>
          <cell r="U117">
            <v>339188</v>
          </cell>
        </row>
        <row r="117">
          <cell r="X117" t="str">
            <v>Approved for SM</v>
          </cell>
          <cell r="Y117">
            <v>42142535</v>
          </cell>
          <cell r="Z117" t="str">
            <v>Anesthesia nerve block kit or tray</v>
          </cell>
          <cell r="AA117" t="str">
            <v>UNSPSC v23.0701</v>
          </cell>
        </row>
        <row r="117">
          <cell r="AC117" t="str">
            <v>42142535  Anesthesia nerve block kit or tray</v>
          </cell>
          <cell r="AD117" t="str">
            <v>BRAUN</v>
          </cell>
          <cell r="AE117">
            <v>339188</v>
          </cell>
          <cell r="AF117" t="str">
            <v>339188</v>
          </cell>
        </row>
        <row r="117">
          <cell r="AH117" t="str">
            <v>PERI</v>
          </cell>
          <cell r="AI117">
            <v>1</v>
          </cell>
          <cell r="AJ117" t="str">
            <v>PERI FIX KIT, ACCU-BLOC NRFIT (10/BX)</v>
          </cell>
        </row>
        <row r="117">
          <cell r="AL117" t="str">
            <v>42142535  Anesthesia nerve block kit or tray</v>
          </cell>
        </row>
        <row r="118">
          <cell r="N118">
            <v>452</v>
          </cell>
          <cell r="O118">
            <v>1066093</v>
          </cell>
          <cell r="P118" t="str">
            <v>Epidural Trays</v>
          </cell>
          <cell r="Q118" t="str">
            <v>B. BRAUN MEDICAL INC.</v>
          </cell>
          <cell r="R118" t="str">
            <v>B. Braun-BBRAUN</v>
          </cell>
          <cell r="S118" t="str">
            <v>BBRAUN</v>
          </cell>
          <cell r="T118" t="str">
            <v>B. Braun</v>
          </cell>
          <cell r="U118">
            <v>339192</v>
          </cell>
        </row>
        <row r="118">
          <cell r="X118" t="str">
            <v>Approved for SM</v>
          </cell>
          <cell r="Y118">
            <v>42142535</v>
          </cell>
          <cell r="Z118" t="str">
            <v>Anesthesia nerve block kit or tray</v>
          </cell>
          <cell r="AA118" t="str">
            <v>UNSPSC v23.0701</v>
          </cell>
        </row>
        <row r="118">
          <cell r="AC118" t="str">
            <v>42142535  Anesthesia nerve block kit or tray</v>
          </cell>
          <cell r="AD118" t="str">
            <v>BRAUN</v>
          </cell>
          <cell r="AE118">
            <v>339192</v>
          </cell>
          <cell r="AF118" t="str">
            <v>339192</v>
          </cell>
        </row>
        <row r="118">
          <cell r="AH118" t="str">
            <v>EPIDURAL</v>
          </cell>
          <cell r="AI118">
            <v>1</v>
          </cell>
          <cell r="AJ118" t="str">
            <v>EPIDURAL TRAY, SD18TDN 18G SD NRFIT (10/BX) RX</v>
          </cell>
        </row>
        <row r="118">
          <cell r="AL118" t="str">
            <v>42142535  Anesthesia nerve block kit or tray</v>
          </cell>
        </row>
        <row r="119">
          <cell r="N119">
            <v>454</v>
          </cell>
          <cell r="O119">
            <v>1064702</v>
          </cell>
          <cell r="P119" t="str">
            <v>IV Administration Sets</v>
          </cell>
          <cell r="Q119" t="str">
            <v>B. BRAUN MEDICAL INC.</v>
          </cell>
          <cell r="R119" t="str">
            <v>B. Braun-BBRAUN</v>
          </cell>
          <cell r="S119" t="str">
            <v>BBRAUN</v>
          </cell>
          <cell r="T119" t="str">
            <v>B. Braun</v>
          </cell>
          <cell r="U119">
            <v>363433</v>
          </cell>
        </row>
        <row r="119">
          <cell r="X119" t="str">
            <v>Approved for SM</v>
          </cell>
          <cell r="Y119">
            <v>42221609</v>
          </cell>
          <cell r="Z119" t="str">
            <v>Intravenous or arterial tubing administration sets</v>
          </cell>
          <cell r="AA119" t="str">
            <v>UNSPSC v23.0701</v>
          </cell>
        </row>
        <row r="119">
          <cell r="AC119" t="str">
            <v>42221609  Intravenous or arterial tubing administration sets</v>
          </cell>
          <cell r="AD119" t="str">
            <v>BRAUN</v>
          </cell>
          <cell r="AE119">
            <v>363433</v>
          </cell>
          <cell r="AF119" t="str">
            <v>363433</v>
          </cell>
        </row>
        <row r="119">
          <cell r="AH119" t="str">
            <v>PUMP</v>
          </cell>
          <cell r="AI119">
            <v>16</v>
          </cell>
          <cell r="AJ119" t="str">
            <v>PUMP SET, IV ASV UNIV 15DRP/ML3ULTRASITES (24/CS)</v>
          </cell>
        </row>
        <row r="119">
          <cell r="AL119" t="str">
            <v>42221609  Intravenous or arterial tubing administration sets</v>
          </cell>
        </row>
        <row r="120">
          <cell r="N120">
            <v>623</v>
          </cell>
          <cell r="O120">
            <v>1064930</v>
          </cell>
          <cell r="P120" t="str">
            <v>Cold</v>
          </cell>
          <cell r="Q120" t="str">
            <v>BREG INC</v>
          </cell>
          <cell r="R120" t="str">
            <v>Breg-BREGIN</v>
          </cell>
          <cell r="S120" t="str">
            <v>BREGIN</v>
          </cell>
          <cell r="T120" t="str">
            <v>Breg</v>
          </cell>
          <cell r="U120">
            <v>2320</v>
          </cell>
        </row>
        <row r="120">
          <cell r="X120" t="str">
            <v>Approved for SM</v>
          </cell>
          <cell r="Y120">
            <v>42142111</v>
          </cell>
          <cell r="Z120" t="str">
            <v>Therapeutic ice packs or pillows</v>
          </cell>
          <cell r="AA120" t="str">
            <v>UNSPSC v23.0701</v>
          </cell>
        </row>
        <row r="120">
          <cell r="AC120" t="str">
            <v>42142111  Therapeutic ice packs or pillows</v>
          </cell>
          <cell r="AD120" t="str">
            <v>BREG</v>
          </cell>
          <cell r="AE120">
            <v>2320</v>
          </cell>
          <cell r="AF120" t="str">
            <v>02320</v>
          </cell>
        </row>
        <row r="120">
          <cell r="AH120" t="str">
            <v>PAD</v>
          </cell>
          <cell r="AI120">
            <v>39</v>
          </cell>
          <cell r="AJ120" t="str">
            <v>PAD, POLAR COLD THERAPY KNEE/SHOULDER</v>
          </cell>
        </row>
        <row r="120">
          <cell r="AL120" t="str">
            <v>42142111  Therapeutic ice packs or pillows</v>
          </cell>
        </row>
        <row r="121">
          <cell r="N121">
            <v>624</v>
          </cell>
          <cell r="O121">
            <v>1064924</v>
          </cell>
          <cell r="P121" t="str">
            <v>Physical Therapy Accessories</v>
          </cell>
          <cell r="Q121" t="str">
            <v>BREG INC</v>
          </cell>
          <cell r="R121" t="str">
            <v>Breg-BREGIN</v>
          </cell>
          <cell r="S121" t="str">
            <v>BREGIN</v>
          </cell>
          <cell r="T121" t="str">
            <v>Breg</v>
          </cell>
          <cell r="U121">
            <v>2653</v>
          </cell>
        </row>
        <row r="121">
          <cell r="X121" t="str">
            <v>Approved for SM</v>
          </cell>
          <cell r="Y121">
            <v>42142108</v>
          </cell>
          <cell r="Z121" t="str">
            <v>Therapeutic heating or cooling pads or compresses or packs</v>
          </cell>
          <cell r="AA121" t="str">
            <v>UNSPSC v23.0701</v>
          </cell>
        </row>
        <row r="121">
          <cell r="AC121" t="str">
            <v>42142108  Therapeutic heating or cooling pads or compresses or packs</v>
          </cell>
          <cell r="AD121" t="str">
            <v>BREG</v>
          </cell>
          <cell r="AE121">
            <v>2653</v>
          </cell>
          <cell r="AF121" t="str">
            <v>02653</v>
          </cell>
        </row>
        <row r="121">
          <cell r="AH121" t="str">
            <v>PAD</v>
          </cell>
          <cell r="AI121">
            <v>39</v>
          </cell>
          <cell r="AJ121" t="str">
            <v>PAD, POLAR WRAP COLD THERAPY SHOULDER SM/MED</v>
          </cell>
        </row>
        <row r="121">
          <cell r="AL121" t="str">
            <v>42142108  Therapeutic heating or cooling pads or compresses or packs</v>
          </cell>
        </row>
        <row r="122">
          <cell r="N122">
            <v>625</v>
          </cell>
          <cell r="O122">
            <v>1064925</v>
          </cell>
          <cell r="P122" t="str">
            <v>Physical Therapy Accessories</v>
          </cell>
          <cell r="Q122" t="str">
            <v>BREG INC</v>
          </cell>
          <cell r="R122" t="str">
            <v>Breg-BREGIN</v>
          </cell>
          <cell r="S122" t="str">
            <v>BREGIN</v>
          </cell>
          <cell r="T122" t="str">
            <v>Breg</v>
          </cell>
          <cell r="U122">
            <v>2655</v>
          </cell>
        </row>
        <row r="122">
          <cell r="X122" t="str">
            <v>Approved for SM</v>
          </cell>
          <cell r="Y122">
            <v>42142108</v>
          </cell>
          <cell r="Z122" t="str">
            <v>Therapeutic heating or cooling pads or compresses or packs</v>
          </cell>
          <cell r="AA122" t="str">
            <v>UNSPSC v23.0701</v>
          </cell>
        </row>
        <row r="122">
          <cell r="AC122" t="str">
            <v>42142108  Therapeutic heating or cooling pads or compresses or packs</v>
          </cell>
          <cell r="AD122" t="str">
            <v>BREG</v>
          </cell>
          <cell r="AE122">
            <v>2655</v>
          </cell>
          <cell r="AF122" t="str">
            <v>02655</v>
          </cell>
        </row>
        <row r="122">
          <cell r="AH122" t="str">
            <v>PAD</v>
          </cell>
          <cell r="AI122">
            <v>39</v>
          </cell>
          <cell r="AJ122" t="str">
            <v>PAD, POLAR WRAP COLD THERAPY SHOULDER LG/XLG</v>
          </cell>
        </row>
        <row r="122">
          <cell r="AL122" t="str">
            <v>42142108  Therapeutic heating or cooling pads or compresses or packs</v>
          </cell>
        </row>
        <row r="123">
          <cell r="N123">
            <v>4637</v>
          </cell>
          <cell r="O123">
            <v>1075173</v>
          </cell>
          <cell r="P123" t="str">
            <v>Furnishing Accessories</v>
          </cell>
          <cell r="Q123" t="str">
            <v>THE BREWER COMPANY</v>
          </cell>
          <cell r="R123" t="str">
            <v>The Brewer Company-BREWER</v>
          </cell>
          <cell r="S123" t="str">
            <v>BREWER</v>
          </cell>
          <cell r="T123" t="str">
            <v>The Brewer Company</v>
          </cell>
          <cell r="U123">
            <v>99994</v>
          </cell>
        </row>
        <row r="123">
          <cell r="X123" t="str">
            <v>Approved for SM</v>
          </cell>
          <cell r="Y123">
            <v>42192002</v>
          </cell>
          <cell r="Z123" t="str">
            <v>Medical exam or procedure table accessories for general use excluding cover sheets</v>
          </cell>
          <cell r="AA123" t="str">
            <v>UNSPSC v23.0701</v>
          </cell>
        </row>
        <row r="123">
          <cell r="AC123" t="str">
            <v>42192002  Medical exam or procedure table accessories for general use excluding cover sheets</v>
          </cell>
          <cell r="AD123" t="str">
            <v>BREWER</v>
          </cell>
          <cell r="AE123">
            <v>99994</v>
          </cell>
          <cell r="AF123" t="str">
            <v>99994</v>
          </cell>
        </row>
        <row r="123">
          <cell r="AH123" t="str">
            <v>ACTUATOR</v>
          </cell>
          <cell r="AI123">
            <v>2</v>
          </cell>
          <cell r="AJ123" t="str">
            <v>ACTUATOR, TILT F/ASSIST 7000 PROC TBL</v>
          </cell>
        </row>
        <row r="123">
          <cell r="AL123" t="str">
            <v>42192002  Medical exam or procedure table accessories for general use excluding cover sheets</v>
          </cell>
        </row>
        <row r="124">
          <cell r="N124">
            <v>4638</v>
          </cell>
          <cell r="O124">
            <v>1066715</v>
          </cell>
          <cell r="P124" t="str">
            <v>Furnishing Accessories</v>
          </cell>
          <cell r="Q124" t="str">
            <v>THE BREWER COMPANY</v>
          </cell>
          <cell r="R124" t="str">
            <v>The Brewer Company-BREWER</v>
          </cell>
          <cell r="S124" t="str">
            <v>BREWER</v>
          </cell>
          <cell r="T124" t="str">
            <v>The Brewer Company</v>
          </cell>
          <cell r="U124">
            <v>101443</v>
          </cell>
        </row>
        <row r="124">
          <cell r="X124" t="str">
            <v>Approved for SM</v>
          </cell>
          <cell r="Y124">
            <v>42192002</v>
          </cell>
          <cell r="Z124" t="str">
            <v>Medical exam or procedure table accessories for general use excluding cover sheets</v>
          </cell>
          <cell r="AA124" t="str">
            <v>UNSPSC v23.0701</v>
          </cell>
        </row>
        <row r="124">
          <cell r="AC124" t="str">
            <v>42192002  Medical exam or procedure table accessories for general use excluding cover sheets</v>
          </cell>
          <cell r="AD124" t="str">
            <v>BREWER</v>
          </cell>
          <cell r="AE124">
            <v>101443</v>
          </cell>
          <cell r="AF124" t="str">
            <v>101443</v>
          </cell>
        </row>
        <row r="124">
          <cell r="AH124" t="str">
            <v>BOX/PACKING</v>
          </cell>
          <cell r="AI124">
            <v>1</v>
          </cell>
          <cell r="AJ124" t="str">
            <v>BOX/PACKING MATERIAL, F/HI-LO EXAM TABLE</v>
          </cell>
        </row>
        <row r="124">
          <cell r="AL124" t="str">
            <v>42192002  Medical exam or procedure table accessories for general use excluding cover sheets</v>
          </cell>
        </row>
        <row r="125">
          <cell r="N125">
            <v>4640</v>
          </cell>
          <cell r="O125">
            <v>1075247</v>
          </cell>
          <cell r="P125" t="str">
            <v>Furnishing Accessories</v>
          </cell>
          <cell r="Q125" t="str">
            <v>THE BREWER COMPANY</v>
          </cell>
          <cell r="R125" t="str">
            <v>The Brewer Company-BREWER</v>
          </cell>
          <cell r="S125" t="str">
            <v>BREWER</v>
          </cell>
          <cell r="T125" t="str">
            <v>The Brewer Company</v>
          </cell>
          <cell r="U125" t="str">
            <v>101625-US364</v>
          </cell>
        </row>
        <row r="125">
          <cell r="X125" t="str">
            <v>Approved for SM</v>
          </cell>
          <cell r="Y125">
            <v>42192111</v>
          </cell>
          <cell r="Z125" t="str">
            <v>Medical stool or chair accessories</v>
          </cell>
          <cell r="AA125" t="str">
            <v>UNSPSC v23.0701</v>
          </cell>
        </row>
        <row r="125">
          <cell r="AC125" t="str">
            <v>42192111  Medical stool or chair accessories</v>
          </cell>
          <cell r="AD125" t="str">
            <v>BREWER</v>
          </cell>
          <cell r="AE125" t="str">
            <v>101625-US364</v>
          </cell>
          <cell r="AF125" t="str">
            <v>101625US364</v>
          </cell>
        </row>
        <row r="125">
          <cell r="AH125" t="str">
            <v>UPHOLSTERY</v>
          </cell>
          <cell r="AI125">
            <v>12</v>
          </cell>
          <cell r="AJ125" t="str">
            <v>UPHOLSTERY, SEAT CUSHION F/LABSTOOL BURG</v>
          </cell>
        </row>
        <row r="125">
          <cell r="AL125" t="str">
            <v>42192111  Medical stool or chair accessories</v>
          </cell>
        </row>
        <row r="126">
          <cell r="N126">
            <v>4649</v>
          </cell>
          <cell r="O126">
            <v>1067318</v>
          </cell>
          <cell r="P126" t="str">
            <v>Furnishing Accessories</v>
          </cell>
          <cell r="Q126" t="str">
            <v>THE BREWER COMPANY</v>
          </cell>
          <cell r="R126" t="str">
            <v>The Brewer Company-BREWER</v>
          </cell>
          <cell r="S126" t="str">
            <v>BREWER</v>
          </cell>
          <cell r="T126" t="str">
            <v>The Brewer Company</v>
          </cell>
          <cell r="U126" t="str">
            <v>PR36</v>
          </cell>
        </row>
        <row r="126">
          <cell r="X126" t="str">
            <v>Approved for SM</v>
          </cell>
          <cell r="Y126">
            <v>42192001</v>
          </cell>
          <cell r="Z126" t="str">
            <v>Medical exam or procedure tables for general use</v>
          </cell>
          <cell r="AA126" t="str">
            <v>UNSPSC v23.0701</v>
          </cell>
        </row>
        <row r="126">
          <cell r="AC126" t="str">
            <v>42192001  Medical exam or procedure tables for general use</v>
          </cell>
          <cell r="AD126" t="str">
            <v>BREWER</v>
          </cell>
          <cell r="AE126" t="str">
            <v>PR36</v>
          </cell>
          <cell r="AF126" t="str">
            <v>PR36</v>
          </cell>
        </row>
        <row r="126">
          <cell r="AH126" t="str">
            <v>BREWER</v>
          </cell>
          <cell r="AI126">
            <v>7</v>
          </cell>
          <cell r="AJ126" t="str">
            <v>BREWER UPHOL CABERNET DS</v>
          </cell>
        </row>
        <row r="126">
          <cell r="AL126" t="str">
            <v>42192001  Medical exam or procedure tables for general use</v>
          </cell>
        </row>
        <row r="127">
          <cell r="N127">
            <v>4650</v>
          </cell>
          <cell r="O127">
            <v>1067320</v>
          </cell>
          <cell r="P127" t="str">
            <v>Furnishing Accessories</v>
          </cell>
          <cell r="Q127" t="str">
            <v>THE BREWER COMPANY</v>
          </cell>
          <cell r="R127" t="str">
            <v>The Brewer Company-BREWER</v>
          </cell>
          <cell r="S127" t="str">
            <v>BREWER</v>
          </cell>
          <cell r="T127" t="str">
            <v>The Brewer Company</v>
          </cell>
          <cell r="U127" t="str">
            <v>PR40</v>
          </cell>
        </row>
        <row r="127">
          <cell r="X127" t="str">
            <v>Approved for SM</v>
          </cell>
          <cell r="Y127">
            <v>42192001</v>
          </cell>
          <cell r="Z127" t="str">
            <v>Medical exam or procedure tables for general use</v>
          </cell>
          <cell r="AA127" t="str">
            <v>UNSPSC v23.0701</v>
          </cell>
        </row>
        <row r="127">
          <cell r="AC127" t="str">
            <v>42192001  Medical exam or procedure tables for general use</v>
          </cell>
          <cell r="AD127" t="str">
            <v>BREWER</v>
          </cell>
          <cell r="AE127" t="str">
            <v>PR40</v>
          </cell>
          <cell r="AF127" t="str">
            <v>PR40</v>
          </cell>
        </row>
        <row r="127">
          <cell r="AH127" t="str">
            <v>BREWER</v>
          </cell>
          <cell r="AI127">
            <v>7</v>
          </cell>
          <cell r="AJ127" t="str">
            <v>BREWER UPHOL BLACK SATIN DS</v>
          </cell>
        </row>
        <row r="127">
          <cell r="AL127" t="str">
            <v>42192001  Medical exam or procedure tables for general use</v>
          </cell>
        </row>
        <row r="128">
          <cell r="N128">
            <v>4651</v>
          </cell>
          <cell r="O128">
            <v>1067321</v>
          </cell>
          <cell r="P128" t="str">
            <v>Furnishing Accessories</v>
          </cell>
          <cell r="Q128" t="str">
            <v>THE BREWER COMPANY</v>
          </cell>
          <cell r="R128" t="str">
            <v>The Brewer Company-BREWER</v>
          </cell>
          <cell r="S128" t="str">
            <v>BREWER</v>
          </cell>
          <cell r="T128" t="str">
            <v>The Brewer Company</v>
          </cell>
          <cell r="U128" t="str">
            <v>PR47</v>
          </cell>
        </row>
        <row r="128">
          <cell r="X128" t="str">
            <v>Approved for SM</v>
          </cell>
          <cell r="Y128">
            <v>42192001</v>
          </cell>
          <cell r="Z128" t="str">
            <v>Medical exam or procedure tables for general use</v>
          </cell>
          <cell r="AA128" t="str">
            <v>UNSPSC v23.0701</v>
          </cell>
        </row>
        <row r="128">
          <cell r="AC128" t="str">
            <v>42192001  Medical exam or procedure tables for general use</v>
          </cell>
          <cell r="AD128" t="str">
            <v>BREWER</v>
          </cell>
          <cell r="AE128" t="str">
            <v>PR47</v>
          </cell>
          <cell r="AF128" t="str">
            <v>PR47</v>
          </cell>
        </row>
        <row r="128">
          <cell r="AH128" t="str">
            <v>BREWER</v>
          </cell>
          <cell r="AI128">
            <v>7</v>
          </cell>
          <cell r="AJ128" t="str">
            <v>BREWER UPHOL TAPESTRY RED DS</v>
          </cell>
        </row>
        <row r="128">
          <cell r="AL128" t="str">
            <v>42192001  Medical exam or procedure tables for general use</v>
          </cell>
        </row>
        <row r="129">
          <cell r="N129">
            <v>4652</v>
          </cell>
          <cell r="O129">
            <v>1067322</v>
          </cell>
          <cell r="P129" t="str">
            <v>Furnishing Accessories</v>
          </cell>
          <cell r="Q129" t="str">
            <v>THE BREWER COMPANY</v>
          </cell>
          <cell r="R129" t="str">
            <v>The Brewer Company-BREWER</v>
          </cell>
          <cell r="S129" t="str">
            <v>BREWER</v>
          </cell>
          <cell r="T129" t="str">
            <v>The Brewer Company</v>
          </cell>
          <cell r="U129" t="str">
            <v>PR49</v>
          </cell>
        </row>
        <row r="129">
          <cell r="X129" t="str">
            <v>Approved for SM</v>
          </cell>
          <cell r="Y129">
            <v>42192001</v>
          </cell>
          <cell r="Z129" t="str">
            <v>Medical exam or procedure tables for general use</v>
          </cell>
          <cell r="AA129" t="str">
            <v>UNSPSC v23.0701</v>
          </cell>
        </row>
        <row r="129">
          <cell r="AC129" t="str">
            <v>42192001  Medical exam or procedure tables for general use</v>
          </cell>
          <cell r="AD129" t="str">
            <v>BREWER</v>
          </cell>
          <cell r="AE129" t="str">
            <v>PR49</v>
          </cell>
          <cell r="AF129" t="str">
            <v>PR49</v>
          </cell>
        </row>
        <row r="129">
          <cell r="AH129" t="str">
            <v>BREWER</v>
          </cell>
          <cell r="AI129">
            <v>7</v>
          </cell>
          <cell r="AJ129" t="str">
            <v>BREWER UPHOL DEEP SEA DS</v>
          </cell>
        </row>
        <row r="129">
          <cell r="AL129" t="str">
            <v>42192001  Medical exam or procedure tables for general use</v>
          </cell>
        </row>
        <row r="130">
          <cell r="N130">
            <v>4653</v>
          </cell>
          <cell r="O130">
            <v>1067324</v>
          </cell>
          <cell r="P130" t="str">
            <v>Furnishing Accessories</v>
          </cell>
          <cell r="Q130" t="str">
            <v>THE BREWER COMPANY</v>
          </cell>
          <cell r="R130" t="str">
            <v>The Brewer Company-BREWER</v>
          </cell>
          <cell r="S130" t="str">
            <v>BREWER</v>
          </cell>
          <cell r="T130" t="str">
            <v>The Brewer Company</v>
          </cell>
          <cell r="U130" t="str">
            <v>PR52</v>
          </cell>
        </row>
        <row r="130">
          <cell r="X130" t="str">
            <v>Approved for SM</v>
          </cell>
          <cell r="Y130">
            <v>42192001</v>
          </cell>
          <cell r="Z130" t="str">
            <v>Medical exam or procedure tables for general use</v>
          </cell>
          <cell r="AA130" t="str">
            <v>UNSPSC v23.0701</v>
          </cell>
        </row>
        <row r="130">
          <cell r="AC130" t="str">
            <v>42192001  Medical exam or procedure tables for general use</v>
          </cell>
          <cell r="AD130" t="str">
            <v>BREWER</v>
          </cell>
          <cell r="AE130" t="str">
            <v>PR52</v>
          </cell>
          <cell r="AF130" t="str">
            <v>PR52</v>
          </cell>
        </row>
        <row r="130">
          <cell r="AH130" t="str">
            <v>BREWER</v>
          </cell>
          <cell r="AI130">
            <v>7</v>
          </cell>
          <cell r="AJ130" t="str">
            <v>BREWER UPHOL SADDLE DS</v>
          </cell>
        </row>
        <row r="130">
          <cell r="AL130" t="str">
            <v>42192001  Medical exam or procedure tables for general use</v>
          </cell>
        </row>
        <row r="131">
          <cell r="N131">
            <v>4654</v>
          </cell>
          <cell r="O131">
            <v>1067327</v>
          </cell>
          <cell r="P131" t="str">
            <v>Furnishing Accessories</v>
          </cell>
          <cell r="Q131" t="str">
            <v>THE BREWER COMPANY</v>
          </cell>
          <cell r="R131" t="str">
            <v>The Brewer Company-BREWER</v>
          </cell>
          <cell r="S131" t="str">
            <v>BREWER</v>
          </cell>
          <cell r="T131" t="str">
            <v>The Brewer Company</v>
          </cell>
          <cell r="U131" t="str">
            <v>PR57</v>
          </cell>
        </row>
        <row r="131">
          <cell r="X131" t="str">
            <v>Approved for SM</v>
          </cell>
          <cell r="Y131">
            <v>42192001</v>
          </cell>
          <cell r="Z131" t="str">
            <v>Medical exam or procedure tables for general use</v>
          </cell>
          <cell r="AA131" t="str">
            <v>UNSPSC v23.0701</v>
          </cell>
        </row>
        <row r="131">
          <cell r="AC131" t="str">
            <v>42192001  Medical exam or procedure tables for general use</v>
          </cell>
          <cell r="AD131" t="str">
            <v>BREWER</v>
          </cell>
          <cell r="AE131" t="str">
            <v>PR57</v>
          </cell>
          <cell r="AF131" t="str">
            <v>PR57</v>
          </cell>
        </row>
        <row r="131">
          <cell r="AH131" t="str">
            <v>BREWER</v>
          </cell>
          <cell r="AI131">
            <v>7</v>
          </cell>
          <cell r="AJ131" t="str">
            <v>BREWER UPHOL CLAMSHELL DS</v>
          </cell>
        </row>
        <row r="131">
          <cell r="AL131" t="str">
            <v>42192001  Medical exam or procedure tables for general use</v>
          </cell>
        </row>
        <row r="132">
          <cell r="N132">
            <v>4655</v>
          </cell>
          <cell r="O132">
            <v>1073708</v>
          </cell>
          <cell r="P132" t="str">
            <v>Furnishing Accessories</v>
          </cell>
          <cell r="Q132" t="str">
            <v>THE BREWER COMPANY</v>
          </cell>
          <cell r="R132" t="str">
            <v>The Brewer Company-BREWER</v>
          </cell>
          <cell r="S132" t="str">
            <v>BREWER</v>
          </cell>
          <cell r="T132" t="str">
            <v>The Brewer Company</v>
          </cell>
          <cell r="U132" t="str">
            <v>PR57</v>
          </cell>
        </row>
        <row r="132">
          <cell r="X132" t="str">
            <v>Approved for SM</v>
          </cell>
          <cell r="Y132">
            <v>42192002</v>
          </cell>
          <cell r="Z132" t="str">
            <v>Medical exam or procedure table accessories for general use excluding cover sheets</v>
          </cell>
          <cell r="AA132" t="str">
            <v>UNSPSC v23.0701</v>
          </cell>
        </row>
        <row r="132">
          <cell r="AC132" t="str">
            <v>42192002  Medical exam or procedure table accessories for general use excluding cover sheets</v>
          </cell>
          <cell r="AD132" t="str">
            <v>BREWER</v>
          </cell>
          <cell r="AE132" t="str">
            <v>PR57</v>
          </cell>
          <cell r="AF132" t="str">
            <v>PR57</v>
          </cell>
        </row>
        <row r="132">
          <cell r="AH132" t="str">
            <v>VINYL</v>
          </cell>
          <cell r="AI132">
            <v>1</v>
          </cell>
          <cell r="AJ132" t="str">
            <v>VINYL, UPHOLSTERY FABRIC CLAMSHELL 1YD</v>
          </cell>
        </row>
        <row r="132">
          <cell r="AL132" t="str">
            <v>42192002  Medical exam or procedure table accessories for general use excluding cover sheets</v>
          </cell>
        </row>
        <row r="133">
          <cell r="N133">
            <v>4656</v>
          </cell>
          <cell r="O133">
            <v>1067328</v>
          </cell>
          <cell r="P133" t="str">
            <v>Furnishing Accessories</v>
          </cell>
          <cell r="Q133" t="str">
            <v>THE BREWER COMPANY</v>
          </cell>
          <cell r="R133" t="str">
            <v>The Brewer Company-BREWER</v>
          </cell>
          <cell r="S133" t="str">
            <v>BREWER</v>
          </cell>
          <cell r="T133" t="str">
            <v>The Brewer Company</v>
          </cell>
          <cell r="U133" t="str">
            <v>PR92</v>
          </cell>
        </row>
        <row r="133">
          <cell r="X133" t="str">
            <v>Approved for SM</v>
          </cell>
          <cell r="Y133">
            <v>42192001</v>
          </cell>
          <cell r="Z133" t="str">
            <v>Medical exam or procedure tables for general use</v>
          </cell>
          <cell r="AA133" t="str">
            <v>UNSPSC v23.0701</v>
          </cell>
        </row>
        <row r="133">
          <cell r="AC133" t="str">
            <v>42192001  Medical exam or procedure tables for general use</v>
          </cell>
          <cell r="AD133" t="str">
            <v>BREWER</v>
          </cell>
          <cell r="AE133" t="str">
            <v>PR92</v>
          </cell>
          <cell r="AF133" t="str">
            <v>PR92</v>
          </cell>
        </row>
        <row r="133">
          <cell r="AH133" t="str">
            <v>BREWER</v>
          </cell>
          <cell r="AI133">
            <v>7</v>
          </cell>
          <cell r="AJ133" t="str">
            <v>BREWER UPHOL GUNMETAL DS</v>
          </cell>
        </row>
        <row r="133">
          <cell r="AL133" t="str">
            <v>42192001  Medical exam or procedure tables for general use</v>
          </cell>
        </row>
        <row r="134">
          <cell r="N134">
            <v>706</v>
          </cell>
          <cell r="O134">
            <v>1072649</v>
          </cell>
          <cell r="P134" t="str">
            <v>Ultraviolet Lights</v>
          </cell>
          <cell r="Q134" t="str">
            <v>BULBTRONICS, INC.</v>
          </cell>
          <cell r="R134" t="str">
            <v>Bulbtronics-BULBTR</v>
          </cell>
          <cell r="S134" t="str">
            <v>BULBTR</v>
          </cell>
          <cell r="T134" t="str">
            <v>Bulbtronics</v>
          </cell>
          <cell r="U134">
            <v>16451</v>
          </cell>
        </row>
        <row r="134">
          <cell r="X134" t="str">
            <v>Approved for SM</v>
          </cell>
          <cell r="Y134">
            <v>39101616</v>
          </cell>
          <cell r="Z134" t="str">
            <v>Ultraviolet UV lamps</v>
          </cell>
          <cell r="AA134" t="str">
            <v>UNSPSC v23.0701</v>
          </cell>
        </row>
        <row r="134">
          <cell r="AC134" t="str">
            <v>39101616  Ultraviolet UV lamps</v>
          </cell>
          <cell r="AD134" t="str">
            <v>BULBTRONICS</v>
          </cell>
          <cell r="AE134">
            <v>16451</v>
          </cell>
          <cell r="AF134" t="str">
            <v>0016451</v>
          </cell>
        </row>
        <row r="134">
          <cell r="AH134" t="str">
            <v>LAMP</v>
          </cell>
          <cell r="AI134">
            <v>9</v>
          </cell>
          <cell r="AJ134" t="str">
            <v>LAMP, GERMICIDAL ULTRAVIOLET DBL END 8W</v>
          </cell>
        </row>
        <row r="134">
          <cell r="AL134" t="str">
            <v>39101616  Ultraviolet UV lamps</v>
          </cell>
        </row>
        <row r="135">
          <cell r="N135">
            <v>712</v>
          </cell>
          <cell r="O135">
            <v>1073565</v>
          </cell>
          <cell r="P135" t="str">
            <v>Furnishing Accessories</v>
          </cell>
          <cell r="Q135" t="str">
            <v>BURTON MEDICAL LLC</v>
          </cell>
          <cell r="R135" t="str">
            <v>Burton Medical Products-PHLPBT</v>
          </cell>
          <cell r="S135" t="str">
            <v>PHLPBT</v>
          </cell>
          <cell r="T135" t="str">
            <v>Burton Medical Products</v>
          </cell>
          <cell r="U135">
            <v>1009728</v>
          </cell>
        </row>
        <row r="135">
          <cell r="X135" t="str">
            <v>Approved for SM</v>
          </cell>
          <cell r="Y135">
            <v>42182606</v>
          </cell>
          <cell r="Z135" t="str">
            <v>Medical exam or surgical headlights or headlamp accessories</v>
          </cell>
          <cell r="AA135" t="str">
            <v>UNSPSC v23.0701</v>
          </cell>
        </row>
        <row r="135">
          <cell r="AC135" t="str">
            <v>42182606  Medical exam or surgical headlights or headlamp accessories</v>
          </cell>
          <cell r="AD135" t="str">
            <v>BURTON</v>
          </cell>
          <cell r="AE135">
            <v>1009728</v>
          </cell>
          <cell r="AF135" t="str">
            <v>1009728</v>
          </cell>
        </row>
        <row r="135">
          <cell r="AH135" t="str">
            <v>CAP</v>
          </cell>
          <cell r="AI135">
            <v>11</v>
          </cell>
          <cell r="AJ135" t="str">
            <v>CAP, LIGHT TERMINAL END BLOCK</v>
          </cell>
        </row>
        <row r="135">
          <cell r="AL135" t="str">
            <v>42182606  Medical exam or surgical headlights or headlamp accessories</v>
          </cell>
        </row>
        <row r="136">
          <cell r="N136">
            <v>713</v>
          </cell>
          <cell r="O136">
            <v>1073687</v>
          </cell>
          <cell r="P136" t="str">
            <v>Diagnostic Accessories</v>
          </cell>
          <cell r="Q136" t="str">
            <v>BURTON MEDICAL LLC</v>
          </cell>
          <cell r="R136" t="str">
            <v>Burton Medical Products-PHLPBT</v>
          </cell>
          <cell r="S136" t="str">
            <v>PHLPBT</v>
          </cell>
          <cell r="T136" t="str">
            <v>Burton Medical Products</v>
          </cell>
          <cell r="U136">
            <v>1009729</v>
          </cell>
        </row>
        <row r="136">
          <cell r="X136" t="str">
            <v>Approved for SM</v>
          </cell>
          <cell r="Y136">
            <v>42182606</v>
          </cell>
          <cell r="Z136" t="str">
            <v>Medical exam or surgical headlights or headlamp accessories</v>
          </cell>
          <cell r="AA136" t="str">
            <v>UNSPSC v23.0701</v>
          </cell>
        </row>
        <row r="136">
          <cell r="AC136" t="str">
            <v>42182606  Medical exam or surgical headlights or headlamp accessories</v>
          </cell>
          <cell r="AD136" t="str">
            <v>BURTON</v>
          </cell>
          <cell r="AE136">
            <v>1009729</v>
          </cell>
          <cell r="AF136" t="str">
            <v>1009729</v>
          </cell>
        </row>
        <row r="136">
          <cell r="AH136" t="str">
            <v>BLOCK</v>
          </cell>
          <cell r="AI136">
            <v>4</v>
          </cell>
          <cell r="AJ136" t="str">
            <v>BLOCK, TERMINAL SOCKET II</v>
          </cell>
        </row>
        <row r="136">
          <cell r="AL136" t="str">
            <v>42182606  Medical exam or surgical headlights or headlamp accessories</v>
          </cell>
        </row>
        <row r="137">
          <cell r="N137">
            <v>714</v>
          </cell>
          <cell r="O137">
            <v>1066336</v>
          </cell>
          <cell r="P137" t="str">
            <v>Furnishing Accessories</v>
          </cell>
          <cell r="Q137" t="str">
            <v>BURTON MEDICAL LLC</v>
          </cell>
          <cell r="R137" t="str">
            <v>Burton Medical Products-PHLPBT</v>
          </cell>
          <cell r="S137" t="str">
            <v>PHLPBT</v>
          </cell>
          <cell r="T137" t="str">
            <v>Burton Medical Products</v>
          </cell>
          <cell r="U137">
            <v>4000333</v>
          </cell>
        </row>
        <row r="137">
          <cell r="X137" t="str">
            <v>Approved for SM</v>
          </cell>
          <cell r="Y137">
            <v>42182600</v>
          </cell>
          <cell r="Z137" t="str">
            <v>Medical exam lights or lamps</v>
          </cell>
          <cell r="AA137" t="str">
            <v>UNSPSC v23.0701</v>
          </cell>
        </row>
        <row r="137">
          <cell r="AC137" t="str">
            <v>42182600  Medical exam lights or lamps</v>
          </cell>
          <cell r="AD137" t="str">
            <v>BURTON</v>
          </cell>
          <cell r="AE137">
            <v>4000333</v>
          </cell>
          <cell r="AF137" t="str">
            <v>4000333</v>
          </cell>
        </row>
        <row r="137">
          <cell r="AH137" t="str">
            <v>EXTENSION</v>
          </cell>
          <cell r="AI137">
            <v>1</v>
          </cell>
          <cell r="AJ137" t="str">
            <v>EXTENSION, DOWN TUBE F/OUTPT LED SNGL CEILING LIGHT</v>
          </cell>
        </row>
        <row r="137">
          <cell r="AL137" t="str">
            <v>42182600  Medical exam lights or lamps</v>
          </cell>
        </row>
        <row r="138">
          <cell r="N138">
            <v>715</v>
          </cell>
          <cell r="O138">
            <v>1066284</v>
          </cell>
          <cell r="P138" t="str">
            <v>Needle Holders</v>
          </cell>
          <cell r="Q138" t="str">
            <v>BUSSE HOSPITAL DISPOSABLES</v>
          </cell>
          <cell r="R138" t="str">
            <v>Busse Hospital Disposables-BUSSE</v>
          </cell>
          <cell r="S138" t="str">
            <v>BUSSE</v>
          </cell>
          <cell r="T138" t="str">
            <v>Busse Hospital Disposables</v>
          </cell>
          <cell r="U138">
            <v>599</v>
          </cell>
        </row>
        <row r="138">
          <cell r="X138" t="str">
            <v>Approved for SM</v>
          </cell>
          <cell r="Y138">
            <v>42142529</v>
          </cell>
          <cell r="Z138" t="str">
            <v>Needle trays or holders</v>
          </cell>
          <cell r="AA138" t="str">
            <v>UNSPSC v23.0701</v>
          </cell>
        </row>
        <row r="138">
          <cell r="AC138" t="str">
            <v>42142529  Needle trays or holders</v>
          </cell>
          <cell r="AD138" t="str">
            <v>BUSSE</v>
          </cell>
          <cell r="AE138">
            <v>599</v>
          </cell>
          <cell r="AF138" t="str">
            <v>599</v>
          </cell>
        </row>
        <row r="138">
          <cell r="AH138" t="str">
            <v>HOLDER</v>
          </cell>
          <cell r="AI138">
            <v>18</v>
          </cell>
          <cell r="AJ138" t="str">
            <v>HOLDER, NEEDLE SAF-T-CUBE (1000/CS)</v>
          </cell>
        </row>
        <row r="138">
          <cell r="AL138" t="str">
            <v>42142529  Needle trays or holders</v>
          </cell>
        </row>
        <row r="139">
          <cell r="N139">
            <v>750</v>
          </cell>
          <cell r="O139">
            <v>1071692</v>
          </cell>
          <cell r="P139" t="str">
            <v>Furnishing Accessories</v>
          </cell>
          <cell r="Q139" t="str">
            <v>CAPSA SOLUTIONS LLC</v>
          </cell>
          <cell r="R139" t="str">
            <v>Capsa Solutions-CAPSAS</v>
          </cell>
          <cell r="S139" t="str">
            <v>CAPSAS</v>
          </cell>
          <cell r="T139" t="str">
            <v>Capsa Solutions</v>
          </cell>
          <cell r="U139" t="str">
            <v>SP-310001</v>
          </cell>
        </row>
        <row r="139">
          <cell r="X139" t="str">
            <v>Approved for SM</v>
          </cell>
          <cell r="Y139">
            <v>42192407</v>
          </cell>
          <cell r="Z139" t="str">
            <v>Medical cart accessories</v>
          </cell>
          <cell r="AA139" t="str">
            <v>UNSPSC v23.0701</v>
          </cell>
        </row>
        <row r="139">
          <cell r="AC139" t="str">
            <v>42192407  Medical cart accessories</v>
          </cell>
          <cell r="AD139" t="str">
            <v>CAPSA</v>
          </cell>
          <cell r="AE139" t="str">
            <v>SP-310001</v>
          </cell>
          <cell r="AF139" t="str">
            <v>SP310001</v>
          </cell>
        </row>
        <row r="139">
          <cell r="AH139" t="str">
            <v>KEY</v>
          </cell>
          <cell r="AI139">
            <v>4</v>
          </cell>
          <cell r="AJ139" t="str">
            <v>KEY, F/MEDICAL CART IM-1 D/S</v>
          </cell>
        </row>
        <row r="139">
          <cell r="AL139" t="str">
            <v>42192407  Medical cart accessories</v>
          </cell>
        </row>
        <row r="140">
          <cell r="N140">
            <v>753</v>
          </cell>
          <cell r="O140">
            <v>1067265</v>
          </cell>
          <cell r="P140" t="str">
            <v>Furnishing Accessories</v>
          </cell>
          <cell r="Q140" t="str">
            <v>CAPSA SOLUTIONS LLC</v>
          </cell>
          <cell r="R140" t="str">
            <v>Capsa Solutions-CAPSAS</v>
          </cell>
          <cell r="S140" t="str">
            <v>CAPSAS</v>
          </cell>
          <cell r="T140" t="str">
            <v>Capsa Solutions</v>
          </cell>
          <cell r="U140" t="str">
            <v>UG-200610</v>
          </cell>
        </row>
        <row r="140">
          <cell r="X140" t="str">
            <v>New Item</v>
          </cell>
          <cell r="Y140">
            <v>42191904</v>
          </cell>
          <cell r="Z140" t="str">
            <v>Narcotic cabinets or safes</v>
          </cell>
          <cell r="AA140" t="str">
            <v>UNSPSC v23.0701</v>
          </cell>
        </row>
        <row r="140">
          <cell r="AC140" t="str">
            <v>42191904  Narcotic cabinets or safes</v>
          </cell>
          <cell r="AD140" t="str">
            <v>CAPSA</v>
          </cell>
          <cell r="AE140" t="str">
            <v>UG-200610</v>
          </cell>
          <cell r="AF140" t="str">
            <v>UG200610</v>
          </cell>
        </row>
        <row r="140">
          <cell r="AH140" t="str">
            <v>BOX</v>
          </cell>
          <cell r="AI140">
            <v>12</v>
          </cell>
          <cell r="AJ140" t="str">
            <v>BOX, NARCOTIC UPGRADE F/NEW CART ORDER ONLY W/LOCK 10" D/S</v>
          </cell>
        </row>
        <row r="140">
          <cell r="AL140" t="str">
            <v>42191904  Narcotic cabinets or safes</v>
          </cell>
        </row>
        <row r="141">
          <cell r="N141">
            <v>752</v>
          </cell>
          <cell r="O141">
            <v>1067264</v>
          </cell>
          <cell r="P141" t="str">
            <v>Furnishing Accessories</v>
          </cell>
          <cell r="Q141" t="str">
            <v>CAPSA SOLUTIONS LLC</v>
          </cell>
          <cell r="R141" t="str">
            <v>Capsa Solutions-CAPSAS</v>
          </cell>
          <cell r="S141" t="str">
            <v>CAPSAS</v>
          </cell>
          <cell r="T141" t="str">
            <v>Capsa Solutions</v>
          </cell>
          <cell r="U141" t="str">
            <v>UG-2.5WUD-DIV</v>
          </cell>
        </row>
        <row r="141">
          <cell r="X141" t="str">
            <v>New Item</v>
          </cell>
          <cell r="Y141">
            <v>42192407</v>
          </cell>
          <cell r="Z141" t="str">
            <v>Medical cart accessories</v>
          </cell>
          <cell r="AA141" t="str">
            <v>UNSPSC v23.0701</v>
          </cell>
        </row>
        <row r="141">
          <cell r="AC141" t="str">
            <v>42192407  Medical cart accessories</v>
          </cell>
          <cell r="AD141" t="str">
            <v>CAPSA</v>
          </cell>
          <cell r="AE141" t="str">
            <v>UG-2.5WUD-DIV</v>
          </cell>
          <cell r="AF141" t="str">
            <v>UG25WUDDIV</v>
          </cell>
        </row>
        <row r="141">
          <cell r="AH141" t="str">
            <v>RAIL</v>
          </cell>
          <cell r="AI141">
            <v>8</v>
          </cell>
          <cell r="AJ141" t="str">
            <v>RAIL SYSTEM, DIVIDERS F/2.5 WIDE DRWR D/S</v>
          </cell>
        </row>
        <row r="141">
          <cell r="AL141" t="str">
            <v>42192407  Medical cart accessories</v>
          </cell>
        </row>
        <row r="142">
          <cell r="N142">
            <v>754</v>
          </cell>
          <cell r="O142">
            <v>1067266</v>
          </cell>
          <cell r="P142" t="str">
            <v>Furnishing Accessories</v>
          </cell>
          <cell r="Q142" t="str">
            <v>CAPSA SOLUTIONS LLC</v>
          </cell>
          <cell r="R142" t="str">
            <v>Capsa Solutions-CAPSAS</v>
          </cell>
          <cell r="S142" t="str">
            <v>CAPSAS</v>
          </cell>
          <cell r="T142" t="str">
            <v>Capsa Solutions</v>
          </cell>
          <cell r="U142" t="str">
            <v>UG-3WUD-DIV</v>
          </cell>
        </row>
        <row r="142">
          <cell r="X142" t="str">
            <v>New Item</v>
          </cell>
          <cell r="Y142">
            <v>42192407</v>
          </cell>
          <cell r="Z142" t="str">
            <v>Medical cart accessories</v>
          </cell>
          <cell r="AA142" t="str">
            <v>UNSPSC v23.0701</v>
          </cell>
        </row>
        <row r="142">
          <cell r="AC142" t="str">
            <v>42192407  Medical cart accessories</v>
          </cell>
          <cell r="AD142" t="str">
            <v>CAPSA</v>
          </cell>
          <cell r="AE142" t="str">
            <v>UG-3WUD-DIV</v>
          </cell>
          <cell r="AF142" t="str">
            <v>UG3WUDDIV</v>
          </cell>
        </row>
        <row r="142">
          <cell r="AH142" t="str">
            <v>DIVIDER</v>
          </cell>
          <cell r="AI142">
            <v>4</v>
          </cell>
          <cell r="AJ142" t="str">
            <v>DIVIDER, RAIL EXTERNAL M3PC D/S</v>
          </cell>
        </row>
        <row r="142">
          <cell r="AL142" t="str">
            <v>42192407  Medical cart accessories</v>
          </cell>
        </row>
        <row r="143">
          <cell r="N143">
            <v>4889</v>
          </cell>
          <cell r="O143">
            <v>1073608</v>
          </cell>
          <cell r="P143" t="str">
            <v>ECG Electrodes</v>
          </cell>
          <cell r="Q143" t="str">
            <v>VYAIRE MEDICAL</v>
          </cell>
          <cell r="R143" t="str">
            <v>Vyaire Biomed-VYABIO</v>
          </cell>
          <cell r="S143" t="str">
            <v>VYABIO</v>
          </cell>
          <cell r="T143" t="str">
            <v>Vyaire Biomed</v>
          </cell>
          <cell r="U143">
            <v>466631</v>
          </cell>
        </row>
        <row r="143">
          <cell r="X143" t="str">
            <v>Approved for SM</v>
          </cell>
          <cell r="Y143">
            <v>42181708</v>
          </cell>
          <cell r="Z143" t="str">
            <v>Electrocardiography EKG electrode patches</v>
          </cell>
          <cell r="AA143" t="str">
            <v>UNSPSC v23.0701</v>
          </cell>
        </row>
        <row r="143">
          <cell r="AC143" t="str">
            <v>42181708  Electrocardiography EKG electrode patches</v>
          </cell>
          <cell r="AD143" t="str">
            <v>CARDINAL</v>
          </cell>
          <cell r="AE143">
            <v>466631</v>
          </cell>
          <cell r="AF143" t="str">
            <v>466631</v>
          </cell>
        </row>
        <row r="143">
          <cell r="AH143" t="str">
            <v>ELECTRODE</v>
          </cell>
          <cell r="AI143">
            <v>6</v>
          </cell>
          <cell r="AJ143" t="str">
            <v>ELECTRODE, EKG WET GEL DISP (5/PK)</v>
          </cell>
        </row>
        <row r="143">
          <cell r="AL143" t="str">
            <v>42181708  Electrocardiography EKG electrode patches</v>
          </cell>
        </row>
        <row r="144">
          <cell r="N144">
            <v>4891</v>
          </cell>
          <cell r="O144">
            <v>1066614</v>
          </cell>
          <cell r="P144" t="str">
            <v>Circuits</v>
          </cell>
          <cell r="Q144" t="str">
            <v>VYAIRE MEDICAL</v>
          </cell>
          <cell r="R144" t="str">
            <v>Vyaire Medical-VYARMD</v>
          </cell>
          <cell r="S144" t="str">
            <v>VYARMD</v>
          </cell>
          <cell r="T144" t="str">
            <v>Vyaire Medical</v>
          </cell>
          <cell r="U144">
            <v>1576006</v>
          </cell>
        </row>
        <row r="144">
          <cell r="X144" t="str">
            <v>Approved for SM</v>
          </cell>
          <cell r="Y144">
            <v>42272209</v>
          </cell>
          <cell r="Z144" t="str">
            <v>Ventilator circuits</v>
          </cell>
          <cell r="AA144" t="str">
            <v>UNSPSC v23.0701</v>
          </cell>
        </row>
        <row r="144">
          <cell r="AC144" t="str">
            <v>42272209  Ventilator circuits</v>
          </cell>
          <cell r="AD144" t="str">
            <v>CARDINAL</v>
          </cell>
          <cell r="AE144">
            <v>1576006</v>
          </cell>
          <cell r="AF144" t="str">
            <v>1576006</v>
          </cell>
        </row>
        <row r="144">
          <cell r="AH144" t="str">
            <v>CIRCUIT</v>
          </cell>
          <cell r="AI144">
            <v>6</v>
          </cell>
          <cell r="AJ144" t="str">
            <v>CIRCUIT, VENT VOLUME ADLT (10/CS)</v>
          </cell>
        </row>
        <row r="144">
          <cell r="AL144" t="str">
            <v>42272209  Ventilator circuits</v>
          </cell>
        </row>
        <row r="145">
          <cell r="N145">
            <v>765</v>
          </cell>
          <cell r="O145">
            <v>1074590</v>
          </cell>
          <cell r="P145" t="str">
            <v>Drainage and Suction Accessories</v>
          </cell>
          <cell r="Q145" t="str">
            <v>CARDINAL HEALTHCARE</v>
          </cell>
          <cell r="R145" t="str">
            <v>Cardinal-CARDNL</v>
          </cell>
          <cell r="S145" t="str">
            <v>CARDNL</v>
          </cell>
          <cell r="T145" t="str">
            <v>Cardinal</v>
          </cell>
          <cell r="U145" t="str">
            <v>65652-109</v>
          </cell>
        </row>
        <row r="145">
          <cell r="X145" t="str">
            <v>Approved for SM</v>
          </cell>
          <cell r="Y145">
            <v>42293511</v>
          </cell>
          <cell r="Z145" t="str">
            <v>Medical or surgical suction or vacuum appliance accessories</v>
          </cell>
          <cell r="AA145" t="str">
            <v>UNSPSC v23.0701</v>
          </cell>
        </row>
        <row r="145">
          <cell r="AC145" t="str">
            <v>42293511  Medical or surgical suction or vacuum appliance accessories</v>
          </cell>
          <cell r="AD145" t="str">
            <v>CARDINAL</v>
          </cell>
          <cell r="AE145" t="str">
            <v>65652-109</v>
          </cell>
          <cell r="AF145" t="str">
            <v>65652109</v>
          </cell>
        </row>
        <row r="145">
          <cell r="AH145" t="str">
            <v>ADAPTER</v>
          </cell>
          <cell r="AI145">
            <v>15</v>
          </cell>
          <cell r="AJ145" t="str">
            <v>ADAPTER, F/CRD &amp; PT PORTS UNIVRT ANGL 90DEG (50/CS)</v>
          </cell>
        </row>
        <row r="145">
          <cell r="AL145" t="str">
            <v>42293511  Medical or surgical suction or vacuum appliance accessories</v>
          </cell>
        </row>
        <row r="146">
          <cell r="N146">
            <v>766</v>
          </cell>
          <cell r="O146">
            <v>1065834</v>
          </cell>
          <cell r="P146" t="str">
            <v>Drainage and Suction Accessories</v>
          </cell>
          <cell r="Q146" t="str">
            <v>CARDINAL HEALTHCARE</v>
          </cell>
          <cell r="R146" t="str">
            <v>Cardinal-CARDNL</v>
          </cell>
          <cell r="S146" t="str">
            <v>CARDNL</v>
          </cell>
          <cell r="T146" t="str">
            <v>Cardinal</v>
          </cell>
          <cell r="U146" t="str">
            <v>65652-598</v>
          </cell>
        </row>
        <row r="146">
          <cell r="X146" t="str">
            <v>Approved for SM</v>
          </cell>
          <cell r="Y146">
            <v>42293511</v>
          </cell>
          <cell r="Z146" t="str">
            <v>Medical or surgical suction or vacuum appliance accessories</v>
          </cell>
          <cell r="AA146" t="str">
            <v>UNSPSC v23.0701</v>
          </cell>
        </row>
        <row r="146">
          <cell r="AC146" t="str">
            <v>42293511  Medical or surgical suction or vacuum appliance accessories</v>
          </cell>
          <cell r="AD146" t="str">
            <v>CARDINAL</v>
          </cell>
          <cell r="AE146" t="str">
            <v>65652-598</v>
          </cell>
          <cell r="AF146" t="str">
            <v>65652598</v>
          </cell>
        </row>
        <row r="146">
          <cell r="AH146" t="str">
            <v>STAND</v>
          </cell>
          <cell r="AI146">
            <v>12</v>
          </cell>
          <cell r="AJ146" t="str">
            <v>STAND, ROLLING F/CANISTER LG VOLUME 12L 18" (1/CS)</v>
          </cell>
        </row>
        <row r="146">
          <cell r="AL146" t="str">
            <v>42293511  Medical or surgical suction or vacuum appliance accessories</v>
          </cell>
        </row>
        <row r="147">
          <cell r="N147">
            <v>4894</v>
          </cell>
          <cell r="O147">
            <v>1075135</v>
          </cell>
          <cell r="P147" t="str">
            <v>Respiratory Accessories</v>
          </cell>
          <cell r="Q147" t="str">
            <v>VYAIRE MEDICAL</v>
          </cell>
          <cell r="R147" t="str">
            <v>Vyaire Medical-VYACIR</v>
          </cell>
          <cell r="S147" t="str">
            <v>VYACIR</v>
          </cell>
          <cell r="T147" t="str">
            <v>Vyaire Medical</v>
          </cell>
          <cell r="U147" t="str">
            <v>7772020LP</v>
          </cell>
        </row>
        <row r="147">
          <cell r="X147" t="str">
            <v>Approved for SM</v>
          </cell>
          <cell r="Y147">
            <v>42272224</v>
          </cell>
          <cell r="Z147" t="str">
            <v>Ventilator circuit kits</v>
          </cell>
          <cell r="AA147" t="str">
            <v>UNSPSC v23.0701</v>
          </cell>
        </row>
        <row r="147">
          <cell r="AC147" t="str">
            <v>42272224  Ventilator circuit kits</v>
          </cell>
          <cell r="AD147" t="str">
            <v>CARDINAL</v>
          </cell>
          <cell r="AE147" t="str">
            <v>7772020LP</v>
          </cell>
          <cell r="AF147" t="str">
            <v>7772020LP</v>
          </cell>
        </row>
        <row r="147">
          <cell r="AH147" t="str">
            <v>GENERATOR</v>
          </cell>
          <cell r="AI147">
            <v>1</v>
          </cell>
          <cell r="AJ147" t="str">
            <v>GENERATOR KIT, LP INF FLO (10/CS)</v>
          </cell>
        </row>
        <row r="147">
          <cell r="AL147" t="str">
            <v>42272224  Ventilator circuit kits</v>
          </cell>
        </row>
        <row r="148">
          <cell r="N148">
            <v>767</v>
          </cell>
          <cell r="O148">
            <v>1073450</v>
          </cell>
          <cell r="P148" t="str">
            <v>Pediatric Diapers and Training Pants</v>
          </cell>
          <cell r="Q148" t="str">
            <v>CARDINAL HEALTHCARE</v>
          </cell>
          <cell r="R148" t="str">
            <v>Cardinal-CARICO</v>
          </cell>
          <cell r="S148" t="str">
            <v>CARICO</v>
          </cell>
          <cell r="T148" t="str">
            <v>Cardinal</v>
          </cell>
          <cell r="U148" t="str">
            <v>80008A-</v>
          </cell>
        </row>
        <row r="148">
          <cell r="X148" t="str">
            <v>Approved for SM</v>
          </cell>
          <cell r="Y148">
            <v>53102305</v>
          </cell>
          <cell r="Z148" t="str">
            <v>Infant diapers</v>
          </cell>
          <cell r="AA148" t="str">
            <v>UNSPSC v23.0701</v>
          </cell>
        </row>
        <row r="148">
          <cell r="AC148" t="str">
            <v>53102305  Infant diapers</v>
          </cell>
          <cell r="AD148" t="str">
            <v>CARDINAL</v>
          </cell>
          <cell r="AE148" t="str">
            <v>80008A-</v>
          </cell>
          <cell r="AF148" t="str">
            <v>80008A</v>
          </cell>
        </row>
        <row r="148">
          <cell r="AH148" t="str">
            <v>DIAPER</v>
          </cell>
          <cell r="AI148">
            <v>1</v>
          </cell>
          <cell r="AJ148" t="str">
            <v>DIAPER, CURITY BABY SZ1 8-12LBS (40/BG 8BG/CS) KENICO</v>
          </cell>
        </row>
        <row r="148">
          <cell r="AL148" t="str">
            <v>53102305  Infant diapers</v>
          </cell>
        </row>
        <row r="149">
          <cell r="N149">
            <v>4895</v>
          </cell>
          <cell r="O149">
            <v>1073748</v>
          </cell>
          <cell r="P149" t="str">
            <v>Circuits</v>
          </cell>
          <cell r="Q149" t="str">
            <v>VYAIRE MEDICAL</v>
          </cell>
          <cell r="R149" t="str">
            <v>Vyaire Medical-VYARMD</v>
          </cell>
          <cell r="S149" t="str">
            <v>VYARMD</v>
          </cell>
          <cell r="T149" t="str">
            <v>Vyaire Medical</v>
          </cell>
          <cell r="U149" t="str">
            <v>A46XXXXX</v>
          </cell>
        </row>
        <row r="149">
          <cell r="X149" t="str">
            <v>Approved for SM</v>
          </cell>
          <cell r="Y149">
            <v>42272229</v>
          </cell>
          <cell r="Z149" t="str">
            <v>Anesthesia breathing circuits</v>
          </cell>
          <cell r="AA149" t="str">
            <v>UNSPSC v23.0701</v>
          </cell>
        </row>
        <row r="149">
          <cell r="AC149" t="str">
            <v>42272229  Anesthesia breathing circuits</v>
          </cell>
          <cell r="AD149" t="str">
            <v>CARDINAL</v>
          </cell>
          <cell r="AE149" t="str">
            <v>A46XXXXX</v>
          </cell>
          <cell r="AF149" t="str">
            <v>A46XXXXX</v>
          </cell>
        </row>
        <row r="149">
          <cell r="AH149" t="str">
            <v>CIRCUIT</v>
          </cell>
          <cell r="AI149">
            <v>6</v>
          </cell>
          <cell r="AJ149" t="str">
            <v>CIRCUIT, ANES BREATHING ADLT (20/CS)</v>
          </cell>
        </row>
        <row r="149">
          <cell r="AL149" t="str">
            <v>42272229  Anesthesia breathing circuits</v>
          </cell>
        </row>
        <row r="150">
          <cell r="N150">
            <v>785</v>
          </cell>
          <cell r="O150">
            <v>1073606</v>
          </cell>
          <cell r="P150" t="str">
            <v>Needle Holders</v>
          </cell>
          <cell r="Q150" t="str">
            <v>CAREFUSION SOLUTIONS LLC</v>
          </cell>
          <cell r="R150" t="str">
            <v>V. Mueller-CARVMU</v>
          </cell>
          <cell r="S150" t="str">
            <v>CARVMU</v>
          </cell>
          <cell r="T150" t="str">
            <v>V. Mueller</v>
          </cell>
          <cell r="U150" t="str">
            <v>AU17210</v>
          </cell>
        </row>
        <row r="150">
          <cell r="X150" t="str">
            <v>Approved for SM</v>
          </cell>
          <cell r="Y150">
            <v>42292903</v>
          </cell>
          <cell r="Z150" t="str">
            <v>Surgical needle holders</v>
          </cell>
          <cell r="AA150" t="str">
            <v>UNSPSC v23.0701</v>
          </cell>
        </row>
        <row r="150">
          <cell r="AC150" t="str">
            <v>42292903  Surgical needle holders</v>
          </cell>
          <cell r="AD150" t="str">
            <v>CARDINAL</v>
          </cell>
          <cell r="AE150" t="str">
            <v>AU17210</v>
          </cell>
          <cell r="AF150" t="str">
            <v>AU17210</v>
          </cell>
        </row>
        <row r="150">
          <cell r="AH150" t="str">
            <v>NEEDLE</v>
          </cell>
          <cell r="AI150">
            <v>39</v>
          </cell>
          <cell r="AJ150" t="str">
            <v>NEEDLE HOLDER, SOFRMAN 5MM JAWSTRT 6 3/8" D/S</v>
          </cell>
        </row>
        <row r="150">
          <cell r="AL150" t="str">
            <v>42292903  Surgical needle holders</v>
          </cell>
        </row>
        <row r="151">
          <cell r="N151">
            <v>787</v>
          </cell>
          <cell r="O151">
            <v>1074513</v>
          </cell>
          <cell r="P151" t="str">
            <v>Sterilization Accessories</v>
          </cell>
          <cell r="Q151" t="str">
            <v>CAREFUSION SOLUTIONS LLC</v>
          </cell>
          <cell r="R151" t="str">
            <v>V. Mueller-CARVMU</v>
          </cell>
          <cell r="S151" t="str">
            <v>CARVMU</v>
          </cell>
          <cell r="T151" t="str">
            <v>V. Mueller</v>
          </cell>
          <cell r="U151" t="str">
            <v>BP2-1AS</v>
          </cell>
        </row>
        <row r="151">
          <cell r="X151" t="str">
            <v>Approved for SM</v>
          </cell>
          <cell r="Y151">
            <v>42281509</v>
          </cell>
          <cell r="Z151" t="str">
            <v>Sterilization containers or trays</v>
          </cell>
          <cell r="AA151" t="str">
            <v>UNSPSC v23.0701</v>
          </cell>
        </row>
        <row r="151">
          <cell r="AC151" t="str">
            <v>42281509  Sterilization containers or trays</v>
          </cell>
          <cell r="AD151" t="str">
            <v>CARDINAL</v>
          </cell>
          <cell r="AE151" t="str">
            <v>BP2-1AS</v>
          </cell>
          <cell r="AF151" t="str">
            <v>BP21AS</v>
          </cell>
        </row>
        <row r="151">
          <cell r="AH151" t="str">
            <v>BASKET</v>
          </cell>
          <cell r="AI151">
            <v>2</v>
          </cell>
          <cell r="AJ151" t="str">
            <v>BASKET, STRLZ GENESIS PERF STACKING MID LNTH 1"</v>
          </cell>
        </row>
        <row r="151">
          <cell r="AL151" t="str">
            <v>42281509  Sterilization containers or trays</v>
          </cell>
        </row>
        <row r="152">
          <cell r="N152">
            <v>788</v>
          </cell>
          <cell r="O152">
            <v>1066653</v>
          </cell>
          <cell r="P152" t="str">
            <v>Sterilization Trays and Containers</v>
          </cell>
          <cell r="Q152" t="str">
            <v>CAREFUSION SOLUTIONS LLC</v>
          </cell>
          <cell r="R152" t="str">
            <v>V. Mueller-CARVMU</v>
          </cell>
          <cell r="S152" t="str">
            <v>CARVMU</v>
          </cell>
          <cell r="T152" t="str">
            <v>V. Mueller</v>
          </cell>
          <cell r="U152" t="str">
            <v>BP3-2VS</v>
          </cell>
        </row>
        <row r="152">
          <cell r="X152" t="str">
            <v>Approved for SM</v>
          </cell>
          <cell r="Y152">
            <v>42281509</v>
          </cell>
          <cell r="Z152" t="str">
            <v>Sterilization containers or trays</v>
          </cell>
          <cell r="AA152" t="str">
            <v>UNSPSC v23.0701</v>
          </cell>
        </row>
        <row r="152">
          <cell r="AC152" t="str">
            <v>42281509  Sterilization containers or trays</v>
          </cell>
          <cell r="AD152" t="str">
            <v>CARDINAL</v>
          </cell>
          <cell r="AE152" t="str">
            <v>BP3-2VS</v>
          </cell>
          <cell r="AF152" t="str">
            <v>BP32VS</v>
          </cell>
        </row>
        <row r="152">
          <cell r="AH152" t="str">
            <v>BASKET</v>
          </cell>
          <cell r="AI152">
            <v>2</v>
          </cell>
          <cell r="AJ152" t="str">
            <v>BASKET, INSTR STRLZ GENESIS FULL LNTH PERF W/VERT HNDLS D/S</v>
          </cell>
        </row>
        <row r="152">
          <cell r="AL152" t="str">
            <v>42281509  Sterilization containers or trays</v>
          </cell>
        </row>
        <row r="153">
          <cell r="N153">
            <v>802</v>
          </cell>
          <cell r="O153">
            <v>1066655</v>
          </cell>
          <cell r="P153" t="str">
            <v>Instrument Accessories</v>
          </cell>
          <cell r="Q153" t="str">
            <v>CAREFUSION SOLUTIONS LLC</v>
          </cell>
          <cell r="R153" t="str">
            <v>V. Mueller-CARVMU</v>
          </cell>
          <cell r="S153" t="str">
            <v>CARVMU</v>
          </cell>
          <cell r="T153" t="str">
            <v>V. Mueller</v>
          </cell>
          <cell r="U153" t="str">
            <v>GR1892-3</v>
          </cell>
        </row>
        <row r="153">
          <cell r="X153" t="str">
            <v>Approved for SM</v>
          </cell>
          <cell r="Y153">
            <v>42281500</v>
          </cell>
          <cell r="Z153" t="str">
            <v>Autoclave and sterilizer equipment and accessories</v>
          </cell>
          <cell r="AA153" t="str">
            <v>UNSPSC v23.0701</v>
          </cell>
        </row>
        <row r="153">
          <cell r="AC153" t="str">
            <v>42281500  Autoclave and sterilizer equipment and accessories</v>
          </cell>
          <cell r="AD153" t="str">
            <v>CARDINAL</v>
          </cell>
          <cell r="AE153" t="str">
            <v>GR1892-3</v>
          </cell>
          <cell r="AF153" t="str">
            <v>GR18923</v>
          </cell>
        </row>
        <row r="153">
          <cell r="AH153" t="str">
            <v>BRACKET</v>
          </cell>
          <cell r="AI153">
            <v>5</v>
          </cell>
          <cell r="AJ153" t="str">
            <v>BRACKET, ALUM .17" F/INSTR BAR(1/PR) D/S</v>
          </cell>
        </row>
        <row r="153">
          <cell r="AL153" t="str">
            <v>42281500  Autoclave and sterilizer equipment and accessories</v>
          </cell>
        </row>
        <row r="154">
          <cell r="N154">
            <v>803</v>
          </cell>
          <cell r="O154">
            <v>1066656</v>
          </cell>
          <cell r="P154" t="str">
            <v>Instrument Accessories</v>
          </cell>
          <cell r="Q154" t="str">
            <v>CAREFUSION SOLUTIONS LLC</v>
          </cell>
          <cell r="R154" t="str">
            <v>V. Mueller-CARVMU</v>
          </cell>
          <cell r="S154" t="str">
            <v>CARVMU</v>
          </cell>
          <cell r="T154" t="str">
            <v>V. Mueller</v>
          </cell>
          <cell r="U154" t="str">
            <v>GR5312</v>
          </cell>
        </row>
        <row r="154">
          <cell r="X154" t="str">
            <v>Approved for SM</v>
          </cell>
          <cell r="Y154">
            <v>42281500</v>
          </cell>
          <cell r="Z154" t="str">
            <v>Autoclave and sterilizer equipment and accessories</v>
          </cell>
          <cell r="AA154" t="str">
            <v>UNSPSC v23.0701</v>
          </cell>
        </row>
        <row r="154">
          <cell r="AC154" t="str">
            <v>42281500  Autoclave and sterilizer equipment and accessories</v>
          </cell>
          <cell r="AD154" t="str">
            <v>CARDINAL</v>
          </cell>
          <cell r="AE154" t="str">
            <v>GR5312</v>
          </cell>
          <cell r="AF154" t="str">
            <v>GR5312</v>
          </cell>
        </row>
        <row r="154">
          <cell r="AH154" t="str">
            <v>BAR</v>
          </cell>
          <cell r="AI154">
            <v>6</v>
          </cell>
          <cell r="AJ154" t="str">
            <v>BAR, INSTR STRLZ 4SLOT SIL 2.8" D/S</v>
          </cell>
        </row>
        <row r="154">
          <cell r="AL154" t="str">
            <v>42281500  Autoclave and sterilizer equipment and accessories</v>
          </cell>
        </row>
        <row r="155">
          <cell r="N155">
            <v>804</v>
          </cell>
          <cell r="O155">
            <v>1066661</v>
          </cell>
          <cell r="P155" t="str">
            <v>Instrument Accessories</v>
          </cell>
          <cell r="Q155" t="str">
            <v>CAREFUSION SOLUTIONS LLC</v>
          </cell>
          <cell r="R155" t="str">
            <v>V. Mueller-CARVMU</v>
          </cell>
          <cell r="S155" t="str">
            <v>CARVMU</v>
          </cell>
          <cell r="T155" t="str">
            <v>V. Mueller</v>
          </cell>
          <cell r="U155" t="str">
            <v>GR5350</v>
          </cell>
        </row>
        <row r="155">
          <cell r="X155" t="str">
            <v>Approved for SM</v>
          </cell>
          <cell r="Y155">
            <v>42281500</v>
          </cell>
          <cell r="Z155" t="str">
            <v>Autoclave and sterilizer equipment and accessories</v>
          </cell>
          <cell r="AA155" t="str">
            <v>UNSPSC v23.0701</v>
          </cell>
        </row>
        <row r="155">
          <cell r="AC155" t="str">
            <v>42281500  Autoclave and sterilizer equipment and accessories</v>
          </cell>
          <cell r="AD155" t="str">
            <v>CARDINAL</v>
          </cell>
          <cell r="AE155" t="str">
            <v>GR5350</v>
          </cell>
          <cell r="AF155" t="str">
            <v>GR5350</v>
          </cell>
        </row>
        <row r="155">
          <cell r="AH155" t="str">
            <v>BAR</v>
          </cell>
          <cell r="AI155">
            <v>6</v>
          </cell>
          <cell r="AJ155" t="str">
            <v>BAR, INSTR STRLZ OPN END SIL 15MMX1.5" D/S</v>
          </cell>
        </row>
        <row r="155">
          <cell r="AL155" t="str">
            <v>42281500  Autoclave and sterilizer equipment and accessories</v>
          </cell>
        </row>
        <row r="156">
          <cell r="N156">
            <v>805</v>
          </cell>
          <cell r="O156">
            <v>1066662</v>
          </cell>
          <cell r="P156" t="str">
            <v>Instrument Accessories</v>
          </cell>
          <cell r="Q156" t="str">
            <v>CAREFUSION SOLUTIONS LLC</v>
          </cell>
          <cell r="R156" t="str">
            <v>V. Mueller-CARVMU</v>
          </cell>
          <cell r="S156" t="str">
            <v>CARVMU</v>
          </cell>
          <cell r="T156" t="str">
            <v>V. Mueller</v>
          </cell>
          <cell r="U156" t="str">
            <v>GR5351</v>
          </cell>
        </row>
        <row r="156">
          <cell r="X156" t="str">
            <v>Approved for SM</v>
          </cell>
          <cell r="Y156">
            <v>42281500</v>
          </cell>
          <cell r="Z156" t="str">
            <v>Autoclave and sterilizer equipment and accessories</v>
          </cell>
          <cell r="AA156" t="str">
            <v>UNSPSC v23.0701</v>
          </cell>
        </row>
        <row r="156">
          <cell r="AC156" t="str">
            <v>42281500  Autoclave and sterilizer equipment and accessories</v>
          </cell>
          <cell r="AD156" t="str">
            <v>CARDINAL</v>
          </cell>
          <cell r="AE156" t="str">
            <v>GR5351</v>
          </cell>
          <cell r="AF156" t="str">
            <v>GR5351</v>
          </cell>
        </row>
        <row r="156">
          <cell r="AH156" t="str">
            <v>BAR</v>
          </cell>
          <cell r="AI156">
            <v>6</v>
          </cell>
          <cell r="AJ156" t="str">
            <v>BAR, INSTR STRLZ CLSD END LNG SIL 8MMX1 1/2" D/S</v>
          </cell>
        </row>
        <row r="156">
          <cell r="AL156" t="str">
            <v>42281500  Autoclave and sterilizer equipment and accessories</v>
          </cell>
        </row>
        <row r="157">
          <cell r="N157">
            <v>806</v>
          </cell>
          <cell r="O157">
            <v>1066657</v>
          </cell>
          <cell r="P157" t="str">
            <v>Instrument Accessories</v>
          </cell>
          <cell r="Q157" t="str">
            <v>CAREFUSION SOLUTIONS LLC</v>
          </cell>
          <cell r="R157" t="str">
            <v>V. Mueller-CARVMU</v>
          </cell>
          <cell r="S157" t="str">
            <v>CARVMU</v>
          </cell>
          <cell r="T157" t="str">
            <v>V. Mueller</v>
          </cell>
          <cell r="U157" t="str">
            <v>GR5370</v>
          </cell>
        </row>
        <row r="157">
          <cell r="X157" t="str">
            <v>Approved for SM</v>
          </cell>
          <cell r="Y157">
            <v>42281500</v>
          </cell>
          <cell r="Z157" t="str">
            <v>Autoclave and sterilizer equipment and accessories</v>
          </cell>
          <cell r="AA157" t="str">
            <v>UNSPSC v23.0701</v>
          </cell>
        </row>
        <row r="157">
          <cell r="AC157" t="str">
            <v>42281500  Autoclave and sterilizer equipment and accessories</v>
          </cell>
          <cell r="AD157" t="str">
            <v>CARDINAL</v>
          </cell>
          <cell r="AE157" t="str">
            <v>GR5370</v>
          </cell>
          <cell r="AF157" t="str">
            <v>GR5370</v>
          </cell>
        </row>
        <row r="157">
          <cell r="AH157" t="str">
            <v>BAR</v>
          </cell>
          <cell r="AI157">
            <v>6</v>
          </cell>
          <cell r="AJ157" t="str">
            <v>BAR, INSTR STRLZ LONG SIL 10HOLE STAR PATTERN D/S</v>
          </cell>
        </row>
        <row r="157">
          <cell r="AL157" t="str">
            <v>42281500  Autoclave and sterilizer equipment and accessories</v>
          </cell>
        </row>
        <row r="158">
          <cell r="N158">
            <v>807</v>
          </cell>
          <cell r="O158">
            <v>1066658</v>
          </cell>
          <cell r="P158" t="str">
            <v>Instrument Accessories</v>
          </cell>
          <cell r="Q158" t="str">
            <v>CAREFUSION SOLUTIONS LLC</v>
          </cell>
          <cell r="R158" t="str">
            <v>V. Mueller-CARVMU</v>
          </cell>
          <cell r="S158" t="str">
            <v>CARVMU</v>
          </cell>
          <cell r="T158" t="str">
            <v>V. Mueller</v>
          </cell>
          <cell r="U158" t="str">
            <v>GR5373</v>
          </cell>
        </row>
        <row r="158">
          <cell r="X158" t="str">
            <v>Approved for SM</v>
          </cell>
          <cell r="Y158">
            <v>42281500</v>
          </cell>
          <cell r="Z158" t="str">
            <v>Autoclave and sterilizer equipment and accessories</v>
          </cell>
          <cell r="AA158" t="str">
            <v>UNSPSC v23.0701</v>
          </cell>
        </row>
        <row r="158">
          <cell r="AC158" t="str">
            <v>42281500  Autoclave and sterilizer equipment and accessories</v>
          </cell>
          <cell r="AD158" t="str">
            <v>CARDINAL</v>
          </cell>
          <cell r="AE158" t="str">
            <v>GR5373</v>
          </cell>
          <cell r="AF158" t="str">
            <v>GR5373</v>
          </cell>
        </row>
        <row r="158">
          <cell r="AH158" t="str">
            <v>BAR</v>
          </cell>
          <cell r="AI158">
            <v>6</v>
          </cell>
          <cell r="AJ158" t="str">
            <v>BAR, INSTR STRLZ 12SLOT SIL 5MMX7" D/S</v>
          </cell>
        </row>
        <row r="158">
          <cell r="AL158" t="str">
            <v>42281500  Autoclave and sterilizer equipment and accessories</v>
          </cell>
        </row>
        <row r="159">
          <cell r="N159">
            <v>810</v>
          </cell>
          <cell r="O159">
            <v>1074399</v>
          </cell>
          <cell r="P159" t="str">
            <v>Files</v>
          </cell>
          <cell r="Q159" t="str">
            <v>CAREFUSION SOLUTIONS LLC</v>
          </cell>
          <cell r="R159" t="str">
            <v>V. Mueller-CARVMU</v>
          </cell>
          <cell r="S159" t="str">
            <v>CARVMU</v>
          </cell>
          <cell r="T159" t="str">
            <v>V. Mueller</v>
          </cell>
          <cell r="U159" t="str">
            <v>MO10054</v>
          </cell>
        </row>
        <row r="159">
          <cell r="X159" t="str">
            <v>Approved for SM</v>
          </cell>
          <cell r="Y159">
            <v>42151620</v>
          </cell>
          <cell r="Z159" t="str">
            <v>Dental files or rasps</v>
          </cell>
          <cell r="AA159" t="str">
            <v>UNSPSC v23.0701</v>
          </cell>
        </row>
        <row r="159">
          <cell r="AC159" t="str">
            <v>42151620  Dental files or rasps</v>
          </cell>
          <cell r="AD159" t="str">
            <v>CARDINAL</v>
          </cell>
          <cell r="AE159" t="str">
            <v>MO10054</v>
          </cell>
          <cell r="AF159" t="str">
            <v>MO10054</v>
          </cell>
        </row>
        <row r="159">
          <cell r="AH159" t="str">
            <v>FILE</v>
          </cell>
          <cell r="AI159">
            <v>2</v>
          </cell>
          <cell r="AJ159" t="str">
            <v>FILE, BONE ORAL DBL END 7 3/4"</v>
          </cell>
        </row>
        <row r="159">
          <cell r="AL159" t="str">
            <v>42151620  Dental files or rasps</v>
          </cell>
        </row>
        <row r="160">
          <cell r="N160">
            <v>816</v>
          </cell>
          <cell r="O160">
            <v>1074402</v>
          </cell>
          <cell r="P160" t="str">
            <v>Specialty Instruments</v>
          </cell>
          <cell r="Q160" t="str">
            <v>CAREFUSION SOLUTIONS LLC</v>
          </cell>
          <cell r="R160" t="str">
            <v>V. Mueller-CARVMU</v>
          </cell>
          <cell r="S160" t="str">
            <v>CARVMU</v>
          </cell>
          <cell r="T160" t="str">
            <v>V. Mueller</v>
          </cell>
          <cell r="U160" t="str">
            <v>OP0905-302</v>
          </cell>
        </row>
        <row r="160">
          <cell r="X160" t="str">
            <v>Approved for SM</v>
          </cell>
          <cell r="Y160">
            <v>42293504</v>
          </cell>
          <cell r="Z160" t="str">
            <v>Ophthalmic irrigation or aspiration supplies</v>
          </cell>
          <cell r="AA160" t="str">
            <v>UNSPSC v23.0701</v>
          </cell>
        </row>
        <row r="160">
          <cell r="AC160" t="str">
            <v>42293504  Ophthalmic irrigation or aspiration supplies</v>
          </cell>
          <cell r="AD160" t="str">
            <v>CARDINAL</v>
          </cell>
          <cell r="AE160" t="str">
            <v>OP0905-302</v>
          </cell>
          <cell r="AF160" t="str">
            <v>OP0905302</v>
          </cell>
        </row>
        <row r="160">
          <cell r="AH160" t="str">
            <v>CANNULA</v>
          </cell>
          <cell r="AI160">
            <v>11</v>
          </cell>
          <cell r="AJ160" t="str">
            <v>CANNULA, AIR INJECTION ANGLD 27G 7MM</v>
          </cell>
        </row>
        <row r="160">
          <cell r="AL160" t="str">
            <v>42293504  Ophthalmic irrigation or aspiration supplies</v>
          </cell>
        </row>
        <row r="161">
          <cell r="N161">
            <v>819</v>
          </cell>
          <cell r="O161">
            <v>1066199</v>
          </cell>
          <cell r="P161" t="str">
            <v>Specialty Instruments</v>
          </cell>
          <cell r="Q161" t="str">
            <v>CAREFUSION SOLUTIONS LLC</v>
          </cell>
          <cell r="R161" t="str">
            <v>V. Mueller-CARVMU</v>
          </cell>
          <cell r="S161" t="str">
            <v>CARVMU</v>
          </cell>
          <cell r="T161" t="str">
            <v>V. Mueller</v>
          </cell>
          <cell r="U161" t="str">
            <v>OP0906-401</v>
          </cell>
        </row>
        <row r="161">
          <cell r="X161" t="str">
            <v>Approved for SM</v>
          </cell>
          <cell r="Y161">
            <v>42292801</v>
          </cell>
          <cell r="Z161" t="str">
            <v>Ophthalmic marking instruments</v>
          </cell>
          <cell r="AA161" t="str">
            <v>UNSPSC v23.0701</v>
          </cell>
        </row>
        <row r="161">
          <cell r="AC161" t="str">
            <v>42292801  Ophthalmic marking instruments</v>
          </cell>
          <cell r="AD161" t="str">
            <v>CARDINAL</v>
          </cell>
          <cell r="AE161" t="str">
            <v>OP0906-401</v>
          </cell>
          <cell r="AF161" t="str">
            <v>OP0906401</v>
          </cell>
        </row>
        <row r="161">
          <cell r="AH161" t="str">
            <v>DEPRESSOR/MARKER</v>
          </cell>
          <cell r="AI161">
            <v>1</v>
          </cell>
          <cell r="AJ161" t="str">
            <v>DEPRESSOR/MARKER, SCLERAL O'CONNOR 5 1/4" D/S</v>
          </cell>
        </row>
        <row r="161">
          <cell r="AL161" t="str">
            <v>42292801  Ophthalmic marking instruments</v>
          </cell>
        </row>
        <row r="162">
          <cell r="N162">
            <v>827</v>
          </cell>
          <cell r="O162">
            <v>1066203</v>
          </cell>
          <cell r="P162" t="str">
            <v>Hooks</v>
          </cell>
          <cell r="Q162" t="str">
            <v>CAREFUSION SOLUTIONS LLC</v>
          </cell>
          <cell r="R162" t="str">
            <v>V. Mueller-CARVMU</v>
          </cell>
          <cell r="S162" t="str">
            <v>CARVMU</v>
          </cell>
          <cell r="T162" t="str">
            <v>V. Mueller</v>
          </cell>
          <cell r="U162" t="str">
            <v>OP0923-304</v>
          </cell>
        </row>
        <row r="162">
          <cell r="X162" t="str">
            <v>Approved for SM</v>
          </cell>
          <cell r="Y162">
            <v>42296805</v>
          </cell>
          <cell r="Z162" t="str">
            <v>Ophthalmic surgery instruments</v>
          </cell>
          <cell r="AA162" t="str">
            <v>UNSPSC v23.0701</v>
          </cell>
        </row>
        <row r="162">
          <cell r="AC162" t="str">
            <v>42296805  Ophthalmic surgery instruments</v>
          </cell>
          <cell r="AD162" t="str">
            <v>CARDINAL</v>
          </cell>
          <cell r="AE162" t="str">
            <v>OP0923-304</v>
          </cell>
          <cell r="AF162" t="str">
            <v>OP0923304</v>
          </cell>
        </row>
        <row r="162">
          <cell r="AH162" t="str">
            <v>HOOK</v>
          </cell>
          <cell r="AI162">
            <v>3</v>
          </cell>
          <cell r="AJ162" t="str">
            <v>HOOK, MANIPULATING LENS SINSKEYII BLNT TIP 4 1/2" D/S</v>
          </cell>
        </row>
        <row r="162">
          <cell r="AL162" t="str">
            <v>42296805  Ophthalmic surgery instruments</v>
          </cell>
        </row>
        <row r="163">
          <cell r="N163">
            <v>836</v>
          </cell>
          <cell r="O163">
            <v>1066205</v>
          </cell>
          <cell r="P163" t="str">
            <v>Needle Holders</v>
          </cell>
          <cell r="Q163" t="str">
            <v>CAREFUSION SOLUTIONS LLC</v>
          </cell>
          <cell r="R163" t="str">
            <v>V. Mueller-CARVMU</v>
          </cell>
          <cell r="S163" t="str">
            <v>CARVMU</v>
          </cell>
          <cell r="T163" t="str">
            <v>V. Mueller</v>
          </cell>
          <cell r="U163" t="str">
            <v>OP7418</v>
          </cell>
        </row>
        <row r="163">
          <cell r="X163" t="str">
            <v>Approved for SM</v>
          </cell>
          <cell r="Y163">
            <v>42292903</v>
          </cell>
          <cell r="Z163" t="str">
            <v>Surgical needle holders</v>
          </cell>
          <cell r="AA163" t="str">
            <v>UNSPSC v23.0701</v>
          </cell>
        </row>
        <row r="163">
          <cell r="AC163" t="str">
            <v>42292903  Surgical needle holders</v>
          </cell>
          <cell r="AD163" t="str">
            <v>CARDINAL</v>
          </cell>
          <cell r="AE163" t="str">
            <v>OP7418</v>
          </cell>
          <cell r="AF163" t="str">
            <v>OP7418</v>
          </cell>
        </row>
        <row r="163">
          <cell r="AH163" t="str">
            <v>NEEDLE</v>
          </cell>
          <cell r="AI163">
            <v>39</v>
          </cell>
          <cell r="AJ163" t="str">
            <v>NEEDLE HOLDER, BARRAQUER DEL CRVD W/CATCH 4"</v>
          </cell>
        </row>
        <row r="163">
          <cell r="AL163" t="str">
            <v>42292903  Surgical needle holders</v>
          </cell>
        </row>
        <row r="164">
          <cell r="N164">
            <v>837</v>
          </cell>
          <cell r="O164">
            <v>1066206</v>
          </cell>
          <cell r="P164" t="str">
            <v>Needle Holders</v>
          </cell>
          <cell r="Q164" t="str">
            <v>CAREFUSION SOLUTIONS LLC</v>
          </cell>
          <cell r="R164" t="str">
            <v>V. Mueller-CARVMU</v>
          </cell>
          <cell r="S164" t="str">
            <v>CARVMU</v>
          </cell>
          <cell r="T164" t="str">
            <v>V. Mueller</v>
          </cell>
          <cell r="U164" t="str">
            <v>OP7430-001</v>
          </cell>
        </row>
        <row r="164">
          <cell r="X164" t="str">
            <v>Approved for SM</v>
          </cell>
          <cell r="Y164">
            <v>42292903</v>
          </cell>
          <cell r="Z164" t="str">
            <v>Surgical needle holders</v>
          </cell>
          <cell r="AA164" t="str">
            <v>UNSPSC v23.0701</v>
          </cell>
        </row>
        <row r="164">
          <cell r="AC164" t="str">
            <v>42292903  Surgical needle holders</v>
          </cell>
          <cell r="AD164" t="str">
            <v>CARDINAL</v>
          </cell>
          <cell r="AE164" t="str">
            <v>OP7430-001</v>
          </cell>
          <cell r="AF164" t="str">
            <v>OP7430001</v>
          </cell>
        </row>
        <row r="164">
          <cell r="AH164" t="str">
            <v>NEEDLE</v>
          </cell>
          <cell r="AI164">
            <v>39</v>
          </cell>
          <cell r="AJ164" t="str">
            <v>NEEDLE HOLDER, MICROSURGICAL CRVD W/O CATCH D/S</v>
          </cell>
        </row>
        <row r="164">
          <cell r="AL164" t="str">
            <v>42292903  Surgical needle holders</v>
          </cell>
        </row>
        <row r="165">
          <cell r="N165">
            <v>838</v>
          </cell>
          <cell r="O165">
            <v>1074409</v>
          </cell>
          <cell r="P165" t="str">
            <v>Rulers</v>
          </cell>
          <cell r="Q165" t="str">
            <v>CAREFUSION SOLUTIONS LLC</v>
          </cell>
          <cell r="R165" t="str">
            <v>V. Mueller-CARVMU</v>
          </cell>
          <cell r="S165" t="str">
            <v>CARVMU</v>
          </cell>
          <cell r="T165" t="str">
            <v>V. Mueller</v>
          </cell>
          <cell r="U165" t="str">
            <v>OS2730</v>
          </cell>
        </row>
        <row r="165">
          <cell r="X165" t="str">
            <v>Approved for SM</v>
          </cell>
          <cell r="Y165">
            <v>42293001</v>
          </cell>
          <cell r="Z165" t="str">
            <v>Surgical calipers or rulers or protractors</v>
          </cell>
          <cell r="AA165" t="str">
            <v>UNSPSC v23.0701</v>
          </cell>
        </row>
        <row r="165">
          <cell r="AC165" t="str">
            <v>42293001  Surgical calipers or rulers or protractors</v>
          </cell>
          <cell r="AD165" t="str">
            <v>CARDINAL</v>
          </cell>
          <cell r="AE165" t="str">
            <v>OS2730</v>
          </cell>
          <cell r="AF165" t="str">
            <v>OS2730</v>
          </cell>
        </row>
        <row r="165">
          <cell r="AH165" t="str">
            <v>RULER</v>
          </cell>
          <cell r="AI165">
            <v>2</v>
          </cell>
          <cell r="AJ165" t="str">
            <v>RULER, FLEXIBLE 12"X13MM</v>
          </cell>
        </row>
        <row r="165">
          <cell r="AL165" t="str">
            <v>42293001  Surgical calipers or rulers or protractors</v>
          </cell>
        </row>
        <row r="166">
          <cell r="N166">
            <v>842</v>
          </cell>
          <cell r="O166">
            <v>1066660</v>
          </cell>
          <cell r="P166" t="str">
            <v>Sterilization Accessories</v>
          </cell>
          <cell r="Q166" t="str">
            <v>CAREFUSION SOLUTIONS LLC</v>
          </cell>
          <cell r="R166" t="str">
            <v>V. Mueller-CARVMU</v>
          </cell>
          <cell r="S166" t="str">
            <v>CARVMU</v>
          </cell>
          <cell r="T166" t="str">
            <v>V. Mueller</v>
          </cell>
          <cell r="U166" t="str">
            <v>PP1-1</v>
          </cell>
        </row>
        <row r="166">
          <cell r="X166" t="str">
            <v>Approved for SM</v>
          </cell>
          <cell r="Y166">
            <v>42281510</v>
          </cell>
          <cell r="Z166" t="str">
            <v>Sterilization instrument clips or racks or stringers or holders</v>
          </cell>
          <cell r="AA166" t="str">
            <v>UNSPSC v23.0701</v>
          </cell>
        </row>
        <row r="166">
          <cell r="AC166" t="str">
            <v>42281510  Sterilization instrument clips or racks or stringers or holders</v>
          </cell>
          <cell r="AD166" t="str">
            <v>CARDINAL</v>
          </cell>
          <cell r="AE166" t="str">
            <v>PP1-1</v>
          </cell>
          <cell r="AF166" t="str">
            <v>PP11</v>
          </cell>
        </row>
        <row r="166">
          <cell r="AH166" t="str">
            <v>PIN</v>
          </cell>
          <cell r="AI166">
            <v>4</v>
          </cell>
          <cell r="AJ166" t="str">
            <v>PIN, INSTR STRLZ GENESIS 1" D/S</v>
          </cell>
        </row>
        <row r="166">
          <cell r="AL166" t="str">
            <v>42281510  Sterilization instrument clips or racks or stringers or holders</v>
          </cell>
        </row>
        <row r="167">
          <cell r="N167">
            <v>843</v>
          </cell>
          <cell r="O167">
            <v>1066659</v>
          </cell>
          <cell r="P167" t="str">
            <v>Sterilization Accessories</v>
          </cell>
          <cell r="Q167" t="str">
            <v>CAREFUSION SOLUTIONS LLC</v>
          </cell>
          <cell r="R167" t="str">
            <v>V. Mueller-CARVMU</v>
          </cell>
          <cell r="S167" t="str">
            <v>CARVMU</v>
          </cell>
          <cell r="T167" t="str">
            <v>V. Mueller</v>
          </cell>
          <cell r="U167" t="str">
            <v>PP1-2</v>
          </cell>
        </row>
        <row r="167">
          <cell r="X167" t="str">
            <v>Approved for SM</v>
          </cell>
          <cell r="Y167">
            <v>42281510</v>
          </cell>
          <cell r="Z167" t="str">
            <v>Sterilization instrument clips or racks or stringers or holders</v>
          </cell>
          <cell r="AA167" t="str">
            <v>UNSPSC v23.0701</v>
          </cell>
        </row>
        <row r="167">
          <cell r="AC167" t="str">
            <v>42281510  Sterilization instrument clips or racks or stringers or holders</v>
          </cell>
          <cell r="AD167" t="str">
            <v>CARDINAL</v>
          </cell>
          <cell r="AE167" t="str">
            <v>PP1-2</v>
          </cell>
          <cell r="AF167" t="str">
            <v>PP12</v>
          </cell>
        </row>
        <row r="167">
          <cell r="AH167" t="str">
            <v>PIN</v>
          </cell>
          <cell r="AI167">
            <v>4</v>
          </cell>
          <cell r="AJ167" t="str">
            <v>PIN, INSTR STRLZ GENESIS 1 1/2" D/S</v>
          </cell>
        </row>
        <row r="167">
          <cell r="AL167" t="str">
            <v>42281510  Sterilization instrument clips or racks or stringers or holders</v>
          </cell>
        </row>
        <row r="168">
          <cell r="N168">
            <v>769</v>
          </cell>
          <cell r="O168">
            <v>1065475</v>
          </cell>
          <cell r="P168" t="str">
            <v>custom items 1</v>
          </cell>
          <cell r="Q168" t="str">
            <v>CARDINAL HEALTHCARE</v>
          </cell>
          <cell r="R168" t="str">
            <v>Cardinal-CARDCS</v>
          </cell>
          <cell r="S168" t="str">
            <v>CARDCS</v>
          </cell>
          <cell r="T168" t="str">
            <v>Cardinal</v>
          </cell>
          <cell r="U168" t="str">
            <v>SAN54APDIB</v>
          </cell>
        </row>
        <row r="168">
          <cell r="X168" t="str">
            <v>New Item</v>
          </cell>
          <cell r="Y168">
            <v>42294211</v>
          </cell>
          <cell r="Z168" t="str">
            <v>Surgical custom or specialty instrument or procedure sets</v>
          </cell>
          <cell r="AA168" t="str">
            <v>UNSPSC v23.0701</v>
          </cell>
        </row>
        <row r="168">
          <cell r="AC168" t="str">
            <v>42294211  Surgical custom or specialty instrument or procedure sets</v>
          </cell>
          <cell r="AD168" t="str">
            <v>CARDINAL</v>
          </cell>
          <cell r="AE168" t="str">
            <v>SAN54APDIB</v>
          </cell>
          <cell r="AF168" t="str">
            <v>SAN54APDIB</v>
          </cell>
        </row>
        <row r="168">
          <cell r="AH168" t="str">
            <v>CPT</v>
          </cell>
          <cell r="AI168">
            <v>4</v>
          </cell>
          <cell r="AJ168" t="str">
            <v>CPT, ANGIO (DISCOVERSC) (2/CS)</v>
          </cell>
        </row>
        <row r="168">
          <cell r="AL168" t="str">
            <v>42294211  Surgical custom or specialty instrument or procedure sets</v>
          </cell>
        </row>
        <row r="169">
          <cell r="N169">
            <v>849</v>
          </cell>
          <cell r="O169">
            <v>1074251</v>
          </cell>
          <cell r="P169" t="str">
            <v>Needle Holders</v>
          </cell>
          <cell r="Q169" t="str">
            <v>CAREFUSION SOLUTIONS LLC</v>
          </cell>
          <cell r="R169" t="str">
            <v>V. Mueller-CARVMU</v>
          </cell>
          <cell r="S169" t="str">
            <v>CARVMU</v>
          </cell>
          <cell r="T169" t="str">
            <v>V. Mueller</v>
          </cell>
          <cell r="U169" t="str">
            <v>SU16128</v>
          </cell>
        </row>
        <row r="169">
          <cell r="X169" t="str">
            <v>Approved for SM</v>
          </cell>
          <cell r="Y169">
            <v>42292903</v>
          </cell>
          <cell r="Z169" t="str">
            <v>Surgical needle holders</v>
          </cell>
          <cell r="AA169" t="str">
            <v>UNSPSC v23.0701</v>
          </cell>
        </row>
        <row r="169">
          <cell r="AC169" t="str">
            <v>42292903  Surgical needle holders</v>
          </cell>
          <cell r="AD169" t="str">
            <v>CARDINAL</v>
          </cell>
          <cell r="AE169" t="str">
            <v>SU16128</v>
          </cell>
          <cell r="AF169" t="str">
            <v>SU16128</v>
          </cell>
        </row>
        <row r="169">
          <cell r="AH169" t="str">
            <v>NEEDLE</v>
          </cell>
          <cell r="AI169">
            <v>39</v>
          </cell>
          <cell r="AJ169" t="str">
            <v>NEEDLE HOLDER, VITAL HEANEY CVRD TC D/S</v>
          </cell>
        </row>
        <row r="169">
          <cell r="AL169" t="str">
            <v>42292903  Surgical needle holders</v>
          </cell>
        </row>
        <row r="170">
          <cell r="N170">
            <v>854</v>
          </cell>
          <cell r="O170">
            <v>1065921</v>
          </cell>
          <cell r="P170" t="str">
            <v>Elevators</v>
          </cell>
          <cell r="Q170" t="str">
            <v>CAREFUSION SOLUTIONS LLC</v>
          </cell>
          <cell r="R170" t="str">
            <v>V. Mueller-CARVMU</v>
          </cell>
          <cell r="S170" t="str">
            <v>CARVMU</v>
          </cell>
          <cell r="T170" t="str">
            <v>V. Mueller</v>
          </cell>
          <cell r="U170" t="str">
            <v>VM101-5406</v>
          </cell>
        </row>
        <row r="170">
          <cell r="X170" t="str">
            <v>Approved for SM</v>
          </cell>
          <cell r="Y170">
            <v>42292702</v>
          </cell>
          <cell r="Z170" t="str">
            <v>Surgical elevators or levers</v>
          </cell>
          <cell r="AA170" t="str">
            <v>UNSPSC v23.0701</v>
          </cell>
        </row>
        <row r="170">
          <cell r="AC170" t="str">
            <v>42292702  Surgical elevators or levers</v>
          </cell>
          <cell r="AD170" t="str">
            <v>CARDINAL</v>
          </cell>
          <cell r="AE170" t="str">
            <v>VM101-5406</v>
          </cell>
          <cell r="AF170" t="str">
            <v>VM1015406</v>
          </cell>
        </row>
        <row r="170">
          <cell r="AH170" t="str">
            <v>ELEVATOR</v>
          </cell>
          <cell r="AI170">
            <v>2</v>
          </cell>
          <cell r="AJ170" t="str">
            <v>ELEVATOR, LEMPERT CRVD 7MM D/S</v>
          </cell>
        </row>
        <row r="170">
          <cell r="AL170" t="str">
            <v>42292702  Surgical elevators or levers</v>
          </cell>
        </row>
        <row r="171">
          <cell r="N171">
            <v>857</v>
          </cell>
          <cell r="O171">
            <v>1075006</v>
          </cell>
          <cell r="P171" t="str">
            <v>Handles with Blades</v>
          </cell>
          <cell r="Q171" t="str">
            <v>CAREFUSION SOLUTIONS LLC</v>
          </cell>
          <cell r="R171" t="str">
            <v>V. Mueller-CARVMU</v>
          </cell>
          <cell r="S171" t="str">
            <v>CARVMU</v>
          </cell>
          <cell r="T171" t="str">
            <v>V. Mueller</v>
          </cell>
          <cell r="U171" t="str">
            <v>VM104-1881</v>
          </cell>
        </row>
        <row r="171">
          <cell r="X171" t="str">
            <v>Approved for SM</v>
          </cell>
          <cell r="Y171">
            <v>42291630</v>
          </cell>
          <cell r="Z171" t="str">
            <v>Surgical knife handles</v>
          </cell>
          <cell r="AA171" t="str">
            <v>UNSPSC v23.0701</v>
          </cell>
        </row>
        <row r="171">
          <cell r="AC171" t="str">
            <v>42291630  Surgical knife handles</v>
          </cell>
          <cell r="AD171" t="str">
            <v>CARDINAL</v>
          </cell>
          <cell r="AE171" t="str">
            <v>VM104-1881</v>
          </cell>
          <cell r="AF171" t="str">
            <v>VM1041881</v>
          </cell>
        </row>
        <row r="171">
          <cell r="AH171" t="str">
            <v>KNIFE</v>
          </cell>
          <cell r="AI171">
            <v>1</v>
          </cell>
          <cell r="AJ171" t="str">
            <v>KNIFE, JOSEPH BUTTON END ANGL D/S</v>
          </cell>
        </row>
        <row r="171">
          <cell r="AL171" t="str">
            <v>42291630  Surgical knife handles</v>
          </cell>
        </row>
        <row r="172">
          <cell r="N172">
            <v>861</v>
          </cell>
          <cell r="O172">
            <v>1075353</v>
          </cell>
          <cell r="P172" t="str">
            <v>Elevators</v>
          </cell>
          <cell r="Q172" t="str">
            <v>CAREFUSION SOLUTIONS LLC</v>
          </cell>
          <cell r="R172" t="str">
            <v>V. Mueller-CARVMU</v>
          </cell>
          <cell r="S172" t="str">
            <v>CARVMU</v>
          </cell>
          <cell r="T172" t="str">
            <v>V. Mueller</v>
          </cell>
          <cell r="U172" t="str">
            <v>VM71-2302</v>
          </cell>
        </row>
        <row r="172">
          <cell r="X172" t="str">
            <v>Approved for SM</v>
          </cell>
          <cell r="Y172">
            <v>42292702</v>
          </cell>
          <cell r="Z172" t="str">
            <v>Surgical elevators or levers</v>
          </cell>
          <cell r="AA172" t="str">
            <v>UNSPSC v23.0701</v>
          </cell>
        </row>
        <row r="172">
          <cell r="AC172" t="str">
            <v>42292702  Surgical elevators or levers</v>
          </cell>
          <cell r="AD172" t="str">
            <v>CARDINAL</v>
          </cell>
          <cell r="AE172" t="str">
            <v>VM71-2302</v>
          </cell>
          <cell r="AF172" t="str">
            <v>VM712302</v>
          </cell>
        </row>
        <row r="172">
          <cell r="AH172" t="str">
            <v>ELEVATOR</v>
          </cell>
          <cell r="AI172">
            <v>2</v>
          </cell>
          <cell r="AJ172" t="str">
            <v>ELEVATOR, LANGENBECK PERIOSTEAL BLADE 8"</v>
          </cell>
        </row>
        <row r="172">
          <cell r="AL172" t="str">
            <v>42292702  Surgical elevators or levers</v>
          </cell>
        </row>
        <row r="173">
          <cell r="N173">
            <v>895</v>
          </cell>
          <cell r="O173">
            <v>1075090</v>
          </cell>
          <cell r="P173" t="str">
            <v>Instrument Trays</v>
          </cell>
          <cell r="Q173" t="str">
            <v>CIVCO MEDICAL INSTRUMENTS CO</v>
          </cell>
          <cell r="R173" t="str">
            <v>Civco Medical Instruments-CIVCOM</v>
          </cell>
          <cell r="S173" t="str">
            <v>CIVCOM</v>
          </cell>
          <cell r="T173" t="str">
            <v>Civco Medical Instruments</v>
          </cell>
          <cell r="U173" t="str">
            <v>610-2215</v>
          </cell>
        </row>
        <row r="173">
          <cell r="X173" t="str">
            <v>Approved for SM</v>
          </cell>
          <cell r="Y173">
            <v>42282002</v>
          </cell>
          <cell r="Z173" t="str">
            <v>Disinfectant soaking pans</v>
          </cell>
          <cell r="AA173" t="str">
            <v>UNSPSC v23.0701</v>
          </cell>
        </row>
        <row r="173">
          <cell r="AC173" t="str">
            <v>42282002  Disinfectant soaking pans</v>
          </cell>
          <cell r="AD173" t="str">
            <v>CIVCO</v>
          </cell>
          <cell r="AE173" t="str">
            <v>610-2215</v>
          </cell>
          <cell r="AF173" t="str">
            <v>6102215</v>
          </cell>
        </row>
        <row r="173">
          <cell r="AH173" t="str">
            <v>TRAY</v>
          </cell>
          <cell r="AI173">
            <v>10</v>
          </cell>
          <cell r="AJ173" t="str">
            <v>TRAY, SOAKING F/SCOPES &amp; PROBES 1 BASE/1 LID</v>
          </cell>
        </row>
        <row r="173">
          <cell r="AL173" t="str">
            <v>42282002  Disinfectant soaking pans</v>
          </cell>
        </row>
        <row r="174">
          <cell r="N174">
            <v>901</v>
          </cell>
          <cell r="O174">
            <v>1066886</v>
          </cell>
          <cell r="P174" t="str">
            <v>Medical Procedure Tables</v>
          </cell>
          <cell r="Q174" t="str">
            <v>CLINTON INDUSTRIES</v>
          </cell>
          <cell r="R174" t="str">
            <v>Clinton Industries-CLTN</v>
          </cell>
          <cell r="S174" t="str">
            <v>CLTN</v>
          </cell>
          <cell r="T174" t="str">
            <v>Clinton Industries</v>
          </cell>
          <cell r="U174">
            <v>8870</v>
          </cell>
        </row>
        <row r="174">
          <cell r="X174" t="str">
            <v>New Item</v>
          </cell>
          <cell r="Y174">
            <v>42192001</v>
          </cell>
          <cell r="Z174" t="str">
            <v>Medical exam or procedure tables for general use</v>
          </cell>
          <cell r="AA174" t="str">
            <v>UNSPSC v23.0701</v>
          </cell>
        </row>
        <row r="174">
          <cell r="AC174" t="str">
            <v>42192001  Medical exam or procedure tables for general use</v>
          </cell>
          <cell r="AD174" t="str">
            <v>CLINTON</v>
          </cell>
          <cell r="AE174">
            <v>8870</v>
          </cell>
          <cell r="AF174" t="str">
            <v>8870</v>
          </cell>
        </row>
        <row r="174">
          <cell r="AH174" t="str">
            <v>FAMILY</v>
          </cell>
          <cell r="AI174">
            <v>1</v>
          </cell>
          <cell r="AJ174" t="str">
            <v>FAMILY PRACTICE TABLE 8870 DS</v>
          </cell>
        </row>
        <row r="174">
          <cell r="AL174" t="str">
            <v>42192001  Medical exam or procedure tables for general use</v>
          </cell>
        </row>
        <row r="175">
          <cell r="N175">
            <v>902</v>
          </cell>
          <cell r="O175">
            <v>1075103</v>
          </cell>
          <cell r="P175" t="str">
            <v>Furnishing Accessories</v>
          </cell>
          <cell r="Q175" t="str">
            <v>CLINTON INDUSTRIES</v>
          </cell>
          <cell r="R175" t="str">
            <v>Clinton Industries-CLTN</v>
          </cell>
          <cell r="S175" t="str">
            <v>CLTN</v>
          </cell>
          <cell r="T175" t="str">
            <v>Clinton Industries</v>
          </cell>
          <cell r="U175">
            <v>9722</v>
          </cell>
        </row>
        <row r="175">
          <cell r="X175" t="str">
            <v>Approved for SM</v>
          </cell>
          <cell r="Y175">
            <v>42192706</v>
          </cell>
          <cell r="Z175" t="str">
            <v>Pediatric examination table accessories</v>
          </cell>
          <cell r="AA175" t="str">
            <v>UNSPSC v23.0701</v>
          </cell>
        </row>
        <row r="175">
          <cell r="AC175" t="str">
            <v>42192706  Pediatric examination table accessories</v>
          </cell>
          <cell r="AD175" t="str">
            <v>CLINTON</v>
          </cell>
          <cell r="AE175">
            <v>9722</v>
          </cell>
          <cell r="AF175" t="str">
            <v>9722</v>
          </cell>
        </row>
        <row r="175">
          <cell r="AH175" t="str">
            <v>DECAL</v>
          </cell>
          <cell r="AI175">
            <v>1</v>
          </cell>
          <cell r="AJ175" t="str">
            <v>DECAL, FISH 14"</v>
          </cell>
        </row>
        <row r="175">
          <cell r="AL175" t="str">
            <v>42192706  Pediatric examination table accessories</v>
          </cell>
        </row>
        <row r="176">
          <cell r="N176">
            <v>903</v>
          </cell>
          <cell r="O176">
            <v>1075101</v>
          </cell>
          <cell r="P176" t="str">
            <v>Furnishing Accessories</v>
          </cell>
          <cell r="Q176" t="str">
            <v>CLINTON INDUSTRIES</v>
          </cell>
          <cell r="R176" t="str">
            <v>Clinton Industries-CLTN</v>
          </cell>
          <cell r="S176" t="str">
            <v>CLTN</v>
          </cell>
          <cell r="T176" t="str">
            <v>Clinton Industries</v>
          </cell>
          <cell r="U176">
            <v>9744</v>
          </cell>
        </row>
        <row r="176">
          <cell r="X176" t="str">
            <v>Approved for SM</v>
          </cell>
          <cell r="Y176">
            <v>42192706</v>
          </cell>
          <cell r="Z176" t="str">
            <v>Pediatric examination table accessories</v>
          </cell>
          <cell r="AA176" t="str">
            <v>UNSPSC v23.0701</v>
          </cell>
        </row>
        <row r="176">
          <cell r="AC176" t="str">
            <v>42192706  Pediatric examination table accessories</v>
          </cell>
          <cell r="AD176" t="str">
            <v>CLINTON</v>
          </cell>
          <cell r="AE176">
            <v>9744</v>
          </cell>
          <cell r="AF176" t="str">
            <v>9744</v>
          </cell>
        </row>
        <row r="176">
          <cell r="AH176" t="str">
            <v>GRAPHIC</v>
          </cell>
          <cell r="AI176">
            <v>2</v>
          </cell>
          <cell r="AJ176" t="str">
            <v>GRAPHIC, HOCKEY PENGUIN 9"</v>
          </cell>
        </row>
        <row r="176">
          <cell r="AL176" t="str">
            <v>42192706  Pediatric examination table accessories</v>
          </cell>
        </row>
        <row r="177">
          <cell r="N177">
            <v>904</v>
          </cell>
          <cell r="O177">
            <v>1065657</v>
          </cell>
          <cell r="P177" t="str">
            <v>Desks</v>
          </cell>
          <cell r="Q177" t="str">
            <v>CLINTON INDUSTRIES</v>
          </cell>
          <cell r="R177" t="str">
            <v>Clinton Industries-CLTN</v>
          </cell>
          <cell r="S177" t="str">
            <v>CLTN</v>
          </cell>
          <cell r="T177" t="str">
            <v>Clinton Industries</v>
          </cell>
          <cell r="U177" t="str">
            <v>079C-AB</v>
          </cell>
        </row>
        <row r="177">
          <cell r="X177" t="str">
            <v>Approved for SM</v>
          </cell>
          <cell r="Y177">
            <v>56101703</v>
          </cell>
          <cell r="Z177" t="str">
            <v>Desks</v>
          </cell>
          <cell r="AA177" t="str">
            <v>UNSPSC v23.0701</v>
          </cell>
        </row>
        <row r="177">
          <cell r="AC177" t="str">
            <v>56101703  Desks</v>
          </cell>
          <cell r="AD177" t="str">
            <v>CLINTON</v>
          </cell>
          <cell r="AE177" t="str">
            <v>079C-AB</v>
          </cell>
          <cell r="AF177" t="str">
            <v>079CAB</v>
          </cell>
        </row>
        <row r="177">
          <cell r="AH177" t="str">
            <v>DESK</v>
          </cell>
          <cell r="AI177">
            <v>1</v>
          </cell>
          <cell r="AJ177" t="str">
            <v>DESK, WALL MOUNT COMPUTER STATION LT SDE 1LEG AZTEC BLU</v>
          </cell>
        </row>
        <row r="177">
          <cell r="AL177" t="str">
            <v>56101703  Desks</v>
          </cell>
        </row>
        <row r="178">
          <cell r="N178">
            <v>927</v>
          </cell>
          <cell r="O178">
            <v>1073417</v>
          </cell>
          <cell r="P178" t="str">
            <v>Couches and Sofas</v>
          </cell>
          <cell r="Q178" t="str">
            <v>CLINTON INDUSTRIES</v>
          </cell>
          <cell r="R178" t="str">
            <v>Clinton Industries-CLTN</v>
          </cell>
          <cell r="S178" t="str">
            <v>CLTN</v>
          </cell>
          <cell r="T178" t="str">
            <v>Clinton Industries</v>
          </cell>
          <cell r="U178" t="str">
            <v>3620-27-INT-3WW</v>
          </cell>
        </row>
        <row r="178">
          <cell r="X178" t="str">
            <v>Approved for SM</v>
          </cell>
          <cell r="Y178">
            <v>42192001</v>
          </cell>
          <cell r="Z178" t="str">
            <v>Medical exam or procedure tables for general use</v>
          </cell>
          <cell r="AA178" t="str">
            <v>UNSPSC v23.0701</v>
          </cell>
        </row>
        <row r="178">
          <cell r="AC178" t="str">
            <v>42192001  Medical exam or procedure tables for general use</v>
          </cell>
          <cell r="AD178" t="str">
            <v>CLINTON</v>
          </cell>
          <cell r="AE178" t="str">
            <v>3620-27-INT-3WW</v>
          </cell>
          <cell r="AF178" t="str">
            <v>362027INT3WW</v>
          </cell>
        </row>
        <row r="178">
          <cell r="AH178" t="str">
            <v>COUCH</v>
          </cell>
          <cell r="AI178">
            <v>3</v>
          </cell>
          <cell r="AJ178" t="str">
            <v>COUCH, RECOVERY WOOD LEG WEDGEWOOD NATURAL 27"</v>
          </cell>
        </row>
        <row r="178">
          <cell r="AL178" t="str">
            <v>42192001  Medical exam or procedure tables for general use</v>
          </cell>
        </row>
        <row r="179">
          <cell r="N179">
            <v>928</v>
          </cell>
          <cell r="O179">
            <v>1066879</v>
          </cell>
          <cell r="P179" t="str">
            <v>Couches and Sofas</v>
          </cell>
          <cell r="Q179" t="str">
            <v>CLINTON INDUSTRIES</v>
          </cell>
          <cell r="R179" t="str">
            <v>Clinton Industries-CLTN</v>
          </cell>
          <cell r="S179" t="str">
            <v>CLTN</v>
          </cell>
          <cell r="T179" t="str">
            <v>Clinton Industries</v>
          </cell>
          <cell r="U179" t="str">
            <v>3713-15-1GR-3WG</v>
          </cell>
        </row>
        <row r="179">
          <cell r="X179" t="str">
            <v>Approved for SM</v>
          </cell>
          <cell r="Y179">
            <v>42192002</v>
          </cell>
          <cell r="Z179" t="str">
            <v>Medical exam or procedure table accessories for general use excluding cover sheets</v>
          </cell>
          <cell r="AA179" t="str">
            <v>UNSPSC v23.0701</v>
          </cell>
        </row>
        <row r="179">
          <cell r="AC179" t="str">
            <v>42192002  Medical exam or procedure table accessories for general use excluding cover sheets</v>
          </cell>
          <cell r="AD179" t="str">
            <v>CLINTON</v>
          </cell>
          <cell r="AE179" t="str">
            <v>3713-15-1GR-3WG</v>
          </cell>
          <cell r="AF179" t="str">
            <v>3713151GR3WG</v>
          </cell>
        </row>
        <row r="179">
          <cell r="AH179" t="str">
            <v>COUCH</v>
          </cell>
          <cell r="AI179">
            <v>3</v>
          </cell>
          <cell r="AJ179" t="str">
            <v>COUCH, APRON UPHOLSTERED 2DRWR</v>
          </cell>
        </row>
        <row r="179">
          <cell r="AL179" t="str">
            <v>42192002  Medical exam or procedure table accessories for general use excluding cover sheets</v>
          </cell>
        </row>
        <row r="180">
          <cell r="N180">
            <v>930</v>
          </cell>
          <cell r="O180">
            <v>1074321</v>
          </cell>
          <cell r="P180" t="str">
            <v>Physical Therapy Accessories</v>
          </cell>
          <cell r="Q180" t="str">
            <v>CLINTON INDUSTRIES</v>
          </cell>
          <cell r="R180" t="str">
            <v>Clinton Industries-CLTN</v>
          </cell>
          <cell r="S180" t="str">
            <v>CLTN</v>
          </cell>
          <cell r="T180" t="str">
            <v>Clinton Industries</v>
          </cell>
          <cell r="U180" t="str">
            <v>5140-1NT</v>
          </cell>
        </row>
        <row r="180">
          <cell r="X180" t="str">
            <v>Approved for SM</v>
          </cell>
          <cell r="Y180">
            <v>42251626</v>
          </cell>
          <cell r="Z180" t="str">
            <v>Rehabilitation exercise component accessories</v>
          </cell>
          <cell r="AA180" t="str">
            <v>UNSPSC v23.0701</v>
          </cell>
        </row>
        <row r="180">
          <cell r="AC180" t="str">
            <v>42251626  Rehabilitation exercise component accessories</v>
          </cell>
          <cell r="AD180" t="str">
            <v>CLINTON</v>
          </cell>
          <cell r="AE180" t="str">
            <v>5140-1NT</v>
          </cell>
          <cell r="AF180" t="str">
            <v>51401NT</v>
          </cell>
        </row>
        <row r="180">
          <cell r="AH180" t="str">
            <v>RACK</v>
          </cell>
          <cell r="AI180">
            <v>13</v>
          </cell>
          <cell r="AJ180" t="str">
            <v>RACK, EXERCISE BAND ZEUS SUPERRAC NATURAL</v>
          </cell>
        </row>
        <row r="180">
          <cell r="AL180" t="str">
            <v>42251626  Rehabilitation exercise component accessories</v>
          </cell>
        </row>
        <row r="181">
          <cell r="N181">
            <v>934</v>
          </cell>
          <cell r="O181">
            <v>1073335</v>
          </cell>
          <cell r="P181" t="str">
            <v>Furnishing Accessories</v>
          </cell>
          <cell r="Q181" t="str">
            <v>CLINTON INDUSTRIES</v>
          </cell>
          <cell r="R181" t="str">
            <v>Clinton Industries-CLTN</v>
          </cell>
          <cell r="S181" t="str">
            <v>CLTN</v>
          </cell>
          <cell r="T181" t="str">
            <v>Clinton Industries</v>
          </cell>
          <cell r="U181" t="str">
            <v>6361-EPO-3RB</v>
          </cell>
        </row>
        <row r="181">
          <cell r="X181" t="str">
            <v>Approved for SM</v>
          </cell>
          <cell r="Y181">
            <v>42192109</v>
          </cell>
          <cell r="Z181" t="str">
            <v>Blood drawing or phlebotomy chair accessories</v>
          </cell>
          <cell r="AA181" t="str">
            <v>UNSPSC v23.0701</v>
          </cell>
        </row>
        <row r="181">
          <cell r="AC181" t="str">
            <v>42192109  Blood drawing or phlebotomy chair accessories</v>
          </cell>
          <cell r="AD181" t="str">
            <v>CLINTON</v>
          </cell>
          <cell r="AE181" t="str">
            <v>6361-EPO-3RB</v>
          </cell>
          <cell r="AF181" t="str">
            <v>6361EPO3RB</v>
          </cell>
        </row>
        <row r="181">
          <cell r="AH181" t="str">
            <v>PAD</v>
          </cell>
          <cell r="AI181">
            <v>39</v>
          </cell>
          <cell r="AJ181" t="str">
            <v>PAD, ELBOW ONLY RBLU F/BLOOD DRAW CHAIR</v>
          </cell>
        </row>
        <row r="181">
          <cell r="AL181" t="str">
            <v>42192109  Blood drawing or phlebotomy chair accessories</v>
          </cell>
        </row>
        <row r="182">
          <cell r="N182">
            <v>935</v>
          </cell>
          <cell r="O182">
            <v>1073336</v>
          </cell>
          <cell r="P182" t="str">
            <v>Furnishing Accessories</v>
          </cell>
          <cell r="Q182" t="str">
            <v>CLINTON INDUSTRIES</v>
          </cell>
          <cell r="R182" t="str">
            <v>Clinton Industries-CLTN</v>
          </cell>
          <cell r="S182" t="str">
            <v>CLTN</v>
          </cell>
          <cell r="T182" t="str">
            <v>Clinton Industries</v>
          </cell>
          <cell r="U182" t="str">
            <v>6361-FAPO-3RB</v>
          </cell>
        </row>
        <row r="182">
          <cell r="X182" t="str">
            <v>Approved for SM</v>
          </cell>
          <cell r="Y182">
            <v>42141705</v>
          </cell>
          <cell r="Z182" t="str">
            <v>Decubitus prevention Patient positioning cushions or pads or pillows</v>
          </cell>
          <cell r="AA182" t="str">
            <v>UNSPSC v23.0701</v>
          </cell>
        </row>
        <row r="182">
          <cell r="AC182" t="str">
            <v>42141705  Decubitus prevention Patient positioning cushions or pads or pillows</v>
          </cell>
          <cell r="AD182" t="str">
            <v>CLINTON</v>
          </cell>
          <cell r="AE182" t="str">
            <v>6361-FAPO-3RB</v>
          </cell>
          <cell r="AF182" t="str">
            <v>6361FAPO3RB</v>
          </cell>
        </row>
        <row r="182">
          <cell r="AH182" t="str">
            <v>PAD</v>
          </cell>
          <cell r="AI182">
            <v>39</v>
          </cell>
          <cell r="AJ182" t="str">
            <v>PAD, ARM ONLY FLIP F/BLOOD DRAW CHAIR</v>
          </cell>
        </row>
        <row r="182">
          <cell r="AL182" t="str">
            <v>42141705  Patient positioning cushion or pad or pillow</v>
          </cell>
        </row>
        <row r="183">
          <cell r="N183">
            <v>967</v>
          </cell>
          <cell r="O183">
            <v>1073654</v>
          </cell>
          <cell r="P183" t="str">
            <v>Casework and Medical Cabinets</v>
          </cell>
          <cell r="Q183" t="str">
            <v>CLINTON INDUSTRIES</v>
          </cell>
          <cell r="R183" t="str">
            <v>Clinton Industries-CLTN</v>
          </cell>
          <cell r="S183" t="str">
            <v>CLTN</v>
          </cell>
          <cell r="T183" t="str">
            <v>Clinton Industries</v>
          </cell>
          <cell r="U183" t="str">
            <v>8272-1MP-2MP-5C</v>
          </cell>
        </row>
        <row r="183">
          <cell r="X183" t="str">
            <v>Approved for SM</v>
          </cell>
          <cell r="Y183">
            <v>42191905</v>
          </cell>
          <cell r="Z183" t="str">
            <v>Medical treatment cabinets</v>
          </cell>
          <cell r="AA183" t="str">
            <v>UNSPSC v23.0701</v>
          </cell>
        </row>
        <row r="183">
          <cell r="AC183" t="str">
            <v>42191905  Medical treatment cabinets</v>
          </cell>
          <cell r="AD183" t="str">
            <v>CLINTON</v>
          </cell>
          <cell r="AE183" t="str">
            <v>8272-1MP-2MP-5C</v>
          </cell>
          <cell r="AF183" t="str">
            <v>82721MP2MP5C</v>
          </cell>
        </row>
        <row r="183">
          <cell r="AH183" t="str">
            <v>CABINET</v>
          </cell>
          <cell r="AI183">
            <v>28</v>
          </cell>
          <cell r="AJ183" t="str">
            <v>CABINET, WALL W/SHELF 3DR MAPLE/SLVR HNDLS 72"</v>
          </cell>
        </row>
        <row r="183">
          <cell r="AL183" t="str">
            <v>42191905  Medical treatment cabinets</v>
          </cell>
        </row>
        <row r="184">
          <cell r="N184">
            <v>981</v>
          </cell>
          <cell r="O184">
            <v>1075102</v>
          </cell>
          <cell r="P184" t="str">
            <v>Furnishing Accessories</v>
          </cell>
          <cell r="Q184" t="str">
            <v>CLINTON INDUSTRIES</v>
          </cell>
          <cell r="R184" t="str">
            <v>Clinton Industries-CLTN</v>
          </cell>
          <cell r="S184" t="str">
            <v>CLTN</v>
          </cell>
          <cell r="T184" t="str">
            <v>Clinton Industries</v>
          </cell>
          <cell r="U184" t="str">
            <v>9733-A</v>
          </cell>
        </row>
        <row r="184">
          <cell r="X184" t="str">
            <v>Approved for SM</v>
          </cell>
          <cell r="Y184">
            <v>42192706</v>
          </cell>
          <cell r="Z184" t="str">
            <v>Pediatric examination table accessories</v>
          </cell>
          <cell r="AA184" t="str">
            <v>UNSPSC v23.0701</v>
          </cell>
        </row>
        <row r="184">
          <cell r="AC184" t="str">
            <v>42192706  Pediatric examination table accessories</v>
          </cell>
          <cell r="AD184" t="str">
            <v>CLINTON</v>
          </cell>
          <cell r="AE184" t="str">
            <v>9733-A</v>
          </cell>
          <cell r="AF184" t="str">
            <v>9733A</v>
          </cell>
        </row>
        <row r="184">
          <cell r="AH184" t="str">
            <v>GRAPHIC</v>
          </cell>
          <cell r="AI184">
            <v>2</v>
          </cell>
          <cell r="AJ184" t="str">
            <v>GRAPHIC, TIGER BUDDIES</v>
          </cell>
        </row>
        <row r="184">
          <cell r="AL184" t="str">
            <v>42192706  Pediatric examination table accessories</v>
          </cell>
        </row>
        <row r="185">
          <cell r="N185">
            <v>991</v>
          </cell>
          <cell r="O185">
            <v>1073723</v>
          </cell>
          <cell r="P185" t="str">
            <v>IV Therapy Accessories</v>
          </cell>
          <cell r="Q185" t="str">
            <v>CODAN US CORPORATION</v>
          </cell>
          <cell r="R185" t="str">
            <v>Codan US Corporation-CODNUS</v>
          </cell>
          <cell r="S185" t="str">
            <v>CODNUS</v>
          </cell>
          <cell r="T185" t="str">
            <v>Codan US Corporation</v>
          </cell>
          <cell r="U185" t="str">
            <v>C354N</v>
          </cell>
        </row>
        <row r="185">
          <cell r="X185" t="str">
            <v>Approved for SM</v>
          </cell>
          <cell r="Y185">
            <v>42221500</v>
          </cell>
          <cell r="Z185" t="str">
            <v>Intravenous and arterial cannulas and catheters and accessories</v>
          </cell>
          <cell r="AA185" t="str">
            <v>UNSPSC v23.0701</v>
          </cell>
        </row>
        <row r="185">
          <cell r="AC185" t="str">
            <v>42221500  Intravenous and arterial cannulas and catheters and accessories</v>
          </cell>
          <cell r="AD185" t="str">
            <v>CODAN</v>
          </cell>
          <cell r="AE185" t="str">
            <v>C354N</v>
          </cell>
          <cell r="AF185" t="str">
            <v>C354N</v>
          </cell>
        </row>
        <row r="185">
          <cell r="AH185" t="str">
            <v>SPIKE</v>
          </cell>
          <cell r="AI185">
            <v>1</v>
          </cell>
          <cell r="AJ185" t="str">
            <v>SPIKE, VALVE VENTED TAKE SET W/SWAN-LOCK NDL-FREE ADPT (50/C</v>
          </cell>
        </row>
        <row r="185">
          <cell r="AL185" t="str">
            <v>42221500  Intravenous and arterial cannulas and catheters and accessories</v>
          </cell>
        </row>
        <row r="186">
          <cell r="N186">
            <v>4658</v>
          </cell>
          <cell r="O186">
            <v>1065367</v>
          </cell>
          <cell r="P186" t="str">
            <v>Wheelchair Accessories</v>
          </cell>
          <cell r="Q186" t="str">
            <v>THE COMFORT COMPANY</v>
          </cell>
          <cell r="R186" t="str">
            <v>The Comfort Company-CMFORT</v>
          </cell>
          <cell r="S186" t="str">
            <v>CMFORT</v>
          </cell>
          <cell r="T186" t="str">
            <v>The Comfort Company</v>
          </cell>
          <cell r="U186" t="str">
            <v>AB-BS16W16L</v>
          </cell>
        </row>
        <row r="186">
          <cell r="X186" t="str">
            <v>Approved for SM</v>
          </cell>
          <cell r="Y186">
            <v>42192208</v>
          </cell>
          <cell r="Z186" t="str">
            <v>Wheelchair accessories</v>
          </cell>
          <cell r="AA186" t="str">
            <v>UNSPSC v23.0701</v>
          </cell>
        </row>
        <row r="186">
          <cell r="AC186" t="str">
            <v>42192208  Wheelchair accessories</v>
          </cell>
          <cell r="AD186" t="str">
            <v>COMFORT COMPANY</v>
          </cell>
          <cell r="AE186" t="str">
            <v>AB-BS16W16L</v>
          </cell>
          <cell r="AF186" t="str">
            <v>ABBS16W16L</v>
          </cell>
        </row>
        <row r="186">
          <cell r="AH186" t="str">
            <v>FABRIC</v>
          </cell>
          <cell r="AI186">
            <v>2</v>
          </cell>
          <cell r="AJ186" t="str">
            <v>FABRIC, ACTA BACK BS F/WHEELCHAIR 16WX16L</v>
          </cell>
        </row>
        <row r="186">
          <cell r="AL186" t="str">
            <v>42192208  Wheelchair accessories</v>
          </cell>
        </row>
        <row r="187">
          <cell r="N187">
            <v>4659</v>
          </cell>
          <cell r="O187">
            <v>1075142</v>
          </cell>
          <cell r="P187" t="str">
            <v>Wheelchair Accessories</v>
          </cell>
          <cell r="Q187" t="str">
            <v>THE COMFORT COMPANY</v>
          </cell>
          <cell r="R187" t="str">
            <v>The Comfort Company-CMFORT</v>
          </cell>
          <cell r="S187" t="str">
            <v>CMFORT</v>
          </cell>
          <cell r="T187" t="str">
            <v>The Comfort Company</v>
          </cell>
          <cell r="U187" t="str">
            <v>AMPSA814</v>
          </cell>
        </row>
        <row r="187">
          <cell r="X187" t="str">
            <v>Approved for SM</v>
          </cell>
          <cell r="Y187">
            <v>42192208</v>
          </cell>
          <cell r="Z187" t="str">
            <v>Wheelchair accessories</v>
          </cell>
          <cell r="AA187" t="str">
            <v>UNSPSC v23.0701</v>
          </cell>
        </row>
        <row r="187">
          <cell r="AC187" t="str">
            <v>42192208  Wheelchair accessories</v>
          </cell>
          <cell r="AD187" t="str">
            <v>COMFORT COMPANY</v>
          </cell>
          <cell r="AE187" t="str">
            <v>AMPSA814</v>
          </cell>
          <cell r="AF187" t="str">
            <v>AMPSA814</v>
          </cell>
        </row>
        <row r="187">
          <cell r="AH187" t="str">
            <v>PAD</v>
          </cell>
          <cell r="AI187">
            <v>39</v>
          </cell>
          <cell r="AJ187" t="str">
            <v>PAD, SUPP AMPUTEE F/W/C SWINGAWAY STYL BLK 8"X14"</v>
          </cell>
        </row>
        <row r="187">
          <cell r="AL187" t="str">
            <v>42192208  Wheelchair accessories</v>
          </cell>
        </row>
        <row r="188">
          <cell r="N188">
            <v>1059</v>
          </cell>
          <cell r="O188">
            <v>1075150</v>
          </cell>
          <cell r="P188" t="str">
            <v>Aspiration and Biopsy Needles</v>
          </cell>
          <cell r="Q188" t="str">
            <v>COOK UROLOGICAL, INC.</v>
          </cell>
          <cell r="R188" t="str">
            <v>Cook Medical-COKINC</v>
          </cell>
          <cell r="S188" t="str">
            <v>COKINC</v>
          </cell>
          <cell r="T188" t="str">
            <v>Cook Medical</v>
          </cell>
          <cell r="U188" t="str">
            <v>G44355</v>
          </cell>
        </row>
        <row r="188">
          <cell r="X188" t="str">
            <v>Approved for SM</v>
          </cell>
          <cell r="Y188">
            <v>42142504</v>
          </cell>
          <cell r="Z188" t="str">
            <v>Biopsy needles</v>
          </cell>
          <cell r="AA188" t="str">
            <v>UNSPSC v23.0701</v>
          </cell>
        </row>
        <row r="188">
          <cell r="AC188" t="str">
            <v>42142504  Biopsy needles</v>
          </cell>
          <cell r="AD188" t="str">
            <v>COOK</v>
          </cell>
          <cell r="AE188" t="str">
            <v>G44355</v>
          </cell>
          <cell r="AF188" t="str">
            <v>G44355</v>
          </cell>
        </row>
        <row r="188">
          <cell r="AH188" t="str">
            <v>NEEDLE</v>
          </cell>
          <cell r="AI188">
            <v>39</v>
          </cell>
          <cell r="AJ188" t="str">
            <v>NEEDLE, BIOPSY SNGL LUMEN OVUM17GX35CM</v>
          </cell>
        </row>
        <row r="188">
          <cell r="AL188" t="str">
            <v>42142504  Biopsy needles</v>
          </cell>
        </row>
        <row r="189">
          <cell r="N189">
            <v>1065</v>
          </cell>
          <cell r="O189">
            <v>1073243</v>
          </cell>
          <cell r="P189" t="str">
            <v>Retractors</v>
          </cell>
          <cell r="Q189" t="str">
            <v>COOPER SURGICAL</v>
          </cell>
          <cell r="R189" t="str">
            <v>Cooper Surgical-CPRSRG</v>
          </cell>
          <cell r="S189" t="str">
            <v>CPRSRG</v>
          </cell>
          <cell r="T189" t="str">
            <v>Cooper Surgical</v>
          </cell>
          <cell r="U189" t="str">
            <v>3327-4G</v>
          </cell>
        </row>
        <row r="189">
          <cell r="X189" t="str">
            <v>Approved for SM</v>
          </cell>
          <cell r="Y189">
            <v>42293102</v>
          </cell>
          <cell r="Z189" t="str">
            <v>Surgical retraction hooks</v>
          </cell>
          <cell r="AA189" t="str">
            <v>UNSPSC v23.0701</v>
          </cell>
        </row>
        <row r="189">
          <cell r="AC189" t="str">
            <v>42293102  Surgical retraction hooks</v>
          </cell>
          <cell r="AD189" t="str">
            <v>COOPER</v>
          </cell>
          <cell r="AE189" t="str">
            <v>3327-4G</v>
          </cell>
          <cell r="AF189" t="str">
            <v>33274G</v>
          </cell>
        </row>
        <row r="189">
          <cell r="AH189" t="str">
            <v>HOOK</v>
          </cell>
          <cell r="AI189">
            <v>3</v>
          </cell>
          <cell r="AJ189" t="str">
            <v>HOOK, RETRACTOR 2FNGR SHRP 7MM(4/PK)</v>
          </cell>
        </row>
        <row r="189">
          <cell r="AL189" t="str">
            <v>42293102  Surgical retraction hooks</v>
          </cell>
        </row>
        <row r="190">
          <cell r="N190">
            <v>1084</v>
          </cell>
          <cell r="O190">
            <v>1066910</v>
          </cell>
          <cell r="P190" t="str">
            <v>First Aid</v>
          </cell>
          <cell r="Q190" t="str">
            <v>CORETEX PRODUCTS</v>
          </cell>
          <cell r="R190" t="str">
            <v>Coretex Products-CORTEX</v>
          </cell>
          <cell r="S190" t="str">
            <v>CORTEX</v>
          </cell>
          <cell r="T190" t="str">
            <v>Coretex Products</v>
          </cell>
          <cell r="U190">
            <v>12643</v>
          </cell>
        </row>
        <row r="190">
          <cell r="X190" t="str">
            <v>Approved for SM</v>
          </cell>
          <cell r="Y190">
            <v>53131648</v>
          </cell>
          <cell r="Z190" t="str">
            <v>Insect repellant</v>
          </cell>
          <cell r="AA190" t="str">
            <v>UNSPSC v23.0701</v>
          </cell>
        </row>
        <row r="190">
          <cell r="AC190" t="str">
            <v>53131648  Insect repellant</v>
          </cell>
          <cell r="AD190" t="str">
            <v>CORETEX</v>
          </cell>
          <cell r="AE190">
            <v>12643</v>
          </cell>
          <cell r="AF190" t="str">
            <v>12643</v>
          </cell>
        </row>
        <row r="190">
          <cell r="AH190" t="str">
            <v>BUGX</v>
          </cell>
          <cell r="AI190">
            <v>6</v>
          </cell>
          <cell r="AJ190" t="str">
            <v>BUGX, TOWELETTE INSECT REPELLANT (300/CS)</v>
          </cell>
        </row>
        <row r="190">
          <cell r="AL190" t="str">
            <v>53131648  Insect repellant</v>
          </cell>
        </row>
        <row r="191">
          <cell r="N191">
            <v>1085</v>
          </cell>
          <cell r="O191">
            <v>1066911</v>
          </cell>
          <cell r="P191" t="str">
            <v>First Aid</v>
          </cell>
          <cell r="Q191" t="str">
            <v>CORETEX PRODUCTS</v>
          </cell>
          <cell r="R191" t="str">
            <v>Coretex Products-CORTEX</v>
          </cell>
          <cell r="S191" t="str">
            <v>CORTEX</v>
          </cell>
          <cell r="T191" t="str">
            <v>Coretex Products</v>
          </cell>
          <cell r="U191">
            <v>12644</v>
          </cell>
        </row>
        <row r="191">
          <cell r="X191" t="str">
            <v>Approved for SM</v>
          </cell>
          <cell r="Y191">
            <v>53131648</v>
          </cell>
          <cell r="Z191" t="str">
            <v>Insect repellant</v>
          </cell>
          <cell r="AA191" t="str">
            <v>UNSPSC v23.0701</v>
          </cell>
        </row>
        <row r="191">
          <cell r="AC191" t="str">
            <v>53131648  Insect repellant</v>
          </cell>
          <cell r="AD191" t="str">
            <v>CORETEX</v>
          </cell>
          <cell r="AE191">
            <v>12644</v>
          </cell>
          <cell r="AF191" t="str">
            <v>12644</v>
          </cell>
        </row>
        <row r="191">
          <cell r="AH191" t="str">
            <v>BUGX</v>
          </cell>
          <cell r="AI191">
            <v>6</v>
          </cell>
          <cell r="AJ191" t="str">
            <v>BUGX, TOWELETTE INSECT REPELLANT (50/CS)</v>
          </cell>
        </row>
        <row r="191">
          <cell r="AL191" t="str">
            <v>53131648  Insect repellant</v>
          </cell>
        </row>
        <row r="192">
          <cell r="N192">
            <v>1086</v>
          </cell>
          <cell r="O192">
            <v>1066913</v>
          </cell>
          <cell r="P192" t="str">
            <v>First Aid</v>
          </cell>
          <cell r="Q192" t="str">
            <v>CORETEX PRODUCTS</v>
          </cell>
          <cell r="R192" t="str">
            <v>Coretex Products-CORTEX</v>
          </cell>
          <cell r="S192" t="str">
            <v>CORTEX</v>
          </cell>
          <cell r="T192" t="str">
            <v>Coretex Products</v>
          </cell>
          <cell r="U192">
            <v>12840</v>
          </cell>
        </row>
        <row r="192">
          <cell r="X192" t="str">
            <v>Approved for SM</v>
          </cell>
          <cell r="Y192">
            <v>53131648</v>
          </cell>
          <cell r="Z192" t="str">
            <v>Insect repellant</v>
          </cell>
          <cell r="AA192" t="str">
            <v>UNSPSC v23.0701</v>
          </cell>
        </row>
        <row r="192">
          <cell r="AC192" t="str">
            <v>53131648  Insect repellant</v>
          </cell>
          <cell r="AD192" t="str">
            <v>CORETEX</v>
          </cell>
          <cell r="AE192">
            <v>12840</v>
          </cell>
          <cell r="AF192" t="str">
            <v>12840</v>
          </cell>
        </row>
        <row r="192">
          <cell r="AH192" t="str">
            <v>BUGX</v>
          </cell>
          <cell r="AI192">
            <v>6</v>
          </cell>
          <cell r="AJ192" t="str">
            <v>BUGX, TOWELETTE DEET FREE (25/BX 4BX/CS)</v>
          </cell>
        </row>
        <row r="192">
          <cell r="AL192" t="str">
            <v>53131648  Insect repellant</v>
          </cell>
        </row>
        <row r="193">
          <cell r="N193">
            <v>1087</v>
          </cell>
          <cell r="O193">
            <v>1066914</v>
          </cell>
          <cell r="P193" t="str">
            <v>First Aid</v>
          </cell>
          <cell r="Q193" t="str">
            <v>CORETEX PRODUCTS</v>
          </cell>
          <cell r="R193" t="str">
            <v>Coretex Products-CORTEX</v>
          </cell>
          <cell r="S193" t="str">
            <v>CORTEX</v>
          </cell>
          <cell r="T193" t="str">
            <v>Coretex Products</v>
          </cell>
          <cell r="U193">
            <v>12844</v>
          </cell>
        </row>
        <row r="193">
          <cell r="X193" t="str">
            <v>Approved for SM</v>
          </cell>
          <cell r="Y193">
            <v>53131648</v>
          </cell>
          <cell r="Z193" t="str">
            <v>Insect repellant</v>
          </cell>
          <cell r="AA193" t="str">
            <v>UNSPSC v23.0701</v>
          </cell>
        </row>
        <row r="193">
          <cell r="AC193" t="str">
            <v>53131648  Insect repellant</v>
          </cell>
          <cell r="AD193" t="str">
            <v>CORETEX</v>
          </cell>
          <cell r="AE193">
            <v>12844</v>
          </cell>
          <cell r="AF193" t="str">
            <v>12844</v>
          </cell>
        </row>
        <row r="193">
          <cell r="AH193" t="str">
            <v>BUGX</v>
          </cell>
          <cell r="AI193">
            <v>6</v>
          </cell>
          <cell r="AJ193" t="str">
            <v>BUGX, TOWELETTE DEET FREE (50/BX)</v>
          </cell>
        </row>
        <row r="193">
          <cell r="AL193" t="str">
            <v>53131648  Insect repellant</v>
          </cell>
        </row>
        <row r="194">
          <cell r="N194">
            <v>1088</v>
          </cell>
          <cell r="O194">
            <v>1066915</v>
          </cell>
          <cell r="P194" t="str">
            <v>First Aid</v>
          </cell>
          <cell r="Q194" t="str">
            <v>CORETEX PRODUCTS</v>
          </cell>
          <cell r="R194" t="str">
            <v>Coretex Products-CORTEX</v>
          </cell>
          <cell r="S194" t="str">
            <v>CORTEX</v>
          </cell>
          <cell r="T194" t="str">
            <v>Coretex Products</v>
          </cell>
          <cell r="U194">
            <v>12850</v>
          </cell>
        </row>
        <row r="194">
          <cell r="X194" t="str">
            <v>Approved for SM</v>
          </cell>
          <cell r="Y194">
            <v>53131648</v>
          </cell>
          <cell r="Z194" t="str">
            <v>Insect repellant</v>
          </cell>
          <cell r="AA194" t="str">
            <v>UNSPSC v23.0701</v>
          </cell>
        </row>
        <row r="194">
          <cell r="AC194" t="str">
            <v>53131648  Insect repellant</v>
          </cell>
          <cell r="AD194" t="str">
            <v>CORETEX</v>
          </cell>
          <cell r="AE194">
            <v>12850</v>
          </cell>
          <cell r="AF194" t="str">
            <v>12850</v>
          </cell>
        </row>
        <row r="194">
          <cell r="AH194" t="str">
            <v>BUGX</v>
          </cell>
          <cell r="AI194">
            <v>6</v>
          </cell>
          <cell r="AJ194" t="str">
            <v>BUGX, SPR DEET FREE 2OZ (12/CS)</v>
          </cell>
        </row>
        <row r="194">
          <cell r="AL194" t="str">
            <v>53131648  Insect repellant</v>
          </cell>
        </row>
        <row r="195">
          <cell r="N195">
            <v>1089</v>
          </cell>
          <cell r="O195">
            <v>1066916</v>
          </cell>
          <cell r="P195" t="str">
            <v>First Aid</v>
          </cell>
          <cell r="Q195" t="str">
            <v>CORETEX PRODUCTS</v>
          </cell>
          <cell r="R195" t="str">
            <v>Coretex Products-CORTEX</v>
          </cell>
          <cell r="S195" t="str">
            <v>CORTEX</v>
          </cell>
          <cell r="T195" t="str">
            <v>Coretex Products</v>
          </cell>
          <cell r="U195">
            <v>12851</v>
          </cell>
        </row>
        <row r="195">
          <cell r="X195" t="str">
            <v>Approved for SM</v>
          </cell>
          <cell r="Y195">
            <v>53131648</v>
          </cell>
          <cell r="Z195" t="str">
            <v>Insect repellant</v>
          </cell>
          <cell r="AA195" t="str">
            <v>UNSPSC v23.0701</v>
          </cell>
        </row>
        <row r="195">
          <cell r="AC195" t="str">
            <v>53131648  Insect repellant</v>
          </cell>
          <cell r="AD195" t="str">
            <v>CORETEX</v>
          </cell>
          <cell r="AE195">
            <v>12851</v>
          </cell>
          <cell r="AF195" t="str">
            <v>12851</v>
          </cell>
        </row>
        <row r="195">
          <cell r="AH195" t="str">
            <v>BUGX</v>
          </cell>
          <cell r="AI195">
            <v>6</v>
          </cell>
          <cell r="AJ195" t="str">
            <v>BUGX, SPR DEET FREE 4OZ (12/CS)</v>
          </cell>
        </row>
        <row r="195">
          <cell r="AL195" t="str">
            <v>53131648  Insect repellant</v>
          </cell>
        </row>
        <row r="196">
          <cell r="N196">
            <v>1090</v>
          </cell>
          <cell r="O196">
            <v>1066917</v>
          </cell>
          <cell r="P196" t="str">
            <v>Moisturizers</v>
          </cell>
          <cell r="Q196" t="str">
            <v>CORETEX PRODUCTS</v>
          </cell>
          <cell r="R196" t="str">
            <v>Coretex Products-CORTEX</v>
          </cell>
          <cell r="S196" t="str">
            <v>CORTEX</v>
          </cell>
          <cell r="T196" t="str">
            <v>Coretex Products</v>
          </cell>
          <cell r="U196">
            <v>22664</v>
          </cell>
        </row>
        <row r="196">
          <cell r="X196" t="str">
            <v>Approved for SM</v>
          </cell>
          <cell r="Y196">
            <v>53131616</v>
          </cell>
          <cell r="Z196" t="str">
            <v>Para pharmaceutical creams or lotions</v>
          </cell>
          <cell r="AA196" t="str">
            <v>UNSPSC v23.0701</v>
          </cell>
        </row>
        <row r="196">
          <cell r="AC196" t="str">
            <v>53131616  Para pharmaceutical creams or lotions</v>
          </cell>
          <cell r="AD196" t="str">
            <v>CORETEX</v>
          </cell>
          <cell r="AE196">
            <v>22664</v>
          </cell>
          <cell r="AF196" t="str">
            <v>22664</v>
          </cell>
        </row>
        <row r="196">
          <cell r="AH196" t="str">
            <v>BARRIER</v>
          </cell>
          <cell r="AI196">
            <v>3</v>
          </cell>
          <cell r="AJ196" t="str">
            <v>BARRIER, HAND &amp; SKIN CORTEX (12/CS)</v>
          </cell>
        </row>
        <row r="196">
          <cell r="AL196" t="str">
            <v>53131616  Para pharmaceutical creams or lotions</v>
          </cell>
        </row>
        <row r="197">
          <cell r="N197">
            <v>1092</v>
          </cell>
          <cell r="O197">
            <v>1066920</v>
          </cell>
          <cell r="P197" t="str">
            <v>First Aid</v>
          </cell>
          <cell r="Q197" t="str">
            <v>CORETEX PRODUCTS</v>
          </cell>
          <cell r="R197" t="str">
            <v>Coretex Products-CORTEX</v>
          </cell>
          <cell r="S197" t="str">
            <v>CORTEX</v>
          </cell>
          <cell r="T197" t="str">
            <v>Coretex Products</v>
          </cell>
          <cell r="U197">
            <v>33740</v>
          </cell>
        </row>
        <row r="197">
          <cell r="X197" t="str">
            <v>Approved for SM</v>
          </cell>
          <cell r="Y197">
            <v>42141503</v>
          </cell>
          <cell r="Z197" t="str">
            <v>Skin preparation wipes</v>
          </cell>
          <cell r="AA197" t="str">
            <v>UNSPSC v23.0701</v>
          </cell>
        </row>
        <row r="197">
          <cell r="AC197" t="str">
            <v>42141503  Skin preparation wipes</v>
          </cell>
          <cell r="AD197" t="str">
            <v>CORETEX</v>
          </cell>
          <cell r="AE197">
            <v>33740</v>
          </cell>
          <cell r="AF197" t="str">
            <v>33740</v>
          </cell>
        </row>
        <row r="197">
          <cell r="AH197" t="str">
            <v>STINGX</v>
          </cell>
          <cell r="AI197">
            <v>2</v>
          </cell>
          <cell r="AJ197" t="str">
            <v>STINGX, TOWELETTE W/PAIN RELIEF (25/BX8BX/CS)</v>
          </cell>
        </row>
        <row r="197">
          <cell r="AL197" t="str">
            <v>42141503  Skin preparation wipes</v>
          </cell>
        </row>
        <row r="198">
          <cell r="N198">
            <v>1093</v>
          </cell>
          <cell r="O198">
            <v>1066921</v>
          </cell>
          <cell r="P198" t="str">
            <v>First Aid</v>
          </cell>
          <cell r="Q198" t="str">
            <v>CORETEX PRODUCTS</v>
          </cell>
          <cell r="R198" t="str">
            <v>Coretex Products-CORTEX</v>
          </cell>
          <cell r="S198" t="str">
            <v>CORTEX</v>
          </cell>
          <cell r="T198" t="str">
            <v>Coretex Products</v>
          </cell>
          <cell r="U198">
            <v>33741</v>
          </cell>
        </row>
        <row r="198">
          <cell r="X198" t="str">
            <v>Approved for SM</v>
          </cell>
          <cell r="Y198">
            <v>42141503</v>
          </cell>
          <cell r="Z198" t="str">
            <v>Skin preparation wipes</v>
          </cell>
          <cell r="AA198" t="str">
            <v>UNSPSC v23.0701</v>
          </cell>
        </row>
        <row r="198">
          <cell r="AC198" t="str">
            <v>42141503  Skin preparation wipes</v>
          </cell>
          <cell r="AD198" t="str">
            <v>CORETEX</v>
          </cell>
          <cell r="AE198">
            <v>33741</v>
          </cell>
          <cell r="AF198" t="str">
            <v>33741</v>
          </cell>
        </row>
        <row r="198">
          <cell r="AH198" t="str">
            <v>STINGX</v>
          </cell>
          <cell r="AI198">
            <v>2</v>
          </cell>
          <cell r="AJ198" t="str">
            <v>STINGX, TOWELETTE W/PAIN RELIEF (300/CS)</v>
          </cell>
        </row>
        <row r="198">
          <cell r="AL198" t="str">
            <v>42141503  Skin preparation wipes</v>
          </cell>
        </row>
        <row r="199">
          <cell r="N199">
            <v>1095</v>
          </cell>
          <cell r="O199">
            <v>1066924</v>
          </cell>
          <cell r="P199" t="str">
            <v>Dispensers</v>
          </cell>
          <cell r="Q199" t="str">
            <v>CORETEX PRODUCTS</v>
          </cell>
          <cell r="R199" t="str">
            <v>Coretex Products-CORTEX</v>
          </cell>
          <cell r="S199" t="str">
            <v>CORTEX</v>
          </cell>
          <cell r="T199" t="str">
            <v>Coretex Products</v>
          </cell>
          <cell r="U199">
            <v>71558</v>
          </cell>
        </row>
        <row r="199">
          <cell r="X199" t="str">
            <v>Approved for SM</v>
          </cell>
          <cell r="Y199">
            <v>53131616</v>
          </cell>
          <cell r="Z199" t="str">
            <v>Para pharmaceutical creams or lotions</v>
          </cell>
          <cell r="AA199" t="str">
            <v>UNSPSC v23.0701</v>
          </cell>
        </row>
        <row r="199">
          <cell r="AC199" t="str">
            <v>53131616  Para pharmaceutical creams or lotions</v>
          </cell>
          <cell r="AD199" t="str">
            <v>CORETEX</v>
          </cell>
          <cell r="AE199">
            <v>71558</v>
          </cell>
          <cell r="AF199" t="str">
            <v>71558</v>
          </cell>
        </row>
        <row r="199">
          <cell r="AH199" t="str">
            <v>DISPENSER</v>
          </cell>
          <cell r="AI199">
            <v>14</v>
          </cell>
          <cell r="AJ199" t="str">
            <v>DISPENSER, WALL MOUNT LOTION SUNSCREEN SPF 30+ 750ML</v>
          </cell>
        </row>
        <row r="199">
          <cell r="AL199" t="str">
            <v>53131616  Para pharmaceutical creams or lotions</v>
          </cell>
        </row>
        <row r="200">
          <cell r="N200">
            <v>1097</v>
          </cell>
          <cell r="O200">
            <v>1066926</v>
          </cell>
          <cell r="P200" t="str">
            <v>Lip Balm</v>
          </cell>
          <cell r="Q200" t="str">
            <v>CORETEX PRODUCTS</v>
          </cell>
          <cell r="R200" t="str">
            <v>Coretex Products-CORTEX</v>
          </cell>
          <cell r="S200" t="str">
            <v>CORTEX</v>
          </cell>
          <cell r="T200" t="str">
            <v>Coretex Products</v>
          </cell>
          <cell r="U200">
            <v>71690</v>
          </cell>
        </row>
        <row r="200">
          <cell r="X200" t="str">
            <v>Approved for SM</v>
          </cell>
          <cell r="Y200">
            <v>53131630</v>
          </cell>
          <cell r="Z200" t="str">
            <v>Lip balm</v>
          </cell>
          <cell r="AA200" t="str">
            <v>UNSPSC v23.0701</v>
          </cell>
        </row>
        <row r="200">
          <cell r="AC200" t="str">
            <v>53131630  Lip balm</v>
          </cell>
          <cell r="AD200" t="str">
            <v>CORETEX</v>
          </cell>
          <cell r="AE200">
            <v>71690</v>
          </cell>
          <cell r="AF200" t="str">
            <v>71690</v>
          </cell>
        </row>
        <row r="200">
          <cell r="AH200" t="str">
            <v>LIP</v>
          </cell>
          <cell r="AI200">
            <v>1</v>
          </cell>
          <cell r="AJ200" t="str">
            <v>LIP BALM, SUNX SPF50 .15OZ (24/CS)</v>
          </cell>
        </row>
        <row r="200">
          <cell r="AL200" t="str">
            <v>53131630  Lip balm</v>
          </cell>
        </row>
        <row r="201">
          <cell r="N201">
            <v>1098</v>
          </cell>
          <cell r="O201">
            <v>1066927</v>
          </cell>
          <cell r="P201" t="str">
            <v>Anti-Itch and Antifungals</v>
          </cell>
          <cell r="Q201" t="str">
            <v>CORETEX PRODUCTS</v>
          </cell>
          <cell r="R201" t="str">
            <v>Coretex Products-CORTEX</v>
          </cell>
          <cell r="S201" t="str">
            <v>CORTEX</v>
          </cell>
          <cell r="T201" t="str">
            <v>Coretex Products</v>
          </cell>
          <cell r="U201">
            <v>84666</v>
          </cell>
        </row>
        <row r="201">
          <cell r="X201" t="str">
            <v>Approved for SM</v>
          </cell>
          <cell r="Y201">
            <v>53131600</v>
          </cell>
          <cell r="Z201" t="str">
            <v>Bath and body</v>
          </cell>
          <cell r="AA201" t="str">
            <v>UNSPSC v23.0701</v>
          </cell>
        </row>
        <row r="201">
          <cell r="AC201" t="str">
            <v>53131600  Bath and body</v>
          </cell>
          <cell r="AD201" t="str">
            <v>CORETEX</v>
          </cell>
          <cell r="AE201">
            <v>84666</v>
          </cell>
          <cell r="AF201" t="str">
            <v>84666</v>
          </cell>
        </row>
        <row r="201">
          <cell r="AH201" t="str">
            <v>CLEANSER</v>
          </cell>
          <cell r="AI201">
            <v>3</v>
          </cell>
          <cell r="AJ201" t="str">
            <v>CLEANSER, SKIN LOTION IVY X POST-CONTACT 4OZ (12/CS)</v>
          </cell>
        </row>
        <row r="201">
          <cell r="AL201" t="str">
            <v>53131600  Bath and body</v>
          </cell>
        </row>
        <row r="202">
          <cell r="N202">
            <v>1099</v>
          </cell>
          <cell r="O202">
            <v>1066928</v>
          </cell>
          <cell r="P202" t="str">
            <v>First Aid Kits</v>
          </cell>
          <cell r="Q202" t="str">
            <v>CORETEX PRODUCTS</v>
          </cell>
          <cell r="R202" t="str">
            <v>Coretex Products-CORTEX</v>
          </cell>
          <cell r="S202" t="str">
            <v>CORTEX</v>
          </cell>
          <cell r="T202" t="str">
            <v>Coretex Products</v>
          </cell>
          <cell r="U202">
            <v>91550</v>
          </cell>
        </row>
        <row r="202">
          <cell r="X202" t="str">
            <v>Approved for SM</v>
          </cell>
          <cell r="Y202">
            <v>53131648</v>
          </cell>
          <cell r="Z202" t="str">
            <v>Insect repellant</v>
          </cell>
          <cell r="AA202" t="str">
            <v>UNSPSC v23.0701</v>
          </cell>
        </row>
        <row r="202">
          <cell r="AC202" t="str">
            <v>53131648  Insect repellant</v>
          </cell>
          <cell r="AD202" t="str">
            <v>CORETEX</v>
          </cell>
          <cell r="AE202">
            <v>91550</v>
          </cell>
          <cell r="AF202" t="str">
            <v>91550</v>
          </cell>
        </row>
        <row r="202">
          <cell r="AH202" t="str">
            <v>KIT</v>
          </cell>
          <cell r="AI202">
            <v>22</v>
          </cell>
          <cell r="AJ202" t="str">
            <v>KIT, OUTDOOR SKIN PROTECTION 16PC W/SOFT CASE (12/CS)</v>
          </cell>
        </row>
        <row r="202">
          <cell r="AL202" t="str">
            <v>53131648  Insect repellant</v>
          </cell>
        </row>
        <row r="203">
          <cell r="N203">
            <v>1100</v>
          </cell>
          <cell r="O203">
            <v>1066929</v>
          </cell>
          <cell r="P203" t="str">
            <v>Sunscreens</v>
          </cell>
          <cell r="Q203" t="str">
            <v>CORETEX PRODUCTS</v>
          </cell>
          <cell r="R203" t="str">
            <v>Coretex Products-CORTEX</v>
          </cell>
          <cell r="S203" t="str">
            <v>CORTEX</v>
          </cell>
          <cell r="T203" t="str">
            <v>Coretex Products</v>
          </cell>
          <cell r="U203">
            <v>91661</v>
          </cell>
        </row>
        <row r="203">
          <cell r="X203" t="str">
            <v>Approved for SM</v>
          </cell>
          <cell r="Y203">
            <v>53131609</v>
          </cell>
          <cell r="Z203" t="str">
            <v>Sun protection products</v>
          </cell>
          <cell r="AA203" t="str">
            <v>UNSPSC v23.0701</v>
          </cell>
        </row>
        <row r="203">
          <cell r="AC203" t="str">
            <v>53131609  Sun protection products</v>
          </cell>
          <cell r="AD203" t="str">
            <v>CORETEX</v>
          </cell>
          <cell r="AE203">
            <v>91661</v>
          </cell>
          <cell r="AF203" t="str">
            <v>91661</v>
          </cell>
        </row>
        <row r="203">
          <cell r="AH203" t="str">
            <v>DISPENSER</v>
          </cell>
          <cell r="AI203">
            <v>14</v>
          </cell>
          <cell r="AJ203" t="str">
            <v>DISPENSER, TOWLETTE SUNX 30SPF+ STOCKED WALL MOUNT (50/CS)</v>
          </cell>
        </row>
        <row r="203">
          <cell r="AL203" t="str">
            <v>53131609  Sun protection products</v>
          </cell>
        </row>
        <row r="204">
          <cell r="N204">
            <v>1188</v>
          </cell>
          <cell r="O204">
            <v>1065113</v>
          </cell>
          <cell r="P204" t="str">
            <v>Knee</v>
          </cell>
          <cell r="Q204" t="str">
            <v>CORFLEX INC.</v>
          </cell>
          <cell r="R204" t="str">
            <v>Corflex-CORFLX</v>
          </cell>
          <cell r="S204" t="str">
            <v>CORFLX</v>
          </cell>
          <cell r="T204" t="str">
            <v>Corflex</v>
          </cell>
          <cell r="U204" t="str">
            <v>86-6184-000</v>
          </cell>
        </row>
        <row r="204">
          <cell r="X204" t="str">
            <v>Approved for SM</v>
          </cell>
          <cell r="Y204">
            <v>42241703</v>
          </cell>
          <cell r="Z204" t="str">
            <v>Knee therapeutic brace or support</v>
          </cell>
          <cell r="AA204" t="str">
            <v>UNSPSC v23.0701</v>
          </cell>
        </row>
        <row r="204">
          <cell r="AC204" t="str">
            <v>42241703  Knee therapeutic brace or support</v>
          </cell>
          <cell r="AD204" t="str">
            <v>CORFLEX</v>
          </cell>
          <cell r="AE204" t="str">
            <v>86-6184-000</v>
          </cell>
          <cell r="AF204" t="str">
            <v>866184000</v>
          </cell>
        </row>
        <row r="204">
          <cell r="AH204" t="str">
            <v>PATELLA</v>
          </cell>
          <cell r="AI204">
            <v>1</v>
          </cell>
          <cell r="AJ204" t="str">
            <v>PATELLA STABILIZER, COOLTEX J-PULL W/LO PRO HINGE RT MED 13"</v>
          </cell>
        </row>
        <row r="204">
          <cell r="AL204" t="str">
            <v>42241703  Knee therapeutic brace or support</v>
          </cell>
        </row>
        <row r="205">
          <cell r="N205">
            <v>1216</v>
          </cell>
          <cell r="O205">
            <v>1066435</v>
          </cell>
          <cell r="P205" t="str">
            <v>Ankle, Foot and Toe</v>
          </cell>
          <cell r="Q205" t="str">
            <v>CREATIVE FOAM CORPORATION</v>
          </cell>
          <cell r="R205" t="str">
            <v>Creative Foam Corp-CRETVE</v>
          </cell>
          <cell r="S205" t="str">
            <v>CRETVE</v>
          </cell>
          <cell r="T205" t="str">
            <v>Creative Foam Corp</v>
          </cell>
          <cell r="U205">
            <v>10159</v>
          </cell>
        </row>
        <row r="205">
          <cell r="X205" t="str">
            <v>Approved for SM</v>
          </cell>
          <cell r="Y205">
            <v>42241706</v>
          </cell>
          <cell r="Z205" t="str">
            <v>Orthotics or foot care products</v>
          </cell>
          <cell r="AA205" t="str">
            <v>UNSPSC v23.0701</v>
          </cell>
        </row>
        <row r="205">
          <cell r="AC205" t="str">
            <v>42241706  Orthotics or foot care products</v>
          </cell>
          <cell r="AD205" t="str">
            <v>CREATIVE FOAM</v>
          </cell>
          <cell r="AE205">
            <v>10159</v>
          </cell>
          <cell r="AF205" t="str">
            <v>10159</v>
          </cell>
        </row>
        <row r="205">
          <cell r="AH205" t="str">
            <v>METATARSAL</v>
          </cell>
          <cell r="AI205">
            <v>2</v>
          </cell>
          <cell r="AJ205" t="str">
            <v>METATARSAL PAD, FELT FLESH 1/8" FELT (100/BG)</v>
          </cell>
        </row>
        <row r="205">
          <cell r="AL205" t="str">
            <v>42241706  Orthotics or foot care products</v>
          </cell>
        </row>
        <row r="206">
          <cell r="N206">
            <v>1217</v>
          </cell>
          <cell r="O206">
            <v>1066437</v>
          </cell>
          <cell r="P206" t="str">
            <v>Ankle, Foot and Toe</v>
          </cell>
          <cell r="Q206" t="str">
            <v>CREATIVE FOAM CORPORATION</v>
          </cell>
          <cell r="R206" t="str">
            <v>Creative Foam Corp-CRETVE</v>
          </cell>
          <cell r="S206" t="str">
            <v>CRETVE</v>
          </cell>
          <cell r="T206" t="str">
            <v>Creative Foam Corp</v>
          </cell>
          <cell r="U206" t="str">
            <v>10319S</v>
          </cell>
        </row>
        <row r="206">
          <cell r="X206" t="str">
            <v>Approved for SM</v>
          </cell>
          <cell r="Y206">
            <v>42241706</v>
          </cell>
          <cell r="Z206" t="str">
            <v>Orthotics or foot care products</v>
          </cell>
          <cell r="AA206" t="str">
            <v>UNSPSC v23.0701</v>
          </cell>
        </row>
        <row r="206">
          <cell r="AC206" t="str">
            <v>42241706  Orthotics or foot care products</v>
          </cell>
          <cell r="AD206" t="str">
            <v>CREATIVE FOAM</v>
          </cell>
          <cell r="AE206" t="str">
            <v>10319S</v>
          </cell>
          <cell r="AF206" t="str">
            <v>10319S</v>
          </cell>
        </row>
        <row r="206">
          <cell r="AH206" t="str">
            <v>METATARSAL</v>
          </cell>
          <cell r="AI206">
            <v>2</v>
          </cell>
          <cell r="AJ206" t="str">
            <v>METATARSAL PAD, FELT WHT 1/4" (100/BG)</v>
          </cell>
        </row>
        <row r="206">
          <cell r="AL206" t="str">
            <v>42241706  Orthotics or foot care products</v>
          </cell>
        </row>
        <row r="207">
          <cell r="N207">
            <v>1246</v>
          </cell>
          <cell r="O207">
            <v>1065359</v>
          </cell>
          <cell r="P207" t="str">
            <v>Drinking Utensils</v>
          </cell>
          <cell r="Q207" t="str">
            <v>DEROYAL INDUSTRIES</v>
          </cell>
          <cell r="R207" t="str">
            <v>DeRoyal-DEROYL</v>
          </cell>
          <cell r="S207" t="str">
            <v>DEROYL</v>
          </cell>
          <cell r="T207" t="str">
            <v>DeRoyal</v>
          </cell>
          <cell r="U207" t="str">
            <v>HD-395-0060</v>
          </cell>
        </row>
        <row r="207">
          <cell r="X207" t="str">
            <v>Approved for SM</v>
          </cell>
          <cell r="Y207">
            <v>42192603</v>
          </cell>
          <cell r="Z207" t="str">
            <v>Medicine feeding cups or bottles</v>
          </cell>
          <cell r="AA207" t="str">
            <v>UNSPSC v23.0701</v>
          </cell>
        </row>
        <row r="207">
          <cell r="AC207" t="str">
            <v>42192603  Medicine feeding cups or bottles</v>
          </cell>
          <cell r="AD207" t="str">
            <v>DEROYAL</v>
          </cell>
          <cell r="AE207" t="str">
            <v>HD-395-0060</v>
          </cell>
          <cell r="AF207" t="str">
            <v>HD3950060</v>
          </cell>
        </row>
        <row r="207">
          <cell r="AH207" t="str">
            <v>CUP</v>
          </cell>
          <cell r="AI207">
            <v>11</v>
          </cell>
          <cell r="AJ207" t="str">
            <v>CUP, MEDICINE DISP 2OZ (1380/CS)</v>
          </cell>
        </row>
        <row r="207">
          <cell r="AL207" t="str">
            <v>42192603  Medicine feeding cups or bottles</v>
          </cell>
        </row>
        <row r="208">
          <cell r="N208">
            <v>1260</v>
          </cell>
          <cell r="O208">
            <v>1067776</v>
          </cell>
          <cell r="P208" t="str">
            <v>Transfer Sheets</v>
          </cell>
          <cell r="Q208" t="str">
            <v>DISASTER MANAGEMENT SYSTEMS, INC</v>
          </cell>
          <cell r="R208" t="str">
            <v>Disaster Management Systems-DISAST</v>
          </cell>
          <cell r="S208" t="str">
            <v>DISAST</v>
          </cell>
          <cell r="T208" t="str">
            <v>Disaster Management Systems</v>
          </cell>
          <cell r="U208" t="str">
            <v>DMS-05004</v>
          </cell>
        </row>
        <row r="208">
          <cell r="X208" t="str">
            <v>Approved for SM</v>
          </cell>
          <cell r="Y208">
            <v>42192419</v>
          </cell>
          <cell r="Z208" t="str">
            <v>Extrication product cases or bags</v>
          </cell>
          <cell r="AA208" t="str">
            <v>UNSPSC v23.0701</v>
          </cell>
        </row>
        <row r="208">
          <cell r="AC208" t="str">
            <v>42192419  Extrication product cases or bags</v>
          </cell>
          <cell r="AD208" t="str">
            <v>DISASTER</v>
          </cell>
          <cell r="AE208" t="str">
            <v>DMS-05004</v>
          </cell>
          <cell r="AF208" t="str">
            <v>DMS05004</v>
          </cell>
        </row>
        <row r="208">
          <cell r="AH208" t="str">
            <v>TARP</v>
          </cell>
          <cell r="AI208">
            <v>1</v>
          </cell>
          <cell r="AJ208" t="str">
            <v>TARP, TRIAGE SET-OF-4 RED/YLW/</v>
          </cell>
        </row>
        <row r="208">
          <cell r="AL208" t="str">
            <v>42192419  Extrication product cases or bags</v>
          </cell>
        </row>
        <row r="209">
          <cell r="N209">
            <v>1261</v>
          </cell>
          <cell r="O209">
            <v>1067777</v>
          </cell>
          <cell r="P209" t="str">
            <v>Wound Care Accessories</v>
          </cell>
          <cell r="Q209" t="str">
            <v>DISASTER MANAGEMENT SYSTEMS, INC</v>
          </cell>
          <cell r="R209" t="str">
            <v>Disaster Management Systems-DISAST</v>
          </cell>
          <cell r="S209" t="str">
            <v>DISAST</v>
          </cell>
          <cell r="T209" t="str">
            <v>Disaster Management Systems</v>
          </cell>
          <cell r="U209" t="str">
            <v>DMS-05012</v>
          </cell>
        </row>
        <row r="209">
          <cell r="X209" t="str">
            <v>Approved for SM</v>
          </cell>
          <cell r="Y209">
            <v>42142305</v>
          </cell>
          <cell r="Z209" t="str">
            <v>Medical paper charting system accessories</v>
          </cell>
          <cell r="AA209" t="str">
            <v>UNSPSC v23.0701</v>
          </cell>
        </row>
        <row r="209">
          <cell r="AC209" t="str">
            <v>42142305  Medical paper charting system accessories</v>
          </cell>
          <cell r="AD209" t="str">
            <v>DISASTER</v>
          </cell>
          <cell r="AE209" t="str">
            <v>DMS-05012</v>
          </cell>
          <cell r="AF209" t="str">
            <v>DMS05012</v>
          </cell>
        </row>
        <row r="209">
          <cell r="AH209" t="str">
            <v>ID</v>
          </cell>
          <cell r="AI209">
            <v>1</v>
          </cell>
          <cell r="AJ209" t="str">
            <v>ID FLAG KIT, TRTMT AREA W/CARRY BAG</v>
          </cell>
        </row>
        <row r="209">
          <cell r="AL209" t="str">
            <v>42142305  Medical paper charting system accessories</v>
          </cell>
        </row>
        <row r="210">
          <cell r="N210">
            <v>1262</v>
          </cell>
          <cell r="O210">
            <v>1067770</v>
          </cell>
          <cell r="P210" t="str">
            <v>Tags</v>
          </cell>
          <cell r="Q210" t="str">
            <v>DISASTER MANAGEMENT SYSTEMS, INC</v>
          </cell>
          <cell r="R210" t="str">
            <v>Disaster Management Systems-DISAST</v>
          </cell>
          <cell r="S210" t="str">
            <v>DISAST</v>
          </cell>
          <cell r="T210" t="str">
            <v>Disaster Management Systems</v>
          </cell>
          <cell r="U210" t="str">
            <v>DMS-05420</v>
          </cell>
        </row>
        <row r="210">
          <cell r="X210" t="str">
            <v>Approved for SM</v>
          </cell>
          <cell r="Y210">
            <v>42171502</v>
          </cell>
          <cell r="Z210" t="str">
            <v>Mobile medical services triage tags</v>
          </cell>
          <cell r="AA210" t="str">
            <v>UNSPSC v23.0701</v>
          </cell>
        </row>
        <row r="210">
          <cell r="AC210" t="str">
            <v>42171502  Mobile medical services triage tags</v>
          </cell>
          <cell r="AD210" t="str">
            <v>DISASTER</v>
          </cell>
          <cell r="AE210" t="str">
            <v>DMS-05420</v>
          </cell>
          <cell r="AF210" t="str">
            <v>DMS05420</v>
          </cell>
        </row>
        <row r="210">
          <cell r="AH210" t="str">
            <v>TAG</v>
          </cell>
          <cell r="AI210">
            <v>4</v>
          </cell>
          <cell r="AJ210" t="str">
            <v>TAG KIT, TRIAGE ALL RISK W/PATIENT WRISTBAND (50/PK)</v>
          </cell>
        </row>
        <row r="210">
          <cell r="AL210" t="str">
            <v>42171502  Mobile medical services triage tags</v>
          </cell>
        </row>
        <row r="211">
          <cell r="N211">
            <v>1263</v>
          </cell>
          <cell r="O211">
            <v>1067771</v>
          </cell>
          <cell r="P211" t="str">
            <v>Forms</v>
          </cell>
          <cell r="Q211" t="str">
            <v>DISASTER MANAGEMENT SYSTEMS, INC</v>
          </cell>
          <cell r="R211" t="str">
            <v>Disaster Management Systems-DISAST</v>
          </cell>
          <cell r="S211" t="str">
            <v>DISAST</v>
          </cell>
          <cell r="T211" t="str">
            <v>Disaster Management Systems</v>
          </cell>
          <cell r="U211" t="str">
            <v>DMS-05568</v>
          </cell>
        </row>
        <row r="211">
          <cell r="X211" t="str">
            <v>Approved for SM</v>
          </cell>
          <cell r="Y211">
            <v>55101520</v>
          </cell>
          <cell r="Z211" t="str">
            <v>Instruction sheets or booklets</v>
          </cell>
          <cell r="AA211" t="str">
            <v>UNSPSC v23.0701</v>
          </cell>
        </row>
        <row r="211">
          <cell r="AC211" t="str">
            <v>55101520  Instruction sheets or booklets</v>
          </cell>
          <cell r="AD211" t="str">
            <v>DISASTER</v>
          </cell>
          <cell r="AE211" t="str">
            <v>DMS-05568</v>
          </cell>
          <cell r="AF211" t="str">
            <v>DMS05568</v>
          </cell>
        </row>
        <row r="211">
          <cell r="AH211" t="str">
            <v>INCIDENT</v>
          </cell>
          <cell r="AI211">
            <v>1</v>
          </cell>
          <cell r="AJ211" t="str">
            <v>INCIDENT COMMAND WORKSHEETS DS</v>
          </cell>
        </row>
        <row r="211">
          <cell r="AL211" t="str">
            <v>55101520  Instruction sheets or booklets</v>
          </cell>
        </row>
        <row r="212">
          <cell r="N212">
            <v>1264</v>
          </cell>
          <cell r="O212">
            <v>1067773</v>
          </cell>
          <cell r="P212" t="str">
            <v>Emergency Kits</v>
          </cell>
          <cell r="Q212" t="str">
            <v>DISASTER MANAGEMENT SYSTEMS, INC</v>
          </cell>
          <cell r="R212" t="str">
            <v>Disaster Management Systems-DISAST</v>
          </cell>
          <cell r="S212" t="str">
            <v>DISAST</v>
          </cell>
          <cell r="T212" t="str">
            <v>Disaster Management Systems</v>
          </cell>
          <cell r="U212" t="str">
            <v>DMS-05763</v>
          </cell>
        </row>
        <row r="212">
          <cell r="X212" t="str">
            <v>Approved for SM</v>
          </cell>
          <cell r="Y212">
            <v>42171502</v>
          </cell>
          <cell r="Z212" t="str">
            <v>Mobile medical services triage tags</v>
          </cell>
          <cell r="AA212" t="str">
            <v>UNSPSC v23.0701</v>
          </cell>
        </row>
        <row r="212">
          <cell r="AC212" t="str">
            <v>42171502  Mobile medical services triage tags</v>
          </cell>
          <cell r="AD212" t="str">
            <v>DISASTER</v>
          </cell>
          <cell r="AE212" t="str">
            <v>DMS-05763</v>
          </cell>
          <cell r="AF212" t="str">
            <v>DMS05763</v>
          </cell>
        </row>
        <row r="212">
          <cell r="AH212" t="str">
            <v>DISPENSER</v>
          </cell>
          <cell r="AI212">
            <v>14</v>
          </cell>
          <cell r="AJ212" t="str">
            <v>DISPENSER, RIBBON TRIAGE W/RED/YLW/GRN &amp; BLK/WHT STRIPE</v>
          </cell>
        </row>
        <row r="212">
          <cell r="AL212" t="str">
            <v>42171502  Mobile medical services triage tags</v>
          </cell>
        </row>
        <row r="213">
          <cell r="N213">
            <v>1265</v>
          </cell>
          <cell r="O213">
            <v>1067780</v>
          </cell>
          <cell r="P213" t="str">
            <v>Wound Care Accessories</v>
          </cell>
          <cell r="Q213" t="str">
            <v>DISASTER MANAGEMENT SYSTEMS, INC</v>
          </cell>
          <cell r="R213" t="str">
            <v>Disaster Management Systems-DISAST</v>
          </cell>
          <cell r="S213" t="str">
            <v>DISAST</v>
          </cell>
          <cell r="T213" t="str">
            <v>Disaster Management Systems</v>
          </cell>
          <cell r="U213" t="str">
            <v>DMS-05793</v>
          </cell>
        </row>
        <row r="213">
          <cell r="X213" t="str">
            <v>Approved for SM</v>
          </cell>
          <cell r="Y213">
            <v>42171500</v>
          </cell>
          <cell r="Z213" t="str">
            <v>Mobile medical services disaster management products and mobile medical services supplies</v>
          </cell>
          <cell r="AA213" t="str">
            <v>UNSPSC v23.0701</v>
          </cell>
        </row>
        <row r="213">
          <cell r="AC213" t="str">
            <v>42171500  Mobile medical services disaster management products and mobile medical services supplies</v>
          </cell>
          <cell r="AD213" t="str">
            <v>DISASTER</v>
          </cell>
          <cell r="AE213" t="str">
            <v>DMS-05793</v>
          </cell>
          <cell r="AF213" t="str">
            <v>DMS05793</v>
          </cell>
        </row>
        <row r="213">
          <cell r="AH213" t="str">
            <v>RIBBON</v>
          </cell>
          <cell r="AI213">
            <v>1</v>
          </cell>
          <cell r="AJ213" t="str">
            <v>RIBBON, TRIAGE REPLCMNT PACK</v>
          </cell>
        </row>
        <row r="213">
          <cell r="AL213" t="str">
            <v>42171500  Mobile medical services disaster management products and mobile medical services supplies</v>
          </cell>
        </row>
        <row r="214">
          <cell r="N214">
            <v>1266</v>
          </cell>
          <cell r="O214">
            <v>1067774</v>
          </cell>
          <cell r="P214" t="str">
            <v>Training Equipment and Kits</v>
          </cell>
          <cell r="Q214" t="str">
            <v>DISASTER MANAGEMENT SYSTEMS, INC</v>
          </cell>
          <cell r="R214" t="str">
            <v>Disaster Management Systems-DISAST</v>
          </cell>
          <cell r="S214" t="str">
            <v>DISAST</v>
          </cell>
          <cell r="T214" t="str">
            <v>Disaster Management Systems</v>
          </cell>
          <cell r="U214" t="str">
            <v>DMS-05810</v>
          </cell>
        </row>
        <row r="214">
          <cell r="X214" t="str">
            <v>Approved for SM</v>
          </cell>
          <cell r="Y214">
            <v>42172001</v>
          </cell>
          <cell r="Z214" t="str">
            <v>Mobile medical services first aid kits</v>
          </cell>
          <cell r="AA214" t="str">
            <v>UNSPSC v23.0701</v>
          </cell>
        </row>
        <row r="214">
          <cell r="AC214" t="str">
            <v>42172001  Mobile medical services first aid kits</v>
          </cell>
          <cell r="AD214" t="str">
            <v>DISASTER</v>
          </cell>
          <cell r="AE214" t="str">
            <v>DMS-05810</v>
          </cell>
          <cell r="AF214" t="str">
            <v>DMS05810</v>
          </cell>
        </row>
        <row r="214">
          <cell r="AH214" t="str">
            <v>KIT</v>
          </cell>
          <cell r="AI214">
            <v>22</v>
          </cell>
          <cell r="AJ214" t="str">
            <v>KIT, DISASTER MANAGEMENT EMT3 QUICK KIT F/SMALL MCI D/S</v>
          </cell>
        </row>
        <row r="214">
          <cell r="AL214" t="str">
            <v>42172001  Mobile medical services first aid kits</v>
          </cell>
        </row>
        <row r="215">
          <cell r="N215">
            <v>1267</v>
          </cell>
          <cell r="O215">
            <v>1067775</v>
          </cell>
          <cell r="P215" t="str">
            <v>Training Equipment and Kits</v>
          </cell>
          <cell r="Q215" t="str">
            <v>DISASTER MANAGEMENT SYSTEMS, INC</v>
          </cell>
          <cell r="R215" t="str">
            <v>Disaster Management Systems-DISAST</v>
          </cell>
          <cell r="S215" t="str">
            <v>DISAST</v>
          </cell>
          <cell r="T215" t="str">
            <v>Disaster Management Systems</v>
          </cell>
          <cell r="U215" t="str">
            <v>DMS-05844</v>
          </cell>
        </row>
        <row r="215">
          <cell r="X215" t="str">
            <v>Approved for SM</v>
          </cell>
          <cell r="Y215">
            <v>42301502</v>
          </cell>
          <cell r="Z215" t="str">
            <v>Anatomical human mannequins for medical education or training</v>
          </cell>
          <cell r="AA215" t="str">
            <v>UNSPSC v23.0701</v>
          </cell>
        </row>
        <row r="215">
          <cell r="AC215" t="str">
            <v>42301502  Anatomical human mannequins for medical education or training</v>
          </cell>
          <cell r="AD215" t="str">
            <v>DISASTER</v>
          </cell>
          <cell r="AE215" t="str">
            <v>DMS-05844</v>
          </cell>
          <cell r="AF215" t="str">
            <v>DMS05844</v>
          </cell>
        </row>
        <row r="215">
          <cell r="AH215" t="str">
            <v>TRAINING</v>
          </cell>
          <cell r="AI215">
            <v>5</v>
          </cell>
          <cell r="AJ215" t="str">
            <v>TRAINING KIT, MCI EMT3 BASIC TABLETOP D/S</v>
          </cell>
        </row>
        <row r="215">
          <cell r="AL215" t="str">
            <v>42301502  Anatomical human mannequins for medical education or training</v>
          </cell>
        </row>
        <row r="216">
          <cell r="N216">
            <v>1268</v>
          </cell>
          <cell r="O216">
            <v>1067782</v>
          </cell>
          <cell r="P216" t="str">
            <v>Tags</v>
          </cell>
          <cell r="Q216" t="str">
            <v>DISASTER MANAGEMENT SYSTEMS, INC</v>
          </cell>
          <cell r="R216" t="str">
            <v>Disaster Management Systems-DISAST</v>
          </cell>
          <cell r="S216" t="str">
            <v>DISAST</v>
          </cell>
          <cell r="T216" t="str">
            <v>Disaster Management Systems</v>
          </cell>
          <cell r="U216" t="str">
            <v>DMS-05986</v>
          </cell>
        </row>
        <row r="216">
          <cell r="X216" t="str">
            <v>Approved for SM</v>
          </cell>
          <cell r="Y216">
            <v>42171502</v>
          </cell>
          <cell r="Z216" t="str">
            <v>Mobile medical services triage tags</v>
          </cell>
          <cell r="AA216" t="str">
            <v>UNSPSC v23.0701</v>
          </cell>
        </row>
        <row r="216">
          <cell r="AC216" t="str">
            <v>42171502  Mobile medical services triage tags</v>
          </cell>
          <cell r="AD216" t="str">
            <v>DISASTER</v>
          </cell>
          <cell r="AE216" t="str">
            <v>DMS-05986</v>
          </cell>
          <cell r="AF216" t="str">
            <v>DMS05986</v>
          </cell>
        </row>
        <row r="216">
          <cell r="AH216" t="str">
            <v>REHAB</v>
          </cell>
          <cell r="AI216">
            <v>1</v>
          </cell>
          <cell r="AJ216" t="str">
            <v>REHAB TAG NFPA 1584 DS</v>
          </cell>
        </row>
        <row r="216">
          <cell r="AL216" t="str">
            <v>42171502  Mobile medical services triage tags</v>
          </cell>
        </row>
        <row r="217">
          <cell r="N217">
            <v>1269</v>
          </cell>
          <cell r="O217">
            <v>1067783</v>
          </cell>
          <cell r="P217" t="str">
            <v>Education and Reference Materials</v>
          </cell>
          <cell r="Q217" t="str">
            <v>DISASTER MANAGEMENT SYSTEMS, INC</v>
          </cell>
          <cell r="R217" t="str">
            <v>Disaster Management Systems-DISAST</v>
          </cell>
          <cell r="S217" t="str">
            <v>DISAST</v>
          </cell>
          <cell r="T217" t="str">
            <v>Disaster Management Systems</v>
          </cell>
          <cell r="U217" t="str">
            <v>DMS-06020</v>
          </cell>
        </row>
        <row r="217">
          <cell r="X217" t="str">
            <v>Approved for SM</v>
          </cell>
          <cell r="Y217">
            <v>42142303</v>
          </cell>
          <cell r="Z217" t="str">
            <v>Patient identification and information products</v>
          </cell>
          <cell r="AA217" t="str">
            <v>UNSPSC v23.0701</v>
          </cell>
        </row>
        <row r="217">
          <cell r="AC217" t="str">
            <v>42142303  Patient identification and information products</v>
          </cell>
          <cell r="AD217" t="str">
            <v>DISASTER</v>
          </cell>
          <cell r="AE217" t="str">
            <v>DMS-06020</v>
          </cell>
          <cell r="AF217" t="str">
            <v>DMS06020</v>
          </cell>
        </row>
        <row r="217">
          <cell r="AH217" t="str">
            <v>CARD</v>
          </cell>
          <cell r="AI217">
            <v>12</v>
          </cell>
          <cell r="AJ217" t="str">
            <v>CARD DECK, VICTIM ACTIVE SHOOTER</v>
          </cell>
        </row>
        <row r="217">
          <cell r="AL217" t="str">
            <v>42142303  Patient identification and information products</v>
          </cell>
        </row>
        <row r="218">
          <cell r="N218">
            <v>1270</v>
          </cell>
          <cell r="O218">
            <v>1071381</v>
          </cell>
          <cell r="P218" t="str">
            <v>Laundry Bags and Liners</v>
          </cell>
          <cell r="Q218" t="str">
            <v>DIVERSEY INC</v>
          </cell>
          <cell r="R218" t="str">
            <v>Sealed Air *Diversey*-SLDAIR</v>
          </cell>
          <cell r="S218" t="str">
            <v>SLDAIR</v>
          </cell>
          <cell r="T218" t="str">
            <v>Sealed Air *Diversey*</v>
          </cell>
          <cell r="U218" t="str">
            <v>D7517287</v>
          </cell>
        </row>
        <row r="218">
          <cell r="X218" t="str">
            <v>Approved for SM</v>
          </cell>
          <cell r="Y218">
            <v>24111506</v>
          </cell>
          <cell r="Z218" t="str">
            <v>Laundry nets or bags</v>
          </cell>
          <cell r="AA218" t="str">
            <v>UNSPSC v23.0701</v>
          </cell>
        </row>
        <row r="218">
          <cell r="AC218" t="str">
            <v>24111506  Laundry nets or bags</v>
          </cell>
          <cell r="AD218" t="str">
            <v>DIVERSEY</v>
          </cell>
          <cell r="AE218" t="str">
            <v>D7517287</v>
          </cell>
          <cell r="AF218" t="str">
            <v>D7517287</v>
          </cell>
        </row>
        <row r="218">
          <cell r="AH218" t="str">
            <v>BAG</v>
          </cell>
          <cell r="AI218">
            <v>46</v>
          </cell>
          <cell r="AJ218" t="str">
            <v>BAG, LAUNDRY F/TASKI MOBILE WORKSTATION D/S D/S</v>
          </cell>
        </row>
        <row r="218">
          <cell r="AL218" t="str">
            <v>24111506  Laundry nets or bags</v>
          </cell>
        </row>
        <row r="219">
          <cell r="N219">
            <v>1280</v>
          </cell>
          <cell r="O219">
            <v>1075270</v>
          </cell>
          <cell r="P219" t="str">
            <v>Orthopedic Accessories</v>
          </cell>
          <cell r="Q219" t="str">
            <v>DJ ORTHOPEDICS</v>
          </cell>
          <cell r="R219" t="str">
            <v>DJO-DJORTH</v>
          </cell>
          <cell r="S219" t="str">
            <v>DJORTH</v>
          </cell>
          <cell r="T219" t="str">
            <v>DJO</v>
          </cell>
          <cell r="U219" t="str">
            <v>11-0059-9-00000</v>
          </cell>
        </row>
        <row r="219">
          <cell r="X219" t="str">
            <v>Approved for SM</v>
          </cell>
          <cell r="Y219">
            <v>42241703</v>
          </cell>
          <cell r="Z219" t="str">
            <v>Knee therapeutic brace or support</v>
          </cell>
          <cell r="AA219" t="str">
            <v>UNSPSC v23.0701</v>
          </cell>
        </row>
        <row r="219">
          <cell r="AC219" t="str">
            <v>42241703  Knee therapeutic brace or support</v>
          </cell>
          <cell r="AD219" t="str">
            <v>DJO</v>
          </cell>
          <cell r="AE219" t="str">
            <v>11-0059-9-00000</v>
          </cell>
          <cell r="AF219" t="str">
            <v>110059900000</v>
          </cell>
        </row>
        <row r="219">
          <cell r="AH219" t="str">
            <v>PAD</v>
          </cell>
          <cell r="AI219">
            <v>39</v>
          </cell>
          <cell r="AJ219" t="str">
            <v>PAD KIT, ATROPHY F/KNEE BRACE UNVI</v>
          </cell>
        </row>
        <row r="219">
          <cell r="AL219" t="str">
            <v>42241703  Knee therapeutic brace or support</v>
          </cell>
        </row>
        <row r="220">
          <cell r="N220">
            <v>1425</v>
          </cell>
          <cell r="O220">
            <v>1072696</v>
          </cell>
          <cell r="P220" t="str">
            <v>Blood Pressure Accessories</v>
          </cell>
          <cell r="Q220" t="str">
            <v>DRE MEDICAL GROUP</v>
          </cell>
          <cell r="R220" t="str">
            <v>Dre Equipment-DRE</v>
          </cell>
          <cell r="S220" t="str">
            <v>DRE</v>
          </cell>
          <cell r="T220" t="str">
            <v>Dre Equipment</v>
          </cell>
          <cell r="U220" t="str">
            <v>P00169</v>
          </cell>
        </row>
        <row r="220">
          <cell r="X220" t="str">
            <v>Approved for SM</v>
          </cell>
          <cell r="Y220">
            <v>42181608</v>
          </cell>
          <cell r="Z220" t="str">
            <v>Blood pressure measuring instruments accessories</v>
          </cell>
          <cell r="AA220" t="str">
            <v>UNSPSC v23.0701</v>
          </cell>
        </row>
        <row r="220">
          <cell r="AC220" t="str">
            <v>42181608  Blood pressure measuring instruments accessories</v>
          </cell>
          <cell r="AD220" t="str">
            <v>DRE</v>
          </cell>
          <cell r="AE220" t="str">
            <v>P00169</v>
          </cell>
          <cell r="AF220" t="str">
            <v>P00169</v>
          </cell>
        </row>
        <row r="220">
          <cell r="AH220" t="str">
            <v>CONNECTOR</v>
          </cell>
          <cell r="AI220">
            <v>10</v>
          </cell>
          <cell r="AJ220" t="str">
            <v>CONNECTOR, NIBP FITTING HOSE ML F/HP MONITOR</v>
          </cell>
        </row>
        <row r="220">
          <cell r="AL220" t="str">
            <v>42181608  Blood pressure measuring instruments accessories</v>
          </cell>
        </row>
        <row r="221">
          <cell r="N221">
            <v>1426</v>
          </cell>
          <cell r="O221">
            <v>1072698</v>
          </cell>
          <cell r="P221" t="str">
            <v>Blood Pressure Accessories</v>
          </cell>
          <cell r="Q221" t="str">
            <v>DRE MEDICAL GROUP</v>
          </cell>
          <cell r="R221" t="str">
            <v>Dre Equipment-DRE</v>
          </cell>
          <cell r="S221" t="str">
            <v>DRE</v>
          </cell>
          <cell r="T221" t="str">
            <v>Dre Equipment</v>
          </cell>
          <cell r="U221" t="str">
            <v>P00170</v>
          </cell>
        </row>
        <row r="221">
          <cell r="X221" t="str">
            <v>Approved for SM</v>
          </cell>
          <cell r="Y221">
            <v>42181608</v>
          </cell>
          <cell r="Z221" t="str">
            <v>Blood pressure measuring instruments accessories</v>
          </cell>
          <cell r="AA221" t="str">
            <v>UNSPSC v23.0701</v>
          </cell>
        </row>
        <row r="221">
          <cell r="AC221" t="str">
            <v>42181608  Blood pressure measuring instruments accessories</v>
          </cell>
          <cell r="AD221" t="str">
            <v>DRE</v>
          </cell>
          <cell r="AE221" t="str">
            <v>P00170</v>
          </cell>
          <cell r="AF221" t="str">
            <v>P00170</v>
          </cell>
        </row>
        <row r="221">
          <cell r="AH221" t="str">
            <v>CONNECTOR</v>
          </cell>
          <cell r="AI221">
            <v>10</v>
          </cell>
          <cell r="AJ221" t="str">
            <v>CONNECTOR, NIBP FITTING HOSE FML F/HP MONITOR</v>
          </cell>
        </row>
        <row r="221">
          <cell r="AL221" t="str">
            <v>42181608  Blood pressure measuring instruments accessories</v>
          </cell>
        </row>
        <row r="222">
          <cell r="N222">
            <v>1428</v>
          </cell>
          <cell r="O222">
            <v>1064622</v>
          </cell>
          <cell r="P222" t="str">
            <v>Furnishing Accessories</v>
          </cell>
          <cell r="Q222" t="str">
            <v>DRIVE MEDICAL DESIGN</v>
          </cell>
          <cell r="R222" t="str">
            <v>Drive Medical-DRVMED</v>
          </cell>
          <cell r="S222" t="str">
            <v>DRVMED</v>
          </cell>
          <cell r="T222" t="str">
            <v>Drive Medical</v>
          </cell>
          <cell r="U222">
            <v>15541</v>
          </cell>
        </row>
        <row r="222">
          <cell r="X222" t="str">
            <v>Approved for SM</v>
          </cell>
          <cell r="Y222">
            <v>42191815</v>
          </cell>
          <cell r="Z222" t="str">
            <v>Patient care bed accessories</v>
          </cell>
          <cell r="AA222" t="str">
            <v>UNSPSC v23.0701</v>
          </cell>
        </row>
        <row r="222">
          <cell r="AC222" t="str">
            <v>42191815  Patient care bed accessories</v>
          </cell>
          <cell r="AD222" t="str">
            <v>DRIVE MEDICAL</v>
          </cell>
          <cell r="AE222">
            <v>15541</v>
          </cell>
          <cell r="AF222" t="str">
            <v>15541</v>
          </cell>
        </row>
        <row r="222">
          <cell r="AH222" t="str">
            <v>HEAD</v>
          </cell>
          <cell r="AI222">
            <v>6</v>
          </cell>
          <cell r="AJ222" t="str">
            <v>HEAD SPRING, F/DELTA BED D/S</v>
          </cell>
        </row>
        <row r="222">
          <cell r="AL222" t="str">
            <v>42191815  Patient care bed accessories</v>
          </cell>
        </row>
        <row r="223">
          <cell r="N223">
            <v>1430</v>
          </cell>
          <cell r="O223">
            <v>1073175</v>
          </cell>
          <cell r="P223" t="str">
            <v>Ambulatory Accessories</v>
          </cell>
          <cell r="Q223" t="str">
            <v>DRIVE MEDICAL DESIGN</v>
          </cell>
          <cell r="R223" t="str">
            <v>Drive Medical-DRVMED</v>
          </cell>
          <cell r="S223" t="str">
            <v>DRVMED</v>
          </cell>
          <cell r="T223" t="str">
            <v>Drive Medical</v>
          </cell>
          <cell r="U223" t="str">
            <v>12021T</v>
          </cell>
        </row>
        <row r="223">
          <cell r="X223" t="str">
            <v>Approved for SM</v>
          </cell>
          <cell r="Y223">
            <v>42211622</v>
          </cell>
          <cell r="Z223" t="str">
            <v>Commode accessories for the physically challenged</v>
          </cell>
          <cell r="AA223" t="str">
            <v>UNSPSC v23.0701</v>
          </cell>
        </row>
        <row r="223">
          <cell r="AC223" t="str">
            <v>42211622  Commode accessories for the physically challenged</v>
          </cell>
          <cell r="AD223" t="str">
            <v>DRIVE MEDICAL</v>
          </cell>
          <cell r="AE223" t="str">
            <v>12021T</v>
          </cell>
          <cell r="AF223" t="str">
            <v>12021T</v>
          </cell>
        </row>
        <row r="223">
          <cell r="AH223" t="str">
            <v>TIP</v>
          </cell>
          <cell r="AI223">
            <v>9</v>
          </cell>
          <cell r="AJ223" t="str">
            <v>TIP, RUBBER F/DLX BARIATRIC SHOWER CHAIR D/S</v>
          </cell>
        </row>
        <row r="223">
          <cell r="AL223" t="str">
            <v>42211622  Commode accessories for the physically challenged</v>
          </cell>
        </row>
        <row r="224">
          <cell r="N224">
            <v>1433</v>
          </cell>
          <cell r="O224">
            <v>1073671</v>
          </cell>
          <cell r="P224" t="str">
            <v>Over Bed Tables</v>
          </cell>
          <cell r="Q224" t="str">
            <v>DRIVE MEDICAL DESIGN</v>
          </cell>
          <cell r="R224" t="str">
            <v>Drive Medical-DRVMED</v>
          </cell>
          <cell r="S224" t="str">
            <v>DRVMED</v>
          </cell>
          <cell r="T224" t="str">
            <v>Drive Medical</v>
          </cell>
          <cell r="U224" t="str">
            <v>13080-HOFM</v>
          </cell>
        </row>
        <row r="224">
          <cell r="X224" t="str">
            <v>Approved for SM</v>
          </cell>
          <cell r="Y224">
            <v>42191801</v>
          </cell>
          <cell r="Z224" t="str">
            <v>Overbed tables</v>
          </cell>
          <cell r="AA224" t="str">
            <v>UNSPSC v23.0701</v>
          </cell>
        </row>
        <row r="224">
          <cell r="AC224" t="str">
            <v>42191801  Overbed tables</v>
          </cell>
          <cell r="AD224" t="str">
            <v>DRIVE MEDICAL</v>
          </cell>
          <cell r="AE224" t="str">
            <v>13080-HOFM</v>
          </cell>
          <cell r="AF224" t="str">
            <v>13080HOFM</v>
          </cell>
        </row>
        <row r="224">
          <cell r="AH224" t="str">
            <v>TABE</v>
          </cell>
          <cell r="AI224">
            <v>1</v>
          </cell>
          <cell r="AJ224" t="str">
            <v>TABE, OVERBED BARIATRIC H-BASEOVL D/S</v>
          </cell>
        </row>
        <row r="224">
          <cell r="AL224" t="str">
            <v>42191801  Overbed tables</v>
          </cell>
        </row>
        <row r="225">
          <cell r="N225">
            <v>1436</v>
          </cell>
          <cell r="O225">
            <v>1065358</v>
          </cell>
          <cell r="P225" t="str">
            <v>Ambulatory Accessories</v>
          </cell>
          <cell r="Q225" t="str">
            <v>DRIVE MEDICAL DESIGN</v>
          </cell>
          <cell r="R225" t="str">
            <v>Drive Medical-DRVMED</v>
          </cell>
          <cell r="S225" t="str">
            <v>DRVMED</v>
          </cell>
          <cell r="T225" t="str">
            <v>Drive Medical</v>
          </cell>
          <cell r="U225" t="str">
            <v>9501S7261L</v>
          </cell>
        </row>
        <row r="225">
          <cell r="X225" t="str">
            <v>Approved for SM</v>
          </cell>
          <cell r="Y225">
            <v>42211505</v>
          </cell>
          <cell r="Z225" t="str">
            <v>Walker or rollator accessories</v>
          </cell>
          <cell r="AA225" t="str">
            <v>UNSPSC v23.0701</v>
          </cell>
        </row>
        <row r="225">
          <cell r="AC225" t="str">
            <v>42211505  Walker or rollator accessories</v>
          </cell>
          <cell r="AD225" t="str">
            <v>DRIVE MEDICAL</v>
          </cell>
          <cell r="AE225" t="str">
            <v>9501S7261L</v>
          </cell>
          <cell r="AF225" t="str">
            <v>9501S7261L</v>
          </cell>
        </row>
        <row r="225">
          <cell r="AH225" t="str">
            <v>LOCK</v>
          </cell>
          <cell r="AI225">
            <v>3</v>
          </cell>
          <cell r="AJ225" t="str">
            <v>LOCK, WHEEL F/ROLLATOR 726 LT</v>
          </cell>
        </row>
        <row r="225">
          <cell r="AL225" t="str">
            <v>42211505  Walker or rollator accessories</v>
          </cell>
        </row>
        <row r="226">
          <cell r="N226">
            <v>1437</v>
          </cell>
          <cell r="O226">
            <v>1074492</v>
          </cell>
          <cell r="P226" t="str">
            <v>Ambulatory Accessories</v>
          </cell>
          <cell r="Q226" t="str">
            <v>DRIVE MEDICAL DESIGN</v>
          </cell>
          <cell r="R226" t="str">
            <v>Drive Medical-DRVMED</v>
          </cell>
          <cell r="S226" t="str">
            <v>DRVMED</v>
          </cell>
          <cell r="T226" t="str">
            <v>Drive Medical</v>
          </cell>
          <cell r="U226" t="str">
            <v>9503H79019</v>
          </cell>
        </row>
        <row r="226">
          <cell r="X226" t="str">
            <v>Approved for SM</v>
          </cell>
          <cell r="Y226">
            <v>42211505</v>
          </cell>
          <cell r="Z226" t="str">
            <v>Walker or rollator accessories</v>
          </cell>
          <cell r="AA226" t="str">
            <v>UNSPSC v23.0701</v>
          </cell>
        </row>
        <row r="226">
          <cell r="AC226" t="str">
            <v>42211505  Walker or rollator accessories</v>
          </cell>
          <cell r="AD226" t="str">
            <v>DRIVE MEDICAL</v>
          </cell>
          <cell r="AE226" t="str">
            <v>9503H79019</v>
          </cell>
          <cell r="AF226" t="str">
            <v>9503H79019</v>
          </cell>
        </row>
        <row r="226">
          <cell r="AH226" t="str">
            <v>AXEL</v>
          </cell>
          <cell r="AI226">
            <v>1</v>
          </cell>
          <cell r="AJ226" t="str">
            <v>AXEL, CASTER F/790 KNEE WALKER</v>
          </cell>
        </row>
        <row r="226">
          <cell r="AL226" t="str">
            <v>42211505  Walker or rollator accessories</v>
          </cell>
        </row>
        <row r="227">
          <cell r="N227">
            <v>1451</v>
          </cell>
          <cell r="O227">
            <v>1066342</v>
          </cell>
          <cell r="P227" t="str">
            <v>Gauze Dressings</v>
          </cell>
          <cell r="Q227" t="str">
            <v>DUKAL CORP.</v>
          </cell>
          <cell r="R227" t="str">
            <v>Dukal-DUKAL</v>
          </cell>
          <cell r="S227" t="str">
            <v>DUKAL</v>
          </cell>
          <cell r="T227" t="str">
            <v>Dukal</v>
          </cell>
          <cell r="U227">
            <v>5942</v>
          </cell>
        </row>
        <row r="227">
          <cell r="X227" t="str">
            <v>Approved for SM</v>
          </cell>
          <cell r="Y227">
            <v>42311500</v>
          </cell>
          <cell r="Z227" t="str">
            <v>Bandages and dressings and related products</v>
          </cell>
          <cell r="AA227" t="str">
            <v>UNSPSC v23.0701</v>
          </cell>
        </row>
        <row r="227">
          <cell r="AC227" t="str">
            <v>42311500  Bandages and dressings and related products</v>
          </cell>
          <cell r="AD227" t="str">
            <v>DUKAL</v>
          </cell>
          <cell r="AE227">
            <v>5942</v>
          </cell>
          <cell r="AF227" t="str">
            <v>5942</v>
          </cell>
        </row>
        <row r="227">
          <cell r="AH227" t="str">
            <v>PAD</v>
          </cell>
          <cell r="AI227">
            <v>39</v>
          </cell>
          <cell r="AJ227" t="str">
            <v>PAD, ABD COMBINE N/S 8"X7.5" (25/BG16BG/CS)</v>
          </cell>
        </row>
        <row r="227">
          <cell r="AL227" t="str">
            <v>42311500  Bandages and dressings and related products</v>
          </cell>
        </row>
        <row r="228">
          <cell r="N228">
            <v>1452</v>
          </cell>
          <cell r="O228">
            <v>1066348</v>
          </cell>
          <cell r="P228" t="str">
            <v>Gauze Dressings</v>
          </cell>
          <cell r="Q228" t="str">
            <v>DUKAL CORP.</v>
          </cell>
          <cell r="R228" t="str">
            <v>Dukal-DUKAL</v>
          </cell>
          <cell r="S228" t="str">
            <v>DUKAL</v>
          </cell>
          <cell r="T228" t="str">
            <v>Dukal</v>
          </cell>
          <cell r="U228">
            <v>5945</v>
          </cell>
        </row>
        <row r="228">
          <cell r="X228" t="str">
            <v>Approved for SM</v>
          </cell>
          <cell r="Y228">
            <v>42311500</v>
          </cell>
          <cell r="Z228" t="str">
            <v>Bandages and dressings and related products</v>
          </cell>
          <cell r="AA228" t="str">
            <v>UNSPSC v23.0701</v>
          </cell>
        </row>
        <row r="228">
          <cell r="AC228" t="str">
            <v>42311500  Bandages and dressings and related products</v>
          </cell>
          <cell r="AD228" t="str">
            <v>DUKAL</v>
          </cell>
          <cell r="AE228">
            <v>5945</v>
          </cell>
          <cell r="AF228" t="str">
            <v>5945</v>
          </cell>
        </row>
        <row r="228">
          <cell r="AH228" t="str">
            <v>PAD</v>
          </cell>
          <cell r="AI228">
            <v>39</v>
          </cell>
          <cell r="AJ228" t="str">
            <v>PAD, ABD COMBINE N/S 12"X16" (25/BG 6BG/CS)</v>
          </cell>
        </row>
        <row r="228">
          <cell r="AL228" t="str">
            <v>42311500  Bandages and dressings and related products</v>
          </cell>
        </row>
        <row r="229">
          <cell r="N229">
            <v>1459</v>
          </cell>
          <cell r="O229">
            <v>1074370</v>
          </cell>
          <cell r="P229" t="str">
            <v>Bras</v>
          </cell>
          <cell r="Q229" t="str">
            <v>DUKAL CORP.</v>
          </cell>
          <cell r="R229" t="str">
            <v>Dukal-DUKAL</v>
          </cell>
          <cell r="S229" t="str">
            <v>DUKAL</v>
          </cell>
          <cell r="T229" t="str">
            <v>Dukal</v>
          </cell>
          <cell r="U229" t="str">
            <v>900510-1</v>
          </cell>
        </row>
        <row r="229">
          <cell r="X229" t="str">
            <v>Approved for SM</v>
          </cell>
          <cell r="Y229">
            <v>42312501</v>
          </cell>
          <cell r="Z229" t="str">
            <v>Mammary support binders</v>
          </cell>
          <cell r="AA229" t="str">
            <v>UNSPSC v23.0701</v>
          </cell>
        </row>
        <row r="229">
          <cell r="AC229" t="str">
            <v>42312501  Mammary support binders</v>
          </cell>
          <cell r="AD229" t="str">
            <v>DUKAL</v>
          </cell>
          <cell r="AE229" t="str">
            <v>900510-1</v>
          </cell>
          <cell r="AF229" t="str">
            <v>9005101</v>
          </cell>
        </row>
        <row r="229">
          <cell r="AH229" t="str">
            <v>BRA</v>
          </cell>
          <cell r="AI229">
            <v>1</v>
          </cell>
          <cell r="AJ229" t="str">
            <v>BRA, BACKLESS SPA REFLECTIONS SM/MED BLK (1/BG 100BG/BX 6BX/</v>
          </cell>
        </row>
        <row r="229">
          <cell r="AL229" t="str">
            <v>42312501  Mammary support binders</v>
          </cell>
        </row>
        <row r="230">
          <cell r="N230">
            <v>1458</v>
          </cell>
          <cell r="O230">
            <v>1068595</v>
          </cell>
          <cell r="P230" t="str">
            <v>Protective Guards</v>
          </cell>
          <cell r="Q230" t="str">
            <v>DUKAL CORP.</v>
          </cell>
          <cell r="R230" t="str">
            <v>Dukal-DUKAL</v>
          </cell>
          <cell r="S230" t="str">
            <v>DUKAL</v>
          </cell>
          <cell r="T230" t="str">
            <v>Dukal</v>
          </cell>
          <cell r="U230" t="str">
            <v>841B</v>
          </cell>
        </row>
        <row r="230">
          <cell r="X230" t="str">
            <v>Approved for SM</v>
          </cell>
          <cell r="Y230">
            <v>42311518</v>
          </cell>
          <cell r="Z230" t="str">
            <v>Medical eye pads or patches</v>
          </cell>
          <cell r="AA230" t="str">
            <v>UNSPSC v23.0701</v>
          </cell>
        </row>
        <row r="230">
          <cell r="AC230" t="str">
            <v>42311518  Medical eye pads or patches</v>
          </cell>
          <cell r="AD230" t="str">
            <v>DUKAL</v>
          </cell>
          <cell r="AE230" t="str">
            <v>841B</v>
          </cell>
          <cell r="AF230" t="str">
            <v>841B</v>
          </cell>
        </row>
        <row r="230">
          <cell r="AH230" t="str">
            <v>EYE</v>
          </cell>
          <cell r="AI230">
            <v>1</v>
          </cell>
          <cell r="AJ230" t="str">
            <v>EYE PAD, OVAL ABSRB STR 1 5/8"</v>
          </cell>
        </row>
        <row r="230">
          <cell r="AL230" t="str">
            <v>42311518  Medical eye pads or patches</v>
          </cell>
        </row>
        <row r="231">
          <cell r="N231">
            <v>1461</v>
          </cell>
          <cell r="O231">
            <v>1068325</v>
          </cell>
          <cell r="P231" t="str">
            <v>Batteries</v>
          </cell>
          <cell r="Q231" t="str">
            <v>DURACELL DISTRIBUTING INC</v>
          </cell>
          <cell r="R231" t="str">
            <v>Duracell-DUDIIN</v>
          </cell>
          <cell r="S231" t="str">
            <v>DUDIIN</v>
          </cell>
          <cell r="T231" t="str">
            <v>Duracell</v>
          </cell>
          <cell r="U231" t="str">
            <v>DLCR2BPK</v>
          </cell>
        </row>
        <row r="231">
          <cell r="X231" t="str">
            <v>Approved for SM</v>
          </cell>
          <cell r="Y231">
            <v>26111711</v>
          </cell>
          <cell r="Z231" t="str">
            <v>Lithium batteries</v>
          </cell>
          <cell r="AA231" t="str">
            <v>UNSPSC v23.0701</v>
          </cell>
        </row>
        <row r="231">
          <cell r="AC231" t="str">
            <v>26111711  Lithium batteries</v>
          </cell>
          <cell r="AD231" t="str">
            <v>DURACELL</v>
          </cell>
          <cell r="AE231" t="str">
            <v>DLCR2BPK</v>
          </cell>
          <cell r="AF231" t="str">
            <v>DLCR2BPK</v>
          </cell>
        </row>
        <row r="231">
          <cell r="AH231" t="str">
            <v>BATTERY</v>
          </cell>
          <cell r="AI231">
            <v>15</v>
          </cell>
          <cell r="AJ231" t="str">
            <v>BATTERY, LITHIUM DURACELL CR2 3V (6/BX)</v>
          </cell>
        </row>
        <row r="231">
          <cell r="AL231" t="str">
            <v>26111711  Lithium batteries</v>
          </cell>
        </row>
        <row r="232">
          <cell r="N232">
            <v>1499</v>
          </cell>
          <cell r="O232">
            <v>1073209</v>
          </cell>
          <cell r="P232" t="str">
            <v>Diagnostic Accessories</v>
          </cell>
          <cell r="Q232" t="str">
            <v>EDANUSA &amp; MDPRO</v>
          </cell>
          <cell r="R232" t="str">
            <v>EdanUSA &amp; MDPro-EDANUS</v>
          </cell>
          <cell r="S232" t="str">
            <v>EDANUS</v>
          </cell>
          <cell r="T232" t="str">
            <v>EdanUSA &amp; MDPro</v>
          </cell>
          <cell r="U232" t="str">
            <v>MP5000_PHANTOM</v>
          </cell>
        </row>
        <row r="232">
          <cell r="X232" t="str">
            <v>Approved for SM</v>
          </cell>
          <cell r="Y232">
            <v>42201711</v>
          </cell>
          <cell r="Z232" t="str">
            <v>Medical ultrasound or doppler or echocardiograph transducer</v>
          </cell>
          <cell r="AA232" t="str">
            <v>UNSPSC v23.0701</v>
          </cell>
        </row>
        <row r="232">
          <cell r="AC232" t="str">
            <v>42201711  Medical ultrasound or doppler or echocardiograph transducer</v>
          </cell>
          <cell r="AD232" t="str">
            <v>EDAN</v>
          </cell>
          <cell r="AE232" t="str">
            <v>MP5000_PHANTOM</v>
          </cell>
          <cell r="AF232" t="str">
            <v>MP5000PHANTOM</v>
          </cell>
        </row>
        <row r="232">
          <cell r="AH232" t="str">
            <v>BLADDER</v>
          </cell>
          <cell r="AI232">
            <v>1</v>
          </cell>
          <cell r="AJ232" t="str">
            <v>BLADDER, PHANTOM F/CALIBRATIONOF ULTSND SCANNER</v>
          </cell>
        </row>
        <row r="232">
          <cell r="AL232" t="str">
            <v>42201711  Medical ultrasound or doppler or echocardiograph transducer</v>
          </cell>
        </row>
        <row r="233">
          <cell r="N233">
            <v>1500</v>
          </cell>
          <cell r="O233">
            <v>1073686</v>
          </cell>
          <cell r="P233" t="str">
            <v>Diagnostic Accessories</v>
          </cell>
          <cell r="Q233" t="str">
            <v>EDANUSA &amp; MDPRO</v>
          </cell>
          <cell r="R233" t="str">
            <v>EdanUSA &amp; MDPro-EDANUS</v>
          </cell>
          <cell r="S233" t="str">
            <v>EDANUS</v>
          </cell>
          <cell r="T233" t="str">
            <v>EdanUSA &amp; MDPro</v>
          </cell>
          <cell r="U233" t="str">
            <v>PLATE_IM8</v>
          </cell>
        </row>
        <row r="233">
          <cell r="X233" t="str">
            <v>Approved for SM</v>
          </cell>
          <cell r="Y233">
            <v>42192402</v>
          </cell>
          <cell r="Z233" t="str">
            <v>Diagnostic or monitoring equipment specific carts or stands</v>
          </cell>
          <cell r="AA233" t="str">
            <v>UNSPSC v23.0701</v>
          </cell>
        </row>
        <row r="233">
          <cell r="AC233" t="str">
            <v>42192402  Diagnostic or monitoring equipment specific carts or stands</v>
          </cell>
          <cell r="AD233" t="str">
            <v>EDAN</v>
          </cell>
          <cell r="AE233" t="str">
            <v>PLATE_IM8</v>
          </cell>
          <cell r="AF233" t="str">
            <v>PLATEIM8</v>
          </cell>
        </row>
        <row r="233">
          <cell r="AH233" t="str">
            <v>PLATE</v>
          </cell>
          <cell r="AI233">
            <v>11</v>
          </cell>
          <cell r="AJ233" t="str">
            <v>PLATE, F/IM8, IM60, X12 MONITOR</v>
          </cell>
        </row>
        <row r="233">
          <cell r="AL233" t="str">
            <v>42192402  Diagnostic or monitoring equipment specific carts or stands</v>
          </cell>
        </row>
        <row r="234">
          <cell r="N234">
            <v>1523</v>
          </cell>
          <cell r="O234">
            <v>1071126</v>
          </cell>
          <cell r="P234" t="str">
            <v>Nurse's Station Accessories</v>
          </cell>
          <cell r="Q234" t="str">
            <v>EMS TECHNOLOGY SOLUTIONS LLC</v>
          </cell>
          <cell r="R234" t="str">
            <v>EMS Technology Solutions LLC-EMTECH</v>
          </cell>
          <cell r="S234" t="str">
            <v>EMTECH</v>
          </cell>
          <cell r="T234" t="str">
            <v>EMS Technology Solutions LLC</v>
          </cell>
          <cell r="U234" t="str">
            <v>7527C-G2</v>
          </cell>
        </row>
        <row r="234">
          <cell r="X234" t="str">
            <v>Approved for SM</v>
          </cell>
          <cell r="Y234">
            <v>42191611</v>
          </cell>
          <cell r="Z234" t="str">
            <v>Nurse communication modules or systems</v>
          </cell>
          <cell r="AA234" t="str">
            <v>UNSPSC v23.0701</v>
          </cell>
        </row>
        <row r="234">
          <cell r="AC234" t="str">
            <v>42191611  Nurse communication modules or systems</v>
          </cell>
          <cell r="AD234" t="str">
            <v>EMS</v>
          </cell>
          <cell r="AE234" t="str">
            <v>7527C-G2</v>
          </cell>
          <cell r="AF234" t="str">
            <v>7527CG2</v>
          </cell>
        </row>
        <row r="234">
          <cell r="AH234" t="str">
            <v>WORKABOUT</v>
          </cell>
          <cell r="AI234">
            <v>1</v>
          </cell>
          <cell r="AJ234" t="str">
            <v>WORKABOUT PRO DS</v>
          </cell>
        </row>
        <row r="234">
          <cell r="AL234" t="str">
            <v>42191611  Nurse communication modules or systems</v>
          </cell>
        </row>
        <row r="235">
          <cell r="N235">
            <v>1524</v>
          </cell>
          <cell r="O235">
            <v>1071124</v>
          </cell>
          <cell r="P235" t="str">
            <v>Clinical Laboratory Accessories</v>
          </cell>
          <cell r="Q235" t="str">
            <v>EMS TECHNOLOGY SOLUTIONS LLC</v>
          </cell>
          <cell r="R235" t="str">
            <v>EMS Technology Solutions LLC-EMTECH</v>
          </cell>
          <cell r="S235" t="str">
            <v>EMTECH</v>
          </cell>
          <cell r="T235" t="str">
            <v>EMS Technology Solutions LLC</v>
          </cell>
          <cell r="U235" t="str">
            <v>GBT4100</v>
          </cell>
        </row>
        <row r="235">
          <cell r="X235" t="str">
            <v>New Item</v>
          </cell>
          <cell r="Y235">
            <v>43211711</v>
          </cell>
          <cell r="Z235" t="str">
            <v>Scanners</v>
          </cell>
          <cell r="AA235" t="str">
            <v>UNSPSC v23.0701</v>
          </cell>
        </row>
        <row r="235">
          <cell r="AC235" t="str">
            <v>43211711  Scanners</v>
          </cell>
          <cell r="AD235" t="str">
            <v>EMS</v>
          </cell>
          <cell r="AE235" t="str">
            <v>GBT4100</v>
          </cell>
          <cell r="AF235" t="str">
            <v>GBT4100</v>
          </cell>
        </row>
        <row r="235">
          <cell r="AH235" t="str">
            <v>GRYPHON</v>
          </cell>
          <cell r="AI235">
            <v>1</v>
          </cell>
          <cell r="AJ235" t="str">
            <v>GRYPHON GBT4100 DS</v>
          </cell>
        </row>
        <row r="235">
          <cell r="AL235" t="str">
            <v>43211711  Scanners</v>
          </cell>
        </row>
        <row r="236">
          <cell r="N236">
            <v>1525</v>
          </cell>
          <cell r="O236">
            <v>1071125</v>
          </cell>
          <cell r="P236" t="str">
            <v>custom items 1</v>
          </cell>
          <cell r="Q236" t="str">
            <v>EMS TECHNOLOGY SOLUTIONS LLC</v>
          </cell>
          <cell r="R236" t="str">
            <v>EMS Technology Solutions LLC-EMTECH</v>
          </cell>
          <cell r="S236" t="str">
            <v>EMTECH</v>
          </cell>
          <cell r="T236" t="str">
            <v>EMS Technology Solutions LLC</v>
          </cell>
          <cell r="U236" t="str">
            <v>IQ10011</v>
          </cell>
        </row>
        <row r="236">
          <cell r="X236" t="str">
            <v>New Item</v>
          </cell>
          <cell r="Y236">
            <v>43211701</v>
          </cell>
          <cell r="Z236" t="str">
            <v>Bar code reader equipment</v>
          </cell>
          <cell r="AA236" t="str">
            <v>UNSPSC v23.0701</v>
          </cell>
        </row>
        <row r="236">
          <cell r="AC236" t="str">
            <v>43211701  Bar code reader equipment</v>
          </cell>
          <cell r="AD236" t="str">
            <v>EMS</v>
          </cell>
          <cell r="AE236" t="str">
            <v>IQ10011</v>
          </cell>
          <cell r="AF236" t="str">
            <v>IQ10011</v>
          </cell>
        </row>
        <row r="236">
          <cell r="AH236" t="str">
            <v>READER</v>
          </cell>
          <cell r="AI236">
            <v>2</v>
          </cell>
          <cell r="AJ236" t="str">
            <v>READER, BARCODE DATAOGIC QUICKSCAN QD2100 D/S</v>
          </cell>
        </row>
        <row r="236">
          <cell r="AL236" t="str">
            <v>43211701  Bar code reader equipment</v>
          </cell>
        </row>
        <row r="237">
          <cell r="N237">
            <v>1526</v>
          </cell>
          <cell r="O237">
            <v>1068397</v>
          </cell>
          <cell r="P237" t="str">
            <v>custom items 1</v>
          </cell>
          <cell r="Q237" t="str">
            <v>EMS TECHNOLOGY SOLUTIONS LLC</v>
          </cell>
          <cell r="R237" t="str">
            <v>EMS Technology Solutions LLC-EMTECH</v>
          </cell>
          <cell r="S237" t="str">
            <v>EMTECH</v>
          </cell>
          <cell r="T237" t="str">
            <v>EMS Technology Solutions LLC</v>
          </cell>
          <cell r="U237" t="str">
            <v>IQ10157</v>
          </cell>
        </row>
        <row r="237">
          <cell r="X237" t="str">
            <v>Approved for SM</v>
          </cell>
          <cell r="Y237">
            <v>43211701</v>
          </cell>
          <cell r="Z237" t="str">
            <v>Bar code reader equipment</v>
          </cell>
          <cell r="AA237" t="str">
            <v>UNSPSC v23.0701</v>
          </cell>
        </row>
        <row r="237">
          <cell r="AC237" t="str">
            <v>43211701  Bar code reader equipment</v>
          </cell>
          <cell r="AD237" t="str">
            <v>EMS</v>
          </cell>
          <cell r="AE237" t="str">
            <v>IQ10157</v>
          </cell>
          <cell r="AF237" t="str">
            <v>IQ10157</v>
          </cell>
        </row>
        <row r="237">
          <cell r="AH237" t="str">
            <v>OIQ</v>
          </cell>
          <cell r="AI237">
            <v>2</v>
          </cell>
          <cell r="AJ237" t="str">
            <v>OIQ KOAMTAC BARCODE SLED KITDS</v>
          </cell>
        </row>
        <row r="237">
          <cell r="AL237" t="str">
            <v>43211701  Bar code reader equipment</v>
          </cell>
        </row>
        <row r="238">
          <cell r="N238">
            <v>1527</v>
          </cell>
          <cell r="O238">
            <v>1068398</v>
          </cell>
          <cell r="P238" t="str">
            <v>Locks and Safety Seals</v>
          </cell>
          <cell r="Q238" t="str">
            <v>EMS TECHNOLOGY SOLUTIONS LLC</v>
          </cell>
          <cell r="R238" t="str">
            <v>EMS Technology Solutions LLC-EMTECH</v>
          </cell>
          <cell r="S238" t="str">
            <v>EMTECH</v>
          </cell>
          <cell r="T238" t="str">
            <v>EMS Technology Solutions LLC</v>
          </cell>
          <cell r="U238" t="str">
            <v>IQ10168</v>
          </cell>
        </row>
        <row r="238">
          <cell r="X238" t="str">
            <v>Approved for SM</v>
          </cell>
          <cell r="Y238">
            <v>24141504</v>
          </cell>
          <cell r="Z238" t="str">
            <v>Tamper proof or security seals</v>
          </cell>
          <cell r="AA238" t="str">
            <v>UNSPSC v23.0701</v>
          </cell>
        </row>
        <row r="238">
          <cell r="AC238" t="str">
            <v>24141504  Tamper proof or security seals</v>
          </cell>
          <cell r="AD238" t="str">
            <v>EMS</v>
          </cell>
          <cell r="AE238" t="str">
            <v>IQ10168</v>
          </cell>
          <cell r="AF238" t="str">
            <v>IQ10168</v>
          </cell>
        </row>
        <row r="238">
          <cell r="AH238" t="str">
            <v>OIQ</v>
          </cell>
          <cell r="AI238">
            <v>2</v>
          </cell>
          <cell r="AJ238" t="str">
            <v>OIQ BARCODED CAB SEALS DS</v>
          </cell>
        </row>
        <row r="238">
          <cell r="AL238" t="str">
            <v>24141504  Tamper proof or security seals</v>
          </cell>
        </row>
        <row r="239">
          <cell r="N239">
            <v>1528</v>
          </cell>
          <cell r="O239">
            <v>1071429</v>
          </cell>
          <cell r="P239" t="str">
            <v>custom items 1</v>
          </cell>
          <cell r="Q239" t="str">
            <v>EMS TECHNOLOGY SOLUTIONS LLC</v>
          </cell>
          <cell r="R239" t="str">
            <v>EMS Technology Solutions LLC-EMTECH</v>
          </cell>
          <cell r="S239" t="str">
            <v>EMTECH</v>
          </cell>
          <cell r="T239" t="str">
            <v>EMS Technology Solutions LLC</v>
          </cell>
          <cell r="U239" t="str">
            <v>IQ10181</v>
          </cell>
        </row>
        <row r="239">
          <cell r="X239" t="str">
            <v>Approved for SM</v>
          </cell>
          <cell r="Y239">
            <v>43211701</v>
          </cell>
          <cell r="Z239" t="str">
            <v>Bar code reader equipment</v>
          </cell>
          <cell r="AA239" t="str">
            <v>UNSPSC v23.0701</v>
          </cell>
        </row>
        <row r="239">
          <cell r="AC239" t="str">
            <v>43211701  Bar code reader equipment</v>
          </cell>
          <cell r="AD239" t="str">
            <v>EMS</v>
          </cell>
          <cell r="AE239" t="str">
            <v>IQ10181</v>
          </cell>
          <cell r="AF239" t="str">
            <v>IQ10181</v>
          </cell>
        </row>
        <row r="239">
          <cell r="AH239" t="str">
            <v>QIQ</v>
          </cell>
          <cell r="AI239">
            <v>1</v>
          </cell>
          <cell r="AJ239" t="str">
            <v>QIQ KOAMTAC KDC20I READER DS</v>
          </cell>
        </row>
        <row r="239">
          <cell r="AL239" t="str">
            <v>43211701  Bar code reader equipment</v>
          </cell>
        </row>
        <row r="240">
          <cell r="N240">
            <v>1529</v>
          </cell>
          <cell r="O240">
            <v>1068358</v>
          </cell>
          <cell r="P240" t="str">
            <v>Orthopedic Accessories</v>
          </cell>
          <cell r="Q240" t="str">
            <v>EMSAR - WILMINGTON, OHIO</v>
          </cell>
          <cell r="R240" t="str">
            <v>EMSAR Inc-EMAR</v>
          </cell>
          <cell r="S240" t="str">
            <v>EMAR</v>
          </cell>
          <cell r="T240" t="str">
            <v>EMSAR Inc</v>
          </cell>
          <cell r="U240">
            <v>390201</v>
          </cell>
        </row>
        <row r="240">
          <cell r="X240" t="str">
            <v>Approved for SM</v>
          </cell>
          <cell r="Y240">
            <v>42143605</v>
          </cell>
          <cell r="Z240" t="str">
            <v>Restraint straps or buckles or supplies</v>
          </cell>
          <cell r="AA240" t="str">
            <v>UNSPSC v23.0701</v>
          </cell>
        </row>
        <row r="240">
          <cell r="AC240" t="str">
            <v>42143605  Restraint straps or buckles or supplies</v>
          </cell>
          <cell r="AD240" t="str">
            <v>EMSAR</v>
          </cell>
          <cell r="AE240">
            <v>390201</v>
          </cell>
          <cell r="AF240" t="str">
            <v>0390201</v>
          </cell>
        </row>
        <row r="240">
          <cell r="AH240" t="str">
            <v>KED</v>
          </cell>
          <cell r="AI240">
            <v>1</v>
          </cell>
          <cell r="AJ240" t="str">
            <v>KED STRAPS REPLACEMENT</v>
          </cell>
        </row>
        <row r="240">
          <cell r="AL240" t="str">
            <v>42143605  Restraint straps or buckles or supplies</v>
          </cell>
        </row>
        <row r="241">
          <cell r="N241">
            <v>1530</v>
          </cell>
          <cell r="O241">
            <v>1071427</v>
          </cell>
          <cell r="P241" t="str">
            <v>Fees, Specials and Others</v>
          </cell>
          <cell r="Q241" t="str">
            <v>EMSAR - WILMINGTON, OHIO</v>
          </cell>
          <cell r="R241" t="str">
            <v>EMSAR Inc-EMAR</v>
          </cell>
          <cell r="S241" t="str">
            <v>EMAR</v>
          </cell>
          <cell r="T241" t="str">
            <v>EMSAR Inc</v>
          </cell>
          <cell r="U241" t="str">
            <v>FERNO EMS</v>
          </cell>
        </row>
        <row r="241">
          <cell r="X241" t="str">
            <v>New Item</v>
          </cell>
          <cell r="Y241">
            <v>42171616</v>
          </cell>
          <cell r="Z241" t="str">
            <v>Mobile medical services ambulance cot accessories</v>
          </cell>
          <cell r="AA241" t="str">
            <v>UNSPSC v23.0701</v>
          </cell>
        </row>
        <row r="241">
          <cell r="AC241" t="str">
            <v>42171616  Mobile medical services ambulance cot accessories</v>
          </cell>
          <cell r="AD241" t="str">
            <v>EMSAR</v>
          </cell>
          <cell r="AE241" t="str">
            <v>FERNO EMS</v>
          </cell>
          <cell r="AF241" t="str">
            <v>FERNOEMS</v>
          </cell>
        </row>
        <row r="241">
          <cell r="AH241" t="str">
            <v>LABOR</v>
          </cell>
          <cell r="AI241">
            <v>1</v>
          </cell>
          <cell r="AJ241" t="str">
            <v>LABOR EMS FERNO DS</v>
          </cell>
        </row>
        <row r="241">
          <cell r="AL241" t="str">
            <v>42171616  Mobile medical services ambulance cot accessories</v>
          </cell>
        </row>
        <row r="242">
          <cell r="N242">
            <v>1531</v>
          </cell>
          <cell r="O242">
            <v>1071428</v>
          </cell>
          <cell r="P242" t="str">
            <v>Fees, Specials and Others</v>
          </cell>
          <cell r="Q242" t="str">
            <v>EMSAR - WILMINGTON, OHIO</v>
          </cell>
          <cell r="R242" t="str">
            <v>EMSAR Inc-EMAR</v>
          </cell>
          <cell r="S242" t="str">
            <v>EMAR</v>
          </cell>
          <cell r="T242" t="str">
            <v>EMSAR Inc</v>
          </cell>
          <cell r="U242" t="str">
            <v>PM SCOOP</v>
          </cell>
        </row>
        <row r="242">
          <cell r="X242" t="str">
            <v>New Item</v>
          </cell>
          <cell r="Y242">
            <v>42171619</v>
          </cell>
          <cell r="Z242" t="str">
            <v>Mobile medical services scoop stretcher accessories</v>
          </cell>
          <cell r="AA242" t="str">
            <v>UNSPSC v23.0701</v>
          </cell>
        </row>
        <row r="242">
          <cell r="AC242" t="str">
            <v>42171619  Mobile medical services scoop stretcher accessories</v>
          </cell>
          <cell r="AD242" t="str">
            <v>EMSAR</v>
          </cell>
          <cell r="AE242" t="str">
            <v>PM SCOOP</v>
          </cell>
          <cell r="AF242" t="str">
            <v>PMSCOOP</v>
          </cell>
        </row>
        <row r="242">
          <cell r="AH242" t="str">
            <v>PREVENT</v>
          </cell>
          <cell r="AI242">
            <v>1</v>
          </cell>
          <cell r="AJ242" t="str">
            <v>PREVENT MAIN FERNO SCOOP DS</v>
          </cell>
        </row>
        <row r="242">
          <cell r="AL242" t="str">
            <v>42171619  Mobile medical services scoop stretcher accessories</v>
          </cell>
        </row>
        <row r="243">
          <cell r="N243">
            <v>1535</v>
          </cell>
          <cell r="O243">
            <v>1074348</v>
          </cell>
          <cell r="P243" t="str">
            <v>Warming Cabinets</v>
          </cell>
          <cell r="Q243" t="str">
            <v>ENTHERMICS MEDICAL SYSTEMS</v>
          </cell>
          <cell r="R243" t="str">
            <v>Enthermics Medical Systems-ENMESY</v>
          </cell>
          <cell r="S243" t="str">
            <v>ENMESY</v>
          </cell>
          <cell r="T243" t="str">
            <v>Enthermics Medical Systems</v>
          </cell>
          <cell r="U243">
            <v>500021</v>
          </cell>
        </row>
        <row r="243">
          <cell r="X243" t="str">
            <v>Approved for SM</v>
          </cell>
          <cell r="Y243">
            <v>42191906</v>
          </cell>
          <cell r="Z243" t="str">
            <v>Blanket or solution warmer cabinets</v>
          </cell>
          <cell r="AA243" t="str">
            <v>UNSPSC v23.0701</v>
          </cell>
        </row>
        <row r="243">
          <cell r="AC243" t="str">
            <v>42191906  Blanket or solution warmer cabinets</v>
          </cell>
          <cell r="AD243" t="str">
            <v>ENTHERMICS MEDICAL</v>
          </cell>
          <cell r="AE243">
            <v>500021</v>
          </cell>
          <cell r="AF243" t="str">
            <v>500021</v>
          </cell>
        </row>
        <row r="243">
          <cell r="AH243" t="str">
            <v>CABINET</v>
          </cell>
          <cell r="AI243">
            <v>28</v>
          </cell>
          <cell r="AJ243" t="str">
            <v>CABINET, BLANKET WARMING EC750W/WINDOWDOOR</v>
          </cell>
        </row>
        <row r="243">
          <cell r="AL243" t="str">
            <v>42191906  Blanket or solution warmer cabinets</v>
          </cell>
        </row>
        <row r="244">
          <cell r="N244">
            <v>1536</v>
          </cell>
          <cell r="O244">
            <v>1074345</v>
          </cell>
          <cell r="P244" t="str">
            <v>Warming Cabinets</v>
          </cell>
          <cell r="Q244" t="str">
            <v>ENTHERMICS MEDICAL SYSTEMS</v>
          </cell>
          <cell r="R244" t="str">
            <v>Enthermics Medical Systems-ENMESY</v>
          </cell>
          <cell r="S244" t="str">
            <v>ENMESY</v>
          </cell>
          <cell r="T244" t="str">
            <v>Enthermics Medical Systems</v>
          </cell>
          <cell r="U244">
            <v>500022</v>
          </cell>
        </row>
        <row r="244">
          <cell r="X244" t="str">
            <v>Approved for SM</v>
          </cell>
          <cell r="Y244">
            <v>42191906</v>
          </cell>
          <cell r="Z244" t="str">
            <v>Blanket or solution warmer cabinets</v>
          </cell>
          <cell r="AA244" t="str">
            <v>UNSPSC v23.0701</v>
          </cell>
        </row>
        <row r="244">
          <cell r="AC244" t="str">
            <v>42191906  Blanket or solution warmer cabinets</v>
          </cell>
          <cell r="AD244" t="str">
            <v>ENTHERMICS MEDICAL</v>
          </cell>
          <cell r="AE244">
            <v>500022</v>
          </cell>
          <cell r="AF244" t="str">
            <v>500022</v>
          </cell>
        </row>
        <row r="244">
          <cell r="AH244" t="str">
            <v>CABINET</v>
          </cell>
          <cell r="AI244">
            <v>28</v>
          </cell>
          <cell r="AJ244" t="str">
            <v>CABINET, BLANKET WARMING EC250W/WINDOW DOOR</v>
          </cell>
        </row>
        <row r="244">
          <cell r="AL244" t="str">
            <v>42191906  Blanket or solution warmer cabinets</v>
          </cell>
        </row>
        <row r="245">
          <cell r="N245">
            <v>1567</v>
          </cell>
          <cell r="O245">
            <v>1066111</v>
          </cell>
          <cell r="P245" t="str">
            <v>Slings</v>
          </cell>
          <cell r="Q245" t="str">
            <v>EZ WAY INC</v>
          </cell>
          <cell r="R245" t="str">
            <v>Ez Way Inc-EZWAYI</v>
          </cell>
          <cell r="S245" t="str">
            <v>EZWAYI</v>
          </cell>
          <cell r="T245" t="str">
            <v>Ez Way Inc</v>
          </cell>
          <cell r="U245">
            <v>50352</v>
          </cell>
        </row>
        <row r="245">
          <cell r="X245" t="str">
            <v>Approved for SM</v>
          </cell>
          <cell r="Y245">
            <v>42192303</v>
          </cell>
          <cell r="Z245" t="str">
            <v>Patient suspended seats or slings</v>
          </cell>
          <cell r="AA245" t="str">
            <v>UNSPSC v23.0701</v>
          </cell>
        </row>
        <row r="245">
          <cell r="AC245" t="str">
            <v>42192303  Patient suspended seats or slings</v>
          </cell>
          <cell r="AD245" t="str">
            <v>EZ WAY</v>
          </cell>
          <cell r="AE245">
            <v>50352</v>
          </cell>
          <cell r="AF245" t="str">
            <v>50352</v>
          </cell>
        </row>
        <row r="245">
          <cell r="AH245" t="str">
            <v>HIP</v>
          </cell>
          <cell r="AI245">
            <v>1</v>
          </cell>
          <cell r="AJ245" t="str">
            <v>HIP SLING, TRANSFER SUPINE WIPEABLE D/S</v>
          </cell>
        </row>
        <row r="245">
          <cell r="AL245" t="str">
            <v>42192303  Patient suspended seats or slings</v>
          </cell>
        </row>
        <row r="246">
          <cell r="N246">
            <v>1579</v>
          </cell>
          <cell r="O246">
            <v>1074891</v>
          </cell>
          <cell r="P246" t="str">
            <v>Traction Components</v>
          </cell>
          <cell r="Q246" t="str">
            <v>FABRICATION ENTERPRISES INC</v>
          </cell>
          <cell r="R246" t="str">
            <v>Fabrication Enterprises-FABENT</v>
          </cell>
          <cell r="S246" t="str">
            <v>FABENT</v>
          </cell>
          <cell r="T246" t="str">
            <v>Fabrication Enterprises</v>
          </cell>
          <cell r="U246" t="str">
            <v>00-4504</v>
          </cell>
        </row>
        <row r="246">
          <cell r="X246" t="str">
            <v>Approved for SM</v>
          </cell>
          <cell r="Y246">
            <v>42251626</v>
          </cell>
          <cell r="Z246" t="str">
            <v>Rehabilitation exercise component accessories</v>
          </cell>
          <cell r="AA246" t="str">
            <v>UNSPSC v23.0701</v>
          </cell>
        </row>
        <row r="246">
          <cell r="AC246" t="str">
            <v>42251626  Rehabilitation exercise component accessories</v>
          </cell>
          <cell r="AD246" t="str">
            <v>FABRICATION ENTERPRISES</v>
          </cell>
          <cell r="AE246" t="str">
            <v>00-4504</v>
          </cell>
          <cell r="AF246" t="str">
            <v>004504</v>
          </cell>
        </row>
        <row r="246">
          <cell r="AH246" t="str">
            <v>PHYSICAL</v>
          </cell>
          <cell r="AI246">
            <v>1</v>
          </cell>
          <cell r="AJ246" t="str">
            <v>PHYSICAL THERAPY SYS, SFT TISSUE CERVICAL PIVOT</v>
          </cell>
        </row>
        <row r="246">
          <cell r="AL246" t="str">
            <v>42251626  Rehabilitation exercise component accessories</v>
          </cell>
        </row>
        <row r="247">
          <cell r="N247">
            <v>1643</v>
          </cell>
          <cell r="O247">
            <v>1073236</v>
          </cell>
          <cell r="P247" t="str">
            <v>Education and Reference Materials</v>
          </cell>
          <cell r="Q247" t="str">
            <v>FABRICATION ENTERPRISES INC</v>
          </cell>
          <cell r="R247" t="str">
            <v>Fabrication Enterprises-FABENT</v>
          </cell>
          <cell r="S247" t="str">
            <v>FABENT</v>
          </cell>
          <cell r="T247" t="str">
            <v>Fabrication Enterprises</v>
          </cell>
          <cell r="U247" t="str">
            <v>68-0126</v>
          </cell>
        </row>
        <row r="247">
          <cell r="X247" t="str">
            <v>Approved for SM</v>
          </cell>
          <cell r="Y247">
            <v>52121606</v>
          </cell>
          <cell r="Z247" t="str">
            <v>Place mats</v>
          </cell>
          <cell r="AA247" t="str">
            <v>UNSPSC v23.0701</v>
          </cell>
        </row>
        <row r="247">
          <cell r="AC247" t="str">
            <v>52121606  Place mats</v>
          </cell>
          <cell r="AD247" t="str">
            <v>FABRICATION ENTERPRISES</v>
          </cell>
          <cell r="AE247" t="str">
            <v>68-0126</v>
          </cell>
          <cell r="AF247" t="str">
            <v>680126</v>
          </cell>
        </row>
        <row r="247">
          <cell r="AH247" t="str">
            <v>PAD</v>
          </cell>
          <cell r="AI247">
            <v>39</v>
          </cell>
          <cell r="AJ247" t="str">
            <v>PAD, FOOD GROUPS MYPLATE TEAR (50SHEET/PD)</v>
          </cell>
        </row>
        <row r="247">
          <cell r="AL247" t="str">
            <v>52121606  Place mats</v>
          </cell>
        </row>
        <row r="248">
          <cell r="N248">
            <v>1659</v>
          </cell>
          <cell r="O248">
            <v>1073226</v>
          </cell>
          <cell r="P248" t="str">
            <v>Scissors and Shears</v>
          </cell>
          <cell r="Q248" t="str">
            <v>FABRICATION ENTERPRISES INC</v>
          </cell>
          <cell r="R248" t="str">
            <v>Fabrication Enterprises-FABENT</v>
          </cell>
          <cell r="S248" t="str">
            <v>FABENT</v>
          </cell>
          <cell r="T248" t="str">
            <v>Fabrication Enterprises</v>
          </cell>
          <cell r="U248" t="str">
            <v>77-0002</v>
          </cell>
        </row>
        <row r="248">
          <cell r="X248" t="str">
            <v>Approved for SM</v>
          </cell>
          <cell r="Y248">
            <v>42291615</v>
          </cell>
          <cell r="Z248" t="str">
            <v>Surgical shears</v>
          </cell>
          <cell r="AA248" t="str">
            <v>UNSPSC v23.0701</v>
          </cell>
        </row>
        <row r="248">
          <cell r="AC248" t="str">
            <v>42291615  Surgical shears</v>
          </cell>
          <cell r="AD248" t="str">
            <v>FABRICATION ENTERPRISES</v>
          </cell>
          <cell r="AE248" t="str">
            <v>77-0002</v>
          </cell>
          <cell r="AF248" t="str">
            <v>770002</v>
          </cell>
        </row>
        <row r="248">
          <cell r="AH248" t="str">
            <v>SHEARS</v>
          </cell>
          <cell r="AI248">
            <v>1</v>
          </cell>
          <cell r="AJ248" t="str">
            <v>SHEARS, MEDICUT BLK 7 1/4"</v>
          </cell>
        </row>
        <row r="248">
          <cell r="AL248" t="str">
            <v>42291615  Surgical shears</v>
          </cell>
        </row>
        <row r="249">
          <cell r="N249">
            <v>1660</v>
          </cell>
          <cell r="O249">
            <v>1073227</v>
          </cell>
          <cell r="P249" t="str">
            <v>Otoscopes</v>
          </cell>
          <cell r="Q249" t="str">
            <v>FABRICATION ENTERPRISES INC</v>
          </cell>
          <cell r="R249" t="str">
            <v>Fabrication Enterprises-FABENT</v>
          </cell>
          <cell r="S249" t="str">
            <v>FABENT</v>
          </cell>
          <cell r="T249" t="str">
            <v>Fabrication Enterprises</v>
          </cell>
          <cell r="U249" t="str">
            <v>77-0014</v>
          </cell>
        </row>
        <row r="249">
          <cell r="X249" t="str">
            <v>Approved for SM</v>
          </cell>
          <cell r="Y249">
            <v>42182005</v>
          </cell>
          <cell r="Z249" t="str">
            <v>Ophthalmoscopes or otoscopes or scope sets</v>
          </cell>
          <cell r="AA249" t="str">
            <v>UNSPSC v23.0701</v>
          </cell>
        </row>
        <row r="249">
          <cell r="AC249" t="str">
            <v>42182005  Ophthalmoscopes or otoscopes or scope sets</v>
          </cell>
          <cell r="AD249" t="str">
            <v>FABRICATION ENTERPRISES</v>
          </cell>
          <cell r="AE249" t="str">
            <v>77-0014</v>
          </cell>
          <cell r="AF249" t="str">
            <v>770014</v>
          </cell>
        </row>
        <row r="249">
          <cell r="AH249" t="str">
            <v>OTOSCOPE</v>
          </cell>
          <cell r="AI249">
            <v>2</v>
          </cell>
          <cell r="AJ249" t="str">
            <v>OTOSCOPE, DIAGNOSTIX PORTABLE SET 3.5V OTOL/OPHL D/S</v>
          </cell>
        </row>
        <row r="249">
          <cell r="AL249" t="str">
            <v>42182005  Ophthalmoscopes or otoscopes or scope sets</v>
          </cell>
        </row>
        <row r="250">
          <cell r="N250">
            <v>1661</v>
          </cell>
          <cell r="O250">
            <v>1064765</v>
          </cell>
          <cell r="P250" t="str">
            <v>Bed Side Rails</v>
          </cell>
          <cell r="Q250" t="str">
            <v>FABRICATION ENTERPRISES INC</v>
          </cell>
          <cell r="R250" t="str">
            <v>Fabrication Enterprises-FABENT</v>
          </cell>
          <cell r="S250" t="str">
            <v>FABENT</v>
          </cell>
          <cell r="T250" t="str">
            <v>Fabrication Enterprises</v>
          </cell>
          <cell r="U250" t="str">
            <v>86-0100</v>
          </cell>
        </row>
        <row r="250">
          <cell r="X250" t="str">
            <v>Approved for SM</v>
          </cell>
          <cell r="Y250">
            <v>42191804</v>
          </cell>
          <cell r="Z250" t="str">
            <v>Medical or surgical bedside rails</v>
          </cell>
          <cell r="AA250" t="str">
            <v>UNSPSC v23.0701</v>
          </cell>
        </row>
        <row r="250">
          <cell r="AC250" t="str">
            <v>42191804  Medical or surgical bedside rails</v>
          </cell>
          <cell r="AD250" t="str">
            <v>FABRICATION ENTERPRISES</v>
          </cell>
          <cell r="AE250" t="str">
            <v>86-0100</v>
          </cell>
          <cell r="AF250" t="str">
            <v>860100</v>
          </cell>
        </row>
        <row r="250">
          <cell r="AH250" t="str">
            <v>RAIL</v>
          </cell>
          <cell r="AI250">
            <v>8</v>
          </cell>
          <cell r="AJ250" t="str">
            <v>RAIL, BED ASSIST SINGLE HANDLE</v>
          </cell>
        </row>
        <row r="250">
          <cell r="AL250" t="str">
            <v>42191804  Medical or surgical bedside rails</v>
          </cell>
        </row>
        <row r="251">
          <cell r="N251">
            <v>1585</v>
          </cell>
          <cell r="O251">
            <v>1068709</v>
          </cell>
          <cell r="P251" t="str">
            <v>Therapeutic Paraffin</v>
          </cell>
          <cell r="Q251" t="str">
            <v>FABRICATION ENTERPRISES INC</v>
          </cell>
          <cell r="R251" t="str">
            <v>Fabrication Enterprises-FABENT</v>
          </cell>
          <cell r="S251" t="str">
            <v>FABENT</v>
          </cell>
          <cell r="T251" t="str">
            <v>Fabrication Enterprises</v>
          </cell>
          <cell r="U251" t="str">
            <v>11-1722-6</v>
          </cell>
        </row>
        <row r="251">
          <cell r="X251" t="str">
            <v>Approved for SM</v>
          </cell>
          <cell r="Y251">
            <v>42142128</v>
          </cell>
          <cell r="Z251" t="str">
            <v>Therapeutic paraffin bath accessories</v>
          </cell>
          <cell r="AA251" t="str">
            <v>UNSPSC v23.0701</v>
          </cell>
        </row>
        <row r="251">
          <cell r="AC251" t="str">
            <v>42142128  Therapeutic paraffin bath accessories</v>
          </cell>
          <cell r="AD251" t="str">
            <v>FABRICATION ENTERPRISES</v>
          </cell>
          <cell r="AE251" t="str">
            <v>11-1722-6</v>
          </cell>
          <cell r="AF251" t="str">
            <v>1117226</v>
          </cell>
        </row>
        <row r="251">
          <cell r="AH251" t="str">
            <v>WAX</v>
          </cell>
          <cell r="AI251">
            <v>1</v>
          </cell>
          <cell r="AJ251" t="str">
            <v>WAX, PARAFFIN REFILL BLK WINTERGREEN 1LB (6/BX)</v>
          </cell>
        </row>
        <row r="251">
          <cell r="AL251" t="str">
            <v>42142128  Therapeutic paraffin bath accessories</v>
          </cell>
        </row>
        <row r="252">
          <cell r="N252">
            <v>1588</v>
          </cell>
          <cell r="O252">
            <v>1068437</v>
          </cell>
          <cell r="P252" t="str">
            <v>Assessment Tools</v>
          </cell>
          <cell r="Q252" t="str">
            <v>FABRICATION ENTERPRISES INC</v>
          </cell>
          <cell r="R252" t="str">
            <v>Fabrication Enterprises-FABENT</v>
          </cell>
          <cell r="S252" t="str">
            <v>FABENT</v>
          </cell>
          <cell r="T252" t="str">
            <v>Fabrication Enterprises</v>
          </cell>
          <cell r="U252" t="str">
            <v>12-1014-25</v>
          </cell>
        </row>
        <row r="252">
          <cell r="X252" t="str">
            <v>Approved for SM</v>
          </cell>
          <cell r="Y252">
            <v>42182701</v>
          </cell>
          <cell r="Z252" t="str">
            <v>Goniometers or arthrometers</v>
          </cell>
          <cell r="AA252" t="str">
            <v>UNSPSC v23.0701</v>
          </cell>
        </row>
        <row r="252">
          <cell r="AC252" t="str">
            <v>42182701  Goniometers or arthrometers</v>
          </cell>
          <cell r="AD252" t="str">
            <v>FABRICATION ENTERPRISES</v>
          </cell>
          <cell r="AE252" t="str">
            <v>12-1014-25</v>
          </cell>
          <cell r="AF252" t="str">
            <v>12101425</v>
          </cell>
        </row>
        <row r="252">
          <cell r="AH252" t="str">
            <v>GONIOMETER</v>
          </cell>
          <cell r="AI252">
            <v>2</v>
          </cell>
          <cell r="AJ252" t="str">
            <v>GONIOMETER, FINGER BASELINE 6"</v>
          </cell>
        </row>
        <row r="252">
          <cell r="AL252" t="str">
            <v>42182701  Goniometers or arthrometers</v>
          </cell>
        </row>
        <row r="253">
          <cell r="N253">
            <v>1608</v>
          </cell>
          <cell r="O253">
            <v>1064887</v>
          </cell>
          <cell r="P253" t="str">
            <v>Hook and Loop Strapping</v>
          </cell>
          <cell r="Q253" t="str">
            <v>FABRICATION ENTERPRISES INC</v>
          </cell>
          <cell r="R253" t="str">
            <v>Fabrication Enterprises-FABENT</v>
          </cell>
          <cell r="S253" t="str">
            <v>FABENT</v>
          </cell>
          <cell r="T253" t="str">
            <v>Fabrication Enterprises</v>
          </cell>
          <cell r="U253" t="str">
            <v>24-7021BLK</v>
          </cell>
        </row>
        <row r="253">
          <cell r="X253" t="str">
            <v>Approved for SM</v>
          </cell>
          <cell r="Y253">
            <v>42241520</v>
          </cell>
          <cell r="Z253" t="str">
            <v>Casting or splinting accessories</v>
          </cell>
          <cell r="AA253" t="str">
            <v>UNSPSC v23.0701</v>
          </cell>
        </row>
        <row r="253">
          <cell r="AC253" t="str">
            <v>42241520  Casting or splinting accessories</v>
          </cell>
          <cell r="AD253" t="str">
            <v>FABRICATION ENTERPRISES</v>
          </cell>
          <cell r="AE253" t="str">
            <v>24-7021BLK</v>
          </cell>
          <cell r="AF253" t="str">
            <v>247021BLK</v>
          </cell>
        </row>
        <row r="253">
          <cell r="AH253" t="str">
            <v>FASTENER</v>
          </cell>
          <cell r="AI253">
            <v>1</v>
          </cell>
          <cell r="AJ253" t="str">
            <v>FASTENER, LOOP W/STD WOVEN-BACK 2"X25YDS D/S</v>
          </cell>
        </row>
        <row r="253">
          <cell r="AL253" t="str">
            <v>42241520  Casting or splinting accessories</v>
          </cell>
        </row>
        <row r="254">
          <cell r="N254">
            <v>1632</v>
          </cell>
          <cell r="O254">
            <v>1074888</v>
          </cell>
          <cell r="P254" t="str">
            <v>Self-Help Aids</v>
          </cell>
          <cell r="Q254" t="str">
            <v>FABRICATION ENTERPRISES INC</v>
          </cell>
          <cell r="R254" t="str">
            <v>Fabrication Enterprises-FABENT</v>
          </cell>
          <cell r="S254" t="str">
            <v>FABENT</v>
          </cell>
          <cell r="T254" t="str">
            <v>Fabrication Enterprises</v>
          </cell>
          <cell r="U254" t="str">
            <v>50-1501G</v>
          </cell>
        </row>
        <row r="254">
          <cell r="X254" t="str">
            <v>Approved for SM</v>
          </cell>
          <cell r="Y254">
            <v>42211901</v>
          </cell>
          <cell r="Z254" t="str">
            <v>Anti slip materials for the physically challenged</v>
          </cell>
          <cell r="AA254" t="str">
            <v>UNSPSC v23.0701</v>
          </cell>
        </row>
        <row r="254">
          <cell r="AC254" t="str">
            <v>42211901  Anti slip materials for the physically challenged</v>
          </cell>
          <cell r="AD254" t="str">
            <v>FABRICATION ENTERPRISES</v>
          </cell>
          <cell r="AE254" t="str">
            <v>50-1501G</v>
          </cell>
          <cell r="AF254" t="str">
            <v>501501G</v>
          </cell>
        </row>
        <row r="254">
          <cell r="AH254" t="str">
            <v>ROLL</v>
          </cell>
          <cell r="AI254">
            <v>2</v>
          </cell>
          <cell r="AJ254" t="str">
            <v>ROLL, EXER DYCEM NONSLIP MATERIAL FOREST GRN 8"X6 1/2'</v>
          </cell>
        </row>
        <row r="254">
          <cell r="AL254" t="str">
            <v>42211901  Anti slip materials for the physically challenged</v>
          </cell>
        </row>
        <row r="255">
          <cell r="N255">
            <v>1633</v>
          </cell>
          <cell r="O255">
            <v>1074886</v>
          </cell>
          <cell r="P255" t="str">
            <v>Self-Help Aids</v>
          </cell>
          <cell r="Q255" t="str">
            <v>FABRICATION ENTERPRISES INC</v>
          </cell>
          <cell r="R255" t="str">
            <v>Fabrication Enterprises-FABENT</v>
          </cell>
          <cell r="S255" t="str">
            <v>FABENT</v>
          </cell>
          <cell r="T255" t="str">
            <v>Fabrication Enterprises</v>
          </cell>
          <cell r="U255" t="str">
            <v>50-1502G</v>
          </cell>
        </row>
        <row r="255">
          <cell r="X255" t="str">
            <v>Approved for SM</v>
          </cell>
          <cell r="Y255">
            <v>42211901</v>
          </cell>
          <cell r="Z255" t="str">
            <v>Anti slip materials for the physically challenged</v>
          </cell>
          <cell r="AA255" t="str">
            <v>UNSPSC v23.0701</v>
          </cell>
        </row>
        <row r="255">
          <cell r="AC255" t="str">
            <v>42211901  Anti slip materials for the physically challenged</v>
          </cell>
          <cell r="AD255" t="str">
            <v>FABRICATION ENTERPRISES</v>
          </cell>
          <cell r="AE255" t="str">
            <v>50-1502G</v>
          </cell>
          <cell r="AF255" t="str">
            <v>501502G</v>
          </cell>
        </row>
        <row r="255">
          <cell r="AH255" t="str">
            <v>ROLL</v>
          </cell>
          <cell r="AI255">
            <v>2</v>
          </cell>
          <cell r="AJ255" t="str">
            <v>ROLL, EXER DYCEM NON-SLIP MATERIAL FOREST GRN 8"X3 1/4'</v>
          </cell>
        </row>
        <row r="255">
          <cell r="AL255" t="str">
            <v>42211901  Anti slip materials for the physically challenged</v>
          </cell>
        </row>
        <row r="256">
          <cell r="N256">
            <v>1665</v>
          </cell>
          <cell r="O256">
            <v>1075086</v>
          </cell>
          <cell r="P256" t="str">
            <v>Exercise Weights</v>
          </cell>
          <cell r="Q256" t="str">
            <v>FABRICATION ENTERPRISES INC</v>
          </cell>
          <cell r="R256" t="str">
            <v>Fabrication Enterprises-FABENT</v>
          </cell>
          <cell r="S256" t="str">
            <v>FABENT</v>
          </cell>
          <cell r="T256" t="str">
            <v>Fabrication Enterprises</v>
          </cell>
          <cell r="U256" t="str">
            <v>Z1-1707</v>
          </cell>
        </row>
        <row r="256">
          <cell r="X256" t="str">
            <v>Approved for SM</v>
          </cell>
          <cell r="Y256">
            <v>49201600</v>
          </cell>
          <cell r="Z256" t="str">
            <v>Weight and resistance training equipment</v>
          </cell>
          <cell r="AA256" t="str">
            <v>UNSPSC v23.0701</v>
          </cell>
        </row>
        <row r="256">
          <cell r="AC256" t="str">
            <v>49201600  Weight and resistance training equipment</v>
          </cell>
          <cell r="AD256" t="str">
            <v>FABRICATION ENTERPRISES</v>
          </cell>
          <cell r="AE256" t="str">
            <v>Z1-1707</v>
          </cell>
          <cell r="AF256" t="str">
            <v>Z11707</v>
          </cell>
        </row>
        <row r="256">
          <cell r="AH256" t="str">
            <v>BOX</v>
          </cell>
          <cell r="AI256">
            <v>12</v>
          </cell>
          <cell r="AJ256" t="str">
            <v>BOX, STOCKROOM CRATE WEIGHT</v>
          </cell>
        </row>
        <row r="256">
          <cell r="AL256" t="str">
            <v>49201600  Weight and resistance training equipment</v>
          </cell>
        </row>
        <row r="257">
          <cell r="N257">
            <v>1666</v>
          </cell>
          <cell r="O257">
            <v>1064884</v>
          </cell>
          <cell r="P257" t="str">
            <v>Total Body</v>
          </cell>
          <cell r="Q257" t="str">
            <v>FABRICATION ENTERPRISES INC</v>
          </cell>
          <cell r="R257" t="str">
            <v>Fabrication Enterprises-FABENT</v>
          </cell>
          <cell r="S257" t="str">
            <v>FABENT</v>
          </cell>
          <cell r="T257" t="str">
            <v>Fabrication Enterprises</v>
          </cell>
          <cell r="U257" t="str">
            <v>Z1-1922</v>
          </cell>
        </row>
        <row r="257">
          <cell r="X257" t="str">
            <v>Approved for SM</v>
          </cell>
          <cell r="Y257">
            <v>42251705</v>
          </cell>
          <cell r="Z257" t="str">
            <v>Parallel bars for rehabilitation or therapy</v>
          </cell>
          <cell r="AA257" t="str">
            <v>UNSPSC v23.0701</v>
          </cell>
        </row>
        <row r="257">
          <cell r="AC257" t="str">
            <v>42251705  Parallel bars for rehabilitation or therapy</v>
          </cell>
          <cell r="AD257" t="str">
            <v>FABRICATION ENTERPRISES</v>
          </cell>
          <cell r="AE257" t="str">
            <v>Z1-1922</v>
          </cell>
          <cell r="AF257" t="str">
            <v>Z11922</v>
          </cell>
        </row>
        <row r="257">
          <cell r="AH257" t="str">
            <v>BARS</v>
          </cell>
          <cell r="AI257">
            <v>1</v>
          </cell>
          <cell r="AJ257" t="str">
            <v>BARS, PARALLEL FLOOR MOUNTED BARI 10'</v>
          </cell>
        </row>
        <row r="257">
          <cell r="AL257" t="str">
            <v>42251705  Parallel bars for rehabilitation or therapy</v>
          </cell>
        </row>
        <row r="258">
          <cell r="N258">
            <v>1679</v>
          </cell>
          <cell r="O258">
            <v>1071467</v>
          </cell>
          <cell r="P258" t="str">
            <v>Orthopedic Accessories</v>
          </cell>
          <cell r="Q258" t="str">
            <v>FARETEC INC</v>
          </cell>
          <cell r="R258" t="str">
            <v>Faretec Inc-FARETC</v>
          </cell>
          <cell r="S258" t="str">
            <v>FARETC</v>
          </cell>
          <cell r="T258" t="str">
            <v>Faretec Inc</v>
          </cell>
          <cell r="U258">
            <v>1124300</v>
          </cell>
        </row>
        <row r="258">
          <cell r="X258" t="str">
            <v>Approved for SM</v>
          </cell>
          <cell r="Y258">
            <v>42241520</v>
          </cell>
          <cell r="Z258" t="str">
            <v>Casting or splinting accessories</v>
          </cell>
          <cell r="AA258" t="str">
            <v>UNSPSC v23.0701</v>
          </cell>
        </row>
        <row r="258">
          <cell r="AC258" t="str">
            <v>42241520  Casting or splinting accessories</v>
          </cell>
          <cell r="AD258" t="str">
            <v>FARETEC</v>
          </cell>
          <cell r="AE258">
            <v>1124300</v>
          </cell>
          <cell r="AF258" t="str">
            <v>1124300</v>
          </cell>
        </row>
        <row r="258">
          <cell r="AH258" t="str">
            <v>RATCHET</v>
          </cell>
          <cell r="AI258">
            <v>1</v>
          </cell>
          <cell r="AJ258" t="str">
            <v>RATCHET F/QD-4 #1124300 DS</v>
          </cell>
        </row>
        <row r="258">
          <cell r="AL258" t="str">
            <v>42241520  Casting or splinting accessories</v>
          </cell>
        </row>
        <row r="259">
          <cell r="N259">
            <v>1777</v>
          </cell>
          <cell r="O259">
            <v>1074928</v>
          </cell>
          <cell r="P259" t="str">
            <v>Pharmacy Needles</v>
          </cell>
          <cell r="Q259" t="str">
            <v>FISHER SCIENTIFIC</v>
          </cell>
          <cell r="R259" t="str">
            <v>Fisher Scientific-FSHSCI</v>
          </cell>
          <cell r="S259" t="str">
            <v>FSHSCI</v>
          </cell>
          <cell r="T259" t="str">
            <v>Fisher Scientific</v>
          </cell>
          <cell r="U259" t="str">
            <v>14-815-602</v>
          </cell>
        </row>
        <row r="259">
          <cell r="X259" t="str">
            <v>Approved for SM</v>
          </cell>
          <cell r="Y259">
            <v>42142609</v>
          </cell>
          <cell r="Z259" t="str">
            <v>Medical syringes with needle</v>
          </cell>
          <cell r="AA259" t="str">
            <v>UNSPSC v23.0701</v>
          </cell>
        </row>
        <row r="259">
          <cell r="AC259" t="str">
            <v>42142609  Medical syringes with needle</v>
          </cell>
          <cell r="AD259" t="str">
            <v>FISHER</v>
          </cell>
          <cell r="AE259" t="str">
            <v>14-815-602</v>
          </cell>
          <cell r="AF259" t="str">
            <v>14815602</v>
          </cell>
        </row>
        <row r="259">
          <cell r="AH259" t="str">
            <v>NEEDLE</v>
          </cell>
          <cell r="AI259">
            <v>39</v>
          </cell>
          <cell r="AJ259" t="str">
            <v>NEEDLE, BLUNT POINT LL S/STL 14GX2" (6/PK)</v>
          </cell>
        </row>
        <row r="259">
          <cell r="AL259" t="str">
            <v>42142609  Medical syringes with needle</v>
          </cell>
        </row>
        <row r="260">
          <cell r="N260">
            <v>1810</v>
          </cell>
          <cell r="O260">
            <v>1071710</v>
          </cell>
          <cell r="P260" t="str">
            <v>Equipment and Physician Bags</v>
          </cell>
          <cell r="Q260" t="str">
            <v>FLEMING INDUSTRIES</v>
          </cell>
          <cell r="R260" t="str">
            <v>Fleming Industries-FLEMNG</v>
          </cell>
          <cell r="S260" t="str">
            <v>FLEMNG</v>
          </cell>
          <cell r="T260" t="str">
            <v>Fleming Industries</v>
          </cell>
          <cell r="U260">
            <v>34530</v>
          </cell>
        </row>
        <row r="260">
          <cell r="X260" t="str">
            <v>Approved for SM</v>
          </cell>
          <cell r="Y260">
            <v>42201861</v>
          </cell>
          <cell r="Z260" t="str">
            <v>Medical x ray equipment case or cover accessories</v>
          </cell>
          <cell r="AA260" t="str">
            <v>UNSPSC v23.0701</v>
          </cell>
        </row>
        <row r="260">
          <cell r="AC260" t="str">
            <v>42201861  Medical x ray equipment case or cover accessories</v>
          </cell>
          <cell r="AD260" t="str">
            <v>FLEMING</v>
          </cell>
          <cell r="AE260">
            <v>34530</v>
          </cell>
          <cell r="AF260" t="str">
            <v>34530</v>
          </cell>
        </row>
        <row r="260">
          <cell r="AH260" t="str">
            <v>IDX</v>
          </cell>
          <cell r="AI260">
            <v>1</v>
          </cell>
          <cell r="AJ260" t="str">
            <v>IDX IV MODULE</v>
          </cell>
        </row>
        <row r="260">
          <cell r="AL260" t="str">
            <v>42201861  Medical x ray equipment case or cover accessories</v>
          </cell>
        </row>
        <row r="261">
          <cell r="N261">
            <v>1811</v>
          </cell>
          <cell r="O261">
            <v>1069334</v>
          </cell>
          <cell r="P261" t="str">
            <v>Diagnostic Accessories</v>
          </cell>
          <cell r="Q261" t="str">
            <v>FLEMING INDUSTRIES</v>
          </cell>
          <cell r="R261" t="str">
            <v>Fleming Industries-FLEMNG</v>
          </cell>
          <cell r="S261" t="str">
            <v>FLEMNG</v>
          </cell>
          <cell r="T261" t="str">
            <v>Fleming Industries</v>
          </cell>
          <cell r="U261">
            <v>35132</v>
          </cell>
        </row>
        <row r="261">
          <cell r="X261" t="str">
            <v>Approved for SM</v>
          </cell>
          <cell r="Y261">
            <v>42172105</v>
          </cell>
          <cell r="Z261" t="str">
            <v>Mobile medical service automated external defibrillator AED accessories</v>
          </cell>
          <cell r="AA261" t="str">
            <v>UNSPSC v23.0701</v>
          </cell>
        </row>
        <row r="261">
          <cell r="AC261" t="str">
            <v>42172105  Mobile medical service automated external defibrillator AED accessories</v>
          </cell>
          <cell r="AD261" t="str">
            <v>FLEMING</v>
          </cell>
          <cell r="AE261">
            <v>35132</v>
          </cell>
          <cell r="AF261" t="str">
            <v>35132</v>
          </cell>
        </row>
        <row r="261">
          <cell r="AH261" t="str">
            <v>BACKPACK</v>
          </cell>
          <cell r="AI261">
            <v>3</v>
          </cell>
          <cell r="AJ261" t="str">
            <v>BACKPACK, BLS TRAUMA AED CASE</v>
          </cell>
        </row>
        <row r="261">
          <cell r="AL261" t="str">
            <v>42172105  Mobile medical service automated external defibrillator AED accessories</v>
          </cell>
        </row>
        <row r="262">
          <cell r="N262">
            <v>1812</v>
          </cell>
          <cell r="O262">
            <v>1069345</v>
          </cell>
          <cell r="P262" t="str">
            <v>Equipment and Physician Bags</v>
          </cell>
          <cell r="Q262" t="str">
            <v>FLEMING INDUSTRIES</v>
          </cell>
          <cell r="R262" t="str">
            <v>Fleming Industries-FLEMNG</v>
          </cell>
          <cell r="S262" t="str">
            <v>FLEMNG</v>
          </cell>
          <cell r="T262" t="str">
            <v>Fleming Industries</v>
          </cell>
          <cell r="U262">
            <v>36026</v>
          </cell>
        </row>
        <row r="262">
          <cell r="X262" t="str">
            <v>Approved for SM</v>
          </cell>
          <cell r="Y262">
            <v>42172009</v>
          </cell>
          <cell r="Z262" t="str">
            <v>Mobile medical services search and rescue kits</v>
          </cell>
          <cell r="AA262" t="str">
            <v>UNSPSC v23.0701</v>
          </cell>
        </row>
        <row r="262">
          <cell r="AC262" t="str">
            <v>42172009  Mobile medical services search and rescue kits</v>
          </cell>
          <cell r="AD262" t="str">
            <v>FLEMING</v>
          </cell>
          <cell r="AE262">
            <v>36026</v>
          </cell>
          <cell r="AF262" t="str">
            <v>36026</v>
          </cell>
        </row>
        <row r="262">
          <cell r="AH262" t="str">
            <v>BIOPPE</v>
          </cell>
          <cell r="AI262">
            <v>1</v>
          </cell>
          <cell r="AJ262" t="str">
            <v>BIOPPE PERSONAL PROTECTION BAG</v>
          </cell>
        </row>
        <row r="262">
          <cell r="AL262" t="str">
            <v>42172009  Mobile medical services search and rescue kits</v>
          </cell>
        </row>
        <row r="263">
          <cell r="N263">
            <v>1813</v>
          </cell>
          <cell r="O263">
            <v>1072301</v>
          </cell>
          <cell r="P263" t="str">
            <v>Equipment and Physician Bags</v>
          </cell>
          <cell r="Q263" t="str">
            <v>FLEMING INDUSTRIES</v>
          </cell>
          <cell r="R263" t="str">
            <v>Fleming Industries-FLEMNG</v>
          </cell>
          <cell r="S263" t="str">
            <v>FLEMNG</v>
          </cell>
          <cell r="T263" t="str">
            <v>Fleming Industries</v>
          </cell>
          <cell r="U263">
            <v>39426</v>
          </cell>
        </row>
        <row r="263">
          <cell r="X263" t="str">
            <v>Approved for SM</v>
          </cell>
          <cell r="Y263">
            <v>42143611</v>
          </cell>
          <cell r="Z263" t="str">
            <v>Patient stabilization or fall prevention device accessories</v>
          </cell>
          <cell r="AA263" t="str">
            <v>UNSPSC v23.0701</v>
          </cell>
        </row>
        <row r="263">
          <cell r="AC263" t="str">
            <v>42143611  Patient stabilization or fall prevention device accessories</v>
          </cell>
          <cell r="AD263" t="str">
            <v>FLEMING</v>
          </cell>
          <cell r="AE263">
            <v>39426</v>
          </cell>
          <cell r="AF263" t="str">
            <v>39426</v>
          </cell>
        </row>
        <row r="263">
          <cell r="AH263" t="str">
            <v>BAG</v>
          </cell>
          <cell r="AI263">
            <v>46</v>
          </cell>
          <cell r="AJ263" t="str">
            <v>BAG, MEDICAL BLS MEDMODULE 10"</v>
          </cell>
        </row>
        <row r="263">
          <cell r="AL263" t="str">
            <v>42143611  Patient stabilization or fall prevention device accessories</v>
          </cell>
        </row>
        <row r="264">
          <cell r="N264">
            <v>1814</v>
          </cell>
          <cell r="O264">
            <v>1069347</v>
          </cell>
          <cell r="P264" t="str">
            <v>Equipment and Physician Bags</v>
          </cell>
          <cell r="Q264" t="str">
            <v>FLEMING INDUSTRIES</v>
          </cell>
          <cell r="R264" t="str">
            <v>Fleming Industries-FLEMNG</v>
          </cell>
          <cell r="S264" t="str">
            <v>FLEMNG</v>
          </cell>
          <cell r="T264" t="str">
            <v>Fleming Industries</v>
          </cell>
          <cell r="U264">
            <v>39520</v>
          </cell>
        </row>
        <row r="264">
          <cell r="X264" t="str">
            <v>Approved for SM</v>
          </cell>
          <cell r="Y264">
            <v>42192425</v>
          </cell>
          <cell r="Z264" t="str">
            <v>Long distance response LDR trauma cases or bags</v>
          </cell>
          <cell r="AA264" t="str">
            <v>UNSPSC v23.0701</v>
          </cell>
        </row>
        <row r="264">
          <cell r="AC264" t="str">
            <v>42192425  Long distance response LDR trauma cases or bags</v>
          </cell>
          <cell r="AD264" t="str">
            <v>FLEMING</v>
          </cell>
          <cell r="AE264">
            <v>39520</v>
          </cell>
          <cell r="AF264" t="str">
            <v>39520</v>
          </cell>
        </row>
        <row r="264">
          <cell r="AH264" t="str">
            <v>BAG</v>
          </cell>
          <cell r="AI264">
            <v>46</v>
          </cell>
          <cell r="AJ264" t="str">
            <v>BAG, OPIOID OVERDOSE KIT SINGLE DOSE BAG-ONLY BLK</v>
          </cell>
        </row>
        <row r="264">
          <cell r="AL264" t="str">
            <v>42192425  Long distance response LDR trauma cases or bags</v>
          </cell>
        </row>
        <row r="265">
          <cell r="N265">
            <v>1815</v>
          </cell>
          <cell r="O265">
            <v>1069327</v>
          </cell>
          <cell r="P265" t="str">
            <v>Ambulatory Accessories</v>
          </cell>
          <cell r="Q265" t="str">
            <v>FLEMING INDUSTRIES</v>
          </cell>
          <cell r="R265" t="str">
            <v>Fleming Industries-FLEMNG</v>
          </cell>
          <cell r="S265" t="str">
            <v>FLEMNG</v>
          </cell>
          <cell r="T265" t="str">
            <v>Fleming Industries</v>
          </cell>
          <cell r="U265" t="str">
            <v>30520F-RD</v>
          </cell>
        </row>
        <row r="265">
          <cell r="X265" t="str">
            <v>Approved for SM</v>
          </cell>
          <cell r="Y265">
            <v>42192307</v>
          </cell>
          <cell r="Z265" t="str">
            <v>Patient lift accessories</v>
          </cell>
          <cell r="AA265" t="str">
            <v>UNSPSC v23.0701</v>
          </cell>
        </row>
        <row r="265">
          <cell r="AC265" t="str">
            <v>42192307  Patient lift accessories</v>
          </cell>
          <cell r="AD265" t="str">
            <v>FLEMING</v>
          </cell>
          <cell r="AE265" t="str">
            <v>30520F-RD</v>
          </cell>
          <cell r="AF265" t="str">
            <v>30520FRD</v>
          </cell>
        </row>
        <row r="265">
          <cell r="AH265" t="str">
            <v>STRAP</v>
          </cell>
          <cell r="AI265">
            <v>7</v>
          </cell>
          <cell r="AJ265" t="str">
            <v>STRAP, PT SAFETY MTL BKL/RED 2PC 5'</v>
          </cell>
        </row>
        <row r="265">
          <cell r="AL265" t="str">
            <v>42192307  Patient lift accessories</v>
          </cell>
        </row>
        <row r="266">
          <cell r="N266">
            <v>1816</v>
          </cell>
          <cell r="O266">
            <v>1072271</v>
          </cell>
          <cell r="P266" t="str">
            <v>Equipment and Physician Bags</v>
          </cell>
          <cell r="Q266" t="str">
            <v>FLEMING INDUSTRIES</v>
          </cell>
          <cell r="R266" t="str">
            <v>Fleming Industries-FLEMNG</v>
          </cell>
          <cell r="S266" t="str">
            <v>FLEMNG</v>
          </cell>
          <cell r="T266" t="str">
            <v>Fleming Industries</v>
          </cell>
          <cell r="U266" t="str">
            <v>32325-RDUP</v>
          </cell>
        </row>
        <row r="266">
          <cell r="X266" t="str">
            <v>Approved for SM</v>
          </cell>
          <cell r="Y266">
            <v>42171900</v>
          </cell>
          <cell r="Z266" t="str">
            <v>Medical equipment bags and cases and carriers and related products</v>
          </cell>
          <cell r="AA266" t="str">
            <v>UNSPSC v23.0701</v>
          </cell>
        </row>
        <row r="266">
          <cell r="AC266" t="str">
            <v>42171900  Medical equipment bags and cases and carriers and related products</v>
          </cell>
          <cell r="AD266" t="str">
            <v>FLEMING</v>
          </cell>
          <cell r="AE266" t="str">
            <v>32325-RDUP</v>
          </cell>
          <cell r="AF266" t="str">
            <v>32325RDUP</v>
          </cell>
        </row>
        <row r="266">
          <cell r="AH266" t="str">
            <v>ULTRA</v>
          </cell>
          <cell r="AI266">
            <v>5</v>
          </cell>
          <cell r="AJ266" t="str">
            <v>ULTRA SOFT BOX PL RED UP DS</v>
          </cell>
        </row>
        <row r="266">
          <cell r="AL266" t="str">
            <v>42171900  Medical equipment bags and cases and carriers and related products</v>
          </cell>
        </row>
        <row r="267">
          <cell r="N267">
            <v>1817</v>
          </cell>
          <cell r="O267">
            <v>1072272</v>
          </cell>
          <cell r="P267" t="str">
            <v>Equipment and Physician Bags</v>
          </cell>
          <cell r="Q267" t="str">
            <v>FLEMING INDUSTRIES</v>
          </cell>
          <cell r="R267" t="str">
            <v>Fleming Industries-FLEMNG</v>
          </cell>
          <cell r="S267" t="str">
            <v>FLEMNG</v>
          </cell>
          <cell r="T267" t="str">
            <v>Fleming Industries</v>
          </cell>
          <cell r="U267" t="str">
            <v>32350-UP-RB</v>
          </cell>
        </row>
        <row r="267">
          <cell r="X267" t="str">
            <v>Approved for SM</v>
          </cell>
          <cell r="Y267">
            <v>42171900</v>
          </cell>
          <cell r="Z267" t="str">
            <v>Medical equipment bags and cases and carriers and related products</v>
          </cell>
          <cell r="AA267" t="str">
            <v>UNSPSC v23.0701</v>
          </cell>
        </row>
        <row r="267">
          <cell r="AC267" t="str">
            <v>42171900  Medical equipment bags and cases and carriers and related products</v>
          </cell>
          <cell r="AD267" t="str">
            <v>FLEMING</v>
          </cell>
          <cell r="AE267" t="str">
            <v>32350-UP-RB</v>
          </cell>
          <cell r="AF267" t="str">
            <v>32350UPRB</v>
          </cell>
        </row>
        <row r="267">
          <cell r="AH267" t="str">
            <v>ULTRA</v>
          </cell>
          <cell r="AI267">
            <v>5</v>
          </cell>
          <cell r="AJ267" t="str">
            <v>ULTRA TRAUMA PK ROYAL UP DS</v>
          </cell>
        </row>
        <row r="267">
          <cell r="AL267" t="str">
            <v>42171900  Medical equipment bags and cases and carriers and related products</v>
          </cell>
        </row>
        <row r="268">
          <cell r="N268">
            <v>1818</v>
          </cell>
          <cell r="O268">
            <v>1072274</v>
          </cell>
          <cell r="P268" t="str">
            <v>Equipment and Physician Bags</v>
          </cell>
          <cell r="Q268" t="str">
            <v>FLEMING INDUSTRIES</v>
          </cell>
          <cell r="R268" t="str">
            <v>Fleming Industries-FLEMNG</v>
          </cell>
          <cell r="S268" t="str">
            <v>FLEMNG</v>
          </cell>
          <cell r="T268" t="str">
            <v>Fleming Industries</v>
          </cell>
          <cell r="U268" t="str">
            <v>32405-RDUP</v>
          </cell>
        </row>
        <row r="268">
          <cell r="X268" t="str">
            <v>Approved for SM</v>
          </cell>
          <cell r="Y268">
            <v>42192425</v>
          </cell>
          <cell r="Z268" t="str">
            <v>Long distance response LDR trauma cases or bags</v>
          </cell>
          <cell r="AA268" t="str">
            <v>UNSPSC v23.0701</v>
          </cell>
        </row>
        <row r="268">
          <cell r="AC268" t="str">
            <v>42192425  Long distance response LDR trauma cases or bags</v>
          </cell>
          <cell r="AD268" t="str">
            <v>FLEMING</v>
          </cell>
          <cell r="AE268" t="str">
            <v>32405-RDUP</v>
          </cell>
          <cell r="AF268" t="str">
            <v>32405RDUP</v>
          </cell>
        </row>
        <row r="268">
          <cell r="AH268" t="str">
            <v>BAG</v>
          </cell>
          <cell r="AI268">
            <v>46</v>
          </cell>
          <cell r="AJ268" t="str">
            <v>BAG, TRAUMA LUCAS 2 PACK W/O CONTENTS RED UNIV</v>
          </cell>
        </row>
        <row r="268">
          <cell r="AL268" t="str">
            <v>42192425  Long distance response LDR trauma cases or bags</v>
          </cell>
        </row>
        <row r="269">
          <cell r="N269">
            <v>1819</v>
          </cell>
          <cell r="O269">
            <v>1072275</v>
          </cell>
          <cell r="P269" t="str">
            <v>Equipment and Physician Bags</v>
          </cell>
          <cell r="Q269" t="str">
            <v>FLEMING INDUSTRIES</v>
          </cell>
          <cell r="R269" t="str">
            <v>Fleming Industries-FLEMNG</v>
          </cell>
          <cell r="S269" t="str">
            <v>FLEMNG</v>
          </cell>
          <cell r="T269" t="str">
            <v>Fleming Industries</v>
          </cell>
          <cell r="U269" t="str">
            <v>32405-RED</v>
          </cell>
        </row>
        <row r="269">
          <cell r="X269" t="str">
            <v>Approved for SM</v>
          </cell>
          <cell r="Y269">
            <v>42172009</v>
          </cell>
          <cell r="Z269" t="str">
            <v>Mobile medical services search and rescue kits</v>
          </cell>
          <cell r="AA269" t="str">
            <v>UNSPSC v23.0701</v>
          </cell>
        </row>
        <row r="269">
          <cell r="AC269" t="str">
            <v>42172009  Mobile medical services search and rescue kits</v>
          </cell>
          <cell r="AD269" t="str">
            <v>FLEMING</v>
          </cell>
          <cell r="AE269" t="str">
            <v>32405-RED</v>
          </cell>
          <cell r="AF269" t="str">
            <v>32405RED</v>
          </cell>
        </row>
        <row r="269">
          <cell r="AH269" t="str">
            <v>LUCAS</v>
          </cell>
          <cell r="AI269">
            <v>4</v>
          </cell>
          <cell r="AJ269" t="str">
            <v>LUCAS 2 PACK RED NYLON DS</v>
          </cell>
        </row>
        <row r="269">
          <cell r="AL269" t="str">
            <v>42172009  Mobile medical services search and rescue kits</v>
          </cell>
        </row>
        <row r="270">
          <cell r="N270">
            <v>1820</v>
          </cell>
          <cell r="O270">
            <v>1069331</v>
          </cell>
          <cell r="P270" t="str">
            <v>Equipment and Physician Bags</v>
          </cell>
          <cell r="Q270" t="str">
            <v>FLEMING INDUSTRIES</v>
          </cell>
          <cell r="R270" t="str">
            <v>Fleming Industries-FLEMNG</v>
          </cell>
          <cell r="S270" t="str">
            <v>FLEMNG</v>
          </cell>
          <cell r="T270" t="str">
            <v>Fleming Industries</v>
          </cell>
          <cell r="U270" t="str">
            <v>32499AT-RED</v>
          </cell>
        </row>
        <row r="270">
          <cell r="X270" t="str">
            <v>Approved for SM</v>
          </cell>
          <cell r="Y270">
            <v>42192425</v>
          </cell>
          <cell r="Z270" t="str">
            <v>Long distance response LDR trauma cases or bags</v>
          </cell>
          <cell r="AA270" t="str">
            <v>UNSPSC v23.0701</v>
          </cell>
        </row>
        <row r="270">
          <cell r="AC270" t="str">
            <v>42192425  Long distance response LDR trauma cases or bags</v>
          </cell>
          <cell r="AD270" t="str">
            <v>FLEMING</v>
          </cell>
          <cell r="AE270" t="str">
            <v>32499AT-RED</v>
          </cell>
          <cell r="AF270" t="str">
            <v>32499ATRED</v>
          </cell>
        </row>
        <row r="270">
          <cell r="AH270" t="str">
            <v>BAG</v>
          </cell>
          <cell r="AI270">
            <v>46</v>
          </cell>
          <cell r="AJ270" t="str">
            <v>BAG, EMS PACK CASE TRIPLE RED</v>
          </cell>
        </row>
        <row r="270">
          <cell r="AL270" t="str">
            <v>42192425  Long distance response LDR trauma cases or bags</v>
          </cell>
        </row>
        <row r="271">
          <cell r="N271">
            <v>1821</v>
          </cell>
          <cell r="O271">
            <v>1072279</v>
          </cell>
          <cell r="P271" t="str">
            <v>Resuscitators</v>
          </cell>
          <cell r="Q271" t="str">
            <v>FLEMING INDUSTRIES</v>
          </cell>
          <cell r="R271" t="str">
            <v>Fleming Industries-FLEMNG</v>
          </cell>
          <cell r="S271" t="str">
            <v>FLEMNG</v>
          </cell>
          <cell r="T271" t="str">
            <v>Fleming Industries</v>
          </cell>
          <cell r="U271" t="str">
            <v>34016DP-GN</v>
          </cell>
        </row>
        <row r="271">
          <cell r="X271" t="str">
            <v>New Item</v>
          </cell>
          <cell r="Y271">
            <v>42192414</v>
          </cell>
          <cell r="Z271" t="str">
            <v>Airway management bags</v>
          </cell>
          <cell r="AA271" t="str">
            <v>UNSPSC v23.0701</v>
          </cell>
        </row>
        <row r="271">
          <cell r="AC271" t="str">
            <v>42192414  Airway management bags</v>
          </cell>
          <cell r="AD271" t="str">
            <v>FLEMING</v>
          </cell>
          <cell r="AE271" t="str">
            <v>34016DP-GN</v>
          </cell>
          <cell r="AF271" t="str">
            <v>34016DPGN</v>
          </cell>
        </row>
        <row r="271">
          <cell r="AH271" t="str">
            <v>BAG</v>
          </cell>
          <cell r="AI271">
            <v>46</v>
          </cell>
          <cell r="AJ271" t="str">
            <v>BAG, TRAUMA/OXYGEN BREATHSAVERPLUS GRN 27"X13"X11"</v>
          </cell>
        </row>
        <row r="271">
          <cell r="AL271" t="str">
            <v>42192414  Airway management bags</v>
          </cell>
        </row>
        <row r="272">
          <cell r="N272">
            <v>1822</v>
          </cell>
          <cell r="O272">
            <v>1071484</v>
          </cell>
          <cell r="P272" t="str">
            <v>Respiratory Accessories</v>
          </cell>
          <cell r="Q272" t="str">
            <v>FLEMING INDUSTRIES</v>
          </cell>
          <cell r="R272" t="str">
            <v>Fleming Industries-FLEMNG</v>
          </cell>
          <cell r="S272" t="str">
            <v>FLEMNG</v>
          </cell>
          <cell r="T272" t="str">
            <v>Fleming Industries</v>
          </cell>
          <cell r="U272" t="str">
            <v>34024-GN</v>
          </cell>
        </row>
        <row r="272">
          <cell r="X272" t="str">
            <v>Approved for SM</v>
          </cell>
          <cell r="Y272">
            <v>42271718</v>
          </cell>
          <cell r="Z272" t="str">
            <v>Oxygen therapy delivery system products</v>
          </cell>
          <cell r="AA272" t="str">
            <v>UNSPSC v23.0701</v>
          </cell>
        </row>
        <row r="272">
          <cell r="AC272" t="str">
            <v>42271718  Oxygen therapy delivery system products</v>
          </cell>
          <cell r="AD272" t="str">
            <v>FLEMING</v>
          </cell>
          <cell r="AE272" t="str">
            <v>34024-GN</v>
          </cell>
          <cell r="AF272" t="str">
            <v>34024GN</v>
          </cell>
        </row>
        <row r="272">
          <cell r="AH272" t="str">
            <v>BAG</v>
          </cell>
          <cell r="AI272">
            <v>46</v>
          </cell>
          <cell r="AJ272" t="str">
            <v>BAG, OXY SLEEVE GRN</v>
          </cell>
        </row>
        <row r="272">
          <cell r="AL272" t="str">
            <v>42271718  Oxygen therapy delivery system products</v>
          </cell>
        </row>
        <row r="273">
          <cell r="N273">
            <v>1823</v>
          </cell>
          <cell r="O273">
            <v>1072283</v>
          </cell>
          <cell r="P273" t="str">
            <v>Transfer Boards</v>
          </cell>
          <cell r="Q273" t="str">
            <v>FLEMING INDUSTRIES</v>
          </cell>
          <cell r="R273" t="str">
            <v>Fleming Industries-FLEMNG</v>
          </cell>
          <cell r="S273" t="str">
            <v>FLEMNG</v>
          </cell>
          <cell r="T273" t="str">
            <v>Fleming Industries</v>
          </cell>
          <cell r="U273" t="str">
            <v>35717-LGP</v>
          </cell>
        </row>
        <row r="273">
          <cell r="X273" t="str">
            <v>Approved for SM</v>
          </cell>
          <cell r="Y273">
            <v>42143609</v>
          </cell>
          <cell r="Z273" t="str">
            <v>Patient restraint boards</v>
          </cell>
          <cell r="AA273" t="str">
            <v>UNSPSC v23.0701</v>
          </cell>
        </row>
        <row r="273">
          <cell r="AC273" t="str">
            <v>42143609  Patient restraint boards</v>
          </cell>
          <cell r="AD273" t="str">
            <v>FLEMING</v>
          </cell>
          <cell r="AE273" t="str">
            <v>35717-LGP</v>
          </cell>
          <cell r="AF273" t="str">
            <v>35717LGP</v>
          </cell>
        </row>
        <row r="273">
          <cell r="AH273" t="str">
            <v>PRO-LITE</v>
          </cell>
          <cell r="AI273">
            <v>1</v>
          </cell>
          <cell r="AJ273" t="str">
            <v>PRO-LITE XT LIMEGRN WPINS DS</v>
          </cell>
        </row>
        <row r="273">
          <cell r="AL273" t="str">
            <v>42143609  Patient restraint boards</v>
          </cell>
        </row>
        <row r="274">
          <cell r="N274">
            <v>1824</v>
          </cell>
          <cell r="O274">
            <v>1072285</v>
          </cell>
          <cell r="P274" t="str">
            <v>Transfer Boards</v>
          </cell>
          <cell r="Q274" t="str">
            <v>FLEMING INDUSTRIES</v>
          </cell>
          <cell r="R274" t="str">
            <v>Fleming Industries-FLEMNG</v>
          </cell>
          <cell r="S274" t="str">
            <v>FLEMNG</v>
          </cell>
          <cell r="T274" t="str">
            <v>Fleming Industries</v>
          </cell>
          <cell r="U274" t="str">
            <v>35719Y-P</v>
          </cell>
        </row>
        <row r="274">
          <cell r="X274" t="str">
            <v>Approved for SM</v>
          </cell>
          <cell r="Y274">
            <v>42171613</v>
          </cell>
          <cell r="Z274" t="str">
            <v>Mobile medical services spine boards</v>
          </cell>
          <cell r="AA274" t="str">
            <v>UNSPSC v23.0701</v>
          </cell>
        </row>
        <row r="274">
          <cell r="AC274" t="str">
            <v>42171613  Mobile medical services spine boards</v>
          </cell>
          <cell r="AD274" t="str">
            <v>FLEMING</v>
          </cell>
          <cell r="AE274" t="str">
            <v>35719Y-P</v>
          </cell>
          <cell r="AF274" t="str">
            <v>35719YP</v>
          </cell>
        </row>
        <row r="274">
          <cell r="AH274" t="str">
            <v>PRO</v>
          </cell>
          <cell r="AI274">
            <v>1</v>
          </cell>
          <cell r="AJ274" t="str">
            <v>PRO ECO SPINEBRD YELLOW W/P DS</v>
          </cell>
        </row>
        <row r="274">
          <cell r="AL274" t="str">
            <v>42171613  Mobile medical services spine boards</v>
          </cell>
        </row>
        <row r="275">
          <cell r="N275">
            <v>1826</v>
          </cell>
          <cell r="O275">
            <v>1072289</v>
          </cell>
          <cell r="P275" t="str">
            <v>Transfer Boards</v>
          </cell>
          <cell r="Q275" t="str">
            <v>FLEMING INDUSTRIES</v>
          </cell>
          <cell r="R275" t="str">
            <v>Fleming Industries-FLEMNG</v>
          </cell>
          <cell r="S275" t="str">
            <v>FLEMNG</v>
          </cell>
          <cell r="T275" t="str">
            <v>Fleming Industries</v>
          </cell>
          <cell r="U275" t="str">
            <v>35775-PO</v>
          </cell>
        </row>
        <row r="275">
          <cell r="X275" t="str">
            <v>Approved for SM</v>
          </cell>
          <cell r="Y275">
            <v>42143609</v>
          </cell>
          <cell r="Z275" t="str">
            <v>Patient restraint boards</v>
          </cell>
          <cell r="AA275" t="str">
            <v>UNSPSC v23.0701</v>
          </cell>
        </row>
        <row r="275">
          <cell r="AC275" t="str">
            <v>42143609  Patient restraint boards</v>
          </cell>
          <cell r="AD275" t="str">
            <v>FLEMING</v>
          </cell>
          <cell r="AE275" t="str">
            <v>35775-PO</v>
          </cell>
          <cell r="AF275" t="str">
            <v>35775PO</v>
          </cell>
        </row>
        <row r="275">
          <cell r="AH275" t="str">
            <v>ULTRAVUE</v>
          </cell>
          <cell r="AI275">
            <v>1</v>
          </cell>
          <cell r="AJ275" t="str">
            <v>ULTRAVUE BKBRD ORN W/PIN DS</v>
          </cell>
        </row>
        <row r="275">
          <cell r="AL275" t="str">
            <v>42143609  Patient restraint boards</v>
          </cell>
        </row>
        <row r="276">
          <cell r="N276">
            <v>1827</v>
          </cell>
          <cell r="O276">
            <v>1072291</v>
          </cell>
          <cell r="P276" t="str">
            <v>Transfer Boards</v>
          </cell>
          <cell r="Q276" t="str">
            <v>FLEMING INDUSTRIES</v>
          </cell>
          <cell r="R276" t="str">
            <v>Fleming Industries-FLEMNG</v>
          </cell>
          <cell r="S276" t="str">
            <v>FLEMNG</v>
          </cell>
          <cell r="T276" t="str">
            <v>Fleming Industries</v>
          </cell>
          <cell r="U276" t="str">
            <v>35840-T</v>
          </cell>
        </row>
        <row r="276">
          <cell r="X276" t="str">
            <v>Approved for SM</v>
          </cell>
          <cell r="Y276">
            <v>42143609</v>
          </cell>
          <cell r="Z276" t="str">
            <v>Patient restraint boards</v>
          </cell>
          <cell r="AA276" t="str">
            <v>UNSPSC v23.0701</v>
          </cell>
        </row>
        <row r="276">
          <cell r="AC276" t="str">
            <v>42143609  Patient restraint boards</v>
          </cell>
          <cell r="AD276" t="str">
            <v>FLEMING</v>
          </cell>
          <cell r="AE276" t="str">
            <v>35840-T</v>
          </cell>
          <cell r="AF276" t="str">
            <v>35840T</v>
          </cell>
        </row>
        <row r="276">
          <cell r="AH276" t="str">
            <v>PEDI</v>
          </cell>
          <cell r="AI276">
            <v>2</v>
          </cell>
          <cell r="AJ276" t="str">
            <v>PEDI AIR ALIGN SYS CSTM TEALDS</v>
          </cell>
        </row>
        <row r="276">
          <cell r="AL276" t="str">
            <v>42143609  Patient restraint boards</v>
          </cell>
        </row>
        <row r="277">
          <cell r="N277">
            <v>1828</v>
          </cell>
          <cell r="O277">
            <v>1072292</v>
          </cell>
          <cell r="P277" t="str">
            <v>Transfer Boards</v>
          </cell>
          <cell r="Q277" t="str">
            <v>FLEMING INDUSTRIES</v>
          </cell>
          <cell r="R277" t="str">
            <v>Fleming Industries-FLEMNG</v>
          </cell>
          <cell r="S277" t="str">
            <v>FLEMNG</v>
          </cell>
          <cell r="T277" t="str">
            <v>Fleming Industries</v>
          </cell>
          <cell r="U277" t="str">
            <v>35940-CASE-RD</v>
          </cell>
        </row>
        <row r="277">
          <cell r="X277" t="str">
            <v>Approved for SM</v>
          </cell>
          <cell r="Y277">
            <v>42143609</v>
          </cell>
          <cell r="Z277" t="str">
            <v>Patient restraint boards</v>
          </cell>
          <cell r="AA277" t="str">
            <v>UNSPSC v23.0701</v>
          </cell>
        </row>
        <row r="277">
          <cell r="AC277" t="str">
            <v>42143609  Patient restraint boards</v>
          </cell>
          <cell r="AD277" t="str">
            <v>FLEMING</v>
          </cell>
          <cell r="AE277" t="str">
            <v>35940-CASE-RD</v>
          </cell>
          <cell r="AF277" t="str">
            <v>35940CASERD</v>
          </cell>
        </row>
        <row r="277">
          <cell r="AH277" t="str">
            <v>ULTRA</v>
          </cell>
          <cell r="AI277">
            <v>5</v>
          </cell>
          <cell r="AJ277" t="str">
            <v>ULTRA SPACSAV CARRY CASE</v>
          </cell>
        </row>
        <row r="277">
          <cell r="AL277" t="str">
            <v>42143609  Patient restraint boards</v>
          </cell>
        </row>
        <row r="278">
          <cell r="N278">
            <v>1829</v>
          </cell>
          <cell r="O278">
            <v>1072293</v>
          </cell>
          <cell r="P278" t="str">
            <v>Transfer Boards</v>
          </cell>
          <cell r="Q278" t="str">
            <v>FLEMING INDUSTRIES</v>
          </cell>
          <cell r="R278" t="str">
            <v>Fleming Industries-FLEMNG</v>
          </cell>
          <cell r="S278" t="str">
            <v>FLEMNG</v>
          </cell>
          <cell r="T278" t="str">
            <v>Fleming Industries</v>
          </cell>
          <cell r="U278" t="str">
            <v>35940-OL</v>
          </cell>
        </row>
        <row r="278">
          <cell r="X278" t="str">
            <v>Approved for SM</v>
          </cell>
          <cell r="Y278">
            <v>42143609</v>
          </cell>
          <cell r="Z278" t="str">
            <v>Patient restraint boards</v>
          </cell>
          <cell r="AA278" t="str">
            <v>UNSPSC v23.0701</v>
          </cell>
        </row>
        <row r="278">
          <cell r="AC278" t="str">
            <v>42143609  Patient restraint boards</v>
          </cell>
          <cell r="AD278" t="str">
            <v>FLEMING</v>
          </cell>
          <cell r="AE278" t="str">
            <v>35940-OL</v>
          </cell>
          <cell r="AF278" t="str">
            <v>35940OL</v>
          </cell>
        </row>
        <row r="278">
          <cell r="AH278" t="str">
            <v>ULTRA</v>
          </cell>
          <cell r="AI278">
            <v>5</v>
          </cell>
          <cell r="AJ278" t="str">
            <v>ULTRA SPACESAV NO-PIN OLIVE DS</v>
          </cell>
        </row>
        <row r="278">
          <cell r="AL278" t="str">
            <v>42143609  Patient restraint boards</v>
          </cell>
        </row>
        <row r="279">
          <cell r="N279">
            <v>1830</v>
          </cell>
          <cell r="O279">
            <v>1072296</v>
          </cell>
          <cell r="P279" t="str">
            <v>Transfer Boards</v>
          </cell>
          <cell r="Q279" t="str">
            <v>FLEMING INDUSTRIES</v>
          </cell>
          <cell r="R279" t="str">
            <v>Fleming Industries-FLEMNG</v>
          </cell>
          <cell r="S279" t="str">
            <v>FLEMNG</v>
          </cell>
          <cell r="T279" t="str">
            <v>Fleming Industries</v>
          </cell>
          <cell r="U279" t="str">
            <v>35940-POL</v>
          </cell>
        </row>
        <row r="279">
          <cell r="X279" t="str">
            <v>New Item</v>
          </cell>
          <cell r="Y279">
            <v>42143609</v>
          </cell>
          <cell r="Z279" t="str">
            <v>Patient restraint boards</v>
          </cell>
          <cell r="AA279" t="str">
            <v>UNSPSC v23.0701</v>
          </cell>
        </row>
        <row r="279">
          <cell r="AC279" t="str">
            <v>42143609  Patient restraint boards</v>
          </cell>
          <cell r="AD279" t="str">
            <v>FLEMING</v>
          </cell>
          <cell r="AE279" t="str">
            <v>35940-POL</v>
          </cell>
          <cell r="AF279" t="str">
            <v>35940POL</v>
          </cell>
        </row>
        <row r="279">
          <cell r="AH279" t="str">
            <v>ULTRA</v>
          </cell>
          <cell r="AI279">
            <v>5</v>
          </cell>
          <cell r="AJ279" t="str">
            <v>ULTRA SPACESAV W/PN OLV DS</v>
          </cell>
        </row>
        <row r="279">
          <cell r="AL279" t="str">
            <v>42143609  Patient restraint boards</v>
          </cell>
        </row>
        <row r="280">
          <cell r="N280">
            <v>1831</v>
          </cell>
          <cell r="O280">
            <v>1072297</v>
          </cell>
          <cell r="P280" t="str">
            <v>Transfer Boards</v>
          </cell>
          <cell r="Q280" t="str">
            <v>FLEMING INDUSTRIES</v>
          </cell>
          <cell r="R280" t="str">
            <v>Fleming Industries-FLEMNG</v>
          </cell>
          <cell r="S280" t="str">
            <v>FLEMNG</v>
          </cell>
          <cell r="T280" t="str">
            <v>Fleming Industries</v>
          </cell>
          <cell r="U280" t="str">
            <v>35940-Y</v>
          </cell>
        </row>
        <row r="280">
          <cell r="X280" t="str">
            <v>Approved for SM</v>
          </cell>
          <cell r="Y280">
            <v>42143609</v>
          </cell>
          <cell r="Z280" t="str">
            <v>Patient restraint boards</v>
          </cell>
          <cell r="AA280" t="str">
            <v>UNSPSC v23.0701</v>
          </cell>
        </row>
        <row r="280">
          <cell r="AC280" t="str">
            <v>42143609  Patient restraint boards</v>
          </cell>
          <cell r="AD280" t="str">
            <v>FLEMING</v>
          </cell>
          <cell r="AE280" t="str">
            <v>35940-Y</v>
          </cell>
          <cell r="AF280" t="str">
            <v>35940Y</v>
          </cell>
        </row>
        <row r="280">
          <cell r="AH280" t="str">
            <v>BACKBOARD</v>
          </cell>
          <cell r="AI280">
            <v>2</v>
          </cell>
          <cell r="AJ280" t="str">
            <v>BACKBOARD, TRANS ULTRA SPACE SAVE W/O PINS YLW</v>
          </cell>
        </row>
        <row r="280">
          <cell r="AL280" t="str">
            <v>42143609  Patient restraint boards</v>
          </cell>
        </row>
        <row r="281">
          <cell r="N281">
            <v>1832</v>
          </cell>
          <cell r="O281">
            <v>1069342</v>
          </cell>
          <cell r="P281" t="str">
            <v>Equipment and Physician Bags</v>
          </cell>
          <cell r="Q281" t="str">
            <v>FLEMING INDUSTRIES</v>
          </cell>
          <cell r="R281" t="str">
            <v>Fleming Industries-FLEMNG</v>
          </cell>
          <cell r="S281" t="str">
            <v>FLEMNG</v>
          </cell>
          <cell r="T281" t="str">
            <v>Fleming Industries</v>
          </cell>
          <cell r="U281" t="str">
            <v>36010-BK</v>
          </cell>
        </row>
        <row r="281">
          <cell r="X281" t="str">
            <v>Approved for SM</v>
          </cell>
          <cell r="Y281">
            <v>42171900</v>
          </cell>
          <cell r="Z281" t="str">
            <v>Medical equipment bags and cases and carriers and related products</v>
          </cell>
          <cell r="AA281" t="str">
            <v>UNSPSC v23.0701</v>
          </cell>
        </row>
        <row r="281">
          <cell r="AC281" t="str">
            <v>42171900  Medical equipment bags and cases and carriers and related products</v>
          </cell>
          <cell r="AD281" t="str">
            <v>FLEMING</v>
          </cell>
          <cell r="AE281" t="str">
            <v>36010-BK</v>
          </cell>
          <cell r="AF281" t="str">
            <v>36010BK</v>
          </cell>
        </row>
        <row r="281">
          <cell r="AH281" t="str">
            <v>OPIOID</v>
          </cell>
          <cell r="AI281">
            <v>1</v>
          </cell>
          <cell r="AJ281" t="str">
            <v>OPIOID OVERDOSE KIT CASE BLK</v>
          </cell>
        </row>
        <row r="281">
          <cell r="AL281" t="str">
            <v>42171900  Medical equipment bags and cases and carriers and related products</v>
          </cell>
        </row>
        <row r="282">
          <cell r="N282">
            <v>1833</v>
          </cell>
          <cell r="O282">
            <v>1069343</v>
          </cell>
          <cell r="P282" t="str">
            <v>Equipment and Physician Bags</v>
          </cell>
          <cell r="Q282" t="str">
            <v>FLEMING INDUSTRIES</v>
          </cell>
          <cell r="R282" t="str">
            <v>Fleming Industries-FLEMNG</v>
          </cell>
          <cell r="S282" t="str">
            <v>FLEMNG</v>
          </cell>
          <cell r="T282" t="str">
            <v>Fleming Industries</v>
          </cell>
          <cell r="U282" t="str">
            <v>36010-SY</v>
          </cell>
        </row>
        <row r="282">
          <cell r="X282" t="str">
            <v>Approved for SM</v>
          </cell>
          <cell r="Y282">
            <v>42192425</v>
          </cell>
          <cell r="Z282" t="str">
            <v>Long distance response LDR trauma cases or bags</v>
          </cell>
          <cell r="AA282" t="str">
            <v>UNSPSC v23.0701</v>
          </cell>
        </row>
        <row r="282">
          <cell r="AC282" t="str">
            <v>42192425  Long distance response LDR trauma cases or bags</v>
          </cell>
          <cell r="AD282" t="str">
            <v>FLEMING</v>
          </cell>
          <cell r="AE282" t="str">
            <v>36010-SY</v>
          </cell>
          <cell r="AF282" t="str">
            <v>36010SY</v>
          </cell>
        </row>
        <row r="282">
          <cell r="AH282" t="str">
            <v>BAG</v>
          </cell>
          <cell r="AI282">
            <v>46</v>
          </cell>
          <cell r="AJ282" t="str">
            <v>BAG, OPIOID OVERDOSE KIT BAG-ONLY SAFETY YLW</v>
          </cell>
        </row>
        <row r="282">
          <cell r="AL282" t="str">
            <v>42192425  Long distance response LDR trauma cases or bags</v>
          </cell>
        </row>
        <row r="283">
          <cell r="N283">
            <v>1834</v>
          </cell>
          <cell r="O283">
            <v>1072300</v>
          </cell>
          <cell r="P283" t="str">
            <v>Equipment and Physician Bags</v>
          </cell>
          <cell r="Q283" t="str">
            <v>FLEMING INDUSTRIES</v>
          </cell>
          <cell r="R283" t="str">
            <v>Fleming Industries-FLEMNG</v>
          </cell>
          <cell r="S283" t="str">
            <v>FLEMNG</v>
          </cell>
          <cell r="T283" t="str">
            <v>Fleming Industries</v>
          </cell>
          <cell r="U283" t="str">
            <v>36011-PRO-OR</v>
          </cell>
        </row>
        <row r="283">
          <cell r="X283" t="str">
            <v>Approved for SM</v>
          </cell>
          <cell r="Y283">
            <v>42143611</v>
          </cell>
          <cell r="Z283" t="str">
            <v>Patient stabilization or fall prevention device accessories</v>
          </cell>
          <cell r="AA283" t="str">
            <v>UNSPSC v23.0701</v>
          </cell>
        </row>
        <row r="283">
          <cell r="AC283" t="str">
            <v>42143611  Patient stabilization or fall prevention device accessories</v>
          </cell>
          <cell r="AD283" t="str">
            <v>FLEMING</v>
          </cell>
          <cell r="AE283" t="str">
            <v>36011-PRO-OR</v>
          </cell>
          <cell r="AF283" t="str">
            <v>36011PROOR</v>
          </cell>
        </row>
        <row r="283">
          <cell r="AH283" t="str">
            <v>CASE</v>
          </cell>
          <cell r="AI283">
            <v>12</v>
          </cell>
          <cell r="AJ283" t="str">
            <v>CASE, ANAPHYLAXIS PROFESSIONAL</v>
          </cell>
        </row>
        <row r="283">
          <cell r="AL283" t="str">
            <v>42143611  Patient stabilization or fall prevention device accessories</v>
          </cell>
        </row>
        <row r="284">
          <cell r="N284">
            <v>1835</v>
          </cell>
          <cell r="O284">
            <v>1069321</v>
          </cell>
          <cell r="P284" t="str">
            <v>custom items 1</v>
          </cell>
          <cell r="Q284" t="str">
            <v>FLEMING INDUSTRIES</v>
          </cell>
          <cell r="R284" t="str">
            <v>Fleming Industries-FLEMNG</v>
          </cell>
          <cell r="S284" t="str">
            <v>FLEMNG</v>
          </cell>
          <cell r="T284" t="str">
            <v>Fleming Industries</v>
          </cell>
          <cell r="U284" t="str">
            <v>QRB REPAIR CFD</v>
          </cell>
        </row>
        <row r="284">
          <cell r="X284" t="str">
            <v>New Item</v>
          </cell>
          <cell r="Y284">
            <v>42191910</v>
          </cell>
          <cell r="Z284" t="str">
            <v>Medical equipment maintenance and repair tool kit chests</v>
          </cell>
          <cell r="AA284" t="str">
            <v>UNSPSC v23.0701</v>
          </cell>
        </row>
        <row r="284">
          <cell r="AC284" t="str">
            <v>42191910  Medical equipment maintenance and repair tool kit chests</v>
          </cell>
          <cell r="AD284" t="str">
            <v>FLEMING</v>
          </cell>
          <cell r="AE284" t="str">
            <v>QRB REPAIR CFD</v>
          </cell>
          <cell r="AF284" t="str">
            <v>QRBREPAIRCFD</v>
          </cell>
        </row>
        <row r="284">
          <cell r="AH284" t="str">
            <v>REPAIR</v>
          </cell>
          <cell r="AI284">
            <v>1</v>
          </cell>
          <cell r="AJ284" t="str">
            <v>REPAIR, BAG CFD QRB D/S</v>
          </cell>
        </row>
        <row r="284">
          <cell r="AL284" t="str">
            <v>42191910  Medical equipment maintenance and repair tool kit chests</v>
          </cell>
        </row>
        <row r="285">
          <cell r="N285">
            <v>1836</v>
          </cell>
          <cell r="O285">
            <v>1069322</v>
          </cell>
          <cell r="P285" t="str">
            <v>Equipment and Physician Bags</v>
          </cell>
          <cell r="Q285" t="str">
            <v>FLEMING INDUSTRIES</v>
          </cell>
          <cell r="R285" t="str">
            <v>Fleming Industries-FLEMNG</v>
          </cell>
          <cell r="S285" t="str">
            <v>FLEMNG</v>
          </cell>
          <cell r="T285" t="str">
            <v>Fleming Industries</v>
          </cell>
          <cell r="U285" t="str">
            <v>X 34025-BK-CFD</v>
          </cell>
        </row>
        <row r="285">
          <cell r="X285" t="str">
            <v>Approved for SM</v>
          </cell>
          <cell r="Y285">
            <v>42192425</v>
          </cell>
          <cell r="Z285" t="str">
            <v>Long distance response LDR trauma cases or bags</v>
          </cell>
          <cell r="AA285" t="str">
            <v>UNSPSC v23.0701</v>
          </cell>
        </row>
        <row r="285">
          <cell r="AC285" t="str">
            <v>42192425  Long distance response LDR trauma cases or bags</v>
          </cell>
          <cell r="AD285" t="str">
            <v>FLEMING</v>
          </cell>
          <cell r="AE285" t="str">
            <v>X 34025-BK-CFD</v>
          </cell>
          <cell r="AF285" t="str">
            <v>X34025BKCFD</v>
          </cell>
        </row>
        <row r="285">
          <cell r="AH285" t="str">
            <v>BAG</v>
          </cell>
          <cell r="AI285">
            <v>46</v>
          </cell>
          <cell r="AJ285" t="str">
            <v>BAG, EMS CFD OMNI II MASTER CA</v>
          </cell>
        </row>
        <row r="285">
          <cell r="AL285" t="str">
            <v>42192425  Long distance response LDR trauma cases or bags</v>
          </cell>
        </row>
        <row r="286">
          <cell r="N286">
            <v>1837</v>
          </cell>
          <cell r="O286">
            <v>1069323</v>
          </cell>
          <cell r="P286" t="str">
            <v>Equipment and Physician Bags</v>
          </cell>
          <cell r="Q286" t="str">
            <v>FLEMING INDUSTRIES</v>
          </cell>
          <cell r="R286" t="str">
            <v>Fleming Industries-FLEMNG</v>
          </cell>
          <cell r="S286" t="str">
            <v>FLEMNG</v>
          </cell>
          <cell r="T286" t="str">
            <v>Fleming Industries</v>
          </cell>
          <cell r="U286" t="str">
            <v>X 34025-GN-CFD</v>
          </cell>
        </row>
        <row r="286">
          <cell r="X286" t="str">
            <v>Approved for SM</v>
          </cell>
          <cell r="Y286">
            <v>42192425</v>
          </cell>
          <cell r="Z286" t="str">
            <v>Long distance response LDR trauma cases or bags</v>
          </cell>
          <cell r="AA286" t="str">
            <v>UNSPSC v23.0701</v>
          </cell>
        </row>
        <row r="286">
          <cell r="AC286" t="str">
            <v>42192425  Long distance response LDR trauma cases or bags</v>
          </cell>
          <cell r="AD286" t="str">
            <v>FLEMING</v>
          </cell>
          <cell r="AE286" t="str">
            <v>X 34025-GN-CFD</v>
          </cell>
          <cell r="AF286" t="str">
            <v>X34025GNCFD</v>
          </cell>
        </row>
        <row r="286">
          <cell r="AH286" t="str">
            <v>BAG</v>
          </cell>
          <cell r="AI286">
            <v>46</v>
          </cell>
          <cell r="AJ286" t="str">
            <v>BAG, EMS CFD OMNI II MASTER CA</v>
          </cell>
        </row>
        <row r="286">
          <cell r="AL286" t="str">
            <v>42192425  Long distance response LDR trauma cases or bags</v>
          </cell>
        </row>
        <row r="287">
          <cell r="N287">
            <v>1838</v>
          </cell>
          <cell r="O287">
            <v>1069324</v>
          </cell>
          <cell r="P287" t="str">
            <v>Equipment and Physician Bags</v>
          </cell>
          <cell r="Q287" t="str">
            <v>FLEMING INDUSTRIES</v>
          </cell>
          <cell r="R287" t="str">
            <v>Fleming Industries-FLEMNG</v>
          </cell>
          <cell r="S287" t="str">
            <v>FLEMNG</v>
          </cell>
          <cell r="T287" t="str">
            <v>Fleming Industries</v>
          </cell>
          <cell r="U287" t="str">
            <v>X 34025-NB-CFD</v>
          </cell>
        </row>
        <row r="287">
          <cell r="X287" t="str">
            <v>Approved for SM</v>
          </cell>
          <cell r="Y287">
            <v>42192425</v>
          </cell>
          <cell r="Z287" t="str">
            <v>Long distance response LDR trauma cases or bags</v>
          </cell>
          <cell r="AA287" t="str">
            <v>UNSPSC v23.0701</v>
          </cell>
        </row>
        <row r="287">
          <cell r="AC287" t="str">
            <v>42192425  Long distance response LDR trauma cases or bags</v>
          </cell>
          <cell r="AD287" t="str">
            <v>FLEMING</v>
          </cell>
          <cell r="AE287" t="str">
            <v>X 34025-NB-CFD</v>
          </cell>
          <cell r="AF287" t="str">
            <v>X34025NBCFD</v>
          </cell>
        </row>
        <row r="287">
          <cell r="AH287" t="str">
            <v>BAG</v>
          </cell>
          <cell r="AI287">
            <v>46</v>
          </cell>
          <cell r="AJ287" t="str">
            <v>BAG, EMS CFD OMNI II MASTER CA</v>
          </cell>
        </row>
        <row r="287">
          <cell r="AL287" t="str">
            <v>42192425  Long distance response LDR trauma cases or bags</v>
          </cell>
        </row>
        <row r="288">
          <cell r="N288">
            <v>1839</v>
          </cell>
          <cell r="O288">
            <v>1069325</v>
          </cell>
          <cell r="P288" t="str">
            <v>Equipment and Physician Bags</v>
          </cell>
          <cell r="Q288" t="str">
            <v>FLEMING INDUSTRIES</v>
          </cell>
          <cell r="R288" t="str">
            <v>Fleming Industries-FLEMNG</v>
          </cell>
          <cell r="S288" t="str">
            <v>FLEMNG</v>
          </cell>
          <cell r="T288" t="str">
            <v>Fleming Industries</v>
          </cell>
          <cell r="U288" t="str">
            <v>X 34025-RB-CFD</v>
          </cell>
        </row>
        <row r="288">
          <cell r="X288" t="str">
            <v>Approved for SM</v>
          </cell>
          <cell r="Y288">
            <v>42192425</v>
          </cell>
          <cell r="Z288" t="str">
            <v>Long distance response LDR trauma cases or bags</v>
          </cell>
          <cell r="AA288" t="str">
            <v>UNSPSC v23.0701</v>
          </cell>
        </row>
        <row r="288">
          <cell r="AC288" t="str">
            <v>42192425  Long distance response LDR trauma cases or bags</v>
          </cell>
          <cell r="AD288" t="str">
            <v>FLEMING</v>
          </cell>
          <cell r="AE288" t="str">
            <v>X 34025-RB-CFD</v>
          </cell>
          <cell r="AF288" t="str">
            <v>X34025RBCFD</v>
          </cell>
        </row>
        <row r="288">
          <cell r="AH288" t="str">
            <v>BAG</v>
          </cell>
          <cell r="AI288">
            <v>46</v>
          </cell>
          <cell r="AJ288" t="str">
            <v>BAG, EMS CFD OMNI II MASTER CA</v>
          </cell>
        </row>
        <row r="288">
          <cell r="AL288" t="str">
            <v>42192425  Long distance response LDR trauma cases or bags</v>
          </cell>
        </row>
        <row r="289">
          <cell r="N289">
            <v>1841</v>
          </cell>
          <cell r="O289">
            <v>1064668</v>
          </cell>
          <cell r="P289" t="str">
            <v>Torso</v>
          </cell>
          <cell r="Q289" t="str">
            <v>FREEMAN MANUFACTURING CO</v>
          </cell>
          <cell r="R289" t="str">
            <v>Freeman Manufacturing-FREEMN</v>
          </cell>
          <cell r="S289" t="str">
            <v>FREEMN</v>
          </cell>
          <cell r="T289" t="str">
            <v>Freeman Manufacturing</v>
          </cell>
          <cell r="U289" t="str">
            <v>8142-1</v>
          </cell>
        </row>
        <row r="289">
          <cell r="X289" t="str">
            <v>Approved for SM</v>
          </cell>
          <cell r="Y289">
            <v>42241802</v>
          </cell>
          <cell r="Z289" t="str">
            <v>Back or lumbar or sacral orthopedic softgoods</v>
          </cell>
          <cell r="AA289" t="str">
            <v>UNSPSC v23.0701</v>
          </cell>
        </row>
        <row r="289">
          <cell r="AC289" t="str">
            <v>42241802  Back or lumbar or sacral orthopedic softgoods</v>
          </cell>
          <cell r="AD289" t="str">
            <v>FREEMAN</v>
          </cell>
          <cell r="AE289" t="str">
            <v>8142-1</v>
          </cell>
          <cell r="AF289" t="str">
            <v>81421</v>
          </cell>
        </row>
        <row r="289">
          <cell r="AH289" t="str">
            <v>CASH</v>
          </cell>
          <cell r="AI289">
            <v>1</v>
          </cell>
          <cell r="AJ289" t="str">
            <v>CASH BRACE, ORTHOSIS W/FIXED PADS UNIV</v>
          </cell>
        </row>
        <row r="289">
          <cell r="AL289" t="str">
            <v>42241802  Back or lumbar or sacral orthopedic softgoods</v>
          </cell>
        </row>
        <row r="290">
          <cell r="N290">
            <v>1844</v>
          </cell>
          <cell r="O290">
            <v>1066052</v>
          </cell>
          <cell r="P290" t="str">
            <v>Furnishing Accessories</v>
          </cell>
          <cell r="Q290" t="str">
            <v>FUTURE HEALTH CONCEPTS, INC.</v>
          </cell>
          <cell r="R290" t="str">
            <v>Future Health Concepts-FUTHLT</v>
          </cell>
          <cell r="S290" t="str">
            <v>FUTHLT</v>
          </cell>
          <cell r="T290" t="str">
            <v>Future Health Concepts</v>
          </cell>
          <cell r="U290" t="str">
            <v>BB11X22X12D</v>
          </cell>
        </row>
        <row r="290">
          <cell r="X290" t="str">
            <v>Approved for SM</v>
          </cell>
          <cell r="Y290">
            <v>42141705</v>
          </cell>
          <cell r="Z290" t="str">
            <v>Decubitus prevention Patient positioning cushions or pads or pillows</v>
          </cell>
          <cell r="AA290" t="str">
            <v>UNSPSC v23.0701</v>
          </cell>
        </row>
        <row r="290">
          <cell r="AC290" t="str">
            <v>42141705  Decubitus prevention Patient positioning cushions or pads or pillows</v>
          </cell>
          <cell r="AD290" t="str">
            <v>FUTURE HEALTH CONCEPTS</v>
          </cell>
          <cell r="AE290" t="str">
            <v>BB11X22X12D</v>
          </cell>
          <cell r="AF290" t="str">
            <v>BB11X22X12D</v>
          </cell>
        </row>
        <row r="290">
          <cell r="AH290" t="str">
            <v>PAD</v>
          </cell>
          <cell r="AI290">
            <v>39</v>
          </cell>
          <cell r="AJ290" t="str">
            <v>PAD, ARMBOARD F/SURG TABLE 11"X22"X2"</v>
          </cell>
        </row>
        <row r="290">
          <cell r="AL290" t="str">
            <v>42141705  Patient positioning cushion or pad or pillow</v>
          </cell>
        </row>
        <row r="291">
          <cell r="N291">
            <v>1845</v>
          </cell>
          <cell r="O291">
            <v>1073287</v>
          </cell>
          <cell r="P291" t="str">
            <v>Regulators</v>
          </cell>
          <cell r="Q291" t="str">
            <v>FUTURE HEALTH CONCEPTS, INC.</v>
          </cell>
          <cell r="R291" t="str">
            <v>Future Health Concepts-FUTHLT</v>
          </cell>
          <cell r="S291" t="str">
            <v>FUTHLT</v>
          </cell>
          <cell r="T291" t="str">
            <v>Future Health Concepts</v>
          </cell>
          <cell r="U291" t="str">
            <v>FHCFM-15UO-CH-M</v>
          </cell>
        </row>
        <row r="291">
          <cell r="X291" t="str">
            <v>Approved for SM</v>
          </cell>
          <cell r="Y291">
            <v>42271705</v>
          </cell>
          <cell r="Z291" t="str">
            <v>Oxygen delivery connectors or adapters</v>
          </cell>
          <cell r="AA291" t="str">
            <v>UNSPSC v23.0701</v>
          </cell>
        </row>
        <row r="291">
          <cell r="AC291" t="str">
            <v>42271705  Oxygen delivery connectors or adapters</v>
          </cell>
          <cell r="AD291" t="str">
            <v>FUTURE HEALTH CONCEPTS</v>
          </cell>
          <cell r="AE291" t="str">
            <v>FHCFM-15UO-CH-M</v>
          </cell>
          <cell r="AF291" t="str">
            <v>FHCFM15UOCHM</v>
          </cell>
        </row>
        <row r="291">
          <cell r="AH291" t="str">
            <v>FLOWMETER</v>
          </cell>
          <cell r="AI291">
            <v>1</v>
          </cell>
          <cell r="AJ291" t="str">
            <v>FLOWMETER, O2 W/CHEMTRON ADAPTER MRI</v>
          </cell>
        </row>
        <row r="291">
          <cell r="AL291" t="str">
            <v>42271705  Oxygen delivery connectors or adapters</v>
          </cell>
        </row>
        <row r="292">
          <cell r="N292">
            <v>1846</v>
          </cell>
          <cell r="O292">
            <v>1074616</v>
          </cell>
          <cell r="P292" t="str">
            <v>Ambulatory Accessories</v>
          </cell>
          <cell r="Q292" t="str">
            <v>FUTURE HEALTH CONCEPTS, INC.</v>
          </cell>
          <cell r="R292" t="str">
            <v>Future Health Concepts-FUTHLT</v>
          </cell>
          <cell r="S292" t="str">
            <v>FUTHLT</v>
          </cell>
          <cell r="T292" t="str">
            <v>Future Health Concepts</v>
          </cell>
          <cell r="U292" t="str">
            <v>FHCH0028-01</v>
          </cell>
        </row>
        <row r="292">
          <cell r="X292" t="str">
            <v>Approved for SM</v>
          </cell>
          <cell r="Y292">
            <v>42192221</v>
          </cell>
          <cell r="Z292" t="str">
            <v>Patient stretcher accessories</v>
          </cell>
          <cell r="AA292" t="str">
            <v>UNSPSC v23.0701</v>
          </cell>
        </row>
        <row r="292">
          <cell r="AC292" t="str">
            <v>42192221  Patient stretcher accessories</v>
          </cell>
          <cell r="AD292" t="str">
            <v>FUTURE HEALTH CONCEPTS</v>
          </cell>
          <cell r="AE292" t="str">
            <v>FHCH0028-01</v>
          </cell>
          <cell r="AF292" t="str">
            <v>FHCH002801</v>
          </cell>
        </row>
        <row r="292">
          <cell r="AH292" t="str">
            <v>RIVET</v>
          </cell>
          <cell r="AI292">
            <v>1</v>
          </cell>
          <cell r="AJ292" t="str">
            <v>RIVET, F/STRETCHER FHC7100 ML &amp; FML (10/PK)</v>
          </cell>
        </row>
        <row r="292">
          <cell r="AL292" t="str">
            <v>42192221  Patient stretcher accessories</v>
          </cell>
        </row>
        <row r="293">
          <cell r="N293">
            <v>1849</v>
          </cell>
          <cell r="O293">
            <v>1074618</v>
          </cell>
          <cell r="P293" t="str">
            <v>Ambulatory Accessories</v>
          </cell>
          <cell r="Q293" t="str">
            <v>FUTURE HEALTH CONCEPTS, INC.</v>
          </cell>
          <cell r="R293" t="str">
            <v>Future Health Concepts-FUTHLT</v>
          </cell>
          <cell r="S293" t="str">
            <v>FUTHLT</v>
          </cell>
          <cell r="T293" t="str">
            <v>Future Health Concepts</v>
          </cell>
          <cell r="U293" t="str">
            <v>FHCW0115-08</v>
          </cell>
        </row>
        <row r="293">
          <cell r="X293" t="str">
            <v>Approved for SM</v>
          </cell>
          <cell r="Y293">
            <v>42192221</v>
          </cell>
          <cell r="Z293" t="str">
            <v>Patient stretcher accessories</v>
          </cell>
          <cell r="AA293" t="str">
            <v>UNSPSC v23.0701</v>
          </cell>
        </row>
        <row r="293">
          <cell r="AC293" t="str">
            <v>42192221  Patient stretcher accessories</v>
          </cell>
          <cell r="AD293" t="str">
            <v>FUTURE HEALTH CONCEPTS</v>
          </cell>
          <cell r="AE293" t="str">
            <v>FHCW0115-08</v>
          </cell>
          <cell r="AF293" t="str">
            <v>FHCW011508</v>
          </cell>
        </row>
        <row r="293">
          <cell r="AH293" t="str">
            <v>WASHER</v>
          </cell>
          <cell r="AI293">
            <v>5</v>
          </cell>
          <cell r="AJ293" t="str">
            <v>WASHER, NYLON F/FHC 7100 SIDE RAIL (10/PK)</v>
          </cell>
        </row>
        <row r="293">
          <cell r="AL293" t="str">
            <v>42192221  Patient stretcher accessories</v>
          </cell>
        </row>
        <row r="294">
          <cell r="N294">
            <v>1864</v>
          </cell>
          <cell r="O294">
            <v>1075092</v>
          </cell>
          <cell r="P294" t="str">
            <v>Diagnostic Accessories</v>
          </cell>
          <cell r="Q294" t="str">
            <v>GE HEALTHCARE ACCESSORIES</v>
          </cell>
          <cell r="R294" t="str">
            <v>GE Healthcare-GEMSEQ</v>
          </cell>
          <cell r="S294" t="str">
            <v>GEMSEQ</v>
          </cell>
          <cell r="T294" t="str">
            <v>GE Healthcare</v>
          </cell>
          <cell r="U294" t="str">
            <v>418830-001</v>
          </cell>
        </row>
        <row r="294">
          <cell r="X294" t="str">
            <v>Approved for SM</v>
          </cell>
          <cell r="Y294">
            <v>42143127</v>
          </cell>
          <cell r="Z294" t="str">
            <v>Acute care fetal or maternal monitoring unit accessories</v>
          </cell>
          <cell r="AA294" t="str">
            <v>UNSPSC v23.0701</v>
          </cell>
        </row>
        <row r="294">
          <cell r="AC294" t="str">
            <v>42143127  Acute care fetal or maternal monitoring unit accessories</v>
          </cell>
          <cell r="AD294" t="str">
            <v>GE</v>
          </cell>
          <cell r="AE294" t="str">
            <v>418830-001</v>
          </cell>
          <cell r="AF294" t="str">
            <v>418830001</v>
          </cell>
        </row>
        <row r="294">
          <cell r="AH294" t="str">
            <v>BATTERY</v>
          </cell>
          <cell r="AI294">
            <v>15</v>
          </cell>
          <cell r="AJ294" t="str">
            <v>BATTERY, F/TIME KEEPER RAM</v>
          </cell>
        </row>
        <row r="294">
          <cell r="AL294" t="str">
            <v>42143127  Acute care fetal or maternal monitoring unit accessories</v>
          </cell>
        </row>
        <row r="295">
          <cell r="N295">
            <v>1858</v>
          </cell>
          <cell r="O295">
            <v>1073263</v>
          </cell>
          <cell r="P295" t="str">
            <v>Combination Vital Signs Monitors</v>
          </cell>
          <cell r="Q295" t="str">
            <v>GE HEALTHCARE ACCESSORIES</v>
          </cell>
          <cell r="R295" t="str">
            <v>GE Healthcare-GEDCAR</v>
          </cell>
          <cell r="S295" t="str">
            <v>GEDCAR</v>
          </cell>
          <cell r="T295" t="str">
            <v>GE Healthcare</v>
          </cell>
          <cell r="U295" t="str">
            <v>2009010-855</v>
          </cell>
        </row>
        <row r="295">
          <cell r="X295" t="str">
            <v>Approved for SM</v>
          </cell>
          <cell r="Y295">
            <v>42181904</v>
          </cell>
          <cell r="Z295" t="str">
            <v>Multiparameter vital sign units</v>
          </cell>
          <cell r="AA295" t="str">
            <v>UNSPSC v23.0701</v>
          </cell>
        </row>
        <row r="295">
          <cell r="AC295" t="str">
            <v>42181904  Multiparameter vital sign units</v>
          </cell>
          <cell r="AD295" t="str">
            <v>GE</v>
          </cell>
          <cell r="AE295" t="str">
            <v>2009010-855</v>
          </cell>
          <cell r="AF295" t="str">
            <v>2009010855</v>
          </cell>
        </row>
        <row r="295">
          <cell r="AH295" t="str">
            <v>MONITOR</v>
          </cell>
          <cell r="AI295">
            <v>26</v>
          </cell>
          <cell r="AJ295" t="str">
            <v>MONITOR, VITAL SIGNS PROMO D/S</v>
          </cell>
        </row>
        <row r="295">
          <cell r="AL295" t="str">
            <v>42181904  Multiparameter vital sign units</v>
          </cell>
        </row>
        <row r="296">
          <cell r="N296">
            <v>1859</v>
          </cell>
          <cell r="O296">
            <v>1066218</v>
          </cell>
          <cell r="P296" t="str">
            <v>Diagnostic Accessories</v>
          </cell>
          <cell r="Q296" t="str">
            <v>GE HEALTHCARE ACCESSORIES</v>
          </cell>
          <cell r="R296" t="str">
            <v>GE Healthcare-GEDCAR</v>
          </cell>
          <cell r="S296" t="str">
            <v>GEDCAR</v>
          </cell>
          <cell r="T296" t="str">
            <v>GE Healthcare</v>
          </cell>
          <cell r="U296" t="str">
            <v>2067634-054</v>
          </cell>
        </row>
        <row r="296">
          <cell r="X296" t="str">
            <v>Approved for SM</v>
          </cell>
          <cell r="Y296">
            <v>81112216</v>
          </cell>
          <cell r="Z296" t="str">
            <v>Educational or reference software maintenance</v>
          </cell>
          <cell r="AA296" t="str">
            <v>UNSPSC v23.0701</v>
          </cell>
        </row>
        <row r="296">
          <cell r="AC296" t="str">
            <v>81112216  Educational or reference software maintenance</v>
          </cell>
          <cell r="AD296" t="str">
            <v>GE</v>
          </cell>
          <cell r="AE296" t="str">
            <v>2067634-054</v>
          </cell>
          <cell r="AF296" t="str">
            <v>2067634054</v>
          </cell>
        </row>
        <row r="296">
          <cell r="AH296" t="str">
            <v>ADAPTOR</v>
          </cell>
          <cell r="AI296">
            <v>2</v>
          </cell>
          <cell r="AJ296" t="str">
            <v>ADAPTOR, PC BLUE TOOTH F/MARS V8</v>
          </cell>
        </row>
        <row r="296">
          <cell r="AL296" t="str">
            <v>81112216  Educational or reference software maintenance</v>
          </cell>
        </row>
        <row r="297">
          <cell r="N297">
            <v>1860</v>
          </cell>
          <cell r="O297">
            <v>1066225</v>
          </cell>
          <cell r="P297" t="str">
            <v>Diagnostic Accessories</v>
          </cell>
          <cell r="Q297" t="str">
            <v>GE HEALTHCARE ACCESSORIES</v>
          </cell>
          <cell r="R297" t="str">
            <v>GE Healthcare-GEDCAR</v>
          </cell>
          <cell r="S297" t="str">
            <v>GEDCAR</v>
          </cell>
          <cell r="T297" t="str">
            <v>GE Healthcare</v>
          </cell>
          <cell r="U297" t="str">
            <v>2067634-055</v>
          </cell>
        </row>
        <row r="297">
          <cell r="X297" t="str">
            <v>Approved for SM</v>
          </cell>
          <cell r="Y297">
            <v>43211614</v>
          </cell>
          <cell r="Z297" t="str">
            <v>Bluetooth universal serial bus USB adapter</v>
          </cell>
          <cell r="AA297" t="str">
            <v>UNSPSC v23.0701</v>
          </cell>
        </row>
        <row r="297">
          <cell r="AC297" t="str">
            <v>43211614  Bluetooth universal serial bus USB adapter</v>
          </cell>
          <cell r="AD297" t="str">
            <v>GE</v>
          </cell>
          <cell r="AE297" t="str">
            <v>2067634-055</v>
          </cell>
          <cell r="AF297" t="str">
            <v>2067634055</v>
          </cell>
        </row>
        <row r="297">
          <cell r="AH297" t="str">
            <v>APPLICATION</v>
          </cell>
          <cell r="AI297">
            <v>1</v>
          </cell>
          <cell r="AJ297" t="str">
            <v>APPLICATION, PC F/MARS V8</v>
          </cell>
        </row>
        <row r="297">
          <cell r="AL297" t="str">
            <v>43211614  Bluetooth universal serial bus USB adapter</v>
          </cell>
        </row>
        <row r="298">
          <cell r="N298">
            <v>1861</v>
          </cell>
          <cell r="O298">
            <v>1073681</v>
          </cell>
          <cell r="P298" t="str">
            <v>Diagnostic Accessories</v>
          </cell>
          <cell r="Q298" t="str">
            <v>GE HEALTHCARE ACCESSORIES</v>
          </cell>
          <cell r="R298" t="str">
            <v>GE Healthcare-GEDCAR</v>
          </cell>
          <cell r="S298" t="str">
            <v>GEDCAR</v>
          </cell>
          <cell r="T298" t="str">
            <v>GE Healthcare</v>
          </cell>
          <cell r="U298" t="str">
            <v>2072532-001-305079</v>
          </cell>
        </row>
        <row r="298">
          <cell r="X298" t="str">
            <v>Approved for SM</v>
          </cell>
          <cell r="Y298">
            <v>42181716</v>
          </cell>
          <cell r="Z298" t="str">
            <v>Electrocardiography EKG accessories</v>
          </cell>
          <cell r="AA298" t="str">
            <v>UNSPSC v23.0701</v>
          </cell>
        </row>
        <row r="298">
          <cell r="AC298" t="str">
            <v>42181716  Electrocardiography EKG accessories</v>
          </cell>
          <cell r="AD298" t="str">
            <v>GE</v>
          </cell>
          <cell r="AE298" t="str">
            <v>2072532-001-305079</v>
          </cell>
          <cell r="AF298" t="str">
            <v>2072532001305079</v>
          </cell>
        </row>
        <row r="298">
          <cell r="AH298" t="str">
            <v>UPGRADE</v>
          </cell>
          <cell r="AI298">
            <v>4</v>
          </cell>
          <cell r="AJ298" t="str">
            <v>UPGRADE, F/EKG MAC2000 MACHINEADD MEMORY</v>
          </cell>
        </row>
        <row r="298">
          <cell r="AL298" t="str">
            <v>42181716  Electrocardiography EKG accessories</v>
          </cell>
        </row>
        <row r="299">
          <cell r="N299">
            <v>1862</v>
          </cell>
          <cell r="O299">
            <v>1069663</v>
          </cell>
          <cell r="P299" t="str">
            <v>Diagnostic Accessories</v>
          </cell>
          <cell r="Q299" t="str">
            <v>GE HEALTHCARE ACCESSORIES</v>
          </cell>
          <cell r="R299" t="str">
            <v>GE Healthcare-GEDCAR</v>
          </cell>
          <cell r="S299" t="str">
            <v>GEDCAR</v>
          </cell>
          <cell r="T299" t="str">
            <v>GE Healthcare</v>
          </cell>
          <cell r="U299" t="str">
            <v>2072532-001-329978</v>
          </cell>
        </row>
        <row r="299">
          <cell r="X299" t="str">
            <v>Approved for SM</v>
          </cell>
          <cell r="Y299">
            <v>42181716</v>
          </cell>
          <cell r="Z299" t="str">
            <v>Electrocardiography EKG accessories</v>
          </cell>
          <cell r="AA299" t="str">
            <v>UNSPSC v23.0701</v>
          </cell>
        </row>
        <row r="299">
          <cell r="AC299" t="str">
            <v>42181716  Electrocardiography EKG accessories</v>
          </cell>
          <cell r="AD299" t="str">
            <v>GE</v>
          </cell>
          <cell r="AE299" t="str">
            <v>2072532-001-329978</v>
          </cell>
          <cell r="AF299" t="str">
            <v>2072532001329978</v>
          </cell>
        </row>
        <row r="299">
          <cell r="AH299" t="str">
            <v>UPGRADE</v>
          </cell>
          <cell r="AI299">
            <v>4</v>
          </cell>
          <cell r="AJ299" t="str">
            <v>UPGRADE, MAC2000 200 MEMORY &amp; PDF EXPORT</v>
          </cell>
        </row>
        <row r="299">
          <cell r="AL299" t="str">
            <v>42181716  Electrocardiography EKG accessories</v>
          </cell>
        </row>
        <row r="300">
          <cell r="N300">
            <v>1868</v>
          </cell>
          <cell r="O300">
            <v>1154258</v>
          </cell>
          <cell r="P300" t="str">
            <v>Combination Vital Signs Monitors</v>
          </cell>
          <cell r="Q300" t="str">
            <v>GE HEALTHCARE ACCESSORIES</v>
          </cell>
          <cell r="R300" t="str">
            <v>GE Healthcare-GEDCAR</v>
          </cell>
          <cell r="S300" t="str">
            <v>GEDCAR</v>
          </cell>
          <cell r="T300" t="str">
            <v>GE Healthcare</v>
          </cell>
          <cell r="U300" t="str">
            <v>B105</v>
          </cell>
        </row>
        <row r="300">
          <cell r="X300" t="str">
            <v>Approved for SM</v>
          </cell>
          <cell r="Y300">
            <v>42181706</v>
          </cell>
          <cell r="Z300" t="str">
            <v>Electrocardiography EKG monitor screens</v>
          </cell>
          <cell r="AA300" t="str">
            <v>UNSPSC v22.0601</v>
          </cell>
        </row>
        <row r="300">
          <cell r="AC300" t="str">
            <v>42181706  Electrocardiography EKG monitor screens</v>
          </cell>
          <cell r="AD300" t="str">
            <v>GE</v>
          </cell>
          <cell r="AE300" t="str">
            <v>B105</v>
          </cell>
          <cell r="AF300" t="str">
            <v>B105</v>
          </cell>
        </row>
        <row r="300">
          <cell r="AH300" t="str">
            <v>MONITOR</v>
          </cell>
          <cell r="AI300">
            <v>26</v>
          </cell>
          <cell r="AJ300" t="str">
            <v>MONITOR, PT SPO2/NIBP/IBP/RR/ECG/ETCO2 TOUCH SCREEN 10.1"</v>
          </cell>
        </row>
        <row r="300">
          <cell r="AL300" t="str">
            <v>42181706  Electrocardiography EKG monitor screens</v>
          </cell>
        </row>
        <row r="301">
          <cell r="N301">
            <v>1883</v>
          </cell>
          <cell r="O301">
            <v>1065655</v>
          </cell>
          <cell r="P301" t="str">
            <v>Dispensers</v>
          </cell>
          <cell r="Q301" t="str">
            <v>GEORGIA PACIFIC</v>
          </cell>
          <cell r="R301" t="str">
            <v>Georgia Pacific-GPDISP</v>
          </cell>
          <cell r="S301" t="str">
            <v>GPDISP</v>
          </cell>
          <cell r="T301" t="str">
            <v>Georgia Pacific</v>
          </cell>
          <cell r="U301" t="str">
            <v>56783A</v>
          </cell>
        </row>
        <row r="301">
          <cell r="X301" t="str">
            <v>Approved for SM</v>
          </cell>
          <cell r="Y301">
            <v>47131710</v>
          </cell>
          <cell r="Z301" t="str">
            <v>Toilet tissue dispensers</v>
          </cell>
          <cell r="AA301" t="str">
            <v>UNSPSC v23.0701</v>
          </cell>
        </row>
        <row r="301">
          <cell r="AC301" t="str">
            <v>47131710  Toilet tissue dispensers</v>
          </cell>
          <cell r="AD301" t="str">
            <v>GEORGIA PACIFIC</v>
          </cell>
          <cell r="AE301" t="str">
            <v>56783A</v>
          </cell>
          <cell r="AF301" t="str">
            <v>56783A</v>
          </cell>
        </row>
        <row r="301">
          <cell r="AH301" t="str">
            <v>DISPENSER</v>
          </cell>
          <cell r="AI301">
            <v>14</v>
          </cell>
          <cell r="AJ301" t="str">
            <v>DISPENSER, TISSUE BATH COMPACTBL ROLL GRY W/BLU (1/EA)</v>
          </cell>
        </row>
        <row r="301">
          <cell r="AL301" t="str">
            <v>47131710  Toilet tissue dispensers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01"/>
  <sheetViews>
    <sheetView tabSelected="1" topLeftCell="AM1" workbookViewId="0">
      <selection activeCell="AQ2" sqref="AQ2"/>
    </sheetView>
  </sheetViews>
  <sheetFormatPr defaultColWidth="9.14545454545454" defaultRowHeight="12"/>
  <cols>
    <col min="1" max="1" width="14.2818181818182" style="1" customWidth="1"/>
    <col min="2" max="2" width="7.42727272727273" style="1" customWidth="1"/>
    <col min="3" max="3" width="19.4272727272727" style="1" customWidth="1"/>
    <col min="4" max="4" width="14.8545454545455" style="1" customWidth="1"/>
    <col min="5" max="5" width="23.8545454545455" style="1" customWidth="1"/>
    <col min="6" max="6" width="8.71818181818182" style="1" customWidth="1"/>
    <col min="7" max="7" width="13.2818181818182" style="1" customWidth="1"/>
    <col min="8" max="8" width="9" style="1" customWidth="1"/>
    <col min="9" max="9" width="13.5727272727273" style="1" customWidth="1"/>
    <col min="10" max="10" width="8.57272727272727" style="1" customWidth="1"/>
    <col min="11" max="11" width="12.2818181818182" style="1" customWidth="1"/>
    <col min="12" max="12" width="13.5727272727273" style="1" customWidth="1"/>
    <col min="13" max="13" width="11.1454545454545" style="1" customWidth="1"/>
    <col min="14" max="14" width="6.14545454545455" style="1" customWidth="1"/>
    <col min="15" max="15" width="10.5727272727273" style="1" customWidth="1"/>
    <col min="16" max="16" width="32.1454545454545" style="1" customWidth="1"/>
    <col min="17" max="17" width="37.8545454545455" style="1" customWidth="1"/>
    <col min="18" max="18" width="35.1454545454545" style="1" customWidth="1"/>
    <col min="19" max="19" width="23.2818181818182" style="1" customWidth="1"/>
    <col min="20" max="20" width="29.2818181818182" style="1" customWidth="1"/>
    <col min="21" max="21" width="26.7181818181818" style="1" customWidth="1"/>
    <col min="22" max="22" width="24.1454545454545" style="1" customWidth="1"/>
    <col min="23" max="23" width="32.7181818181818" style="1" customWidth="1"/>
    <col min="24" max="24" width="16" style="1" customWidth="1"/>
    <col min="25" max="25" width="17.5727272727273" style="1" customWidth="1"/>
    <col min="26" max="26" width="82.7181818181818" style="1" customWidth="1"/>
    <col min="27" max="27" width="19.4272727272727" style="1" customWidth="1"/>
    <col min="28" max="28" width="16.5727272727273" style="1" customWidth="1"/>
    <col min="29" max="29" width="91.5727272727273" style="1" customWidth="1"/>
    <col min="30" max="30" width="23.1454545454545" style="1" customWidth="1"/>
    <col min="31" max="31" width="26.7181818181818" style="1" customWidth="1"/>
    <col min="32" max="32" width="24.5727272727273" style="1" customWidth="1"/>
    <col min="33" max="33" width="5.85454545454545" style="1" customWidth="1"/>
    <col min="34" max="34" width="20.2818181818182" style="1" customWidth="1"/>
    <col min="35" max="35" width="12" style="1" customWidth="1"/>
    <col min="36" max="36" width="58.1454545454545" style="1" customWidth="1"/>
    <col min="37" max="37" width="20" style="1" customWidth="1"/>
    <col min="38" max="38" width="91.5727272727273" style="1" customWidth="1"/>
    <col min="39" max="39" width="15.5727272727273" style="1" customWidth="1"/>
    <col min="40" max="40" width="8.85454545454546" style="1" customWidth="1"/>
    <col min="41" max="41" width="5.14545454545455" style="1" customWidth="1"/>
    <col min="42" max="42" width="19.8545454545455" style="1" customWidth="1"/>
    <col min="43" max="43" width="18.5727272727273" style="1" customWidth="1"/>
    <col min="44" max="16384" width="9.14545454545454" style="1" customWidth="1"/>
  </cols>
  <sheetData>
    <row r="1" customHeight="1" spans="1:4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7" t="s">
        <v>20</v>
      </c>
      <c r="V1" s="9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10" t="s">
        <v>27</v>
      </c>
      <c r="AC1" s="11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4" t="s">
        <v>33</v>
      </c>
      <c r="AI1" s="14" t="s">
        <v>34</v>
      </c>
      <c r="AJ1" s="14" t="s">
        <v>35</v>
      </c>
      <c r="AK1" s="15" t="s">
        <v>36</v>
      </c>
      <c r="AL1" s="16" t="s">
        <v>37</v>
      </c>
      <c r="AM1" s="16" t="s">
        <v>38</v>
      </c>
      <c r="AN1" s="17" t="s">
        <v>39</v>
      </c>
      <c r="AO1" s="18" t="s">
        <v>40</v>
      </c>
      <c r="AP1" s="1" t="s">
        <v>41</v>
      </c>
      <c r="AQ1" s="1" t="s">
        <v>42</v>
      </c>
    </row>
    <row r="2" customHeight="1" spans="1:43">
      <c r="A2" s="4" t="s">
        <v>43</v>
      </c>
      <c r="B2" s="4">
        <v>190</v>
      </c>
      <c r="C2" s="4" t="s">
        <v>44</v>
      </c>
      <c r="D2" s="4" t="s">
        <v>45</v>
      </c>
      <c r="E2" s="4"/>
      <c r="F2" s="4"/>
      <c r="G2" s="4"/>
      <c r="H2" s="4"/>
      <c r="I2" s="4"/>
      <c r="J2" s="4"/>
      <c r="K2" s="4"/>
      <c r="L2" s="4"/>
      <c r="M2" s="4"/>
      <c r="N2" s="4">
        <v>1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/>
      <c r="W2" s="4" t="s">
        <v>53</v>
      </c>
      <c r="X2" s="4" t="s">
        <v>54</v>
      </c>
      <c r="Y2" s="4" t="s">
        <v>53</v>
      </c>
      <c r="Z2" s="4" t="s">
        <v>53</v>
      </c>
      <c r="AA2" s="4" t="s">
        <v>53</v>
      </c>
      <c r="AB2" s="4"/>
      <c r="AC2" s="4" t="s">
        <v>53</v>
      </c>
      <c r="AD2" s="4" t="s">
        <v>55</v>
      </c>
      <c r="AE2" s="4" t="s">
        <v>52</v>
      </c>
      <c r="AF2" s="13" t="s">
        <v>52</v>
      </c>
      <c r="AG2" s="4"/>
      <c r="AH2" s="4" t="s">
        <v>56</v>
      </c>
      <c r="AI2" s="4">
        <v>1</v>
      </c>
      <c r="AJ2" s="4" t="s">
        <v>57</v>
      </c>
      <c r="AK2" s="4"/>
      <c r="AL2" s="4" t="str">
        <f>VLOOKUP(N2,[1]Sheet1!$N:$AL,25,0)</f>
        <v>42272231  Continuous positive airway pressure CPAP system accessories</v>
      </c>
      <c r="AM2" s="4"/>
      <c r="AN2" s="4"/>
      <c r="AO2" s="4"/>
      <c r="AP2" s="1" t="s">
        <v>58</v>
      </c>
      <c r="AQ2" s="1" t="s">
        <v>59</v>
      </c>
    </row>
    <row r="3" customHeight="1" spans="1:43">
      <c r="A3" s="4" t="s">
        <v>43</v>
      </c>
      <c r="B3" s="4">
        <v>190</v>
      </c>
      <c r="C3" s="4" t="s">
        <v>44</v>
      </c>
      <c r="D3" s="4" t="s">
        <v>45</v>
      </c>
      <c r="E3" s="4"/>
      <c r="F3" s="4"/>
      <c r="G3" s="4"/>
      <c r="H3" s="4"/>
      <c r="I3" s="4"/>
      <c r="J3" s="4"/>
      <c r="K3" s="4"/>
      <c r="L3" s="4"/>
      <c r="M3" s="4"/>
      <c r="N3" s="4">
        <v>2</v>
      </c>
      <c r="O3" s="4" t="s">
        <v>60</v>
      </c>
      <c r="P3" s="4" t="s">
        <v>61</v>
      </c>
      <c r="Q3" s="4" t="s">
        <v>62</v>
      </c>
      <c r="R3" s="4" t="s">
        <v>63</v>
      </c>
      <c r="S3" s="4" t="s">
        <v>64</v>
      </c>
      <c r="T3" s="4" t="s">
        <v>65</v>
      </c>
      <c r="U3" s="4" t="s">
        <v>66</v>
      </c>
      <c r="V3" s="4"/>
      <c r="W3" s="4" t="s">
        <v>53</v>
      </c>
      <c r="X3" s="4" t="s">
        <v>54</v>
      </c>
      <c r="Y3" s="4" t="s">
        <v>67</v>
      </c>
      <c r="Z3" s="4" t="s">
        <v>61</v>
      </c>
      <c r="AA3" s="4" t="s">
        <v>68</v>
      </c>
      <c r="AB3" s="4"/>
      <c r="AC3" s="4" t="s">
        <v>69</v>
      </c>
      <c r="AD3" s="4" t="s">
        <v>65</v>
      </c>
      <c r="AE3" s="4" t="s">
        <v>66</v>
      </c>
      <c r="AF3" s="13" t="s">
        <v>66</v>
      </c>
      <c r="AG3" s="4"/>
      <c r="AH3" s="4" t="s">
        <v>70</v>
      </c>
      <c r="AI3" s="4">
        <v>1</v>
      </c>
      <c r="AJ3" s="4" t="s">
        <v>71</v>
      </c>
      <c r="AK3" s="4"/>
      <c r="AL3" s="4" t="str">
        <f>VLOOKUP(N3,[1]Sheet1!$N:$AL,25,0)</f>
        <v>42182004  Dermatoscopes</v>
      </c>
      <c r="AM3" s="4"/>
      <c r="AN3" s="4"/>
      <c r="AO3" s="4"/>
      <c r="AP3" s="1" t="s">
        <v>58</v>
      </c>
      <c r="AQ3" s="1" t="s">
        <v>59</v>
      </c>
    </row>
    <row r="4" customHeight="1" spans="1:43">
      <c r="A4" s="4" t="s">
        <v>43</v>
      </c>
      <c r="B4" s="4">
        <v>190</v>
      </c>
      <c r="C4" s="4" t="s">
        <v>44</v>
      </c>
      <c r="D4" s="4" t="s">
        <v>45</v>
      </c>
      <c r="E4" s="4"/>
      <c r="F4" s="4"/>
      <c r="G4" s="4"/>
      <c r="H4" s="4"/>
      <c r="I4" s="4"/>
      <c r="J4" s="4"/>
      <c r="K4" s="4"/>
      <c r="L4" s="4"/>
      <c r="M4" s="4"/>
      <c r="N4" s="4">
        <v>3</v>
      </c>
      <c r="O4" s="4" t="s">
        <v>72</v>
      </c>
      <c r="P4" s="4" t="s">
        <v>61</v>
      </c>
      <c r="Q4" s="4" t="s">
        <v>62</v>
      </c>
      <c r="R4" s="4" t="s">
        <v>63</v>
      </c>
      <c r="S4" s="4" t="s">
        <v>64</v>
      </c>
      <c r="T4" s="4" t="s">
        <v>65</v>
      </c>
      <c r="U4" s="4" t="s">
        <v>73</v>
      </c>
      <c r="V4" s="4"/>
      <c r="W4" s="4" t="s">
        <v>53</v>
      </c>
      <c r="X4" s="4" t="s">
        <v>54</v>
      </c>
      <c r="Y4" s="4" t="s">
        <v>67</v>
      </c>
      <c r="Z4" s="4" t="s">
        <v>61</v>
      </c>
      <c r="AA4" s="4" t="s">
        <v>68</v>
      </c>
      <c r="AB4" s="4"/>
      <c r="AC4" s="4" t="s">
        <v>69</v>
      </c>
      <c r="AD4" s="4" t="s">
        <v>65</v>
      </c>
      <c r="AE4" s="4" t="s">
        <v>73</v>
      </c>
      <c r="AF4" s="13" t="s">
        <v>73</v>
      </c>
      <c r="AG4" s="4"/>
      <c r="AH4" s="4" t="s">
        <v>74</v>
      </c>
      <c r="AI4" s="4">
        <v>1</v>
      </c>
      <c r="AJ4" s="4" t="s">
        <v>75</v>
      </c>
      <c r="AK4" s="4"/>
      <c r="AL4" s="4" t="str">
        <f>VLOOKUP(N4,[1]Sheet1!$N:$AL,25,0)</f>
        <v>42182004  Dermatoscopes</v>
      </c>
      <c r="AM4" s="4"/>
      <c r="AN4" s="4"/>
      <c r="AO4" s="4"/>
      <c r="AP4" s="1" t="s">
        <v>58</v>
      </c>
      <c r="AQ4" s="1" t="s">
        <v>59</v>
      </c>
    </row>
    <row r="5" customHeight="1" spans="1:43">
      <c r="A5" s="4" t="s">
        <v>43</v>
      </c>
      <c r="B5" s="4">
        <v>190</v>
      </c>
      <c r="C5" s="4" t="s">
        <v>44</v>
      </c>
      <c r="D5" s="4" t="s">
        <v>45</v>
      </c>
      <c r="E5" s="4"/>
      <c r="F5" s="4"/>
      <c r="G5" s="4"/>
      <c r="H5" s="4"/>
      <c r="I5" s="4"/>
      <c r="J5" s="4"/>
      <c r="K5" s="4"/>
      <c r="L5" s="4"/>
      <c r="M5" s="4"/>
      <c r="N5" s="4">
        <v>12</v>
      </c>
      <c r="O5" s="4" t="s">
        <v>76</v>
      </c>
      <c r="P5" s="4" t="s">
        <v>77</v>
      </c>
      <c r="Q5" s="4" t="s">
        <v>78</v>
      </c>
      <c r="R5" s="4" t="s">
        <v>79</v>
      </c>
      <c r="S5" s="4" t="s">
        <v>80</v>
      </c>
      <c r="T5" s="4" t="s">
        <v>81</v>
      </c>
      <c r="U5" s="4" t="s">
        <v>82</v>
      </c>
      <c r="V5" s="4"/>
      <c r="W5" s="4" t="s">
        <v>53</v>
      </c>
      <c r="X5" s="4" t="s">
        <v>54</v>
      </c>
      <c r="Y5" s="4" t="s">
        <v>83</v>
      </c>
      <c r="Z5" s="4" t="s">
        <v>84</v>
      </c>
      <c r="AA5" s="4" t="s">
        <v>68</v>
      </c>
      <c r="AB5" s="4"/>
      <c r="AC5" s="4" t="s">
        <v>85</v>
      </c>
      <c r="AD5" s="4" t="s">
        <v>81</v>
      </c>
      <c r="AE5" s="4" t="s">
        <v>82</v>
      </c>
      <c r="AF5" s="13" t="s">
        <v>82</v>
      </c>
      <c r="AG5" s="4"/>
      <c r="AH5" s="4" t="s">
        <v>86</v>
      </c>
      <c r="AI5" s="4">
        <v>2</v>
      </c>
      <c r="AJ5" s="4" t="s">
        <v>87</v>
      </c>
      <c r="AK5" s="4"/>
      <c r="AL5" s="4" t="str">
        <f>VLOOKUP(N5,[1]Sheet1!$N:$AL,25,0)</f>
        <v>42142802  Vascular or compression apparel or support</v>
      </c>
      <c r="AM5" s="4"/>
      <c r="AN5" s="4"/>
      <c r="AO5" s="4"/>
      <c r="AP5" s="1" t="s">
        <v>58</v>
      </c>
      <c r="AQ5" s="1" t="s">
        <v>59</v>
      </c>
    </row>
    <row r="6" customHeight="1" spans="1:43">
      <c r="A6" s="4" t="s">
        <v>43</v>
      </c>
      <c r="B6" s="4">
        <v>190</v>
      </c>
      <c r="C6" s="4" t="s">
        <v>44</v>
      </c>
      <c r="D6" s="4" t="s">
        <v>45</v>
      </c>
      <c r="E6" s="4"/>
      <c r="F6" s="4"/>
      <c r="G6" s="4"/>
      <c r="H6" s="4"/>
      <c r="I6" s="4"/>
      <c r="J6" s="4"/>
      <c r="K6" s="4"/>
      <c r="L6" s="4"/>
      <c r="M6" s="4"/>
      <c r="N6" s="4">
        <v>13</v>
      </c>
      <c r="O6" s="4" t="s">
        <v>88</v>
      </c>
      <c r="P6" s="4" t="s">
        <v>77</v>
      </c>
      <c r="Q6" s="4" t="s">
        <v>78</v>
      </c>
      <c r="R6" s="4" t="s">
        <v>79</v>
      </c>
      <c r="S6" s="4" t="s">
        <v>80</v>
      </c>
      <c r="T6" s="4" t="s">
        <v>81</v>
      </c>
      <c r="U6" s="4" t="s">
        <v>89</v>
      </c>
      <c r="V6" s="4"/>
      <c r="W6" s="4" t="s">
        <v>53</v>
      </c>
      <c r="X6" s="4" t="s">
        <v>54</v>
      </c>
      <c r="Y6" s="4" t="s">
        <v>83</v>
      </c>
      <c r="Z6" s="4" t="s">
        <v>84</v>
      </c>
      <c r="AA6" s="4" t="s">
        <v>68</v>
      </c>
      <c r="AB6" s="4"/>
      <c r="AC6" s="4" t="s">
        <v>85</v>
      </c>
      <c r="AD6" s="4" t="s">
        <v>81</v>
      </c>
      <c r="AE6" s="4" t="s">
        <v>89</v>
      </c>
      <c r="AF6" s="13" t="s">
        <v>89</v>
      </c>
      <c r="AG6" s="4"/>
      <c r="AH6" s="4" t="s">
        <v>86</v>
      </c>
      <c r="AI6" s="4">
        <v>2</v>
      </c>
      <c r="AJ6" s="4" t="s">
        <v>90</v>
      </c>
      <c r="AK6" s="4"/>
      <c r="AL6" s="4" t="str">
        <f>VLOOKUP(N6,[1]Sheet1!$N:$AL,25,0)</f>
        <v>42142802  Vascular or compression apparel or support</v>
      </c>
      <c r="AM6" s="4"/>
      <c r="AN6" s="4"/>
      <c r="AO6" s="4"/>
      <c r="AP6" s="1" t="s">
        <v>58</v>
      </c>
      <c r="AQ6" s="1" t="s">
        <v>59</v>
      </c>
    </row>
    <row r="7" customHeight="1" spans="1:43">
      <c r="A7" s="4" t="s">
        <v>43</v>
      </c>
      <c r="B7" s="4">
        <v>190</v>
      </c>
      <c r="C7" s="4" t="s">
        <v>44</v>
      </c>
      <c r="D7" s="4" t="s">
        <v>45</v>
      </c>
      <c r="E7" s="4"/>
      <c r="F7" s="4"/>
      <c r="G7" s="4"/>
      <c r="H7" s="4"/>
      <c r="I7" s="4"/>
      <c r="J7" s="4"/>
      <c r="K7" s="4"/>
      <c r="L7" s="4"/>
      <c r="M7" s="4"/>
      <c r="N7" s="4">
        <v>19</v>
      </c>
      <c r="O7" s="4" t="s">
        <v>91</v>
      </c>
      <c r="P7" s="4" t="s">
        <v>92</v>
      </c>
      <c r="Q7" s="4" t="s">
        <v>93</v>
      </c>
      <c r="R7" s="4" t="s">
        <v>94</v>
      </c>
      <c r="S7" s="4" t="s">
        <v>95</v>
      </c>
      <c r="T7" s="4" t="s">
        <v>96</v>
      </c>
      <c r="U7" s="4" t="s">
        <v>97</v>
      </c>
      <c r="V7" s="4"/>
      <c r="W7" s="4" t="s">
        <v>53</v>
      </c>
      <c r="X7" s="4" t="s">
        <v>54</v>
      </c>
      <c r="Y7" s="4" t="s">
        <v>98</v>
      </c>
      <c r="Z7" s="4" t="s">
        <v>99</v>
      </c>
      <c r="AA7" s="4" t="s">
        <v>68</v>
      </c>
      <c r="AB7" s="4"/>
      <c r="AC7" s="4" t="s">
        <v>100</v>
      </c>
      <c r="AD7" s="4" t="s">
        <v>101</v>
      </c>
      <c r="AE7" s="4" t="s">
        <v>97</v>
      </c>
      <c r="AF7" s="13" t="s">
        <v>102</v>
      </c>
      <c r="AG7" s="4"/>
      <c r="AH7" s="4" t="s">
        <v>103</v>
      </c>
      <c r="AI7" s="4">
        <v>11</v>
      </c>
      <c r="AJ7" s="4" t="s">
        <v>104</v>
      </c>
      <c r="AK7" s="4"/>
      <c r="AL7" s="4" t="str">
        <f>VLOOKUP(N7,[1]Sheet1!$N:$AL,25,0)</f>
        <v>42181605  Blood pressure cuffs or bladders</v>
      </c>
      <c r="AM7" s="4"/>
      <c r="AN7" s="4"/>
      <c r="AO7" s="4"/>
      <c r="AP7" s="1" t="s">
        <v>58</v>
      </c>
      <c r="AQ7" s="1" t="s">
        <v>59</v>
      </c>
    </row>
    <row r="8" customHeight="1" spans="1:43">
      <c r="A8" s="4" t="s">
        <v>43</v>
      </c>
      <c r="B8" s="4">
        <v>190</v>
      </c>
      <c r="C8" s="4" t="s">
        <v>44</v>
      </c>
      <c r="D8" s="4" t="s">
        <v>45</v>
      </c>
      <c r="E8" s="4"/>
      <c r="F8" s="4"/>
      <c r="G8" s="4"/>
      <c r="H8" s="4"/>
      <c r="I8" s="4"/>
      <c r="J8" s="4"/>
      <c r="K8" s="4"/>
      <c r="L8" s="4"/>
      <c r="M8" s="4"/>
      <c r="N8" s="4">
        <v>18</v>
      </c>
      <c r="O8" s="4" t="s">
        <v>105</v>
      </c>
      <c r="P8" s="4" t="s">
        <v>106</v>
      </c>
      <c r="Q8" s="4" t="s">
        <v>93</v>
      </c>
      <c r="R8" s="4" t="s">
        <v>94</v>
      </c>
      <c r="S8" s="4" t="s">
        <v>95</v>
      </c>
      <c r="T8" s="4" t="s">
        <v>96</v>
      </c>
      <c r="U8" s="4" t="s">
        <v>107</v>
      </c>
      <c r="V8" s="4"/>
      <c r="W8" s="4" t="s">
        <v>53</v>
      </c>
      <c r="X8" s="4" t="s">
        <v>54</v>
      </c>
      <c r="Y8" s="4" t="s">
        <v>108</v>
      </c>
      <c r="Z8" s="4" t="s">
        <v>109</v>
      </c>
      <c r="AA8" s="4" t="s">
        <v>68</v>
      </c>
      <c r="AB8" s="4"/>
      <c r="AC8" s="4" t="s">
        <v>110</v>
      </c>
      <c r="AD8" s="4" t="s">
        <v>101</v>
      </c>
      <c r="AE8" s="4" t="s">
        <v>107</v>
      </c>
      <c r="AF8" s="13" t="s">
        <v>111</v>
      </c>
      <c r="AG8" s="4"/>
      <c r="AH8" s="4" t="s">
        <v>112</v>
      </c>
      <c r="AI8" s="4">
        <v>16</v>
      </c>
      <c r="AJ8" s="4" t="s">
        <v>113</v>
      </c>
      <c r="AK8" s="4"/>
      <c r="AL8" s="4" t="str">
        <f>VLOOKUP(N8,[1]Sheet1!$N:$AL,25,0)</f>
        <v>42181608  Blood pressure measuring instruments accessories</v>
      </c>
      <c r="AM8" s="4"/>
      <c r="AN8" s="4"/>
      <c r="AO8" s="4"/>
      <c r="AP8" s="1" t="s">
        <v>58</v>
      </c>
      <c r="AQ8" s="1" t="s">
        <v>59</v>
      </c>
    </row>
    <row r="9" customHeight="1" spans="1:43">
      <c r="A9" s="4" t="s">
        <v>43</v>
      </c>
      <c r="B9" s="4">
        <v>190</v>
      </c>
      <c r="C9" s="4" t="s">
        <v>44</v>
      </c>
      <c r="D9" s="4" t="s">
        <v>45</v>
      </c>
      <c r="E9" s="4"/>
      <c r="F9" s="4"/>
      <c r="G9" s="4"/>
      <c r="H9" s="4"/>
      <c r="I9" s="4"/>
      <c r="J9" s="4"/>
      <c r="K9" s="4"/>
      <c r="L9" s="4"/>
      <c r="M9" s="4"/>
      <c r="N9" s="4">
        <v>20</v>
      </c>
      <c r="O9" s="4" t="s">
        <v>114</v>
      </c>
      <c r="P9" s="4" t="s">
        <v>115</v>
      </c>
      <c r="Q9" s="4" t="s">
        <v>93</v>
      </c>
      <c r="R9" s="4" t="s">
        <v>94</v>
      </c>
      <c r="S9" s="4" t="s">
        <v>95</v>
      </c>
      <c r="T9" s="4" t="s">
        <v>96</v>
      </c>
      <c r="U9" s="4" t="s">
        <v>116</v>
      </c>
      <c r="V9" s="4"/>
      <c r="W9" s="4" t="s">
        <v>53</v>
      </c>
      <c r="X9" s="4" t="s">
        <v>54</v>
      </c>
      <c r="Y9" s="4" t="s">
        <v>117</v>
      </c>
      <c r="Z9" s="4" t="s">
        <v>118</v>
      </c>
      <c r="AA9" s="4" t="s">
        <v>68</v>
      </c>
      <c r="AB9" s="4"/>
      <c r="AC9" s="4" t="s">
        <v>119</v>
      </c>
      <c r="AD9" s="4" t="s">
        <v>101</v>
      </c>
      <c r="AE9" s="4" t="s">
        <v>116</v>
      </c>
      <c r="AF9" s="13" t="s">
        <v>116</v>
      </c>
      <c r="AG9" s="4"/>
      <c r="AH9" s="4" t="s">
        <v>120</v>
      </c>
      <c r="AI9" s="4">
        <v>1</v>
      </c>
      <c r="AJ9" s="4" t="s">
        <v>121</v>
      </c>
      <c r="AK9" s="4"/>
      <c r="AL9" s="4" t="str">
        <f>VLOOKUP(N9,[1]Sheet1!$N:$AL,25,0)</f>
        <v>42181606  Blood pressure inflation hoses or pneumatic hoses or adapters</v>
      </c>
      <c r="AM9" s="4"/>
      <c r="AN9" s="4"/>
      <c r="AO9" s="4"/>
      <c r="AP9" s="1" t="s">
        <v>58</v>
      </c>
      <c r="AQ9" s="1" t="s">
        <v>59</v>
      </c>
    </row>
    <row r="10" customHeight="1" spans="1:43">
      <c r="A10" s="4" t="s">
        <v>43</v>
      </c>
      <c r="B10" s="4">
        <v>190</v>
      </c>
      <c r="C10" s="4" t="s">
        <v>44</v>
      </c>
      <c r="D10" s="4" t="s">
        <v>45</v>
      </c>
      <c r="E10" s="4"/>
      <c r="F10" s="4"/>
      <c r="G10" s="4"/>
      <c r="H10" s="4"/>
      <c r="I10" s="4"/>
      <c r="J10" s="4"/>
      <c r="K10" s="4"/>
      <c r="L10" s="4"/>
      <c r="M10" s="4"/>
      <c r="N10" s="4">
        <v>21</v>
      </c>
      <c r="O10" s="4" t="s">
        <v>122</v>
      </c>
      <c r="P10" s="4" t="s">
        <v>123</v>
      </c>
      <c r="Q10" s="4" t="s">
        <v>93</v>
      </c>
      <c r="R10" s="4" t="s">
        <v>94</v>
      </c>
      <c r="S10" s="4" t="s">
        <v>95</v>
      </c>
      <c r="T10" s="4" t="s">
        <v>96</v>
      </c>
      <c r="U10" s="4" t="s">
        <v>124</v>
      </c>
      <c r="V10" s="4"/>
      <c r="W10" s="4" t="s">
        <v>53</v>
      </c>
      <c r="X10" s="4" t="s">
        <v>54</v>
      </c>
      <c r="Y10" s="4" t="s">
        <v>125</v>
      </c>
      <c r="Z10" s="4" t="s">
        <v>126</v>
      </c>
      <c r="AA10" s="4" t="s">
        <v>68</v>
      </c>
      <c r="AB10" s="4"/>
      <c r="AC10" s="4" t="s">
        <v>127</v>
      </c>
      <c r="AD10" s="4" t="s">
        <v>101</v>
      </c>
      <c r="AE10" s="4" t="s">
        <v>124</v>
      </c>
      <c r="AF10" s="13" t="s">
        <v>128</v>
      </c>
      <c r="AG10" s="4"/>
      <c r="AH10" s="4" t="s">
        <v>129</v>
      </c>
      <c r="AI10" s="4">
        <v>26</v>
      </c>
      <c r="AJ10" s="4" t="s">
        <v>130</v>
      </c>
      <c r="AK10" s="4"/>
      <c r="AL10" s="4" t="str">
        <f>VLOOKUP(N10,[1]Sheet1!$N:$AL,25,0)</f>
        <v>42181609  Blood pressure monitor dome kits</v>
      </c>
      <c r="AM10" s="4"/>
      <c r="AN10" s="4"/>
      <c r="AO10" s="4"/>
      <c r="AP10" s="1" t="s">
        <v>58</v>
      </c>
      <c r="AQ10" s="1" t="s">
        <v>59</v>
      </c>
    </row>
    <row r="11" customHeight="1" spans="1:43">
      <c r="A11" s="4" t="s">
        <v>43</v>
      </c>
      <c r="B11" s="4">
        <v>190</v>
      </c>
      <c r="C11" s="4" t="s">
        <v>44</v>
      </c>
      <c r="D11" s="4" t="s">
        <v>45</v>
      </c>
      <c r="E11" s="4"/>
      <c r="F11" s="4"/>
      <c r="G11" s="4"/>
      <c r="H11" s="4"/>
      <c r="I11" s="4"/>
      <c r="J11" s="4"/>
      <c r="K11" s="4"/>
      <c r="L11" s="4"/>
      <c r="M11" s="4"/>
      <c r="N11" s="4">
        <v>22</v>
      </c>
      <c r="O11" s="4" t="s">
        <v>131</v>
      </c>
      <c r="P11" s="4" t="s">
        <v>132</v>
      </c>
      <c r="Q11" s="4" t="s">
        <v>93</v>
      </c>
      <c r="R11" s="4" t="s">
        <v>94</v>
      </c>
      <c r="S11" s="4" t="s">
        <v>95</v>
      </c>
      <c r="T11" s="4" t="s">
        <v>96</v>
      </c>
      <c r="U11" s="4" t="s">
        <v>133</v>
      </c>
      <c r="V11" s="4"/>
      <c r="W11" s="4" t="s">
        <v>53</v>
      </c>
      <c r="X11" s="4" t="s">
        <v>54</v>
      </c>
      <c r="Y11" s="4" t="s">
        <v>134</v>
      </c>
      <c r="Z11" s="4" t="s">
        <v>135</v>
      </c>
      <c r="AA11" s="4" t="s">
        <v>68</v>
      </c>
      <c r="AB11" s="4"/>
      <c r="AC11" s="4" t="s">
        <v>136</v>
      </c>
      <c r="AD11" s="4" t="s">
        <v>101</v>
      </c>
      <c r="AE11" s="4" t="s">
        <v>133</v>
      </c>
      <c r="AF11" s="13" t="s">
        <v>137</v>
      </c>
      <c r="AG11" s="4"/>
      <c r="AH11" s="4" t="s">
        <v>138</v>
      </c>
      <c r="AI11" s="4">
        <v>12</v>
      </c>
      <c r="AJ11" s="4" t="s">
        <v>139</v>
      </c>
      <c r="AK11" s="4"/>
      <c r="AL11" s="4" t="str">
        <f>VLOOKUP(N11,[1]Sheet1!$N:$AL,25,0)</f>
        <v>42181602  Electronic blood pressure units</v>
      </c>
      <c r="AM11" s="4"/>
      <c r="AN11" s="4"/>
      <c r="AO11" s="4"/>
      <c r="AP11" s="1" t="s">
        <v>58</v>
      </c>
      <c r="AQ11" s="1" t="s">
        <v>59</v>
      </c>
    </row>
    <row r="12" customHeight="1" spans="1:43">
      <c r="A12" s="4" t="s">
        <v>43</v>
      </c>
      <c r="B12" s="4">
        <v>190</v>
      </c>
      <c r="C12" s="4" t="s">
        <v>44</v>
      </c>
      <c r="D12" s="4" t="s">
        <v>45</v>
      </c>
      <c r="E12" s="4"/>
      <c r="F12" s="4"/>
      <c r="G12" s="4"/>
      <c r="H12" s="4"/>
      <c r="I12" s="4"/>
      <c r="J12" s="4"/>
      <c r="K12" s="4"/>
      <c r="L12" s="4"/>
      <c r="M12" s="4"/>
      <c r="N12" s="4">
        <v>23</v>
      </c>
      <c r="O12" s="4" t="s">
        <v>140</v>
      </c>
      <c r="P12" s="4" t="s">
        <v>141</v>
      </c>
      <c r="Q12" s="4" t="s">
        <v>142</v>
      </c>
      <c r="R12" s="4" t="s">
        <v>143</v>
      </c>
      <c r="S12" s="4" t="s">
        <v>144</v>
      </c>
      <c r="T12" s="4" t="s">
        <v>145</v>
      </c>
      <c r="U12" s="4" t="s">
        <v>146</v>
      </c>
      <c r="V12" s="4"/>
      <c r="W12" s="4" t="s">
        <v>53</v>
      </c>
      <c r="X12" s="4" t="s">
        <v>54</v>
      </c>
      <c r="Y12" s="4" t="s">
        <v>147</v>
      </c>
      <c r="Z12" s="4" t="s">
        <v>148</v>
      </c>
      <c r="AA12" s="4" t="s">
        <v>68</v>
      </c>
      <c r="AB12" s="4"/>
      <c r="AC12" s="4" t="s">
        <v>149</v>
      </c>
      <c r="AD12" s="4" t="s">
        <v>150</v>
      </c>
      <c r="AE12" s="4" t="s">
        <v>146</v>
      </c>
      <c r="AF12" s="13" t="s">
        <v>146</v>
      </c>
      <c r="AG12" s="4"/>
      <c r="AH12" s="4" t="s">
        <v>146</v>
      </c>
      <c r="AI12" s="4">
        <v>11</v>
      </c>
      <c r="AJ12" s="4" t="s">
        <v>151</v>
      </c>
      <c r="AK12" s="4"/>
      <c r="AL12" s="4" t="str">
        <f>VLOOKUP(N12,[1]Sheet1!$N:$AL,25,0)</f>
        <v>42141607  Patient urinals</v>
      </c>
      <c r="AM12" s="4"/>
      <c r="AN12" s="4"/>
      <c r="AO12" s="4"/>
      <c r="AP12" s="1" t="s">
        <v>58</v>
      </c>
      <c r="AQ12" s="1" t="s">
        <v>59</v>
      </c>
    </row>
    <row r="13" customHeight="1" spans="1:43">
      <c r="A13" s="4" t="s">
        <v>43</v>
      </c>
      <c r="B13" s="4">
        <v>190</v>
      </c>
      <c r="C13" s="4" t="s">
        <v>44</v>
      </c>
      <c r="D13" s="4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>
        <v>85</v>
      </c>
      <c r="O13" s="4" t="s">
        <v>152</v>
      </c>
      <c r="P13" s="4" t="s">
        <v>153</v>
      </c>
      <c r="Q13" s="4" t="s">
        <v>154</v>
      </c>
      <c r="R13" s="4" t="s">
        <v>155</v>
      </c>
      <c r="S13" s="4" t="s">
        <v>156</v>
      </c>
      <c r="T13" s="4" t="s">
        <v>157</v>
      </c>
      <c r="U13" s="4" t="s">
        <v>158</v>
      </c>
      <c r="V13" s="4"/>
      <c r="W13" s="4" t="s">
        <v>53</v>
      </c>
      <c r="X13" s="4" t="s">
        <v>54</v>
      </c>
      <c r="Y13" s="4" t="s">
        <v>53</v>
      </c>
      <c r="Z13" s="4" t="s">
        <v>53</v>
      </c>
      <c r="AA13" s="4" t="s">
        <v>53</v>
      </c>
      <c r="AB13" s="4"/>
      <c r="AC13" s="4" t="s">
        <v>53</v>
      </c>
      <c r="AD13" s="4" t="s">
        <v>159</v>
      </c>
      <c r="AE13" s="4" t="s">
        <v>158</v>
      </c>
      <c r="AF13" s="13" t="s">
        <v>160</v>
      </c>
      <c r="AG13" s="4"/>
      <c r="AH13" s="4" t="s">
        <v>161</v>
      </c>
      <c r="AI13" s="4">
        <v>7</v>
      </c>
      <c r="AJ13" s="4" t="s">
        <v>162</v>
      </c>
      <c r="AK13" s="4"/>
      <c r="AL13" s="4" t="str">
        <f>VLOOKUP(N13,[1]Sheet1!$N:$AL,25,0)</f>
        <v>21101900  Poultry and livestock equipment</v>
      </c>
      <c r="AM13" s="4"/>
      <c r="AN13" s="4"/>
      <c r="AO13" s="4"/>
      <c r="AP13" s="1" t="s">
        <v>58</v>
      </c>
      <c r="AQ13" s="1" t="s">
        <v>59</v>
      </c>
    </row>
    <row r="14" customHeight="1" spans="1:43">
      <c r="A14" s="4" t="s">
        <v>43</v>
      </c>
      <c r="B14" s="4">
        <v>190</v>
      </c>
      <c r="C14" s="4" t="s">
        <v>44</v>
      </c>
      <c r="D14" s="4" t="s">
        <v>45</v>
      </c>
      <c r="E14" s="4"/>
      <c r="F14" s="4"/>
      <c r="G14" s="4"/>
      <c r="H14" s="4"/>
      <c r="I14" s="4"/>
      <c r="J14" s="4"/>
      <c r="K14" s="4"/>
      <c r="L14" s="4"/>
      <c r="M14" s="4"/>
      <c r="N14" s="4">
        <v>110</v>
      </c>
      <c r="O14" s="4" t="s">
        <v>163</v>
      </c>
      <c r="P14" s="4" t="s">
        <v>164</v>
      </c>
      <c r="Q14" s="4" t="s">
        <v>165</v>
      </c>
      <c r="R14" s="4" t="s">
        <v>166</v>
      </c>
      <c r="S14" s="4" t="s">
        <v>167</v>
      </c>
      <c r="T14" s="4" t="s">
        <v>168</v>
      </c>
      <c r="U14" s="4" t="s">
        <v>169</v>
      </c>
      <c r="V14" s="4"/>
      <c r="W14" s="4" t="s">
        <v>53</v>
      </c>
      <c r="X14" s="4" t="s">
        <v>54</v>
      </c>
      <c r="Y14" s="4" t="s">
        <v>170</v>
      </c>
      <c r="Z14" s="4" t="s">
        <v>171</v>
      </c>
      <c r="AA14" s="4" t="s">
        <v>68</v>
      </c>
      <c r="AB14" s="4"/>
      <c r="AC14" s="4" t="s">
        <v>172</v>
      </c>
      <c r="AD14" s="4" t="s">
        <v>173</v>
      </c>
      <c r="AE14" s="4" t="s">
        <v>169</v>
      </c>
      <c r="AF14" s="13" t="s">
        <v>169</v>
      </c>
      <c r="AG14" s="4"/>
      <c r="AH14" s="4" t="s">
        <v>174</v>
      </c>
      <c r="AI14" s="4">
        <v>5</v>
      </c>
      <c r="AJ14" s="4" t="s">
        <v>175</v>
      </c>
      <c r="AK14" s="4"/>
      <c r="AL14" s="4" t="str">
        <f>VLOOKUP(N14,[1]Sheet1!$N:$AL,25,0)</f>
        <v>42192420  First aid kit cases or bags</v>
      </c>
      <c r="AM14" s="4"/>
      <c r="AN14" s="4"/>
      <c r="AO14" s="4"/>
      <c r="AP14" s="1" t="s">
        <v>58</v>
      </c>
      <c r="AQ14" s="1" t="s">
        <v>59</v>
      </c>
    </row>
    <row r="15" customHeight="1" spans="1:43">
      <c r="A15" s="4" t="s">
        <v>43</v>
      </c>
      <c r="B15" s="4">
        <v>190</v>
      </c>
      <c r="C15" s="4" t="s">
        <v>44</v>
      </c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>
        <v>112</v>
      </c>
      <c r="O15" s="4" t="s">
        <v>176</v>
      </c>
      <c r="P15" s="4" t="s">
        <v>164</v>
      </c>
      <c r="Q15" s="4" t="s">
        <v>165</v>
      </c>
      <c r="R15" s="4" t="s">
        <v>166</v>
      </c>
      <c r="S15" s="4" t="s">
        <v>167</v>
      </c>
      <c r="T15" s="4" t="s">
        <v>168</v>
      </c>
      <c r="U15" s="4" t="s">
        <v>177</v>
      </c>
      <c r="V15" s="4"/>
      <c r="W15" s="4" t="s">
        <v>53</v>
      </c>
      <c r="X15" s="4" t="s">
        <v>54</v>
      </c>
      <c r="Y15" s="4" t="s">
        <v>170</v>
      </c>
      <c r="Z15" s="4" t="s">
        <v>171</v>
      </c>
      <c r="AA15" s="4" t="s">
        <v>68</v>
      </c>
      <c r="AB15" s="4"/>
      <c r="AC15" s="4" t="s">
        <v>172</v>
      </c>
      <c r="AD15" s="4" t="s">
        <v>173</v>
      </c>
      <c r="AE15" s="4" t="s">
        <v>177</v>
      </c>
      <c r="AF15" s="13" t="s">
        <v>177</v>
      </c>
      <c r="AG15" s="4"/>
      <c r="AH15" s="4" t="s">
        <v>174</v>
      </c>
      <c r="AI15" s="4">
        <v>5</v>
      </c>
      <c r="AJ15" s="4" t="s">
        <v>178</v>
      </c>
      <c r="AK15" s="4"/>
      <c r="AL15" s="4" t="str">
        <f>VLOOKUP(N15,[1]Sheet1!$N:$AL,25,0)</f>
        <v>42192420  First aid kit cases or bags</v>
      </c>
      <c r="AM15" s="4"/>
      <c r="AN15" s="4"/>
      <c r="AO15" s="4"/>
      <c r="AP15" s="1" t="s">
        <v>58</v>
      </c>
      <c r="AQ15" s="1" t="s">
        <v>59</v>
      </c>
    </row>
    <row r="16" customHeight="1" spans="1:43">
      <c r="A16" s="4" t="s">
        <v>43</v>
      </c>
      <c r="B16" s="4">
        <v>190</v>
      </c>
      <c r="C16" s="4" t="s">
        <v>44</v>
      </c>
      <c r="D16" s="4" t="s">
        <v>45</v>
      </c>
      <c r="E16" s="4"/>
      <c r="F16" s="4"/>
      <c r="G16" s="4"/>
      <c r="H16" s="4"/>
      <c r="I16" s="4"/>
      <c r="J16" s="4"/>
      <c r="K16" s="4"/>
      <c r="L16" s="4"/>
      <c r="M16" s="4"/>
      <c r="N16" s="4">
        <v>113</v>
      </c>
      <c r="O16" s="4" t="s">
        <v>179</v>
      </c>
      <c r="P16" s="4" t="s">
        <v>180</v>
      </c>
      <c r="Q16" s="4" t="s">
        <v>165</v>
      </c>
      <c r="R16" s="4" t="s">
        <v>166</v>
      </c>
      <c r="S16" s="4" t="s">
        <v>167</v>
      </c>
      <c r="T16" s="4" t="s">
        <v>168</v>
      </c>
      <c r="U16" s="4" t="s">
        <v>181</v>
      </c>
      <c r="V16" s="4"/>
      <c r="W16" s="4" t="s">
        <v>53</v>
      </c>
      <c r="X16" s="4" t="s">
        <v>54</v>
      </c>
      <c r="Y16" s="4" t="s">
        <v>182</v>
      </c>
      <c r="Z16" s="4" t="s">
        <v>183</v>
      </c>
      <c r="AA16" s="4" t="s">
        <v>68</v>
      </c>
      <c r="AB16" s="4"/>
      <c r="AC16" s="4" t="s">
        <v>184</v>
      </c>
      <c r="AD16" s="4" t="s">
        <v>173</v>
      </c>
      <c r="AE16" s="4" t="s">
        <v>181</v>
      </c>
      <c r="AF16" s="13" t="s">
        <v>181</v>
      </c>
      <c r="AG16" s="4"/>
      <c r="AH16" s="4" t="s">
        <v>185</v>
      </c>
      <c r="AI16" s="4">
        <v>1</v>
      </c>
      <c r="AJ16" s="4" t="s">
        <v>186</v>
      </c>
      <c r="AK16" s="4"/>
      <c r="AL16" s="4" t="str">
        <f>VLOOKUP(N16,[1]Sheet1!$N:$AL,25,0)</f>
        <v>42172002  Mobile medical services first response kits</v>
      </c>
      <c r="AM16" s="4"/>
      <c r="AN16" s="4"/>
      <c r="AO16" s="4"/>
      <c r="AP16" s="1" t="s">
        <v>58</v>
      </c>
      <c r="AQ16" s="1" t="s">
        <v>59</v>
      </c>
    </row>
    <row r="17" customHeight="1" spans="1:43">
      <c r="A17" s="4" t="s">
        <v>43</v>
      </c>
      <c r="B17" s="4">
        <v>190</v>
      </c>
      <c r="C17" s="4" t="s">
        <v>44</v>
      </c>
      <c r="D17" s="4" t="s">
        <v>45</v>
      </c>
      <c r="E17" s="4"/>
      <c r="F17" s="4"/>
      <c r="G17" s="4"/>
      <c r="H17" s="4"/>
      <c r="I17" s="4"/>
      <c r="J17" s="4"/>
      <c r="K17" s="4"/>
      <c r="L17" s="4"/>
      <c r="M17" s="4"/>
      <c r="N17" s="4">
        <v>114</v>
      </c>
      <c r="O17" s="4" t="s">
        <v>187</v>
      </c>
      <c r="P17" s="4" t="s">
        <v>188</v>
      </c>
      <c r="Q17" s="4" t="s">
        <v>165</v>
      </c>
      <c r="R17" s="4" t="s">
        <v>166</v>
      </c>
      <c r="S17" s="4" t="s">
        <v>167</v>
      </c>
      <c r="T17" s="4" t="s">
        <v>168</v>
      </c>
      <c r="U17" s="4" t="s">
        <v>189</v>
      </c>
      <c r="V17" s="4"/>
      <c r="W17" s="4" t="s">
        <v>53</v>
      </c>
      <c r="X17" s="4" t="s">
        <v>190</v>
      </c>
      <c r="Y17" s="4" t="s">
        <v>191</v>
      </c>
      <c r="Z17" s="4" t="s">
        <v>192</v>
      </c>
      <c r="AA17" s="4" t="s">
        <v>68</v>
      </c>
      <c r="AB17" s="4"/>
      <c r="AC17" s="4" t="s">
        <v>193</v>
      </c>
      <c r="AD17" s="4" t="s">
        <v>173</v>
      </c>
      <c r="AE17" s="4" t="s">
        <v>189</v>
      </c>
      <c r="AF17" s="13" t="s">
        <v>194</v>
      </c>
      <c r="AG17" s="4"/>
      <c r="AH17" s="4" t="s">
        <v>195</v>
      </c>
      <c r="AI17" s="4">
        <v>28</v>
      </c>
      <c r="AJ17" s="4" t="s">
        <v>196</v>
      </c>
      <c r="AK17" s="4"/>
      <c r="AL17" s="4" t="str">
        <f>VLOOKUP(N17,[1]Sheet1!$N:$AL,25,0)</f>
        <v>42191905  Medical treatment cabinets</v>
      </c>
      <c r="AM17" s="4"/>
      <c r="AN17" s="4"/>
      <c r="AO17" s="4"/>
      <c r="AP17" s="1" t="s">
        <v>58</v>
      </c>
      <c r="AQ17" s="1" t="s">
        <v>59</v>
      </c>
    </row>
    <row r="18" customHeight="1" spans="1:43">
      <c r="A18" s="4" t="s">
        <v>43</v>
      </c>
      <c r="B18" s="4">
        <v>190</v>
      </c>
      <c r="C18" s="4" t="s">
        <v>44</v>
      </c>
      <c r="D18" s="4" t="s">
        <v>45</v>
      </c>
      <c r="E18" s="4"/>
      <c r="F18" s="4"/>
      <c r="G18" s="4"/>
      <c r="H18" s="4"/>
      <c r="I18" s="4"/>
      <c r="J18" s="4"/>
      <c r="K18" s="4"/>
      <c r="L18" s="4"/>
      <c r="M18" s="4"/>
      <c r="N18" s="4">
        <v>115</v>
      </c>
      <c r="O18" s="4" t="s">
        <v>197</v>
      </c>
      <c r="P18" s="4" t="s">
        <v>198</v>
      </c>
      <c r="Q18" s="4" t="s">
        <v>165</v>
      </c>
      <c r="R18" s="4" t="s">
        <v>166</v>
      </c>
      <c r="S18" s="4" t="s">
        <v>167</v>
      </c>
      <c r="T18" s="4" t="s">
        <v>168</v>
      </c>
      <c r="U18" s="4" t="s">
        <v>199</v>
      </c>
      <c r="V18" s="4"/>
      <c r="W18" s="4" t="s">
        <v>53</v>
      </c>
      <c r="X18" s="4" t="s">
        <v>190</v>
      </c>
      <c r="Y18" s="4" t="s">
        <v>200</v>
      </c>
      <c r="Z18" s="4" t="s">
        <v>201</v>
      </c>
      <c r="AA18" s="4" t="s">
        <v>68</v>
      </c>
      <c r="AB18" s="4"/>
      <c r="AC18" s="4" t="s">
        <v>202</v>
      </c>
      <c r="AD18" s="4" t="s">
        <v>173</v>
      </c>
      <c r="AE18" s="4" t="s">
        <v>199</v>
      </c>
      <c r="AF18" s="13" t="s">
        <v>203</v>
      </c>
      <c r="AG18" s="4"/>
      <c r="AH18" s="4" t="s">
        <v>204</v>
      </c>
      <c r="AI18" s="4">
        <v>3</v>
      </c>
      <c r="AJ18" s="4" t="s">
        <v>205</v>
      </c>
      <c r="AK18" s="4"/>
      <c r="AL18" s="4" t="str">
        <f>VLOOKUP(N18,[1]Sheet1!$N:$AL,25,0)</f>
        <v>42271701  Medical gas cylinders or related devices</v>
      </c>
      <c r="AM18" s="4"/>
      <c r="AN18" s="4"/>
      <c r="AO18" s="4"/>
      <c r="AP18" s="1" t="s">
        <v>58</v>
      </c>
      <c r="AQ18" s="1" t="s">
        <v>59</v>
      </c>
    </row>
    <row r="19" customHeight="1" spans="1:43">
      <c r="A19" s="4" t="s">
        <v>43</v>
      </c>
      <c r="B19" s="4">
        <v>190</v>
      </c>
      <c r="C19" s="4" t="s">
        <v>44</v>
      </c>
      <c r="D19" s="4" t="s">
        <v>45</v>
      </c>
      <c r="E19" s="4"/>
      <c r="F19" s="4"/>
      <c r="G19" s="4"/>
      <c r="H19" s="4"/>
      <c r="I19" s="4"/>
      <c r="J19" s="4"/>
      <c r="K19" s="4"/>
      <c r="L19" s="4"/>
      <c r="M19" s="4"/>
      <c r="N19" s="4">
        <v>116</v>
      </c>
      <c r="O19" s="4" t="s">
        <v>206</v>
      </c>
      <c r="P19" s="4" t="s">
        <v>180</v>
      </c>
      <c r="Q19" s="4" t="s">
        <v>165</v>
      </c>
      <c r="R19" s="4" t="s">
        <v>166</v>
      </c>
      <c r="S19" s="4" t="s">
        <v>167</v>
      </c>
      <c r="T19" s="4" t="s">
        <v>168</v>
      </c>
      <c r="U19" s="4" t="s">
        <v>207</v>
      </c>
      <c r="V19" s="4"/>
      <c r="W19" s="4" t="s">
        <v>53</v>
      </c>
      <c r="X19" s="4" t="s">
        <v>54</v>
      </c>
      <c r="Y19" s="4" t="s">
        <v>182</v>
      </c>
      <c r="Z19" s="4" t="s">
        <v>183</v>
      </c>
      <c r="AA19" s="4" t="s">
        <v>68</v>
      </c>
      <c r="AB19" s="4"/>
      <c r="AC19" s="4" t="s">
        <v>184</v>
      </c>
      <c r="AD19" s="4" t="s">
        <v>173</v>
      </c>
      <c r="AE19" s="4" t="s">
        <v>207</v>
      </c>
      <c r="AF19" s="13" t="s">
        <v>208</v>
      </c>
      <c r="AG19" s="4"/>
      <c r="AH19" s="4" t="s">
        <v>209</v>
      </c>
      <c r="AI19" s="4">
        <v>4</v>
      </c>
      <c r="AJ19" s="4" t="s">
        <v>210</v>
      </c>
      <c r="AK19" s="4"/>
      <c r="AL19" s="4" t="str">
        <f>VLOOKUP(N19,[1]Sheet1!$N:$AL,25,0)</f>
        <v>42172002  Mobile medical services first response kits</v>
      </c>
      <c r="AM19" s="4"/>
      <c r="AN19" s="4"/>
      <c r="AO19" s="4"/>
      <c r="AP19" s="1" t="s">
        <v>58</v>
      </c>
      <c r="AQ19" s="1" t="s">
        <v>59</v>
      </c>
    </row>
    <row r="20" customHeight="1" spans="1:43">
      <c r="A20" s="4" t="s">
        <v>43</v>
      </c>
      <c r="B20" s="4">
        <v>190</v>
      </c>
      <c r="C20" s="4" t="s">
        <v>44</v>
      </c>
      <c r="D20" s="4" t="s">
        <v>45</v>
      </c>
      <c r="E20" s="4"/>
      <c r="F20" s="4"/>
      <c r="G20" s="4"/>
      <c r="H20" s="4"/>
      <c r="I20" s="4"/>
      <c r="J20" s="4"/>
      <c r="K20" s="4"/>
      <c r="L20" s="4"/>
      <c r="M20" s="4"/>
      <c r="N20" s="4">
        <v>117</v>
      </c>
      <c r="O20" s="4" t="s">
        <v>211</v>
      </c>
      <c r="P20" s="4" t="s">
        <v>180</v>
      </c>
      <c r="Q20" s="4" t="s">
        <v>165</v>
      </c>
      <c r="R20" s="4" t="s">
        <v>166</v>
      </c>
      <c r="S20" s="4" t="s">
        <v>167</v>
      </c>
      <c r="T20" s="4" t="s">
        <v>168</v>
      </c>
      <c r="U20" s="4" t="s">
        <v>212</v>
      </c>
      <c r="V20" s="4"/>
      <c r="W20" s="4" t="s">
        <v>53</v>
      </c>
      <c r="X20" s="4" t="s">
        <v>54</v>
      </c>
      <c r="Y20" s="4" t="s">
        <v>182</v>
      </c>
      <c r="Z20" s="4" t="s">
        <v>183</v>
      </c>
      <c r="AA20" s="4" t="s">
        <v>68</v>
      </c>
      <c r="AB20" s="4"/>
      <c r="AC20" s="4" t="s">
        <v>184</v>
      </c>
      <c r="AD20" s="4" t="s">
        <v>173</v>
      </c>
      <c r="AE20" s="4" t="s">
        <v>212</v>
      </c>
      <c r="AF20" s="13" t="s">
        <v>213</v>
      </c>
      <c r="AG20" s="4"/>
      <c r="AH20" s="4" t="s">
        <v>209</v>
      </c>
      <c r="AI20" s="4">
        <v>4</v>
      </c>
      <c r="AJ20" s="4" t="s">
        <v>214</v>
      </c>
      <c r="AK20" s="4"/>
      <c r="AL20" s="4" t="str">
        <f>VLOOKUP(N20,[1]Sheet1!$N:$AL,25,0)</f>
        <v>42172002  Mobile medical services first response kits</v>
      </c>
      <c r="AM20" s="4"/>
      <c r="AN20" s="4"/>
      <c r="AO20" s="4"/>
      <c r="AP20" s="1" t="s">
        <v>58</v>
      </c>
      <c r="AQ20" s="1" t="s">
        <v>59</v>
      </c>
    </row>
    <row r="21" customHeight="1" spans="1:43">
      <c r="A21" s="4" t="s">
        <v>43</v>
      </c>
      <c r="B21" s="4">
        <v>190</v>
      </c>
      <c r="C21" s="4" t="s">
        <v>44</v>
      </c>
      <c r="D21" s="4" t="s">
        <v>45</v>
      </c>
      <c r="E21" s="4"/>
      <c r="F21" s="4"/>
      <c r="G21" s="4"/>
      <c r="H21" s="4"/>
      <c r="I21" s="4"/>
      <c r="J21" s="4"/>
      <c r="K21" s="4"/>
      <c r="L21" s="4"/>
      <c r="M21" s="4"/>
      <c r="N21" s="4">
        <v>118</v>
      </c>
      <c r="O21" s="4" t="s">
        <v>215</v>
      </c>
      <c r="P21" s="4" t="s">
        <v>216</v>
      </c>
      <c r="Q21" s="4" t="s">
        <v>217</v>
      </c>
      <c r="R21" s="4" t="s">
        <v>218</v>
      </c>
      <c r="S21" s="4" t="s">
        <v>219</v>
      </c>
      <c r="T21" s="4" t="s">
        <v>220</v>
      </c>
      <c r="U21" s="4" t="s">
        <v>221</v>
      </c>
      <c r="V21" s="4"/>
      <c r="W21" s="4" t="s">
        <v>53</v>
      </c>
      <c r="X21" s="4" t="s">
        <v>54</v>
      </c>
      <c r="Y21" s="4" t="s">
        <v>222</v>
      </c>
      <c r="Z21" s="4" t="s">
        <v>223</v>
      </c>
      <c r="AA21" s="4" t="s">
        <v>68</v>
      </c>
      <c r="AB21" s="4"/>
      <c r="AC21" s="4" t="s">
        <v>224</v>
      </c>
      <c r="AD21" s="4" t="s">
        <v>225</v>
      </c>
      <c r="AE21" s="4" t="s">
        <v>221</v>
      </c>
      <c r="AF21" s="13" t="s">
        <v>221</v>
      </c>
      <c r="AG21" s="4"/>
      <c r="AH21" s="4" t="s">
        <v>226</v>
      </c>
      <c r="AI21" s="4">
        <v>46</v>
      </c>
      <c r="AJ21" s="4" t="s">
        <v>227</v>
      </c>
      <c r="AK21" s="4"/>
      <c r="AL21" s="4" t="str">
        <f>VLOOKUP(N21,[1]Sheet1!$N:$AL,25,0)</f>
        <v>24111514  Zipper bag</v>
      </c>
      <c r="AM21" s="4"/>
      <c r="AN21" s="4"/>
      <c r="AO21" s="4"/>
      <c r="AP21" s="1" t="s">
        <v>58</v>
      </c>
      <c r="AQ21" s="1" t="s">
        <v>59</v>
      </c>
    </row>
    <row r="22" customHeight="1" spans="1:43">
      <c r="A22" s="4" t="s">
        <v>43</v>
      </c>
      <c r="B22" s="4">
        <v>190</v>
      </c>
      <c r="C22" s="4" t="s">
        <v>44</v>
      </c>
      <c r="D22" s="4" t="s">
        <v>45</v>
      </c>
      <c r="E22" s="4"/>
      <c r="F22" s="4"/>
      <c r="G22" s="4"/>
      <c r="H22" s="4"/>
      <c r="I22" s="4"/>
      <c r="J22" s="4"/>
      <c r="K22" s="4"/>
      <c r="L22" s="4"/>
      <c r="M22" s="4"/>
      <c r="N22" s="4">
        <v>119</v>
      </c>
      <c r="O22" s="4" t="s">
        <v>228</v>
      </c>
      <c r="P22" s="4" t="s">
        <v>229</v>
      </c>
      <c r="Q22" s="4" t="s">
        <v>230</v>
      </c>
      <c r="R22" s="4" t="s">
        <v>231</v>
      </c>
      <c r="S22" s="4" t="s">
        <v>232</v>
      </c>
      <c r="T22" s="4" t="s">
        <v>233</v>
      </c>
      <c r="U22" s="4" t="s">
        <v>234</v>
      </c>
      <c r="V22" s="4"/>
      <c r="W22" s="4" t="s">
        <v>53</v>
      </c>
      <c r="X22" s="4" t="s">
        <v>54</v>
      </c>
      <c r="Y22" s="4" t="s">
        <v>235</v>
      </c>
      <c r="Z22" s="4" t="s">
        <v>236</v>
      </c>
      <c r="AA22" s="4" t="s">
        <v>68</v>
      </c>
      <c r="AB22" s="4"/>
      <c r="AC22" s="4" t="s">
        <v>237</v>
      </c>
      <c r="AD22" s="4" t="s">
        <v>238</v>
      </c>
      <c r="AE22" s="4" t="s">
        <v>234</v>
      </c>
      <c r="AF22" s="13" t="s">
        <v>239</v>
      </c>
      <c r="AG22" s="4"/>
      <c r="AH22" s="4" t="s">
        <v>240</v>
      </c>
      <c r="AI22" s="4">
        <v>9</v>
      </c>
      <c r="AJ22" s="4" t="s">
        <v>241</v>
      </c>
      <c r="AK22" s="4"/>
      <c r="AL22" s="4" t="str">
        <f>VLOOKUP(N22,[1]Sheet1!$N:$AL,25,0)</f>
        <v>42295143  Electrosurgical or electrocautery accessories or attachments</v>
      </c>
      <c r="AM22" s="4"/>
      <c r="AN22" s="4"/>
      <c r="AO22" s="4"/>
      <c r="AP22" s="1" t="s">
        <v>58</v>
      </c>
      <c r="AQ22" s="1" t="s">
        <v>59</v>
      </c>
    </row>
    <row r="23" customHeight="1" spans="1:43">
      <c r="A23" s="4" t="s">
        <v>43</v>
      </c>
      <c r="B23" s="4">
        <v>190</v>
      </c>
      <c r="C23" s="4" t="s">
        <v>44</v>
      </c>
      <c r="D23" s="4" t="s">
        <v>45</v>
      </c>
      <c r="E23" s="4"/>
      <c r="F23" s="4"/>
      <c r="G23" s="4"/>
      <c r="H23" s="4"/>
      <c r="I23" s="4"/>
      <c r="J23" s="4"/>
      <c r="K23" s="4"/>
      <c r="L23" s="4"/>
      <c r="M23" s="4"/>
      <c r="N23" s="4">
        <v>132</v>
      </c>
      <c r="O23" s="4" t="s">
        <v>242</v>
      </c>
      <c r="P23" s="4" t="s">
        <v>53</v>
      </c>
      <c r="Q23" s="4" t="s">
        <v>243</v>
      </c>
      <c r="R23" s="4" t="s">
        <v>244</v>
      </c>
      <c r="S23" s="4" t="s">
        <v>245</v>
      </c>
      <c r="T23" s="4" t="s">
        <v>246</v>
      </c>
      <c r="U23" s="4" t="s">
        <v>247</v>
      </c>
      <c r="V23" s="4"/>
      <c r="W23" s="4" t="s">
        <v>53</v>
      </c>
      <c r="X23" s="4" t="s">
        <v>190</v>
      </c>
      <c r="Y23" s="4" t="s">
        <v>53</v>
      </c>
      <c r="Z23" s="4" t="s">
        <v>53</v>
      </c>
      <c r="AA23" s="4" t="s">
        <v>53</v>
      </c>
      <c r="AB23" s="4"/>
      <c r="AC23" s="4" t="s">
        <v>53</v>
      </c>
      <c r="AD23" s="4" t="s">
        <v>248</v>
      </c>
      <c r="AE23" s="4" t="s">
        <v>247</v>
      </c>
      <c r="AF23" s="13" t="s">
        <v>247</v>
      </c>
      <c r="AG23" s="4"/>
      <c r="AH23" s="4" t="s">
        <v>249</v>
      </c>
      <c r="AI23" s="4">
        <v>10</v>
      </c>
      <c r="AJ23" s="4" t="s">
        <v>250</v>
      </c>
      <c r="AK23" s="4"/>
      <c r="AL23" s="4" t="str">
        <f>VLOOKUP(N23,[1]Sheet1!$N:$AL,25,0)</f>
        <v>42271705  Oxygen delivery connectors or adapters</v>
      </c>
      <c r="AM23" s="4"/>
      <c r="AN23" s="4"/>
      <c r="AO23" s="4"/>
      <c r="AP23" s="1" t="s">
        <v>58</v>
      </c>
      <c r="AQ23" s="1" t="s">
        <v>59</v>
      </c>
    </row>
    <row r="24" customHeight="1" spans="1:43">
      <c r="A24" s="4" t="s">
        <v>43</v>
      </c>
      <c r="B24" s="4">
        <v>190</v>
      </c>
      <c r="C24" s="4" t="s">
        <v>44</v>
      </c>
      <c r="D24" s="4" t="s">
        <v>45</v>
      </c>
      <c r="E24" s="4"/>
      <c r="F24" s="4"/>
      <c r="G24" s="4"/>
      <c r="H24" s="4"/>
      <c r="I24" s="4"/>
      <c r="J24" s="4"/>
      <c r="K24" s="4"/>
      <c r="L24" s="4"/>
      <c r="M24" s="4"/>
      <c r="N24" s="4">
        <v>146</v>
      </c>
      <c r="O24" s="4" t="s">
        <v>251</v>
      </c>
      <c r="P24" s="4" t="s">
        <v>252</v>
      </c>
      <c r="Q24" s="4" t="s">
        <v>253</v>
      </c>
      <c r="R24" s="4" t="s">
        <v>254</v>
      </c>
      <c r="S24" s="4" t="s">
        <v>255</v>
      </c>
      <c r="T24" s="4" t="s">
        <v>256</v>
      </c>
      <c r="U24" s="4" t="s">
        <v>257</v>
      </c>
      <c r="V24" s="4"/>
      <c r="W24" s="4" t="s">
        <v>53</v>
      </c>
      <c r="X24" s="4" t="s">
        <v>54</v>
      </c>
      <c r="Y24" s="4" t="s">
        <v>53</v>
      </c>
      <c r="Z24" s="4" t="s">
        <v>53</v>
      </c>
      <c r="AA24" s="4" t="s">
        <v>53</v>
      </c>
      <c r="AB24" s="4"/>
      <c r="AC24" s="4" t="s">
        <v>53</v>
      </c>
      <c r="AD24" s="4" t="s">
        <v>258</v>
      </c>
      <c r="AE24" s="4" t="s">
        <v>257</v>
      </c>
      <c r="AF24" s="13" t="s">
        <v>257</v>
      </c>
      <c r="AG24" s="4"/>
      <c r="AH24" s="4" t="s">
        <v>259</v>
      </c>
      <c r="AI24" s="4">
        <v>1</v>
      </c>
      <c r="AJ24" s="4" t="s">
        <v>260</v>
      </c>
      <c r="AK24" s="4"/>
      <c r="AL24" s="4" t="str">
        <f>VLOOKUP(N24,[1]Sheet1!$N:$AL,25,0)</f>
        <v>51271629  Lidocaine hydrochloride</v>
      </c>
      <c r="AM24" s="4"/>
      <c r="AN24" s="4"/>
      <c r="AO24" s="4"/>
      <c r="AP24" s="1" t="s">
        <v>58</v>
      </c>
      <c r="AQ24" s="1" t="s">
        <v>59</v>
      </c>
    </row>
    <row r="25" customHeight="1" spans="1:43">
      <c r="A25" s="4" t="s">
        <v>43</v>
      </c>
      <c r="B25" s="4">
        <v>190</v>
      </c>
      <c r="C25" s="4" t="s">
        <v>44</v>
      </c>
      <c r="D25" s="4" t="s">
        <v>45</v>
      </c>
      <c r="E25" s="4"/>
      <c r="F25" s="4"/>
      <c r="G25" s="4"/>
      <c r="H25" s="4"/>
      <c r="I25" s="4"/>
      <c r="J25" s="4"/>
      <c r="K25" s="4"/>
      <c r="L25" s="4"/>
      <c r="M25" s="4"/>
      <c r="N25" s="4">
        <v>147</v>
      </c>
      <c r="O25" s="4" t="s">
        <v>261</v>
      </c>
      <c r="P25" s="4" t="s">
        <v>53</v>
      </c>
      <c r="Q25" s="4" t="s">
        <v>262</v>
      </c>
      <c r="R25" s="4" t="s">
        <v>263</v>
      </c>
      <c r="S25" s="4" t="s">
        <v>264</v>
      </c>
      <c r="T25" s="4" t="s">
        <v>265</v>
      </c>
      <c r="U25" s="4" t="s">
        <v>266</v>
      </c>
      <c r="V25" s="4"/>
      <c r="W25" s="4" t="s">
        <v>53</v>
      </c>
      <c r="X25" s="4" t="s">
        <v>190</v>
      </c>
      <c r="Y25" s="4" t="s">
        <v>53</v>
      </c>
      <c r="Z25" s="4" t="s">
        <v>53</v>
      </c>
      <c r="AA25" s="4" t="s">
        <v>53</v>
      </c>
      <c r="AB25" s="4"/>
      <c r="AC25" s="4" t="s">
        <v>53</v>
      </c>
      <c r="AD25" s="4" t="s">
        <v>262</v>
      </c>
      <c r="AE25" s="4" t="s">
        <v>266</v>
      </c>
      <c r="AF25" s="13" t="s">
        <v>267</v>
      </c>
      <c r="AG25" s="4"/>
      <c r="AH25" s="4" t="s">
        <v>268</v>
      </c>
      <c r="AI25" s="4">
        <v>3</v>
      </c>
      <c r="AJ25" s="4" t="s">
        <v>269</v>
      </c>
      <c r="AK25" s="4"/>
      <c r="AL25" s="4" t="str">
        <f>VLOOKUP(N25,[1]Sheet1!$N:$AL,25,0)</f>
        <v>42271909  Artificial airway accessories</v>
      </c>
      <c r="AM25" s="4"/>
      <c r="AN25" s="4"/>
      <c r="AO25" s="4"/>
      <c r="AP25" s="1" t="s">
        <v>58</v>
      </c>
      <c r="AQ25" s="1" t="s">
        <v>59</v>
      </c>
    </row>
    <row r="26" customHeight="1" spans="1:43">
      <c r="A26" s="4" t="s">
        <v>43</v>
      </c>
      <c r="B26" s="4">
        <v>190</v>
      </c>
      <c r="C26" s="4" t="s">
        <v>44</v>
      </c>
      <c r="D26" s="4" t="s">
        <v>45</v>
      </c>
      <c r="E26" s="4"/>
      <c r="F26" s="4"/>
      <c r="G26" s="4"/>
      <c r="H26" s="4"/>
      <c r="I26" s="4"/>
      <c r="J26" s="4"/>
      <c r="K26" s="4"/>
      <c r="L26" s="4"/>
      <c r="M26" s="4"/>
      <c r="N26" s="4">
        <v>149</v>
      </c>
      <c r="O26" s="4" t="s">
        <v>270</v>
      </c>
      <c r="P26" s="4" t="s">
        <v>198</v>
      </c>
      <c r="Q26" s="4" t="s">
        <v>271</v>
      </c>
      <c r="R26" s="4" t="s">
        <v>272</v>
      </c>
      <c r="S26" s="4" t="s">
        <v>273</v>
      </c>
      <c r="T26" s="4" t="s">
        <v>274</v>
      </c>
      <c r="U26" s="4" t="s">
        <v>275</v>
      </c>
      <c r="V26" s="4"/>
      <c r="W26" s="4" t="s">
        <v>53</v>
      </c>
      <c r="X26" s="4" t="s">
        <v>190</v>
      </c>
      <c r="Y26" s="4" t="s">
        <v>200</v>
      </c>
      <c r="Z26" s="4" t="s">
        <v>201</v>
      </c>
      <c r="AA26" s="4" t="s">
        <v>68</v>
      </c>
      <c r="AB26" s="4"/>
      <c r="AC26" s="4" t="s">
        <v>202</v>
      </c>
      <c r="AD26" s="4" t="s">
        <v>276</v>
      </c>
      <c r="AE26" s="4" t="s">
        <v>275</v>
      </c>
      <c r="AF26" s="13" t="s">
        <v>275</v>
      </c>
      <c r="AG26" s="4"/>
      <c r="AH26" s="4" t="s">
        <v>277</v>
      </c>
      <c r="AI26" s="4">
        <v>2</v>
      </c>
      <c r="AJ26" s="4" t="s">
        <v>278</v>
      </c>
      <c r="AK26" s="4"/>
      <c r="AL26" s="4" t="str">
        <f>VLOOKUP(N26,[1]Sheet1!$N:$AL,25,0)</f>
        <v>42271701  Medical gas cylinders or related devices</v>
      </c>
      <c r="AM26" s="4"/>
      <c r="AN26" s="4"/>
      <c r="AO26" s="4"/>
      <c r="AP26" s="1" t="s">
        <v>58</v>
      </c>
      <c r="AQ26" s="1" t="s">
        <v>59</v>
      </c>
    </row>
    <row r="27" customHeight="1" spans="1:43">
      <c r="A27" s="4" t="s">
        <v>43</v>
      </c>
      <c r="B27" s="4">
        <v>190</v>
      </c>
      <c r="C27" s="4" t="s">
        <v>44</v>
      </c>
      <c r="D27" s="4" t="s">
        <v>45</v>
      </c>
      <c r="E27" s="4"/>
      <c r="F27" s="4"/>
      <c r="G27" s="4"/>
      <c r="H27" s="4"/>
      <c r="I27" s="4"/>
      <c r="J27" s="4"/>
      <c r="K27" s="4"/>
      <c r="L27" s="4"/>
      <c r="M27" s="4"/>
      <c r="N27" s="4">
        <v>151</v>
      </c>
      <c r="O27" s="4" t="s">
        <v>279</v>
      </c>
      <c r="P27" s="4" t="s">
        <v>280</v>
      </c>
      <c r="Q27" s="4" t="s">
        <v>281</v>
      </c>
      <c r="R27" s="4" t="s">
        <v>282</v>
      </c>
      <c r="S27" s="4" t="s">
        <v>283</v>
      </c>
      <c r="T27" s="4" t="s">
        <v>284</v>
      </c>
      <c r="U27" s="4" t="s">
        <v>285</v>
      </c>
      <c r="V27" s="4"/>
      <c r="W27" s="4" t="s">
        <v>53</v>
      </c>
      <c r="X27" s="4" t="s">
        <v>54</v>
      </c>
      <c r="Y27" s="4" t="s">
        <v>286</v>
      </c>
      <c r="Z27" s="4" t="s">
        <v>287</v>
      </c>
      <c r="AA27" s="4" t="s">
        <v>68</v>
      </c>
      <c r="AB27" s="4"/>
      <c r="AC27" s="4" t="s">
        <v>288</v>
      </c>
      <c r="AD27" s="4" t="s">
        <v>289</v>
      </c>
      <c r="AE27" s="4" t="s">
        <v>285</v>
      </c>
      <c r="AF27" s="13" t="s">
        <v>285</v>
      </c>
      <c r="AG27" s="4"/>
      <c r="AH27" s="4" t="s">
        <v>290</v>
      </c>
      <c r="AI27" s="4">
        <v>39</v>
      </c>
      <c r="AJ27" s="4" t="s">
        <v>291</v>
      </c>
      <c r="AK27" s="4"/>
      <c r="AL27" s="4" t="str">
        <f>VLOOKUP(N27,[1]Sheet1!$N:$AL,25,0)</f>
        <v>42142523  Hypodermic needle</v>
      </c>
      <c r="AM27" s="4"/>
      <c r="AN27" s="4"/>
      <c r="AO27" s="4"/>
      <c r="AP27" s="1" t="s">
        <v>58</v>
      </c>
      <c r="AQ27" s="1" t="s">
        <v>59</v>
      </c>
    </row>
    <row r="28" customHeight="1" spans="1:43">
      <c r="A28" s="4" t="s">
        <v>43</v>
      </c>
      <c r="B28" s="4">
        <v>190</v>
      </c>
      <c r="C28" s="4" t="s">
        <v>44</v>
      </c>
      <c r="D28" s="4" t="s">
        <v>45</v>
      </c>
      <c r="E28" s="4"/>
      <c r="F28" s="4"/>
      <c r="G28" s="4"/>
      <c r="H28" s="4"/>
      <c r="I28" s="4"/>
      <c r="J28" s="4"/>
      <c r="K28" s="4"/>
      <c r="L28" s="4"/>
      <c r="M28" s="4"/>
      <c r="N28" s="4">
        <v>152</v>
      </c>
      <c r="O28" s="4" t="s">
        <v>292</v>
      </c>
      <c r="P28" s="4" t="s">
        <v>293</v>
      </c>
      <c r="Q28" s="4" t="s">
        <v>294</v>
      </c>
      <c r="R28" s="4" t="s">
        <v>295</v>
      </c>
      <c r="S28" s="4" t="s">
        <v>296</v>
      </c>
      <c r="T28" s="4" t="s">
        <v>297</v>
      </c>
      <c r="U28" s="4" t="s">
        <v>298</v>
      </c>
      <c r="V28" s="4"/>
      <c r="W28" s="4" t="s">
        <v>53</v>
      </c>
      <c r="X28" s="4" t="s">
        <v>54</v>
      </c>
      <c r="Y28" s="4" t="s">
        <v>299</v>
      </c>
      <c r="Z28" s="4" t="s">
        <v>300</v>
      </c>
      <c r="AA28" s="4" t="s">
        <v>68</v>
      </c>
      <c r="AB28" s="4"/>
      <c r="AC28" s="4" t="s">
        <v>301</v>
      </c>
      <c r="AD28" s="4" t="s">
        <v>302</v>
      </c>
      <c r="AE28" s="4" t="s">
        <v>298</v>
      </c>
      <c r="AF28" s="13" t="s">
        <v>298</v>
      </c>
      <c r="AG28" s="4"/>
      <c r="AH28" s="4" t="s">
        <v>303</v>
      </c>
      <c r="AI28" s="4">
        <v>1</v>
      </c>
      <c r="AJ28" s="4" t="s">
        <v>304</v>
      </c>
      <c r="AK28" s="4"/>
      <c r="AL28" s="4" t="str">
        <f>VLOOKUP(N28,[1]Sheet1!$N:$AL,25,0)</f>
        <v>24112003  Non metallic bins</v>
      </c>
      <c r="AM28" s="4"/>
      <c r="AN28" s="4"/>
      <c r="AO28" s="4"/>
      <c r="AP28" s="1" t="s">
        <v>58</v>
      </c>
      <c r="AQ28" s="1" t="s">
        <v>59</v>
      </c>
    </row>
    <row r="29" customHeight="1" spans="1:43">
      <c r="A29" s="4" t="s">
        <v>43</v>
      </c>
      <c r="B29" s="4">
        <v>190</v>
      </c>
      <c r="C29" s="4" t="s">
        <v>44</v>
      </c>
      <c r="D29" s="4" t="s">
        <v>45</v>
      </c>
      <c r="E29" s="4"/>
      <c r="F29" s="4"/>
      <c r="G29" s="4"/>
      <c r="H29" s="4"/>
      <c r="I29" s="4"/>
      <c r="J29" s="4"/>
      <c r="K29" s="4"/>
      <c r="L29" s="4"/>
      <c r="M29" s="4"/>
      <c r="N29" s="4">
        <v>221</v>
      </c>
      <c r="O29" s="4" t="s">
        <v>305</v>
      </c>
      <c r="P29" s="4" t="s">
        <v>306</v>
      </c>
      <c r="Q29" s="4" t="s">
        <v>307</v>
      </c>
      <c r="R29" s="4" t="s">
        <v>308</v>
      </c>
      <c r="S29" s="4" t="s">
        <v>309</v>
      </c>
      <c r="T29" s="4" t="s">
        <v>310</v>
      </c>
      <c r="U29" s="4" t="s">
        <v>311</v>
      </c>
      <c r="V29" s="4"/>
      <c r="W29" s="4" t="s">
        <v>53</v>
      </c>
      <c r="X29" s="4" t="s">
        <v>54</v>
      </c>
      <c r="Y29" s="4" t="s">
        <v>312</v>
      </c>
      <c r="Z29" s="4" t="s">
        <v>313</v>
      </c>
      <c r="AA29" s="4" t="s">
        <v>68</v>
      </c>
      <c r="AB29" s="4"/>
      <c r="AC29" s="4" t="s">
        <v>314</v>
      </c>
      <c r="AD29" s="4" t="s">
        <v>315</v>
      </c>
      <c r="AE29" s="4" t="s">
        <v>311</v>
      </c>
      <c r="AF29" s="13" t="s">
        <v>316</v>
      </c>
      <c r="AG29" s="4"/>
      <c r="AH29" s="4" t="s">
        <v>161</v>
      </c>
      <c r="AI29" s="4">
        <v>7</v>
      </c>
      <c r="AJ29" s="4" t="s">
        <v>317</v>
      </c>
      <c r="AK29" s="4"/>
      <c r="AL29" s="4" t="str">
        <f>VLOOKUP(N29,[1]Sheet1!$N:$AL,25,0)</f>
        <v>42295167  Surgical suction machine or vacuum extractor or ultrasonic Surgical aspirator or regulator accessories</v>
      </c>
      <c r="AM29" s="4"/>
      <c r="AN29" s="4"/>
      <c r="AO29" s="4"/>
      <c r="AP29" s="1" t="s">
        <v>58</v>
      </c>
      <c r="AQ29" s="1" t="s">
        <v>59</v>
      </c>
    </row>
    <row r="30" customHeight="1" spans="1:43">
      <c r="A30" s="4" t="s">
        <v>43</v>
      </c>
      <c r="B30" s="4">
        <v>190</v>
      </c>
      <c r="C30" s="4" t="s">
        <v>44</v>
      </c>
      <c r="D30" s="4" t="s">
        <v>45</v>
      </c>
      <c r="E30" s="4"/>
      <c r="F30" s="4"/>
      <c r="G30" s="4"/>
      <c r="H30" s="4"/>
      <c r="I30" s="4"/>
      <c r="J30" s="4"/>
      <c r="K30" s="4"/>
      <c r="L30" s="4"/>
      <c r="M30" s="4"/>
      <c r="N30" s="4">
        <v>4629</v>
      </c>
      <c r="O30" s="4" t="s">
        <v>318</v>
      </c>
      <c r="P30" s="4" t="s">
        <v>319</v>
      </c>
      <c r="Q30" s="4" t="s">
        <v>320</v>
      </c>
      <c r="R30" s="4" t="s">
        <v>321</v>
      </c>
      <c r="S30" s="4" t="s">
        <v>322</v>
      </c>
      <c r="T30" s="4" t="s">
        <v>323</v>
      </c>
      <c r="U30" s="4" t="s">
        <v>324</v>
      </c>
      <c r="V30" s="4"/>
      <c r="W30" s="4" t="s">
        <v>53</v>
      </c>
      <c r="X30" s="4" t="s">
        <v>54</v>
      </c>
      <c r="Y30" s="4" t="s">
        <v>325</v>
      </c>
      <c r="Z30" s="4" t="s">
        <v>326</v>
      </c>
      <c r="AA30" s="4" t="s">
        <v>68</v>
      </c>
      <c r="AB30" s="4"/>
      <c r="AC30" s="4" t="s">
        <v>327</v>
      </c>
      <c r="AD30" s="4" t="s">
        <v>328</v>
      </c>
      <c r="AE30" s="4" t="s">
        <v>324</v>
      </c>
      <c r="AF30" s="13" t="s">
        <v>329</v>
      </c>
      <c r="AG30" s="4"/>
      <c r="AH30" s="4" t="s">
        <v>330</v>
      </c>
      <c r="AI30" s="4">
        <v>16</v>
      </c>
      <c r="AJ30" s="4" t="s">
        <v>331</v>
      </c>
      <c r="AK30" s="4"/>
      <c r="AL30" s="4" t="str">
        <f>VLOOKUP(N30,[1]Sheet1!$N:$AL,25,0)</f>
        <v>42222001  Intravenous infusion pumps for general use</v>
      </c>
      <c r="AM30" s="4"/>
      <c r="AN30" s="4"/>
      <c r="AO30" s="4"/>
      <c r="AP30" s="1" t="s">
        <v>58</v>
      </c>
      <c r="AQ30" s="1" t="s">
        <v>59</v>
      </c>
    </row>
    <row r="31" customHeight="1" spans="1:43">
      <c r="A31" s="4" t="s">
        <v>43</v>
      </c>
      <c r="B31" s="4">
        <v>190</v>
      </c>
      <c r="C31" s="4" t="s">
        <v>44</v>
      </c>
      <c r="D31" s="4" t="s">
        <v>45</v>
      </c>
      <c r="E31" s="4"/>
      <c r="F31" s="4"/>
      <c r="G31" s="4"/>
      <c r="H31" s="4"/>
      <c r="I31" s="4"/>
      <c r="J31" s="4"/>
      <c r="K31" s="4"/>
      <c r="L31" s="4"/>
      <c r="M31" s="4"/>
      <c r="N31" s="4">
        <v>4630</v>
      </c>
      <c r="O31" s="4" t="s">
        <v>332</v>
      </c>
      <c r="P31" s="4" t="s">
        <v>319</v>
      </c>
      <c r="Q31" s="4" t="s">
        <v>320</v>
      </c>
      <c r="R31" s="4" t="s">
        <v>321</v>
      </c>
      <c r="S31" s="4" t="s">
        <v>322</v>
      </c>
      <c r="T31" s="4" t="s">
        <v>323</v>
      </c>
      <c r="U31" s="4" t="s">
        <v>333</v>
      </c>
      <c r="V31" s="4"/>
      <c r="W31" s="4" t="s">
        <v>53</v>
      </c>
      <c r="X31" s="4" t="s">
        <v>54</v>
      </c>
      <c r="Y31" s="4" t="s">
        <v>53</v>
      </c>
      <c r="Z31" s="4" t="s">
        <v>53</v>
      </c>
      <c r="AA31" s="4" t="s">
        <v>53</v>
      </c>
      <c r="AB31" s="4"/>
      <c r="AC31" s="4" t="s">
        <v>53</v>
      </c>
      <c r="AD31" s="4" t="s">
        <v>328</v>
      </c>
      <c r="AE31" s="4" t="s">
        <v>333</v>
      </c>
      <c r="AF31" s="13" t="s">
        <v>333</v>
      </c>
      <c r="AG31" s="4"/>
      <c r="AH31" s="4" t="s">
        <v>330</v>
      </c>
      <c r="AI31" s="4">
        <v>16</v>
      </c>
      <c r="AJ31" s="4" t="s">
        <v>334</v>
      </c>
      <c r="AK31" s="4"/>
      <c r="AL31" s="4" t="str">
        <f>VLOOKUP(N31,[1]Sheet1!$N:$AL,25,0)</f>
        <v>42222001  Intravenous infusion pumps for general use</v>
      </c>
      <c r="AM31" s="4"/>
      <c r="AN31" s="4"/>
      <c r="AO31" s="4"/>
      <c r="AP31" s="1" t="s">
        <v>58</v>
      </c>
      <c r="AQ31" s="1" t="s">
        <v>59</v>
      </c>
    </row>
    <row r="32" customHeight="1" spans="1:43">
      <c r="A32" s="4" t="s">
        <v>43</v>
      </c>
      <c r="B32" s="4">
        <v>190</v>
      </c>
      <c r="C32" s="4" t="s">
        <v>44</v>
      </c>
      <c r="D32" s="4" t="s">
        <v>45</v>
      </c>
      <c r="E32" s="4"/>
      <c r="F32" s="4"/>
      <c r="G32" s="4"/>
      <c r="H32" s="4"/>
      <c r="I32" s="4"/>
      <c r="J32" s="4"/>
      <c r="K32" s="4"/>
      <c r="L32" s="4"/>
      <c r="M32" s="4"/>
      <c r="N32" s="4">
        <v>4631</v>
      </c>
      <c r="O32" s="4" t="s">
        <v>335</v>
      </c>
      <c r="P32" s="4" t="s">
        <v>336</v>
      </c>
      <c r="Q32" s="4" t="s">
        <v>320</v>
      </c>
      <c r="R32" s="4" t="s">
        <v>321</v>
      </c>
      <c r="S32" s="4" t="s">
        <v>322</v>
      </c>
      <c r="T32" s="4" t="s">
        <v>323</v>
      </c>
      <c r="U32" s="4" t="s">
        <v>337</v>
      </c>
      <c r="V32" s="4"/>
      <c r="W32" s="4" t="s">
        <v>53</v>
      </c>
      <c r="X32" s="4" t="s">
        <v>54</v>
      </c>
      <c r="Y32" s="4" t="s">
        <v>338</v>
      </c>
      <c r="Z32" s="4" t="s">
        <v>339</v>
      </c>
      <c r="AA32" s="4" t="s">
        <v>68</v>
      </c>
      <c r="AB32" s="4"/>
      <c r="AC32" s="4" t="s">
        <v>340</v>
      </c>
      <c r="AD32" s="4" t="s">
        <v>328</v>
      </c>
      <c r="AE32" s="4" t="s">
        <v>337</v>
      </c>
      <c r="AF32" s="13" t="s">
        <v>337</v>
      </c>
      <c r="AG32" s="4"/>
      <c r="AH32" s="4" t="s">
        <v>341</v>
      </c>
      <c r="AI32" s="4">
        <v>1</v>
      </c>
      <c r="AJ32" s="4" t="s">
        <v>342</v>
      </c>
      <c r="AK32" s="4"/>
      <c r="AL32" s="4" t="str">
        <f>VLOOKUP(N32,[1]Sheet1!$N:$AL,25,0)</f>
        <v>42271801  Respiratory humidifiers or vaporizers</v>
      </c>
      <c r="AM32" s="4"/>
      <c r="AN32" s="4"/>
      <c r="AO32" s="4"/>
      <c r="AP32" s="1" t="s">
        <v>58</v>
      </c>
      <c r="AQ32" s="1" t="s">
        <v>59</v>
      </c>
    </row>
    <row r="33" customHeight="1" spans="1:43">
      <c r="A33" s="4" t="s">
        <v>43</v>
      </c>
      <c r="B33" s="4">
        <v>190</v>
      </c>
      <c r="C33" s="4" t="s">
        <v>44</v>
      </c>
      <c r="D33" s="4" t="s">
        <v>45</v>
      </c>
      <c r="E33" s="4"/>
      <c r="F33" s="4"/>
      <c r="G33" s="4"/>
      <c r="H33" s="4"/>
      <c r="I33" s="4"/>
      <c r="J33" s="4"/>
      <c r="K33" s="4"/>
      <c r="L33" s="4"/>
      <c r="M33" s="4"/>
      <c r="N33" s="4">
        <v>4632</v>
      </c>
      <c r="O33" s="4" t="s">
        <v>343</v>
      </c>
      <c r="P33" s="4" t="s">
        <v>132</v>
      </c>
      <c r="Q33" s="4" t="s">
        <v>320</v>
      </c>
      <c r="R33" s="4" t="s">
        <v>321</v>
      </c>
      <c r="S33" s="4" t="s">
        <v>322</v>
      </c>
      <c r="T33" s="4" t="s">
        <v>323</v>
      </c>
      <c r="U33" s="4" t="s">
        <v>344</v>
      </c>
      <c r="V33" s="4"/>
      <c r="W33" s="4" t="s">
        <v>53</v>
      </c>
      <c r="X33" s="4" t="s">
        <v>54</v>
      </c>
      <c r="Y33" s="4" t="s">
        <v>53</v>
      </c>
      <c r="Z33" s="4" t="s">
        <v>53</v>
      </c>
      <c r="AA33" s="4" t="s">
        <v>53</v>
      </c>
      <c r="AB33" s="4"/>
      <c r="AC33" s="4" t="s">
        <v>53</v>
      </c>
      <c r="AD33" s="4" t="s">
        <v>328</v>
      </c>
      <c r="AE33" s="4" t="s">
        <v>344</v>
      </c>
      <c r="AF33" s="13" t="s">
        <v>344</v>
      </c>
      <c r="AG33" s="4"/>
      <c r="AH33" s="4" t="s">
        <v>345</v>
      </c>
      <c r="AI33" s="4">
        <v>4</v>
      </c>
      <c r="AJ33" s="4" t="s">
        <v>346</v>
      </c>
      <c r="AK33" s="4"/>
      <c r="AL33" s="4" t="str">
        <f>VLOOKUP(N33,[1]Sheet1!$N:$AL,25,0)</f>
        <v>42251810  Work table or station accessories for rehabilitation or therapy</v>
      </c>
      <c r="AM33" s="4"/>
      <c r="AN33" s="4"/>
      <c r="AO33" s="4"/>
      <c r="AP33" s="1" t="s">
        <v>58</v>
      </c>
      <c r="AQ33" s="1" t="s">
        <v>59</v>
      </c>
    </row>
    <row r="34" customHeight="1" spans="1:43">
      <c r="A34" s="4" t="s">
        <v>43</v>
      </c>
      <c r="B34" s="4">
        <v>190</v>
      </c>
      <c r="C34" s="4" t="s">
        <v>44</v>
      </c>
      <c r="D34" s="4" t="s">
        <v>45</v>
      </c>
      <c r="E34" s="4"/>
      <c r="F34" s="4"/>
      <c r="G34" s="4"/>
      <c r="H34" s="4"/>
      <c r="I34" s="4"/>
      <c r="J34" s="4"/>
      <c r="K34" s="4"/>
      <c r="L34" s="4"/>
      <c r="M34" s="4"/>
      <c r="N34" s="4">
        <v>4633</v>
      </c>
      <c r="O34" s="4" t="s">
        <v>347</v>
      </c>
      <c r="P34" s="4" t="s">
        <v>348</v>
      </c>
      <c r="Q34" s="4" t="s">
        <v>320</v>
      </c>
      <c r="R34" s="4" t="s">
        <v>321</v>
      </c>
      <c r="S34" s="4" t="s">
        <v>322</v>
      </c>
      <c r="T34" s="4" t="s">
        <v>323</v>
      </c>
      <c r="U34" s="4" t="s">
        <v>349</v>
      </c>
      <c r="V34" s="4"/>
      <c r="W34" s="4" t="s">
        <v>53</v>
      </c>
      <c r="X34" s="4" t="s">
        <v>54</v>
      </c>
      <c r="Y34" s="4" t="s">
        <v>53</v>
      </c>
      <c r="Z34" s="4" t="s">
        <v>53</v>
      </c>
      <c r="AA34" s="4" t="s">
        <v>53</v>
      </c>
      <c r="AB34" s="4"/>
      <c r="AC34" s="4" t="s">
        <v>53</v>
      </c>
      <c r="AD34" s="4" t="s">
        <v>328</v>
      </c>
      <c r="AE34" s="4" t="s">
        <v>349</v>
      </c>
      <c r="AF34" s="13" t="s">
        <v>349</v>
      </c>
      <c r="AG34" s="4"/>
      <c r="AH34" s="4" t="s">
        <v>350</v>
      </c>
      <c r="AI34" s="4">
        <v>1</v>
      </c>
      <c r="AJ34" s="4" t="s">
        <v>351</v>
      </c>
      <c r="AK34" s="4"/>
      <c r="AL34" s="4" t="str">
        <f>VLOOKUP(N34,[1]Sheet1!$N:$AL,25,0)</f>
        <v>42183018  Ophthalmic tonometers</v>
      </c>
      <c r="AM34" s="4"/>
      <c r="AN34" s="4"/>
      <c r="AO34" s="4"/>
      <c r="AP34" s="1" t="s">
        <v>58</v>
      </c>
      <c r="AQ34" s="1" t="s">
        <v>59</v>
      </c>
    </row>
    <row r="35" customHeight="1" spans="1:43">
      <c r="A35" s="4" t="s">
        <v>43</v>
      </c>
      <c r="B35" s="4">
        <v>190</v>
      </c>
      <c r="C35" s="4" t="s">
        <v>44</v>
      </c>
      <c r="D35" s="4" t="s">
        <v>45</v>
      </c>
      <c r="E35" s="4"/>
      <c r="F35" s="4"/>
      <c r="G35" s="4"/>
      <c r="H35" s="4"/>
      <c r="I35" s="4"/>
      <c r="J35" s="4"/>
      <c r="K35" s="4"/>
      <c r="L35" s="4"/>
      <c r="M35" s="4"/>
      <c r="N35" s="4">
        <v>4634</v>
      </c>
      <c r="O35" s="4" t="s">
        <v>352</v>
      </c>
      <c r="P35" s="4" t="s">
        <v>353</v>
      </c>
      <c r="Q35" s="4" t="s">
        <v>320</v>
      </c>
      <c r="R35" s="4" t="s">
        <v>321</v>
      </c>
      <c r="S35" s="4" t="s">
        <v>322</v>
      </c>
      <c r="T35" s="4" t="s">
        <v>323</v>
      </c>
      <c r="U35" s="4" t="s">
        <v>354</v>
      </c>
      <c r="V35" s="4"/>
      <c r="W35" s="4" t="s">
        <v>53</v>
      </c>
      <c r="X35" s="4" t="s">
        <v>54</v>
      </c>
      <c r="Y35" s="4" t="s">
        <v>53</v>
      </c>
      <c r="Z35" s="4" t="s">
        <v>53</v>
      </c>
      <c r="AA35" s="4" t="s">
        <v>53</v>
      </c>
      <c r="AB35" s="4"/>
      <c r="AC35" s="4" t="s">
        <v>53</v>
      </c>
      <c r="AD35" s="4" t="s">
        <v>328</v>
      </c>
      <c r="AE35" s="4" t="s">
        <v>354</v>
      </c>
      <c r="AF35" s="13" t="s">
        <v>354</v>
      </c>
      <c r="AG35" s="4"/>
      <c r="AH35" s="4" t="s">
        <v>355</v>
      </c>
      <c r="AI35" s="4">
        <v>9</v>
      </c>
      <c r="AJ35" s="4" t="s">
        <v>356</v>
      </c>
      <c r="AK35" s="4"/>
      <c r="AL35" s="4" t="str">
        <f>VLOOKUP(N35,[1]Sheet1!$N:$AL,25,0)</f>
        <v>42183015  Ophthalmic slit lamps</v>
      </c>
      <c r="AM35" s="4"/>
      <c r="AN35" s="4"/>
      <c r="AO35" s="4"/>
      <c r="AP35" s="1" t="s">
        <v>58</v>
      </c>
      <c r="AQ35" s="1" t="s">
        <v>59</v>
      </c>
    </row>
    <row r="36" customHeight="1" spans="1:43">
      <c r="A36" s="4" t="s">
        <v>43</v>
      </c>
      <c r="B36" s="4">
        <v>190</v>
      </c>
      <c r="C36" s="4" t="s">
        <v>44</v>
      </c>
      <c r="D36" s="4" t="s">
        <v>45</v>
      </c>
      <c r="E36" s="4"/>
      <c r="F36" s="4"/>
      <c r="G36" s="4"/>
      <c r="H36" s="4"/>
      <c r="I36" s="4"/>
      <c r="J36" s="4"/>
      <c r="K36" s="4"/>
      <c r="L36" s="4"/>
      <c r="M36" s="4"/>
      <c r="N36" s="4">
        <v>4635</v>
      </c>
      <c r="O36" s="4" t="s">
        <v>357</v>
      </c>
      <c r="P36" s="4" t="s">
        <v>358</v>
      </c>
      <c r="Q36" s="4" t="s">
        <v>320</v>
      </c>
      <c r="R36" s="4" t="s">
        <v>321</v>
      </c>
      <c r="S36" s="4" t="s">
        <v>322</v>
      </c>
      <c r="T36" s="4" t="s">
        <v>323</v>
      </c>
      <c r="U36" s="4" t="s">
        <v>359</v>
      </c>
      <c r="V36" s="4"/>
      <c r="W36" s="4" t="s">
        <v>53</v>
      </c>
      <c r="X36" s="4" t="s">
        <v>54</v>
      </c>
      <c r="Y36" s="4" t="s">
        <v>360</v>
      </c>
      <c r="Z36" s="4" t="s">
        <v>361</v>
      </c>
      <c r="AA36" s="4" t="s">
        <v>68</v>
      </c>
      <c r="AB36" s="4"/>
      <c r="AC36" s="4" t="s">
        <v>362</v>
      </c>
      <c r="AD36" s="4" t="s">
        <v>328</v>
      </c>
      <c r="AE36" s="4" t="s">
        <v>359</v>
      </c>
      <c r="AF36" s="13" t="s">
        <v>359</v>
      </c>
      <c r="AG36" s="4"/>
      <c r="AH36" s="4" t="s">
        <v>363</v>
      </c>
      <c r="AI36" s="4">
        <v>4</v>
      </c>
      <c r="AJ36" s="4" t="s">
        <v>364</v>
      </c>
      <c r="AK36" s="4"/>
      <c r="AL36" s="4" t="str">
        <f>VLOOKUP(N36,[1]Sheet1!$N:$AL,25,0)</f>
        <v>42182024  Medical exam scope or specula transformers</v>
      </c>
      <c r="AM36" s="4"/>
      <c r="AN36" s="4"/>
      <c r="AO36" s="4"/>
      <c r="AP36" s="1" t="s">
        <v>58</v>
      </c>
      <c r="AQ36" s="1" t="s">
        <v>59</v>
      </c>
    </row>
    <row r="37" customHeight="1" spans="1:43">
      <c r="A37" s="4" t="s">
        <v>43</v>
      </c>
      <c r="B37" s="4">
        <v>190</v>
      </c>
      <c r="C37" s="4" t="s">
        <v>44</v>
      </c>
      <c r="D37" s="4" t="s">
        <v>45</v>
      </c>
      <c r="E37" s="4"/>
      <c r="F37" s="4"/>
      <c r="G37" s="4"/>
      <c r="H37" s="4"/>
      <c r="I37" s="4"/>
      <c r="J37" s="4"/>
      <c r="K37" s="4"/>
      <c r="L37" s="4"/>
      <c r="M37" s="4"/>
      <c r="N37" s="4">
        <v>225</v>
      </c>
      <c r="O37" s="4" t="s">
        <v>365</v>
      </c>
      <c r="P37" s="4" t="s">
        <v>115</v>
      </c>
      <c r="Q37" s="4" t="s">
        <v>366</v>
      </c>
      <c r="R37" s="4" t="s">
        <v>367</v>
      </c>
      <c r="S37" s="4" t="s">
        <v>368</v>
      </c>
      <c r="T37" s="4" t="s">
        <v>369</v>
      </c>
      <c r="U37" s="4" t="s">
        <v>370</v>
      </c>
      <c r="V37" s="4"/>
      <c r="W37" s="4" t="s">
        <v>53</v>
      </c>
      <c r="X37" s="4" t="s">
        <v>54</v>
      </c>
      <c r="Y37" s="4" t="s">
        <v>371</v>
      </c>
      <c r="Z37" s="4" t="s">
        <v>372</v>
      </c>
      <c r="AA37" s="4" t="s">
        <v>68</v>
      </c>
      <c r="AB37" s="4"/>
      <c r="AC37" s="4" t="s">
        <v>373</v>
      </c>
      <c r="AD37" s="4" t="s">
        <v>368</v>
      </c>
      <c r="AE37" s="4" t="s">
        <v>370</v>
      </c>
      <c r="AF37" s="13" t="s">
        <v>374</v>
      </c>
      <c r="AG37" s="4"/>
      <c r="AH37" s="4" t="s">
        <v>375</v>
      </c>
      <c r="AI37" s="4">
        <v>1</v>
      </c>
      <c r="AJ37" s="4" t="s">
        <v>376</v>
      </c>
      <c r="AK37" s="4"/>
      <c r="AL37" s="4" t="str">
        <f>VLOOKUP(N37,[1]Sheet1!$N:$AL,25,0)</f>
        <v>42182426  Audiometer accessories</v>
      </c>
      <c r="AM37" s="4"/>
      <c r="AN37" s="4"/>
      <c r="AO37" s="4"/>
      <c r="AP37" s="1" t="s">
        <v>58</v>
      </c>
      <c r="AQ37" s="1" t="s">
        <v>59</v>
      </c>
    </row>
    <row r="38" customHeight="1" spans="1:43">
      <c r="A38" s="4" t="s">
        <v>43</v>
      </c>
      <c r="B38" s="4">
        <v>190</v>
      </c>
      <c r="C38" s="4" t="s">
        <v>44</v>
      </c>
      <c r="D38" s="4" t="s">
        <v>45</v>
      </c>
      <c r="E38" s="4"/>
      <c r="F38" s="4"/>
      <c r="G38" s="4"/>
      <c r="H38" s="4"/>
      <c r="I38" s="4"/>
      <c r="J38" s="4"/>
      <c r="K38" s="4"/>
      <c r="L38" s="4"/>
      <c r="M38" s="4"/>
      <c r="N38" s="4">
        <v>226</v>
      </c>
      <c r="O38" s="4" t="s">
        <v>377</v>
      </c>
      <c r="P38" s="4" t="s">
        <v>378</v>
      </c>
      <c r="Q38" s="4" t="s">
        <v>379</v>
      </c>
      <c r="R38" s="4" t="s">
        <v>380</v>
      </c>
      <c r="S38" s="4" t="s">
        <v>381</v>
      </c>
      <c r="T38" s="4" t="s">
        <v>382</v>
      </c>
      <c r="U38" s="4" t="s">
        <v>383</v>
      </c>
      <c r="V38" s="4"/>
      <c r="W38" s="4" t="s">
        <v>53</v>
      </c>
      <c r="X38" s="4" t="s">
        <v>54</v>
      </c>
      <c r="Y38" s="4" t="s">
        <v>384</v>
      </c>
      <c r="Z38" s="4" t="s">
        <v>385</v>
      </c>
      <c r="AA38" s="4" t="s">
        <v>68</v>
      </c>
      <c r="AB38" s="4"/>
      <c r="AC38" s="4" t="s">
        <v>386</v>
      </c>
      <c r="AD38" s="4" t="s">
        <v>381</v>
      </c>
      <c r="AE38" s="4" t="s">
        <v>383</v>
      </c>
      <c r="AF38" s="13" t="s">
        <v>383</v>
      </c>
      <c r="AG38" s="4"/>
      <c r="AH38" s="4" t="s">
        <v>387</v>
      </c>
      <c r="AI38" s="4">
        <v>1</v>
      </c>
      <c r="AJ38" s="4" t="s">
        <v>388</v>
      </c>
      <c r="AK38" s="4"/>
      <c r="AL38" s="4" t="str">
        <f>VLOOKUP(N38,[1]Sheet1!$N:$AL,25,0)</f>
        <v>42272018  Intubation laryngoscope accessories</v>
      </c>
      <c r="AM38" s="4"/>
      <c r="AN38" s="4"/>
      <c r="AO38" s="4"/>
      <c r="AP38" s="1" t="s">
        <v>58</v>
      </c>
      <c r="AQ38" s="1" t="s">
        <v>59</v>
      </c>
    </row>
    <row r="39" customHeight="1" spans="1:43">
      <c r="A39" s="4" t="s">
        <v>43</v>
      </c>
      <c r="B39" s="4">
        <v>190</v>
      </c>
      <c r="C39" s="4" t="s">
        <v>44</v>
      </c>
      <c r="D39" s="4" t="s">
        <v>45</v>
      </c>
      <c r="E39" s="4"/>
      <c r="F39" s="4"/>
      <c r="G39" s="4"/>
      <c r="H39" s="4"/>
      <c r="I39" s="4"/>
      <c r="J39" s="4"/>
      <c r="K39" s="4"/>
      <c r="L39" s="4"/>
      <c r="M39" s="4"/>
      <c r="N39" s="4">
        <v>227</v>
      </c>
      <c r="O39" s="4" t="s">
        <v>389</v>
      </c>
      <c r="P39" s="4" t="s">
        <v>319</v>
      </c>
      <c r="Q39" s="4" t="s">
        <v>379</v>
      </c>
      <c r="R39" s="4" t="s">
        <v>380</v>
      </c>
      <c r="S39" s="4" t="s">
        <v>381</v>
      </c>
      <c r="T39" s="4" t="s">
        <v>382</v>
      </c>
      <c r="U39" s="4" t="s">
        <v>390</v>
      </c>
      <c r="V39" s="4"/>
      <c r="W39" s="4" t="s">
        <v>53</v>
      </c>
      <c r="X39" s="4" t="s">
        <v>54</v>
      </c>
      <c r="Y39" s="4" t="s">
        <v>391</v>
      </c>
      <c r="Z39" s="4" t="s">
        <v>392</v>
      </c>
      <c r="AA39" s="4" t="s">
        <v>68</v>
      </c>
      <c r="AB39" s="4"/>
      <c r="AC39" s="4" t="s">
        <v>393</v>
      </c>
      <c r="AD39" s="4" t="s">
        <v>381</v>
      </c>
      <c r="AE39" s="4" t="s">
        <v>390</v>
      </c>
      <c r="AF39" s="13" t="s">
        <v>390</v>
      </c>
      <c r="AG39" s="4"/>
      <c r="AH39" s="4" t="s">
        <v>330</v>
      </c>
      <c r="AI39" s="4">
        <v>16</v>
      </c>
      <c r="AJ39" s="4" t="s">
        <v>394</v>
      </c>
      <c r="AK39" s="4"/>
      <c r="AL39" s="4" t="str">
        <f>VLOOKUP(N39,[1]Sheet1!$N:$AL,25,0)</f>
        <v>42222004  Patient controlled analgesia infusion pumps</v>
      </c>
      <c r="AM39" s="4"/>
      <c r="AN39" s="4"/>
      <c r="AO39" s="4"/>
      <c r="AP39" s="1" t="s">
        <v>58</v>
      </c>
      <c r="AQ39" s="1" t="s">
        <v>59</v>
      </c>
    </row>
    <row r="40" customHeight="1" spans="1:43">
      <c r="A40" s="4" t="s">
        <v>43</v>
      </c>
      <c r="B40" s="4">
        <v>190</v>
      </c>
      <c r="C40" s="4" t="s">
        <v>44</v>
      </c>
      <c r="D40" s="4" t="s">
        <v>45</v>
      </c>
      <c r="E40" s="4"/>
      <c r="F40" s="4"/>
      <c r="G40" s="4"/>
      <c r="H40" s="4"/>
      <c r="I40" s="4"/>
      <c r="J40" s="4"/>
      <c r="K40" s="4"/>
      <c r="L40" s="4"/>
      <c r="M40" s="4"/>
      <c r="N40" s="4">
        <v>228</v>
      </c>
      <c r="O40" s="4" t="s">
        <v>395</v>
      </c>
      <c r="P40" s="4" t="s">
        <v>319</v>
      </c>
      <c r="Q40" s="4" t="s">
        <v>379</v>
      </c>
      <c r="R40" s="4" t="s">
        <v>380</v>
      </c>
      <c r="S40" s="4" t="s">
        <v>381</v>
      </c>
      <c r="T40" s="4" t="s">
        <v>382</v>
      </c>
      <c r="U40" s="4" t="s">
        <v>396</v>
      </c>
      <c r="V40" s="4"/>
      <c r="W40" s="4" t="s">
        <v>53</v>
      </c>
      <c r="X40" s="4" t="s">
        <v>54</v>
      </c>
      <c r="Y40" s="4" t="s">
        <v>391</v>
      </c>
      <c r="Z40" s="4" t="s">
        <v>392</v>
      </c>
      <c r="AA40" s="4" t="s">
        <v>68</v>
      </c>
      <c r="AB40" s="4"/>
      <c r="AC40" s="4" t="s">
        <v>393</v>
      </c>
      <c r="AD40" s="4" t="s">
        <v>381</v>
      </c>
      <c r="AE40" s="4" t="s">
        <v>396</v>
      </c>
      <c r="AF40" s="13" t="s">
        <v>396</v>
      </c>
      <c r="AG40" s="4"/>
      <c r="AH40" s="4" t="s">
        <v>330</v>
      </c>
      <c r="AI40" s="4">
        <v>16</v>
      </c>
      <c r="AJ40" s="4" t="s">
        <v>397</v>
      </c>
      <c r="AK40" s="4"/>
      <c r="AL40" s="4" t="str">
        <f>VLOOKUP(N40,[1]Sheet1!$N:$AL,25,0)</f>
        <v>42222004  Patient controlled analgesia infusion pumps</v>
      </c>
      <c r="AM40" s="4"/>
      <c r="AN40" s="4"/>
      <c r="AO40" s="4"/>
      <c r="AP40" s="1" t="s">
        <v>58</v>
      </c>
      <c r="AQ40" s="1" t="s">
        <v>59</v>
      </c>
    </row>
    <row r="41" customHeight="1" spans="1:43">
      <c r="A41" s="4" t="s">
        <v>43</v>
      </c>
      <c r="B41" s="4">
        <v>190</v>
      </c>
      <c r="C41" s="4" t="s">
        <v>44</v>
      </c>
      <c r="D41" s="4" t="s">
        <v>45</v>
      </c>
      <c r="E41" s="4"/>
      <c r="F41" s="4"/>
      <c r="G41" s="4"/>
      <c r="H41" s="4"/>
      <c r="I41" s="4"/>
      <c r="J41" s="4"/>
      <c r="K41" s="4"/>
      <c r="L41" s="4"/>
      <c r="M41" s="4"/>
      <c r="N41" s="4">
        <v>231</v>
      </c>
      <c r="O41" s="4" t="s">
        <v>398</v>
      </c>
      <c r="P41" s="4" t="s">
        <v>399</v>
      </c>
      <c r="Q41" s="4" t="s">
        <v>379</v>
      </c>
      <c r="R41" s="4" t="s">
        <v>380</v>
      </c>
      <c r="S41" s="4" t="s">
        <v>381</v>
      </c>
      <c r="T41" s="4" t="s">
        <v>382</v>
      </c>
      <c r="U41" s="4" t="s">
        <v>400</v>
      </c>
      <c r="V41" s="4"/>
      <c r="W41" s="4" t="s">
        <v>53</v>
      </c>
      <c r="X41" s="4" t="s">
        <v>54</v>
      </c>
      <c r="Y41" s="4" t="s">
        <v>401</v>
      </c>
      <c r="Z41" s="4" t="s">
        <v>402</v>
      </c>
      <c r="AA41" s="4" t="s">
        <v>68</v>
      </c>
      <c r="AB41" s="4"/>
      <c r="AC41" s="4" t="s">
        <v>403</v>
      </c>
      <c r="AD41" s="4" t="s">
        <v>381</v>
      </c>
      <c r="AE41" s="4" t="s">
        <v>400</v>
      </c>
      <c r="AF41" s="13" t="s">
        <v>400</v>
      </c>
      <c r="AG41" s="4"/>
      <c r="AH41" s="4" t="s">
        <v>404</v>
      </c>
      <c r="AI41" s="4">
        <v>1</v>
      </c>
      <c r="AJ41" s="4" t="s">
        <v>405</v>
      </c>
      <c r="AK41" s="4"/>
      <c r="AL41" s="4" t="str">
        <f>VLOOKUP(N41,[1]Sheet1!$N:$AL,25,0)</f>
        <v>42272309  Resuscitator component accessories</v>
      </c>
      <c r="AM41" s="4"/>
      <c r="AN41" s="4"/>
      <c r="AO41" s="4"/>
      <c r="AP41" s="1" t="s">
        <v>58</v>
      </c>
      <c r="AQ41" s="1" t="s">
        <v>59</v>
      </c>
    </row>
    <row r="42" customHeight="1" spans="1:43">
      <c r="A42" s="4" t="s">
        <v>43</v>
      </c>
      <c r="B42" s="4">
        <v>190</v>
      </c>
      <c r="C42" s="4" t="s">
        <v>44</v>
      </c>
      <c r="D42" s="4" t="s">
        <v>45</v>
      </c>
      <c r="E42" s="4"/>
      <c r="F42" s="4"/>
      <c r="G42" s="4"/>
      <c r="H42" s="4"/>
      <c r="I42" s="4"/>
      <c r="J42" s="4"/>
      <c r="K42" s="4"/>
      <c r="L42" s="4"/>
      <c r="M42" s="4"/>
      <c r="N42" s="4">
        <v>233</v>
      </c>
      <c r="O42" s="4" t="s">
        <v>406</v>
      </c>
      <c r="P42" s="4" t="s">
        <v>407</v>
      </c>
      <c r="Q42" s="4" t="s">
        <v>379</v>
      </c>
      <c r="R42" s="4" t="s">
        <v>380</v>
      </c>
      <c r="S42" s="4" t="s">
        <v>381</v>
      </c>
      <c r="T42" s="4" t="s">
        <v>382</v>
      </c>
      <c r="U42" s="4" t="s">
        <v>408</v>
      </c>
      <c r="V42" s="4"/>
      <c r="W42" s="4" t="s">
        <v>53</v>
      </c>
      <c r="X42" s="4" t="s">
        <v>54</v>
      </c>
      <c r="Y42" s="4" t="s">
        <v>409</v>
      </c>
      <c r="Z42" s="4" t="s">
        <v>410</v>
      </c>
      <c r="AA42" s="4" t="s">
        <v>68</v>
      </c>
      <c r="AB42" s="4"/>
      <c r="AC42" s="4" t="s">
        <v>411</v>
      </c>
      <c r="AD42" s="4" t="s">
        <v>381</v>
      </c>
      <c r="AE42" s="4" t="s">
        <v>408</v>
      </c>
      <c r="AF42" s="13" t="s">
        <v>412</v>
      </c>
      <c r="AG42" s="4"/>
      <c r="AH42" s="4" t="s">
        <v>413</v>
      </c>
      <c r="AI42" s="4">
        <v>6</v>
      </c>
      <c r="AJ42" s="4" t="s">
        <v>414</v>
      </c>
      <c r="AK42" s="4"/>
      <c r="AL42" s="4" t="str">
        <f>VLOOKUP(N42,[1]Sheet1!$N:$AL,25,0)</f>
        <v>42272209  Ventilator circuits</v>
      </c>
      <c r="AM42" s="4"/>
      <c r="AN42" s="4"/>
      <c r="AO42" s="4"/>
      <c r="AP42" s="1" t="s">
        <v>58</v>
      </c>
      <c r="AQ42" s="1" t="s">
        <v>59</v>
      </c>
    </row>
    <row r="43" customHeight="1" spans="1:43">
      <c r="A43" s="4" t="s">
        <v>43</v>
      </c>
      <c r="B43" s="4">
        <v>190</v>
      </c>
      <c r="C43" s="4" t="s">
        <v>44</v>
      </c>
      <c r="D43" s="4" t="s">
        <v>45</v>
      </c>
      <c r="E43" s="4"/>
      <c r="F43" s="4"/>
      <c r="G43" s="4"/>
      <c r="H43" s="4"/>
      <c r="I43" s="4"/>
      <c r="J43" s="4"/>
      <c r="K43" s="4"/>
      <c r="L43" s="4"/>
      <c r="M43" s="4"/>
      <c r="N43" s="4">
        <v>234</v>
      </c>
      <c r="O43" s="4" t="s">
        <v>415</v>
      </c>
      <c r="P43" s="4" t="s">
        <v>115</v>
      </c>
      <c r="Q43" s="4" t="s">
        <v>416</v>
      </c>
      <c r="R43" s="4" t="s">
        <v>417</v>
      </c>
      <c r="S43" s="4" t="s">
        <v>418</v>
      </c>
      <c r="T43" s="4" t="s">
        <v>419</v>
      </c>
      <c r="U43" s="4" t="s">
        <v>420</v>
      </c>
      <c r="V43" s="4"/>
      <c r="W43" s="4" t="s">
        <v>53</v>
      </c>
      <c r="X43" s="4" t="s">
        <v>54</v>
      </c>
      <c r="Y43" s="4" t="s">
        <v>421</v>
      </c>
      <c r="Z43" s="4" t="s">
        <v>422</v>
      </c>
      <c r="AA43" s="4" t="s">
        <v>68</v>
      </c>
      <c r="AB43" s="4"/>
      <c r="AC43" s="4" t="s">
        <v>423</v>
      </c>
      <c r="AD43" s="4" t="s">
        <v>424</v>
      </c>
      <c r="AE43" s="4" t="s">
        <v>420</v>
      </c>
      <c r="AF43" s="13" t="s">
        <v>420</v>
      </c>
      <c r="AG43" s="4"/>
      <c r="AH43" s="4" t="s">
        <v>425</v>
      </c>
      <c r="AI43" s="4">
        <v>1</v>
      </c>
      <c r="AJ43" s="4" t="s">
        <v>426</v>
      </c>
      <c r="AK43" s="4"/>
      <c r="AL43" s="4" t="str">
        <f>VLOOKUP(N43,[1]Sheet1!$N:$AL,25,0)</f>
        <v>42204000  Medical radiological shielding and protection products</v>
      </c>
      <c r="AM43" s="4"/>
      <c r="AN43" s="4"/>
      <c r="AO43" s="4"/>
      <c r="AP43" s="1" t="s">
        <v>58</v>
      </c>
      <c r="AQ43" s="1" t="s">
        <v>59</v>
      </c>
    </row>
    <row r="44" customHeight="1" spans="1:43">
      <c r="A44" s="4" t="s">
        <v>43</v>
      </c>
      <c r="B44" s="4">
        <v>190</v>
      </c>
      <c r="C44" s="4" t="s">
        <v>44</v>
      </c>
      <c r="D44" s="4" t="s">
        <v>45</v>
      </c>
      <c r="E44" s="4"/>
      <c r="F44" s="4"/>
      <c r="G44" s="4"/>
      <c r="H44" s="4"/>
      <c r="I44" s="4"/>
      <c r="J44" s="4"/>
      <c r="K44" s="4"/>
      <c r="L44" s="4"/>
      <c r="M44" s="4"/>
      <c r="N44" s="4">
        <v>235</v>
      </c>
      <c r="O44" s="4" t="s">
        <v>427</v>
      </c>
      <c r="P44" s="4" t="s">
        <v>428</v>
      </c>
      <c r="Q44" s="4" t="s">
        <v>429</v>
      </c>
      <c r="R44" s="4" t="s">
        <v>430</v>
      </c>
      <c r="S44" s="4" t="s">
        <v>431</v>
      </c>
      <c r="T44" s="4" t="s">
        <v>432</v>
      </c>
      <c r="U44" s="4" t="s">
        <v>433</v>
      </c>
      <c r="V44" s="4"/>
      <c r="W44" s="4" t="s">
        <v>53</v>
      </c>
      <c r="X44" s="4" t="s">
        <v>54</v>
      </c>
      <c r="Y44" s="4" t="s">
        <v>434</v>
      </c>
      <c r="Z44" s="4" t="s">
        <v>435</v>
      </c>
      <c r="AA44" s="4" t="s">
        <v>68</v>
      </c>
      <c r="AB44" s="4"/>
      <c r="AC44" s="4" t="s">
        <v>436</v>
      </c>
      <c r="AD44" s="4" t="s">
        <v>437</v>
      </c>
      <c r="AE44" s="4" t="s">
        <v>433</v>
      </c>
      <c r="AF44" s="13" t="s">
        <v>433</v>
      </c>
      <c r="AG44" s="4"/>
      <c r="AH44" s="4" t="s">
        <v>438</v>
      </c>
      <c r="AI44" s="4">
        <v>2</v>
      </c>
      <c r="AJ44" s="4" t="s">
        <v>439</v>
      </c>
      <c r="AK44" s="4"/>
      <c r="AL44" s="4" t="str">
        <f>VLOOKUP(N44,[1]Sheet1!$N:$AL,25,0)</f>
        <v>42231901  Breast pumps</v>
      </c>
      <c r="AM44" s="4"/>
      <c r="AN44" s="4"/>
      <c r="AO44" s="4"/>
      <c r="AP44" s="1" t="s">
        <v>58</v>
      </c>
      <c r="AQ44" s="1" t="s">
        <v>59</v>
      </c>
    </row>
    <row r="45" customHeight="1" spans="1:43">
      <c r="A45" s="4" t="s">
        <v>43</v>
      </c>
      <c r="B45" s="4">
        <v>190</v>
      </c>
      <c r="C45" s="4" t="s">
        <v>44</v>
      </c>
      <c r="D45" s="4" t="s">
        <v>45</v>
      </c>
      <c r="E45" s="4"/>
      <c r="F45" s="4"/>
      <c r="G45" s="4"/>
      <c r="H45" s="4"/>
      <c r="I45" s="4"/>
      <c r="J45" s="4"/>
      <c r="K45" s="4"/>
      <c r="L45" s="4"/>
      <c r="M45" s="4"/>
      <c r="N45" s="4">
        <v>260</v>
      </c>
      <c r="O45" s="4" t="s">
        <v>440</v>
      </c>
      <c r="P45" s="4" t="s">
        <v>441</v>
      </c>
      <c r="Q45" s="4" t="s">
        <v>442</v>
      </c>
      <c r="R45" s="4" t="s">
        <v>443</v>
      </c>
      <c r="S45" s="4" t="s">
        <v>444</v>
      </c>
      <c r="T45" s="4" t="s">
        <v>445</v>
      </c>
      <c r="U45" s="4" t="s">
        <v>446</v>
      </c>
      <c r="V45" s="4"/>
      <c r="W45" s="4" t="s">
        <v>53</v>
      </c>
      <c r="X45" s="4" t="s">
        <v>54</v>
      </c>
      <c r="Y45" s="4" t="s">
        <v>53</v>
      </c>
      <c r="Z45" s="4" t="s">
        <v>53</v>
      </c>
      <c r="AA45" s="4" t="s">
        <v>53</v>
      </c>
      <c r="AB45" s="4"/>
      <c r="AC45" s="4" t="s">
        <v>53</v>
      </c>
      <c r="AD45" s="4" t="s">
        <v>447</v>
      </c>
      <c r="AE45" s="4" t="s">
        <v>446</v>
      </c>
      <c r="AF45" s="13" t="s">
        <v>448</v>
      </c>
      <c r="AG45" s="4"/>
      <c r="AH45" s="4" t="s">
        <v>449</v>
      </c>
      <c r="AI45" s="4">
        <v>1</v>
      </c>
      <c r="AJ45" s="4" t="s">
        <v>450</v>
      </c>
      <c r="AK45" s="4"/>
      <c r="AL45" s="4" t="str">
        <f>VLOOKUP(N45,[1]Sheet1!$N:$AL,25,0)</f>
        <v>42295534  Otologic implants</v>
      </c>
      <c r="AM45" s="4"/>
      <c r="AN45" s="4"/>
      <c r="AO45" s="4"/>
      <c r="AP45" s="1" t="s">
        <v>58</v>
      </c>
      <c r="AQ45" s="1" t="s">
        <v>59</v>
      </c>
    </row>
    <row r="46" customHeight="1" spans="1:43">
      <c r="A46" s="4" t="s">
        <v>43</v>
      </c>
      <c r="B46" s="4">
        <v>190</v>
      </c>
      <c r="C46" s="4" t="s">
        <v>44</v>
      </c>
      <c r="D46" s="4" t="s">
        <v>45</v>
      </c>
      <c r="E46" s="4"/>
      <c r="F46" s="4"/>
      <c r="G46" s="4"/>
      <c r="H46" s="4"/>
      <c r="I46" s="4"/>
      <c r="J46" s="4"/>
      <c r="K46" s="4"/>
      <c r="L46" s="4"/>
      <c r="M46" s="4"/>
      <c r="N46" s="4">
        <v>261</v>
      </c>
      <c r="O46" s="4" t="s">
        <v>451</v>
      </c>
      <c r="P46" s="4" t="s">
        <v>452</v>
      </c>
      <c r="Q46" s="4" t="s">
        <v>442</v>
      </c>
      <c r="R46" s="4" t="s">
        <v>443</v>
      </c>
      <c r="S46" s="4" t="s">
        <v>444</v>
      </c>
      <c r="T46" s="4" t="s">
        <v>445</v>
      </c>
      <c r="U46" s="4" t="s">
        <v>453</v>
      </c>
      <c r="V46" s="4"/>
      <c r="W46" s="4" t="s">
        <v>53</v>
      </c>
      <c r="X46" s="4" t="s">
        <v>54</v>
      </c>
      <c r="Y46" s="4" t="s">
        <v>454</v>
      </c>
      <c r="Z46" s="4" t="s">
        <v>455</v>
      </c>
      <c r="AA46" s="4" t="s">
        <v>68</v>
      </c>
      <c r="AB46" s="4"/>
      <c r="AC46" s="4" t="s">
        <v>456</v>
      </c>
      <c r="AD46" s="4" t="s">
        <v>447</v>
      </c>
      <c r="AE46" s="4" t="s">
        <v>453</v>
      </c>
      <c r="AF46" s="13" t="s">
        <v>453</v>
      </c>
      <c r="AG46" s="4"/>
      <c r="AH46" s="4" t="s">
        <v>457</v>
      </c>
      <c r="AI46" s="4">
        <v>1</v>
      </c>
      <c r="AJ46" s="4" t="s">
        <v>458</v>
      </c>
      <c r="AK46" s="4"/>
      <c r="AL46" s="4" t="str">
        <f>VLOOKUP(N46,[1]Sheet1!$N:$AL,25,0)</f>
        <v>42182103  Medical acoustic stethoscopes</v>
      </c>
      <c r="AM46" s="4"/>
      <c r="AN46" s="4"/>
      <c r="AO46" s="4"/>
      <c r="AP46" s="1" t="s">
        <v>58</v>
      </c>
      <c r="AQ46" s="1" t="s">
        <v>59</v>
      </c>
    </row>
    <row r="47" customHeight="1" spans="1:43">
      <c r="A47" s="4" t="s">
        <v>43</v>
      </c>
      <c r="B47" s="4">
        <v>190</v>
      </c>
      <c r="C47" s="4" t="s">
        <v>44</v>
      </c>
      <c r="D47" s="4" t="s">
        <v>45</v>
      </c>
      <c r="E47" s="4"/>
      <c r="F47" s="4"/>
      <c r="G47" s="4"/>
      <c r="H47" s="4"/>
      <c r="I47" s="4"/>
      <c r="J47" s="4"/>
      <c r="K47" s="4"/>
      <c r="L47" s="4"/>
      <c r="M47" s="4"/>
      <c r="N47" s="4">
        <v>267</v>
      </c>
      <c r="O47" s="4" t="s">
        <v>459</v>
      </c>
      <c r="P47" s="4" t="s">
        <v>460</v>
      </c>
      <c r="Q47" s="4" t="s">
        <v>442</v>
      </c>
      <c r="R47" s="4" t="s">
        <v>443</v>
      </c>
      <c r="S47" s="4" t="s">
        <v>444</v>
      </c>
      <c r="T47" s="4" t="s">
        <v>445</v>
      </c>
      <c r="U47" s="4" t="s">
        <v>461</v>
      </c>
      <c r="V47" s="4"/>
      <c r="W47" s="4" t="s">
        <v>53</v>
      </c>
      <c r="X47" s="4" t="s">
        <v>54</v>
      </c>
      <c r="Y47" s="4" t="s">
        <v>462</v>
      </c>
      <c r="Z47" s="4" t="s">
        <v>463</v>
      </c>
      <c r="AA47" s="4" t="s">
        <v>68</v>
      </c>
      <c r="AB47" s="4"/>
      <c r="AC47" s="4" t="s">
        <v>464</v>
      </c>
      <c r="AD47" s="4" t="s">
        <v>447</v>
      </c>
      <c r="AE47" s="4" t="s">
        <v>461</v>
      </c>
      <c r="AF47" s="13" t="s">
        <v>465</v>
      </c>
      <c r="AG47" s="4"/>
      <c r="AH47" s="4" t="s">
        <v>466</v>
      </c>
      <c r="AI47" s="4">
        <v>1</v>
      </c>
      <c r="AJ47" s="4" t="s">
        <v>467</v>
      </c>
      <c r="AK47" s="4"/>
      <c r="AL47" s="4" t="str">
        <f>VLOOKUP(N47,[1]Sheet1!$N:$AL,25,0)</f>
        <v>42181601  Aneroid blood pressure units</v>
      </c>
      <c r="AM47" s="4"/>
      <c r="AN47" s="4"/>
      <c r="AO47" s="4"/>
      <c r="AP47" s="1" t="s">
        <v>58</v>
      </c>
      <c r="AQ47" s="1" t="s">
        <v>59</v>
      </c>
    </row>
    <row r="48" customHeight="1" spans="1:43">
      <c r="A48" s="4" t="s">
        <v>43</v>
      </c>
      <c r="B48" s="4">
        <v>190</v>
      </c>
      <c r="C48" s="4" t="s">
        <v>44</v>
      </c>
      <c r="D48" s="4" t="s">
        <v>45</v>
      </c>
      <c r="E48" s="4"/>
      <c r="F48" s="4"/>
      <c r="G48" s="4"/>
      <c r="H48" s="4"/>
      <c r="I48" s="4"/>
      <c r="J48" s="4"/>
      <c r="K48" s="4"/>
      <c r="L48" s="4"/>
      <c r="M48" s="4"/>
      <c r="N48" s="4">
        <v>275</v>
      </c>
      <c r="O48" s="4" t="s">
        <v>468</v>
      </c>
      <c r="P48" s="4" t="s">
        <v>469</v>
      </c>
      <c r="Q48" s="4" t="s">
        <v>442</v>
      </c>
      <c r="R48" s="4" t="s">
        <v>443</v>
      </c>
      <c r="S48" s="4" t="s">
        <v>444</v>
      </c>
      <c r="T48" s="4" t="s">
        <v>445</v>
      </c>
      <c r="U48" s="4" t="s">
        <v>470</v>
      </c>
      <c r="V48" s="4"/>
      <c r="W48" s="4" t="s">
        <v>53</v>
      </c>
      <c r="X48" s="4" t="s">
        <v>54</v>
      </c>
      <c r="Y48" s="4" t="s">
        <v>98</v>
      </c>
      <c r="Z48" s="4" t="s">
        <v>99</v>
      </c>
      <c r="AA48" s="4" t="s">
        <v>68</v>
      </c>
      <c r="AB48" s="4"/>
      <c r="AC48" s="4" t="s">
        <v>100</v>
      </c>
      <c r="AD48" s="4" t="s">
        <v>447</v>
      </c>
      <c r="AE48" s="4" t="s">
        <v>470</v>
      </c>
      <c r="AF48" s="13" t="s">
        <v>471</v>
      </c>
      <c r="AG48" s="4"/>
      <c r="AH48" s="4" t="s">
        <v>472</v>
      </c>
      <c r="AI48" s="4">
        <v>1</v>
      </c>
      <c r="AJ48" s="4" t="s">
        <v>473</v>
      </c>
      <c r="AK48" s="4"/>
      <c r="AL48" s="4" t="str">
        <f>VLOOKUP(N48,[1]Sheet1!$N:$AL,25,0)</f>
        <v>42181605  Blood pressure cuffs or bladders</v>
      </c>
      <c r="AM48" s="4"/>
      <c r="AN48" s="4"/>
      <c r="AO48" s="4"/>
      <c r="AP48" s="1" t="s">
        <v>58</v>
      </c>
      <c r="AQ48" s="1" t="s">
        <v>59</v>
      </c>
    </row>
    <row r="49" customHeight="1" spans="1:43">
      <c r="A49" s="4" t="s">
        <v>43</v>
      </c>
      <c r="B49" s="4">
        <v>190</v>
      </c>
      <c r="C49" s="4" t="s">
        <v>44</v>
      </c>
      <c r="D49" s="4" t="s">
        <v>45</v>
      </c>
      <c r="E49" s="4"/>
      <c r="F49" s="4"/>
      <c r="G49" s="4"/>
      <c r="H49" s="4"/>
      <c r="I49" s="4"/>
      <c r="J49" s="4"/>
      <c r="K49" s="4"/>
      <c r="L49" s="4"/>
      <c r="M49" s="4"/>
      <c r="N49" s="4">
        <v>277</v>
      </c>
      <c r="O49" s="4" t="s">
        <v>474</v>
      </c>
      <c r="P49" s="4" t="s">
        <v>115</v>
      </c>
      <c r="Q49" s="4" t="s">
        <v>442</v>
      </c>
      <c r="R49" s="4" t="s">
        <v>443</v>
      </c>
      <c r="S49" s="4" t="s">
        <v>444</v>
      </c>
      <c r="T49" s="4" t="s">
        <v>445</v>
      </c>
      <c r="U49" s="4" t="s">
        <v>475</v>
      </c>
      <c r="V49" s="4"/>
      <c r="W49" s="4" t="s">
        <v>53</v>
      </c>
      <c r="X49" s="4" t="s">
        <v>54</v>
      </c>
      <c r="Y49" s="4" t="s">
        <v>462</v>
      </c>
      <c r="Z49" s="4" t="s">
        <v>463</v>
      </c>
      <c r="AA49" s="4" t="s">
        <v>68</v>
      </c>
      <c r="AB49" s="4"/>
      <c r="AC49" s="4" t="s">
        <v>464</v>
      </c>
      <c r="AD49" s="4" t="s">
        <v>447</v>
      </c>
      <c r="AE49" s="4" t="s">
        <v>475</v>
      </c>
      <c r="AF49" s="13" t="s">
        <v>475</v>
      </c>
      <c r="AG49" s="4"/>
      <c r="AH49" s="4" t="s">
        <v>476</v>
      </c>
      <c r="AI49" s="4">
        <v>15</v>
      </c>
      <c r="AJ49" s="4" t="s">
        <v>477</v>
      </c>
      <c r="AK49" s="4"/>
      <c r="AL49" s="4" t="str">
        <f>VLOOKUP(N49,[1]Sheet1!$N:$AL,25,0)</f>
        <v>42181601  Aneroid blood pressure units</v>
      </c>
      <c r="AM49" s="4"/>
      <c r="AN49" s="4"/>
      <c r="AO49" s="4"/>
      <c r="AP49" s="1" t="s">
        <v>58</v>
      </c>
      <c r="AQ49" s="1" t="s">
        <v>59</v>
      </c>
    </row>
    <row r="50" customHeight="1" spans="1:43">
      <c r="A50" s="4" t="s">
        <v>43</v>
      </c>
      <c r="B50" s="4">
        <v>190</v>
      </c>
      <c r="C50" s="4" t="s">
        <v>44</v>
      </c>
      <c r="D50" s="4" t="s">
        <v>45</v>
      </c>
      <c r="E50" s="4"/>
      <c r="F50" s="4"/>
      <c r="G50" s="4"/>
      <c r="H50" s="4"/>
      <c r="I50" s="4"/>
      <c r="J50" s="4"/>
      <c r="K50" s="4"/>
      <c r="L50" s="4"/>
      <c r="M50" s="4"/>
      <c r="N50" s="4">
        <v>278</v>
      </c>
      <c r="O50" s="4" t="s">
        <v>478</v>
      </c>
      <c r="P50" s="4" t="s">
        <v>115</v>
      </c>
      <c r="Q50" s="4" t="s">
        <v>442</v>
      </c>
      <c r="R50" s="4" t="s">
        <v>443</v>
      </c>
      <c r="S50" s="4" t="s">
        <v>444</v>
      </c>
      <c r="T50" s="4" t="s">
        <v>445</v>
      </c>
      <c r="U50" s="4" t="s">
        <v>479</v>
      </c>
      <c r="V50" s="4"/>
      <c r="W50" s="4" t="s">
        <v>53</v>
      </c>
      <c r="X50" s="4" t="s">
        <v>54</v>
      </c>
      <c r="Y50" s="4" t="s">
        <v>108</v>
      </c>
      <c r="Z50" s="4" t="s">
        <v>109</v>
      </c>
      <c r="AA50" s="4" t="s">
        <v>68</v>
      </c>
      <c r="AB50" s="4"/>
      <c r="AC50" s="4" t="s">
        <v>110</v>
      </c>
      <c r="AD50" s="4" t="s">
        <v>447</v>
      </c>
      <c r="AE50" s="4" t="s">
        <v>479</v>
      </c>
      <c r="AF50" s="13" t="s">
        <v>479</v>
      </c>
      <c r="AG50" s="4"/>
      <c r="AH50" s="4" t="s">
        <v>480</v>
      </c>
      <c r="AI50" s="4">
        <v>1</v>
      </c>
      <c r="AJ50" s="4" t="s">
        <v>481</v>
      </c>
      <c r="AK50" s="4"/>
      <c r="AL50" s="4" t="str">
        <f>VLOOKUP(N50,[1]Sheet1!$N:$AL,25,0)</f>
        <v>42181608  Blood pressure measuring instruments accessories</v>
      </c>
      <c r="AM50" s="4"/>
      <c r="AN50" s="4"/>
      <c r="AO50" s="4"/>
      <c r="AP50" s="1" t="s">
        <v>58</v>
      </c>
      <c r="AQ50" s="1" t="s">
        <v>59</v>
      </c>
    </row>
    <row r="51" customHeight="1" spans="1:43">
      <c r="A51" s="4" t="s">
        <v>43</v>
      </c>
      <c r="B51" s="4">
        <v>190</v>
      </c>
      <c r="C51" s="4" t="s">
        <v>44</v>
      </c>
      <c r="D51" s="4" t="s">
        <v>45</v>
      </c>
      <c r="E51" s="4"/>
      <c r="F51" s="4"/>
      <c r="G51" s="4"/>
      <c r="H51" s="4"/>
      <c r="I51" s="4"/>
      <c r="J51" s="4"/>
      <c r="K51" s="4"/>
      <c r="L51" s="4"/>
      <c r="M51" s="4"/>
      <c r="N51" s="4">
        <v>279</v>
      </c>
      <c r="O51" s="4" t="s">
        <v>482</v>
      </c>
      <c r="P51" s="4" t="s">
        <v>115</v>
      </c>
      <c r="Q51" s="4" t="s">
        <v>442</v>
      </c>
      <c r="R51" s="4" t="s">
        <v>443</v>
      </c>
      <c r="S51" s="4" t="s">
        <v>444</v>
      </c>
      <c r="T51" s="4" t="s">
        <v>445</v>
      </c>
      <c r="U51" s="4" t="s">
        <v>483</v>
      </c>
      <c r="V51" s="4"/>
      <c r="W51" s="4" t="s">
        <v>53</v>
      </c>
      <c r="X51" s="4" t="s">
        <v>54</v>
      </c>
      <c r="Y51" s="4" t="s">
        <v>108</v>
      </c>
      <c r="Z51" s="4" t="s">
        <v>109</v>
      </c>
      <c r="AA51" s="4" t="s">
        <v>68</v>
      </c>
      <c r="AB51" s="4"/>
      <c r="AC51" s="4" t="s">
        <v>110</v>
      </c>
      <c r="AD51" s="4" t="s">
        <v>447</v>
      </c>
      <c r="AE51" s="4" t="s">
        <v>483</v>
      </c>
      <c r="AF51" s="13" t="s">
        <v>483</v>
      </c>
      <c r="AG51" s="4"/>
      <c r="AH51" s="4" t="s">
        <v>484</v>
      </c>
      <c r="AI51" s="4">
        <v>6</v>
      </c>
      <c r="AJ51" s="4" t="s">
        <v>485</v>
      </c>
      <c r="AK51" s="4"/>
      <c r="AL51" s="4" t="str">
        <f>VLOOKUP(N51,[1]Sheet1!$N:$AL,25,0)</f>
        <v>42181608  Blood pressure measuring instruments accessories</v>
      </c>
      <c r="AM51" s="4"/>
      <c r="AN51" s="4"/>
      <c r="AO51" s="4"/>
      <c r="AP51" s="1" t="s">
        <v>58</v>
      </c>
      <c r="AQ51" s="1" t="s">
        <v>59</v>
      </c>
    </row>
    <row r="52" customHeight="1" spans="1:43">
      <c r="A52" s="4" t="s">
        <v>43</v>
      </c>
      <c r="B52" s="4">
        <v>190</v>
      </c>
      <c r="C52" s="4" t="s">
        <v>44</v>
      </c>
      <c r="D52" s="4" t="s">
        <v>45</v>
      </c>
      <c r="E52" s="4"/>
      <c r="F52" s="4"/>
      <c r="G52" s="4"/>
      <c r="H52" s="4"/>
      <c r="I52" s="4"/>
      <c r="J52" s="4"/>
      <c r="K52" s="4"/>
      <c r="L52" s="4"/>
      <c r="M52" s="4"/>
      <c r="N52" s="4">
        <v>331</v>
      </c>
      <c r="O52" s="4" t="s">
        <v>486</v>
      </c>
      <c r="P52" s="4" t="s">
        <v>428</v>
      </c>
      <c r="Q52" s="4" t="s">
        <v>487</v>
      </c>
      <c r="R52" s="4" t="s">
        <v>488</v>
      </c>
      <c r="S52" s="4" t="s">
        <v>489</v>
      </c>
      <c r="T52" s="4" t="s">
        <v>490</v>
      </c>
      <c r="U52" s="4" t="s">
        <v>491</v>
      </c>
      <c r="V52" s="4"/>
      <c r="W52" s="4" t="s">
        <v>53</v>
      </c>
      <c r="X52" s="4" t="s">
        <v>54</v>
      </c>
      <c r="Y52" s="4" t="s">
        <v>53</v>
      </c>
      <c r="Z52" s="4" t="s">
        <v>53</v>
      </c>
      <c r="AA52" s="4" t="s">
        <v>53</v>
      </c>
      <c r="AB52" s="4"/>
      <c r="AC52" s="4" t="s">
        <v>53</v>
      </c>
      <c r="AD52" s="4" t="s">
        <v>492</v>
      </c>
      <c r="AE52" s="4" t="s">
        <v>491</v>
      </c>
      <c r="AF52" s="13" t="s">
        <v>493</v>
      </c>
      <c r="AG52" s="4"/>
      <c r="AH52" s="4" t="s">
        <v>330</v>
      </c>
      <c r="AI52" s="4">
        <v>16</v>
      </c>
      <c r="AJ52" s="4" t="s">
        <v>494</v>
      </c>
      <c r="AK52" s="4"/>
      <c r="AL52" s="4" t="str">
        <f>VLOOKUP(N52,[1]Sheet1!$N:$AL,25,0)</f>
        <v>42231905  Breast pump accessories or accessory kits</v>
      </c>
      <c r="AM52" s="4"/>
      <c r="AN52" s="4"/>
      <c r="AO52" s="4"/>
      <c r="AP52" s="1" t="s">
        <v>58</v>
      </c>
      <c r="AQ52" s="1" t="s">
        <v>59</v>
      </c>
    </row>
    <row r="53" customHeight="1" spans="1:43">
      <c r="A53" s="4" t="s">
        <v>43</v>
      </c>
      <c r="B53" s="4">
        <v>190</v>
      </c>
      <c r="C53" s="4" t="s">
        <v>44</v>
      </c>
      <c r="D53" s="4" t="s">
        <v>45</v>
      </c>
      <c r="E53" s="4"/>
      <c r="F53" s="4"/>
      <c r="G53" s="4"/>
      <c r="H53" s="4"/>
      <c r="I53" s="4"/>
      <c r="J53" s="4"/>
      <c r="K53" s="4"/>
      <c r="L53" s="4"/>
      <c r="M53" s="4"/>
      <c r="N53" s="4">
        <v>332</v>
      </c>
      <c r="O53" s="4" t="s">
        <v>495</v>
      </c>
      <c r="P53" s="4" t="s">
        <v>428</v>
      </c>
      <c r="Q53" s="4" t="s">
        <v>487</v>
      </c>
      <c r="R53" s="4" t="s">
        <v>488</v>
      </c>
      <c r="S53" s="4" t="s">
        <v>489</v>
      </c>
      <c r="T53" s="4" t="s">
        <v>490</v>
      </c>
      <c r="U53" s="4" t="s">
        <v>496</v>
      </c>
      <c r="V53" s="4"/>
      <c r="W53" s="4" t="s">
        <v>53</v>
      </c>
      <c r="X53" s="4" t="s">
        <v>54</v>
      </c>
      <c r="Y53" s="4" t="s">
        <v>53</v>
      </c>
      <c r="Z53" s="4" t="s">
        <v>53</v>
      </c>
      <c r="AA53" s="4" t="s">
        <v>53</v>
      </c>
      <c r="AB53" s="4"/>
      <c r="AC53" s="4" t="s">
        <v>53</v>
      </c>
      <c r="AD53" s="4" t="s">
        <v>492</v>
      </c>
      <c r="AE53" s="4" t="s">
        <v>496</v>
      </c>
      <c r="AF53" s="13" t="s">
        <v>497</v>
      </c>
      <c r="AG53" s="4"/>
      <c r="AH53" s="4" t="s">
        <v>330</v>
      </c>
      <c r="AI53" s="4">
        <v>16</v>
      </c>
      <c r="AJ53" s="4" t="s">
        <v>498</v>
      </c>
      <c r="AK53" s="4"/>
      <c r="AL53" s="4" t="str">
        <f>VLOOKUP(N53,[1]Sheet1!$N:$AL,25,0)</f>
        <v>42231905  Breast pump accessories or accessory kits</v>
      </c>
      <c r="AM53" s="4"/>
      <c r="AN53" s="4"/>
      <c r="AO53" s="4"/>
      <c r="AP53" s="1" t="s">
        <v>58</v>
      </c>
      <c r="AQ53" s="1" t="s">
        <v>59</v>
      </c>
    </row>
    <row r="54" customHeight="1" spans="1:43">
      <c r="A54" s="4" t="s">
        <v>43</v>
      </c>
      <c r="B54" s="4">
        <v>190</v>
      </c>
      <c r="C54" s="4" t="s">
        <v>44</v>
      </c>
      <c r="D54" s="4" t="s">
        <v>45</v>
      </c>
      <c r="E54" s="4"/>
      <c r="F54" s="4"/>
      <c r="G54" s="4"/>
      <c r="H54" s="4"/>
      <c r="I54" s="4"/>
      <c r="J54" s="4"/>
      <c r="K54" s="4"/>
      <c r="L54" s="4"/>
      <c r="M54" s="4"/>
      <c r="N54" s="4">
        <v>335</v>
      </c>
      <c r="O54" s="4" t="s">
        <v>499</v>
      </c>
      <c r="P54" s="4" t="s">
        <v>500</v>
      </c>
      <c r="Q54" s="4" t="s">
        <v>501</v>
      </c>
      <c r="R54" s="4" t="s">
        <v>502</v>
      </c>
      <c r="S54" s="4" t="s">
        <v>503</v>
      </c>
      <c r="T54" s="4" t="s">
        <v>504</v>
      </c>
      <c r="U54" s="4" t="s">
        <v>505</v>
      </c>
      <c r="V54" s="4"/>
      <c r="W54" s="4" t="s">
        <v>53</v>
      </c>
      <c r="X54" s="4" t="s">
        <v>54</v>
      </c>
      <c r="Y54" s="4" t="s">
        <v>506</v>
      </c>
      <c r="Z54" s="4" t="s">
        <v>507</v>
      </c>
      <c r="AA54" s="4" t="s">
        <v>68</v>
      </c>
      <c r="AB54" s="4"/>
      <c r="AC54" s="4" t="s">
        <v>508</v>
      </c>
      <c r="AD54" s="4" t="s">
        <v>501</v>
      </c>
      <c r="AE54" s="4" t="s">
        <v>505</v>
      </c>
      <c r="AF54" s="13" t="s">
        <v>505</v>
      </c>
      <c r="AG54" s="4"/>
      <c r="AH54" s="4" t="s">
        <v>112</v>
      </c>
      <c r="AI54" s="4">
        <v>16</v>
      </c>
      <c r="AJ54" s="4" t="s">
        <v>509</v>
      </c>
      <c r="AK54" s="4"/>
      <c r="AL54" s="4" t="str">
        <f>VLOOKUP(N54,[1]Sheet1!$N:$AL,25,0)</f>
        <v>14111507  Printer or copier paper</v>
      </c>
      <c r="AM54" s="4"/>
      <c r="AN54" s="4"/>
      <c r="AO54" s="4"/>
      <c r="AP54" s="1" t="s">
        <v>58</v>
      </c>
      <c r="AQ54" s="1" t="s">
        <v>59</v>
      </c>
    </row>
    <row r="55" customHeight="1" spans="1:43">
      <c r="A55" s="4" t="s">
        <v>43</v>
      </c>
      <c r="B55" s="4">
        <v>190</v>
      </c>
      <c r="C55" s="4" t="s">
        <v>44</v>
      </c>
      <c r="D55" s="4" t="s">
        <v>45</v>
      </c>
      <c r="E55" s="4"/>
      <c r="F55" s="4"/>
      <c r="G55" s="4"/>
      <c r="H55" s="4"/>
      <c r="I55" s="4"/>
      <c r="J55" s="4"/>
      <c r="K55" s="4"/>
      <c r="L55" s="4"/>
      <c r="M55" s="4"/>
      <c r="N55" s="4">
        <v>337</v>
      </c>
      <c r="O55" s="4" t="s">
        <v>510</v>
      </c>
      <c r="P55" s="4" t="s">
        <v>132</v>
      </c>
      <c r="Q55" s="4" t="s">
        <v>511</v>
      </c>
      <c r="R55" s="4" t="s">
        <v>512</v>
      </c>
      <c r="S55" s="4" t="s">
        <v>513</v>
      </c>
      <c r="T55" s="4" t="s">
        <v>514</v>
      </c>
      <c r="U55" s="4" t="s">
        <v>515</v>
      </c>
      <c r="V55" s="4"/>
      <c r="W55" s="4" t="s">
        <v>53</v>
      </c>
      <c r="X55" s="4" t="s">
        <v>54</v>
      </c>
      <c r="Y55" s="4" t="s">
        <v>53</v>
      </c>
      <c r="Z55" s="4" t="s">
        <v>53</v>
      </c>
      <c r="AA55" s="4" t="s">
        <v>53</v>
      </c>
      <c r="AB55" s="4"/>
      <c r="AC55" s="4" t="s">
        <v>53</v>
      </c>
      <c r="AD55" s="4" t="s">
        <v>516</v>
      </c>
      <c r="AE55" s="4" t="s">
        <v>515</v>
      </c>
      <c r="AF55" s="13" t="s">
        <v>517</v>
      </c>
      <c r="AG55" s="4"/>
      <c r="AH55" s="4" t="s">
        <v>518</v>
      </c>
      <c r="AI55" s="4">
        <v>22</v>
      </c>
      <c r="AJ55" s="4" t="s">
        <v>519</v>
      </c>
      <c r="AK55" s="4"/>
      <c r="AL55" s="4" t="str">
        <f>VLOOKUP(N55,[1]Sheet1!$N:$AL,25,0)</f>
        <v>42192001  Medical exam or procedure tables for general use</v>
      </c>
      <c r="AM55" s="4"/>
      <c r="AN55" s="4"/>
      <c r="AO55" s="4"/>
      <c r="AP55" s="1" t="s">
        <v>58</v>
      </c>
      <c r="AQ55" s="1" t="s">
        <v>59</v>
      </c>
    </row>
    <row r="56" customHeight="1" spans="1:43">
      <c r="A56" s="4" t="s">
        <v>43</v>
      </c>
      <c r="B56" s="4">
        <v>190</v>
      </c>
      <c r="C56" s="4" t="s">
        <v>44</v>
      </c>
      <c r="D56" s="4" t="s">
        <v>45</v>
      </c>
      <c r="E56" s="4"/>
      <c r="F56" s="4"/>
      <c r="G56" s="4"/>
      <c r="H56" s="4"/>
      <c r="I56" s="4"/>
      <c r="J56" s="4"/>
      <c r="K56" s="4"/>
      <c r="L56" s="4"/>
      <c r="M56" s="4"/>
      <c r="N56" s="4">
        <v>405</v>
      </c>
      <c r="O56" s="4" t="s">
        <v>520</v>
      </c>
      <c r="P56" s="4" t="s">
        <v>521</v>
      </c>
      <c r="Q56" s="4" t="s">
        <v>522</v>
      </c>
      <c r="R56" s="4" t="s">
        <v>523</v>
      </c>
      <c r="S56" s="4" t="s">
        <v>524</v>
      </c>
      <c r="T56" s="4" t="s">
        <v>525</v>
      </c>
      <c r="U56" s="4" t="s">
        <v>526</v>
      </c>
      <c r="V56" s="4"/>
      <c r="W56" s="4" t="s">
        <v>53</v>
      </c>
      <c r="X56" s="4" t="s">
        <v>54</v>
      </c>
      <c r="Y56" s="4" t="s">
        <v>53</v>
      </c>
      <c r="Z56" s="4" t="s">
        <v>53</v>
      </c>
      <c r="AA56" s="4" t="s">
        <v>53</v>
      </c>
      <c r="AB56" s="4"/>
      <c r="AC56" s="4" t="s">
        <v>53</v>
      </c>
      <c r="AD56" s="4" t="s">
        <v>527</v>
      </c>
      <c r="AE56" s="4" t="s">
        <v>526</v>
      </c>
      <c r="AF56" s="13" t="s">
        <v>528</v>
      </c>
      <c r="AG56" s="4"/>
      <c r="AH56" s="4" t="s">
        <v>529</v>
      </c>
      <c r="AI56" s="4">
        <v>2</v>
      </c>
      <c r="AJ56" s="4" t="s">
        <v>530</v>
      </c>
      <c r="AK56" s="4"/>
      <c r="AL56" s="4" t="str">
        <f>VLOOKUP(N56,[1]Sheet1!$N:$AL,25,0)</f>
        <v>42295534  Otologic implants</v>
      </c>
      <c r="AM56" s="4"/>
      <c r="AN56" s="4"/>
      <c r="AO56" s="4"/>
      <c r="AP56" s="1" t="s">
        <v>58</v>
      </c>
      <c r="AQ56" s="1" t="s">
        <v>59</v>
      </c>
    </row>
    <row r="57" customHeight="1" spans="1:43">
      <c r="A57" s="4" t="s">
        <v>43</v>
      </c>
      <c r="B57" s="4">
        <v>190</v>
      </c>
      <c r="C57" s="4" t="s">
        <v>44</v>
      </c>
      <c r="D57" s="4" t="s">
        <v>45</v>
      </c>
      <c r="E57" s="4"/>
      <c r="F57" s="4"/>
      <c r="G57" s="4"/>
      <c r="H57" s="4"/>
      <c r="I57" s="4"/>
      <c r="J57" s="4"/>
      <c r="K57" s="4"/>
      <c r="L57" s="4"/>
      <c r="M57" s="4"/>
      <c r="N57" s="4">
        <v>3198</v>
      </c>
      <c r="O57" s="4" t="s">
        <v>531</v>
      </c>
      <c r="P57" s="4" t="s">
        <v>106</v>
      </c>
      <c r="Q57" s="4" t="s">
        <v>532</v>
      </c>
      <c r="R57" s="4" t="s">
        <v>533</v>
      </c>
      <c r="S57" s="4" t="s">
        <v>534</v>
      </c>
      <c r="T57" s="4" t="s">
        <v>535</v>
      </c>
      <c r="U57" s="4" t="s">
        <v>536</v>
      </c>
      <c r="V57" s="4"/>
      <c r="W57" s="4" t="s">
        <v>53</v>
      </c>
      <c r="X57" s="4" t="s">
        <v>54</v>
      </c>
      <c r="Y57" s="4" t="s">
        <v>371</v>
      </c>
      <c r="Z57" s="4" t="s">
        <v>372</v>
      </c>
      <c r="AA57" s="4" t="s">
        <v>68</v>
      </c>
      <c r="AB57" s="4"/>
      <c r="AC57" s="4" t="s">
        <v>373</v>
      </c>
      <c r="AD57" s="4" t="s">
        <v>537</v>
      </c>
      <c r="AE57" s="4" t="s">
        <v>536</v>
      </c>
      <c r="AF57" s="13" t="s">
        <v>538</v>
      </c>
      <c r="AG57" s="4"/>
      <c r="AH57" s="4" t="s">
        <v>112</v>
      </c>
      <c r="AI57" s="4">
        <v>16</v>
      </c>
      <c r="AJ57" s="4" t="s">
        <v>539</v>
      </c>
      <c r="AK57" s="4"/>
      <c r="AL57" s="4" t="str">
        <f>VLOOKUP(N57,[1]Sheet1!$N:$AL,25,0)</f>
        <v>42182426  Audiometer accessories</v>
      </c>
      <c r="AM57" s="4"/>
      <c r="AN57" s="4"/>
      <c r="AO57" s="4"/>
      <c r="AP57" s="1" t="s">
        <v>58</v>
      </c>
      <c r="AQ57" s="1" t="s">
        <v>59</v>
      </c>
    </row>
    <row r="58" customHeight="1" spans="1:43">
      <c r="A58" s="4" t="s">
        <v>43</v>
      </c>
      <c r="B58" s="4">
        <v>190</v>
      </c>
      <c r="C58" s="4" t="s">
        <v>44</v>
      </c>
      <c r="D58" s="4" t="s">
        <v>45</v>
      </c>
      <c r="E58" s="4"/>
      <c r="F58" s="4"/>
      <c r="G58" s="4"/>
      <c r="H58" s="4"/>
      <c r="I58" s="4"/>
      <c r="J58" s="4"/>
      <c r="K58" s="4"/>
      <c r="L58" s="4"/>
      <c r="M58" s="4"/>
      <c r="N58" s="4">
        <v>3199</v>
      </c>
      <c r="O58" s="4" t="s">
        <v>540</v>
      </c>
      <c r="P58" s="4" t="s">
        <v>115</v>
      </c>
      <c r="Q58" s="4" t="s">
        <v>532</v>
      </c>
      <c r="R58" s="4" t="s">
        <v>533</v>
      </c>
      <c r="S58" s="4" t="s">
        <v>534</v>
      </c>
      <c r="T58" s="4" t="s">
        <v>535</v>
      </c>
      <c r="U58" s="4" t="s">
        <v>541</v>
      </c>
      <c r="V58" s="4"/>
      <c r="W58" s="4" t="s">
        <v>53</v>
      </c>
      <c r="X58" s="4" t="s">
        <v>54</v>
      </c>
      <c r="Y58" s="4" t="s">
        <v>371</v>
      </c>
      <c r="Z58" s="4" t="s">
        <v>372</v>
      </c>
      <c r="AA58" s="4" t="s">
        <v>68</v>
      </c>
      <c r="AB58" s="4"/>
      <c r="AC58" s="4" t="s">
        <v>373</v>
      </c>
      <c r="AD58" s="4" t="s">
        <v>537</v>
      </c>
      <c r="AE58" s="4" t="s">
        <v>541</v>
      </c>
      <c r="AF58" s="13" t="s">
        <v>542</v>
      </c>
      <c r="AG58" s="4"/>
      <c r="AH58" s="4" t="s">
        <v>543</v>
      </c>
      <c r="AI58" s="4">
        <v>1</v>
      </c>
      <c r="AJ58" s="4" t="s">
        <v>544</v>
      </c>
      <c r="AK58" s="4"/>
      <c r="AL58" s="4" t="str">
        <f>VLOOKUP(N58,[1]Sheet1!$N:$AL,25,0)</f>
        <v>42182426  Audiometer accessories</v>
      </c>
      <c r="AM58" s="4"/>
      <c r="AN58" s="4"/>
      <c r="AO58" s="4"/>
      <c r="AP58" s="1" t="s">
        <v>58</v>
      </c>
      <c r="AQ58" s="1" t="s">
        <v>59</v>
      </c>
    </row>
    <row r="59" customHeight="1" spans="1:43">
      <c r="A59" s="4" t="s">
        <v>43</v>
      </c>
      <c r="B59" s="4">
        <v>190</v>
      </c>
      <c r="C59" s="4" t="s">
        <v>44</v>
      </c>
      <c r="D59" s="4" t="s">
        <v>45</v>
      </c>
      <c r="E59" s="4"/>
      <c r="F59" s="4"/>
      <c r="G59" s="4"/>
      <c r="H59" s="4"/>
      <c r="I59" s="4"/>
      <c r="J59" s="4"/>
      <c r="K59" s="4"/>
      <c r="L59" s="4"/>
      <c r="M59" s="4"/>
      <c r="N59" s="4">
        <v>408</v>
      </c>
      <c r="O59" s="4" t="s">
        <v>545</v>
      </c>
      <c r="P59" s="4" t="s">
        <v>546</v>
      </c>
      <c r="Q59" s="4" t="s">
        <v>547</v>
      </c>
      <c r="R59" s="4" t="s">
        <v>548</v>
      </c>
      <c r="S59" s="4" t="s">
        <v>549</v>
      </c>
      <c r="T59" s="4" t="s">
        <v>550</v>
      </c>
      <c r="U59" s="4" t="s">
        <v>551</v>
      </c>
      <c r="V59" s="4"/>
      <c r="W59" s="4" t="s">
        <v>53</v>
      </c>
      <c r="X59" s="4" t="s">
        <v>54</v>
      </c>
      <c r="Y59" s="4" t="s">
        <v>552</v>
      </c>
      <c r="Z59" s="4" t="s">
        <v>553</v>
      </c>
      <c r="AA59" s="4" t="s">
        <v>68</v>
      </c>
      <c r="AB59" s="4"/>
      <c r="AC59" s="4" t="s">
        <v>554</v>
      </c>
      <c r="AD59" s="4" t="s">
        <v>555</v>
      </c>
      <c r="AE59" s="4" t="s">
        <v>551</v>
      </c>
      <c r="AF59" s="13" t="s">
        <v>556</v>
      </c>
      <c r="AG59" s="4"/>
      <c r="AH59" s="4" t="s">
        <v>557</v>
      </c>
      <c r="AI59" s="4">
        <v>4</v>
      </c>
      <c r="AJ59" s="4" t="s">
        <v>558</v>
      </c>
      <c r="AK59" s="4"/>
      <c r="AL59" s="4" t="str">
        <f>VLOOKUP(N59,[1]Sheet1!$N:$AL,25,0)</f>
        <v>42295414  Surgical specialty procedure packs</v>
      </c>
      <c r="AM59" s="4"/>
      <c r="AN59" s="4"/>
      <c r="AO59" s="4"/>
      <c r="AP59" s="1" t="s">
        <v>58</v>
      </c>
      <c r="AQ59" s="1" t="s">
        <v>59</v>
      </c>
    </row>
    <row r="60" customHeight="1" spans="1:43">
      <c r="A60" s="4" t="s">
        <v>43</v>
      </c>
      <c r="B60" s="4">
        <v>190</v>
      </c>
      <c r="C60" s="4" t="s">
        <v>44</v>
      </c>
      <c r="D60" s="4" t="s">
        <v>45</v>
      </c>
      <c r="E60" s="4"/>
      <c r="F60" s="4"/>
      <c r="G60" s="4"/>
      <c r="H60" s="4"/>
      <c r="I60" s="4"/>
      <c r="J60" s="4"/>
      <c r="K60" s="4"/>
      <c r="L60" s="4"/>
      <c r="M60" s="4"/>
      <c r="N60" s="4">
        <v>409</v>
      </c>
      <c r="O60" s="4" t="s">
        <v>559</v>
      </c>
      <c r="P60" s="4" t="s">
        <v>560</v>
      </c>
      <c r="Q60" s="4" t="s">
        <v>561</v>
      </c>
      <c r="R60" s="4" t="s">
        <v>562</v>
      </c>
      <c r="S60" s="4" t="s">
        <v>563</v>
      </c>
      <c r="T60" s="4" t="s">
        <v>564</v>
      </c>
      <c r="U60" s="4" t="s">
        <v>565</v>
      </c>
      <c r="V60" s="4"/>
      <c r="W60" s="4" t="s">
        <v>53</v>
      </c>
      <c r="X60" s="4" t="s">
        <v>54</v>
      </c>
      <c r="Y60" s="4" t="s">
        <v>53</v>
      </c>
      <c r="Z60" s="4" t="s">
        <v>53</v>
      </c>
      <c r="AA60" s="4" t="s">
        <v>53</v>
      </c>
      <c r="AB60" s="4"/>
      <c r="AC60" s="4" t="s">
        <v>53</v>
      </c>
      <c r="AD60" s="4" t="s">
        <v>566</v>
      </c>
      <c r="AE60" s="4" t="s">
        <v>565</v>
      </c>
      <c r="AF60" s="13" t="s">
        <v>565</v>
      </c>
      <c r="AG60" s="4"/>
      <c r="AH60" s="4" t="s">
        <v>567</v>
      </c>
      <c r="AI60" s="4">
        <v>39</v>
      </c>
      <c r="AJ60" s="4" t="s">
        <v>568</v>
      </c>
      <c r="AK60" s="4"/>
      <c r="AL60" s="4" t="str">
        <f>VLOOKUP(N60,[1]Sheet1!$N:$AL,25,0)</f>
        <v>42192221  Patient stretcher accessories</v>
      </c>
      <c r="AM60" s="4"/>
      <c r="AN60" s="4"/>
      <c r="AO60" s="4"/>
      <c r="AP60" s="1" t="s">
        <v>58</v>
      </c>
      <c r="AQ60" s="1" t="s">
        <v>59</v>
      </c>
    </row>
    <row r="61" customHeight="1" spans="1:43">
      <c r="A61" s="4" t="s">
        <v>43</v>
      </c>
      <c r="B61" s="4">
        <v>190</v>
      </c>
      <c r="C61" s="4" t="s">
        <v>44</v>
      </c>
      <c r="D61" s="4" t="s">
        <v>45</v>
      </c>
      <c r="E61" s="4"/>
      <c r="F61" s="4"/>
      <c r="G61" s="4"/>
      <c r="H61" s="4"/>
      <c r="I61" s="4"/>
      <c r="J61" s="4"/>
      <c r="K61" s="4"/>
      <c r="L61" s="4"/>
      <c r="M61" s="4"/>
      <c r="N61" s="4">
        <v>411</v>
      </c>
      <c r="O61" s="4" t="s">
        <v>569</v>
      </c>
      <c r="P61" s="4" t="s">
        <v>560</v>
      </c>
      <c r="Q61" s="4" t="s">
        <v>561</v>
      </c>
      <c r="R61" s="4" t="s">
        <v>562</v>
      </c>
      <c r="S61" s="4" t="s">
        <v>563</v>
      </c>
      <c r="T61" s="4" t="s">
        <v>564</v>
      </c>
      <c r="U61" s="4" t="s">
        <v>570</v>
      </c>
      <c r="V61" s="4"/>
      <c r="W61" s="4" t="s">
        <v>53</v>
      </c>
      <c r="X61" s="4" t="s">
        <v>54</v>
      </c>
      <c r="Y61" s="4" t="s">
        <v>571</v>
      </c>
      <c r="Z61" s="4" t="s">
        <v>572</v>
      </c>
      <c r="AA61" s="4" t="s">
        <v>68</v>
      </c>
      <c r="AB61" s="4"/>
      <c r="AC61" s="4" t="s">
        <v>573</v>
      </c>
      <c r="AD61" s="4" t="s">
        <v>566</v>
      </c>
      <c r="AE61" s="4" t="s">
        <v>570</v>
      </c>
      <c r="AF61" s="13" t="s">
        <v>574</v>
      </c>
      <c r="AG61" s="4"/>
      <c r="AH61" s="4" t="s">
        <v>575</v>
      </c>
      <c r="AI61" s="4">
        <v>7</v>
      </c>
      <c r="AJ61" s="4" t="s">
        <v>576</v>
      </c>
      <c r="AK61" s="4"/>
      <c r="AL61" s="4" t="str">
        <f>VLOOKUP(N61,[1]Sheet1!$N:$AL,25,0)</f>
        <v>42192701  Obstetrics or gynecology exam table accessories</v>
      </c>
      <c r="AM61" s="4"/>
      <c r="AN61" s="4"/>
      <c r="AO61" s="4"/>
      <c r="AP61" s="1" t="s">
        <v>58</v>
      </c>
      <c r="AQ61" s="1" t="s">
        <v>59</v>
      </c>
    </row>
    <row r="62" customHeight="1" spans="1:43">
      <c r="A62" s="4" t="s">
        <v>43</v>
      </c>
      <c r="B62" s="4">
        <v>190</v>
      </c>
      <c r="C62" s="4" t="s">
        <v>44</v>
      </c>
      <c r="D62" s="4" t="s">
        <v>45</v>
      </c>
      <c r="E62" s="4"/>
      <c r="F62" s="4"/>
      <c r="G62" s="4"/>
      <c r="H62" s="4"/>
      <c r="I62" s="4"/>
      <c r="J62" s="4"/>
      <c r="K62" s="4"/>
      <c r="L62" s="4"/>
      <c r="M62" s="4"/>
      <c r="N62" s="4">
        <v>412</v>
      </c>
      <c r="O62" s="4" t="s">
        <v>577</v>
      </c>
      <c r="P62" s="4" t="s">
        <v>115</v>
      </c>
      <c r="Q62" s="4" t="s">
        <v>561</v>
      </c>
      <c r="R62" s="4" t="s">
        <v>562</v>
      </c>
      <c r="S62" s="4" t="s">
        <v>563</v>
      </c>
      <c r="T62" s="4" t="s">
        <v>564</v>
      </c>
      <c r="U62" s="4" t="s">
        <v>578</v>
      </c>
      <c r="V62" s="4"/>
      <c r="W62" s="4" t="s">
        <v>53</v>
      </c>
      <c r="X62" s="4" t="s">
        <v>54</v>
      </c>
      <c r="Y62" s="4" t="s">
        <v>579</v>
      </c>
      <c r="Z62" s="4" t="s">
        <v>580</v>
      </c>
      <c r="AA62" s="4" t="s">
        <v>68</v>
      </c>
      <c r="AB62" s="4"/>
      <c r="AC62" s="4" t="s">
        <v>581</v>
      </c>
      <c r="AD62" s="4" t="s">
        <v>566</v>
      </c>
      <c r="AE62" s="4" t="s">
        <v>578</v>
      </c>
      <c r="AF62" s="13" t="s">
        <v>582</v>
      </c>
      <c r="AG62" s="4"/>
      <c r="AH62" s="4" t="s">
        <v>583</v>
      </c>
      <c r="AI62" s="4">
        <v>1</v>
      </c>
      <c r="AJ62" s="4" t="s">
        <v>584</v>
      </c>
      <c r="AK62" s="4"/>
      <c r="AL62" s="4" t="str">
        <f>VLOOKUP(N62,[1]Sheet1!$N:$AL,25,0)</f>
        <v>42181904  Multiparameter vital sign units</v>
      </c>
      <c r="AM62" s="4"/>
      <c r="AN62" s="4"/>
      <c r="AO62" s="4"/>
      <c r="AP62" s="1" t="s">
        <v>58</v>
      </c>
      <c r="AQ62" s="1" t="s">
        <v>59</v>
      </c>
    </row>
    <row r="63" customHeight="1" spans="1:43">
      <c r="A63" s="4" t="s">
        <v>43</v>
      </c>
      <c r="B63" s="4">
        <v>190</v>
      </c>
      <c r="C63" s="4" t="s">
        <v>44</v>
      </c>
      <c r="D63" s="4" t="s">
        <v>45</v>
      </c>
      <c r="E63" s="4"/>
      <c r="F63" s="4"/>
      <c r="G63" s="4"/>
      <c r="H63" s="4"/>
      <c r="I63" s="4"/>
      <c r="J63" s="4"/>
      <c r="K63" s="4"/>
      <c r="L63" s="4"/>
      <c r="M63" s="4"/>
      <c r="N63" s="4">
        <v>413</v>
      </c>
      <c r="O63" s="4" t="s">
        <v>585</v>
      </c>
      <c r="P63" s="4" t="s">
        <v>132</v>
      </c>
      <c r="Q63" s="4" t="s">
        <v>561</v>
      </c>
      <c r="R63" s="4" t="s">
        <v>562</v>
      </c>
      <c r="S63" s="4" t="s">
        <v>563</v>
      </c>
      <c r="T63" s="4" t="s">
        <v>564</v>
      </c>
      <c r="U63" s="4" t="s">
        <v>586</v>
      </c>
      <c r="V63" s="4"/>
      <c r="W63" s="4" t="s">
        <v>53</v>
      </c>
      <c r="X63" s="4" t="s">
        <v>54</v>
      </c>
      <c r="Y63" s="4" t="s">
        <v>53</v>
      </c>
      <c r="Z63" s="4" t="s">
        <v>53</v>
      </c>
      <c r="AA63" s="4" t="s">
        <v>53</v>
      </c>
      <c r="AB63" s="4"/>
      <c r="AC63" s="4" t="s">
        <v>53</v>
      </c>
      <c r="AD63" s="4" t="s">
        <v>566</v>
      </c>
      <c r="AE63" s="4" t="s">
        <v>586</v>
      </c>
      <c r="AF63" s="13" t="s">
        <v>587</v>
      </c>
      <c r="AG63" s="4"/>
      <c r="AH63" s="4" t="s">
        <v>588</v>
      </c>
      <c r="AI63" s="4">
        <v>4</v>
      </c>
      <c r="AJ63" s="4" t="s">
        <v>589</v>
      </c>
      <c r="AK63" s="4"/>
      <c r="AL63" s="4" t="str">
        <f>VLOOKUP(N63,[1]Sheet1!$N:$AL,25,0)</f>
        <v>42295156  Operating room patient positioning device accessories for general use</v>
      </c>
      <c r="AM63" s="4"/>
      <c r="AN63" s="4"/>
      <c r="AO63" s="4"/>
      <c r="AP63" s="1" t="s">
        <v>58</v>
      </c>
      <c r="AQ63" s="1" t="s">
        <v>59</v>
      </c>
    </row>
    <row r="64" customHeight="1" spans="1:43">
      <c r="A64" s="4" t="s">
        <v>43</v>
      </c>
      <c r="B64" s="4">
        <v>190</v>
      </c>
      <c r="C64" s="4" t="s">
        <v>44</v>
      </c>
      <c r="D64" s="4" t="s">
        <v>45</v>
      </c>
      <c r="E64" s="4"/>
      <c r="F64" s="4"/>
      <c r="G64" s="4"/>
      <c r="H64" s="4"/>
      <c r="I64" s="4"/>
      <c r="J64" s="4"/>
      <c r="K64" s="4"/>
      <c r="L64" s="4"/>
      <c r="M64" s="4"/>
      <c r="N64" s="4">
        <v>414</v>
      </c>
      <c r="O64" s="4" t="s">
        <v>590</v>
      </c>
      <c r="P64" s="4" t="s">
        <v>591</v>
      </c>
      <c r="Q64" s="4" t="s">
        <v>561</v>
      </c>
      <c r="R64" s="4" t="s">
        <v>562</v>
      </c>
      <c r="S64" s="4" t="s">
        <v>563</v>
      </c>
      <c r="T64" s="4" t="s">
        <v>564</v>
      </c>
      <c r="U64" s="4" t="s">
        <v>592</v>
      </c>
      <c r="V64" s="4"/>
      <c r="W64" s="4" t="s">
        <v>53</v>
      </c>
      <c r="X64" s="4" t="s">
        <v>54</v>
      </c>
      <c r="Y64" s="4" t="s">
        <v>579</v>
      </c>
      <c r="Z64" s="4" t="s">
        <v>580</v>
      </c>
      <c r="AA64" s="4" t="s">
        <v>68</v>
      </c>
      <c r="AB64" s="4"/>
      <c r="AC64" s="4" t="s">
        <v>581</v>
      </c>
      <c r="AD64" s="4" t="s">
        <v>566</v>
      </c>
      <c r="AE64" s="4" t="s">
        <v>592</v>
      </c>
      <c r="AF64" s="13" t="s">
        <v>593</v>
      </c>
      <c r="AG64" s="4"/>
      <c r="AH64" s="4" t="s">
        <v>129</v>
      </c>
      <c r="AI64" s="4">
        <v>26</v>
      </c>
      <c r="AJ64" s="4" t="s">
        <v>594</v>
      </c>
      <c r="AK64" s="4"/>
      <c r="AL64" s="4" t="str">
        <f>VLOOKUP(N64,[1]Sheet1!$N:$AL,25,0)</f>
        <v>42181904  Multiparameter vital sign units</v>
      </c>
      <c r="AM64" s="4"/>
      <c r="AN64" s="4"/>
      <c r="AO64" s="4"/>
      <c r="AP64" s="1" t="s">
        <v>58</v>
      </c>
      <c r="AQ64" s="1" t="s">
        <v>59</v>
      </c>
    </row>
    <row r="65" customHeight="1" spans="1:43">
      <c r="A65" s="4" t="s">
        <v>43</v>
      </c>
      <c r="B65" s="4">
        <v>190</v>
      </c>
      <c r="C65" s="4" t="s">
        <v>44</v>
      </c>
      <c r="D65" s="4" t="s">
        <v>45</v>
      </c>
      <c r="E65" s="4"/>
      <c r="F65" s="4"/>
      <c r="G65" s="4"/>
      <c r="H65" s="4"/>
      <c r="I65" s="4"/>
      <c r="J65" s="4"/>
      <c r="K65" s="4"/>
      <c r="L65" s="4"/>
      <c r="M65" s="4"/>
      <c r="N65" s="4">
        <v>417</v>
      </c>
      <c r="O65" s="4" t="s">
        <v>595</v>
      </c>
      <c r="P65" s="4" t="s">
        <v>596</v>
      </c>
      <c r="Q65" s="4" t="s">
        <v>561</v>
      </c>
      <c r="R65" s="4" t="s">
        <v>562</v>
      </c>
      <c r="S65" s="4" t="s">
        <v>563</v>
      </c>
      <c r="T65" s="4" t="s">
        <v>564</v>
      </c>
      <c r="U65" s="4" t="s">
        <v>597</v>
      </c>
      <c r="V65" s="4"/>
      <c r="W65" s="4" t="s">
        <v>53</v>
      </c>
      <c r="X65" s="4" t="s">
        <v>54</v>
      </c>
      <c r="Y65" s="4" t="s">
        <v>598</v>
      </c>
      <c r="Z65" s="4" t="s">
        <v>599</v>
      </c>
      <c r="AA65" s="4" t="s">
        <v>68</v>
      </c>
      <c r="AB65" s="4"/>
      <c r="AC65" s="4" t="s">
        <v>600</v>
      </c>
      <c r="AD65" s="4" t="s">
        <v>566</v>
      </c>
      <c r="AE65" s="4" t="s">
        <v>597</v>
      </c>
      <c r="AF65" s="13" t="s">
        <v>601</v>
      </c>
      <c r="AG65" s="4"/>
      <c r="AH65" s="4" t="s">
        <v>602</v>
      </c>
      <c r="AI65" s="4">
        <v>1</v>
      </c>
      <c r="AJ65" s="4" t="s">
        <v>603</v>
      </c>
      <c r="AK65" s="4"/>
      <c r="AL65" s="4" t="str">
        <f>VLOOKUP(N65,[1]Sheet1!$N:$AL,25,0)</f>
        <v>42294972  Endoscopic or surgical light sources</v>
      </c>
      <c r="AM65" s="4"/>
      <c r="AN65" s="4"/>
      <c r="AO65" s="4"/>
      <c r="AP65" s="1" t="s">
        <v>58</v>
      </c>
      <c r="AQ65" s="1" t="s">
        <v>59</v>
      </c>
    </row>
    <row r="66" customHeight="1" spans="1:43">
      <c r="A66" s="4" t="s">
        <v>43</v>
      </c>
      <c r="B66" s="4">
        <v>190</v>
      </c>
      <c r="C66" s="4" t="s">
        <v>44</v>
      </c>
      <c r="D66" s="4" t="s">
        <v>45</v>
      </c>
      <c r="E66" s="4"/>
      <c r="F66" s="4"/>
      <c r="G66" s="4"/>
      <c r="H66" s="4"/>
      <c r="I66" s="4"/>
      <c r="J66" s="4"/>
      <c r="K66" s="4"/>
      <c r="L66" s="4"/>
      <c r="M66" s="4"/>
      <c r="N66" s="4">
        <v>418</v>
      </c>
      <c r="O66" s="4" t="s">
        <v>604</v>
      </c>
      <c r="P66" s="4" t="s">
        <v>115</v>
      </c>
      <c r="Q66" s="4" t="s">
        <v>561</v>
      </c>
      <c r="R66" s="4" t="s">
        <v>562</v>
      </c>
      <c r="S66" s="4" t="s">
        <v>563</v>
      </c>
      <c r="T66" s="4" t="s">
        <v>564</v>
      </c>
      <c r="U66" s="4" t="s">
        <v>605</v>
      </c>
      <c r="V66" s="4"/>
      <c r="W66" s="4" t="s">
        <v>53</v>
      </c>
      <c r="X66" s="4" t="s">
        <v>54</v>
      </c>
      <c r="Y66" s="4" t="s">
        <v>606</v>
      </c>
      <c r="Z66" s="4" t="s">
        <v>607</v>
      </c>
      <c r="AA66" s="4" t="s">
        <v>68</v>
      </c>
      <c r="AB66" s="4"/>
      <c r="AC66" s="4" t="s">
        <v>608</v>
      </c>
      <c r="AD66" s="4" t="s">
        <v>566</v>
      </c>
      <c r="AE66" s="4" t="s">
        <v>605</v>
      </c>
      <c r="AF66" s="13" t="s">
        <v>609</v>
      </c>
      <c r="AG66" s="4"/>
      <c r="AH66" s="4" t="s">
        <v>476</v>
      </c>
      <c r="AI66" s="4">
        <v>15</v>
      </c>
      <c r="AJ66" s="4" t="s">
        <v>610</v>
      </c>
      <c r="AK66" s="4"/>
      <c r="AL66" s="4" t="str">
        <f>VLOOKUP(N66,[1]Sheet1!$N:$AL,25,0)</f>
        <v>42172105  Mobile medical service automated external defibrillator AED accessories</v>
      </c>
      <c r="AM66" s="4"/>
      <c r="AN66" s="4"/>
      <c r="AO66" s="4"/>
      <c r="AP66" s="1" t="s">
        <v>58</v>
      </c>
      <c r="AQ66" s="1" t="s">
        <v>59</v>
      </c>
    </row>
    <row r="67" customHeight="1" spans="1:43">
      <c r="A67" s="4" t="s">
        <v>43</v>
      </c>
      <c r="B67" s="4">
        <v>190</v>
      </c>
      <c r="C67" s="4" t="s">
        <v>44</v>
      </c>
      <c r="D67" s="4" t="s">
        <v>45</v>
      </c>
      <c r="E67" s="4"/>
      <c r="F67" s="4"/>
      <c r="G67" s="4"/>
      <c r="H67" s="4"/>
      <c r="I67" s="4"/>
      <c r="J67" s="4"/>
      <c r="K67" s="4"/>
      <c r="L67" s="4"/>
      <c r="M67" s="4"/>
      <c r="N67" s="4">
        <v>419</v>
      </c>
      <c r="O67" s="4" t="s">
        <v>611</v>
      </c>
      <c r="P67" s="4" t="s">
        <v>132</v>
      </c>
      <c r="Q67" s="4" t="s">
        <v>561</v>
      </c>
      <c r="R67" s="4" t="s">
        <v>562</v>
      </c>
      <c r="S67" s="4" t="s">
        <v>563</v>
      </c>
      <c r="T67" s="4" t="s">
        <v>564</v>
      </c>
      <c r="U67" s="4" t="s">
        <v>612</v>
      </c>
      <c r="V67" s="4"/>
      <c r="W67" s="4" t="s">
        <v>53</v>
      </c>
      <c r="X67" s="4" t="s">
        <v>54</v>
      </c>
      <c r="Y67" s="4" t="s">
        <v>53</v>
      </c>
      <c r="Z67" s="4" t="s">
        <v>53</v>
      </c>
      <c r="AA67" s="4" t="s">
        <v>53</v>
      </c>
      <c r="AB67" s="4"/>
      <c r="AC67" s="4" t="s">
        <v>53</v>
      </c>
      <c r="AD67" s="4" t="s">
        <v>566</v>
      </c>
      <c r="AE67" s="4" t="s">
        <v>612</v>
      </c>
      <c r="AF67" s="13" t="s">
        <v>613</v>
      </c>
      <c r="AG67" s="4"/>
      <c r="AH67" s="4" t="s">
        <v>614</v>
      </c>
      <c r="AI67" s="4">
        <v>12</v>
      </c>
      <c r="AJ67" s="4" t="s">
        <v>615</v>
      </c>
      <c r="AK67" s="4"/>
      <c r="AL67" s="4" t="str">
        <f>VLOOKUP(N67,[1]Sheet1!$N:$AL,25,0)</f>
        <v>42192002  Medical exam or procedure table accessories for general use excluding cover sheets</v>
      </c>
      <c r="AM67" s="4"/>
      <c r="AN67" s="4"/>
      <c r="AO67" s="4"/>
      <c r="AP67" s="1" t="s">
        <v>58</v>
      </c>
      <c r="AQ67" s="1" t="s">
        <v>59</v>
      </c>
    </row>
    <row r="68" customHeight="1" spans="1:43">
      <c r="A68" s="4" t="s">
        <v>43</v>
      </c>
      <c r="B68" s="4">
        <v>190</v>
      </c>
      <c r="C68" s="4" t="s">
        <v>44</v>
      </c>
      <c r="D68" s="4" t="s">
        <v>45</v>
      </c>
      <c r="E68" s="4"/>
      <c r="F68" s="4"/>
      <c r="G68" s="4"/>
      <c r="H68" s="4"/>
      <c r="I68" s="4"/>
      <c r="J68" s="4"/>
      <c r="K68" s="4"/>
      <c r="L68" s="4"/>
      <c r="M68" s="4"/>
      <c r="N68" s="4">
        <v>420</v>
      </c>
      <c r="O68" s="4" t="s">
        <v>616</v>
      </c>
      <c r="P68" s="4" t="s">
        <v>617</v>
      </c>
      <c r="Q68" s="4" t="s">
        <v>561</v>
      </c>
      <c r="R68" s="4" t="s">
        <v>562</v>
      </c>
      <c r="S68" s="4" t="s">
        <v>563</v>
      </c>
      <c r="T68" s="4" t="s">
        <v>564</v>
      </c>
      <c r="U68" s="4" t="s">
        <v>618</v>
      </c>
      <c r="V68" s="4"/>
      <c r="W68" s="4" t="s">
        <v>53</v>
      </c>
      <c r="X68" s="4" t="s">
        <v>54</v>
      </c>
      <c r="Y68" s="4" t="s">
        <v>619</v>
      </c>
      <c r="Z68" s="4" t="s">
        <v>620</v>
      </c>
      <c r="AA68" s="4" t="s">
        <v>68</v>
      </c>
      <c r="AB68" s="4"/>
      <c r="AC68" s="4" t="s">
        <v>621</v>
      </c>
      <c r="AD68" s="4" t="s">
        <v>566</v>
      </c>
      <c r="AE68" s="4" t="s">
        <v>618</v>
      </c>
      <c r="AF68" s="13" t="s">
        <v>622</v>
      </c>
      <c r="AG68" s="4"/>
      <c r="AH68" s="4" t="s">
        <v>623</v>
      </c>
      <c r="AI68" s="4">
        <v>7</v>
      </c>
      <c r="AJ68" s="4" t="s">
        <v>624</v>
      </c>
      <c r="AK68" s="4"/>
      <c r="AL68" s="4" t="str">
        <f>VLOOKUP(N68,[1]Sheet1!$N:$AL,25,0)</f>
        <v>42221803  Intravenous or arterial catheter positioning tapes or dressings or straps or cuffs</v>
      </c>
      <c r="AM68" s="4"/>
      <c r="AN68" s="4"/>
      <c r="AO68" s="4"/>
      <c r="AP68" s="1" t="s">
        <v>58</v>
      </c>
      <c r="AQ68" s="1" t="s">
        <v>59</v>
      </c>
    </row>
    <row r="69" customHeight="1" spans="1:43">
      <c r="A69" s="4" t="s">
        <v>43</v>
      </c>
      <c r="B69" s="4">
        <v>190</v>
      </c>
      <c r="C69" s="4" t="s">
        <v>44</v>
      </c>
      <c r="D69" s="4" t="s">
        <v>45</v>
      </c>
      <c r="E69" s="4"/>
      <c r="F69" s="4"/>
      <c r="G69" s="4"/>
      <c r="H69" s="4"/>
      <c r="I69" s="4"/>
      <c r="J69" s="4"/>
      <c r="K69" s="4"/>
      <c r="L69" s="4"/>
      <c r="M69" s="4"/>
      <c r="N69" s="4">
        <v>421</v>
      </c>
      <c r="O69" s="4" t="s">
        <v>625</v>
      </c>
      <c r="P69" s="4" t="s">
        <v>591</v>
      </c>
      <c r="Q69" s="4" t="s">
        <v>561</v>
      </c>
      <c r="R69" s="4" t="s">
        <v>562</v>
      </c>
      <c r="S69" s="4" t="s">
        <v>563</v>
      </c>
      <c r="T69" s="4" t="s">
        <v>564</v>
      </c>
      <c r="U69" s="4" t="s">
        <v>626</v>
      </c>
      <c r="V69" s="4"/>
      <c r="W69" s="4" t="s">
        <v>53</v>
      </c>
      <c r="X69" s="4" t="s">
        <v>54</v>
      </c>
      <c r="Y69" s="4" t="s">
        <v>579</v>
      </c>
      <c r="Z69" s="4" t="s">
        <v>580</v>
      </c>
      <c r="AA69" s="4" t="s">
        <v>68</v>
      </c>
      <c r="AB69" s="4"/>
      <c r="AC69" s="4" t="s">
        <v>581</v>
      </c>
      <c r="AD69" s="4" t="s">
        <v>566</v>
      </c>
      <c r="AE69" s="4" t="s">
        <v>626</v>
      </c>
      <c r="AF69" s="13" t="s">
        <v>627</v>
      </c>
      <c r="AG69" s="4"/>
      <c r="AH69" s="4" t="s">
        <v>129</v>
      </c>
      <c r="AI69" s="4">
        <v>26</v>
      </c>
      <c r="AJ69" s="4" t="s">
        <v>628</v>
      </c>
      <c r="AK69" s="4"/>
      <c r="AL69" s="4" t="str">
        <f>VLOOKUP(N69,[1]Sheet1!$N:$AL,25,0)</f>
        <v>42181904  Multiparameter vital sign units</v>
      </c>
      <c r="AM69" s="4"/>
      <c r="AN69" s="4"/>
      <c r="AO69" s="4"/>
      <c r="AP69" s="1" t="s">
        <v>58</v>
      </c>
      <c r="AQ69" s="1" t="s">
        <v>59</v>
      </c>
    </row>
    <row r="70" customHeight="1" spans="1:43">
      <c r="A70" s="4" t="s">
        <v>43</v>
      </c>
      <c r="B70" s="4">
        <v>190</v>
      </c>
      <c r="C70" s="4" t="s">
        <v>44</v>
      </c>
      <c r="D70" s="4" t="s">
        <v>45</v>
      </c>
      <c r="E70" s="4"/>
      <c r="F70" s="4"/>
      <c r="G70" s="4"/>
      <c r="H70" s="4"/>
      <c r="I70" s="4"/>
      <c r="J70" s="4"/>
      <c r="K70" s="4"/>
      <c r="L70" s="4"/>
      <c r="M70" s="4"/>
      <c r="N70" s="4">
        <v>427</v>
      </c>
      <c r="O70" s="4" t="s">
        <v>629</v>
      </c>
      <c r="P70" s="4" t="s">
        <v>630</v>
      </c>
      <c r="Q70" s="4" t="s">
        <v>561</v>
      </c>
      <c r="R70" s="4" t="s">
        <v>562</v>
      </c>
      <c r="S70" s="4" t="s">
        <v>563</v>
      </c>
      <c r="T70" s="4" t="s">
        <v>564</v>
      </c>
      <c r="U70" s="4" t="s">
        <v>631</v>
      </c>
      <c r="V70" s="4"/>
      <c r="W70" s="4" t="s">
        <v>53</v>
      </c>
      <c r="X70" s="4" t="s">
        <v>54</v>
      </c>
      <c r="Y70" s="4" t="s">
        <v>53</v>
      </c>
      <c r="Z70" s="4" t="s">
        <v>53</v>
      </c>
      <c r="AA70" s="4" t="s">
        <v>53</v>
      </c>
      <c r="AB70" s="4"/>
      <c r="AC70" s="4" t="s">
        <v>53</v>
      </c>
      <c r="AD70" s="4" t="s">
        <v>566</v>
      </c>
      <c r="AE70" s="4" t="s">
        <v>631</v>
      </c>
      <c r="AF70" s="13" t="s">
        <v>632</v>
      </c>
      <c r="AG70" s="4"/>
      <c r="AH70" s="4" t="s">
        <v>567</v>
      </c>
      <c r="AI70" s="4">
        <v>39</v>
      </c>
      <c r="AJ70" s="4" t="s">
        <v>633</v>
      </c>
      <c r="AK70" s="4"/>
      <c r="AL70" s="4" t="str">
        <f>VLOOKUP(N70,[1]Sheet1!$N:$AL,25,0)</f>
        <v>42192221  Patient stretcher accessories</v>
      </c>
      <c r="AM70" s="4"/>
      <c r="AN70" s="4"/>
      <c r="AO70" s="4"/>
      <c r="AP70" s="1" t="s">
        <v>58</v>
      </c>
      <c r="AQ70" s="1" t="s">
        <v>59</v>
      </c>
    </row>
    <row r="71" customHeight="1" spans="1:43">
      <c r="A71" s="4" t="s">
        <v>43</v>
      </c>
      <c r="B71" s="4">
        <v>190</v>
      </c>
      <c r="C71" s="4" t="s">
        <v>44</v>
      </c>
      <c r="D71" s="4" t="s">
        <v>45</v>
      </c>
      <c r="E71" s="4"/>
      <c r="F71" s="4"/>
      <c r="G71" s="4"/>
      <c r="H71" s="4"/>
      <c r="I71" s="4"/>
      <c r="J71" s="4"/>
      <c r="K71" s="4"/>
      <c r="L71" s="4"/>
      <c r="M71" s="4"/>
      <c r="N71" s="4">
        <v>2330</v>
      </c>
      <c r="O71" s="4" t="s">
        <v>634</v>
      </c>
      <c r="P71" s="4" t="s">
        <v>635</v>
      </c>
      <c r="Q71" s="4" t="s">
        <v>636</v>
      </c>
      <c r="R71" s="4" t="s">
        <v>637</v>
      </c>
      <c r="S71" s="4" t="s">
        <v>638</v>
      </c>
      <c r="T71" s="4" t="s">
        <v>639</v>
      </c>
      <c r="U71" s="4" t="s">
        <v>640</v>
      </c>
      <c r="V71" s="4"/>
      <c r="W71" s="4" t="s">
        <v>53</v>
      </c>
      <c r="X71" s="4" t="s">
        <v>54</v>
      </c>
      <c r="Y71" s="4" t="s">
        <v>641</v>
      </c>
      <c r="Z71" s="4" t="s">
        <v>642</v>
      </c>
      <c r="AA71" s="4" t="s">
        <v>68</v>
      </c>
      <c r="AB71" s="4"/>
      <c r="AC71" s="4" t="s">
        <v>643</v>
      </c>
      <c r="AD71" s="4" t="s">
        <v>644</v>
      </c>
      <c r="AE71" s="4" t="s">
        <v>640</v>
      </c>
      <c r="AF71" s="13" t="s">
        <v>640</v>
      </c>
      <c r="AG71" s="4"/>
      <c r="AH71" s="4" t="s">
        <v>645</v>
      </c>
      <c r="AI71" s="4">
        <v>14</v>
      </c>
      <c r="AJ71" s="4" t="s">
        <v>646</v>
      </c>
      <c r="AK71" s="4"/>
      <c r="AL71" s="4" t="str">
        <f>VLOOKUP(N71,[1]Sheet1!$N:$AL,25,0)</f>
        <v>47131701  Paper towel dispensers</v>
      </c>
      <c r="AM71" s="4"/>
      <c r="AN71" s="4"/>
      <c r="AO71" s="4"/>
      <c r="AP71" s="1" t="s">
        <v>58</v>
      </c>
      <c r="AQ71" s="1" t="s">
        <v>59</v>
      </c>
    </row>
    <row r="72" customHeight="1" spans="1:43">
      <c r="A72" s="4" t="s">
        <v>43</v>
      </c>
      <c r="B72" s="4">
        <v>190</v>
      </c>
      <c r="C72" s="4" t="s">
        <v>44</v>
      </c>
      <c r="D72" s="4" t="s">
        <v>45</v>
      </c>
      <c r="E72" s="4"/>
      <c r="F72" s="4"/>
      <c r="G72" s="4"/>
      <c r="H72" s="4"/>
      <c r="I72" s="4"/>
      <c r="J72" s="4"/>
      <c r="K72" s="4"/>
      <c r="L72" s="4"/>
      <c r="M72" s="4"/>
      <c r="N72" s="4">
        <v>2331</v>
      </c>
      <c r="O72" s="4" t="s">
        <v>647</v>
      </c>
      <c r="P72" s="4" t="s">
        <v>635</v>
      </c>
      <c r="Q72" s="4" t="s">
        <v>636</v>
      </c>
      <c r="R72" s="4" t="s">
        <v>637</v>
      </c>
      <c r="S72" s="4" t="s">
        <v>638</v>
      </c>
      <c r="T72" s="4" t="s">
        <v>639</v>
      </c>
      <c r="U72" s="4" t="s">
        <v>648</v>
      </c>
      <c r="V72" s="4"/>
      <c r="W72" s="4" t="s">
        <v>53</v>
      </c>
      <c r="X72" s="4" t="s">
        <v>54</v>
      </c>
      <c r="Y72" s="4" t="s">
        <v>641</v>
      </c>
      <c r="Z72" s="4" t="s">
        <v>642</v>
      </c>
      <c r="AA72" s="4" t="s">
        <v>68</v>
      </c>
      <c r="AB72" s="4"/>
      <c r="AC72" s="4" t="s">
        <v>643</v>
      </c>
      <c r="AD72" s="4" t="s">
        <v>644</v>
      </c>
      <c r="AE72" s="4" t="s">
        <v>648</v>
      </c>
      <c r="AF72" s="13" t="s">
        <v>648</v>
      </c>
      <c r="AG72" s="4"/>
      <c r="AH72" s="4" t="s">
        <v>645</v>
      </c>
      <c r="AI72" s="4">
        <v>14</v>
      </c>
      <c r="AJ72" s="4" t="s">
        <v>649</v>
      </c>
      <c r="AK72" s="4"/>
      <c r="AL72" s="4" t="str">
        <f>VLOOKUP(N72,[1]Sheet1!$N:$AL,25,0)</f>
        <v>47131701  Paper towel dispensers</v>
      </c>
      <c r="AM72" s="4"/>
      <c r="AN72" s="4"/>
      <c r="AO72" s="4"/>
      <c r="AP72" s="1" t="s">
        <v>58</v>
      </c>
      <c r="AQ72" s="1" t="s">
        <v>59</v>
      </c>
    </row>
    <row r="73" customHeight="1" spans="1:43">
      <c r="A73" s="4" t="s">
        <v>43</v>
      </c>
      <c r="B73" s="4">
        <v>190</v>
      </c>
      <c r="C73" s="4" t="s">
        <v>44</v>
      </c>
      <c r="D73" s="4" t="s">
        <v>45</v>
      </c>
      <c r="E73" s="4"/>
      <c r="F73" s="4"/>
      <c r="G73" s="4"/>
      <c r="H73" s="4"/>
      <c r="I73" s="4"/>
      <c r="J73" s="4"/>
      <c r="K73" s="4"/>
      <c r="L73" s="4"/>
      <c r="M73" s="4"/>
      <c r="N73" s="4">
        <v>436</v>
      </c>
      <c r="O73" s="4" t="s">
        <v>650</v>
      </c>
      <c r="P73" s="4" t="s">
        <v>651</v>
      </c>
      <c r="Q73" s="4" t="s">
        <v>652</v>
      </c>
      <c r="R73" s="4" t="s">
        <v>653</v>
      </c>
      <c r="S73" s="4" t="s">
        <v>644</v>
      </c>
      <c r="T73" s="4" t="s">
        <v>654</v>
      </c>
      <c r="U73" s="4" t="s">
        <v>655</v>
      </c>
      <c r="V73" s="4"/>
      <c r="W73" s="4" t="s">
        <v>53</v>
      </c>
      <c r="X73" s="4" t="s">
        <v>54</v>
      </c>
      <c r="Y73" s="4" t="s">
        <v>53</v>
      </c>
      <c r="Z73" s="4" t="s">
        <v>53</v>
      </c>
      <c r="AA73" s="4" t="s">
        <v>53</v>
      </c>
      <c r="AB73" s="4"/>
      <c r="AC73" s="4" t="s">
        <v>53</v>
      </c>
      <c r="AD73" s="4" t="s">
        <v>644</v>
      </c>
      <c r="AE73" s="4" t="s">
        <v>655</v>
      </c>
      <c r="AF73" s="13" t="s">
        <v>656</v>
      </c>
      <c r="AG73" s="4"/>
      <c r="AH73" s="4" t="s">
        <v>657</v>
      </c>
      <c r="AI73" s="4">
        <v>1</v>
      </c>
      <c r="AJ73" s="4" t="s">
        <v>658</v>
      </c>
      <c r="AK73" s="4"/>
      <c r="AL73" s="4" t="str">
        <f>VLOOKUP(N73,[1]Sheet1!$N:$AL,25,0)</f>
        <v>42231600  Gastrostomy and jejunostomy access devices or accessories</v>
      </c>
      <c r="AM73" s="4"/>
      <c r="AN73" s="4"/>
      <c r="AO73" s="4"/>
      <c r="AP73" s="1" t="s">
        <v>58</v>
      </c>
      <c r="AQ73" s="1" t="s">
        <v>59</v>
      </c>
    </row>
    <row r="74" customHeight="1" spans="1:43">
      <c r="A74" s="4" t="s">
        <v>43</v>
      </c>
      <c r="B74" s="4">
        <v>190</v>
      </c>
      <c r="C74" s="4" t="s">
        <v>44</v>
      </c>
      <c r="D74" s="4" t="s">
        <v>45</v>
      </c>
      <c r="E74" s="4"/>
      <c r="F74" s="4"/>
      <c r="G74" s="4"/>
      <c r="H74" s="4"/>
      <c r="I74" s="4"/>
      <c r="J74" s="4"/>
      <c r="K74" s="4"/>
      <c r="L74" s="4"/>
      <c r="M74" s="4"/>
      <c r="N74" s="4">
        <v>434</v>
      </c>
      <c r="O74" s="4" t="s">
        <v>659</v>
      </c>
      <c r="P74" s="4" t="s">
        <v>660</v>
      </c>
      <c r="Q74" s="4" t="s">
        <v>652</v>
      </c>
      <c r="R74" s="4" t="s">
        <v>653</v>
      </c>
      <c r="S74" s="4" t="s">
        <v>644</v>
      </c>
      <c r="T74" s="4" t="s">
        <v>654</v>
      </c>
      <c r="U74" s="4" t="s">
        <v>661</v>
      </c>
      <c r="V74" s="4"/>
      <c r="W74" s="4" t="s">
        <v>53</v>
      </c>
      <c r="X74" s="4" t="s">
        <v>54</v>
      </c>
      <c r="Y74" s="4" t="s">
        <v>662</v>
      </c>
      <c r="Z74" s="4" t="s">
        <v>663</v>
      </c>
      <c r="AA74" s="4" t="s">
        <v>68</v>
      </c>
      <c r="AB74" s="4"/>
      <c r="AC74" s="4" t="s">
        <v>664</v>
      </c>
      <c r="AD74" s="4" t="s">
        <v>644</v>
      </c>
      <c r="AE74" s="4" t="s">
        <v>661</v>
      </c>
      <c r="AF74" s="13" t="s">
        <v>661</v>
      </c>
      <c r="AG74" s="4"/>
      <c r="AH74" s="4" t="s">
        <v>665</v>
      </c>
      <c r="AI74" s="4">
        <v>4</v>
      </c>
      <c r="AJ74" s="4" t="s">
        <v>666</v>
      </c>
      <c r="AK74" s="4"/>
      <c r="AL74" s="4" t="str">
        <f>VLOOKUP(N74,[1]Sheet1!$N:$AL,25,0)</f>
        <v>42142535  Anesthesia nerve block kit or tray</v>
      </c>
      <c r="AM74" s="4"/>
      <c r="AN74" s="4"/>
      <c r="AO74" s="4"/>
      <c r="AP74" s="1" t="s">
        <v>58</v>
      </c>
      <c r="AQ74" s="1" t="s">
        <v>59</v>
      </c>
    </row>
    <row r="75" customHeight="1" spans="1:43">
      <c r="A75" s="4" t="s">
        <v>43</v>
      </c>
      <c r="B75" s="4">
        <v>190</v>
      </c>
      <c r="C75" s="4" t="s">
        <v>44</v>
      </c>
      <c r="D75" s="4" t="s">
        <v>45</v>
      </c>
      <c r="E75" s="4"/>
      <c r="F75" s="4"/>
      <c r="G75" s="4"/>
      <c r="H75" s="4"/>
      <c r="I75" s="4"/>
      <c r="J75" s="4"/>
      <c r="K75" s="4"/>
      <c r="L75" s="4"/>
      <c r="M75" s="4"/>
      <c r="N75" s="4">
        <v>435</v>
      </c>
      <c r="O75" s="4" t="s">
        <v>667</v>
      </c>
      <c r="P75" s="4" t="s">
        <v>668</v>
      </c>
      <c r="Q75" s="4" t="s">
        <v>652</v>
      </c>
      <c r="R75" s="4" t="s">
        <v>653</v>
      </c>
      <c r="S75" s="4" t="s">
        <v>644</v>
      </c>
      <c r="T75" s="4" t="s">
        <v>654</v>
      </c>
      <c r="U75" s="4" t="s">
        <v>669</v>
      </c>
      <c r="V75" s="4"/>
      <c r="W75" s="4" t="s">
        <v>53</v>
      </c>
      <c r="X75" s="4" t="s">
        <v>54</v>
      </c>
      <c r="Y75" s="4" t="s">
        <v>53</v>
      </c>
      <c r="Z75" s="4" t="s">
        <v>53</v>
      </c>
      <c r="AA75" s="4" t="s">
        <v>53</v>
      </c>
      <c r="AB75" s="4"/>
      <c r="AC75" s="4" t="s">
        <v>53</v>
      </c>
      <c r="AD75" s="4" t="s">
        <v>644</v>
      </c>
      <c r="AE75" s="4" t="s">
        <v>669</v>
      </c>
      <c r="AF75" s="13" t="s">
        <v>669</v>
      </c>
      <c r="AG75" s="4"/>
      <c r="AH75" s="4" t="s">
        <v>670</v>
      </c>
      <c r="AI75" s="4">
        <v>3</v>
      </c>
      <c r="AJ75" s="4" t="s">
        <v>671</v>
      </c>
      <c r="AK75" s="4"/>
      <c r="AL75" s="4" t="str">
        <f>VLOOKUP(N75,[1]Sheet1!$N:$AL,25,0)</f>
        <v>42295480  Surgical customizable packs</v>
      </c>
      <c r="AM75" s="4"/>
      <c r="AN75" s="4"/>
      <c r="AO75" s="4"/>
      <c r="AP75" s="1" t="s">
        <v>58</v>
      </c>
      <c r="AQ75" s="1" t="s">
        <v>59</v>
      </c>
    </row>
    <row r="76" customHeight="1" spans="1:43">
      <c r="A76" s="4" t="s">
        <v>43</v>
      </c>
      <c r="B76" s="4">
        <v>190</v>
      </c>
      <c r="C76" s="4" t="s">
        <v>44</v>
      </c>
      <c r="D76" s="4" t="s">
        <v>45</v>
      </c>
      <c r="E76" s="4"/>
      <c r="F76" s="4"/>
      <c r="G76" s="4"/>
      <c r="H76" s="4"/>
      <c r="I76" s="4"/>
      <c r="J76" s="4"/>
      <c r="K76" s="4"/>
      <c r="L76" s="4"/>
      <c r="M76" s="4"/>
      <c r="N76" s="4">
        <v>437</v>
      </c>
      <c r="O76" s="4" t="s">
        <v>672</v>
      </c>
      <c r="P76" s="4" t="s">
        <v>319</v>
      </c>
      <c r="Q76" s="4" t="s">
        <v>652</v>
      </c>
      <c r="R76" s="4" t="s">
        <v>653</v>
      </c>
      <c r="S76" s="4" t="s">
        <v>644</v>
      </c>
      <c r="T76" s="4" t="s">
        <v>654</v>
      </c>
      <c r="U76" s="4" t="s">
        <v>673</v>
      </c>
      <c r="V76" s="4"/>
      <c r="W76" s="4" t="s">
        <v>53</v>
      </c>
      <c r="X76" s="4" t="s">
        <v>54</v>
      </c>
      <c r="Y76" s="4" t="s">
        <v>325</v>
      </c>
      <c r="Z76" s="4" t="s">
        <v>326</v>
      </c>
      <c r="AA76" s="4" t="s">
        <v>68</v>
      </c>
      <c r="AB76" s="4"/>
      <c r="AC76" s="4" t="s">
        <v>327</v>
      </c>
      <c r="AD76" s="4" t="s">
        <v>644</v>
      </c>
      <c r="AE76" s="4" t="s">
        <v>673</v>
      </c>
      <c r="AF76" s="13" t="s">
        <v>673</v>
      </c>
      <c r="AG76" s="4"/>
      <c r="AH76" s="4" t="s">
        <v>330</v>
      </c>
      <c r="AI76" s="4">
        <v>16</v>
      </c>
      <c r="AJ76" s="4" t="s">
        <v>674</v>
      </c>
      <c r="AK76" s="4"/>
      <c r="AL76" s="4" t="str">
        <f>VLOOKUP(N76,[1]Sheet1!$N:$AL,25,0)</f>
        <v>42222001  Intravenous infusion pumps for general use</v>
      </c>
      <c r="AM76" s="4"/>
      <c r="AN76" s="4"/>
      <c r="AO76" s="4"/>
      <c r="AP76" s="1" t="s">
        <v>58</v>
      </c>
      <c r="AQ76" s="1" t="s">
        <v>59</v>
      </c>
    </row>
    <row r="77" customHeight="1" spans="1:43">
      <c r="A77" s="4" t="s">
        <v>43</v>
      </c>
      <c r="B77" s="4">
        <v>190</v>
      </c>
      <c r="C77" s="4" t="s">
        <v>44</v>
      </c>
      <c r="D77" s="4" t="s">
        <v>45</v>
      </c>
      <c r="E77" s="4"/>
      <c r="F77" s="4"/>
      <c r="G77" s="4"/>
      <c r="H77" s="4"/>
      <c r="I77" s="4"/>
      <c r="J77" s="4"/>
      <c r="K77" s="4"/>
      <c r="L77" s="4"/>
      <c r="M77" s="4"/>
      <c r="N77" s="4">
        <v>438</v>
      </c>
      <c r="O77" s="4" t="s">
        <v>675</v>
      </c>
      <c r="P77" s="4" t="s">
        <v>676</v>
      </c>
      <c r="Q77" s="4" t="s">
        <v>652</v>
      </c>
      <c r="R77" s="4" t="s">
        <v>653</v>
      </c>
      <c r="S77" s="4" t="s">
        <v>644</v>
      </c>
      <c r="T77" s="4" t="s">
        <v>654</v>
      </c>
      <c r="U77" s="4" t="s">
        <v>677</v>
      </c>
      <c r="V77" s="4"/>
      <c r="W77" s="4" t="s">
        <v>53</v>
      </c>
      <c r="X77" s="4" t="s">
        <v>54</v>
      </c>
      <c r="Y77" s="4" t="s">
        <v>678</v>
      </c>
      <c r="Z77" s="4" t="s">
        <v>679</v>
      </c>
      <c r="AA77" s="4" t="s">
        <v>68</v>
      </c>
      <c r="AB77" s="4"/>
      <c r="AC77" s="4" t="s">
        <v>680</v>
      </c>
      <c r="AD77" s="4" t="s">
        <v>644</v>
      </c>
      <c r="AE77" s="4" t="s">
        <v>677</v>
      </c>
      <c r="AF77" s="13" t="s">
        <v>677</v>
      </c>
      <c r="AG77" s="4"/>
      <c r="AH77" s="4" t="s">
        <v>290</v>
      </c>
      <c r="AI77" s="4">
        <v>39</v>
      </c>
      <c r="AJ77" s="4" t="s">
        <v>681</v>
      </c>
      <c r="AK77" s="4"/>
      <c r="AL77" s="4" t="str">
        <f>VLOOKUP(N77,[1]Sheet1!$N:$AL,25,0)</f>
        <v>42142541  Spinal aspiration needles</v>
      </c>
      <c r="AM77" s="4"/>
      <c r="AN77" s="4"/>
      <c r="AO77" s="4"/>
      <c r="AP77" s="1" t="s">
        <v>58</v>
      </c>
      <c r="AQ77" s="1" t="s">
        <v>59</v>
      </c>
    </row>
    <row r="78" customHeight="1" spans="1:43">
      <c r="A78" s="4" t="s">
        <v>43</v>
      </c>
      <c r="B78" s="4">
        <v>190</v>
      </c>
      <c r="C78" s="4" t="s">
        <v>44</v>
      </c>
      <c r="D78" s="4" t="s">
        <v>45</v>
      </c>
      <c r="E78" s="4"/>
      <c r="F78" s="4"/>
      <c r="G78" s="4"/>
      <c r="H78" s="4"/>
      <c r="I78" s="4"/>
      <c r="J78" s="4"/>
      <c r="K78" s="4"/>
      <c r="L78" s="4"/>
      <c r="M78" s="4"/>
      <c r="N78" s="4">
        <v>439</v>
      </c>
      <c r="O78" s="4" t="s">
        <v>682</v>
      </c>
      <c r="P78" s="4" t="s">
        <v>676</v>
      </c>
      <c r="Q78" s="4" t="s">
        <v>652</v>
      </c>
      <c r="R78" s="4" t="s">
        <v>653</v>
      </c>
      <c r="S78" s="4" t="s">
        <v>644</v>
      </c>
      <c r="T78" s="4" t="s">
        <v>654</v>
      </c>
      <c r="U78" s="4" t="s">
        <v>683</v>
      </c>
      <c r="V78" s="4"/>
      <c r="W78" s="4" t="s">
        <v>53</v>
      </c>
      <c r="X78" s="4" t="s">
        <v>54</v>
      </c>
      <c r="Y78" s="4" t="s">
        <v>678</v>
      </c>
      <c r="Z78" s="4" t="s">
        <v>679</v>
      </c>
      <c r="AA78" s="4" t="s">
        <v>68</v>
      </c>
      <c r="AB78" s="4"/>
      <c r="AC78" s="4" t="s">
        <v>680</v>
      </c>
      <c r="AD78" s="4" t="s">
        <v>644</v>
      </c>
      <c r="AE78" s="4" t="s">
        <v>683</v>
      </c>
      <c r="AF78" s="13" t="s">
        <v>683</v>
      </c>
      <c r="AG78" s="4"/>
      <c r="AH78" s="4" t="s">
        <v>290</v>
      </c>
      <c r="AI78" s="4">
        <v>39</v>
      </c>
      <c r="AJ78" s="4" t="s">
        <v>684</v>
      </c>
      <c r="AK78" s="4"/>
      <c r="AL78" s="4" t="str">
        <f>VLOOKUP(N78,[1]Sheet1!$N:$AL,25,0)</f>
        <v>42142541  Spinal aspiration needles</v>
      </c>
      <c r="AM78" s="4"/>
      <c r="AN78" s="4"/>
      <c r="AO78" s="4"/>
      <c r="AP78" s="1" t="s">
        <v>58</v>
      </c>
      <c r="AQ78" s="1" t="s">
        <v>59</v>
      </c>
    </row>
    <row r="79" customHeight="1" spans="1:43">
      <c r="A79" s="4" t="s">
        <v>43</v>
      </c>
      <c r="B79" s="4">
        <v>190</v>
      </c>
      <c r="C79" s="4" t="s">
        <v>44</v>
      </c>
      <c r="D79" s="4" t="s">
        <v>45</v>
      </c>
      <c r="E79" s="4"/>
      <c r="F79" s="4"/>
      <c r="G79" s="4"/>
      <c r="H79" s="4"/>
      <c r="I79" s="4"/>
      <c r="J79" s="4"/>
      <c r="K79" s="4"/>
      <c r="L79" s="4"/>
      <c r="M79" s="4"/>
      <c r="N79" s="4">
        <v>440</v>
      </c>
      <c r="O79" s="4" t="s">
        <v>685</v>
      </c>
      <c r="P79" s="4" t="s">
        <v>546</v>
      </c>
      <c r="Q79" s="4" t="s">
        <v>686</v>
      </c>
      <c r="R79" s="4" t="s">
        <v>687</v>
      </c>
      <c r="S79" s="4" t="s">
        <v>688</v>
      </c>
      <c r="T79" s="4" t="s">
        <v>689</v>
      </c>
      <c r="U79" s="4" t="s">
        <v>690</v>
      </c>
      <c r="V79" s="4"/>
      <c r="W79" s="4" t="s">
        <v>53</v>
      </c>
      <c r="X79" s="4" t="s">
        <v>190</v>
      </c>
      <c r="Y79" s="4" t="s">
        <v>691</v>
      </c>
      <c r="Z79" s="4" t="s">
        <v>692</v>
      </c>
      <c r="AA79" s="4" t="s">
        <v>68</v>
      </c>
      <c r="AB79" s="4"/>
      <c r="AC79" s="4" t="s">
        <v>693</v>
      </c>
      <c r="AD79" s="4" t="s">
        <v>694</v>
      </c>
      <c r="AE79" s="4" t="s">
        <v>690</v>
      </c>
      <c r="AF79" s="13" t="s">
        <v>695</v>
      </c>
      <c r="AG79" s="4"/>
      <c r="AH79" s="4" t="s">
        <v>557</v>
      </c>
      <c r="AI79" s="4">
        <v>4</v>
      </c>
      <c r="AJ79" s="4" t="s">
        <v>696</v>
      </c>
      <c r="AK79" s="4"/>
      <c r="AL79" s="4" t="str">
        <f>VLOOKUP(N79,[1]Sheet1!$N:$AL,25,0)</f>
        <v>42294211  Surgical custom or specialty instrument or procedure sets</v>
      </c>
      <c r="AM79" s="4"/>
      <c r="AN79" s="4"/>
      <c r="AO79" s="4"/>
      <c r="AP79" s="1" t="s">
        <v>58</v>
      </c>
      <c r="AQ79" s="1" t="s">
        <v>59</v>
      </c>
    </row>
    <row r="80" customHeight="1" spans="1:43">
      <c r="A80" s="4" t="s">
        <v>43</v>
      </c>
      <c r="B80" s="4">
        <v>190</v>
      </c>
      <c r="C80" s="4" t="s">
        <v>44</v>
      </c>
      <c r="D80" s="4" t="s">
        <v>45</v>
      </c>
      <c r="E80" s="4"/>
      <c r="F80" s="4"/>
      <c r="G80" s="4"/>
      <c r="H80" s="4"/>
      <c r="I80" s="4"/>
      <c r="J80" s="4"/>
      <c r="K80" s="4"/>
      <c r="L80" s="4"/>
      <c r="M80" s="4"/>
      <c r="N80" s="4">
        <v>4439</v>
      </c>
      <c r="O80" s="4" t="s">
        <v>697</v>
      </c>
      <c r="P80" s="4" t="s">
        <v>407</v>
      </c>
      <c r="Q80" s="4" t="s">
        <v>698</v>
      </c>
      <c r="R80" s="4" t="s">
        <v>699</v>
      </c>
      <c r="S80" s="4" t="s">
        <v>700</v>
      </c>
      <c r="T80" s="4" t="s">
        <v>701</v>
      </c>
      <c r="U80" s="4" t="s">
        <v>702</v>
      </c>
      <c r="V80" s="4"/>
      <c r="W80" s="4" t="s">
        <v>53</v>
      </c>
      <c r="X80" s="4" t="s">
        <v>54</v>
      </c>
      <c r="Y80" s="4" t="s">
        <v>703</v>
      </c>
      <c r="Z80" s="4" t="s">
        <v>704</v>
      </c>
      <c r="AA80" s="4" t="s">
        <v>68</v>
      </c>
      <c r="AB80" s="4"/>
      <c r="AC80" s="4" t="s">
        <v>705</v>
      </c>
      <c r="AD80" s="4" t="s">
        <v>706</v>
      </c>
      <c r="AE80" s="4" t="s">
        <v>702</v>
      </c>
      <c r="AF80" s="13" t="s">
        <v>702</v>
      </c>
      <c r="AG80" s="4"/>
      <c r="AH80" s="4" t="s">
        <v>413</v>
      </c>
      <c r="AI80" s="4">
        <v>6</v>
      </c>
      <c r="AJ80" s="4" t="s">
        <v>707</v>
      </c>
      <c r="AK80" s="4"/>
      <c r="AL80" s="4" t="str">
        <f>VLOOKUP(N80,[1]Sheet1!$N:$AL,25,0)</f>
        <v>42272229  Anesthesia breathing circuits</v>
      </c>
      <c r="AM80" s="4"/>
      <c r="AN80" s="4"/>
      <c r="AO80" s="4"/>
      <c r="AP80" s="1" t="s">
        <v>58</v>
      </c>
      <c r="AQ80" s="1" t="s">
        <v>59</v>
      </c>
    </row>
    <row r="81" customHeight="1" spans="1:43">
      <c r="A81" s="4" t="s">
        <v>43</v>
      </c>
      <c r="B81" s="4">
        <v>190</v>
      </c>
      <c r="C81" s="4" t="s">
        <v>44</v>
      </c>
      <c r="D81" s="4" t="s">
        <v>45</v>
      </c>
      <c r="E81" s="4"/>
      <c r="F81" s="4"/>
      <c r="G81" s="4"/>
      <c r="H81" s="4"/>
      <c r="I81" s="4"/>
      <c r="J81" s="4"/>
      <c r="K81" s="4"/>
      <c r="L81" s="4"/>
      <c r="M81" s="4"/>
      <c r="N81" s="4">
        <v>4446</v>
      </c>
      <c r="O81" s="4" t="s">
        <v>708</v>
      </c>
      <c r="P81" s="4" t="s">
        <v>53</v>
      </c>
      <c r="Q81" s="4" t="s">
        <v>698</v>
      </c>
      <c r="R81" s="4" t="s">
        <v>699</v>
      </c>
      <c r="S81" s="4" t="s">
        <v>700</v>
      </c>
      <c r="T81" s="4" t="s">
        <v>701</v>
      </c>
      <c r="U81" s="4" t="s">
        <v>709</v>
      </c>
      <c r="V81" s="4"/>
      <c r="W81" s="4" t="s">
        <v>53</v>
      </c>
      <c r="X81" s="4" t="s">
        <v>190</v>
      </c>
      <c r="Y81" s="4" t="s">
        <v>53</v>
      </c>
      <c r="Z81" s="4" t="s">
        <v>53</v>
      </c>
      <c r="AA81" s="4" t="s">
        <v>53</v>
      </c>
      <c r="AB81" s="4"/>
      <c r="AC81" s="4" t="s">
        <v>53</v>
      </c>
      <c r="AD81" s="4" t="s">
        <v>706</v>
      </c>
      <c r="AE81" s="4" t="s">
        <v>709</v>
      </c>
      <c r="AF81" s="13" t="s">
        <v>710</v>
      </c>
      <c r="AG81" s="4"/>
      <c r="AH81" s="4" t="s">
        <v>249</v>
      </c>
      <c r="AI81" s="4">
        <v>10</v>
      </c>
      <c r="AJ81" s="4" t="s">
        <v>711</v>
      </c>
      <c r="AK81" s="4"/>
      <c r="AL81" s="4" t="str">
        <f>VLOOKUP(N81,[1]Sheet1!$N:$AL,25,0)</f>
        <v>42271909  Artificial airway accessories</v>
      </c>
      <c r="AM81" s="4"/>
      <c r="AN81" s="4"/>
      <c r="AO81" s="4"/>
      <c r="AP81" s="1" t="s">
        <v>58</v>
      </c>
      <c r="AQ81" s="1" t="s">
        <v>59</v>
      </c>
    </row>
    <row r="82" customHeight="1" spans="1:43">
      <c r="A82" s="4" t="s">
        <v>43</v>
      </c>
      <c r="B82" s="4">
        <v>190</v>
      </c>
      <c r="C82" s="4" t="s">
        <v>44</v>
      </c>
      <c r="D82" s="4" t="s">
        <v>45</v>
      </c>
      <c r="E82" s="4"/>
      <c r="F82" s="4"/>
      <c r="G82" s="4"/>
      <c r="H82" s="4"/>
      <c r="I82" s="4"/>
      <c r="J82" s="4"/>
      <c r="K82" s="4"/>
      <c r="L82" s="4"/>
      <c r="M82" s="4"/>
      <c r="N82" s="4">
        <v>4447</v>
      </c>
      <c r="O82" s="4" t="s">
        <v>712</v>
      </c>
      <c r="P82" s="4" t="s">
        <v>713</v>
      </c>
      <c r="Q82" s="4" t="s">
        <v>698</v>
      </c>
      <c r="R82" s="4" t="s">
        <v>699</v>
      </c>
      <c r="S82" s="4" t="s">
        <v>700</v>
      </c>
      <c r="T82" s="4" t="s">
        <v>701</v>
      </c>
      <c r="U82" s="4" t="s">
        <v>714</v>
      </c>
      <c r="V82" s="4"/>
      <c r="W82" s="4" t="s">
        <v>53</v>
      </c>
      <c r="X82" s="4" t="s">
        <v>54</v>
      </c>
      <c r="Y82" s="4" t="s">
        <v>715</v>
      </c>
      <c r="Z82" s="4" t="s">
        <v>713</v>
      </c>
      <c r="AA82" s="4" t="s">
        <v>68</v>
      </c>
      <c r="AB82" s="4"/>
      <c r="AC82" s="4" t="s">
        <v>716</v>
      </c>
      <c r="AD82" s="4" t="s">
        <v>706</v>
      </c>
      <c r="AE82" s="4" t="s">
        <v>714</v>
      </c>
      <c r="AF82" s="13" t="s">
        <v>717</v>
      </c>
      <c r="AG82" s="4"/>
      <c r="AH82" s="4" t="s">
        <v>718</v>
      </c>
      <c r="AI82" s="4">
        <v>1</v>
      </c>
      <c r="AJ82" s="4" t="s">
        <v>719</v>
      </c>
      <c r="AK82" s="4"/>
      <c r="AL82" s="4" t="str">
        <f>VLOOKUP(N82,[1]Sheet1!$N:$AL,25,0)</f>
        <v>42271802  Nebulizers</v>
      </c>
      <c r="AM82" s="4"/>
      <c r="AN82" s="4"/>
      <c r="AO82" s="4"/>
      <c r="AP82" s="1" t="s">
        <v>58</v>
      </c>
      <c r="AQ82" s="1" t="s">
        <v>59</v>
      </c>
    </row>
    <row r="83" customHeight="1" spans="1:43">
      <c r="A83" s="4" t="s">
        <v>43</v>
      </c>
      <c r="B83" s="4">
        <v>190</v>
      </c>
      <c r="C83" s="4" t="s">
        <v>44</v>
      </c>
      <c r="D83" s="4" t="s">
        <v>45</v>
      </c>
      <c r="E83" s="4"/>
      <c r="F83" s="4"/>
      <c r="G83" s="4"/>
      <c r="H83" s="4"/>
      <c r="I83" s="4"/>
      <c r="J83" s="4"/>
      <c r="K83" s="4"/>
      <c r="L83" s="4"/>
      <c r="M83" s="4"/>
      <c r="N83" s="4">
        <v>4448</v>
      </c>
      <c r="O83" s="4" t="s">
        <v>720</v>
      </c>
      <c r="P83" s="4" t="s">
        <v>399</v>
      </c>
      <c r="Q83" s="4" t="s">
        <v>698</v>
      </c>
      <c r="R83" s="4" t="s">
        <v>699</v>
      </c>
      <c r="S83" s="4" t="s">
        <v>700</v>
      </c>
      <c r="T83" s="4" t="s">
        <v>701</v>
      </c>
      <c r="U83" s="4" t="s">
        <v>721</v>
      </c>
      <c r="V83" s="4"/>
      <c r="W83" s="4" t="s">
        <v>53</v>
      </c>
      <c r="X83" s="4" t="s">
        <v>54</v>
      </c>
      <c r="Y83" s="4" t="s">
        <v>722</v>
      </c>
      <c r="Z83" s="4" t="s">
        <v>723</v>
      </c>
      <c r="AA83" s="4" t="s">
        <v>68</v>
      </c>
      <c r="AB83" s="4"/>
      <c r="AC83" s="4" t="s">
        <v>724</v>
      </c>
      <c r="AD83" s="4" t="s">
        <v>706</v>
      </c>
      <c r="AE83" s="4" t="s">
        <v>721</v>
      </c>
      <c r="AF83" s="13" t="s">
        <v>721</v>
      </c>
      <c r="AG83" s="4"/>
      <c r="AH83" s="4" t="s">
        <v>226</v>
      </c>
      <c r="AI83" s="4">
        <v>46</v>
      </c>
      <c r="AJ83" s="4" t="s">
        <v>725</v>
      </c>
      <c r="AK83" s="4"/>
      <c r="AL83" s="4" t="str">
        <f>VLOOKUP(N83,[1]Sheet1!$N:$AL,25,0)</f>
        <v>42272211  Hyperinflation products</v>
      </c>
      <c r="AM83" s="4"/>
      <c r="AN83" s="4"/>
      <c r="AO83" s="4"/>
      <c r="AP83" s="1" t="s">
        <v>58</v>
      </c>
      <c r="AQ83" s="1" t="s">
        <v>59</v>
      </c>
    </row>
    <row r="84" customHeight="1" spans="1:43">
      <c r="A84" s="4" t="s">
        <v>43</v>
      </c>
      <c r="B84" s="4">
        <v>190</v>
      </c>
      <c r="C84" s="4" t="s">
        <v>44</v>
      </c>
      <c r="D84" s="4" t="s">
        <v>45</v>
      </c>
      <c r="E84" s="4"/>
      <c r="F84" s="4"/>
      <c r="G84" s="4"/>
      <c r="H84" s="4"/>
      <c r="I84" s="4"/>
      <c r="J84" s="4"/>
      <c r="K84" s="4"/>
      <c r="L84" s="4"/>
      <c r="M84" s="4"/>
      <c r="N84" s="4">
        <v>459</v>
      </c>
      <c r="O84" s="4" t="s">
        <v>726</v>
      </c>
      <c r="P84" s="4" t="s">
        <v>727</v>
      </c>
      <c r="Q84" s="4" t="s">
        <v>728</v>
      </c>
      <c r="R84" s="4" t="s">
        <v>729</v>
      </c>
      <c r="S84" s="4" t="s">
        <v>730</v>
      </c>
      <c r="T84" s="4" t="s">
        <v>731</v>
      </c>
      <c r="U84" s="4" t="s">
        <v>732</v>
      </c>
      <c r="V84" s="4"/>
      <c r="W84" s="4" t="s">
        <v>53</v>
      </c>
      <c r="X84" s="4" t="s">
        <v>54</v>
      </c>
      <c r="Y84" s="4" t="s">
        <v>733</v>
      </c>
      <c r="Z84" s="4" t="s">
        <v>734</v>
      </c>
      <c r="AA84" s="4" t="s">
        <v>68</v>
      </c>
      <c r="AB84" s="4"/>
      <c r="AC84" s="4" t="s">
        <v>735</v>
      </c>
      <c r="AD84" s="4" t="s">
        <v>736</v>
      </c>
      <c r="AE84" s="4" t="s">
        <v>732</v>
      </c>
      <c r="AF84" s="13" t="s">
        <v>732</v>
      </c>
      <c r="AG84" s="4"/>
      <c r="AH84" s="4" t="s">
        <v>290</v>
      </c>
      <c r="AI84" s="4">
        <v>39</v>
      </c>
      <c r="AJ84" s="4" t="s">
        <v>737</v>
      </c>
      <c r="AK84" s="4"/>
      <c r="AL84" s="4" t="str">
        <f>VLOOKUP(N84,[1]Sheet1!$N:$AL,25,0)</f>
        <v>42142504  Biopsy needles</v>
      </c>
      <c r="AM84" s="4"/>
      <c r="AN84" s="4"/>
      <c r="AO84" s="4"/>
      <c r="AP84" s="1" t="s">
        <v>58</v>
      </c>
      <c r="AQ84" s="1" t="s">
        <v>59</v>
      </c>
    </row>
    <row r="85" customHeight="1" spans="1:43">
      <c r="A85" s="4" t="s">
        <v>43</v>
      </c>
      <c r="B85" s="4">
        <v>190</v>
      </c>
      <c r="C85" s="4" t="s">
        <v>44</v>
      </c>
      <c r="D85" s="4" t="s">
        <v>45</v>
      </c>
      <c r="E85" s="4"/>
      <c r="F85" s="4"/>
      <c r="G85" s="4"/>
      <c r="H85" s="4"/>
      <c r="I85" s="4"/>
      <c r="J85" s="4"/>
      <c r="K85" s="4"/>
      <c r="L85" s="4"/>
      <c r="M85" s="4"/>
      <c r="N85" s="4">
        <v>460</v>
      </c>
      <c r="O85" s="4" t="s">
        <v>738</v>
      </c>
      <c r="P85" s="4" t="s">
        <v>727</v>
      </c>
      <c r="Q85" s="4" t="s">
        <v>728</v>
      </c>
      <c r="R85" s="4" t="s">
        <v>729</v>
      </c>
      <c r="S85" s="4" t="s">
        <v>730</v>
      </c>
      <c r="T85" s="4" t="s">
        <v>731</v>
      </c>
      <c r="U85" s="4" t="s">
        <v>739</v>
      </c>
      <c r="V85" s="4"/>
      <c r="W85" s="4" t="s">
        <v>53</v>
      </c>
      <c r="X85" s="4" t="s">
        <v>54</v>
      </c>
      <c r="Y85" s="4" t="s">
        <v>733</v>
      </c>
      <c r="Z85" s="4" t="s">
        <v>734</v>
      </c>
      <c r="AA85" s="4" t="s">
        <v>68</v>
      </c>
      <c r="AB85" s="4"/>
      <c r="AC85" s="4" t="s">
        <v>735</v>
      </c>
      <c r="AD85" s="4" t="s">
        <v>736</v>
      </c>
      <c r="AE85" s="4" t="s">
        <v>739</v>
      </c>
      <c r="AF85" s="13" t="s">
        <v>739</v>
      </c>
      <c r="AG85" s="4"/>
      <c r="AH85" s="4" t="s">
        <v>290</v>
      </c>
      <c r="AI85" s="4">
        <v>39</v>
      </c>
      <c r="AJ85" s="4" t="s">
        <v>740</v>
      </c>
      <c r="AK85" s="4"/>
      <c r="AL85" s="4" t="str">
        <f>VLOOKUP(N85,[1]Sheet1!$N:$AL,25,0)</f>
        <v>42142504  Biopsy needles</v>
      </c>
      <c r="AM85" s="4"/>
      <c r="AN85" s="4"/>
      <c r="AO85" s="4"/>
      <c r="AP85" s="1" t="s">
        <v>58</v>
      </c>
      <c r="AQ85" s="1" t="s">
        <v>59</v>
      </c>
    </row>
    <row r="86" customHeight="1" spans="1:43">
      <c r="A86" s="4" t="s">
        <v>43</v>
      </c>
      <c r="B86" s="4">
        <v>190</v>
      </c>
      <c r="C86" s="4" t="s">
        <v>44</v>
      </c>
      <c r="D86" s="4" t="s">
        <v>45</v>
      </c>
      <c r="E86" s="4"/>
      <c r="F86" s="4"/>
      <c r="G86" s="4"/>
      <c r="H86" s="4"/>
      <c r="I86" s="4"/>
      <c r="J86" s="4"/>
      <c r="K86" s="4"/>
      <c r="L86" s="4"/>
      <c r="M86" s="4"/>
      <c r="N86" s="4">
        <v>1214</v>
      </c>
      <c r="O86" s="4" t="s">
        <v>741</v>
      </c>
      <c r="P86" s="4" t="s">
        <v>742</v>
      </c>
      <c r="Q86" s="4" t="s">
        <v>743</v>
      </c>
      <c r="R86" s="4" t="s">
        <v>744</v>
      </c>
      <c r="S86" s="4" t="s">
        <v>745</v>
      </c>
      <c r="T86" s="4" t="s">
        <v>746</v>
      </c>
      <c r="U86" s="4" t="s">
        <v>747</v>
      </c>
      <c r="V86" s="4"/>
      <c r="W86" s="4" t="s">
        <v>53</v>
      </c>
      <c r="X86" s="4" t="s">
        <v>190</v>
      </c>
      <c r="Y86" s="4" t="s">
        <v>53</v>
      </c>
      <c r="Z86" s="4" t="s">
        <v>53</v>
      </c>
      <c r="AA86" s="4" t="s">
        <v>53</v>
      </c>
      <c r="AB86" s="4"/>
      <c r="AC86" s="4" t="s">
        <v>53</v>
      </c>
      <c r="AD86" s="4" t="s">
        <v>736</v>
      </c>
      <c r="AE86" s="4" t="s">
        <v>747</v>
      </c>
      <c r="AF86" s="13" t="s">
        <v>747</v>
      </c>
      <c r="AG86" s="4"/>
      <c r="AH86" s="4" t="s">
        <v>748</v>
      </c>
      <c r="AI86" s="4">
        <v>10</v>
      </c>
      <c r="AJ86" s="4" t="s">
        <v>749</v>
      </c>
      <c r="AK86" s="4"/>
      <c r="AL86" s="4" t="str">
        <f>VLOOKUP(N86,[1]Sheet1!$N:$AL,25,0)</f>
        <v>42221509  Intravenous or arterial catheter trays</v>
      </c>
      <c r="AM86" s="4"/>
      <c r="AN86" s="4"/>
      <c r="AO86" s="4"/>
      <c r="AP86" s="1" t="s">
        <v>58</v>
      </c>
      <c r="AQ86" s="1" t="s">
        <v>59</v>
      </c>
    </row>
    <row r="87" customHeight="1" spans="1:43">
      <c r="A87" s="4" t="s">
        <v>43</v>
      </c>
      <c r="B87" s="4">
        <v>190</v>
      </c>
      <c r="C87" s="4" t="s">
        <v>44</v>
      </c>
      <c r="D87" s="4" t="s">
        <v>45</v>
      </c>
      <c r="E87" s="4"/>
      <c r="F87" s="4"/>
      <c r="G87" s="4"/>
      <c r="H87" s="4"/>
      <c r="I87" s="4"/>
      <c r="J87" s="4"/>
      <c r="K87" s="4"/>
      <c r="L87" s="4"/>
      <c r="M87" s="4"/>
      <c r="N87" s="4">
        <v>489</v>
      </c>
      <c r="O87" s="4" t="s">
        <v>750</v>
      </c>
      <c r="P87" s="4" t="s">
        <v>751</v>
      </c>
      <c r="Q87" s="4" t="s">
        <v>752</v>
      </c>
      <c r="R87" s="4" t="s">
        <v>753</v>
      </c>
      <c r="S87" s="4" t="s">
        <v>754</v>
      </c>
      <c r="T87" s="4" t="s">
        <v>755</v>
      </c>
      <c r="U87" s="4" t="s">
        <v>756</v>
      </c>
      <c r="V87" s="4"/>
      <c r="W87" s="4" t="s">
        <v>53</v>
      </c>
      <c r="X87" s="4" t="s">
        <v>54</v>
      </c>
      <c r="Y87" s="4" t="s">
        <v>53</v>
      </c>
      <c r="Z87" s="4" t="s">
        <v>53</v>
      </c>
      <c r="AA87" s="4" t="s">
        <v>53</v>
      </c>
      <c r="AB87" s="4"/>
      <c r="AC87" s="4" t="s">
        <v>53</v>
      </c>
      <c r="AD87" s="4" t="s">
        <v>757</v>
      </c>
      <c r="AE87" s="4" t="s">
        <v>756</v>
      </c>
      <c r="AF87" s="13" t="s">
        <v>756</v>
      </c>
      <c r="AG87" s="4"/>
      <c r="AH87" s="4" t="s">
        <v>758</v>
      </c>
      <c r="AI87" s="4">
        <v>5</v>
      </c>
      <c r="AJ87" s="4" t="s">
        <v>759</v>
      </c>
      <c r="AK87" s="4"/>
      <c r="AL87" s="4" t="str">
        <f>VLOOKUP(N87,[1]Sheet1!$N:$AL,25,0)</f>
        <v>42181918  Multiparameter vital sign unit accessories</v>
      </c>
      <c r="AM87" s="4"/>
      <c r="AN87" s="4"/>
      <c r="AO87" s="4"/>
      <c r="AP87" s="1" t="s">
        <v>58</v>
      </c>
      <c r="AQ87" s="1" t="s">
        <v>59</v>
      </c>
    </row>
    <row r="88" customHeight="1" spans="1:43">
      <c r="A88" s="4" t="s">
        <v>43</v>
      </c>
      <c r="B88" s="4">
        <v>190</v>
      </c>
      <c r="C88" s="4" t="s">
        <v>44</v>
      </c>
      <c r="D88" s="4" t="s">
        <v>45</v>
      </c>
      <c r="E88" s="4"/>
      <c r="F88" s="4"/>
      <c r="G88" s="4"/>
      <c r="H88" s="4"/>
      <c r="I88" s="4"/>
      <c r="J88" s="4"/>
      <c r="K88" s="4"/>
      <c r="L88" s="4"/>
      <c r="M88" s="4"/>
      <c r="N88" s="4">
        <v>491</v>
      </c>
      <c r="O88" s="4" t="s">
        <v>760</v>
      </c>
      <c r="P88" s="4" t="s">
        <v>751</v>
      </c>
      <c r="Q88" s="4" t="s">
        <v>752</v>
      </c>
      <c r="R88" s="4" t="s">
        <v>753</v>
      </c>
      <c r="S88" s="4" t="s">
        <v>754</v>
      </c>
      <c r="T88" s="4" t="s">
        <v>755</v>
      </c>
      <c r="U88" s="4" t="s">
        <v>761</v>
      </c>
      <c r="V88" s="4"/>
      <c r="W88" s="4" t="s">
        <v>53</v>
      </c>
      <c r="X88" s="4" t="s">
        <v>54</v>
      </c>
      <c r="Y88" s="4" t="s">
        <v>53</v>
      </c>
      <c r="Z88" s="4" t="s">
        <v>53</v>
      </c>
      <c r="AA88" s="4" t="s">
        <v>53</v>
      </c>
      <c r="AB88" s="4"/>
      <c r="AC88" s="4" t="s">
        <v>53</v>
      </c>
      <c r="AD88" s="4" t="s">
        <v>757</v>
      </c>
      <c r="AE88" s="4" t="s">
        <v>761</v>
      </c>
      <c r="AF88" s="13" t="s">
        <v>761</v>
      </c>
      <c r="AG88" s="4"/>
      <c r="AH88" s="4" t="s">
        <v>762</v>
      </c>
      <c r="AI88" s="4">
        <v>7</v>
      </c>
      <c r="AJ88" s="4" t="s">
        <v>763</v>
      </c>
      <c r="AK88" s="4"/>
      <c r="AL88" s="4" t="str">
        <f>VLOOKUP(N88,[1]Sheet1!$N:$AL,25,0)</f>
        <v>14111507  Printer or copier paper</v>
      </c>
      <c r="AM88" s="4"/>
      <c r="AN88" s="4"/>
      <c r="AO88" s="4"/>
      <c r="AP88" s="1" t="s">
        <v>58</v>
      </c>
      <c r="AQ88" s="1" t="s">
        <v>59</v>
      </c>
    </row>
    <row r="89" customHeight="1" spans="1:43">
      <c r="A89" s="4" t="s">
        <v>43</v>
      </c>
      <c r="B89" s="4">
        <v>190</v>
      </c>
      <c r="C89" s="4" t="s">
        <v>44</v>
      </c>
      <c r="D89" s="4" t="s">
        <v>45</v>
      </c>
      <c r="E89" s="4"/>
      <c r="F89" s="4"/>
      <c r="G89" s="4"/>
      <c r="H89" s="4"/>
      <c r="I89" s="4"/>
      <c r="J89" s="4"/>
      <c r="K89" s="4"/>
      <c r="L89" s="4"/>
      <c r="M89" s="4"/>
      <c r="N89" s="4">
        <v>493</v>
      </c>
      <c r="O89" s="4" t="s">
        <v>764</v>
      </c>
      <c r="P89" s="4" t="s">
        <v>751</v>
      </c>
      <c r="Q89" s="4" t="s">
        <v>752</v>
      </c>
      <c r="R89" s="4" t="s">
        <v>753</v>
      </c>
      <c r="S89" s="4" t="s">
        <v>754</v>
      </c>
      <c r="T89" s="4" t="s">
        <v>755</v>
      </c>
      <c r="U89" s="4" t="s">
        <v>765</v>
      </c>
      <c r="V89" s="4"/>
      <c r="W89" s="4" t="s">
        <v>53</v>
      </c>
      <c r="X89" s="4" t="s">
        <v>54</v>
      </c>
      <c r="Y89" s="4" t="s">
        <v>53</v>
      </c>
      <c r="Z89" s="4" t="s">
        <v>53</v>
      </c>
      <c r="AA89" s="4" t="s">
        <v>53</v>
      </c>
      <c r="AB89" s="4"/>
      <c r="AC89" s="4" t="s">
        <v>53</v>
      </c>
      <c r="AD89" s="4" t="s">
        <v>757</v>
      </c>
      <c r="AE89" s="4" t="s">
        <v>765</v>
      </c>
      <c r="AF89" s="13" t="s">
        <v>765</v>
      </c>
      <c r="AG89" s="4"/>
      <c r="AH89" s="4" t="s">
        <v>195</v>
      </c>
      <c r="AI89" s="4">
        <v>28</v>
      </c>
      <c r="AJ89" s="4" t="s">
        <v>766</v>
      </c>
      <c r="AK89" s="4"/>
      <c r="AL89" s="4" t="str">
        <f>VLOOKUP(N89,[1]Sheet1!$N:$AL,25,0)</f>
        <v>42191914  Medical or surgical instrument storage cabinet or chest accessories</v>
      </c>
      <c r="AM89" s="4"/>
      <c r="AN89" s="4"/>
      <c r="AO89" s="4"/>
      <c r="AP89" s="1" t="s">
        <v>58</v>
      </c>
      <c r="AQ89" s="1" t="s">
        <v>59</v>
      </c>
    </row>
    <row r="90" customHeight="1" spans="1:43">
      <c r="A90" s="4" t="s">
        <v>43</v>
      </c>
      <c r="B90" s="4">
        <v>190</v>
      </c>
      <c r="C90" s="4" t="s">
        <v>44</v>
      </c>
      <c r="D90" s="4" t="s">
        <v>45</v>
      </c>
      <c r="E90" s="4"/>
      <c r="F90" s="4"/>
      <c r="G90" s="4"/>
      <c r="H90" s="4"/>
      <c r="I90" s="4"/>
      <c r="J90" s="4"/>
      <c r="K90" s="4"/>
      <c r="L90" s="4"/>
      <c r="M90" s="4"/>
      <c r="N90" s="4">
        <v>495</v>
      </c>
      <c r="O90" s="4" t="s">
        <v>767</v>
      </c>
      <c r="P90" s="4" t="s">
        <v>751</v>
      </c>
      <c r="Q90" s="4" t="s">
        <v>752</v>
      </c>
      <c r="R90" s="4" t="s">
        <v>753</v>
      </c>
      <c r="S90" s="4" t="s">
        <v>754</v>
      </c>
      <c r="T90" s="4" t="s">
        <v>755</v>
      </c>
      <c r="U90" s="4" t="s">
        <v>768</v>
      </c>
      <c r="V90" s="4"/>
      <c r="W90" s="4" t="s">
        <v>53</v>
      </c>
      <c r="X90" s="4" t="s">
        <v>54</v>
      </c>
      <c r="Y90" s="4" t="s">
        <v>53</v>
      </c>
      <c r="Z90" s="4" t="s">
        <v>53</v>
      </c>
      <c r="AA90" s="4" t="s">
        <v>53</v>
      </c>
      <c r="AB90" s="4"/>
      <c r="AC90" s="4" t="s">
        <v>53</v>
      </c>
      <c r="AD90" s="4" t="s">
        <v>757</v>
      </c>
      <c r="AE90" s="4" t="s">
        <v>768</v>
      </c>
      <c r="AF90" s="13" t="s">
        <v>768</v>
      </c>
      <c r="AG90" s="4"/>
      <c r="AH90" s="4" t="s">
        <v>769</v>
      </c>
      <c r="AI90" s="4">
        <v>30</v>
      </c>
      <c r="AJ90" s="4" t="s">
        <v>770</v>
      </c>
      <c r="AK90" s="4"/>
      <c r="AL90" s="4" t="str">
        <f>VLOOKUP(N90,[1]Sheet1!$N:$AL,25,0)</f>
        <v>42181905  Medical transducer monitor cables</v>
      </c>
      <c r="AM90" s="4"/>
      <c r="AN90" s="4"/>
      <c r="AO90" s="4"/>
      <c r="AP90" s="1" t="s">
        <v>58</v>
      </c>
      <c r="AQ90" s="1" t="s">
        <v>59</v>
      </c>
    </row>
    <row r="91" customHeight="1" spans="1:43">
      <c r="A91" s="4" t="s">
        <v>43</v>
      </c>
      <c r="B91" s="4">
        <v>190</v>
      </c>
      <c r="C91" s="4" t="s">
        <v>44</v>
      </c>
      <c r="D91" s="4" t="s">
        <v>45</v>
      </c>
      <c r="E91" s="4"/>
      <c r="F91" s="4"/>
      <c r="G91" s="4"/>
      <c r="H91" s="4"/>
      <c r="I91" s="4"/>
      <c r="J91" s="4"/>
      <c r="K91" s="4"/>
      <c r="L91" s="4"/>
      <c r="M91" s="4"/>
      <c r="N91" s="4">
        <v>496</v>
      </c>
      <c r="O91" s="4" t="s">
        <v>771</v>
      </c>
      <c r="P91" s="4" t="s">
        <v>751</v>
      </c>
      <c r="Q91" s="4" t="s">
        <v>752</v>
      </c>
      <c r="R91" s="4" t="s">
        <v>753</v>
      </c>
      <c r="S91" s="4" t="s">
        <v>754</v>
      </c>
      <c r="T91" s="4" t="s">
        <v>755</v>
      </c>
      <c r="U91" s="4" t="s">
        <v>772</v>
      </c>
      <c r="V91" s="4"/>
      <c r="W91" s="4" t="s">
        <v>53</v>
      </c>
      <c r="X91" s="4" t="s">
        <v>54</v>
      </c>
      <c r="Y91" s="4" t="s">
        <v>53</v>
      </c>
      <c r="Z91" s="4" t="s">
        <v>53</v>
      </c>
      <c r="AA91" s="4" t="s">
        <v>53</v>
      </c>
      <c r="AB91" s="4"/>
      <c r="AC91" s="4" t="s">
        <v>53</v>
      </c>
      <c r="AD91" s="4" t="s">
        <v>757</v>
      </c>
      <c r="AE91" s="4" t="s">
        <v>772</v>
      </c>
      <c r="AF91" s="13" t="s">
        <v>772</v>
      </c>
      <c r="AG91" s="4"/>
      <c r="AH91" s="4" t="s">
        <v>769</v>
      </c>
      <c r="AI91" s="4">
        <v>30</v>
      </c>
      <c r="AJ91" s="4" t="s">
        <v>773</v>
      </c>
      <c r="AK91" s="4"/>
      <c r="AL91" s="4" t="str">
        <f>VLOOKUP(N91,[1]Sheet1!$N:$AL,25,0)</f>
        <v>42181905  Medical transducer monitor cables</v>
      </c>
      <c r="AM91" s="4"/>
      <c r="AN91" s="4"/>
      <c r="AO91" s="4"/>
      <c r="AP91" s="1" t="s">
        <v>58</v>
      </c>
      <c r="AQ91" s="1" t="s">
        <v>59</v>
      </c>
    </row>
    <row r="92" customHeight="1" spans="1:43">
      <c r="A92" s="4" t="s">
        <v>43</v>
      </c>
      <c r="B92" s="4">
        <v>190</v>
      </c>
      <c r="C92" s="4" t="s">
        <v>44</v>
      </c>
      <c r="D92" s="4" t="s">
        <v>45</v>
      </c>
      <c r="E92" s="4"/>
      <c r="F92" s="4"/>
      <c r="G92" s="4"/>
      <c r="H92" s="4"/>
      <c r="I92" s="4"/>
      <c r="J92" s="4"/>
      <c r="K92" s="4"/>
      <c r="L92" s="4"/>
      <c r="M92" s="4"/>
      <c r="N92" s="4">
        <v>497</v>
      </c>
      <c r="O92" s="4" t="s">
        <v>774</v>
      </c>
      <c r="P92" s="4" t="s">
        <v>751</v>
      </c>
      <c r="Q92" s="4" t="s">
        <v>752</v>
      </c>
      <c r="R92" s="4" t="s">
        <v>753</v>
      </c>
      <c r="S92" s="4" t="s">
        <v>754</v>
      </c>
      <c r="T92" s="4" t="s">
        <v>755</v>
      </c>
      <c r="U92" s="4" t="s">
        <v>775</v>
      </c>
      <c r="V92" s="4"/>
      <c r="W92" s="4" t="s">
        <v>53</v>
      </c>
      <c r="X92" s="4" t="s">
        <v>54</v>
      </c>
      <c r="Y92" s="4" t="s">
        <v>53</v>
      </c>
      <c r="Z92" s="4" t="s">
        <v>53</v>
      </c>
      <c r="AA92" s="4" t="s">
        <v>53</v>
      </c>
      <c r="AB92" s="4"/>
      <c r="AC92" s="4" t="s">
        <v>53</v>
      </c>
      <c r="AD92" s="4" t="s">
        <v>757</v>
      </c>
      <c r="AE92" s="4" t="s">
        <v>775</v>
      </c>
      <c r="AF92" s="13" t="s">
        <v>775</v>
      </c>
      <c r="AG92" s="4"/>
      <c r="AH92" s="4" t="s">
        <v>769</v>
      </c>
      <c r="AI92" s="4">
        <v>30</v>
      </c>
      <c r="AJ92" s="4" t="s">
        <v>776</v>
      </c>
      <c r="AK92" s="4"/>
      <c r="AL92" s="4" t="str">
        <f>VLOOKUP(N92,[1]Sheet1!$N:$AL,25,0)</f>
        <v>42181905  Medical transducer monitor cables</v>
      </c>
      <c r="AM92" s="4"/>
      <c r="AN92" s="4"/>
      <c r="AO92" s="4"/>
      <c r="AP92" s="1" t="s">
        <v>58</v>
      </c>
      <c r="AQ92" s="1" t="s">
        <v>59</v>
      </c>
    </row>
    <row r="93" customHeight="1" spans="1:43">
      <c r="A93" s="4" t="s">
        <v>43</v>
      </c>
      <c r="B93" s="4">
        <v>190</v>
      </c>
      <c r="C93" s="4" t="s">
        <v>44</v>
      </c>
      <c r="D93" s="4" t="s">
        <v>45</v>
      </c>
      <c r="E93" s="4"/>
      <c r="F93" s="4"/>
      <c r="G93" s="4"/>
      <c r="H93" s="4"/>
      <c r="I93" s="4"/>
      <c r="J93" s="4"/>
      <c r="K93" s="4"/>
      <c r="L93" s="4"/>
      <c r="M93" s="4"/>
      <c r="N93" s="4">
        <v>498</v>
      </c>
      <c r="O93" s="4" t="s">
        <v>777</v>
      </c>
      <c r="P93" s="4" t="s">
        <v>751</v>
      </c>
      <c r="Q93" s="4" t="s">
        <v>752</v>
      </c>
      <c r="R93" s="4" t="s">
        <v>753</v>
      </c>
      <c r="S93" s="4" t="s">
        <v>754</v>
      </c>
      <c r="T93" s="4" t="s">
        <v>755</v>
      </c>
      <c r="U93" s="4" t="s">
        <v>778</v>
      </c>
      <c r="V93" s="4"/>
      <c r="W93" s="4" t="s">
        <v>53</v>
      </c>
      <c r="X93" s="4" t="s">
        <v>54</v>
      </c>
      <c r="Y93" s="4" t="s">
        <v>53</v>
      </c>
      <c r="Z93" s="4" t="s">
        <v>53</v>
      </c>
      <c r="AA93" s="4" t="s">
        <v>53</v>
      </c>
      <c r="AB93" s="4"/>
      <c r="AC93" s="4" t="s">
        <v>53</v>
      </c>
      <c r="AD93" s="4" t="s">
        <v>757</v>
      </c>
      <c r="AE93" s="4" t="s">
        <v>778</v>
      </c>
      <c r="AF93" s="13" t="s">
        <v>778</v>
      </c>
      <c r="AG93" s="4"/>
      <c r="AH93" s="4" t="s">
        <v>769</v>
      </c>
      <c r="AI93" s="4">
        <v>30</v>
      </c>
      <c r="AJ93" s="4" t="s">
        <v>779</v>
      </c>
      <c r="AK93" s="4"/>
      <c r="AL93" s="4" t="str">
        <f>VLOOKUP(N93,[1]Sheet1!$N:$AL,25,0)</f>
        <v>42181905  Medical transducer monitor cables</v>
      </c>
      <c r="AM93" s="4"/>
      <c r="AN93" s="4"/>
      <c r="AO93" s="4"/>
      <c r="AP93" s="1" t="s">
        <v>58</v>
      </c>
      <c r="AQ93" s="1" t="s">
        <v>59</v>
      </c>
    </row>
    <row r="94" customHeight="1" spans="1:43">
      <c r="A94" s="4" t="s">
        <v>43</v>
      </c>
      <c r="B94" s="4">
        <v>190</v>
      </c>
      <c r="C94" s="4" t="s">
        <v>44</v>
      </c>
      <c r="D94" s="4" t="s">
        <v>45</v>
      </c>
      <c r="E94" s="4"/>
      <c r="F94" s="4"/>
      <c r="G94" s="4"/>
      <c r="H94" s="4"/>
      <c r="I94" s="4"/>
      <c r="J94" s="4"/>
      <c r="K94" s="4"/>
      <c r="L94" s="4"/>
      <c r="M94" s="4"/>
      <c r="N94" s="4">
        <v>499</v>
      </c>
      <c r="O94" s="4" t="s">
        <v>780</v>
      </c>
      <c r="P94" s="4" t="s">
        <v>751</v>
      </c>
      <c r="Q94" s="4" t="s">
        <v>752</v>
      </c>
      <c r="R94" s="4" t="s">
        <v>753</v>
      </c>
      <c r="S94" s="4" t="s">
        <v>754</v>
      </c>
      <c r="T94" s="4" t="s">
        <v>755</v>
      </c>
      <c r="U94" s="4" t="s">
        <v>781</v>
      </c>
      <c r="V94" s="4"/>
      <c r="W94" s="4" t="s">
        <v>53</v>
      </c>
      <c r="X94" s="4" t="s">
        <v>54</v>
      </c>
      <c r="Y94" s="4" t="s">
        <v>53</v>
      </c>
      <c r="Z94" s="4" t="s">
        <v>53</v>
      </c>
      <c r="AA94" s="4" t="s">
        <v>53</v>
      </c>
      <c r="AB94" s="4"/>
      <c r="AC94" s="4" t="s">
        <v>53</v>
      </c>
      <c r="AD94" s="4" t="s">
        <v>757</v>
      </c>
      <c r="AE94" s="4" t="s">
        <v>781</v>
      </c>
      <c r="AF94" s="13" t="s">
        <v>781</v>
      </c>
      <c r="AG94" s="4"/>
      <c r="AH94" s="4" t="s">
        <v>769</v>
      </c>
      <c r="AI94" s="4">
        <v>30</v>
      </c>
      <c r="AJ94" s="4" t="s">
        <v>782</v>
      </c>
      <c r="AK94" s="4"/>
      <c r="AL94" s="4" t="str">
        <f>VLOOKUP(N94,[1]Sheet1!$N:$AL,25,0)</f>
        <v>42181905  Medical transducer monitor cables</v>
      </c>
      <c r="AM94" s="4"/>
      <c r="AN94" s="4"/>
      <c r="AO94" s="4"/>
      <c r="AP94" s="1" t="s">
        <v>58</v>
      </c>
      <c r="AQ94" s="1" t="s">
        <v>59</v>
      </c>
    </row>
    <row r="95" customHeight="1" spans="1:43">
      <c r="A95" s="4" t="s">
        <v>43</v>
      </c>
      <c r="B95" s="4">
        <v>190</v>
      </c>
      <c r="C95" s="4" t="s">
        <v>44</v>
      </c>
      <c r="D95" s="4" t="s">
        <v>45</v>
      </c>
      <c r="E95" s="4"/>
      <c r="F95" s="4"/>
      <c r="G95" s="4"/>
      <c r="H95" s="4"/>
      <c r="I95" s="4"/>
      <c r="J95" s="4"/>
      <c r="K95" s="4"/>
      <c r="L95" s="4"/>
      <c r="M95" s="4"/>
      <c r="N95" s="4">
        <v>500</v>
      </c>
      <c r="O95" s="4" t="s">
        <v>783</v>
      </c>
      <c r="P95" s="4" t="s">
        <v>751</v>
      </c>
      <c r="Q95" s="4" t="s">
        <v>752</v>
      </c>
      <c r="R95" s="4" t="s">
        <v>753</v>
      </c>
      <c r="S95" s="4" t="s">
        <v>754</v>
      </c>
      <c r="T95" s="4" t="s">
        <v>755</v>
      </c>
      <c r="U95" s="4" t="s">
        <v>784</v>
      </c>
      <c r="V95" s="4"/>
      <c r="W95" s="4" t="s">
        <v>53</v>
      </c>
      <c r="X95" s="4" t="s">
        <v>54</v>
      </c>
      <c r="Y95" s="4" t="s">
        <v>53</v>
      </c>
      <c r="Z95" s="4" t="s">
        <v>53</v>
      </c>
      <c r="AA95" s="4" t="s">
        <v>53</v>
      </c>
      <c r="AB95" s="4"/>
      <c r="AC95" s="4" t="s">
        <v>53</v>
      </c>
      <c r="AD95" s="4" t="s">
        <v>757</v>
      </c>
      <c r="AE95" s="4" t="s">
        <v>784</v>
      </c>
      <c r="AF95" s="13" t="s">
        <v>784</v>
      </c>
      <c r="AG95" s="4"/>
      <c r="AH95" s="4" t="s">
        <v>769</v>
      </c>
      <c r="AI95" s="4">
        <v>30</v>
      </c>
      <c r="AJ95" s="4" t="s">
        <v>785</v>
      </c>
      <c r="AK95" s="4"/>
      <c r="AL95" s="4" t="str">
        <f>VLOOKUP(N95,[1]Sheet1!$N:$AL,25,0)</f>
        <v>42181905  Medical transducer monitor cables</v>
      </c>
      <c r="AM95" s="4"/>
      <c r="AN95" s="4"/>
      <c r="AO95" s="4"/>
      <c r="AP95" s="1" t="s">
        <v>58</v>
      </c>
      <c r="AQ95" s="1" t="s">
        <v>59</v>
      </c>
    </row>
    <row r="96" customHeight="1" spans="1:43">
      <c r="A96" s="4" t="s">
        <v>43</v>
      </c>
      <c r="B96" s="4">
        <v>190</v>
      </c>
      <c r="C96" s="4" t="s">
        <v>44</v>
      </c>
      <c r="D96" s="4" t="s">
        <v>45</v>
      </c>
      <c r="E96" s="4"/>
      <c r="F96" s="4"/>
      <c r="G96" s="4"/>
      <c r="H96" s="4"/>
      <c r="I96" s="4"/>
      <c r="J96" s="4"/>
      <c r="K96" s="4"/>
      <c r="L96" s="4"/>
      <c r="M96" s="4"/>
      <c r="N96" s="4">
        <v>548</v>
      </c>
      <c r="O96" s="4" t="s">
        <v>786</v>
      </c>
      <c r="P96" s="4" t="s">
        <v>787</v>
      </c>
      <c r="Q96" s="4" t="s">
        <v>788</v>
      </c>
      <c r="R96" s="4" t="s">
        <v>789</v>
      </c>
      <c r="S96" s="4" t="s">
        <v>790</v>
      </c>
      <c r="T96" s="4" t="s">
        <v>791</v>
      </c>
      <c r="U96" s="4" t="s">
        <v>792</v>
      </c>
      <c r="V96" s="4"/>
      <c r="W96" s="4" t="s">
        <v>53</v>
      </c>
      <c r="X96" s="4" t="s">
        <v>54</v>
      </c>
      <c r="Y96" s="4" t="s">
        <v>793</v>
      </c>
      <c r="Z96" s="4" t="s">
        <v>794</v>
      </c>
      <c r="AA96" s="4" t="s">
        <v>68</v>
      </c>
      <c r="AB96" s="4"/>
      <c r="AC96" s="4" t="s">
        <v>795</v>
      </c>
      <c r="AD96" s="4" t="s">
        <v>796</v>
      </c>
      <c r="AE96" s="4" t="s">
        <v>792</v>
      </c>
      <c r="AF96" s="13" t="s">
        <v>797</v>
      </c>
      <c r="AG96" s="4"/>
      <c r="AH96" s="4" t="s">
        <v>798</v>
      </c>
      <c r="AI96" s="4">
        <v>1</v>
      </c>
      <c r="AJ96" s="4" t="s">
        <v>799</v>
      </c>
      <c r="AK96" s="4"/>
      <c r="AL96" s="4" t="str">
        <f>VLOOKUP(N96,[1]Sheet1!$N:$AL,25,0)</f>
        <v>42293001  Surgical calipers or rulers or protractors</v>
      </c>
      <c r="AM96" s="4"/>
      <c r="AN96" s="4"/>
      <c r="AO96" s="4"/>
      <c r="AP96" s="1" t="s">
        <v>58</v>
      </c>
      <c r="AQ96" s="1" t="s">
        <v>59</v>
      </c>
    </row>
    <row r="97" customHeight="1" spans="1:43">
      <c r="A97" s="4" t="s">
        <v>43</v>
      </c>
      <c r="B97" s="4">
        <v>190</v>
      </c>
      <c r="C97" s="4" t="s">
        <v>44</v>
      </c>
      <c r="D97" s="4" t="s">
        <v>45</v>
      </c>
      <c r="E97" s="4"/>
      <c r="F97" s="4"/>
      <c r="G97" s="4"/>
      <c r="H97" s="4"/>
      <c r="I97" s="4"/>
      <c r="J97" s="4"/>
      <c r="K97" s="4"/>
      <c r="L97" s="4"/>
      <c r="M97" s="4"/>
      <c r="N97" s="4">
        <v>550</v>
      </c>
      <c r="O97" s="4" t="s">
        <v>800</v>
      </c>
      <c r="P97" s="4" t="s">
        <v>801</v>
      </c>
      <c r="Q97" s="4" t="s">
        <v>802</v>
      </c>
      <c r="R97" s="4" t="s">
        <v>803</v>
      </c>
      <c r="S97" s="4" t="s">
        <v>804</v>
      </c>
      <c r="T97" s="4" t="s">
        <v>805</v>
      </c>
      <c r="U97" s="4" t="s">
        <v>806</v>
      </c>
      <c r="V97" s="4"/>
      <c r="W97" s="4" t="s">
        <v>53</v>
      </c>
      <c r="X97" s="4" t="s">
        <v>54</v>
      </c>
      <c r="Y97" s="4" t="s">
        <v>807</v>
      </c>
      <c r="Z97" s="4" t="s">
        <v>808</v>
      </c>
      <c r="AA97" s="4" t="s">
        <v>68</v>
      </c>
      <c r="AB97" s="4"/>
      <c r="AC97" s="4" t="s">
        <v>809</v>
      </c>
      <c r="AD97" s="4" t="s">
        <v>810</v>
      </c>
      <c r="AE97" s="4" t="s">
        <v>806</v>
      </c>
      <c r="AF97" s="13" t="s">
        <v>806</v>
      </c>
      <c r="AG97" s="4"/>
      <c r="AH97" s="4" t="s">
        <v>811</v>
      </c>
      <c r="AI97" s="4">
        <v>1</v>
      </c>
      <c r="AJ97" s="4" t="s">
        <v>812</v>
      </c>
      <c r="AK97" s="4"/>
      <c r="AL97" s="4" t="str">
        <f>VLOOKUP(N97,[1]Sheet1!$N:$AL,25,0)</f>
        <v>42141701  Alternating pressure systems</v>
      </c>
      <c r="AM97" s="4"/>
      <c r="AN97" s="4"/>
      <c r="AO97" s="4"/>
      <c r="AP97" s="1" t="s">
        <v>58</v>
      </c>
      <c r="AQ97" s="1" t="s">
        <v>59</v>
      </c>
    </row>
    <row r="98" customHeight="1" spans="1:43">
      <c r="A98" s="4" t="s">
        <v>43</v>
      </c>
      <c r="B98" s="4">
        <v>190</v>
      </c>
      <c r="C98" s="4" t="s">
        <v>44</v>
      </c>
      <c r="D98" s="4" t="s">
        <v>45</v>
      </c>
      <c r="E98" s="4"/>
      <c r="F98" s="4"/>
      <c r="G98" s="4"/>
      <c r="H98" s="4"/>
      <c r="I98" s="4"/>
      <c r="J98" s="4"/>
      <c r="K98" s="4"/>
      <c r="L98" s="4"/>
      <c r="M98" s="4"/>
      <c r="N98" s="4">
        <v>570</v>
      </c>
      <c r="O98" s="4" t="s">
        <v>813</v>
      </c>
      <c r="P98" s="4" t="s">
        <v>814</v>
      </c>
      <c r="Q98" s="4" t="s">
        <v>815</v>
      </c>
      <c r="R98" s="4" t="s">
        <v>816</v>
      </c>
      <c r="S98" s="4" t="s">
        <v>817</v>
      </c>
      <c r="T98" s="4" t="s">
        <v>818</v>
      </c>
      <c r="U98" s="4" t="s">
        <v>819</v>
      </c>
      <c r="V98" s="4"/>
      <c r="W98" s="4" t="s">
        <v>53</v>
      </c>
      <c r="X98" s="4" t="s">
        <v>54</v>
      </c>
      <c r="Y98" s="4" t="s">
        <v>820</v>
      </c>
      <c r="Z98" s="4" t="s">
        <v>821</v>
      </c>
      <c r="AA98" s="4" t="s">
        <v>822</v>
      </c>
      <c r="AB98" s="4"/>
      <c r="AC98" s="4" t="s">
        <v>823</v>
      </c>
      <c r="AD98" s="4" t="s">
        <v>824</v>
      </c>
      <c r="AE98" s="4" t="s">
        <v>819</v>
      </c>
      <c r="AF98" s="13" t="s">
        <v>819</v>
      </c>
      <c r="AG98" s="4"/>
      <c r="AH98" s="4" t="s">
        <v>138</v>
      </c>
      <c r="AI98" s="4">
        <v>12</v>
      </c>
      <c r="AJ98" s="4" t="s">
        <v>825</v>
      </c>
      <c r="AK98" s="4"/>
      <c r="AL98" s="4" t="str">
        <f>VLOOKUP(N98,[1]Sheet1!$N:$AL,25,0)</f>
        <v>42295101  Basin or pail stands for surgical use</v>
      </c>
      <c r="AM98" s="4"/>
      <c r="AN98" s="4"/>
      <c r="AO98" s="4"/>
      <c r="AP98" s="1" t="s">
        <v>58</v>
      </c>
      <c r="AQ98" s="1" t="s">
        <v>59</v>
      </c>
    </row>
    <row r="99" customHeight="1" spans="1:43">
      <c r="A99" s="4" t="s">
        <v>43</v>
      </c>
      <c r="B99" s="4">
        <v>190</v>
      </c>
      <c r="C99" s="4" t="s">
        <v>44</v>
      </c>
      <c r="D99" s="4" t="s">
        <v>45</v>
      </c>
      <c r="E99" s="4"/>
      <c r="F99" s="4"/>
      <c r="G99" s="4"/>
      <c r="H99" s="4"/>
      <c r="I99" s="4"/>
      <c r="J99" s="4"/>
      <c r="K99" s="4"/>
      <c r="L99" s="4"/>
      <c r="M99" s="4"/>
      <c r="N99" s="4">
        <v>571</v>
      </c>
      <c r="O99" s="4" t="s">
        <v>826</v>
      </c>
      <c r="P99" s="4" t="s">
        <v>827</v>
      </c>
      <c r="Q99" s="4" t="s">
        <v>828</v>
      </c>
      <c r="R99" s="4" t="s">
        <v>829</v>
      </c>
      <c r="S99" s="4" t="s">
        <v>830</v>
      </c>
      <c r="T99" s="4" t="s">
        <v>831</v>
      </c>
      <c r="U99" s="4" t="s">
        <v>832</v>
      </c>
      <c r="V99" s="4"/>
      <c r="W99" s="4" t="s">
        <v>53</v>
      </c>
      <c r="X99" s="4" t="s">
        <v>54</v>
      </c>
      <c r="Y99" s="4" t="s">
        <v>833</v>
      </c>
      <c r="Z99" s="4" t="s">
        <v>834</v>
      </c>
      <c r="AA99" s="4" t="s">
        <v>68</v>
      </c>
      <c r="AB99" s="4"/>
      <c r="AC99" s="4" t="s">
        <v>835</v>
      </c>
      <c r="AD99" s="4" t="s">
        <v>836</v>
      </c>
      <c r="AE99" s="4" t="s">
        <v>832</v>
      </c>
      <c r="AF99" s="13" t="s">
        <v>832</v>
      </c>
      <c r="AG99" s="4"/>
      <c r="AH99" s="4" t="s">
        <v>836</v>
      </c>
      <c r="AI99" s="4">
        <v>1</v>
      </c>
      <c r="AJ99" s="4" t="s">
        <v>837</v>
      </c>
      <c r="AK99" s="4"/>
      <c r="AL99" s="4" t="str">
        <f>VLOOKUP(N99,[1]Sheet1!$N:$AL,25,0)</f>
        <v>53131630  Lip balm</v>
      </c>
      <c r="AM99" s="4"/>
      <c r="AN99" s="4"/>
      <c r="AO99" s="4"/>
      <c r="AP99" s="1" t="s">
        <v>58</v>
      </c>
      <c r="AQ99" s="1" t="s">
        <v>59</v>
      </c>
    </row>
    <row r="100" customHeight="1" spans="1:43">
      <c r="A100" s="4" t="s">
        <v>43</v>
      </c>
      <c r="B100" s="4">
        <v>190</v>
      </c>
      <c r="C100" s="4" t="s">
        <v>44</v>
      </c>
      <c r="D100" s="4" t="s">
        <v>45</v>
      </c>
      <c r="E100" s="4"/>
      <c r="F100" s="4"/>
      <c r="G100" s="4"/>
      <c r="H100" s="4"/>
      <c r="I100" s="4"/>
      <c r="J100" s="4"/>
      <c r="K100" s="4"/>
      <c r="L100" s="4"/>
      <c r="M100" s="4"/>
      <c r="N100" s="4">
        <v>573</v>
      </c>
      <c r="O100" s="4" t="s">
        <v>838</v>
      </c>
      <c r="P100" s="4" t="s">
        <v>839</v>
      </c>
      <c r="Q100" s="4" t="s">
        <v>840</v>
      </c>
      <c r="R100" s="4" t="s">
        <v>841</v>
      </c>
      <c r="S100" s="4" t="s">
        <v>842</v>
      </c>
      <c r="T100" s="4" t="s">
        <v>843</v>
      </c>
      <c r="U100" s="4" t="s">
        <v>844</v>
      </c>
      <c r="V100" s="4"/>
      <c r="W100" s="4" t="s">
        <v>53</v>
      </c>
      <c r="X100" s="4" t="s">
        <v>190</v>
      </c>
      <c r="Y100" s="4" t="s">
        <v>845</v>
      </c>
      <c r="Z100" s="4" t="s">
        <v>846</v>
      </c>
      <c r="AA100" s="4" t="s">
        <v>68</v>
      </c>
      <c r="AB100" s="4"/>
      <c r="AC100" s="4" t="s">
        <v>847</v>
      </c>
      <c r="AD100" s="4" t="s">
        <v>848</v>
      </c>
      <c r="AE100" s="4" t="s">
        <v>844</v>
      </c>
      <c r="AF100" s="13" t="s">
        <v>844</v>
      </c>
      <c r="AG100" s="4"/>
      <c r="AH100" s="4" t="s">
        <v>849</v>
      </c>
      <c r="AI100" s="4">
        <v>1</v>
      </c>
      <c r="AJ100" s="4" t="s">
        <v>850</v>
      </c>
      <c r="AK100" s="4"/>
      <c r="AL100" s="4" t="str">
        <f>VLOOKUP(N100,[1]Sheet1!$N:$AL,25,0)</f>
        <v>42192221  Patient stretcher accessories</v>
      </c>
      <c r="AM100" s="4"/>
      <c r="AN100" s="4"/>
      <c r="AO100" s="4"/>
      <c r="AP100" s="1" t="s">
        <v>58</v>
      </c>
      <c r="AQ100" s="1" t="s">
        <v>59</v>
      </c>
    </row>
    <row r="101" customHeight="1" spans="1:43">
      <c r="A101" s="4" t="s">
        <v>43</v>
      </c>
      <c r="B101" s="4">
        <v>190</v>
      </c>
      <c r="C101" s="4" t="s">
        <v>44</v>
      </c>
      <c r="D101" s="4" t="s">
        <v>45</v>
      </c>
      <c r="E101" s="4"/>
      <c r="F101" s="4"/>
      <c r="G101" s="4"/>
      <c r="H101" s="4"/>
      <c r="I101" s="4"/>
      <c r="J101" s="4"/>
      <c r="K101" s="4"/>
      <c r="L101" s="4"/>
      <c r="M101" s="4"/>
      <c r="N101" s="4">
        <v>578</v>
      </c>
      <c r="O101" s="4" t="s">
        <v>851</v>
      </c>
      <c r="P101" s="4" t="s">
        <v>852</v>
      </c>
      <c r="Q101" s="4" t="s">
        <v>840</v>
      </c>
      <c r="R101" s="4" t="s">
        <v>841</v>
      </c>
      <c r="S101" s="4" t="s">
        <v>842</v>
      </c>
      <c r="T101" s="4" t="s">
        <v>843</v>
      </c>
      <c r="U101" s="4" t="s">
        <v>853</v>
      </c>
      <c r="V101" s="4"/>
      <c r="W101" s="4" t="s">
        <v>53</v>
      </c>
      <c r="X101" s="4" t="s">
        <v>54</v>
      </c>
      <c r="Y101" s="4" t="s">
        <v>854</v>
      </c>
      <c r="Z101" s="4" t="s">
        <v>855</v>
      </c>
      <c r="AA101" s="4" t="s">
        <v>68</v>
      </c>
      <c r="AB101" s="4"/>
      <c r="AC101" s="4" t="s">
        <v>856</v>
      </c>
      <c r="AD101" s="4" t="s">
        <v>848</v>
      </c>
      <c r="AE101" s="4" t="s">
        <v>853</v>
      </c>
      <c r="AF101" s="13" t="s">
        <v>857</v>
      </c>
      <c r="AG101" s="4"/>
      <c r="AH101" s="4" t="s">
        <v>858</v>
      </c>
      <c r="AI101" s="4">
        <v>2</v>
      </c>
      <c r="AJ101" s="4" t="s">
        <v>859</v>
      </c>
      <c r="AK101" s="4"/>
      <c r="AL101" s="4" t="str">
        <f>VLOOKUP(N101,[1]Sheet1!$N:$AL,25,0)</f>
        <v>42132105  Hospital bed sheets or mattress covers</v>
      </c>
      <c r="AM101" s="4"/>
      <c r="AN101" s="4"/>
      <c r="AO101" s="4"/>
      <c r="AP101" s="1" t="s">
        <v>58</v>
      </c>
      <c r="AQ101" s="1" t="s">
        <v>59</v>
      </c>
    </row>
    <row r="102" customHeight="1" spans="1:43">
      <c r="A102" s="4" t="s">
        <v>43</v>
      </c>
      <c r="B102" s="4">
        <v>190</v>
      </c>
      <c r="C102" s="4" t="s">
        <v>44</v>
      </c>
      <c r="D102" s="4" t="s">
        <v>45</v>
      </c>
      <c r="E102" s="4"/>
      <c r="F102" s="4"/>
      <c r="G102" s="4"/>
      <c r="H102" s="4"/>
      <c r="I102" s="4"/>
      <c r="J102" s="4"/>
      <c r="K102" s="4"/>
      <c r="L102" s="4"/>
      <c r="M102" s="4"/>
      <c r="N102" s="4">
        <v>576</v>
      </c>
      <c r="O102" s="4" t="s">
        <v>860</v>
      </c>
      <c r="P102" s="4" t="s">
        <v>115</v>
      </c>
      <c r="Q102" s="4" t="s">
        <v>840</v>
      </c>
      <c r="R102" s="4" t="s">
        <v>841</v>
      </c>
      <c r="S102" s="4" t="s">
        <v>842</v>
      </c>
      <c r="T102" s="4" t="s">
        <v>843</v>
      </c>
      <c r="U102" s="4" t="s">
        <v>861</v>
      </c>
      <c r="V102" s="4"/>
      <c r="W102" s="4" t="s">
        <v>53</v>
      </c>
      <c r="X102" s="4" t="s">
        <v>54</v>
      </c>
      <c r="Y102" s="4" t="s">
        <v>606</v>
      </c>
      <c r="Z102" s="4" t="s">
        <v>607</v>
      </c>
      <c r="AA102" s="4" t="s">
        <v>68</v>
      </c>
      <c r="AB102" s="4"/>
      <c r="AC102" s="4" t="s">
        <v>608</v>
      </c>
      <c r="AD102" s="4" t="s">
        <v>848</v>
      </c>
      <c r="AE102" s="4" t="s">
        <v>861</v>
      </c>
      <c r="AF102" s="13" t="s">
        <v>862</v>
      </c>
      <c r="AG102" s="4"/>
      <c r="AH102" s="4" t="s">
        <v>476</v>
      </c>
      <c r="AI102" s="4">
        <v>15</v>
      </c>
      <c r="AJ102" s="4" t="s">
        <v>863</v>
      </c>
      <c r="AK102" s="4"/>
      <c r="AL102" s="4" t="str">
        <f>VLOOKUP(N102,[1]Sheet1!$N:$AL,25,0)</f>
        <v>42172105  Mobile medical service automated external defibrillator AED accessories</v>
      </c>
      <c r="AM102" s="4"/>
      <c r="AN102" s="4"/>
      <c r="AO102" s="4"/>
      <c r="AP102" s="1" t="s">
        <v>58</v>
      </c>
      <c r="AQ102" s="1" t="s">
        <v>59</v>
      </c>
    </row>
    <row r="103" customHeight="1" spans="1:43">
      <c r="A103" s="4" t="s">
        <v>43</v>
      </c>
      <c r="B103" s="4">
        <v>190</v>
      </c>
      <c r="C103" s="4" t="s">
        <v>44</v>
      </c>
      <c r="D103" s="4" t="s">
        <v>45</v>
      </c>
      <c r="E103" s="4"/>
      <c r="F103" s="4"/>
      <c r="G103" s="4"/>
      <c r="H103" s="4"/>
      <c r="I103" s="4"/>
      <c r="J103" s="4"/>
      <c r="K103" s="4"/>
      <c r="L103" s="4"/>
      <c r="M103" s="4"/>
      <c r="N103" s="4">
        <v>579</v>
      </c>
      <c r="O103" s="4" t="s">
        <v>864</v>
      </c>
      <c r="P103" s="4" t="s">
        <v>865</v>
      </c>
      <c r="Q103" s="4" t="s">
        <v>840</v>
      </c>
      <c r="R103" s="4" t="s">
        <v>841</v>
      </c>
      <c r="S103" s="4" t="s">
        <v>842</v>
      </c>
      <c r="T103" s="4" t="s">
        <v>843</v>
      </c>
      <c r="U103" s="4" t="s">
        <v>866</v>
      </c>
      <c r="V103" s="4"/>
      <c r="W103" s="4" t="s">
        <v>53</v>
      </c>
      <c r="X103" s="4" t="s">
        <v>54</v>
      </c>
      <c r="Y103" s="4" t="s">
        <v>867</v>
      </c>
      <c r="Z103" s="4" t="s">
        <v>868</v>
      </c>
      <c r="AA103" s="4" t="s">
        <v>68</v>
      </c>
      <c r="AB103" s="4"/>
      <c r="AC103" s="4" t="s">
        <v>869</v>
      </c>
      <c r="AD103" s="4" t="s">
        <v>848</v>
      </c>
      <c r="AE103" s="4" t="s">
        <v>866</v>
      </c>
      <c r="AF103" s="13" t="s">
        <v>870</v>
      </c>
      <c r="AG103" s="4"/>
      <c r="AH103" s="4" t="s">
        <v>871</v>
      </c>
      <c r="AI103" s="4">
        <v>3</v>
      </c>
      <c r="AJ103" s="4" t="s">
        <v>872</v>
      </c>
      <c r="AK103" s="4"/>
      <c r="AL103" s="4" t="str">
        <f>VLOOKUP(N103,[1]Sheet1!$N:$AL,25,0)</f>
        <v>42301504  Kits for medical education or training</v>
      </c>
      <c r="AM103" s="4"/>
      <c r="AN103" s="4"/>
      <c r="AO103" s="4"/>
      <c r="AP103" s="1" t="s">
        <v>58</v>
      </c>
      <c r="AQ103" s="1" t="s">
        <v>59</v>
      </c>
    </row>
    <row r="104" customHeight="1" spans="1:43">
      <c r="A104" s="4" t="s">
        <v>43</v>
      </c>
      <c r="B104" s="4">
        <v>190</v>
      </c>
      <c r="C104" s="4" t="s">
        <v>44</v>
      </c>
      <c r="D104" s="4" t="s">
        <v>45</v>
      </c>
      <c r="E104" s="4"/>
      <c r="F104" s="4"/>
      <c r="G104" s="4"/>
      <c r="H104" s="4"/>
      <c r="I104" s="4"/>
      <c r="J104" s="4"/>
      <c r="K104" s="4"/>
      <c r="L104" s="4"/>
      <c r="M104" s="4"/>
      <c r="N104" s="4">
        <v>580</v>
      </c>
      <c r="O104" s="4" t="s">
        <v>873</v>
      </c>
      <c r="P104" s="4" t="s">
        <v>874</v>
      </c>
      <c r="Q104" s="4" t="s">
        <v>840</v>
      </c>
      <c r="R104" s="4" t="s">
        <v>841</v>
      </c>
      <c r="S104" s="4" t="s">
        <v>842</v>
      </c>
      <c r="T104" s="4" t="s">
        <v>843</v>
      </c>
      <c r="U104" s="4" t="s">
        <v>875</v>
      </c>
      <c r="V104" s="4"/>
      <c r="W104" s="4" t="s">
        <v>53</v>
      </c>
      <c r="X104" s="4" t="s">
        <v>54</v>
      </c>
      <c r="Y104" s="4" t="s">
        <v>867</v>
      </c>
      <c r="Z104" s="4" t="s">
        <v>868</v>
      </c>
      <c r="AA104" s="4" t="s">
        <v>68</v>
      </c>
      <c r="AB104" s="4"/>
      <c r="AC104" s="4" t="s">
        <v>869</v>
      </c>
      <c r="AD104" s="4" t="s">
        <v>848</v>
      </c>
      <c r="AE104" s="4" t="s">
        <v>875</v>
      </c>
      <c r="AF104" s="13" t="s">
        <v>876</v>
      </c>
      <c r="AG104" s="4"/>
      <c r="AH104" s="4" t="s">
        <v>877</v>
      </c>
      <c r="AI104" s="4">
        <v>5</v>
      </c>
      <c r="AJ104" s="4" t="s">
        <v>878</v>
      </c>
      <c r="AK104" s="4"/>
      <c r="AL104" s="4" t="str">
        <f>VLOOKUP(N104,[1]Sheet1!$N:$AL,25,0)</f>
        <v>42301504  Kits for medical education or training</v>
      </c>
      <c r="AM104" s="4"/>
      <c r="AN104" s="4"/>
      <c r="AO104" s="4"/>
      <c r="AP104" s="1" t="s">
        <v>58</v>
      </c>
      <c r="AQ104" s="1" t="s">
        <v>59</v>
      </c>
    </row>
    <row r="105" customHeight="1" spans="1:43">
      <c r="A105" s="4" t="s">
        <v>43</v>
      </c>
      <c r="B105" s="4">
        <v>190</v>
      </c>
      <c r="C105" s="4" t="s">
        <v>44</v>
      </c>
      <c r="D105" s="4" t="s">
        <v>45</v>
      </c>
      <c r="E105" s="4"/>
      <c r="F105" s="4"/>
      <c r="G105" s="4"/>
      <c r="H105" s="4"/>
      <c r="I105" s="4"/>
      <c r="J105" s="4"/>
      <c r="K105" s="4"/>
      <c r="L105" s="4"/>
      <c r="M105" s="4"/>
      <c r="N105" s="4">
        <v>581</v>
      </c>
      <c r="O105" s="4" t="s">
        <v>879</v>
      </c>
      <c r="P105" s="4" t="s">
        <v>874</v>
      </c>
      <c r="Q105" s="4" t="s">
        <v>840</v>
      </c>
      <c r="R105" s="4" t="s">
        <v>841</v>
      </c>
      <c r="S105" s="4" t="s">
        <v>842</v>
      </c>
      <c r="T105" s="4" t="s">
        <v>843</v>
      </c>
      <c r="U105" s="4" t="s">
        <v>880</v>
      </c>
      <c r="V105" s="4"/>
      <c r="W105" s="4" t="s">
        <v>53</v>
      </c>
      <c r="X105" s="4" t="s">
        <v>54</v>
      </c>
      <c r="Y105" s="4" t="s">
        <v>867</v>
      </c>
      <c r="Z105" s="4" t="s">
        <v>868</v>
      </c>
      <c r="AA105" s="4" t="s">
        <v>68</v>
      </c>
      <c r="AB105" s="4"/>
      <c r="AC105" s="4" t="s">
        <v>869</v>
      </c>
      <c r="AD105" s="4" t="s">
        <v>848</v>
      </c>
      <c r="AE105" s="4" t="s">
        <v>880</v>
      </c>
      <c r="AF105" s="13" t="s">
        <v>881</v>
      </c>
      <c r="AG105" s="4"/>
      <c r="AH105" s="4" t="s">
        <v>877</v>
      </c>
      <c r="AI105" s="4">
        <v>5</v>
      </c>
      <c r="AJ105" s="4" t="s">
        <v>882</v>
      </c>
      <c r="AK105" s="4"/>
      <c r="AL105" s="4" t="str">
        <f>VLOOKUP(N105,[1]Sheet1!$N:$AL,25,0)</f>
        <v>42301504  Kits for medical education or training</v>
      </c>
      <c r="AM105" s="4"/>
      <c r="AN105" s="4"/>
      <c r="AO105" s="4"/>
      <c r="AP105" s="1" t="s">
        <v>58</v>
      </c>
      <c r="AQ105" s="1" t="s">
        <v>59</v>
      </c>
    </row>
    <row r="106" customHeight="1" spans="1:43">
      <c r="A106" s="4" t="s">
        <v>43</v>
      </c>
      <c r="B106" s="4">
        <v>190</v>
      </c>
      <c r="C106" s="4" t="s">
        <v>44</v>
      </c>
      <c r="D106" s="4" t="s">
        <v>45</v>
      </c>
      <c r="E106" s="4"/>
      <c r="F106" s="4"/>
      <c r="G106" s="4"/>
      <c r="H106" s="4"/>
      <c r="I106" s="4"/>
      <c r="J106" s="4"/>
      <c r="K106" s="4"/>
      <c r="L106" s="4"/>
      <c r="M106" s="4"/>
      <c r="N106" s="4">
        <v>582</v>
      </c>
      <c r="O106" s="4" t="s">
        <v>883</v>
      </c>
      <c r="P106" s="4" t="s">
        <v>884</v>
      </c>
      <c r="Q106" s="4" t="s">
        <v>885</v>
      </c>
      <c r="R106" s="4" t="s">
        <v>886</v>
      </c>
      <c r="S106" s="4" t="s">
        <v>887</v>
      </c>
      <c r="T106" s="4" t="s">
        <v>888</v>
      </c>
      <c r="U106" s="4" t="s">
        <v>889</v>
      </c>
      <c r="V106" s="4"/>
      <c r="W106" s="4" t="s">
        <v>53</v>
      </c>
      <c r="X106" s="4" t="s">
        <v>54</v>
      </c>
      <c r="Y106" s="4" t="s">
        <v>890</v>
      </c>
      <c r="Z106" s="4" t="s">
        <v>891</v>
      </c>
      <c r="AA106" s="4" t="s">
        <v>68</v>
      </c>
      <c r="AB106" s="4"/>
      <c r="AC106" s="4" t="s">
        <v>892</v>
      </c>
      <c r="AD106" s="4" t="s">
        <v>887</v>
      </c>
      <c r="AE106" s="4" t="s">
        <v>889</v>
      </c>
      <c r="AF106" s="13" t="s">
        <v>893</v>
      </c>
      <c r="AG106" s="4"/>
      <c r="AH106" s="4" t="s">
        <v>645</v>
      </c>
      <c r="AI106" s="4">
        <v>14</v>
      </c>
      <c r="AJ106" s="4" t="s">
        <v>894</v>
      </c>
      <c r="AK106" s="4"/>
      <c r="AL106" s="4" t="str">
        <f>VLOOKUP(N106,[1]Sheet1!$N:$AL,25,0)</f>
        <v>42132201  Medical glove boxes or dispensers</v>
      </c>
      <c r="AM106" s="4"/>
      <c r="AN106" s="4"/>
      <c r="AO106" s="4"/>
      <c r="AP106" s="1" t="s">
        <v>58</v>
      </c>
      <c r="AQ106" s="1" t="s">
        <v>59</v>
      </c>
    </row>
    <row r="107" customHeight="1" spans="1:43">
      <c r="A107" s="4" t="s">
        <v>43</v>
      </c>
      <c r="B107" s="4">
        <v>190</v>
      </c>
      <c r="C107" s="4" t="s">
        <v>44</v>
      </c>
      <c r="D107" s="4" t="s">
        <v>45</v>
      </c>
      <c r="E107" s="4"/>
      <c r="F107" s="4"/>
      <c r="G107" s="4"/>
      <c r="H107" s="4"/>
      <c r="I107" s="4"/>
      <c r="J107" s="4"/>
      <c r="K107" s="4"/>
      <c r="L107" s="4"/>
      <c r="M107" s="4"/>
      <c r="N107" s="4">
        <v>583</v>
      </c>
      <c r="O107" s="4" t="s">
        <v>895</v>
      </c>
      <c r="P107" s="4" t="s">
        <v>884</v>
      </c>
      <c r="Q107" s="4" t="s">
        <v>885</v>
      </c>
      <c r="R107" s="4" t="s">
        <v>886</v>
      </c>
      <c r="S107" s="4" t="s">
        <v>887</v>
      </c>
      <c r="T107" s="4" t="s">
        <v>888</v>
      </c>
      <c r="U107" s="4" t="s">
        <v>896</v>
      </c>
      <c r="V107" s="4"/>
      <c r="W107" s="4" t="s">
        <v>53</v>
      </c>
      <c r="X107" s="4" t="s">
        <v>54</v>
      </c>
      <c r="Y107" s="4" t="s">
        <v>897</v>
      </c>
      <c r="Z107" s="4" t="s">
        <v>898</v>
      </c>
      <c r="AA107" s="4" t="s">
        <v>68</v>
      </c>
      <c r="AB107" s="4"/>
      <c r="AC107" s="4" t="s">
        <v>899</v>
      </c>
      <c r="AD107" s="4" t="s">
        <v>887</v>
      </c>
      <c r="AE107" s="4" t="s">
        <v>896</v>
      </c>
      <c r="AF107" s="13" t="s">
        <v>900</v>
      </c>
      <c r="AG107" s="4"/>
      <c r="AH107" s="4" t="s">
        <v>645</v>
      </c>
      <c r="AI107" s="4">
        <v>14</v>
      </c>
      <c r="AJ107" s="4" t="s">
        <v>901</v>
      </c>
      <c r="AK107" s="4"/>
      <c r="AL107" s="4" t="str">
        <f>VLOOKUP(N107,[1]Sheet1!$N:$AL,25,0)</f>
        <v>42131600  Medical staff clothing and related articles</v>
      </c>
      <c r="AM107" s="4"/>
      <c r="AN107" s="4"/>
      <c r="AO107" s="4"/>
      <c r="AP107" s="1" t="s">
        <v>58</v>
      </c>
      <c r="AQ107" s="1" t="s">
        <v>59</v>
      </c>
    </row>
    <row r="108" customHeight="1" spans="1:43">
      <c r="A108" s="4" t="s">
        <v>43</v>
      </c>
      <c r="B108" s="4">
        <v>190</v>
      </c>
      <c r="C108" s="4" t="s">
        <v>44</v>
      </c>
      <c r="D108" s="4" t="s">
        <v>45</v>
      </c>
      <c r="E108" s="4"/>
      <c r="F108" s="4"/>
      <c r="G108" s="4"/>
      <c r="H108" s="4"/>
      <c r="I108" s="4"/>
      <c r="J108" s="4"/>
      <c r="K108" s="4"/>
      <c r="L108" s="4"/>
      <c r="M108" s="4"/>
      <c r="N108" s="4">
        <v>596</v>
      </c>
      <c r="O108" s="4" t="s">
        <v>902</v>
      </c>
      <c r="P108" s="4" t="s">
        <v>903</v>
      </c>
      <c r="Q108" s="4" t="s">
        <v>904</v>
      </c>
      <c r="R108" s="4" t="s">
        <v>905</v>
      </c>
      <c r="S108" s="4" t="s">
        <v>906</v>
      </c>
      <c r="T108" s="4" t="s">
        <v>907</v>
      </c>
      <c r="U108" s="4" t="s">
        <v>908</v>
      </c>
      <c r="V108" s="4"/>
      <c r="W108" s="4" t="s">
        <v>53</v>
      </c>
      <c r="X108" s="4" t="s">
        <v>54</v>
      </c>
      <c r="Y108" s="4" t="s">
        <v>909</v>
      </c>
      <c r="Z108" s="4" t="s">
        <v>910</v>
      </c>
      <c r="AA108" s="4" t="s">
        <v>68</v>
      </c>
      <c r="AB108" s="4"/>
      <c r="AC108" s="4" t="s">
        <v>911</v>
      </c>
      <c r="AD108" s="4" t="s">
        <v>912</v>
      </c>
      <c r="AE108" s="4" t="s">
        <v>908</v>
      </c>
      <c r="AF108" s="13" t="s">
        <v>913</v>
      </c>
      <c r="AG108" s="4"/>
      <c r="AH108" s="4" t="s">
        <v>146</v>
      </c>
      <c r="AI108" s="4">
        <v>11</v>
      </c>
      <c r="AJ108" s="4" t="s">
        <v>914</v>
      </c>
      <c r="AK108" s="4"/>
      <c r="AL108" s="4" t="str">
        <f>VLOOKUP(N108,[1]Sheet1!$N:$AL,25,0)</f>
        <v>42294938  Sealing caps for endoscopes</v>
      </c>
      <c r="AM108" s="4"/>
      <c r="AN108" s="4"/>
      <c r="AO108" s="4"/>
      <c r="AP108" s="1" t="s">
        <v>58</v>
      </c>
      <c r="AQ108" s="1" t="s">
        <v>59</v>
      </c>
    </row>
    <row r="109" customHeight="1" spans="1:43">
      <c r="A109" s="4" t="s">
        <v>43</v>
      </c>
      <c r="B109" s="4">
        <v>190</v>
      </c>
      <c r="C109" s="4" t="s">
        <v>44</v>
      </c>
      <c r="D109" s="4" t="s">
        <v>45</v>
      </c>
      <c r="E109" s="4"/>
      <c r="F109" s="4"/>
      <c r="G109" s="4"/>
      <c r="H109" s="4"/>
      <c r="I109" s="4"/>
      <c r="J109" s="4"/>
      <c r="K109" s="4"/>
      <c r="L109" s="4"/>
      <c r="M109" s="4"/>
      <c r="N109" s="4">
        <v>597</v>
      </c>
      <c r="O109" s="4" t="s">
        <v>915</v>
      </c>
      <c r="P109" s="4" t="s">
        <v>916</v>
      </c>
      <c r="Q109" s="4" t="s">
        <v>904</v>
      </c>
      <c r="R109" s="4" t="s">
        <v>905</v>
      </c>
      <c r="S109" s="4" t="s">
        <v>906</v>
      </c>
      <c r="T109" s="4" t="s">
        <v>907</v>
      </c>
      <c r="U109" s="4" t="s">
        <v>917</v>
      </c>
      <c r="V109" s="4"/>
      <c r="W109" s="4" t="s">
        <v>53</v>
      </c>
      <c r="X109" s="4" t="s">
        <v>54</v>
      </c>
      <c r="Y109" s="4" t="s">
        <v>918</v>
      </c>
      <c r="Z109" s="4" t="s">
        <v>919</v>
      </c>
      <c r="AA109" s="4" t="s">
        <v>68</v>
      </c>
      <c r="AB109" s="4"/>
      <c r="AC109" s="4" t="s">
        <v>920</v>
      </c>
      <c r="AD109" s="4" t="s">
        <v>912</v>
      </c>
      <c r="AE109" s="4" t="s">
        <v>917</v>
      </c>
      <c r="AF109" s="13" t="s">
        <v>921</v>
      </c>
      <c r="AG109" s="4"/>
      <c r="AH109" s="4" t="s">
        <v>922</v>
      </c>
      <c r="AI109" s="4">
        <v>1</v>
      </c>
      <c r="AJ109" s="4" t="s">
        <v>923</v>
      </c>
      <c r="AK109" s="4"/>
      <c r="AL109" s="4" t="str">
        <f>VLOOKUP(N109,[1]Sheet1!$N:$AL,25,0)</f>
        <v>42272001  Intubation laryngoscopes</v>
      </c>
      <c r="AM109" s="4"/>
      <c r="AN109" s="4"/>
      <c r="AO109" s="4"/>
      <c r="AP109" s="1" t="s">
        <v>58</v>
      </c>
      <c r="AQ109" s="1" t="s">
        <v>59</v>
      </c>
    </row>
    <row r="110" customHeight="1" spans="1:43">
      <c r="A110" s="4" t="s">
        <v>43</v>
      </c>
      <c r="B110" s="4">
        <v>190</v>
      </c>
      <c r="C110" s="4" t="s">
        <v>44</v>
      </c>
      <c r="D110" s="4" t="s">
        <v>45</v>
      </c>
      <c r="E110" s="4"/>
      <c r="F110" s="4"/>
      <c r="G110" s="4"/>
      <c r="H110" s="4"/>
      <c r="I110" s="4"/>
      <c r="J110" s="4"/>
      <c r="K110" s="4"/>
      <c r="L110" s="4"/>
      <c r="M110" s="4"/>
      <c r="N110" s="4">
        <v>441</v>
      </c>
      <c r="O110" s="4" t="s">
        <v>924</v>
      </c>
      <c r="P110" s="4" t="s">
        <v>925</v>
      </c>
      <c r="Q110" s="4" t="s">
        <v>926</v>
      </c>
      <c r="R110" s="4" t="s">
        <v>927</v>
      </c>
      <c r="S110" s="4" t="s">
        <v>928</v>
      </c>
      <c r="T110" s="4" t="s">
        <v>929</v>
      </c>
      <c r="U110" s="4" t="s">
        <v>930</v>
      </c>
      <c r="V110" s="4"/>
      <c r="W110" s="4" t="s">
        <v>53</v>
      </c>
      <c r="X110" s="4" t="s">
        <v>54</v>
      </c>
      <c r="Y110" s="4" t="s">
        <v>931</v>
      </c>
      <c r="Z110" s="4" t="s">
        <v>932</v>
      </c>
      <c r="AA110" s="4" t="s">
        <v>68</v>
      </c>
      <c r="AB110" s="4"/>
      <c r="AC110" s="4" t="s">
        <v>933</v>
      </c>
      <c r="AD110" s="4" t="s">
        <v>934</v>
      </c>
      <c r="AE110" s="4" t="s">
        <v>930</v>
      </c>
      <c r="AF110" s="13" t="s">
        <v>930</v>
      </c>
      <c r="AG110" s="4"/>
      <c r="AH110" s="4" t="s">
        <v>290</v>
      </c>
      <c r="AI110" s="4">
        <v>39</v>
      </c>
      <c r="AJ110" s="4" t="s">
        <v>935</v>
      </c>
      <c r="AK110" s="4"/>
      <c r="AL110" s="4" t="str">
        <f>VLOOKUP(N110,[1]Sheet1!$N:$AL,25,0)</f>
        <v>42142502  Anesthesia needles</v>
      </c>
      <c r="AM110" s="4"/>
      <c r="AN110" s="4"/>
      <c r="AO110" s="4"/>
      <c r="AP110" s="1" t="s">
        <v>58</v>
      </c>
      <c r="AQ110" s="1" t="s">
        <v>59</v>
      </c>
    </row>
    <row r="111" customHeight="1" spans="1:43">
      <c r="A111" s="4" t="s">
        <v>43</v>
      </c>
      <c r="B111" s="4">
        <v>190</v>
      </c>
      <c r="C111" s="4" t="s">
        <v>44</v>
      </c>
      <c r="D111" s="4" t="s">
        <v>45</v>
      </c>
      <c r="E111" s="4"/>
      <c r="F111" s="4"/>
      <c r="G111" s="4"/>
      <c r="H111" s="4"/>
      <c r="I111" s="4"/>
      <c r="J111" s="4"/>
      <c r="K111" s="4"/>
      <c r="L111" s="4"/>
      <c r="M111" s="4"/>
      <c r="N111" s="4">
        <v>442</v>
      </c>
      <c r="O111" s="4" t="s">
        <v>936</v>
      </c>
      <c r="P111" s="4" t="s">
        <v>925</v>
      </c>
      <c r="Q111" s="4" t="s">
        <v>926</v>
      </c>
      <c r="R111" s="4" t="s">
        <v>927</v>
      </c>
      <c r="S111" s="4" t="s">
        <v>928</v>
      </c>
      <c r="T111" s="4" t="s">
        <v>929</v>
      </c>
      <c r="U111" s="4" t="s">
        <v>937</v>
      </c>
      <c r="V111" s="4"/>
      <c r="W111" s="4" t="s">
        <v>53</v>
      </c>
      <c r="X111" s="4" t="s">
        <v>54</v>
      </c>
      <c r="Y111" s="4" t="s">
        <v>931</v>
      </c>
      <c r="Z111" s="4" t="s">
        <v>932</v>
      </c>
      <c r="AA111" s="4" t="s">
        <v>68</v>
      </c>
      <c r="AB111" s="4"/>
      <c r="AC111" s="4" t="s">
        <v>933</v>
      </c>
      <c r="AD111" s="4" t="s">
        <v>934</v>
      </c>
      <c r="AE111" s="4" t="s">
        <v>937</v>
      </c>
      <c r="AF111" s="13" t="s">
        <v>937</v>
      </c>
      <c r="AG111" s="4"/>
      <c r="AH111" s="4" t="s">
        <v>290</v>
      </c>
      <c r="AI111" s="4">
        <v>39</v>
      </c>
      <c r="AJ111" s="4" t="s">
        <v>938</v>
      </c>
      <c r="AK111" s="4"/>
      <c r="AL111" s="4" t="str">
        <f>VLOOKUP(N111,[1]Sheet1!$N:$AL,25,0)</f>
        <v>42142502  Anesthesia needles</v>
      </c>
      <c r="AM111" s="4"/>
      <c r="AN111" s="4"/>
      <c r="AO111" s="4"/>
      <c r="AP111" s="1" t="s">
        <v>58</v>
      </c>
      <c r="AQ111" s="1" t="s">
        <v>59</v>
      </c>
    </row>
    <row r="112" customHeight="1" spans="1:43">
      <c r="A112" s="4" t="s">
        <v>43</v>
      </c>
      <c r="B112" s="4">
        <v>190</v>
      </c>
      <c r="C112" s="4" t="s">
        <v>44</v>
      </c>
      <c r="D112" s="4" t="s">
        <v>45</v>
      </c>
      <c r="E112" s="4"/>
      <c r="F112" s="4"/>
      <c r="G112" s="4"/>
      <c r="H112" s="4"/>
      <c r="I112" s="4"/>
      <c r="J112" s="4"/>
      <c r="K112" s="4"/>
      <c r="L112" s="4"/>
      <c r="M112" s="4"/>
      <c r="N112" s="4">
        <v>443</v>
      </c>
      <c r="O112" s="4" t="s">
        <v>939</v>
      </c>
      <c r="P112" s="4" t="s">
        <v>925</v>
      </c>
      <c r="Q112" s="4" t="s">
        <v>926</v>
      </c>
      <c r="R112" s="4" t="s">
        <v>927</v>
      </c>
      <c r="S112" s="4" t="s">
        <v>928</v>
      </c>
      <c r="T112" s="4" t="s">
        <v>929</v>
      </c>
      <c r="U112" s="4" t="s">
        <v>940</v>
      </c>
      <c r="V112" s="4"/>
      <c r="W112" s="4" t="s">
        <v>53</v>
      </c>
      <c r="X112" s="4" t="s">
        <v>54</v>
      </c>
      <c r="Y112" s="4" t="s">
        <v>678</v>
      </c>
      <c r="Z112" s="4" t="s">
        <v>679</v>
      </c>
      <c r="AA112" s="4" t="s">
        <v>68</v>
      </c>
      <c r="AB112" s="4"/>
      <c r="AC112" s="4" t="s">
        <v>680</v>
      </c>
      <c r="AD112" s="4" t="s">
        <v>934</v>
      </c>
      <c r="AE112" s="4" t="s">
        <v>940</v>
      </c>
      <c r="AF112" s="13" t="s">
        <v>940</v>
      </c>
      <c r="AG112" s="4"/>
      <c r="AH112" s="4" t="s">
        <v>290</v>
      </c>
      <c r="AI112" s="4">
        <v>39</v>
      </c>
      <c r="AJ112" s="4" t="s">
        <v>941</v>
      </c>
      <c r="AK112" s="4"/>
      <c r="AL112" s="4" t="str">
        <f>VLOOKUP(N112,[1]Sheet1!$N:$AL,25,0)</f>
        <v>42142541  Spinal aspiration needles</v>
      </c>
      <c r="AM112" s="4"/>
      <c r="AN112" s="4"/>
      <c r="AO112" s="4"/>
      <c r="AP112" s="1" t="s">
        <v>58</v>
      </c>
      <c r="AQ112" s="1" t="s">
        <v>59</v>
      </c>
    </row>
    <row r="113" customHeight="1" spans="1:43">
      <c r="A113" s="4" t="s">
        <v>43</v>
      </c>
      <c r="B113" s="4">
        <v>190</v>
      </c>
      <c r="C113" s="4" t="s">
        <v>44</v>
      </c>
      <c r="D113" s="4" t="s">
        <v>45</v>
      </c>
      <c r="E113" s="4"/>
      <c r="F113" s="4"/>
      <c r="G113" s="4"/>
      <c r="H113" s="4"/>
      <c r="I113" s="4"/>
      <c r="J113" s="4"/>
      <c r="K113" s="4"/>
      <c r="L113" s="4"/>
      <c r="M113" s="4"/>
      <c r="N113" s="4">
        <v>444</v>
      </c>
      <c r="O113" s="4" t="s">
        <v>942</v>
      </c>
      <c r="P113" s="4" t="s">
        <v>943</v>
      </c>
      <c r="Q113" s="4" t="s">
        <v>926</v>
      </c>
      <c r="R113" s="4" t="s">
        <v>927</v>
      </c>
      <c r="S113" s="4" t="s">
        <v>928</v>
      </c>
      <c r="T113" s="4" t="s">
        <v>929</v>
      </c>
      <c r="U113" s="4" t="s">
        <v>944</v>
      </c>
      <c r="V113" s="4"/>
      <c r="W113" s="4" t="s">
        <v>53</v>
      </c>
      <c r="X113" s="4" t="s">
        <v>54</v>
      </c>
      <c r="Y113" s="4" t="s">
        <v>945</v>
      </c>
      <c r="Z113" s="4" t="s">
        <v>946</v>
      </c>
      <c r="AA113" s="4" t="s">
        <v>68</v>
      </c>
      <c r="AB113" s="4"/>
      <c r="AC113" s="4" t="s">
        <v>947</v>
      </c>
      <c r="AD113" s="4" t="s">
        <v>934</v>
      </c>
      <c r="AE113" s="4" t="s">
        <v>944</v>
      </c>
      <c r="AF113" s="13" t="s">
        <v>944</v>
      </c>
      <c r="AG113" s="4"/>
      <c r="AH113" s="4" t="s">
        <v>948</v>
      </c>
      <c r="AI113" s="4">
        <v>16</v>
      </c>
      <c r="AJ113" s="4" t="s">
        <v>949</v>
      </c>
      <c r="AK113" s="4"/>
      <c r="AL113" s="4" t="str">
        <f>VLOOKUP(N113,[1]Sheet1!$N:$AL,25,0)</f>
        <v>42142500  Injection and aspiration needles and accessories</v>
      </c>
      <c r="AM113" s="4"/>
      <c r="AN113" s="4"/>
      <c r="AO113" s="4"/>
      <c r="AP113" s="1" t="s">
        <v>58</v>
      </c>
      <c r="AQ113" s="1" t="s">
        <v>59</v>
      </c>
    </row>
    <row r="114" customHeight="1" spans="1:43">
      <c r="A114" s="4" t="s">
        <v>43</v>
      </c>
      <c r="B114" s="4">
        <v>190</v>
      </c>
      <c r="C114" s="4" t="s">
        <v>44</v>
      </c>
      <c r="D114" s="4" t="s">
        <v>45</v>
      </c>
      <c r="E114" s="4"/>
      <c r="F114" s="4"/>
      <c r="G114" s="4"/>
      <c r="H114" s="4"/>
      <c r="I114" s="4"/>
      <c r="J114" s="4"/>
      <c r="K114" s="4"/>
      <c r="L114" s="4"/>
      <c r="M114" s="4"/>
      <c r="N114" s="4">
        <v>446</v>
      </c>
      <c r="O114" s="4" t="s">
        <v>950</v>
      </c>
      <c r="P114" s="4" t="s">
        <v>617</v>
      </c>
      <c r="Q114" s="4" t="s">
        <v>926</v>
      </c>
      <c r="R114" s="4" t="s">
        <v>927</v>
      </c>
      <c r="S114" s="4" t="s">
        <v>928</v>
      </c>
      <c r="T114" s="4" t="s">
        <v>929</v>
      </c>
      <c r="U114" s="4" t="s">
        <v>951</v>
      </c>
      <c r="V114" s="4"/>
      <c r="W114" s="4" t="s">
        <v>53</v>
      </c>
      <c r="X114" s="4" t="s">
        <v>54</v>
      </c>
      <c r="Y114" s="4" t="s">
        <v>952</v>
      </c>
      <c r="Z114" s="4" t="s">
        <v>953</v>
      </c>
      <c r="AA114" s="4" t="s">
        <v>68</v>
      </c>
      <c r="AB114" s="4"/>
      <c r="AC114" s="4" t="s">
        <v>954</v>
      </c>
      <c r="AD114" s="4" t="s">
        <v>934</v>
      </c>
      <c r="AE114" s="4" t="s">
        <v>951</v>
      </c>
      <c r="AF114" s="13" t="s">
        <v>951</v>
      </c>
      <c r="AG114" s="4"/>
      <c r="AH114" s="4" t="s">
        <v>249</v>
      </c>
      <c r="AI114" s="4">
        <v>10</v>
      </c>
      <c r="AJ114" s="4" t="s">
        <v>955</v>
      </c>
      <c r="AK114" s="4"/>
      <c r="AL114" s="4" t="str">
        <f>VLOOKUP(N114,[1]Sheet1!$N:$AL,25,0)</f>
        <v>42221604  Intravenous or arterial tubing adapter or connector</v>
      </c>
      <c r="AM114" s="4"/>
      <c r="AN114" s="4"/>
      <c r="AO114" s="4"/>
      <c r="AP114" s="1" t="s">
        <v>58</v>
      </c>
      <c r="AQ114" s="1" t="s">
        <v>59</v>
      </c>
    </row>
    <row r="115" customHeight="1" spans="1:43">
      <c r="A115" s="4" t="s">
        <v>43</v>
      </c>
      <c r="B115" s="4">
        <v>190</v>
      </c>
      <c r="C115" s="4" t="s">
        <v>44</v>
      </c>
      <c r="D115" s="4" t="s">
        <v>45</v>
      </c>
      <c r="E115" s="4"/>
      <c r="F115" s="4"/>
      <c r="G115" s="4"/>
      <c r="H115" s="4"/>
      <c r="I115" s="4"/>
      <c r="J115" s="4"/>
      <c r="K115" s="4"/>
      <c r="L115" s="4"/>
      <c r="M115" s="4"/>
      <c r="N115" s="4">
        <v>447</v>
      </c>
      <c r="O115" s="4" t="s">
        <v>956</v>
      </c>
      <c r="P115" s="4" t="s">
        <v>617</v>
      </c>
      <c r="Q115" s="4" t="s">
        <v>926</v>
      </c>
      <c r="R115" s="4" t="s">
        <v>927</v>
      </c>
      <c r="S115" s="4" t="s">
        <v>928</v>
      </c>
      <c r="T115" s="4" t="s">
        <v>929</v>
      </c>
      <c r="U115" s="4" t="s">
        <v>957</v>
      </c>
      <c r="V115" s="4"/>
      <c r="W115" s="4" t="s">
        <v>53</v>
      </c>
      <c r="X115" s="4" t="s">
        <v>54</v>
      </c>
      <c r="Y115" s="4" t="s">
        <v>952</v>
      </c>
      <c r="Z115" s="4" t="s">
        <v>953</v>
      </c>
      <c r="AA115" s="4" t="s">
        <v>68</v>
      </c>
      <c r="AB115" s="4"/>
      <c r="AC115" s="4" t="s">
        <v>954</v>
      </c>
      <c r="AD115" s="4" t="s">
        <v>934</v>
      </c>
      <c r="AE115" s="4" t="s">
        <v>957</v>
      </c>
      <c r="AF115" s="13" t="s">
        <v>957</v>
      </c>
      <c r="AG115" s="4"/>
      <c r="AH115" s="4" t="s">
        <v>249</v>
      </c>
      <c r="AI115" s="4">
        <v>10</v>
      </c>
      <c r="AJ115" s="4" t="s">
        <v>958</v>
      </c>
      <c r="AK115" s="4"/>
      <c r="AL115" s="4" t="str">
        <f>VLOOKUP(N115,[1]Sheet1!$N:$AL,25,0)</f>
        <v>42221604  Intravenous or arterial tubing adapter or connector</v>
      </c>
      <c r="AM115" s="4"/>
      <c r="AN115" s="4"/>
      <c r="AO115" s="4"/>
      <c r="AP115" s="1" t="s">
        <v>58</v>
      </c>
      <c r="AQ115" s="1" t="s">
        <v>59</v>
      </c>
    </row>
    <row r="116" customHeight="1" spans="1:43">
      <c r="A116" s="4" t="s">
        <v>43</v>
      </c>
      <c r="B116" s="4">
        <v>190</v>
      </c>
      <c r="C116" s="4" t="s">
        <v>44</v>
      </c>
      <c r="D116" s="4" t="s">
        <v>45</v>
      </c>
      <c r="E116" s="4"/>
      <c r="F116" s="4"/>
      <c r="G116" s="4"/>
      <c r="H116" s="4"/>
      <c r="I116" s="4"/>
      <c r="J116" s="4"/>
      <c r="K116" s="4"/>
      <c r="L116" s="4"/>
      <c r="M116" s="4"/>
      <c r="N116" s="4">
        <v>450</v>
      </c>
      <c r="O116" s="4" t="s">
        <v>959</v>
      </c>
      <c r="P116" s="4" t="s">
        <v>960</v>
      </c>
      <c r="Q116" s="4" t="s">
        <v>926</v>
      </c>
      <c r="R116" s="4" t="s">
        <v>927</v>
      </c>
      <c r="S116" s="4" t="s">
        <v>928</v>
      </c>
      <c r="T116" s="4" t="s">
        <v>929</v>
      </c>
      <c r="U116" s="4" t="s">
        <v>961</v>
      </c>
      <c r="V116" s="4"/>
      <c r="W116" s="4" t="s">
        <v>53</v>
      </c>
      <c r="X116" s="4" t="s">
        <v>190</v>
      </c>
      <c r="Y116" s="4" t="s">
        <v>962</v>
      </c>
      <c r="Z116" s="4" t="s">
        <v>963</v>
      </c>
      <c r="AA116" s="4" t="s">
        <v>68</v>
      </c>
      <c r="AB116" s="4"/>
      <c r="AC116" s="4" t="s">
        <v>964</v>
      </c>
      <c r="AD116" s="4" t="s">
        <v>934</v>
      </c>
      <c r="AE116" s="4" t="s">
        <v>961</v>
      </c>
      <c r="AF116" s="13" t="s">
        <v>961</v>
      </c>
      <c r="AG116" s="4"/>
      <c r="AH116" s="4" t="s">
        <v>518</v>
      </c>
      <c r="AI116" s="4">
        <v>22</v>
      </c>
      <c r="AJ116" s="4" t="s">
        <v>965</v>
      </c>
      <c r="AK116" s="4"/>
      <c r="AL116" s="4" t="str">
        <f>VLOOKUP(N116,[1]Sheet1!$N:$AL,25,0)</f>
        <v>42321622  Spinal implant kits or systems</v>
      </c>
      <c r="AM116" s="4"/>
      <c r="AN116" s="4"/>
      <c r="AO116" s="4"/>
      <c r="AP116" s="1" t="s">
        <v>58</v>
      </c>
      <c r="AQ116" s="1" t="s">
        <v>59</v>
      </c>
    </row>
    <row r="117" customHeight="1" spans="1:43">
      <c r="A117" s="4" t="s">
        <v>43</v>
      </c>
      <c r="B117" s="4">
        <v>190</v>
      </c>
      <c r="C117" s="4" t="s">
        <v>44</v>
      </c>
      <c r="D117" s="4" t="s">
        <v>45</v>
      </c>
      <c r="E117" s="4"/>
      <c r="F117" s="4"/>
      <c r="G117" s="4"/>
      <c r="H117" s="4"/>
      <c r="I117" s="4"/>
      <c r="J117" s="4"/>
      <c r="K117" s="4"/>
      <c r="L117" s="4"/>
      <c r="M117" s="4"/>
      <c r="N117" s="4">
        <v>451</v>
      </c>
      <c r="O117" s="4" t="s">
        <v>966</v>
      </c>
      <c r="P117" s="4" t="s">
        <v>967</v>
      </c>
      <c r="Q117" s="4" t="s">
        <v>926</v>
      </c>
      <c r="R117" s="4" t="s">
        <v>927</v>
      </c>
      <c r="S117" s="4" t="s">
        <v>928</v>
      </c>
      <c r="T117" s="4" t="s">
        <v>929</v>
      </c>
      <c r="U117" s="4" t="s">
        <v>968</v>
      </c>
      <c r="V117" s="4"/>
      <c r="W117" s="4" t="s">
        <v>53</v>
      </c>
      <c r="X117" s="4" t="s">
        <v>54</v>
      </c>
      <c r="Y117" s="4" t="s">
        <v>662</v>
      </c>
      <c r="Z117" s="4" t="s">
        <v>663</v>
      </c>
      <c r="AA117" s="4" t="s">
        <v>68</v>
      </c>
      <c r="AB117" s="4"/>
      <c r="AC117" s="4" t="s">
        <v>664</v>
      </c>
      <c r="AD117" s="4" t="s">
        <v>934</v>
      </c>
      <c r="AE117" s="4" t="s">
        <v>968</v>
      </c>
      <c r="AF117" s="13" t="s">
        <v>968</v>
      </c>
      <c r="AG117" s="4"/>
      <c r="AH117" s="4" t="s">
        <v>969</v>
      </c>
      <c r="AI117" s="4">
        <v>1</v>
      </c>
      <c r="AJ117" s="4" t="s">
        <v>970</v>
      </c>
      <c r="AK117" s="4"/>
      <c r="AL117" s="4" t="str">
        <f>VLOOKUP(N117,[1]Sheet1!$N:$AL,25,0)</f>
        <v>42142535  Anesthesia nerve block kit or tray</v>
      </c>
      <c r="AM117" s="4"/>
      <c r="AN117" s="4"/>
      <c r="AO117" s="4"/>
      <c r="AP117" s="1" t="s">
        <v>58</v>
      </c>
      <c r="AQ117" s="1" t="s">
        <v>59</v>
      </c>
    </row>
    <row r="118" customHeight="1" spans="1:43">
      <c r="A118" s="4" t="s">
        <v>43</v>
      </c>
      <c r="B118" s="4">
        <v>190</v>
      </c>
      <c r="C118" s="4" t="s">
        <v>44</v>
      </c>
      <c r="D118" s="4" t="s">
        <v>45</v>
      </c>
      <c r="E118" s="4"/>
      <c r="F118" s="4"/>
      <c r="G118" s="4"/>
      <c r="H118" s="4"/>
      <c r="I118" s="4"/>
      <c r="J118" s="4"/>
      <c r="K118" s="4"/>
      <c r="L118" s="4"/>
      <c r="M118" s="4"/>
      <c r="N118" s="4">
        <v>452</v>
      </c>
      <c r="O118" s="4" t="s">
        <v>971</v>
      </c>
      <c r="P118" s="4" t="s">
        <v>967</v>
      </c>
      <c r="Q118" s="4" t="s">
        <v>926</v>
      </c>
      <c r="R118" s="4" t="s">
        <v>927</v>
      </c>
      <c r="S118" s="4" t="s">
        <v>928</v>
      </c>
      <c r="T118" s="4" t="s">
        <v>929</v>
      </c>
      <c r="U118" s="4" t="s">
        <v>972</v>
      </c>
      <c r="V118" s="4"/>
      <c r="W118" s="4" t="s">
        <v>53</v>
      </c>
      <c r="X118" s="4" t="s">
        <v>54</v>
      </c>
      <c r="Y118" s="4" t="s">
        <v>662</v>
      </c>
      <c r="Z118" s="4" t="s">
        <v>663</v>
      </c>
      <c r="AA118" s="4" t="s">
        <v>68</v>
      </c>
      <c r="AB118" s="4"/>
      <c r="AC118" s="4" t="s">
        <v>664</v>
      </c>
      <c r="AD118" s="4" t="s">
        <v>934</v>
      </c>
      <c r="AE118" s="4" t="s">
        <v>972</v>
      </c>
      <c r="AF118" s="13" t="s">
        <v>972</v>
      </c>
      <c r="AG118" s="4"/>
      <c r="AH118" s="4" t="s">
        <v>973</v>
      </c>
      <c r="AI118" s="4">
        <v>1</v>
      </c>
      <c r="AJ118" s="4" t="s">
        <v>974</v>
      </c>
      <c r="AK118" s="4"/>
      <c r="AL118" s="4" t="str">
        <f>VLOOKUP(N118,[1]Sheet1!$N:$AL,25,0)</f>
        <v>42142535  Anesthesia nerve block kit or tray</v>
      </c>
      <c r="AM118" s="4"/>
      <c r="AN118" s="4"/>
      <c r="AO118" s="4"/>
      <c r="AP118" s="1" t="s">
        <v>58</v>
      </c>
      <c r="AQ118" s="1" t="s">
        <v>59</v>
      </c>
    </row>
    <row r="119" customHeight="1" spans="1:43">
      <c r="A119" s="4" t="s">
        <v>43</v>
      </c>
      <c r="B119" s="4">
        <v>190</v>
      </c>
      <c r="C119" s="4" t="s">
        <v>44</v>
      </c>
      <c r="D119" s="4" t="s">
        <v>45</v>
      </c>
      <c r="E119" s="4"/>
      <c r="F119" s="4"/>
      <c r="G119" s="4"/>
      <c r="H119" s="4"/>
      <c r="I119" s="4"/>
      <c r="J119" s="4"/>
      <c r="K119" s="4"/>
      <c r="L119" s="4"/>
      <c r="M119" s="4"/>
      <c r="N119" s="4">
        <v>454</v>
      </c>
      <c r="O119" s="4" t="s">
        <v>975</v>
      </c>
      <c r="P119" s="4" t="s">
        <v>976</v>
      </c>
      <c r="Q119" s="4" t="s">
        <v>926</v>
      </c>
      <c r="R119" s="4" t="s">
        <v>927</v>
      </c>
      <c r="S119" s="4" t="s">
        <v>928</v>
      </c>
      <c r="T119" s="4" t="s">
        <v>929</v>
      </c>
      <c r="U119" s="4" t="s">
        <v>977</v>
      </c>
      <c r="V119" s="4"/>
      <c r="W119" s="4" t="s">
        <v>53</v>
      </c>
      <c r="X119" s="4" t="s">
        <v>54</v>
      </c>
      <c r="Y119" s="4" t="s">
        <v>978</v>
      </c>
      <c r="Z119" s="4" t="s">
        <v>979</v>
      </c>
      <c r="AA119" s="4" t="s">
        <v>68</v>
      </c>
      <c r="AB119" s="4"/>
      <c r="AC119" s="4" t="s">
        <v>980</v>
      </c>
      <c r="AD119" s="4" t="s">
        <v>934</v>
      </c>
      <c r="AE119" s="4" t="s">
        <v>977</v>
      </c>
      <c r="AF119" s="13" t="s">
        <v>977</v>
      </c>
      <c r="AG119" s="4"/>
      <c r="AH119" s="4" t="s">
        <v>330</v>
      </c>
      <c r="AI119" s="4">
        <v>16</v>
      </c>
      <c r="AJ119" s="4" t="s">
        <v>981</v>
      </c>
      <c r="AK119" s="4"/>
      <c r="AL119" s="4" t="str">
        <f>VLOOKUP(N119,[1]Sheet1!$N:$AL,25,0)</f>
        <v>42221609  Intravenous or arterial tubing administration sets</v>
      </c>
      <c r="AM119" s="4"/>
      <c r="AN119" s="4"/>
      <c r="AO119" s="4"/>
      <c r="AP119" s="1" t="s">
        <v>58</v>
      </c>
      <c r="AQ119" s="1" t="s">
        <v>59</v>
      </c>
    </row>
    <row r="120" customHeight="1" spans="1:43">
      <c r="A120" s="4" t="s">
        <v>43</v>
      </c>
      <c r="B120" s="4">
        <v>190</v>
      </c>
      <c r="C120" s="4" t="s">
        <v>44</v>
      </c>
      <c r="D120" s="4" t="s">
        <v>45</v>
      </c>
      <c r="E120" s="4"/>
      <c r="F120" s="4"/>
      <c r="G120" s="4"/>
      <c r="H120" s="4"/>
      <c r="I120" s="4"/>
      <c r="J120" s="4"/>
      <c r="K120" s="4"/>
      <c r="L120" s="4"/>
      <c r="M120" s="4"/>
      <c r="N120" s="4">
        <v>623</v>
      </c>
      <c r="O120" s="4" t="s">
        <v>982</v>
      </c>
      <c r="P120" s="4" t="s">
        <v>983</v>
      </c>
      <c r="Q120" s="4" t="s">
        <v>984</v>
      </c>
      <c r="R120" s="4" t="s">
        <v>985</v>
      </c>
      <c r="S120" s="4" t="s">
        <v>986</v>
      </c>
      <c r="T120" s="4" t="s">
        <v>987</v>
      </c>
      <c r="U120" s="4" t="s">
        <v>988</v>
      </c>
      <c r="V120" s="4"/>
      <c r="W120" s="4" t="s">
        <v>53</v>
      </c>
      <c r="X120" s="4" t="s">
        <v>54</v>
      </c>
      <c r="Y120" s="4" t="s">
        <v>989</v>
      </c>
      <c r="Z120" s="4" t="s">
        <v>990</v>
      </c>
      <c r="AA120" s="4" t="s">
        <v>68</v>
      </c>
      <c r="AB120" s="4"/>
      <c r="AC120" s="4" t="s">
        <v>991</v>
      </c>
      <c r="AD120" s="4" t="s">
        <v>992</v>
      </c>
      <c r="AE120" s="4" t="s">
        <v>988</v>
      </c>
      <c r="AF120" s="13" t="s">
        <v>988</v>
      </c>
      <c r="AG120" s="4"/>
      <c r="AH120" s="4" t="s">
        <v>567</v>
      </c>
      <c r="AI120" s="4">
        <v>39</v>
      </c>
      <c r="AJ120" s="4" t="s">
        <v>993</v>
      </c>
      <c r="AK120" s="4"/>
      <c r="AL120" s="4" t="str">
        <f>VLOOKUP(N120,[1]Sheet1!$N:$AL,25,0)</f>
        <v>42142111  Therapeutic ice packs or pillows</v>
      </c>
      <c r="AM120" s="4"/>
      <c r="AN120" s="4"/>
      <c r="AO120" s="4"/>
      <c r="AP120" s="1" t="s">
        <v>58</v>
      </c>
      <c r="AQ120" s="1" t="s">
        <v>59</v>
      </c>
    </row>
    <row r="121" customHeight="1" spans="1:43">
      <c r="A121" s="4" t="s">
        <v>43</v>
      </c>
      <c r="B121" s="4">
        <v>190</v>
      </c>
      <c r="C121" s="4" t="s">
        <v>44</v>
      </c>
      <c r="D121" s="4" t="s">
        <v>45</v>
      </c>
      <c r="E121" s="4"/>
      <c r="F121" s="4"/>
      <c r="G121" s="4"/>
      <c r="H121" s="4"/>
      <c r="I121" s="4"/>
      <c r="J121" s="4"/>
      <c r="K121" s="4"/>
      <c r="L121" s="4"/>
      <c r="M121" s="4"/>
      <c r="N121" s="4">
        <v>624</v>
      </c>
      <c r="O121" s="4" t="s">
        <v>994</v>
      </c>
      <c r="P121" s="4" t="s">
        <v>995</v>
      </c>
      <c r="Q121" s="4" t="s">
        <v>984</v>
      </c>
      <c r="R121" s="4" t="s">
        <v>985</v>
      </c>
      <c r="S121" s="4" t="s">
        <v>986</v>
      </c>
      <c r="T121" s="4" t="s">
        <v>987</v>
      </c>
      <c r="U121" s="4" t="s">
        <v>996</v>
      </c>
      <c r="V121" s="4"/>
      <c r="W121" s="4" t="s">
        <v>53</v>
      </c>
      <c r="X121" s="4" t="s">
        <v>54</v>
      </c>
      <c r="Y121" s="4" t="s">
        <v>997</v>
      </c>
      <c r="Z121" s="4" t="s">
        <v>998</v>
      </c>
      <c r="AA121" s="4" t="s">
        <v>68</v>
      </c>
      <c r="AB121" s="4"/>
      <c r="AC121" s="4" t="s">
        <v>999</v>
      </c>
      <c r="AD121" s="4" t="s">
        <v>992</v>
      </c>
      <c r="AE121" s="4" t="s">
        <v>996</v>
      </c>
      <c r="AF121" s="13" t="s">
        <v>996</v>
      </c>
      <c r="AG121" s="4"/>
      <c r="AH121" s="4" t="s">
        <v>567</v>
      </c>
      <c r="AI121" s="4">
        <v>39</v>
      </c>
      <c r="AJ121" s="4" t="s">
        <v>1000</v>
      </c>
      <c r="AK121" s="4"/>
      <c r="AL121" s="4" t="str">
        <f>VLOOKUP(N121,[1]Sheet1!$N:$AL,25,0)</f>
        <v>42142108  Therapeutic heating or cooling pads or compresses or packs</v>
      </c>
      <c r="AM121" s="4"/>
      <c r="AN121" s="4"/>
      <c r="AO121" s="4"/>
      <c r="AP121" s="1" t="s">
        <v>58</v>
      </c>
      <c r="AQ121" s="1" t="s">
        <v>59</v>
      </c>
    </row>
    <row r="122" customHeight="1" spans="1:43">
      <c r="A122" s="4" t="s">
        <v>43</v>
      </c>
      <c r="B122" s="4">
        <v>190</v>
      </c>
      <c r="C122" s="4" t="s">
        <v>44</v>
      </c>
      <c r="D122" s="4" t="s">
        <v>45</v>
      </c>
      <c r="E122" s="4"/>
      <c r="F122" s="4"/>
      <c r="G122" s="4"/>
      <c r="H122" s="4"/>
      <c r="I122" s="4"/>
      <c r="J122" s="4"/>
      <c r="K122" s="4"/>
      <c r="L122" s="4"/>
      <c r="M122" s="4"/>
      <c r="N122" s="4">
        <v>625</v>
      </c>
      <c r="O122" s="4" t="s">
        <v>1001</v>
      </c>
      <c r="P122" s="4" t="s">
        <v>995</v>
      </c>
      <c r="Q122" s="4" t="s">
        <v>984</v>
      </c>
      <c r="R122" s="4" t="s">
        <v>985</v>
      </c>
      <c r="S122" s="4" t="s">
        <v>986</v>
      </c>
      <c r="T122" s="4" t="s">
        <v>987</v>
      </c>
      <c r="U122" s="4" t="s">
        <v>1002</v>
      </c>
      <c r="V122" s="4"/>
      <c r="W122" s="4" t="s">
        <v>53</v>
      </c>
      <c r="X122" s="4" t="s">
        <v>54</v>
      </c>
      <c r="Y122" s="4" t="s">
        <v>997</v>
      </c>
      <c r="Z122" s="4" t="s">
        <v>998</v>
      </c>
      <c r="AA122" s="4" t="s">
        <v>68</v>
      </c>
      <c r="AB122" s="4"/>
      <c r="AC122" s="4" t="s">
        <v>999</v>
      </c>
      <c r="AD122" s="4" t="s">
        <v>992</v>
      </c>
      <c r="AE122" s="4" t="s">
        <v>1002</v>
      </c>
      <c r="AF122" s="13" t="s">
        <v>1002</v>
      </c>
      <c r="AG122" s="4"/>
      <c r="AH122" s="4" t="s">
        <v>567</v>
      </c>
      <c r="AI122" s="4">
        <v>39</v>
      </c>
      <c r="AJ122" s="4" t="s">
        <v>1003</v>
      </c>
      <c r="AK122" s="4"/>
      <c r="AL122" s="4" t="str">
        <f>VLOOKUP(N122,[1]Sheet1!$N:$AL,25,0)</f>
        <v>42142108  Therapeutic heating or cooling pads or compresses or packs</v>
      </c>
      <c r="AM122" s="4"/>
      <c r="AN122" s="4"/>
      <c r="AO122" s="4"/>
      <c r="AP122" s="1" t="s">
        <v>58</v>
      </c>
      <c r="AQ122" s="1" t="s">
        <v>59</v>
      </c>
    </row>
    <row r="123" customHeight="1" spans="1:43">
      <c r="A123" s="4" t="s">
        <v>43</v>
      </c>
      <c r="B123" s="4">
        <v>190</v>
      </c>
      <c r="C123" s="4" t="s">
        <v>44</v>
      </c>
      <c r="D123" s="4" t="s">
        <v>45</v>
      </c>
      <c r="E123" s="4"/>
      <c r="F123" s="4"/>
      <c r="G123" s="4"/>
      <c r="H123" s="4"/>
      <c r="I123" s="4"/>
      <c r="J123" s="4"/>
      <c r="K123" s="4"/>
      <c r="L123" s="4"/>
      <c r="M123" s="4"/>
      <c r="N123" s="4">
        <v>4637</v>
      </c>
      <c r="O123" s="4" t="s">
        <v>1004</v>
      </c>
      <c r="P123" s="4" t="s">
        <v>132</v>
      </c>
      <c r="Q123" s="4" t="s">
        <v>1005</v>
      </c>
      <c r="R123" s="4" t="s">
        <v>1006</v>
      </c>
      <c r="S123" s="4" t="s">
        <v>1007</v>
      </c>
      <c r="T123" s="4" t="s">
        <v>1008</v>
      </c>
      <c r="U123" s="4" t="s">
        <v>1009</v>
      </c>
      <c r="V123" s="4"/>
      <c r="W123" s="4" t="s">
        <v>53</v>
      </c>
      <c r="X123" s="4" t="s">
        <v>54</v>
      </c>
      <c r="Y123" s="4" t="s">
        <v>1010</v>
      </c>
      <c r="Z123" s="4" t="s">
        <v>1011</v>
      </c>
      <c r="AA123" s="4" t="s">
        <v>68</v>
      </c>
      <c r="AB123" s="4"/>
      <c r="AC123" s="4" t="s">
        <v>1012</v>
      </c>
      <c r="AD123" s="4" t="s">
        <v>1007</v>
      </c>
      <c r="AE123" s="4" t="s">
        <v>1009</v>
      </c>
      <c r="AF123" s="13" t="s">
        <v>1009</v>
      </c>
      <c r="AG123" s="4"/>
      <c r="AH123" s="4" t="s">
        <v>1013</v>
      </c>
      <c r="AI123" s="4">
        <v>2</v>
      </c>
      <c r="AJ123" s="4" t="s">
        <v>1014</v>
      </c>
      <c r="AK123" s="4"/>
      <c r="AL123" s="4" t="str">
        <f>VLOOKUP(N123,[1]Sheet1!$N:$AL,25,0)</f>
        <v>42192002  Medical exam or procedure table accessories for general use excluding cover sheets</v>
      </c>
      <c r="AM123" s="4"/>
      <c r="AN123" s="4"/>
      <c r="AO123" s="4"/>
      <c r="AP123" s="1" t="s">
        <v>58</v>
      </c>
      <c r="AQ123" s="1" t="s">
        <v>59</v>
      </c>
    </row>
    <row r="124" customHeight="1" spans="1:43">
      <c r="A124" s="4" t="s">
        <v>43</v>
      </c>
      <c r="B124" s="4">
        <v>190</v>
      </c>
      <c r="C124" s="4" t="s">
        <v>44</v>
      </c>
      <c r="D124" s="4" t="s">
        <v>45</v>
      </c>
      <c r="E124" s="4"/>
      <c r="F124" s="4"/>
      <c r="G124" s="4"/>
      <c r="H124" s="4"/>
      <c r="I124" s="4"/>
      <c r="J124" s="4"/>
      <c r="K124" s="4"/>
      <c r="L124" s="4"/>
      <c r="M124" s="4"/>
      <c r="N124" s="4">
        <v>4638</v>
      </c>
      <c r="O124" s="4" t="s">
        <v>1015</v>
      </c>
      <c r="P124" s="4" t="s">
        <v>132</v>
      </c>
      <c r="Q124" s="4" t="s">
        <v>1005</v>
      </c>
      <c r="R124" s="4" t="s">
        <v>1006</v>
      </c>
      <c r="S124" s="4" t="s">
        <v>1007</v>
      </c>
      <c r="T124" s="4" t="s">
        <v>1008</v>
      </c>
      <c r="U124" s="4" t="s">
        <v>1016</v>
      </c>
      <c r="V124" s="4"/>
      <c r="W124" s="4" t="s">
        <v>53</v>
      </c>
      <c r="X124" s="4" t="s">
        <v>54</v>
      </c>
      <c r="Y124" s="4" t="s">
        <v>1010</v>
      </c>
      <c r="Z124" s="4" t="s">
        <v>1011</v>
      </c>
      <c r="AA124" s="4" t="s">
        <v>68</v>
      </c>
      <c r="AB124" s="4"/>
      <c r="AC124" s="4" t="s">
        <v>1012</v>
      </c>
      <c r="AD124" s="4" t="s">
        <v>1007</v>
      </c>
      <c r="AE124" s="4" t="s">
        <v>1016</v>
      </c>
      <c r="AF124" s="13" t="s">
        <v>1016</v>
      </c>
      <c r="AG124" s="4"/>
      <c r="AH124" s="4" t="s">
        <v>1017</v>
      </c>
      <c r="AI124" s="4">
        <v>1</v>
      </c>
      <c r="AJ124" s="4" t="s">
        <v>1018</v>
      </c>
      <c r="AK124" s="4"/>
      <c r="AL124" s="4" t="str">
        <f>VLOOKUP(N124,[1]Sheet1!$N:$AL,25,0)</f>
        <v>42192002  Medical exam or procedure table accessories for general use excluding cover sheets</v>
      </c>
      <c r="AM124" s="4"/>
      <c r="AN124" s="4"/>
      <c r="AO124" s="4"/>
      <c r="AP124" s="1" t="s">
        <v>58</v>
      </c>
      <c r="AQ124" s="1" t="s">
        <v>59</v>
      </c>
    </row>
    <row r="125" customHeight="1" spans="1:43">
      <c r="A125" s="4" t="s">
        <v>43</v>
      </c>
      <c r="B125" s="4">
        <v>190</v>
      </c>
      <c r="C125" s="4" t="s">
        <v>44</v>
      </c>
      <c r="D125" s="4" t="s">
        <v>45</v>
      </c>
      <c r="E125" s="4"/>
      <c r="F125" s="4"/>
      <c r="G125" s="4"/>
      <c r="H125" s="4"/>
      <c r="I125" s="4"/>
      <c r="J125" s="4"/>
      <c r="K125" s="4"/>
      <c r="L125" s="4"/>
      <c r="M125" s="4"/>
      <c r="N125" s="4">
        <v>4640</v>
      </c>
      <c r="O125" s="4" t="s">
        <v>1019</v>
      </c>
      <c r="P125" s="4" t="s">
        <v>132</v>
      </c>
      <c r="Q125" s="4" t="s">
        <v>1005</v>
      </c>
      <c r="R125" s="4" t="s">
        <v>1006</v>
      </c>
      <c r="S125" s="4" t="s">
        <v>1007</v>
      </c>
      <c r="T125" s="4" t="s">
        <v>1008</v>
      </c>
      <c r="U125" s="4" t="s">
        <v>1020</v>
      </c>
      <c r="V125" s="4"/>
      <c r="W125" s="4" t="s">
        <v>53</v>
      </c>
      <c r="X125" s="4" t="s">
        <v>54</v>
      </c>
      <c r="Y125" s="4" t="s">
        <v>1021</v>
      </c>
      <c r="Z125" s="4" t="s">
        <v>1022</v>
      </c>
      <c r="AA125" s="4" t="s">
        <v>68</v>
      </c>
      <c r="AB125" s="4"/>
      <c r="AC125" s="4" t="s">
        <v>1023</v>
      </c>
      <c r="AD125" s="4" t="s">
        <v>1007</v>
      </c>
      <c r="AE125" s="4" t="s">
        <v>1020</v>
      </c>
      <c r="AF125" s="13" t="s">
        <v>1024</v>
      </c>
      <c r="AG125" s="4"/>
      <c r="AH125" s="4" t="s">
        <v>614</v>
      </c>
      <c r="AI125" s="4">
        <v>12</v>
      </c>
      <c r="AJ125" s="4" t="s">
        <v>1025</v>
      </c>
      <c r="AK125" s="4"/>
      <c r="AL125" s="4" t="str">
        <f>VLOOKUP(N125,[1]Sheet1!$N:$AL,25,0)</f>
        <v>42192111  Medical stool or chair accessories</v>
      </c>
      <c r="AM125" s="4"/>
      <c r="AN125" s="4"/>
      <c r="AO125" s="4"/>
      <c r="AP125" s="1" t="s">
        <v>58</v>
      </c>
      <c r="AQ125" s="1" t="s">
        <v>59</v>
      </c>
    </row>
    <row r="126" customHeight="1" spans="1:43">
      <c r="A126" s="4" t="s">
        <v>43</v>
      </c>
      <c r="B126" s="4">
        <v>190</v>
      </c>
      <c r="C126" s="4" t="s">
        <v>44</v>
      </c>
      <c r="D126" s="4" t="s">
        <v>45</v>
      </c>
      <c r="E126" s="4"/>
      <c r="F126" s="4"/>
      <c r="G126" s="4"/>
      <c r="H126" s="4"/>
      <c r="I126" s="4"/>
      <c r="J126" s="4"/>
      <c r="K126" s="4"/>
      <c r="L126" s="4"/>
      <c r="M126" s="4"/>
      <c r="N126" s="4">
        <v>4649</v>
      </c>
      <c r="O126" s="4" t="s">
        <v>1026</v>
      </c>
      <c r="P126" s="4" t="s">
        <v>132</v>
      </c>
      <c r="Q126" s="4" t="s">
        <v>1005</v>
      </c>
      <c r="R126" s="4" t="s">
        <v>1006</v>
      </c>
      <c r="S126" s="4" t="s">
        <v>1007</v>
      </c>
      <c r="T126" s="4" t="s">
        <v>1008</v>
      </c>
      <c r="U126" s="4" t="s">
        <v>1027</v>
      </c>
      <c r="V126" s="4"/>
      <c r="W126" s="4" t="s">
        <v>53</v>
      </c>
      <c r="X126" s="4" t="s">
        <v>54</v>
      </c>
      <c r="Y126" s="4" t="s">
        <v>1028</v>
      </c>
      <c r="Z126" s="4" t="s">
        <v>1029</v>
      </c>
      <c r="AA126" s="4" t="s">
        <v>68</v>
      </c>
      <c r="AB126" s="4"/>
      <c r="AC126" s="4" t="s">
        <v>1030</v>
      </c>
      <c r="AD126" s="4" t="s">
        <v>1007</v>
      </c>
      <c r="AE126" s="4" t="s">
        <v>1027</v>
      </c>
      <c r="AF126" s="13" t="s">
        <v>1027</v>
      </c>
      <c r="AG126" s="4"/>
      <c r="AH126" s="4" t="s">
        <v>1007</v>
      </c>
      <c r="AI126" s="4">
        <v>7</v>
      </c>
      <c r="AJ126" s="4" t="s">
        <v>1031</v>
      </c>
      <c r="AK126" s="4"/>
      <c r="AL126" s="4" t="str">
        <f>VLOOKUP(N126,[1]Sheet1!$N:$AL,25,0)</f>
        <v>42192001  Medical exam or procedure tables for general use</v>
      </c>
      <c r="AM126" s="4"/>
      <c r="AN126" s="4"/>
      <c r="AO126" s="4"/>
      <c r="AP126" s="1" t="s">
        <v>58</v>
      </c>
      <c r="AQ126" s="1" t="s">
        <v>59</v>
      </c>
    </row>
    <row r="127" customHeight="1" spans="1:43">
      <c r="A127" s="4" t="s">
        <v>43</v>
      </c>
      <c r="B127" s="4">
        <v>190</v>
      </c>
      <c r="C127" s="4" t="s">
        <v>44</v>
      </c>
      <c r="D127" s="4" t="s">
        <v>45</v>
      </c>
      <c r="E127" s="4"/>
      <c r="F127" s="4"/>
      <c r="G127" s="4"/>
      <c r="H127" s="4"/>
      <c r="I127" s="4"/>
      <c r="J127" s="4"/>
      <c r="K127" s="4"/>
      <c r="L127" s="4"/>
      <c r="M127" s="4"/>
      <c r="N127" s="4">
        <v>4650</v>
      </c>
      <c r="O127" s="4" t="s">
        <v>1032</v>
      </c>
      <c r="P127" s="4" t="s">
        <v>132</v>
      </c>
      <c r="Q127" s="4" t="s">
        <v>1005</v>
      </c>
      <c r="R127" s="4" t="s">
        <v>1006</v>
      </c>
      <c r="S127" s="4" t="s">
        <v>1007</v>
      </c>
      <c r="T127" s="4" t="s">
        <v>1008</v>
      </c>
      <c r="U127" s="4" t="s">
        <v>1033</v>
      </c>
      <c r="V127" s="4"/>
      <c r="W127" s="4" t="s">
        <v>53</v>
      </c>
      <c r="X127" s="4" t="s">
        <v>54</v>
      </c>
      <c r="Y127" s="4" t="s">
        <v>1028</v>
      </c>
      <c r="Z127" s="4" t="s">
        <v>1029</v>
      </c>
      <c r="AA127" s="4" t="s">
        <v>68</v>
      </c>
      <c r="AB127" s="4"/>
      <c r="AC127" s="4" t="s">
        <v>1030</v>
      </c>
      <c r="AD127" s="4" t="s">
        <v>1007</v>
      </c>
      <c r="AE127" s="4" t="s">
        <v>1033</v>
      </c>
      <c r="AF127" s="13" t="s">
        <v>1033</v>
      </c>
      <c r="AG127" s="4"/>
      <c r="AH127" s="4" t="s">
        <v>1007</v>
      </c>
      <c r="AI127" s="4">
        <v>7</v>
      </c>
      <c r="AJ127" s="4" t="s">
        <v>1034</v>
      </c>
      <c r="AK127" s="4"/>
      <c r="AL127" s="4" t="str">
        <f>VLOOKUP(N127,[1]Sheet1!$N:$AL,25,0)</f>
        <v>42192001  Medical exam or procedure tables for general use</v>
      </c>
      <c r="AM127" s="4"/>
      <c r="AN127" s="4"/>
      <c r="AO127" s="4"/>
      <c r="AP127" s="1" t="s">
        <v>58</v>
      </c>
      <c r="AQ127" s="1" t="s">
        <v>59</v>
      </c>
    </row>
    <row r="128" customHeight="1" spans="1:43">
      <c r="A128" s="4" t="s">
        <v>43</v>
      </c>
      <c r="B128" s="4">
        <v>190</v>
      </c>
      <c r="C128" s="4" t="s">
        <v>44</v>
      </c>
      <c r="D128" s="4" t="s">
        <v>45</v>
      </c>
      <c r="E128" s="4"/>
      <c r="F128" s="4"/>
      <c r="G128" s="4"/>
      <c r="H128" s="4"/>
      <c r="I128" s="4"/>
      <c r="J128" s="4"/>
      <c r="K128" s="4"/>
      <c r="L128" s="4"/>
      <c r="M128" s="4"/>
      <c r="N128" s="4">
        <v>4651</v>
      </c>
      <c r="O128" s="4" t="s">
        <v>1035</v>
      </c>
      <c r="P128" s="4" t="s">
        <v>132</v>
      </c>
      <c r="Q128" s="4" t="s">
        <v>1005</v>
      </c>
      <c r="R128" s="4" t="s">
        <v>1006</v>
      </c>
      <c r="S128" s="4" t="s">
        <v>1007</v>
      </c>
      <c r="T128" s="4" t="s">
        <v>1008</v>
      </c>
      <c r="U128" s="4" t="s">
        <v>1036</v>
      </c>
      <c r="V128" s="4"/>
      <c r="W128" s="4" t="s">
        <v>53</v>
      </c>
      <c r="X128" s="4" t="s">
        <v>54</v>
      </c>
      <c r="Y128" s="4" t="s">
        <v>1028</v>
      </c>
      <c r="Z128" s="4" t="s">
        <v>1029</v>
      </c>
      <c r="AA128" s="4" t="s">
        <v>68</v>
      </c>
      <c r="AB128" s="4"/>
      <c r="AC128" s="4" t="s">
        <v>1030</v>
      </c>
      <c r="AD128" s="4" t="s">
        <v>1007</v>
      </c>
      <c r="AE128" s="4" t="s">
        <v>1036</v>
      </c>
      <c r="AF128" s="13" t="s">
        <v>1036</v>
      </c>
      <c r="AG128" s="4"/>
      <c r="AH128" s="4" t="s">
        <v>1007</v>
      </c>
      <c r="AI128" s="4">
        <v>7</v>
      </c>
      <c r="AJ128" s="4" t="s">
        <v>1037</v>
      </c>
      <c r="AK128" s="4"/>
      <c r="AL128" s="4" t="str">
        <f>VLOOKUP(N128,[1]Sheet1!$N:$AL,25,0)</f>
        <v>42192001  Medical exam or procedure tables for general use</v>
      </c>
      <c r="AM128" s="4"/>
      <c r="AN128" s="4"/>
      <c r="AO128" s="4"/>
      <c r="AP128" s="1" t="s">
        <v>58</v>
      </c>
      <c r="AQ128" s="1" t="s">
        <v>59</v>
      </c>
    </row>
    <row r="129" customHeight="1" spans="1:43">
      <c r="A129" s="4" t="s">
        <v>43</v>
      </c>
      <c r="B129" s="4">
        <v>190</v>
      </c>
      <c r="C129" s="4" t="s">
        <v>44</v>
      </c>
      <c r="D129" s="4" t="s">
        <v>45</v>
      </c>
      <c r="E129" s="4"/>
      <c r="F129" s="4"/>
      <c r="G129" s="4"/>
      <c r="H129" s="4"/>
      <c r="I129" s="4"/>
      <c r="J129" s="4"/>
      <c r="K129" s="4"/>
      <c r="L129" s="4"/>
      <c r="M129" s="4"/>
      <c r="N129" s="4">
        <v>4652</v>
      </c>
      <c r="O129" s="4" t="s">
        <v>1038</v>
      </c>
      <c r="P129" s="4" t="s">
        <v>132</v>
      </c>
      <c r="Q129" s="4" t="s">
        <v>1005</v>
      </c>
      <c r="R129" s="4" t="s">
        <v>1006</v>
      </c>
      <c r="S129" s="4" t="s">
        <v>1007</v>
      </c>
      <c r="T129" s="4" t="s">
        <v>1008</v>
      </c>
      <c r="U129" s="4" t="s">
        <v>1039</v>
      </c>
      <c r="V129" s="4"/>
      <c r="W129" s="4" t="s">
        <v>53</v>
      </c>
      <c r="X129" s="4" t="s">
        <v>54</v>
      </c>
      <c r="Y129" s="4" t="s">
        <v>1028</v>
      </c>
      <c r="Z129" s="4" t="s">
        <v>1029</v>
      </c>
      <c r="AA129" s="4" t="s">
        <v>68</v>
      </c>
      <c r="AB129" s="4"/>
      <c r="AC129" s="4" t="s">
        <v>1030</v>
      </c>
      <c r="AD129" s="4" t="s">
        <v>1007</v>
      </c>
      <c r="AE129" s="4" t="s">
        <v>1039</v>
      </c>
      <c r="AF129" s="13" t="s">
        <v>1039</v>
      </c>
      <c r="AG129" s="4"/>
      <c r="AH129" s="4" t="s">
        <v>1007</v>
      </c>
      <c r="AI129" s="4">
        <v>7</v>
      </c>
      <c r="AJ129" s="4" t="s">
        <v>1040</v>
      </c>
      <c r="AK129" s="4"/>
      <c r="AL129" s="4" t="str">
        <f>VLOOKUP(N129,[1]Sheet1!$N:$AL,25,0)</f>
        <v>42192001  Medical exam or procedure tables for general use</v>
      </c>
      <c r="AM129" s="4"/>
      <c r="AN129" s="4"/>
      <c r="AO129" s="4"/>
      <c r="AP129" s="1" t="s">
        <v>58</v>
      </c>
      <c r="AQ129" s="1" t="s">
        <v>59</v>
      </c>
    </row>
    <row r="130" customHeight="1" spans="1:43">
      <c r="A130" s="4" t="s">
        <v>43</v>
      </c>
      <c r="B130" s="4">
        <v>190</v>
      </c>
      <c r="C130" s="4" t="s">
        <v>44</v>
      </c>
      <c r="D130" s="4" t="s">
        <v>45</v>
      </c>
      <c r="E130" s="4"/>
      <c r="F130" s="4"/>
      <c r="G130" s="4"/>
      <c r="H130" s="4"/>
      <c r="I130" s="4"/>
      <c r="J130" s="4"/>
      <c r="K130" s="4"/>
      <c r="L130" s="4"/>
      <c r="M130" s="4"/>
      <c r="N130" s="4">
        <v>4653</v>
      </c>
      <c r="O130" s="4" t="s">
        <v>1041</v>
      </c>
      <c r="P130" s="4" t="s">
        <v>132</v>
      </c>
      <c r="Q130" s="4" t="s">
        <v>1005</v>
      </c>
      <c r="R130" s="4" t="s">
        <v>1006</v>
      </c>
      <c r="S130" s="4" t="s">
        <v>1007</v>
      </c>
      <c r="T130" s="4" t="s">
        <v>1008</v>
      </c>
      <c r="U130" s="4" t="s">
        <v>1042</v>
      </c>
      <c r="V130" s="4"/>
      <c r="W130" s="4" t="s">
        <v>53</v>
      </c>
      <c r="X130" s="4" t="s">
        <v>54</v>
      </c>
      <c r="Y130" s="4" t="s">
        <v>1028</v>
      </c>
      <c r="Z130" s="4" t="s">
        <v>1029</v>
      </c>
      <c r="AA130" s="4" t="s">
        <v>68</v>
      </c>
      <c r="AB130" s="4"/>
      <c r="AC130" s="4" t="s">
        <v>1030</v>
      </c>
      <c r="AD130" s="4" t="s">
        <v>1007</v>
      </c>
      <c r="AE130" s="4" t="s">
        <v>1042</v>
      </c>
      <c r="AF130" s="13" t="s">
        <v>1042</v>
      </c>
      <c r="AG130" s="4"/>
      <c r="AH130" s="4" t="s">
        <v>1007</v>
      </c>
      <c r="AI130" s="4">
        <v>7</v>
      </c>
      <c r="AJ130" s="4" t="s">
        <v>1043</v>
      </c>
      <c r="AK130" s="4"/>
      <c r="AL130" s="4" t="str">
        <f>VLOOKUP(N130,[1]Sheet1!$N:$AL,25,0)</f>
        <v>42192001  Medical exam or procedure tables for general use</v>
      </c>
      <c r="AM130" s="4"/>
      <c r="AN130" s="4"/>
      <c r="AO130" s="4"/>
      <c r="AP130" s="1" t="s">
        <v>58</v>
      </c>
      <c r="AQ130" s="1" t="s">
        <v>59</v>
      </c>
    </row>
    <row r="131" customHeight="1" spans="1:43">
      <c r="A131" s="4" t="s">
        <v>43</v>
      </c>
      <c r="B131" s="4">
        <v>190</v>
      </c>
      <c r="C131" s="4" t="s">
        <v>44</v>
      </c>
      <c r="D131" s="4" t="s">
        <v>45</v>
      </c>
      <c r="E131" s="4"/>
      <c r="F131" s="4"/>
      <c r="G131" s="4"/>
      <c r="H131" s="4"/>
      <c r="I131" s="4"/>
      <c r="J131" s="4"/>
      <c r="K131" s="4"/>
      <c r="L131" s="4"/>
      <c r="M131" s="4"/>
      <c r="N131" s="4">
        <v>4654</v>
      </c>
      <c r="O131" s="4" t="s">
        <v>1044</v>
      </c>
      <c r="P131" s="4" t="s">
        <v>132</v>
      </c>
      <c r="Q131" s="4" t="s">
        <v>1005</v>
      </c>
      <c r="R131" s="4" t="s">
        <v>1006</v>
      </c>
      <c r="S131" s="4" t="s">
        <v>1007</v>
      </c>
      <c r="T131" s="4" t="s">
        <v>1008</v>
      </c>
      <c r="U131" s="4" t="s">
        <v>1045</v>
      </c>
      <c r="V131" s="4"/>
      <c r="W131" s="4" t="s">
        <v>53</v>
      </c>
      <c r="X131" s="4" t="s">
        <v>54</v>
      </c>
      <c r="Y131" s="4" t="s">
        <v>1028</v>
      </c>
      <c r="Z131" s="4" t="s">
        <v>1029</v>
      </c>
      <c r="AA131" s="4" t="s">
        <v>68</v>
      </c>
      <c r="AB131" s="4"/>
      <c r="AC131" s="4" t="s">
        <v>1030</v>
      </c>
      <c r="AD131" s="4" t="s">
        <v>1007</v>
      </c>
      <c r="AE131" s="4" t="s">
        <v>1045</v>
      </c>
      <c r="AF131" s="13" t="s">
        <v>1045</v>
      </c>
      <c r="AG131" s="4"/>
      <c r="AH131" s="4" t="s">
        <v>1007</v>
      </c>
      <c r="AI131" s="4">
        <v>7</v>
      </c>
      <c r="AJ131" s="4" t="s">
        <v>1046</v>
      </c>
      <c r="AK131" s="4"/>
      <c r="AL131" s="4" t="str">
        <f>VLOOKUP(N131,[1]Sheet1!$N:$AL,25,0)</f>
        <v>42192001  Medical exam or procedure tables for general use</v>
      </c>
      <c r="AM131" s="4"/>
      <c r="AN131" s="4"/>
      <c r="AO131" s="4"/>
      <c r="AP131" s="1" t="s">
        <v>58</v>
      </c>
      <c r="AQ131" s="1" t="s">
        <v>59</v>
      </c>
    </row>
    <row r="132" customHeight="1" spans="1:43">
      <c r="A132" s="4" t="s">
        <v>43</v>
      </c>
      <c r="B132" s="4">
        <v>190</v>
      </c>
      <c r="C132" s="4" t="s">
        <v>44</v>
      </c>
      <c r="D132" s="4" t="s">
        <v>45</v>
      </c>
      <c r="E132" s="4"/>
      <c r="F132" s="4"/>
      <c r="G132" s="4"/>
      <c r="H132" s="4"/>
      <c r="I132" s="4"/>
      <c r="J132" s="4"/>
      <c r="K132" s="4"/>
      <c r="L132" s="4"/>
      <c r="M132" s="4"/>
      <c r="N132" s="4">
        <v>4655</v>
      </c>
      <c r="O132" s="4" t="s">
        <v>1047</v>
      </c>
      <c r="P132" s="4" t="s">
        <v>132</v>
      </c>
      <c r="Q132" s="4" t="s">
        <v>1005</v>
      </c>
      <c r="R132" s="4" t="s">
        <v>1006</v>
      </c>
      <c r="S132" s="4" t="s">
        <v>1007</v>
      </c>
      <c r="T132" s="4" t="s">
        <v>1008</v>
      </c>
      <c r="U132" s="4" t="s">
        <v>1045</v>
      </c>
      <c r="V132" s="4"/>
      <c r="W132" s="4" t="s">
        <v>53</v>
      </c>
      <c r="X132" s="4" t="s">
        <v>54</v>
      </c>
      <c r="Y132" s="4" t="s">
        <v>1010</v>
      </c>
      <c r="Z132" s="4" t="s">
        <v>1011</v>
      </c>
      <c r="AA132" s="4" t="s">
        <v>68</v>
      </c>
      <c r="AB132" s="4"/>
      <c r="AC132" s="4" t="s">
        <v>1012</v>
      </c>
      <c r="AD132" s="4" t="s">
        <v>1007</v>
      </c>
      <c r="AE132" s="4" t="s">
        <v>1045</v>
      </c>
      <c r="AF132" s="13" t="s">
        <v>1045</v>
      </c>
      <c r="AG132" s="4"/>
      <c r="AH132" s="4" t="s">
        <v>1048</v>
      </c>
      <c r="AI132" s="4">
        <v>1</v>
      </c>
      <c r="AJ132" s="4" t="s">
        <v>1049</v>
      </c>
      <c r="AK132" s="4"/>
      <c r="AL132" s="4" t="str">
        <f>VLOOKUP(N132,[1]Sheet1!$N:$AL,25,0)</f>
        <v>42192002  Medical exam or procedure table accessories for general use excluding cover sheets</v>
      </c>
      <c r="AM132" s="4"/>
      <c r="AN132" s="4"/>
      <c r="AO132" s="4"/>
      <c r="AP132" s="1" t="s">
        <v>58</v>
      </c>
      <c r="AQ132" s="1" t="s">
        <v>59</v>
      </c>
    </row>
    <row r="133" customHeight="1" spans="1:43">
      <c r="A133" s="4" t="s">
        <v>43</v>
      </c>
      <c r="B133" s="4">
        <v>190</v>
      </c>
      <c r="C133" s="4" t="s">
        <v>44</v>
      </c>
      <c r="D133" s="4" t="s">
        <v>45</v>
      </c>
      <c r="E133" s="4"/>
      <c r="F133" s="4"/>
      <c r="G133" s="4"/>
      <c r="H133" s="4"/>
      <c r="I133" s="4"/>
      <c r="J133" s="4"/>
      <c r="K133" s="4"/>
      <c r="L133" s="4"/>
      <c r="M133" s="4"/>
      <c r="N133" s="4">
        <v>4656</v>
      </c>
      <c r="O133" s="4" t="s">
        <v>1050</v>
      </c>
      <c r="P133" s="4" t="s">
        <v>132</v>
      </c>
      <c r="Q133" s="4" t="s">
        <v>1005</v>
      </c>
      <c r="R133" s="4" t="s">
        <v>1006</v>
      </c>
      <c r="S133" s="4" t="s">
        <v>1007</v>
      </c>
      <c r="T133" s="4" t="s">
        <v>1008</v>
      </c>
      <c r="U133" s="4" t="s">
        <v>1051</v>
      </c>
      <c r="V133" s="4"/>
      <c r="W133" s="4" t="s">
        <v>53</v>
      </c>
      <c r="X133" s="4" t="s">
        <v>54</v>
      </c>
      <c r="Y133" s="4" t="s">
        <v>1028</v>
      </c>
      <c r="Z133" s="4" t="s">
        <v>1029</v>
      </c>
      <c r="AA133" s="4" t="s">
        <v>68</v>
      </c>
      <c r="AB133" s="4"/>
      <c r="AC133" s="4" t="s">
        <v>1030</v>
      </c>
      <c r="AD133" s="4" t="s">
        <v>1007</v>
      </c>
      <c r="AE133" s="4" t="s">
        <v>1051</v>
      </c>
      <c r="AF133" s="13" t="s">
        <v>1051</v>
      </c>
      <c r="AG133" s="4"/>
      <c r="AH133" s="4" t="s">
        <v>1007</v>
      </c>
      <c r="AI133" s="4">
        <v>7</v>
      </c>
      <c r="AJ133" s="4" t="s">
        <v>1052</v>
      </c>
      <c r="AK133" s="4"/>
      <c r="AL133" s="4" t="str">
        <f>VLOOKUP(N133,[1]Sheet1!$N:$AL,25,0)</f>
        <v>42192001  Medical exam or procedure tables for general use</v>
      </c>
      <c r="AM133" s="4"/>
      <c r="AN133" s="4"/>
      <c r="AO133" s="4"/>
      <c r="AP133" s="1" t="s">
        <v>58</v>
      </c>
      <c r="AQ133" s="1" t="s">
        <v>59</v>
      </c>
    </row>
    <row r="134" customHeight="1" spans="1:43">
      <c r="A134" s="4" t="s">
        <v>43</v>
      </c>
      <c r="B134" s="4">
        <v>190</v>
      </c>
      <c r="C134" s="4" t="s">
        <v>44</v>
      </c>
      <c r="D134" s="4" t="s">
        <v>45</v>
      </c>
      <c r="E134" s="4"/>
      <c r="F134" s="4"/>
      <c r="G134" s="4"/>
      <c r="H134" s="4"/>
      <c r="I134" s="4"/>
      <c r="J134" s="4"/>
      <c r="K134" s="4"/>
      <c r="L134" s="4"/>
      <c r="M134" s="4"/>
      <c r="N134" s="4">
        <v>706</v>
      </c>
      <c r="O134" s="4" t="s">
        <v>1053</v>
      </c>
      <c r="P134" s="4" t="s">
        <v>1054</v>
      </c>
      <c r="Q134" s="4" t="s">
        <v>1055</v>
      </c>
      <c r="R134" s="4" t="s">
        <v>1056</v>
      </c>
      <c r="S134" s="4" t="s">
        <v>1057</v>
      </c>
      <c r="T134" s="4" t="s">
        <v>1058</v>
      </c>
      <c r="U134" s="4" t="s">
        <v>1059</v>
      </c>
      <c r="V134" s="4"/>
      <c r="W134" s="4" t="s">
        <v>53</v>
      </c>
      <c r="X134" s="4" t="s">
        <v>54</v>
      </c>
      <c r="Y134" s="4" t="s">
        <v>1060</v>
      </c>
      <c r="Z134" s="4" t="s">
        <v>1061</v>
      </c>
      <c r="AA134" s="4" t="s">
        <v>68</v>
      </c>
      <c r="AB134" s="4"/>
      <c r="AC134" s="4" t="s">
        <v>1062</v>
      </c>
      <c r="AD134" s="4" t="s">
        <v>1063</v>
      </c>
      <c r="AE134" s="4" t="s">
        <v>1059</v>
      </c>
      <c r="AF134" s="13" t="s">
        <v>1059</v>
      </c>
      <c r="AG134" s="4"/>
      <c r="AH134" s="4" t="s">
        <v>355</v>
      </c>
      <c r="AI134" s="4">
        <v>9</v>
      </c>
      <c r="AJ134" s="4" t="s">
        <v>1064</v>
      </c>
      <c r="AK134" s="4"/>
      <c r="AL134" s="4" t="str">
        <f>VLOOKUP(N134,[1]Sheet1!$N:$AL,25,0)</f>
        <v>39101616  Ultraviolet UV lamps</v>
      </c>
      <c r="AM134" s="4"/>
      <c r="AN134" s="4"/>
      <c r="AO134" s="4"/>
      <c r="AP134" s="1" t="s">
        <v>58</v>
      </c>
      <c r="AQ134" s="1" t="s">
        <v>59</v>
      </c>
    </row>
    <row r="135" customHeight="1" spans="1:43">
      <c r="A135" s="4" t="s">
        <v>43</v>
      </c>
      <c r="B135" s="4">
        <v>190</v>
      </c>
      <c r="C135" s="4" t="s">
        <v>44</v>
      </c>
      <c r="D135" s="4" t="s">
        <v>45</v>
      </c>
      <c r="E135" s="4"/>
      <c r="F135" s="4"/>
      <c r="G135" s="4"/>
      <c r="H135" s="4"/>
      <c r="I135" s="4"/>
      <c r="J135" s="4"/>
      <c r="K135" s="4"/>
      <c r="L135" s="4"/>
      <c r="M135" s="4"/>
      <c r="N135" s="4">
        <v>712</v>
      </c>
      <c r="O135" s="4" t="s">
        <v>1065</v>
      </c>
      <c r="P135" s="4" t="s">
        <v>132</v>
      </c>
      <c r="Q135" s="4" t="s">
        <v>1066</v>
      </c>
      <c r="R135" s="4" t="s">
        <v>1067</v>
      </c>
      <c r="S135" s="4" t="s">
        <v>1068</v>
      </c>
      <c r="T135" s="4" t="s">
        <v>1069</v>
      </c>
      <c r="U135" s="4" t="s">
        <v>1070</v>
      </c>
      <c r="V135" s="4"/>
      <c r="W135" s="4" t="s">
        <v>53</v>
      </c>
      <c r="X135" s="4" t="s">
        <v>54</v>
      </c>
      <c r="Y135" s="4" t="s">
        <v>1071</v>
      </c>
      <c r="Z135" s="4" t="s">
        <v>1072</v>
      </c>
      <c r="AA135" s="4" t="s">
        <v>68</v>
      </c>
      <c r="AB135" s="4"/>
      <c r="AC135" s="4" t="s">
        <v>1073</v>
      </c>
      <c r="AD135" s="4" t="s">
        <v>1074</v>
      </c>
      <c r="AE135" s="4" t="s">
        <v>1070</v>
      </c>
      <c r="AF135" s="13" t="s">
        <v>1070</v>
      </c>
      <c r="AG135" s="4"/>
      <c r="AH135" s="4" t="s">
        <v>146</v>
      </c>
      <c r="AI135" s="4">
        <v>11</v>
      </c>
      <c r="AJ135" s="4" t="s">
        <v>1075</v>
      </c>
      <c r="AK135" s="4"/>
      <c r="AL135" s="4" t="str">
        <f>VLOOKUP(N135,[1]Sheet1!$N:$AL,25,0)</f>
        <v>42182606  Medical exam or surgical headlights or headlamp accessories</v>
      </c>
      <c r="AM135" s="4"/>
      <c r="AN135" s="4"/>
      <c r="AO135" s="4"/>
      <c r="AP135" s="1" t="s">
        <v>58</v>
      </c>
      <c r="AQ135" s="1" t="s">
        <v>59</v>
      </c>
    </row>
    <row r="136" customHeight="1" spans="1:43">
      <c r="A136" s="4" t="s">
        <v>43</v>
      </c>
      <c r="B136" s="4">
        <v>190</v>
      </c>
      <c r="C136" s="4" t="s">
        <v>44</v>
      </c>
      <c r="D136" s="4" t="s">
        <v>45</v>
      </c>
      <c r="E136" s="4"/>
      <c r="F136" s="4"/>
      <c r="G136" s="4"/>
      <c r="H136" s="4"/>
      <c r="I136" s="4"/>
      <c r="J136" s="4"/>
      <c r="K136" s="4"/>
      <c r="L136" s="4"/>
      <c r="M136" s="4"/>
      <c r="N136" s="4">
        <v>713</v>
      </c>
      <c r="O136" s="4" t="s">
        <v>1076</v>
      </c>
      <c r="P136" s="4" t="s">
        <v>115</v>
      </c>
      <c r="Q136" s="4" t="s">
        <v>1066</v>
      </c>
      <c r="R136" s="4" t="s">
        <v>1067</v>
      </c>
      <c r="S136" s="4" t="s">
        <v>1068</v>
      </c>
      <c r="T136" s="4" t="s">
        <v>1069</v>
      </c>
      <c r="U136" s="4" t="s">
        <v>1077</v>
      </c>
      <c r="V136" s="4"/>
      <c r="W136" s="4" t="s">
        <v>53</v>
      </c>
      <c r="X136" s="4" t="s">
        <v>54</v>
      </c>
      <c r="Y136" s="4" t="s">
        <v>1071</v>
      </c>
      <c r="Z136" s="4" t="s">
        <v>1072</v>
      </c>
      <c r="AA136" s="4" t="s">
        <v>68</v>
      </c>
      <c r="AB136" s="4"/>
      <c r="AC136" s="4" t="s">
        <v>1073</v>
      </c>
      <c r="AD136" s="4" t="s">
        <v>1074</v>
      </c>
      <c r="AE136" s="4" t="s">
        <v>1077</v>
      </c>
      <c r="AF136" s="13" t="s">
        <v>1077</v>
      </c>
      <c r="AG136" s="4"/>
      <c r="AH136" s="4" t="s">
        <v>665</v>
      </c>
      <c r="AI136" s="4">
        <v>4</v>
      </c>
      <c r="AJ136" s="4" t="s">
        <v>1078</v>
      </c>
      <c r="AK136" s="4"/>
      <c r="AL136" s="4" t="str">
        <f>VLOOKUP(N136,[1]Sheet1!$N:$AL,25,0)</f>
        <v>42182606  Medical exam or surgical headlights or headlamp accessories</v>
      </c>
      <c r="AM136" s="4"/>
      <c r="AN136" s="4"/>
      <c r="AO136" s="4"/>
      <c r="AP136" s="1" t="s">
        <v>58</v>
      </c>
      <c r="AQ136" s="1" t="s">
        <v>59</v>
      </c>
    </row>
    <row r="137" customHeight="1" spans="1:43">
      <c r="A137" s="4" t="s">
        <v>43</v>
      </c>
      <c r="B137" s="4">
        <v>190</v>
      </c>
      <c r="C137" s="4" t="s">
        <v>44</v>
      </c>
      <c r="D137" s="4" t="s">
        <v>45</v>
      </c>
      <c r="E137" s="4"/>
      <c r="F137" s="4"/>
      <c r="G137" s="4"/>
      <c r="H137" s="4"/>
      <c r="I137" s="4"/>
      <c r="J137" s="4"/>
      <c r="K137" s="4"/>
      <c r="L137" s="4"/>
      <c r="M137" s="4"/>
      <c r="N137" s="4">
        <v>714</v>
      </c>
      <c r="O137" s="4" t="s">
        <v>1079</v>
      </c>
      <c r="P137" s="4" t="s">
        <v>132</v>
      </c>
      <c r="Q137" s="4" t="s">
        <v>1066</v>
      </c>
      <c r="R137" s="4" t="s">
        <v>1067</v>
      </c>
      <c r="S137" s="4" t="s">
        <v>1068</v>
      </c>
      <c r="T137" s="4" t="s">
        <v>1069</v>
      </c>
      <c r="U137" s="4" t="s">
        <v>1080</v>
      </c>
      <c r="V137" s="4"/>
      <c r="W137" s="4" t="s">
        <v>53</v>
      </c>
      <c r="X137" s="4" t="s">
        <v>54</v>
      </c>
      <c r="Y137" s="4" t="s">
        <v>1081</v>
      </c>
      <c r="Z137" s="4" t="s">
        <v>1082</v>
      </c>
      <c r="AA137" s="4" t="s">
        <v>68</v>
      </c>
      <c r="AB137" s="4"/>
      <c r="AC137" s="4" t="s">
        <v>1083</v>
      </c>
      <c r="AD137" s="4" t="s">
        <v>1074</v>
      </c>
      <c r="AE137" s="4" t="s">
        <v>1080</v>
      </c>
      <c r="AF137" s="13" t="s">
        <v>1080</v>
      </c>
      <c r="AG137" s="4"/>
      <c r="AH137" s="4" t="s">
        <v>1084</v>
      </c>
      <c r="AI137" s="4">
        <v>1</v>
      </c>
      <c r="AJ137" s="4" t="s">
        <v>1085</v>
      </c>
      <c r="AK137" s="4"/>
      <c r="AL137" s="4" t="str">
        <f>VLOOKUP(N137,[1]Sheet1!$N:$AL,25,0)</f>
        <v>42182600  Medical exam lights or lamps</v>
      </c>
      <c r="AM137" s="4"/>
      <c r="AN137" s="4"/>
      <c r="AO137" s="4"/>
      <c r="AP137" s="1" t="s">
        <v>58</v>
      </c>
      <c r="AQ137" s="1" t="s">
        <v>59</v>
      </c>
    </row>
    <row r="138" customHeight="1" spans="1:43">
      <c r="A138" s="4" t="s">
        <v>43</v>
      </c>
      <c r="B138" s="4">
        <v>190</v>
      </c>
      <c r="C138" s="4" t="s">
        <v>44</v>
      </c>
      <c r="D138" s="4" t="s">
        <v>45</v>
      </c>
      <c r="E138" s="4"/>
      <c r="F138" s="4"/>
      <c r="G138" s="4"/>
      <c r="H138" s="4"/>
      <c r="I138" s="4"/>
      <c r="J138" s="4"/>
      <c r="K138" s="4"/>
      <c r="L138" s="4"/>
      <c r="M138" s="4"/>
      <c r="N138" s="4">
        <v>715</v>
      </c>
      <c r="O138" s="4" t="s">
        <v>1086</v>
      </c>
      <c r="P138" s="4" t="s">
        <v>1087</v>
      </c>
      <c r="Q138" s="4" t="s">
        <v>1088</v>
      </c>
      <c r="R138" s="4" t="s">
        <v>1089</v>
      </c>
      <c r="S138" s="4" t="s">
        <v>1090</v>
      </c>
      <c r="T138" s="4" t="s">
        <v>1091</v>
      </c>
      <c r="U138" s="4" t="s">
        <v>1092</v>
      </c>
      <c r="V138" s="4"/>
      <c r="W138" s="4" t="s">
        <v>53</v>
      </c>
      <c r="X138" s="4" t="s">
        <v>54</v>
      </c>
      <c r="Y138" s="4" t="s">
        <v>1093</v>
      </c>
      <c r="Z138" s="4" t="s">
        <v>1094</v>
      </c>
      <c r="AA138" s="4" t="s">
        <v>68</v>
      </c>
      <c r="AB138" s="4"/>
      <c r="AC138" s="4" t="s">
        <v>1095</v>
      </c>
      <c r="AD138" s="4" t="s">
        <v>1090</v>
      </c>
      <c r="AE138" s="4" t="s">
        <v>1092</v>
      </c>
      <c r="AF138" s="13" t="s">
        <v>1092</v>
      </c>
      <c r="AG138" s="4"/>
      <c r="AH138" s="4" t="s">
        <v>1096</v>
      </c>
      <c r="AI138" s="4">
        <v>18</v>
      </c>
      <c r="AJ138" s="4" t="s">
        <v>1097</v>
      </c>
      <c r="AK138" s="4"/>
      <c r="AL138" s="4" t="str">
        <f>VLOOKUP(N138,[1]Sheet1!$N:$AL,25,0)</f>
        <v>42142529  Needle trays or holders</v>
      </c>
      <c r="AM138" s="4"/>
      <c r="AN138" s="4"/>
      <c r="AO138" s="4"/>
      <c r="AP138" s="1" t="s">
        <v>58</v>
      </c>
      <c r="AQ138" s="1" t="s">
        <v>59</v>
      </c>
    </row>
    <row r="139" customHeight="1" spans="1:43">
      <c r="A139" s="4" t="s">
        <v>43</v>
      </c>
      <c r="B139" s="4">
        <v>190</v>
      </c>
      <c r="C139" s="4" t="s">
        <v>44</v>
      </c>
      <c r="D139" s="4" t="s">
        <v>45</v>
      </c>
      <c r="E139" s="4"/>
      <c r="F139" s="4"/>
      <c r="G139" s="4"/>
      <c r="H139" s="4"/>
      <c r="I139" s="4"/>
      <c r="J139" s="4"/>
      <c r="K139" s="4"/>
      <c r="L139" s="4"/>
      <c r="M139" s="4"/>
      <c r="N139" s="4">
        <v>750</v>
      </c>
      <c r="O139" s="4" t="s">
        <v>1098</v>
      </c>
      <c r="P139" s="4" t="s">
        <v>132</v>
      </c>
      <c r="Q139" s="4" t="s">
        <v>1099</v>
      </c>
      <c r="R139" s="4" t="s">
        <v>1100</v>
      </c>
      <c r="S139" s="4" t="s">
        <v>1101</v>
      </c>
      <c r="T139" s="4" t="s">
        <v>1102</v>
      </c>
      <c r="U139" s="4" t="s">
        <v>1103</v>
      </c>
      <c r="V139" s="4"/>
      <c r="W139" s="4" t="s">
        <v>53</v>
      </c>
      <c r="X139" s="4" t="s">
        <v>54</v>
      </c>
      <c r="Y139" s="4" t="s">
        <v>1104</v>
      </c>
      <c r="Z139" s="4" t="s">
        <v>1105</v>
      </c>
      <c r="AA139" s="4" t="s">
        <v>68</v>
      </c>
      <c r="AB139" s="4"/>
      <c r="AC139" s="4" t="s">
        <v>1106</v>
      </c>
      <c r="AD139" s="4" t="s">
        <v>1107</v>
      </c>
      <c r="AE139" s="4" t="s">
        <v>1103</v>
      </c>
      <c r="AF139" s="13" t="s">
        <v>1108</v>
      </c>
      <c r="AG139" s="4"/>
      <c r="AH139" s="4" t="s">
        <v>1109</v>
      </c>
      <c r="AI139" s="4">
        <v>4</v>
      </c>
      <c r="AJ139" s="4" t="s">
        <v>1110</v>
      </c>
      <c r="AK139" s="4"/>
      <c r="AL139" s="4" t="str">
        <f>VLOOKUP(N139,[1]Sheet1!$N:$AL,25,0)</f>
        <v>42192407  Medical cart accessories</v>
      </c>
      <c r="AM139" s="4"/>
      <c r="AN139" s="4"/>
      <c r="AO139" s="4"/>
      <c r="AP139" s="1" t="s">
        <v>58</v>
      </c>
      <c r="AQ139" s="1" t="s">
        <v>59</v>
      </c>
    </row>
    <row r="140" customHeight="1" spans="1:43">
      <c r="A140" s="4" t="s">
        <v>43</v>
      </c>
      <c r="B140" s="4">
        <v>190</v>
      </c>
      <c r="C140" s="4" t="s">
        <v>44</v>
      </c>
      <c r="D140" s="4" t="s">
        <v>45</v>
      </c>
      <c r="E140" s="4"/>
      <c r="F140" s="4"/>
      <c r="G140" s="4"/>
      <c r="H140" s="4"/>
      <c r="I140" s="4"/>
      <c r="J140" s="4"/>
      <c r="K140" s="4"/>
      <c r="L140" s="4"/>
      <c r="M140" s="4"/>
      <c r="N140" s="4">
        <v>753</v>
      </c>
      <c r="O140" s="4" t="s">
        <v>1111</v>
      </c>
      <c r="P140" s="4" t="s">
        <v>132</v>
      </c>
      <c r="Q140" s="4" t="s">
        <v>1099</v>
      </c>
      <c r="R140" s="4" t="s">
        <v>1100</v>
      </c>
      <c r="S140" s="4" t="s">
        <v>1101</v>
      </c>
      <c r="T140" s="4" t="s">
        <v>1102</v>
      </c>
      <c r="U140" s="4" t="s">
        <v>1112</v>
      </c>
      <c r="V140" s="4"/>
      <c r="W140" s="4" t="s">
        <v>53</v>
      </c>
      <c r="X140" s="4" t="s">
        <v>190</v>
      </c>
      <c r="Y140" s="4" t="s">
        <v>1113</v>
      </c>
      <c r="Z140" s="4" t="s">
        <v>1114</v>
      </c>
      <c r="AA140" s="4" t="s">
        <v>68</v>
      </c>
      <c r="AB140" s="4"/>
      <c r="AC140" s="4" t="s">
        <v>1115</v>
      </c>
      <c r="AD140" s="4" t="s">
        <v>1107</v>
      </c>
      <c r="AE140" s="4" t="s">
        <v>1112</v>
      </c>
      <c r="AF140" s="13" t="s">
        <v>1116</v>
      </c>
      <c r="AG140" s="4"/>
      <c r="AH140" s="4" t="s">
        <v>1117</v>
      </c>
      <c r="AI140" s="4">
        <v>12</v>
      </c>
      <c r="AJ140" s="4" t="s">
        <v>1118</v>
      </c>
      <c r="AK140" s="4"/>
      <c r="AL140" s="4" t="str">
        <f>VLOOKUP(N140,[1]Sheet1!$N:$AL,25,0)</f>
        <v>42191904  Narcotic cabinets or safes</v>
      </c>
      <c r="AM140" s="4"/>
      <c r="AN140" s="4"/>
      <c r="AO140" s="4"/>
      <c r="AP140" s="1" t="s">
        <v>58</v>
      </c>
      <c r="AQ140" s="1" t="s">
        <v>59</v>
      </c>
    </row>
    <row r="141" customHeight="1" spans="1:43">
      <c r="A141" s="4" t="s">
        <v>43</v>
      </c>
      <c r="B141" s="4">
        <v>190</v>
      </c>
      <c r="C141" s="4" t="s">
        <v>44</v>
      </c>
      <c r="D141" s="4" t="s">
        <v>45</v>
      </c>
      <c r="E141" s="4"/>
      <c r="F141" s="4"/>
      <c r="G141" s="4"/>
      <c r="H141" s="4"/>
      <c r="I141" s="4"/>
      <c r="J141" s="4"/>
      <c r="K141" s="4"/>
      <c r="L141" s="4"/>
      <c r="M141" s="4"/>
      <c r="N141" s="4">
        <v>752</v>
      </c>
      <c r="O141" s="4" t="s">
        <v>1119</v>
      </c>
      <c r="P141" s="4" t="s">
        <v>132</v>
      </c>
      <c r="Q141" s="4" t="s">
        <v>1099</v>
      </c>
      <c r="R141" s="4" t="s">
        <v>1100</v>
      </c>
      <c r="S141" s="4" t="s">
        <v>1101</v>
      </c>
      <c r="T141" s="4" t="s">
        <v>1102</v>
      </c>
      <c r="U141" s="4" t="s">
        <v>1120</v>
      </c>
      <c r="V141" s="4"/>
      <c r="W141" s="4" t="s">
        <v>53</v>
      </c>
      <c r="X141" s="4" t="s">
        <v>190</v>
      </c>
      <c r="Y141" s="4" t="s">
        <v>1104</v>
      </c>
      <c r="Z141" s="4" t="s">
        <v>1105</v>
      </c>
      <c r="AA141" s="4" t="s">
        <v>68</v>
      </c>
      <c r="AB141" s="4"/>
      <c r="AC141" s="4" t="s">
        <v>1106</v>
      </c>
      <c r="AD141" s="4" t="s">
        <v>1107</v>
      </c>
      <c r="AE141" s="4" t="s">
        <v>1120</v>
      </c>
      <c r="AF141" s="13" t="s">
        <v>1121</v>
      </c>
      <c r="AG141" s="4"/>
      <c r="AH141" s="4" t="s">
        <v>1122</v>
      </c>
      <c r="AI141" s="4">
        <v>8</v>
      </c>
      <c r="AJ141" s="4" t="s">
        <v>1123</v>
      </c>
      <c r="AK141" s="4"/>
      <c r="AL141" s="4" t="str">
        <f>VLOOKUP(N141,[1]Sheet1!$N:$AL,25,0)</f>
        <v>42192407  Medical cart accessories</v>
      </c>
      <c r="AM141" s="4"/>
      <c r="AN141" s="4"/>
      <c r="AO141" s="4"/>
      <c r="AP141" s="1" t="s">
        <v>58</v>
      </c>
      <c r="AQ141" s="1" t="s">
        <v>59</v>
      </c>
    </row>
    <row r="142" customHeight="1" spans="1:43">
      <c r="A142" s="4" t="s">
        <v>43</v>
      </c>
      <c r="B142" s="4">
        <v>190</v>
      </c>
      <c r="C142" s="4" t="s">
        <v>44</v>
      </c>
      <c r="D142" s="4" t="s">
        <v>45</v>
      </c>
      <c r="E142" s="4"/>
      <c r="F142" s="4"/>
      <c r="G142" s="4"/>
      <c r="H142" s="4"/>
      <c r="I142" s="4"/>
      <c r="J142" s="4"/>
      <c r="K142" s="4"/>
      <c r="L142" s="4"/>
      <c r="M142" s="4"/>
      <c r="N142" s="4">
        <v>754</v>
      </c>
      <c r="O142" s="4" t="s">
        <v>1124</v>
      </c>
      <c r="P142" s="4" t="s">
        <v>132</v>
      </c>
      <c r="Q142" s="4" t="s">
        <v>1099</v>
      </c>
      <c r="R142" s="4" t="s">
        <v>1100</v>
      </c>
      <c r="S142" s="4" t="s">
        <v>1101</v>
      </c>
      <c r="T142" s="4" t="s">
        <v>1102</v>
      </c>
      <c r="U142" s="4" t="s">
        <v>1125</v>
      </c>
      <c r="V142" s="4"/>
      <c r="W142" s="4" t="s">
        <v>53</v>
      </c>
      <c r="X142" s="4" t="s">
        <v>190</v>
      </c>
      <c r="Y142" s="4" t="s">
        <v>1104</v>
      </c>
      <c r="Z142" s="4" t="s">
        <v>1105</v>
      </c>
      <c r="AA142" s="4" t="s">
        <v>68</v>
      </c>
      <c r="AB142" s="4"/>
      <c r="AC142" s="4" t="s">
        <v>1106</v>
      </c>
      <c r="AD142" s="4" t="s">
        <v>1107</v>
      </c>
      <c r="AE142" s="4" t="s">
        <v>1125</v>
      </c>
      <c r="AF142" s="13" t="s">
        <v>1126</v>
      </c>
      <c r="AG142" s="4"/>
      <c r="AH142" s="4" t="s">
        <v>1127</v>
      </c>
      <c r="AI142" s="4">
        <v>4</v>
      </c>
      <c r="AJ142" s="4" t="s">
        <v>1128</v>
      </c>
      <c r="AK142" s="4"/>
      <c r="AL142" s="4" t="str">
        <f>VLOOKUP(N142,[1]Sheet1!$N:$AL,25,0)</f>
        <v>42192407  Medical cart accessories</v>
      </c>
      <c r="AM142" s="4"/>
      <c r="AN142" s="4"/>
      <c r="AO142" s="4"/>
      <c r="AP142" s="1" t="s">
        <v>58</v>
      </c>
      <c r="AQ142" s="1" t="s">
        <v>59</v>
      </c>
    </row>
    <row r="143" customHeight="1" spans="1:43">
      <c r="A143" s="4" t="s">
        <v>43</v>
      </c>
      <c r="B143" s="4">
        <v>190</v>
      </c>
      <c r="C143" s="4" t="s">
        <v>44</v>
      </c>
      <c r="D143" s="4" t="s">
        <v>45</v>
      </c>
      <c r="E143" s="4"/>
      <c r="F143" s="4"/>
      <c r="G143" s="4"/>
      <c r="H143" s="4"/>
      <c r="I143" s="4"/>
      <c r="J143" s="4"/>
      <c r="K143" s="4"/>
      <c r="L143" s="4"/>
      <c r="M143" s="4"/>
      <c r="N143" s="4">
        <v>4889</v>
      </c>
      <c r="O143" s="4" t="s">
        <v>1129</v>
      </c>
      <c r="P143" s="4" t="s">
        <v>1130</v>
      </c>
      <c r="Q143" s="4" t="s">
        <v>1131</v>
      </c>
      <c r="R143" s="4" t="s">
        <v>1132</v>
      </c>
      <c r="S143" s="4" t="s">
        <v>1133</v>
      </c>
      <c r="T143" s="4" t="s">
        <v>1134</v>
      </c>
      <c r="U143" s="4" t="s">
        <v>1135</v>
      </c>
      <c r="V143" s="4"/>
      <c r="W143" s="4" t="s">
        <v>53</v>
      </c>
      <c r="X143" s="4" t="s">
        <v>54</v>
      </c>
      <c r="Y143" s="4" t="s">
        <v>1136</v>
      </c>
      <c r="Z143" s="4" t="s">
        <v>1137</v>
      </c>
      <c r="AA143" s="4" t="s">
        <v>68</v>
      </c>
      <c r="AB143" s="4"/>
      <c r="AC143" s="4" t="s">
        <v>1138</v>
      </c>
      <c r="AD143" s="4" t="s">
        <v>1139</v>
      </c>
      <c r="AE143" s="4" t="s">
        <v>1135</v>
      </c>
      <c r="AF143" s="13" t="s">
        <v>1135</v>
      </c>
      <c r="AG143" s="4"/>
      <c r="AH143" s="4" t="s">
        <v>1140</v>
      </c>
      <c r="AI143" s="4">
        <v>6</v>
      </c>
      <c r="AJ143" s="4" t="s">
        <v>1141</v>
      </c>
      <c r="AK143" s="4"/>
      <c r="AL143" s="4" t="str">
        <f>VLOOKUP(N143,[1]Sheet1!$N:$AL,25,0)</f>
        <v>42181708  Electrocardiography EKG electrode patches</v>
      </c>
      <c r="AM143" s="4"/>
      <c r="AN143" s="4"/>
      <c r="AO143" s="4"/>
      <c r="AP143" s="1" t="s">
        <v>58</v>
      </c>
      <c r="AQ143" s="1" t="s">
        <v>59</v>
      </c>
    </row>
    <row r="144" customHeight="1" spans="1:43">
      <c r="A144" s="4" t="s">
        <v>43</v>
      </c>
      <c r="B144" s="4">
        <v>190</v>
      </c>
      <c r="C144" s="4" t="s">
        <v>44</v>
      </c>
      <c r="D144" s="4" t="s">
        <v>45</v>
      </c>
      <c r="E144" s="4"/>
      <c r="F144" s="4"/>
      <c r="G144" s="4"/>
      <c r="H144" s="4"/>
      <c r="I144" s="4"/>
      <c r="J144" s="4"/>
      <c r="K144" s="4"/>
      <c r="L144" s="4"/>
      <c r="M144" s="4"/>
      <c r="N144" s="4">
        <v>4891</v>
      </c>
      <c r="O144" s="4" t="s">
        <v>1142</v>
      </c>
      <c r="P144" s="4" t="s">
        <v>407</v>
      </c>
      <c r="Q144" s="4" t="s">
        <v>1131</v>
      </c>
      <c r="R144" s="4" t="s">
        <v>1143</v>
      </c>
      <c r="S144" s="4" t="s">
        <v>1144</v>
      </c>
      <c r="T144" s="4" t="s">
        <v>1145</v>
      </c>
      <c r="U144" s="4" t="s">
        <v>1146</v>
      </c>
      <c r="V144" s="4"/>
      <c r="W144" s="4" t="s">
        <v>53</v>
      </c>
      <c r="X144" s="4" t="s">
        <v>54</v>
      </c>
      <c r="Y144" s="4" t="s">
        <v>409</v>
      </c>
      <c r="Z144" s="4" t="s">
        <v>410</v>
      </c>
      <c r="AA144" s="4" t="s">
        <v>68</v>
      </c>
      <c r="AB144" s="4"/>
      <c r="AC144" s="4" t="s">
        <v>411</v>
      </c>
      <c r="AD144" s="4" t="s">
        <v>1139</v>
      </c>
      <c r="AE144" s="4" t="s">
        <v>1146</v>
      </c>
      <c r="AF144" s="13" t="s">
        <v>1146</v>
      </c>
      <c r="AG144" s="4"/>
      <c r="AH144" s="4" t="s">
        <v>413</v>
      </c>
      <c r="AI144" s="4">
        <v>6</v>
      </c>
      <c r="AJ144" s="4" t="s">
        <v>1147</v>
      </c>
      <c r="AK144" s="4"/>
      <c r="AL144" s="4" t="str">
        <f>VLOOKUP(N144,[1]Sheet1!$N:$AL,25,0)</f>
        <v>42272209  Ventilator circuits</v>
      </c>
      <c r="AM144" s="4"/>
      <c r="AN144" s="4"/>
      <c r="AO144" s="4"/>
      <c r="AP144" s="1" t="s">
        <v>58</v>
      </c>
      <c r="AQ144" s="1" t="s">
        <v>59</v>
      </c>
    </row>
    <row r="145" customHeight="1" spans="1:43">
      <c r="A145" s="4" t="s">
        <v>43</v>
      </c>
      <c r="B145" s="4">
        <v>190</v>
      </c>
      <c r="C145" s="4" t="s">
        <v>44</v>
      </c>
      <c r="D145" s="4" t="s">
        <v>45</v>
      </c>
      <c r="E145" s="4"/>
      <c r="F145" s="4"/>
      <c r="G145" s="4"/>
      <c r="H145" s="4"/>
      <c r="I145" s="4"/>
      <c r="J145" s="4"/>
      <c r="K145" s="4"/>
      <c r="L145" s="4"/>
      <c r="M145" s="4"/>
      <c r="N145" s="4">
        <v>765</v>
      </c>
      <c r="O145" s="4" t="s">
        <v>1148</v>
      </c>
      <c r="P145" s="4" t="s">
        <v>306</v>
      </c>
      <c r="Q145" s="4" t="s">
        <v>1149</v>
      </c>
      <c r="R145" s="4" t="s">
        <v>1150</v>
      </c>
      <c r="S145" s="4" t="s">
        <v>1151</v>
      </c>
      <c r="T145" s="4" t="s">
        <v>1152</v>
      </c>
      <c r="U145" s="4" t="s">
        <v>1153</v>
      </c>
      <c r="V145" s="4"/>
      <c r="W145" s="4" t="s">
        <v>53</v>
      </c>
      <c r="X145" s="4" t="s">
        <v>54</v>
      </c>
      <c r="Y145" s="4" t="s">
        <v>1154</v>
      </c>
      <c r="Z145" s="4" t="s">
        <v>1155</v>
      </c>
      <c r="AA145" s="4" t="s">
        <v>68</v>
      </c>
      <c r="AB145" s="4"/>
      <c r="AC145" s="4" t="s">
        <v>1156</v>
      </c>
      <c r="AD145" s="4" t="s">
        <v>1139</v>
      </c>
      <c r="AE145" s="4" t="s">
        <v>1153</v>
      </c>
      <c r="AF145" s="13" t="s">
        <v>1157</v>
      </c>
      <c r="AG145" s="4"/>
      <c r="AH145" s="4" t="s">
        <v>1158</v>
      </c>
      <c r="AI145" s="4">
        <v>15</v>
      </c>
      <c r="AJ145" s="4" t="s">
        <v>1159</v>
      </c>
      <c r="AK145" s="4"/>
      <c r="AL145" s="4" t="str">
        <f>VLOOKUP(N145,[1]Sheet1!$N:$AL,25,0)</f>
        <v>42293511  Medical or surgical suction or vacuum appliance accessories</v>
      </c>
      <c r="AM145" s="4"/>
      <c r="AN145" s="4"/>
      <c r="AO145" s="4"/>
      <c r="AP145" s="1" t="s">
        <v>58</v>
      </c>
      <c r="AQ145" s="1" t="s">
        <v>59</v>
      </c>
    </row>
    <row r="146" customHeight="1" spans="1:43">
      <c r="A146" s="4" t="s">
        <v>43</v>
      </c>
      <c r="B146" s="4">
        <v>190</v>
      </c>
      <c r="C146" s="4" t="s">
        <v>44</v>
      </c>
      <c r="D146" s="4" t="s">
        <v>45</v>
      </c>
      <c r="E146" s="4"/>
      <c r="F146" s="4"/>
      <c r="G146" s="4"/>
      <c r="H146" s="4"/>
      <c r="I146" s="4"/>
      <c r="J146" s="4"/>
      <c r="K146" s="4"/>
      <c r="L146" s="4"/>
      <c r="M146" s="4"/>
      <c r="N146" s="4">
        <v>766</v>
      </c>
      <c r="O146" s="4" t="s">
        <v>1160</v>
      </c>
      <c r="P146" s="4" t="s">
        <v>306</v>
      </c>
      <c r="Q146" s="4" t="s">
        <v>1149</v>
      </c>
      <c r="R146" s="4" t="s">
        <v>1150</v>
      </c>
      <c r="S146" s="4" t="s">
        <v>1151</v>
      </c>
      <c r="T146" s="4" t="s">
        <v>1152</v>
      </c>
      <c r="U146" s="4" t="s">
        <v>1161</v>
      </c>
      <c r="V146" s="4"/>
      <c r="W146" s="4" t="s">
        <v>53</v>
      </c>
      <c r="X146" s="4" t="s">
        <v>54</v>
      </c>
      <c r="Y146" s="4" t="s">
        <v>1154</v>
      </c>
      <c r="Z146" s="4" t="s">
        <v>1155</v>
      </c>
      <c r="AA146" s="4" t="s">
        <v>68</v>
      </c>
      <c r="AB146" s="4"/>
      <c r="AC146" s="4" t="s">
        <v>1156</v>
      </c>
      <c r="AD146" s="4" t="s">
        <v>1139</v>
      </c>
      <c r="AE146" s="4" t="s">
        <v>1161</v>
      </c>
      <c r="AF146" s="13" t="s">
        <v>1162</v>
      </c>
      <c r="AG146" s="4"/>
      <c r="AH146" s="4" t="s">
        <v>138</v>
      </c>
      <c r="AI146" s="4">
        <v>12</v>
      </c>
      <c r="AJ146" s="4" t="s">
        <v>1163</v>
      </c>
      <c r="AK146" s="4"/>
      <c r="AL146" s="4" t="str">
        <f>VLOOKUP(N146,[1]Sheet1!$N:$AL,25,0)</f>
        <v>42293511  Medical or surgical suction or vacuum appliance accessories</v>
      </c>
      <c r="AM146" s="4"/>
      <c r="AN146" s="4"/>
      <c r="AO146" s="4"/>
      <c r="AP146" s="1" t="s">
        <v>58</v>
      </c>
      <c r="AQ146" s="1" t="s">
        <v>59</v>
      </c>
    </row>
    <row r="147" customHeight="1" spans="1:43">
      <c r="A147" s="4" t="s">
        <v>43</v>
      </c>
      <c r="B147" s="4">
        <v>190</v>
      </c>
      <c r="C147" s="4" t="s">
        <v>44</v>
      </c>
      <c r="D147" s="4" t="s">
        <v>45</v>
      </c>
      <c r="E147" s="4"/>
      <c r="F147" s="4"/>
      <c r="G147" s="4"/>
      <c r="H147" s="4"/>
      <c r="I147" s="4"/>
      <c r="J147" s="4"/>
      <c r="K147" s="4"/>
      <c r="L147" s="4"/>
      <c r="M147" s="4"/>
      <c r="N147" s="4">
        <v>4894</v>
      </c>
      <c r="O147" s="4" t="s">
        <v>1164</v>
      </c>
      <c r="P147" s="4" t="s">
        <v>521</v>
      </c>
      <c r="Q147" s="4" t="s">
        <v>1131</v>
      </c>
      <c r="R147" s="4" t="s">
        <v>1165</v>
      </c>
      <c r="S147" s="4" t="s">
        <v>1166</v>
      </c>
      <c r="T147" s="4" t="s">
        <v>1145</v>
      </c>
      <c r="U147" s="4" t="s">
        <v>1167</v>
      </c>
      <c r="V147" s="4"/>
      <c r="W147" s="4" t="s">
        <v>53</v>
      </c>
      <c r="X147" s="4" t="s">
        <v>54</v>
      </c>
      <c r="Y147" s="4" t="s">
        <v>1168</v>
      </c>
      <c r="Z147" s="4" t="s">
        <v>1169</v>
      </c>
      <c r="AA147" s="4" t="s">
        <v>68</v>
      </c>
      <c r="AB147" s="4"/>
      <c r="AC147" s="4" t="s">
        <v>1170</v>
      </c>
      <c r="AD147" s="4" t="s">
        <v>1139</v>
      </c>
      <c r="AE147" s="4" t="s">
        <v>1167</v>
      </c>
      <c r="AF147" s="13" t="s">
        <v>1167</v>
      </c>
      <c r="AG147" s="4"/>
      <c r="AH147" s="4" t="s">
        <v>1171</v>
      </c>
      <c r="AI147" s="4">
        <v>1</v>
      </c>
      <c r="AJ147" s="4" t="s">
        <v>1172</v>
      </c>
      <c r="AK147" s="4"/>
      <c r="AL147" s="4" t="str">
        <f>VLOOKUP(N147,[1]Sheet1!$N:$AL,25,0)</f>
        <v>42272224  Ventilator circuit kits</v>
      </c>
      <c r="AM147" s="4"/>
      <c r="AN147" s="4"/>
      <c r="AO147" s="4"/>
      <c r="AP147" s="1" t="s">
        <v>58</v>
      </c>
      <c r="AQ147" s="1" t="s">
        <v>59</v>
      </c>
    </row>
    <row r="148" customHeight="1" spans="1:43">
      <c r="A148" s="4" t="s">
        <v>43</v>
      </c>
      <c r="B148" s="4">
        <v>190</v>
      </c>
      <c r="C148" s="4" t="s">
        <v>44</v>
      </c>
      <c r="D148" s="4" t="s">
        <v>45</v>
      </c>
      <c r="E148" s="4"/>
      <c r="F148" s="4"/>
      <c r="G148" s="4"/>
      <c r="H148" s="4"/>
      <c r="I148" s="4"/>
      <c r="J148" s="4"/>
      <c r="K148" s="4"/>
      <c r="L148" s="4"/>
      <c r="M148" s="4"/>
      <c r="N148" s="4">
        <v>767</v>
      </c>
      <c r="O148" s="4" t="s">
        <v>1173</v>
      </c>
      <c r="P148" s="4" t="s">
        <v>1174</v>
      </c>
      <c r="Q148" s="4" t="s">
        <v>1149</v>
      </c>
      <c r="R148" s="4" t="s">
        <v>1175</v>
      </c>
      <c r="S148" s="4" t="s">
        <v>1176</v>
      </c>
      <c r="T148" s="4" t="s">
        <v>1152</v>
      </c>
      <c r="U148" s="4" t="s">
        <v>1177</v>
      </c>
      <c r="V148" s="4"/>
      <c r="W148" s="4" t="s">
        <v>53</v>
      </c>
      <c r="X148" s="4" t="s">
        <v>54</v>
      </c>
      <c r="Y148" s="4" t="s">
        <v>1178</v>
      </c>
      <c r="Z148" s="4" t="s">
        <v>1179</v>
      </c>
      <c r="AA148" s="4" t="s">
        <v>68</v>
      </c>
      <c r="AB148" s="4"/>
      <c r="AC148" s="4" t="s">
        <v>1180</v>
      </c>
      <c r="AD148" s="4" t="s">
        <v>1139</v>
      </c>
      <c r="AE148" s="4" t="s">
        <v>1177</v>
      </c>
      <c r="AF148" s="13" t="s">
        <v>1181</v>
      </c>
      <c r="AG148" s="4"/>
      <c r="AH148" s="4" t="s">
        <v>1182</v>
      </c>
      <c r="AI148" s="4">
        <v>1</v>
      </c>
      <c r="AJ148" s="4" t="s">
        <v>1183</v>
      </c>
      <c r="AK148" s="4"/>
      <c r="AL148" s="4" t="str">
        <f>VLOOKUP(N148,[1]Sheet1!$N:$AL,25,0)</f>
        <v>53102305  Infant diapers</v>
      </c>
      <c r="AM148" s="4"/>
      <c r="AN148" s="4"/>
      <c r="AO148" s="4"/>
      <c r="AP148" s="1" t="s">
        <v>58</v>
      </c>
      <c r="AQ148" s="1" t="s">
        <v>59</v>
      </c>
    </row>
    <row r="149" customHeight="1" spans="1:43">
      <c r="A149" s="4" t="s">
        <v>43</v>
      </c>
      <c r="B149" s="4">
        <v>190</v>
      </c>
      <c r="C149" s="4" t="s">
        <v>44</v>
      </c>
      <c r="D149" s="4" t="s">
        <v>45</v>
      </c>
      <c r="E149" s="4"/>
      <c r="F149" s="4"/>
      <c r="G149" s="4"/>
      <c r="H149" s="4"/>
      <c r="I149" s="4"/>
      <c r="J149" s="4"/>
      <c r="K149" s="4"/>
      <c r="L149" s="4"/>
      <c r="M149" s="4"/>
      <c r="N149" s="4">
        <v>4895</v>
      </c>
      <c r="O149" s="4" t="s">
        <v>1184</v>
      </c>
      <c r="P149" s="4" t="s">
        <v>407</v>
      </c>
      <c r="Q149" s="4" t="s">
        <v>1131</v>
      </c>
      <c r="R149" s="4" t="s">
        <v>1143</v>
      </c>
      <c r="S149" s="4" t="s">
        <v>1144</v>
      </c>
      <c r="T149" s="4" t="s">
        <v>1145</v>
      </c>
      <c r="U149" s="4" t="s">
        <v>1185</v>
      </c>
      <c r="V149" s="4"/>
      <c r="W149" s="4" t="s">
        <v>53</v>
      </c>
      <c r="X149" s="4" t="s">
        <v>54</v>
      </c>
      <c r="Y149" s="4" t="s">
        <v>703</v>
      </c>
      <c r="Z149" s="4" t="s">
        <v>704</v>
      </c>
      <c r="AA149" s="4" t="s">
        <v>68</v>
      </c>
      <c r="AB149" s="4"/>
      <c r="AC149" s="4" t="s">
        <v>705</v>
      </c>
      <c r="AD149" s="4" t="s">
        <v>1139</v>
      </c>
      <c r="AE149" s="4" t="s">
        <v>1185</v>
      </c>
      <c r="AF149" s="13" t="s">
        <v>1185</v>
      </c>
      <c r="AG149" s="4"/>
      <c r="AH149" s="4" t="s">
        <v>413</v>
      </c>
      <c r="AI149" s="4">
        <v>6</v>
      </c>
      <c r="AJ149" s="4" t="s">
        <v>1186</v>
      </c>
      <c r="AK149" s="4"/>
      <c r="AL149" s="4" t="str">
        <f>VLOOKUP(N149,[1]Sheet1!$N:$AL,25,0)</f>
        <v>42272229  Anesthesia breathing circuits</v>
      </c>
      <c r="AM149" s="4"/>
      <c r="AN149" s="4"/>
      <c r="AO149" s="4"/>
      <c r="AP149" s="1" t="s">
        <v>58</v>
      </c>
      <c r="AQ149" s="1" t="s">
        <v>59</v>
      </c>
    </row>
    <row r="150" customHeight="1" spans="1:43">
      <c r="A150" s="4" t="s">
        <v>43</v>
      </c>
      <c r="B150" s="4">
        <v>190</v>
      </c>
      <c r="C150" s="4" t="s">
        <v>44</v>
      </c>
      <c r="D150" s="4" t="s">
        <v>45</v>
      </c>
      <c r="E150" s="4"/>
      <c r="F150" s="4"/>
      <c r="G150" s="4"/>
      <c r="H150" s="4"/>
      <c r="I150" s="4"/>
      <c r="J150" s="4"/>
      <c r="K150" s="4"/>
      <c r="L150" s="4"/>
      <c r="M150" s="4"/>
      <c r="N150" s="4">
        <v>785</v>
      </c>
      <c r="O150" s="4" t="s">
        <v>1187</v>
      </c>
      <c r="P150" s="4" t="s">
        <v>1087</v>
      </c>
      <c r="Q150" s="4" t="s">
        <v>1188</v>
      </c>
      <c r="R150" s="4" t="s">
        <v>1189</v>
      </c>
      <c r="S150" s="4" t="s">
        <v>1190</v>
      </c>
      <c r="T150" s="4" t="s">
        <v>1191</v>
      </c>
      <c r="U150" s="4" t="s">
        <v>1192</v>
      </c>
      <c r="V150" s="4"/>
      <c r="W150" s="4" t="s">
        <v>53</v>
      </c>
      <c r="X150" s="4" t="s">
        <v>54</v>
      </c>
      <c r="Y150" s="4" t="s">
        <v>1193</v>
      </c>
      <c r="Z150" s="4" t="s">
        <v>1194</v>
      </c>
      <c r="AA150" s="4" t="s">
        <v>68</v>
      </c>
      <c r="AB150" s="4"/>
      <c r="AC150" s="4" t="s">
        <v>1195</v>
      </c>
      <c r="AD150" s="4" t="s">
        <v>1139</v>
      </c>
      <c r="AE150" s="4" t="s">
        <v>1192</v>
      </c>
      <c r="AF150" s="13" t="s">
        <v>1192</v>
      </c>
      <c r="AG150" s="4"/>
      <c r="AH150" s="4" t="s">
        <v>290</v>
      </c>
      <c r="AI150" s="4">
        <v>39</v>
      </c>
      <c r="AJ150" s="4" t="s">
        <v>1196</v>
      </c>
      <c r="AK150" s="4"/>
      <c r="AL150" s="4" t="str">
        <f>VLOOKUP(N150,[1]Sheet1!$N:$AL,25,0)</f>
        <v>42292903  Surgical needle holders</v>
      </c>
      <c r="AM150" s="4"/>
      <c r="AN150" s="4"/>
      <c r="AO150" s="4"/>
      <c r="AP150" s="1" t="s">
        <v>58</v>
      </c>
      <c r="AQ150" s="1" t="s">
        <v>59</v>
      </c>
    </row>
    <row r="151" customHeight="1" spans="1:43">
      <c r="A151" s="4" t="s">
        <v>43</v>
      </c>
      <c r="B151" s="4">
        <v>190</v>
      </c>
      <c r="C151" s="4" t="s">
        <v>44</v>
      </c>
      <c r="D151" s="4" t="s">
        <v>45</v>
      </c>
      <c r="E151" s="4"/>
      <c r="F151" s="4"/>
      <c r="G151" s="4"/>
      <c r="H151" s="4"/>
      <c r="I151" s="4"/>
      <c r="J151" s="4"/>
      <c r="K151" s="4"/>
      <c r="L151" s="4"/>
      <c r="M151" s="4"/>
      <c r="N151" s="4">
        <v>787</v>
      </c>
      <c r="O151" s="4" t="s">
        <v>1197</v>
      </c>
      <c r="P151" s="4" t="s">
        <v>1198</v>
      </c>
      <c r="Q151" s="4" t="s">
        <v>1188</v>
      </c>
      <c r="R151" s="4" t="s">
        <v>1189</v>
      </c>
      <c r="S151" s="4" t="s">
        <v>1190</v>
      </c>
      <c r="T151" s="4" t="s">
        <v>1191</v>
      </c>
      <c r="U151" s="4" t="s">
        <v>1199</v>
      </c>
      <c r="V151" s="4"/>
      <c r="W151" s="4" t="s">
        <v>53</v>
      </c>
      <c r="X151" s="4" t="s">
        <v>54</v>
      </c>
      <c r="Y151" s="4" t="s">
        <v>1200</v>
      </c>
      <c r="Z151" s="4" t="s">
        <v>1201</v>
      </c>
      <c r="AA151" s="4" t="s">
        <v>68</v>
      </c>
      <c r="AB151" s="4"/>
      <c r="AC151" s="4" t="s">
        <v>1202</v>
      </c>
      <c r="AD151" s="4" t="s">
        <v>1139</v>
      </c>
      <c r="AE151" s="4" t="s">
        <v>1199</v>
      </c>
      <c r="AF151" s="13" t="s">
        <v>1203</v>
      </c>
      <c r="AG151" s="4"/>
      <c r="AH151" s="4" t="s">
        <v>1204</v>
      </c>
      <c r="AI151" s="4">
        <v>2</v>
      </c>
      <c r="AJ151" s="4" t="s">
        <v>1205</v>
      </c>
      <c r="AK151" s="4"/>
      <c r="AL151" s="4" t="str">
        <f>VLOOKUP(N151,[1]Sheet1!$N:$AL,25,0)</f>
        <v>42281509  Sterilization containers or trays</v>
      </c>
      <c r="AM151" s="4"/>
      <c r="AN151" s="4"/>
      <c r="AO151" s="4"/>
      <c r="AP151" s="1" t="s">
        <v>58</v>
      </c>
      <c r="AQ151" s="1" t="s">
        <v>59</v>
      </c>
    </row>
    <row r="152" customHeight="1" spans="1:43">
      <c r="A152" s="4" t="s">
        <v>43</v>
      </c>
      <c r="B152" s="4">
        <v>190</v>
      </c>
      <c r="C152" s="4" t="s">
        <v>44</v>
      </c>
      <c r="D152" s="4" t="s">
        <v>45</v>
      </c>
      <c r="E152" s="4"/>
      <c r="F152" s="4"/>
      <c r="G152" s="4"/>
      <c r="H152" s="4"/>
      <c r="I152" s="4"/>
      <c r="J152" s="4"/>
      <c r="K152" s="4"/>
      <c r="L152" s="4"/>
      <c r="M152" s="4"/>
      <c r="N152" s="4">
        <v>788</v>
      </c>
      <c r="O152" s="4" t="s">
        <v>1206</v>
      </c>
      <c r="P152" s="4" t="s">
        <v>1207</v>
      </c>
      <c r="Q152" s="4" t="s">
        <v>1188</v>
      </c>
      <c r="R152" s="4" t="s">
        <v>1189</v>
      </c>
      <c r="S152" s="4" t="s">
        <v>1190</v>
      </c>
      <c r="T152" s="4" t="s">
        <v>1191</v>
      </c>
      <c r="U152" s="4" t="s">
        <v>1208</v>
      </c>
      <c r="V152" s="4"/>
      <c r="W152" s="4" t="s">
        <v>53</v>
      </c>
      <c r="X152" s="4" t="s">
        <v>54</v>
      </c>
      <c r="Y152" s="4" t="s">
        <v>1200</v>
      </c>
      <c r="Z152" s="4" t="s">
        <v>1201</v>
      </c>
      <c r="AA152" s="4" t="s">
        <v>68</v>
      </c>
      <c r="AB152" s="4"/>
      <c r="AC152" s="4" t="s">
        <v>1202</v>
      </c>
      <c r="AD152" s="4" t="s">
        <v>1139</v>
      </c>
      <c r="AE152" s="4" t="s">
        <v>1208</v>
      </c>
      <c r="AF152" s="13" t="s">
        <v>1209</v>
      </c>
      <c r="AG152" s="4"/>
      <c r="AH152" s="4" t="s">
        <v>1204</v>
      </c>
      <c r="AI152" s="4">
        <v>2</v>
      </c>
      <c r="AJ152" s="4" t="s">
        <v>1210</v>
      </c>
      <c r="AK152" s="4"/>
      <c r="AL152" s="4" t="str">
        <f>VLOOKUP(N152,[1]Sheet1!$N:$AL,25,0)</f>
        <v>42281509  Sterilization containers or trays</v>
      </c>
      <c r="AM152" s="4"/>
      <c r="AN152" s="4"/>
      <c r="AO152" s="4"/>
      <c r="AP152" s="1" t="s">
        <v>58</v>
      </c>
      <c r="AQ152" s="1" t="s">
        <v>59</v>
      </c>
    </row>
    <row r="153" customHeight="1" spans="1:43">
      <c r="A153" s="4" t="s">
        <v>43</v>
      </c>
      <c r="B153" s="4">
        <v>190</v>
      </c>
      <c r="C153" s="4" t="s">
        <v>44</v>
      </c>
      <c r="D153" s="4" t="s">
        <v>45</v>
      </c>
      <c r="E153" s="4"/>
      <c r="F153" s="4"/>
      <c r="G153" s="4"/>
      <c r="H153" s="4"/>
      <c r="I153" s="4"/>
      <c r="J153" s="4"/>
      <c r="K153" s="4"/>
      <c r="L153" s="4"/>
      <c r="M153" s="4"/>
      <c r="N153" s="4">
        <v>802</v>
      </c>
      <c r="O153" s="4" t="s">
        <v>1211</v>
      </c>
      <c r="P153" s="4" t="s">
        <v>903</v>
      </c>
      <c r="Q153" s="4" t="s">
        <v>1188</v>
      </c>
      <c r="R153" s="4" t="s">
        <v>1189</v>
      </c>
      <c r="S153" s="4" t="s">
        <v>1190</v>
      </c>
      <c r="T153" s="4" t="s">
        <v>1191</v>
      </c>
      <c r="U153" s="4" t="s">
        <v>1212</v>
      </c>
      <c r="V153" s="4"/>
      <c r="W153" s="4" t="s">
        <v>53</v>
      </c>
      <c r="X153" s="4" t="s">
        <v>54</v>
      </c>
      <c r="Y153" s="4" t="s">
        <v>1213</v>
      </c>
      <c r="Z153" s="4" t="s">
        <v>1214</v>
      </c>
      <c r="AA153" s="4" t="s">
        <v>68</v>
      </c>
      <c r="AB153" s="4"/>
      <c r="AC153" s="4" t="s">
        <v>1215</v>
      </c>
      <c r="AD153" s="4" t="s">
        <v>1139</v>
      </c>
      <c r="AE153" s="4" t="s">
        <v>1212</v>
      </c>
      <c r="AF153" s="13" t="s">
        <v>1216</v>
      </c>
      <c r="AG153" s="4"/>
      <c r="AH153" s="4" t="s">
        <v>1217</v>
      </c>
      <c r="AI153" s="4">
        <v>5</v>
      </c>
      <c r="AJ153" s="4" t="s">
        <v>1218</v>
      </c>
      <c r="AK153" s="4"/>
      <c r="AL153" s="4" t="str">
        <f>VLOOKUP(N153,[1]Sheet1!$N:$AL,25,0)</f>
        <v>42281500  Autoclave and sterilizer equipment and accessories</v>
      </c>
      <c r="AM153" s="4"/>
      <c r="AN153" s="4"/>
      <c r="AO153" s="4"/>
      <c r="AP153" s="1" t="s">
        <v>58</v>
      </c>
      <c r="AQ153" s="1" t="s">
        <v>59</v>
      </c>
    </row>
    <row r="154" customHeight="1" spans="1:43">
      <c r="A154" s="4" t="s">
        <v>43</v>
      </c>
      <c r="B154" s="4">
        <v>190</v>
      </c>
      <c r="C154" s="4" t="s">
        <v>44</v>
      </c>
      <c r="D154" s="4" t="s">
        <v>45</v>
      </c>
      <c r="E154" s="4"/>
      <c r="F154" s="4"/>
      <c r="G154" s="4"/>
      <c r="H154" s="4"/>
      <c r="I154" s="4"/>
      <c r="J154" s="4"/>
      <c r="K154" s="4"/>
      <c r="L154" s="4"/>
      <c r="M154" s="4"/>
      <c r="N154" s="4">
        <v>803</v>
      </c>
      <c r="O154" s="4" t="s">
        <v>1219</v>
      </c>
      <c r="P154" s="4" t="s">
        <v>903</v>
      </c>
      <c r="Q154" s="4" t="s">
        <v>1188</v>
      </c>
      <c r="R154" s="4" t="s">
        <v>1189</v>
      </c>
      <c r="S154" s="4" t="s">
        <v>1190</v>
      </c>
      <c r="T154" s="4" t="s">
        <v>1191</v>
      </c>
      <c r="U154" s="4" t="s">
        <v>1220</v>
      </c>
      <c r="V154" s="4"/>
      <c r="W154" s="4" t="s">
        <v>53</v>
      </c>
      <c r="X154" s="4" t="s">
        <v>54</v>
      </c>
      <c r="Y154" s="4" t="s">
        <v>1213</v>
      </c>
      <c r="Z154" s="4" t="s">
        <v>1214</v>
      </c>
      <c r="AA154" s="4" t="s">
        <v>68</v>
      </c>
      <c r="AB154" s="4"/>
      <c r="AC154" s="4" t="s">
        <v>1215</v>
      </c>
      <c r="AD154" s="4" t="s">
        <v>1139</v>
      </c>
      <c r="AE154" s="4" t="s">
        <v>1220</v>
      </c>
      <c r="AF154" s="13" t="s">
        <v>1220</v>
      </c>
      <c r="AG154" s="4"/>
      <c r="AH154" s="4" t="s">
        <v>1221</v>
      </c>
      <c r="AI154" s="4">
        <v>6</v>
      </c>
      <c r="AJ154" s="4" t="s">
        <v>1222</v>
      </c>
      <c r="AK154" s="4"/>
      <c r="AL154" s="4" t="str">
        <f>VLOOKUP(N154,[1]Sheet1!$N:$AL,25,0)</f>
        <v>42281500  Autoclave and sterilizer equipment and accessories</v>
      </c>
      <c r="AM154" s="4"/>
      <c r="AN154" s="4"/>
      <c r="AO154" s="4"/>
      <c r="AP154" s="1" t="s">
        <v>58</v>
      </c>
      <c r="AQ154" s="1" t="s">
        <v>59</v>
      </c>
    </row>
    <row r="155" customHeight="1" spans="1:43">
      <c r="A155" s="4" t="s">
        <v>43</v>
      </c>
      <c r="B155" s="4">
        <v>190</v>
      </c>
      <c r="C155" s="4" t="s">
        <v>44</v>
      </c>
      <c r="D155" s="4" t="s">
        <v>45</v>
      </c>
      <c r="E155" s="4"/>
      <c r="F155" s="4"/>
      <c r="G155" s="4"/>
      <c r="H155" s="4"/>
      <c r="I155" s="4"/>
      <c r="J155" s="4"/>
      <c r="K155" s="4"/>
      <c r="L155" s="4"/>
      <c r="M155" s="4"/>
      <c r="N155" s="4">
        <v>804</v>
      </c>
      <c r="O155" s="4" t="s">
        <v>1223</v>
      </c>
      <c r="P155" s="4" t="s">
        <v>903</v>
      </c>
      <c r="Q155" s="4" t="s">
        <v>1188</v>
      </c>
      <c r="R155" s="4" t="s">
        <v>1189</v>
      </c>
      <c r="S155" s="4" t="s">
        <v>1190</v>
      </c>
      <c r="T155" s="4" t="s">
        <v>1191</v>
      </c>
      <c r="U155" s="4" t="s">
        <v>1224</v>
      </c>
      <c r="V155" s="4"/>
      <c r="W155" s="4" t="s">
        <v>53</v>
      </c>
      <c r="X155" s="4" t="s">
        <v>54</v>
      </c>
      <c r="Y155" s="4" t="s">
        <v>1213</v>
      </c>
      <c r="Z155" s="4" t="s">
        <v>1214</v>
      </c>
      <c r="AA155" s="4" t="s">
        <v>68</v>
      </c>
      <c r="AB155" s="4"/>
      <c r="AC155" s="4" t="s">
        <v>1215</v>
      </c>
      <c r="AD155" s="4" t="s">
        <v>1139</v>
      </c>
      <c r="AE155" s="4" t="s">
        <v>1224</v>
      </c>
      <c r="AF155" s="13" t="s">
        <v>1224</v>
      </c>
      <c r="AG155" s="4"/>
      <c r="AH155" s="4" t="s">
        <v>1221</v>
      </c>
      <c r="AI155" s="4">
        <v>6</v>
      </c>
      <c r="AJ155" s="4" t="s">
        <v>1225</v>
      </c>
      <c r="AK155" s="4"/>
      <c r="AL155" s="4" t="str">
        <f>VLOOKUP(N155,[1]Sheet1!$N:$AL,25,0)</f>
        <v>42281500  Autoclave and sterilizer equipment and accessories</v>
      </c>
      <c r="AM155" s="4"/>
      <c r="AN155" s="4"/>
      <c r="AO155" s="4"/>
      <c r="AP155" s="1" t="s">
        <v>58</v>
      </c>
      <c r="AQ155" s="1" t="s">
        <v>59</v>
      </c>
    </row>
    <row r="156" customHeight="1" spans="1:43">
      <c r="A156" s="4" t="s">
        <v>43</v>
      </c>
      <c r="B156" s="4">
        <v>190</v>
      </c>
      <c r="C156" s="4" t="s">
        <v>44</v>
      </c>
      <c r="D156" s="4" t="s">
        <v>45</v>
      </c>
      <c r="E156" s="4"/>
      <c r="F156" s="4"/>
      <c r="G156" s="4"/>
      <c r="H156" s="4"/>
      <c r="I156" s="4"/>
      <c r="J156" s="4"/>
      <c r="K156" s="4"/>
      <c r="L156" s="4"/>
      <c r="M156" s="4"/>
      <c r="N156" s="4">
        <v>805</v>
      </c>
      <c r="O156" s="4" t="s">
        <v>1226</v>
      </c>
      <c r="P156" s="4" t="s">
        <v>903</v>
      </c>
      <c r="Q156" s="4" t="s">
        <v>1188</v>
      </c>
      <c r="R156" s="4" t="s">
        <v>1189</v>
      </c>
      <c r="S156" s="4" t="s">
        <v>1190</v>
      </c>
      <c r="T156" s="4" t="s">
        <v>1191</v>
      </c>
      <c r="U156" s="4" t="s">
        <v>1227</v>
      </c>
      <c r="V156" s="4"/>
      <c r="W156" s="4" t="s">
        <v>53</v>
      </c>
      <c r="X156" s="4" t="s">
        <v>54</v>
      </c>
      <c r="Y156" s="4" t="s">
        <v>1213</v>
      </c>
      <c r="Z156" s="4" t="s">
        <v>1214</v>
      </c>
      <c r="AA156" s="4" t="s">
        <v>68</v>
      </c>
      <c r="AB156" s="4"/>
      <c r="AC156" s="4" t="s">
        <v>1215</v>
      </c>
      <c r="AD156" s="4" t="s">
        <v>1139</v>
      </c>
      <c r="AE156" s="4" t="s">
        <v>1227</v>
      </c>
      <c r="AF156" s="13" t="s">
        <v>1227</v>
      </c>
      <c r="AG156" s="4"/>
      <c r="AH156" s="4" t="s">
        <v>1221</v>
      </c>
      <c r="AI156" s="4">
        <v>6</v>
      </c>
      <c r="AJ156" s="4" t="s">
        <v>1228</v>
      </c>
      <c r="AK156" s="4"/>
      <c r="AL156" s="4" t="str">
        <f>VLOOKUP(N156,[1]Sheet1!$N:$AL,25,0)</f>
        <v>42281500  Autoclave and sterilizer equipment and accessories</v>
      </c>
      <c r="AM156" s="4"/>
      <c r="AN156" s="4"/>
      <c r="AO156" s="4"/>
      <c r="AP156" s="1" t="s">
        <v>58</v>
      </c>
      <c r="AQ156" s="1" t="s">
        <v>59</v>
      </c>
    </row>
    <row r="157" customHeight="1" spans="1:43">
      <c r="A157" s="4" t="s">
        <v>43</v>
      </c>
      <c r="B157" s="4">
        <v>190</v>
      </c>
      <c r="C157" s="4" t="s">
        <v>44</v>
      </c>
      <c r="D157" s="4" t="s">
        <v>45</v>
      </c>
      <c r="E157" s="4"/>
      <c r="F157" s="4"/>
      <c r="G157" s="4"/>
      <c r="H157" s="4"/>
      <c r="I157" s="4"/>
      <c r="J157" s="4"/>
      <c r="K157" s="4"/>
      <c r="L157" s="4"/>
      <c r="M157" s="4"/>
      <c r="N157" s="4">
        <v>806</v>
      </c>
      <c r="O157" s="4" t="s">
        <v>1229</v>
      </c>
      <c r="P157" s="4" t="s">
        <v>903</v>
      </c>
      <c r="Q157" s="4" t="s">
        <v>1188</v>
      </c>
      <c r="R157" s="4" t="s">
        <v>1189</v>
      </c>
      <c r="S157" s="4" t="s">
        <v>1190</v>
      </c>
      <c r="T157" s="4" t="s">
        <v>1191</v>
      </c>
      <c r="U157" s="4" t="s">
        <v>1230</v>
      </c>
      <c r="V157" s="4"/>
      <c r="W157" s="4" t="s">
        <v>53</v>
      </c>
      <c r="X157" s="4" t="s">
        <v>54</v>
      </c>
      <c r="Y157" s="4" t="s">
        <v>1213</v>
      </c>
      <c r="Z157" s="4" t="s">
        <v>1214</v>
      </c>
      <c r="AA157" s="4" t="s">
        <v>68</v>
      </c>
      <c r="AB157" s="4"/>
      <c r="AC157" s="4" t="s">
        <v>1215</v>
      </c>
      <c r="AD157" s="4" t="s">
        <v>1139</v>
      </c>
      <c r="AE157" s="4" t="s">
        <v>1230</v>
      </c>
      <c r="AF157" s="13" t="s">
        <v>1230</v>
      </c>
      <c r="AG157" s="4"/>
      <c r="AH157" s="4" t="s">
        <v>1221</v>
      </c>
      <c r="AI157" s="4">
        <v>6</v>
      </c>
      <c r="AJ157" s="4" t="s">
        <v>1231</v>
      </c>
      <c r="AK157" s="4"/>
      <c r="AL157" s="4" t="str">
        <f>VLOOKUP(N157,[1]Sheet1!$N:$AL,25,0)</f>
        <v>42281500  Autoclave and sterilizer equipment and accessories</v>
      </c>
      <c r="AM157" s="4"/>
      <c r="AN157" s="4"/>
      <c r="AO157" s="4"/>
      <c r="AP157" s="1" t="s">
        <v>58</v>
      </c>
      <c r="AQ157" s="1" t="s">
        <v>59</v>
      </c>
    </row>
    <row r="158" customHeight="1" spans="1:43">
      <c r="A158" s="4" t="s">
        <v>43</v>
      </c>
      <c r="B158" s="4">
        <v>190</v>
      </c>
      <c r="C158" s="4" t="s">
        <v>44</v>
      </c>
      <c r="D158" s="4" t="s">
        <v>45</v>
      </c>
      <c r="E158" s="4"/>
      <c r="F158" s="4"/>
      <c r="G158" s="4"/>
      <c r="H158" s="4"/>
      <c r="I158" s="4"/>
      <c r="J158" s="4"/>
      <c r="K158" s="4"/>
      <c r="L158" s="4"/>
      <c r="M158" s="4"/>
      <c r="N158" s="4">
        <v>807</v>
      </c>
      <c r="O158" s="4" t="s">
        <v>1232</v>
      </c>
      <c r="P158" s="4" t="s">
        <v>903</v>
      </c>
      <c r="Q158" s="4" t="s">
        <v>1188</v>
      </c>
      <c r="R158" s="4" t="s">
        <v>1189</v>
      </c>
      <c r="S158" s="4" t="s">
        <v>1190</v>
      </c>
      <c r="T158" s="4" t="s">
        <v>1191</v>
      </c>
      <c r="U158" s="4" t="s">
        <v>1233</v>
      </c>
      <c r="V158" s="4"/>
      <c r="W158" s="4" t="s">
        <v>53</v>
      </c>
      <c r="X158" s="4" t="s">
        <v>54</v>
      </c>
      <c r="Y158" s="4" t="s">
        <v>1213</v>
      </c>
      <c r="Z158" s="4" t="s">
        <v>1214</v>
      </c>
      <c r="AA158" s="4" t="s">
        <v>68</v>
      </c>
      <c r="AB158" s="4"/>
      <c r="AC158" s="4" t="s">
        <v>1215</v>
      </c>
      <c r="AD158" s="4" t="s">
        <v>1139</v>
      </c>
      <c r="AE158" s="4" t="s">
        <v>1233</v>
      </c>
      <c r="AF158" s="13" t="s">
        <v>1233</v>
      </c>
      <c r="AG158" s="4"/>
      <c r="AH158" s="4" t="s">
        <v>1221</v>
      </c>
      <c r="AI158" s="4">
        <v>6</v>
      </c>
      <c r="AJ158" s="4" t="s">
        <v>1234</v>
      </c>
      <c r="AK158" s="4"/>
      <c r="AL158" s="4" t="str">
        <f>VLOOKUP(N158,[1]Sheet1!$N:$AL,25,0)</f>
        <v>42281500  Autoclave and sterilizer equipment and accessories</v>
      </c>
      <c r="AM158" s="4"/>
      <c r="AN158" s="4"/>
      <c r="AO158" s="4"/>
      <c r="AP158" s="1" t="s">
        <v>58</v>
      </c>
      <c r="AQ158" s="1" t="s">
        <v>59</v>
      </c>
    </row>
    <row r="159" customHeight="1" spans="1:43">
      <c r="A159" s="4" t="s">
        <v>43</v>
      </c>
      <c r="B159" s="4">
        <v>190</v>
      </c>
      <c r="C159" s="4" t="s">
        <v>44</v>
      </c>
      <c r="D159" s="4" t="s">
        <v>45</v>
      </c>
      <c r="E159" s="4"/>
      <c r="F159" s="4"/>
      <c r="G159" s="4"/>
      <c r="H159" s="4"/>
      <c r="I159" s="4"/>
      <c r="J159" s="4"/>
      <c r="K159" s="4"/>
      <c r="L159" s="4"/>
      <c r="M159" s="4"/>
      <c r="N159" s="4">
        <v>810</v>
      </c>
      <c r="O159" s="4" t="s">
        <v>1235</v>
      </c>
      <c r="P159" s="4" t="s">
        <v>1236</v>
      </c>
      <c r="Q159" s="4" t="s">
        <v>1188</v>
      </c>
      <c r="R159" s="4" t="s">
        <v>1189</v>
      </c>
      <c r="S159" s="4" t="s">
        <v>1190</v>
      </c>
      <c r="T159" s="4" t="s">
        <v>1191</v>
      </c>
      <c r="U159" s="4" t="s">
        <v>1237</v>
      </c>
      <c r="V159" s="4"/>
      <c r="W159" s="4" t="s">
        <v>53</v>
      </c>
      <c r="X159" s="4" t="s">
        <v>54</v>
      </c>
      <c r="Y159" s="4" t="s">
        <v>1238</v>
      </c>
      <c r="Z159" s="4" t="s">
        <v>1239</v>
      </c>
      <c r="AA159" s="4" t="s">
        <v>68</v>
      </c>
      <c r="AB159" s="4"/>
      <c r="AC159" s="4" t="s">
        <v>1240</v>
      </c>
      <c r="AD159" s="4" t="s">
        <v>1139</v>
      </c>
      <c r="AE159" s="4" t="s">
        <v>1237</v>
      </c>
      <c r="AF159" s="13" t="s">
        <v>1237</v>
      </c>
      <c r="AG159" s="4"/>
      <c r="AH159" s="4" t="s">
        <v>1241</v>
      </c>
      <c r="AI159" s="4">
        <v>2</v>
      </c>
      <c r="AJ159" s="4" t="s">
        <v>1242</v>
      </c>
      <c r="AK159" s="4"/>
      <c r="AL159" s="4" t="str">
        <f>VLOOKUP(N159,[1]Sheet1!$N:$AL,25,0)</f>
        <v>42151620  Dental files or rasps</v>
      </c>
      <c r="AM159" s="4"/>
      <c r="AN159" s="4"/>
      <c r="AO159" s="4"/>
      <c r="AP159" s="1" t="s">
        <v>58</v>
      </c>
      <c r="AQ159" s="1" t="s">
        <v>59</v>
      </c>
    </row>
    <row r="160" customHeight="1" spans="1:43">
      <c r="A160" s="4" t="s">
        <v>43</v>
      </c>
      <c r="B160" s="4">
        <v>190</v>
      </c>
      <c r="C160" s="4" t="s">
        <v>44</v>
      </c>
      <c r="D160" s="4" t="s">
        <v>45</v>
      </c>
      <c r="E160" s="4"/>
      <c r="F160" s="4"/>
      <c r="G160" s="4"/>
      <c r="H160" s="4"/>
      <c r="I160" s="4"/>
      <c r="J160" s="4"/>
      <c r="K160" s="4"/>
      <c r="L160" s="4"/>
      <c r="M160" s="4"/>
      <c r="N160" s="4">
        <v>816</v>
      </c>
      <c r="O160" s="4" t="s">
        <v>1243</v>
      </c>
      <c r="P160" s="4" t="s">
        <v>1244</v>
      </c>
      <c r="Q160" s="4" t="s">
        <v>1188</v>
      </c>
      <c r="R160" s="4" t="s">
        <v>1189</v>
      </c>
      <c r="S160" s="4" t="s">
        <v>1190</v>
      </c>
      <c r="T160" s="4" t="s">
        <v>1191</v>
      </c>
      <c r="U160" s="4" t="s">
        <v>1245</v>
      </c>
      <c r="V160" s="4"/>
      <c r="W160" s="4" t="s">
        <v>53</v>
      </c>
      <c r="X160" s="4" t="s">
        <v>54</v>
      </c>
      <c r="Y160" s="4" t="s">
        <v>1246</v>
      </c>
      <c r="Z160" s="4" t="s">
        <v>1247</v>
      </c>
      <c r="AA160" s="4" t="s">
        <v>68</v>
      </c>
      <c r="AB160" s="4"/>
      <c r="AC160" s="4" t="s">
        <v>1248</v>
      </c>
      <c r="AD160" s="4" t="s">
        <v>1139</v>
      </c>
      <c r="AE160" s="4" t="s">
        <v>1245</v>
      </c>
      <c r="AF160" s="13" t="s">
        <v>1249</v>
      </c>
      <c r="AG160" s="4"/>
      <c r="AH160" s="4" t="s">
        <v>1250</v>
      </c>
      <c r="AI160" s="4">
        <v>11</v>
      </c>
      <c r="AJ160" s="4" t="s">
        <v>1251</v>
      </c>
      <c r="AK160" s="4"/>
      <c r="AL160" s="4" t="str">
        <f>VLOOKUP(N160,[1]Sheet1!$N:$AL,25,0)</f>
        <v>42293504  Ophthalmic irrigation or aspiration supplies</v>
      </c>
      <c r="AM160" s="4"/>
      <c r="AN160" s="4"/>
      <c r="AO160" s="4"/>
      <c r="AP160" s="1" t="s">
        <v>58</v>
      </c>
      <c r="AQ160" s="1" t="s">
        <v>59</v>
      </c>
    </row>
    <row r="161" customHeight="1" spans="1:43">
      <c r="A161" s="4" t="s">
        <v>43</v>
      </c>
      <c r="B161" s="4">
        <v>190</v>
      </c>
      <c r="C161" s="4" t="s">
        <v>44</v>
      </c>
      <c r="D161" s="4" t="s">
        <v>45</v>
      </c>
      <c r="E161" s="4"/>
      <c r="F161" s="4"/>
      <c r="G161" s="4"/>
      <c r="H161" s="4"/>
      <c r="I161" s="4"/>
      <c r="J161" s="4"/>
      <c r="K161" s="4"/>
      <c r="L161" s="4"/>
      <c r="M161" s="4"/>
      <c r="N161" s="4">
        <v>819</v>
      </c>
      <c r="O161" s="4" t="s">
        <v>1252</v>
      </c>
      <c r="P161" s="4" t="s">
        <v>1244</v>
      </c>
      <c r="Q161" s="4" t="s">
        <v>1188</v>
      </c>
      <c r="R161" s="4" t="s">
        <v>1189</v>
      </c>
      <c r="S161" s="4" t="s">
        <v>1190</v>
      </c>
      <c r="T161" s="4" t="s">
        <v>1191</v>
      </c>
      <c r="U161" s="4" t="s">
        <v>1253</v>
      </c>
      <c r="V161" s="4"/>
      <c r="W161" s="4" t="s">
        <v>53</v>
      </c>
      <c r="X161" s="4" t="s">
        <v>54</v>
      </c>
      <c r="Y161" s="4" t="s">
        <v>1254</v>
      </c>
      <c r="Z161" s="4" t="s">
        <v>1255</v>
      </c>
      <c r="AA161" s="4" t="s">
        <v>68</v>
      </c>
      <c r="AB161" s="4"/>
      <c r="AC161" s="4" t="s">
        <v>1256</v>
      </c>
      <c r="AD161" s="4" t="s">
        <v>1139</v>
      </c>
      <c r="AE161" s="4" t="s">
        <v>1253</v>
      </c>
      <c r="AF161" s="13" t="s">
        <v>1257</v>
      </c>
      <c r="AG161" s="4"/>
      <c r="AH161" s="4" t="s">
        <v>1258</v>
      </c>
      <c r="AI161" s="4">
        <v>1</v>
      </c>
      <c r="AJ161" s="4" t="s">
        <v>1259</v>
      </c>
      <c r="AK161" s="4"/>
      <c r="AL161" s="4" t="str">
        <f>VLOOKUP(N161,[1]Sheet1!$N:$AL,25,0)</f>
        <v>42292801  Ophthalmic marking instruments</v>
      </c>
      <c r="AM161" s="4"/>
      <c r="AN161" s="4"/>
      <c r="AO161" s="4"/>
      <c r="AP161" s="1" t="s">
        <v>58</v>
      </c>
      <c r="AQ161" s="1" t="s">
        <v>59</v>
      </c>
    </row>
    <row r="162" customHeight="1" spans="1:43">
      <c r="A162" s="4" t="s">
        <v>43</v>
      </c>
      <c r="B162" s="4">
        <v>190</v>
      </c>
      <c r="C162" s="4" t="s">
        <v>44</v>
      </c>
      <c r="D162" s="4" t="s">
        <v>45</v>
      </c>
      <c r="E162" s="4"/>
      <c r="F162" s="4"/>
      <c r="G162" s="4"/>
      <c r="H162" s="4"/>
      <c r="I162" s="4"/>
      <c r="J162" s="4"/>
      <c r="K162" s="4"/>
      <c r="L162" s="4"/>
      <c r="M162" s="4"/>
      <c r="N162" s="4">
        <v>827</v>
      </c>
      <c r="O162" s="4" t="s">
        <v>1260</v>
      </c>
      <c r="P162" s="4" t="s">
        <v>1261</v>
      </c>
      <c r="Q162" s="4" t="s">
        <v>1188</v>
      </c>
      <c r="R162" s="4" t="s">
        <v>1189</v>
      </c>
      <c r="S162" s="4" t="s">
        <v>1190</v>
      </c>
      <c r="T162" s="4" t="s">
        <v>1191</v>
      </c>
      <c r="U162" s="4" t="s">
        <v>1262</v>
      </c>
      <c r="V162" s="4"/>
      <c r="W162" s="4" t="s">
        <v>53</v>
      </c>
      <c r="X162" s="4" t="s">
        <v>54</v>
      </c>
      <c r="Y162" s="4" t="s">
        <v>1263</v>
      </c>
      <c r="Z162" s="4" t="s">
        <v>1264</v>
      </c>
      <c r="AA162" s="4" t="s">
        <v>68</v>
      </c>
      <c r="AB162" s="4"/>
      <c r="AC162" s="4" t="s">
        <v>1265</v>
      </c>
      <c r="AD162" s="4" t="s">
        <v>1139</v>
      </c>
      <c r="AE162" s="4" t="s">
        <v>1262</v>
      </c>
      <c r="AF162" s="13" t="s">
        <v>1266</v>
      </c>
      <c r="AG162" s="4"/>
      <c r="AH162" s="4" t="s">
        <v>1267</v>
      </c>
      <c r="AI162" s="4">
        <v>3</v>
      </c>
      <c r="AJ162" s="4" t="s">
        <v>1268</v>
      </c>
      <c r="AK162" s="4"/>
      <c r="AL162" s="4" t="str">
        <f>VLOOKUP(N162,[1]Sheet1!$N:$AL,25,0)</f>
        <v>42296805  Ophthalmic surgery instruments</v>
      </c>
      <c r="AM162" s="4"/>
      <c r="AN162" s="4"/>
      <c r="AO162" s="4"/>
      <c r="AP162" s="1" t="s">
        <v>58</v>
      </c>
      <c r="AQ162" s="1" t="s">
        <v>59</v>
      </c>
    </row>
    <row r="163" customHeight="1" spans="1:43">
      <c r="A163" s="4" t="s">
        <v>43</v>
      </c>
      <c r="B163" s="4">
        <v>190</v>
      </c>
      <c r="C163" s="4" t="s">
        <v>44</v>
      </c>
      <c r="D163" s="4" t="s">
        <v>45</v>
      </c>
      <c r="E163" s="4"/>
      <c r="F163" s="4"/>
      <c r="G163" s="4"/>
      <c r="H163" s="4"/>
      <c r="I163" s="4"/>
      <c r="J163" s="4"/>
      <c r="K163" s="4"/>
      <c r="L163" s="4"/>
      <c r="M163" s="4"/>
      <c r="N163" s="4">
        <v>836</v>
      </c>
      <c r="O163" s="4" t="s">
        <v>1269</v>
      </c>
      <c r="P163" s="4" t="s">
        <v>1087</v>
      </c>
      <c r="Q163" s="4" t="s">
        <v>1188</v>
      </c>
      <c r="R163" s="4" t="s">
        <v>1189</v>
      </c>
      <c r="S163" s="4" t="s">
        <v>1190</v>
      </c>
      <c r="T163" s="4" t="s">
        <v>1191</v>
      </c>
      <c r="U163" s="4" t="s">
        <v>1270</v>
      </c>
      <c r="V163" s="4"/>
      <c r="W163" s="4" t="s">
        <v>53</v>
      </c>
      <c r="X163" s="4" t="s">
        <v>54</v>
      </c>
      <c r="Y163" s="4" t="s">
        <v>1193</v>
      </c>
      <c r="Z163" s="4" t="s">
        <v>1194</v>
      </c>
      <c r="AA163" s="4" t="s">
        <v>68</v>
      </c>
      <c r="AB163" s="4"/>
      <c r="AC163" s="4" t="s">
        <v>1195</v>
      </c>
      <c r="AD163" s="4" t="s">
        <v>1139</v>
      </c>
      <c r="AE163" s="4" t="s">
        <v>1270</v>
      </c>
      <c r="AF163" s="13" t="s">
        <v>1270</v>
      </c>
      <c r="AG163" s="4"/>
      <c r="AH163" s="4" t="s">
        <v>290</v>
      </c>
      <c r="AI163" s="4">
        <v>39</v>
      </c>
      <c r="AJ163" s="4" t="s">
        <v>1271</v>
      </c>
      <c r="AK163" s="4"/>
      <c r="AL163" s="4" t="str">
        <f>VLOOKUP(N163,[1]Sheet1!$N:$AL,25,0)</f>
        <v>42292903  Surgical needle holders</v>
      </c>
      <c r="AM163" s="4"/>
      <c r="AN163" s="4"/>
      <c r="AO163" s="4"/>
      <c r="AP163" s="1" t="s">
        <v>58</v>
      </c>
      <c r="AQ163" s="1" t="s">
        <v>59</v>
      </c>
    </row>
    <row r="164" customHeight="1" spans="1:43">
      <c r="A164" s="4" t="s">
        <v>43</v>
      </c>
      <c r="B164" s="4">
        <v>190</v>
      </c>
      <c r="C164" s="4" t="s">
        <v>44</v>
      </c>
      <c r="D164" s="4" t="s">
        <v>45</v>
      </c>
      <c r="E164" s="4"/>
      <c r="F164" s="4"/>
      <c r="G164" s="4"/>
      <c r="H164" s="4"/>
      <c r="I164" s="4"/>
      <c r="J164" s="4"/>
      <c r="K164" s="4"/>
      <c r="L164" s="4"/>
      <c r="M164" s="4"/>
      <c r="N164" s="4">
        <v>837</v>
      </c>
      <c r="O164" s="4" t="s">
        <v>1272</v>
      </c>
      <c r="P164" s="4" t="s">
        <v>1087</v>
      </c>
      <c r="Q164" s="4" t="s">
        <v>1188</v>
      </c>
      <c r="R164" s="4" t="s">
        <v>1189</v>
      </c>
      <c r="S164" s="4" t="s">
        <v>1190</v>
      </c>
      <c r="T164" s="4" t="s">
        <v>1191</v>
      </c>
      <c r="U164" s="4" t="s">
        <v>1273</v>
      </c>
      <c r="V164" s="4"/>
      <c r="W164" s="4" t="s">
        <v>53</v>
      </c>
      <c r="X164" s="4" t="s">
        <v>54</v>
      </c>
      <c r="Y164" s="4" t="s">
        <v>1193</v>
      </c>
      <c r="Z164" s="4" t="s">
        <v>1194</v>
      </c>
      <c r="AA164" s="4" t="s">
        <v>68</v>
      </c>
      <c r="AB164" s="4"/>
      <c r="AC164" s="4" t="s">
        <v>1195</v>
      </c>
      <c r="AD164" s="4" t="s">
        <v>1139</v>
      </c>
      <c r="AE164" s="4" t="s">
        <v>1273</v>
      </c>
      <c r="AF164" s="13" t="s">
        <v>1274</v>
      </c>
      <c r="AG164" s="4"/>
      <c r="AH164" s="4" t="s">
        <v>290</v>
      </c>
      <c r="AI164" s="4">
        <v>39</v>
      </c>
      <c r="AJ164" s="4" t="s">
        <v>1275</v>
      </c>
      <c r="AK164" s="4"/>
      <c r="AL164" s="4" t="str">
        <f>VLOOKUP(N164,[1]Sheet1!$N:$AL,25,0)</f>
        <v>42292903  Surgical needle holders</v>
      </c>
      <c r="AM164" s="4"/>
      <c r="AN164" s="4"/>
      <c r="AO164" s="4"/>
      <c r="AP164" s="1" t="s">
        <v>58</v>
      </c>
      <c r="AQ164" s="1" t="s">
        <v>59</v>
      </c>
    </row>
    <row r="165" customHeight="1" spans="1:43">
      <c r="A165" s="4" t="s">
        <v>43</v>
      </c>
      <c r="B165" s="4">
        <v>190</v>
      </c>
      <c r="C165" s="4" t="s">
        <v>44</v>
      </c>
      <c r="D165" s="4" t="s">
        <v>45</v>
      </c>
      <c r="E165" s="4"/>
      <c r="F165" s="4"/>
      <c r="G165" s="4"/>
      <c r="H165" s="4"/>
      <c r="I165" s="4"/>
      <c r="J165" s="4"/>
      <c r="K165" s="4"/>
      <c r="L165" s="4"/>
      <c r="M165" s="4"/>
      <c r="N165" s="4">
        <v>838</v>
      </c>
      <c r="O165" s="4" t="s">
        <v>1276</v>
      </c>
      <c r="P165" s="4" t="s">
        <v>1277</v>
      </c>
      <c r="Q165" s="4" t="s">
        <v>1188</v>
      </c>
      <c r="R165" s="4" t="s">
        <v>1189</v>
      </c>
      <c r="S165" s="4" t="s">
        <v>1190</v>
      </c>
      <c r="T165" s="4" t="s">
        <v>1191</v>
      </c>
      <c r="U165" s="4" t="s">
        <v>1278</v>
      </c>
      <c r="V165" s="4"/>
      <c r="W165" s="4" t="s">
        <v>53</v>
      </c>
      <c r="X165" s="4" t="s">
        <v>54</v>
      </c>
      <c r="Y165" s="4" t="s">
        <v>793</v>
      </c>
      <c r="Z165" s="4" t="s">
        <v>794</v>
      </c>
      <c r="AA165" s="4" t="s">
        <v>68</v>
      </c>
      <c r="AB165" s="4"/>
      <c r="AC165" s="4" t="s">
        <v>795</v>
      </c>
      <c r="AD165" s="4" t="s">
        <v>1139</v>
      </c>
      <c r="AE165" s="4" t="s">
        <v>1278</v>
      </c>
      <c r="AF165" s="13" t="s">
        <v>1278</v>
      </c>
      <c r="AG165" s="4"/>
      <c r="AH165" s="4" t="s">
        <v>1279</v>
      </c>
      <c r="AI165" s="4">
        <v>2</v>
      </c>
      <c r="AJ165" s="4" t="s">
        <v>1280</v>
      </c>
      <c r="AK165" s="4"/>
      <c r="AL165" s="4" t="str">
        <f>VLOOKUP(N165,[1]Sheet1!$N:$AL,25,0)</f>
        <v>42293001  Surgical calipers or rulers or protractors</v>
      </c>
      <c r="AM165" s="4"/>
      <c r="AN165" s="4"/>
      <c r="AO165" s="4"/>
      <c r="AP165" s="1" t="s">
        <v>58</v>
      </c>
      <c r="AQ165" s="1" t="s">
        <v>59</v>
      </c>
    </row>
    <row r="166" customHeight="1" spans="1:43">
      <c r="A166" s="4" t="s">
        <v>43</v>
      </c>
      <c r="B166" s="4">
        <v>190</v>
      </c>
      <c r="C166" s="4" t="s">
        <v>44</v>
      </c>
      <c r="D166" s="4" t="s">
        <v>45</v>
      </c>
      <c r="E166" s="4"/>
      <c r="F166" s="4"/>
      <c r="G166" s="4"/>
      <c r="H166" s="4"/>
      <c r="I166" s="4"/>
      <c r="J166" s="4"/>
      <c r="K166" s="4"/>
      <c r="L166" s="4"/>
      <c r="M166" s="4"/>
      <c r="N166" s="4">
        <v>842</v>
      </c>
      <c r="O166" s="4" t="s">
        <v>1281</v>
      </c>
      <c r="P166" s="4" t="s">
        <v>1198</v>
      </c>
      <c r="Q166" s="4" t="s">
        <v>1188</v>
      </c>
      <c r="R166" s="4" t="s">
        <v>1189</v>
      </c>
      <c r="S166" s="4" t="s">
        <v>1190</v>
      </c>
      <c r="T166" s="4" t="s">
        <v>1191</v>
      </c>
      <c r="U166" s="4" t="s">
        <v>1282</v>
      </c>
      <c r="V166" s="4"/>
      <c r="W166" s="4" t="s">
        <v>53</v>
      </c>
      <c r="X166" s="4" t="s">
        <v>54</v>
      </c>
      <c r="Y166" s="4" t="s">
        <v>1283</v>
      </c>
      <c r="Z166" s="4" t="s">
        <v>1284</v>
      </c>
      <c r="AA166" s="4" t="s">
        <v>68</v>
      </c>
      <c r="AB166" s="4"/>
      <c r="AC166" s="4" t="s">
        <v>1285</v>
      </c>
      <c r="AD166" s="4" t="s">
        <v>1139</v>
      </c>
      <c r="AE166" s="4" t="s">
        <v>1282</v>
      </c>
      <c r="AF166" s="13" t="s">
        <v>1286</v>
      </c>
      <c r="AG166" s="4"/>
      <c r="AH166" s="4" t="s">
        <v>1287</v>
      </c>
      <c r="AI166" s="4">
        <v>4</v>
      </c>
      <c r="AJ166" s="4" t="s">
        <v>1288</v>
      </c>
      <c r="AK166" s="4"/>
      <c r="AL166" s="4" t="str">
        <f>VLOOKUP(N166,[1]Sheet1!$N:$AL,25,0)</f>
        <v>42281510  Sterilization instrument clips or racks or stringers or holders</v>
      </c>
      <c r="AM166" s="4"/>
      <c r="AN166" s="4"/>
      <c r="AO166" s="4"/>
      <c r="AP166" s="1" t="s">
        <v>58</v>
      </c>
      <c r="AQ166" s="1" t="s">
        <v>59</v>
      </c>
    </row>
    <row r="167" customHeight="1" spans="1:43">
      <c r="A167" s="4" t="s">
        <v>43</v>
      </c>
      <c r="B167" s="4">
        <v>190</v>
      </c>
      <c r="C167" s="4" t="s">
        <v>44</v>
      </c>
      <c r="D167" s="4" t="s">
        <v>45</v>
      </c>
      <c r="E167" s="4"/>
      <c r="F167" s="4"/>
      <c r="G167" s="4"/>
      <c r="H167" s="4"/>
      <c r="I167" s="4"/>
      <c r="J167" s="4"/>
      <c r="K167" s="4"/>
      <c r="L167" s="4"/>
      <c r="M167" s="4"/>
      <c r="N167" s="4">
        <v>843</v>
      </c>
      <c r="O167" s="4" t="s">
        <v>1289</v>
      </c>
      <c r="P167" s="4" t="s">
        <v>1198</v>
      </c>
      <c r="Q167" s="4" t="s">
        <v>1188</v>
      </c>
      <c r="R167" s="4" t="s">
        <v>1189</v>
      </c>
      <c r="S167" s="4" t="s">
        <v>1190</v>
      </c>
      <c r="T167" s="4" t="s">
        <v>1191</v>
      </c>
      <c r="U167" s="4" t="s">
        <v>1290</v>
      </c>
      <c r="V167" s="4"/>
      <c r="W167" s="4" t="s">
        <v>53</v>
      </c>
      <c r="X167" s="4" t="s">
        <v>54</v>
      </c>
      <c r="Y167" s="4" t="s">
        <v>1283</v>
      </c>
      <c r="Z167" s="4" t="s">
        <v>1284</v>
      </c>
      <c r="AA167" s="4" t="s">
        <v>68</v>
      </c>
      <c r="AB167" s="4"/>
      <c r="AC167" s="4" t="s">
        <v>1285</v>
      </c>
      <c r="AD167" s="4" t="s">
        <v>1139</v>
      </c>
      <c r="AE167" s="4" t="s">
        <v>1290</v>
      </c>
      <c r="AF167" s="13" t="s">
        <v>1291</v>
      </c>
      <c r="AG167" s="4"/>
      <c r="AH167" s="4" t="s">
        <v>1287</v>
      </c>
      <c r="AI167" s="4">
        <v>4</v>
      </c>
      <c r="AJ167" s="4" t="s">
        <v>1292</v>
      </c>
      <c r="AK167" s="4"/>
      <c r="AL167" s="4" t="str">
        <f>VLOOKUP(N167,[1]Sheet1!$N:$AL,25,0)</f>
        <v>42281510  Sterilization instrument clips or racks or stringers or holders</v>
      </c>
      <c r="AM167" s="4"/>
      <c r="AN167" s="4"/>
      <c r="AO167" s="4"/>
      <c r="AP167" s="1" t="s">
        <v>58</v>
      </c>
      <c r="AQ167" s="1" t="s">
        <v>59</v>
      </c>
    </row>
    <row r="168" customHeight="1" spans="1:43">
      <c r="A168" s="4" t="s">
        <v>43</v>
      </c>
      <c r="B168" s="4">
        <v>190</v>
      </c>
      <c r="C168" s="4" t="s">
        <v>44</v>
      </c>
      <c r="D168" s="4" t="s">
        <v>45</v>
      </c>
      <c r="E168" s="4"/>
      <c r="F168" s="4"/>
      <c r="G168" s="4"/>
      <c r="H168" s="4"/>
      <c r="I168" s="4"/>
      <c r="J168" s="4"/>
      <c r="K168" s="4"/>
      <c r="L168" s="4"/>
      <c r="M168" s="4"/>
      <c r="N168" s="4">
        <v>769</v>
      </c>
      <c r="O168" s="4" t="s">
        <v>1293</v>
      </c>
      <c r="P168" s="4" t="s">
        <v>546</v>
      </c>
      <c r="Q168" s="4" t="s">
        <v>1149</v>
      </c>
      <c r="R168" s="4" t="s">
        <v>1294</v>
      </c>
      <c r="S168" s="4" t="s">
        <v>1295</v>
      </c>
      <c r="T168" s="4" t="s">
        <v>1152</v>
      </c>
      <c r="U168" s="4" t="s">
        <v>1296</v>
      </c>
      <c r="V168" s="4"/>
      <c r="W168" s="4" t="s">
        <v>53</v>
      </c>
      <c r="X168" s="4" t="s">
        <v>190</v>
      </c>
      <c r="Y168" s="4" t="s">
        <v>691</v>
      </c>
      <c r="Z168" s="4" t="s">
        <v>692</v>
      </c>
      <c r="AA168" s="4" t="s">
        <v>68</v>
      </c>
      <c r="AB168" s="4"/>
      <c r="AC168" s="4" t="s">
        <v>693</v>
      </c>
      <c r="AD168" s="4" t="s">
        <v>1139</v>
      </c>
      <c r="AE168" s="4" t="s">
        <v>1296</v>
      </c>
      <c r="AF168" s="13" t="s">
        <v>1296</v>
      </c>
      <c r="AG168" s="4"/>
      <c r="AH168" s="4" t="s">
        <v>557</v>
      </c>
      <c r="AI168" s="4">
        <v>4</v>
      </c>
      <c r="AJ168" s="4" t="s">
        <v>1297</v>
      </c>
      <c r="AK168" s="4"/>
      <c r="AL168" s="4" t="str">
        <f>VLOOKUP(N168,[1]Sheet1!$N:$AL,25,0)</f>
        <v>42294211  Surgical custom or specialty instrument or procedure sets</v>
      </c>
      <c r="AM168" s="4"/>
      <c r="AN168" s="4"/>
      <c r="AO168" s="4"/>
      <c r="AP168" s="1" t="s">
        <v>58</v>
      </c>
      <c r="AQ168" s="1" t="s">
        <v>59</v>
      </c>
    </row>
    <row r="169" customHeight="1" spans="1:43">
      <c r="A169" s="4" t="s">
        <v>43</v>
      </c>
      <c r="B169" s="4">
        <v>190</v>
      </c>
      <c r="C169" s="4" t="s">
        <v>44</v>
      </c>
      <c r="D169" s="4" t="s">
        <v>45</v>
      </c>
      <c r="E169" s="4"/>
      <c r="F169" s="4"/>
      <c r="G169" s="4"/>
      <c r="H169" s="4"/>
      <c r="I169" s="4"/>
      <c r="J169" s="4"/>
      <c r="K169" s="4"/>
      <c r="L169" s="4"/>
      <c r="M169" s="4"/>
      <c r="N169" s="4">
        <v>849</v>
      </c>
      <c r="O169" s="4" t="s">
        <v>1298</v>
      </c>
      <c r="P169" s="4" t="s">
        <v>1087</v>
      </c>
      <c r="Q169" s="4" t="s">
        <v>1188</v>
      </c>
      <c r="R169" s="4" t="s">
        <v>1189</v>
      </c>
      <c r="S169" s="4" t="s">
        <v>1190</v>
      </c>
      <c r="T169" s="4" t="s">
        <v>1191</v>
      </c>
      <c r="U169" s="4" t="s">
        <v>1299</v>
      </c>
      <c r="V169" s="4"/>
      <c r="W169" s="4" t="s">
        <v>53</v>
      </c>
      <c r="X169" s="4" t="s">
        <v>54</v>
      </c>
      <c r="Y169" s="4" t="s">
        <v>1193</v>
      </c>
      <c r="Z169" s="4" t="s">
        <v>1194</v>
      </c>
      <c r="AA169" s="4" t="s">
        <v>68</v>
      </c>
      <c r="AB169" s="4"/>
      <c r="AC169" s="4" t="s">
        <v>1195</v>
      </c>
      <c r="AD169" s="4" t="s">
        <v>1139</v>
      </c>
      <c r="AE169" s="4" t="s">
        <v>1299</v>
      </c>
      <c r="AF169" s="13" t="s">
        <v>1299</v>
      </c>
      <c r="AG169" s="4"/>
      <c r="AH169" s="4" t="s">
        <v>290</v>
      </c>
      <c r="AI169" s="4">
        <v>39</v>
      </c>
      <c r="AJ169" s="4" t="s">
        <v>1300</v>
      </c>
      <c r="AK169" s="4"/>
      <c r="AL169" s="4" t="str">
        <f>VLOOKUP(N169,[1]Sheet1!$N:$AL,25,0)</f>
        <v>42292903  Surgical needle holders</v>
      </c>
      <c r="AM169" s="4"/>
      <c r="AN169" s="4"/>
      <c r="AO169" s="4"/>
      <c r="AP169" s="1" t="s">
        <v>58</v>
      </c>
      <c r="AQ169" s="1" t="s">
        <v>59</v>
      </c>
    </row>
    <row r="170" customHeight="1" spans="1:43">
      <c r="A170" s="4" t="s">
        <v>43</v>
      </c>
      <c r="B170" s="4">
        <v>190</v>
      </c>
      <c r="C170" s="4" t="s">
        <v>44</v>
      </c>
      <c r="D170" s="4" t="s">
        <v>45</v>
      </c>
      <c r="E170" s="4"/>
      <c r="F170" s="4"/>
      <c r="G170" s="4"/>
      <c r="H170" s="4"/>
      <c r="I170" s="4"/>
      <c r="J170" s="4"/>
      <c r="K170" s="4"/>
      <c r="L170" s="4"/>
      <c r="M170" s="4"/>
      <c r="N170" s="4">
        <v>854</v>
      </c>
      <c r="O170" s="4" t="s">
        <v>1301</v>
      </c>
      <c r="P170" s="4" t="s">
        <v>1302</v>
      </c>
      <c r="Q170" s="4" t="s">
        <v>1188</v>
      </c>
      <c r="R170" s="4" t="s">
        <v>1189</v>
      </c>
      <c r="S170" s="4" t="s">
        <v>1190</v>
      </c>
      <c r="T170" s="4" t="s">
        <v>1191</v>
      </c>
      <c r="U170" s="4" t="s">
        <v>1303</v>
      </c>
      <c r="V170" s="4"/>
      <c r="W170" s="4" t="s">
        <v>53</v>
      </c>
      <c r="X170" s="4" t="s">
        <v>54</v>
      </c>
      <c r="Y170" s="4" t="s">
        <v>1304</v>
      </c>
      <c r="Z170" s="4" t="s">
        <v>1305</v>
      </c>
      <c r="AA170" s="4" t="s">
        <v>68</v>
      </c>
      <c r="AB170" s="4"/>
      <c r="AC170" s="4" t="s">
        <v>1306</v>
      </c>
      <c r="AD170" s="4" t="s">
        <v>1139</v>
      </c>
      <c r="AE170" s="4" t="s">
        <v>1303</v>
      </c>
      <c r="AF170" s="13" t="s">
        <v>1307</v>
      </c>
      <c r="AG170" s="4"/>
      <c r="AH170" s="4" t="s">
        <v>1308</v>
      </c>
      <c r="AI170" s="4">
        <v>2</v>
      </c>
      <c r="AJ170" s="4" t="s">
        <v>1309</v>
      </c>
      <c r="AK170" s="4"/>
      <c r="AL170" s="4" t="str">
        <f>VLOOKUP(N170,[1]Sheet1!$N:$AL,25,0)</f>
        <v>42292702  Surgical elevators or levers</v>
      </c>
      <c r="AM170" s="4"/>
      <c r="AN170" s="4"/>
      <c r="AO170" s="4"/>
      <c r="AP170" s="1" t="s">
        <v>58</v>
      </c>
      <c r="AQ170" s="1" t="s">
        <v>59</v>
      </c>
    </row>
    <row r="171" customHeight="1" spans="1:43">
      <c r="A171" s="4" t="s">
        <v>43</v>
      </c>
      <c r="B171" s="4">
        <v>190</v>
      </c>
      <c r="C171" s="4" t="s">
        <v>44</v>
      </c>
      <c r="D171" s="4" t="s">
        <v>45</v>
      </c>
      <c r="E171" s="4"/>
      <c r="F171" s="4"/>
      <c r="G171" s="4"/>
      <c r="H171" s="4"/>
      <c r="I171" s="4"/>
      <c r="J171" s="4"/>
      <c r="K171" s="4"/>
      <c r="L171" s="4"/>
      <c r="M171" s="4"/>
      <c r="N171" s="4">
        <v>857</v>
      </c>
      <c r="O171" s="4" t="s">
        <v>1310</v>
      </c>
      <c r="P171" s="4" t="s">
        <v>1311</v>
      </c>
      <c r="Q171" s="4" t="s">
        <v>1188</v>
      </c>
      <c r="R171" s="4" t="s">
        <v>1189</v>
      </c>
      <c r="S171" s="4" t="s">
        <v>1190</v>
      </c>
      <c r="T171" s="4" t="s">
        <v>1191</v>
      </c>
      <c r="U171" s="4" t="s">
        <v>1312</v>
      </c>
      <c r="V171" s="4"/>
      <c r="W171" s="4" t="s">
        <v>53</v>
      </c>
      <c r="X171" s="4" t="s">
        <v>54</v>
      </c>
      <c r="Y171" s="4" t="s">
        <v>1313</v>
      </c>
      <c r="Z171" s="4" t="s">
        <v>1314</v>
      </c>
      <c r="AA171" s="4" t="s">
        <v>68</v>
      </c>
      <c r="AB171" s="4"/>
      <c r="AC171" s="4" t="s">
        <v>1315</v>
      </c>
      <c r="AD171" s="4" t="s">
        <v>1139</v>
      </c>
      <c r="AE171" s="4" t="s">
        <v>1312</v>
      </c>
      <c r="AF171" s="13" t="s">
        <v>1316</v>
      </c>
      <c r="AG171" s="4"/>
      <c r="AH171" s="4" t="s">
        <v>1317</v>
      </c>
      <c r="AI171" s="4">
        <v>1</v>
      </c>
      <c r="AJ171" s="4" t="s">
        <v>1318</v>
      </c>
      <c r="AK171" s="4"/>
      <c r="AL171" s="4" t="str">
        <f>VLOOKUP(N171,[1]Sheet1!$N:$AL,25,0)</f>
        <v>42291630  Surgical knife handles</v>
      </c>
      <c r="AM171" s="4"/>
      <c r="AN171" s="4"/>
      <c r="AO171" s="4"/>
      <c r="AP171" s="1" t="s">
        <v>58</v>
      </c>
      <c r="AQ171" s="1" t="s">
        <v>59</v>
      </c>
    </row>
    <row r="172" customHeight="1" spans="1:43">
      <c r="A172" s="4" t="s">
        <v>43</v>
      </c>
      <c r="B172" s="4">
        <v>190</v>
      </c>
      <c r="C172" s="4" t="s">
        <v>44</v>
      </c>
      <c r="D172" s="4" t="s">
        <v>45</v>
      </c>
      <c r="E172" s="4"/>
      <c r="F172" s="4"/>
      <c r="G172" s="4"/>
      <c r="H172" s="4"/>
      <c r="I172" s="4"/>
      <c r="J172" s="4"/>
      <c r="K172" s="4"/>
      <c r="L172" s="4"/>
      <c r="M172" s="4"/>
      <c r="N172" s="4">
        <v>861</v>
      </c>
      <c r="O172" s="4" t="s">
        <v>1319</v>
      </c>
      <c r="P172" s="4" t="s">
        <v>1302</v>
      </c>
      <c r="Q172" s="4" t="s">
        <v>1188</v>
      </c>
      <c r="R172" s="4" t="s">
        <v>1189</v>
      </c>
      <c r="S172" s="4" t="s">
        <v>1190</v>
      </c>
      <c r="T172" s="4" t="s">
        <v>1191</v>
      </c>
      <c r="U172" s="4" t="s">
        <v>1320</v>
      </c>
      <c r="V172" s="4"/>
      <c r="W172" s="4" t="s">
        <v>53</v>
      </c>
      <c r="X172" s="4" t="s">
        <v>54</v>
      </c>
      <c r="Y172" s="4" t="s">
        <v>1304</v>
      </c>
      <c r="Z172" s="4" t="s">
        <v>1305</v>
      </c>
      <c r="AA172" s="4" t="s">
        <v>68</v>
      </c>
      <c r="AB172" s="4"/>
      <c r="AC172" s="4" t="s">
        <v>1306</v>
      </c>
      <c r="AD172" s="4" t="s">
        <v>1139</v>
      </c>
      <c r="AE172" s="4" t="s">
        <v>1320</v>
      </c>
      <c r="AF172" s="13" t="s">
        <v>1321</v>
      </c>
      <c r="AG172" s="4"/>
      <c r="AH172" s="4" t="s">
        <v>1308</v>
      </c>
      <c r="AI172" s="4">
        <v>2</v>
      </c>
      <c r="AJ172" s="4" t="s">
        <v>1322</v>
      </c>
      <c r="AK172" s="4"/>
      <c r="AL172" s="4" t="str">
        <f>VLOOKUP(N172,[1]Sheet1!$N:$AL,25,0)</f>
        <v>42292702  Surgical elevators or levers</v>
      </c>
      <c r="AM172" s="4"/>
      <c r="AN172" s="4"/>
      <c r="AO172" s="4"/>
      <c r="AP172" s="1" t="s">
        <v>58</v>
      </c>
      <c r="AQ172" s="1" t="s">
        <v>59</v>
      </c>
    </row>
    <row r="173" customHeight="1" spans="1:43">
      <c r="A173" s="4" t="s">
        <v>43</v>
      </c>
      <c r="B173" s="4">
        <v>190</v>
      </c>
      <c r="C173" s="4" t="s">
        <v>44</v>
      </c>
      <c r="D173" s="4" t="s">
        <v>45</v>
      </c>
      <c r="E173" s="4"/>
      <c r="F173" s="4"/>
      <c r="G173" s="4"/>
      <c r="H173" s="4"/>
      <c r="I173" s="4"/>
      <c r="J173" s="4"/>
      <c r="K173" s="4"/>
      <c r="L173" s="4"/>
      <c r="M173" s="4"/>
      <c r="N173" s="4">
        <v>895</v>
      </c>
      <c r="O173" s="4" t="s">
        <v>1323</v>
      </c>
      <c r="P173" s="4" t="s">
        <v>1324</v>
      </c>
      <c r="Q173" s="4" t="s">
        <v>1325</v>
      </c>
      <c r="R173" s="4" t="s">
        <v>1326</v>
      </c>
      <c r="S173" s="4" t="s">
        <v>1327</v>
      </c>
      <c r="T173" s="4" t="s">
        <v>1328</v>
      </c>
      <c r="U173" s="4" t="s">
        <v>1329</v>
      </c>
      <c r="V173" s="4"/>
      <c r="W173" s="4" t="s">
        <v>53</v>
      </c>
      <c r="X173" s="4" t="s">
        <v>54</v>
      </c>
      <c r="Y173" s="4" t="s">
        <v>1330</v>
      </c>
      <c r="Z173" s="4" t="s">
        <v>1331</v>
      </c>
      <c r="AA173" s="4" t="s">
        <v>68</v>
      </c>
      <c r="AB173" s="4"/>
      <c r="AC173" s="4" t="s">
        <v>1332</v>
      </c>
      <c r="AD173" s="4" t="s">
        <v>1333</v>
      </c>
      <c r="AE173" s="4" t="s">
        <v>1329</v>
      </c>
      <c r="AF173" s="13" t="s">
        <v>1334</v>
      </c>
      <c r="AG173" s="4"/>
      <c r="AH173" s="4" t="s">
        <v>748</v>
      </c>
      <c r="AI173" s="4">
        <v>10</v>
      </c>
      <c r="AJ173" s="4" t="s">
        <v>1335</v>
      </c>
      <c r="AK173" s="4"/>
      <c r="AL173" s="4" t="str">
        <f>VLOOKUP(N173,[1]Sheet1!$N:$AL,25,0)</f>
        <v>42282002  Disinfectant soaking pans</v>
      </c>
      <c r="AM173" s="4"/>
      <c r="AN173" s="4"/>
      <c r="AO173" s="4"/>
      <c r="AP173" s="1" t="s">
        <v>58</v>
      </c>
      <c r="AQ173" s="1" t="s">
        <v>59</v>
      </c>
    </row>
    <row r="174" customHeight="1" spans="1:43">
      <c r="A174" s="4" t="s">
        <v>43</v>
      </c>
      <c r="B174" s="4">
        <v>190</v>
      </c>
      <c r="C174" s="4" t="s">
        <v>44</v>
      </c>
      <c r="D174" s="4" t="s">
        <v>45</v>
      </c>
      <c r="E174" s="4"/>
      <c r="F174" s="4"/>
      <c r="G174" s="4"/>
      <c r="H174" s="4"/>
      <c r="I174" s="4"/>
      <c r="J174" s="4"/>
      <c r="K174" s="4"/>
      <c r="L174" s="4"/>
      <c r="M174" s="4"/>
      <c r="N174" s="4">
        <v>901</v>
      </c>
      <c r="O174" s="4" t="s">
        <v>1336</v>
      </c>
      <c r="P174" s="4" t="s">
        <v>1337</v>
      </c>
      <c r="Q174" s="4" t="s">
        <v>1338</v>
      </c>
      <c r="R174" s="4" t="s">
        <v>1339</v>
      </c>
      <c r="S174" s="4" t="s">
        <v>1340</v>
      </c>
      <c r="T174" s="4" t="s">
        <v>1341</v>
      </c>
      <c r="U174" s="4" t="s">
        <v>1342</v>
      </c>
      <c r="V174" s="4"/>
      <c r="W174" s="4" t="s">
        <v>53</v>
      </c>
      <c r="X174" s="4" t="s">
        <v>190</v>
      </c>
      <c r="Y174" s="4" t="s">
        <v>1028</v>
      </c>
      <c r="Z174" s="4" t="s">
        <v>1029</v>
      </c>
      <c r="AA174" s="4" t="s">
        <v>68</v>
      </c>
      <c r="AB174" s="4"/>
      <c r="AC174" s="4" t="s">
        <v>1030</v>
      </c>
      <c r="AD174" s="4" t="s">
        <v>1343</v>
      </c>
      <c r="AE174" s="4" t="s">
        <v>1342</v>
      </c>
      <c r="AF174" s="13" t="s">
        <v>1342</v>
      </c>
      <c r="AG174" s="4"/>
      <c r="AH174" s="4" t="s">
        <v>1344</v>
      </c>
      <c r="AI174" s="4">
        <v>1</v>
      </c>
      <c r="AJ174" s="4" t="s">
        <v>1345</v>
      </c>
      <c r="AK174" s="4"/>
      <c r="AL174" s="4" t="str">
        <f>VLOOKUP(N174,[1]Sheet1!$N:$AL,25,0)</f>
        <v>42192001  Medical exam or procedure tables for general use</v>
      </c>
      <c r="AM174" s="4"/>
      <c r="AN174" s="4"/>
      <c r="AO174" s="4"/>
      <c r="AP174" s="1" t="s">
        <v>58</v>
      </c>
      <c r="AQ174" s="1" t="s">
        <v>59</v>
      </c>
    </row>
    <row r="175" customHeight="1" spans="1:43">
      <c r="A175" s="4" t="s">
        <v>43</v>
      </c>
      <c r="B175" s="4">
        <v>190</v>
      </c>
      <c r="C175" s="4" t="s">
        <v>44</v>
      </c>
      <c r="D175" s="4" t="s">
        <v>45</v>
      </c>
      <c r="E175" s="4"/>
      <c r="F175" s="4"/>
      <c r="G175" s="4"/>
      <c r="H175" s="4"/>
      <c r="I175" s="4"/>
      <c r="J175" s="4"/>
      <c r="K175" s="4"/>
      <c r="L175" s="4"/>
      <c r="M175" s="4"/>
      <c r="N175" s="4">
        <v>902</v>
      </c>
      <c r="O175" s="4" t="s">
        <v>1346</v>
      </c>
      <c r="P175" s="4" t="s">
        <v>132</v>
      </c>
      <c r="Q175" s="4" t="s">
        <v>1338</v>
      </c>
      <c r="R175" s="4" t="s">
        <v>1339</v>
      </c>
      <c r="S175" s="4" t="s">
        <v>1340</v>
      </c>
      <c r="T175" s="4" t="s">
        <v>1341</v>
      </c>
      <c r="U175" s="4" t="s">
        <v>1347</v>
      </c>
      <c r="V175" s="4"/>
      <c r="W175" s="4" t="s">
        <v>53</v>
      </c>
      <c r="X175" s="4" t="s">
        <v>54</v>
      </c>
      <c r="Y175" s="4" t="s">
        <v>1348</v>
      </c>
      <c r="Z175" s="4" t="s">
        <v>1349</v>
      </c>
      <c r="AA175" s="4" t="s">
        <v>68</v>
      </c>
      <c r="AB175" s="4"/>
      <c r="AC175" s="4" t="s">
        <v>1350</v>
      </c>
      <c r="AD175" s="4" t="s">
        <v>1343</v>
      </c>
      <c r="AE175" s="4" t="s">
        <v>1347</v>
      </c>
      <c r="AF175" s="13" t="s">
        <v>1347</v>
      </c>
      <c r="AG175" s="4"/>
      <c r="AH175" s="4" t="s">
        <v>1351</v>
      </c>
      <c r="AI175" s="4">
        <v>1</v>
      </c>
      <c r="AJ175" s="4" t="s">
        <v>1352</v>
      </c>
      <c r="AK175" s="4"/>
      <c r="AL175" s="4" t="str">
        <f>VLOOKUP(N175,[1]Sheet1!$N:$AL,25,0)</f>
        <v>42192706  Pediatric examination table accessories</v>
      </c>
      <c r="AM175" s="4"/>
      <c r="AN175" s="4"/>
      <c r="AO175" s="4"/>
      <c r="AP175" s="1" t="s">
        <v>58</v>
      </c>
      <c r="AQ175" s="1" t="s">
        <v>59</v>
      </c>
    </row>
    <row r="176" customHeight="1" spans="1:43">
      <c r="A176" s="4" t="s">
        <v>43</v>
      </c>
      <c r="B176" s="4">
        <v>190</v>
      </c>
      <c r="C176" s="4" t="s">
        <v>44</v>
      </c>
      <c r="D176" s="4" t="s">
        <v>45</v>
      </c>
      <c r="E176" s="4"/>
      <c r="F176" s="4"/>
      <c r="G176" s="4"/>
      <c r="H176" s="4"/>
      <c r="I176" s="4"/>
      <c r="J176" s="4"/>
      <c r="K176" s="4"/>
      <c r="L176" s="4"/>
      <c r="M176" s="4"/>
      <c r="N176" s="4">
        <v>903</v>
      </c>
      <c r="O176" s="4" t="s">
        <v>1353</v>
      </c>
      <c r="P176" s="4" t="s">
        <v>132</v>
      </c>
      <c r="Q176" s="4" t="s">
        <v>1338</v>
      </c>
      <c r="R176" s="4" t="s">
        <v>1339</v>
      </c>
      <c r="S176" s="4" t="s">
        <v>1340</v>
      </c>
      <c r="T176" s="4" t="s">
        <v>1341</v>
      </c>
      <c r="U176" s="4" t="s">
        <v>1354</v>
      </c>
      <c r="V176" s="4"/>
      <c r="W176" s="4" t="s">
        <v>53</v>
      </c>
      <c r="X176" s="4" t="s">
        <v>54</v>
      </c>
      <c r="Y176" s="4" t="s">
        <v>1348</v>
      </c>
      <c r="Z176" s="4" t="s">
        <v>1349</v>
      </c>
      <c r="AA176" s="4" t="s">
        <v>68</v>
      </c>
      <c r="AB176" s="4"/>
      <c r="AC176" s="4" t="s">
        <v>1350</v>
      </c>
      <c r="AD176" s="4" t="s">
        <v>1343</v>
      </c>
      <c r="AE176" s="4" t="s">
        <v>1354</v>
      </c>
      <c r="AF176" s="13" t="s">
        <v>1354</v>
      </c>
      <c r="AG176" s="4"/>
      <c r="AH176" s="4" t="s">
        <v>1355</v>
      </c>
      <c r="AI176" s="4">
        <v>2</v>
      </c>
      <c r="AJ176" s="4" t="s">
        <v>1356</v>
      </c>
      <c r="AK176" s="4"/>
      <c r="AL176" s="4" t="str">
        <f>VLOOKUP(N176,[1]Sheet1!$N:$AL,25,0)</f>
        <v>42192706  Pediatric examination table accessories</v>
      </c>
      <c r="AM176" s="4"/>
      <c r="AN176" s="4"/>
      <c r="AO176" s="4"/>
      <c r="AP176" s="1" t="s">
        <v>58</v>
      </c>
      <c r="AQ176" s="1" t="s">
        <v>59</v>
      </c>
    </row>
    <row r="177" customHeight="1" spans="1:43">
      <c r="A177" s="4" t="s">
        <v>43</v>
      </c>
      <c r="B177" s="4">
        <v>190</v>
      </c>
      <c r="C177" s="4" t="s">
        <v>44</v>
      </c>
      <c r="D177" s="4" t="s">
        <v>45</v>
      </c>
      <c r="E177" s="4"/>
      <c r="F177" s="4"/>
      <c r="G177" s="4"/>
      <c r="H177" s="4"/>
      <c r="I177" s="4"/>
      <c r="J177" s="4"/>
      <c r="K177" s="4"/>
      <c r="L177" s="4"/>
      <c r="M177" s="4"/>
      <c r="N177" s="4">
        <v>904</v>
      </c>
      <c r="O177" s="4" t="s">
        <v>1357</v>
      </c>
      <c r="P177" s="4" t="s">
        <v>1358</v>
      </c>
      <c r="Q177" s="4" t="s">
        <v>1338</v>
      </c>
      <c r="R177" s="4" t="s">
        <v>1339</v>
      </c>
      <c r="S177" s="4" t="s">
        <v>1340</v>
      </c>
      <c r="T177" s="4" t="s">
        <v>1341</v>
      </c>
      <c r="U177" s="4" t="s">
        <v>1359</v>
      </c>
      <c r="V177" s="4"/>
      <c r="W177" s="4" t="s">
        <v>53</v>
      </c>
      <c r="X177" s="4" t="s">
        <v>54</v>
      </c>
      <c r="Y177" s="4" t="s">
        <v>1360</v>
      </c>
      <c r="Z177" s="4" t="s">
        <v>1358</v>
      </c>
      <c r="AA177" s="4" t="s">
        <v>68</v>
      </c>
      <c r="AB177" s="4"/>
      <c r="AC177" s="4" t="s">
        <v>1361</v>
      </c>
      <c r="AD177" s="4" t="s">
        <v>1343</v>
      </c>
      <c r="AE177" s="4" t="s">
        <v>1359</v>
      </c>
      <c r="AF177" s="13" t="s">
        <v>1362</v>
      </c>
      <c r="AG177" s="4"/>
      <c r="AH177" s="4" t="s">
        <v>1363</v>
      </c>
      <c r="AI177" s="4">
        <v>1</v>
      </c>
      <c r="AJ177" s="4" t="s">
        <v>1364</v>
      </c>
      <c r="AK177" s="4"/>
      <c r="AL177" s="4" t="str">
        <f>VLOOKUP(N177,[1]Sheet1!$N:$AL,25,0)</f>
        <v>56101703  Desks</v>
      </c>
      <c r="AM177" s="4"/>
      <c r="AN177" s="4"/>
      <c r="AO177" s="4"/>
      <c r="AP177" s="1" t="s">
        <v>58</v>
      </c>
      <c r="AQ177" s="1" t="s">
        <v>59</v>
      </c>
    </row>
    <row r="178" customHeight="1" spans="1:43">
      <c r="A178" s="4" t="s">
        <v>43</v>
      </c>
      <c r="B178" s="4">
        <v>190</v>
      </c>
      <c r="C178" s="4" t="s">
        <v>44</v>
      </c>
      <c r="D178" s="4" t="s">
        <v>45</v>
      </c>
      <c r="E178" s="4"/>
      <c r="F178" s="4"/>
      <c r="G178" s="4"/>
      <c r="H178" s="4"/>
      <c r="I178" s="4"/>
      <c r="J178" s="4"/>
      <c r="K178" s="4"/>
      <c r="L178" s="4"/>
      <c r="M178" s="4"/>
      <c r="N178" s="4">
        <v>927</v>
      </c>
      <c r="O178" s="4" t="s">
        <v>1365</v>
      </c>
      <c r="P178" s="4" t="s">
        <v>1366</v>
      </c>
      <c r="Q178" s="4" t="s">
        <v>1338</v>
      </c>
      <c r="R178" s="4" t="s">
        <v>1339</v>
      </c>
      <c r="S178" s="4" t="s">
        <v>1340</v>
      </c>
      <c r="T178" s="4" t="s">
        <v>1341</v>
      </c>
      <c r="U178" s="4" t="s">
        <v>1367</v>
      </c>
      <c r="V178" s="4"/>
      <c r="W178" s="4" t="s">
        <v>53</v>
      </c>
      <c r="X178" s="4" t="s">
        <v>54</v>
      </c>
      <c r="Y178" s="4" t="s">
        <v>1028</v>
      </c>
      <c r="Z178" s="4" t="s">
        <v>1029</v>
      </c>
      <c r="AA178" s="4" t="s">
        <v>68</v>
      </c>
      <c r="AB178" s="4"/>
      <c r="AC178" s="4" t="s">
        <v>1030</v>
      </c>
      <c r="AD178" s="4" t="s">
        <v>1343</v>
      </c>
      <c r="AE178" s="4" t="s">
        <v>1367</v>
      </c>
      <c r="AF178" s="13" t="s">
        <v>1368</v>
      </c>
      <c r="AG178" s="4"/>
      <c r="AH178" s="4" t="s">
        <v>1369</v>
      </c>
      <c r="AI178" s="4">
        <v>3</v>
      </c>
      <c r="AJ178" s="4" t="s">
        <v>1370</v>
      </c>
      <c r="AK178" s="4"/>
      <c r="AL178" s="4" t="str">
        <f>VLOOKUP(N178,[1]Sheet1!$N:$AL,25,0)</f>
        <v>42192001  Medical exam or procedure tables for general use</v>
      </c>
      <c r="AM178" s="4"/>
      <c r="AN178" s="4"/>
      <c r="AO178" s="4"/>
      <c r="AP178" s="1" t="s">
        <v>58</v>
      </c>
      <c r="AQ178" s="1" t="s">
        <v>59</v>
      </c>
    </row>
    <row r="179" customHeight="1" spans="1:43">
      <c r="A179" s="4" t="s">
        <v>43</v>
      </c>
      <c r="B179" s="4">
        <v>190</v>
      </c>
      <c r="C179" s="4" t="s">
        <v>44</v>
      </c>
      <c r="D179" s="4" t="s">
        <v>45</v>
      </c>
      <c r="E179" s="4"/>
      <c r="F179" s="4"/>
      <c r="G179" s="4"/>
      <c r="H179" s="4"/>
      <c r="I179" s="4"/>
      <c r="J179" s="4"/>
      <c r="K179" s="4"/>
      <c r="L179" s="4"/>
      <c r="M179" s="4"/>
      <c r="N179" s="4">
        <v>928</v>
      </c>
      <c r="O179" s="4" t="s">
        <v>1371</v>
      </c>
      <c r="P179" s="4" t="s">
        <v>1366</v>
      </c>
      <c r="Q179" s="4" t="s">
        <v>1338</v>
      </c>
      <c r="R179" s="4" t="s">
        <v>1339</v>
      </c>
      <c r="S179" s="4" t="s">
        <v>1340</v>
      </c>
      <c r="T179" s="4" t="s">
        <v>1341</v>
      </c>
      <c r="U179" s="4" t="s">
        <v>1372</v>
      </c>
      <c r="V179" s="4"/>
      <c r="W179" s="4" t="s">
        <v>53</v>
      </c>
      <c r="X179" s="4" t="s">
        <v>54</v>
      </c>
      <c r="Y179" s="4" t="s">
        <v>1010</v>
      </c>
      <c r="Z179" s="4" t="s">
        <v>1011</v>
      </c>
      <c r="AA179" s="4" t="s">
        <v>68</v>
      </c>
      <c r="AB179" s="4"/>
      <c r="AC179" s="4" t="s">
        <v>1012</v>
      </c>
      <c r="AD179" s="4" t="s">
        <v>1343</v>
      </c>
      <c r="AE179" s="4" t="s">
        <v>1372</v>
      </c>
      <c r="AF179" s="13" t="s">
        <v>1373</v>
      </c>
      <c r="AG179" s="4"/>
      <c r="AH179" s="4" t="s">
        <v>1369</v>
      </c>
      <c r="AI179" s="4">
        <v>3</v>
      </c>
      <c r="AJ179" s="4" t="s">
        <v>1374</v>
      </c>
      <c r="AK179" s="4"/>
      <c r="AL179" s="4" t="str">
        <f>VLOOKUP(N179,[1]Sheet1!$N:$AL,25,0)</f>
        <v>42192002  Medical exam or procedure table accessories for general use excluding cover sheets</v>
      </c>
      <c r="AM179" s="4"/>
      <c r="AN179" s="4"/>
      <c r="AO179" s="4"/>
      <c r="AP179" s="1" t="s">
        <v>58</v>
      </c>
      <c r="AQ179" s="1" t="s">
        <v>59</v>
      </c>
    </row>
    <row r="180" customHeight="1" spans="1:43">
      <c r="A180" s="4" t="s">
        <v>43</v>
      </c>
      <c r="B180" s="4">
        <v>190</v>
      </c>
      <c r="C180" s="4" t="s">
        <v>44</v>
      </c>
      <c r="D180" s="4" t="s">
        <v>45</v>
      </c>
      <c r="E180" s="4"/>
      <c r="F180" s="4"/>
      <c r="G180" s="4"/>
      <c r="H180" s="4"/>
      <c r="I180" s="4"/>
      <c r="J180" s="4"/>
      <c r="K180" s="4"/>
      <c r="L180" s="4"/>
      <c r="M180" s="4"/>
      <c r="N180" s="4">
        <v>930</v>
      </c>
      <c r="O180" s="4" t="s">
        <v>1375</v>
      </c>
      <c r="P180" s="4" t="s">
        <v>995</v>
      </c>
      <c r="Q180" s="4" t="s">
        <v>1338</v>
      </c>
      <c r="R180" s="4" t="s">
        <v>1339</v>
      </c>
      <c r="S180" s="4" t="s">
        <v>1340</v>
      </c>
      <c r="T180" s="4" t="s">
        <v>1341</v>
      </c>
      <c r="U180" s="4" t="s">
        <v>1376</v>
      </c>
      <c r="V180" s="4"/>
      <c r="W180" s="4" t="s">
        <v>53</v>
      </c>
      <c r="X180" s="4" t="s">
        <v>54</v>
      </c>
      <c r="Y180" s="4" t="s">
        <v>1377</v>
      </c>
      <c r="Z180" s="4" t="s">
        <v>1378</v>
      </c>
      <c r="AA180" s="4" t="s">
        <v>68</v>
      </c>
      <c r="AB180" s="4"/>
      <c r="AC180" s="4" t="s">
        <v>1379</v>
      </c>
      <c r="AD180" s="4" t="s">
        <v>1343</v>
      </c>
      <c r="AE180" s="4" t="s">
        <v>1376</v>
      </c>
      <c r="AF180" s="13" t="s">
        <v>1380</v>
      </c>
      <c r="AG180" s="4"/>
      <c r="AH180" s="4" t="s">
        <v>1381</v>
      </c>
      <c r="AI180" s="4">
        <v>13</v>
      </c>
      <c r="AJ180" s="4" t="s">
        <v>1382</v>
      </c>
      <c r="AK180" s="4"/>
      <c r="AL180" s="4" t="str">
        <f>VLOOKUP(N180,[1]Sheet1!$N:$AL,25,0)</f>
        <v>42251626  Rehabilitation exercise component accessories</v>
      </c>
      <c r="AM180" s="4"/>
      <c r="AN180" s="4"/>
      <c r="AO180" s="4"/>
      <c r="AP180" s="1" t="s">
        <v>58</v>
      </c>
      <c r="AQ180" s="1" t="s">
        <v>59</v>
      </c>
    </row>
    <row r="181" customHeight="1" spans="1:43">
      <c r="A181" s="4" t="s">
        <v>43</v>
      </c>
      <c r="B181" s="4">
        <v>190</v>
      </c>
      <c r="C181" s="4" t="s">
        <v>44</v>
      </c>
      <c r="D181" s="4" t="s">
        <v>45</v>
      </c>
      <c r="E181" s="4"/>
      <c r="F181" s="4"/>
      <c r="G181" s="4"/>
      <c r="H181" s="4"/>
      <c r="I181" s="4"/>
      <c r="J181" s="4"/>
      <c r="K181" s="4"/>
      <c r="L181" s="4"/>
      <c r="M181" s="4"/>
      <c r="N181" s="4">
        <v>934</v>
      </c>
      <c r="O181" s="4" t="s">
        <v>1383</v>
      </c>
      <c r="P181" s="4" t="s">
        <v>132</v>
      </c>
      <c r="Q181" s="4" t="s">
        <v>1338</v>
      </c>
      <c r="R181" s="4" t="s">
        <v>1339</v>
      </c>
      <c r="S181" s="4" t="s">
        <v>1340</v>
      </c>
      <c r="T181" s="4" t="s">
        <v>1341</v>
      </c>
      <c r="U181" s="4" t="s">
        <v>1384</v>
      </c>
      <c r="V181" s="4"/>
      <c r="W181" s="4" t="s">
        <v>53</v>
      </c>
      <c r="X181" s="4" t="s">
        <v>54</v>
      </c>
      <c r="Y181" s="4" t="s">
        <v>1385</v>
      </c>
      <c r="Z181" s="4" t="s">
        <v>1386</v>
      </c>
      <c r="AA181" s="4" t="s">
        <v>68</v>
      </c>
      <c r="AB181" s="4"/>
      <c r="AC181" s="4" t="s">
        <v>1387</v>
      </c>
      <c r="AD181" s="4" t="s">
        <v>1343</v>
      </c>
      <c r="AE181" s="4" t="s">
        <v>1384</v>
      </c>
      <c r="AF181" s="13" t="s">
        <v>1388</v>
      </c>
      <c r="AG181" s="4"/>
      <c r="AH181" s="4" t="s">
        <v>567</v>
      </c>
      <c r="AI181" s="4">
        <v>39</v>
      </c>
      <c r="AJ181" s="4" t="s">
        <v>1389</v>
      </c>
      <c r="AK181" s="4"/>
      <c r="AL181" s="4" t="str">
        <f>VLOOKUP(N181,[1]Sheet1!$N:$AL,25,0)</f>
        <v>42192109  Blood drawing or phlebotomy chair accessories</v>
      </c>
      <c r="AM181" s="4"/>
      <c r="AN181" s="4"/>
      <c r="AO181" s="4"/>
      <c r="AP181" s="1" t="s">
        <v>58</v>
      </c>
      <c r="AQ181" s="1" t="s">
        <v>59</v>
      </c>
    </row>
    <row r="182" customHeight="1" spans="1:43">
      <c r="A182" s="4" t="s">
        <v>43</v>
      </c>
      <c r="B182" s="4">
        <v>190</v>
      </c>
      <c r="C182" s="4" t="s">
        <v>44</v>
      </c>
      <c r="D182" s="4" t="s">
        <v>45</v>
      </c>
      <c r="E182" s="4"/>
      <c r="F182" s="4"/>
      <c r="G182" s="4"/>
      <c r="H182" s="4"/>
      <c r="I182" s="4"/>
      <c r="J182" s="4"/>
      <c r="K182" s="4"/>
      <c r="L182" s="4"/>
      <c r="M182" s="4"/>
      <c r="N182" s="4">
        <v>935</v>
      </c>
      <c r="O182" s="4" t="s">
        <v>1390</v>
      </c>
      <c r="P182" s="4" t="s">
        <v>132</v>
      </c>
      <c r="Q182" s="4" t="s">
        <v>1338</v>
      </c>
      <c r="R182" s="4" t="s">
        <v>1339</v>
      </c>
      <c r="S182" s="4" t="s">
        <v>1340</v>
      </c>
      <c r="T182" s="4" t="s">
        <v>1341</v>
      </c>
      <c r="U182" s="4" t="s">
        <v>1391</v>
      </c>
      <c r="V182" s="4"/>
      <c r="W182" s="4" t="s">
        <v>53</v>
      </c>
      <c r="X182" s="4" t="s">
        <v>54</v>
      </c>
      <c r="Y182" s="4" t="s">
        <v>1392</v>
      </c>
      <c r="Z182" s="4" t="s">
        <v>1393</v>
      </c>
      <c r="AA182" s="4" t="s">
        <v>68</v>
      </c>
      <c r="AB182" s="4"/>
      <c r="AC182" s="4" t="s">
        <v>1394</v>
      </c>
      <c r="AD182" s="4" t="s">
        <v>1343</v>
      </c>
      <c r="AE182" s="4" t="s">
        <v>1391</v>
      </c>
      <c r="AF182" s="13" t="s">
        <v>1395</v>
      </c>
      <c r="AG182" s="4"/>
      <c r="AH182" s="4" t="s">
        <v>567</v>
      </c>
      <c r="AI182" s="4">
        <v>39</v>
      </c>
      <c r="AJ182" s="4" t="s">
        <v>1396</v>
      </c>
      <c r="AK182" s="4"/>
      <c r="AL182" s="4" t="str">
        <f>VLOOKUP(N182,[1]Sheet1!$N:$AL,25,0)</f>
        <v>42141705  Patient positioning cushion or pad or pillow</v>
      </c>
      <c r="AM182" s="4"/>
      <c r="AN182" s="4"/>
      <c r="AO182" s="4"/>
      <c r="AP182" s="1" t="s">
        <v>58</v>
      </c>
      <c r="AQ182" s="1" t="s">
        <v>59</v>
      </c>
    </row>
    <row r="183" customHeight="1" spans="1:43">
      <c r="A183" s="4" t="s">
        <v>43</v>
      </c>
      <c r="B183" s="4">
        <v>190</v>
      </c>
      <c r="C183" s="4" t="s">
        <v>44</v>
      </c>
      <c r="D183" s="4" t="s">
        <v>45</v>
      </c>
      <c r="E183" s="4"/>
      <c r="F183" s="4"/>
      <c r="G183" s="4"/>
      <c r="H183" s="4"/>
      <c r="I183" s="4"/>
      <c r="J183" s="4"/>
      <c r="K183" s="4"/>
      <c r="L183" s="4"/>
      <c r="M183" s="4"/>
      <c r="N183" s="4">
        <v>967</v>
      </c>
      <c r="O183" s="4" t="s">
        <v>1397</v>
      </c>
      <c r="P183" s="4" t="s">
        <v>188</v>
      </c>
      <c r="Q183" s="4" t="s">
        <v>1338</v>
      </c>
      <c r="R183" s="4" t="s">
        <v>1339</v>
      </c>
      <c r="S183" s="4" t="s">
        <v>1340</v>
      </c>
      <c r="T183" s="4" t="s">
        <v>1341</v>
      </c>
      <c r="U183" s="4" t="s">
        <v>1398</v>
      </c>
      <c r="V183" s="4"/>
      <c r="W183" s="4" t="s">
        <v>53</v>
      </c>
      <c r="X183" s="4" t="s">
        <v>54</v>
      </c>
      <c r="Y183" s="4" t="s">
        <v>191</v>
      </c>
      <c r="Z183" s="4" t="s">
        <v>192</v>
      </c>
      <c r="AA183" s="4" t="s">
        <v>68</v>
      </c>
      <c r="AB183" s="4"/>
      <c r="AC183" s="4" t="s">
        <v>193</v>
      </c>
      <c r="AD183" s="4" t="s">
        <v>1343</v>
      </c>
      <c r="AE183" s="4" t="s">
        <v>1398</v>
      </c>
      <c r="AF183" s="13" t="s">
        <v>1399</v>
      </c>
      <c r="AG183" s="4"/>
      <c r="AH183" s="4" t="s">
        <v>195</v>
      </c>
      <c r="AI183" s="4">
        <v>28</v>
      </c>
      <c r="AJ183" s="4" t="s">
        <v>1400</v>
      </c>
      <c r="AK183" s="4"/>
      <c r="AL183" s="4" t="str">
        <f>VLOOKUP(N183,[1]Sheet1!$N:$AL,25,0)</f>
        <v>42191905  Medical treatment cabinets</v>
      </c>
      <c r="AM183" s="4"/>
      <c r="AN183" s="4"/>
      <c r="AO183" s="4"/>
      <c r="AP183" s="1" t="s">
        <v>58</v>
      </c>
      <c r="AQ183" s="1" t="s">
        <v>59</v>
      </c>
    </row>
    <row r="184" customHeight="1" spans="1:43">
      <c r="A184" s="4" t="s">
        <v>43</v>
      </c>
      <c r="B184" s="4">
        <v>190</v>
      </c>
      <c r="C184" s="4" t="s">
        <v>44</v>
      </c>
      <c r="D184" s="4" t="s">
        <v>45</v>
      </c>
      <c r="E184" s="4"/>
      <c r="F184" s="4"/>
      <c r="G184" s="4"/>
      <c r="H184" s="4"/>
      <c r="I184" s="4"/>
      <c r="J184" s="4"/>
      <c r="K184" s="4"/>
      <c r="L184" s="4"/>
      <c r="M184" s="4"/>
      <c r="N184" s="4">
        <v>981</v>
      </c>
      <c r="O184" s="4" t="s">
        <v>1401</v>
      </c>
      <c r="P184" s="4" t="s">
        <v>132</v>
      </c>
      <c r="Q184" s="4" t="s">
        <v>1338</v>
      </c>
      <c r="R184" s="4" t="s">
        <v>1339</v>
      </c>
      <c r="S184" s="4" t="s">
        <v>1340</v>
      </c>
      <c r="T184" s="4" t="s">
        <v>1341</v>
      </c>
      <c r="U184" s="4" t="s">
        <v>1402</v>
      </c>
      <c r="V184" s="4"/>
      <c r="W184" s="4" t="s">
        <v>53</v>
      </c>
      <c r="X184" s="4" t="s">
        <v>54</v>
      </c>
      <c r="Y184" s="4" t="s">
        <v>1348</v>
      </c>
      <c r="Z184" s="4" t="s">
        <v>1349</v>
      </c>
      <c r="AA184" s="4" t="s">
        <v>68</v>
      </c>
      <c r="AB184" s="4"/>
      <c r="AC184" s="4" t="s">
        <v>1350</v>
      </c>
      <c r="AD184" s="4" t="s">
        <v>1343</v>
      </c>
      <c r="AE184" s="4" t="s">
        <v>1402</v>
      </c>
      <c r="AF184" s="13" t="s">
        <v>1403</v>
      </c>
      <c r="AG184" s="4"/>
      <c r="AH184" s="4" t="s">
        <v>1355</v>
      </c>
      <c r="AI184" s="4">
        <v>2</v>
      </c>
      <c r="AJ184" s="4" t="s">
        <v>1404</v>
      </c>
      <c r="AK184" s="4"/>
      <c r="AL184" s="4" t="str">
        <f>VLOOKUP(N184,[1]Sheet1!$N:$AL,25,0)</f>
        <v>42192706  Pediatric examination table accessories</v>
      </c>
      <c r="AM184" s="4"/>
      <c r="AN184" s="4"/>
      <c r="AO184" s="4"/>
      <c r="AP184" s="1" t="s">
        <v>58</v>
      </c>
      <c r="AQ184" s="1" t="s">
        <v>59</v>
      </c>
    </row>
    <row r="185" customHeight="1" spans="1:43">
      <c r="A185" s="4" t="s">
        <v>43</v>
      </c>
      <c r="B185" s="4">
        <v>190</v>
      </c>
      <c r="C185" s="4" t="s">
        <v>44</v>
      </c>
      <c r="D185" s="4" t="s">
        <v>45</v>
      </c>
      <c r="E185" s="4"/>
      <c r="F185" s="4"/>
      <c r="G185" s="4"/>
      <c r="H185" s="4"/>
      <c r="I185" s="4"/>
      <c r="J185" s="4"/>
      <c r="K185" s="4"/>
      <c r="L185" s="4"/>
      <c r="M185" s="4"/>
      <c r="N185" s="4">
        <v>991</v>
      </c>
      <c r="O185" s="4" t="s">
        <v>1405</v>
      </c>
      <c r="P185" s="4" t="s">
        <v>617</v>
      </c>
      <c r="Q185" s="4" t="s">
        <v>1406</v>
      </c>
      <c r="R185" s="4" t="s">
        <v>1407</v>
      </c>
      <c r="S185" s="4" t="s">
        <v>1408</v>
      </c>
      <c r="T185" s="4" t="s">
        <v>1409</v>
      </c>
      <c r="U185" s="4" t="s">
        <v>1410</v>
      </c>
      <c r="V185" s="4"/>
      <c r="W185" s="4" t="s">
        <v>53</v>
      </c>
      <c r="X185" s="4" t="s">
        <v>54</v>
      </c>
      <c r="Y185" s="4" t="s">
        <v>1411</v>
      </c>
      <c r="Z185" s="4" t="s">
        <v>1412</v>
      </c>
      <c r="AA185" s="4" t="s">
        <v>68</v>
      </c>
      <c r="AB185" s="4"/>
      <c r="AC185" s="4" t="s">
        <v>1413</v>
      </c>
      <c r="AD185" s="4" t="s">
        <v>1414</v>
      </c>
      <c r="AE185" s="4" t="s">
        <v>1410</v>
      </c>
      <c r="AF185" s="13" t="s">
        <v>1410</v>
      </c>
      <c r="AG185" s="4"/>
      <c r="AH185" s="4" t="s">
        <v>1415</v>
      </c>
      <c r="AI185" s="4">
        <v>1</v>
      </c>
      <c r="AJ185" s="4" t="s">
        <v>1416</v>
      </c>
      <c r="AK185" s="4"/>
      <c r="AL185" s="4" t="str">
        <f>VLOOKUP(N185,[1]Sheet1!$N:$AL,25,0)</f>
        <v>42221500  Intravenous and arterial cannulas and catheters and accessories</v>
      </c>
      <c r="AM185" s="4"/>
      <c r="AN185" s="4"/>
      <c r="AO185" s="4"/>
      <c r="AP185" s="1" t="s">
        <v>58</v>
      </c>
      <c r="AQ185" s="1" t="s">
        <v>59</v>
      </c>
    </row>
    <row r="186" customHeight="1" spans="1:43">
      <c r="A186" s="4" t="s">
        <v>43</v>
      </c>
      <c r="B186" s="4">
        <v>190</v>
      </c>
      <c r="C186" s="4" t="s">
        <v>44</v>
      </c>
      <c r="D186" s="4" t="s">
        <v>45</v>
      </c>
      <c r="E186" s="4"/>
      <c r="F186" s="4"/>
      <c r="G186" s="4"/>
      <c r="H186" s="4"/>
      <c r="I186" s="4"/>
      <c r="J186" s="4"/>
      <c r="K186" s="4"/>
      <c r="L186" s="4"/>
      <c r="M186" s="4"/>
      <c r="N186" s="4">
        <v>4658</v>
      </c>
      <c r="O186" s="4" t="s">
        <v>1417</v>
      </c>
      <c r="P186" s="4" t="s">
        <v>1418</v>
      </c>
      <c r="Q186" s="4" t="s">
        <v>1419</v>
      </c>
      <c r="R186" s="4" t="s">
        <v>1420</v>
      </c>
      <c r="S186" s="4" t="s">
        <v>1421</v>
      </c>
      <c r="T186" s="4" t="s">
        <v>1422</v>
      </c>
      <c r="U186" s="4" t="s">
        <v>1423</v>
      </c>
      <c r="V186" s="4"/>
      <c r="W186" s="4" t="s">
        <v>53</v>
      </c>
      <c r="X186" s="4" t="s">
        <v>54</v>
      </c>
      <c r="Y186" s="4" t="s">
        <v>1424</v>
      </c>
      <c r="Z186" s="4" t="s">
        <v>1425</v>
      </c>
      <c r="AA186" s="4" t="s">
        <v>68</v>
      </c>
      <c r="AB186" s="4"/>
      <c r="AC186" s="4" t="s">
        <v>1426</v>
      </c>
      <c r="AD186" s="4" t="s">
        <v>1427</v>
      </c>
      <c r="AE186" s="4" t="s">
        <v>1423</v>
      </c>
      <c r="AF186" s="13" t="s">
        <v>1428</v>
      </c>
      <c r="AG186" s="4"/>
      <c r="AH186" s="4" t="s">
        <v>1429</v>
      </c>
      <c r="AI186" s="4">
        <v>2</v>
      </c>
      <c r="AJ186" s="4" t="s">
        <v>1430</v>
      </c>
      <c r="AK186" s="4"/>
      <c r="AL186" s="4" t="str">
        <f>VLOOKUP(N186,[1]Sheet1!$N:$AL,25,0)</f>
        <v>42192208  Wheelchair accessories</v>
      </c>
      <c r="AM186" s="4"/>
      <c r="AN186" s="4"/>
      <c r="AO186" s="4"/>
      <c r="AP186" s="1" t="s">
        <v>58</v>
      </c>
      <c r="AQ186" s="1" t="s">
        <v>59</v>
      </c>
    </row>
    <row r="187" customHeight="1" spans="1:43">
      <c r="A187" s="4" t="s">
        <v>43</v>
      </c>
      <c r="B187" s="4">
        <v>190</v>
      </c>
      <c r="C187" s="4" t="s">
        <v>44</v>
      </c>
      <c r="D187" s="4" t="s">
        <v>45</v>
      </c>
      <c r="E187" s="4"/>
      <c r="F187" s="4"/>
      <c r="G187" s="4"/>
      <c r="H187" s="4"/>
      <c r="I187" s="4"/>
      <c r="J187" s="4"/>
      <c r="K187" s="4"/>
      <c r="L187" s="4"/>
      <c r="M187" s="4"/>
      <c r="N187" s="4">
        <v>4659</v>
      </c>
      <c r="O187" s="4" t="s">
        <v>1431</v>
      </c>
      <c r="P187" s="4" t="s">
        <v>1418</v>
      </c>
      <c r="Q187" s="4" t="s">
        <v>1419</v>
      </c>
      <c r="R187" s="4" t="s">
        <v>1420</v>
      </c>
      <c r="S187" s="4" t="s">
        <v>1421</v>
      </c>
      <c r="T187" s="4" t="s">
        <v>1422</v>
      </c>
      <c r="U187" s="4" t="s">
        <v>1432</v>
      </c>
      <c r="V187" s="4"/>
      <c r="W187" s="4" t="s">
        <v>53</v>
      </c>
      <c r="X187" s="4" t="s">
        <v>54</v>
      </c>
      <c r="Y187" s="4" t="s">
        <v>1424</v>
      </c>
      <c r="Z187" s="4" t="s">
        <v>1425</v>
      </c>
      <c r="AA187" s="4" t="s">
        <v>68</v>
      </c>
      <c r="AB187" s="4"/>
      <c r="AC187" s="4" t="s">
        <v>1426</v>
      </c>
      <c r="AD187" s="4" t="s">
        <v>1427</v>
      </c>
      <c r="AE187" s="4" t="s">
        <v>1432</v>
      </c>
      <c r="AF187" s="13" t="s">
        <v>1432</v>
      </c>
      <c r="AG187" s="4"/>
      <c r="AH187" s="4" t="s">
        <v>567</v>
      </c>
      <c r="AI187" s="4">
        <v>39</v>
      </c>
      <c r="AJ187" s="4" t="s">
        <v>1433</v>
      </c>
      <c r="AK187" s="4"/>
      <c r="AL187" s="4" t="str">
        <f>VLOOKUP(N187,[1]Sheet1!$N:$AL,25,0)</f>
        <v>42192208  Wheelchair accessories</v>
      </c>
      <c r="AM187" s="4"/>
      <c r="AN187" s="4"/>
      <c r="AO187" s="4"/>
      <c r="AP187" s="1" t="s">
        <v>58</v>
      </c>
      <c r="AQ187" s="1" t="s">
        <v>59</v>
      </c>
    </row>
    <row r="188" customHeight="1" spans="1:43">
      <c r="A188" s="4" t="s">
        <v>43</v>
      </c>
      <c r="B188" s="4">
        <v>190</v>
      </c>
      <c r="C188" s="4" t="s">
        <v>44</v>
      </c>
      <c r="D188" s="4" t="s">
        <v>45</v>
      </c>
      <c r="E188" s="4"/>
      <c r="F188" s="4"/>
      <c r="G188" s="4"/>
      <c r="H188" s="4"/>
      <c r="I188" s="4"/>
      <c r="J188" s="4"/>
      <c r="K188" s="4"/>
      <c r="L188" s="4"/>
      <c r="M188" s="4"/>
      <c r="N188" s="4">
        <v>1059</v>
      </c>
      <c r="O188" s="4" t="s">
        <v>1434</v>
      </c>
      <c r="P188" s="4" t="s">
        <v>727</v>
      </c>
      <c r="Q188" s="4" t="s">
        <v>1435</v>
      </c>
      <c r="R188" s="4" t="s">
        <v>1436</v>
      </c>
      <c r="S188" s="4" t="s">
        <v>1437</v>
      </c>
      <c r="T188" s="4" t="s">
        <v>1438</v>
      </c>
      <c r="U188" s="4" t="s">
        <v>1439</v>
      </c>
      <c r="V188" s="4"/>
      <c r="W188" s="4" t="s">
        <v>53</v>
      </c>
      <c r="X188" s="4" t="s">
        <v>54</v>
      </c>
      <c r="Y188" s="4" t="s">
        <v>733</v>
      </c>
      <c r="Z188" s="4" t="s">
        <v>734</v>
      </c>
      <c r="AA188" s="4" t="s">
        <v>68</v>
      </c>
      <c r="AB188" s="4"/>
      <c r="AC188" s="4" t="s">
        <v>735</v>
      </c>
      <c r="AD188" s="4" t="s">
        <v>1440</v>
      </c>
      <c r="AE188" s="4" t="s">
        <v>1439</v>
      </c>
      <c r="AF188" s="13" t="s">
        <v>1439</v>
      </c>
      <c r="AG188" s="4"/>
      <c r="AH188" s="4" t="s">
        <v>290</v>
      </c>
      <c r="AI188" s="4">
        <v>39</v>
      </c>
      <c r="AJ188" s="4" t="s">
        <v>1441</v>
      </c>
      <c r="AK188" s="4"/>
      <c r="AL188" s="4" t="str">
        <f>VLOOKUP(N188,[1]Sheet1!$N:$AL,25,0)</f>
        <v>42142504  Biopsy needles</v>
      </c>
      <c r="AM188" s="4"/>
      <c r="AN188" s="4"/>
      <c r="AO188" s="4"/>
      <c r="AP188" s="1" t="s">
        <v>58</v>
      </c>
      <c r="AQ188" s="1" t="s">
        <v>59</v>
      </c>
    </row>
    <row r="189" customHeight="1" spans="1:43">
      <c r="A189" s="4" t="s">
        <v>43</v>
      </c>
      <c r="B189" s="4">
        <v>190</v>
      </c>
      <c r="C189" s="4" t="s">
        <v>44</v>
      </c>
      <c r="D189" s="4" t="s">
        <v>45</v>
      </c>
      <c r="E189" s="4"/>
      <c r="F189" s="4"/>
      <c r="G189" s="4"/>
      <c r="H189" s="4"/>
      <c r="I189" s="4"/>
      <c r="J189" s="4"/>
      <c r="K189" s="4"/>
      <c r="L189" s="4"/>
      <c r="M189" s="4"/>
      <c r="N189" s="4">
        <v>1065</v>
      </c>
      <c r="O189" s="4" t="s">
        <v>1442</v>
      </c>
      <c r="P189" s="4" t="s">
        <v>1443</v>
      </c>
      <c r="Q189" s="4" t="s">
        <v>1444</v>
      </c>
      <c r="R189" s="4" t="s">
        <v>1445</v>
      </c>
      <c r="S189" s="4" t="s">
        <v>1446</v>
      </c>
      <c r="T189" s="4" t="s">
        <v>1447</v>
      </c>
      <c r="U189" s="4" t="s">
        <v>1448</v>
      </c>
      <c r="V189" s="4"/>
      <c r="W189" s="4" t="s">
        <v>53</v>
      </c>
      <c r="X189" s="4" t="s">
        <v>54</v>
      </c>
      <c r="Y189" s="4" t="s">
        <v>1449</v>
      </c>
      <c r="Z189" s="4" t="s">
        <v>1450</v>
      </c>
      <c r="AA189" s="4" t="s">
        <v>68</v>
      </c>
      <c r="AB189" s="4"/>
      <c r="AC189" s="4" t="s">
        <v>1451</v>
      </c>
      <c r="AD189" s="4" t="s">
        <v>1452</v>
      </c>
      <c r="AE189" s="4" t="s">
        <v>1448</v>
      </c>
      <c r="AF189" s="13" t="s">
        <v>1453</v>
      </c>
      <c r="AG189" s="4"/>
      <c r="AH189" s="4" t="s">
        <v>1267</v>
      </c>
      <c r="AI189" s="4">
        <v>3</v>
      </c>
      <c r="AJ189" s="4" t="s">
        <v>1454</v>
      </c>
      <c r="AK189" s="4"/>
      <c r="AL189" s="4" t="str">
        <f>VLOOKUP(N189,[1]Sheet1!$N:$AL,25,0)</f>
        <v>42293102  Surgical retraction hooks</v>
      </c>
      <c r="AM189" s="4"/>
      <c r="AN189" s="4"/>
      <c r="AO189" s="4"/>
      <c r="AP189" s="1" t="s">
        <v>58</v>
      </c>
      <c r="AQ189" s="1" t="s">
        <v>59</v>
      </c>
    </row>
    <row r="190" customHeight="1" spans="1:43">
      <c r="A190" s="4" t="s">
        <v>43</v>
      </c>
      <c r="B190" s="4">
        <v>190</v>
      </c>
      <c r="C190" s="4" t="s">
        <v>44</v>
      </c>
      <c r="D190" s="4" t="s">
        <v>45</v>
      </c>
      <c r="E190" s="4"/>
      <c r="F190" s="4"/>
      <c r="G190" s="4"/>
      <c r="H190" s="4"/>
      <c r="I190" s="4"/>
      <c r="J190" s="4"/>
      <c r="K190" s="4"/>
      <c r="L190" s="4"/>
      <c r="M190" s="4"/>
      <c r="N190" s="4">
        <v>1084</v>
      </c>
      <c r="O190" s="4" t="s">
        <v>1455</v>
      </c>
      <c r="P190" s="4" t="s">
        <v>1456</v>
      </c>
      <c r="Q190" s="4" t="s">
        <v>1457</v>
      </c>
      <c r="R190" s="4" t="s">
        <v>1458</v>
      </c>
      <c r="S190" s="4" t="s">
        <v>1459</v>
      </c>
      <c r="T190" s="4" t="s">
        <v>1460</v>
      </c>
      <c r="U190" s="4" t="s">
        <v>1461</v>
      </c>
      <c r="V190" s="4"/>
      <c r="W190" s="4" t="s">
        <v>53</v>
      </c>
      <c r="X190" s="4" t="s">
        <v>54</v>
      </c>
      <c r="Y190" s="4" t="s">
        <v>1462</v>
      </c>
      <c r="Z190" s="4" t="s">
        <v>1463</v>
      </c>
      <c r="AA190" s="4" t="s">
        <v>68</v>
      </c>
      <c r="AB190" s="4"/>
      <c r="AC190" s="4" t="s">
        <v>1464</v>
      </c>
      <c r="AD190" s="4" t="s">
        <v>1465</v>
      </c>
      <c r="AE190" s="4" t="s">
        <v>1461</v>
      </c>
      <c r="AF190" s="13" t="s">
        <v>1461</v>
      </c>
      <c r="AG190" s="4"/>
      <c r="AH190" s="4" t="s">
        <v>1466</v>
      </c>
      <c r="AI190" s="4">
        <v>6</v>
      </c>
      <c r="AJ190" s="4" t="s">
        <v>1467</v>
      </c>
      <c r="AK190" s="4"/>
      <c r="AL190" s="4" t="str">
        <f>VLOOKUP(N190,[1]Sheet1!$N:$AL,25,0)</f>
        <v>53131648  Insect repellant</v>
      </c>
      <c r="AM190" s="4"/>
      <c r="AN190" s="4"/>
      <c r="AO190" s="4"/>
      <c r="AP190" s="1" t="s">
        <v>58</v>
      </c>
      <c r="AQ190" s="1" t="s">
        <v>59</v>
      </c>
    </row>
    <row r="191" customHeight="1" spans="1:43">
      <c r="A191" s="4" t="s">
        <v>43</v>
      </c>
      <c r="B191" s="4">
        <v>190</v>
      </c>
      <c r="C191" s="4" t="s">
        <v>44</v>
      </c>
      <c r="D191" s="4" t="s">
        <v>45</v>
      </c>
      <c r="E191" s="4"/>
      <c r="F191" s="4"/>
      <c r="G191" s="4"/>
      <c r="H191" s="4"/>
      <c r="I191" s="4"/>
      <c r="J191" s="4"/>
      <c r="K191" s="4"/>
      <c r="L191" s="4"/>
      <c r="M191" s="4"/>
      <c r="N191" s="4">
        <v>1085</v>
      </c>
      <c r="O191" s="4" t="s">
        <v>1468</v>
      </c>
      <c r="P191" s="4" t="s">
        <v>1456</v>
      </c>
      <c r="Q191" s="4" t="s">
        <v>1457</v>
      </c>
      <c r="R191" s="4" t="s">
        <v>1458</v>
      </c>
      <c r="S191" s="4" t="s">
        <v>1459</v>
      </c>
      <c r="T191" s="4" t="s">
        <v>1460</v>
      </c>
      <c r="U191" s="4" t="s">
        <v>1469</v>
      </c>
      <c r="V191" s="4"/>
      <c r="W191" s="4" t="s">
        <v>53</v>
      </c>
      <c r="X191" s="4" t="s">
        <v>54</v>
      </c>
      <c r="Y191" s="4" t="s">
        <v>1462</v>
      </c>
      <c r="Z191" s="4" t="s">
        <v>1463</v>
      </c>
      <c r="AA191" s="4" t="s">
        <v>68</v>
      </c>
      <c r="AB191" s="4"/>
      <c r="AC191" s="4" t="s">
        <v>1464</v>
      </c>
      <c r="AD191" s="4" t="s">
        <v>1465</v>
      </c>
      <c r="AE191" s="4" t="s">
        <v>1469</v>
      </c>
      <c r="AF191" s="13" t="s">
        <v>1469</v>
      </c>
      <c r="AG191" s="4"/>
      <c r="AH191" s="4" t="s">
        <v>1466</v>
      </c>
      <c r="AI191" s="4">
        <v>6</v>
      </c>
      <c r="AJ191" s="4" t="s">
        <v>1470</v>
      </c>
      <c r="AK191" s="4"/>
      <c r="AL191" s="4" t="str">
        <f>VLOOKUP(N191,[1]Sheet1!$N:$AL,25,0)</f>
        <v>53131648  Insect repellant</v>
      </c>
      <c r="AM191" s="4"/>
      <c r="AN191" s="4"/>
      <c r="AO191" s="4"/>
      <c r="AP191" s="1" t="s">
        <v>58</v>
      </c>
      <c r="AQ191" s="1" t="s">
        <v>59</v>
      </c>
    </row>
    <row r="192" customHeight="1" spans="1:43">
      <c r="A192" s="4" t="s">
        <v>43</v>
      </c>
      <c r="B192" s="4">
        <v>190</v>
      </c>
      <c r="C192" s="4" t="s">
        <v>44</v>
      </c>
      <c r="D192" s="4" t="s">
        <v>45</v>
      </c>
      <c r="E192" s="4"/>
      <c r="F192" s="4"/>
      <c r="G192" s="4"/>
      <c r="H192" s="4"/>
      <c r="I192" s="4"/>
      <c r="J192" s="4"/>
      <c r="K192" s="4"/>
      <c r="L192" s="4"/>
      <c r="M192" s="4"/>
      <c r="N192" s="4">
        <v>1086</v>
      </c>
      <c r="O192" s="4" t="s">
        <v>1471</v>
      </c>
      <c r="P192" s="4" t="s">
        <v>1456</v>
      </c>
      <c r="Q192" s="4" t="s">
        <v>1457</v>
      </c>
      <c r="R192" s="4" t="s">
        <v>1458</v>
      </c>
      <c r="S192" s="4" t="s">
        <v>1459</v>
      </c>
      <c r="T192" s="4" t="s">
        <v>1460</v>
      </c>
      <c r="U192" s="4" t="s">
        <v>1472</v>
      </c>
      <c r="V192" s="4"/>
      <c r="W192" s="4" t="s">
        <v>53</v>
      </c>
      <c r="X192" s="4" t="s">
        <v>54</v>
      </c>
      <c r="Y192" s="4" t="s">
        <v>1462</v>
      </c>
      <c r="Z192" s="4" t="s">
        <v>1463</v>
      </c>
      <c r="AA192" s="4" t="s">
        <v>68</v>
      </c>
      <c r="AB192" s="4"/>
      <c r="AC192" s="4" t="s">
        <v>1464</v>
      </c>
      <c r="AD192" s="4" t="s">
        <v>1465</v>
      </c>
      <c r="AE192" s="4" t="s">
        <v>1472</v>
      </c>
      <c r="AF192" s="13" t="s">
        <v>1472</v>
      </c>
      <c r="AG192" s="4"/>
      <c r="AH192" s="4" t="s">
        <v>1466</v>
      </c>
      <c r="AI192" s="4">
        <v>6</v>
      </c>
      <c r="AJ192" s="4" t="s">
        <v>1473</v>
      </c>
      <c r="AK192" s="4"/>
      <c r="AL192" s="4" t="str">
        <f>VLOOKUP(N192,[1]Sheet1!$N:$AL,25,0)</f>
        <v>53131648  Insect repellant</v>
      </c>
      <c r="AM192" s="4"/>
      <c r="AN192" s="4"/>
      <c r="AO192" s="4"/>
      <c r="AP192" s="1" t="s">
        <v>58</v>
      </c>
      <c r="AQ192" s="1" t="s">
        <v>59</v>
      </c>
    </row>
    <row r="193" customHeight="1" spans="1:43">
      <c r="A193" s="4" t="s">
        <v>43</v>
      </c>
      <c r="B193" s="4">
        <v>190</v>
      </c>
      <c r="C193" s="4" t="s">
        <v>44</v>
      </c>
      <c r="D193" s="4" t="s">
        <v>45</v>
      </c>
      <c r="E193" s="4"/>
      <c r="F193" s="4"/>
      <c r="G193" s="4"/>
      <c r="H193" s="4"/>
      <c r="I193" s="4"/>
      <c r="J193" s="4"/>
      <c r="K193" s="4"/>
      <c r="L193" s="4"/>
      <c r="M193" s="4"/>
      <c r="N193" s="4">
        <v>1087</v>
      </c>
      <c r="O193" s="4" t="s">
        <v>1474</v>
      </c>
      <c r="P193" s="4" t="s">
        <v>1456</v>
      </c>
      <c r="Q193" s="4" t="s">
        <v>1457</v>
      </c>
      <c r="R193" s="4" t="s">
        <v>1458</v>
      </c>
      <c r="S193" s="4" t="s">
        <v>1459</v>
      </c>
      <c r="T193" s="4" t="s">
        <v>1460</v>
      </c>
      <c r="U193" s="4" t="s">
        <v>1475</v>
      </c>
      <c r="V193" s="4"/>
      <c r="W193" s="4" t="s">
        <v>53</v>
      </c>
      <c r="X193" s="4" t="s">
        <v>54</v>
      </c>
      <c r="Y193" s="4" t="s">
        <v>1462</v>
      </c>
      <c r="Z193" s="4" t="s">
        <v>1463</v>
      </c>
      <c r="AA193" s="4" t="s">
        <v>68</v>
      </c>
      <c r="AB193" s="4"/>
      <c r="AC193" s="4" t="s">
        <v>1464</v>
      </c>
      <c r="AD193" s="4" t="s">
        <v>1465</v>
      </c>
      <c r="AE193" s="4" t="s">
        <v>1475</v>
      </c>
      <c r="AF193" s="13" t="s">
        <v>1475</v>
      </c>
      <c r="AG193" s="4"/>
      <c r="AH193" s="4" t="s">
        <v>1466</v>
      </c>
      <c r="AI193" s="4">
        <v>6</v>
      </c>
      <c r="AJ193" s="4" t="s">
        <v>1476</v>
      </c>
      <c r="AK193" s="4"/>
      <c r="AL193" s="4" t="str">
        <f>VLOOKUP(N193,[1]Sheet1!$N:$AL,25,0)</f>
        <v>53131648  Insect repellant</v>
      </c>
      <c r="AM193" s="4"/>
      <c r="AN193" s="4"/>
      <c r="AO193" s="4"/>
      <c r="AP193" s="1" t="s">
        <v>58</v>
      </c>
      <c r="AQ193" s="1" t="s">
        <v>59</v>
      </c>
    </row>
    <row r="194" customHeight="1" spans="1:43">
      <c r="A194" s="4" t="s">
        <v>43</v>
      </c>
      <c r="B194" s="4">
        <v>190</v>
      </c>
      <c r="C194" s="4" t="s">
        <v>44</v>
      </c>
      <c r="D194" s="4" t="s">
        <v>45</v>
      </c>
      <c r="E194" s="4"/>
      <c r="F194" s="4"/>
      <c r="G194" s="4"/>
      <c r="H194" s="4"/>
      <c r="I194" s="4"/>
      <c r="J194" s="4"/>
      <c r="K194" s="4"/>
      <c r="L194" s="4"/>
      <c r="M194" s="4"/>
      <c r="N194" s="4">
        <v>1088</v>
      </c>
      <c r="O194" s="4" t="s">
        <v>1477</v>
      </c>
      <c r="P194" s="4" t="s">
        <v>1456</v>
      </c>
      <c r="Q194" s="4" t="s">
        <v>1457</v>
      </c>
      <c r="R194" s="4" t="s">
        <v>1458</v>
      </c>
      <c r="S194" s="4" t="s">
        <v>1459</v>
      </c>
      <c r="T194" s="4" t="s">
        <v>1460</v>
      </c>
      <c r="U194" s="4" t="s">
        <v>1478</v>
      </c>
      <c r="V194" s="4"/>
      <c r="W194" s="4" t="s">
        <v>53</v>
      </c>
      <c r="X194" s="4" t="s">
        <v>54</v>
      </c>
      <c r="Y194" s="4" t="s">
        <v>1462</v>
      </c>
      <c r="Z194" s="4" t="s">
        <v>1463</v>
      </c>
      <c r="AA194" s="4" t="s">
        <v>68</v>
      </c>
      <c r="AB194" s="4"/>
      <c r="AC194" s="4" t="s">
        <v>1464</v>
      </c>
      <c r="AD194" s="4" t="s">
        <v>1465</v>
      </c>
      <c r="AE194" s="4" t="s">
        <v>1478</v>
      </c>
      <c r="AF194" s="13" t="s">
        <v>1478</v>
      </c>
      <c r="AG194" s="4"/>
      <c r="AH194" s="4" t="s">
        <v>1466</v>
      </c>
      <c r="AI194" s="4">
        <v>6</v>
      </c>
      <c r="AJ194" s="4" t="s">
        <v>1479</v>
      </c>
      <c r="AK194" s="4"/>
      <c r="AL194" s="4" t="str">
        <f>VLOOKUP(N194,[1]Sheet1!$N:$AL,25,0)</f>
        <v>53131648  Insect repellant</v>
      </c>
      <c r="AM194" s="4"/>
      <c r="AN194" s="4"/>
      <c r="AO194" s="4"/>
      <c r="AP194" s="1" t="s">
        <v>58</v>
      </c>
      <c r="AQ194" s="1" t="s">
        <v>59</v>
      </c>
    </row>
    <row r="195" customHeight="1" spans="1:43">
      <c r="A195" s="4" t="s">
        <v>43</v>
      </c>
      <c r="B195" s="4">
        <v>190</v>
      </c>
      <c r="C195" s="4" t="s">
        <v>44</v>
      </c>
      <c r="D195" s="4" t="s">
        <v>45</v>
      </c>
      <c r="E195" s="4"/>
      <c r="F195" s="4"/>
      <c r="G195" s="4"/>
      <c r="H195" s="4"/>
      <c r="I195" s="4"/>
      <c r="J195" s="4"/>
      <c r="K195" s="4"/>
      <c r="L195" s="4"/>
      <c r="M195" s="4"/>
      <c r="N195" s="4">
        <v>1089</v>
      </c>
      <c r="O195" s="4" t="s">
        <v>1480</v>
      </c>
      <c r="P195" s="4" t="s">
        <v>1456</v>
      </c>
      <c r="Q195" s="4" t="s">
        <v>1457</v>
      </c>
      <c r="R195" s="4" t="s">
        <v>1458</v>
      </c>
      <c r="S195" s="4" t="s">
        <v>1459</v>
      </c>
      <c r="T195" s="4" t="s">
        <v>1460</v>
      </c>
      <c r="U195" s="4" t="s">
        <v>1481</v>
      </c>
      <c r="V195" s="4"/>
      <c r="W195" s="4" t="s">
        <v>53</v>
      </c>
      <c r="X195" s="4" t="s">
        <v>54</v>
      </c>
      <c r="Y195" s="4" t="s">
        <v>1462</v>
      </c>
      <c r="Z195" s="4" t="s">
        <v>1463</v>
      </c>
      <c r="AA195" s="4" t="s">
        <v>68</v>
      </c>
      <c r="AB195" s="4"/>
      <c r="AC195" s="4" t="s">
        <v>1464</v>
      </c>
      <c r="AD195" s="4" t="s">
        <v>1465</v>
      </c>
      <c r="AE195" s="4" t="s">
        <v>1481</v>
      </c>
      <c r="AF195" s="13" t="s">
        <v>1481</v>
      </c>
      <c r="AG195" s="4"/>
      <c r="AH195" s="4" t="s">
        <v>1466</v>
      </c>
      <c r="AI195" s="4">
        <v>6</v>
      </c>
      <c r="AJ195" s="4" t="s">
        <v>1482</v>
      </c>
      <c r="AK195" s="4"/>
      <c r="AL195" s="4" t="str">
        <f>VLOOKUP(N195,[1]Sheet1!$N:$AL,25,0)</f>
        <v>53131648  Insect repellant</v>
      </c>
      <c r="AM195" s="4"/>
      <c r="AN195" s="4"/>
      <c r="AO195" s="4"/>
      <c r="AP195" s="1" t="s">
        <v>58</v>
      </c>
      <c r="AQ195" s="1" t="s">
        <v>59</v>
      </c>
    </row>
    <row r="196" customHeight="1" spans="1:43">
      <c r="A196" s="4" t="s">
        <v>43</v>
      </c>
      <c r="B196" s="4">
        <v>190</v>
      </c>
      <c r="C196" s="4" t="s">
        <v>44</v>
      </c>
      <c r="D196" s="4" t="s">
        <v>45</v>
      </c>
      <c r="E196" s="4"/>
      <c r="F196" s="4"/>
      <c r="G196" s="4"/>
      <c r="H196" s="4"/>
      <c r="I196" s="4"/>
      <c r="J196" s="4"/>
      <c r="K196" s="4"/>
      <c r="L196" s="4"/>
      <c r="M196" s="4"/>
      <c r="N196" s="4">
        <v>1090</v>
      </c>
      <c r="O196" s="4" t="s">
        <v>1483</v>
      </c>
      <c r="P196" s="4" t="s">
        <v>1484</v>
      </c>
      <c r="Q196" s="4" t="s">
        <v>1457</v>
      </c>
      <c r="R196" s="4" t="s">
        <v>1458</v>
      </c>
      <c r="S196" s="4" t="s">
        <v>1459</v>
      </c>
      <c r="T196" s="4" t="s">
        <v>1460</v>
      </c>
      <c r="U196" s="4" t="s">
        <v>1485</v>
      </c>
      <c r="V196" s="4"/>
      <c r="W196" s="4" t="s">
        <v>53</v>
      </c>
      <c r="X196" s="4" t="s">
        <v>54</v>
      </c>
      <c r="Y196" s="4" t="s">
        <v>1486</v>
      </c>
      <c r="Z196" s="4" t="s">
        <v>1487</v>
      </c>
      <c r="AA196" s="4" t="s">
        <v>68</v>
      </c>
      <c r="AB196" s="4"/>
      <c r="AC196" s="4" t="s">
        <v>1488</v>
      </c>
      <c r="AD196" s="4" t="s">
        <v>1465</v>
      </c>
      <c r="AE196" s="4" t="s">
        <v>1485</v>
      </c>
      <c r="AF196" s="13" t="s">
        <v>1485</v>
      </c>
      <c r="AG196" s="4"/>
      <c r="AH196" s="4" t="s">
        <v>1489</v>
      </c>
      <c r="AI196" s="4">
        <v>3</v>
      </c>
      <c r="AJ196" s="4" t="s">
        <v>1490</v>
      </c>
      <c r="AK196" s="4"/>
      <c r="AL196" s="4" t="str">
        <f>VLOOKUP(N196,[1]Sheet1!$N:$AL,25,0)</f>
        <v>53131616  Para pharmaceutical creams or lotions</v>
      </c>
      <c r="AM196" s="4"/>
      <c r="AN196" s="4"/>
      <c r="AO196" s="4"/>
      <c r="AP196" s="1" t="s">
        <v>58</v>
      </c>
      <c r="AQ196" s="1" t="s">
        <v>59</v>
      </c>
    </row>
    <row r="197" customHeight="1" spans="1:43">
      <c r="A197" s="4" t="s">
        <v>43</v>
      </c>
      <c r="B197" s="4">
        <v>190</v>
      </c>
      <c r="C197" s="4" t="s">
        <v>44</v>
      </c>
      <c r="D197" s="4" t="s">
        <v>45</v>
      </c>
      <c r="E197" s="4"/>
      <c r="F197" s="4"/>
      <c r="G197" s="4"/>
      <c r="H197" s="4"/>
      <c r="I197" s="4"/>
      <c r="J197" s="4"/>
      <c r="K197" s="4"/>
      <c r="L197" s="4"/>
      <c r="M197" s="4"/>
      <c r="N197" s="4">
        <v>1092</v>
      </c>
      <c r="O197" s="4" t="s">
        <v>1491</v>
      </c>
      <c r="P197" s="4" t="s">
        <v>1456</v>
      </c>
      <c r="Q197" s="4" t="s">
        <v>1457</v>
      </c>
      <c r="R197" s="4" t="s">
        <v>1458</v>
      </c>
      <c r="S197" s="4" t="s">
        <v>1459</v>
      </c>
      <c r="T197" s="4" t="s">
        <v>1460</v>
      </c>
      <c r="U197" s="4" t="s">
        <v>1492</v>
      </c>
      <c r="V197" s="4"/>
      <c r="W197" s="4" t="s">
        <v>53</v>
      </c>
      <c r="X197" s="4" t="s">
        <v>54</v>
      </c>
      <c r="Y197" s="4" t="s">
        <v>1493</v>
      </c>
      <c r="Z197" s="4" t="s">
        <v>1494</v>
      </c>
      <c r="AA197" s="4" t="s">
        <v>68</v>
      </c>
      <c r="AB197" s="4"/>
      <c r="AC197" s="4" t="s">
        <v>1495</v>
      </c>
      <c r="AD197" s="4" t="s">
        <v>1465</v>
      </c>
      <c r="AE197" s="4" t="s">
        <v>1492</v>
      </c>
      <c r="AF197" s="13" t="s">
        <v>1492</v>
      </c>
      <c r="AG197" s="4"/>
      <c r="AH197" s="4" t="s">
        <v>1496</v>
      </c>
      <c r="AI197" s="4">
        <v>2</v>
      </c>
      <c r="AJ197" s="4" t="s">
        <v>1497</v>
      </c>
      <c r="AK197" s="4"/>
      <c r="AL197" s="4" t="str">
        <f>VLOOKUP(N197,[1]Sheet1!$N:$AL,25,0)</f>
        <v>42141503  Skin preparation wipes</v>
      </c>
      <c r="AM197" s="4"/>
      <c r="AN197" s="4"/>
      <c r="AO197" s="4"/>
      <c r="AP197" s="1" t="s">
        <v>58</v>
      </c>
      <c r="AQ197" s="1" t="s">
        <v>59</v>
      </c>
    </row>
    <row r="198" customHeight="1" spans="1:43">
      <c r="A198" s="4" t="s">
        <v>43</v>
      </c>
      <c r="B198" s="4">
        <v>190</v>
      </c>
      <c r="C198" s="4" t="s">
        <v>44</v>
      </c>
      <c r="D198" s="4" t="s">
        <v>45</v>
      </c>
      <c r="E198" s="4"/>
      <c r="F198" s="4"/>
      <c r="G198" s="4"/>
      <c r="H198" s="4"/>
      <c r="I198" s="4"/>
      <c r="J198" s="4"/>
      <c r="K198" s="4"/>
      <c r="L198" s="4"/>
      <c r="M198" s="4"/>
      <c r="N198" s="4">
        <v>1093</v>
      </c>
      <c r="O198" s="4" t="s">
        <v>1498</v>
      </c>
      <c r="P198" s="4" t="s">
        <v>1456</v>
      </c>
      <c r="Q198" s="4" t="s">
        <v>1457</v>
      </c>
      <c r="R198" s="4" t="s">
        <v>1458</v>
      </c>
      <c r="S198" s="4" t="s">
        <v>1459</v>
      </c>
      <c r="T198" s="4" t="s">
        <v>1460</v>
      </c>
      <c r="U198" s="4" t="s">
        <v>1499</v>
      </c>
      <c r="V198" s="4"/>
      <c r="W198" s="4" t="s">
        <v>53</v>
      </c>
      <c r="X198" s="4" t="s">
        <v>54</v>
      </c>
      <c r="Y198" s="4" t="s">
        <v>1493</v>
      </c>
      <c r="Z198" s="4" t="s">
        <v>1494</v>
      </c>
      <c r="AA198" s="4" t="s">
        <v>68</v>
      </c>
      <c r="AB198" s="4"/>
      <c r="AC198" s="4" t="s">
        <v>1495</v>
      </c>
      <c r="AD198" s="4" t="s">
        <v>1465</v>
      </c>
      <c r="AE198" s="4" t="s">
        <v>1499</v>
      </c>
      <c r="AF198" s="13" t="s">
        <v>1499</v>
      </c>
      <c r="AG198" s="4"/>
      <c r="AH198" s="4" t="s">
        <v>1496</v>
      </c>
      <c r="AI198" s="4">
        <v>2</v>
      </c>
      <c r="AJ198" s="4" t="s">
        <v>1500</v>
      </c>
      <c r="AK198" s="4"/>
      <c r="AL198" s="4" t="str">
        <f>VLOOKUP(N198,[1]Sheet1!$N:$AL,25,0)</f>
        <v>42141503  Skin preparation wipes</v>
      </c>
      <c r="AM198" s="4"/>
      <c r="AN198" s="4"/>
      <c r="AO198" s="4"/>
      <c r="AP198" s="1" t="s">
        <v>58</v>
      </c>
      <c r="AQ198" s="1" t="s">
        <v>59</v>
      </c>
    </row>
    <row r="199" customHeight="1" spans="1:43">
      <c r="A199" s="4" t="s">
        <v>43</v>
      </c>
      <c r="B199" s="4">
        <v>190</v>
      </c>
      <c r="C199" s="4" t="s">
        <v>44</v>
      </c>
      <c r="D199" s="4" t="s">
        <v>45</v>
      </c>
      <c r="E199" s="4"/>
      <c r="F199" s="4"/>
      <c r="G199" s="4"/>
      <c r="H199" s="4"/>
      <c r="I199" s="4"/>
      <c r="J199" s="4"/>
      <c r="K199" s="4"/>
      <c r="L199" s="4"/>
      <c r="M199" s="4"/>
      <c r="N199" s="4">
        <v>1095</v>
      </c>
      <c r="O199" s="4" t="s">
        <v>1501</v>
      </c>
      <c r="P199" s="4" t="s">
        <v>635</v>
      </c>
      <c r="Q199" s="4" t="s">
        <v>1457</v>
      </c>
      <c r="R199" s="4" t="s">
        <v>1458</v>
      </c>
      <c r="S199" s="4" t="s">
        <v>1459</v>
      </c>
      <c r="T199" s="4" t="s">
        <v>1460</v>
      </c>
      <c r="U199" s="4" t="s">
        <v>1502</v>
      </c>
      <c r="V199" s="4"/>
      <c r="W199" s="4" t="s">
        <v>53</v>
      </c>
      <c r="X199" s="4" t="s">
        <v>54</v>
      </c>
      <c r="Y199" s="4" t="s">
        <v>1486</v>
      </c>
      <c r="Z199" s="4" t="s">
        <v>1487</v>
      </c>
      <c r="AA199" s="4" t="s">
        <v>68</v>
      </c>
      <c r="AB199" s="4"/>
      <c r="AC199" s="4" t="s">
        <v>1488</v>
      </c>
      <c r="AD199" s="4" t="s">
        <v>1465</v>
      </c>
      <c r="AE199" s="4" t="s">
        <v>1502</v>
      </c>
      <c r="AF199" s="13" t="s">
        <v>1502</v>
      </c>
      <c r="AG199" s="4"/>
      <c r="AH199" s="4" t="s">
        <v>645</v>
      </c>
      <c r="AI199" s="4">
        <v>14</v>
      </c>
      <c r="AJ199" s="4" t="s">
        <v>1503</v>
      </c>
      <c r="AK199" s="4"/>
      <c r="AL199" s="4" t="str">
        <f>VLOOKUP(N199,[1]Sheet1!$N:$AL,25,0)</f>
        <v>53131616  Para pharmaceutical creams or lotions</v>
      </c>
      <c r="AM199" s="4"/>
      <c r="AN199" s="4"/>
      <c r="AO199" s="4"/>
      <c r="AP199" s="1" t="s">
        <v>58</v>
      </c>
      <c r="AQ199" s="1" t="s">
        <v>59</v>
      </c>
    </row>
    <row r="200" customHeight="1" spans="1:43">
      <c r="A200" s="4" t="s">
        <v>43</v>
      </c>
      <c r="B200" s="4">
        <v>190</v>
      </c>
      <c r="C200" s="4" t="s">
        <v>44</v>
      </c>
      <c r="D200" s="4" t="s">
        <v>45</v>
      </c>
      <c r="E200" s="4"/>
      <c r="F200" s="4"/>
      <c r="G200" s="4"/>
      <c r="H200" s="4"/>
      <c r="I200" s="4"/>
      <c r="J200" s="4"/>
      <c r="K200" s="4"/>
      <c r="L200" s="4"/>
      <c r="M200" s="4"/>
      <c r="N200" s="4">
        <v>1097</v>
      </c>
      <c r="O200" s="4" t="s">
        <v>1504</v>
      </c>
      <c r="P200" s="4" t="s">
        <v>827</v>
      </c>
      <c r="Q200" s="4" t="s">
        <v>1457</v>
      </c>
      <c r="R200" s="4" t="s">
        <v>1458</v>
      </c>
      <c r="S200" s="4" t="s">
        <v>1459</v>
      </c>
      <c r="T200" s="4" t="s">
        <v>1460</v>
      </c>
      <c r="U200" s="4" t="s">
        <v>1505</v>
      </c>
      <c r="V200" s="4"/>
      <c r="W200" s="4" t="s">
        <v>53</v>
      </c>
      <c r="X200" s="4" t="s">
        <v>54</v>
      </c>
      <c r="Y200" s="4" t="s">
        <v>833</v>
      </c>
      <c r="Z200" s="4" t="s">
        <v>834</v>
      </c>
      <c r="AA200" s="4" t="s">
        <v>68</v>
      </c>
      <c r="AB200" s="4"/>
      <c r="AC200" s="4" t="s">
        <v>835</v>
      </c>
      <c r="AD200" s="4" t="s">
        <v>1465</v>
      </c>
      <c r="AE200" s="4" t="s">
        <v>1505</v>
      </c>
      <c r="AF200" s="13" t="s">
        <v>1505</v>
      </c>
      <c r="AG200" s="4"/>
      <c r="AH200" s="4" t="s">
        <v>1506</v>
      </c>
      <c r="AI200" s="4">
        <v>1</v>
      </c>
      <c r="AJ200" s="4" t="s">
        <v>1507</v>
      </c>
      <c r="AK200" s="4"/>
      <c r="AL200" s="4" t="str">
        <f>VLOOKUP(N200,[1]Sheet1!$N:$AL,25,0)</f>
        <v>53131630  Lip balm</v>
      </c>
      <c r="AM200" s="4"/>
      <c r="AN200" s="4"/>
      <c r="AO200" s="4"/>
      <c r="AP200" s="1" t="s">
        <v>58</v>
      </c>
      <c r="AQ200" s="1" t="s">
        <v>59</v>
      </c>
    </row>
    <row r="201" customHeight="1" spans="1:43">
      <c r="A201" s="4" t="s">
        <v>43</v>
      </c>
      <c r="B201" s="4">
        <v>190</v>
      </c>
      <c r="C201" s="4" t="s">
        <v>44</v>
      </c>
      <c r="D201" s="4" t="s">
        <v>45</v>
      </c>
      <c r="E201" s="4"/>
      <c r="F201" s="4"/>
      <c r="G201" s="4"/>
      <c r="H201" s="4"/>
      <c r="I201" s="4"/>
      <c r="J201" s="4"/>
      <c r="K201" s="4"/>
      <c r="L201" s="4"/>
      <c r="M201" s="4"/>
      <c r="N201" s="4">
        <v>1098</v>
      </c>
      <c r="O201" s="4" t="s">
        <v>1508</v>
      </c>
      <c r="P201" s="4" t="s">
        <v>1509</v>
      </c>
      <c r="Q201" s="4" t="s">
        <v>1457</v>
      </c>
      <c r="R201" s="4" t="s">
        <v>1458</v>
      </c>
      <c r="S201" s="4" t="s">
        <v>1459</v>
      </c>
      <c r="T201" s="4" t="s">
        <v>1460</v>
      </c>
      <c r="U201" s="4" t="s">
        <v>1510</v>
      </c>
      <c r="V201" s="4"/>
      <c r="W201" s="4" t="s">
        <v>53</v>
      </c>
      <c r="X201" s="4" t="s">
        <v>54</v>
      </c>
      <c r="Y201" s="4" t="s">
        <v>1511</v>
      </c>
      <c r="Z201" s="4" t="s">
        <v>1512</v>
      </c>
      <c r="AA201" s="4" t="s">
        <v>68</v>
      </c>
      <c r="AB201" s="4"/>
      <c r="AC201" s="4" t="s">
        <v>1513</v>
      </c>
      <c r="AD201" s="4" t="s">
        <v>1465</v>
      </c>
      <c r="AE201" s="4" t="s">
        <v>1510</v>
      </c>
      <c r="AF201" s="13" t="s">
        <v>1510</v>
      </c>
      <c r="AG201" s="4"/>
      <c r="AH201" s="4" t="s">
        <v>1514</v>
      </c>
      <c r="AI201" s="4">
        <v>3</v>
      </c>
      <c r="AJ201" s="4" t="s">
        <v>1515</v>
      </c>
      <c r="AK201" s="4"/>
      <c r="AL201" s="4" t="str">
        <f>VLOOKUP(N201,[1]Sheet1!$N:$AL,25,0)</f>
        <v>53131600  Bath and body</v>
      </c>
      <c r="AM201" s="4"/>
      <c r="AN201" s="4"/>
      <c r="AO201" s="4"/>
      <c r="AP201" s="1" t="s">
        <v>58</v>
      </c>
      <c r="AQ201" s="1" t="s">
        <v>59</v>
      </c>
    </row>
    <row r="202" customHeight="1" spans="1:43">
      <c r="A202" s="4" t="s">
        <v>43</v>
      </c>
      <c r="B202" s="4">
        <v>190</v>
      </c>
      <c r="C202" s="4" t="s">
        <v>44</v>
      </c>
      <c r="D202" s="4" t="s">
        <v>45</v>
      </c>
      <c r="E202" s="4"/>
      <c r="F202" s="4"/>
      <c r="G202" s="4"/>
      <c r="H202" s="4"/>
      <c r="I202" s="4"/>
      <c r="J202" s="4"/>
      <c r="K202" s="4"/>
      <c r="L202" s="4"/>
      <c r="M202" s="4"/>
      <c r="N202" s="4">
        <v>1099</v>
      </c>
      <c r="O202" s="4" t="s">
        <v>1516</v>
      </c>
      <c r="P202" s="4" t="s">
        <v>164</v>
      </c>
      <c r="Q202" s="4" t="s">
        <v>1457</v>
      </c>
      <c r="R202" s="4" t="s">
        <v>1458</v>
      </c>
      <c r="S202" s="4" t="s">
        <v>1459</v>
      </c>
      <c r="T202" s="4" t="s">
        <v>1460</v>
      </c>
      <c r="U202" s="4" t="s">
        <v>1517</v>
      </c>
      <c r="V202" s="4"/>
      <c r="W202" s="4" t="s">
        <v>53</v>
      </c>
      <c r="X202" s="4" t="s">
        <v>54</v>
      </c>
      <c r="Y202" s="4" t="s">
        <v>1462</v>
      </c>
      <c r="Z202" s="4" t="s">
        <v>1463</v>
      </c>
      <c r="AA202" s="4" t="s">
        <v>68</v>
      </c>
      <c r="AB202" s="4"/>
      <c r="AC202" s="4" t="s">
        <v>1464</v>
      </c>
      <c r="AD202" s="4" t="s">
        <v>1465</v>
      </c>
      <c r="AE202" s="4" t="s">
        <v>1517</v>
      </c>
      <c r="AF202" s="13" t="s">
        <v>1517</v>
      </c>
      <c r="AG202" s="4"/>
      <c r="AH202" s="4" t="s">
        <v>518</v>
      </c>
      <c r="AI202" s="4">
        <v>22</v>
      </c>
      <c r="AJ202" s="4" t="s">
        <v>1518</v>
      </c>
      <c r="AK202" s="4"/>
      <c r="AL202" s="4" t="str">
        <f>VLOOKUP(N202,[1]Sheet1!$N:$AL,25,0)</f>
        <v>53131648  Insect repellant</v>
      </c>
      <c r="AM202" s="4"/>
      <c r="AN202" s="4"/>
      <c r="AO202" s="4"/>
      <c r="AP202" s="1" t="s">
        <v>58</v>
      </c>
      <c r="AQ202" s="1" t="s">
        <v>59</v>
      </c>
    </row>
    <row r="203" customHeight="1" spans="1:43">
      <c r="A203" s="4" t="s">
        <v>43</v>
      </c>
      <c r="B203" s="4">
        <v>190</v>
      </c>
      <c r="C203" s="4" t="s">
        <v>44</v>
      </c>
      <c r="D203" s="4" t="s">
        <v>45</v>
      </c>
      <c r="E203" s="4"/>
      <c r="F203" s="4"/>
      <c r="G203" s="4"/>
      <c r="H203" s="4"/>
      <c r="I203" s="4"/>
      <c r="J203" s="4"/>
      <c r="K203" s="4"/>
      <c r="L203" s="4"/>
      <c r="M203" s="4"/>
      <c r="N203" s="4">
        <v>1100</v>
      </c>
      <c r="O203" s="4" t="s">
        <v>1519</v>
      </c>
      <c r="P203" s="4" t="s">
        <v>1520</v>
      </c>
      <c r="Q203" s="4" t="s">
        <v>1457</v>
      </c>
      <c r="R203" s="4" t="s">
        <v>1458</v>
      </c>
      <c r="S203" s="4" t="s">
        <v>1459</v>
      </c>
      <c r="T203" s="4" t="s">
        <v>1460</v>
      </c>
      <c r="U203" s="4" t="s">
        <v>1521</v>
      </c>
      <c r="V203" s="4"/>
      <c r="W203" s="4" t="s">
        <v>53</v>
      </c>
      <c r="X203" s="4" t="s">
        <v>54</v>
      </c>
      <c r="Y203" s="4" t="s">
        <v>1522</v>
      </c>
      <c r="Z203" s="4" t="s">
        <v>1523</v>
      </c>
      <c r="AA203" s="4" t="s">
        <v>68</v>
      </c>
      <c r="AB203" s="4"/>
      <c r="AC203" s="4" t="s">
        <v>1524</v>
      </c>
      <c r="AD203" s="4" t="s">
        <v>1465</v>
      </c>
      <c r="AE203" s="4" t="s">
        <v>1521</v>
      </c>
      <c r="AF203" s="13" t="s">
        <v>1521</v>
      </c>
      <c r="AG203" s="4"/>
      <c r="AH203" s="4" t="s">
        <v>645</v>
      </c>
      <c r="AI203" s="4">
        <v>14</v>
      </c>
      <c r="AJ203" s="4" t="s">
        <v>1525</v>
      </c>
      <c r="AK203" s="4"/>
      <c r="AL203" s="4" t="str">
        <f>VLOOKUP(N203,[1]Sheet1!$N:$AL,25,0)</f>
        <v>53131609  Sun protection products</v>
      </c>
      <c r="AM203" s="4"/>
      <c r="AN203" s="4"/>
      <c r="AO203" s="4"/>
      <c r="AP203" s="1" t="s">
        <v>58</v>
      </c>
      <c r="AQ203" s="1" t="s">
        <v>59</v>
      </c>
    </row>
    <row r="204" customHeight="1" spans="1:43">
      <c r="A204" s="4" t="s">
        <v>43</v>
      </c>
      <c r="B204" s="4">
        <v>190</v>
      </c>
      <c r="C204" s="4" t="s">
        <v>44</v>
      </c>
      <c r="D204" s="4" t="s">
        <v>45</v>
      </c>
      <c r="E204" s="4"/>
      <c r="F204" s="4"/>
      <c r="G204" s="4"/>
      <c r="H204" s="4"/>
      <c r="I204" s="4"/>
      <c r="J204" s="4"/>
      <c r="K204" s="4"/>
      <c r="L204" s="4"/>
      <c r="M204" s="4"/>
      <c r="N204" s="4">
        <v>1188</v>
      </c>
      <c r="O204" s="4" t="s">
        <v>1526</v>
      </c>
      <c r="P204" s="4" t="s">
        <v>1527</v>
      </c>
      <c r="Q204" s="4" t="s">
        <v>1528</v>
      </c>
      <c r="R204" s="4" t="s">
        <v>1529</v>
      </c>
      <c r="S204" s="4" t="s">
        <v>1530</v>
      </c>
      <c r="T204" s="4" t="s">
        <v>1531</v>
      </c>
      <c r="U204" s="4" t="s">
        <v>1532</v>
      </c>
      <c r="V204" s="4"/>
      <c r="W204" s="4" t="s">
        <v>53</v>
      </c>
      <c r="X204" s="4" t="s">
        <v>54</v>
      </c>
      <c r="Y204" s="4" t="s">
        <v>1533</v>
      </c>
      <c r="Z204" s="4" t="s">
        <v>1534</v>
      </c>
      <c r="AA204" s="4" t="s">
        <v>68</v>
      </c>
      <c r="AB204" s="4"/>
      <c r="AC204" s="4" t="s">
        <v>1535</v>
      </c>
      <c r="AD204" s="4" t="s">
        <v>1536</v>
      </c>
      <c r="AE204" s="4" t="s">
        <v>1532</v>
      </c>
      <c r="AF204" s="13" t="s">
        <v>1537</v>
      </c>
      <c r="AG204" s="4"/>
      <c r="AH204" s="4" t="s">
        <v>1538</v>
      </c>
      <c r="AI204" s="4">
        <v>1</v>
      </c>
      <c r="AJ204" s="4" t="s">
        <v>1539</v>
      </c>
      <c r="AK204" s="4"/>
      <c r="AL204" s="4" t="str">
        <f>VLOOKUP(N204,[1]Sheet1!$N:$AL,25,0)</f>
        <v>42241703  Knee therapeutic brace or support</v>
      </c>
      <c r="AM204" s="4"/>
      <c r="AN204" s="4"/>
      <c r="AO204" s="4"/>
      <c r="AP204" s="1" t="s">
        <v>58</v>
      </c>
      <c r="AQ204" s="1" t="s">
        <v>59</v>
      </c>
    </row>
    <row r="205" customHeight="1" spans="1:43">
      <c r="A205" s="4" t="s">
        <v>43</v>
      </c>
      <c r="B205" s="4">
        <v>190</v>
      </c>
      <c r="C205" s="4" t="s">
        <v>44</v>
      </c>
      <c r="D205" s="4" t="s">
        <v>45</v>
      </c>
      <c r="E205" s="4"/>
      <c r="F205" s="4"/>
      <c r="G205" s="4"/>
      <c r="H205" s="4"/>
      <c r="I205" s="4"/>
      <c r="J205" s="4"/>
      <c r="K205" s="4"/>
      <c r="L205" s="4"/>
      <c r="M205" s="4"/>
      <c r="N205" s="4">
        <v>1216</v>
      </c>
      <c r="O205" s="4" t="s">
        <v>1540</v>
      </c>
      <c r="P205" s="4" t="s">
        <v>1541</v>
      </c>
      <c r="Q205" s="4" t="s">
        <v>1542</v>
      </c>
      <c r="R205" s="4" t="s">
        <v>1543</v>
      </c>
      <c r="S205" s="4" t="s">
        <v>1544</v>
      </c>
      <c r="T205" s="4" t="s">
        <v>1545</v>
      </c>
      <c r="U205" s="4" t="s">
        <v>1546</v>
      </c>
      <c r="V205" s="4"/>
      <c r="W205" s="4" t="s">
        <v>53</v>
      </c>
      <c r="X205" s="4" t="s">
        <v>54</v>
      </c>
      <c r="Y205" s="4" t="s">
        <v>1547</v>
      </c>
      <c r="Z205" s="4" t="s">
        <v>1548</v>
      </c>
      <c r="AA205" s="4" t="s">
        <v>68</v>
      </c>
      <c r="AB205" s="4"/>
      <c r="AC205" s="4" t="s">
        <v>1549</v>
      </c>
      <c r="AD205" s="4" t="s">
        <v>1550</v>
      </c>
      <c r="AE205" s="4" t="s">
        <v>1546</v>
      </c>
      <c r="AF205" s="13" t="s">
        <v>1546</v>
      </c>
      <c r="AG205" s="4"/>
      <c r="AH205" s="4" t="s">
        <v>1551</v>
      </c>
      <c r="AI205" s="4">
        <v>2</v>
      </c>
      <c r="AJ205" s="4" t="s">
        <v>1552</v>
      </c>
      <c r="AK205" s="4"/>
      <c r="AL205" s="4" t="str">
        <f>VLOOKUP(N205,[1]Sheet1!$N:$AL,25,0)</f>
        <v>42241706  Orthotics or foot care products</v>
      </c>
      <c r="AM205" s="4"/>
      <c r="AN205" s="4"/>
      <c r="AO205" s="4"/>
      <c r="AP205" s="1" t="s">
        <v>58</v>
      </c>
      <c r="AQ205" s="1" t="s">
        <v>59</v>
      </c>
    </row>
    <row r="206" customHeight="1" spans="1:43">
      <c r="A206" s="4" t="s">
        <v>43</v>
      </c>
      <c r="B206" s="4">
        <v>190</v>
      </c>
      <c r="C206" s="4" t="s">
        <v>44</v>
      </c>
      <c r="D206" s="4" t="s">
        <v>45</v>
      </c>
      <c r="E206" s="4"/>
      <c r="F206" s="4"/>
      <c r="G206" s="4"/>
      <c r="H206" s="4"/>
      <c r="I206" s="4"/>
      <c r="J206" s="4"/>
      <c r="K206" s="4"/>
      <c r="L206" s="4"/>
      <c r="M206" s="4"/>
      <c r="N206" s="4">
        <v>1217</v>
      </c>
      <c r="O206" s="4" t="s">
        <v>1553</v>
      </c>
      <c r="P206" s="4" t="s">
        <v>1541</v>
      </c>
      <c r="Q206" s="4" t="s">
        <v>1542</v>
      </c>
      <c r="R206" s="4" t="s">
        <v>1543</v>
      </c>
      <c r="S206" s="4" t="s">
        <v>1544</v>
      </c>
      <c r="T206" s="4" t="s">
        <v>1545</v>
      </c>
      <c r="U206" s="4" t="s">
        <v>1554</v>
      </c>
      <c r="V206" s="4"/>
      <c r="W206" s="4" t="s">
        <v>53</v>
      </c>
      <c r="X206" s="4" t="s">
        <v>54</v>
      </c>
      <c r="Y206" s="4" t="s">
        <v>1547</v>
      </c>
      <c r="Z206" s="4" t="s">
        <v>1548</v>
      </c>
      <c r="AA206" s="4" t="s">
        <v>68</v>
      </c>
      <c r="AB206" s="4"/>
      <c r="AC206" s="4" t="s">
        <v>1549</v>
      </c>
      <c r="AD206" s="4" t="s">
        <v>1550</v>
      </c>
      <c r="AE206" s="4" t="s">
        <v>1554</v>
      </c>
      <c r="AF206" s="13" t="s">
        <v>1554</v>
      </c>
      <c r="AG206" s="4"/>
      <c r="AH206" s="4" t="s">
        <v>1551</v>
      </c>
      <c r="AI206" s="4">
        <v>2</v>
      </c>
      <c r="AJ206" s="4" t="s">
        <v>1555</v>
      </c>
      <c r="AK206" s="4"/>
      <c r="AL206" s="4" t="str">
        <f>VLOOKUP(N206,[1]Sheet1!$N:$AL,25,0)</f>
        <v>42241706  Orthotics or foot care products</v>
      </c>
      <c r="AM206" s="4"/>
      <c r="AN206" s="4"/>
      <c r="AO206" s="4"/>
      <c r="AP206" s="1" t="s">
        <v>58</v>
      </c>
      <c r="AQ206" s="1" t="s">
        <v>59</v>
      </c>
    </row>
    <row r="207" customHeight="1" spans="1:43">
      <c r="A207" s="4" t="s">
        <v>43</v>
      </c>
      <c r="B207" s="4">
        <v>190</v>
      </c>
      <c r="C207" s="4" t="s">
        <v>44</v>
      </c>
      <c r="D207" s="4" t="s">
        <v>45</v>
      </c>
      <c r="E207" s="4"/>
      <c r="F207" s="4"/>
      <c r="G207" s="4"/>
      <c r="H207" s="4"/>
      <c r="I207" s="4"/>
      <c r="J207" s="4"/>
      <c r="K207" s="4"/>
      <c r="L207" s="4"/>
      <c r="M207" s="4"/>
      <c r="N207" s="4">
        <v>1246</v>
      </c>
      <c r="O207" s="4" t="s">
        <v>1556</v>
      </c>
      <c r="P207" s="4" t="s">
        <v>1557</v>
      </c>
      <c r="Q207" s="4" t="s">
        <v>1558</v>
      </c>
      <c r="R207" s="4" t="s">
        <v>1559</v>
      </c>
      <c r="S207" s="4" t="s">
        <v>1560</v>
      </c>
      <c r="T207" s="4" t="s">
        <v>1561</v>
      </c>
      <c r="U207" s="4" t="s">
        <v>1562</v>
      </c>
      <c r="V207" s="4"/>
      <c r="W207" s="4" t="s">
        <v>53</v>
      </c>
      <c r="X207" s="4" t="s">
        <v>54</v>
      </c>
      <c r="Y207" s="4" t="s">
        <v>1563</v>
      </c>
      <c r="Z207" s="4" t="s">
        <v>1564</v>
      </c>
      <c r="AA207" s="4" t="s">
        <v>68</v>
      </c>
      <c r="AB207" s="4"/>
      <c r="AC207" s="4" t="s">
        <v>1565</v>
      </c>
      <c r="AD207" s="4" t="s">
        <v>1566</v>
      </c>
      <c r="AE207" s="4" t="s">
        <v>1562</v>
      </c>
      <c r="AF207" s="13" t="s">
        <v>1567</v>
      </c>
      <c r="AG207" s="4"/>
      <c r="AH207" s="4" t="s">
        <v>1568</v>
      </c>
      <c r="AI207" s="4">
        <v>11</v>
      </c>
      <c r="AJ207" s="4" t="s">
        <v>1569</v>
      </c>
      <c r="AK207" s="4"/>
      <c r="AL207" s="4" t="str">
        <f>VLOOKUP(N207,[1]Sheet1!$N:$AL,25,0)</f>
        <v>42192603  Medicine feeding cups or bottles</v>
      </c>
      <c r="AM207" s="4"/>
      <c r="AN207" s="4"/>
      <c r="AO207" s="4"/>
      <c r="AP207" s="1" t="s">
        <v>58</v>
      </c>
      <c r="AQ207" s="1" t="s">
        <v>59</v>
      </c>
    </row>
    <row r="208" customHeight="1" spans="1:43">
      <c r="A208" s="4" t="s">
        <v>43</v>
      </c>
      <c r="B208" s="4">
        <v>190</v>
      </c>
      <c r="C208" s="4" t="s">
        <v>44</v>
      </c>
      <c r="D208" s="4" t="s">
        <v>45</v>
      </c>
      <c r="E208" s="4"/>
      <c r="F208" s="4"/>
      <c r="G208" s="4"/>
      <c r="H208" s="4"/>
      <c r="I208" s="4"/>
      <c r="J208" s="4"/>
      <c r="K208" s="4"/>
      <c r="L208" s="4"/>
      <c r="M208" s="4"/>
      <c r="N208" s="4">
        <v>1260</v>
      </c>
      <c r="O208" s="4" t="s">
        <v>1570</v>
      </c>
      <c r="P208" s="4" t="s">
        <v>852</v>
      </c>
      <c r="Q208" s="4" t="s">
        <v>1571</v>
      </c>
      <c r="R208" s="4" t="s">
        <v>1572</v>
      </c>
      <c r="S208" s="4" t="s">
        <v>1573</v>
      </c>
      <c r="T208" s="4" t="s">
        <v>1574</v>
      </c>
      <c r="U208" s="4" t="s">
        <v>1575</v>
      </c>
      <c r="V208" s="4"/>
      <c r="W208" s="4" t="s">
        <v>53</v>
      </c>
      <c r="X208" s="4" t="s">
        <v>54</v>
      </c>
      <c r="Y208" s="4" t="s">
        <v>1576</v>
      </c>
      <c r="Z208" s="4" t="s">
        <v>1577</v>
      </c>
      <c r="AA208" s="4" t="s">
        <v>68</v>
      </c>
      <c r="AB208" s="4"/>
      <c r="AC208" s="4" t="s">
        <v>1578</v>
      </c>
      <c r="AD208" s="4" t="s">
        <v>1579</v>
      </c>
      <c r="AE208" s="4" t="s">
        <v>1575</v>
      </c>
      <c r="AF208" s="13" t="s">
        <v>1580</v>
      </c>
      <c r="AG208" s="4"/>
      <c r="AH208" s="4" t="s">
        <v>1581</v>
      </c>
      <c r="AI208" s="4">
        <v>1</v>
      </c>
      <c r="AJ208" s="4" t="s">
        <v>1582</v>
      </c>
      <c r="AK208" s="4"/>
      <c r="AL208" s="4" t="str">
        <f>VLOOKUP(N208,[1]Sheet1!$N:$AL,25,0)</f>
        <v>42192419  Extrication product cases or bags</v>
      </c>
      <c r="AM208" s="4"/>
      <c r="AN208" s="4"/>
      <c r="AO208" s="4"/>
      <c r="AP208" s="1" t="s">
        <v>58</v>
      </c>
      <c r="AQ208" s="1" t="s">
        <v>59</v>
      </c>
    </row>
    <row r="209" customHeight="1" spans="1:43">
      <c r="A209" s="4" t="s">
        <v>43</v>
      </c>
      <c r="B209" s="4">
        <v>190</v>
      </c>
      <c r="C209" s="4" t="s">
        <v>44</v>
      </c>
      <c r="D209" s="4" t="s">
        <v>45</v>
      </c>
      <c r="E209" s="4"/>
      <c r="F209" s="4"/>
      <c r="G209" s="4"/>
      <c r="H209" s="4"/>
      <c r="I209" s="4"/>
      <c r="J209" s="4"/>
      <c r="K209" s="4"/>
      <c r="L209" s="4"/>
      <c r="M209" s="4"/>
      <c r="N209" s="4">
        <v>1261</v>
      </c>
      <c r="O209" s="4" t="s">
        <v>1583</v>
      </c>
      <c r="P209" s="4" t="s">
        <v>1584</v>
      </c>
      <c r="Q209" s="4" t="s">
        <v>1571</v>
      </c>
      <c r="R209" s="4" t="s">
        <v>1572</v>
      </c>
      <c r="S209" s="4" t="s">
        <v>1573</v>
      </c>
      <c r="T209" s="4" t="s">
        <v>1574</v>
      </c>
      <c r="U209" s="4" t="s">
        <v>1585</v>
      </c>
      <c r="V209" s="4"/>
      <c r="W209" s="4" t="s">
        <v>53</v>
      </c>
      <c r="X209" s="4" t="s">
        <v>54</v>
      </c>
      <c r="Y209" s="4" t="s">
        <v>1586</v>
      </c>
      <c r="Z209" s="4" t="s">
        <v>1587</v>
      </c>
      <c r="AA209" s="4" t="s">
        <v>68</v>
      </c>
      <c r="AB209" s="4"/>
      <c r="AC209" s="4" t="s">
        <v>1588</v>
      </c>
      <c r="AD209" s="4" t="s">
        <v>1579</v>
      </c>
      <c r="AE209" s="4" t="s">
        <v>1585</v>
      </c>
      <c r="AF209" s="13" t="s">
        <v>1589</v>
      </c>
      <c r="AG209" s="4"/>
      <c r="AH209" s="4" t="s">
        <v>1590</v>
      </c>
      <c r="AI209" s="4">
        <v>1</v>
      </c>
      <c r="AJ209" s="4" t="s">
        <v>1591</v>
      </c>
      <c r="AK209" s="4"/>
      <c r="AL209" s="4" t="str">
        <f>VLOOKUP(N209,[1]Sheet1!$N:$AL,25,0)</f>
        <v>42142305  Medical paper charting system accessories</v>
      </c>
      <c r="AM209" s="4"/>
      <c r="AN209" s="4"/>
      <c r="AO209" s="4"/>
      <c r="AP209" s="1" t="s">
        <v>58</v>
      </c>
      <c r="AQ209" s="1" t="s">
        <v>59</v>
      </c>
    </row>
    <row r="210" customHeight="1" spans="1:43">
      <c r="A210" s="4" t="s">
        <v>43</v>
      </c>
      <c r="B210" s="4">
        <v>190</v>
      </c>
      <c r="C210" s="4" t="s">
        <v>44</v>
      </c>
      <c r="D210" s="4" t="s">
        <v>45</v>
      </c>
      <c r="E210" s="4"/>
      <c r="F210" s="4"/>
      <c r="G210" s="4"/>
      <c r="H210" s="4"/>
      <c r="I210" s="4"/>
      <c r="J210" s="4"/>
      <c r="K210" s="4"/>
      <c r="L210" s="4"/>
      <c r="M210" s="4"/>
      <c r="N210" s="4">
        <v>1262</v>
      </c>
      <c r="O210" s="4" t="s">
        <v>1592</v>
      </c>
      <c r="P210" s="4" t="s">
        <v>1593</v>
      </c>
      <c r="Q210" s="4" t="s">
        <v>1571</v>
      </c>
      <c r="R210" s="4" t="s">
        <v>1572</v>
      </c>
      <c r="S210" s="4" t="s">
        <v>1573</v>
      </c>
      <c r="T210" s="4" t="s">
        <v>1574</v>
      </c>
      <c r="U210" s="4" t="s">
        <v>1594</v>
      </c>
      <c r="V210" s="4"/>
      <c r="W210" s="4" t="s">
        <v>53</v>
      </c>
      <c r="X210" s="4" t="s">
        <v>54</v>
      </c>
      <c r="Y210" s="4" t="s">
        <v>1595</v>
      </c>
      <c r="Z210" s="4" t="s">
        <v>1596</v>
      </c>
      <c r="AA210" s="4" t="s">
        <v>68</v>
      </c>
      <c r="AB210" s="4"/>
      <c r="AC210" s="4" t="s">
        <v>1597</v>
      </c>
      <c r="AD210" s="4" t="s">
        <v>1579</v>
      </c>
      <c r="AE210" s="4" t="s">
        <v>1594</v>
      </c>
      <c r="AF210" s="13" t="s">
        <v>1598</v>
      </c>
      <c r="AG210" s="4"/>
      <c r="AH210" s="4" t="s">
        <v>1599</v>
      </c>
      <c r="AI210" s="4">
        <v>4</v>
      </c>
      <c r="AJ210" s="4" t="s">
        <v>1600</v>
      </c>
      <c r="AK210" s="4"/>
      <c r="AL210" s="4" t="str">
        <f>VLOOKUP(N210,[1]Sheet1!$N:$AL,25,0)</f>
        <v>42171502  Mobile medical services triage tags</v>
      </c>
      <c r="AM210" s="4"/>
      <c r="AN210" s="4"/>
      <c r="AO210" s="4"/>
      <c r="AP210" s="1" t="s">
        <v>58</v>
      </c>
      <c r="AQ210" s="1" t="s">
        <v>59</v>
      </c>
    </row>
    <row r="211" customHeight="1" spans="1:43">
      <c r="A211" s="4" t="s">
        <v>43</v>
      </c>
      <c r="B211" s="4">
        <v>190</v>
      </c>
      <c r="C211" s="4" t="s">
        <v>44</v>
      </c>
      <c r="D211" s="4" t="s">
        <v>45</v>
      </c>
      <c r="E211" s="4"/>
      <c r="F211" s="4"/>
      <c r="G211" s="4"/>
      <c r="H211" s="4"/>
      <c r="I211" s="4"/>
      <c r="J211" s="4"/>
      <c r="K211" s="4"/>
      <c r="L211" s="4"/>
      <c r="M211" s="4"/>
      <c r="N211" s="4">
        <v>1263</v>
      </c>
      <c r="O211" s="4" t="s">
        <v>1601</v>
      </c>
      <c r="P211" s="4" t="s">
        <v>1602</v>
      </c>
      <c r="Q211" s="4" t="s">
        <v>1571</v>
      </c>
      <c r="R211" s="4" t="s">
        <v>1572</v>
      </c>
      <c r="S211" s="4" t="s">
        <v>1573</v>
      </c>
      <c r="T211" s="4" t="s">
        <v>1574</v>
      </c>
      <c r="U211" s="4" t="s">
        <v>1603</v>
      </c>
      <c r="V211" s="4"/>
      <c r="W211" s="4" t="s">
        <v>53</v>
      </c>
      <c r="X211" s="4" t="s">
        <v>54</v>
      </c>
      <c r="Y211" s="4" t="s">
        <v>1604</v>
      </c>
      <c r="Z211" s="4" t="s">
        <v>1605</v>
      </c>
      <c r="AA211" s="4" t="s">
        <v>68</v>
      </c>
      <c r="AB211" s="4"/>
      <c r="AC211" s="4" t="s">
        <v>1606</v>
      </c>
      <c r="AD211" s="4" t="s">
        <v>1579</v>
      </c>
      <c r="AE211" s="4" t="s">
        <v>1603</v>
      </c>
      <c r="AF211" s="13" t="s">
        <v>1607</v>
      </c>
      <c r="AG211" s="4"/>
      <c r="AH211" s="4" t="s">
        <v>1608</v>
      </c>
      <c r="AI211" s="4">
        <v>1</v>
      </c>
      <c r="AJ211" s="4" t="s">
        <v>1609</v>
      </c>
      <c r="AK211" s="4"/>
      <c r="AL211" s="4" t="str">
        <f>VLOOKUP(N211,[1]Sheet1!$N:$AL,25,0)</f>
        <v>55101520  Instruction sheets or booklets</v>
      </c>
      <c r="AM211" s="4"/>
      <c r="AN211" s="4"/>
      <c r="AO211" s="4"/>
      <c r="AP211" s="1" t="s">
        <v>58</v>
      </c>
      <c r="AQ211" s="1" t="s">
        <v>59</v>
      </c>
    </row>
    <row r="212" customHeight="1" spans="1:43">
      <c r="A212" s="4" t="s">
        <v>43</v>
      </c>
      <c r="B212" s="4">
        <v>190</v>
      </c>
      <c r="C212" s="4" t="s">
        <v>44</v>
      </c>
      <c r="D212" s="4" t="s">
        <v>45</v>
      </c>
      <c r="E212" s="4"/>
      <c r="F212" s="4"/>
      <c r="G212" s="4"/>
      <c r="H212" s="4"/>
      <c r="I212" s="4"/>
      <c r="J212" s="4"/>
      <c r="K212" s="4"/>
      <c r="L212" s="4"/>
      <c r="M212" s="4"/>
      <c r="N212" s="4">
        <v>1264</v>
      </c>
      <c r="O212" s="4" t="s">
        <v>1610</v>
      </c>
      <c r="P212" s="4" t="s">
        <v>180</v>
      </c>
      <c r="Q212" s="4" t="s">
        <v>1571</v>
      </c>
      <c r="R212" s="4" t="s">
        <v>1572</v>
      </c>
      <c r="S212" s="4" t="s">
        <v>1573</v>
      </c>
      <c r="T212" s="4" t="s">
        <v>1574</v>
      </c>
      <c r="U212" s="4" t="s">
        <v>1611</v>
      </c>
      <c r="V212" s="4"/>
      <c r="W212" s="4" t="s">
        <v>53</v>
      </c>
      <c r="X212" s="4" t="s">
        <v>54</v>
      </c>
      <c r="Y212" s="4" t="s">
        <v>1595</v>
      </c>
      <c r="Z212" s="4" t="s">
        <v>1596</v>
      </c>
      <c r="AA212" s="4" t="s">
        <v>68</v>
      </c>
      <c r="AB212" s="4"/>
      <c r="AC212" s="4" t="s">
        <v>1597</v>
      </c>
      <c r="AD212" s="4" t="s">
        <v>1579</v>
      </c>
      <c r="AE212" s="4" t="s">
        <v>1611</v>
      </c>
      <c r="AF212" s="13" t="s">
        <v>1612</v>
      </c>
      <c r="AG212" s="4"/>
      <c r="AH212" s="4" t="s">
        <v>645</v>
      </c>
      <c r="AI212" s="4">
        <v>14</v>
      </c>
      <c r="AJ212" s="4" t="s">
        <v>1613</v>
      </c>
      <c r="AK212" s="4"/>
      <c r="AL212" s="4" t="str">
        <f>VLOOKUP(N212,[1]Sheet1!$N:$AL,25,0)</f>
        <v>42171502  Mobile medical services triage tags</v>
      </c>
      <c r="AM212" s="4"/>
      <c r="AN212" s="4"/>
      <c r="AO212" s="4"/>
      <c r="AP212" s="1" t="s">
        <v>58</v>
      </c>
      <c r="AQ212" s="1" t="s">
        <v>59</v>
      </c>
    </row>
    <row r="213" customHeight="1" spans="1:43">
      <c r="A213" s="4" t="s">
        <v>43</v>
      </c>
      <c r="B213" s="4">
        <v>190</v>
      </c>
      <c r="C213" s="4" t="s">
        <v>44</v>
      </c>
      <c r="D213" s="4" t="s">
        <v>45</v>
      </c>
      <c r="E213" s="4"/>
      <c r="F213" s="4"/>
      <c r="G213" s="4"/>
      <c r="H213" s="4"/>
      <c r="I213" s="4"/>
      <c r="J213" s="4"/>
      <c r="K213" s="4"/>
      <c r="L213" s="4"/>
      <c r="M213" s="4"/>
      <c r="N213" s="4">
        <v>1265</v>
      </c>
      <c r="O213" s="4" t="s">
        <v>1614</v>
      </c>
      <c r="P213" s="4" t="s">
        <v>1584</v>
      </c>
      <c r="Q213" s="4" t="s">
        <v>1571</v>
      </c>
      <c r="R213" s="4" t="s">
        <v>1572</v>
      </c>
      <c r="S213" s="4" t="s">
        <v>1573</v>
      </c>
      <c r="T213" s="4" t="s">
        <v>1574</v>
      </c>
      <c r="U213" s="4" t="s">
        <v>1615</v>
      </c>
      <c r="V213" s="4"/>
      <c r="W213" s="4" t="s">
        <v>53</v>
      </c>
      <c r="X213" s="4" t="s">
        <v>54</v>
      </c>
      <c r="Y213" s="4" t="s">
        <v>1616</v>
      </c>
      <c r="Z213" s="4" t="s">
        <v>1617</v>
      </c>
      <c r="AA213" s="4" t="s">
        <v>68</v>
      </c>
      <c r="AB213" s="4"/>
      <c r="AC213" s="4" t="s">
        <v>1618</v>
      </c>
      <c r="AD213" s="4" t="s">
        <v>1579</v>
      </c>
      <c r="AE213" s="4" t="s">
        <v>1615</v>
      </c>
      <c r="AF213" s="13" t="s">
        <v>1619</v>
      </c>
      <c r="AG213" s="4"/>
      <c r="AH213" s="4" t="s">
        <v>1620</v>
      </c>
      <c r="AI213" s="4">
        <v>1</v>
      </c>
      <c r="AJ213" s="4" t="s">
        <v>1621</v>
      </c>
      <c r="AK213" s="4"/>
      <c r="AL213" s="4" t="str">
        <f>VLOOKUP(N213,[1]Sheet1!$N:$AL,25,0)</f>
        <v>42171500  Mobile medical services disaster management products and mobile medical services supplies</v>
      </c>
      <c r="AM213" s="4"/>
      <c r="AN213" s="4"/>
      <c r="AO213" s="4"/>
      <c r="AP213" s="1" t="s">
        <v>58</v>
      </c>
      <c r="AQ213" s="1" t="s">
        <v>59</v>
      </c>
    </row>
    <row r="214" customHeight="1" spans="1:43">
      <c r="A214" s="4" t="s">
        <v>43</v>
      </c>
      <c r="B214" s="4">
        <v>190</v>
      </c>
      <c r="C214" s="4" t="s">
        <v>44</v>
      </c>
      <c r="D214" s="4" t="s">
        <v>45</v>
      </c>
      <c r="E214" s="4"/>
      <c r="F214" s="4"/>
      <c r="G214" s="4"/>
      <c r="H214" s="4"/>
      <c r="I214" s="4"/>
      <c r="J214" s="4"/>
      <c r="K214" s="4"/>
      <c r="L214" s="4"/>
      <c r="M214" s="4"/>
      <c r="N214" s="4">
        <v>1266</v>
      </c>
      <c r="O214" s="4" t="s">
        <v>1622</v>
      </c>
      <c r="P214" s="4" t="s">
        <v>1623</v>
      </c>
      <c r="Q214" s="4" t="s">
        <v>1571</v>
      </c>
      <c r="R214" s="4" t="s">
        <v>1572</v>
      </c>
      <c r="S214" s="4" t="s">
        <v>1573</v>
      </c>
      <c r="T214" s="4" t="s">
        <v>1574</v>
      </c>
      <c r="U214" s="4" t="s">
        <v>1624</v>
      </c>
      <c r="V214" s="4"/>
      <c r="W214" s="4" t="s">
        <v>53</v>
      </c>
      <c r="X214" s="4" t="s">
        <v>54</v>
      </c>
      <c r="Y214" s="4" t="s">
        <v>1625</v>
      </c>
      <c r="Z214" s="4" t="s">
        <v>1626</v>
      </c>
      <c r="AA214" s="4" t="s">
        <v>68</v>
      </c>
      <c r="AB214" s="4"/>
      <c r="AC214" s="4" t="s">
        <v>1627</v>
      </c>
      <c r="AD214" s="4" t="s">
        <v>1579</v>
      </c>
      <c r="AE214" s="4" t="s">
        <v>1624</v>
      </c>
      <c r="AF214" s="13" t="s">
        <v>1628</v>
      </c>
      <c r="AG214" s="4"/>
      <c r="AH214" s="4" t="s">
        <v>518</v>
      </c>
      <c r="AI214" s="4">
        <v>22</v>
      </c>
      <c r="AJ214" s="4" t="s">
        <v>1629</v>
      </c>
      <c r="AK214" s="4"/>
      <c r="AL214" s="4" t="str">
        <f>VLOOKUP(N214,[1]Sheet1!$N:$AL,25,0)</f>
        <v>42172001  Mobile medical services first aid kits</v>
      </c>
      <c r="AM214" s="4"/>
      <c r="AN214" s="4"/>
      <c r="AO214" s="4"/>
      <c r="AP214" s="1" t="s">
        <v>58</v>
      </c>
      <c r="AQ214" s="1" t="s">
        <v>59</v>
      </c>
    </row>
    <row r="215" customHeight="1" spans="1:43">
      <c r="A215" s="4" t="s">
        <v>43</v>
      </c>
      <c r="B215" s="4">
        <v>190</v>
      </c>
      <c r="C215" s="4" t="s">
        <v>44</v>
      </c>
      <c r="D215" s="4" t="s">
        <v>45</v>
      </c>
      <c r="E215" s="4"/>
      <c r="F215" s="4"/>
      <c r="G215" s="4"/>
      <c r="H215" s="4"/>
      <c r="I215" s="4"/>
      <c r="J215" s="4"/>
      <c r="K215" s="4"/>
      <c r="L215" s="4"/>
      <c r="M215" s="4"/>
      <c r="N215" s="4">
        <v>1267</v>
      </c>
      <c r="O215" s="4" t="s">
        <v>1630</v>
      </c>
      <c r="P215" s="4" t="s">
        <v>1623</v>
      </c>
      <c r="Q215" s="4" t="s">
        <v>1571</v>
      </c>
      <c r="R215" s="4" t="s">
        <v>1572</v>
      </c>
      <c r="S215" s="4" t="s">
        <v>1573</v>
      </c>
      <c r="T215" s="4" t="s">
        <v>1574</v>
      </c>
      <c r="U215" s="4" t="s">
        <v>1631</v>
      </c>
      <c r="V215" s="4"/>
      <c r="W215" s="4" t="s">
        <v>53</v>
      </c>
      <c r="X215" s="4" t="s">
        <v>54</v>
      </c>
      <c r="Y215" s="4" t="s">
        <v>1632</v>
      </c>
      <c r="Z215" s="4" t="s">
        <v>1633</v>
      </c>
      <c r="AA215" s="4" t="s">
        <v>68</v>
      </c>
      <c r="AB215" s="4"/>
      <c r="AC215" s="4" t="s">
        <v>1634</v>
      </c>
      <c r="AD215" s="4" t="s">
        <v>1579</v>
      </c>
      <c r="AE215" s="4" t="s">
        <v>1631</v>
      </c>
      <c r="AF215" s="13" t="s">
        <v>1635</v>
      </c>
      <c r="AG215" s="4"/>
      <c r="AH215" s="4" t="s">
        <v>877</v>
      </c>
      <c r="AI215" s="4">
        <v>5</v>
      </c>
      <c r="AJ215" s="4" t="s">
        <v>1636</v>
      </c>
      <c r="AK215" s="4"/>
      <c r="AL215" s="4" t="str">
        <f>VLOOKUP(N215,[1]Sheet1!$N:$AL,25,0)</f>
        <v>42301502  Anatomical human mannequins for medical education or training</v>
      </c>
      <c r="AM215" s="4"/>
      <c r="AN215" s="4"/>
      <c r="AO215" s="4"/>
      <c r="AP215" s="1" t="s">
        <v>58</v>
      </c>
      <c r="AQ215" s="1" t="s">
        <v>59</v>
      </c>
    </row>
    <row r="216" customHeight="1" spans="1:43">
      <c r="A216" s="4" t="s">
        <v>43</v>
      </c>
      <c r="B216" s="4">
        <v>190</v>
      </c>
      <c r="C216" s="4" t="s">
        <v>44</v>
      </c>
      <c r="D216" s="4" t="s">
        <v>45</v>
      </c>
      <c r="E216" s="4"/>
      <c r="F216" s="4"/>
      <c r="G216" s="4"/>
      <c r="H216" s="4"/>
      <c r="I216" s="4"/>
      <c r="J216" s="4"/>
      <c r="K216" s="4"/>
      <c r="L216" s="4"/>
      <c r="M216" s="4"/>
      <c r="N216" s="4">
        <v>1268</v>
      </c>
      <c r="O216" s="4" t="s">
        <v>1637</v>
      </c>
      <c r="P216" s="4" t="s">
        <v>1593</v>
      </c>
      <c r="Q216" s="4" t="s">
        <v>1571</v>
      </c>
      <c r="R216" s="4" t="s">
        <v>1572</v>
      </c>
      <c r="S216" s="4" t="s">
        <v>1573</v>
      </c>
      <c r="T216" s="4" t="s">
        <v>1574</v>
      </c>
      <c r="U216" s="4" t="s">
        <v>1638</v>
      </c>
      <c r="V216" s="4"/>
      <c r="W216" s="4" t="s">
        <v>53</v>
      </c>
      <c r="X216" s="4" t="s">
        <v>54</v>
      </c>
      <c r="Y216" s="4" t="s">
        <v>1595</v>
      </c>
      <c r="Z216" s="4" t="s">
        <v>1596</v>
      </c>
      <c r="AA216" s="4" t="s">
        <v>68</v>
      </c>
      <c r="AB216" s="4"/>
      <c r="AC216" s="4" t="s">
        <v>1597</v>
      </c>
      <c r="AD216" s="4" t="s">
        <v>1579</v>
      </c>
      <c r="AE216" s="4" t="s">
        <v>1638</v>
      </c>
      <c r="AF216" s="13" t="s">
        <v>1639</v>
      </c>
      <c r="AG216" s="4"/>
      <c r="AH216" s="4" t="s">
        <v>1640</v>
      </c>
      <c r="AI216" s="4">
        <v>1</v>
      </c>
      <c r="AJ216" s="4" t="s">
        <v>1641</v>
      </c>
      <c r="AK216" s="4"/>
      <c r="AL216" s="4" t="str">
        <f>VLOOKUP(N216,[1]Sheet1!$N:$AL,25,0)</f>
        <v>42171502  Mobile medical services triage tags</v>
      </c>
      <c r="AM216" s="4"/>
      <c r="AN216" s="4"/>
      <c r="AO216" s="4"/>
      <c r="AP216" s="1" t="s">
        <v>58</v>
      </c>
      <c r="AQ216" s="1" t="s">
        <v>59</v>
      </c>
    </row>
    <row r="217" customHeight="1" spans="1:43">
      <c r="A217" s="4" t="s">
        <v>43</v>
      </c>
      <c r="B217" s="4">
        <v>190</v>
      </c>
      <c r="C217" s="4" t="s">
        <v>44</v>
      </c>
      <c r="D217" s="4" t="s">
        <v>45</v>
      </c>
      <c r="E217" s="4"/>
      <c r="F217" s="4"/>
      <c r="G217" s="4"/>
      <c r="H217" s="4"/>
      <c r="I217" s="4"/>
      <c r="J217" s="4"/>
      <c r="K217" s="4"/>
      <c r="L217" s="4"/>
      <c r="M217" s="4"/>
      <c r="N217" s="4">
        <v>1269</v>
      </c>
      <c r="O217" s="4" t="s">
        <v>1642</v>
      </c>
      <c r="P217" s="4" t="s">
        <v>865</v>
      </c>
      <c r="Q217" s="4" t="s">
        <v>1571</v>
      </c>
      <c r="R217" s="4" t="s">
        <v>1572</v>
      </c>
      <c r="S217" s="4" t="s">
        <v>1573</v>
      </c>
      <c r="T217" s="4" t="s">
        <v>1574</v>
      </c>
      <c r="U217" s="4" t="s">
        <v>1643</v>
      </c>
      <c r="V217" s="4"/>
      <c r="W217" s="4" t="s">
        <v>53</v>
      </c>
      <c r="X217" s="4" t="s">
        <v>54</v>
      </c>
      <c r="Y217" s="4" t="s">
        <v>1644</v>
      </c>
      <c r="Z217" s="4" t="s">
        <v>1645</v>
      </c>
      <c r="AA217" s="4" t="s">
        <v>68</v>
      </c>
      <c r="AB217" s="4"/>
      <c r="AC217" s="4" t="s">
        <v>1646</v>
      </c>
      <c r="AD217" s="4" t="s">
        <v>1579</v>
      </c>
      <c r="AE217" s="4" t="s">
        <v>1643</v>
      </c>
      <c r="AF217" s="13" t="s">
        <v>1647</v>
      </c>
      <c r="AG217" s="4"/>
      <c r="AH217" s="4" t="s">
        <v>1648</v>
      </c>
      <c r="AI217" s="4">
        <v>12</v>
      </c>
      <c r="AJ217" s="4" t="s">
        <v>1649</v>
      </c>
      <c r="AK217" s="4"/>
      <c r="AL217" s="4" t="str">
        <f>VLOOKUP(N217,[1]Sheet1!$N:$AL,25,0)</f>
        <v>42142303  Patient identification and information products</v>
      </c>
      <c r="AM217" s="4"/>
      <c r="AN217" s="4"/>
      <c r="AO217" s="4"/>
      <c r="AP217" s="1" t="s">
        <v>58</v>
      </c>
      <c r="AQ217" s="1" t="s">
        <v>59</v>
      </c>
    </row>
    <row r="218" customHeight="1" spans="1:43">
      <c r="A218" s="4" t="s">
        <v>43</v>
      </c>
      <c r="B218" s="4">
        <v>190</v>
      </c>
      <c r="C218" s="4" t="s">
        <v>44</v>
      </c>
      <c r="D218" s="4" t="s">
        <v>45</v>
      </c>
      <c r="E218" s="4"/>
      <c r="F218" s="4"/>
      <c r="G218" s="4"/>
      <c r="H218" s="4"/>
      <c r="I218" s="4"/>
      <c r="J218" s="4"/>
      <c r="K218" s="4"/>
      <c r="L218" s="4"/>
      <c r="M218" s="4"/>
      <c r="N218" s="4">
        <v>1270</v>
      </c>
      <c r="O218" s="4" t="s">
        <v>1650</v>
      </c>
      <c r="P218" s="4" t="s">
        <v>1651</v>
      </c>
      <c r="Q218" s="4" t="s">
        <v>1652</v>
      </c>
      <c r="R218" s="4" t="s">
        <v>1653</v>
      </c>
      <c r="S218" s="4" t="s">
        <v>1654</v>
      </c>
      <c r="T218" s="4" t="s">
        <v>1655</v>
      </c>
      <c r="U218" s="4" t="s">
        <v>1656</v>
      </c>
      <c r="V218" s="4"/>
      <c r="W218" s="4" t="s">
        <v>53</v>
      </c>
      <c r="X218" s="4" t="s">
        <v>54</v>
      </c>
      <c r="Y218" s="4" t="s">
        <v>1657</v>
      </c>
      <c r="Z218" s="4" t="s">
        <v>1658</v>
      </c>
      <c r="AA218" s="4" t="s">
        <v>68</v>
      </c>
      <c r="AB218" s="4"/>
      <c r="AC218" s="4" t="s">
        <v>1659</v>
      </c>
      <c r="AD218" s="4" t="s">
        <v>1660</v>
      </c>
      <c r="AE218" s="4" t="s">
        <v>1656</v>
      </c>
      <c r="AF218" s="13" t="s">
        <v>1656</v>
      </c>
      <c r="AG218" s="4"/>
      <c r="AH218" s="4" t="s">
        <v>226</v>
      </c>
      <c r="AI218" s="4">
        <v>46</v>
      </c>
      <c r="AJ218" s="4" t="s">
        <v>1661</v>
      </c>
      <c r="AK218" s="4"/>
      <c r="AL218" s="4" t="str">
        <f>VLOOKUP(N218,[1]Sheet1!$N:$AL,25,0)</f>
        <v>24111506  Laundry nets or bags</v>
      </c>
      <c r="AM218" s="4"/>
      <c r="AN218" s="4"/>
      <c r="AO218" s="4"/>
      <c r="AP218" s="1" t="s">
        <v>58</v>
      </c>
      <c r="AQ218" s="1" t="s">
        <v>59</v>
      </c>
    </row>
    <row r="219" customHeight="1" spans="1:43">
      <c r="A219" s="4" t="s">
        <v>43</v>
      </c>
      <c r="B219" s="4">
        <v>190</v>
      </c>
      <c r="C219" s="4" t="s">
        <v>44</v>
      </c>
      <c r="D219" s="4" t="s">
        <v>45</v>
      </c>
      <c r="E219" s="4"/>
      <c r="F219" s="4"/>
      <c r="G219" s="4"/>
      <c r="H219" s="4"/>
      <c r="I219" s="4"/>
      <c r="J219" s="4"/>
      <c r="K219" s="4"/>
      <c r="L219" s="4"/>
      <c r="M219" s="4"/>
      <c r="N219" s="4">
        <v>1280</v>
      </c>
      <c r="O219" s="4" t="s">
        <v>1662</v>
      </c>
      <c r="P219" s="4" t="s">
        <v>1663</v>
      </c>
      <c r="Q219" s="4" t="s">
        <v>1664</v>
      </c>
      <c r="R219" s="4" t="s">
        <v>1665</v>
      </c>
      <c r="S219" s="4" t="s">
        <v>1666</v>
      </c>
      <c r="T219" s="4" t="s">
        <v>1667</v>
      </c>
      <c r="U219" s="4" t="s">
        <v>1668</v>
      </c>
      <c r="V219" s="4"/>
      <c r="W219" s="4" t="s">
        <v>53</v>
      </c>
      <c r="X219" s="4" t="s">
        <v>54</v>
      </c>
      <c r="Y219" s="4" t="s">
        <v>1533</v>
      </c>
      <c r="Z219" s="4" t="s">
        <v>1534</v>
      </c>
      <c r="AA219" s="4" t="s">
        <v>68</v>
      </c>
      <c r="AB219" s="4"/>
      <c r="AC219" s="4" t="s">
        <v>1535</v>
      </c>
      <c r="AD219" s="4" t="s">
        <v>1667</v>
      </c>
      <c r="AE219" s="4" t="s">
        <v>1668</v>
      </c>
      <c r="AF219" s="13" t="s">
        <v>1669</v>
      </c>
      <c r="AG219" s="4"/>
      <c r="AH219" s="4" t="s">
        <v>567</v>
      </c>
      <c r="AI219" s="4">
        <v>39</v>
      </c>
      <c r="AJ219" s="4" t="s">
        <v>1670</v>
      </c>
      <c r="AK219" s="4"/>
      <c r="AL219" s="4" t="str">
        <f>VLOOKUP(N219,[1]Sheet1!$N:$AL,25,0)</f>
        <v>42241703  Knee therapeutic brace or support</v>
      </c>
      <c r="AM219" s="4"/>
      <c r="AN219" s="4"/>
      <c r="AO219" s="4"/>
      <c r="AP219" s="1" t="s">
        <v>58</v>
      </c>
      <c r="AQ219" s="1" t="s">
        <v>59</v>
      </c>
    </row>
    <row r="220" customHeight="1" spans="1:43">
      <c r="A220" s="4" t="s">
        <v>43</v>
      </c>
      <c r="B220" s="4">
        <v>190</v>
      </c>
      <c r="C220" s="4" t="s">
        <v>44</v>
      </c>
      <c r="D220" s="4" t="s">
        <v>45</v>
      </c>
      <c r="E220" s="4"/>
      <c r="F220" s="4"/>
      <c r="G220" s="4"/>
      <c r="H220" s="4"/>
      <c r="I220" s="4"/>
      <c r="J220" s="4"/>
      <c r="K220" s="4"/>
      <c r="L220" s="4"/>
      <c r="M220" s="4"/>
      <c r="N220" s="4">
        <v>1425</v>
      </c>
      <c r="O220" s="4" t="s">
        <v>1671</v>
      </c>
      <c r="P220" s="4" t="s">
        <v>92</v>
      </c>
      <c r="Q220" s="4" t="s">
        <v>1672</v>
      </c>
      <c r="R220" s="4" t="s">
        <v>1673</v>
      </c>
      <c r="S220" s="4" t="s">
        <v>1674</v>
      </c>
      <c r="T220" s="4" t="s">
        <v>1675</v>
      </c>
      <c r="U220" s="4" t="s">
        <v>1676</v>
      </c>
      <c r="V220" s="4"/>
      <c r="W220" s="4" t="s">
        <v>53</v>
      </c>
      <c r="X220" s="4" t="s">
        <v>54</v>
      </c>
      <c r="Y220" s="4" t="s">
        <v>108</v>
      </c>
      <c r="Z220" s="4" t="s">
        <v>109</v>
      </c>
      <c r="AA220" s="4" t="s">
        <v>68</v>
      </c>
      <c r="AB220" s="4"/>
      <c r="AC220" s="4" t="s">
        <v>110</v>
      </c>
      <c r="AD220" s="4" t="s">
        <v>1674</v>
      </c>
      <c r="AE220" s="4" t="s">
        <v>1676</v>
      </c>
      <c r="AF220" s="13" t="s">
        <v>1676</v>
      </c>
      <c r="AG220" s="4"/>
      <c r="AH220" s="4" t="s">
        <v>249</v>
      </c>
      <c r="AI220" s="4">
        <v>10</v>
      </c>
      <c r="AJ220" s="4" t="s">
        <v>1677</v>
      </c>
      <c r="AK220" s="4"/>
      <c r="AL220" s="4" t="str">
        <f>VLOOKUP(N220,[1]Sheet1!$N:$AL,25,0)</f>
        <v>42181608  Blood pressure measuring instruments accessories</v>
      </c>
      <c r="AM220" s="4"/>
      <c r="AN220" s="4"/>
      <c r="AO220" s="4"/>
      <c r="AP220" s="1" t="s">
        <v>58</v>
      </c>
      <c r="AQ220" s="1" t="s">
        <v>59</v>
      </c>
    </row>
    <row r="221" customHeight="1" spans="1:43">
      <c r="A221" s="4" t="s">
        <v>43</v>
      </c>
      <c r="B221" s="4">
        <v>190</v>
      </c>
      <c r="C221" s="4" t="s">
        <v>44</v>
      </c>
      <c r="D221" s="4" t="s">
        <v>45</v>
      </c>
      <c r="E221" s="4"/>
      <c r="F221" s="4"/>
      <c r="G221" s="4"/>
      <c r="H221" s="4"/>
      <c r="I221" s="4"/>
      <c r="J221" s="4"/>
      <c r="K221" s="4"/>
      <c r="L221" s="4"/>
      <c r="M221" s="4"/>
      <c r="N221" s="4">
        <v>1426</v>
      </c>
      <c r="O221" s="4" t="s">
        <v>1678</v>
      </c>
      <c r="P221" s="4" t="s">
        <v>92</v>
      </c>
      <c r="Q221" s="4" t="s">
        <v>1672</v>
      </c>
      <c r="R221" s="4" t="s">
        <v>1673</v>
      </c>
      <c r="S221" s="4" t="s">
        <v>1674</v>
      </c>
      <c r="T221" s="4" t="s">
        <v>1675</v>
      </c>
      <c r="U221" s="4" t="s">
        <v>1679</v>
      </c>
      <c r="V221" s="4"/>
      <c r="W221" s="4" t="s">
        <v>53</v>
      </c>
      <c r="X221" s="4" t="s">
        <v>54</v>
      </c>
      <c r="Y221" s="4" t="s">
        <v>108</v>
      </c>
      <c r="Z221" s="4" t="s">
        <v>109</v>
      </c>
      <c r="AA221" s="4" t="s">
        <v>68</v>
      </c>
      <c r="AB221" s="4"/>
      <c r="AC221" s="4" t="s">
        <v>110</v>
      </c>
      <c r="AD221" s="4" t="s">
        <v>1674</v>
      </c>
      <c r="AE221" s="4" t="s">
        <v>1679</v>
      </c>
      <c r="AF221" s="13" t="s">
        <v>1679</v>
      </c>
      <c r="AG221" s="4"/>
      <c r="AH221" s="4" t="s">
        <v>249</v>
      </c>
      <c r="AI221" s="4">
        <v>10</v>
      </c>
      <c r="AJ221" s="4" t="s">
        <v>1680</v>
      </c>
      <c r="AK221" s="4"/>
      <c r="AL221" s="4" t="str">
        <f>VLOOKUP(N221,[1]Sheet1!$N:$AL,25,0)</f>
        <v>42181608  Blood pressure measuring instruments accessories</v>
      </c>
      <c r="AM221" s="4"/>
      <c r="AN221" s="4"/>
      <c r="AO221" s="4"/>
      <c r="AP221" s="1" t="s">
        <v>58</v>
      </c>
      <c r="AQ221" s="1" t="s">
        <v>59</v>
      </c>
    </row>
    <row r="222" customHeight="1" spans="1:43">
      <c r="A222" s="4" t="s">
        <v>43</v>
      </c>
      <c r="B222" s="4">
        <v>190</v>
      </c>
      <c r="C222" s="4" t="s">
        <v>44</v>
      </c>
      <c r="D222" s="4" t="s">
        <v>45</v>
      </c>
      <c r="E222" s="4"/>
      <c r="F222" s="4"/>
      <c r="G222" s="4"/>
      <c r="H222" s="4"/>
      <c r="I222" s="4"/>
      <c r="J222" s="4"/>
      <c r="K222" s="4"/>
      <c r="L222" s="4"/>
      <c r="M222" s="4"/>
      <c r="N222" s="4">
        <v>1428</v>
      </c>
      <c r="O222" s="4" t="s">
        <v>1681</v>
      </c>
      <c r="P222" s="4" t="s">
        <v>132</v>
      </c>
      <c r="Q222" s="4" t="s">
        <v>1682</v>
      </c>
      <c r="R222" s="4" t="s">
        <v>1683</v>
      </c>
      <c r="S222" s="4" t="s">
        <v>1684</v>
      </c>
      <c r="T222" s="4" t="s">
        <v>1685</v>
      </c>
      <c r="U222" s="4" t="s">
        <v>1686</v>
      </c>
      <c r="V222" s="4"/>
      <c r="W222" s="4" t="s">
        <v>53</v>
      </c>
      <c r="X222" s="4" t="s">
        <v>54</v>
      </c>
      <c r="Y222" s="4" t="s">
        <v>1687</v>
      </c>
      <c r="Z222" s="4" t="s">
        <v>1688</v>
      </c>
      <c r="AA222" s="4" t="s">
        <v>68</v>
      </c>
      <c r="AB222" s="4"/>
      <c r="AC222" s="4" t="s">
        <v>1689</v>
      </c>
      <c r="AD222" s="4" t="s">
        <v>1690</v>
      </c>
      <c r="AE222" s="4" t="s">
        <v>1686</v>
      </c>
      <c r="AF222" s="13" t="s">
        <v>1686</v>
      </c>
      <c r="AG222" s="4"/>
      <c r="AH222" s="4" t="s">
        <v>1691</v>
      </c>
      <c r="AI222" s="4">
        <v>6</v>
      </c>
      <c r="AJ222" s="4" t="s">
        <v>1692</v>
      </c>
      <c r="AK222" s="4"/>
      <c r="AL222" s="4" t="str">
        <f>VLOOKUP(N222,[1]Sheet1!$N:$AL,25,0)</f>
        <v>42191815  Patient care bed accessories</v>
      </c>
      <c r="AM222" s="4"/>
      <c r="AN222" s="4"/>
      <c r="AO222" s="4"/>
      <c r="AP222" s="1" t="s">
        <v>58</v>
      </c>
      <c r="AQ222" s="1" t="s">
        <v>59</v>
      </c>
    </row>
    <row r="223" customHeight="1" spans="1:43">
      <c r="A223" s="4" t="s">
        <v>43</v>
      </c>
      <c r="B223" s="4">
        <v>190</v>
      </c>
      <c r="C223" s="4" t="s">
        <v>44</v>
      </c>
      <c r="D223" s="4" t="s">
        <v>45</v>
      </c>
      <c r="E223" s="4"/>
      <c r="F223" s="4"/>
      <c r="G223" s="4"/>
      <c r="H223" s="4"/>
      <c r="I223" s="4"/>
      <c r="J223" s="4"/>
      <c r="K223" s="4"/>
      <c r="L223" s="4"/>
      <c r="M223" s="4"/>
      <c r="N223" s="4">
        <v>1430</v>
      </c>
      <c r="O223" s="4" t="s">
        <v>1693</v>
      </c>
      <c r="P223" s="4" t="s">
        <v>560</v>
      </c>
      <c r="Q223" s="4" t="s">
        <v>1682</v>
      </c>
      <c r="R223" s="4" t="s">
        <v>1683</v>
      </c>
      <c r="S223" s="4" t="s">
        <v>1684</v>
      </c>
      <c r="T223" s="4" t="s">
        <v>1685</v>
      </c>
      <c r="U223" s="4" t="s">
        <v>1694</v>
      </c>
      <c r="V223" s="4"/>
      <c r="W223" s="4" t="s">
        <v>53</v>
      </c>
      <c r="X223" s="4" t="s">
        <v>54</v>
      </c>
      <c r="Y223" s="4" t="s">
        <v>1695</v>
      </c>
      <c r="Z223" s="4" t="s">
        <v>1696</v>
      </c>
      <c r="AA223" s="4" t="s">
        <v>68</v>
      </c>
      <c r="AB223" s="4"/>
      <c r="AC223" s="4" t="s">
        <v>1697</v>
      </c>
      <c r="AD223" s="4" t="s">
        <v>1690</v>
      </c>
      <c r="AE223" s="4" t="s">
        <v>1694</v>
      </c>
      <c r="AF223" s="13" t="s">
        <v>1694</v>
      </c>
      <c r="AG223" s="4"/>
      <c r="AH223" s="4" t="s">
        <v>240</v>
      </c>
      <c r="AI223" s="4">
        <v>9</v>
      </c>
      <c r="AJ223" s="4" t="s">
        <v>1698</v>
      </c>
      <c r="AK223" s="4"/>
      <c r="AL223" s="4" t="str">
        <f>VLOOKUP(N223,[1]Sheet1!$N:$AL,25,0)</f>
        <v>42211622  Commode accessories for the physically challenged</v>
      </c>
      <c r="AM223" s="4"/>
      <c r="AN223" s="4"/>
      <c r="AO223" s="4"/>
      <c r="AP223" s="1" t="s">
        <v>58</v>
      </c>
      <c r="AQ223" s="1" t="s">
        <v>59</v>
      </c>
    </row>
    <row r="224" customHeight="1" spans="1:43">
      <c r="A224" s="4" t="s">
        <v>43</v>
      </c>
      <c r="B224" s="4">
        <v>190</v>
      </c>
      <c r="C224" s="4" t="s">
        <v>44</v>
      </c>
      <c r="D224" s="4" t="s">
        <v>45</v>
      </c>
      <c r="E224" s="4"/>
      <c r="F224" s="4"/>
      <c r="G224" s="4"/>
      <c r="H224" s="4"/>
      <c r="I224" s="4"/>
      <c r="J224" s="4"/>
      <c r="K224" s="4"/>
      <c r="L224" s="4"/>
      <c r="M224" s="4"/>
      <c r="N224" s="4">
        <v>1433</v>
      </c>
      <c r="O224" s="4" t="s">
        <v>1699</v>
      </c>
      <c r="P224" s="4" t="s">
        <v>1700</v>
      </c>
      <c r="Q224" s="4" t="s">
        <v>1682</v>
      </c>
      <c r="R224" s="4" t="s">
        <v>1683</v>
      </c>
      <c r="S224" s="4" t="s">
        <v>1684</v>
      </c>
      <c r="T224" s="4" t="s">
        <v>1685</v>
      </c>
      <c r="U224" s="4" t="s">
        <v>1701</v>
      </c>
      <c r="V224" s="4"/>
      <c r="W224" s="4" t="s">
        <v>53</v>
      </c>
      <c r="X224" s="4" t="s">
        <v>54</v>
      </c>
      <c r="Y224" s="4" t="s">
        <v>1702</v>
      </c>
      <c r="Z224" s="4" t="s">
        <v>1703</v>
      </c>
      <c r="AA224" s="4" t="s">
        <v>68</v>
      </c>
      <c r="AB224" s="4"/>
      <c r="AC224" s="4" t="s">
        <v>1704</v>
      </c>
      <c r="AD224" s="4" t="s">
        <v>1690</v>
      </c>
      <c r="AE224" s="4" t="s">
        <v>1701</v>
      </c>
      <c r="AF224" s="13" t="s">
        <v>1705</v>
      </c>
      <c r="AG224" s="4"/>
      <c r="AH224" s="4" t="s">
        <v>1706</v>
      </c>
      <c r="AI224" s="4">
        <v>1</v>
      </c>
      <c r="AJ224" s="4" t="s">
        <v>1707</v>
      </c>
      <c r="AK224" s="4"/>
      <c r="AL224" s="4" t="str">
        <f>VLOOKUP(N224,[1]Sheet1!$N:$AL,25,0)</f>
        <v>42191801  Overbed tables</v>
      </c>
      <c r="AM224" s="4"/>
      <c r="AN224" s="4"/>
      <c r="AO224" s="4"/>
      <c r="AP224" s="1" t="s">
        <v>58</v>
      </c>
      <c r="AQ224" s="1" t="s">
        <v>59</v>
      </c>
    </row>
    <row r="225" customHeight="1" spans="1:43">
      <c r="A225" s="4" t="s">
        <v>43</v>
      </c>
      <c r="B225" s="4">
        <v>190</v>
      </c>
      <c r="C225" s="4" t="s">
        <v>44</v>
      </c>
      <c r="D225" s="4" t="s">
        <v>45</v>
      </c>
      <c r="E225" s="4"/>
      <c r="F225" s="4"/>
      <c r="G225" s="4"/>
      <c r="H225" s="4"/>
      <c r="I225" s="4"/>
      <c r="J225" s="4"/>
      <c r="K225" s="4"/>
      <c r="L225" s="4"/>
      <c r="M225" s="4"/>
      <c r="N225" s="4">
        <v>1436</v>
      </c>
      <c r="O225" s="4" t="s">
        <v>1708</v>
      </c>
      <c r="P225" s="4" t="s">
        <v>560</v>
      </c>
      <c r="Q225" s="4" t="s">
        <v>1682</v>
      </c>
      <c r="R225" s="4" t="s">
        <v>1683</v>
      </c>
      <c r="S225" s="4" t="s">
        <v>1684</v>
      </c>
      <c r="T225" s="4" t="s">
        <v>1685</v>
      </c>
      <c r="U225" s="4" t="s">
        <v>1709</v>
      </c>
      <c r="V225" s="4"/>
      <c r="W225" s="4" t="s">
        <v>53</v>
      </c>
      <c r="X225" s="4" t="s">
        <v>54</v>
      </c>
      <c r="Y225" s="4" t="s">
        <v>1710</v>
      </c>
      <c r="Z225" s="4" t="s">
        <v>1711</v>
      </c>
      <c r="AA225" s="4" t="s">
        <v>68</v>
      </c>
      <c r="AB225" s="4"/>
      <c r="AC225" s="4" t="s">
        <v>1712</v>
      </c>
      <c r="AD225" s="4" t="s">
        <v>1690</v>
      </c>
      <c r="AE225" s="4" t="s">
        <v>1709</v>
      </c>
      <c r="AF225" s="13" t="s">
        <v>1709</v>
      </c>
      <c r="AG225" s="4"/>
      <c r="AH225" s="4" t="s">
        <v>1713</v>
      </c>
      <c r="AI225" s="4">
        <v>3</v>
      </c>
      <c r="AJ225" s="4" t="s">
        <v>1714</v>
      </c>
      <c r="AK225" s="4"/>
      <c r="AL225" s="4" t="str">
        <f>VLOOKUP(N225,[1]Sheet1!$N:$AL,25,0)</f>
        <v>42211505  Walker or rollator accessories</v>
      </c>
      <c r="AM225" s="4"/>
      <c r="AN225" s="4"/>
      <c r="AO225" s="4"/>
      <c r="AP225" s="1" t="s">
        <v>58</v>
      </c>
      <c r="AQ225" s="1" t="s">
        <v>59</v>
      </c>
    </row>
    <row r="226" customHeight="1" spans="1:43">
      <c r="A226" s="4" t="s">
        <v>43</v>
      </c>
      <c r="B226" s="4">
        <v>190</v>
      </c>
      <c r="C226" s="4" t="s">
        <v>44</v>
      </c>
      <c r="D226" s="4" t="s">
        <v>45</v>
      </c>
      <c r="E226" s="4"/>
      <c r="F226" s="4"/>
      <c r="G226" s="4"/>
      <c r="H226" s="4"/>
      <c r="I226" s="4"/>
      <c r="J226" s="4"/>
      <c r="K226" s="4"/>
      <c r="L226" s="4"/>
      <c r="M226" s="4"/>
      <c r="N226" s="4">
        <v>1437</v>
      </c>
      <c r="O226" s="4" t="s">
        <v>1715</v>
      </c>
      <c r="P226" s="4" t="s">
        <v>560</v>
      </c>
      <c r="Q226" s="4" t="s">
        <v>1682</v>
      </c>
      <c r="R226" s="4" t="s">
        <v>1683</v>
      </c>
      <c r="S226" s="4" t="s">
        <v>1684</v>
      </c>
      <c r="T226" s="4" t="s">
        <v>1685</v>
      </c>
      <c r="U226" s="4" t="s">
        <v>1716</v>
      </c>
      <c r="V226" s="4"/>
      <c r="W226" s="4" t="s">
        <v>53</v>
      </c>
      <c r="X226" s="4" t="s">
        <v>54</v>
      </c>
      <c r="Y226" s="4" t="s">
        <v>1710</v>
      </c>
      <c r="Z226" s="4" t="s">
        <v>1711</v>
      </c>
      <c r="AA226" s="4" t="s">
        <v>68</v>
      </c>
      <c r="AB226" s="4"/>
      <c r="AC226" s="4" t="s">
        <v>1712</v>
      </c>
      <c r="AD226" s="4" t="s">
        <v>1690</v>
      </c>
      <c r="AE226" s="4" t="s">
        <v>1716</v>
      </c>
      <c r="AF226" s="13" t="s">
        <v>1716</v>
      </c>
      <c r="AG226" s="4"/>
      <c r="AH226" s="4" t="s">
        <v>1717</v>
      </c>
      <c r="AI226" s="4">
        <v>1</v>
      </c>
      <c r="AJ226" s="4" t="s">
        <v>1718</v>
      </c>
      <c r="AK226" s="4"/>
      <c r="AL226" s="4" t="str">
        <f>VLOOKUP(N226,[1]Sheet1!$N:$AL,25,0)</f>
        <v>42211505  Walker or rollator accessories</v>
      </c>
      <c r="AM226" s="4"/>
      <c r="AN226" s="4"/>
      <c r="AO226" s="4"/>
      <c r="AP226" s="1" t="s">
        <v>58</v>
      </c>
      <c r="AQ226" s="1" t="s">
        <v>59</v>
      </c>
    </row>
    <row r="227" customHeight="1" spans="1:43">
      <c r="A227" s="4" t="s">
        <v>43</v>
      </c>
      <c r="B227" s="4">
        <v>190</v>
      </c>
      <c r="C227" s="4" t="s">
        <v>44</v>
      </c>
      <c r="D227" s="4" t="s">
        <v>45</v>
      </c>
      <c r="E227" s="4"/>
      <c r="F227" s="4"/>
      <c r="G227" s="4"/>
      <c r="H227" s="4"/>
      <c r="I227" s="4"/>
      <c r="J227" s="4"/>
      <c r="K227" s="4"/>
      <c r="L227" s="4"/>
      <c r="M227" s="4"/>
      <c r="N227" s="4">
        <v>1451</v>
      </c>
      <c r="O227" s="4" t="s">
        <v>1719</v>
      </c>
      <c r="P227" s="4" t="s">
        <v>1720</v>
      </c>
      <c r="Q227" s="4" t="s">
        <v>1721</v>
      </c>
      <c r="R227" s="4" t="s">
        <v>1722</v>
      </c>
      <c r="S227" s="4" t="s">
        <v>1723</v>
      </c>
      <c r="T227" s="4" t="s">
        <v>1724</v>
      </c>
      <c r="U227" s="4" t="s">
        <v>1725</v>
      </c>
      <c r="V227" s="4"/>
      <c r="W227" s="4" t="s">
        <v>53</v>
      </c>
      <c r="X227" s="4" t="s">
        <v>54</v>
      </c>
      <c r="Y227" s="4" t="s">
        <v>1726</v>
      </c>
      <c r="Z227" s="4" t="s">
        <v>1727</v>
      </c>
      <c r="AA227" s="4" t="s">
        <v>68</v>
      </c>
      <c r="AB227" s="4"/>
      <c r="AC227" s="4" t="s">
        <v>1728</v>
      </c>
      <c r="AD227" s="4" t="s">
        <v>1723</v>
      </c>
      <c r="AE227" s="4" t="s">
        <v>1725</v>
      </c>
      <c r="AF227" s="13" t="s">
        <v>1725</v>
      </c>
      <c r="AG227" s="4"/>
      <c r="AH227" s="4" t="s">
        <v>567</v>
      </c>
      <c r="AI227" s="4">
        <v>39</v>
      </c>
      <c r="AJ227" s="4" t="s">
        <v>1729</v>
      </c>
      <c r="AK227" s="4"/>
      <c r="AL227" s="4" t="str">
        <f>VLOOKUP(N227,[1]Sheet1!$N:$AL,25,0)</f>
        <v>42311500  Bandages and dressings and related products</v>
      </c>
      <c r="AM227" s="4"/>
      <c r="AN227" s="4"/>
      <c r="AO227" s="4"/>
      <c r="AP227" s="1" t="s">
        <v>58</v>
      </c>
      <c r="AQ227" s="1" t="s">
        <v>59</v>
      </c>
    </row>
    <row r="228" customHeight="1" spans="1:43">
      <c r="A228" s="4" t="s">
        <v>43</v>
      </c>
      <c r="B228" s="4">
        <v>190</v>
      </c>
      <c r="C228" s="4" t="s">
        <v>44</v>
      </c>
      <c r="D228" s="4" t="s">
        <v>45</v>
      </c>
      <c r="E228" s="4"/>
      <c r="F228" s="4"/>
      <c r="G228" s="4"/>
      <c r="H228" s="4"/>
      <c r="I228" s="4"/>
      <c r="J228" s="4"/>
      <c r="K228" s="4"/>
      <c r="L228" s="4"/>
      <c r="M228" s="4"/>
      <c r="N228" s="4">
        <v>1452</v>
      </c>
      <c r="O228" s="4" t="s">
        <v>1730</v>
      </c>
      <c r="P228" s="4" t="s">
        <v>1720</v>
      </c>
      <c r="Q228" s="4" t="s">
        <v>1721</v>
      </c>
      <c r="R228" s="4" t="s">
        <v>1722</v>
      </c>
      <c r="S228" s="4" t="s">
        <v>1723</v>
      </c>
      <c r="T228" s="4" t="s">
        <v>1724</v>
      </c>
      <c r="U228" s="4" t="s">
        <v>1731</v>
      </c>
      <c r="V228" s="4"/>
      <c r="W228" s="4" t="s">
        <v>53</v>
      </c>
      <c r="X228" s="4" t="s">
        <v>54</v>
      </c>
      <c r="Y228" s="4" t="s">
        <v>1726</v>
      </c>
      <c r="Z228" s="4" t="s">
        <v>1727</v>
      </c>
      <c r="AA228" s="4" t="s">
        <v>68</v>
      </c>
      <c r="AB228" s="4"/>
      <c r="AC228" s="4" t="s">
        <v>1728</v>
      </c>
      <c r="AD228" s="4" t="s">
        <v>1723</v>
      </c>
      <c r="AE228" s="4" t="s">
        <v>1731</v>
      </c>
      <c r="AF228" s="13" t="s">
        <v>1731</v>
      </c>
      <c r="AG228" s="4"/>
      <c r="AH228" s="4" t="s">
        <v>567</v>
      </c>
      <c r="AI228" s="4">
        <v>39</v>
      </c>
      <c r="AJ228" s="4" t="s">
        <v>1732</v>
      </c>
      <c r="AK228" s="4"/>
      <c r="AL228" s="4" t="str">
        <f>VLOOKUP(N228,[1]Sheet1!$N:$AL,25,0)</f>
        <v>42311500  Bandages and dressings and related products</v>
      </c>
      <c r="AM228" s="4"/>
      <c r="AN228" s="4"/>
      <c r="AO228" s="4"/>
      <c r="AP228" s="1" t="s">
        <v>58</v>
      </c>
      <c r="AQ228" s="1" t="s">
        <v>59</v>
      </c>
    </row>
    <row r="229" customHeight="1" spans="1:43">
      <c r="A229" s="4" t="s">
        <v>43</v>
      </c>
      <c r="B229" s="4">
        <v>190</v>
      </c>
      <c r="C229" s="4" t="s">
        <v>44</v>
      </c>
      <c r="D229" s="4" t="s">
        <v>45</v>
      </c>
      <c r="E229" s="4"/>
      <c r="F229" s="4"/>
      <c r="G229" s="4"/>
      <c r="H229" s="4"/>
      <c r="I229" s="4"/>
      <c r="J229" s="4"/>
      <c r="K229" s="4"/>
      <c r="L229" s="4"/>
      <c r="M229" s="4"/>
      <c r="N229" s="4">
        <v>1459</v>
      </c>
      <c r="O229" s="4" t="s">
        <v>1733</v>
      </c>
      <c r="P229" s="4" t="s">
        <v>1734</v>
      </c>
      <c r="Q229" s="4" t="s">
        <v>1721</v>
      </c>
      <c r="R229" s="4" t="s">
        <v>1722</v>
      </c>
      <c r="S229" s="4" t="s">
        <v>1723</v>
      </c>
      <c r="T229" s="4" t="s">
        <v>1724</v>
      </c>
      <c r="U229" s="4" t="s">
        <v>1735</v>
      </c>
      <c r="V229" s="4"/>
      <c r="W229" s="4" t="s">
        <v>53</v>
      </c>
      <c r="X229" s="4" t="s">
        <v>54</v>
      </c>
      <c r="Y229" s="4" t="s">
        <v>1736</v>
      </c>
      <c r="Z229" s="4" t="s">
        <v>1737</v>
      </c>
      <c r="AA229" s="4" t="s">
        <v>68</v>
      </c>
      <c r="AB229" s="4"/>
      <c r="AC229" s="4" t="s">
        <v>1738</v>
      </c>
      <c r="AD229" s="4" t="s">
        <v>1723</v>
      </c>
      <c r="AE229" s="4" t="s">
        <v>1735</v>
      </c>
      <c r="AF229" s="13" t="s">
        <v>1739</v>
      </c>
      <c r="AG229" s="4"/>
      <c r="AH229" s="4" t="s">
        <v>1740</v>
      </c>
      <c r="AI229" s="4">
        <v>1</v>
      </c>
      <c r="AJ229" s="4" t="s">
        <v>1741</v>
      </c>
      <c r="AK229" s="4"/>
      <c r="AL229" s="4" t="str">
        <f>VLOOKUP(N229,[1]Sheet1!$N:$AL,25,0)</f>
        <v>42312501  Mammary support binders</v>
      </c>
      <c r="AM229" s="4"/>
      <c r="AN229" s="4"/>
      <c r="AO229" s="4"/>
      <c r="AP229" s="1" t="s">
        <v>58</v>
      </c>
      <c r="AQ229" s="1" t="s">
        <v>59</v>
      </c>
    </row>
    <row r="230" customHeight="1" spans="1:43">
      <c r="A230" s="4" t="s">
        <v>43</v>
      </c>
      <c r="B230" s="4">
        <v>190</v>
      </c>
      <c r="C230" s="4" t="s">
        <v>44</v>
      </c>
      <c r="D230" s="4" t="s">
        <v>45</v>
      </c>
      <c r="E230" s="4"/>
      <c r="F230" s="4"/>
      <c r="G230" s="4"/>
      <c r="H230" s="4"/>
      <c r="I230" s="4"/>
      <c r="J230" s="4"/>
      <c r="K230" s="4"/>
      <c r="L230" s="4"/>
      <c r="M230" s="4"/>
      <c r="N230" s="4">
        <v>1458</v>
      </c>
      <c r="O230" s="4" t="s">
        <v>1742</v>
      </c>
      <c r="P230" s="4" t="s">
        <v>1743</v>
      </c>
      <c r="Q230" s="4" t="s">
        <v>1721</v>
      </c>
      <c r="R230" s="4" t="s">
        <v>1722</v>
      </c>
      <c r="S230" s="4" t="s">
        <v>1723</v>
      </c>
      <c r="T230" s="4" t="s">
        <v>1724</v>
      </c>
      <c r="U230" s="4" t="s">
        <v>1744</v>
      </c>
      <c r="V230" s="4"/>
      <c r="W230" s="4" t="s">
        <v>53</v>
      </c>
      <c r="X230" s="4" t="s">
        <v>54</v>
      </c>
      <c r="Y230" s="4" t="s">
        <v>1745</v>
      </c>
      <c r="Z230" s="4" t="s">
        <v>1746</v>
      </c>
      <c r="AA230" s="4" t="s">
        <v>68</v>
      </c>
      <c r="AB230" s="4"/>
      <c r="AC230" s="4" t="s">
        <v>1747</v>
      </c>
      <c r="AD230" s="4" t="s">
        <v>1723</v>
      </c>
      <c r="AE230" s="4" t="s">
        <v>1744</v>
      </c>
      <c r="AF230" s="13" t="s">
        <v>1744</v>
      </c>
      <c r="AG230" s="4"/>
      <c r="AH230" s="4" t="s">
        <v>1748</v>
      </c>
      <c r="AI230" s="4">
        <v>1</v>
      </c>
      <c r="AJ230" s="4" t="s">
        <v>1749</v>
      </c>
      <c r="AK230" s="4"/>
      <c r="AL230" s="4" t="str">
        <f>VLOOKUP(N230,[1]Sheet1!$N:$AL,25,0)</f>
        <v>42311518  Medical eye pads or patches</v>
      </c>
      <c r="AM230" s="4"/>
      <c r="AN230" s="4"/>
      <c r="AO230" s="4"/>
      <c r="AP230" s="1" t="s">
        <v>58</v>
      </c>
      <c r="AQ230" s="1" t="s">
        <v>59</v>
      </c>
    </row>
    <row r="231" customHeight="1" spans="1:43">
      <c r="A231" s="4" t="s">
        <v>43</v>
      </c>
      <c r="B231" s="4">
        <v>190</v>
      </c>
      <c r="C231" s="4" t="s">
        <v>44</v>
      </c>
      <c r="D231" s="4" t="s">
        <v>45</v>
      </c>
      <c r="E231" s="4"/>
      <c r="F231" s="4"/>
      <c r="G231" s="4"/>
      <c r="H231" s="4"/>
      <c r="I231" s="4"/>
      <c r="J231" s="4"/>
      <c r="K231" s="4"/>
      <c r="L231" s="4"/>
      <c r="M231" s="4"/>
      <c r="N231" s="4">
        <v>1461</v>
      </c>
      <c r="O231" s="4" t="s">
        <v>1750</v>
      </c>
      <c r="P231" s="4" t="s">
        <v>1751</v>
      </c>
      <c r="Q231" s="4" t="s">
        <v>1752</v>
      </c>
      <c r="R231" s="4" t="s">
        <v>1753</v>
      </c>
      <c r="S231" s="4" t="s">
        <v>1754</v>
      </c>
      <c r="T231" s="4" t="s">
        <v>1755</v>
      </c>
      <c r="U231" s="4" t="s">
        <v>1756</v>
      </c>
      <c r="V231" s="4"/>
      <c r="W231" s="4" t="s">
        <v>53</v>
      </c>
      <c r="X231" s="4" t="s">
        <v>54</v>
      </c>
      <c r="Y231" s="4" t="s">
        <v>1757</v>
      </c>
      <c r="Z231" s="4" t="s">
        <v>1758</v>
      </c>
      <c r="AA231" s="4" t="s">
        <v>68</v>
      </c>
      <c r="AB231" s="4"/>
      <c r="AC231" s="4" t="s">
        <v>1759</v>
      </c>
      <c r="AD231" s="4" t="s">
        <v>1760</v>
      </c>
      <c r="AE231" s="4" t="s">
        <v>1756</v>
      </c>
      <c r="AF231" s="13" t="s">
        <v>1756</v>
      </c>
      <c r="AG231" s="4"/>
      <c r="AH231" s="4" t="s">
        <v>476</v>
      </c>
      <c r="AI231" s="4">
        <v>15</v>
      </c>
      <c r="AJ231" s="4" t="s">
        <v>1761</v>
      </c>
      <c r="AK231" s="4"/>
      <c r="AL231" s="4" t="str">
        <f>VLOOKUP(N231,[1]Sheet1!$N:$AL,25,0)</f>
        <v>26111711  Lithium batteries</v>
      </c>
      <c r="AM231" s="4"/>
      <c r="AN231" s="4"/>
      <c r="AO231" s="4"/>
      <c r="AP231" s="1" t="s">
        <v>58</v>
      </c>
      <c r="AQ231" s="1" t="s">
        <v>59</v>
      </c>
    </row>
    <row r="232" customHeight="1" spans="1:43">
      <c r="A232" s="4" t="s">
        <v>43</v>
      </c>
      <c r="B232" s="4">
        <v>190</v>
      </c>
      <c r="C232" s="4" t="s">
        <v>44</v>
      </c>
      <c r="D232" s="4" t="s">
        <v>45</v>
      </c>
      <c r="E232" s="4"/>
      <c r="F232" s="4"/>
      <c r="G232" s="4"/>
      <c r="H232" s="4"/>
      <c r="I232" s="4"/>
      <c r="J232" s="4"/>
      <c r="K232" s="4"/>
      <c r="L232" s="4"/>
      <c r="M232" s="4"/>
      <c r="N232" s="4">
        <v>1499</v>
      </c>
      <c r="O232" s="4" t="s">
        <v>1762</v>
      </c>
      <c r="P232" s="4" t="s">
        <v>115</v>
      </c>
      <c r="Q232" s="4" t="s">
        <v>1763</v>
      </c>
      <c r="R232" s="4" t="s">
        <v>1764</v>
      </c>
      <c r="S232" s="4" t="s">
        <v>1765</v>
      </c>
      <c r="T232" s="4" t="s">
        <v>1766</v>
      </c>
      <c r="U232" s="4" t="s">
        <v>1767</v>
      </c>
      <c r="V232" s="4"/>
      <c r="W232" s="4" t="s">
        <v>53</v>
      </c>
      <c r="X232" s="4" t="s">
        <v>54</v>
      </c>
      <c r="Y232" s="4" t="s">
        <v>1768</v>
      </c>
      <c r="Z232" s="4" t="s">
        <v>1769</v>
      </c>
      <c r="AA232" s="4" t="s">
        <v>68</v>
      </c>
      <c r="AB232" s="4"/>
      <c r="AC232" s="4" t="s">
        <v>1770</v>
      </c>
      <c r="AD232" s="4" t="s">
        <v>1771</v>
      </c>
      <c r="AE232" s="4" t="s">
        <v>1767</v>
      </c>
      <c r="AF232" s="13" t="s">
        <v>1772</v>
      </c>
      <c r="AG232" s="4"/>
      <c r="AH232" s="4" t="s">
        <v>1773</v>
      </c>
      <c r="AI232" s="4">
        <v>1</v>
      </c>
      <c r="AJ232" s="4" t="s">
        <v>1774</v>
      </c>
      <c r="AK232" s="4"/>
      <c r="AL232" s="4" t="str">
        <f>VLOOKUP(N232,[1]Sheet1!$N:$AL,25,0)</f>
        <v>42201711  Medical ultrasound or doppler or echocardiograph transducer</v>
      </c>
      <c r="AM232" s="4"/>
      <c r="AN232" s="4"/>
      <c r="AO232" s="4"/>
      <c r="AP232" s="1" t="s">
        <v>58</v>
      </c>
      <c r="AQ232" s="1" t="s">
        <v>59</v>
      </c>
    </row>
    <row r="233" customHeight="1" spans="1:43">
      <c r="A233" s="4" t="s">
        <v>43</v>
      </c>
      <c r="B233" s="4">
        <v>190</v>
      </c>
      <c r="C233" s="4" t="s">
        <v>44</v>
      </c>
      <c r="D233" s="4" t="s">
        <v>45</v>
      </c>
      <c r="E233" s="4"/>
      <c r="F233" s="4"/>
      <c r="G233" s="4"/>
      <c r="H233" s="4"/>
      <c r="I233" s="4"/>
      <c r="J233" s="4"/>
      <c r="K233" s="4"/>
      <c r="L233" s="4"/>
      <c r="M233" s="4"/>
      <c r="N233" s="4">
        <v>1500</v>
      </c>
      <c r="O233" s="4" t="s">
        <v>1775</v>
      </c>
      <c r="P233" s="4" t="s">
        <v>115</v>
      </c>
      <c r="Q233" s="4" t="s">
        <v>1763</v>
      </c>
      <c r="R233" s="4" t="s">
        <v>1764</v>
      </c>
      <c r="S233" s="4" t="s">
        <v>1765</v>
      </c>
      <c r="T233" s="4" t="s">
        <v>1766</v>
      </c>
      <c r="U233" s="4" t="s">
        <v>1776</v>
      </c>
      <c r="V233" s="4"/>
      <c r="W233" s="4" t="s">
        <v>53</v>
      </c>
      <c r="X233" s="4" t="s">
        <v>54</v>
      </c>
      <c r="Y233" s="4" t="s">
        <v>1777</v>
      </c>
      <c r="Z233" s="4" t="s">
        <v>1778</v>
      </c>
      <c r="AA233" s="4" t="s">
        <v>68</v>
      </c>
      <c r="AB233" s="4"/>
      <c r="AC233" s="4" t="s">
        <v>1779</v>
      </c>
      <c r="AD233" s="4" t="s">
        <v>1771</v>
      </c>
      <c r="AE233" s="4" t="s">
        <v>1776</v>
      </c>
      <c r="AF233" s="13" t="s">
        <v>1780</v>
      </c>
      <c r="AG233" s="4"/>
      <c r="AH233" s="4" t="s">
        <v>1781</v>
      </c>
      <c r="AI233" s="4">
        <v>11</v>
      </c>
      <c r="AJ233" s="4" t="s">
        <v>1782</v>
      </c>
      <c r="AK233" s="4"/>
      <c r="AL233" s="4" t="str">
        <f>VLOOKUP(N233,[1]Sheet1!$N:$AL,25,0)</f>
        <v>42192402  Diagnostic or monitoring equipment specific carts or stands</v>
      </c>
      <c r="AM233" s="4"/>
      <c r="AN233" s="4"/>
      <c r="AO233" s="4"/>
      <c r="AP233" s="1" t="s">
        <v>58</v>
      </c>
      <c r="AQ233" s="1" t="s">
        <v>59</v>
      </c>
    </row>
    <row r="234" customHeight="1" spans="1:43">
      <c r="A234" s="4" t="s">
        <v>43</v>
      </c>
      <c r="B234" s="4">
        <v>190</v>
      </c>
      <c r="C234" s="4" t="s">
        <v>44</v>
      </c>
      <c r="D234" s="4" t="s">
        <v>45</v>
      </c>
      <c r="E234" s="4"/>
      <c r="F234" s="4"/>
      <c r="G234" s="4"/>
      <c r="H234" s="4"/>
      <c r="I234" s="4"/>
      <c r="J234" s="4"/>
      <c r="K234" s="4"/>
      <c r="L234" s="4"/>
      <c r="M234" s="4"/>
      <c r="N234" s="4">
        <v>1523</v>
      </c>
      <c r="O234" s="4" t="s">
        <v>1783</v>
      </c>
      <c r="P234" s="4" t="s">
        <v>1784</v>
      </c>
      <c r="Q234" s="4" t="s">
        <v>1785</v>
      </c>
      <c r="R234" s="4" t="s">
        <v>1786</v>
      </c>
      <c r="S234" s="4" t="s">
        <v>1787</v>
      </c>
      <c r="T234" s="4" t="s">
        <v>1788</v>
      </c>
      <c r="U234" s="4" t="s">
        <v>1789</v>
      </c>
      <c r="V234" s="4"/>
      <c r="W234" s="4" t="s">
        <v>53</v>
      </c>
      <c r="X234" s="4" t="s">
        <v>54</v>
      </c>
      <c r="Y234" s="4" t="s">
        <v>1790</v>
      </c>
      <c r="Z234" s="4" t="s">
        <v>1791</v>
      </c>
      <c r="AA234" s="4" t="s">
        <v>68</v>
      </c>
      <c r="AB234" s="4"/>
      <c r="AC234" s="4" t="s">
        <v>1792</v>
      </c>
      <c r="AD234" s="4" t="s">
        <v>1793</v>
      </c>
      <c r="AE234" s="4" t="s">
        <v>1789</v>
      </c>
      <c r="AF234" s="13" t="s">
        <v>1794</v>
      </c>
      <c r="AG234" s="4"/>
      <c r="AH234" s="4" t="s">
        <v>1795</v>
      </c>
      <c r="AI234" s="4">
        <v>1</v>
      </c>
      <c r="AJ234" s="4" t="s">
        <v>1796</v>
      </c>
      <c r="AK234" s="4"/>
      <c r="AL234" s="4" t="str">
        <f>VLOOKUP(N234,[1]Sheet1!$N:$AL,25,0)</f>
        <v>42191611  Nurse communication modules or systems</v>
      </c>
      <c r="AM234" s="4"/>
      <c r="AN234" s="4"/>
      <c r="AO234" s="4"/>
      <c r="AP234" s="1" t="s">
        <v>58</v>
      </c>
      <c r="AQ234" s="1" t="s">
        <v>59</v>
      </c>
    </row>
    <row r="235" customHeight="1" spans="1:43">
      <c r="A235" s="4" t="s">
        <v>43</v>
      </c>
      <c r="B235" s="4">
        <v>190</v>
      </c>
      <c r="C235" s="4" t="s">
        <v>44</v>
      </c>
      <c r="D235" s="4" t="s">
        <v>45</v>
      </c>
      <c r="E235" s="4"/>
      <c r="F235" s="4"/>
      <c r="G235" s="4"/>
      <c r="H235" s="4"/>
      <c r="I235" s="4"/>
      <c r="J235" s="4"/>
      <c r="K235" s="4"/>
      <c r="L235" s="4"/>
      <c r="M235" s="4"/>
      <c r="N235" s="4">
        <v>1524</v>
      </c>
      <c r="O235" s="4" t="s">
        <v>1797</v>
      </c>
      <c r="P235" s="4" t="s">
        <v>751</v>
      </c>
      <c r="Q235" s="4" t="s">
        <v>1785</v>
      </c>
      <c r="R235" s="4" t="s">
        <v>1786</v>
      </c>
      <c r="S235" s="4" t="s">
        <v>1787</v>
      </c>
      <c r="T235" s="4" t="s">
        <v>1788</v>
      </c>
      <c r="U235" s="4" t="s">
        <v>1798</v>
      </c>
      <c r="V235" s="4"/>
      <c r="W235" s="4" t="s">
        <v>53</v>
      </c>
      <c r="X235" s="4" t="s">
        <v>190</v>
      </c>
      <c r="Y235" s="4" t="s">
        <v>1799</v>
      </c>
      <c r="Z235" s="4" t="s">
        <v>1800</v>
      </c>
      <c r="AA235" s="4" t="s">
        <v>68</v>
      </c>
      <c r="AB235" s="4"/>
      <c r="AC235" s="4" t="s">
        <v>1801</v>
      </c>
      <c r="AD235" s="4" t="s">
        <v>1793</v>
      </c>
      <c r="AE235" s="4" t="s">
        <v>1798</v>
      </c>
      <c r="AF235" s="13" t="s">
        <v>1798</v>
      </c>
      <c r="AG235" s="4"/>
      <c r="AH235" s="4" t="s">
        <v>1802</v>
      </c>
      <c r="AI235" s="4">
        <v>1</v>
      </c>
      <c r="AJ235" s="4" t="s">
        <v>1803</v>
      </c>
      <c r="AK235" s="4"/>
      <c r="AL235" s="4" t="str">
        <f>VLOOKUP(N235,[1]Sheet1!$N:$AL,25,0)</f>
        <v>43211711  Scanners</v>
      </c>
      <c r="AM235" s="4"/>
      <c r="AN235" s="4"/>
      <c r="AO235" s="4"/>
      <c r="AP235" s="1" t="s">
        <v>58</v>
      </c>
      <c r="AQ235" s="1" t="s">
        <v>59</v>
      </c>
    </row>
    <row r="236" customHeight="1" spans="1:43">
      <c r="A236" s="4" t="s">
        <v>43</v>
      </c>
      <c r="B236" s="4">
        <v>190</v>
      </c>
      <c r="C236" s="4" t="s">
        <v>44</v>
      </c>
      <c r="D236" s="4" t="s">
        <v>45</v>
      </c>
      <c r="E236" s="4"/>
      <c r="F236" s="4"/>
      <c r="G236" s="4"/>
      <c r="H236" s="4"/>
      <c r="I236" s="4"/>
      <c r="J236" s="4"/>
      <c r="K236" s="4"/>
      <c r="L236" s="4"/>
      <c r="M236" s="4"/>
      <c r="N236" s="4">
        <v>1525</v>
      </c>
      <c r="O236" s="4" t="s">
        <v>1804</v>
      </c>
      <c r="P236" s="4" t="s">
        <v>546</v>
      </c>
      <c r="Q236" s="4" t="s">
        <v>1785</v>
      </c>
      <c r="R236" s="4" t="s">
        <v>1786</v>
      </c>
      <c r="S236" s="4" t="s">
        <v>1787</v>
      </c>
      <c r="T236" s="4" t="s">
        <v>1788</v>
      </c>
      <c r="U236" s="4" t="s">
        <v>1805</v>
      </c>
      <c r="V236" s="4"/>
      <c r="W236" s="4" t="s">
        <v>53</v>
      </c>
      <c r="X236" s="4" t="s">
        <v>190</v>
      </c>
      <c r="Y236" s="4" t="s">
        <v>1806</v>
      </c>
      <c r="Z236" s="4" t="s">
        <v>1807</v>
      </c>
      <c r="AA236" s="4" t="s">
        <v>68</v>
      </c>
      <c r="AB236" s="4"/>
      <c r="AC236" s="4" t="s">
        <v>1808</v>
      </c>
      <c r="AD236" s="4" t="s">
        <v>1793</v>
      </c>
      <c r="AE236" s="4" t="s">
        <v>1805</v>
      </c>
      <c r="AF236" s="13" t="s">
        <v>1805</v>
      </c>
      <c r="AG236" s="4"/>
      <c r="AH236" s="4" t="s">
        <v>1809</v>
      </c>
      <c r="AI236" s="4">
        <v>2</v>
      </c>
      <c r="AJ236" s="4" t="s">
        <v>1810</v>
      </c>
      <c r="AK236" s="4"/>
      <c r="AL236" s="4" t="str">
        <f>VLOOKUP(N236,[1]Sheet1!$N:$AL,25,0)</f>
        <v>43211701  Bar code reader equipment</v>
      </c>
      <c r="AM236" s="4"/>
      <c r="AN236" s="4"/>
      <c r="AO236" s="4"/>
      <c r="AP236" s="1" t="s">
        <v>58</v>
      </c>
      <c r="AQ236" s="1" t="s">
        <v>59</v>
      </c>
    </row>
    <row r="237" customHeight="1" spans="1:43">
      <c r="A237" s="4" t="s">
        <v>43</v>
      </c>
      <c r="B237" s="4">
        <v>190</v>
      </c>
      <c r="C237" s="4" t="s">
        <v>44</v>
      </c>
      <c r="D237" s="4" t="s">
        <v>45</v>
      </c>
      <c r="E237" s="4"/>
      <c r="F237" s="4"/>
      <c r="G237" s="4"/>
      <c r="H237" s="4"/>
      <c r="I237" s="4"/>
      <c r="J237" s="4"/>
      <c r="K237" s="4"/>
      <c r="L237" s="4"/>
      <c r="M237" s="4"/>
      <c r="N237" s="4">
        <v>1526</v>
      </c>
      <c r="O237" s="4" t="s">
        <v>1811</v>
      </c>
      <c r="P237" s="4" t="s">
        <v>546</v>
      </c>
      <c r="Q237" s="4" t="s">
        <v>1785</v>
      </c>
      <c r="R237" s="4" t="s">
        <v>1786</v>
      </c>
      <c r="S237" s="4" t="s">
        <v>1787</v>
      </c>
      <c r="T237" s="4" t="s">
        <v>1788</v>
      </c>
      <c r="U237" s="4" t="s">
        <v>1812</v>
      </c>
      <c r="V237" s="4"/>
      <c r="W237" s="4" t="s">
        <v>53</v>
      </c>
      <c r="X237" s="4" t="s">
        <v>54</v>
      </c>
      <c r="Y237" s="4" t="s">
        <v>1806</v>
      </c>
      <c r="Z237" s="4" t="s">
        <v>1807</v>
      </c>
      <c r="AA237" s="4" t="s">
        <v>68</v>
      </c>
      <c r="AB237" s="4"/>
      <c r="AC237" s="4" t="s">
        <v>1808</v>
      </c>
      <c r="AD237" s="4" t="s">
        <v>1793</v>
      </c>
      <c r="AE237" s="4" t="s">
        <v>1812</v>
      </c>
      <c r="AF237" s="13" t="s">
        <v>1812</v>
      </c>
      <c r="AG237" s="4"/>
      <c r="AH237" s="4" t="s">
        <v>1813</v>
      </c>
      <c r="AI237" s="4">
        <v>2</v>
      </c>
      <c r="AJ237" s="4" t="s">
        <v>1814</v>
      </c>
      <c r="AK237" s="4"/>
      <c r="AL237" s="4" t="str">
        <f>VLOOKUP(N237,[1]Sheet1!$N:$AL,25,0)</f>
        <v>43211701  Bar code reader equipment</v>
      </c>
      <c r="AM237" s="4"/>
      <c r="AN237" s="4"/>
      <c r="AO237" s="4"/>
      <c r="AP237" s="1" t="s">
        <v>58</v>
      </c>
      <c r="AQ237" s="1" t="s">
        <v>59</v>
      </c>
    </row>
    <row r="238" customHeight="1" spans="1:43">
      <c r="A238" s="4" t="s">
        <v>43</v>
      </c>
      <c r="B238" s="4">
        <v>190</v>
      </c>
      <c r="C238" s="4" t="s">
        <v>44</v>
      </c>
      <c r="D238" s="4" t="s">
        <v>45</v>
      </c>
      <c r="E238" s="4"/>
      <c r="F238" s="4"/>
      <c r="G238" s="4"/>
      <c r="H238" s="4"/>
      <c r="I238" s="4"/>
      <c r="J238" s="4"/>
      <c r="K238" s="4"/>
      <c r="L238" s="4"/>
      <c r="M238" s="4"/>
      <c r="N238" s="4">
        <v>1527</v>
      </c>
      <c r="O238" s="4" t="s">
        <v>1815</v>
      </c>
      <c r="P238" s="4" t="s">
        <v>1816</v>
      </c>
      <c r="Q238" s="4" t="s">
        <v>1785</v>
      </c>
      <c r="R238" s="4" t="s">
        <v>1786</v>
      </c>
      <c r="S238" s="4" t="s">
        <v>1787</v>
      </c>
      <c r="T238" s="4" t="s">
        <v>1788</v>
      </c>
      <c r="U238" s="4" t="s">
        <v>1817</v>
      </c>
      <c r="V238" s="4"/>
      <c r="W238" s="4" t="s">
        <v>53</v>
      </c>
      <c r="X238" s="4" t="s">
        <v>54</v>
      </c>
      <c r="Y238" s="4" t="s">
        <v>1818</v>
      </c>
      <c r="Z238" s="4" t="s">
        <v>1819</v>
      </c>
      <c r="AA238" s="4" t="s">
        <v>68</v>
      </c>
      <c r="AB238" s="4"/>
      <c r="AC238" s="4" t="s">
        <v>1820</v>
      </c>
      <c r="AD238" s="4" t="s">
        <v>1793</v>
      </c>
      <c r="AE238" s="4" t="s">
        <v>1817</v>
      </c>
      <c r="AF238" s="13" t="s">
        <v>1817</v>
      </c>
      <c r="AG238" s="4"/>
      <c r="AH238" s="4" t="s">
        <v>1813</v>
      </c>
      <c r="AI238" s="4">
        <v>2</v>
      </c>
      <c r="AJ238" s="4" t="s">
        <v>1821</v>
      </c>
      <c r="AK238" s="4"/>
      <c r="AL238" s="4" t="str">
        <f>VLOOKUP(N238,[1]Sheet1!$N:$AL,25,0)</f>
        <v>24141504  Tamper proof or security seals</v>
      </c>
      <c r="AM238" s="4"/>
      <c r="AN238" s="4"/>
      <c r="AO238" s="4"/>
      <c r="AP238" s="1" t="s">
        <v>58</v>
      </c>
      <c r="AQ238" s="1" t="s">
        <v>59</v>
      </c>
    </row>
    <row r="239" customHeight="1" spans="1:43">
      <c r="A239" s="4" t="s">
        <v>43</v>
      </c>
      <c r="B239" s="4">
        <v>190</v>
      </c>
      <c r="C239" s="4" t="s">
        <v>44</v>
      </c>
      <c r="D239" s="4" t="s">
        <v>45</v>
      </c>
      <c r="E239" s="4"/>
      <c r="F239" s="4"/>
      <c r="G239" s="4"/>
      <c r="H239" s="4"/>
      <c r="I239" s="4"/>
      <c r="J239" s="4"/>
      <c r="K239" s="4"/>
      <c r="L239" s="4"/>
      <c r="M239" s="4"/>
      <c r="N239" s="4">
        <v>1528</v>
      </c>
      <c r="O239" s="4" t="s">
        <v>1822</v>
      </c>
      <c r="P239" s="4" t="s">
        <v>546</v>
      </c>
      <c r="Q239" s="4" t="s">
        <v>1785</v>
      </c>
      <c r="R239" s="4" t="s">
        <v>1786</v>
      </c>
      <c r="S239" s="4" t="s">
        <v>1787</v>
      </c>
      <c r="T239" s="4" t="s">
        <v>1788</v>
      </c>
      <c r="U239" s="4" t="s">
        <v>1823</v>
      </c>
      <c r="V239" s="4"/>
      <c r="W239" s="4" t="s">
        <v>53</v>
      </c>
      <c r="X239" s="4" t="s">
        <v>54</v>
      </c>
      <c r="Y239" s="4" t="s">
        <v>1806</v>
      </c>
      <c r="Z239" s="4" t="s">
        <v>1807</v>
      </c>
      <c r="AA239" s="4" t="s">
        <v>68</v>
      </c>
      <c r="AB239" s="4"/>
      <c r="AC239" s="4" t="s">
        <v>1808</v>
      </c>
      <c r="AD239" s="4" t="s">
        <v>1793</v>
      </c>
      <c r="AE239" s="4" t="s">
        <v>1823</v>
      </c>
      <c r="AF239" s="13" t="s">
        <v>1823</v>
      </c>
      <c r="AG239" s="4"/>
      <c r="AH239" s="4" t="s">
        <v>1824</v>
      </c>
      <c r="AI239" s="4">
        <v>1</v>
      </c>
      <c r="AJ239" s="4" t="s">
        <v>1825</v>
      </c>
      <c r="AK239" s="4"/>
      <c r="AL239" s="4" t="str">
        <f>VLOOKUP(N239,[1]Sheet1!$N:$AL,25,0)</f>
        <v>43211701  Bar code reader equipment</v>
      </c>
      <c r="AM239" s="4"/>
      <c r="AN239" s="4"/>
      <c r="AO239" s="4"/>
      <c r="AP239" s="1" t="s">
        <v>58</v>
      </c>
      <c r="AQ239" s="1" t="s">
        <v>59</v>
      </c>
    </row>
    <row r="240" customHeight="1" spans="1:43">
      <c r="A240" s="4" t="s">
        <v>43</v>
      </c>
      <c r="B240" s="4">
        <v>190</v>
      </c>
      <c r="C240" s="4" t="s">
        <v>44</v>
      </c>
      <c r="D240" s="4" t="s">
        <v>45</v>
      </c>
      <c r="E240" s="4"/>
      <c r="F240" s="4"/>
      <c r="G240" s="4"/>
      <c r="H240" s="4"/>
      <c r="I240" s="4"/>
      <c r="J240" s="4"/>
      <c r="K240" s="4"/>
      <c r="L240" s="4"/>
      <c r="M240" s="4"/>
      <c r="N240" s="4">
        <v>1529</v>
      </c>
      <c r="O240" s="4" t="s">
        <v>1826</v>
      </c>
      <c r="P240" s="4" t="s">
        <v>1663</v>
      </c>
      <c r="Q240" s="4" t="s">
        <v>1827</v>
      </c>
      <c r="R240" s="4" t="s">
        <v>1828</v>
      </c>
      <c r="S240" s="4" t="s">
        <v>1829</v>
      </c>
      <c r="T240" s="4" t="s">
        <v>1830</v>
      </c>
      <c r="U240" s="4" t="s">
        <v>1831</v>
      </c>
      <c r="V240" s="4"/>
      <c r="W240" s="4" t="s">
        <v>53</v>
      </c>
      <c r="X240" s="4" t="s">
        <v>54</v>
      </c>
      <c r="Y240" s="4" t="s">
        <v>1832</v>
      </c>
      <c r="Z240" s="4" t="s">
        <v>1833</v>
      </c>
      <c r="AA240" s="4" t="s">
        <v>68</v>
      </c>
      <c r="AB240" s="4"/>
      <c r="AC240" s="4" t="s">
        <v>1834</v>
      </c>
      <c r="AD240" s="4" t="s">
        <v>1835</v>
      </c>
      <c r="AE240" s="4" t="s">
        <v>1831</v>
      </c>
      <c r="AF240" s="13" t="s">
        <v>1831</v>
      </c>
      <c r="AG240" s="4"/>
      <c r="AH240" s="4" t="s">
        <v>1836</v>
      </c>
      <c r="AI240" s="4">
        <v>1</v>
      </c>
      <c r="AJ240" s="4" t="s">
        <v>1837</v>
      </c>
      <c r="AK240" s="4"/>
      <c r="AL240" s="4" t="str">
        <f>VLOOKUP(N240,[1]Sheet1!$N:$AL,25,0)</f>
        <v>42143605  Restraint straps or buckles or supplies</v>
      </c>
      <c r="AM240" s="4"/>
      <c r="AN240" s="4"/>
      <c r="AO240" s="4"/>
      <c r="AP240" s="1" t="s">
        <v>58</v>
      </c>
      <c r="AQ240" s="1" t="s">
        <v>59</v>
      </c>
    </row>
    <row r="241" customHeight="1" spans="1:43">
      <c r="A241" s="4" t="s">
        <v>43</v>
      </c>
      <c r="B241" s="4">
        <v>190</v>
      </c>
      <c r="C241" s="4" t="s">
        <v>44</v>
      </c>
      <c r="D241" s="4" t="s">
        <v>45</v>
      </c>
      <c r="E241" s="4"/>
      <c r="F241" s="4"/>
      <c r="G241" s="4"/>
      <c r="H241" s="4"/>
      <c r="I241" s="4"/>
      <c r="J241" s="4"/>
      <c r="K241" s="4"/>
      <c r="L241" s="4"/>
      <c r="M241" s="4"/>
      <c r="N241" s="4">
        <v>1530</v>
      </c>
      <c r="O241" s="4" t="s">
        <v>1838</v>
      </c>
      <c r="P241" s="4" t="s">
        <v>1839</v>
      </c>
      <c r="Q241" s="4" t="s">
        <v>1827</v>
      </c>
      <c r="R241" s="4" t="s">
        <v>1828</v>
      </c>
      <c r="S241" s="4" t="s">
        <v>1829</v>
      </c>
      <c r="T241" s="4" t="s">
        <v>1830</v>
      </c>
      <c r="U241" s="4" t="s">
        <v>1840</v>
      </c>
      <c r="V241" s="4"/>
      <c r="W241" s="4" t="s">
        <v>53</v>
      </c>
      <c r="X241" s="4" t="s">
        <v>190</v>
      </c>
      <c r="Y241" s="4" t="s">
        <v>1841</v>
      </c>
      <c r="Z241" s="4" t="s">
        <v>1842</v>
      </c>
      <c r="AA241" s="4" t="s">
        <v>68</v>
      </c>
      <c r="AB241" s="4"/>
      <c r="AC241" s="4" t="s">
        <v>1843</v>
      </c>
      <c r="AD241" s="4" t="s">
        <v>1835</v>
      </c>
      <c r="AE241" s="4" t="s">
        <v>1840</v>
      </c>
      <c r="AF241" s="13" t="s">
        <v>1844</v>
      </c>
      <c r="AG241" s="4"/>
      <c r="AH241" s="4" t="s">
        <v>1845</v>
      </c>
      <c r="AI241" s="4">
        <v>1</v>
      </c>
      <c r="AJ241" s="4" t="s">
        <v>1846</v>
      </c>
      <c r="AK241" s="4"/>
      <c r="AL241" s="4" t="str">
        <f>VLOOKUP(N241,[1]Sheet1!$N:$AL,25,0)</f>
        <v>42171616  Mobile medical services ambulance cot accessories</v>
      </c>
      <c r="AM241" s="4"/>
      <c r="AN241" s="4"/>
      <c r="AO241" s="4"/>
      <c r="AP241" s="1" t="s">
        <v>58</v>
      </c>
      <c r="AQ241" s="1" t="s">
        <v>59</v>
      </c>
    </row>
    <row r="242" customHeight="1" spans="1:43">
      <c r="A242" s="4" t="s">
        <v>43</v>
      </c>
      <c r="B242" s="4">
        <v>190</v>
      </c>
      <c r="C242" s="4" t="s">
        <v>44</v>
      </c>
      <c r="D242" s="4" t="s">
        <v>45</v>
      </c>
      <c r="E242" s="4"/>
      <c r="F242" s="4"/>
      <c r="G242" s="4"/>
      <c r="H242" s="4"/>
      <c r="I242" s="4"/>
      <c r="J242" s="4"/>
      <c r="K242" s="4"/>
      <c r="L242" s="4"/>
      <c r="M242" s="4"/>
      <c r="N242" s="4">
        <v>1531</v>
      </c>
      <c r="O242" s="4" t="s">
        <v>1847</v>
      </c>
      <c r="P242" s="4" t="s">
        <v>1839</v>
      </c>
      <c r="Q242" s="4" t="s">
        <v>1827</v>
      </c>
      <c r="R242" s="4" t="s">
        <v>1828</v>
      </c>
      <c r="S242" s="4" t="s">
        <v>1829</v>
      </c>
      <c r="T242" s="4" t="s">
        <v>1830</v>
      </c>
      <c r="U242" s="4" t="s">
        <v>1848</v>
      </c>
      <c r="V242" s="4"/>
      <c r="W242" s="4" t="s">
        <v>53</v>
      </c>
      <c r="X242" s="4" t="s">
        <v>190</v>
      </c>
      <c r="Y242" s="4" t="s">
        <v>1849</v>
      </c>
      <c r="Z242" s="4" t="s">
        <v>1850</v>
      </c>
      <c r="AA242" s="4" t="s">
        <v>68</v>
      </c>
      <c r="AB242" s="4"/>
      <c r="AC242" s="4" t="s">
        <v>1851</v>
      </c>
      <c r="AD242" s="4" t="s">
        <v>1835</v>
      </c>
      <c r="AE242" s="4" t="s">
        <v>1848</v>
      </c>
      <c r="AF242" s="13" t="s">
        <v>1852</v>
      </c>
      <c r="AG242" s="4"/>
      <c r="AH242" s="4" t="s">
        <v>1853</v>
      </c>
      <c r="AI242" s="4">
        <v>1</v>
      </c>
      <c r="AJ242" s="4" t="s">
        <v>1854</v>
      </c>
      <c r="AK242" s="4"/>
      <c r="AL242" s="4" t="str">
        <f>VLOOKUP(N242,[1]Sheet1!$N:$AL,25,0)</f>
        <v>42171619  Mobile medical services scoop stretcher accessories</v>
      </c>
      <c r="AM242" s="4"/>
      <c r="AN242" s="4"/>
      <c r="AO242" s="4"/>
      <c r="AP242" s="1" t="s">
        <v>58</v>
      </c>
      <c r="AQ242" s="1" t="s">
        <v>59</v>
      </c>
    </row>
    <row r="243" customHeight="1" spans="1:43">
      <c r="A243" s="4" t="s">
        <v>43</v>
      </c>
      <c r="B243" s="4">
        <v>190</v>
      </c>
      <c r="C243" s="4" t="s">
        <v>44</v>
      </c>
      <c r="D243" s="4" t="s">
        <v>45</v>
      </c>
      <c r="E243" s="4"/>
      <c r="F243" s="4"/>
      <c r="G243" s="4"/>
      <c r="H243" s="4"/>
      <c r="I243" s="4"/>
      <c r="J243" s="4"/>
      <c r="K243" s="4"/>
      <c r="L243" s="4"/>
      <c r="M243" s="4"/>
      <c r="N243" s="4">
        <v>1535</v>
      </c>
      <c r="O243" s="4" t="s">
        <v>1855</v>
      </c>
      <c r="P243" s="4" t="s">
        <v>1856</v>
      </c>
      <c r="Q243" s="4" t="s">
        <v>1857</v>
      </c>
      <c r="R243" s="4" t="s">
        <v>1858</v>
      </c>
      <c r="S243" s="4" t="s">
        <v>1859</v>
      </c>
      <c r="T243" s="4" t="s">
        <v>1860</v>
      </c>
      <c r="U243" s="4" t="s">
        <v>1861</v>
      </c>
      <c r="V243" s="4"/>
      <c r="W243" s="4" t="s">
        <v>53</v>
      </c>
      <c r="X243" s="4" t="s">
        <v>54</v>
      </c>
      <c r="Y243" s="4" t="s">
        <v>1862</v>
      </c>
      <c r="Z243" s="4" t="s">
        <v>1863</v>
      </c>
      <c r="AA243" s="4" t="s">
        <v>68</v>
      </c>
      <c r="AB243" s="4"/>
      <c r="AC243" s="4" t="s">
        <v>1864</v>
      </c>
      <c r="AD243" s="4" t="s">
        <v>1865</v>
      </c>
      <c r="AE243" s="4" t="s">
        <v>1861</v>
      </c>
      <c r="AF243" s="13" t="s">
        <v>1861</v>
      </c>
      <c r="AG243" s="4"/>
      <c r="AH243" s="4" t="s">
        <v>195</v>
      </c>
      <c r="AI243" s="4">
        <v>28</v>
      </c>
      <c r="AJ243" s="4" t="s">
        <v>1866</v>
      </c>
      <c r="AK243" s="4"/>
      <c r="AL243" s="4" t="str">
        <f>VLOOKUP(N243,[1]Sheet1!$N:$AL,25,0)</f>
        <v>42191906  Blanket or solution warmer cabinets</v>
      </c>
      <c r="AM243" s="4"/>
      <c r="AN243" s="4"/>
      <c r="AO243" s="4"/>
      <c r="AP243" s="1" t="s">
        <v>58</v>
      </c>
      <c r="AQ243" s="1" t="s">
        <v>59</v>
      </c>
    </row>
    <row r="244" customHeight="1" spans="1:43">
      <c r="A244" s="4" t="s">
        <v>43</v>
      </c>
      <c r="B244" s="4">
        <v>190</v>
      </c>
      <c r="C244" s="4" t="s">
        <v>44</v>
      </c>
      <c r="D244" s="4" t="s">
        <v>45</v>
      </c>
      <c r="E244" s="4"/>
      <c r="F244" s="4"/>
      <c r="G244" s="4"/>
      <c r="H244" s="4"/>
      <c r="I244" s="4"/>
      <c r="J244" s="4"/>
      <c r="K244" s="4"/>
      <c r="L244" s="4"/>
      <c r="M244" s="4"/>
      <c r="N244" s="4">
        <v>1536</v>
      </c>
      <c r="O244" s="4" t="s">
        <v>1867</v>
      </c>
      <c r="P244" s="4" t="s">
        <v>1856</v>
      </c>
      <c r="Q244" s="4" t="s">
        <v>1857</v>
      </c>
      <c r="R244" s="4" t="s">
        <v>1858</v>
      </c>
      <c r="S244" s="4" t="s">
        <v>1859</v>
      </c>
      <c r="T244" s="4" t="s">
        <v>1860</v>
      </c>
      <c r="U244" s="4" t="s">
        <v>1868</v>
      </c>
      <c r="V244" s="4"/>
      <c r="W244" s="4" t="s">
        <v>53</v>
      </c>
      <c r="X244" s="4" t="s">
        <v>54</v>
      </c>
      <c r="Y244" s="4" t="s">
        <v>1862</v>
      </c>
      <c r="Z244" s="4" t="s">
        <v>1863</v>
      </c>
      <c r="AA244" s="4" t="s">
        <v>68</v>
      </c>
      <c r="AB244" s="4"/>
      <c r="AC244" s="4" t="s">
        <v>1864</v>
      </c>
      <c r="AD244" s="4" t="s">
        <v>1865</v>
      </c>
      <c r="AE244" s="4" t="s">
        <v>1868</v>
      </c>
      <c r="AF244" s="13" t="s">
        <v>1868</v>
      </c>
      <c r="AG244" s="4"/>
      <c r="AH244" s="4" t="s">
        <v>195</v>
      </c>
      <c r="AI244" s="4">
        <v>28</v>
      </c>
      <c r="AJ244" s="4" t="s">
        <v>1869</v>
      </c>
      <c r="AK244" s="4"/>
      <c r="AL244" s="4" t="str">
        <f>VLOOKUP(N244,[1]Sheet1!$N:$AL,25,0)</f>
        <v>42191906  Blanket or solution warmer cabinets</v>
      </c>
      <c r="AM244" s="4"/>
      <c r="AN244" s="4"/>
      <c r="AO244" s="4"/>
      <c r="AP244" s="1" t="s">
        <v>58</v>
      </c>
      <c r="AQ244" s="1" t="s">
        <v>59</v>
      </c>
    </row>
    <row r="245" customHeight="1" spans="1:43">
      <c r="A245" s="4" t="s">
        <v>43</v>
      </c>
      <c r="B245" s="4">
        <v>190</v>
      </c>
      <c r="C245" s="4" t="s">
        <v>44</v>
      </c>
      <c r="D245" s="4" t="s">
        <v>45</v>
      </c>
      <c r="E245" s="4"/>
      <c r="F245" s="4"/>
      <c r="G245" s="4"/>
      <c r="H245" s="4"/>
      <c r="I245" s="4"/>
      <c r="J245" s="4"/>
      <c r="K245" s="4"/>
      <c r="L245" s="4"/>
      <c r="M245" s="4"/>
      <c r="N245" s="4">
        <v>1567</v>
      </c>
      <c r="O245" s="4" t="s">
        <v>1870</v>
      </c>
      <c r="P245" s="4" t="s">
        <v>1871</v>
      </c>
      <c r="Q245" s="4" t="s">
        <v>1872</v>
      </c>
      <c r="R245" s="4" t="s">
        <v>1873</v>
      </c>
      <c r="S245" s="4" t="s">
        <v>1874</v>
      </c>
      <c r="T245" s="4" t="s">
        <v>1875</v>
      </c>
      <c r="U245" s="4" t="s">
        <v>1876</v>
      </c>
      <c r="V245" s="4"/>
      <c r="W245" s="4" t="s">
        <v>53</v>
      </c>
      <c r="X245" s="4" t="s">
        <v>54</v>
      </c>
      <c r="Y245" s="4" t="s">
        <v>1877</v>
      </c>
      <c r="Z245" s="4" t="s">
        <v>1878</v>
      </c>
      <c r="AA245" s="4" t="s">
        <v>68</v>
      </c>
      <c r="AB245" s="4"/>
      <c r="AC245" s="4" t="s">
        <v>1879</v>
      </c>
      <c r="AD245" s="4" t="s">
        <v>1880</v>
      </c>
      <c r="AE245" s="4" t="s">
        <v>1876</v>
      </c>
      <c r="AF245" s="13" t="s">
        <v>1876</v>
      </c>
      <c r="AG245" s="4"/>
      <c r="AH245" s="4" t="s">
        <v>1881</v>
      </c>
      <c r="AI245" s="4">
        <v>1</v>
      </c>
      <c r="AJ245" s="4" t="s">
        <v>1882</v>
      </c>
      <c r="AK245" s="4"/>
      <c r="AL245" s="4" t="str">
        <f>VLOOKUP(N245,[1]Sheet1!$N:$AL,25,0)</f>
        <v>42192303  Patient suspended seats or slings</v>
      </c>
      <c r="AM245" s="4"/>
      <c r="AN245" s="4"/>
      <c r="AO245" s="4"/>
      <c r="AP245" s="1" t="s">
        <v>58</v>
      </c>
      <c r="AQ245" s="1" t="s">
        <v>59</v>
      </c>
    </row>
    <row r="246" customHeight="1" spans="1:43">
      <c r="A246" s="4" t="s">
        <v>43</v>
      </c>
      <c r="B246" s="4">
        <v>190</v>
      </c>
      <c r="C246" s="4" t="s">
        <v>44</v>
      </c>
      <c r="D246" s="4" t="s">
        <v>45</v>
      </c>
      <c r="E246" s="4"/>
      <c r="F246" s="4"/>
      <c r="G246" s="4"/>
      <c r="H246" s="4"/>
      <c r="I246" s="4"/>
      <c r="J246" s="4"/>
      <c r="K246" s="4"/>
      <c r="L246" s="4"/>
      <c r="M246" s="4"/>
      <c r="N246" s="4">
        <v>1579</v>
      </c>
      <c r="O246" s="4" t="s">
        <v>1883</v>
      </c>
      <c r="P246" s="4" t="s">
        <v>1884</v>
      </c>
      <c r="Q246" s="4" t="s">
        <v>1885</v>
      </c>
      <c r="R246" s="4" t="s">
        <v>1886</v>
      </c>
      <c r="S246" s="4" t="s">
        <v>1887</v>
      </c>
      <c r="T246" s="4" t="s">
        <v>1888</v>
      </c>
      <c r="U246" s="4" t="s">
        <v>1889</v>
      </c>
      <c r="V246" s="4"/>
      <c r="W246" s="4" t="s">
        <v>53</v>
      </c>
      <c r="X246" s="4" t="s">
        <v>54</v>
      </c>
      <c r="Y246" s="4" t="s">
        <v>1377</v>
      </c>
      <c r="Z246" s="4" t="s">
        <v>1378</v>
      </c>
      <c r="AA246" s="4" t="s">
        <v>68</v>
      </c>
      <c r="AB246" s="4"/>
      <c r="AC246" s="4" t="s">
        <v>1379</v>
      </c>
      <c r="AD246" s="4" t="s">
        <v>1890</v>
      </c>
      <c r="AE246" s="4" t="s">
        <v>1889</v>
      </c>
      <c r="AF246" s="13" t="s">
        <v>1891</v>
      </c>
      <c r="AG246" s="4"/>
      <c r="AH246" s="4" t="s">
        <v>1892</v>
      </c>
      <c r="AI246" s="4">
        <v>1</v>
      </c>
      <c r="AJ246" s="4" t="s">
        <v>1893</v>
      </c>
      <c r="AK246" s="4"/>
      <c r="AL246" s="4" t="str">
        <f>VLOOKUP(N246,[1]Sheet1!$N:$AL,25,0)</f>
        <v>42251626  Rehabilitation exercise component accessories</v>
      </c>
      <c r="AM246" s="4"/>
      <c r="AN246" s="4"/>
      <c r="AO246" s="4"/>
      <c r="AP246" s="1" t="s">
        <v>58</v>
      </c>
      <c r="AQ246" s="1" t="s">
        <v>59</v>
      </c>
    </row>
    <row r="247" customHeight="1" spans="1:43">
      <c r="A247" s="4" t="s">
        <v>43</v>
      </c>
      <c r="B247" s="4">
        <v>190</v>
      </c>
      <c r="C247" s="4" t="s">
        <v>44</v>
      </c>
      <c r="D247" s="4" t="s">
        <v>45</v>
      </c>
      <c r="E247" s="4"/>
      <c r="F247" s="4"/>
      <c r="G247" s="4"/>
      <c r="H247" s="4"/>
      <c r="I247" s="4"/>
      <c r="J247" s="4"/>
      <c r="K247" s="4"/>
      <c r="L247" s="4"/>
      <c r="M247" s="4"/>
      <c r="N247" s="4">
        <v>1643</v>
      </c>
      <c r="O247" s="4" t="s">
        <v>1894</v>
      </c>
      <c r="P247" s="4" t="s">
        <v>865</v>
      </c>
      <c r="Q247" s="4" t="s">
        <v>1885</v>
      </c>
      <c r="R247" s="4" t="s">
        <v>1886</v>
      </c>
      <c r="S247" s="4" t="s">
        <v>1887</v>
      </c>
      <c r="T247" s="4" t="s">
        <v>1888</v>
      </c>
      <c r="U247" s="4" t="s">
        <v>1895</v>
      </c>
      <c r="V247" s="4"/>
      <c r="W247" s="4" t="s">
        <v>53</v>
      </c>
      <c r="X247" s="4" t="s">
        <v>54</v>
      </c>
      <c r="Y247" s="4" t="s">
        <v>1896</v>
      </c>
      <c r="Z247" s="4" t="s">
        <v>1897</v>
      </c>
      <c r="AA247" s="4" t="s">
        <v>68</v>
      </c>
      <c r="AB247" s="4"/>
      <c r="AC247" s="4" t="s">
        <v>1898</v>
      </c>
      <c r="AD247" s="4" t="s">
        <v>1890</v>
      </c>
      <c r="AE247" s="4" t="s">
        <v>1895</v>
      </c>
      <c r="AF247" s="13" t="s">
        <v>1899</v>
      </c>
      <c r="AG247" s="4"/>
      <c r="AH247" s="4" t="s">
        <v>567</v>
      </c>
      <c r="AI247" s="4">
        <v>39</v>
      </c>
      <c r="AJ247" s="4" t="s">
        <v>1900</v>
      </c>
      <c r="AK247" s="4"/>
      <c r="AL247" s="4" t="str">
        <f>VLOOKUP(N247,[1]Sheet1!$N:$AL,25,0)</f>
        <v>52121606  Place mats</v>
      </c>
      <c r="AM247" s="4"/>
      <c r="AN247" s="4"/>
      <c r="AO247" s="4"/>
      <c r="AP247" s="1" t="s">
        <v>58</v>
      </c>
      <c r="AQ247" s="1" t="s">
        <v>59</v>
      </c>
    </row>
    <row r="248" customHeight="1" spans="1:43">
      <c r="A248" s="4" t="s">
        <v>43</v>
      </c>
      <c r="B248" s="4">
        <v>190</v>
      </c>
      <c r="C248" s="4" t="s">
        <v>44</v>
      </c>
      <c r="D248" s="4" t="s">
        <v>45</v>
      </c>
      <c r="E248" s="4"/>
      <c r="F248" s="4"/>
      <c r="G248" s="4"/>
      <c r="H248" s="4"/>
      <c r="I248" s="4"/>
      <c r="J248" s="4"/>
      <c r="K248" s="4"/>
      <c r="L248" s="4"/>
      <c r="M248" s="4"/>
      <c r="N248" s="4">
        <v>1659</v>
      </c>
      <c r="O248" s="4" t="s">
        <v>1901</v>
      </c>
      <c r="P248" s="4" t="s">
        <v>1902</v>
      </c>
      <c r="Q248" s="4" t="s">
        <v>1885</v>
      </c>
      <c r="R248" s="4" t="s">
        <v>1886</v>
      </c>
      <c r="S248" s="4" t="s">
        <v>1887</v>
      </c>
      <c r="T248" s="4" t="s">
        <v>1888</v>
      </c>
      <c r="U248" s="4" t="s">
        <v>1903</v>
      </c>
      <c r="V248" s="4"/>
      <c r="W248" s="4" t="s">
        <v>53</v>
      </c>
      <c r="X248" s="4" t="s">
        <v>54</v>
      </c>
      <c r="Y248" s="4" t="s">
        <v>1904</v>
      </c>
      <c r="Z248" s="4" t="s">
        <v>1905</v>
      </c>
      <c r="AA248" s="4" t="s">
        <v>68</v>
      </c>
      <c r="AB248" s="4"/>
      <c r="AC248" s="4" t="s">
        <v>1906</v>
      </c>
      <c r="AD248" s="4" t="s">
        <v>1890</v>
      </c>
      <c r="AE248" s="4" t="s">
        <v>1903</v>
      </c>
      <c r="AF248" s="13" t="s">
        <v>1907</v>
      </c>
      <c r="AG248" s="4"/>
      <c r="AH248" s="4" t="s">
        <v>1908</v>
      </c>
      <c r="AI248" s="4">
        <v>1</v>
      </c>
      <c r="AJ248" s="4" t="s">
        <v>1909</v>
      </c>
      <c r="AK248" s="4"/>
      <c r="AL248" s="4" t="str">
        <f>VLOOKUP(N248,[1]Sheet1!$N:$AL,25,0)</f>
        <v>42291615  Surgical shears</v>
      </c>
      <c r="AM248" s="4"/>
      <c r="AN248" s="4"/>
      <c r="AO248" s="4"/>
      <c r="AP248" s="1" t="s">
        <v>58</v>
      </c>
      <c r="AQ248" s="1" t="s">
        <v>59</v>
      </c>
    </row>
    <row r="249" customHeight="1" spans="1:43">
      <c r="A249" s="4" t="s">
        <v>43</v>
      </c>
      <c r="B249" s="4">
        <v>190</v>
      </c>
      <c r="C249" s="4" t="s">
        <v>44</v>
      </c>
      <c r="D249" s="4" t="s">
        <v>45</v>
      </c>
      <c r="E249" s="4"/>
      <c r="F249" s="4"/>
      <c r="G249" s="4"/>
      <c r="H249" s="4"/>
      <c r="I249" s="4"/>
      <c r="J249" s="4"/>
      <c r="K249" s="4"/>
      <c r="L249" s="4"/>
      <c r="M249" s="4"/>
      <c r="N249" s="4">
        <v>1660</v>
      </c>
      <c r="O249" s="4" t="s">
        <v>1910</v>
      </c>
      <c r="P249" s="4" t="s">
        <v>441</v>
      </c>
      <c r="Q249" s="4" t="s">
        <v>1885</v>
      </c>
      <c r="R249" s="4" t="s">
        <v>1886</v>
      </c>
      <c r="S249" s="4" t="s">
        <v>1887</v>
      </c>
      <c r="T249" s="4" t="s">
        <v>1888</v>
      </c>
      <c r="U249" s="4" t="s">
        <v>1911</v>
      </c>
      <c r="V249" s="4"/>
      <c r="W249" s="4" t="s">
        <v>53</v>
      </c>
      <c r="X249" s="4" t="s">
        <v>54</v>
      </c>
      <c r="Y249" s="4" t="s">
        <v>1912</v>
      </c>
      <c r="Z249" s="4" t="s">
        <v>1913</v>
      </c>
      <c r="AA249" s="4" t="s">
        <v>68</v>
      </c>
      <c r="AB249" s="4"/>
      <c r="AC249" s="4" t="s">
        <v>1914</v>
      </c>
      <c r="AD249" s="4" t="s">
        <v>1890</v>
      </c>
      <c r="AE249" s="4" t="s">
        <v>1911</v>
      </c>
      <c r="AF249" s="13" t="s">
        <v>1915</v>
      </c>
      <c r="AG249" s="4"/>
      <c r="AH249" s="4" t="s">
        <v>1916</v>
      </c>
      <c r="AI249" s="4">
        <v>2</v>
      </c>
      <c r="AJ249" s="4" t="s">
        <v>1917</v>
      </c>
      <c r="AK249" s="4"/>
      <c r="AL249" s="4" t="str">
        <f>VLOOKUP(N249,[1]Sheet1!$N:$AL,25,0)</f>
        <v>42182005  Ophthalmoscopes or otoscopes or scope sets</v>
      </c>
      <c r="AM249" s="4"/>
      <c r="AN249" s="4"/>
      <c r="AO249" s="4"/>
      <c r="AP249" s="1" t="s">
        <v>58</v>
      </c>
      <c r="AQ249" s="1" t="s">
        <v>59</v>
      </c>
    </row>
    <row r="250" customHeight="1" spans="1:43">
      <c r="A250" s="4" t="s">
        <v>43</v>
      </c>
      <c r="B250" s="4">
        <v>190</v>
      </c>
      <c r="C250" s="4" t="s">
        <v>44</v>
      </c>
      <c r="D250" s="4" t="s">
        <v>45</v>
      </c>
      <c r="E250" s="4"/>
      <c r="F250" s="4"/>
      <c r="G250" s="4"/>
      <c r="H250" s="4"/>
      <c r="I250" s="4"/>
      <c r="J250" s="4"/>
      <c r="K250" s="4"/>
      <c r="L250" s="4"/>
      <c r="M250" s="4"/>
      <c r="N250" s="4">
        <v>1661</v>
      </c>
      <c r="O250" s="4" t="s">
        <v>1918</v>
      </c>
      <c r="P250" s="4" t="s">
        <v>1919</v>
      </c>
      <c r="Q250" s="4" t="s">
        <v>1885</v>
      </c>
      <c r="R250" s="4" t="s">
        <v>1886</v>
      </c>
      <c r="S250" s="4" t="s">
        <v>1887</v>
      </c>
      <c r="T250" s="4" t="s">
        <v>1888</v>
      </c>
      <c r="U250" s="4" t="s">
        <v>1920</v>
      </c>
      <c r="V250" s="4"/>
      <c r="W250" s="4" t="s">
        <v>53</v>
      </c>
      <c r="X250" s="4" t="s">
        <v>54</v>
      </c>
      <c r="Y250" s="4" t="s">
        <v>1921</v>
      </c>
      <c r="Z250" s="4" t="s">
        <v>1922</v>
      </c>
      <c r="AA250" s="4" t="s">
        <v>68</v>
      </c>
      <c r="AB250" s="4"/>
      <c r="AC250" s="4" t="s">
        <v>1923</v>
      </c>
      <c r="AD250" s="4" t="s">
        <v>1890</v>
      </c>
      <c r="AE250" s="4" t="s">
        <v>1920</v>
      </c>
      <c r="AF250" s="13" t="s">
        <v>1924</v>
      </c>
      <c r="AG250" s="4"/>
      <c r="AH250" s="4" t="s">
        <v>1122</v>
      </c>
      <c r="AI250" s="4">
        <v>8</v>
      </c>
      <c r="AJ250" s="4" t="s">
        <v>1925</v>
      </c>
      <c r="AK250" s="4"/>
      <c r="AL250" s="4" t="str">
        <f>VLOOKUP(N250,[1]Sheet1!$N:$AL,25,0)</f>
        <v>42191804  Medical or surgical bedside rails</v>
      </c>
      <c r="AM250" s="4"/>
      <c r="AN250" s="4"/>
      <c r="AO250" s="4"/>
      <c r="AP250" s="1" t="s">
        <v>58</v>
      </c>
      <c r="AQ250" s="1" t="s">
        <v>59</v>
      </c>
    </row>
    <row r="251" customHeight="1" spans="1:43">
      <c r="A251" s="4" t="s">
        <v>43</v>
      </c>
      <c r="B251" s="4">
        <v>190</v>
      </c>
      <c r="C251" s="4" t="s">
        <v>44</v>
      </c>
      <c r="D251" s="4" t="s">
        <v>45</v>
      </c>
      <c r="E251" s="4"/>
      <c r="F251" s="4"/>
      <c r="G251" s="4"/>
      <c r="H251" s="4"/>
      <c r="I251" s="4"/>
      <c r="J251" s="4"/>
      <c r="K251" s="4"/>
      <c r="L251" s="4"/>
      <c r="M251" s="4"/>
      <c r="N251" s="4">
        <v>1585</v>
      </c>
      <c r="O251" s="4" t="s">
        <v>1926</v>
      </c>
      <c r="P251" s="4" t="s">
        <v>1927</v>
      </c>
      <c r="Q251" s="4" t="s">
        <v>1885</v>
      </c>
      <c r="R251" s="4" t="s">
        <v>1886</v>
      </c>
      <c r="S251" s="4" t="s">
        <v>1887</v>
      </c>
      <c r="T251" s="4" t="s">
        <v>1888</v>
      </c>
      <c r="U251" s="4" t="s">
        <v>1928</v>
      </c>
      <c r="V251" s="4"/>
      <c r="W251" s="4" t="s">
        <v>53</v>
      </c>
      <c r="X251" s="4" t="s">
        <v>54</v>
      </c>
      <c r="Y251" s="4" t="s">
        <v>1929</v>
      </c>
      <c r="Z251" s="4" t="s">
        <v>1930</v>
      </c>
      <c r="AA251" s="4" t="s">
        <v>68</v>
      </c>
      <c r="AB251" s="4"/>
      <c r="AC251" s="4" t="s">
        <v>1931</v>
      </c>
      <c r="AD251" s="4" t="s">
        <v>1890</v>
      </c>
      <c r="AE251" s="4" t="s">
        <v>1928</v>
      </c>
      <c r="AF251" s="13" t="s">
        <v>1932</v>
      </c>
      <c r="AG251" s="4"/>
      <c r="AH251" s="4" t="s">
        <v>1933</v>
      </c>
      <c r="AI251" s="4">
        <v>1</v>
      </c>
      <c r="AJ251" s="4" t="s">
        <v>1934</v>
      </c>
      <c r="AK251" s="4"/>
      <c r="AL251" s="4" t="str">
        <f>VLOOKUP(N251,[1]Sheet1!$N:$AL,25,0)</f>
        <v>42142128  Therapeutic paraffin bath accessories</v>
      </c>
      <c r="AM251" s="4"/>
      <c r="AN251" s="4"/>
      <c r="AO251" s="4"/>
      <c r="AP251" s="1" t="s">
        <v>58</v>
      </c>
      <c r="AQ251" s="1" t="s">
        <v>59</v>
      </c>
    </row>
    <row r="252" customHeight="1" spans="1:43">
      <c r="A252" s="4" t="s">
        <v>43</v>
      </c>
      <c r="B252" s="4">
        <v>190</v>
      </c>
      <c r="C252" s="4" t="s">
        <v>44</v>
      </c>
      <c r="D252" s="4" t="s">
        <v>45</v>
      </c>
      <c r="E252" s="4"/>
      <c r="F252" s="4"/>
      <c r="G252" s="4"/>
      <c r="H252" s="4"/>
      <c r="I252" s="4"/>
      <c r="J252" s="4"/>
      <c r="K252" s="4"/>
      <c r="L252" s="4"/>
      <c r="M252" s="4"/>
      <c r="N252" s="4">
        <v>1588</v>
      </c>
      <c r="O252" s="4" t="s">
        <v>1935</v>
      </c>
      <c r="P252" s="4" t="s">
        <v>1936</v>
      </c>
      <c r="Q252" s="4" t="s">
        <v>1885</v>
      </c>
      <c r="R252" s="4" t="s">
        <v>1886</v>
      </c>
      <c r="S252" s="4" t="s">
        <v>1887</v>
      </c>
      <c r="T252" s="4" t="s">
        <v>1888</v>
      </c>
      <c r="U252" s="4" t="s">
        <v>1937</v>
      </c>
      <c r="V252" s="4"/>
      <c r="W252" s="4" t="s">
        <v>53</v>
      </c>
      <c r="X252" s="4" t="s">
        <v>54</v>
      </c>
      <c r="Y252" s="4" t="s">
        <v>1938</v>
      </c>
      <c r="Z252" s="4" t="s">
        <v>1939</v>
      </c>
      <c r="AA252" s="4" t="s">
        <v>68</v>
      </c>
      <c r="AB252" s="4"/>
      <c r="AC252" s="4" t="s">
        <v>1940</v>
      </c>
      <c r="AD252" s="4" t="s">
        <v>1890</v>
      </c>
      <c r="AE252" s="4" t="s">
        <v>1937</v>
      </c>
      <c r="AF252" s="13" t="s">
        <v>1941</v>
      </c>
      <c r="AG252" s="4"/>
      <c r="AH252" s="4" t="s">
        <v>1942</v>
      </c>
      <c r="AI252" s="4">
        <v>2</v>
      </c>
      <c r="AJ252" s="4" t="s">
        <v>1943</v>
      </c>
      <c r="AK252" s="4"/>
      <c r="AL252" s="4" t="str">
        <f>VLOOKUP(N252,[1]Sheet1!$N:$AL,25,0)</f>
        <v>42182701  Goniometers or arthrometers</v>
      </c>
      <c r="AM252" s="4"/>
      <c r="AN252" s="4"/>
      <c r="AO252" s="4"/>
      <c r="AP252" s="1" t="s">
        <v>58</v>
      </c>
      <c r="AQ252" s="1" t="s">
        <v>59</v>
      </c>
    </row>
    <row r="253" customHeight="1" spans="1:43">
      <c r="A253" s="4" t="s">
        <v>43</v>
      </c>
      <c r="B253" s="4">
        <v>190</v>
      </c>
      <c r="C253" s="4" t="s">
        <v>44</v>
      </c>
      <c r="D253" s="4" t="s">
        <v>45</v>
      </c>
      <c r="E253" s="4"/>
      <c r="F253" s="4"/>
      <c r="G253" s="4"/>
      <c r="H253" s="4"/>
      <c r="I253" s="4"/>
      <c r="J253" s="4"/>
      <c r="K253" s="4"/>
      <c r="L253" s="4"/>
      <c r="M253" s="4"/>
      <c r="N253" s="4">
        <v>1608</v>
      </c>
      <c r="O253" s="4" t="s">
        <v>1944</v>
      </c>
      <c r="P253" s="4" t="s">
        <v>1945</v>
      </c>
      <c r="Q253" s="4" t="s">
        <v>1885</v>
      </c>
      <c r="R253" s="4" t="s">
        <v>1886</v>
      </c>
      <c r="S253" s="4" t="s">
        <v>1887</v>
      </c>
      <c r="T253" s="4" t="s">
        <v>1888</v>
      </c>
      <c r="U253" s="4" t="s">
        <v>1946</v>
      </c>
      <c r="V253" s="4"/>
      <c r="W253" s="4" t="s">
        <v>53</v>
      </c>
      <c r="X253" s="4" t="s">
        <v>54</v>
      </c>
      <c r="Y253" s="4" t="s">
        <v>1947</v>
      </c>
      <c r="Z253" s="4" t="s">
        <v>1948</v>
      </c>
      <c r="AA253" s="4" t="s">
        <v>68</v>
      </c>
      <c r="AB253" s="4"/>
      <c r="AC253" s="4" t="s">
        <v>1949</v>
      </c>
      <c r="AD253" s="4" t="s">
        <v>1890</v>
      </c>
      <c r="AE253" s="4" t="s">
        <v>1946</v>
      </c>
      <c r="AF253" s="13" t="s">
        <v>1950</v>
      </c>
      <c r="AG253" s="4"/>
      <c r="AH253" s="4" t="s">
        <v>1951</v>
      </c>
      <c r="AI253" s="4">
        <v>1</v>
      </c>
      <c r="AJ253" s="4" t="s">
        <v>1952</v>
      </c>
      <c r="AK253" s="4"/>
      <c r="AL253" s="4" t="str">
        <f>VLOOKUP(N253,[1]Sheet1!$N:$AL,25,0)</f>
        <v>42241520  Casting or splinting accessories</v>
      </c>
      <c r="AM253" s="4"/>
      <c r="AN253" s="4"/>
      <c r="AO253" s="4"/>
      <c r="AP253" s="1" t="s">
        <v>58</v>
      </c>
      <c r="AQ253" s="1" t="s">
        <v>59</v>
      </c>
    </row>
    <row r="254" customHeight="1" spans="1:43">
      <c r="A254" s="4" t="s">
        <v>43</v>
      </c>
      <c r="B254" s="4">
        <v>190</v>
      </c>
      <c r="C254" s="4" t="s">
        <v>44</v>
      </c>
      <c r="D254" s="4" t="s">
        <v>45</v>
      </c>
      <c r="E254" s="4"/>
      <c r="F254" s="4"/>
      <c r="G254" s="4"/>
      <c r="H254" s="4"/>
      <c r="I254" s="4"/>
      <c r="J254" s="4"/>
      <c r="K254" s="4"/>
      <c r="L254" s="4"/>
      <c r="M254" s="4"/>
      <c r="N254" s="4">
        <v>1632</v>
      </c>
      <c r="O254" s="4" t="s">
        <v>1953</v>
      </c>
      <c r="P254" s="4" t="s">
        <v>1954</v>
      </c>
      <c r="Q254" s="4" t="s">
        <v>1885</v>
      </c>
      <c r="R254" s="4" t="s">
        <v>1886</v>
      </c>
      <c r="S254" s="4" t="s">
        <v>1887</v>
      </c>
      <c r="T254" s="4" t="s">
        <v>1888</v>
      </c>
      <c r="U254" s="4" t="s">
        <v>1955</v>
      </c>
      <c r="V254" s="4"/>
      <c r="W254" s="4" t="s">
        <v>53</v>
      </c>
      <c r="X254" s="4" t="s">
        <v>54</v>
      </c>
      <c r="Y254" s="4" t="s">
        <v>1956</v>
      </c>
      <c r="Z254" s="4" t="s">
        <v>1957</v>
      </c>
      <c r="AA254" s="4" t="s">
        <v>68</v>
      </c>
      <c r="AB254" s="4"/>
      <c r="AC254" s="4" t="s">
        <v>1958</v>
      </c>
      <c r="AD254" s="4" t="s">
        <v>1890</v>
      </c>
      <c r="AE254" s="4" t="s">
        <v>1955</v>
      </c>
      <c r="AF254" s="13" t="s">
        <v>1959</v>
      </c>
      <c r="AG254" s="4"/>
      <c r="AH254" s="4" t="s">
        <v>1960</v>
      </c>
      <c r="AI254" s="4">
        <v>2</v>
      </c>
      <c r="AJ254" s="4" t="s">
        <v>1961</v>
      </c>
      <c r="AK254" s="4"/>
      <c r="AL254" s="4" t="str">
        <f>VLOOKUP(N254,[1]Sheet1!$N:$AL,25,0)</f>
        <v>42211901  Anti slip materials for the physically challenged</v>
      </c>
      <c r="AM254" s="4"/>
      <c r="AN254" s="4"/>
      <c r="AO254" s="4"/>
      <c r="AP254" s="1" t="s">
        <v>58</v>
      </c>
      <c r="AQ254" s="1" t="s">
        <v>59</v>
      </c>
    </row>
    <row r="255" customHeight="1" spans="1:43">
      <c r="A255" s="4" t="s">
        <v>43</v>
      </c>
      <c r="B255" s="4">
        <v>190</v>
      </c>
      <c r="C255" s="4" t="s">
        <v>44</v>
      </c>
      <c r="D255" s="4" t="s">
        <v>45</v>
      </c>
      <c r="E255" s="4"/>
      <c r="F255" s="4"/>
      <c r="G255" s="4"/>
      <c r="H255" s="4"/>
      <c r="I255" s="4"/>
      <c r="J255" s="4"/>
      <c r="K255" s="4"/>
      <c r="L255" s="4"/>
      <c r="M255" s="4"/>
      <c r="N255" s="4">
        <v>1633</v>
      </c>
      <c r="O255" s="4" t="s">
        <v>1962</v>
      </c>
      <c r="P255" s="4" t="s">
        <v>1954</v>
      </c>
      <c r="Q255" s="4" t="s">
        <v>1885</v>
      </c>
      <c r="R255" s="4" t="s">
        <v>1886</v>
      </c>
      <c r="S255" s="4" t="s">
        <v>1887</v>
      </c>
      <c r="T255" s="4" t="s">
        <v>1888</v>
      </c>
      <c r="U255" s="4" t="s">
        <v>1963</v>
      </c>
      <c r="V255" s="4"/>
      <c r="W255" s="4" t="s">
        <v>53</v>
      </c>
      <c r="X255" s="4" t="s">
        <v>54</v>
      </c>
      <c r="Y255" s="4" t="s">
        <v>1956</v>
      </c>
      <c r="Z255" s="4" t="s">
        <v>1957</v>
      </c>
      <c r="AA255" s="4" t="s">
        <v>68</v>
      </c>
      <c r="AB255" s="4"/>
      <c r="AC255" s="4" t="s">
        <v>1958</v>
      </c>
      <c r="AD255" s="4" t="s">
        <v>1890</v>
      </c>
      <c r="AE255" s="4" t="s">
        <v>1963</v>
      </c>
      <c r="AF255" s="13" t="s">
        <v>1964</v>
      </c>
      <c r="AG255" s="4"/>
      <c r="AH255" s="4" t="s">
        <v>1960</v>
      </c>
      <c r="AI255" s="4">
        <v>2</v>
      </c>
      <c r="AJ255" s="4" t="s">
        <v>1965</v>
      </c>
      <c r="AK255" s="4"/>
      <c r="AL255" s="4" t="str">
        <f>VLOOKUP(N255,[1]Sheet1!$N:$AL,25,0)</f>
        <v>42211901  Anti slip materials for the physically challenged</v>
      </c>
      <c r="AM255" s="4"/>
      <c r="AN255" s="4"/>
      <c r="AO255" s="4"/>
      <c r="AP255" s="1" t="s">
        <v>58</v>
      </c>
      <c r="AQ255" s="1" t="s">
        <v>59</v>
      </c>
    </row>
    <row r="256" customHeight="1" spans="1:43">
      <c r="A256" s="4" t="s">
        <v>43</v>
      </c>
      <c r="B256" s="4">
        <v>190</v>
      </c>
      <c r="C256" s="4" t="s">
        <v>44</v>
      </c>
      <c r="D256" s="4" t="s">
        <v>45</v>
      </c>
      <c r="E256" s="4"/>
      <c r="F256" s="4"/>
      <c r="G256" s="4"/>
      <c r="H256" s="4"/>
      <c r="I256" s="4"/>
      <c r="J256" s="4"/>
      <c r="K256" s="4"/>
      <c r="L256" s="4"/>
      <c r="M256" s="4"/>
      <c r="N256" s="4">
        <v>1665</v>
      </c>
      <c r="O256" s="4" t="s">
        <v>1966</v>
      </c>
      <c r="P256" s="4" t="s">
        <v>1967</v>
      </c>
      <c r="Q256" s="4" t="s">
        <v>1885</v>
      </c>
      <c r="R256" s="4" t="s">
        <v>1886</v>
      </c>
      <c r="S256" s="4" t="s">
        <v>1887</v>
      </c>
      <c r="T256" s="4" t="s">
        <v>1888</v>
      </c>
      <c r="U256" s="4" t="s">
        <v>1968</v>
      </c>
      <c r="V256" s="4"/>
      <c r="W256" s="4" t="s">
        <v>53</v>
      </c>
      <c r="X256" s="4" t="s">
        <v>54</v>
      </c>
      <c r="Y256" s="4" t="s">
        <v>1969</v>
      </c>
      <c r="Z256" s="4" t="s">
        <v>1970</v>
      </c>
      <c r="AA256" s="4" t="s">
        <v>68</v>
      </c>
      <c r="AB256" s="4"/>
      <c r="AC256" s="4" t="s">
        <v>1971</v>
      </c>
      <c r="AD256" s="4" t="s">
        <v>1890</v>
      </c>
      <c r="AE256" s="4" t="s">
        <v>1968</v>
      </c>
      <c r="AF256" s="13" t="s">
        <v>1972</v>
      </c>
      <c r="AG256" s="4"/>
      <c r="AH256" s="4" t="s">
        <v>1117</v>
      </c>
      <c r="AI256" s="4">
        <v>12</v>
      </c>
      <c r="AJ256" s="4" t="s">
        <v>1973</v>
      </c>
      <c r="AK256" s="4"/>
      <c r="AL256" s="4" t="str">
        <f>VLOOKUP(N256,[1]Sheet1!$N:$AL,25,0)</f>
        <v>49201600  Weight and resistance training equipment</v>
      </c>
      <c r="AM256" s="4"/>
      <c r="AN256" s="4"/>
      <c r="AO256" s="4"/>
      <c r="AP256" s="1" t="s">
        <v>58</v>
      </c>
      <c r="AQ256" s="1" t="s">
        <v>59</v>
      </c>
    </row>
    <row r="257" customHeight="1" spans="1:43">
      <c r="A257" s="4" t="s">
        <v>43</v>
      </c>
      <c r="B257" s="4">
        <v>190</v>
      </c>
      <c r="C257" s="4" t="s">
        <v>44</v>
      </c>
      <c r="D257" s="4" t="s">
        <v>45</v>
      </c>
      <c r="E257" s="4"/>
      <c r="F257" s="4"/>
      <c r="G257" s="4"/>
      <c r="H257" s="4"/>
      <c r="I257" s="4"/>
      <c r="J257" s="4"/>
      <c r="K257" s="4"/>
      <c r="L257" s="4"/>
      <c r="M257" s="4"/>
      <c r="N257" s="4">
        <v>1666</v>
      </c>
      <c r="O257" s="4" t="s">
        <v>1974</v>
      </c>
      <c r="P257" s="4" t="s">
        <v>1975</v>
      </c>
      <c r="Q257" s="4" t="s">
        <v>1885</v>
      </c>
      <c r="R257" s="4" t="s">
        <v>1886</v>
      </c>
      <c r="S257" s="4" t="s">
        <v>1887</v>
      </c>
      <c r="T257" s="4" t="s">
        <v>1888</v>
      </c>
      <c r="U257" s="4" t="s">
        <v>1976</v>
      </c>
      <c r="V257" s="4"/>
      <c r="W257" s="4" t="s">
        <v>53</v>
      </c>
      <c r="X257" s="4" t="s">
        <v>54</v>
      </c>
      <c r="Y257" s="4" t="s">
        <v>1977</v>
      </c>
      <c r="Z257" s="4" t="s">
        <v>1978</v>
      </c>
      <c r="AA257" s="4" t="s">
        <v>68</v>
      </c>
      <c r="AB257" s="4"/>
      <c r="AC257" s="4" t="s">
        <v>1979</v>
      </c>
      <c r="AD257" s="4" t="s">
        <v>1890</v>
      </c>
      <c r="AE257" s="4" t="s">
        <v>1976</v>
      </c>
      <c r="AF257" s="13" t="s">
        <v>1980</v>
      </c>
      <c r="AG257" s="4"/>
      <c r="AH257" s="4" t="s">
        <v>1981</v>
      </c>
      <c r="AI257" s="4">
        <v>1</v>
      </c>
      <c r="AJ257" s="4" t="s">
        <v>1982</v>
      </c>
      <c r="AK257" s="4"/>
      <c r="AL257" s="4" t="str">
        <f>VLOOKUP(N257,[1]Sheet1!$N:$AL,25,0)</f>
        <v>42251705  Parallel bars for rehabilitation or therapy</v>
      </c>
      <c r="AM257" s="4"/>
      <c r="AN257" s="4"/>
      <c r="AO257" s="4"/>
      <c r="AP257" s="1" t="s">
        <v>58</v>
      </c>
      <c r="AQ257" s="1" t="s">
        <v>59</v>
      </c>
    </row>
    <row r="258" customHeight="1" spans="1:43">
      <c r="A258" s="4" t="s">
        <v>43</v>
      </c>
      <c r="B258" s="4">
        <v>190</v>
      </c>
      <c r="C258" s="4" t="s">
        <v>44</v>
      </c>
      <c r="D258" s="4" t="s">
        <v>45</v>
      </c>
      <c r="E258" s="4"/>
      <c r="F258" s="4"/>
      <c r="G258" s="4"/>
      <c r="H258" s="4"/>
      <c r="I258" s="4"/>
      <c r="J258" s="4"/>
      <c r="K258" s="4"/>
      <c r="L258" s="4"/>
      <c r="M258" s="4"/>
      <c r="N258" s="4">
        <v>1679</v>
      </c>
      <c r="O258" s="4" t="s">
        <v>1983</v>
      </c>
      <c r="P258" s="4" t="s">
        <v>1663</v>
      </c>
      <c r="Q258" s="4" t="s">
        <v>1984</v>
      </c>
      <c r="R258" s="4" t="s">
        <v>1985</v>
      </c>
      <c r="S258" s="4" t="s">
        <v>1986</v>
      </c>
      <c r="T258" s="4" t="s">
        <v>1987</v>
      </c>
      <c r="U258" s="4" t="s">
        <v>1988</v>
      </c>
      <c r="V258" s="4"/>
      <c r="W258" s="4" t="s">
        <v>53</v>
      </c>
      <c r="X258" s="4" t="s">
        <v>54</v>
      </c>
      <c r="Y258" s="4" t="s">
        <v>1947</v>
      </c>
      <c r="Z258" s="4" t="s">
        <v>1948</v>
      </c>
      <c r="AA258" s="4" t="s">
        <v>68</v>
      </c>
      <c r="AB258" s="4"/>
      <c r="AC258" s="4" t="s">
        <v>1949</v>
      </c>
      <c r="AD258" s="4" t="s">
        <v>1989</v>
      </c>
      <c r="AE258" s="4" t="s">
        <v>1988</v>
      </c>
      <c r="AF258" s="13" t="s">
        <v>1988</v>
      </c>
      <c r="AG258" s="4"/>
      <c r="AH258" s="4" t="s">
        <v>1990</v>
      </c>
      <c r="AI258" s="4">
        <v>1</v>
      </c>
      <c r="AJ258" s="4" t="s">
        <v>1991</v>
      </c>
      <c r="AK258" s="4"/>
      <c r="AL258" s="4" t="str">
        <f>VLOOKUP(N258,[1]Sheet1!$N:$AL,25,0)</f>
        <v>42241520  Casting or splinting accessories</v>
      </c>
      <c r="AM258" s="4"/>
      <c r="AN258" s="4"/>
      <c r="AO258" s="4"/>
      <c r="AP258" s="1" t="s">
        <v>58</v>
      </c>
      <c r="AQ258" s="1" t="s">
        <v>59</v>
      </c>
    </row>
    <row r="259" customHeight="1" spans="1:43">
      <c r="A259" s="4" t="s">
        <v>43</v>
      </c>
      <c r="B259" s="4">
        <v>190</v>
      </c>
      <c r="C259" s="4" t="s">
        <v>44</v>
      </c>
      <c r="D259" s="4" t="s">
        <v>45</v>
      </c>
      <c r="E259" s="4"/>
      <c r="F259" s="4"/>
      <c r="G259" s="4"/>
      <c r="H259" s="4"/>
      <c r="I259" s="4"/>
      <c r="J259" s="4"/>
      <c r="K259" s="4"/>
      <c r="L259" s="4"/>
      <c r="M259" s="4"/>
      <c r="N259" s="4">
        <v>1777</v>
      </c>
      <c r="O259" s="4" t="s">
        <v>1992</v>
      </c>
      <c r="P259" s="4" t="s">
        <v>1993</v>
      </c>
      <c r="Q259" s="4" t="s">
        <v>1994</v>
      </c>
      <c r="R259" s="4" t="s">
        <v>1995</v>
      </c>
      <c r="S259" s="4" t="s">
        <v>1996</v>
      </c>
      <c r="T259" s="4" t="s">
        <v>1997</v>
      </c>
      <c r="U259" s="4" t="s">
        <v>1998</v>
      </c>
      <c r="V259" s="4"/>
      <c r="W259" s="4" t="s">
        <v>53</v>
      </c>
      <c r="X259" s="4" t="s">
        <v>54</v>
      </c>
      <c r="Y259" s="4" t="s">
        <v>1999</v>
      </c>
      <c r="Z259" s="4" t="s">
        <v>2000</v>
      </c>
      <c r="AA259" s="4" t="s">
        <v>68</v>
      </c>
      <c r="AB259" s="4"/>
      <c r="AC259" s="4" t="s">
        <v>2001</v>
      </c>
      <c r="AD259" s="4" t="s">
        <v>2002</v>
      </c>
      <c r="AE259" s="4" t="s">
        <v>1998</v>
      </c>
      <c r="AF259" s="13" t="s">
        <v>2003</v>
      </c>
      <c r="AG259" s="4"/>
      <c r="AH259" s="4" t="s">
        <v>290</v>
      </c>
      <c r="AI259" s="4">
        <v>39</v>
      </c>
      <c r="AJ259" s="4" t="s">
        <v>2004</v>
      </c>
      <c r="AK259" s="4"/>
      <c r="AL259" s="4" t="str">
        <f>VLOOKUP(N259,[1]Sheet1!$N:$AL,25,0)</f>
        <v>42142609  Medical syringes with needle</v>
      </c>
      <c r="AM259" s="4"/>
      <c r="AN259" s="4"/>
      <c r="AO259" s="4"/>
      <c r="AP259" s="1" t="s">
        <v>58</v>
      </c>
      <c r="AQ259" s="1" t="s">
        <v>59</v>
      </c>
    </row>
    <row r="260" customHeight="1" spans="1:43">
      <c r="A260" s="4" t="s">
        <v>43</v>
      </c>
      <c r="B260" s="4">
        <v>190</v>
      </c>
      <c r="C260" s="4" t="s">
        <v>44</v>
      </c>
      <c r="D260" s="4" t="s">
        <v>45</v>
      </c>
      <c r="E260" s="4"/>
      <c r="F260" s="4"/>
      <c r="G260" s="4"/>
      <c r="H260" s="4"/>
      <c r="I260" s="4"/>
      <c r="J260" s="4"/>
      <c r="K260" s="4"/>
      <c r="L260" s="4"/>
      <c r="M260" s="4"/>
      <c r="N260" s="4">
        <v>1810</v>
      </c>
      <c r="O260" s="4" t="s">
        <v>2005</v>
      </c>
      <c r="P260" s="4" t="s">
        <v>2006</v>
      </c>
      <c r="Q260" s="4" t="s">
        <v>2007</v>
      </c>
      <c r="R260" s="4" t="s">
        <v>2008</v>
      </c>
      <c r="S260" s="4" t="s">
        <v>2009</v>
      </c>
      <c r="T260" s="4" t="s">
        <v>2010</v>
      </c>
      <c r="U260" s="4" t="s">
        <v>2011</v>
      </c>
      <c r="V260" s="4"/>
      <c r="W260" s="4" t="s">
        <v>53</v>
      </c>
      <c r="X260" s="4" t="s">
        <v>54</v>
      </c>
      <c r="Y260" s="4" t="s">
        <v>2012</v>
      </c>
      <c r="Z260" s="4" t="s">
        <v>2013</v>
      </c>
      <c r="AA260" s="4" t="s">
        <v>68</v>
      </c>
      <c r="AB260" s="4"/>
      <c r="AC260" s="4" t="s">
        <v>2014</v>
      </c>
      <c r="AD260" s="4" t="s">
        <v>2015</v>
      </c>
      <c r="AE260" s="4" t="s">
        <v>2011</v>
      </c>
      <c r="AF260" s="13" t="s">
        <v>2011</v>
      </c>
      <c r="AG260" s="4"/>
      <c r="AH260" s="4" t="s">
        <v>2016</v>
      </c>
      <c r="AI260" s="4">
        <v>1</v>
      </c>
      <c r="AJ260" s="4" t="s">
        <v>2017</v>
      </c>
      <c r="AK260" s="4"/>
      <c r="AL260" s="4" t="str">
        <f>VLOOKUP(N260,[1]Sheet1!$N:$AL,25,0)</f>
        <v>42201861  Medical x ray equipment case or cover accessories</v>
      </c>
      <c r="AM260" s="4"/>
      <c r="AN260" s="4"/>
      <c r="AO260" s="4"/>
      <c r="AP260" s="1" t="s">
        <v>58</v>
      </c>
      <c r="AQ260" s="1" t="s">
        <v>59</v>
      </c>
    </row>
    <row r="261" customHeight="1" spans="1:43">
      <c r="A261" s="4" t="s">
        <v>43</v>
      </c>
      <c r="B261" s="4">
        <v>190</v>
      </c>
      <c r="C261" s="4" t="s">
        <v>44</v>
      </c>
      <c r="D261" s="4" t="s">
        <v>45</v>
      </c>
      <c r="E261" s="4"/>
      <c r="F261" s="4"/>
      <c r="G261" s="4"/>
      <c r="H261" s="4"/>
      <c r="I261" s="4"/>
      <c r="J261" s="4"/>
      <c r="K261" s="4"/>
      <c r="L261" s="4"/>
      <c r="M261" s="4"/>
      <c r="N261" s="4">
        <v>1811</v>
      </c>
      <c r="O261" s="4" t="s">
        <v>2018</v>
      </c>
      <c r="P261" s="4" t="s">
        <v>115</v>
      </c>
      <c r="Q261" s="4" t="s">
        <v>2007</v>
      </c>
      <c r="R261" s="4" t="s">
        <v>2008</v>
      </c>
      <c r="S261" s="4" t="s">
        <v>2009</v>
      </c>
      <c r="T261" s="4" t="s">
        <v>2010</v>
      </c>
      <c r="U261" s="4" t="s">
        <v>2019</v>
      </c>
      <c r="V261" s="4"/>
      <c r="W261" s="4" t="s">
        <v>53</v>
      </c>
      <c r="X261" s="4" t="s">
        <v>54</v>
      </c>
      <c r="Y261" s="4" t="s">
        <v>606</v>
      </c>
      <c r="Z261" s="4" t="s">
        <v>607</v>
      </c>
      <c r="AA261" s="4" t="s">
        <v>68</v>
      </c>
      <c r="AB261" s="4"/>
      <c r="AC261" s="4" t="s">
        <v>608</v>
      </c>
      <c r="AD261" s="4" t="s">
        <v>2015</v>
      </c>
      <c r="AE261" s="4" t="s">
        <v>2019</v>
      </c>
      <c r="AF261" s="13" t="s">
        <v>2019</v>
      </c>
      <c r="AG261" s="4"/>
      <c r="AH261" s="4" t="s">
        <v>2020</v>
      </c>
      <c r="AI261" s="4">
        <v>3</v>
      </c>
      <c r="AJ261" s="4" t="s">
        <v>2021</v>
      </c>
      <c r="AK261" s="4"/>
      <c r="AL261" s="4" t="str">
        <f>VLOOKUP(N261,[1]Sheet1!$N:$AL,25,0)</f>
        <v>42172105  Mobile medical service automated external defibrillator AED accessories</v>
      </c>
      <c r="AM261" s="4"/>
      <c r="AN261" s="4"/>
      <c r="AO261" s="4"/>
      <c r="AP261" s="1" t="s">
        <v>58</v>
      </c>
      <c r="AQ261" s="1" t="s">
        <v>59</v>
      </c>
    </row>
    <row r="262" customHeight="1" spans="1:43">
      <c r="A262" s="4" t="s">
        <v>43</v>
      </c>
      <c r="B262" s="4">
        <v>190</v>
      </c>
      <c r="C262" s="4" t="s">
        <v>44</v>
      </c>
      <c r="D262" s="4" t="s">
        <v>45</v>
      </c>
      <c r="E262" s="4"/>
      <c r="F262" s="4"/>
      <c r="G262" s="4"/>
      <c r="H262" s="4"/>
      <c r="I262" s="4"/>
      <c r="J262" s="4"/>
      <c r="K262" s="4"/>
      <c r="L262" s="4"/>
      <c r="M262" s="4"/>
      <c r="N262" s="4">
        <v>1812</v>
      </c>
      <c r="O262" s="4" t="s">
        <v>2022</v>
      </c>
      <c r="P262" s="4" t="s">
        <v>2006</v>
      </c>
      <c r="Q262" s="4" t="s">
        <v>2007</v>
      </c>
      <c r="R262" s="4" t="s">
        <v>2008</v>
      </c>
      <c r="S262" s="4" t="s">
        <v>2009</v>
      </c>
      <c r="T262" s="4" t="s">
        <v>2010</v>
      </c>
      <c r="U262" s="4" t="s">
        <v>2023</v>
      </c>
      <c r="V262" s="4"/>
      <c r="W262" s="4" t="s">
        <v>53</v>
      </c>
      <c r="X262" s="4" t="s">
        <v>54</v>
      </c>
      <c r="Y262" s="4" t="s">
        <v>2024</v>
      </c>
      <c r="Z262" s="4" t="s">
        <v>2025</v>
      </c>
      <c r="AA262" s="4" t="s">
        <v>68</v>
      </c>
      <c r="AB262" s="4"/>
      <c r="AC262" s="4" t="s">
        <v>2026</v>
      </c>
      <c r="AD262" s="4" t="s">
        <v>2015</v>
      </c>
      <c r="AE262" s="4" t="s">
        <v>2023</v>
      </c>
      <c r="AF262" s="13" t="s">
        <v>2023</v>
      </c>
      <c r="AG262" s="4"/>
      <c r="AH262" s="4" t="s">
        <v>2027</v>
      </c>
      <c r="AI262" s="4">
        <v>1</v>
      </c>
      <c r="AJ262" s="4" t="s">
        <v>2028</v>
      </c>
      <c r="AK262" s="4"/>
      <c r="AL262" s="4" t="str">
        <f>VLOOKUP(N262,[1]Sheet1!$N:$AL,25,0)</f>
        <v>42172009  Mobile medical services search and rescue kits</v>
      </c>
      <c r="AM262" s="4"/>
      <c r="AN262" s="4"/>
      <c r="AO262" s="4"/>
      <c r="AP262" s="1" t="s">
        <v>58</v>
      </c>
      <c r="AQ262" s="1" t="s">
        <v>59</v>
      </c>
    </row>
    <row r="263" customHeight="1" spans="1:43">
      <c r="A263" s="4" t="s">
        <v>43</v>
      </c>
      <c r="B263" s="4">
        <v>190</v>
      </c>
      <c r="C263" s="4" t="s">
        <v>44</v>
      </c>
      <c r="D263" s="4" t="s">
        <v>45</v>
      </c>
      <c r="E263" s="4"/>
      <c r="F263" s="4"/>
      <c r="G263" s="4"/>
      <c r="H263" s="4"/>
      <c r="I263" s="4"/>
      <c r="J263" s="4"/>
      <c r="K263" s="4"/>
      <c r="L263" s="4"/>
      <c r="M263" s="4"/>
      <c r="N263" s="4">
        <v>1813</v>
      </c>
      <c r="O263" s="4" t="s">
        <v>2029</v>
      </c>
      <c r="P263" s="4" t="s">
        <v>2006</v>
      </c>
      <c r="Q263" s="4" t="s">
        <v>2007</v>
      </c>
      <c r="R263" s="4" t="s">
        <v>2008</v>
      </c>
      <c r="S263" s="4" t="s">
        <v>2009</v>
      </c>
      <c r="T263" s="4" t="s">
        <v>2010</v>
      </c>
      <c r="U263" s="4" t="s">
        <v>2030</v>
      </c>
      <c r="V263" s="4"/>
      <c r="W263" s="4" t="s">
        <v>53</v>
      </c>
      <c r="X263" s="4" t="s">
        <v>54</v>
      </c>
      <c r="Y263" s="4" t="s">
        <v>2031</v>
      </c>
      <c r="Z263" s="4" t="s">
        <v>2032</v>
      </c>
      <c r="AA263" s="4" t="s">
        <v>68</v>
      </c>
      <c r="AB263" s="4"/>
      <c r="AC263" s="4" t="s">
        <v>2033</v>
      </c>
      <c r="AD263" s="4" t="s">
        <v>2015</v>
      </c>
      <c r="AE263" s="4" t="s">
        <v>2030</v>
      </c>
      <c r="AF263" s="13" t="s">
        <v>2030</v>
      </c>
      <c r="AG263" s="4"/>
      <c r="AH263" s="4" t="s">
        <v>226</v>
      </c>
      <c r="AI263" s="4">
        <v>46</v>
      </c>
      <c r="AJ263" s="4" t="s">
        <v>2034</v>
      </c>
      <c r="AK263" s="4"/>
      <c r="AL263" s="4" t="str">
        <f>VLOOKUP(N263,[1]Sheet1!$N:$AL,25,0)</f>
        <v>42143611  Patient stabilization or fall prevention device accessories</v>
      </c>
      <c r="AM263" s="4"/>
      <c r="AN263" s="4"/>
      <c r="AO263" s="4"/>
      <c r="AP263" s="1" t="s">
        <v>58</v>
      </c>
      <c r="AQ263" s="1" t="s">
        <v>59</v>
      </c>
    </row>
    <row r="264" customHeight="1" spans="1:43">
      <c r="A264" s="4" t="s">
        <v>43</v>
      </c>
      <c r="B264" s="4">
        <v>190</v>
      </c>
      <c r="C264" s="4" t="s">
        <v>44</v>
      </c>
      <c r="D264" s="4" t="s">
        <v>45</v>
      </c>
      <c r="E264" s="4"/>
      <c r="F264" s="4"/>
      <c r="G264" s="4"/>
      <c r="H264" s="4"/>
      <c r="I264" s="4"/>
      <c r="J264" s="4"/>
      <c r="K264" s="4"/>
      <c r="L264" s="4"/>
      <c r="M264" s="4"/>
      <c r="N264" s="4">
        <v>1814</v>
      </c>
      <c r="O264" s="4" t="s">
        <v>2035</v>
      </c>
      <c r="P264" s="4" t="s">
        <v>2006</v>
      </c>
      <c r="Q264" s="4" t="s">
        <v>2007</v>
      </c>
      <c r="R264" s="4" t="s">
        <v>2008</v>
      </c>
      <c r="S264" s="4" t="s">
        <v>2009</v>
      </c>
      <c r="T264" s="4" t="s">
        <v>2010</v>
      </c>
      <c r="U264" s="4" t="s">
        <v>2036</v>
      </c>
      <c r="V264" s="4"/>
      <c r="W264" s="4" t="s">
        <v>53</v>
      </c>
      <c r="X264" s="4" t="s">
        <v>54</v>
      </c>
      <c r="Y264" s="4" t="s">
        <v>2037</v>
      </c>
      <c r="Z264" s="4" t="s">
        <v>2038</v>
      </c>
      <c r="AA264" s="4" t="s">
        <v>68</v>
      </c>
      <c r="AB264" s="4"/>
      <c r="AC264" s="4" t="s">
        <v>2039</v>
      </c>
      <c r="AD264" s="4" t="s">
        <v>2015</v>
      </c>
      <c r="AE264" s="4" t="s">
        <v>2036</v>
      </c>
      <c r="AF264" s="13" t="s">
        <v>2036</v>
      </c>
      <c r="AG264" s="4"/>
      <c r="AH264" s="4" t="s">
        <v>226</v>
      </c>
      <c r="AI264" s="4">
        <v>46</v>
      </c>
      <c r="AJ264" s="4" t="s">
        <v>2040</v>
      </c>
      <c r="AK264" s="4"/>
      <c r="AL264" s="4" t="str">
        <f>VLOOKUP(N264,[1]Sheet1!$N:$AL,25,0)</f>
        <v>42192425  Long distance response LDR trauma cases or bags</v>
      </c>
      <c r="AM264" s="4"/>
      <c r="AN264" s="4"/>
      <c r="AO264" s="4"/>
      <c r="AP264" s="1" t="s">
        <v>58</v>
      </c>
      <c r="AQ264" s="1" t="s">
        <v>59</v>
      </c>
    </row>
    <row r="265" customHeight="1" spans="1:43">
      <c r="A265" s="4" t="s">
        <v>43</v>
      </c>
      <c r="B265" s="4">
        <v>190</v>
      </c>
      <c r="C265" s="4" t="s">
        <v>44</v>
      </c>
      <c r="D265" s="4" t="s">
        <v>45</v>
      </c>
      <c r="E265" s="4"/>
      <c r="F265" s="4"/>
      <c r="G265" s="4"/>
      <c r="H265" s="4"/>
      <c r="I265" s="4"/>
      <c r="J265" s="4"/>
      <c r="K265" s="4"/>
      <c r="L265" s="4"/>
      <c r="M265" s="4"/>
      <c r="N265" s="4">
        <v>1815</v>
      </c>
      <c r="O265" s="4" t="s">
        <v>2041</v>
      </c>
      <c r="P265" s="4" t="s">
        <v>560</v>
      </c>
      <c r="Q265" s="4" t="s">
        <v>2007</v>
      </c>
      <c r="R265" s="4" t="s">
        <v>2008</v>
      </c>
      <c r="S265" s="4" t="s">
        <v>2009</v>
      </c>
      <c r="T265" s="4" t="s">
        <v>2010</v>
      </c>
      <c r="U265" s="4" t="s">
        <v>2042</v>
      </c>
      <c r="V265" s="4"/>
      <c r="W265" s="4" t="s">
        <v>53</v>
      </c>
      <c r="X265" s="4" t="s">
        <v>54</v>
      </c>
      <c r="Y265" s="4" t="s">
        <v>2043</v>
      </c>
      <c r="Z265" s="4" t="s">
        <v>2044</v>
      </c>
      <c r="AA265" s="4" t="s">
        <v>68</v>
      </c>
      <c r="AB265" s="4"/>
      <c r="AC265" s="4" t="s">
        <v>2045</v>
      </c>
      <c r="AD265" s="4" t="s">
        <v>2015</v>
      </c>
      <c r="AE265" s="4" t="s">
        <v>2042</v>
      </c>
      <c r="AF265" s="13" t="s">
        <v>2046</v>
      </c>
      <c r="AG265" s="4"/>
      <c r="AH265" s="4" t="s">
        <v>623</v>
      </c>
      <c r="AI265" s="4">
        <v>7</v>
      </c>
      <c r="AJ265" s="4" t="s">
        <v>2047</v>
      </c>
      <c r="AK265" s="4"/>
      <c r="AL265" s="4" t="str">
        <f>VLOOKUP(N265,[1]Sheet1!$N:$AL,25,0)</f>
        <v>42192307  Patient lift accessories</v>
      </c>
      <c r="AM265" s="4"/>
      <c r="AN265" s="4"/>
      <c r="AO265" s="4"/>
      <c r="AP265" s="1" t="s">
        <v>58</v>
      </c>
      <c r="AQ265" s="1" t="s">
        <v>59</v>
      </c>
    </row>
    <row r="266" customHeight="1" spans="1:43">
      <c r="A266" s="4" t="s">
        <v>43</v>
      </c>
      <c r="B266" s="4">
        <v>190</v>
      </c>
      <c r="C266" s="4" t="s">
        <v>44</v>
      </c>
      <c r="D266" s="4" t="s">
        <v>45</v>
      </c>
      <c r="E266" s="4"/>
      <c r="F266" s="4"/>
      <c r="G266" s="4"/>
      <c r="H266" s="4"/>
      <c r="I266" s="4"/>
      <c r="J266" s="4"/>
      <c r="K266" s="4"/>
      <c r="L266" s="4"/>
      <c r="M266" s="4"/>
      <c r="N266" s="4">
        <v>1816</v>
      </c>
      <c r="O266" s="4" t="s">
        <v>2048</v>
      </c>
      <c r="P266" s="4" t="s">
        <v>2006</v>
      </c>
      <c r="Q266" s="4" t="s">
        <v>2007</v>
      </c>
      <c r="R266" s="4" t="s">
        <v>2008</v>
      </c>
      <c r="S266" s="4" t="s">
        <v>2009</v>
      </c>
      <c r="T266" s="4" t="s">
        <v>2010</v>
      </c>
      <c r="U266" s="4" t="s">
        <v>2049</v>
      </c>
      <c r="V266" s="4"/>
      <c r="W266" s="4" t="s">
        <v>53</v>
      </c>
      <c r="X266" s="4" t="s">
        <v>54</v>
      </c>
      <c r="Y266" s="4" t="s">
        <v>2050</v>
      </c>
      <c r="Z266" s="4" t="s">
        <v>2051</v>
      </c>
      <c r="AA266" s="4" t="s">
        <v>68</v>
      </c>
      <c r="AB266" s="4"/>
      <c r="AC266" s="4" t="s">
        <v>2052</v>
      </c>
      <c r="AD266" s="4" t="s">
        <v>2015</v>
      </c>
      <c r="AE266" s="4" t="s">
        <v>2049</v>
      </c>
      <c r="AF266" s="13" t="s">
        <v>2053</v>
      </c>
      <c r="AG266" s="4"/>
      <c r="AH266" s="4" t="s">
        <v>2054</v>
      </c>
      <c r="AI266" s="4">
        <v>5</v>
      </c>
      <c r="AJ266" s="4" t="s">
        <v>2055</v>
      </c>
      <c r="AK266" s="4"/>
      <c r="AL266" s="4" t="str">
        <f>VLOOKUP(N266,[1]Sheet1!$N:$AL,25,0)</f>
        <v>42171900  Medical equipment bags and cases and carriers and related products</v>
      </c>
      <c r="AM266" s="4"/>
      <c r="AN266" s="4"/>
      <c r="AO266" s="4"/>
      <c r="AP266" s="1" t="s">
        <v>58</v>
      </c>
      <c r="AQ266" s="1" t="s">
        <v>59</v>
      </c>
    </row>
    <row r="267" customHeight="1" spans="1:43">
      <c r="A267" s="4" t="s">
        <v>43</v>
      </c>
      <c r="B267" s="4">
        <v>190</v>
      </c>
      <c r="C267" s="4" t="s">
        <v>44</v>
      </c>
      <c r="D267" s="4" t="s">
        <v>45</v>
      </c>
      <c r="E267" s="4"/>
      <c r="F267" s="4"/>
      <c r="G267" s="4"/>
      <c r="H267" s="4"/>
      <c r="I267" s="4"/>
      <c r="J267" s="4"/>
      <c r="K267" s="4"/>
      <c r="L267" s="4"/>
      <c r="M267" s="4"/>
      <c r="N267" s="4">
        <v>1817</v>
      </c>
      <c r="O267" s="4" t="s">
        <v>2056</v>
      </c>
      <c r="P267" s="4" t="s">
        <v>2006</v>
      </c>
      <c r="Q267" s="4" t="s">
        <v>2007</v>
      </c>
      <c r="R267" s="4" t="s">
        <v>2008</v>
      </c>
      <c r="S267" s="4" t="s">
        <v>2009</v>
      </c>
      <c r="T267" s="4" t="s">
        <v>2010</v>
      </c>
      <c r="U267" s="4" t="s">
        <v>2057</v>
      </c>
      <c r="V267" s="4"/>
      <c r="W267" s="4" t="s">
        <v>53</v>
      </c>
      <c r="X267" s="4" t="s">
        <v>54</v>
      </c>
      <c r="Y267" s="4" t="s">
        <v>2050</v>
      </c>
      <c r="Z267" s="4" t="s">
        <v>2051</v>
      </c>
      <c r="AA267" s="4" t="s">
        <v>68</v>
      </c>
      <c r="AB267" s="4"/>
      <c r="AC267" s="4" t="s">
        <v>2052</v>
      </c>
      <c r="AD267" s="4" t="s">
        <v>2015</v>
      </c>
      <c r="AE267" s="4" t="s">
        <v>2057</v>
      </c>
      <c r="AF267" s="13" t="s">
        <v>2058</v>
      </c>
      <c r="AG267" s="4"/>
      <c r="AH267" s="4" t="s">
        <v>2054</v>
      </c>
      <c r="AI267" s="4">
        <v>5</v>
      </c>
      <c r="AJ267" s="4" t="s">
        <v>2059</v>
      </c>
      <c r="AK267" s="4"/>
      <c r="AL267" s="4" t="str">
        <f>VLOOKUP(N267,[1]Sheet1!$N:$AL,25,0)</f>
        <v>42171900  Medical equipment bags and cases and carriers and related products</v>
      </c>
      <c r="AM267" s="4"/>
      <c r="AN267" s="4"/>
      <c r="AO267" s="4"/>
      <c r="AP267" s="1" t="s">
        <v>58</v>
      </c>
      <c r="AQ267" s="1" t="s">
        <v>59</v>
      </c>
    </row>
    <row r="268" customHeight="1" spans="1:43">
      <c r="A268" s="4" t="s">
        <v>43</v>
      </c>
      <c r="B268" s="4">
        <v>190</v>
      </c>
      <c r="C268" s="4" t="s">
        <v>44</v>
      </c>
      <c r="D268" s="4" t="s">
        <v>45</v>
      </c>
      <c r="E268" s="4"/>
      <c r="F268" s="4"/>
      <c r="G268" s="4"/>
      <c r="H268" s="4"/>
      <c r="I268" s="4"/>
      <c r="J268" s="4"/>
      <c r="K268" s="4"/>
      <c r="L268" s="4"/>
      <c r="M268" s="4"/>
      <c r="N268" s="4">
        <v>1818</v>
      </c>
      <c r="O268" s="4" t="s">
        <v>2060</v>
      </c>
      <c r="P268" s="4" t="s">
        <v>2006</v>
      </c>
      <c r="Q268" s="4" t="s">
        <v>2007</v>
      </c>
      <c r="R268" s="4" t="s">
        <v>2008</v>
      </c>
      <c r="S268" s="4" t="s">
        <v>2009</v>
      </c>
      <c r="T268" s="4" t="s">
        <v>2010</v>
      </c>
      <c r="U268" s="4" t="s">
        <v>2061</v>
      </c>
      <c r="V268" s="4"/>
      <c r="W268" s="4" t="s">
        <v>53</v>
      </c>
      <c r="X268" s="4" t="s">
        <v>54</v>
      </c>
      <c r="Y268" s="4" t="s">
        <v>2037</v>
      </c>
      <c r="Z268" s="4" t="s">
        <v>2038</v>
      </c>
      <c r="AA268" s="4" t="s">
        <v>68</v>
      </c>
      <c r="AB268" s="4"/>
      <c r="AC268" s="4" t="s">
        <v>2039</v>
      </c>
      <c r="AD268" s="4" t="s">
        <v>2015</v>
      </c>
      <c r="AE268" s="4" t="s">
        <v>2061</v>
      </c>
      <c r="AF268" s="13" t="s">
        <v>2062</v>
      </c>
      <c r="AG268" s="4"/>
      <c r="AH268" s="4" t="s">
        <v>226</v>
      </c>
      <c r="AI268" s="4">
        <v>46</v>
      </c>
      <c r="AJ268" s="4" t="s">
        <v>2063</v>
      </c>
      <c r="AK268" s="4"/>
      <c r="AL268" s="4" t="str">
        <f>VLOOKUP(N268,[1]Sheet1!$N:$AL,25,0)</f>
        <v>42192425  Long distance response LDR trauma cases or bags</v>
      </c>
      <c r="AM268" s="4"/>
      <c r="AN268" s="4"/>
      <c r="AO268" s="4"/>
      <c r="AP268" s="1" t="s">
        <v>58</v>
      </c>
      <c r="AQ268" s="1" t="s">
        <v>59</v>
      </c>
    </row>
    <row r="269" customHeight="1" spans="1:43">
      <c r="A269" s="4" t="s">
        <v>43</v>
      </c>
      <c r="B269" s="4">
        <v>190</v>
      </c>
      <c r="C269" s="4" t="s">
        <v>44</v>
      </c>
      <c r="D269" s="4" t="s">
        <v>45</v>
      </c>
      <c r="E269" s="4"/>
      <c r="F269" s="4"/>
      <c r="G269" s="4"/>
      <c r="H269" s="4"/>
      <c r="I269" s="4"/>
      <c r="J269" s="4"/>
      <c r="K269" s="4"/>
      <c r="L269" s="4"/>
      <c r="M269" s="4"/>
      <c r="N269" s="4">
        <v>1819</v>
      </c>
      <c r="O269" s="4" t="s">
        <v>2064</v>
      </c>
      <c r="P269" s="4" t="s">
        <v>2006</v>
      </c>
      <c r="Q269" s="4" t="s">
        <v>2007</v>
      </c>
      <c r="R269" s="4" t="s">
        <v>2008</v>
      </c>
      <c r="S269" s="4" t="s">
        <v>2009</v>
      </c>
      <c r="T269" s="4" t="s">
        <v>2010</v>
      </c>
      <c r="U269" s="4" t="s">
        <v>2065</v>
      </c>
      <c r="V269" s="4"/>
      <c r="W269" s="4" t="s">
        <v>53</v>
      </c>
      <c r="X269" s="4" t="s">
        <v>54</v>
      </c>
      <c r="Y269" s="4" t="s">
        <v>2024</v>
      </c>
      <c r="Z269" s="4" t="s">
        <v>2025</v>
      </c>
      <c r="AA269" s="4" t="s">
        <v>68</v>
      </c>
      <c r="AB269" s="4"/>
      <c r="AC269" s="4" t="s">
        <v>2026</v>
      </c>
      <c r="AD269" s="4" t="s">
        <v>2015</v>
      </c>
      <c r="AE269" s="4" t="s">
        <v>2065</v>
      </c>
      <c r="AF269" s="13" t="s">
        <v>2066</v>
      </c>
      <c r="AG269" s="4"/>
      <c r="AH269" s="4" t="s">
        <v>2067</v>
      </c>
      <c r="AI269" s="4">
        <v>4</v>
      </c>
      <c r="AJ269" s="4" t="s">
        <v>2068</v>
      </c>
      <c r="AK269" s="4"/>
      <c r="AL269" s="4" t="str">
        <f>VLOOKUP(N269,[1]Sheet1!$N:$AL,25,0)</f>
        <v>42172009  Mobile medical services search and rescue kits</v>
      </c>
      <c r="AM269" s="4"/>
      <c r="AN269" s="4"/>
      <c r="AO269" s="4"/>
      <c r="AP269" s="1" t="s">
        <v>58</v>
      </c>
      <c r="AQ269" s="1" t="s">
        <v>59</v>
      </c>
    </row>
    <row r="270" customHeight="1" spans="1:43">
      <c r="A270" s="4" t="s">
        <v>43</v>
      </c>
      <c r="B270" s="4">
        <v>190</v>
      </c>
      <c r="C270" s="4" t="s">
        <v>44</v>
      </c>
      <c r="D270" s="4" t="s">
        <v>45</v>
      </c>
      <c r="E270" s="4"/>
      <c r="F270" s="4"/>
      <c r="G270" s="4"/>
      <c r="H270" s="4"/>
      <c r="I270" s="4"/>
      <c r="J270" s="4"/>
      <c r="K270" s="4"/>
      <c r="L270" s="4"/>
      <c r="M270" s="4"/>
      <c r="N270" s="4">
        <v>1820</v>
      </c>
      <c r="O270" s="4" t="s">
        <v>2069</v>
      </c>
      <c r="P270" s="4" t="s">
        <v>2006</v>
      </c>
      <c r="Q270" s="4" t="s">
        <v>2007</v>
      </c>
      <c r="R270" s="4" t="s">
        <v>2008</v>
      </c>
      <c r="S270" s="4" t="s">
        <v>2009</v>
      </c>
      <c r="T270" s="4" t="s">
        <v>2010</v>
      </c>
      <c r="U270" s="4" t="s">
        <v>2070</v>
      </c>
      <c r="V270" s="4"/>
      <c r="W270" s="4" t="s">
        <v>53</v>
      </c>
      <c r="X270" s="4" t="s">
        <v>54</v>
      </c>
      <c r="Y270" s="4" t="s">
        <v>2037</v>
      </c>
      <c r="Z270" s="4" t="s">
        <v>2038</v>
      </c>
      <c r="AA270" s="4" t="s">
        <v>68</v>
      </c>
      <c r="AB270" s="4"/>
      <c r="AC270" s="4" t="s">
        <v>2039</v>
      </c>
      <c r="AD270" s="4" t="s">
        <v>2015</v>
      </c>
      <c r="AE270" s="4" t="s">
        <v>2070</v>
      </c>
      <c r="AF270" s="13" t="s">
        <v>2071</v>
      </c>
      <c r="AG270" s="4"/>
      <c r="AH270" s="4" t="s">
        <v>226</v>
      </c>
      <c r="AI270" s="4">
        <v>46</v>
      </c>
      <c r="AJ270" s="4" t="s">
        <v>2072</v>
      </c>
      <c r="AK270" s="4"/>
      <c r="AL270" s="4" t="str">
        <f>VLOOKUP(N270,[1]Sheet1!$N:$AL,25,0)</f>
        <v>42192425  Long distance response LDR trauma cases or bags</v>
      </c>
      <c r="AM270" s="4"/>
      <c r="AN270" s="4"/>
      <c r="AO270" s="4"/>
      <c r="AP270" s="1" t="s">
        <v>58</v>
      </c>
      <c r="AQ270" s="1" t="s">
        <v>59</v>
      </c>
    </row>
    <row r="271" customHeight="1" spans="1:43">
      <c r="A271" s="4" t="s">
        <v>43</v>
      </c>
      <c r="B271" s="4">
        <v>190</v>
      </c>
      <c r="C271" s="4" t="s">
        <v>44</v>
      </c>
      <c r="D271" s="4" t="s">
        <v>45</v>
      </c>
      <c r="E271" s="4"/>
      <c r="F271" s="4"/>
      <c r="G271" s="4"/>
      <c r="H271" s="4"/>
      <c r="I271" s="4"/>
      <c r="J271" s="4"/>
      <c r="K271" s="4"/>
      <c r="L271" s="4"/>
      <c r="M271" s="4"/>
      <c r="N271" s="4">
        <v>1821</v>
      </c>
      <c r="O271" s="4" t="s">
        <v>2073</v>
      </c>
      <c r="P271" s="4" t="s">
        <v>399</v>
      </c>
      <c r="Q271" s="4" t="s">
        <v>2007</v>
      </c>
      <c r="R271" s="4" t="s">
        <v>2008</v>
      </c>
      <c r="S271" s="4" t="s">
        <v>2009</v>
      </c>
      <c r="T271" s="4" t="s">
        <v>2010</v>
      </c>
      <c r="U271" s="4" t="s">
        <v>2074</v>
      </c>
      <c r="V271" s="4"/>
      <c r="W271" s="4" t="s">
        <v>53</v>
      </c>
      <c r="X271" s="4" t="s">
        <v>190</v>
      </c>
      <c r="Y271" s="4" t="s">
        <v>2075</v>
      </c>
      <c r="Z271" s="4" t="s">
        <v>2076</v>
      </c>
      <c r="AA271" s="4" t="s">
        <v>68</v>
      </c>
      <c r="AB271" s="4"/>
      <c r="AC271" s="4" t="s">
        <v>2077</v>
      </c>
      <c r="AD271" s="4" t="s">
        <v>2015</v>
      </c>
      <c r="AE271" s="4" t="s">
        <v>2074</v>
      </c>
      <c r="AF271" s="13" t="s">
        <v>2078</v>
      </c>
      <c r="AG271" s="4"/>
      <c r="AH271" s="4" t="s">
        <v>226</v>
      </c>
      <c r="AI271" s="4">
        <v>46</v>
      </c>
      <c r="AJ271" s="4" t="s">
        <v>2079</v>
      </c>
      <c r="AK271" s="4"/>
      <c r="AL271" s="4" t="str">
        <f>VLOOKUP(N271,[1]Sheet1!$N:$AL,25,0)</f>
        <v>42192414  Airway management bags</v>
      </c>
      <c r="AM271" s="4"/>
      <c r="AN271" s="4"/>
      <c r="AO271" s="4"/>
      <c r="AP271" s="1" t="s">
        <v>58</v>
      </c>
      <c r="AQ271" s="1" t="s">
        <v>59</v>
      </c>
    </row>
    <row r="272" customHeight="1" spans="1:43">
      <c r="A272" s="4" t="s">
        <v>43</v>
      </c>
      <c r="B272" s="4">
        <v>190</v>
      </c>
      <c r="C272" s="4" t="s">
        <v>44</v>
      </c>
      <c r="D272" s="4" t="s">
        <v>45</v>
      </c>
      <c r="E272" s="4"/>
      <c r="F272" s="4"/>
      <c r="G272" s="4"/>
      <c r="H272" s="4"/>
      <c r="I272" s="4"/>
      <c r="J272" s="4"/>
      <c r="K272" s="4"/>
      <c r="L272" s="4"/>
      <c r="M272" s="4"/>
      <c r="N272" s="4">
        <v>1822</v>
      </c>
      <c r="O272" s="4" t="s">
        <v>2080</v>
      </c>
      <c r="P272" s="4" t="s">
        <v>521</v>
      </c>
      <c r="Q272" s="4" t="s">
        <v>2007</v>
      </c>
      <c r="R272" s="4" t="s">
        <v>2008</v>
      </c>
      <c r="S272" s="4" t="s">
        <v>2009</v>
      </c>
      <c r="T272" s="4" t="s">
        <v>2010</v>
      </c>
      <c r="U272" s="4" t="s">
        <v>2081</v>
      </c>
      <c r="V272" s="4"/>
      <c r="W272" s="4" t="s">
        <v>53</v>
      </c>
      <c r="X272" s="4" t="s">
        <v>54</v>
      </c>
      <c r="Y272" s="4" t="s">
        <v>2082</v>
      </c>
      <c r="Z272" s="4" t="s">
        <v>2083</v>
      </c>
      <c r="AA272" s="4" t="s">
        <v>68</v>
      </c>
      <c r="AB272" s="4"/>
      <c r="AC272" s="4" t="s">
        <v>2084</v>
      </c>
      <c r="AD272" s="4" t="s">
        <v>2015</v>
      </c>
      <c r="AE272" s="4" t="s">
        <v>2081</v>
      </c>
      <c r="AF272" s="13" t="s">
        <v>2085</v>
      </c>
      <c r="AG272" s="4"/>
      <c r="AH272" s="4" t="s">
        <v>226</v>
      </c>
      <c r="AI272" s="4">
        <v>46</v>
      </c>
      <c r="AJ272" s="4" t="s">
        <v>2086</v>
      </c>
      <c r="AK272" s="4"/>
      <c r="AL272" s="4" t="str">
        <f>VLOOKUP(N272,[1]Sheet1!$N:$AL,25,0)</f>
        <v>42271718  Oxygen therapy delivery system products</v>
      </c>
      <c r="AM272" s="4"/>
      <c r="AN272" s="4"/>
      <c r="AO272" s="4"/>
      <c r="AP272" s="1" t="s">
        <v>58</v>
      </c>
      <c r="AQ272" s="1" t="s">
        <v>59</v>
      </c>
    </row>
    <row r="273" customHeight="1" spans="1:43">
      <c r="A273" s="4" t="s">
        <v>43</v>
      </c>
      <c r="B273" s="4">
        <v>190</v>
      </c>
      <c r="C273" s="4" t="s">
        <v>44</v>
      </c>
      <c r="D273" s="4" t="s">
        <v>45</v>
      </c>
      <c r="E273" s="4"/>
      <c r="F273" s="4"/>
      <c r="G273" s="4"/>
      <c r="H273" s="4"/>
      <c r="I273" s="4"/>
      <c r="J273" s="4"/>
      <c r="K273" s="4"/>
      <c r="L273" s="4"/>
      <c r="M273" s="4"/>
      <c r="N273" s="4">
        <v>1823</v>
      </c>
      <c r="O273" s="4" t="s">
        <v>2087</v>
      </c>
      <c r="P273" s="4" t="s">
        <v>2088</v>
      </c>
      <c r="Q273" s="4" t="s">
        <v>2007</v>
      </c>
      <c r="R273" s="4" t="s">
        <v>2008</v>
      </c>
      <c r="S273" s="4" t="s">
        <v>2009</v>
      </c>
      <c r="T273" s="4" t="s">
        <v>2010</v>
      </c>
      <c r="U273" s="4" t="s">
        <v>2089</v>
      </c>
      <c r="V273" s="4"/>
      <c r="W273" s="4" t="s">
        <v>53</v>
      </c>
      <c r="X273" s="4" t="s">
        <v>54</v>
      </c>
      <c r="Y273" s="4" t="s">
        <v>2090</v>
      </c>
      <c r="Z273" s="4" t="s">
        <v>2091</v>
      </c>
      <c r="AA273" s="4" t="s">
        <v>68</v>
      </c>
      <c r="AB273" s="4"/>
      <c r="AC273" s="4" t="s">
        <v>2092</v>
      </c>
      <c r="AD273" s="4" t="s">
        <v>2015</v>
      </c>
      <c r="AE273" s="4" t="s">
        <v>2089</v>
      </c>
      <c r="AF273" s="13" t="s">
        <v>2093</v>
      </c>
      <c r="AG273" s="4"/>
      <c r="AH273" s="4" t="s">
        <v>2094</v>
      </c>
      <c r="AI273" s="4">
        <v>1</v>
      </c>
      <c r="AJ273" s="4" t="s">
        <v>2095</v>
      </c>
      <c r="AK273" s="4"/>
      <c r="AL273" s="4" t="str">
        <f>VLOOKUP(N273,[1]Sheet1!$N:$AL,25,0)</f>
        <v>42143609  Patient restraint boards</v>
      </c>
      <c r="AM273" s="4"/>
      <c r="AN273" s="4"/>
      <c r="AO273" s="4"/>
      <c r="AP273" s="1" t="s">
        <v>58</v>
      </c>
      <c r="AQ273" s="1" t="s">
        <v>59</v>
      </c>
    </row>
    <row r="274" customHeight="1" spans="1:43">
      <c r="A274" s="4" t="s">
        <v>43</v>
      </c>
      <c r="B274" s="4">
        <v>190</v>
      </c>
      <c r="C274" s="4" t="s">
        <v>44</v>
      </c>
      <c r="D274" s="4" t="s">
        <v>45</v>
      </c>
      <c r="E274" s="4"/>
      <c r="F274" s="4"/>
      <c r="G274" s="4"/>
      <c r="H274" s="4"/>
      <c r="I274" s="4"/>
      <c r="J274" s="4"/>
      <c r="K274" s="4"/>
      <c r="L274" s="4"/>
      <c r="M274" s="4"/>
      <c r="N274" s="4">
        <v>1824</v>
      </c>
      <c r="O274" s="4" t="s">
        <v>2096</v>
      </c>
      <c r="P274" s="4" t="s">
        <v>2088</v>
      </c>
      <c r="Q274" s="4" t="s">
        <v>2007</v>
      </c>
      <c r="R274" s="4" t="s">
        <v>2008</v>
      </c>
      <c r="S274" s="4" t="s">
        <v>2009</v>
      </c>
      <c r="T274" s="4" t="s">
        <v>2010</v>
      </c>
      <c r="U274" s="4" t="s">
        <v>2097</v>
      </c>
      <c r="V274" s="4"/>
      <c r="W274" s="4" t="s">
        <v>53</v>
      </c>
      <c r="X274" s="4" t="s">
        <v>54</v>
      </c>
      <c r="Y274" s="4" t="s">
        <v>2098</v>
      </c>
      <c r="Z274" s="4" t="s">
        <v>2099</v>
      </c>
      <c r="AA274" s="4" t="s">
        <v>68</v>
      </c>
      <c r="AB274" s="4"/>
      <c r="AC274" s="4" t="s">
        <v>2100</v>
      </c>
      <c r="AD274" s="4" t="s">
        <v>2015</v>
      </c>
      <c r="AE274" s="4" t="s">
        <v>2097</v>
      </c>
      <c r="AF274" s="13" t="s">
        <v>2101</v>
      </c>
      <c r="AG274" s="4"/>
      <c r="AH274" s="4" t="s">
        <v>2102</v>
      </c>
      <c r="AI274" s="4">
        <v>1</v>
      </c>
      <c r="AJ274" s="4" t="s">
        <v>2103</v>
      </c>
      <c r="AK274" s="4"/>
      <c r="AL274" s="4" t="str">
        <f>VLOOKUP(N274,[1]Sheet1!$N:$AL,25,0)</f>
        <v>42171613  Mobile medical services spine boards</v>
      </c>
      <c r="AM274" s="4"/>
      <c r="AN274" s="4"/>
      <c r="AO274" s="4"/>
      <c r="AP274" s="1" t="s">
        <v>58</v>
      </c>
      <c r="AQ274" s="1" t="s">
        <v>59</v>
      </c>
    </row>
    <row r="275" customHeight="1" spans="1:43">
      <c r="A275" s="4" t="s">
        <v>43</v>
      </c>
      <c r="B275" s="4">
        <v>190</v>
      </c>
      <c r="C275" s="4" t="s">
        <v>44</v>
      </c>
      <c r="D275" s="4" t="s">
        <v>45</v>
      </c>
      <c r="E275" s="4"/>
      <c r="F275" s="4"/>
      <c r="G275" s="4"/>
      <c r="H275" s="4"/>
      <c r="I275" s="4"/>
      <c r="J275" s="4"/>
      <c r="K275" s="4"/>
      <c r="L275" s="4"/>
      <c r="M275" s="4"/>
      <c r="N275" s="4">
        <v>1826</v>
      </c>
      <c r="O275" s="4" t="s">
        <v>2104</v>
      </c>
      <c r="P275" s="4" t="s">
        <v>2088</v>
      </c>
      <c r="Q275" s="4" t="s">
        <v>2007</v>
      </c>
      <c r="R275" s="4" t="s">
        <v>2008</v>
      </c>
      <c r="S275" s="4" t="s">
        <v>2009</v>
      </c>
      <c r="T275" s="4" t="s">
        <v>2010</v>
      </c>
      <c r="U275" s="4" t="s">
        <v>2105</v>
      </c>
      <c r="V275" s="4"/>
      <c r="W275" s="4" t="s">
        <v>53</v>
      </c>
      <c r="X275" s="4" t="s">
        <v>54</v>
      </c>
      <c r="Y275" s="4" t="s">
        <v>2090</v>
      </c>
      <c r="Z275" s="4" t="s">
        <v>2091</v>
      </c>
      <c r="AA275" s="4" t="s">
        <v>68</v>
      </c>
      <c r="AB275" s="4"/>
      <c r="AC275" s="4" t="s">
        <v>2092</v>
      </c>
      <c r="AD275" s="4" t="s">
        <v>2015</v>
      </c>
      <c r="AE275" s="4" t="s">
        <v>2105</v>
      </c>
      <c r="AF275" s="13" t="s">
        <v>2106</v>
      </c>
      <c r="AG275" s="4"/>
      <c r="AH275" s="4" t="s">
        <v>2107</v>
      </c>
      <c r="AI275" s="4">
        <v>1</v>
      </c>
      <c r="AJ275" s="4" t="s">
        <v>2108</v>
      </c>
      <c r="AK275" s="4"/>
      <c r="AL275" s="4" t="str">
        <f>VLOOKUP(N275,[1]Sheet1!$N:$AL,25,0)</f>
        <v>42143609  Patient restraint boards</v>
      </c>
      <c r="AM275" s="4"/>
      <c r="AN275" s="4"/>
      <c r="AO275" s="4"/>
      <c r="AP275" s="1" t="s">
        <v>58</v>
      </c>
      <c r="AQ275" s="1" t="s">
        <v>59</v>
      </c>
    </row>
    <row r="276" customHeight="1" spans="1:43">
      <c r="A276" s="4" t="s">
        <v>43</v>
      </c>
      <c r="B276" s="4">
        <v>190</v>
      </c>
      <c r="C276" s="4" t="s">
        <v>44</v>
      </c>
      <c r="D276" s="4" t="s">
        <v>45</v>
      </c>
      <c r="E276" s="4"/>
      <c r="F276" s="4"/>
      <c r="G276" s="4"/>
      <c r="H276" s="4"/>
      <c r="I276" s="4"/>
      <c r="J276" s="4"/>
      <c r="K276" s="4"/>
      <c r="L276" s="4"/>
      <c r="M276" s="4"/>
      <c r="N276" s="4">
        <v>1827</v>
      </c>
      <c r="O276" s="4" t="s">
        <v>2109</v>
      </c>
      <c r="P276" s="4" t="s">
        <v>2088</v>
      </c>
      <c r="Q276" s="4" t="s">
        <v>2007</v>
      </c>
      <c r="R276" s="4" t="s">
        <v>2008</v>
      </c>
      <c r="S276" s="4" t="s">
        <v>2009</v>
      </c>
      <c r="T276" s="4" t="s">
        <v>2010</v>
      </c>
      <c r="U276" s="4" t="s">
        <v>2110</v>
      </c>
      <c r="V276" s="4"/>
      <c r="W276" s="4" t="s">
        <v>53</v>
      </c>
      <c r="X276" s="4" t="s">
        <v>54</v>
      </c>
      <c r="Y276" s="4" t="s">
        <v>2090</v>
      </c>
      <c r="Z276" s="4" t="s">
        <v>2091</v>
      </c>
      <c r="AA276" s="4" t="s">
        <v>68</v>
      </c>
      <c r="AB276" s="4"/>
      <c r="AC276" s="4" t="s">
        <v>2092</v>
      </c>
      <c r="AD276" s="4" t="s">
        <v>2015</v>
      </c>
      <c r="AE276" s="4" t="s">
        <v>2110</v>
      </c>
      <c r="AF276" s="13" t="s">
        <v>2111</v>
      </c>
      <c r="AG276" s="4"/>
      <c r="AH276" s="4" t="s">
        <v>2112</v>
      </c>
      <c r="AI276" s="4">
        <v>2</v>
      </c>
      <c r="AJ276" s="4" t="s">
        <v>2113</v>
      </c>
      <c r="AK276" s="4"/>
      <c r="AL276" s="4" t="str">
        <f>VLOOKUP(N276,[1]Sheet1!$N:$AL,25,0)</f>
        <v>42143609  Patient restraint boards</v>
      </c>
      <c r="AM276" s="4"/>
      <c r="AN276" s="4"/>
      <c r="AO276" s="4"/>
      <c r="AP276" s="1" t="s">
        <v>58</v>
      </c>
      <c r="AQ276" s="1" t="s">
        <v>59</v>
      </c>
    </row>
    <row r="277" customHeight="1" spans="1:43">
      <c r="A277" s="4" t="s">
        <v>43</v>
      </c>
      <c r="B277" s="4">
        <v>190</v>
      </c>
      <c r="C277" s="4" t="s">
        <v>44</v>
      </c>
      <c r="D277" s="4" t="s">
        <v>45</v>
      </c>
      <c r="E277" s="4"/>
      <c r="F277" s="4"/>
      <c r="G277" s="4"/>
      <c r="H277" s="4"/>
      <c r="I277" s="4"/>
      <c r="J277" s="4"/>
      <c r="K277" s="4"/>
      <c r="L277" s="4"/>
      <c r="M277" s="4"/>
      <c r="N277" s="4">
        <v>1828</v>
      </c>
      <c r="O277" s="4" t="s">
        <v>2114</v>
      </c>
      <c r="P277" s="4" t="s">
        <v>2088</v>
      </c>
      <c r="Q277" s="4" t="s">
        <v>2007</v>
      </c>
      <c r="R277" s="4" t="s">
        <v>2008</v>
      </c>
      <c r="S277" s="4" t="s">
        <v>2009</v>
      </c>
      <c r="T277" s="4" t="s">
        <v>2010</v>
      </c>
      <c r="U277" s="4" t="s">
        <v>2115</v>
      </c>
      <c r="V277" s="4"/>
      <c r="W277" s="4" t="s">
        <v>53</v>
      </c>
      <c r="X277" s="4" t="s">
        <v>54</v>
      </c>
      <c r="Y277" s="4" t="s">
        <v>2090</v>
      </c>
      <c r="Z277" s="4" t="s">
        <v>2091</v>
      </c>
      <c r="AA277" s="4" t="s">
        <v>68</v>
      </c>
      <c r="AB277" s="4"/>
      <c r="AC277" s="4" t="s">
        <v>2092</v>
      </c>
      <c r="AD277" s="4" t="s">
        <v>2015</v>
      </c>
      <c r="AE277" s="4" t="s">
        <v>2115</v>
      </c>
      <c r="AF277" s="13" t="s">
        <v>2116</v>
      </c>
      <c r="AG277" s="4"/>
      <c r="AH277" s="4" t="s">
        <v>2054</v>
      </c>
      <c r="AI277" s="4">
        <v>5</v>
      </c>
      <c r="AJ277" s="4" t="s">
        <v>2117</v>
      </c>
      <c r="AK277" s="4"/>
      <c r="AL277" s="4" t="str">
        <f>VLOOKUP(N277,[1]Sheet1!$N:$AL,25,0)</f>
        <v>42143609  Patient restraint boards</v>
      </c>
      <c r="AM277" s="4"/>
      <c r="AN277" s="4"/>
      <c r="AO277" s="4"/>
      <c r="AP277" s="1" t="s">
        <v>58</v>
      </c>
      <c r="AQ277" s="1" t="s">
        <v>59</v>
      </c>
    </row>
    <row r="278" customHeight="1" spans="1:43">
      <c r="A278" s="4" t="s">
        <v>43</v>
      </c>
      <c r="B278" s="4">
        <v>190</v>
      </c>
      <c r="C278" s="4" t="s">
        <v>44</v>
      </c>
      <c r="D278" s="4" t="s">
        <v>45</v>
      </c>
      <c r="E278" s="4"/>
      <c r="F278" s="4"/>
      <c r="G278" s="4"/>
      <c r="H278" s="4"/>
      <c r="I278" s="4"/>
      <c r="J278" s="4"/>
      <c r="K278" s="4"/>
      <c r="L278" s="4"/>
      <c r="M278" s="4"/>
      <c r="N278" s="4">
        <v>1829</v>
      </c>
      <c r="O278" s="4" t="s">
        <v>2118</v>
      </c>
      <c r="P278" s="4" t="s">
        <v>2088</v>
      </c>
      <c r="Q278" s="4" t="s">
        <v>2007</v>
      </c>
      <c r="R278" s="4" t="s">
        <v>2008</v>
      </c>
      <c r="S278" s="4" t="s">
        <v>2009</v>
      </c>
      <c r="T278" s="4" t="s">
        <v>2010</v>
      </c>
      <c r="U278" s="4" t="s">
        <v>2119</v>
      </c>
      <c r="V278" s="4"/>
      <c r="W278" s="4" t="s">
        <v>53</v>
      </c>
      <c r="X278" s="4" t="s">
        <v>54</v>
      </c>
      <c r="Y278" s="4" t="s">
        <v>2090</v>
      </c>
      <c r="Z278" s="4" t="s">
        <v>2091</v>
      </c>
      <c r="AA278" s="4" t="s">
        <v>68</v>
      </c>
      <c r="AB278" s="4"/>
      <c r="AC278" s="4" t="s">
        <v>2092</v>
      </c>
      <c r="AD278" s="4" t="s">
        <v>2015</v>
      </c>
      <c r="AE278" s="4" t="s">
        <v>2119</v>
      </c>
      <c r="AF278" s="13" t="s">
        <v>2120</v>
      </c>
      <c r="AG278" s="4"/>
      <c r="AH278" s="4" t="s">
        <v>2054</v>
      </c>
      <c r="AI278" s="4">
        <v>5</v>
      </c>
      <c r="AJ278" s="4" t="s">
        <v>2121</v>
      </c>
      <c r="AK278" s="4"/>
      <c r="AL278" s="4" t="str">
        <f>VLOOKUP(N278,[1]Sheet1!$N:$AL,25,0)</f>
        <v>42143609  Patient restraint boards</v>
      </c>
      <c r="AM278" s="4"/>
      <c r="AN278" s="4"/>
      <c r="AO278" s="4"/>
      <c r="AP278" s="1" t="s">
        <v>58</v>
      </c>
      <c r="AQ278" s="1" t="s">
        <v>59</v>
      </c>
    </row>
    <row r="279" customHeight="1" spans="1:43">
      <c r="A279" s="4" t="s">
        <v>43</v>
      </c>
      <c r="B279" s="4">
        <v>190</v>
      </c>
      <c r="C279" s="4" t="s">
        <v>44</v>
      </c>
      <c r="D279" s="4" t="s">
        <v>45</v>
      </c>
      <c r="E279" s="4"/>
      <c r="F279" s="4"/>
      <c r="G279" s="4"/>
      <c r="H279" s="4"/>
      <c r="I279" s="4"/>
      <c r="J279" s="4"/>
      <c r="K279" s="4"/>
      <c r="L279" s="4"/>
      <c r="M279" s="4"/>
      <c r="N279" s="4">
        <v>1830</v>
      </c>
      <c r="O279" s="4" t="s">
        <v>2122</v>
      </c>
      <c r="P279" s="4" t="s">
        <v>2088</v>
      </c>
      <c r="Q279" s="4" t="s">
        <v>2007</v>
      </c>
      <c r="R279" s="4" t="s">
        <v>2008</v>
      </c>
      <c r="S279" s="4" t="s">
        <v>2009</v>
      </c>
      <c r="T279" s="4" t="s">
        <v>2010</v>
      </c>
      <c r="U279" s="4" t="s">
        <v>2123</v>
      </c>
      <c r="V279" s="4"/>
      <c r="W279" s="4" t="s">
        <v>53</v>
      </c>
      <c r="X279" s="4" t="s">
        <v>190</v>
      </c>
      <c r="Y279" s="4" t="s">
        <v>2090</v>
      </c>
      <c r="Z279" s="4" t="s">
        <v>2091</v>
      </c>
      <c r="AA279" s="4" t="s">
        <v>68</v>
      </c>
      <c r="AB279" s="4"/>
      <c r="AC279" s="4" t="s">
        <v>2092</v>
      </c>
      <c r="AD279" s="4" t="s">
        <v>2015</v>
      </c>
      <c r="AE279" s="4" t="s">
        <v>2123</v>
      </c>
      <c r="AF279" s="13" t="s">
        <v>2124</v>
      </c>
      <c r="AG279" s="4"/>
      <c r="AH279" s="4" t="s">
        <v>2054</v>
      </c>
      <c r="AI279" s="4">
        <v>5</v>
      </c>
      <c r="AJ279" s="4" t="s">
        <v>2125</v>
      </c>
      <c r="AK279" s="4"/>
      <c r="AL279" s="4" t="str">
        <f>VLOOKUP(N279,[1]Sheet1!$N:$AL,25,0)</f>
        <v>42143609  Patient restraint boards</v>
      </c>
      <c r="AM279" s="4"/>
      <c r="AN279" s="4"/>
      <c r="AO279" s="4"/>
      <c r="AP279" s="1" t="s">
        <v>58</v>
      </c>
      <c r="AQ279" s="1" t="s">
        <v>59</v>
      </c>
    </row>
    <row r="280" customHeight="1" spans="1:43">
      <c r="A280" s="4" t="s">
        <v>43</v>
      </c>
      <c r="B280" s="4">
        <v>190</v>
      </c>
      <c r="C280" s="4" t="s">
        <v>44</v>
      </c>
      <c r="D280" s="4" t="s">
        <v>45</v>
      </c>
      <c r="E280" s="4"/>
      <c r="F280" s="4"/>
      <c r="G280" s="4"/>
      <c r="H280" s="4"/>
      <c r="I280" s="4"/>
      <c r="J280" s="4"/>
      <c r="K280" s="4"/>
      <c r="L280" s="4"/>
      <c r="M280" s="4"/>
      <c r="N280" s="4">
        <v>1831</v>
      </c>
      <c r="O280" s="4" t="s">
        <v>2126</v>
      </c>
      <c r="P280" s="4" t="s">
        <v>2088</v>
      </c>
      <c r="Q280" s="4" t="s">
        <v>2007</v>
      </c>
      <c r="R280" s="4" t="s">
        <v>2008</v>
      </c>
      <c r="S280" s="4" t="s">
        <v>2009</v>
      </c>
      <c r="T280" s="4" t="s">
        <v>2010</v>
      </c>
      <c r="U280" s="4" t="s">
        <v>2127</v>
      </c>
      <c r="V280" s="4"/>
      <c r="W280" s="4" t="s">
        <v>53</v>
      </c>
      <c r="X280" s="4" t="s">
        <v>54</v>
      </c>
      <c r="Y280" s="4" t="s">
        <v>2090</v>
      </c>
      <c r="Z280" s="4" t="s">
        <v>2091</v>
      </c>
      <c r="AA280" s="4" t="s">
        <v>68</v>
      </c>
      <c r="AB280" s="4"/>
      <c r="AC280" s="4" t="s">
        <v>2092</v>
      </c>
      <c r="AD280" s="4" t="s">
        <v>2015</v>
      </c>
      <c r="AE280" s="4" t="s">
        <v>2127</v>
      </c>
      <c r="AF280" s="13" t="s">
        <v>2128</v>
      </c>
      <c r="AG280" s="4"/>
      <c r="AH280" s="4" t="s">
        <v>2129</v>
      </c>
      <c r="AI280" s="4">
        <v>2</v>
      </c>
      <c r="AJ280" s="4" t="s">
        <v>2130</v>
      </c>
      <c r="AK280" s="4"/>
      <c r="AL280" s="4" t="str">
        <f>VLOOKUP(N280,[1]Sheet1!$N:$AL,25,0)</f>
        <v>42143609  Patient restraint boards</v>
      </c>
      <c r="AM280" s="4"/>
      <c r="AN280" s="4"/>
      <c r="AO280" s="4"/>
      <c r="AP280" s="1" t="s">
        <v>58</v>
      </c>
      <c r="AQ280" s="1" t="s">
        <v>59</v>
      </c>
    </row>
    <row r="281" customHeight="1" spans="1:43">
      <c r="A281" s="4" t="s">
        <v>43</v>
      </c>
      <c r="B281" s="4">
        <v>190</v>
      </c>
      <c r="C281" s="4" t="s">
        <v>44</v>
      </c>
      <c r="D281" s="4" t="s">
        <v>45</v>
      </c>
      <c r="E281" s="4"/>
      <c r="F281" s="4"/>
      <c r="G281" s="4"/>
      <c r="H281" s="4"/>
      <c r="I281" s="4"/>
      <c r="J281" s="4"/>
      <c r="K281" s="4"/>
      <c r="L281" s="4"/>
      <c r="M281" s="4"/>
      <c r="N281" s="4">
        <v>1832</v>
      </c>
      <c r="O281" s="4" t="s">
        <v>2131</v>
      </c>
      <c r="P281" s="4" t="s">
        <v>2006</v>
      </c>
      <c r="Q281" s="4" t="s">
        <v>2007</v>
      </c>
      <c r="R281" s="4" t="s">
        <v>2008</v>
      </c>
      <c r="S281" s="4" t="s">
        <v>2009</v>
      </c>
      <c r="T281" s="4" t="s">
        <v>2010</v>
      </c>
      <c r="U281" s="4" t="s">
        <v>2132</v>
      </c>
      <c r="V281" s="4"/>
      <c r="W281" s="4" t="s">
        <v>53</v>
      </c>
      <c r="X281" s="4" t="s">
        <v>54</v>
      </c>
      <c r="Y281" s="4" t="s">
        <v>2050</v>
      </c>
      <c r="Z281" s="4" t="s">
        <v>2051</v>
      </c>
      <c r="AA281" s="4" t="s">
        <v>68</v>
      </c>
      <c r="AB281" s="4"/>
      <c r="AC281" s="4" t="s">
        <v>2052</v>
      </c>
      <c r="AD281" s="4" t="s">
        <v>2015</v>
      </c>
      <c r="AE281" s="4" t="s">
        <v>2132</v>
      </c>
      <c r="AF281" s="13" t="s">
        <v>2133</v>
      </c>
      <c r="AG281" s="4"/>
      <c r="AH281" s="4" t="s">
        <v>2134</v>
      </c>
      <c r="AI281" s="4">
        <v>1</v>
      </c>
      <c r="AJ281" s="4" t="s">
        <v>2135</v>
      </c>
      <c r="AK281" s="4"/>
      <c r="AL281" s="4" t="str">
        <f>VLOOKUP(N281,[1]Sheet1!$N:$AL,25,0)</f>
        <v>42171900  Medical equipment bags and cases and carriers and related products</v>
      </c>
      <c r="AM281" s="4"/>
      <c r="AN281" s="4"/>
      <c r="AO281" s="4"/>
      <c r="AP281" s="1" t="s">
        <v>58</v>
      </c>
      <c r="AQ281" s="1" t="s">
        <v>59</v>
      </c>
    </row>
    <row r="282" customHeight="1" spans="1:43">
      <c r="A282" s="4" t="s">
        <v>43</v>
      </c>
      <c r="B282" s="4">
        <v>190</v>
      </c>
      <c r="C282" s="4" t="s">
        <v>44</v>
      </c>
      <c r="D282" s="4" t="s">
        <v>45</v>
      </c>
      <c r="E282" s="4"/>
      <c r="F282" s="4"/>
      <c r="G282" s="4"/>
      <c r="H282" s="4"/>
      <c r="I282" s="4"/>
      <c r="J282" s="4"/>
      <c r="K282" s="4"/>
      <c r="L282" s="4"/>
      <c r="M282" s="4"/>
      <c r="N282" s="4">
        <v>1833</v>
      </c>
      <c r="O282" s="4" t="s">
        <v>2136</v>
      </c>
      <c r="P282" s="4" t="s">
        <v>2006</v>
      </c>
      <c r="Q282" s="4" t="s">
        <v>2007</v>
      </c>
      <c r="R282" s="4" t="s">
        <v>2008</v>
      </c>
      <c r="S282" s="4" t="s">
        <v>2009</v>
      </c>
      <c r="T282" s="4" t="s">
        <v>2010</v>
      </c>
      <c r="U282" s="4" t="s">
        <v>2137</v>
      </c>
      <c r="V282" s="4"/>
      <c r="W282" s="4" t="s">
        <v>53</v>
      </c>
      <c r="X282" s="4" t="s">
        <v>54</v>
      </c>
      <c r="Y282" s="4" t="s">
        <v>2037</v>
      </c>
      <c r="Z282" s="4" t="s">
        <v>2038</v>
      </c>
      <c r="AA282" s="4" t="s">
        <v>68</v>
      </c>
      <c r="AB282" s="4"/>
      <c r="AC282" s="4" t="s">
        <v>2039</v>
      </c>
      <c r="AD282" s="4" t="s">
        <v>2015</v>
      </c>
      <c r="AE282" s="4" t="s">
        <v>2137</v>
      </c>
      <c r="AF282" s="13" t="s">
        <v>2138</v>
      </c>
      <c r="AG282" s="4"/>
      <c r="AH282" s="4" t="s">
        <v>226</v>
      </c>
      <c r="AI282" s="4">
        <v>46</v>
      </c>
      <c r="AJ282" s="4" t="s">
        <v>2139</v>
      </c>
      <c r="AK282" s="4"/>
      <c r="AL282" s="4" t="str">
        <f>VLOOKUP(N282,[1]Sheet1!$N:$AL,25,0)</f>
        <v>42192425  Long distance response LDR trauma cases or bags</v>
      </c>
      <c r="AM282" s="4"/>
      <c r="AN282" s="4"/>
      <c r="AO282" s="4"/>
      <c r="AP282" s="1" t="s">
        <v>58</v>
      </c>
      <c r="AQ282" s="1" t="s">
        <v>59</v>
      </c>
    </row>
    <row r="283" customHeight="1" spans="1:43">
      <c r="A283" s="4" t="s">
        <v>43</v>
      </c>
      <c r="B283" s="4">
        <v>190</v>
      </c>
      <c r="C283" s="4" t="s">
        <v>44</v>
      </c>
      <c r="D283" s="4" t="s">
        <v>45</v>
      </c>
      <c r="E283" s="4"/>
      <c r="F283" s="4"/>
      <c r="G283" s="4"/>
      <c r="H283" s="4"/>
      <c r="I283" s="4"/>
      <c r="J283" s="4"/>
      <c r="K283" s="4"/>
      <c r="L283" s="4"/>
      <c r="M283" s="4"/>
      <c r="N283" s="4">
        <v>1834</v>
      </c>
      <c r="O283" s="4" t="s">
        <v>2140</v>
      </c>
      <c r="P283" s="4" t="s">
        <v>2006</v>
      </c>
      <c r="Q283" s="4" t="s">
        <v>2007</v>
      </c>
      <c r="R283" s="4" t="s">
        <v>2008</v>
      </c>
      <c r="S283" s="4" t="s">
        <v>2009</v>
      </c>
      <c r="T283" s="4" t="s">
        <v>2010</v>
      </c>
      <c r="U283" s="4" t="s">
        <v>2141</v>
      </c>
      <c r="V283" s="4"/>
      <c r="W283" s="4" t="s">
        <v>53</v>
      </c>
      <c r="X283" s="4" t="s">
        <v>54</v>
      </c>
      <c r="Y283" s="4" t="s">
        <v>2031</v>
      </c>
      <c r="Z283" s="4" t="s">
        <v>2032</v>
      </c>
      <c r="AA283" s="4" t="s">
        <v>68</v>
      </c>
      <c r="AB283" s="4"/>
      <c r="AC283" s="4" t="s">
        <v>2033</v>
      </c>
      <c r="AD283" s="4" t="s">
        <v>2015</v>
      </c>
      <c r="AE283" s="4" t="s">
        <v>2141</v>
      </c>
      <c r="AF283" s="13" t="s">
        <v>2142</v>
      </c>
      <c r="AG283" s="4"/>
      <c r="AH283" s="4" t="s">
        <v>2143</v>
      </c>
      <c r="AI283" s="4">
        <v>12</v>
      </c>
      <c r="AJ283" s="4" t="s">
        <v>2144</v>
      </c>
      <c r="AK283" s="4"/>
      <c r="AL283" s="4" t="str">
        <f>VLOOKUP(N283,[1]Sheet1!$N:$AL,25,0)</f>
        <v>42143611  Patient stabilization or fall prevention device accessories</v>
      </c>
      <c r="AM283" s="4"/>
      <c r="AN283" s="4"/>
      <c r="AO283" s="4"/>
      <c r="AP283" s="1" t="s">
        <v>58</v>
      </c>
      <c r="AQ283" s="1" t="s">
        <v>59</v>
      </c>
    </row>
    <row r="284" customHeight="1" spans="1:43">
      <c r="A284" s="4" t="s">
        <v>43</v>
      </c>
      <c r="B284" s="4">
        <v>190</v>
      </c>
      <c r="C284" s="4" t="s">
        <v>44</v>
      </c>
      <c r="D284" s="4" t="s">
        <v>45</v>
      </c>
      <c r="E284" s="4"/>
      <c r="F284" s="4"/>
      <c r="G284" s="4"/>
      <c r="H284" s="4"/>
      <c r="I284" s="4"/>
      <c r="J284" s="4"/>
      <c r="K284" s="4"/>
      <c r="L284" s="4"/>
      <c r="M284" s="4"/>
      <c r="N284" s="4">
        <v>1835</v>
      </c>
      <c r="O284" s="4" t="s">
        <v>2145</v>
      </c>
      <c r="P284" s="4" t="s">
        <v>546</v>
      </c>
      <c r="Q284" s="4" t="s">
        <v>2007</v>
      </c>
      <c r="R284" s="4" t="s">
        <v>2008</v>
      </c>
      <c r="S284" s="4" t="s">
        <v>2009</v>
      </c>
      <c r="T284" s="4" t="s">
        <v>2010</v>
      </c>
      <c r="U284" s="4" t="s">
        <v>2146</v>
      </c>
      <c r="V284" s="4"/>
      <c r="W284" s="4" t="s">
        <v>53</v>
      </c>
      <c r="X284" s="4" t="s">
        <v>190</v>
      </c>
      <c r="Y284" s="4" t="s">
        <v>2147</v>
      </c>
      <c r="Z284" s="4" t="s">
        <v>2148</v>
      </c>
      <c r="AA284" s="4" t="s">
        <v>68</v>
      </c>
      <c r="AB284" s="4"/>
      <c r="AC284" s="4" t="s">
        <v>2149</v>
      </c>
      <c r="AD284" s="4" t="s">
        <v>2015</v>
      </c>
      <c r="AE284" s="4" t="s">
        <v>2146</v>
      </c>
      <c r="AF284" s="13" t="s">
        <v>2150</v>
      </c>
      <c r="AG284" s="4"/>
      <c r="AH284" s="4" t="s">
        <v>2151</v>
      </c>
      <c r="AI284" s="4">
        <v>1</v>
      </c>
      <c r="AJ284" s="4" t="s">
        <v>2152</v>
      </c>
      <c r="AK284" s="4"/>
      <c r="AL284" s="4" t="str">
        <f>VLOOKUP(N284,[1]Sheet1!$N:$AL,25,0)</f>
        <v>42191910  Medical equipment maintenance and repair tool kit chests</v>
      </c>
      <c r="AM284" s="4"/>
      <c r="AN284" s="4"/>
      <c r="AO284" s="4"/>
      <c r="AP284" s="1" t="s">
        <v>58</v>
      </c>
      <c r="AQ284" s="1" t="s">
        <v>59</v>
      </c>
    </row>
    <row r="285" customHeight="1" spans="1:43">
      <c r="A285" s="4" t="s">
        <v>43</v>
      </c>
      <c r="B285" s="4">
        <v>190</v>
      </c>
      <c r="C285" s="4" t="s">
        <v>44</v>
      </c>
      <c r="D285" s="4" t="s">
        <v>45</v>
      </c>
      <c r="E285" s="4"/>
      <c r="F285" s="4"/>
      <c r="G285" s="4"/>
      <c r="H285" s="4"/>
      <c r="I285" s="4"/>
      <c r="J285" s="4"/>
      <c r="K285" s="4"/>
      <c r="L285" s="4"/>
      <c r="M285" s="4"/>
      <c r="N285" s="4">
        <v>1836</v>
      </c>
      <c r="O285" s="4" t="s">
        <v>2153</v>
      </c>
      <c r="P285" s="4" t="s">
        <v>2006</v>
      </c>
      <c r="Q285" s="4" t="s">
        <v>2007</v>
      </c>
      <c r="R285" s="4" t="s">
        <v>2008</v>
      </c>
      <c r="S285" s="4" t="s">
        <v>2009</v>
      </c>
      <c r="T285" s="4" t="s">
        <v>2010</v>
      </c>
      <c r="U285" s="4" t="s">
        <v>2154</v>
      </c>
      <c r="V285" s="4"/>
      <c r="W285" s="4" t="s">
        <v>53</v>
      </c>
      <c r="X285" s="4" t="s">
        <v>54</v>
      </c>
      <c r="Y285" s="4" t="s">
        <v>2037</v>
      </c>
      <c r="Z285" s="4" t="s">
        <v>2038</v>
      </c>
      <c r="AA285" s="4" t="s">
        <v>68</v>
      </c>
      <c r="AB285" s="4"/>
      <c r="AC285" s="4" t="s">
        <v>2039</v>
      </c>
      <c r="AD285" s="4" t="s">
        <v>2015</v>
      </c>
      <c r="AE285" s="4" t="s">
        <v>2154</v>
      </c>
      <c r="AF285" s="13" t="s">
        <v>2155</v>
      </c>
      <c r="AG285" s="4"/>
      <c r="AH285" s="4" t="s">
        <v>226</v>
      </c>
      <c r="AI285" s="4">
        <v>46</v>
      </c>
      <c r="AJ285" s="4" t="s">
        <v>2156</v>
      </c>
      <c r="AK285" s="4"/>
      <c r="AL285" s="4" t="str">
        <f>VLOOKUP(N285,[1]Sheet1!$N:$AL,25,0)</f>
        <v>42192425  Long distance response LDR trauma cases or bags</v>
      </c>
      <c r="AM285" s="4"/>
      <c r="AN285" s="4"/>
      <c r="AO285" s="4"/>
      <c r="AP285" s="1" t="s">
        <v>58</v>
      </c>
      <c r="AQ285" s="1" t="s">
        <v>59</v>
      </c>
    </row>
    <row r="286" customHeight="1" spans="1:43">
      <c r="A286" s="4" t="s">
        <v>43</v>
      </c>
      <c r="B286" s="4">
        <v>190</v>
      </c>
      <c r="C286" s="4" t="s">
        <v>44</v>
      </c>
      <c r="D286" s="4" t="s">
        <v>45</v>
      </c>
      <c r="E286" s="4"/>
      <c r="F286" s="4"/>
      <c r="G286" s="4"/>
      <c r="H286" s="4"/>
      <c r="I286" s="4"/>
      <c r="J286" s="4"/>
      <c r="K286" s="4"/>
      <c r="L286" s="4"/>
      <c r="M286" s="4"/>
      <c r="N286" s="4">
        <v>1837</v>
      </c>
      <c r="O286" s="4" t="s">
        <v>2157</v>
      </c>
      <c r="P286" s="4" t="s">
        <v>2006</v>
      </c>
      <c r="Q286" s="4" t="s">
        <v>2007</v>
      </c>
      <c r="R286" s="4" t="s">
        <v>2008</v>
      </c>
      <c r="S286" s="4" t="s">
        <v>2009</v>
      </c>
      <c r="T286" s="4" t="s">
        <v>2010</v>
      </c>
      <c r="U286" s="4" t="s">
        <v>2158</v>
      </c>
      <c r="V286" s="4"/>
      <c r="W286" s="4" t="s">
        <v>53</v>
      </c>
      <c r="X286" s="4" t="s">
        <v>54</v>
      </c>
      <c r="Y286" s="4" t="s">
        <v>2037</v>
      </c>
      <c r="Z286" s="4" t="s">
        <v>2038</v>
      </c>
      <c r="AA286" s="4" t="s">
        <v>68</v>
      </c>
      <c r="AB286" s="4"/>
      <c r="AC286" s="4" t="s">
        <v>2039</v>
      </c>
      <c r="AD286" s="4" t="s">
        <v>2015</v>
      </c>
      <c r="AE286" s="4" t="s">
        <v>2158</v>
      </c>
      <c r="AF286" s="13" t="s">
        <v>2159</v>
      </c>
      <c r="AG286" s="4"/>
      <c r="AH286" s="4" t="s">
        <v>226</v>
      </c>
      <c r="AI286" s="4">
        <v>46</v>
      </c>
      <c r="AJ286" s="4" t="s">
        <v>2156</v>
      </c>
      <c r="AK286" s="4"/>
      <c r="AL286" s="4" t="str">
        <f>VLOOKUP(N286,[1]Sheet1!$N:$AL,25,0)</f>
        <v>42192425  Long distance response LDR trauma cases or bags</v>
      </c>
      <c r="AM286" s="4"/>
      <c r="AN286" s="4"/>
      <c r="AO286" s="4"/>
      <c r="AP286" s="1" t="s">
        <v>58</v>
      </c>
      <c r="AQ286" s="1" t="s">
        <v>59</v>
      </c>
    </row>
    <row r="287" customHeight="1" spans="1:43">
      <c r="A287" s="4" t="s">
        <v>43</v>
      </c>
      <c r="B287" s="4">
        <v>190</v>
      </c>
      <c r="C287" s="4" t="s">
        <v>44</v>
      </c>
      <c r="D287" s="4" t="s">
        <v>45</v>
      </c>
      <c r="E287" s="4"/>
      <c r="F287" s="4"/>
      <c r="G287" s="4"/>
      <c r="H287" s="4"/>
      <c r="I287" s="4"/>
      <c r="J287" s="4"/>
      <c r="K287" s="4"/>
      <c r="L287" s="4"/>
      <c r="M287" s="4"/>
      <c r="N287" s="4">
        <v>1838</v>
      </c>
      <c r="O287" s="4" t="s">
        <v>2160</v>
      </c>
      <c r="P287" s="4" t="s">
        <v>2006</v>
      </c>
      <c r="Q287" s="4" t="s">
        <v>2007</v>
      </c>
      <c r="R287" s="4" t="s">
        <v>2008</v>
      </c>
      <c r="S287" s="4" t="s">
        <v>2009</v>
      </c>
      <c r="T287" s="4" t="s">
        <v>2010</v>
      </c>
      <c r="U287" s="4" t="s">
        <v>2161</v>
      </c>
      <c r="V287" s="4"/>
      <c r="W287" s="4" t="s">
        <v>53</v>
      </c>
      <c r="X287" s="4" t="s">
        <v>54</v>
      </c>
      <c r="Y287" s="4" t="s">
        <v>2037</v>
      </c>
      <c r="Z287" s="4" t="s">
        <v>2038</v>
      </c>
      <c r="AA287" s="4" t="s">
        <v>68</v>
      </c>
      <c r="AB287" s="4"/>
      <c r="AC287" s="4" t="s">
        <v>2039</v>
      </c>
      <c r="AD287" s="4" t="s">
        <v>2015</v>
      </c>
      <c r="AE287" s="4" t="s">
        <v>2161</v>
      </c>
      <c r="AF287" s="13" t="s">
        <v>2162</v>
      </c>
      <c r="AG287" s="4"/>
      <c r="AH287" s="4" t="s">
        <v>226</v>
      </c>
      <c r="AI287" s="4">
        <v>46</v>
      </c>
      <c r="AJ287" s="4" t="s">
        <v>2156</v>
      </c>
      <c r="AK287" s="4"/>
      <c r="AL287" s="4" t="str">
        <f>VLOOKUP(N287,[1]Sheet1!$N:$AL,25,0)</f>
        <v>42192425  Long distance response LDR trauma cases or bags</v>
      </c>
      <c r="AM287" s="4"/>
      <c r="AN287" s="4"/>
      <c r="AO287" s="4"/>
      <c r="AP287" s="1" t="s">
        <v>58</v>
      </c>
      <c r="AQ287" s="1" t="s">
        <v>59</v>
      </c>
    </row>
    <row r="288" customHeight="1" spans="1:43">
      <c r="A288" s="4" t="s">
        <v>43</v>
      </c>
      <c r="B288" s="4">
        <v>190</v>
      </c>
      <c r="C288" s="4" t="s">
        <v>44</v>
      </c>
      <c r="D288" s="4" t="s">
        <v>45</v>
      </c>
      <c r="E288" s="4"/>
      <c r="F288" s="4"/>
      <c r="G288" s="4"/>
      <c r="H288" s="4"/>
      <c r="I288" s="4"/>
      <c r="J288" s="4"/>
      <c r="K288" s="4"/>
      <c r="L288" s="4"/>
      <c r="M288" s="4"/>
      <c r="N288" s="4">
        <v>1839</v>
      </c>
      <c r="O288" s="4" t="s">
        <v>2163</v>
      </c>
      <c r="P288" s="4" t="s">
        <v>2006</v>
      </c>
      <c r="Q288" s="4" t="s">
        <v>2007</v>
      </c>
      <c r="R288" s="4" t="s">
        <v>2008</v>
      </c>
      <c r="S288" s="4" t="s">
        <v>2009</v>
      </c>
      <c r="T288" s="4" t="s">
        <v>2010</v>
      </c>
      <c r="U288" s="4" t="s">
        <v>2164</v>
      </c>
      <c r="V288" s="4"/>
      <c r="W288" s="4" t="s">
        <v>53</v>
      </c>
      <c r="X288" s="4" t="s">
        <v>54</v>
      </c>
      <c r="Y288" s="4" t="s">
        <v>2037</v>
      </c>
      <c r="Z288" s="4" t="s">
        <v>2038</v>
      </c>
      <c r="AA288" s="4" t="s">
        <v>68</v>
      </c>
      <c r="AB288" s="4"/>
      <c r="AC288" s="4" t="s">
        <v>2039</v>
      </c>
      <c r="AD288" s="4" t="s">
        <v>2015</v>
      </c>
      <c r="AE288" s="4" t="s">
        <v>2164</v>
      </c>
      <c r="AF288" s="13" t="s">
        <v>2165</v>
      </c>
      <c r="AG288" s="4"/>
      <c r="AH288" s="4" t="s">
        <v>226</v>
      </c>
      <c r="AI288" s="4">
        <v>46</v>
      </c>
      <c r="AJ288" s="4" t="s">
        <v>2156</v>
      </c>
      <c r="AK288" s="4"/>
      <c r="AL288" s="4" t="str">
        <f>VLOOKUP(N288,[1]Sheet1!$N:$AL,25,0)</f>
        <v>42192425  Long distance response LDR trauma cases or bags</v>
      </c>
      <c r="AM288" s="4"/>
      <c r="AN288" s="4"/>
      <c r="AO288" s="4"/>
      <c r="AP288" s="1" t="s">
        <v>58</v>
      </c>
      <c r="AQ288" s="1" t="s">
        <v>59</v>
      </c>
    </row>
    <row r="289" customHeight="1" spans="1:43">
      <c r="A289" s="4" t="s">
        <v>43</v>
      </c>
      <c r="B289" s="4">
        <v>190</v>
      </c>
      <c r="C289" s="4" t="s">
        <v>44</v>
      </c>
      <c r="D289" s="4" t="s">
        <v>45</v>
      </c>
      <c r="E289" s="4"/>
      <c r="F289" s="4"/>
      <c r="G289" s="4"/>
      <c r="H289" s="4"/>
      <c r="I289" s="4"/>
      <c r="J289" s="4"/>
      <c r="K289" s="4"/>
      <c r="L289" s="4"/>
      <c r="M289" s="4"/>
      <c r="N289" s="4">
        <v>1841</v>
      </c>
      <c r="O289" s="4" t="s">
        <v>2166</v>
      </c>
      <c r="P289" s="4" t="s">
        <v>2167</v>
      </c>
      <c r="Q289" s="4" t="s">
        <v>2168</v>
      </c>
      <c r="R289" s="4" t="s">
        <v>2169</v>
      </c>
      <c r="S289" s="4" t="s">
        <v>2170</v>
      </c>
      <c r="T289" s="4" t="s">
        <v>2171</v>
      </c>
      <c r="U289" s="4" t="s">
        <v>2172</v>
      </c>
      <c r="V289" s="4"/>
      <c r="W289" s="4" t="s">
        <v>53</v>
      </c>
      <c r="X289" s="4" t="s">
        <v>54</v>
      </c>
      <c r="Y289" s="4" t="s">
        <v>2173</v>
      </c>
      <c r="Z289" s="4" t="s">
        <v>2174</v>
      </c>
      <c r="AA289" s="4" t="s">
        <v>68</v>
      </c>
      <c r="AB289" s="4"/>
      <c r="AC289" s="4" t="s">
        <v>2175</v>
      </c>
      <c r="AD289" s="4" t="s">
        <v>2176</v>
      </c>
      <c r="AE289" s="4" t="s">
        <v>2172</v>
      </c>
      <c r="AF289" s="13" t="s">
        <v>2177</v>
      </c>
      <c r="AG289" s="4"/>
      <c r="AH289" s="4" t="s">
        <v>2178</v>
      </c>
      <c r="AI289" s="4">
        <v>1</v>
      </c>
      <c r="AJ289" s="4" t="s">
        <v>2179</v>
      </c>
      <c r="AK289" s="4"/>
      <c r="AL289" s="4" t="str">
        <f>VLOOKUP(N289,[1]Sheet1!$N:$AL,25,0)</f>
        <v>42241802  Back or lumbar or sacral orthopedic softgoods</v>
      </c>
      <c r="AM289" s="4"/>
      <c r="AN289" s="4"/>
      <c r="AO289" s="4"/>
      <c r="AP289" s="1" t="s">
        <v>58</v>
      </c>
      <c r="AQ289" s="1" t="s">
        <v>59</v>
      </c>
    </row>
    <row r="290" customHeight="1" spans="1:43">
      <c r="A290" s="4" t="s">
        <v>43</v>
      </c>
      <c r="B290" s="4">
        <v>190</v>
      </c>
      <c r="C290" s="4" t="s">
        <v>44</v>
      </c>
      <c r="D290" s="4" t="s">
        <v>45</v>
      </c>
      <c r="E290" s="4"/>
      <c r="F290" s="4"/>
      <c r="G290" s="4"/>
      <c r="H290" s="4"/>
      <c r="I290" s="4"/>
      <c r="J290" s="4"/>
      <c r="K290" s="4"/>
      <c r="L290" s="4"/>
      <c r="M290" s="4"/>
      <c r="N290" s="4">
        <v>1844</v>
      </c>
      <c r="O290" s="4" t="s">
        <v>2180</v>
      </c>
      <c r="P290" s="4" t="s">
        <v>132</v>
      </c>
      <c r="Q290" s="4" t="s">
        <v>2181</v>
      </c>
      <c r="R290" s="4" t="s">
        <v>2182</v>
      </c>
      <c r="S290" s="4" t="s">
        <v>2183</v>
      </c>
      <c r="T290" s="4" t="s">
        <v>2184</v>
      </c>
      <c r="U290" s="4" t="s">
        <v>2185</v>
      </c>
      <c r="V290" s="4"/>
      <c r="W290" s="4" t="s">
        <v>53</v>
      </c>
      <c r="X290" s="4" t="s">
        <v>54</v>
      </c>
      <c r="Y290" s="4" t="s">
        <v>1392</v>
      </c>
      <c r="Z290" s="4" t="s">
        <v>1393</v>
      </c>
      <c r="AA290" s="4" t="s">
        <v>68</v>
      </c>
      <c r="AB290" s="4"/>
      <c r="AC290" s="4" t="s">
        <v>1394</v>
      </c>
      <c r="AD290" s="4" t="s">
        <v>2186</v>
      </c>
      <c r="AE290" s="4" t="s">
        <v>2185</v>
      </c>
      <c r="AF290" s="13" t="s">
        <v>2185</v>
      </c>
      <c r="AG290" s="4"/>
      <c r="AH290" s="4" t="s">
        <v>567</v>
      </c>
      <c r="AI290" s="4">
        <v>39</v>
      </c>
      <c r="AJ290" s="4" t="s">
        <v>2187</v>
      </c>
      <c r="AK290" s="4"/>
      <c r="AL290" s="4" t="str">
        <f>VLOOKUP(N290,[1]Sheet1!$N:$AL,25,0)</f>
        <v>42141705  Patient positioning cushion or pad or pillow</v>
      </c>
      <c r="AM290" s="4"/>
      <c r="AN290" s="4"/>
      <c r="AO290" s="4"/>
      <c r="AP290" s="1" t="s">
        <v>58</v>
      </c>
      <c r="AQ290" s="1" t="s">
        <v>59</v>
      </c>
    </row>
    <row r="291" customHeight="1" spans="1:43">
      <c r="A291" s="4" t="s">
        <v>43</v>
      </c>
      <c r="B291" s="4">
        <v>190</v>
      </c>
      <c r="C291" s="4" t="s">
        <v>44</v>
      </c>
      <c r="D291" s="4" t="s">
        <v>45</v>
      </c>
      <c r="E291" s="4"/>
      <c r="F291" s="4"/>
      <c r="G291" s="4"/>
      <c r="H291" s="4"/>
      <c r="I291" s="4"/>
      <c r="J291" s="4"/>
      <c r="K291" s="4"/>
      <c r="L291" s="4"/>
      <c r="M291" s="4"/>
      <c r="N291" s="4">
        <v>1845</v>
      </c>
      <c r="O291" s="4" t="s">
        <v>2188</v>
      </c>
      <c r="P291" s="4" t="s">
        <v>2189</v>
      </c>
      <c r="Q291" s="4" t="s">
        <v>2181</v>
      </c>
      <c r="R291" s="4" t="s">
        <v>2182</v>
      </c>
      <c r="S291" s="4" t="s">
        <v>2183</v>
      </c>
      <c r="T291" s="4" t="s">
        <v>2184</v>
      </c>
      <c r="U291" s="4" t="s">
        <v>2190</v>
      </c>
      <c r="V291" s="4"/>
      <c r="W291" s="4" t="s">
        <v>53</v>
      </c>
      <c r="X291" s="4" t="s">
        <v>54</v>
      </c>
      <c r="Y291" s="4" t="s">
        <v>2191</v>
      </c>
      <c r="Z291" s="4" t="s">
        <v>2192</v>
      </c>
      <c r="AA291" s="4" t="s">
        <v>68</v>
      </c>
      <c r="AB291" s="4"/>
      <c r="AC291" s="4" t="s">
        <v>2193</v>
      </c>
      <c r="AD291" s="4" t="s">
        <v>2186</v>
      </c>
      <c r="AE291" s="4" t="s">
        <v>2190</v>
      </c>
      <c r="AF291" s="13" t="s">
        <v>2194</v>
      </c>
      <c r="AG291" s="4"/>
      <c r="AH291" s="4" t="s">
        <v>2195</v>
      </c>
      <c r="AI291" s="4">
        <v>1</v>
      </c>
      <c r="AJ291" s="4" t="s">
        <v>2196</v>
      </c>
      <c r="AK291" s="4"/>
      <c r="AL291" s="4" t="str">
        <f>VLOOKUP(N291,[1]Sheet1!$N:$AL,25,0)</f>
        <v>42271705  Oxygen delivery connectors or adapters</v>
      </c>
      <c r="AM291" s="4"/>
      <c r="AN291" s="4"/>
      <c r="AO291" s="4"/>
      <c r="AP291" s="1" t="s">
        <v>58</v>
      </c>
      <c r="AQ291" s="1" t="s">
        <v>59</v>
      </c>
    </row>
    <row r="292" customHeight="1" spans="1:43">
      <c r="A292" s="4" t="s">
        <v>43</v>
      </c>
      <c r="B292" s="4">
        <v>190</v>
      </c>
      <c r="C292" s="4" t="s">
        <v>44</v>
      </c>
      <c r="D292" s="4" t="s">
        <v>45</v>
      </c>
      <c r="E292" s="4"/>
      <c r="F292" s="4"/>
      <c r="G292" s="4"/>
      <c r="H292" s="4"/>
      <c r="I292" s="4"/>
      <c r="J292" s="4"/>
      <c r="K292" s="4"/>
      <c r="L292" s="4"/>
      <c r="M292" s="4"/>
      <c r="N292" s="4">
        <v>1846</v>
      </c>
      <c r="O292" s="4" t="s">
        <v>2197</v>
      </c>
      <c r="P292" s="4" t="s">
        <v>560</v>
      </c>
      <c r="Q292" s="4" t="s">
        <v>2181</v>
      </c>
      <c r="R292" s="4" t="s">
        <v>2182</v>
      </c>
      <c r="S292" s="4" t="s">
        <v>2183</v>
      </c>
      <c r="T292" s="4" t="s">
        <v>2184</v>
      </c>
      <c r="U292" s="4" t="s">
        <v>2198</v>
      </c>
      <c r="V292" s="4"/>
      <c r="W292" s="4" t="s">
        <v>53</v>
      </c>
      <c r="X292" s="4" t="s">
        <v>54</v>
      </c>
      <c r="Y292" s="4" t="s">
        <v>845</v>
      </c>
      <c r="Z292" s="4" t="s">
        <v>846</v>
      </c>
      <c r="AA292" s="4" t="s">
        <v>68</v>
      </c>
      <c r="AB292" s="4"/>
      <c r="AC292" s="4" t="s">
        <v>847</v>
      </c>
      <c r="AD292" s="4" t="s">
        <v>2186</v>
      </c>
      <c r="AE292" s="4" t="s">
        <v>2198</v>
      </c>
      <c r="AF292" s="13" t="s">
        <v>2199</v>
      </c>
      <c r="AG292" s="4"/>
      <c r="AH292" s="4" t="s">
        <v>2200</v>
      </c>
      <c r="AI292" s="4">
        <v>1</v>
      </c>
      <c r="AJ292" s="4" t="s">
        <v>2201</v>
      </c>
      <c r="AK292" s="4"/>
      <c r="AL292" s="4" t="str">
        <f>VLOOKUP(N292,[1]Sheet1!$N:$AL,25,0)</f>
        <v>42192221  Patient stretcher accessories</v>
      </c>
      <c r="AM292" s="4"/>
      <c r="AN292" s="4"/>
      <c r="AO292" s="4"/>
      <c r="AP292" s="1" t="s">
        <v>58</v>
      </c>
      <c r="AQ292" s="1" t="s">
        <v>59</v>
      </c>
    </row>
    <row r="293" customHeight="1" spans="1:43">
      <c r="A293" s="4" t="s">
        <v>43</v>
      </c>
      <c r="B293" s="4">
        <v>190</v>
      </c>
      <c r="C293" s="4" t="s">
        <v>44</v>
      </c>
      <c r="D293" s="4" t="s">
        <v>45</v>
      </c>
      <c r="E293" s="4"/>
      <c r="F293" s="4"/>
      <c r="G293" s="4"/>
      <c r="H293" s="4"/>
      <c r="I293" s="4"/>
      <c r="J293" s="4"/>
      <c r="K293" s="4"/>
      <c r="L293" s="4"/>
      <c r="M293" s="4"/>
      <c r="N293" s="4">
        <v>1849</v>
      </c>
      <c r="O293" s="4" t="s">
        <v>2202</v>
      </c>
      <c r="P293" s="4" t="s">
        <v>560</v>
      </c>
      <c r="Q293" s="4" t="s">
        <v>2181</v>
      </c>
      <c r="R293" s="4" t="s">
        <v>2182</v>
      </c>
      <c r="S293" s="4" t="s">
        <v>2183</v>
      </c>
      <c r="T293" s="4" t="s">
        <v>2184</v>
      </c>
      <c r="U293" s="4" t="s">
        <v>2203</v>
      </c>
      <c r="V293" s="4"/>
      <c r="W293" s="4" t="s">
        <v>53</v>
      </c>
      <c r="X293" s="4" t="s">
        <v>54</v>
      </c>
      <c r="Y293" s="4" t="s">
        <v>845</v>
      </c>
      <c r="Z293" s="4" t="s">
        <v>846</v>
      </c>
      <c r="AA293" s="4" t="s">
        <v>68</v>
      </c>
      <c r="AB293" s="4"/>
      <c r="AC293" s="4" t="s">
        <v>847</v>
      </c>
      <c r="AD293" s="4" t="s">
        <v>2186</v>
      </c>
      <c r="AE293" s="4" t="s">
        <v>2203</v>
      </c>
      <c r="AF293" s="13" t="s">
        <v>2204</v>
      </c>
      <c r="AG293" s="4"/>
      <c r="AH293" s="4" t="s">
        <v>2205</v>
      </c>
      <c r="AI293" s="4">
        <v>5</v>
      </c>
      <c r="AJ293" s="4" t="s">
        <v>2206</v>
      </c>
      <c r="AK293" s="4"/>
      <c r="AL293" s="4" t="str">
        <f>VLOOKUP(N293,[1]Sheet1!$N:$AL,25,0)</f>
        <v>42192221  Patient stretcher accessories</v>
      </c>
      <c r="AM293" s="4"/>
      <c r="AN293" s="4"/>
      <c r="AO293" s="4"/>
      <c r="AP293" s="1" t="s">
        <v>58</v>
      </c>
      <c r="AQ293" s="1" t="s">
        <v>59</v>
      </c>
    </row>
    <row r="294" customHeight="1" spans="1:43">
      <c r="A294" s="4" t="s">
        <v>43</v>
      </c>
      <c r="B294" s="4">
        <v>190</v>
      </c>
      <c r="C294" s="4" t="s">
        <v>44</v>
      </c>
      <c r="D294" s="4" t="s">
        <v>45</v>
      </c>
      <c r="E294" s="4"/>
      <c r="F294" s="4"/>
      <c r="G294" s="4"/>
      <c r="H294" s="4"/>
      <c r="I294" s="4"/>
      <c r="J294" s="4"/>
      <c r="K294" s="4"/>
      <c r="L294" s="4"/>
      <c r="M294" s="4"/>
      <c r="N294" s="4">
        <v>1864</v>
      </c>
      <c r="O294" s="4" t="s">
        <v>2207</v>
      </c>
      <c r="P294" s="4" t="s">
        <v>115</v>
      </c>
      <c r="Q294" s="4" t="s">
        <v>2208</v>
      </c>
      <c r="R294" s="4" t="s">
        <v>2209</v>
      </c>
      <c r="S294" s="4" t="s">
        <v>2210</v>
      </c>
      <c r="T294" s="4" t="s">
        <v>2211</v>
      </c>
      <c r="U294" s="4" t="s">
        <v>2212</v>
      </c>
      <c r="V294" s="4"/>
      <c r="W294" s="4" t="s">
        <v>53</v>
      </c>
      <c r="X294" s="4" t="s">
        <v>54</v>
      </c>
      <c r="Y294" s="4" t="s">
        <v>2213</v>
      </c>
      <c r="Z294" s="4" t="s">
        <v>2214</v>
      </c>
      <c r="AA294" s="4" t="s">
        <v>68</v>
      </c>
      <c r="AB294" s="4"/>
      <c r="AC294" s="4" t="s">
        <v>2215</v>
      </c>
      <c r="AD294" s="4" t="s">
        <v>2216</v>
      </c>
      <c r="AE294" s="4" t="s">
        <v>2212</v>
      </c>
      <c r="AF294" s="13" t="s">
        <v>2217</v>
      </c>
      <c r="AG294" s="4"/>
      <c r="AH294" s="4" t="s">
        <v>476</v>
      </c>
      <c r="AI294" s="4">
        <v>15</v>
      </c>
      <c r="AJ294" s="4" t="s">
        <v>2218</v>
      </c>
      <c r="AK294" s="4"/>
      <c r="AL294" s="4" t="str">
        <f>VLOOKUP(N294,[1]Sheet1!$N:$AL,25,0)</f>
        <v>42143127  Acute care fetal or maternal monitoring unit accessories</v>
      </c>
      <c r="AM294" s="4"/>
      <c r="AN294" s="4"/>
      <c r="AO294" s="4"/>
      <c r="AP294" s="1" t="s">
        <v>58</v>
      </c>
      <c r="AQ294" s="1" t="s">
        <v>59</v>
      </c>
    </row>
    <row r="295" customHeight="1" spans="1:43">
      <c r="A295" s="4" t="s">
        <v>43</v>
      </c>
      <c r="B295" s="4">
        <v>190</v>
      </c>
      <c r="C295" s="4" t="s">
        <v>44</v>
      </c>
      <c r="D295" s="4" t="s">
        <v>45</v>
      </c>
      <c r="E295" s="4"/>
      <c r="F295" s="4"/>
      <c r="G295" s="4"/>
      <c r="H295" s="4"/>
      <c r="I295" s="4"/>
      <c r="J295" s="4"/>
      <c r="K295" s="4"/>
      <c r="L295" s="4"/>
      <c r="M295" s="4"/>
      <c r="N295" s="4">
        <v>1858</v>
      </c>
      <c r="O295" s="4" t="s">
        <v>2219</v>
      </c>
      <c r="P295" s="4" t="s">
        <v>591</v>
      </c>
      <c r="Q295" s="4" t="s">
        <v>2208</v>
      </c>
      <c r="R295" s="4" t="s">
        <v>2220</v>
      </c>
      <c r="S295" s="4" t="s">
        <v>2221</v>
      </c>
      <c r="T295" s="4" t="s">
        <v>2211</v>
      </c>
      <c r="U295" s="4" t="s">
        <v>2222</v>
      </c>
      <c r="V295" s="4"/>
      <c r="W295" s="4" t="s">
        <v>53</v>
      </c>
      <c r="X295" s="4" t="s">
        <v>54</v>
      </c>
      <c r="Y295" s="4" t="s">
        <v>579</v>
      </c>
      <c r="Z295" s="4" t="s">
        <v>580</v>
      </c>
      <c r="AA295" s="4" t="s">
        <v>68</v>
      </c>
      <c r="AB295" s="4"/>
      <c r="AC295" s="4" t="s">
        <v>581</v>
      </c>
      <c r="AD295" s="4" t="s">
        <v>2216</v>
      </c>
      <c r="AE295" s="4" t="s">
        <v>2222</v>
      </c>
      <c r="AF295" s="13" t="s">
        <v>2223</v>
      </c>
      <c r="AG295" s="4"/>
      <c r="AH295" s="4" t="s">
        <v>129</v>
      </c>
      <c r="AI295" s="4">
        <v>26</v>
      </c>
      <c r="AJ295" s="4" t="s">
        <v>2224</v>
      </c>
      <c r="AK295" s="4"/>
      <c r="AL295" s="4" t="str">
        <f>VLOOKUP(N295,[1]Sheet1!$N:$AL,25,0)</f>
        <v>42181904  Multiparameter vital sign units</v>
      </c>
      <c r="AM295" s="4"/>
      <c r="AN295" s="4"/>
      <c r="AO295" s="4"/>
      <c r="AP295" s="1" t="s">
        <v>58</v>
      </c>
      <c r="AQ295" s="1" t="s">
        <v>59</v>
      </c>
    </row>
    <row r="296" customHeight="1" spans="1:43">
      <c r="A296" s="4" t="s">
        <v>43</v>
      </c>
      <c r="B296" s="4">
        <v>190</v>
      </c>
      <c r="C296" s="4" t="s">
        <v>44</v>
      </c>
      <c r="D296" s="4" t="s">
        <v>45</v>
      </c>
      <c r="E296" s="4"/>
      <c r="F296" s="4"/>
      <c r="G296" s="4"/>
      <c r="H296" s="4"/>
      <c r="I296" s="4"/>
      <c r="J296" s="4"/>
      <c r="K296" s="4"/>
      <c r="L296" s="4"/>
      <c r="M296" s="4"/>
      <c r="N296" s="4">
        <v>1859</v>
      </c>
      <c r="O296" s="4" t="s">
        <v>2225</v>
      </c>
      <c r="P296" s="4" t="s">
        <v>115</v>
      </c>
      <c r="Q296" s="4" t="s">
        <v>2208</v>
      </c>
      <c r="R296" s="4" t="s">
        <v>2220</v>
      </c>
      <c r="S296" s="4" t="s">
        <v>2221</v>
      </c>
      <c r="T296" s="4" t="s">
        <v>2211</v>
      </c>
      <c r="U296" s="4" t="s">
        <v>2226</v>
      </c>
      <c r="V296" s="4"/>
      <c r="W296" s="4" t="s">
        <v>53</v>
      </c>
      <c r="X296" s="4" t="s">
        <v>54</v>
      </c>
      <c r="Y296" s="4" t="s">
        <v>2227</v>
      </c>
      <c r="Z296" s="4" t="s">
        <v>2228</v>
      </c>
      <c r="AA296" s="4" t="s">
        <v>68</v>
      </c>
      <c r="AB296" s="4"/>
      <c r="AC296" s="4" t="s">
        <v>2229</v>
      </c>
      <c r="AD296" s="4" t="s">
        <v>2216</v>
      </c>
      <c r="AE296" s="4" t="s">
        <v>2226</v>
      </c>
      <c r="AF296" s="13" t="s">
        <v>2230</v>
      </c>
      <c r="AG296" s="4"/>
      <c r="AH296" s="4" t="s">
        <v>529</v>
      </c>
      <c r="AI296" s="4">
        <v>2</v>
      </c>
      <c r="AJ296" s="4" t="s">
        <v>2231</v>
      </c>
      <c r="AK296" s="4"/>
      <c r="AL296" s="4" t="str">
        <f>VLOOKUP(N296,[1]Sheet1!$N:$AL,25,0)</f>
        <v>81112216  Educational or reference software maintenance</v>
      </c>
      <c r="AM296" s="4"/>
      <c r="AN296" s="4"/>
      <c r="AO296" s="4"/>
      <c r="AP296" s="1" t="s">
        <v>58</v>
      </c>
      <c r="AQ296" s="1" t="s">
        <v>59</v>
      </c>
    </row>
    <row r="297" customHeight="1" spans="1:43">
      <c r="A297" s="4" t="s">
        <v>43</v>
      </c>
      <c r="B297" s="4">
        <v>190</v>
      </c>
      <c r="C297" s="4" t="s">
        <v>44</v>
      </c>
      <c r="D297" s="4" t="s">
        <v>45</v>
      </c>
      <c r="E297" s="4"/>
      <c r="F297" s="4"/>
      <c r="G297" s="4"/>
      <c r="H297" s="4"/>
      <c r="I297" s="4"/>
      <c r="J297" s="4"/>
      <c r="K297" s="4"/>
      <c r="L297" s="4"/>
      <c r="M297" s="4"/>
      <c r="N297" s="4">
        <v>1860</v>
      </c>
      <c r="O297" s="4" t="s">
        <v>2232</v>
      </c>
      <c r="P297" s="4" t="s">
        <v>115</v>
      </c>
      <c r="Q297" s="4" t="s">
        <v>2208</v>
      </c>
      <c r="R297" s="4" t="s">
        <v>2220</v>
      </c>
      <c r="S297" s="4" t="s">
        <v>2221</v>
      </c>
      <c r="T297" s="4" t="s">
        <v>2211</v>
      </c>
      <c r="U297" s="4" t="s">
        <v>2233</v>
      </c>
      <c r="V297" s="4"/>
      <c r="W297" s="4" t="s">
        <v>53</v>
      </c>
      <c r="X297" s="4" t="s">
        <v>54</v>
      </c>
      <c r="Y297" s="4" t="s">
        <v>2234</v>
      </c>
      <c r="Z297" s="4" t="s">
        <v>2235</v>
      </c>
      <c r="AA297" s="4" t="s">
        <v>68</v>
      </c>
      <c r="AB297" s="4"/>
      <c r="AC297" s="4" t="s">
        <v>2236</v>
      </c>
      <c r="AD297" s="4" t="s">
        <v>2216</v>
      </c>
      <c r="AE297" s="4" t="s">
        <v>2233</v>
      </c>
      <c r="AF297" s="13" t="s">
        <v>2237</v>
      </c>
      <c r="AG297" s="4"/>
      <c r="AH297" s="4" t="s">
        <v>2238</v>
      </c>
      <c r="AI297" s="4">
        <v>1</v>
      </c>
      <c r="AJ297" s="4" t="s">
        <v>2239</v>
      </c>
      <c r="AK297" s="4"/>
      <c r="AL297" s="4" t="str">
        <f>VLOOKUP(N297,[1]Sheet1!$N:$AL,25,0)</f>
        <v>43211614  Bluetooth universal serial bus USB adapter</v>
      </c>
      <c r="AM297" s="4"/>
      <c r="AN297" s="4"/>
      <c r="AO297" s="4"/>
      <c r="AP297" s="1" t="s">
        <v>58</v>
      </c>
      <c r="AQ297" s="1" t="s">
        <v>59</v>
      </c>
    </row>
    <row r="298" customHeight="1" spans="1:43">
      <c r="A298" s="4" t="s">
        <v>43</v>
      </c>
      <c r="B298" s="4">
        <v>190</v>
      </c>
      <c r="C298" s="4" t="s">
        <v>44</v>
      </c>
      <c r="D298" s="4" t="s">
        <v>45</v>
      </c>
      <c r="E298" s="4"/>
      <c r="F298" s="4"/>
      <c r="G298" s="4"/>
      <c r="H298" s="4"/>
      <c r="I298" s="4"/>
      <c r="J298" s="4"/>
      <c r="K298" s="4"/>
      <c r="L298" s="4"/>
      <c r="M298" s="4"/>
      <c r="N298" s="4">
        <v>1861</v>
      </c>
      <c r="O298" s="4" t="s">
        <v>2240</v>
      </c>
      <c r="P298" s="4" t="s">
        <v>115</v>
      </c>
      <c r="Q298" s="4" t="s">
        <v>2208</v>
      </c>
      <c r="R298" s="4" t="s">
        <v>2220</v>
      </c>
      <c r="S298" s="4" t="s">
        <v>2221</v>
      </c>
      <c r="T298" s="4" t="s">
        <v>2211</v>
      </c>
      <c r="U298" s="4" t="s">
        <v>2241</v>
      </c>
      <c r="V298" s="4"/>
      <c r="W298" s="4" t="s">
        <v>53</v>
      </c>
      <c r="X298" s="4" t="s">
        <v>54</v>
      </c>
      <c r="Y298" s="4" t="s">
        <v>2242</v>
      </c>
      <c r="Z298" s="4" t="s">
        <v>2243</v>
      </c>
      <c r="AA298" s="4" t="s">
        <v>68</v>
      </c>
      <c r="AB298" s="4"/>
      <c r="AC298" s="4" t="s">
        <v>2244</v>
      </c>
      <c r="AD298" s="4" t="s">
        <v>2216</v>
      </c>
      <c r="AE298" s="4" t="s">
        <v>2241</v>
      </c>
      <c r="AF298" s="13" t="s">
        <v>2245</v>
      </c>
      <c r="AG298" s="4"/>
      <c r="AH298" s="4" t="s">
        <v>2246</v>
      </c>
      <c r="AI298" s="4">
        <v>4</v>
      </c>
      <c r="AJ298" s="4" t="s">
        <v>2247</v>
      </c>
      <c r="AK298" s="4"/>
      <c r="AL298" s="4" t="str">
        <f>VLOOKUP(N298,[1]Sheet1!$N:$AL,25,0)</f>
        <v>42181716  Electrocardiography EKG accessories</v>
      </c>
      <c r="AM298" s="4"/>
      <c r="AN298" s="4"/>
      <c r="AO298" s="4"/>
      <c r="AP298" s="1" t="s">
        <v>58</v>
      </c>
      <c r="AQ298" s="1" t="s">
        <v>59</v>
      </c>
    </row>
    <row r="299" customHeight="1" spans="1:43">
      <c r="A299" s="4" t="s">
        <v>43</v>
      </c>
      <c r="B299" s="4">
        <v>190</v>
      </c>
      <c r="C299" s="4" t="s">
        <v>44</v>
      </c>
      <c r="D299" s="4" t="s">
        <v>45</v>
      </c>
      <c r="E299" s="4"/>
      <c r="F299" s="4"/>
      <c r="G299" s="4"/>
      <c r="H299" s="4"/>
      <c r="I299" s="4"/>
      <c r="J299" s="4"/>
      <c r="K299" s="4"/>
      <c r="L299" s="4"/>
      <c r="M299" s="4"/>
      <c r="N299" s="4">
        <v>1862</v>
      </c>
      <c r="O299" s="4" t="s">
        <v>2248</v>
      </c>
      <c r="P299" s="4" t="s">
        <v>115</v>
      </c>
      <c r="Q299" s="4" t="s">
        <v>2208</v>
      </c>
      <c r="R299" s="4" t="s">
        <v>2220</v>
      </c>
      <c r="S299" s="4" t="s">
        <v>2221</v>
      </c>
      <c r="T299" s="4" t="s">
        <v>2211</v>
      </c>
      <c r="U299" s="4" t="s">
        <v>2249</v>
      </c>
      <c r="V299" s="4"/>
      <c r="W299" s="4" t="s">
        <v>53</v>
      </c>
      <c r="X299" s="4" t="s">
        <v>54</v>
      </c>
      <c r="Y299" s="4" t="s">
        <v>2242</v>
      </c>
      <c r="Z299" s="4" t="s">
        <v>2243</v>
      </c>
      <c r="AA299" s="4" t="s">
        <v>68</v>
      </c>
      <c r="AB299" s="4"/>
      <c r="AC299" s="4" t="s">
        <v>2244</v>
      </c>
      <c r="AD299" s="4" t="s">
        <v>2216</v>
      </c>
      <c r="AE299" s="4" t="s">
        <v>2249</v>
      </c>
      <c r="AF299" s="13" t="s">
        <v>2250</v>
      </c>
      <c r="AG299" s="4"/>
      <c r="AH299" s="4" t="s">
        <v>2246</v>
      </c>
      <c r="AI299" s="4">
        <v>4</v>
      </c>
      <c r="AJ299" s="4" t="s">
        <v>2251</v>
      </c>
      <c r="AK299" s="4"/>
      <c r="AL299" s="4" t="str">
        <f>VLOOKUP(N299,[1]Sheet1!$N:$AL,25,0)</f>
        <v>42181716  Electrocardiography EKG accessories</v>
      </c>
      <c r="AM299" s="4"/>
      <c r="AN299" s="4"/>
      <c r="AO299" s="4"/>
      <c r="AP299" s="1" t="s">
        <v>58</v>
      </c>
      <c r="AQ299" s="1" t="s">
        <v>59</v>
      </c>
    </row>
    <row r="300" customHeight="1" spans="1:43">
      <c r="A300" s="4" t="s">
        <v>43</v>
      </c>
      <c r="B300" s="4">
        <v>190</v>
      </c>
      <c r="C300" s="4" t="s">
        <v>44</v>
      </c>
      <c r="D300" s="4" t="s">
        <v>45</v>
      </c>
      <c r="E300" s="4"/>
      <c r="F300" s="4"/>
      <c r="G300" s="4"/>
      <c r="H300" s="4"/>
      <c r="I300" s="4"/>
      <c r="J300" s="4"/>
      <c r="K300" s="4"/>
      <c r="L300" s="4"/>
      <c r="M300" s="4"/>
      <c r="N300" s="4">
        <v>1868</v>
      </c>
      <c r="O300" s="4" t="s">
        <v>2252</v>
      </c>
      <c r="P300" s="4" t="s">
        <v>591</v>
      </c>
      <c r="Q300" s="4" t="s">
        <v>2208</v>
      </c>
      <c r="R300" s="4" t="s">
        <v>2220</v>
      </c>
      <c r="S300" s="4" t="s">
        <v>2221</v>
      </c>
      <c r="T300" s="4" t="s">
        <v>2211</v>
      </c>
      <c r="U300" s="4" t="s">
        <v>2253</v>
      </c>
      <c r="V300" s="4"/>
      <c r="W300" s="4" t="s">
        <v>53</v>
      </c>
      <c r="X300" s="4" t="s">
        <v>54</v>
      </c>
      <c r="Y300" s="4" t="s">
        <v>2254</v>
      </c>
      <c r="Z300" s="4" t="s">
        <v>2255</v>
      </c>
      <c r="AA300" s="4" t="s">
        <v>822</v>
      </c>
      <c r="AB300" s="4"/>
      <c r="AC300" s="4" t="s">
        <v>2256</v>
      </c>
      <c r="AD300" s="4" t="s">
        <v>2216</v>
      </c>
      <c r="AE300" s="4" t="s">
        <v>2253</v>
      </c>
      <c r="AF300" s="13" t="s">
        <v>2253</v>
      </c>
      <c r="AG300" s="4"/>
      <c r="AH300" s="4" t="s">
        <v>129</v>
      </c>
      <c r="AI300" s="4">
        <v>26</v>
      </c>
      <c r="AJ300" s="4" t="s">
        <v>2257</v>
      </c>
      <c r="AK300" s="4"/>
      <c r="AL300" s="4" t="str">
        <f>VLOOKUP(N300,[1]Sheet1!$N:$AL,25,0)</f>
        <v>42181706  Electrocardiography EKG monitor screens</v>
      </c>
      <c r="AM300" s="4"/>
      <c r="AN300" s="4"/>
      <c r="AO300" s="4"/>
      <c r="AP300" s="1" t="s">
        <v>58</v>
      </c>
      <c r="AQ300" s="1" t="s">
        <v>59</v>
      </c>
    </row>
    <row r="301" customHeight="1" spans="1:43">
      <c r="A301" s="4" t="s">
        <v>43</v>
      </c>
      <c r="B301" s="4">
        <v>190</v>
      </c>
      <c r="C301" s="4" t="s">
        <v>44</v>
      </c>
      <c r="D301" s="4" t="s">
        <v>45</v>
      </c>
      <c r="E301" s="4"/>
      <c r="F301" s="4"/>
      <c r="G301" s="4"/>
      <c r="H301" s="4"/>
      <c r="I301" s="4"/>
      <c r="J301" s="4"/>
      <c r="K301" s="4"/>
      <c r="L301" s="4"/>
      <c r="M301" s="4"/>
      <c r="N301" s="4">
        <v>1883</v>
      </c>
      <c r="O301" s="4" t="s">
        <v>2258</v>
      </c>
      <c r="P301" s="4" t="s">
        <v>635</v>
      </c>
      <c r="Q301" s="4" t="s">
        <v>2259</v>
      </c>
      <c r="R301" s="4" t="s">
        <v>2260</v>
      </c>
      <c r="S301" s="4" t="s">
        <v>2261</v>
      </c>
      <c r="T301" s="4" t="s">
        <v>2262</v>
      </c>
      <c r="U301" s="4" t="s">
        <v>2263</v>
      </c>
      <c r="V301" s="4"/>
      <c r="W301" s="4" t="s">
        <v>53</v>
      </c>
      <c r="X301" s="4" t="s">
        <v>54</v>
      </c>
      <c r="Y301" s="4" t="s">
        <v>2264</v>
      </c>
      <c r="Z301" s="4" t="s">
        <v>2265</v>
      </c>
      <c r="AA301" s="4" t="s">
        <v>68</v>
      </c>
      <c r="AB301" s="4"/>
      <c r="AC301" s="4" t="s">
        <v>2266</v>
      </c>
      <c r="AD301" s="4" t="s">
        <v>2259</v>
      </c>
      <c r="AE301" s="4" t="s">
        <v>2263</v>
      </c>
      <c r="AF301" s="13" t="s">
        <v>2263</v>
      </c>
      <c r="AG301" s="4"/>
      <c r="AH301" s="4" t="s">
        <v>645</v>
      </c>
      <c r="AI301" s="4">
        <v>14</v>
      </c>
      <c r="AJ301" s="4" t="s">
        <v>2267</v>
      </c>
      <c r="AK301" s="4"/>
      <c r="AL301" s="4" t="str">
        <f>VLOOKUP(N301,[1]Sheet1!$N:$AL,25,0)</f>
        <v>47131710  Toilet tissue dispensers</v>
      </c>
      <c r="AM301" s="4"/>
      <c r="AN301" s="4"/>
      <c r="AO301" s="4"/>
      <c r="AP301" s="1" t="s">
        <v>58</v>
      </c>
      <c r="AQ301" s="1" t="s">
        <v>59</v>
      </c>
    </row>
  </sheetData>
  <autoFilter ref="A1:AQ301">
    <extLst/>
  </autoFilter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545454545454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545454545454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91809</cp:lastModifiedBy>
  <dcterms:created xsi:type="dcterms:W3CDTF">2013-06-26T05:33:00Z</dcterms:created>
  <dcterms:modified xsi:type="dcterms:W3CDTF">2023-05-11T17:25:12Z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FAA7CFFC90844DB6A05BEE2A22804A85</vt:lpwstr>
  </property>
  <property fmtid="{D5CDD505-2E9C-101B-9397-08002B2CF9AE}" pid="3" name="KSOProductBuildVer">
    <vt:lpwstr>1033-11.2.0.11388</vt:lpwstr>
  </property>
</Properties>
</file>