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y 2023 gop\"/>
    </mc:Choice>
  </mc:AlternateContent>
  <xr:revisionPtr revIDLastSave="0" documentId="13_ncr:1_{25900DF8-F8D8-4116-A1A7-FD751D3ABC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<sst xmlns="http://schemas.openxmlformats.org/spreadsheetml/2006/main" count="375" uniqueCount="120">
  <si>
    <t>SPLINT NASAL 1.0MM PRE-CUT DMT5503 -DMT</t>
  </si>
  <si>
    <t>01::01</t>
  </si>
  <si>
    <t>GIVEN ITEM NAME</t>
  </si>
  <si>
    <t>SYQ</t>
  </si>
  <si>
    <t>CONSIGNMENT</t>
  </si>
  <si>
    <t>Aster Aadhar Kolhapur- OP, Aster Aadhar Kolhapur-IP</t>
  </si>
  <si>
    <t>TURBOZONE TZ 1.125G INJECTION</t>
  </si>
  <si>
    <t>VANKING 250MG INJECTION (Neon Laboratories Ltd)</t>
  </si>
  <si>
    <t>CMI Hospital IP, CMI Hospital OP, Whitefield Hospital IP, Whitefield Hospital OP, RV Hospital IP, RV Hospital OP</t>
  </si>
  <si>
    <t>Status</t>
  </si>
  <si>
    <t>Production Comments</t>
  </si>
  <si>
    <t>COMMENTS</t>
  </si>
  <si>
    <t>PRODUCT CREATED TIM</t>
  </si>
  <si>
    <t>RESPONSIBLE PERSON</t>
  </si>
  <si>
    <t>THYROGEN 0.9MG INJECTION</t>
  </si>
  <si>
    <t>Production User</t>
  </si>
  <si>
    <t>BLADE-DEBRAIDER-CVD-4MM-RAD 60X-TREME-1884016-HR-MEDTRONIC</t>
  </si>
  <si>
    <t>TAXONOMY</t>
  </si>
  <si>
    <t>IFEX-M 2GM INJECTION</t>
  </si>
  <si>
    <t>IHC ANTIBODY MDR3 (IHC621) - 3.5ML</t>
  </si>
  <si>
    <t>01::32</t>
  </si>
  <si>
    <t>CORTICAL SCREW SELF TAPING (S.S) 4.5 MM X 44MM.-SIGMA</t>
  </si>
  <si>
    <t>IHC ANTIBODY BSEP (IHC518) - 3.5ML</t>
  </si>
  <si>
    <t>Aster Prime Hospital IP, Aster Prime Hospital OP</t>
  </si>
  <si>
    <t>FINAL PRODUCT CREATED CODE</t>
  </si>
  <si>
    <t>REQUEST DATE</t>
  </si>
  <si>
    <t>UNIT</t>
  </si>
  <si>
    <t>PRODUCT CREATED DATE</t>
  </si>
  <si>
    <t>01::00</t>
  </si>
  <si>
    <t>ATACURIM 2.5ML INJECTION ATRACURIUM BESYLATE THEMIS</t>
  </si>
  <si>
    <t>GUEDEL AIRWAY SIZE 2 REF# 1112080S-INTERSURGICAL</t>
  </si>
  <si>
    <t>RACIWEL 250MG INJECTION</t>
  </si>
  <si>
    <t>STATUS - MODIFY/NEW/REJECT</t>
  </si>
  <si>
    <t>BLADE 1884004 HR 4MM-ROTATABLE-MEDTRONIC</t>
  </si>
  <si>
    <t>HARMONIC FOCUS LONG SHEARS 17CM ULTRASONIC CURVED TIP HAR17F/FCS17 J &amp; J</t>
  </si>
  <si>
    <t>FINAL PRODUCT CREATED ITEM NAME</t>
  </si>
  <si>
    <t>PROCESSED CATEGORY</t>
  </si>
  <si>
    <t>Whitefield Hospital IP, Whitefield Hospital OP</t>
  </si>
  <si>
    <t>BLADE 1883517 RADENOID 120MAX SINUS CVD MEDTRONIC</t>
  </si>
  <si>
    <t>RACIWEL 500MG INJECTION</t>
  </si>
  <si>
    <t>BLADE-DEBRAIDER-CVD-4MM-RAD 40X-TREME-1884006-HR-MEDTRONIC</t>
  </si>
  <si>
    <t>GUEDEL AIRWAY SIZE 3 REF# 1113090S-INTERSURGICAL</t>
  </si>
  <si>
    <t>CMI Hospital OP, Whitefield Hospital IP, Whitefield Hospital OP</t>
  </si>
  <si>
    <t>HARMONIC FOCUS SHEARS 9CM ULTRASONIC CURVED TIP HAR9F J &amp; J</t>
  </si>
  <si>
    <t>REMARKS IF ISSUES MARK AS "E"</t>
  </si>
  <si>
    <t>Aster Medcity Kochi- Pharmacy OP IO, Aster Medcity Kochi- Pharmacy IP IO</t>
  </si>
  <si>
    <t>MOLNUNAT 200 MG CAPSULE</t>
  </si>
  <si>
    <t>RECIVE CATEGORY</t>
  </si>
  <si>
    <t>YES</t>
  </si>
  <si>
    <t>SLNO</t>
  </si>
  <si>
    <t>P</t>
  </si>
  <si>
    <t>XAVITAZ 2.5GM INJECTION</t>
  </si>
  <si>
    <t>PROGEL 30G- DENT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</si>
  <si>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</si>
  <si>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</si>
  <si>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</si>
  <si>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</si>
  <si>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</si>
  <si>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PROCESSED Y/N</t>
  </si>
  <si>
    <t>TASIRON 14ML DROPS</t>
  </si>
  <si>
    <t>NO</t>
  </si>
  <si>
    <t>Activities</t>
  </si>
  <si>
    <t>ACTAPRO OD 300MG TABLET</t>
  </si>
  <si>
    <t>MIMS Hospital Kannur- Pharmacy OP IO, MIMS Hospital Kannur- Pharmacy IP IO</t>
  </si>
  <si>
    <t>REQUEST TIME</t>
  </si>
  <si>
    <t>MODIFY</t>
  </si>
  <si>
    <t>Direct / Pharmaceutical Drugs / Oncology / Cytotoxic Chemotherapy / IFOSFAMIDE + MESNA</t>
  </si>
  <si>
    <t>SNEHAJA</t>
  </si>
  <si>
    <t>Y</t>
  </si>
  <si>
    <t>3-A-BH81-DF-GK46-BF36-X-00001</t>
  </si>
  <si>
    <t>Direct / Pharmaceutical Drugs / Endocrine &amp; Metabolic System / Thyroid Hormones / THYROGEN</t>
  </si>
  <si>
    <t>3-A-CA30-DF-AP83-CL20-X-00001</t>
  </si>
  <si>
    <t>Direct / Pharmaceutical Drugs / Vitamins &amp; Minerals / Vitamins &amp; Minerals (Pre &amp; Post Natal) / Antianemics / FERRIC DI PHOSPHATE + FOLIC ACID</t>
  </si>
  <si>
    <t>3-A-CF80-BV-CQ34-AQ77-X-00001</t>
  </si>
  <si>
    <t>NEW</t>
  </si>
  <si>
    <t>Direct / Medical Consumables / Patient Care Products / Patient Care Products Other</t>
  </si>
  <si>
    <t>Direct / Medical &amp; Surgical Instruments / Surgical Cutting Instruments Related Products / Surgical Blades / Tricut Blade</t>
  </si>
  <si>
    <t>3-F-BF2-AH7-DN22-XX09-00001</t>
  </si>
  <si>
    <t>new</t>
  </si>
  <si>
    <t>p</t>
  </si>
  <si>
    <t>Direct / Pharmaceutical Drugs / Ear &amp; Mouth / Throat / Mouth/Throat Preparations / BENZOCAINE</t>
  </si>
  <si>
    <t>PROGEL-B 30G - SEPTODONT</t>
  </si>
  <si>
    <t>3-A-AK57-CO-FC56-BI26-X-00001</t>
  </si>
  <si>
    <t>Direct / Medical &amp; Surgical Instruments / Surgical Cutting Instruments Related Products / Surgical Blades / Surgical Blades Other</t>
  </si>
  <si>
    <t>Direct / Medical Consumables / Other Medical &amp; Surgical Equipments / Ventilators, Respiratory Therapy and Accessories</t>
  </si>
  <si>
    <t>GUEDEL AIRWAY SIZE 2 1112080S -INTERSURGICAL</t>
  </si>
  <si>
    <t>3-C-BC1-EV3-CP81-XX09-00004</t>
  </si>
  <si>
    <t>add master</t>
  </si>
  <si>
    <t>Direct / Pharmaceutical Drugs / Anti-Infectives (Systemic) / Cephalosporins / CEFOPERAZONE + TAZOBACTUM</t>
  </si>
  <si>
    <t>TURBOZONE TZ 1125MG INJECTION</t>
  </si>
  <si>
    <t>3-A-DD65-DF-KQ74-AJ38-X-00001</t>
  </si>
  <si>
    <t>Direct / Pharmaceutical Drugs / Anti-Infectives (Systemic) / Cephalosporins / CEFTAZIDIME PENTAHYDRATE + AVIBACTAM SODIUM</t>
  </si>
  <si>
    <t>3-A-AQ58-DF-AS57-AW35-X-00001</t>
  </si>
  <si>
    <t>MODIFY-REJECTED</t>
  </si>
  <si>
    <t>Direct / Pharmaceutical Drugs / Musculo-Skeletal System / Muscle Relaxants / ATRACURIUM BESILATE</t>
  </si>
  <si>
    <t>Direct / Pharmaceutical Drugs / Anti-Infectives (Systemic) / Other Antibiotics / VANCOMYCIN</t>
  </si>
  <si>
    <t>VANKING 250MG INJECTION</t>
  </si>
  <si>
    <t>3-A-CB67-DF-DV18-BD31-X-00001</t>
  </si>
  <si>
    <t>3-F-BF2-AH6-DN22-XX09-00006</t>
  </si>
  <si>
    <t>3-F-BF2-AH6-DN22-XX09-00009</t>
  </si>
  <si>
    <t>Direct.Medical Consumables.Intravenous And Arterial Cannulas And Catheters And Accessories.Cannulae.Cannulae, Nasal Oxygen, Continuous Positive Airway Pressure</t>
  </si>
  <si>
    <t>GUEDEL AIRWAY SIZE 3 1113090S -INTERSURGICAL</t>
  </si>
  <si>
    <t>3-C-BJ2-BU3-CP81-XX09-00002</t>
  </si>
  <si>
    <t>C</t>
  </si>
  <si>
    <t>Direct.Prostheses And Implants.Orthopedic Trauma Implants.Bone Screw.</t>
  </si>
  <si>
    <t>CORTICAL SCREW 4.5MM X 44MM SELF TAPPING SS-SIGMA</t>
  </si>
  <si>
    <t>3-D-AQ8-XX-GS15-XX09-00110</t>
  </si>
  <si>
    <t>Direct / Pharmaceutical Drugs / Oncology / Cytotoxic Chemotherapy / FLUOROURACIL</t>
  </si>
  <si>
    <t>3-A-BD28-DF-CD44-BD31-X-00001</t>
  </si>
  <si>
    <t>3-A-BD28-DF-CD44-BS10-X-00001</t>
  </si>
  <si>
    <t>Direct / Chemicals &amp; Lab Reagents / Chemicals &amp; Lab Reagents / Antibody / Antibody</t>
  </si>
  <si>
    <t>3-G-AB8-EU7-XX09-XX09-X-00001</t>
  </si>
  <si>
    <t>3-G-AB8-EU7-XX09-XX09-00542</t>
  </si>
  <si>
    <t>Direct / Pharmaceutical Drugs / Anti-Infectives (Systemic) / Antivirals / MOLNUPIRAVIR</t>
  </si>
  <si>
    <t>MOLNUNAT 200MG CAPSULE</t>
  </si>
  <si>
    <t>3-A-CL75-AO-DT66-AZ36-X-00001</t>
  </si>
  <si>
    <t>Direct / Pharmaceutical Drugs / Gastrointestinal &amp; Hepatobiliary System / Antacids, Antireflux Agents &amp; Antiulcerants / ACOTIAMIDE HYDROCHLORIDE HYDRATE</t>
  </si>
  <si>
    <t>Direct / Medical &amp; Surgical Instruments / Energy Instruments / Shears</t>
  </si>
  <si>
    <t xml:space="preserve">HARMONIC FOCUS LONG SHEARS 17CM ULTRASONIC CURVED TIP HAR17F/FCS17 J &amp; J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</si>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</sst>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7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8" fillId="0" borderId="0" xfId="0" applyFont="1" applyFill="1" applyBorder="1"/>
    <xf numFmtId="0" fontId="7" fillId="0" borderId="1" xfId="0" applyFont="1"/>
    <xf numFmtId="0" fontId="0" fillId="0" borderId="1" xfId="0" applyAlignment="1">
      <alignment horizontal="center"/>
    </xf>
    <xf numFmtId="14" fontId="6" fillId="0" borderId="1" xfId="0" applyNumberFormat="1" applyFont="1"/>
    <xf numFmtId="20" fontId="0" fillId="0" borderId="1" xfId="0" applyNumberFormat="1" applyAlignment="1">
      <alignment horizontal="center"/>
    </xf>
    <xf numFmtId="0" fontId="6" fillId="0" borderId="1" xfId="0" applyFont="1"/>
    <xf numFmtId="0" fontId="8" fillId="0" borderId="1" xfId="0" applyFont="1"/>
    <xf numFmtId="20" fontId="6" fillId="0" borderId="1" xfId="0" applyNumberFormat="1" applyFont="1"/>
    <xf numFmtId="14" fontId="0" fillId="0" borderId="1" xfId="0" applyNumberFormat="1" applyAlignment="1">
      <alignment horizontal="center"/>
    </xf>
    <xf numFmtId="0" fontId="9" fillId="0" borderId="1" xfId="0" applyFont="1" applyAlignment="1">
      <alignment horizontal="left" vertical="center"/>
    </xf>
    <xf numFmtId="0" fontId="0" fillId="0" borderId="2" xfId="0" applyBorder="1"/>
    <xf numFmtId="0" fontId="10" fillId="0" borderId="1" xfId="0" applyFont="1" applyAlignment="1">
      <alignment horizontal="left"/>
    </xf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workbookViewId="0">
      <selection activeCell="V2" sqref="V2:W2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98.5546875" style="1" customWidth="1"/>
    <col min="9" max="9" width="75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49</v>
      </c>
      <c r="B1" s="2" t="s">
        <v>15</v>
      </c>
      <c r="C1" s="2" t="s">
        <v>61</v>
      </c>
      <c r="D1" s="3" t="s">
        <v>25</v>
      </c>
      <c r="E1" s="3" t="s">
        <v>64</v>
      </c>
      <c r="F1" s="3" t="s">
        <v>47</v>
      </c>
      <c r="G1" s="3" t="s">
        <v>4</v>
      </c>
      <c r="H1" s="3" t="s">
        <v>26</v>
      </c>
      <c r="I1" s="3" t="s">
        <v>2</v>
      </c>
      <c r="J1" s="4" t="s">
        <v>32</v>
      </c>
      <c r="K1" s="4" t="s">
        <v>36</v>
      </c>
      <c r="L1" s="4" t="s">
        <v>17</v>
      </c>
      <c r="M1" s="4" t="s">
        <v>13</v>
      </c>
      <c r="N1" s="4" t="s">
        <v>58</v>
      </c>
      <c r="O1" s="4" t="s">
        <v>27</v>
      </c>
      <c r="P1" s="4" t="s">
        <v>12</v>
      </c>
      <c r="Q1" s="4" t="s">
        <v>35</v>
      </c>
      <c r="R1" s="4" t="s">
        <v>24</v>
      </c>
      <c r="S1" s="4" t="s">
        <v>57</v>
      </c>
      <c r="T1" s="4" t="s">
        <v>44</v>
      </c>
      <c r="U1" s="4" t="s">
        <v>11</v>
      </c>
      <c r="V1" s="1" t="s">
        <v>9</v>
      </c>
      <c r="W1" s="1" t="s">
        <v>10</v>
      </c>
    </row>
    <row r="2" spans="1:23" ht="12" customHeight="1" x14ac:dyDescent="0.3">
      <c r="A2">
        <v>102</v>
      </c>
      <c r="B2" t="s">
        <v>3</v>
      </c>
      <c r="C2" t="s">
        <v>54</v>
      </c>
      <c r="D2" s="5">
        <v>45054</v>
      </c>
      <c r="E2" s="6">
        <v>0.45833333333333298</v>
      </c>
      <c r="F2" s="7" t="s">
        <v>50</v>
      </c>
      <c r="G2" t="s">
        <v>60</v>
      </c>
      <c r="H2" t="s">
        <v>8</v>
      </c>
      <c r="I2" s="8" t="s">
        <v>18</v>
      </c>
      <c r="J2" t="s">
        <v>65</v>
      </c>
      <c r="K2" t="s">
        <v>50</v>
      </c>
      <c r="L2" s="12" t="s">
        <v>66</v>
      </c>
      <c r="M2" t="s">
        <v>67</v>
      </c>
      <c r="N2" s="13" t="s">
        <v>68</v>
      </c>
      <c r="O2" s="14">
        <v>45054</v>
      </c>
      <c r="P2" s="15">
        <v>0.47500000000000003</v>
      </c>
      <c r="Q2" s="16" t="s">
        <v>18</v>
      </c>
      <c r="R2" s="17" t="s">
        <v>69</v>
      </c>
      <c r="S2" s="15">
        <f t="shared" ref="S2:S25" si="0">P2-E2</f>
        <v>1.6666666666667052E-2</v>
      </c>
      <c r="T2"/>
      <c r="U2" s="9"/>
      <c r="V2" s="1" t="s">
        <v>119</v>
      </c>
      <c r="W2" s="1" t="s">
        <v>119</v>
      </c>
    </row>
    <row r="3" spans="1:23" ht="12" customHeight="1" x14ac:dyDescent="0.3">
      <c r="A3">
        <v>103</v>
      </c>
      <c r="B3" t="s">
        <v>3</v>
      </c>
      <c r="C3" t="s">
        <v>54</v>
      </c>
      <c r="D3" s="5">
        <v>45054</v>
      </c>
      <c r="E3" s="10"/>
      <c r="F3" s="7" t="s">
        <v>50</v>
      </c>
      <c r="G3" t="s">
        <v>60</v>
      </c>
      <c r="H3" t="s">
        <v>8</v>
      </c>
      <c r="I3" s="8" t="s">
        <v>14</v>
      </c>
      <c r="J3" t="s">
        <v>65</v>
      </c>
      <c r="K3" t="s">
        <v>50</v>
      </c>
      <c r="L3" s="12" t="s">
        <v>70</v>
      </c>
      <c r="M3" t="s">
        <v>67</v>
      </c>
      <c r="N3" s="13" t="s">
        <v>68</v>
      </c>
      <c r="O3" s="14">
        <v>45054</v>
      </c>
      <c r="P3" s="15">
        <v>0.47291666666666665</v>
      </c>
      <c r="Q3" s="16" t="s">
        <v>14</v>
      </c>
      <c r="R3" s="17" t="s">
        <v>71</v>
      </c>
      <c r="S3" s="15">
        <f t="shared" si="0"/>
        <v>0.47291666666666665</v>
      </c>
      <c r="T3"/>
      <c r="U3" s="9"/>
      <c r="V3" s="1" t="s">
        <v>119</v>
      </c>
      <c r="W3" s="1" t="s">
        <v>119</v>
      </c>
    </row>
    <row r="4" spans="1:23" ht="12" customHeight="1" x14ac:dyDescent="0.3">
      <c r="A4">
        <v>104</v>
      </c>
      <c r="B4" t="s">
        <v>3</v>
      </c>
      <c r="C4" t="s">
        <v>54</v>
      </c>
      <c r="D4" s="5">
        <v>45054</v>
      </c>
      <c r="E4" s="6">
        <v>0.49027777777777798</v>
      </c>
      <c r="F4" s="7" t="s">
        <v>50</v>
      </c>
      <c r="G4" t="s">
        <v>60</v>
      </c>
      <c r="H4" s="11" t="s">
        <v>63</v>
      </c>
      <c r="I4" s="11" t="s">
        <v>59</v>
      </c>
      <c r="J4" t="s">
        <v>65</v>
      </c>
      <c r="K4" t="s">
        <v>50</v>
      </c>
      <c r="L4" s="12" t="s">
        <v>72</v>
      </c>
      <c r="M4" t="s">
        <v>67</v>
      </c>
      <c r="N4" s="13" t="s">
        <v>68</v>
      </c>
      <c r="O4" s="14">
        <v>45054</v>
      </c>
      <c r="P4" s="18">
        <v>0.53055555555555556</v>
      </c>
      <c r="Q4" s="17" t="s">
        <v>59</v>
      </c>
      <c r="R4" s="17" t="s">
        <v>73</v>
      </c>
      <c r="S4" s="15">
        <f t="shared" si="0"/>
        <v>4.0277777777777579E-2</v>
      </c>
      <c r="T4"/>
      <c r="U4"/>
      <c r="V4" s="1" t="s">
        <v>119</v>
      </c>
      <c r="W4" s="1" t="s">
        <v>119</v>
      </c>
    </row>
    <row r="5" spans="1:23" ht="12" customHeight="1" x14ac:dyDescent="0.3">
      <c r="A5">
        <v>105</v>
      </c>
      <c r="B5" t="s">
        <v>3</v>
      </c>
      <c r="C5" t="s">
        <v>54</v>
      </c>
      <c r="D5" s="5">
        <v>45054</v>
      </c>
      <c r="E5" s="7">
        <v>0.53263888888888899</v>
      </c>
      <c r="F5" s="7" t="s">
        <v>53</v>
      </c>
      <c r="G5" t="s">
        <v>60</v>
      </c>
      <c r="H5" t="s">
        <v>63</v>
      </c>
      <c r="I5" t="s">
        <v>0</v>
      </c>
      <c r="J5" t="s">
        <v>74</v>
      </c>
      <c r="K5" t="s">
        <v>53</v>
      </c>
      <c r="L5" s="12" t="s">
        <v>75</v>
      </c>
      <c r="M5" t="s">
        <v>67</v>
      </c>
      <c r="N5" s="13" t="s">
        <v>68</v>
      </c>
      <c r="O5" s="19"/>
      <c r="P5" s="15"/>
      <c r="Q5" t="s">
        <v>0</v>
      </c>
      <c r="R5"/>
      <c r="S5" s="15">
        <f t="shared" si="0"/>
        <v>-0.53263888888888899</v>
      </c>
      <c r="T5"/>
      <c r="U5"/>
      <c r="V5" s="1" t="s">
        <v>119</v>
      </c>
      <c r="W5" s="1" t="s">
        <v>119</v>
      </c>
    </row>
    <row r="6" spans="1:23" ht="12" customHeight="1" x14ac:dyDescent="0.3">
      <c r="A6">
        <v>106</v>
      </c>
      <c r="B6" t="s">
        <v>3</v>
      </c>
      <c r="C6" t="s">
        <v>54</v>
      </c>
      <c r="D6" s="5">
        <v>45054</v>
      </c>
      <c r="E6" s="7">
        <v>0.53888888888888897</v>
      </c>
      <c r="F6" s="7" t="s">
        <v>53</v>
      </c>
      <c r="G6" t="s">
        <v>60</v>
      </c>
      <c r="H6" t="s">
        <v>37</v>
      </c>
      <c r="I6" t="s">
        <v>33</v>
      </c>
      <c r="J6" t="s">
        <v>65</v>
      </c>
      <c r="K6" t="s">
        <v>53</v>
      </c>
      <c r="L6" s="12" t="s">
        <v>76</v>
      </c>
      <c r="M6" t="s">
        <v>67</v>
      </c>
      <c r="N6" s="13" t="s">
        <v>68</v>
      </c>
      <c r="O6" s="14">
        <v>45054</v>
      </c>
      <c r="P6" s="18">
        <v>0.63541666666666663</v>
      </c>
      <c r="Q6" t="s">
        <v>33</v>
      </c>
      <c r="R6" s="17" t="s">
        <v>77</v>
      </c>
      <c r="S6" s="15">
        <f t="shared" si="0"/>
        <v>9.6527777777777657E-2</v>
      </c>
      <c r="T6"/>
      <c r="U6" s="9"/>
      <c r="V6" s="1" t="s">
        <v>119</v>
      </c>
      <c r="W6" s="1" t="s">
        <v>119</v>
      </c>
    </row>
    <row r="7" spans="1:23" ht="12" customHeight="1" x14ac:dyDescent="0.3">
      <c r="A7">
        <v>107</v>
      </c>
      <c r="B7" t="s">
        <v>3</v>
      </c>
      <c r="C7" t="s">
        <v>54</v>
      </c>
      <c r="D7" s="5">
        <v>45054</v>
      </c>
      <c r="E7" s="7">
        <v>0.53958333333333297</v>
      </c>
      <c r="F7" s="7" t="s">
        <v>53</v>
      </c>
      <c r="G7" t="s">
        <v>60</v>
      </c>
      <c r="H7" t="s">
        <v>45</v>
      </c>
      <c r="I7" t="s">
        <v>52</v>
      </c>
      <c r="J7" t="s">
        <v>78</v>
      </c>
      <c r="K7" t="s">
        <v>79</v>
      </c>
      <c r="L7" t="s">
        <v>80</v>
      </c>
      <c r="M7" t="s">
        <v>67</v>
      </c>
      <c r="N7" s="13" t="s">
        <v>68</v>
      </c>
      <c r="O7" s="14">
        <v>45054</v>
      </c>
      <c r="P7" s="18">
        <v>0.65694444444444444</v>
      </c>
      <c r="Q7" t="s">
        <v>81</v>
      </c>
      <c r="R7" s="17" t="s">
        <v>82</v>
      </c>
      <c r="S7" s="15">
        <f t="shared" si="0"/>
        <v>0.11736111111111147</v>
      </c>
      <c r="T7"/>
      <c r="U7"/>
      <c r="V7" s="1" t="s">
        <v>119</v>
      </c>
      <c r="W7" s="1" t="s">
        <v>119</v>
      </c>
    </row>
    <row r="8" spans="1:23" ht="12" customHeight="1" x14ac:dyDescent="0.3">
      <c r="A8">
        <v>108</v>
      </c>
      <c r="B8" t="s">
        <v>3</v>
      </c>
      <c r="C8" t="s">
        <v>54</v>
      </c>
      <c r="D8" s="5">
        <v>45054</v>
      </c>
      <c r="E8" s="7">
        <v>0.53958333333333297</v>
      </c>
      <c r="F8" s="7" t="s">
        <v>53</v>
      </c>
      <c r="G8" t="s">
        <v>60</v>
      </c>
      <c r="H8" t="s">
        <v>42</v>
      </c>
      <c r="I8" t="s">
        <v>40</v>
      </c>
      <c r="J8" t="s">
        <v>65</v>
      </c>
      <c r="K8" t="s">
        <v>53</v>
      </c>
      <c r="L8" s="12" t="s">
        <v>83</v>
      </c>
      <c r="M8" t="s">
        <v>67</v>
      </c>
      <c r="N8" s="13" t="s">
        <v>68</v>
      </c>
      <c r="O8" s="19"/>
      <c r="P8" s="15"/>
      <c r="Q8" t="s">
        <v>40</v>
      </c>
      <c r="R8" s="17"/>
      <c r="S8" s="15">
        <f t="shared" si="0"/>
        <v>-0.53958333333333297</v>
      </c>
      <c r="T8"/>
      <c r="U8" s="9"/>
      <c r="V8" s="1" t="s">
        <v>119</v>
      </c>
      <c r="W8" s="1" t="s">
        <v>119</v>
      </c>
    </row>
    <row r="9" spans="1:23" ht="12" customHeight="1" x14ac:dyDescent="0.3">
      <c r="A9">
        <v>109</v>
      </c>
      <c r="B9" t="s">
        <v>3</v>
      </c>
      <c r="C9" t="s">
        <v>54</v>
      </c>
      <c r="D9" s="5">
        <v>45054</v>
      </c>
      <c r="E9" s="7">
        <v>0.54097222222222197</v>
      </c>
      <c r="F9" s="7" t="s">
        <v>53</v>
      </c>
      <c r="G9" t="s">
        <v>60</v>
      </c>
      <c r="H9" t="s">
        <v>56</v>
      </c>
      <c r="I9" t="s">
        <v>30</v>
      </c>
      <c r="J9"/>
      <c r="K9"/>
      <c r="L9" s="12" t="s">
        <v>84</v>
      </c>
      <c r="M9" t="s">
        <v>67</v>
      </c>
      <c r="N9" s="13" t="s">
        <v>68</v>
      </c>
      <c r="O9" s="14">
        <v>45054</v>
      </c>
      <c r="P9" s="18">
        <v>0.75694444444444453</v>
      </c>
      <c r="Q9" t="s">
        <v>85</v>
      </c>
      <c r="R9" s="17" t="s">
        <v>86</v>
      </c>
      <c r="S9" s="15">
        <f t="shared" si="0"/>
        <v>0.21597222222222257</v>
      </c>
      <c r="T9"/>
      <c r="U9"/>
      <c r="V9" s="1" t="s">
        <v>119</v>
      </c>
      <c r="W9" s="1" t="s">
        <v>119</v>
      </c>
    </row>
    <row r="10" spans="1:23" ht="12" customHeight="1" x14ac:dyDescent="0.3">
      <c r="A10">
        <v>110</v>
      </c>
      <c r="B10" t="s">
        <v>3</v>
      </c>
      <c r="C10" t="s">
        <v>54</v>
      </c>
      <c r="D10" s="5">
        <v>45054</v>
      </c>
      <c r="E10" s="10"/>
      <c r="F10" s="7" t="s">
        <v>50</v>
      </c>
      <c r="G10" t="s">
        <v>60</v>
      </c>
      <c r="H10"/>
      <c r="I10" t="s">
        <v>6</v>
      </c>
      <c r="J10" t="s">
        <v>87</v>
      </c>
      <c r="K10"/>
      <c r="L10" s="20" t="s">
        <v>88</v>
      </c>
      <c r="M10" t="s">
        <v>67</v>
      </c>
      <c r="N10" s="13" t="s">
        <v>68</v>
      </c>
      <c r="O10" s="14">
        <v>45054</v>
      </c>
      <c r="P10" s="18">
        <v>0.66249999999999998</v>
      </c>
      <c r="Q10" t="s">
        <v>89</v>
      </c>
      <c r="R10" s="17" t="s">
        <v>90</v>
      </c>
      <c r="S10" s="15">
        <f t="shared" si="0"/>
        <v>0.66249999999999998</v>
      </c>
      <c r="T10"/>
      <c r="U10"/>
      <c r="V10" s="1" t="s">
        <v>119</v>
      </c>
      <c r="W10" s="1" t="s">
        <v>119</v>
      </c>
    </row>
    <row r="11" spans="1:23" ht="12" customHeight="1" x14ac:dyDescent="0.3">
      <c r="A11">
        <v>111</v>
      </c>
      <c r="B11" t="s">
        <v>3</v>
      </c>
      <c r="C11" t="s">
        <v>54</v>
      </c>
      <c r="D11" s="5">
        <v>45054</v>
      </c>
      <c r="E11" s="6">
        <v>0.62708333333333299</v>
      </c>
      <c r="F11" s="7" t="s">
        <v>50</v>
      </c>
      <c r="G11" t="s">
        <v>60</v>
      </c>
      <c r="H11" s="11" t="s">
        <v>23</v>
      </c>
      <c r="I11" s="11" t="s">
        <v>51</v>
      </c>
      <c r="J11" t="s">
        <v>65</v>
      </c>
      <c r="K11" t="s">
        <v>50</v>
      </c>
      <c r="L11" s="12" t="s">
        <v>91</v>
      </c>
      <c r="M11" t="s">
        <v>67</v>
      </c>
      <c r="N11" s="13" t="s">
        <v>68</v>
      </c>
      <c r="O11" s="14">
        <v>45054</v>
      </c>
      <c r="P11" s="18">
        <v>0.69861111111111107</v>
      </c>
      <c r="Q11" s="17" t="s">
        <v>51</v>
      </c>
      <c r="R11" s="17" t="s">
        <v>92</v>
      </c>
      <c r="S11" s="15">
        <f t="shared" si="0"/>
        <v>7.1527777777778079E-2</v>
      </c>
      <c r="T11"/>
      <c r="U11" s="9"/>
      <c r="V11" s="1" t="s">
        <v>119</v>
      </c>
      <c r="W11" s="1" t="s">
        <v>119</v>
      </c>
    </row>
    <row r="12" spans="1:23" ht="12" customHeight="1" x14ac:dyDescent="0.3">
      <c r="A12">
        <v>112</v>
      </c>
      <c r="B12" t="s">
        <v>3</v>
      </c>
      <c r="C12" t="s">
        <v>54</v>
      </c>
      <c r="D12" s="5">
        <v>45054</v>
      </c>
      <c r="E12" s="6">
        <v>0.59791666666666698</v>
      </c>
      <c r="F12" s="7" t="s">
        <v>50</v>
      </c>
      <c r="G12" t="s">
        <v>60</v>
      </c>
      <c r="H12" s="8" t="s">
        <v>55</v>
      </c>
      <c r="I12" s="8" t="s">
        <v>29</v>
      </c>
      <c r="J12" t="s">
        <v>93</v>
      </c>
      <c r="K12" t="s">
        <v>50</v>
      </c>
      <c r="L12" s="12" t="s">
        <v>94</v>
      </c>
      <c r="M12" t="s">
        <v>67</v>
      </c>
      <c r="N12" s="13" t="s">
        <v>68</v>
      </c>
      <c r="O12" s="19"/>
      <c r="P12" s="15"/>
      <c r="Q12" s="16" t="s">
        <v>29</v>
      </c>
      <c r="R12"/>
      <c r="S12" s="15">
        <f t="shared" si="0"/>
        <v>-0.59791666666666698</v>
      </c>
      <c r="T12"/>
      <c r="U12" s="9"/>
      <c r="V12" s="1" t="s">
        <v>119</v>
      </c>
      <c r="W12" s="1" t="s">
        <v>119</v>
      </c>
    </row>
    <row r="13" spans="1:23" ht="12" customHeight="1" x14ac:dyDescent="0.3">
      <c r="A13">
        <v>113</v>
      </c>
      <c r="B13" t="s">
        <v>3</v>
      </c>
      <c r="C13" t="s">
        <v>54</v>
      </c>
      <c r="D13" s="5">
        <v>45054</v>
      </c>
      <c r="E13" s="6">
        <v>0.54930555555555605</v>
      </c>
      <c r="F13" s="7" t="s">
        <v>50</v>
      </c>
      <c r="G13" t="s">
        <v>60</v>
      </c>
      <c r="H13" s="8" t="s">
        <v>37</v>
      </c>
      <c r="I13" s="8" t="s">
        <v>7</v>
      </c>
      <c r="J13" t="s">
        <v>65</v>
      </c>
      <c r="K13" t="s">
        <v>50</v>
      </c>
      <c r="L13" s="12" t="s">
        <v>95</v>
      </c>
      <c r="M13" t="s">
        <v>67</v>
      </c>
      <c r="N13" s="13" t="s">
        <v>68</v>
      </c>
      <c r="O13" s="14">
        <v>45054</v>
      </c>
      <c r="P13" s="18">
        <v>0.66249999999999998</v>
      </c>
      <c r="Q13" s="12" t="s">
        <v>96</v>
      </c>
      <c r="R13" s="17" t="s">
        <v>97</v>
      </c>
      <c r="S13" s="15">
        <f t="shared" si="0"/>
        <v>0.11319444444444393</v>
      </c>
      <c r="T13"/>
      <c r="U13" s="9"/>
      <c r="V13" s="1" t="s">
        <v>119</v>
      </c>
      <c r="W13" s="1" t="s">
        <v>119</v>
      </c>
    </row>
    <row r="14" spans="1:23" ht="12" customHeight="1" x14ac:dyDescent="0.3">
      <c r="A14">
        <v>114</v>
      </c>
      <c r="B14" t="s">
        <v>3</v>
      </c>
      <c r="C14" t="s">
        <v>54</v>
      </c>
      <c r="D14" s="5">
        <v>45054</v>
      </c>
      <c r="E14" t="s">
        <v>20</v>
      </c>
      <c r="F14" s="7" t="s">
        <v>53</v>
      </c>
      <c r="G14" t="s">
        <v>60</v>
      </c>
      <c r="H14" t="s">
        <v>37</v>
      </c>
      <c r="I14" t="s">
        <v>38</v>
      </c>
      <c r="J14" t="s">
        <v>65</v>
      </c>
      <c r="K14" t="s">
        <v>53</v>
      </c>
      <c r="L14" s="12" t="s">
        <v>83</v>
      </c>
      <c r="M14" t="s">
        <v>67</v>
      </c>
      <c r="N14" s="13" t="s">
        <v>68</v>
      </c>
      <c r="O14" s="14">
        <v>45054</v>
      </c>
      <c r="P14" s="18">
        <v>0.70624999999999993</v>
      </c>
      <c r="Q14" s="12" t="s">
        <v>38</v>
      </c>
      <c r="R14" s="17" t="s">
        <v>98</v>
      </c>
      <c r="S14" s="15" t="e">
        <f t="shared" si="0"/>
        <v>#VALUE!</v>
      </c>
      <c r="T14"/>
      <c r="U14" s="9"/>
      <c r="V14" s="1" t="s">
        <v>119</v>
      </c>
      <c r="W14" s="1" t="s">
        <v>119</v>
      </c>
    </row>
    <row r="15" spans="1:23" ht="12" customHeight="1" x14ac:dyDescent="0.3">
      <c r="A15">
        <v>115</v>
      </c>
      <c r="B15" t="s">
        <v>3</v>
      </c>
      <c r="C15" t="s">
        <v>54</v>
      </c>
      <c r="D15" s="5">
        <v>45054</v>
      </c>
      <c r="E15" t="s">
        <v>1</v>
      </c>
      <c r="F15" s="7" t="s">
        <v>53</v>
      </c>
      <c r="G15" t="s">
        <v>60</v>
      </c>
      <c r="H15" t="s">
        <v>37</v>
      </c>
      <c r="I15" t="s">
        <v>16</v>
      </c>
      <c r="J15" t="s">
        <v>65</v>
      </c>
      <c r="K15" t="s">
        <v>53</v>
      </c>
      <c r="L15" s="12" t="s">
        <v>83</v>
      </c>
      <c r="M15" t="s">
        <v>67</v>
      </c>
      <c r="N15" s="13" t="s">
        <v>68</v>
      </c>
      <c r="O15" s="14">
        <v>45054</v>
      </c>
      <c r="P15" s="18">
        <v>0.71319444444444446</v>
      </c>
      <c r="Q15" t="s">
        <v>16</v>
      </c>
      <c r="R15" s="17" t="s">
        <v>99</v>
      </c>
      <c r="S15" s="15" t="e">
        <f t="shared" si="0"/>
        <v>#VALUE!</v>
      </c>
      <c r="T15"/>
      <c r="U15" s="9"/>
      <c r="V15" s="1" t="s">
        <v>119</v>
      </c>
      <c r="W15" s="1" t="s">
        <v>119</v>
      </c>
    </row>
    <row r="16" spans="1:23" ht="12" customHeight="1" x14ac:dyDescent="0.3">
      <c r="A16">
        <v>116</v>
      </c>
      <c r="B16" t="s">
        <v>3</v>
      </c>
      <c r="C16" t="s">
        <v>54</v>
      </c>
      <c r="D16" s="5">
        <v>45054</v>
      </c>
      <c r="E16" t="s">
        <v>28</v>
      </c>
      <c r="F16" s="7" t="s">
        <v>53</v>
      </c>
      <c r="G16" t="s">
        <v>60</v>
      </c>
      <c r="H16" s="8" t="s">
        <v>56</v>
      </c>
      <c r="I16" t="s">
        <v>41</v>
      </c>
      <c r="J16" t="s">
        <v>74</v>
      </c>
      <c r="K16" t="s">
        <v>50</v>
      </c>
      <c r="L16" t="s">
        <v>100</v>
      </c>
      <c r="M16" t="s">
        <v>67</v>
      </c>
      <c r="N16" s="13" t="s">
        <v>68</v>
      </c>
      <c r="O16" s="14">
        <v>45054</v>
      </c>
      <c r="P16" s="18">
        <v>0.75763888888888886</v>
      </c>
      <c r="Q16" t="s">
        <v>101</v>
      </c>
      <c r="R16" s="17" t="s">
        <v>102</v>
      </c>
      <c r="S16" s="15" t="e">
        <f t="shared" si="0"/>
        <v>#VALUE!</v>
      </c>
      <c r="T16"/>
      <c r="U16"/>
      <c r="V16" s="1" t="s">
        <v>119</v>
      </c>
      <c r="W16" s="1" t="s">
        <v>119</v>
      </c>
    </row>
    <row r="17" spans="1:23" ht="12" customHeight="1" x14ac:dyDescent="0.3">
      <c r="A17">
        <v>117</v>
      </c>
      <c r="B17" t="s">
        <v>3</v>
      </c>
      <c r="C17" t="s">
        <v>54</v>
      </c>
      <c r="D17" s="5">
        <v>45054</v>
      </c>
      <c r="E17" s="10">
        <v>0.70208333333333295</v>
      </c>
      <c r="F17" s="7" t="s">
        <v>53</v>
      </c>
      <c r="G17" t="s">
        <v>48</v>
      </c>
      <c r="H17" t="s">
        <v>56</v>
      </c>
      <c r="I17" t="s">
        <v>21</v>
      </c>
      <c r="J17" t="s">
        <v>74</v>
      </c>
      <c r="K17" t="s">
        <v>103</v>
      </c>
      <c r="L17" s="21" t="s">
        <v>104</v>
      </c>
      <c r="M17" t="s">
        <v>67</v>
      </c>
      <c r="N17" s="13" t="s">
        <v>68</v>
      </c>
      <c r="O17" s="14">
        <v>45054</v>
      </c>
      <c r="P17" s="18">
        <v>0.75902777777777775</v>
      </c>
      <c r="Q17" s="21" t="s">
        <v>105</v>
      </c>
      <c r="R17" s="17" t="s">
        <v>106</v>
      </c>
      <c r="S17" s="15">
        <f t="shared" si="0"/>
        <v>5.6944444444444797E-2</v>
      </c>
      <c r="T17"/>
      <c r="U17"/>
      <c r="V17" s="1" t="s">
        <v>119</v>
      </c>
      <c r="W17" s="1" t="s">
        <v>119</v>
      </c>
    </row>
    <row r="18" spans="1:23" ht="12" customHeight="1" x14ac:dyDescent="0.3">
      <c r="A18">
        <v>118</v>
      </c>
      <c r="B18" t="s">
        <v>3</v>
      </c>
      <c r="C18" t="s">
        <v>54</v>
      </c>
      <c r="D18" s="5">
        <v>45054</v>
      </c>
      <c r="E18" s="6">
        <v>0.70763888888888904</v>
      </c>
      <c r="F18" s="7" t="s">
        <v>50</v>
      </c>
      <c r="G18" t="s">
        <v>60</v>
      </c>
      <c r="H18" s="8" t="s">
        <v>8</v>
      </c>
      <c r="I18" s="8" t="s">
        <v>31</v>
      </c>
      <c r="J18" t="s">
        <v>74</v>
      </c>
      <c r="K18" t="s">
        <v>50</v>
      </c>
      <c r="L18" s="22" t="s">
        <v>107</v>
      </c>
      <c r="M18" t="s">
        <v>67</v>
      </c>
      <c r="N18" s="13" t="s">
        <v>68</v>
      </c>
      <c r="O18" s="14">
        <v>45054</v>
      </c>
      <c r="P18" s="18">
        <v>0.73611111111111116</v>
      </c>
      <c r="Q18" s="16" t="s">
        <v>31</v>
      </c>
      <c r="R18" s="17" t="s">
        <v>108</v>
      </c>
      <c r="S18" s="15">
        <f t="shared" si="0"/>
        <v>2.8472222222222121E-2</v>
      </c>
      <c r="T18"/>
      <c r="U18"/>
      <c r="V18" s="1" t="s">
        <v>119</v>
      </c>
      <c r="W18" s="1" t="s">
        <v>119</v>
      </c>
    </row>
    <row r="19" spans="1:23" ht="12" customHeight="1" x14ac:dyDescent="0.3">
      <c r="A19">
        <v>119</v>
      </c>
      <c r="B19" t="s">
        <v>3</v>
      </c>
      <c r="C19" t="s">
        <v>54</v>
      </c>
      <c r="D19" s="5">
        <v>45054</v>
      </c>
      <c r="E19" s="6">
        <v>0.70972222222222203</v>
      </c>
      <c r="F19" s="7" t="s">
        <v>50</v>
      </c>
      <c r="G19" t="s">
        <v>60</v>
      </c>
      <c r="H19" s="8" t="s">
        <v>8</v>
      </c>
      <c r="I19" s="8" t="s">
        <v>39</v>
      </c>
      <c r="J19" t="s">
        <v>74</v>
      </c>
      <c r="K19" t="s">
        <v>50</v>
      </c>
      <c r="L19" s="22" t="s">
        <v>107</v>
      </c>
      <c r="M19" t="s">
        <v>67</v>
      </c>
      <c r="N19" s="13" t="s">
        <v>68</v>
      </c>
      <c r="O19" s="14">
        <v>45054</v>
      </c>
      <c r="P19" s="18">
        <v>0.7402777777777777</v>
      </c>
      <c r="Q19" s="16" t="s">
        <v>39</v>
      </c>
      <c r="R19" s="17" t="s">
        <v>109</v>
      </c>
      <c r="S19" s="15">
        <f t="shared" si="0"/>
        <v>3.0555555555555669E-2</v>
      </c>
      <c r="T19"/>
      <c r="U19"/>
      <c r="V19" s="1" t="s">
        <v>119</v>
      </c>
      <c r="W19" s="1" t="s">
        <v>119</v>
      </c>
    </row>
    <row r="20" spans="1:23" ht="12" customHeight="1" x14ac:dyDescent="0.45">
      <c r="A20">
        <v>120</v>
      </c>
      <c r="B20" t="s">
        <v>3</v>
      </c>
      <c r="C20" t="s">
        <v>54</v>
      </c>
      <c r="D20" s="5">
        <v>45054</v>
      </c>
      <c r="E20" s="6">
        <v>0.70972222222222203</v>
      </c>
      <c r="F20" s="7" t="s">
        <v>53</v>
      </c>
      <c r="G20" t="s">
        <v>60</v>
      </c>
      <c r="H20" s="8" t="s">
        <v>37</v>
      </c>
      <c r="I20" s="8" t="s">
        <v>22</v>
      </c>
      <c r="J20" t="s">
        <v>74</v>
      </c>
      <c r="K20" t="s">
        <v>53</v>
      </c>
      <c r="L20" s="23" t="s">
        <v>110</v>
      </c>
      <c r="M20" t="s">
        <v>67</v>
      </c>
      <c r="N20" s="13" t="s">
        <v>68</v>
      </c>
      <c r="O20" s="19"/>
      <c r="P20" s="18">
        <v>0.7631944444444444</v>
      </c>
      <c r="Q20" s="16" t="s">
        <v>22</v>
      </c>
      <c r="R20" s="17" t="s">
        <v>111</v>
      </c>
      <c r="S20" s="15">
        <f t="shared" si="0"/>
        <v>5.3472222222222365E-2</v>
      </c>
      <c r="T20"/>
      <c r="U20"/>
      <c r="V20" s="1" t="s">
        <v>119</v>
      </c>
      <c r="W20" s="1" t="s">
        <v>119</v>
      </c>
    </row>
    <row r="21" spans="1:23" ht="12" customHeight="1" x14ac:dyDescent="0.45">
      <c r="A21">
        <v>121</v>
      </c>
      <c r="B21" t="s">
        <v>3</v>
      </c>
      <c r="C21" t="s">
        <v>54</v>
      </c>
      <c r="D21" s="5">
        <v>45054</v>
      </c>
      <c r="E21" s="6">
        <v>0.70972222222222203</v>
      </c>
      <c r="F21" s="7" t="s">
        <v>53</v>
      </c>
      <c r="G21" t="s">
        <v>60</v>
      </c>
      <c r="H21" t="s">
        <v>37</v>
      </c>
      <c r="I21" s="8" t="s">
        <v>19</v>
      </c>
      <c r="J21" t="s">
        <v>74</v>
      </c>
      <c r="K21" t="s">
        <v>53</v>
      </c>
      <c r="L21" s="23" t="s">
        <v>110</v>
      </c>
      <c r="M21" t="s">
        <v>67</v>
      </c>
      <c r="N21" s="13" t="s">
        <v>68</v>
      </c>
      <c r="O21" s="14">
        <v>45054</v>
      </c>
      <c r="P21" s="18">
        <v>0.78472222222222221</v>
      </c>
      <c r="Q21" s="16" t="s">
        <v>19</v>
      </c>
      <c r="R21" s="17" t="s">
        <v>112</v>
      </c>
      <c r="S21" s="15">
        <f t="shared" si="0"/>
        <v>7.5000000000000178E-2</v>
      </c>
      <c r="T21"/>
      <c r="U21"/>
      <c r="V21" s="1" t="s">
        <v>119</v>
      </c>
      <c r="W21" s="1" t="s">
        <v>119</v>
      </c>
    </row>
    <row r="22" spans="1:23" ht="12" customHeight="1" x14ac:dyDescent="0.3">
      <c r="A22">
        <v>122</v>
      </c>
      <c r="B22" t="s">
        <v>3</v>
      </c>
      <c r="C22" t="s">
        <v>54</v>
      </c>
      <c r="D22" s="5">
        <v>45054</v>
      </c>
      <c r="E22" s="6">
        <v>0.72083333333333299</v>
      </c>
      <c r="F22" s="7" t="s">
        <v>50</v>
      </c>
      <c r="G22" t="s">
        <v>60</v>
      </c>
      <c r="H22" s="11" t="s">
        <v>56</v>
      </c>
      <c r="I22" s="11" t="s">
        <v>46</v>
      </c>
      <c r="J22" t="s">
        <v>65</v>
      </c>
      <c r="K22" t="s">
        <v>50</v>
      </c>
      <c r="L22" s="12" t="s">
        <v>113</v>
      </c>
      <c r="M22" t="s">
        <v>67</v>
      </c>
      <c r="N22" s="13" t="s">
        <v>68</v>
      </c>
      <c r="O22" s="14">
        <v>45054</v>
      </c>
      <c r="P22" s="18">
        <v>0.76180555555555562</v>
      </c>
      <c r="Q22" s="12" t="s">
        <v>114</v>
      </c>
      <c r="R22" s="17" t="s">
        <v>115</v>
      </c>
      <c r="S22" s="15">
        <f t="shared" si="0"/>
        <v>4.0972222222222632E-2</v>
      </c>
      <c r="T22"/>
      <c r="U22" s="9"/>
      <c r="V22" s="1" t="s">
        <v>119</v>
      </c>
      <c r="W22" s="1" t="s">
        <v>119</v>
      </c>
    </row>
    <row r="23" spans="1:23" ht="12" customHeight="1" x14ac:dyDescent="0.3">
      <c r="A23">
        <v>123</v>
      </c>
      <c r="B23" t="s">
        <v>3</v>
      </c>
      <c r="C23" t="s">
        <v>54</v>
      </c>
      <c r="D23" s="5">
        <v>45054</v>
      </c>
      <c r="E23" s="6">
        <v>0.76249999999999996</v>
      </c>
      <c r="F23" s="7" t="s">
        <v>50</v>
      </c>
      <c r="G23" t="s">
        <v>60</v>
      </c>
      <c r="H23" s="8" t="s">
        <v>5</v>
      </c>
      <c r="I23" s="11" t="s">
        <v>62</v>
      </c>
      <c r="J23" t="s">
        <v>65</v>
      </c>
      <c r="K23" t="s">
        <v>50</v>
      </c>
      <c r="L23" s="12" t="s">
        <v>116</v>
      </c>
      <c r="M23" t="s">
        <v>67</v>
      </c>
      <c r="N23" s="13" t="s">
        <v>68</v>
      </c>
      <c r="O23" s="19"/>
      <c r="P23" s="15"/>
      <c r="Q23"/>
      <c r="R23"/>
      <c r="S23" s="15">
        <f t="shared" si="0"/>
        <v>-0.76249999999999996</v>
      </c>
      <c r="T23"/>
      <c r="U23"/>
      <c r="V23" s="1" t="s">
        <v>119</v>
      </c>
      <c r="W23" s="1" t="s">
        <v>119</v>
      </c>
    </row>
    <row r="24" spans="1:23" ht="12" customHeight="1" x14ac:dyDescent="0.3">
      <c r="A24">
        <v>124</v>
      </c>
      <c r="B24" t="s">
        <v>3</v>
      </c>
      <c r="C24" t="s">
        <v>54</v>
      </c>
      <c r="D24" s="5">
        <v>45054</v>
      </c>
      <c r="E24" s="7">
        <v>0.28749999999999998</v>
      </c>
      <c r="F24" s="7" t="s">
        <v>53</v>
      </c>
      <c r="G24" t="s">
        <v>60</v>
      </c>
      <c r="H24" t="s">
        <v>37</v>
      </c>
      <c r="I24" t="s">
        <v>34</v>
      </c>
      <c r="J24" t="s">
        <v>65</v>
      </c>
      <c r="K24" t="s">
        <v>53</v>
      </c>
      <c r="L24" s="12" t="s">
        <v>117</v>
      </c>
      <c r="M24" t="s">
        <v>67</v>
      </c>
      <c r="N24" s="13" t="s">
        <v>68</v>
      </c>
      <c r="O24" s="19"/>
      <c r="P24" s="15"/>
      <c r="Q24" t="s">
        <v>118</v>
      </c>
      <c r="R24"/>
      <c r="S24" s="15">
        <f t="shared" si="0"/>
        <v>-0.28749999999999998</v>
      </c>
      <c r="T24"/>
      <c r="U24" s="9"/>
      <c r="V24" s="1" t="s">
        <v>119</v>
      </c>
      <c r="W24" s="1" t="s">
        <v>119</v>
      </c>
    </row>
    <row r="25" spans="1:23" ht="12" customHeight="1" x14ac:dyDescent="0.3">
      <c r="A25">
        <v>125</v>
      </c>
      <c r="B25" t="s">
        <v>3</v>
      </c>
      <c r="C25" t="s">
        <v>54</v>
      </c>
      <c r="D25" s="5">
        <v>45054</v>
      </c>
      <c r="E25" s="7">
        <v>0.28888888888888897</v>
      </c>
      <c r="F25" s="7" t="s">
        <v>53</v>
      </c>
      <c r="G25" t="s">
        <v>60</v>
      </c>
      <c r="H25" t="s">
        <v>37</v>
      </c>
      <c r="I25" t="s">
        <v>43</v>
      </c>
      <c r="J25" t="s">
        <v>65</v>
      </c>
      <c r="K25" t="s">
        <v>53</v>
      </c>
      <c r="L25" s="12" t="s">
        <v>117</v>
      </c>
      <c r="M25" t="s">
        <v>67</v>
      </c>
      <c r="N25" s="13" t="s">
        <v>68</v>
      </c>
      <c r="O25" s="19"/>
      <c r="P25" s="15"/>
      <c r="Q25" t="s">
        <v>43</v>
      </c>
      <c r="R25"/>
      <c r="S25" s="15">
        <f t="shared" si="0"/>
        <v>-0.28888888888888897</v>
      </c>
      <c r="T25"/>
      <c r="U25" s="9"/>
      <c r="V25" s="1" t="s">
        <v>119</v>
      </c>
      <c r="W25" s="1" t="s">
        <v>119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2023-05-08T18:14:41Z</dcterms:modified>
  <cp:category/>
</cp:coreProperties>
</file>