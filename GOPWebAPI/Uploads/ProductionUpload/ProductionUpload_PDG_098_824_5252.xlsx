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851E265A-754E-4073-AA1D-A512C883C25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58" i="1" l="1"/>
  <c r="AS57" i="1"/>
  <c r="AS56" i="1"/>
  <c r="AS55" i="1"/>
  <c r="AS54" i="1"/>
  <c r="AS53" i="1"/>
  <c r="AS52" i="1"/>
  <c r="AS51" i="1"/>
  <c r="AS50" i="1"/>
  <c r="AS49" i="1"/>
  <c r="AS48" i="1"/>
  <c r="AS47" i="1"/>
  <c r="AS46" i="1"/>
  <c r="AS45" i="1"/>
  <c r="AS44" i="1"/>
  <c r="AS43" i="1"/>
  <c r="AS42" i="1"/>
  <c r="AS41" i="1"/>
  <c r="AS40" i="1"/>
  <c r="AS39" i="1"/>
  <c r="AS38" i="1"/>
  <c r="AS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AS5" i="1"/>
  <c r="AS4" i="1"/>
  <c r="AS3" i="1"/>
  <c r="AS2" i="1"/>
</calcChain>
</file>

<file path=xl/sharedStrings.xml><?xml version="1.0" encoding="utf-8"?>
<sst xmlns="http://schemas.openxmlformats.org/spreadsheetml/2006/main" count="2143" uniqueCount="1136">
  <si>
    <t>HUMIDIFIER BUBBLER HIGH FLOW</t>
  </si>
  <si>
    <t>EXPERT</t>
  </si>
  <si>
    <t>TRI-ANIM HEALTH</t>
  </si>
  <si>
    <t>RETRACTOR SURGICAL V.MUELLER HEANEY LARGE 6 3/4IN 1 1/8IN X 3 1/4IN BLADE UROLOGICAL STAINLESS STEEL TEFLON PREMIUM GRADE</t>
  </si>
  <si>
    <t>LR50131</t>
  </si>
  <si>
    <t>CARTO 3</t>
  </si>
  <si>
    <t>Collar Thyroid Standard Ea</t>
  </si>
  <si>
    <t>FORCEPS ELECTROSURGICAL HARDY BIPOLAR 8 1/2INL 0.5MML TIP ROSE GOLD BAYONET PRONG ROUND PIN CONNECTOR NONIRRIGATING INSULATED</t>
  </si>
  <si>
    <t>35836093</t>
  </si>
  <si>
    <t>MEDTRONIC_CPK8307</t>
  </si>
  <si>
    <t>ASIS Item Description (Long Description 4000)</t>
  </si>
  <si>
    <t>STRYKER</t>
  </si>
  <si>
    <t>4011535</t>
  </si>
  <si>
    <t>LINK ORTHOPEDIC_18391001</t>
  </si>
  <si>
    <t>TCV-S1</t>
  </si>
  <si>
    <t>TREACE_MISCLIN</t>
  </si>
  <si>
    <t>Surgical drivers</t>
  </si>
  <si>
    <t>M.U.S.T. RODS</t>
  </si>
  <si>
    <t>ANCHOR PEEK PUSH 3.3 X 10MM</t>
  </si>
  <si>
    <t>PREMIRA</t>
  </si>
  <si>
    <t>STORZ</t>
  </si>
  <si>
    <t>Patient infant caps or hats or material for infant caps</t>
  </si>
  <si>
    <t>Ref#</t>
  </si>
  <si>
    <t>ICOTEC MEDICAL_16602355535</t>
  </si>
  <si>
    <t>HCPCS description</t>
  </si>
  <si>
    <t>FILTER CARBON PELORIS</t>
  </si>
  <si>
    <t>CARDINAL</t>
  </si>
  <si>
    <t>Tab</t>
  </si>
  <si>
    <t>HCPCS</t>
  </si>
  <si>
    <t>34323092</t>
  </si>
  <si>
    <t>SHAPE MEDICAL_IMPFX12</t>
  </si>
  <si>
    <t>VSTL35</t>
  </si>
  <si>
    <t>ANCHOR, PEEK, PUSH, 3.3 X 10MM</t>
  </si>
  <si>
    <t>FORCEPS ELECTROSURGICAL SILVERGLIDE BIPOLAR 6.1IN 0.4MM TIP BAYONET PRECISION GUIDESTOP NON-STICK 2-PIN ROUND CONNECTOR F/MIS SILVER PLATED TIP TITANIUM REUSABLE</t>
  </si>
  <si>
    <t>100PRO08225515S</t>
  </si>
  <si>
    <t>SPINAL ELEMENTS</t>
  </si>
  <si>
    <t>58</t>
  </si>
  <si>
    <t>00190376359212</t>
  </si>
  <si>
    <t>URL</t>
  </si>
  <si>
    <t>SPINAL ELEMENTS_30100060</t>
  </si>
  <si>
    <t>183-910/01</t>
  </si>
  <si>
    <t>LASERENT TX LLC</t>
  </si>
  <si>
    <t>132</t>
  </si>
  <si>
    <t>36580555</t>
  </si>
  <si>
    <t>Classification Remarks1</t>
  </si>
  <si>
    <t>35565647</t>
  </si>
  <si>
    <t>BrandName1</t>
  </si>
  <si>
    <t>MEDLINE_MDS89664LINER</t>
  </si>
  <si>
    <t>PrimaryDeviceID</t>
  </si>
  <si>
    <t>Surgical hand drill chuck or key or related accessory</t>
  </si>
  <si>
    <t>Electrosurgical or electrocautery equipment</t>
  </si>
  <si>
    <t>ROD SPINAL LOTUS 3.5MM 60MM LORDOSED</t>
  </si>
  <si>
    <t>0416610000</t>
  </si>
  <si>
    <t>42295202</t>
  </si>
  <si>
    <t>PROCEDURE CO2 ACUPULSE DUO SURGICAL</t>
  </si>
  <si>
    <t>INFAB</t>
  </si>
  <si>
    <t>MEDLINE</t>
  </si>
  <si>
    <t>0206500000</t>
  </si>
  <si>
    <t>ProdigoReferenceID</t>
  </si>
  <si>
    <t>CONTAINER SPECIMEN COLLECTION POLYPROPYLENE 4OZ CAPACITY GRADUATED LEAK RESISTANT W/SCREW CAP TRANSPARENT LATEX-FREE STERILE DISPOSABLE</t>
  </si>
  <si>
    <t>E0143</t>
  </si>
  <si>
    <t>C1776</t>
  </si>
  <si>
    <t>MEDLINE_DYND30331</t>
  </si>
  <si>
    <t>42211506</t>
  </si>
  <si>
    <t>Mop or broom holder</t>
  </si>
  <si>
    <t>MIS-CLIN</t>
  </si>
  <si>
    <t>LASERENT</t>
  </si>
  <si>
    <t>V. MUELLER</t>
  </si>
  <si>
    <t>AUTOMATIC HIGH VACUUM FOOT PUMP</t>
  </si>
  <si>
    <t>PAD MOP 5X19 IN MICROFIBER SUPERIOR CLEANING CONSISTANT PREMIRA DISPOSABLE</t>
  </si>
  <si>
    <t>LINER COMMODE BARIATRIC UNIVERSAL HYGIENIC W/ABSORBENT PAD LATEX-FREE NON-STERILE DISPOSABLE 12/BX</t>
  </si>
  <si>
    <t>INFAB_MAVERICKRGE01</t>
  </si>
  <si>
    <t>LASERENT TX LLC_LR50131</t>
  </si>
  <si>
    <t>Property</t>
  </si>
  <si>
    <t>MEDLINE_MDS86410W54</t>
  </si>
  <si>
    <t>20</t>
  </si>
  <si>
    <t>(1/EA)(3/BX)(72/CA)</t>
  </si>
  <si>
    <t>BRAUN_US610</t>
  </si>
  <si>
    <t>PENUMBRA</t>
  </si>
  <si>
    <t>Standardized UNSPSC1</t>
  </si>
  <si>
    <t>70</t>
  </si>
  <si>
    <t>STAIN CYTOLOGY OG-6 PAPANICOLAOU 1X1GA HAZARDOUS EA</t>
  </si>
  <si>
    <t>00840606104296</t>
  </si>
  <si>
    <t>10705031462571</t>
  </si>
  <si>
    <t>95</t>
  </si>
  <si>
    <t>PAD MOP PREMIRA II 5IN X 19IN MICROFIBER DISPOSABLE 20/BD 12BD/CA</t>
  </si>
  <si>
    <t>42292402</t>
  </si>
  <si>
    <t>BOWL SOLUTION LARGE PLASTIC 32OZ CAPACITY GRADUATED UTILITY BOWL BLUE LATEX-FREE STERILE INDIVIDUALLY WRAPPED</t>
  </si>
  <si>
    <t>MRN11036</t>
  </si>
  <si>
    <t>TRICE MEDICAL</t>
  </si>
  <si>
    <t>10886982069313</t>
  </si>
  <si>
    <t>75</t>
  </si>
  <si>
    <t>DRILL BIT, AO/QC, 4.5 ANCHOR, 3.6MM</t>
  </si>
  <si>
    <t>55</t>
  </si>
  <si>
    <t>MEDTRONIC_5867AS</t>
  </si>
  <si>
    <t>HUMIDIFIER BUBBLER HI FLO</t>
  </si>
  <si>
    <t>Accepted Date</t>
  </si>
  <si>
    <t>AGILITI HEALTH</t>
  </si>
  <si>
    <t>StatLab OG6 Cytology Stain Quantity: 4 x 1 gal.</t>
  </si>
  <si>
    <t>Lithotripsy Services - Holmium Laser Treatment</t>
  </si>
  <si>
    <t>12773039</t>
  </si>
  <si>
    <t>DEROYAL INDUSTRIES</t>
  </si>
  <si>
    <t>42241801</t>
  </si>
  <si>
    <t>GRACE MEDICAL</t>
  </si>
  <si>
    <t>(1/EA)(100/CT)</t>
  </si>
  <si>
    <t>BOWL SPECIMEN COLLECTION 32 OZ MOLDED GRADUATED EASY OPEN PEEL POUCH PLASTIC LIGHT BLUE STERILE</t>
  </si>
  <si>
    <t>Potential Duplicates</t>
  </si>
  <si>
    <t>Description Duplicate</t>
  </si>
  <si>
    <t>Otologic implants</t>
  </si>
  <si>
    <t>QE Code</t>
  </si>
  <si>
    <t>(1/EA)</t>
  </si>
  <si>
    <t>C.V.A</t>
  </si>
  <si>
    <t>Long Description</t>
  </si>
  <si>
    <t>MISCLIN</t>
  </si>
  <si>
    <t>COP Porous</t>
  </si>
  <si>
    <t>19</t>
  </si>
  <si>
    <t>Respiratory humidifiers or vaporizers</t>
  </si>
  <si>
    <t>E0560</t>
  </si>
  <si>
    <t>CLICKLINE ROBI</t>
  </si>
  <si>
    <t>OSC378365</t>
  </si>
  <si>
    <t>Sterile</t>
  </si>
  <si>
    <t>Data Enrichment</t>
  </si>
  <si>
    <t>WALKER PATIENT STANDARD 21X3238X16 IN 300 LB 2 BUTTON FOLDING WHEEL ALUMINUM PVC LATEXFREE MEDLINE TWOBUTTON WALKERS WITH 5INWHEELS</t>
  </si>
  <si>
    <t>ItemMasterID</t>
  </si>
  <si>
    <t>CARDINAL_CH1682</t>
  </si>
  <si>
    <t>TRICE MEDICAL_5542003001</t>
  </si>
  <si>
    <t>159</t>
  </si>
  <si>
    <t>154</t>
  </si>
  <si>
    <t>10426097</t>
  </si>
  <si>
    <t>42203448</t>
  </si>
  <si>
    <t>WIRE POST 3HOLE NS POST EXTERNAL FIXATION 3 HOLE WIRE NON STERILE POST EXTERNAL FIXATION 3 HOLE WIRE NON STERILE</t>
  </si>
  <si>
    <t>JNJ_0014M</t>
  </si>
  <si>
    <t>416610000</t>
  </si>
  <si>
    <t>STANLEY HEALTHCARE HUGS WI-FI TAG WITH 2-YEAR WARRANTY FOR CCX MODE</t>
  </si>
  <si>
    <t>CONTEC_PRMM0001</t>
  </si>
  <si>
    <t>34294181</t>
  </si>
  <si>
    <t>10885403024122</t>
  </si>
  <si>
    <t>Remarks1</t>
  </si>
  <si>
    <t>35058439</t>
  </si>
  <si>
    <t>CORELINK_4011535</t>
  </si>
  <si>
    <t>Ref</t>
  </si>
  <si>
    <t>NEXTMED</t>
  </si>
  <si>
    <t>4256415</t>
  </si>
  <si>
    <t>DRILL SURGICAL QUICK CONNECT 6/7 HUDSON COMPONENT POWER TOOL ATTACHMENT SYSTEM</t>
  </si>
  <si>
    <t>PROSTHESIS OSSICULAR 27 MM 2.5X3.5 0.8 1.45 OFFSET DUO ALTO TOTAL WITH STAPES ADAPTOR MRICONDITIONAL TITANIUM W/</t>
  </si>
  <si>
    <t>SLING ORTHOPEDIC UNIVERSAL COTTON CLOTH ARM W/SHOULDER STRAP ROLYAN</t>
  </si>
  <si>
    <t>ELECTRODE ELECTROSURGICAL E-Z CLEAN STANDARD 6.5IN NEEDLE EXTENDED MODIFIED BLADE PARTIALLY INSULATED TIP NON-STICK PTFE COATED LATEX-FREE STERILE DISPOSABLE</t>
  </si>
  <si>
    <t>RefName</t>
  </si>
  <si>
    <t>65mm 5.5mm Bullet Nose Curved Rod</t>
  </si>
  <si>
    <t>36592894</t>
  </si>
  <si>
    <t>ATTACHMENT HANDPIECE HUDSON 2-TRIGGER SYSTEM 6</t>
  </si>
  <si>
    <t>LASER SURGICAL CO2 DUO PROCEDURE ACUPULSE</t>
  </si>
  <si>
    <t>42131512</t>
  </si>
  <si>
    <t>AESCULAP</t>
  </si>
  <si>
    <t>0416-610-000</t>
  </si>
  <si>
    <t>41300436</t>
  </si>
  <si>
    <t>SE Code</t>
  </si>
  <si>
    <t>(1/EA)(4/EA/CA)</t>
  </si>
  <si>
    <t>SLMP_SL921</t>
  </si>
  <si>
    <t>HEALTHMARK IND CO_IPC004</t>
  </si>
  <si>
    <t>91</t>
  </si>
  <si>
    <t>7195672</t>
  </si>
  <si>
    <t>21</t>
  </si>
  <si>
    <t>SHAPE MEDICAL SYSTEMS</t>
  </si>
  <si>
    <t>CLAMP SURGICAL COMBINATION LARGE</t>
  </si>
  <si>
    <t>03.52.460</t>
  </si>
  <si>
    <t>41</t>
  </si>
  <si>
    <t>JOHNSON &amp; JOHNSON</t>
  </si>
  <si>
    <t>CAP INF STOCK SPUN POLY KNIT STRP NWBRN</t>
  </si>
  <si>
    <t>COVER PROBE 48X5 IN 20 CC EASY INSERT WITH BAND TAPE STERILE GEL POLYURETHANE NON STERILE SOFTFLEX LATEXFREE</t>
  </si>
  <si>
    <t>PrimaryDimension(IDXODXLXWXHXDXTHK)</t>
  </si>
  <si>
    <t>Surgical isolation suit or helmet or shield</t>
  </si>
  <si>
    <t>MEDLINE_MRN11036</t>
  </si>
  <si>
    <t>Production User</t>
  </si>
  <si>
    <t>COVER PROBE ULTRASOUND SOFT-FLEX 5IN X 48IN W/20ML STERILE GEL EASY INSERT BAND TAPE 25/CA</t>
  </si>
  <si>
    <t>Quality A/R</t>
  </si>
  <si>
    <t>42271801</t>
  </si>
  <si>
    <t>LINK ORTHOPEDIC</t>
  </si>
  <si>
    <t>20-PC548</t>
  </si>
  <si>
    <t>SLEEVE LEAD 4 FRX1.3 MM ANCHORING PINCH ON</t>
  </si>
  <si>
    <t>Long Description 254 Enriched</t>
  </si>
  <si>
    <t>Sort Code</t>
  </si>
  <si>
    <t>161</t>
  </si>
  <si>
    <t>SOFTFLEX</t>
  </si>
  <si>
    <t>OMNIA MEDICAL_OM9245565</t>
  </si>
  <si>
    <t>Surgical bone cement mixer accessories</t>
  </si>
  <si>
    <t>42321605</t>
  </si>
  <si>
    <t>CAP INFANT STOCKINETTE SPUN POLYESTER KNIT STRIPE NEWBORN</t>
  </si>
  <si>
    <t>JNJ_OSC378365</t>
  </si>
  <si>
    <t>EZ Clean Blade Electrode 12/Bx</t>
  </si>
  <si>
    <t>LITHOHOLMIUMLASERSVC</t>
  </si>
  <si>
    <t>616A</t>
  </si>
  <si>
    <t>Surgical retractors</t>
  </si>
  <si>
    <t>261391</t>
  </si>
  <si>
    <t>184-280/01</t>
  </si>
  <si>
    <t>(6/EA)(6/PK)(6/EA/CA)</t>
  </si>
  <si>
    <t>DE Code</t>
  </si>
  <si>
    <t>42291708</t>
  </si>
  <si>
    <t>WALKER PATIENT 300LB ADULT 32IN-38IN 5IN CASTER FOLDABLE PUSH-BUTTONX2 W/CROSS-BRACE ALUMINUM VINYL HANDLE PVC</t>
  </si>
  <si>
    <t>33631449</t>
  </si>
  <si>
    <t>PERFORMANCE HEALTH</t>
  </si>
  <si>
    <t>9900297</t>
  </si>
  <si>
    <t>CARDINAL_GL392</t>
  </si>
  <si>
    <t>3311173</t>
  </si>
  <si>
    <t>730A</t>
  </si>
  <si>
    <t>133</t>
  </si>
  <si>
    <t>7789265</t>
  </si>
  <si>
    <t>40115-35</t>
  </si>
  <si>
    <t>42203508</t>
  </si>
  <si>
    <t>41300445</t>
  </si>
  <si>
    <t>OSC365937</t>
  </si>
  <si>
    <t>Potential Duplicates1</t>
  </si>
  <si>
    <t>DEROYAL</t>
  </si>
  <si>
    <t>14M</t>
  </si>
  <si>
    <t>HCPCS Desc</t>
  </si>
  <si>
    <t>ADVANCE MEDICAL DESIGNS</t>
  </si>
  <si>
    <t>ROBI KELLY CLERMONT-FERRAND BIPOLAR FCP KIT, DBL ACTN, 5MMX36CM</t>
  </si>
  <si>
    <t>SHAPE MEDICAL</t>
  </si>
  <si>
    <t>6203113000</t>
  </si>
  <si>
    <t>IDENTITI NANOTEC LIF POROUS TI SPACER 8X22X55 MM 15</t>
  </si>
  <si>
    <t>CPK8307</t>
  </si>
  <si>
    <t>Surgical lasers</t>
  </si>
  <si>
    <t>41104118</t>
  </si>
  <si>
    <t>03311173</t>
  </si>
  <si>
    <t>141</t>
  </si>
  <si>
    <t>LITHO HOLMIUM LASER SVC</t>
  </si>
  <si>
    <t>Cardiac pacing lead or electrode accessories</t>
  </si>
  <si>
    <t>CONTEC</t>
  </si>
  <si>
    <t>TREACE</t>
  </si>
  <si>
    <t>SCREWDRIVER SURGICAL SELFRETAINING 319 MM SELF HOLDING STAR DRIVE FOR TIBIAL NAIL NON STERILE EXPERT</t>
  </si>
  <si>
    <t>Location</t>
  </si>
  <si>
    <t>18428001</t>
  </si>
  <si>
    <t>6720-155-004</t>
  </si>
  <si>
    <t>IDENTITI NANOTEC</t>
  </si>
  <si>
    <t>STARDRIVE SCREWDRIVER/T25 SELF RETAINING/320MM</t>
  </si>
  <si>
    <t>StdMfgName</t>
  </si>
  <si>
    <t>DRILL BIT AO/QC 4.5 ANCHOR 3.6MM</t>
  </si>
  <si>
    <t>ALPHATEC_100PRO08225515S</t>
  </si>
  <si>
    <t>SECURITAS HEALTHCARE</t>
  </si>
  <si>
    <t>109</t>
  </si>
  <si>
    <t>SILVERGLIDE</t>
  </si>
  <si>
    <t>MAVERICKRGE-01</t>
  </si>
  <si>
    <t>149</t>
  </si>
  <si>
    <t>148</t>
  </si>
  <si>
    <t>FORCEPS ELECTROSURGICAL HARDY BIPOLAR STANDARD 8.5IN 4.5IN WORKING 0.5MM TIP BAYONET INSULATED NON-IRRIGATING NON-STICK ROUND CONNECTOR ROSE GOLD PLATED TIP</t>
  </si>
  <si>
    <t>96</t>
  </si>
  <si>
    <t>32-1336NS</t>
  </si>
  <si>
    <t>Miscellaneous</t>
  </si>
  <si>
    <t>ADVANCE MEDICAL DESIGNS_20PC548</t>
  </si>
  <si>
    <t>HELMET SURGICAL ISOLATION WITH LED LIGHT T7</t>
  </si>
  <si>
    <t>147</t>
  </si>
  <si>
    <t>37787115</t>
  </si>
  <si>
    <t>Prodigo Standard Short Description - 254</t>
  </si>
  <si>
    <t>6578524</t>
  </si>
  <si>
    <t>46</t>
  </si>
  <si>
    <t>COLLAR RADIOLOGY STANDARD THYROID W/BINDING NAVY BLUE NON-RADIOPAQUE</t>
  </si>
  <si>
    <t>PACK SURGICAL PROCEDURE CUSTOM TISSUE REMOVAL TX2 3/BX</t>
  </si>
  <si>
    <t>LongDescription</t>
  </si>
  <si>
    <t>CLAMP EXTERNAL FIXATION MULTI PIN LARGE COMBINATION FOR ROD ATTACHMENT AR896407</t>
  </si>
  <si>
    <t>93</t>
  </si>
  <si>
    <t>153</t>
  </si>
  <si>
    <t>Indigo Catheter 7 130cm TORQ + Lightning Bolt As</t>
  </si>
  <si>
    <t>41116124</t>
  </si>
  <si>
    <t>TRI-ANIM_77790025</t>
  </si>
  <si>
    <t>17015319</t>
  </si>
  <si>
    <t>BrandName</t>
  </si>
  <si>
    <t>AGILITI HEALTH_730A</t>
  </si>
  <si>
    <t>5867AS</t>
  </si>
  <si>
    <t>03.010.518</t>
  </si>
  <si>
    <t>FORCEP ELECTROSURGICAL BIPOLAR 0.4 MM 15.5 CM NONSTICK PRECISION BAYONET NON STERILE SILVERGLIDE LATEX</t>
  </si>
  <si>
    <t>ACUPULSE</t>
  </si>
  <si>
    <t>616M</t>
  </si>
  <si>
    <t>FORCEPS SURGICAL V.MUELLER SAROT 9 1/2IN 3IN JAW INTRATHORACIC ARTERY CURVED JAW SERRATED RATCHET DOUBLEACTION RING HANDLE SATIN FINISH STAINLESS STEEL PREMIUM GRADE</t>
  </si>
  <si>
    <t>CONTAINER SPECIMEN COLLECTION GRADUATED 4 OZ SCREW LID LEAK RESISTANT ID LABEL DAPA POLYPROPYLENE STERILE LATEXFREE</t>
  </si>
  <si>
    <t>Suture anchors</t>
  </si>
  <si>
    <t>Histology reagents or solutions or stains</t>
  </si>
  <si>
    <t>Brandname2</t>
  </si>
  <si>
    <t>600A</t>
  </si>
  <si>
    <t>31040000</t>
  </si>
  <si>
    <t>S26.0434</t>
  </si>
  <si>
    <t>Modifier</t>
  </si>
  <si>
    <t>0416-600-000</t>
  </si>
  <si>
    <t>Customer Code</t>
  </si>
  <si>
    <t>KIT MIXER BONE CEMENT HIGH VACUUM AUTO MIXING SYSTEM F/SPINAL DELIVERY MIXEVAC LATEX-FREE</t>
  </si>
  <si>
    <t>Stem and Ceramic Head</t>
  </si>
  <si>
    <t>ARTHREX</t>
  </si>
  <si>
    <t>PackagingString</t>
  </si>
  <si>
    <t>LEICA_S260434</t>
  </si>
  <si>
    <t>TREACE MEDICAL CONCEPTS</t>
  </si>
  <si>
    <t>BRAUN</t>
  </si>
  <si>
    <t>0352460</t>
  </si>
  <si>
    <t>HEALTHMARK INDUSTRIES</t>
  </si>
  <si>
    <t>Diagnostic or interventional vascular catheter accessories</t>
  </si>
  <si>
    <t>03.311.173</t>
  </si>
  <si>
    <t>LOTUS 3.5 X 60MM LORDOSED ROD</t>
  </si>
  <si>
    <t>PENUMBRA_LITNGBT7TQ130</t>
  </si>
  <si>
    <t>38651MD</t>
  </si>
  <si>
    <t>COVER PROBE EASY INSERT 48X5 IN 20 CC WITH BAND TAPE NON STERILE GEL SOFTFLEX LATEX-FREE</t>
  </si>
  <si>
    <t>SLING ORTHOPAEDIC UNIVERSAL CUFF ADJUSTABLE CRISS CROSS SHOULDER STRAP COTTON CLOTH C.V.A LATEXFREE ROLYAN C.V.A. WEIGHT 0.010000 MACHINE WASHABLE</t>
  </si>
  <si>
    <t>DUAL MOBILITY INSERT C</t>
  </si>
  <si>
    <t>HUMIDIFIER RESPIRATORY BUBBLE 350ML CAPACITY HIGH-FLOW 6PSI SAFETY POP-OFF VALVE LATEX-FREE SINGLE PATIENT USE 25/CA</t>
  </si>
  <si>
    <t>STRYKER_6720155004</t>
  </si>
  <si>
    <t>Verified MFR Name</t>
  </si>
  <si>
    <t>Spinal interbody cages or spacers</t>
  </si>
  <si>
    <t>Holmium: Procedure</t>
  </si>
  <si>
    <t>CH1682</t>
  </si>
  <si>
    <t>9561113</t>
  </si>
  <si>
    <t>HEALTHMARK IND CO</t>
  </si>
  <si>
    <t>EZ CLEAN</t>
  </si>
  <si>
    <t>04546540501622</t>
  </si>
  <si>
    <t>FILTER TISSUE PROCESSOR CARBON</t>
  </si>
  <si>
    <t>352460</t>
  </si>
  <si>
    <t>152</t>
  </si>
  <si>
    <t>URL1</t>
  </si>
  <si>
    <t>99</t>
  </si>
  <si>
    <t>UNSPC V24</t>
  </si>
  <si>
    <t>CATHETER ABLATION CLOSUREFAST 3FR W/PREM PACK/MIS-7F07 F/VEIN CLOSURE</t>
  </si>
  <si>
    <t>APPLICATOR LAPAROSCOPIC DUAL 35 CM RIGID VISTASEAL</t>
  </si>
  <si>
    <t>33708392</t>
  </si>
  <si>
    <t>69</t>
  </si>
  <si>
    <t>PROCEDURE HOLMIUM</t>
  </si>
  <si>
    <t>554-2003-001</t>
  </si>
  <si>
    <t>NIKE MATTE BLACK / GREEN</t>
  </si>
  <si>
    <t>JNJ_VSTL35</t>
  </si>
  <si>
    <t>92</t>
  </si>
  <si>
    <t>DEROYAL_321336NS</t>
  </si>
  <si>
    <t>103</t>
  </si>
  <si>
    <t>102</t>
  </si>
  <si>
    <t>Verified MFR Num</t>
  </si>
  <si>
    <t>22</t>
  </si>
  <si>
    <t>PRMM0001</t>
  </si>
  <si>
    <t>34479057</t>
  </si>
  <si>
    <t>62</t>
  </si>
  <si>
    <t>72</t>
  </si>
  <si>
    <t>42</t>
  </si>
  <si>
    <t>SPINAL ELEMENTS_31040000</t>
  </si>
  <si>
    <t>87</t>
  </si>
  <si>
    <t>0206-500-000</t>
  </si>
  <si>
    <t>LEICA</t>
  </si>
  <si>
    <t>Remarks</t>
  </si>
  <si>
    <t>90</t>
  </si>
  <si>
    <t>150</t>
  </si>
  <si>
    <t>JNJ_03010518</t>
  </si>
  <si>
    <t>37298268</t>
  </si>
  <si>
    <t>HH_Product_Description</t>
  </si>
  <si>
    <t>Age</t>
  </si>
  <si>
    <t>131</t>
  </si>
  <si>
    <t>100-PRO-08225515-S</t>
  </si>
  <si>
    <t>QE Comments</t>
  </si>
  <si>
    <t>MEDLINE_DYND50320</t>
  </si>
  <si>
    <t>RefCat</t>
  </si>
  <si>
    <t>UNSPSC</t>
  </si>
  <si>
    <t>LINK ORTHOPAEDICS</t>
  </si>
  <si>
    <t>ADAPTER RESPIRATORY CHRISTMAS TREE UNIVERSAL 57 MM NIPPLE NUT HOSE STANDARD DISS OUTLET PLASTIC CLEAR LATEXFREE REUSABLE</t>
  </si>
  <si>
    <t>Classification Remarks</t>
  </si>
  <si>
    <t>DYND50320</t>
  </si>
  <si>
    <t>Size</t>
  </si>
  <si>
    <t>41300441</t>
  </si>
  <si>
    <t>0014M</t>
  </si>
  <si>
    <t>(1/EA)(50/EA/CA)</t>
  </si>
  <si>
    <t>HELMET SURGICAL ISOLATION WITH LED LIGHT T7 HEADLIGHT</t>
  </si>
  <si>
    <t>PELORIS</t>
  </si>
  <si>
    <t>Len</t>
  </si>
  <si>
    <t>ENTASIS DUAL LEAD SACROILIAC IMPLANT 11 5MM X 35MM</t>
  </si>
  <si>
    <t>LINER COMMODE DRAWSTRING UNIVERSAL WITH ABSORBENT PAD BEDSIDE TOILET GUARDIAN LATEXFREE DISPOSABLE</t>
  </si>
  <si>
    <t>NEXTMED_LITHOHOLMIUMLASERSVC</t>
  </si>
  <si>
    <t>34070484</t>
  </si>
  <si>
    <t>5542003001</t>
  </si>
  <si>
    <t>ELECTRODE ELECTROSURGICAL BLADE 16.5 CM 6.5 IN MODIFIED MONOPOLAR OPEN EZ CLEAN</t>
  </si>
  <si>
    <t>20PC548</t>
  </si>
  <si>
    <t>DUAL-LEAD SACROILIAC IMPLANT 11.5MM X 35MM</t>
  </si>
  <si>
    <t>Endoscopic clamp or dissector or grasper or forceps</t>
  </si>
  <si>
    <t>SLMP</t>
  </si>
  <si>
    <t>JNJ_03311173</t>
  </si>
  <si>
    <t>ICOTEC MEDICAL</t>
  </si>
  <si>
    <t>DYND30331</t>
  </si>
  <si>
    <t>ROBOTIC INSTRUMENT PROTECTOR CARD</t>
  </si>
  <si>
    <t>POST EXTERNAL FIXATION 3-HOLE WIRE F/DISTRACTION OSTEOGENESIS RING SYSTEM MRI-SAFE NON-STERILE</t>
  </si>
  <si>
    <t>HELMET SURGICAL ISOLATION T7</t>
  </si>
  <si>
    <t>C1883</t>
  </si>
  <si>
    <t>ALPHATEC</t>
  </si>
  <si>
    <t>MEDLINE_MRPP3310</t>
  </si>
  <si>
    <t>OM-924-5565</t>
  </si>
  <si>
    <t>42201705</t>
  </si>
  <si>
    <t>PAD MOP 5X19 IN MICROFIBER SUPERIOR CLEANING CONSISTANT PREMIRA DISPOSABLE PADS</t>
  </si>
  <si>
    <t>04546540532176</t>
  </si>
  <si>
    <t>SlNo</t>
  </si>
  <si>
    <t>Packaging for drugs and solutions</t>
  </si>
  <si>
    <t>07613327461312</t>
  </si>
  <si>
    <t>42201712</t>
  </si>
  <si>
    <t>GRACE</t>
  </si>
  <si>
    <t>SL92-1</t>
  </si>
  <si>
    <t>42295534</t>
  </si>
  <si>
    <t>30100060</t>
  </si>
  <si>
    <t>T7 SURGICAL HELMET W/LED</t>
  </si>
  <si>
    <t>42294908</t>
  </si>
  <si>
    <t>CORELINK</t>
  </si>
  <si>
    <t>MDS86410W54</t>
  </si>
  <si>
    <t>Miscellaneous1</t>
  </si>
  <si>
    <t>SCREWDRIVER SURGICAL SELFRETAINING 319 MM SELF HOLDING STAR DRIVE FOR TIBIAL NAIL NON STERILE EXPERT STARDRIVE T25 RETAINING 319MM</t>
  </si>
  <si>
    <t>Material</t>
  </si>
  <si>
    <t>IDENTITI NANOTEC LIF POROUS TI SPACER, 8 X 22 X 55 MM, 15DEGREES</t>
  </si>
  <si>
    <t>PERFORMANCE HEALTH_A5492</t>
  </si>
  <si>
    <t>SPLIT HANDLE EXT. CABLE,10 LG</t>
  </si>
  <si>
    <t>Activities</t>
  </si>
  <si>
    <t>ShortDescription</t>
  </si>
  <si>
    <t>AR896407</t>
  </si>
  <si>
    <t>5323779</t>
  </si>
  <si>
    <t>47131613</t>
  </si>
  <si>
    <t>10885403043093</t>
  </si>
  <si>
    <t>77-7900-25</t>
  </si>
  <si>
    <t>Medical ultrasound or doppler or echocardiograph probe covers</t>
  </si>
  <si>
    <t>ARTHREX_AR896407</t>
  </si>
  <si>
    <t>INDIGO CATHETER 7, 130CM, TORQ + LIGHTNING BOLT ASPIRATION TUBING</t>
  </si>
  <si>
    <t>ULTRASOUND MEDICAL WITH PROBE BK SURGICAL PER CASE FEE INCL. PROBES</t>
  </si>
  <si>
    <t>Production Comments</t>
  </si>
  <si>
    <t>130</t>
  </si>
  <si>
    <t>112</t>
  </si>
  <si>
    <t>23</t>
  </si>
  <si>
    <t>33</t>
  </si>
  <si>
    <t>TCVS1</t>
  </si>
  <si>
    <t>115</t>
  </si>
  <si>
    <t>Latex</t>
  </si>
  <si>
    <t>73</t>
  </si>
  <si>
    <t>07630030859526</t>
  </si>
  <si>
    <t>StdMfgPartNo</t>
  </si>
  <si>
    <t>39057148</t>
  </si>
  <si>
    <t>4027355</t>
  </si>
  <si>
    <t>Surgical pneumatic or battery or electric saws or drills or pin drivers</t>
  </si>
  <si>
    <t>AGILITI HEALTH_616A</t>
  </si>
  <si>
    <t>VADERONE PEDICLE SYSTEM, SCREW, CARBON/PEEK, POLYAXIAL, DIA 5.5 X 35 MM</t>
  </si>
  <si>
    <t>321336NS</t>
  </si>
  <si>
    <t>Noun</t>
  </si>
  <si>
    <t>30100-060</t>
  </si>
  <si>
    <t>AGILITI HEALTH_616M</t>
  </si>
  <si>
    <t>10886982078391</t>
  </si>
  <si>
    <t>WALKER PATIENT STANDARD 21X3238X16 IN 300 LB 2 BUTTON FOLDING WHEEL ALUMINUM PVC LATEXFREE</t>
  </si>
  <si>
    <t>41300435</t>
  </si>
  <si>
    <t>42295143</t>
  </si>
  <si>
    <t>2917262</t>
  </si>
  <si>
    <t>STANDBY HOLMIUM</t>
  </si>
  <si>
    <t>BOWL SPECIMEN COLLECTION 32 OZ MOLDED GRADUATED EASY OPEN PEEL POUCH PLASTIC LIGHT BLUE STERILE MEDICAL LARGE GRADUATION</t>
  </si>
  <si>
    <t>Start Date</t>
  </si>
  <si>
    <t>IPC004</t>
  </si>
  <si>
    <t>Arm orthopedic softgoods</t>
  </si>
  <si>
    <t>Adjective</t>
  </si>
  <si>
    <t>GL392</t>
  </si>
  <si>
    <t>Respiratory monitoring kit accessories</t>
  </si>
  <si>
    <t>D134402</t>
  </si>
  <si>
    <t>PDF</t>
  </si>
  <si>
    <t>00888867241251</t>
  </si>
  <si>
    <t>41300442</t>
  </si>
  <si>
    <t>MDS89664LINER</t>
  </si>
  <si>
    <t>SLING ORTHOPAEDIC UNIVERSAL CUFF ADJUSTABLE CRISS CROSS SHOULDER STRAP COTTON CLOTH C.V.A LATEXFREE</t>
  </si>
  <si>
    <t>MEDACTA_0352460</t>
  </si>
  <si>
    <t>Tissue processors</t>
  </si>
  <si>
    <t>34957708</t>
  </si>
  <si>
    <t>STRYKER_0206500000</t>
  </si>
  <si>
    <t>CAREFUSION</t>
  </si>
  <si>
    <t>US610</t>
  </si>
  <si>
    <t>JNJ</t>
  </si>
  <si>
    <t>00840606137058</t>
  </si>
  <si>
    <t>10846835022056</t>
  </si>
  <si>
    <t>07613327461336</t>
  </si>
  <si>
    <t>Sort Comment</t>
  </si>
  <si>
    <t>LEICA MICROSYSTEMS</t>
  </si>
  <si>
    <t>42294202</t>
  </si>
  <si>
    <t>37772515</t>
  </si>
  <si>
    <t>107</t>
  </si>
  <si>
    <t>00613994726117</t>
  </si>
  <si>
    <t>LOTUS 2.2MM DRILL</t>
  </si>
  <si>
    <t>CAP INFANT 2-PLY KNITTED SMALL PATTERN PINK/BLUE STRIPE SPUN POLYESTER LATEX-FREE</t>
  </si>
  <si>
    <t>3010518</t>
  </si>
  <si>
    <t>IMPEDE-FX Embolization Plug, 12 mm</t>
  </si>
  <si>
    <t>Volume/Weight</t>
  </si>
  <si>
    <t>TAGHGS1000C</t>
  </si>
  <si>
    <t>129</t>
  </si>
  <si>
    <t>16936131</t>
  </si>
  <si>
    <t>CPK83-07</t>
  </si>
  <si>
    <t>416600000</t>
  </si>
  <si>
    <t>10080196032143</t>
  </si>
  <si>
    <t>TRI-ANIM</t>
  </si>
  <si>
    <t>41300447</t>
  </si>
  <si>
    <t>VISTASEAL</t>
  </si>
  <si>
    <t>KARL STORZ</t>
  </si>
  <si>
    <t>IMP-FX-12</t>
  </si>
  <si>
    <t>8895964</t>
  </si>
  <si>
    <t>POST EXTERNAL FIXATION 3 HOLE WIRE NON STERILE</t>
  </si>
  <si>
    <t>31040-000</t>
  </si>
  <si>
    <t>T7</t>
  </si>
  <si>
    <t>40826794</t>
  </si>
  <si>
    <t>18391001</t>
  </si>
  <si>
    <t>101</t>
  </si>
  <si>
    <t>42293107</t>
  </si>
  <si>
    <t>0416600000</t>
  </si>
  <si>
    <t>Item Description (Long Description 4000)</t>
  </si>
  <si>
    <t>UNSPSCDescription</t>
  </si>
  <si>
    <t>SL921</t>
  </si>
  <si>
    <t>Commode accessories for the physically challenged</t>
  </si>
  <si>
    <t>LINK ORTHOPEDIC_18428001</t>
  </si>
  <si>
    <t>00848340000775</t>
  </si>
  <si>
    <t>Conc</t>
  </si>
  <si>
    <t>163</t>
  </si>
  <si>
    <t>00844505012881</t>
  </si>
  <si>
    <t>33605534</t>
  </si>
  <si>
    <t>166</t>
  </si>
  <si>
    <t>165</t>
  </si>
  <si>
    <t>MEDTRONIC</t>
  </si>
  <si>
    <t>OM9245565</t>
  </si>
  <si>
    <t>42322203</t>
  </si>
  <si>
    <t>JNJ_OSC365937</t>
  </si>
  <si>
    <t>PROSTHESIS OSSICULAR 2.5MM/3.5MM HEAD 0.8MM DISTAL END 1.45MM CUP 2-7MM DUO ALTO TOTAL TITANIUM OFFSET STAPES ADAPTER</t>
  </si>
  <si>
    <t>MAVERICKRGE01</t>
  </si>
  <si>
    <t>6720155004</t>
  </si>
  <si>
    <t>TAG-HGS-1000-C</t>
  </si>
  <si>
    <t>41300437</t>
  </si>
  <si>
    <t>41300439</t>
  </si>
  <si>
    <t>Securitas Healthcare</t>
  </si>
  <si>
    <t>OMNIA MEDICAL</t>
  </si>
  <si>
    <t>Potential/Desc Duplicate Across</t>
  </si>
  <si>
    <t>04046964161735</t>
  </si>
  <si>
    <t>HUD2557</t>
  </si>
  <si>
    <t>APPLICATOR TISSUE GLUE VISTASEAL LAPAROSCOPIC 35CM DUAL RIGID F/REBLEEDING RISK 3-YR SHELF LIFE 3/BX</t>
  </si>
  <si>
    <t>42271515</t>
  </si>
  <si>
    <t>41300444</t>
  </si>
  <si>
    <t>Job No</t>
  </si>
  <si>
    <t>42295104</t>
  </si>
  <si>
    <t>42141605</t>
  </si>
  <si>
    <t>14420813</t>
  </si>
  <si>
    <t>Electrosurgical or electrocautery accessories or attachments</t>
  </si>
  <si>
    <t>LITNGBT7TQ130</t>
  </si>
  <si>
    <t>118</t>
  </si>
  <si>
    <t>ADAPTER OXYGEN TUBING HUDSON RCI 5-7MM UNIVERSAL NIPPLE NUT SWIVEL CONNECTOR CLEAR CHRISTMAS TREE LATEX-FREE REUSABLE F/STANDARD DISS OUTLET 50/CA</t>
  </si>
  <si>
    <t>164</t>
  </si>
  <si>
    <t>IMPFX12</t>
  </si>
  <si>
    <t>NEXTMED LASER</t>
  </si>
  <si>
    <t>41102909</t>
  </si>
  <si>
    <t>42295119</t>
  </si>
  <si>
    <t>SE Comments</t>
  </si>
  <si>
    <t>16-6023-55535</t>
  </si>
  <si>
    <t>MEDLINE_HUD2557</t>
  </si>
  <si>
    <t>Secondary Dimension(IDXODXLXWXHXDXTHK)</t>
  </si>
  <si>
    <t>158</t>
  </si>
  <si>
    <t>MRPP3310</t>
  </si>
  <si>
    <t>STRYKER_6203113000</t>
  </si>
  <si>
    <t>14855798</t>
  </si>
  <si>
    <t>33943241</t>
  </si>
  <si>
    <t>UNSPSC Description1</t>
  </si>
  <si>
    <t>FORCEPS SURGICAL V.MUELLER SAROT 9 1/2IN 3IN JAW INTRATHORACIC ARTERY CURVED JAW SERRATED RATCHET DOUBLE-ACTION RING HANDLE SATIN FINISH STAINLESS STEEL PREMIUM GRADE</t>
  </si>
  <si>
    <t>206500000</t>
  </si>
  <si>
    <t>Gender</t>
  </si>
  <si>
    <t>42291802</t>
  </si>
  <si>
    <t>S260434</t>
  </si>
  <si>
    <t>BIMOBILE E-POLY LINER FOR 28MM HEAD, 48MM SHELL</t>
  </si>
  <si>
    <t>MEDACTA</t>
  </si>
  <si>
    <t>JNJ_D134402</t>
  </si>
  <si>
    <t>ENH. BENT ROD TI R100 5.5X70MM STERILE</t>
  </si>
  <si>
    <t>36234350</t>
  </si>
  <si>
    <t>16602355535</t>
  </si>
  <si>
    <t>4208177</t>
  </si>
  <si>
    <t>Medical ultrasound or doppler or pulse echocardiograph or echocardiograph units for general diagnostic use</t>
  </si>
  <si>
    <t>104</t>
  </si>
  <si>
    <t>Status</t>
  </si>
  <si>
    <t>03010518</t>
  </si>
  <si>
    <t>Corrected By</t>
  </si>
  <si>
    <t>FORCEP ENDOSCOPIC KELLY 5 MMX36 CM CLERMONT FERRAND DISSECTING GRASPING ROTATING WITH CONNECTOR PIN FOR BIPOLAR COAGULATION CLICKLINE ROBI ROBI DISS AND CLEMONT MODEL ROTATING CONN PIN COAGUALTION 5MMX36CM</t>
  </si>
  <si>
    <t>Color</t>
  </si>
  <si>
    <t>5861960</t>
  </si>
  <si>
    <t>6203-113-000</t>
  </si>
  <si>
    <t>STRYKER_0416600000</t>
  </si>
  <si>
    <t>UNSPSC1</t>
  </si>
  <si>
    <t>Walkers or rollators</t>
  </si>
  <si>
    <t>STRYKER_0416610000</t>
  </si>
  <si>
    <t>Surgical clamps or clips or forceps</t>
  </si>
  <si>
    <t>PDG-Honor</t>
  </si>
  <si>
    <t>HCPCS code</t>
  </si>
  <si>
    <t>41300440</t>
  </si>
  <si>
    <t>2.2MM DRILL</t>
  </si>
  <si>
    <t>External fixation instrument sets or systems</t>
  </si>
  <si>
    <t>CABLE CATHETER 10 FT SIGNAL PROCESSING UNIT INTERFACE CARTO 3</t>
  </si>
  <si>
    <t>HCPCS1</t>
  </si>
  <si>
    <t>HUDSON</t>
  </si>
  <si>
    <t>120</t>
  </si>
  <si>
    <t>33979887</t>
  </si>
  <si>
    <t>34954188</t>
  </si>
  <si>
    <t>41300446</t>
  </si>
  <si>
    <t>INFAB_TCVS1</t>
  </si>
  <si>
    <t>098</t>
  </si>
  <si>
    <t>37098362</t>
  </si>
  <si>
    <t>Medical mixing or solution basins or bowls</t>
  </si>
  <si>
    <t>42131707</t>
  </si>
  <si>
    <t>Disposable</t>
  </si>
  <si>
    <t>AR-8964-07</t>
  </si>
  <si>
    <t>BK FlexFocus Ultrasound Per case (Surgical case)</t>
  </si>
  <si>
    <t>40786370</t>
  </si>
  <si>
    <t>Securitas Healthcare_TAGHGS1000C</t>
  </si>
  <si>
    <t>Lapiplasty Mini-Incision System</t>
  </si>
  <si>
    <t>116</t>
  </si>
  <si>
    <t>16946279</t>
  </si>
  <si>
    <t>CE Comments</t>
  </si>
  <si>
    <t>ROD SPINAL M.U.S.T. 5.5MM 70MM ENHANCED BENT TITANIUM</t>
  </si>
  <si>
    <t>LASER SURGICAL STANDBY HOLMIUM</t>
  </si>
  <si>
    <t>04546540039378</t>
  </si>
  <si>
    <t>Endoscopic applicators or elevators</t>
  </si>
  <si>
    <t>77790025</t>
  </si>
  <si>
    <t>ULTRASOUND MEDICAL WITH PROBE</t>
  </si>
  <si>
    <t>41300438</t>
  </si>
  <si>
    <t>PROSTHESIS OSSICULAR 27 MM 2.5X3.5 MM 0.8 MM 1.45 MM OFFSET DUO ALTO TOTAL WITH STAPES ADAPTOR MRICONDITIONAL TITANIUM</t>
  </si>
  <si>
    <t>STORZ_38651MD</t>
  </si>
  <si>
    <t>GUARDIAN</t>
  </si>
  <si>
    <t>42296707</t>
  </si>
  <si>
    <t>AIH</t>
  </si>
  <si>
    <t>MFGPartNo</t>
  </si>
  <si>
    <t>GRACE_600A</t>
  </si>
  <si>
    <t>T7 SURGICAL HELMET</t>
  </si>
  <si>
    <t>42294902</t>
  </si>
  <si>
    <t>PUMP VACUUM AUTOMATIC HIGH FOOT</t>
  </si>
  <si>
    <t>A5492</t>
  </si>
  <si>
    <t>HELMET SURGICAL ISOLATION T7 INSTRUMENTS</t>
  </si>
  <si>
    <t>Specimen collection container</t>
  </si>
  <si>
    <t>FORCEP ENDOSCOPIC KELLY 5 MMX36 CM CLERMONT FERRAND DISSECTING GRASPING ROTATING WITH CONNECTOR PIN FOR BIPOLAR COAGULATION CLICKLINE ROBI</t>
  </si>
  <si>
    <t>KIT SLEEVE LEAD ANCHORING 4/6/7/9FR F/PINCH-ON FIXATION</t>
  </si>
  <si>
    <t>LOTUS</t>
  </si>
  <si>
    <t>94</t>
  </si>
  <si>
    <t>42211622</t>
  </si>
  <si>
    <t>SOURCED</t>
  </si>
  <si>
    <t>UNSOURCED</t>
  </si>
  <si>
    <t>THIRD PARTY</t>
  </si>
  <si>
    <t>OK</t>
  </si>
  <si>
    <t>UNSPSC DOUBT</t>
  </si>
  <si>
    <t>INSUFF INFO</t>
  </si>
  <si>
    <t>OK, MFR CHANGED</t>
  </si>
  <si>
    <t>MFR CHANGED</t>
  </si>
  <si>
    <t>ADVANCE MEDICAL DESIGNS INC</t>
  </si>
  <si>
    <t>AGILITI HEALTH INC</t>
  </si>
  <si>
    <t>ALPHATEC SPINE INC</t>
  </si>
  <si>
    <t>ARTHREX INC</t>
  </si>
  <si>
    <t>AESCULAP INC</t>
  </si>
  <si>
    <t>CAREFUSION CORP</t>
  </si>
  <si>
    <t>CONTEC INC</t>
  </si>
  <si>
    <t>CORELINK LLC</t>
  </si>
  <si>
    <t>DEROYAL INDUSTRIES INC</t>
  </si>
  <si>
    <t>GRACE MEDICAL INC</t>
  </si>
  <si>
    <t>HEALTHMARK INDUSTRIES CO</t>
  </si>
  <si>
    <t>INFAB CORP</t>
  </si>
  <si>
    <t>SYNTHES</t>
  </si>
  <si>
    <t>ETHICON INC</t>
  </si>
  <si>
    <t>LEICA MICROSYSTEMS INC</t>
  </si>
  <si>
    <t>LINK ORTHOPAEDICS INC</t>
  </si>
  <si>
    <t>MEDLINE INDUSTRIES INC</t>
  </si>
  <si>
    <t>MEDTRONIC INC</t>
  </si>
  <si>
    <t>NEXTMED LASER LLC</t>
  </si>
  <si>
    <t>OMNIA MEDICAL LLC</t>
  </si>
  <si>
    <t>PENUMBRA INC USA</t>
  </si>
  <si>
    <t>PERFORMANCE HEALTH INC</t>
  </si>
  <si>
    <t>STANLEY WORKS</t>
  </si>
  <si>
    <t>SHAPE MEDICAL SYSTEMS INC</t>
  </si>
  <si>
    <t>STATLAB MEDICAL PRODUCTS INC</t>
  </si>
  <si>
    <t>SPINAL ELEMENTS INC</t>
  </si>
  <si>
    <t>KARL STORZ GMBH &amp; CO KG</t>
  </si>
  <si>
    <t>STRYKER CORP</t>
  </si>
  <si>
    <t>TREACE MEDICAL CONCEPTS INC</t>
  </si>
  <si>
    <t>TRI-ANIM HEALTH SERVICES INC</t>
  </si>
  <si>
    <t>TRICE MEDICAL INC</t>
  </si>
  <si>
    <t>IPC-004</t>
  </si>
  <si>
    <t>2557</t>
  </si>
  <si>
    <t>42201705  Medical ultrasound or doppler or echocardiograph probe covers</t>
  </si>
  <si>
    <t>42295119  Surgical lasers</t>
  </si>
  <si>
    <t>42321605  Spinal interbody cages or spacers</t>
  </si>
  <si>
    <t>42322503  External fixation couplers or clamps</t>
  </si>
  <si>
    <t>42295143  Electrosurgical or electrocautery accessories or attachments</t>
  </si>
  <si>
    <t>42291802  Surgical clamps or clips or forceps</t>
  </si>
  <si>
    <t>42293107  Surgical retractors</t>
  </si>
  <si>
    <t>47131613  Mop or broom holder</t>
  </si>
  <si>
    <t>42321506  Bone screws or pegs</t>
  </si>
  <si>
    <t>42131512  Patient infant caps or hats or material for infant caps</t>
  </si>
  <si>
    <t>42295534  Otologic implants</t>
  </si>
  <si>
    <t>42296216  Surgical robotic instrument accessories</t>
  </si>
  <si>
    <t>46181802  Safety glasses</t>
  </si>
  <si>
    <t>42202601  Thyroid irradiation therapy supplies</t>
  </si>
  <si>
    <t>42292402  Surgical drivers</t>
  </si>
  <si>
    <t>42322501  External fixation rod, rail, bar, post or strut</t>
  </si>
  <si>
    <t>42295104  Electrosurgical or electrocautery equipment</t>
  </si>
  <si>
    <t>42203448  Diagnostic or interventional vascular catheter accessories</t>
  </si>
  <si>
    <t>42294902  Endoscopic applicators or elevators</t>
  </si>
  <si>
    <t>42201712  Medical ultrasound or doppler or pulse echocardiograph or echocardiograph units for general diagnostic use</t>
  </si>
  <si>
    <t>41102909  Tissue processors</t>
  </si>
  <si>
    <t>42321703  Acetabular cup liners</t>
  </si>
  <si>
    <t>42321609  Spinal rods</t>
  </si>
  <si>
    <t>41104118  Specimen collection container</t>
  </si>
  <si>
    <t>42141605  Medical mixing or solution basins or bowls</t>
  </si>
  <si>
    <t>42271705  Oxygen delivery connectors or adapters</t>
  </si>
  <si>
    <t>42211506  Walkers or rollators</t>
  </si>
  <si>
    <t>42211622  Commode accessories for the physically challenged</t>
  </si>
  <si>
    <t>42295209  Surgical drill bits</t>
  </si>
  <si>
    <t>42322203  Suture anchors</t>
  </si>
  <si>
    <t>42203508  Cardiac pacing lead or electrode accessories</t>
  </si>
  <si>
    <t>42295803  Surgical thermo ablation catheters</t>
  </si>
  <si>
    <t>42295164  Surgical lithotripter accessories</t>
  </si>
  <si>
    <t>42203425  Thrombectomy or embolectomy catheters</t>
  </si>
  <si>
    <t>42241801  Arm orthopedic softgoods</t>
  </si>
  <si>
    <t>42142303  Patient identification and information products</t>
  </si>
  <si>
    <t>42203423  Embolization spheres</t>
  </si>
  <si>
    <t>41116113  Cytology reagents or solutions or stains</t>
  </si>
  <si>
    <t>42295202  Surgical pneumatic or battery or electric saws or drills or pin drivers</t>
  </si>
  <si>
    <t>42294908  Endoscopic clamp or dissector or grasper or forceps</t>
  </si>
  <si>
    <t>42296707  Surgical bone cement mixer accessories</t>
  </si>
  <si>
    <t>42131707  Surgical isolation suit or helmet or shield</t>
  </si>
  <si>
    <t>42321507  Internal bone fixation sets</t>
  </si>
  <si>
    <t>42271801  Respiratory humidifiers or vaporizers</t>
  </si>
  <si>
    <t>42295414  Surgical specialty procedure packs</t>
  </si>
  <si>
    <t>Softflex Cover 48x5 In 20 Cc Easy Insert With Band Tape Sterile Gel Non Sterile Latex-free</t>
  </si>
  <si>
    <t>COVER, PROBE, EASY INSERT, 48X5 IN, 20 CC, WITH BAND, TAPE, STERILE GEL, NON STERILE, SOFTFLEX, LATEX-FREE</t>
  </si>
  <si>
    <t>COVER</t>
  </si>
  <si>
    <t>PROBE</t>
  </si>
  <si>
    <t>EASY INSERT</t>
  </si>
  <si>
    <t>48X5 IN</t>
  </si>
  <si>
    <t>20 CC</t>
  </si>
  <si>
    <t>WITH BAND, TAPE, STERILE GEL</t>
  </si>
  <si>
    <t>NON STERILE</t>
  </si>
  <si>
    <t>LATEX-FREE</t>
  </si>
  <si>
    <t>https://www.advancemedicaldesigns.com/category/ultrasound-probe-covers/soft-flex-probe-covers</t>
  </si>
  <si>
    <t>Laser Procedure Holmium</t>
  </si>
  <si>
    <t>LASER, SURGICAL, PROCEDURE, HOLMIUM</t>
  </si>
  <si>
    <t>LASER</t>
  </si>
  <si>
    <t>SURGICAL</t>
  </si>
  <si>
    <t>PROCEDURE</t>
  </si>
  <si>
    <t>HOLMIUM</t>
  </si>
  <si>
    <t>URL NOT FOUND</t>
  </si>
  <si>
    <t>Laser Standby Procedure Holmium</t>
  </si>
  <si>
    <t>LASER, SURGICAL, STANDBY, PROCEDURE, HOLMIUM</t>
  </si>
  <si>
    <t>STANDBY</t>
  </si>
  <si>
    <t>Acupulse Duo Laser Procedure Co2</t>
  </si>
  <si>
    <t>LASER, SURGICAL, PROCEDURE, CO2, ACUPULSE DUO</t>
  </si>
  <si>
    <t>CO2</t>
  </si>
  <si>
    <t>ACUPULSE DUO</t>
  </si>
  <si>
    <t>https://www.agilitihealth.com/product/acupulse-duo-co2-laser/</t>
  </si>
  <si>
    <t>C1713</t>
  </si>
  <si>
    <t>ANCHOR/SCREW FOR OPPOSING BONE-TO-BONE OR SOFT TISSUE-TO-BONE (IMPLANTABLE)</t>
  </si>
  <si>
    <t>Identiti Nanotec Spacer 15 Degree 55x22x8 Mm Lif Porous Titanium</t>
  </si>
  <si>
    <t>SPACER, SPINAL, 15 DEGREE, 55X22X8 MM, LIF, POROUS, TITANIUM, IDENTITI, NANOTEC</t>
  </si>
  <si>
    <t>SPACER</t>
  </si>
  <si>
    <t>SPINAL</t>
  </si>
  <si>
    <t>15 DEGREE</t>
  </si>
  <si>
    <t>55X22X8 MM</t>
  </si>
  <si>
    <t>LIF</t>
  </si>
  <si>
    <t>POROUS, TITANIUM</t>
  </si>
  <si>
    <t>IDENTITI, NANOTEC</t>
  </si>
  <si>
    <t>https://accessgudid.nlm.nih.gov/devices/00190376359212</t>
  </si>
  <si>
    <t>Clamp Large Multi Pin Combination For Rod Attachment Non Sterile Latex</t>
  </si>
  <si>
    <t>CLAMP, EXTERNAL FIXATION, MULTI PIN, LARGE, COMBINATION, FOR ROD ATTACHMENT, NON STERILE, LATEX</t>
  </si>
  <si>
    <t>CLAMP</t>
  </si>
  <si>
    <t>EXTERNAL FIXATION</t>
  </si>
  <si>
    <t>MULTI PIN</t>
  </si>
  <si>
    <t>LARGE</t>
  </si>
  <si>
    <t>COMBINATION, FOR ROD ATTACHMENT</t>
  </si>
  <si>
    <t>LATEX</t>
  </si>
  <si>
    <t>https://www.arthrex.com/Products/AR-8964-07</t>
  </si>
  <si>
    <t>Forcep Standard 0.5 Mm 8.5 In 4.5 In Hardy Bipolar Bayonet Prong Round Pin Connector Non Stick Non Irrigating Insulated With Plated Tip Rose Gold Non Sterile Latex</t>
  </si>
  <si>
    <t>FORCEP, ELECTROSURGICAL, HARDY, STANDARD, 0.5 MM, 8.5 IN, 4.5 IN, BIPOLAR, BAYONET, PRONG, ROUND PIN, CONNECTOR, NON STICK, NON IRRIGATING, INSULATED, WITH PLATED TIP, ROSE GOLD, NON STERILE, LATEX</t>
  </si>
  <si>
    <t>FORCEP</t>
  </si>
  <si>
    <t>ELECTROSURGICAL</t>
  </si>
  <si>
    <t>HARDY</t>
  </si>
  <si>
    <t>STANDARD, 0.5 MM</t>
  </si>
  <si>
    <t>8.5 IN</t>
  </si>
  <si>
    <t>4.5 IN</t>
  </si>
  <si>
    <t>BIPOLAR, BAYONET, PRONG, ROUND PIN, CONNECTOR, NON STICK, NON IRRIGATING, INSULATED, WITH PLATED TIP</t>
  </si>
  <si>
    <t>ROSE GOLD</t>
  </si>
  <si>
    <t>https://surgical-instruments.bbraun.com/search/?text=US610</t>
  </si>
  <si>
    <t>Forcep 9.5 In 3 In Intrathoracic Artery Sarot Double Action Curved Jaw Serrated Ratchet Ring Handle Satin Finish Premium Grade Stainless Steel Non Sterile Latex</t>
  </si>
  <si>
    <t>FORCEP, SURGICAL, SAROT, 9.5 IN, 3 IN, INTRATHORACIC, ARTERY, DOUBLE ACTION, CURVED JAW, SERRATED, RATCHET, RING HANDLE, SATIN FINISH, PREMIUM GRADE, STAINLESS STEEL, NON STERILE, LATEX</t>
  </si>
  <si>
    <t>SAROT</t>
  </si>
  <si>
    <t>9.5 IN</t>
  </si>
  <si>
    <t>3 IN</t>
  </si>
  <si>
    <t>INTRATHORACIC, ARTERY</t>
  </si>
  <si>
    <t>DOUBLE ACTION, CURVED JAW, SERRATED, RATCHET, RING HANDLE, SATIN FINISH, PREMIUM GRADE</t>
  </si>
  <si>
    <t>STAINLESS STEEL</t>
  </si>
  <si>
    <t>V.MUELLER</t>
  </si>
  <si>
    <t>https://www.lt-technologies.de/_ws/mediabase/_ts_1494230442000/Downloads/CardioCatalog_LIT12012_low-res.pdf</t>
  </si>
  <si>
    <t>Retractor Large 6.75 In 3.25x1-1/8 In Heaney With Blade Premium Grade For Urological Stainless Steel Teflon Non Sterile Latex</t>
  </si>
  <si>
    <t>RETRACTOR, SURGICAL, HEANEY, LARGE, 6.75 IN, 3.25X1-1/8 IN, WITH BLADE, PREMIUM GRADE, FOR UROLOGICAL, STAINLESS STEEL, TEFLON, NON STERILE, LATEX</t>
  </si>
  <si>
    <t>RETRACTOR</t>
  </si>
  <si>
    <t>HEANEY</t>
  </si>
  <si>
    <t>6.75 IN</t>
  </si>
  <si>
    <t>3.25X1-1/8 IN</t>
  </si>
  <si>
    <t>WITH BLADE, PREMIUM GRADE, FOR UROLOGICAL</t>
  </si>
  <si>
    <t>STAINLESS STEEL, TEFLON</t>
  </si>
  <si>
    <t>https://www.bd.com/en-us/products-and-solutions/products/product-page.GL392#overview</t>
  </si>
  <si>
    <t>Premira Ii Pad 5x19 In Mop Superior Cleaning Consistant Microfiber Disposable</t>
  </si>
  <si>
    <t>PAD, FLOOR CLEANING, MOP, 5X19 IN, SUPERIOR CLEANING, CONSISTENT, MICROFIBER, PREMIRA II, DISPOSABLE</t>
  </si>
  <si>
    <t>PAD</t>
  </si>
  <si>
    <t>FLOOR CLEANING</t>
  </si>
  <si>
    <t>MOP</t>
  </si>
  <si>
    <t>5X19 IN</t>
  </si>
  <si>
    <t>SUPERIOR CLEANING, CONSISTENT</t>
  </si>
  <si>
    <t>MICROFIBER</t>
  </si>
  <si>
    <t>PREMIRA II</t>
  </si>
  <si>
    <t>DISPOSABLE</t>
  </si>
  <si>
    <t>20/BD 12BD/CA</t>
  </si>
  <si>
    <t>https://professional.contecinc.com/product/1778273815</t>
  </si>
  <si>
    <t>Entasis Screw 11.5x35 Mm Sacroiliac Dual Lead Implant</t>
  </si>
  <si>
    <t>SCREW, BONE, SACROILIAC, 11.5X35 MM, DUAL LEAD, IMPLANT, ENTASIS</t>
  </si>
  <si>
    <t>SCREW</t>
  </si>
  <si>
    <t>BONE</t>
  </si>
  <si>
    <t>SACROILIAC</t>
  </si>
  <si>
    <t>11.5X35 MM</t>
  </si>
  <si>
    <t>DUAL LEAD, IMPLANT</t>
  </si>
  <si>
    <t>ENTASIS</t>
  </si>
  <si>
    <t>Cap 2-ply Knitted Small Pattern Striped Spun Polyester Pink Blue Latex-free</t>
  </si>
  <si>
    <t>CAP, INFANT, 2-PLY, KNITTED, SMALL PATTERN, STRIPED, SPUN POLYESTER, PINK, BLUE, LATEX-FREE</t>
  </si>
  <si>
    <t>CAP</t>
  </si>
  <si>
    <t>INFANT</t>
  </si>
  <si>
    <t>2-PLY</t>
  </si>
  <si>
    <t>KNITTED, SMALL PATTERN, STRIPED</t>
  </si>
  <si>
    <t>SPUN POLYESTER</t>
  </si>
  <si>
    <t>PINK, BLUE</t>
  </si>
  <si>
    <t>https://www.deroyal.com/products/search-catalog-item/catalog-item-preview/ac-birthing-babycaps</t>
  </si>
  <si>
    <t>Prosthesis 2-7 Mm 2.5x3.5 Mm 0.8 Mm 1.45 Mm Offset Duo Alto Total With Stapes Adaptor Mri-conditional Titanium Sterile Latex</t>
  </si>
  <si>
    <t>PROSTHESIS, OSSICULAR, 2-7 MM, 2.5X3.5 MM, 0.8 MM, 1.45 MM, OFFSET, DUO ALTO TOTAL, WITH STAPES ADAPTOR, MRI-CONDITIONAL, TITANIUM, STERILE, LATEX</t>
  </si>
  <si>
    <t>PROSTHESIS</t>
  </si>
  <si>
    <t>OSSICULAR</t>
  </si>
  <si>
    <t>2-7 MM</t>
  </si>
  <si>
    <t>2.5X3.5 MM, 0.8 MM, 1.45 MM</t>
  </si>
  <si>
    <t>OFFSET, DUO ALTO TOTAL, WITH STAPES ADAPTOR, MRI-CONDITIONAL</t>
  </si>
  <si>
    <t>TITANIUM</t>
  </si>
  <si>
    <t>STERILE</t>
  </si>
  <si>
    <t>https://assets.speakcdn.com/assets/2833/Product_Catalog__LIT0041_CID6009___1_1.pdf</t>
  </si>
  <si>
    <t>Card For Robotic Instrument Sterile Disposable</t>
  </si>
  <si>
    <t>CARD, PROTECTOR, FOR ROBOTIC INSTRUMENT, STERILE, DISPOSABLE</t>
  </si>
  <si>
    <t>CARD</t>
  </si>
  <si>
    <t>PROTECTOR</t>
  </si>
  <si>
    <t>FOR ROBOTIC INSTRUMENT</t>
  </si>
  <si>
    <t>https://www.hmark.com/wp-content/uploads/2022/11/Robotic-Instrument-Protector-Card-2022-11-04.pdf</t>
  </si>
  <si>
    <t>Vaderone Screw 5.5x35 Mm Pedicle Polyaxial System Carbon Peek Sterile Latex</t>
  </si>
  <si>
    <t>SCREW, BONE, PEDICLE, 5.5X35 MM, POLYAXIAL, SYSTEM, CARBON, PEEK, STERILE, VADERONE, LATEX</t>
  </si>
  <si>
    <t>PEDICLE</t>
  </si>
  <si>
    <t>5.5X35 MM</t>
  </si>
  <si>
    <t>POLYAXIAL, SYSTEM</t>
  </si>
  <si>
    <t>CARBON, PEEK</t>
  </si>
  <si>
    <t>VADERONE</t>
  </si>
  <si>
    <t>https://accessgudid.nlm.nih.gov/devices/07640164849119</t>
  </si>
  <si>
    <t>Glass Nike Maverick Rge Universal Frame Nosebridge Matte Black Green</t>
  </si>
  <si>
    <t>GLASS, LEAD, NIKE MAVERICK RGE, UNIVERSAL FRAME, NOSE BRIDGE, MATTE BLACK, GREEN</t>
  </si>
  <si>
    <t>GLASS</t>
  </si>
  <si>
    <t>LEAD</t>
  </si>
  <si>
    <t>NIKE MAVERICK RGE</t>
  </si>
  <si>
    <t>UNIVERSAL FRAME, NOSE BRIDGE</t>
  </si>
  <si>
    <t>MATTE BLACK, GREEN</t>
  </si>
  <si>
    <t>https://www.infabcorp.com/downloads/datasheets/lead-glasses/lead-glasses-nike-maverick-rge-infab.pdf</t>
  </si>
  <si>
    <t>Collar Standard Thyroid Non-radiopaque With Binding Navy Blue</t>
  </si>
  <si>
    <t>COLLAR, RADIOLOGY, NON-RADIOPAQUE, STANDARD, THYROID, WITH BINDING, NAVY BLUE</t>
  </si>
  <si>
    <t>COLLAR</t>
  </si>
  <si>
    <t>RADIOLOGY</t>
  </si>
  <si>
    <t>NON-RADIOPAQUE</t>
  </si>
  <si>
    <t>STANDARD</t>
  </si>
  <si>
    <t>THYROID</t>
  </si>
  <si>
    <t>WITH BINDING</t>
  </si>
  <si>
    <t>NAVY BLUE</t>
  </si>
  <si>
    <t>EA</t>
  </si>
  <si>
    <t>https://infabcorp.com/thyroid-collar-with-binding/tcv-s1-m-thyroid-collar-with-binding-size-standard-magnetic-closure/</t>
  </si>
  <si>
    <t>Expert Screwdriver T25 319 Mm Stardrive Self-retaining Self-holding For Tibial Nail Non Sterile Latex</t>
  </si>
  <si>
    <t>SCREWDRIVER, SURGICAL, STARDRIVE, T25, 319 MM, SELF-RETAINING, SELF-HOLDING, FOR TIBIAL NAIL, NON STERILE, EXPERT, LATEX</t>
  </si>
  <si>
    <t>SCREWDRIVER</t>
  </si>
  <si>
    <t>STARDRIVE</t>
  </si>
  <si>
    <t>T25</t>
  </si>
  <si>
    <t>319 MM</t>
  </si>
  <si>
    <t>SELF-RETAINING, SELF-HOLDING, FOR TIBIAL NAIL</t>
  </si>
  <si>
    <t>320 MM</t>
  </si>
  <si>
    <t>http://synthes.vo.llnwd.net/o16/LLNWMB8/US%20Mobile/Synthes%20North%20America/Product%20Support%20Materials/Technique%20Guides/DSUSTRM09161028%20Rev%20B.pdf</t>
  </si>
  <si>
    <t>Post Wire 3 Hole Mri Safe For Distraction Osteogenesis Ring System Non Sterile Latex</t>
  </si>
  <si>
    <t>POST, EXTERNAL FIXATION, WIRE, 3 HOLE, MRI SAFE, FOR DISTRACTION OSTEOGENESIS RING SYSTEM, NON STERILE, LATEX</t>
  </si>
  <si>
    <t>POST</t>
  </si>
  <si>
    <t>WIRE</t>
  </si>
  <si>
    <t>3 HOLE, MRI SAFE, FOR DISTRACTION OSTEOGENESIS RING SYSTEM</t>
  </si>
  <si>
    <t>http://synthes.vo.llnwd.net/o16/LLNWMB8/US%20Mobile/Synthes%20North%20America/Product%20Support%20Materials/Technique%20Guides/DSUSTRM10161191%20Rev%20B.pdf</t>
  </si>
  <si>
    <t>Megadyne Ez-clean Electrode Standard 6.5 In Blade Monopolar Modified Open Pencil Extended Needle Partially Insulated Tip Non Stick Ptfe Coated Sterile Latex Disposable</t>
  </si>
  <si>
    <t>ELECTRODE, ELECTROSURGICAL, BLADE, STANDARD, 6.5 IN, MONOPOLAR, MODIFIED, OPEN, PENCIL, EXTENDED NEEDLE, PARTIALLY INSULATED TIP, NON STICK, PTFE COATED, STERILE, MEGADYNE, EZ-CLEAN, LATEX, DISPOSABLE</t>
  </si>
  <si>
    <t>ELECTRODE</t>
  </si>
  <si>
    <t>BLADE</t>
  </si>
  <si>
    <t>6.5 IN</t>
  </si>
  <si>
    <t>MONOPOLAR, MODIFIED, OPEN, PENCIL, EXTENDED NEEDLE, PARTIALLY INSULATED TIP, NON STICK</t>
  </si>
  <si>
    <t>PTFE COATED</t>
  </si>
  <si>
    <t>MEGADYNE, EZ-CLEAN</t>
  </si>
  <si>
    <t>https://www.ethicon.com/na/epc/code/0014m?lang=en-default</t>
  </si>
  <si>
    <t>Carto 3 Octaray Cable 10 Ft Signal Processing Interface Unit Split Handle Extension Sterile Latex</t>
  </si>
  <si>
    <t>CABLE, CATHETER, 10 FT, SIGNAL PROCESSING, INTERFACE UNIT, SPLIT HANDLE EXTENSION, STERILE, CARTO 3, OCTARAY, LATEX</t>
  </si>
  <si>
    <t>CABLE</t>
  </si>
  <si>
    <t>CATHETER</t>
  </si>
  <si>
    <t>10 FT</t>
  </si>
  <si>
    <t>SIGNAL PROCESSING, INTERFACE UNIT, SPLIT HANDLE EXTENSION</t>
  </si>
  <si>
    <t>CARTO 3, OCTARAY</t>
  </si>
  <si>
    <t>http://synthes.vo.llnwd.net/o16/LLNWMB8/INT%20Mobile/Synthes%20International/BW/084962.pdf</t>
  </si>
  <si>
    <t>Vistaseal Applicator 35 Cm Rigid Dual Spray For Laparoscopic</t>
  </si>
  <si>
    <t>APPLICATOR, ENDOSCOPIC, RIGID, 35 CM, DUAL SPRAY, FOR LAPAROSCOPIC, VISTASEAL</t>
  </si>
  <si>
    <t>APPLICATOR</t>
  </si>
  <si>
    <t>ENDOSCOPIC</t>
  </si>
  <si>
    <t>RIGID</t>
  </si>
  <si>
    <t>35 CM</t>
  </si>
  <si>
    <t>DUAL SPRAY, FOR LAPAROSCOPIC</t>
  </si>
  <si>
    <t>https://www.ethicon.com/na/epc/code/vstl35?lang=en-default</t>
  </si>
  <si>
    <t>Ultrasound With Probe For Flex Focus</t>
  </si>
  <si>
    <t>ULTRASOUND, MEDICAL, WITH PROBE, FOR FLEX FOCUS</t>
  </si>
  <si>
    <t>ULTRASOUND</t>
  </si>
  <si>
    <t>MEDICAL</t>
  </si>
  <si>
    <t>WITH PROBE, FOR FLEX FOCUS</t>
  </si>
  <si>
    <t>BK SURGICAL PER CASE FEE INCL SURGICAL CASE</t>
  </si>
  <si>
    <t>Peloris Filter For Tissue Processor</t>
  </si>
  <si>
    <t>FILTER, CARBON, FOR TISSUE PROCESSOR, PELORIS</t>
  </si>
  <si>
    <t>FILTER</t>
  </si>
  <si>
    <t>CARBON</t>
  </si>
  <si>
    <t>FOR TISSUE PROCESSOR</t>
  </si>
  <si>
    <t>https://shop.leicabiosystems.com/pid-S26.0434</t>
  </si>
  <si>
    <t>JOINT DEVICE (IMPLANTABLE)</t>
  </si>
  <si>
    <t>Insert C Dual Mobility Polished Surface Cobalt Chrome Molybdenum Yellow Sterile Latex</t>
  </si>
  <si>
    <t>INSERT, ACETABULAR, C, DUAL MOBILITY, POLISHED SURFACE, COBALT CHROME, MOLYBDENUM, YELLOW, STERILE, LATEX</t>
  </si>
  <si>
    <t>INSERT</t>
  </si>
  <si>
    <t>ACETABULAR</t>
  </si>
  <si>
    <t>C</t>
  </si>
  <si>
    <t>DUAL MOBILITY, POLISHED SURFACE</t>
  </si>
  <si>
    <t>COBALT CHROME, MOLYBDENUM</t>
  </si>
  <si>
    <t>YELLOW</t>
  </si>
  <si>
    <t>https://www.link-ortho.com/fileadmin/user_upload/Fuer_den_Arzt/Produkte/Downloads/EN/688_MobileLink_SurgTech_en_2022-04_013.pdf</t>
  </si>
  <si>
    <t>Liner C 28x40 Mm Dual Mobility Uhmwpe E-poly Yellow Sterile Latex</t>
  </si>
  <si>
    <t>LINER, ACETABULAR, C, 28X40 MM, DUAL MOBILITY, UHMWPE, E-POLY, YELLOW, STERILE, LATEX</t>
  </si>
  <si>
    <t>LINER</t>
  </si>
  <si>
    <t>28X40 MM</t>
  </si>
  <si>
    <t>DUAL MOBILITY</t>
  </si>
  <si>
    <t>UHMWPE, E-POLY</t>
  </si>
  <si>
    <t>Must Rod 5.5x70 Mm Enhanced Bent Titanium Sterile Latex</t>
  </si>
  <si>
    <t>ROD, SPINAL, 5.5X70 MM, ENHANCED BENT, TITANIUM, STERILE, MUST, LATEX</t>
  </si>
  <si>
    <t>ROD</t>
  </si>
  <si>
    <t>5.5X70 MM</t>
  </si>
  <si>
    <t>ENHANCED BENT</t>
  </si>
  <si>
    <t>MUST</t>
  </si>
  <si>
    <t>https://media.medacta.com/media/to-mustmis-percutanea-ref-99-perc46-12-rev04.pdf</t>
  </si>
  <si>
    <t>Container 4 Oz Graduated Screw Lid Leak Resistant Id Label Non Biohazard Polypropylene Transparent Sterile Latex-free</t>
  </si>
  <si>
    <t>CONTAINER, SPECIMEN COLLECTION, GRADUATED, 4 OZ, SCREW LID, LEAK RESISTANT, ID LABEL, NON BIOHAZARD, POLYPROPYLENE, TRANSPARENT, STERILE, LATEX-FREE</t>
  </si>
  <si>
    <t>CONTAINER</t>
  </si>
  <si>
    <t>SPECIMEN COLLECTION</t>
  </si>
  <si>
    <t>GRADUATED</t>
  </si>
  <si>
    <t>4 OZ</t>
  </si>
  <si>
    <t>SCREW LID, LEAK RESISTANT, ID LABEL, NON BIOHAZARD</t>
  </si>
  <si>
    <t>POLYPROPYLENE</t>
  </si>
  <si>
    <t>TRANSPARENT</t>
  </si>
  <si>
    <t>DAPA</t>
  </si>
  <si>
    <t>https://www.medline.com/sku/item/MDPDYND30331</t>
  </si>
  <si>
    <t>Bowl Large 32 Oz Graduated Molded Easy Open Peel Pouch Utility Individually Wrapped Plastic Light Blue Sterile Latex-free</t>
  </si>
  <si>
    <t>BOWL, SOLUTION, GRADUATED, LARGE, 32 OZ, MOLDED, EASY OPEN PEEL POUCH, UTILITY, INDIVIDUALLY WRAPPED, PLASTIC, LIGHT BLUE, STERILE, LATEX-FREE</t>
  </si>
  <si>
    <t>BOWL</t>
  </si>
  <si>
    <t>SOLUTION</t>
  </si>
  <si>
    <t>32 OZ</t>
  </si>
  <si>
    <t>MOLDED, EASY OPEN PEEL POUCH, UTILITY, INDIVIDUALLY WRAPPED</t>
  </si>
  <si>
    <t>PLASTIC</t>
  </si>
  <si>
    <t>LIGHT BLUE</t>
  </si>
  <si>
    <t>https://www.medline.com/sku/item/MDPDYND50320</t>
  </si>
  <si>
    <t>Adapter Universal 5-7 Mm Christmas Tree Nipple Nut Standard Hose Swivel Connector Diss Outlet For Respiratory Therapy Plastic Clear Latex-free Reusable</t>
  </si>
  <si>
    <t>ADAPTER, OXYGEN TUBING, CHRISTMAS TREE, UNIVERSAL, 5-7 MM, NIPPLE NUT, STANDARD HOSE, SWIVEL CONNECTOR, DISS OUTLET, FOR RESPIRATORY THERAPY, PLASTIC, CLEAR, LATEX-FREE, REUSABLE</t>
  </si>
  <si>
    <t>ADAPTER</t>
  </si>
  <si>
    <t>OXYGEN TUBING</t>
  </si>
  <si>
    <t>CHRISTMAS TREE</t>
  </si>
  <si>
    <t>UNIVERSAL</t>
  </si>
  <si>
    <t>5-7 MM</t>
  </si>
  <si>
    <t>NIPPLE NUT, STANDARD HOSE, SWIVEL CONNECTOR, DISS OUTLET, FOR RESPIRATORY THERAPY</t>
  </si>
  <si>
    <t>CLEAR</t>
  </si>
  <si>
    <t>REUSABLE</t>
  </si>
  <si>
    <t>HUDSON RCI</t>
  </si>
  <si>
    <t>https://www.medline.com/sku/item/MDPHUD2557</t>
  </si>
  <si>
    <t>Walker Standard Adult 17.5x32-38 In 5 In 10 Lb 300 Lb Foldable Caster 2 Push Button Cross Brace Wheel Height Adjustable Handle Pvc Aluminum Vinyl Latex-free</t>
  </si>
  <si>
    <t>WALKER, PATIENT, FOLDABLE, STANDARD, ADULT, 17.5X32-38 IN, 5 IN, 10 LB, 300 LB, CASTER, 2 PUSH BUTTON, CROSS BRACE, WHEEL, HEIGHT, ADJUSTABLE, HANDLE, PVC, ALUMINUM, VINYL, LATEX-FREE</t>
  </si>
  <si>
    <t>WALKER</t>
  </si>
  <si>
    <t>PATIENT</t>
  </si>
  <si>
    <t>FOLDABLE</t>
  </si>
  <si>
    <t>ADULT</t>
  </si>
  <si>
    <t>17.5X32-38 IN</t>
  </si>
  <si>
    <t>5 IN</t>
  </si>
  <si>
    <t>10 LB, 300 LB</t>
  </si>
  <si>
    <t>CASTER, 2 PUSH BUTTON, CROSS BRACE, WHEEL, HEIGHT, ADJUSTABLE, HANDLE</t>
  </si>
  <si>
    <t>PVC, ALUMINUM, VINYL</t>
  </si>
  <si>
    <t>https://www.medline.com/sku/item/MDPMDS86410W54</t>
  </si>
  <si>
    <t>Guardian Liner Bariatric Universal Hygienic Drawstring Absorbent Pad For Bedside Toilet Non Sterile Latex Free Disposable</t>
  </si>
  <si>
    <t>LINER, COMMODE, HYGIENIC, BARIATRIC, UNIVERSAL, DRAWSTRING, ABSORBENT PAD, FOR BEDSIDE TOILET, NON STERILE, GUARDIAN, LATEX-FREE, DISPOSABLE</t>
  </si>
  <si>
    <t>COMMODE</t>
  </si>
  <si>
    <t>HYGIENIC</t>
  </si>
  <si>
    <t>BARIATRIC, UNIVERSAL</t>
  </si>
  <si>
    <t>DRAWSTRING, ABSORBENT PAD, FOR BEDSIDE TOILET</t>
  </si>
  <si>
    <t>https://www.medline.com/sku/item/MDPMDS89664LINER</t>
  </si>
  <si>
    <t>Bit 4.5 Mm 3.6 Mm Ao Quick Coupling For Anchor</t>
  </si>
  <si>
    <t>BIT, DRILL, AO, 4.5 MM, 3.6 MM, QUICK COUPLING, FOR ANCHOR</t>
  </si>
  <si>
    <t>BIT</t>
  </si>
  <si>
    <t>DRILL</t>
  </si>
  <si>
    <t>AO</t>
  </si>
  <si>
    <t>4.5 MM</t>
  </si>
  <si>
    <t>3.6 MM</t>
  </si>
  <si>
    <t>QUICK COUPLING, FOR ANCHOR</t>
  </si>
  <si>
    <t>Anchor 3.3x10 Mm Push Peek</t>
  </si>
  <si>
    <t>ANCHOR, SUTURE, PUSH, 3.3X10 MM, PEEK</t>
  </si>
  <si>
    <t>ANCHOR</t>
  </si>
  <si>
    <t>SUTURE</t>
  </si>
  <si>
    <t>PUSH</t>
  </si>
  <si>
    <t>3.3X10 MM</t>
  </si>
  <si>
    <t>PEEK</t>
  </si>
  <si>
    <t>Sleeve 4 Frx1.3 Mm Anchoring Pinch On Sterile Latex</t>
  </si>
  <si>
    <t>SLEEVE, LEAD, 4 FRX1.3 MM, ANCHORING, PINCH ON, STERILE, LATEX</t>
  </si>
  <si>
    <t>SLEEVE</t>
  </si>
  <si>
    <t>4 FRX1.3 MM</t>
  </si>
  <si>
    <t>ANCHORING, PINCH ON</t>
  </si>
  <si>
    <t>https://juniorsurgical.com/5867as-medtronic-lead-anchoring-sleeve-4fr-1-3-mm-each</t>
  </si>
  <si>
    <t>Closurefast Catheter 3 Fr Premium Pack For Vein Closure Mis-7f07</t>
  </si>
  <si>
    <t>CATHETER, ABLATION, 3 FR, PREMIUM PACK, FOR VEIN CLOSURE MIS-7F07, CLOSUREFAST</t>
  </si>
  <si>
    <t>ABLATION</t>
  </si>
  <si>
    <t>3 FR</t>
  </si>
  <si>
    <t>PREMIUM PACK, FOR VEIN CLOSURE MIS-7F07</t>
  </si>
  <si>
    <t>CLOSUREFAST</t>
  </si>
  <si>
    <t>https://www.medtronic.com/me-en/healthcare-professionals/products/cardiovascular/superficial-vein/closurefast-rfa-system.html</t>
  </si>
  <si>
    <t>Service For Holmium Laser Treatment</t>
  </si>
  <si>
    <t>SERVICE, LITHOTRIPSY, FOR HOLMIUM LASER TREATMENT</t>
  </si>
  <si>
    <t>SERVICE</t>
  </si>
  <si>
    <t>LITHOTRIPSY</t>
  </si>
  <si>
    <t>FOR HOLMIUM LASER TREATMENT</t>
  </si>
  <si>
    <t>Rod 5.5x65 Mm Curved Bullet Nose</t>
  </si>
  <si>
    <t>ROD, SPINAL, CURVED, 5.5X65 MM, BULLET NOSE</t>
  </si>
  <si>
    <t>CURVED</t>
  </si>
  <si>
    <t>5.5X65 MM</t>
  </si>
  <si>
    <t>BULLET NOSE</t>
  </si>
  <si>
    <t>C1757</t>
  </si>
  <si>
    <t>CATHETER, THROMBECTOMY/EMBOLECTOMY</t>
  </si>
  <si>
    <t>Torq + Lightning Bolt Catheter 7 Frx130 Cm With Aspiration Tubing Indigo</t>
  </si>
  <si>
    <t>CATHETER, THROMBECTOMY, 7 FRX130 CM, WITH ASPIRATION TUBING, INDIGO, TORQ +, LIGHTNING BOLT, INDIGO</t>
  </si>
  <si>
    <t>THROMBECTOMY</t>
  </si>
  <si>
    <t>7 FRX130 CM</t>
  </si>
  <si>
    <t>WITH ASPIRATION TUBING</t>
  </si>
  <si>
    <t>TORQ +, LIGHTNING BOLT, INDIGO</t>
  </si>
  <si>
    <t>AS</t>
  </si>
  <si>
    <t>A4565</t>
  </si>
  <si>
    <t>SLINGS</t>
  </si>
  <si>
    <t>C.v.a Rolyan Sling Universal Arm Cuff Adjustable Criss Cross Shoulder Strap Cotton Cloth Latex-free</t>
  </si>
  <si>
    <t>SLING, ORTHOPAEDIC, UNIVERSAL, ARM, CUFF, ADJUSTABLE, CRISS CROSS SHOULDER STRAP, COTTON CLOTH, C.V.A, ROLYAN, LATEX-FREE</t>
  </si>
  <si>
    <t>SLING</t>
  </si>
  <si>
    <t>ORTHOPAEDIC</t>
  </si>
  <si>
    <t>ARM</t>
  </si>
  <si>
    <t>CUFF, ADJUSTABLE, CRISS CROSS SHOULDER STRAP</t>
  </si>
  <si>
    <t>COTTON CLOTH</t>
  </si>
  <si>
    <t>C.V.A, ROLYAN</t>
  </si>
  <si>
    <t>WEIGHT 0.010000 MACHINE WASHABLE</t>
  </si>
  <si>
    <t>https://www.performancehealth.com/c-v-a-sling-1#sin=27555</t>
  </si>
  <si>
    <t>Hugs Tag Wi-fi With 2 Year Warranty For Ccx Mode</t>
  </si>
  <si>
    <t>TAG, IDENTIFICATION, WI-FI, WITH 2 YEAR WARRANTY, FOR CCX MODE, HUGS</t>
  </si>
  <si>
    <t>TAG</t>
  </si>
  <si>
    <t>IDENTIFICATION</t>
  </si>
  <si>
    <t>WI-FI</t>
  </si>
  <si>
    <t>WITH 2 YEAR WARRANTY, FOR CCX MODE</t>
  </si>
  <si>
    <t>HUGS</t>
  </si>
  <si>
    <t>STANLEY HEALTHCARE</t>
  </si>
  <si>
    <t>https://cdn2.hubspot.net/hubfs/2382624/Hugs%20Wi-Fi%20Tag%20Data%20Sheet.pdf?t=1542639985924</t>
  </si>
  <si>
    <t>Plug 12 Mm For Impede-fx Rapidfill Device Sterile Latex</t>
  </si>
  <si>
    <t>PLUG, EMBOLIZATION, 12 MM, FOR IMPEDE-FX RAPIDFILL DEVICE, STERILE, LATEX</t>
  </si>
  <si>
    <t>PLUG</t>
  </si>
  <si>
    <t>EMBOLIZATION</t>
  </si>
  <si>
    <t>12 MM</t>
  </si>
  <si>
    <t>FOR IMPEDE-FX RAPIDFILL DEVICE</t>
  </si>
  <si>
    <t>https://www.shapemem.com/impede-fx-rapidfill/</t>
  </si>
  <si>
    <t>Stain 1 Gl Og-6 Papanicolaou Hazardous</t>
  </si>
  <si>
    <t>STAIN, CYTOLOGY, 1 GL, OG-6 PAPANICOLAOU, HAZARDOUS</t>
  </si>
  <si>
    <t>STAIN</t>
  </si>
  <si>
    <t>CYTOLOGY</t>
  </si>
  <si>
    <t>1 GL</t>
  </si>
  <si>
    <t>OG-6 PAPANICOLAOU, HAZARDOUS</t>
  </si>
  <si>
    <t>QUANTITY: 4 X EA</t>
  </si>
  <si>
    <t>https://www.statlab.com/sl92-1.html</t>
  </si>
  <si>
    <t>Lotus Rod 3.5x60 Mm Lordosed Non Sterile Latex</t>
  </si>
  <si>
    <t>ROD, SPINAL, 3.5X60 MM, LORDOSED, NON STERILE, LOTUS, LATEX</t>
  </si>
  <si>
    <t>3.5X60 MM</t>
  </si>
  <si>
    <t>LORDOSED</t>
  </si>
  <si>
    <t>https://accessgudid.nlm.nih.gov/devices/00840606104296</t>
  </si>
  <si>
    <t>Lotus Drill 2.2 Mm Non Sterile Latex</t>
  </si>
  <si>
    <t>DRILL, SURGICAL, 2.2 MM, NON STERILE, LOTUS, LATEX</t>
  </si>
  <si>
    <t>2.2 MM</t>
  </si>
  <si>
    <t>https://accessgudid.nlm.nih.gov/devices/00840606137058</t>
  </si>
  <si>
    <t>Clickline Robi Forcep 5 Mmx36 Cm Kelly Clermont Ferrand Double Action Dissecting Grasping Rotating With Connector Pin For Bipolar Coagulation</t>
  </si>
  <si>
    <t>FORCEP, ENDOSCOPIC, KELLY CLERMONT FERRAND, 5 MMX36 CM, DOUBLE ACTION, DISSECTING, GRASPING, ROTATING, WITH CONNECTOR PIN, FOR BIPOLAR COAGULATION, CLICKLINE, ROBI</t>
  </si>
  <si>
    <t>KELLY CLERMONT FERRAND</t>
  </si>
  <si>
    <t>5 MMX36 CM</t>
  </si>
  <si>
    <t>DOUBLE ACTION, DISSECTING, GRASPING, ROTATING, WITH CONNECTOR PIN, FOR BIPOLAR COAGULATION</t>
  </si>
  <si>
    <t>CLICKLINE, ROBI</t>
  </si>
  <si>
    <t>https://www.karlstorz.com/cps/rde/xbcr/karlstorz_assets/ASSETS/3331471.pdf</t>
  </si>
  <si>
    <t>Mixevac Pump Automatic High Foot For Spinal Delivery Auto Mixing System Bone Cement Mixer Kit Non Sterile Latex Reusable</t>
  </si>
  <si>
    <t>PUMP, VACUUM, AUTOMATIC, HIGH FOOT, FOR SPINAL DELIVERY, AUTO MIXING SYSTEM, BONE CEMENT MIXER KIT, NON STERILE, MIXEVAC, LATEX, REUSABLE</t>
  </si>
  <si>
    <t>PUMP</t>
  </si>
  <si>
    <t>VACUUM</t>
  </si>
  <si>
    <t>AUTOMATIC</t>
  </si>
  <si>
    <t>HIGH FOOT, FOR SPINAL DELIVERY, AUTO MIXING SYSTEM, BONE CEMENT MIXER KIT</t>
  </si>
  <si>
    <t>MIXEVAC</t>
  </si>
  <si>
    <t>https://www.strykermeded.com/media/1244/acm-brochure-with-bioprep.pdf</t>
  </si>
  <si>
    <t>T7 Helmet Non Sterile Latex</t>
  </si>
  <si>
    <t>HELMET, SURGICAL ISOLATION, NON STERILE, T7, LATEX</t>
  </si>
  <si>
    <t>HELMET</t>
  </si>
  <si>
    <t>SURGICAL ISOLATION</t>
  </si>
  <si>
    <t>https://www.stryker.com/us/en/about/patents/instruments-patents.html</t>
  </si>
  <si>
    <t>T7 Helmet With Led Headlight Non Sterile Latex</t>
  </si>
  <si>
    <t>HELMET, SURGICAL ISOLATION, WITH LED HEADLIGHT, NON STERILE, T7, LATEX</t>
  </si>
  <si>
    <t>WITH LED HEADLIGHT</t>
  </si>
  <si>
    <t>Drill Quick Connect Hudson Component Power Tool For Handpiece Attachment 2 Trigger System 6 Non Sterile Latex</t>
  </si>
  <si>
    <t>DRILL, SURGICAL, QUICK CONNECT, HUDSON COMPONENT, POWER TOOL, FOR HANDPIECE ATTACHMENT 2 TRIGGER SYSTEM 6, NON STERILE, LATEX</t>
  </si>
  <si>
    <t>QUICK CONNECT</t>
  </si>
  <si>
    <t>HUDSON COMPONENT, POWER TOOL, FOR HANDPIECE ATTACHMENT 2 TRIGGER SYSTEM 6</t>
  </si>
  <si>
    <t>https://www.strykermeded.com/media/2269/system-8-brochure.pdf</t>
  </si>
  <si>
    <t>Silverglide Forcep 0.4 Mm 6.1 In Bipolar 2-pin Bayonet Silver Plated Tip Precision Guidestop Non Stick Round Connector For Mis Titanium Non Sterile Latex Reusable</t>
  </si>
  <si>
    <t>FORCEP, ELECTROSURGICAL, BIPOLAR, 0.4 MM, 6.1 IN, 2-PIN, BAYONET, SILVER PLATED TIP, PRECISION, GUIDESTOP, NON STICK, ROUND CONNECTOR, FOR MIS, TITANIUM, NON STERILE, SILVERGLIDE, LATEX, REUSABLE</t>
  </si>
  <si>
    <t>BIPOLAR</t>
  </si>
  <si>
    <t>0.4 MM</t>
  </si>
  <si>
    <t>6.1 IN</t>
  </si>
  <si>
    <t>2-PIN, BAYONET, SILVER PLATED TIP, PRECISION, GUIDESTOP, NON STICK, ROUND CONNECTOR, FOR MIS</t>
  </si>
  <si>
    <t>https://www.stryker.com/content/dam/stryker/navigation/products/silverglide/resourcesk/SILVERGlide-Bipolar-Forceps-parts-list.pdf</t>
  </si>
  <si>
    <t>Mini-incision Lapiplasty System</t>
  </si>
  <si>
    <t>SYSTEM, FIXATION, MINI-INCISION, LAPIPLASTY</t>
  </si>
  <si>
    <t>SYSTEM</t>
  </si>
  <si>
    <t>FIXATION</t>
  </si>
  <si>
    <t>MINI-INCISION, LAPIPLASTY</t>
  </si>
  <si>
    <t>Humidifier 6-15 Lpm 350 Cc High Flow Bubble Safety Pop Off Valve Latex-free Disposable</t>
  </si>
  <si>
    <t>HUMIDIFIER, RESPIRATORY, HIGH FLOW, 6-15 LPM, 350 CC, BUBBLE, SAFETY, POP OFF VALVE, LATEX-FREE, DISPOSABLE</t>
  </si>
  <si>
    <t>HUMIDIFIER</t>
  </si>
  <si>
    <t>RESPIRATORY</t>
  </si>
  <si>
    <t>HIGH FLOW</t>
  </si>
  <si>
    <t>6-15 LPM</t>
  </si>
  <si>
    <t>350 CC</t>
  </si>
  <si>
    <t>BUBBLE, SAFETY, POP OFF VALVE</t>
  </si>
  <si>
    <t>25/CA</t>
  </si>
  <si>
    <t>https://www.tri-anim.com/ths/oxygen-high-flow-delivery/humidification-nebulization/bubble-humidifiers/high-flow-humidifiers/p/group003145</t>
  </si>
  <si>
    <t>Tenex Health Tx2 Surgical Procedure Pack Custom For Tissue Removal</t>
  </si>
  <si>
    <t>SURGICAL PROCEDURE PACK, CUSTOM, FOR TISSUE REMOVAL, TENEX HEALTH TX2</t>
  </si>
  <si>
    <t>SURGICAL PROCEDURE PACK</t>
  </si>
  <si>
    <t>CUSTOM</t>
  </si>
  <si>
    <t>FOR TISSUE REMOVAL</t>
  </si>
  <si>
    <t>TENEX HEALTH TX2</t>
  </si>
  <si>
    <t>https://accessgudid.nlm.nih.gov/devices/00857156006154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</si>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</sst>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30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49" fontId="5" fillId="4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/>
    <xf numFmtId="49" fontId="5" fillId="3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0" fontId="6" fillId="8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/>
    <xf numFmtId="0" fontId="8" fillId="0" borderId="0" xfId="0" applyFont="1" applyBorder="1" applyAlignment="1">
      <alignment horizontal="left"/>
    </xf>
    <xf numFmtId="49" fontId="8" fillId="0" borderId="0" xfId="0" applyNumberFormat="1" applyFont="1" applyBorder="1"/>
    <xf numFmtId="0" fontId="8" fillId="0" borderId="0" xfId="0" applyFont="1" applyBorder="1" applyAlignment="1">
      <alignment horizontal="left" vertical="center"/>
    </xf>
    <xf numFmtId="0" fontId="8" fillId="0" borderId="2" xfId="0" applyFont="1" applyBorder="1"/>
    <xf numFmtId="0" fontId="8" fillId="0" borderId="1" xfId="0" applyFont="1"/>
    <xf numFmtId="0" fontId="7" fillId="0" borderId="1" xfId="0" applyFont="1"/>
    <xf numFmtId="0" fontId="8" fillId="0" borderId="1" xfId="0" applyFont="1" applyAlignment="1">
      <alignment vertical="center"/>
    </xf>
    <xf numFmtId="0" fontId="8" fillId="0" borderId="1" xfId="0" quotePrefix="1" applyFont="1"/>
    <xf numFmtId="0" fontId="8" fillId="0" borderId="1" xfId="0" applyFont="1" applyAlignment="1">
      <alignment horizontal="left" vertical="center" indent="1"/>
    </xf>
    <xf numFmtId="0" fontId="8" fillId="0" borderId="3" xfId="0" applyFont="1" applyBorder="1" applyAlignment="1">
      <alignment horizontal="left" vertical="center"/>
    </xf>
    <xf numFmtId="0" fontId="7" fillId="0" borderId="1" xfId="0" applyFont="1" applyAlignment="1">
      <alignment horizontal="left" vertical="center" indent="1"/>
    </xf>
    <xf numFmtId="0" fontId="8" fillId="0" borderId="3" xfId="0" applyFont="1" applyBorder="1" applyAlignment="1">
      <alignment horizontal="left" vertical="center" indent="1"/>
    </xf>
    <xf numFmtId="0" fontId="8" fillId="0" borderId="1" xfId="0" applyFont="1" applyAlignment="1">
      <alignment horizontal="left" vertical="center"/>
    </xf>
    <xf numFmtId="0" fontId="9" fillId="0" borderId="4" xfId="0" applyFont="1" applyBorder="1" applyAlignment="1">
      <alignment horizontal="left"/>
    </xf>
    <xf numFmtId="0" fontId="8" fillId="0" borderId="1" xfId="0" quotePrefix="1" applyFont="1" applyAlignment="1">
      <alignment horizontal="left" vertical="center"/>
    </xf>
    <xf numFmtId="0" fontId="8" fillId="0" borderId="5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MB_Items_4141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58"/>
  <sheetViews>
    <sheetView tabSelected="1" topLeftCell="BY36" workbookViewId="0">
      <selection activeCell="CH2" sqref="CH2:CH58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15.28515625" style="1" customWidth="1"/>
    <col min="8" max="8" width="9.85546875" style="1" customWidth="1"/>
    <col min="9" max="9" width="13.7109375" style="1" customWidth="1"/>
    <col min="10" max="10" width="8.5703125" style="1" customWidth="1"/>
    <col min="11" max="11" width="8.7109375" style="1" customWidth="1"/>
    <col min="12" max="12" width="13.28515625" style="1" customWidth="1"/>
    <col min="13" max="13" width="12.28515625" style="1" customWidth="1"/>
    <col min="14" max="14" width="10.140625" style="1" customWidth="1"/>
    <col min="15" max="15" width="13.5703125" style="1" customWidth="1"/>
    <col min="16" max="16" width="11.140625" style="1" customWidth="1"/>
    <col min="17" max="17" width="4.7109375" style="1" customWidth="1"/>
    <col min="18" max="18" width="5.7109375" style="1" customWidth="1"/>
    <col min="19" max="19" width="17.85546875" style="1" customWidth="1"/>
    <col min="20" max="20" width="19.28515625" style="1" customWidth="1"/>
    <col min="21" max="21" width="16.140625" style="1" customWidth="1"/>
    <col min="22" max="22" width="23.5703125" style="1" customWidth="1"/>
    <col min="23" max="23" width="17.42578125" style="1" customWidth="1"/>
    <col min="24" max="24" width="23.42578125" style="1" customWidth="1"/>
    <col min="25" max="25" width="22.140625" style="1" customWidth="1"/>
    <col min="26" max="26" width="16.5703125" style="1" customWidth="1"/>
    <col min="27" max="27" width="23.5703125" style="1" customWidth="1"/>
    <col min="28" max="28" width="23.42578125" style="1" customWidth="1"/>
    <col min="29" max="29" width="22.140625" style="1" customWidth="1"/>
    <col min="30" max="30" width="31.42578125" style="1" customWidth="1"/>
    <col min="31" max="31" width="155.85546875" style="1" customWidth="1"/>
    <col min="32" max="32" width="200.140625" style="1" customWidth="1"/>
    <col min="33" max="33" width="133.140625" style="1" customWidth="1"/>
    <col min="34" max="34" width="8.140625" style="1" customWidth="1"/>
    <col min="35" max="35" width="16.5703125" style="1" customWidth="1"/>
    <col min="36" max="36" width="10" style="1" customWidth="1"/>
    <col min="37" max="37" width="88.28515625" style="1" customWidth="1"/>
    <col min="38" max="38" width="13" style="1" customWidth="1"/>
    <col min="39" max="39" width="11" style="1" customWidth="1"/>
    <col min="40" max="40" width="11.28515625" style="1" customWidth="1"/>
    <col min="41" max="41" width="16.42578125" style="1" customWidth="1"/>
    <col min="42" max="42" width="38" style="1" customWidth="1"/>
    <col min="43" max="43" width="15.28515625" style="1" customWidth="1"/>
    <col min="44" max="44" width="25.85546875" style="1" customWidth="1"/>
    <col min="45" max="45" width="5" style="1" customWidth="1"/>
    <col min="46" max="46" width="6.42578125" style="1" customWidth="1"/>
    <col min="47" max="47" width="8.85546875" style="1" customWidth="1"/>
    <col min="48" max="48" width="9.42578125" style="1" customWidth="1"/>
    <col min="49" max="50" width="5.140625" style="1" customWidth="1"/>
    <col min="51" max="51" width="35.7109375" style="1" customWidth="1"/>
    <col min="52" max="52" width="38.140625" style="1" customWidth="1"/>
    <col min="53" max="53" width="14.85546875" style="1" customWidth="1"/>
    <col min="54" max="54" width="8" style="1" customWidth="1"/>
    <col min="55" max="55" width="8.7109375" style="1" customWidth="1"/>
    <col min="56" max="56" width="9.140625" style="1" customWidth="1"/>
    <col min="57" max="57" width="8.7109375" style="1" customWidth="1"/>
    <col min="58" max="58" width="27.85546875" style="1" customWidth="1"/>
    <col min="59" max="59" width="6.28515625" style="1" customWidth="1"/>
    <col min="60" max="60" width="7.28515625" style="1" customWidth="1"/>
    <col min="61" max="61" width="11.42578125" style="1" customWidth="1"/>
    <col min="62" max="62" width="6.42578125" style="1" customWidth="1"/>
    <col min="63" max="63" width="10.42578125" style="1" customWidth="1"/>
    <col min="64" max="64" width="13" style="1" customWidth="1"/>
    <col min="65" max="66" width="5.140625" style="1" customWidth="1"/>
    <col min="67" max="67" width="17.85546875" style="1" customWidth="1"/>
    <col min="68" max="68" width="18.85546875" style="1" customWidth="1"/>
    <col min="69" max="69" width="8.85546875" style="1" customWidth="1"/>
    <col min="70" max="70" width="19.28515625" style="1" customWidth="1"/>
    <col min="71" max="71" width="27" style="1" customWidth="1"/>
    <col min="72" max="72" width="9.28515625" style="1" customWidth="1"/>
    <col min="73" max="73" width="20" style="1" customWidth="1"/>
    <col min="74" max="74" width="18.7109375" style="1" customWidth="1"/>
    <col min="75" max="75" width="7.140625" style="1" customWidth="1"/>
    <col min="76" max="76" width="34.28515625" style="1" customWidth="1"/>
    <col min="77" max="77" width="34.140625" style="1" customWidth="1"/>
    <col min="78" max="78" width="12.140625" style="1" customWidth="1"/>
    <col min="79" max="79" width="14" style="1" customWidth="1"/>
    <col min="80" max="80" width="6.140625" style="1" customWidth="1"/>
    <col min="81" max="81" width="18.85546875" style="1" customWidth="1"/>
    <col min="82" max="82" width="20.28515625" style="1" customWidth="1"/>
    <col min="83" max="83" width="9.85546875" style="1" customWidth="1"/>
    <col min="84" max="84" width="11.140625" style="1" customWidth="1"/>
    <col min="85" max="85" width="4.7109375" style="1" customWidth="1"/>
    <col min="86" max="86" width="19.85546875" style="1" customWidth="1"/>
    <col min="87" max="87" width="18.5703125" style="1" customWidth="1"/>
    <col min="88" max="88" width="9.140625" style="1" customWidth="1"/>
    <col min="89" max="16384" width="9.140625" style="1"/>
  </cols>
  <sheetData>
    <row r="1" spans="1:87" ht="12" customHeight="1" x14ac:dyDescent="0.2">
      <c r="A1" s="2" t="s">
        <v>282</v>
      </c>
      <c r="B1" s="3" t="s">
        <v>525</v>
      </c>
      <c r="C1" s="2" t="s">
        <v>156</v>
      </c>
      <c r="D1" s="2" t="s">
        <v>538</v>
      </c>
      <c r="E1" s="4" t="s">
        <v>173</v>
      </c>
      <c r="F1" s="2" t="s">
        <v>599</v>
      </c>
      <c r="G1" s="4" t="s">
        <v>404</v>
      </c>
      <c r="H1" s="2" t="s">
        <v>181</v>
      </c>
      <c r="I1" s="2" t="s">
        <v>464</v>
      </c>
      <c r="J1" s="2" t="s">
        <v>196</v>
      </c>
      <c r="K1" s="2" t="s">
        <v>109</v>
      </c>
      <c r="L1" s="2" t="s">
        <v>348</v>
      </c>
      <c r="M1" s="2" t="s">
        <v>564</v>
      </c>
      <c r="N1" s="2" t="s">
        <v>442</v>
      </c>
      <c r="O1" s="2" t="s">
        <v>96</v>
      </c>
      <c r="P1" s="2" t="s">
        <v>175</v>
      </c>
      <c r="Q1" s="5" t="s">
        <v>140</v>
      </c>
      <c r="R1" s="5" t="s">
        <v>386</v>
      </c>
      <c r="S1" s="6" t="s">
        <v>58</v>
      </c>
      <c r="T1" s="6" t="s">
        <v>286</v>
      </c>
      <c r="U1" s="6" t="s">
        <v>48</v>
      </c>
      <c r="V1" s="6" t="s">
        <v>235</v>
      </c>
      <c r="W1" s="5" t="s">
        <v>302</v>
      </c>
      <c r="X1" s="6" t="s">
        <v>612</v>
      </c>
      <c r="Y1" s="6" t="s">
        <v>425</v>
      </c>
      <c r="Z1" s="5" t="s">
        <v>328</v>
      </c>
      <c r="AA1" s="7" t="s">
        <v>147</v>
      </c>
      <c r="AB1" s="7" t="s">
        <v>350</v>
      </c>
      <c r="AC1" s="7" t="s">
        <v>22</v>
      </c>
      <c r="AD1" s="7" t="s">
        <v>501</v>
      </c>
      <c r="AE1" s="6" t="s">
        <v>344</v>
      </c>
      <c r="AF1" s="6" t="s">
        <v>257</v>
      </c>
      <c r="AG1" s="6" t="s">
        <v>405</v>
      </c>
      <c r="AH1" s="6" t="s">
        <v>580</v>
      </c>
      <c r="AI1" s="6" t="s">
        <v>46</v>
      </c>
      <c r="AJ1" s="6" t="s">
        <v>351</v>
      </c>
      <c r="AK1" s="6" t="s">
        <v>496</v>
      </c>
      <c r="AL1" s="6" t="s">
        <v>123</v>
      </c>
      <c r="AM1" s="8" t="s">
        <v>315</v>
      </c>
      <c r="AN1" s="4" t="s">
        <v>575</v>
      </c>
      <c r="AO1" s="4" t="s">
        <v>24</v>
      </c>
      <c r="AP1" s="9" t="s">
        <v>10</v>
      </c>
      <c r="AQ1" s="8" t="s">
        <v>112</v>
      </c>
      <c r="AR1" s="8" t="s">
        <v>180</v>
      </c>
      <c r="AS1" s="8" t="s">
        <v>362</v>
      </c>
      <c r="AT1" s="9" t="s">
        <v>432</v>
      </c>
      <c r="AU1" s="9" t="s">
        <v>280</v>
      </c>
      <c r="AV1" s="9" t="s">
        <v>445</v>
      </c>
      <c r="AW1" s="9" t="s">
        <v>356</v>
      </c>
      <c r="AX1" s="9" t="s">
        <v>345</v>
      </c>
      <c r="AY1" s="9" t="s">
        <v>170</v>
      </c>
      <c r="AZ1" s="9" t="s">
        <v>541</v>
      </c>
      <c r="BA1" s="9" t="s">
        <v>474</v>
      </c>
      <c r="BB1" s="9" t="s">
        <v>550</v>
      </c>
      <c r="BC1" s="9" t="s">
        <v>230</v>
      </c>
      <c r="BD1" s="9" t="s">
        <v>73</v>
      </c>
      <c r="BE1" s="9" t="s">
        <v>400</v>
      </c>
      <c r="BF1" s="9" t="s">
        <v>387</v>
      </c>
      <c r="BG1" s="9" t="s">
        <v>566</v>
      </c>
      <c r="BH1" s="9" t="s">
        <v>120</v>
      </c>
      <c r="BI1" s="9" t="s">
        <v>265</v>
      </c>
      <c r="BJ1" s="9" t="s">
        <v>422</v>
      </c>
      <c r="BK1" s="9" t="s">
        <v>591</v>
      </c>
      <c r="BL1" s="9" t="s">
        <v>247</v>
      </c>
      <c r="BM1" s="8" t="s">
        <v>38</v>
      </c>
      <c r="BN1" s="8" t="s">
        <v>449</v>
      </c>
      <c r="BO1" s="9" t="s">
        <v>106</v>
      </c>
      <c r="BP1" s="9" t="s">
        <v>107</v>
      </c>
      <c r="BQ1" s="9" t="s">
        <v>339</v>
      </c>
      <c r="BR1" s="9" t="s">
        <v>354</v>
      </c>
      <c r="BS1" s="9" t="s">
        <v>519</v>
      </c>
      <c r="BT1" s="10" t="s">
        <v>570</v>
      </c>
      <c r="BU1" s="10" t="s">
        <v>79</v>
      </c>
      <c r="BV1" s="10" t="s">
        <v>547</v>
      </c>
      <c r="BW1" s="10" t="s">
        <v>28</v>
      </c>
      <c r="BX1" s="10" t="s">
        <v>495</v>
      </c>
      <c r="BY1" s="10" t="s">
        <v>252</v>
      </c>
      <c r="BZ1" s="10" t="s">
        <v>276</v>
      </c>
      <c r="CA1" s="10" t="s">
        <v>398</v>
      </c>
      <c r="CB1" s="10" t="s">
        <v>313</v>
      </c>
      <c r="CC1" s="10" t="s">
        <v>211</v>
      </c>
      <c r="CD1" s="10" t="s">
        <v>44</v>
      </c>
      <c r="CE1" s="10" t="s">
        <v>137</v>
      </c>
      <c r="CF1" s="10" t="s">
        <v>214</v>
      </c>
      <c r="CG1" s="10" t="s">
        <v>27</v>
      </c>
      <c r="CH1" s="1" t="s">
        <v>562</v>
      </c>
      <c r="CI1" s="1" t="s">
        <v>415</v>
      </c>
    </row>
    <row r="2" spans="1:87" ht="12" customHeight="1" x14ac:dyDescent="0.2">
      <c r="A2" s="11" t="s">
        <v>574</v>
      </c>
      <c r="B2" s="12" t="s">
        <v>587</v>
      </c>
      <c r="C2" s="12" t="s">
        <v>611</v>
      </c>
      <c r="D2" s="17" t="s">
        <v>625</v>
      </c>
      <c r="E2" s="12" t="s">
        <v>611</v>
      </c>
      <c r="F2" s="17" t="s">
        <v>628</v>
      </c>
      <c r="G2" s="13" t="s">
        <v>121</v>
      </c>
      <c r="H2" s="12"/>
      <c r="I2" s="12"/>
      <c r="J2" s="12"/>
      <c r="K2" s="12"/>
      <c r="L2" s="12"/>
      <c r="M2" s="12"/>
      <c r="N2" s="12"/>
      <c r="O2" s="12"/>
      <c r="P2" s="12"/>
      <c r="Q2" s="12">
        <v>48</v>
      </c>
      <c r="R2" s="12">
        <v>76</v>
      </c>
      <c r="S2" s="12" t="s">
        <v>100</v>
      </c>
      <c r="T2" s="12" t="s">
        <v>110</v>
      </c>
      <c r="U2" s="12" t="s">
        <v>500</v>
      </c>
      <c r="V2" s="12" t="s">
        <v>215</v>
      </c>
      <c r="W2" s="18" t="s">
        <v>633</v>
      </c>
      <c r="X2" s="12" t="s">
        <v>178</v>
      </c>
      <c r="Y2" s="12" t="s">
        <v>369</v>
      </c>
      <c r="Z2" s="17" t="s">
        <v>178</v>
      </c>
      <c r="AA2" s="12" t="s">
        <v>215</v>
      </c>
      <c r="AB2" s="12" t="s">
        <v>178</v>
      </c>
      <c r="AC2" s="14" t="s">
        <v>369</v>
      </c>
      <c r="AD2" s="12" t="s">
        <v>248</v>
      </c>
      <c r="AE2" s="12" t="s">
        <v>174</v>
      </c>
      <c r="AF2" s="12" t="s">
        <v>169</v>
      </c>
      <c r="AG2" s="12" t="s">
        <v>297</v>
      </c>
      <c r="AH2" s="12"/>
      <c r="AI2" s="12" t="s">
        <v>183</v>
      </c>
      <c r="AJ2" s="12" t="s">
        <v>383</v>
      </c>
      <c r="AK2" s="12" t="s">
        <v>411</v>
      </c>
      <c r="AL2" s="12" t="s">
        <v>346</v>
      </c>
      <c r="AM2" s="21" t="s">
        <v>666</v>
      </c>
      <c r="AN2" s="17"/>
      <c r="AO2" s="17"/>
      <c r="AP2" s="22" t="s">
        <v>711</v>
      </c>
      <c r="AQ2" s="17" t="s">
        <v>712</v>
      </c>
      <c r="AR2" s="17" t="s">
        <v>712</v>
      </c>
      <c r="AS2" s="23">
        <f t="shared" ref="AS2:AS58" si="0">LEN(SUBSTITUTE(AR2, ", ",","))</f>
        <v>96</v>
      </c>
      <c r="AT2" s="17" t="s">
        <v>713</v>
      </c>
      <c r="AU2" s="17" t="s">
        <v>714</v>
      </c>
      <c r="AV2" s="22" t="s">
        <v>715</v>
      </c>
      <c r="AW2" s="22"/>
      <c r="AX2" s="22"/>
      <c r="AY2" s="22" t="s">
        <v>716</v>
      </c>
      <c r="AZ2" s="22"/>
      <c r="BA2" s="22" t="s">
        <v>717</v>
      </c>
      <c r="BB2" s="22"/>
      <c r="BC2" s="22"/>
      <c r="BD2" s="22" t="s">
        <v>718</v>
      </c>
      <c r="BE2" s="22"/>
      <c r="BF2" s="22"/>
      <c r="BG2" s="22"/>
      <c r="BH2" s="22" t="s">
        <v>719</v>
      </c>
      <c r="BI2" s="22" t="s">
        <v>183</v>
      </c>
      <c r="BJ2" s="17" t="s">
        <v>720</v>
      </c>
      <c r="BK2" s="17"/>
      <c r="BL2" s="17"/>
      <c r="BM2" s="24" t="s">
        <v>721</v>
      </c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" t="s">
        <v>1135</v>
      </c>
    </row>
    <row r="3" spans="1:87" ht="12" customHeight="1" x14ac:dyDescent="0.2">
      <c r="A3" s="11" t="s">
        <v>574</v>
      </c>
      <c r="B3" s="12" t="s">
        <v>587</v>
      </c>
      <c r="C3" s="12" t="s">
        <v>611</v>
      </c>
      <c r="D3" s="17" t="s">
        <v>626</v>
      </c>
      <c r="E3" s="12" t="s">
        <v>611</v>
      </c>
      <c r="F3" s="17" t="s">
        <v>628</v>
      </c>
      <c r="G3" s="13" t="s">
        <v>121</v>
      </c>
      <c r="H3" s="12"/>
      <c r="I3" s="12"/>
      <c r="J3" s="12"/>
      <c r="K3" s="12"/>
      <c r="L3" s="12"/>
      <c r="M3" s="12"/>
      <c r="N3" s="12"/>
      <c r="O3" s="12"/>
      <c r="P3" s="12"/>
      <c r="Q3" s="12">
        <v>55</v>
      </c>
      <c r="R3" s="12">
        <v>19</v>
      </c>
      <c r="S3" s="12" t="s">
        <v>29</v>
      </c>
      <c r="T3" s="12"/>
      <c r="U3" s="12"/>
      <c r="V3" s="12" t="s">
        <v>97</v>
      </c>
      <c r="W3" s="19" t="s">
        <v>634</v>
      </c>
      <c r="X3" s="12" t="s">
        <v>191</v>
      </c>
      <c r="Y3" s="12" t="s">
        <v>191</v>
      </c>
      <c r="Z3" s="17" t="s">
        <v>191</v>
      </c>
      <c r="AA3" s="12" t="s">
        <v>97</v>
      </c>
      <c r="AB3" s="12" t="s">
        <v>191</v>
      </c>
      <c r="AC3" s="14" t="s">
        <v>191</v>
      </c>
      <c r="AD3" s="12" t="s">
        <v>429</v>
      </c>
      <c r="AE3" s="12" t="s">
        <v>320</v>
      </c>
      <c r="AF3" s="12" t="s">
        <v>304</v>
      </c>
      <c r="AG3" s="12"/>
      <c r="AH3" s="12"/>
      <c r="AI3" s="12"/>
      <c r="AJ3" s="12"/>
      <c r="AK3" s="12"/>
      <c r="AL3" s="12" t="s">
        <v>75</v>
      </c>
      <c r="AM3" s="21" t="s">
        <v>667</v>
      </c>
      <c r="AN3" s="17"/>
      <c r="AO3" s="17"/>
      <c r="AP3" s="17" t="s">
        <v>722</v>
      </c>
      <c r="AQ3" s="17" t="s">
        <v>723</v>
      </c>
      <c r="AR3" s="17" t="s">
        <v>723</v>
      </c>
      <c r="AS3" s="23">
        <f t="shared" si="0"/>
        <v>32</v>
      </c>
      <c r="AT3" s="17" t="s">
        <v>724</v>
      </c>
      <c r="AU3" s="17" t="s">
        <v>725</v>
      </c>
      <c r="AV3" s="17"/>
      <c r="AW3" s="17"/>
      <c r="AX3" s="17"/>
      <c r="AY3" s="17"/>
      <c r="AZ3" s="17"/>
      <c r="BA3" s="17"/>
      <c r="BB3" s="17"/>
      <c r="BC3" s="17"/>
      <c r="BD3" s="17" t="s">
        <v>726</v>
      </c>
      <c r="BE3" s="25" t="s">
        <v>727</v>
      </c>
      <c r="BF3" s="17"/>
      <c r="BG3" s="17"/>
      <c r="BH3" s="17"/>
      <c r="BI3" s="17"/>
      <c r="BJ3" s="17"/>
      <c r="BK3" s="17"/>
      <c r="BL3" s="17"/>
      <c r="BM3" s="17" t="s">
        <v>728</v>
      </c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" t="s">
        <v>1135</v>
      </c>
    </row>
    <row r="4" spans="1:87" ht="12" customHeight="1" x14ac:dyDescent="0.2">
      <c r="A4" s="11" t="s">
        <v>574</v>
      </c>
      <c r="B4" s="12" t="s">
        <v>587</v>
      </c>
      <c r="C4" s="12" t="s">
        <v>611</v>
      </c>
      <c r="D4" s="17" t="s">
        <v>626</v>
      </c>
      <c r="E4" s="12" t="s">
        <v>611</v>
      </c>
      <c r="F4" s="17" t="s">
        <v>628</v>
      </c>
      <c r="G4" s="13" t="s">
        <v>121</v>
      </c>
      <c r="H4" s="12"/>
      <c r="I4" s="12"/>
      <c r="J4" s="12"/>
      <c r="K4" s="12"/>
      <c r="L4" s="12"/>
      <c r="M4" s="12"/>
      <c r="N4" s="12"/>
      <c r="O4" s="12"/>
      <c r="P4" s="12"/>
      <c r="Q4" s="12">
        <v>56</v>
      </c>
      <c r="R4" s="12">
        <v>20</v>
      </c>
      <c r="S4" s="12" t="s">
        <v>318</v>
      </c>
      <c r="T4" s="12"/>
      <c r="U4" s="12"/>
      <c r="V4" s="12" t="s">
        <v>97</v>
      </c>
      <c r="W4" s="19" t="s">
        <v>634</v>
      </c>
      <c r="X4" s="12" t="s">
        <v>271</v>
      </c>
      <c r="Y4" s="12" t="s">
        <v>271</v>
      </c>
      <c r="Z4" s="17" t="s">
        <v>271</v>
      </c>
      <c r="AA4" s="12" t="s">
        <v>97</v>
      </c>
      <c r="AB4" s="12" t="s">
        <v>271</v>
      </c>
      <c r="AC4" s="14" t="s">
        <v>271</v>
      </c>
      <c r="AD4" s="12" t="s">
        <v>434</v>
      </c>
      <c r="AE4" s="12" t="s">
        <v>440</v>
      </c>
      <c r="AF4" s="12" t="s">
        <v>601</v>
      </c>
      <c r="AG4" s="12" t="s">
        <v>601</v>
      </c>
      <c r="AH4" s="12"/>
      <c r="AI4" s="12"/>
      <c r="AJ4" s="12" t="s">
        <v>537</v>
      </c>
      <c r="AK4" s="12" t="s">
        <v>221</v>
      </c>
      <c r="AL4" s="12" t="s">
        <v>162</v>
      </c>
      <c r="AM4" s="21" t="s">
        <v>667</v>
      </c>
      <c r="AN4" s="17"/>
      <c r="AO4" s="17"/>
      <c r="AP4" s="17" t="s">
        <v>729</v>
      </c>
      <c r="AQ4" s="17" t="s">
        <v>730</v>
      </c>
      <c r="AR4" s="17" t="s">
        <v>730</v>
      </c>
      <c r="AS4" s="23">
        <f t="shared" si="0"/>
        <v>40</v>
      </c>
      <c r="AT4" s="17" t="s">
        <v>724</v>
      </c>
      <c r="AU4" s="25" t="s">
        <v>725</v>
      </c>
      <c r="AV4" s="25" t="s">
        <v>731</v>
      </c>
      <c r="AW4" s="25"/>
      <c r="AX4" s="25"/>
      <c r="AY4" s="25"/>
      <c r="AZ4" s="25"/>
      <c r="BA4" s="25"/>
      <c r="BB4" s="25"/>
      <c r="BC4" s="25"/>
      <c r="BD4" s="17" t="s">
        <v>726</v>
      </c>
      <c r="BE4" s="25" t="s">
        <v>727</v>
      </c>
      <c r="BF4" s="25"/>
      <c r="BG4" s="25"/>
      <c r="BH4" s="25"/>
      <c r="BI4" s="17"/>
      <c r="BJ4" s="17"/>
      <c r="BK4" s="17"/>
      <c r="BL4" s="17"/>
      <c r="BM4" s="17" t="s">
        <v>728</v>
      </c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" t="s">
        <v>1135</v>
      </c>
    </row>
    <row r="5" spans="1:87" ht="12" customHeight="1" x14ac:dyDescent="0.2">
      <c r="A5" s="11" t="s">
        <v>574</v>
      </c>
      <c r="B5" s="12" t="s">
        <v>587</v>
      </c>
      <c r="C5" s="12" t="s">
        <v>611</v>
      </c>
      <c r="D5" s="17" t="s">
        <v>625</v>
      </c>
      <c r="E5" s="12" t="s">
        <v>611</v>
      </c>
      <c r="F5" s="17" t="s">
        <v>628</v>
      </c>
      <c r="G5" s="13" t="s">
        <v>121</v>
      </c>
      <c r="H5" s="12"/>
      <c r="I5" s="12"/>
      <c r="J5" s="12"/>
      <c r="K5" s="12"/>
      <c r="L5" s="12"/>
      <c r="M5" s="12"/>
      <c r="N5" s="12"/>
      <c r="O5" s="12"/>
      <c r="P5" s="12"/>
      <c r="Q5" s="12">
        <v>57</v>
      </c>
      <c r="R5" s="12">
        <v>22</v>
      </c>
      <c r="S5" s="12" t="s">
        <v>199</v>
      </c>
      <c r="T5" s="12"/>
      <c r="U5" s="12"/>
      <c r="V5" s="12" t="s">
        <v>97</v>
      </c>
      <c r="W5" s="19" t="s">
        <v>634</v>
      </c>
      <c r="X5" s="12" t="s">
        <v>204</v>
      </c>
      <c r="Y5" s="12" t="s">
        <v>204</v>
      </c>
      <c r="Z5" s="17" t="s">
        <v>204</v>
      </c>
      <c r="AA5" s="12" t="s">
        <v>97</v>
      </c>
      <c r="AB5" s="12" t="s">
        <v>204</v>
      </c>
      <c r="AC5" s="14" t="s">
        <v>204</v>
      </c>
      <c r="AD5" s="12" t="s">
        <v>266</v>
      </c>
      <c r="AE5" s="12" t="s">
        <v>54</v>
      </c>
      <c r="AF5" s="12" t="s">
        <v>151</v>
      </c>
      <c r="AG5" s="12" t="s">
        <v>151</v>
      </c>
      <c r="AH5" s="12"/>
      <c r="AI5" s="12" t="s">
        <v>270</v>
      </c>
      <c r="AJ5" s="12" t="s">
        <v>537</v>
      </c>
      <c r="AK5" s="12" t="s">
        <v>221</v>
      </c>
      <c r="AL5" s="12" t="s">
        <v>418</v>
      </c>
      <c r="AM5" s="21" t="s">
        <v>667</v>
      </c>
      <c r="AN5" s="17"/>
      <c r="AO5" s="17"/>
      <c r="AP5" s="25" t="s">
        <v>732</v>
      </c>
      <c r="AQ5" s="17" t="s">
        <v>733</v>
      </c>
      <c r="AR5" s="17" t="s">
        <v>733</v>
      </c>
      <c r="AS5" s="23">
        <f t="shared" si="0"/>
        <v>41</v>
      </c>
      <c r="AT5" s="17" t="s">
        <v>724</v>
      </c>
      <c r="AU5" s="17" t="s">
        <v>725</v>
      </c>
      <c r="AV5" s="25"/>
      <c r="AW5" s="25"/>
      <c r="AX5" s="25"/>
      <c r="AY5" s="25"/>
      <c r="AZ5" s="25"/>
      <c r="BA5" s="25"/>
      <c r="BB5" s="25"/>
      <c r="BC5" s="25"/>
      <c r="BD5" s="17" t="s">
        <v>726</v>
      </c>
      <c r="BE5" s="25" t="s">
        <v>734</v>
      </c>
      <c r="BF5" s="25"/>
      <c r="BG5" s="25"/>
      <c r="BH5" s="25"/>
      <c r="BI5" s="25" t="s">
        <v>735</v>
      </c>
      <c r="BJ5" s="17"/>
      <c r="BK5" s="17"/>
      <c r="BL5" s="17"/>
      <c r="BM5" s="17" t="s">
        <v>736</v>
      </c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" t="s">
        <v>1135</v>
      </c>
    </row>
    <row r="6" spans="1:87" ht="12" customHeight="1" x14ac:dyDescent="0.2">
      <c r="A6" s="11" t="s">
        <v>574</v>
      </c>
      <c r="B6" s="12" t="s">
        <v>587</v>
      </c>
      <c r="C6" s="12" t="s">
        <v>611</v>
      </c>
      <c r="D6" s="17" t="s">
        <v>627</v>
      </c>
      <c r="E6" s="12" t="s">
        <v>611</v>
      </c>
      <c r="F6" s="17" t="s">
        <v>628</v>
      </c>
      <c r="G6" s="13" t="s">
        <v>121</v>
      </c>
      <c r="H6" s="12"/>
      <c r="I6" s="12"/>
      <c r="J6" s="12"/>
      <c r="K6" s="12"/>
      <c r="L6" s="12"/>
      <c r="M6" s="12"/>
      <c r="N6" s="12"/>
      <c r="O6" s="12"/>
      <c r="P6" s="12"/>
      <c r="Q6" s="12">
        <v>41</v>
      </c>
      <c r="R6" s="12">
        <v>34</v>
      </c>
      <c r="S6" s="12" t="s">
        <v>588</v>
      </c>
      <c r="T6" s="12" t="s">
        <v>110</v>
      </c>
      <c r="U6" s="12" t="s">
        <v>37</v>
      </c>
      <c r="V6" s="12" t="s">
        <v>380</v>
      </c>
      <c r="W6" s="18" t="s">
        <v>635</v>
      </c>
      <c r="X6" s="12" t="s">
        <v>347</v>
      </c>
      <c r="Y6" s="12" t="s">
        <v>34</v>
      </c>
      <c r="Z6" s="17" t="s">
        <v>347</v>
      </c>
      <c r="AA6" s="12" t="s">
        <v>380</v>
      </c>
      <c r="AB6" s="12" t="s">
        <v>347</v>
      </c>
      <c r="AC6" s="14" t="s">
        <v>34</v>
      </c>
      <c r="AD6" s="12" t="s">
        <v>237</v>
      </c>
      <c r="AE6" s="12" t="s">
        <v>401</v>
      </c>
      <c r="AF6" s="12" t="s">
        <v>219</v>
      </c>
      <c r="AG6" s="12"/>
      <c r="AH6" s="12"/>
      <c r="AI6" s="12" t="s">
        <v>233</v>
      </c>
      <c r="AJ6" s="12" t="s">
        <v>186</v>
      </c>
      <c r="AK6" s="12" t="s">
        <v>303</v>
      </c>
      <c r="AL6" s="12" t="s">
        <v>254</v>
      </c>
      <c r="AM6" s="21" t="s">
        <v>668</v>
      </c>
      <c r="AN6" s="21" t="s">
        <v>737</v>
      </c>
      <c r="AO6" s="26" t="s">
        <v>738</v>
      </c>
      <c r="AP6" s="17" t="s">
        <v>739</v>
      </c>
      <c r="AQ6" s="17" t="s">
        <v>740</v>
      </c>
      <c r="AR6" s="17" t="s">
        <v>740</v>
      </c>
      <c r="AS6" s="23">
        <f t="shared" si="0"/>
        <v>71</v>
      </c>
      <c r="AT6" s="17" t="s">
        <v>741</v>
      </c>
      <c r="AU6" s="17" t="s">
        <v>742</v>
      </c>
      <c r="AV6" s="17"/>
      <c r="AW6" s="17" t="s">
        <v>743</v>
      </c>
      <c r="AX6" s="17"/>
      <c r="AY6" s="17" t="s">
        <v>744</v>
      </c>
      <c r="AZ6" s="17"/>
      <c r="BA6" s="17"/>
      <c r="BB6" s="17"/>
      <c r="BC6" s="17"/>
      <c r="BD6" s="17" t="s">
        <v>745</v>
      </c>
      <c r="BE6" s="17" t="s">
        <v>746</v>
      </c>
      <c r="BF6" s="17"/>
      <c r="BG6" s="17"/>
      <c r="BH6" s="17"/>
      <c r="BI6" s="17" t="s">
        <v>747</v>
      </c>
      <c r="BJ6" s="17"/>
      <c r="BK6" s="17"/>
      <c r="BL6" s="17"/>
      <c r="BM6" s="17" t="s">
        <v>748</v>
      </c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" t="s">
        <v>1135</v>
      </c>
    </row>
    <row r="7" spans="1:87" ht="12" customHeight="1" x14ac:dyDescent="0.2">
      <c r="A7" s="11" t="s">
        <v>574</v>
      </c>
      <c r="B7" s="12" t="s">
        <v>587</v>
      </c>
      <c r="C7" s="12" t="s">
        <v>611</v>
      </c>
      <c r="D7" s="17" t="s">
        <v>625</v>
      </c>
      <c r="E7" s="12" t="s">
        <v>611</v>
      </c>
      <c r="F7" s="17" t="s">
        <v>628</v>
      </c>
      <c r="G7" s="13" t="s">
        <v>121</v>
      </c>
      <c r="H7" s="12"/>
      <c r="I7" s="12"/>
      <c r="J7" s="12"/>
      <c r="K7" s="12"/>
      <c r="L7" s="12"/>
      <c r="M7" s="12"/>
      <c r="N7" s="12"/>
      <c r="O7" s="12"/>
      <c r="P7" s="12"/>
      <c r="Q7" s="12">
        <v>62</v>
      </c>
      <c r="R7" s="12">
        <v>26</v>
      </c>
      <c r="S7" s="12" t="s">
        <v>567</v>
      </c>
      <c r="T7" s="12" t="s">
        <v>110</v>
      </c>
      <c r="U7" s="12" t="s">
        <v>450</v>
      </c>
      <c r="V7" s="12" t="s">
        <v>285</v>
      </c>
      <c r="W7" s="18" t="s">
        <v>636</v>
      </c>
      <c r="X7" s="12" t="s">
        <v>592</v>
      </c>
      <c r="Y7" s="12" t="s">
        <v>406</v>
      </c>
      <c r="Z7" s="17" t="s">
        <v>592</v>
      </c>
      <c r="AA7" s="12" t="s">
        <v>285</v>
      </c>
      <c r="AB7" s="12" t="s">
        <v>592</v>
      </c>
      <c r="AC7" s="14" t="s">
        <v>406</v>
      </c>
      <c r="AD7" s="12" t="s">
        <v>412</v>
      </c>
      <c r="AE7" s="12" t="s">
        <v>164</v>
      </c>
      <c r="AF7" s="12" t="s">
        <v>258</v>
      </c>
      <c r="AG7" s="12" t="s">
        <v>258</v>
      </c>
      <c r="AH7" s="12"/>
      <c r="AI7" s="12" t="s">
        <v>285</v>
      </c>
      <c r="AJ7" s="12" t="s">
        <v>466</v>
      </c>
      <c r="AK7" s="12" t="s">
        <v>578</v>
      </c>
      <c r="AL7" s="12" t="s">
        <v>419</v>
      </c>
      <c r="AM7" s="21" t="s">
        <v>669</v>
      </c>
      <c r="AN7" s="17"/>
      <c r="AO7" s="17"/>
      <c r="AP7" s="17" t="s">
        <v>749</v>
      </c>
      <c r="AQ7" s="17" t="s">
        <v>750</v>
      </c>
      <c r="AR7" s="17" t="s">
        <v>750</v>
      </c>
      <c r="AS7" s="23">
        <f t="shared" si="0"/>
        <v>88</v>
      </c>
      <c r="AT7" s="17" t="s">
        <v>751</v>
      </c>
      <c r="AU7" s="17" t="s">
        <v>752</v>
      </c>
      <c r="AV7" s="17" t="s">
        <v>753</v>
      </c>
      <c r="AW7" s="17" t="s">
        <v>754</v>
      </c>
      <c r="AX7" s="17"/>
      <c r="AY7" s="17"/>
      <c r="AZ7" s="17"/>
      <c r="BA7" s="17"/>
      <c r="BB7" s="17"/>
      <c r="BC7" s="17"/>
      <c r="BD7" s="17" t="s">
        <v>755</v>
      </c>
      <c r="BE7" s="17"/>
      <c r="BF7" s="17"/>
      <c r="BG7" s="17"/>
      <c r="BH7" s="22" t="s">
        <v>719</v>
      </c>
      <c r="BI7" s="17"/>
      <c r="BJ7" s="17" t="s">
        <v>756</v>
      </c>
      <c r="BK7" s="17"/>
      <c r="BL7" s="17"/>
      <c r="BM7" s="17" t="s">
        <v>757</v>
      </c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" t="s">
        <v>1135</v>
      </c>
    </row>
    <row r="8" spans="1:87" ht="12" customHeight="1" x14ac:dyDescent="0.2">
      <c r="A8" s="11" t="s">
        <v>574</v>
      </c>
      <c r="B8" s="12" t="s">
        <v>587</v>
      </c>
      <c r="C8" s="12" t="s">
        <v>611</v>
      </c>
      <c r="D8" s="17" t="s">
        <v>625</v>
      </c>
      <c r="E8" s="12" t="s">
        <v>611</v>
      </c>
      <c r="F8" s="17" t="s">
        <v>628</v>
      </c>
      <c r="G8" s="13" t="s">
        <v>121</v>
      </c>
      <c r="H8" s="12"/>
      <c r="I8" s="12"/>
      <c r="J8" s="12"/>
      <c r="K8" s="12"/>
      <c r="L8" s="12"/>
      <c r="M8" s="12"/>
      <c r="N8" s="12"/>
      <c r="O8" s="12"/>
      <c r="P8" s="12"/>
      <c r="Q8" s="12">
        <v>97</v>
      </c>
      <c r="R8" s="12">
        <v>18</v>
      </c>
      <c r="S8" s="12" t="s">
        <v>193</v>
      </c>
      <c r="T8" s="12" t="s">
        <v>110</v>
      </c>
      <c r="U8" s="12" t="s">
        <v>520</v>
      </c>
      <c r="V8" s="12" t="s">
        <v>153</v>
      </c>
      <c r="W8" s="18" t="s">
        <v>637</v>
      </c>
      <c r="X8" s="12" t="s">
        <v>459</v>
      </c>
      <c r="Y8" s="12" t="s">
        <v>459</v>
      </c>
      <c r="Z8" s="17" t="s">
        <v>459</v>
      </c>
      <c r="AA8" s="12" t="s">
        <v>289</v>
      </c>
      <c r="AB8" s="12" t="s">
        <v>459</v>
      </c>
      <c r="AC8" s="14" t="s">
        <v>459</v>
      </c>
      <c r="AD8" s="12" t="s">
        <v>77</v>
      </c>
      <c r="AE8" s="12" t="s">
        <v>244</v>
      </c>
      <c r="AF8" s="12" t="s">
        <v>7</v>
      </c>
      <c r="AG8" s="12"/>
      <c r="AH8" s="12"/>
      <c r="AI8" s="12" t="s">
        <v>153</v>
      </c>
      <c r="AJ8" s="12" t="s">
        <v>438</v>
      </c>
      <c r="AK8" s="12" t="s">
        <v>529</v>
      </c>
      <c r="AL8" s="12" t="s">
        <v>115</v>
      </c>
      <c r="AM8" s="21" t="s">
        <v>670</v>
      </c>
      <c r="AN8" s="17"/>
      <c r="AO8" s="17"/>
      <c r="AP8" s="17" t="s">
        <v>758</v>
      </c>
      <c r="AQ8" s="17" t="s">
        <v>759</v>
      </c>
      <c r="AR8" s="17" t="s">
        <v>759</v>
      </c>
      <c r="AS8" s="23">
        <f t="shared" si="0"/>
        <v>179</v>
      </c>
      <c r="AT8" s="17" t="s">
        <v>760</v>
      </c>
      <c r="AU8" s="17" t="s">
        <v>761</v>
      </c>
      <c r="AV8" s="17" t="s">
        <v>762</v>
      </c>
      <c r="AW8" s="17" t="s">
        <v>763</v>
      </c>
      <c r="AX8" s="17"/>
      <c r="AY8" s="17" t="s">
        <v>764</v>
      </c>
      <c r="AZ8" s="17" t="s">
        <v>765</v>
      </c>
      <c r="BA8" s="17"/>
      <c r="BB8" s="17"/>
      <c r="BC8" s="17"/>
      <c r="BD8" s="17" t="s">
        <v>766</v>
      </c>
      <c r="BE8" s="17"/>
      <c r="BF8" s="17"/>
      <c r="BG8" s="17" t="s">
        <v>767</v>
      </c>
      <c r="BH8" s="22" t="s">
        <v>719</v>
      </c>
      <c r="BI8" s="17"/>
      <c r="BJ8" s="17" t="s">
        <v>756</v>
      </c>
      <c r="BK8" s="17"/>
      <c r="BL8" s="17"/>
      <c r="BM8" s="17" t="s">
        <v>768</v>
      </c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" t="s">
        <v>1135</v>
      </c>
    </row>
    <row r="9" spans="1:87" ht="12" customHeight="1" x14ac:dyDescent="0.2">
      <c r="A9" s="11" t="s">
        <v>574</v>
      </c>
      <c r="B9" s="12" t="s">
        <v>587</v>
      </c>
      <c r="C9" s="12" t="s">
        <v>611</v>
      </c>
      <c r="D9" s="17" t="s">
        <v>625</v>
      </c>
      <c r="E9" s="12" t="s">
        <v>611</v>
      </c>
      <c r="F9" s="17" t="s">
        <v>628</v>
      </c>
      <c r="G9" s="13" t="s">
        <v>121</v>
      </c>
      <c r="H9" s="12"/>
      <c r="I9" s="12"/>
      <c r="J9" s="12"/>
      <c r="K9" s="12"/>
      <c r="L9" s="12"/>
      <c r="M9" s="12"/>
      <c r="N9" s="12"/>
      <c r="O9" s="12"/>
      <c r="P9" s="12"/>
      <c r="Q9" s="12">
        <v>63</v>
      </c>
      <c r="R9" s="12">
        <v>37</v>
      </c>
      <c r="S9" s="12" t="s">
        <v>306</v>
      </c>
      <c r="T9" s="12" t="s">
        <v>110</v>
      </c>
      <c r="U9" s="12" t="s">
        <v>136</v>
      </c>
      <c r="V9" s="12" t="s">
        <v>458</v>
      </c>
      <c r="W9" s="18" t="s">
        <v>638</v>
      </c>
      <c r="X9" s="12" t="s">
        <v>305</v>
      </c>
      <c r="Y9" s="12" t="s">
        <v>305</v>
      </c>
      <c r="Z9" s="17" t="s">
        <v>305</v>
      </c>
      <c r="AA9" s="12" t="s">
        <v>26</v>
      </c>
      <c r="AB9" s="12" t="s">
        <v>305</v>
      </c>
      <c r="AC9" s="14" t="s">
        <v>305</v>
      </c>
      <c r="AD9" s="12" t="s">
        <v>124</v>
      </c>
      <c r="AE9" s="12" t="s">
        <v>548</v>
      </c>
      <c r="AF9" s="12" t="s">
        <v>272</v>
      </c>
      <c r="AG9" s="12"/>
      <c r="AH9" s="12"/>
      <c r="AI9" s="12" t="s">
        <v>67</v>
      </c>
      <c r="AJ9" s="12" t="s">
        <v>551</v>
      </c>
      <c r="AK9" s="12" t="s">
        <v>573</v>
      </c>
      <c r="AL9" s="12" t="s">
        <v>36</v>
      </c>
      <c r="AM9" s="21" t="s">
        <v>671</v>
      </c>
      <c r="AN9" s="17"/>
      <c r="AO9" s="17"/>
      <c r="AP9" s="17" t="s">
        <v>769</v>
      </c>
      <c r="AQ9" s="17" t="s">
        <v>770</v>
      </c>
      <c r="AR9" s="17" t="s">
        <v>770</v>
      </c>
      <c r="AS9" s="23">
        <f t="shared" si="0"/>
        <v>169</v>
      </c>
      <c r="AT9" s="17" t="s">
        <v>760</v>
      </c>
      <c r="AU9" s="17" t="s">
        <v>725</v>
      </c>
      <c r="AV9" s="17" t="s">
        <v>771</v>
      </c>
      <c r="AW9" s="17"/>
      <c r="AX9" s="17"/>
      <c r="AY9" s="17" t="s">
        <v>772</v>
      </c>
      <c r="AZ9" s="17" t="s">
        <v>773</v>
      </c>
      <c r="BA9" s="17"/>
      <c r="BB9" s="17"/>
      <c r="BC9" s="17" t="s">
        <v>774</v>
      </c>
      <c r="BD9" s="17" t="s">
        <v>775</v>
      </c>
      <c r="BE9" s="17" t="s">
        <v>776</v>
      </c>
      <c r="BF9" s="17"/>
      <c r="BG9" s="17"/>
      <c r="BH9" s="22" t="s">
        <v>719</v>
      </c>
      <c r="BI9" s="17"/>
      <c r="BJ9" s="17" t="s">
        <v>756</v>
      </c>
      <c r="BK9" s="17"/>
      <c r="BL9" s="17" t="s">
        <v>777</v>
      </c>
      <c r="BM9" s="17" t="s">
        <v>778</v>
      </c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" t="s">
        <v>1135</v>
      </c>
    </row>
    <row r="10" spans="1:87" ht="12" customHeight="1" x14ac:dyDescent="0.2">
      <c r="A10" s="11" t="s">
        <v>574</v>
      </c>
      <c r="B10" s="12" t="s">
        <v>587</v>
      </c>
      <c r="C10" s="12" t="s">
        <v>611</v>
      </c>
      <c r="D10" s="17" t="s">
        <v>625</v>
      </c>
      <c r="E10" s="12" t="s">
        <v>611</v>
      </c>
      <c r="F10" s="17" t="s">
        <v>628</v>
      </c>
      <c r="G10" s="13" t="s">
        <v>121</v>
      </c>
      <c r="H10" s="12"/>
      <c r="I10" s="12"/>
      <c r="J10" s="12"/>
      <c r="K10" s="12"/>
      <c r="L10" s="12"/>
      <c r="M10" s="12"/>
      <c r="N10" s="12"/>
      <c r="O10" s="12"/>
      <c r="P10" s="12"/>
      <c r="Q10" s="12">
        <v>72</v>
      </c>
      <c r="R10" s="12">
        <v>36</v>
      </c>
      <c r="S10" s="12" t="s">
        <v>439</v>
      </c>
      <c r="T10" s="12" t="s">
        <v>110</v>
      </c>
      <c r="U10" s="12" t="s">
        <v>409</v>
      </c>
      <c r="V10" s="12" t="s">
        <v>458</v>
      </c>
      <c r="W10" s="18" t="s">
        <v>638</v>
      </c>
      <c r="X10" s="12" t="s">
        <v>446</v>
      </c>
      <c r="Y10" s="12" t="s">
        <v>446</v>
      </c>
      <c r="Z10" s="17" t="s">
        <v>446</v>
      </c>
      <c r="AA10" s="12" t="s">
        <v>26</v>
      </c>
      <c r="AB10" s="12" t="s">
        <v>446</v>
      </c>
      <c r="AC10" s="14" t="s">
        <v>446</v>
      </c>
      <c r="AD10" s="12" t="s">
        <v>202</v>
      </c>
      <c r="AE10" s="12" t="s">
        <v>3</v>
      </c>
      <c r="AF10" s="12" t="s">
        <v>3</v>
      </c>
      <c r="AG10" s="12"/>
      <c r="AH10" s="12"/>
      <c r="AI10" s="12" t="s">
        <v>67</v>
      </c>
      <c r="AJ10" s="12" t="s">
        <v>493</v>
      </c>
      <c r="AK10" s="12" t="s">
        <v>192</v>
      </c>
      <c r="AL10" s="12" t="s">
        <v>93</v>
      </c>
      <c r="AM10" s="21" t="s">
        <v>672</v>
      </c>
      <c r="AN10" s="17"/>
      <c r="AO10" s="17"/>
      <c r="AP10" s="17" t="s">
        <v>779</v>
      </c>
      <c r="AQ10" s="17" t="s">
        <v>780</v>
      </c>
      <c r="AR10" s="17" t="s">
        <v>780</v>
      </c>
      <c r="AS10" s="23">
        <f t="shared" si="0"/>
        <v>134</v>
      </c>
      <c r="AT10" s="17" t="s">
        <v>781</v>
      </c>
      <c r="AU10" s="17" t="s">
        <v>725</v>
      </c>
      <c r="AV10" s="20" t="s">
        <v>782</v>
      </c>
      <c r="AW10" s="27" t="s">
        <v>754</v>
      </c>
      <c r="AX10" s="17"/>
      <c r="AY10" s="17" t="s">
        <v>783</v>
      </c>
      <c r="AZ10" s="17" t="s">
        <v>784</v>
      </c>
      <c r="BA10" s="17"/>
      <c r="BB10" s="17"/>
      <c r="BC10" s="17"/>
      <c r="BD10" s="17" t="s">
        <v>785</v>
      </c>
      <c r="BE10" s="17" t="s">
        <v>786</v>
      </c>
      <c r="BF10" s="17"/>
      <c r="BG10" s="17"/>
      <c r="BH10" s="22" t="s">
        <v>719</v>
      </c>
      <c r="BI10" s="17"/>
      <c r="BJ10" s="17" t="s">
        <v>756</v>
      </c>
      <c r="BK10" s="17"/>
      <c r="BL10" s="17" t="s">
        <v>777</v>
      </c>
      <c r="BM10" s="17" t="s">
        <v>787</v>
      </c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" t="s">
        <v>1135</v>
      </c>
    </row>
    <row r="11" spans="1:87" ht="12" customHeight="1" x14ac:dyDescent="0.2">
      <c r="A11" s="11" t="s">
        <v>574</v>
      </c>
      <c r="B11" s="12" t="s">
        <v>587</v>
      </c>
      <c r="C11" s="12" t="s">
        <v>611</v>
      </c>
      <c r="D11" s="17" t="s">
        <v>625</v>
      </c>
      <c r="E11" s="12" t="s">
        <v>611</v>
      </c>
      <c r="F11" s="17" t="s">
        <v>628</v>
      </c>
      <c r="G11" s="13" t="s">
        <v>121</v>
      </c>
      <c r="H11" s="12"/>
      <c r="I11" s="12"/>
      <c r="J11" s="12"/>
      <c r="K11" s="12"/>
      <c r="L11" s="12"/>
      <c r="M11" s="12"/>
      <c r="N11" s="12"/>
      <c r="O11" s="12"/>
      <c r="P11" s="12"/>
      <c r="Q11" s="12">
        <v>89</v>
      </c>
      <c r="R11" s="12">
        <v>98</v>
      </c>
      <c r="S11" s="12" t="s">
        <v>504</v>
      </c>
      <c r="T11" s="12"/>
      <c r="U11" s="12"/>
      <c r="V11" s="12" t="s">
        <v>227</v>
      </c>
      <c r="W11" s="18" t="s">
        <v>639</v>
      </c>
      <c r="X11" s="12" t="s">
        <v>330</v>
      </c>
      <c r="Y11" s="12" t="s">
        <v>330</v>
      </c>
      <c r="Z11" s="17" t="s">
        <v>330</v>
      </c>
      <c r="AA11" s="12" t="s">
        <v>227</v>
      </c>
      <c r="AB11" s="12" t="s">
        <v>330</v>
      </c>
      <c r="AC11" s="14" t="s">
        <v>330</v>
      </c>
      <c r="AD11" s="12" t="s">
        <v>134</v>
      </c>
      <c r="AE11" s="12" t="s">
        <v>85</v>
      </c>
      <c r="AF11" s="12" t="s">
        <v>384</v>
      </c>
      <c r="AG11" s="12" t="s">
        <v>69</v>
      </c>
      <c r="AH11" s="12"/>
      <c r="AI11" s="12" t="s">
        <v>19</v>
      </c>
      <c r="AJ11" s="12" t="s">
        <v>408</v>
      </c>
      <c r="AK11" s="12" t="s">
        <v>64</v>
      </c>
      <c r="AL11" s="12" t="s">
        <v>505</v>
      </c>
      <c r="AM11" s="21" t="s">
        <v>673</v>
      </c>
      <c r="AN11" s="17"/>
      <c r="AO11" s="17"/>
      <c r="AP11" s="25" t="s">
        <v>788</v>
      </c>
      <c r="AQ11" s="25" t="s">
        <v>789</v>
      </c>
      <c r="AR11" s="25" t="s">
        <v>789</v>
      </c>
      <c r="AS11" s="23">
        <f t="shared" si="0"/>
        <v>92</v>
      </c>
      <c r="AT11" s="25" t="s">
        <v>790</v>
      </c>
      <c r="AU11" s="25" t="s">
        <v>791</v>
      </c>
      <c r="AV11" s="25" t="s">
        <v>792</v>
      </c>
      <c r="AW11" s="17"/>
      <c r="AX11" s="25"/>
      <c r="AY11" s="25" t="s">
        <v>793</v>
      </c>
      <c r="AZ11" s="25"/>
      <c r="BA11" s="25"/>
      <c r="BB11" s="25"/>
      <c r="BC11" s="25"/>
      <c r="BD11" s="17" t="s">
        <v>794</v>
      </c>
      <c r="BE11" s="25" t="s">
        <v>795</v>
      </c>
      <c r="BF11" s="25"/>
      <c r="BG11" s="25"/>
      <c r="BH11" s="25"/>
      <c r="BI11" s="25" t="s">
        <v>796</v>
      </c>
      <c r="BJ11" s="25"/>
      <c r="BK11" s="25" t="s">
        <v>797</v>
      </c>
      <c r="BL11" s="17" t="s">
        <v>798</v>
      </c>
      <c r="BM11" s="17" t="s">
        <v>799</v>
      </c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" t="s">
        <v>1135</v>
      </c>
    </row>
    <row r="12" spans="1:87" ht="12" customHeight="1" x14ac:dyDescent="0.2">
      <c r="A12" s="11" t="s">
        <v>574</v>
      </c>
      <c r="B12" s="12" t="s">
        <v>587</v>
      </c>
      <c r="C12" s="12" t="s">
        <v>611</v>
      </c>
      <c r="D12" s="17" t="s">
        <v>626</v>
      </c>
      <c r="E12" s="12" t="s">
        <v>611</v>
      </c>
      <c r="F12" s="17" t="s">
        <v>628</v>
      </c>
      <c r="G12" s="13" t="s">
        <v>121</v>
      </c>
      <c r="H12" s="12"/>
      <c r="I12" s="12"/>
      <c r="J12" s="12"/>
      <c r="K12" s="12"/>
      <c r="L12" s="12"/>
      <c r="M12" s="12"/>
      <c r="N12" s="12"/>
      <c r="O12" s="12"/>
      <c r="P12" s="12"/>
      <c r="Q12" s="12">
        <v>7</v>
      </c>
      <c r="R12" s="12">
        <v>38</v>
      </c>
      <c r="S12" s="12" t="s">
        <v>366</v>
      </c>
      <c r="T12" s="12"/>
      <c r="U12" s="12"/>
      <c r="V12" s="12" t="s">
        <v>396</v>
      </c>
      <c r="W12" s="18" t="s">
        <v>640</v>
      </c>
      <c r="X12" s="12" t="s">
        <v>207</v>
      </c>
      <c r="Y12" s="12" t="s">
        <v>12</v>
      </c>
      <c r="Z12" s="17" t="s">
        <v>207</v>
      </c>
      <c r="AA12" s="12" t="s">
        <v>396</v>
      </c>
      <c r="AB12" s="12" t="s">
        <v>207</v>
      </c>
      <c r="AC12" s="14" t="s">
        <v>12</v>
      </c>
      <c r="AD12" s="12" t="s">
        <v>139</v>
      </c>
      <c r="AE12" s="12" t="s">
        <v>370</v>
      </c>
      <c r="AF12" s="12" t="s">
        <v>363</v>
      </c>
      <c r="AG12" s="12"/>
      <c r="AH12" s="12"/>
      <c r="AI12" s="12"/>
      <c r="AJ12" s="12"/>
      <c r="AK12" s="12"/>
      <c r="AL12" s="12" t="s">
        <v>332</v>
      </c>
      <c r="AM12" s="21" t="s">
        <v>674</v>
      </c>
      <c r="AN12" s="21" t="s">
        <v>737</v>
      </c>
      <c r="AO12" s="26" t="s">
        <v>738</v>
      </c>
      <c r="AP12" s="17" t="s">
        <v>800</v>
      </c>
      <c r="AQ12" s="17" t="s">
        <v>801</v>
      </c>
      <c r="AR12" s="17" t="s">
        <v>801</v>
      </c>
      <c r="AS12" s="23">
        <f t="shared" si="0"/>
        <v>58</v>
      </c>
      <c r="AT12" s="17" t="s">
        <v>802</v>
      </c>
      <c r="AU12" s="17" t="s">
        <v>803</v>
      </c>
      <c r="AV12" s="20" t="s">
        <v>804</v>
      </c>
      <c r="AW12" s="17"/>
      <c r="AX12" s="17"/>
      <c r="AY12" s="17" t="s">
        <v>805</v>
      </c>
      <c r="AZ12" s="17"/>
      <c r="BA12" s="17"/>
      <c r="BB12" s="17"/>
      <c r="BC12" s="17"/>
      <c r="BD12" s="17" t="s">
        <v>806</v>
      </c>
      <c r="BE12" s="17"/>
      <c r="BF12" s="17"/>
      <c r="BG12" s="17"/>
      <c r="BH12" s="17"/>
      <c r="BI12" s="17" t="s">
        <v>807</v>
      </c>
      <c r="BJ12" s="17"/>
      <c r="BK12" s="17"/>
      <c r="BL12" s="17"/>
      <c r="BM12" s="17" t="s">
        <v>728</v>
      </c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" t="s">
        <v>1135</v>
      </c>
    </row>
    <row r="13" spans="1:87" ht="12" customHeight="1" x14ac:dyDescent="0.2">
      <c r="A13" s="11" t="s">
        <v>574</v>
      </c>
      <c r="B13" s="12" t="s">
        <v>587</v>
      </c>
      <c r="C13" s="12" t="s">
        <v>611</v>
      </c>
      <c r="D13" s="17" t="s">
        <v>625</v>
      </c>
      <c r="E13" s="12" t="s">
        <v>611</v>
      </c>
      <c r="F13" s="17" t="s">
        <v>628</v>
      </c>
      <c r="G13" s="13" t="s">
        <v>121</v>
      </c>
      <c r="H13" s="12"/>
      <c r="I13" s="12"/>
      <c r="J13" s="12"/>
      <c r="K13" s="12"/>
      <c r="L13" s="12"/>
      <c r="M13" s="12"/>
      <c r="N13" s="12"/>
      <c r="O13" s="12"/>
      <c r="P13" s="12"/>
      <c r="Q13" s="12">
        <v>50</v>
      </c>
      <c r="R13" s="12">
        <v>59</v>
      </c>
      <c r="S13" s="12" t="s">
        <v>477</v>
      </c>
      <c r="T13" s="12"/>
      <c r="U13" s="12"/>
      <c r="V13" s="12" t="s">
        <v>101</v>
      </c>
      <c r="W13" s="18" t="s">
        <v>641</v>
      </c>
      <c r="X13" s="12" t="s">
        <v>246</v>
      </c>
      <c r="Y13" s="12" t="s">
        <v>431</v>
      </c>
      <c r="Z13" s="17" t="s">
        <v>246</v>
      </c>
      <c r="AA13" s="12" t="s">
        <v>212</v>
      </c>
      <c r="AB13" s="12" t="s">
        <v>246</v>
      </c>
      <c r="AC13" s="14" t="s">
        <v>431</v>
      </c>
      <c r="AD13" s="12" t="s">
        <v>325</v>
      </c>
      <c r="AE13" s="12" t="s">
        <v>471</v>
      </c>
      <c r="AF13" s="12" t="s">
        <v>187</v>
      </c>
      <c r="AG13" s="12" t="s">
        <v>168</v>
      </c>
      <c r="AH13" s="12"/>
      <c r="AI13" s="12"/>
      <c r="AJ13" s="12" t="s">
        <v>152</v>
      </c>
      <c r="AK13" s="12" t="s">
        <v>21</v>
      </c>
      <c r="AL13" s="12" t="s">
        <v>326</v>
      </c>
      <c r="AM13" s="21" t="s">
        <v>675</v>
      </c>
      <c r="AN13" s="17"/>
      <c r="AO13" s="17"/>
      <c r="AP13" s="17" t="s">
        <v>808</v>
      </c>
      <c r="AQ13" s="17" t="s">
        <v>809</v>
      </c>
      <c r="AR13" s="17" t="s">
        <v>809</v>
      </c>
      <c r="AS13" s="23">
        <f t="shared" si="0"/>
        <v>82</v>
      </c>
      <c r="AT13" s="17" t="s">
        <v>810</v>
      </c>
      <c r="AU13" s="17" t="s">
        <v>811</v>
      </c>
      <c r="AV13" s="17" t="s">
        <v>812</v>
      </c>
      <c r="AW13" s="17"/>
      <c r="AX13" s="17"/>
      <c r="AY13" s="17"/>
      <c r="AZ13" s="17"/>
      <c r="BA13" s="17"/>
      <c r="BB13" s="17"/>
      <c r="BC13" s="17"/>
      <c r="BD13" s="17" t="s">
        <v>813</v>
      </c>
      <c r="BE13" s="17" t="s">
        <v>814</v>
      </c>
      <c r="BF13" s="17"/>
      <c r="BG13" s="17" t="s">
        <v>815</v>
      </c>
      <c r="BH13" s="17"/>
      <c r="BI13" s="17"/>
      <c r="BJ13" s="17" t="s">
        <v>720</v>
      </c>
      <c r="BK13" s="17"/>
      <c r="BL13" s="17"/>
      <c r="BM13" s="17" t="s">
        <v>816</v>
      </c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" t="s">
        <v>1135</v>
      </c>
    </row>
    <row r="14" spans="1:87" ht="12" customHeight="1" x14ac:dyDescent="0.2">
      <c r="A14" s="11" t="s">
        <v>574</v>
      </c>
      <c r="B14" s="12" t="s">
        <v>587</v>
      </c>
      <c r="C14" s="12" t="s">
        <v>611</v>
      </c>
      <c r="D14" s="17" t="s">
        <v>625</v>
      </c>
      <c r="E14" s="12" t="s">
        <v>611</v>
      </c>
      <c r="F14" s="17" t="s">
        <v>628</v>
      </c>
      <c r="G14" s="13" t="s">
        <v>121</v>
      </c>
      <c r="H14" s="12"/>
      <c r="I14" s="12"/>
      <c r="J14" s="12"/>
      <c r="K14" s="12"/>
      <c r="L14" s="12"/>
      <c r="M14" s="12"/>
      <c r="N14" s="12"/>
      <c r="O14" s="12"/>
      <c r="P14" s="12"/>
      <c r="Q14" s="12">
        <v>54</v>
      </c>
      <c r="R14" s="12">
        <v>21</v>
      </c>
      <c r="S14" s="12" t="s">
        <v>407</v>
      </c>
      <c r="T14" s="12" t="s">
        <v>110</v>
      </c>
      <c r="U14" s="12" t="s">
        <v>503</v>
      </c>
      <c r="V14" s="12" t="s">
        <v>103</v>
      </c>
      <c r="W14" s="18" t="s">
        <v>642</v>
      </c>
      <c r="X14" s="12" t="s">
        <v>277</v>
      </c>
      <c r="Y14" s="12" t="s">
        <v>277</v>
      </c>
      <c r="Z14" s="17" t="s">
        <v>277</v>
      </c>
      <c r="AA14" s="12" t="s">
        <v>390</v>
      </c>
      <c r="AB14" s="12" t="s">
        <v>277</v>
      </c>
      <c r="AC14" s="14" t="s">
        <v>277</v>
      </c>
      <c r="AD14" s="12" t="s">
        <v>613</v>
      </c>
      <c r="AE14" s="12" t="s">
        <v>511</v>
      </c>
      <c r="AF14" s="12" t="s">
        <v>144</v>
      </c>
      <c r="AG14" s="12" t="s">
        <v>607</v>
      </c>
      <c r="AH14" s="12"/>
      <c r="AI14" s="12"/>
      <c r="AJ14" s="12" t="s">
        <v>392</v>
      </c>
      <c r="AK14" s="12" t="s">
        <v>108</v>
      </c>
      <c r="AL14" s="12" t="s">
        <v>329</v>
      </c>
      <c r="AM14" s="21" t="s">
        <v>676</v>
      </c>
      <c r="AN14" s="17"/>
      <c r="AO14" s="17"/>
      <c r="AP14" s="17" t="s">
        <v>817</v>
      </c>
      <c r="AQ14" s="25" t="s">
        <v>818</v>
      </c>
      <c r="AR14" s="25" t="s">
        <v>818</v>
      </c>
      <c r="AS14" s="23">
        <f t="shared" si="0"/>
        <v>134</v>
      </c>
      <c r="AT14" s="25" t="s">
        <v>819</v>
      </c>
      <c r="AU14" s="25" t="s">
        <v>820</v>
      </c>
      <c r="AV14" s="17"/>
      <c r="AW14" s="17"/>
      <c r="AX14" s="17"/>
      <c r="AY14" s="25" t="s">
        <v>821</v>
      </c>
      <c r="AZ14" s="25" t="s">
        <v>822</v>
      </c>
      <c r="BA14" s="17"/>
      <c r="BB14" s="17"/>
      <c r="BC14" s="17"/>
      <c r="BD14" s="25" t="s">
        <v>823</v>
      </c>
      <c r="BE14" s="17" t="s">
        <v>824</v>
      </c>
      <c r="BF14" s="17"/>
      <c r="BG14" s="17"/>
      <c r="BH14" s="17" t="s">
        <v>825</v>
      </c>
      <c r="BI14" s="17"/>
      <c r="BJ14" s="17" t="s">
        <v>756</v>
      </c>
      <c r="BK14" s="17"/>
      <c r="BL14" s="17"/>
      <c r="BM14" s="17" t="s">
        <v>826</v>
      </c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" t="s">
        <v>1135</v>
      </c>
    </row>
    <row r="15" spans="1:87" ht="12" customHeight="1" x14ac:dyDescent="0.2">
      <c r="A15" s="11" t="s">
        <v>574</v>
      </c>
      <c r="B15" s="12" t="s">
        <v>587</v>
      </c>
      <c r="C15" s="12" t="s">
        <v>611</v>
      </c>
      <c r="D15" s="17" t="s">
        <v>625</v>
      </c>
      <c r="E15" s="12" t="s">
        <v>611</v>
      </c>
      <c r="F15" s="17" t="s">
        <v>628</v>
      </c>
      <c r="G15" s="13" t="s">
        <v>121</v>
      </c>
      <c r="H15" s="12"/>
      <c r="I15" s="12"/>
      <c r="J15" s="12"/>
      <c r="K15" s="12"/>
      <c r="L15" s="12"/>
      <c r="M15" s="12"/>
      <c r="N15" s="12"/>
      <c r="O15" s="12"/>
      <c r="P15" s="12"/>
      <c r="Q15" s="12">
        <v>75</v>
      </c>
      <c r="R15" s="12">
        <v>31</v>
      </c>
      <c r="S15" s="12" t="s">
        <v>437</v>
      </c>
      <c r="T15" s="12"/>
      <c r="U15" s="12"/>
      <c r="V15" s="12" t="s">
        <v>291</v>
      </c>
      <c r="W15" s="18" t="s">
        <v>643</v>
      </c>
      <c r="X15" s="12" t="s">
        <v>443</v>
      </c>
      <c r="Y15" s="12" t="s">
        <v>443</v>
      </c>
      <c r="Z15" s="17" t="s">
        <v>664</v>
      </c>
      <c r="AA15" s="12" t="s">
        <v>307</v>
      </c>
      <c r="AB15" s="12" t="s">
        <v>443</v>
      </c>
      <c r="AC15" s="14" t="s">
        <v>443</v>
      </c>
      <c r="AD15" s="12" t="s">
        <v>159</v>
      </c>
      <c r="AE15" s="12" t="s">
        <v>376</v>
      </c>
      <c r="AF15" s="12"/>
      <c r="AG15" s="12"/>
      <c r="AH15" s="12"/>
      <c r="AI15" s="12"/>
      <c r="AJ15" s="12"/>
      <c r="AK15" s="12"/>
      <c r="AL15" s="12" t="s">
        <v>166</v>
      </c>
      <c r="AM15" s="21" t="s">
        <v>677</v>
      </c>
      <c r="AN15" s="17"/>
      <c r="AO15" s="17"/>
      <c r="AP15" s="17" t="s">
        <v>827</v>
      </c>
      <c r="AQ15" s="17" t="s">
        <v>828</v>
      </c>
      <c r="AR15" s="17" t="s">
        <v>828</v>
      </c>
      <c r="AS15" s="23">
        <f t="shared" si="0"/>
        <v>56</v>
      </c>
      <c r="AT15" s="17" t="s">
        <v>829</v>
      </c>
      <c r="AU15" s="17" t="s">
        <v>830</v>
      </c>
      <c r="AV15" s="17"/>
      <c r="AW15" s="17"/>
      <c r="AX15" s="17"/>
      <c r="AY15" s="17"/>
      <c r="AZ15" s="17"/>
      <c r="BA15" s="17"/>
      <c r="BB15" s="17"/>
      <c r="BC15" s="17"/>
      <c r="BD15" s="17" t="s">
        <v>831</v>
      </c>
      <c r="BE15" s="17"/>
      <c r="BF15" s="17"/>
      <c r="BG15" s="17"/>
      <c r="BH15" s="17" t="s">
        <v>825</v>
      </c>
      <c r="BI15" s="17"/>
      <c r="BJ15" s="17"/>
      <c r="BK15" s="25" t="s">
        <v>797</v>
      </c>
      <c r="BL15" s="17"/>
      <c r="BM15" s="17" t="s">
        <v>832</v>
      </c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" t="s">
        <v>1135</v>
      </c>
    </row>
    <row r="16" spans="1:87" ht="12" customHeight="1" x14ac:dyDescent="0.2">
      <c r="A16" s="11" t="s">
        <v>574</v>
      </c>
      <c r="B16" s="12" t="s">
        <v>587</v>
      </c>
      <c r="C16" s="12" t="s">
        <v>611</v>
      </c>
      <c r="D16" s="17" t="s">
        <v>627</v>
      </c>
      <c r="E16" s="12" t="s">
        <v>611</v>
      </c>
      <c r="F16" s="17" t="s">
        <v>628</v>
      </c>
      <c r="G16" s="13" t="s">
        <v>121</v>
      </c>
      <c r="H16" s="12"/>
      <c r="I16" s="12"/>
      <c r="J16" s="12"/>
      <c r="K16" s="12"/>
      <c r="L16" s="12"/>
      <c r="M16" s="12"/>
      <c r="N16" s="12"/>
      <c r="O16" s="12"/>
      <c r="P16" s="12"/>
      <c r="Q16" s="12">
        <v>26</v>
      </c>
      <c r="R16" s="12">
        <v>32</v>
      </c>
      <c r="S16" s="12" t="s">
        <v>155</v>
      </c>
      <c r="T16" s="12"/>
      <c r="U16" s="12"/>
      <c r="V16" s="12" t="s">
        <v>374</v>
      </c>
      <c r="W16" s="19" t="s">
        <v>374</v>
      </c>
      <c r="X16" s="12" t="s">
        <v>539</v>
      </c>
      <c r="Y16" s="12" t="s">
        <v>558</v>
      </c>
      <c r="Z16" s="17" t="s">
        <v>539</v>
      </c>
      <c r="AA16" s="12" t="s">
        <v>374</v>
      </c>
      <c r="AB16" s="12" t="s">
        <v>539</v>
      </c>
      <c r="AC16" s="14" t="s">
        <v>558</v>
      </c>
      <c r="AD16" s="12" t="s">
        <v>23</v>
      </c>
      <c r="AE16" s="12" t="s">
        <v>430</v>
      </c>
      <c r="AF16" s="12"/>
      <c r="AG16" s="12"/>
      <c r="AH16" s="12"/>
      <c r="AI16" s="12"/>
      <c r="AJ16" s="12"/>
      <c r="AK16" s="12"/>
      <c r="AL16" s="12" t="s">
        <v>334</v>
      </c>
      <c r="AM16" s="21" t="s">
        <v>674</v>
      </c>
      <c r="AN16" s="21" t="s">
        <v>737</v>
      </c>
      <c r="AO16" s="26" t="s">
        <v>738</v>
      </c>
      <c r="AP16" s="17" t="s">
        <v>833</v>
      </c>
      <c r="AQ16" s="17" t="s">
        <v>834</v>
      </c>
      <c r="AR16" s="17" t="s">
        <v>834</v>
      </c>
      <c r="AS16" s="23">
        <f t="shared" si="0"/>
        <v>80</v>
      </c>
      <c r="AT16" s="17" t="s">
        <v>802</v>
      </c>
      <c r="AU16" s="17" t="s">
        <v>803</v>
      </c>
      <c r="AV16" s="17" t="s">
        <v>835</v>
      </c>
      <c r="AW16" s="17"/>
      <c r="AX16" s="17"/>
      <c r="AY16" s="17" t="s">
        <v>836</v>
      </c>
      <c r="AZ16" s="17"/>
      <c r="BA16" s="17"/>
      <c r="BB16" s="17"/>
      <c r="BC16" s="17"/>
      <c r="BD16" s="17" t="s">
        <v>837</v>
      </c>
      <c r="BE16" s="17" t="s">
        <v>838</v>
      </c>
      <c r="BF16" s="17"/>
      <c r="BG16" s="17"/>
      <c r="BH16" s="17" t="s">
        <v>825</v>
      </c>
      <c r="BI16" s="17" t="s">
        <v>839</v>
      </c>
      <c r="BJ16" s="17" t="s">
        <v>756</v>
      </c>
      <c r="BK16" s="17"/>
      <c r="BL16" s="17"/>
      <c r="BM16" s="17" t="s">
        <v>840</v>
      </c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" t="s">
        <v>1135</v>
      </c>
    </row>
    <row r="17" spans="1:86" ht="12" customHeight="1" x14ac:dyDescent="0.2">
      <c r="A17" s="11" t="s">
        <v>574</v>
      </c>
      <c r="B17" s="12" t="s">
        <v>587</v>
      </c>
      <c r="C17" s="12" t="s">
        <v>611</v>
      </c>
      <c r="D17" s="17" t="s">
        <v>625</v>
      </c>
      <c r="E17" s="12" t="s">
        <v>611</v>
      </c>
      <c r="F17" s="17" t="s">
        <v>629</v>
      </c>
      <c r="G17" s="13" t="s">
        <v>121</v>
      </c>
      <c r="H17" s="12"/>
      <c r="I17" s="12"/>
      <c r="J17" s="12"/>
      <c r="K17" s="12"/>
      <c r="L17" s="12"/>
      <c r="M17" s="12"/>
      <c r="N17" s="12"/>
      <c r="O17" s="12"/>
      <c r="P17" s="12"/>
      <c r="Q17" s="12">
        <v>79</v>
      </c>
      <c r="R17" s="12">
        <v>44</v>
      </c>
      <c r="S17" s="12" t="s">
        <v>426</v>
      </c>
      <c r="T17" s="12"/>
      <c r="U17" s="12"/>
      <c r="V17" s="12" t="s">
        <v>55</v>
      </c>
      <c r="W17" s="19" t="s">
        <v>644</v>
      </c>
      <c r="X17" s="12" t="s">
        <v>241</v>
      </c>
      <c r="Y17" s="12" t="s">
        <v>512</v>
      </c>
      <c r="Z17" s="17" t="s">
        <v>241</v>
      </c>
      <c r="AA17" s="12" t="s">
        <v>55</v>
      </c>
      <c r="AB17" s="12" t="s">
        <v>241</v>
      </c>
      <c r="AC17" s="14" t="s">
        <v>512</v>
      </c>
      <c r="AD17" s="12" t="s">
        <v>71</v>
      </c>
      <c r="AE17" s="12" t="s">
        <v>322</v>
      </c>
      <c r="AF17" s="12" t="s">
        <v>322</v>
      </c>
      <c r="AG17" s="12"/>
      <c r="AH17" s="12"/>
      <c r="AI17" s="12"/>
      <c r="AJ17" s="12"/>
      <c r="AK17" s="12"/>
      <c r="AL17" s="12" t="s">
        <v>80</v>
      </c>
      <c r="AM17" s="21" t="s">
        <v>678</v>
      </c>
      <c r="AN17" s="17"/>
      <c r="AO17" s="17"/>
      <c r="AP17" s="17" t="s">
        <v>841</v>
      </c>
      <c r="AQ17" s="17" t="s">
        <v>842</v>
      </c>
      <c r="AR17" s="17" t="s">
        <v>842</v>
      </c>
      <c r="AS17" s="23">
        <f t="shared" si="0"/>
        <v>74</v>
      </c>
      <c r="AT17" s="17" t="s">
        <v>843</v>
      </c>
      <c r="AU17" s="17" t="s">
        <v>844</v>
      </c>
      <c r="AV17" s="20" t="s">
        <v>845</v>
      </c>
      <c r="AW17" s="17"/>
      <c r="AX17" s="17"/>
      <c r="AY17" s="17"/>
      <c r="AZ17" s="17"/>
      <c r="BA17" s="17"/>
      <c r="BB17" s="17"/>
      <c r="BC17" s="17"/>
      <c r="BD17" s="17" t="s">
        <v>846</v>
      </c>
      <c r="BE17" s="17"/>
      <c r="BF17" s="17"/>
      <c r="BG17" s="17" t="s">
        <v>847</v>
      </c>
      <c r="BH17" s="17"/>
      <c r="BI17" s="17"/>
      <c r="BJ17" s="17"/>
      <c r="BK17" s="17"/>
      <c r="BL17" s="17"/>
      <c r="BM17" s="17" t="s">
        <v>848</v>
      </c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" t="s">
        <v>1135</v>
      </c>
    </row>
    <row r="18" spans="1:86" ht="12" customHeight="1" x14ac:dyDescent="0.2">
      <c r="A18" s="11" t="s">
        <v>574</v>
      </c>
      <c r="B18" s="12" t="s">
        <v>587</v>
      </c>
      <c r="C18" s="12" t="s">
        <v>611</v>
      </c>
      <c r="D18" s="17" t="s">
        <v>625</v>
      </c>
      <c r="E18" s="12" t="s">
        <v>611</v>
      </c>
      <c r="F18" s="17" t="s">
        <v>628</v>
      </c>
      <c r="G18" s="13" t="s">
        <v>121</v>
      </c>
      <c r="H18" s="12"/>
      <c r="I18" s="12"/>
      <c r="J18" s="12"/>
      <c r="K18" s="12"/>
      <c r="L18" s="12"/>
      <c r="M18" s="12"/>
      <c r="N18" s="12"/>
      <c r="O18" s="12"/>
      <c r="P18" s="12"/>
      <c r="Q18" s="12">
        <v>95</v>
      </c>
      <c r="R18" s="12">
        <v>43</v>
      </c>
      <c r="S18" s="12" t="s">
        <v>528</v>
      </c>
      <c r="T18" s="12"/>
      <c r="U18" s="12"/>
      <c r="V18" s="12" t="s">
        <v>55</v>
      </c>
      <c r="W18" s="19" t="s">
        <v>644</v>
      </c>
      <c r="X18" s="12" t="s">
        <v>14</v>
      </c>
      <c r="Y18" s="12" t="s">
        <v>420</v>
      </c>
      <c r="Z18" s="17" t="s">
        <v>14</v>
      </c>
      <c r="AA18" s="12" t="s">
        <v>55</v>
      </c>
      <c r="AB18" s="12" t="s">
        <v>14</v>
      </c>
      <c r="AC18" s="14" t="s">
        <v>420</v>
      </c>
      <c r="AD18" s="12" t="s">
        <v>586</v>
      </c>
      <c r="AE18" s="12" t="s">
        <v>255</v>
      </c>
      <c r="AF18" s="12" t="s">
        <v>6</v>
      </c>
      <c r="AG18" s="12"/>
      <c r="AH18" s="12"/>
      <c r="AI18" s="12"/>
      <c r="AJ18" s="12"/>
      <c r="AK18" s="12"/>
      <c r="AL18" s="12" t="s">
        <v>319</v>
      </c>
      <c r="AM18" s="21" t="s">
        <v>679</v>
      </c>
      <c r="AN18" s="17"/>
      <c r="AO18" s="17"/>
      <c r="AP18" s="17" t="s">
        <v>849</v>
      </c>
      <c r="AQ18" s="17" t="s">
        <v>850</v>
      </c>
      <c r="AR18" s="17" t="s">
        <v>850</v>
      </c>
      <c r="AS18" s="23">
        <f t="shared" si="0"/>
        <v>71</v>
      </c>
      <c r="AT18" s="17" t="s">
        <v>851</v>
      </c>
      <c r="AU18" s="17" t="s">
        <v>852</v>
      </c>
      <c r="AV18" s="17" t="s">
        <v>853</v>
      </c>
      <c r="AW18" s="17" t="s">
        <v>854</v>
      </c>
      <c r="AX18" s="17"/>
      <c r="AY18" s="17"/>
      <c r="AZ18" s="17"/>
      <c r="BA18" s="17"/>
      <c r="BB18" s="17"/>
      <c r="BC18" s="17" t="s">
        <v>855</v>
      </c>
      <c r="BD18" s="17" t="s">
        <v>856</v>
      </c>
      <c r="BE18" s="17"/>
      <c r="BF18" s="17"/>
      <c r="BG18" s="17" t="s">
        <v>857</v>
      </c>
      <c r="BH18" s="17"/>
      <c r="BI18" s="17"/>
      <c r="BJ18" s="17"/>
      <c r="BK18" s="17"/>
      <c r="BL18" s="17" t="s">
        <v>858</v>
      </c>
      <c r="BM18" s="17" t="s">
        <v>859</v>
      </c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" t="s">
        <v>1135</v>
      </c>
    </row>
    <row r="19" spans="1:86" ht="12" customHeight="1" x14ac:dyDescent="0.2">
      <c r="A19" s="11" t="s">
        <v>574</v>
      </c>
      <c r="B19" s="12" t="s">
        <v>587</v>
      </c>
      <c r="C19" s="12" t="s">
        <v>611</v>
      </c>
      <c r="D19" s="17" t="s">
        <v>625</v>
      </c>
      <c r="E19" s="12" t="s">
        <v>611</v>
      </c>
      <c r="F19" s="17" t="s">
        <v>628</v>
      </c>
      <c r="G19" s="13" t="s">
        <v>121</v>
      </c>
      <c r="H19" s="12"/>
      <c r="I19" s="12"/>
      <c r="J19" s="12"/>
      <c r="K19" s="12"/>
      <c r="L19" s="12"/>
      <c r="M19" s="12"/>
      <c r="N19" s="12"/>
      <c r="O19" s="12"/>
      <c r="P19" s="12"/>
      <c r="Q19" s="12">
        <v>2</v>
      </c>
      <c r="R19" s="12">
        <v>50</v>
      </c>
      <c r="S19" s="12" t="s">
        <v>546</v>
      </c>
      <c r="T19" s="12" t="s">
        <v>110</v>
      </c>
      <c r="U19" s="12" t="s">
        <v>90</v>
      </c>
      <c r="V19" s="12" t="s">
        <v>167</v>
      </c>
      <c r="W19" s="18" t="s">
        <v>645</v>
      </c>
      <c r="X19" s="12" t="s">
        <v>268</v>
      </c>
      <c r="Y19" s="12" t="s">
        <v>472</v>
      </c>
      <c r="Z19" s="17" t="s">
        <v>268</v>
      </c>
      <c r="AA19" s="12" t="s">
        <v>460</v>
      </c>
      <c r="AB19" s="12" t="s">
        <v>268</v>
      </c>
      <c r="AC19" s="14" t="s">
        <v>563</v>
      </c>
      <c r="AD19" s="12" t="s">
        <v>342</v>
      </c>
      <c r="AE19" s="12" t="s">
        <v>234</v>
      </c>
      <c r="AF19" s="12" t="s">
        <v>399</v>
      </c>
      <c r="AG19" s="12" t="s">
        <v>229</v>
      </c>
      <c r="AH19" s="12"/>
      <c r="AI19" s="12" t="s">
        <v>1</v>
      </c>
      <c r="AJ19" s="12" t="s">
        <v>86</v>
      </c>
      <c r="AK19" s="12" t="s">
        <v>16</v>
      </c>
      <c r="AL19" s="12" t="s">
        <v>160</v>
      </c>
      <c r="AM19" s="21" t="s">
        <v>680</v>
      </c>
      <c r="AN19" s="17"/>
      <c r="AO19" s="17"/>
      <c r="AP19" s="22" t="s">
        <v>860</v>
      </c>
      <c r="AQ19" s="22" t="s">
        <v>861</v>
      </c>
      <c r="AR19" s="22" t="s">
        <v>861</v>
      </c>
      <c r="AS19" s="23">
        <f t="shared" si="0"/>
        <v>110</v>
      </c>
      <c r="AT19" s="22" t="s">
        <v>862</v>
      </c>
      <c r="AU19" s="22" t="s">
        <v>725</v>
      </c>
      <c r="AV19" s="22" t="s">
        <v>863</v>
      </c>
      <c r="AW19" s="22" t="s">
        <v>864</v>
      </c>
      <c r="AX19" s="22"/>
      <c r="AY19" s="22" t="s">
        <v>865</v>
      </c>
      <c r="AZ19" s="22"/>
      <c r="BA19" s="22"/>
      <c r="BB19" s="22"/>
      <c r="BC19" s="22"/>
      <c r="BD19" s="22" t="s">
        <v>866</v>
      </c>
      <c r="BE19" s="22"/>
      <c r="BF19" s="22"/>
      <c r="BG19" s="22"/>
      <c r="BH19" s="22" t="s">
        <v>719</v>
      </c>
      <c r="BI19" s="22" t="s">
        <v>1</v>
      </c>
      <c r="BJ19" s="17" t="s">
        <v>756</v>
      </c>
      <c r="BK19" s="17"/>
      <c r="BL19" s="17" t="s">
        <v>867</v>
      </c>
      <c r="BM19" s="17" t="s">
        <v>868</v>
      </c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" t="s">
        <v>1135</v>
      </c>
    </row>
    <row r="20" spans="1:86" ht="12" customHeight="1" x14ac:dyDescent="0.2">
      <c r="A20" s="11" t="s">
        <v>574</v>
      </c>
      <c r="B20" s="12" t="s">
        <v>587</v>
      </c>
      <c r="C20" s="12" t="s">
        <v>611</v>
      </c>
      <c r="D20" s="17" t="s">
        <v>625</v>
      </c>
      <c r="E20" s="12" t="s">
        <v>611</v>
      </c>
      <c r="F20" s="17" t="s">
        <v>628</v>
      </c>
      <c r="G20" s="13" t="s">
        <v>121</v>
      </c>
      <c r="H20" s="12"/>
      <c r="I20" s="12"/>
      <c r="J20" s="12"/>
      <c r="K20" s="12"/>
      <c r="L20" s="12"/>
      <c r="M20" s="12"/>
      <c r="N20" s="12"/>
      <c r="O20" s="12"/>
      <c r="P20" s="12"/>
      <c r="Q20" s="12">
        <v>3</v>
      </c>
      <c r="R20" s="12">
        <v>48</v>
      </c>
      <c r="S20" s="12" t="s">
        <v>598</v>
      </c>
      <c r="T20" s="12" t="s">
        <v>110</v>
      </c>
      <c r="U20" s="12" t="s">
        <v>435</v>
      </c>
      <c r="V20" s="12" t="s">
        <v>167</v>
      </c>
      <c r="W20" s="18" t="s">
        <v>645</v>
      </c>
      <c r="X20" s="12" t="s">
        <v>293</v>
      </c>
      <c r="Y20" s="12" t="s">
        <v>203</v>
      </c>
      <c r="Z20" s="17" t="s">
        <v>293</v>
      </c>
      <c r="AA20" s="12" t="s">
        <v>460</v>
      </c>
      <c r="AB20" s="12" t="s">
        <v>293</v>
      </c>
      <c r="AC20" s="14" t="s">
        <v>223</v>
      </c>
      <c r="AD20" s="12" t="s">
        <v>373</v>
      </c>
      <c r="AE20" s="12" t="s">
        <v>377</v>
      </c>
      <c r="AF20" s="12" t="s">
        <v>130</v>
      </c>
      <c r="AG20" s="12" t="s">
        <v>487</v>
      </c>
      <c r="AH20" s="12" t="s">
        <v>61</v>
      </c>
      <c r="AI20" s="12"/>
      <c r="AJ20" s="12" t="s">
        <v>466</v>
      </c>
      <c r="AK20" s="12" t="s">
        <v>578</v>
      </c>
      <c r="AL20" s="12" t="s">
        <v>336</v>
      </c>
      <c r="AM20" s="21" t="s">
        <v>681</v>
      </c>
      <c r="AN20" s="17"/>
      <c r="AO20" s="17"/>
      <c r="AP20" s="22" t="s">
        <v>869</v>
      </c>
      <c r="AQ20" s="17" t="s">
        <v>870</v>
      </c>
      <c r="AR20" s="17" t="s">
        <v>870</v>
      </c>
      <c r="AS20" s="23">
        <f t="shared" si="0"/>
        <v>102</v>
      </c>
      <c r="AT20" s="17" t="s">
        <v>871</v>
      </c>
      <c r="AU20" s="17" t="s">
        <v>752</v>
      </c>
      <c r="AV20" s="17" t="s">
        <v>872</v>
      </c>
      <c r="AW20" s="17"/>
      <c r="AX20" s="17"/>
      <c r="AY20" s="17"/>
      <c r="AZ20" s="17"/>
      <c r="BA20" s="17"/>
      <c r="BB20" s="17"/>
      <c r="BC20" s="17"/>
      <c r="BD20" s="17" t="s">
        <v>873</v>
      </c>
      <c r="BE20" s="17"/>
      <c r="BF20" s="17"/>
      <c r="BG20" s="17"/>
      <c r="BH20" s="22" t="s">
        <v>719</v>
      </c>
      <c r="BI20" s="22"/>
      <c r="BJ20" s="17" t="s">
        <v>756</v>
      </c>
      <c r="BK20" s="17"/>
      <c r="BL20" s="17"/>
      <c r="BM20" s="17" t="s">
        <v>874</v>
      </c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" t="s">
        <v>1135</v>
      </c>
    </row>
    <row r="21" spans="1:86" ht="12" customHeight="1" x14ac:dyDescent="0.2">
      <c r="A21" s="11" t="s">
        <v>574</v>
      </c>
      <c r="B21" s="12" t="s">
        <v>587</v>
      </c>
      <c r="C21" s="12" t="s">
        <v>611</v>
      </c>
      <c r="D21" s="17" t="s">
        <v>625</v>
      </c>
      <c r="E21" s="12" t="s">
        <v>611</v>
      </c>
      <c r="F21" s="17" t="s">
        <v>628</v>
      </c>
      <c r="G21" s="13" t="s">
        <v>121</v>
      </c>
      <c r="H21" s="12"/>
      <c r="I21" s="12"/>
      <c r="J21" s="12"/>
      <c r="K21" s="12"/>
      <c r="L21" s="12"/>
      <c r="M21" s="12"/>
      <c r="N21" s="12"/>
      <c r="O21" s="12"/>
      <c r="P21" s="12"/>
      <c r="Q21" s="12">
        <v>27</v>
      </c>
      <c r="R21" s="12">
        <v>58</v>
      </c>
      <c r="S21" s="12" t="s">
        <v>43</v>
      </c>
      <c r="T21" s="12"/>
      <c r="U21" s="12"/>
      <c r="V21" s="12" t="s">
        <v>167</v>
      </c>
      <c r="W21" s="18" t="s">
        <v>646</v>
      </c>
      <c r="X21" s="12" t="s">
        <v>358</v>
      </c>
      <c r="Y21" s="12" t="s">
        <v>213</v>
      </c>
      <c r="Z21" s="17" t="s">
        <v>358</v>
      </c>
      <c r="AA21" s="12" t="s">
        <v>460</v>
      </c>
      <c r="AB21" s="12" t="s">
        <v>358</v>
      </c>
      <c r="AC21" s="14" t="s">
        <v>358</v>
      </c>
      <c r="AD21" s="12" t="s">
        <v>131</v>
      </c>
      <c r="AE21" s="12" t="s">
        <v>146</v>
      </c>
      <c r="AF21" s="12" t="s">
        <v>189</v>
      </c>
      <c r="AG21" s="12" t="s">
        <v>368</v>
      </c>
      <c r="AH21" s="12"/>
      <c r="AI21" s="12" t="s">
        <v>308</v>
      </c>
      <c r="AJ21" s="12" t="s">
        <v>526</v>
      </c>
      <c r="AK21" s="12" t="s">
        <v>50</v>
      </c>
      <c r="AL21" s="12" t="s">
        <v>327</v>
      </c>
      <c r="AM21" s="21" t="s">
        <v>682</v>
      </c>
      <c r="AN21" s="17"/>
      <c r="AO21" s="17"/>
      <c r="AP21" s="17" t="s">
        <v>875</v>
      </c>
      <c r="AQ21" s="17" t="s">
        <v>876</v>
      </c>
      <c r="AR21" s="17" t="s">
        <v>876</v>
      </c>
      <c r="AS21" s="23">
        <f t="shared" si="0"/>
        <v>183</v>
      </c>
      <c r="AT21" s="17" t="s">
        <v>877</v>
      </c>
      <c r="AU21" s="17" t="s">
        <v>761</v>
      </c>
      <c r="AV21" s="17" t="s">
        <v>878</v>
      </c>
      <c r="AW21" s="17" t="s">
        <v>854</v>
      </c>
      <c r="AX21" s="17"/>
      <c r="AY21" s="17" t="s">
        <v>879</v>
      </c>
      <c r="AZ21" s="17"/>
      <c r="BA21" s="17"/>
      <c r="BB21" s="17"/>
      <c r="BC21" s="17"/>
      <c r="BD21" s="17" t="s">
        <v>880</v>
      </c>
      <c r="BE21" s="17" t="s">
        <v>881</v>
      </c>
      <c r="BF21" s="17"/>
      <c r="BG21" s="17"/>
      <c r="BH21" s="17" t="s">
        <v>825</v>
      </c>
      <c r="BI21" s="17" t="s">
        <v>882</v>
      </c>
      <c r="BJ21" s="17" t="s">
        <v>756</v>
      </c>
      <c r="BK21" s="17" t="s">
        <v>797</v>
      </c>
      <c r="BL21" s="17" t="s">
        <v>720</v>
      </c>
      <c r="BM21" s="17" t="s">
        <v>883</v>
      </c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" t="s">
        <v>1135</v>
      </c>
    </row>
    <row r="22" spans="1:86" ht="12" customHeight="1" x14ac:dyDescent="0.2">
      <c r="A22" s="11" t="s">
        <v>574</v>
      </c>
      <c r="B22" s="12" t="s">
        <v>587</v>
      </c>
      <c r="C22" s="12" t="s">
        <v>611</v>
      </c>
      <c r="D22" s="17" t="s">
        <v>625</v>
      </c>
      <c r="E22" s="12" t="s">
        <v>611</v>
      </c>
      <c r="F22" s="17" t="s">
        <v>628</v>
      </c>
      <c r="G22" s="13" t="s">
        <v>121</v>
      </c>
      <c r="H22" s="12"/>
      <c r="I22" s="12"/>
      <c r="J22" s="12"/>
      <c r="K22" s="12"/>
      <c r="L22" s="12"/>
      <c r="M22" s="12"/>
      <c r="N22" s="12"/>
      <c r="O22" s="12"/>
      <c r="P22" s="12"/>
      <c r="Q22" s="12">
        <v>65</v>
      </c>
      <c r="R22" s="12">
        <v>46</v>
      </c>
      <c r="S22" s="12" t="s">
        <v>8</v>
      </c>
      <c r="T22" s="12" t="s">
        <v>110</v>
      </c>
      <c r="U22" s="12" t="s">
        <v>462</v>
      </c>
      <c r="V22" s="12" t="s">
        <v>167</v>
      </c>
      <c r="W22" s="18" t="s">
        <v>645</v>
      </c>
      <c r="X22" s="12" t="s">
        <v>448</v>
      </c>
      <c r="Y22" s="12" t="s">
        <v>448</v>
      </c>
      <c r="Z22" s="17" t="s">
        <v>448</v>
      </c>
      <c r="AA22" s="12" t="s">
        <v>460</v>
      </c>
      <c r="AB22" s="12" t="s">
        <v>448</v>
      </c>
      <c r="AC22" s="14" t="s">
        <v>448</v>
      </c>
      <c r="AD22" s="12" t="s">
        <v>555</v>
      </c>
      <c r="AE22" s="12" t="s">
        <v>403</v>
      </c>
      <c r="AF22" s="12" t="s">
        <v>579</v>
      </c>
      <c r="AG22" s="12" t="s">
        <v>579</v>
      </c>
      <c r="AH22" s="12"/>
      <c r="AI22" s="12" t="s">
        <v>5</v>
      </c>
      <c r="AJ22" s="12" t="s">
        <v>129</v>
      </c>
      <c r="AK22" s="12" t="s">
        <v>292</v>
      </c>
      <c r="AL22" s="12" t="s">
        <v>423</v>
      </c>
      <c r="AM22" s="21" t="s">
        <v>683</v>
      </c>
      <c r="AN22" s="17"/>
      <c r="AO22" s="17"/>
      <c r="AP22" s="17" t="s">
        <v>884</v>
      </c>
      <c r="AQ22" s="17" t="s">
        <v>885</v>
      </c>
      <c r="AR22" s="17" t="s">
        <v>885</v>
      </c>
      <c r="AS22" s="23">
        <f t="shared" si="0"/>
        <v>106</v>
      </c>
      <c r="AT22" s="17" t="s">
        <v>886</v>
      </c>
      <c r="AU22" s="17" t="s">
        <v>887</v>
      </c>
      <c r="AV22" s="17"/>
      <c r="AW22" s="17"/>
      <c r="AX22" s="17"/>
      <c r="AY22" s="17" t="s">
        <v>888</v>
      </c>
      <c r="AZ22" s="17"/>
      <c r="BA22" s="17"/>
      <c r="BB22" s="17"/>
      <c r="BC22" s="17"/>
      <c r="BD22" s="17" t="s">
        <v>889</v>
      </c>
      <c r="BE22" s="17"/>
      <c r="BF22" s="17"/>
      <c r="BG22" s="17"/>
      <c r="BH22" s="17" t="s">
        <v>825</v>
      </c>
      <c r="BI22" s="17" t="s">
        <v>890</v>
      </c>
      <c r="BJ22" s="17" t="s">
        <v>756</v>
      </c>
      <c r="BK22" s="17"/>
      <c r="BL22" s="17"/>
      <c r="BM22" s="17" t="s">
        <v>891</v>
      </c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" t="s">
        <v>1135</v>
      </c>
    </row>
    <row r="23" spans="1:86" ht="12" customHeight="1" x14ac:dyDescent="0.2">
      <c r="A23" s="11" t="s">
        <v>574</v>
      </c>
      <c r="B23" s="12" t="s">
        <v>587</v>
      </c>
      <c r="C23" s="12" t="s">
        <v>611</v>
      </c>
      <c r="D23" s="17" t="s">
        <v>625</v>
      </c>
      <c r="E23" s="12" t="s">
        <v>611</v>
      </c>
      <c r="F23" s="17" t="s">
        <v>628</v>
      </c>
      <c r="G23" s="13" t="s">
        <v>121</v>
      </c>
      <c r="H23" s="12"/>
      <c r="I23" s="12"/>
      <c r="J23" s="12"/>
      <c r="K23" s="12"/>
      <c r="L23" s="12"/>
      <c r="M23" s="12"/>
      <c r="N23" s="12"/>
      <c r="O23" s="12"/>
      <c r="P23" s="12"/>
      <c r="Q23" s="12">
        <v>66</v>
      </c>
      <c r="R23" s="12">
        <v>88</v>
      </c>
      <c r="S23" s="12" t="s">
        <v>8</v>
      </c>
      <c r="T23" s="12" t="s">
        <v>110</v>
      </c>
      <c r="U23" s="12" t="s">
        <v>462</v>
      </c>
      <c r="V23" s="12" t="s">
        <v>167</v>
      </c>
      <c r="W23" s="18" t="s">
        <v>645</v>
      </c>
      <c r="X23" s="12" t="s">
        <v>448</v>
      </c>
      <c r="Y23" s="12" t="s">
        <v>448</v>
      </c>
      <c r="Z23" s="17" t="s">
        <v>448</v>
      </c>
      <c r="AA23" s="12" t="s">
        <v>460</v>
      </c>
      <c r="AB23" s="12" t="s">
        <v>448</v>
      </c>
      <c r="AC23" s="14" t="s">
        <v>448</v>
      </c>
      <c r="AD23" s="12" t="s">
        <v>555</v>
      </c>
      <c r="AE23" s="12" t="s">
        <v>403</v>
      </c>
      <c r="AF23" s="12" t="s">
        <v>579</v>
      </c>
      <c r="AG23" s="12" t="s">
        <v>579</v>
      </c>
      <c r="AH23" s="12"/>
      <c r="AI23" s="12" t="s">
        <v>5</v>
      </c>
      <c r="AJ23" s="12" t="s">
        <v>129</v>
      </c>
      <c r="AK23" s="12" t="s">
        <v>292</v>
      </c>
      <c r="AL23" s="12" t="s">
        <v>341</v>
      </c>
      <c r="AM23" s="21" t="s">
        <v>683</v>
      </c>
      <c r="AN23" s="17"/>
      <c r="AO23" s="17"/>
      <c r="AP23" s="17" t="s">
        <v>884</v>
      </c>
      <c r="AQ23" s="17" t="s">
        <v>885</v>
      </c>
      <c r="AR23" s="17" t="s">
        <v>885</v>
      </c>
      <c r="AS23" s="23">
        <f t="shared" si="0"/>
        <v>106</v>
      </c>
      <c r="AT23" s="17" t="s">
        <v>886</v>
      </c>
      <c r="AU23" s="17" t="s">
        <v>887</v>
      </c>
      <c r="AV23" s="17"/>
      <c r="AW23" s="17"/>
      <c r="AX23" s="17"/>
      <c r="AY23" s="17" t="s">
        <v>888</v>
      </c>
      <c r="AZ23" s="17"/>
      <c r="BA23" s="17"/>
      <c r="BB23" s="17"/>
      <c r="BC23" s="17"/>
      <c r="BD23" s="17" t="s">
        <v>889</v>
      </c>
      <c r="BE23" s="17"/>
      <c r="BF23" s="17"/>
      <c r="BG23" s="17"/>
      <c r="BH23" s="17" t="s">
        <v>825</v>
      </c>
      <c r="BI23" s="17" t="s">
        <v>890</v>
      </c>
      <c r="BJ23" s="17" t="s">
        <v>756</v>
      </c>
      <c r="BK23" s="17"/>
      <c r="BL23" s="17"/>
      <c r="BM23" s="17" t="s">
        <v>891</v>
      </c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" t="s">
        <v>1135</v>
      </c>
    </row>
    <row r="24" spans="1:86" ht="12" customHeight="1" x14ac:dyDescent="0.2">
      <c r="A24" s="11" t="s">
        <v>574</v>
      </c>
      <c r="B24" s="12" t="s">
        <v>587</v>
      </c>
      <c r="C24" s="12" t="s">
        <v>611</v>
      </c>
      <c r="D24" s="17" t="s">
        <v>626</v>
      </c>
      <c r="E24" s="12" t="s">
        <v>611</v>
      </c>
      <c r="F24" s="17" t="s">
        <v>630</v>
      </c>
      <c r="G24" s="13" t="s">
        <v>121</v>
      </c>
      <c r="H24" s="12"/>
      <c r="I24" s="12"/>
      <c r="J24" s="12"/>
      <c r="K24" s="12"/>
      <c r="L24" s="12"/>
      <c r="M24" s="12"/>
      <c r="N24" s="12"/>
      <c r="O24" s="12"/>
      <c r="P24" s="12"/>
      <c r="Q24" s="12">
        <v>87</v>
      </c>
      <c r="R24" s="12">
        <v>45</v>
      </c>
      <c r="S24" s="12" t="s">
        <v>515</v>
      </c>
      <c r="T24" s="12"/>
      <c r="U24" s="12"/>
      <c r="V24" s="12" t="s">
        <v>167</v>
      </c>
      <c r="W24" s="18" t="s">
        <v>167</v>
      </c>
      <c r="X24" s="12" t="s">
        <v>210</v>
      </c>
      <c r="Y24" s="12" t="s">
        <v>210</v>
      </c>
      <c r="Z24" s="17" t="s">
        <v>210</v>
      </c>
      <c r="AA24" s="12" t="s">
        <v>460</v>
      </c>
      <c r="AB24" s="12" t="s">
        <v>210</v>
      </c>
      <c r="AC24" s="14" t="s">
        <v>210</v>
      </c>
      <c r="AD24" s="12" t="s">
        <v>510</v>
      </c>
      <c r="AE24" s="12" t="s">
        <v>114</v>
      </c>
      <c r="AF24" s="12"/>
      <c r="AG24" s="12"/>
      <c r="AH24" s="12"/>
      <c r="AI24" s="12"/>
      <c r="AJ24" s="12"/>
      <c r="AK24" s="12"/>
      <c r="AL24" s="12" t="s">
        <v>333</v>
      </c>
      <c r="AM24" s="21"/>
      <c r="AN24" s="17"/>
      <c r="AO24" s="17"/>
      <c r="AP24" s="17" t="s">
        <v>114</v>
      </c>
      <c r="AQ24" s="17"/>
      <c r="AR24" s="17"/>
      <c r="AS24" s="23">
        <f t="shared" si="0"/>
        <v>0</v>
      </c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 t="s">
        <v>728</v>
      </c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" t="s">
        <v>1135</v>
      </c>
    </row>
    <row r="25" spans="1:86" ht="12" customHeight="1" x14ac:dyDescent="0.2">
      <c r="A25" s="11" t="s">
        <v>574</v>
      </c>
      <c r="B25" s="12" t="s">
        <v>587</v>
      </c>
      <c r="C25" s="12" t="s">
        <v>611</v>
      </c>
      <c r="D25" s="17" t="s">
        <v>626</v>
      </c>
      <c r="E25" s="12" t="s">
        <v>611</v>
      </c>
      <c r="F25" s="17" t="s">
        <v>630</v>
      </c>
      <c r="G25" s="13" t="s">
        <v>121</v>
      </c>
      <c r="H25" s="12"/>
      <c r="I25" s="12"/>
      <c r="J25" s="12"/>
      <c r="K25" s="12"/>
      <c r="L25" s="12"/>
      <c r="M25" s="12"/>
      <c r="N25" s="12"/>
      <c r="O25" s="12"/>
      <c r="P25" s="12"/>
      <c r="Q25" s="12">
        <v>88</v>
      </c>
      <c r="R25" s="12">
        <v>47</v>
      </c>
      <c r="S25" s="12" t="s">
        <v>606</v>
      </c>
      <c r="T25" s="12"/>
      <c r="U25" s="12"/>
      <c r="V25" s="12" t="s">
        <v>167</v>
      </c>
      <c r="W25" s="18" t="s">
        <v>167</v>
      </c>
      <c r="X25" s="12" t="s">
        <v>119</v>
      </c>
      <c r="Y25" s="12" t="s">
        <v>119</v>
      </c>
      <c r="Z25" s="17" t="s">
        <v>119</v>
      </c>
      <c r="AA25" s="12" t="s">
        <v>460</v>
      </c>
      <c r="AB25" s="12" t="s">
        <v>119</v>
      </c>
      <c r="AC25" s="14" t="s">
        <v>119</v>
      </c>
      <c r="AD25" s="12" t="s">
        <v>188</v>
      </c>
      <c r="AE25" s="12" t="s">
        <v>284</v>
      </c>
      <c r="AF25" s="12"/>
      <c r="AG25" s="12"/>
      <c r="AH25" s="12"/>
      <c r="AI25" s="12"/>
      <c r="AJ25" s="12"/>
      <c r="AK25" s="12"/>
      <c r="AL25" s="12" t="s">
        <v>91</v>
      </c>
      <c r="AM25" s="21"/>
      <c r="AN25" s="17"/>
      <c r="AO25" s="17"/>
      <c r="AP25" s="17" t="s">
        <v>284</v>
      </c>
      <c r="AQ25" s="17"/>
      <c r="AR25" s="17"/>
      <c r="AS25" s="23">
        <f t="shared" si="0"/>
        <v>0</v>
      </c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 t="s">
        <v>728</v>
      </c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" t="s">
        <v>1135</v>
      </c>
    </row>
    <row r="26" spans="1:86" ht="12" customHeight="1" x14ac:dyDescent="0.2">
      <c r="A26" s="11" t="s">
        <v>574</v>
      </c>
      <c r="B26" s="12" t="s">
        <v>587</v>
      </c>
      <c r="C26" s="12" t="s">
        <v>611</v>
      </c>
      <c r="D26" s="17" t="s">
        <v>625</v>
      </c>
      <c r="E26" s="12" t="s">
        <v>611</v>
      </c>
      <c r="F26" s="17" t="s">
        <v>628</v>
      </c>
      <c r="G26" s="13" t="s">
        <v>121</v>
      </c>
      <c r="H26" s="12"/>
      <c r="I26" s="12"/>
      <c r="J26" s="12"/>
      <c r="K26" s="12"/>
      <c r="L26" s="12"/>
      <c r="M26" s="12"/>
      <c r="N26" s="12"/>
      <c r="O26" s="12"/>
      <c r="P26" s="12"/>
      <c r="Q26" s="12">
        <v>98</v>
      </c>
      <c r="R26" s="12">
        <v>49</v>
      </c>
      <c r="S26" s="12" t="s">
        <v>545</v>
      </c>
      <c r="T26" s="12" t="s">
        <v>76</v>
      </c>
      <c r="U26" s="12" t="s">
        <v>83</v>
      </c>
      <c r="V26" s="12" t="s">
        <v>167</v>
      </c>
      <c r="W26" s="18" t="s">
        <v>646</v>
      </c>
      <c r="X26" s="12" t="s">
        <v>31</v>
      </c>
      <c r="Y26" s="12" t="s">
        <v>31</v>
      </c>
      <c r="Z26" s="17" t="s">
        <v>31</v>
      </c>
      <c r="AA26" s="12" t="s">
        <v>460</v>
      </c>
      <c r="AB26" s="12" t="s">
        <v>31</v>
      </c>
      <c r="AC26" s="14" t="s">
        <v>31</v>
      </c>
      <c r="AD26" s="12" t="s">
        <v>323</v>
      </c>
      <c r="AE26" s="12" t="s">
        <v>522</v>
      </c>
      <c r="AF26" s="12" t="s">
        <v>317</v>
      </c>
      <c r="AG26" s="12" t="s">
        <v>317</v>
      </c>
      <c r="AH26" s="12"/>
      <c r="AI26" s="12" t="s">
        <v>483</v>
      </c>
      <c r="AJ26" s="12" t="s">
        <v>615</v>
      </c>
      <c r="AK26" s="12" t="s">
        <v>603</v>
      </c>
      <c r="AL26" s="12" t="s">
        <v>340</v>
      </c>
      <c r="AM26" s="21" t="s">
        <v>684</v>
      </c>
      <c r="AN26" s="17"/>
      <c r="AO26" s="17"/>
      <c r="AP26" s="25" t="s">
        <v>892</v>
      </c>
      <c r="AQ26" s="25" t="s">
        <v>893</v>
      </c>
      <c r="AR26" s="25" t="s">
        <v>893</v>
      </c>
      <c r="AS26" s="23">
        <f t="shared" si="0"/>
        <v>71</v>
      </c>
      <c r="AT26" s="25" t="s">
        <v>894</v>
      </c>
      <c r="AU26" s="25" t="s">
        <v>895</v>
      </c>
      <c r="AV26" s="25" t="s">
        <v>896</v>
      </c>
      <c r="AW26" s="25"/>
      <c r="AX26" s="25"/>
      <c r="AY26" s="25" t="s">
        <v>897</v>
      </c>
      <c r="AZ26" s="25"/>
      <c r="BA26" s="25"/>
      <c r="BB26" s="25"/>
      <c r="BC26" s="25"/>
      <c r="BD26" s="25" t="s">
        <v>898</v>
      </c>
      <c r="BE26" s="25"/>
      <c r="BF26" s="25"/>
      <c r="BG26" s="25"/>
      <c r="BH26" s="25"/>
      <c r="BI26" s="25" t="s">
        <v>483</v>
      </c>
      <c r="BJ26" s="25"/>
      <c r="BK26" s="17"/>
      <c r="BL26" s="17"/>
      <c r="BM26" s="21" t="s">
        <v>899</v>
      </c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" t="s">
        <v>1135</v>
      </c>
    </row>
    <row r="27" spans="1:86" ht="12" customHeight="1" x14ac:dyDescent="0.2">
      <c r="A27" s="11" t="s">
        <v>574</v>
      </c>
      <c r="B27" s="12" t="s">
        <v>587</v>
      </c>
      <c r="C27" s="12" t="s">
        <v>611</v>
      </c>
      <c r="D27" s="17" t="s">
        <v>626</v>
      </c>
      <c r="E27" s="12" t="s">
        <v>611</v>
      </c>
      <c r="F27" s="17" t="s">
        <v>628</v>
      </c>
      <c r="G27" s="13" t="s">
        <v>121</v>
      </c>
      <c r="H27" s="12"/>
      <c r="I27" s="12"/>
      <c r="J27" s="12"/>
      <c r="K27" s="12"/>
      <c r="L27" s="12"/>
      <c r="M27" s="12"/>
      <c r="N27" s="12"/>
      <c r="O27" s="12"/>
      <c r="P27" s="12"/>
      <c r="Q27" s="12">
        <v>78</v>
      </c>
      <c r="R27" s="12">
        <v>52</v>
      </c>
      <c r="S27" s="12" t="s">
        <v>45</v>
      </c>
      <c r="T27" s="12"/>
      <c r="U27" s="12"/>
      <c r="V27" s="12" t="s">
        <v>66</v>
      </c>
      <c r="W27" s="19" t="s">
        <v>41</v>
      </c>
      <c r="X27" s="12" t="s">
        <v>4</v>
      </c>
      <c r="Y27" s="12" t="s">
        <v>4</v>
      </c>
      <c r="Z27" s="17" t="s">
        <v>4</v>
      </c>
      <c r="AA27" s="12" t="s">
        <v>41</v>
      </c>
      <c r="AB27" s="12" t="s">
        <v>4</v>
      </c>
      <c r="AC27" s="14" t="s">
        <v>4</v>
      </c>
      <c r="AD27" s="12" t="s">
        <v>72</v>
      </c>
      <c r="AE27" s="12" t="s">
        <v>593</v>
      </c>
      <c r="AF27" s="12" t="s">
        <v>414</v>
      </c>
      <c r="AG27" s="12" t="s">
        <v>605</v>
      </c>
      <c r="AH27" s="12"/>
      <c r="AI27" s="12"/>
      <c r="AJ27" s="12" t="s">
        <v>389</v>
      </c>
      <c r="AK27" s="12" t="s">
        <v>560</v>
      </c>
      <c r="AL27" s="12" t="s">
        <v>259</v>
      </c>
      <c r="AM27" s="21" t="s">
        <v>685</v>
      </c>
      <c r="AN27" s="17"/>
      <c r="AO27" s="17"/>
      <c r="AP27" s="25" t="s">
        <v>900</v>
      </c>
      <c r="AQ27" s="25" t="s">
        <v>901</v>
      </c>
      <c r="AR27" s="25" t="s">
        <v>901</v>
      </c>
      <c r="AS27" s="23">
        <f t="shared" si="0"/>
        <v>44</v>
      </c>
      <c r="AT27" s="25" t="s">
        <v>902</v>
      </c>
      <c r="AU27" s="25" t="s">
        <v>903</v>
      </c>
      <c r="AV27" s="25"/>
      <c r="AW27" s="25"/>
      <c r="AX27" s="25"/>
      <c r="AY27" s="25"/>
      <c r="AZ27" s="25"/>
      <c r="BA27" s="25"/>
      <c r="BB27" s="25"/>
      <c r="BC27" s="25"/>
      <c r="BD27" s="25" t="s">
        <v>904</v>
      </c>
      <c r="BE27" s="25"/>
      <c r="BF27" s="25"/>
      <c r="BG27" s="25"/>
      <c r="BH27" s="25"/>
      <c r="BI27" s="25"/>
      <c r="BJ27" s="25"/>
      <c r="BK27" s="17"/>
      <c r="BL27" s="17" t="s">
        <v>905</v>
      </c>
      <c r="BM27" s="17" t="s">
        <v>728</v>
      </c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" t="s">
        <v>1135</v>
      </c>
    </row>
    <row r="28" spans="1:86" ht="12" customHeight="1" x14ac:dyDescent="0.2">
      <c r="A28" s="11" t="s">
        <v>574</v>
      </c>
      <c r="B28" s="12" t="s">
        <v>587</v>
      </c>
      <c r="C28" s="12" t="s">
        <v>611</v>
      </c>
      <c r="D28" s="17" t="s">
        <v>625</v>
      </c>
      <c r="E28" s="12" t="s">
        <v>611</v>
      </c>
      <c r="F28" s="17" t="s">
        <v>628</v>
      </c>
      <c r="G28" s="13" t="s">
        <v>121</v>
      </c>
      <c r="H28" s="12"/>
      <c r="I28" s="12"/>
      <c r="J28" s="12"/>
      <c r="K28" s="12"/>
      <c r="L28" s="12"/>
      <c r="M28" s="12"/>
      <c r="N28" s="12"/>
      <c r="O28" s="12"/>
      <c r="P28" s="12"/>
      <c r="Q28" s="12">
        <v>91</v>
      </c>
      <c r="R28" s="12">
        <v>53</v>
      </c>
      <c r="S28" s="12" t="s">
        <v>206</v>
      </c>
      <c r="T28" s="12"/>
      <c r="U28" s="12"/>
      <c r="V28" s="12" t="s">
        <v>465</v>
      </c>
      <c r="W28" s="18" t="s">
        <v>647</v>
      </c>
      <c r="X28" s="12" t="s">
        <v>279</v>
      </c>
      <c r="Y28" s="12" t="s">
        <v>552</v>
      </c>
      <c r="Z28" s="17" t="s">
        <v>279</v>
      </c>
      <c r="AA28" s="12" t="s">
        <v>338</v>
      </c>
      <c r="AB28" s="12" t="s">
        <v>279</v>
      </c>
      <c r="AC28" s="14" t="s">
        <v>552</v>
      </c>
      <c r="AD28" s="12" t="s">
        <v>287</v>
      </c>
      <c r="AE28" s="12" t="s">
        <v>310</v>
      </c>
      <c r="AF28" s="12" t="s">
        <v>25</v>
      </c>
      <c r="AG28" s="12" t="s">
        <v>25</v>
      </c>
      <c r="AH28" s="12"/>
      <c r="AI28" s="12" t="s">
        <v>361</v>
      </c>
      <c r="AJ28" s="12" t="s">
        <v>536</v>
      </c>
      <c r="AK28" s="12" t="s">
        <v>455</v>
      </c>
      <c r="AL28" s="12" t="s">
        <v>623</v>
      </c>
      <c r="AM28" s="21" t="s">
        <v>686</v>
      </c>
      <c r="AN28" s="17"/>
      <c r="AO28" s="17"/>
      <c r="AP28" s="17" t="s">
        <v>906</v>
      </c>
      <c r="AQ28" s="17" t="s">
        <v>907</v>
      </c>
      <c r="AR28" s="17" t="s">
        <v>907</v>
      </c>
      <c r="AS28" s="23">
        <f t="shared" si="0"/>
        <v>42</v>
      </c>
      <c r="AT28" s="17" t="s">
        <v>908</v>
      </c>
      <c r="AU28" s="17" t="s">
        <v>909</v>
      </c>
      <c r="AV28" s="17"/>
      <c r="AW28" s="17"/>
      <c r="AX28" s="17"/>
      <c r="AY28" s="17"/>
      <c r="AZ28" s="17"/>
      <c r="BA28" s="17"/>
      <c r="BB28" s="17"/>
      <c r="BC28" s="17"/>
      <c r="BD28" s="17" t="s">
        <v>910</v>
      </c>
      <c r="BE28" s="17"/>
      <c r="BF28" s="17"/>
      <c r="BG28" s="17"/>
      <c r="BH28" s="17"/>
      <c r="BI28" s="17" t="s">
        <v>361</v>
      </c>
      <c r="BJ28" s="17"/>
      <c r="BK28" s="17"/>
      <c r="BL28" s="17"/>
      <c r="BM28" s="17" t="s">
        <v>911</v>
      </c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" t="s">
        <v>1135</v>
      </c>
    </row>
    <row r="29" spans="1:86" ht="12" customHeight="1" x14ac:dyDescent="0.2">
      <c r="A29" s="11" t="s">
        <v>574</v>
      </c>
      <c r="B29" s="12" t="s">
        <v>587</v>
      </c>
      <c r="C29" s="12" t="s">
        <v>611</v>
      </c>
      <c r="D29" s="17" t="s">
        <v>625</v>
      </c>
      <c r="E29" s="12" t="s">
        <v>611</v>
      </c>
      <c r="F29" s="17" t="s">
        <v>628</v>
      </c>
      <c r="G29" s="13" t="s">
        <v>121</v>
      </c>
      <c r="H29" s="12"/>
      <c r="I29" s="12"/>
      <c r="J29" s="12"/>
      <c r="K29" s="12"/>
      <c r="L29" s="12"/>
      <c r="M29" s="12"/>
      <c r="N29" s="12"/>
      <c r="O29" s="12"/>
      <c r="P29" s="12"/>
      <c r="Q29" s="12">
        <v>9</v>
      </c>
      <c r="R29" s="12">
        <v>55</v>
      </c>
      <c r="S29" s="12" t="s">
        <v>516</v>
      </c>
      <c r="T29" s="12"/>
      <c r="U29" s="12"/>
      <c r="V29" s="12" t="s">
        <v>352</v>
      </c>
      <c r="W29" s="19" t="s">
        <v>648</v>
      </c>
      <c r="X29" s="12" t="s">
        <v>40</v>
      </c>
      <c r="Y29" s="12" t="s">
        <v>491</v>
      </c>
      <c r="Z29" s="17" t="s">
        <v>40</v>
      </c>
      <c r="AA29" s="15" t="s">
        <v>177</v>
      </c>
      <c r="AB29" s="12" t="s">
        <v>40</v>
      </c>
      <c r="AC29" s="14" t="s">
        <v>491</v>
      </c>
      <c r="AD29" s="12" t="s">
        <v>13</v>
      </c>
      <c r="AE29" s="12" t="s">
        <v>299</v>
      </c>
      <c r="AF29" s="12"/>
      <c r="AG29" s="12"/>
      <c r="AH29" s="12"/>
      <c r="AI29" s="12"/>
      <c r="AJ29" s="12"/>
      <c r="AK29" s="12"/>
      <c r="AL29" s="12" t="s">
        <v>245</v>
      </c>
      <c r="AM29" s="21" t="s">
        <v>687</v>
      </c>
      <c r="AN29" s="24" t="s">
        <v>61</v>
      </c>
      <c r="AO29" s="26" t="s">
        <v>912</v>
      </c>
      <c r="AP29" s="17" t="s">
        <v>913</v>
      </c>
      <c r="AQ29" s="17" t="s">
        <v>914</v>
      </c>
      <c r="AR29" s="17" t="s">
        <v>914</v>
      </c>
      <c r="AS29" s="23">
        <f t="shared" si="0"/>
        <v>96</v>
      </c>
      <c r="AT29" s="17" t="s">
        <v>915</v>
      </c>
      <c r="AU29" s="17" t="s">
        <v>916</v>
      </c>
      <c r="AV29" s="17"/>
      <c r="AW29" s="20" t="s">
        <v>917</v>
      </c>
      <c r="AX29" s="17"/>
      <c r="AY29" s="17"/>
      <c r="AZ29" s="17"/>
      <c r="BA29" s="17"/>
      <c r="BB29" s="17"/>
      <c r="BC29" s="17"/>
      <c r="BD29" s="17" t="s">
        <v>918</v>
      </c>
      <c r="BE29" s="17" t="s">
        <v>919</v>
      </c>
      <c r="BF29" s="17"/>
      <c r="BG29" s="17" t="s">
        <v>920</v>
      </c>
      <c r="BH29" s="17" t="s">
        <v>825</v>
      </c>
      <c r="BI29" s="17"/>
      <c r="BJ29" s="17" t="s">
        <v>756</v>
      </c>
      <c r="BK29" s="17"/>
      <c r="BL29" s="17"/>
      <c r="BM29" s="17" t="s">
        <v>921</v>
      </c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" t="s">
        <v>1135</v>
      </c>
    </row>
    <row r="30" spans="1:86" ht="12" customHeight="1" x14ac:dyDescent="0.2">
      <c r="A30" s="11" t="s">
        <v>574</v>
      </c>
      <c r="B30" s="12" t="s">
        <v>587</v>
      </c>
      <c r="C30" s="12" t="s">
        <v>611</v>
      </c>
      <c r="D30" s="17" t="s">
        <v>625</v>
      </c>
      <c r="E30" s="12" t="s">
        <v>611</v>
      </c>
      <c r="F30" s="17" t="s">
        <v>628</v>
      </c>
      <c r="G30" s="13" t="s">
        <v>121</v>
      </c>
      <c r="H30" s="12"/>
      <c r="I30" s="12"/>
      <c r="J30" s="12"/>
      <c r="K30" s="12"/>
      <c r="L30" s="12"/>
      <c r="M30" s="12"/>
      <c r="N30" s="12"/>
      <c r="O30" s="12"/>
      <c r="P30" s="12"/>
      <c r="Q30" s="12">
        <v>10</v>
      </c>
      <c r="R30" s="12">
        <v>54</v>
      </c>
      <c r="S30" s="12" t="s">
        <v>576</v>
      </c>
      <c r="T30" s="12"/>
      <c r="U30" s="12"/>
      <c r="V30" s="12" t="s">
        <v>352</v>
      </c>
      <c r="W30" s="19" t="s">
        <v>648</v>
      </c>
      <c r="X30" s="12" t="s">
        <v>194</v>
      </c>
      <c r="Y30" s="12" t="s">
        <v>231</v>
      </c>
      <c r="Z30" s="17" t="s">
        <v>194</v>
      </c>
      <c r="AA30" s="15" t="s">
        <v>177</v>
      </c>
      <c r="AB30" s="12" t="s">
        <v>194</v>
      </c>
      <c r="AC30" s="14" t="s">
        <v>231</v>
      </c>
      <c r="AD30" s="12" t="s">
        <v>499</v>
      </c>
      <c r="AE30" s="12" t="s">
        <v>553</v>
      </c>
      <c r="AF30" s="12"/>
      <c r="AG30" s="12"/>
      <c r="AH30" s="12"/>
      <c r="AI30" s="12"/>
      <c r="AJ30" s="12"/>
      <c r="AK30" s="12"/>
      <c r="AL30" s="12" t="s">
        <v>84</v>
      </c>
      <c r="AM30" s="21" t="s">
        <v>687</v>
      </c>
      <c r="AN30" s="24" t="s">
        <v>61</v>
      </c>
      <c r="AO30" s="26" t="s">
        <v>912</v>
      </c>
      <c r="AP30" s="17" t="s">
        <v>922</v>
      </c>
      <c r="AQ30" s="17" t="s">
        <v>923</v>
      </c>
      <c r="AR30" s="17" t="s">
        <v>923</v>
      </c>
      <c r="AS30" s="23">
        <f t="shared" si="0"/>
        <v>76</v>
      </c>
      <c r="AT30" s="17" t="s">
        <v>924</v>
      </c>
      <c r="AU30" s="17" t="s">
        <v>916</v>
      </c>
      <c r="AV30" s="17"/>
      <c r="AW30" s="20" t="s">
        <v>917</v>
      </c>
      <c r="AX30" s="17"/>
      <c r="AY30" s="17" t="s">
        <v>925</v>
      </c>
      <c r="AZ30" s="17"/>
      <c r="BA30" s="17"/>
      <c r="BB30" s="17"/>
      <c r="BC30" s="17"/>
      <c r="BD30" s="17" t="s">
        <v>926</v>
      </c>
      <c r="BE30" s="20" t="s">
        <v>927</v>
      </c>
      <c r="BF30" s="17"/>
      <c r="BG30" s="17" t="s">
        <v>920</v>
      </c>
      <c r="BH30" s="17" t="s">
        <v>825</v>
      </c>
      <c r="BI30" s="17"/>
      <c r="BJ30" s="17" t="s">
        <v>756</v>
      </c>
      <c r="BK30" s="17"/>
      <c r="BL30" s="17"/>
      <c r="BM30" s="17" t="s">
        <v>921</v>
      </c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" t="s">
        <v>1135</v>
      </c>
    </row>
    <row r="31" spans="1:86" ht="12" customHeight="1" x14ac:dyDescent="0.2">
      <c r="A31" s="11" t="s">
        <v>574</v>
      </c>
      <c r="B31" s="12" t="s">
        <v>587</v>
      </c>
      <c r="C31" s="12" t="s">
        <v>611</v>
      </c>
      <c r="D31" s="17" t="s">
        <v>625</v>
      </c>
      <c r="E31" s="12" t="s">
        <v>611</v>
      </c>
      <c r="F31" s="17" t="s">
        <v>628</v>
      </c>
      <c r="G31" s="13" t="s">
        <v>121</v>
      </c>
      <c r="H31" s="12"/>
      <c r="I31" s="12"/>
      <c r="J31" s="12"/>
      <c r="K31" s="12"/>
      <c r="L31" s="12"/>
      <c r="M31" s="12"/>
      <c r="N31" s="12"/>
      <c r="O31" s="12"/>
      <c r="P31" s="12"/>
      <c r="Q31" s="12">
        <v>1</v>
      </c>
      <c r="R31" s="12">
        <v>56</v>
      </c>
      <c r="S31" s="12" t="s">
        <v>594</v>
      </c>
      <c r="T31" s="12" t="s">
        <v>110</v>
      </c>
      <c r="U31" s="12" t="s">
        <v>424</v>
      </c>
      <c r="V31" s="12" t="s">
        <v>554</v>
      </c>
      <c r="W31" s="19" t="s">
        <v>554</v>
      </c>
      <c r="X31" s="12" t="s">
        <v>165</v>
      </c>
      <c r="Y31" s="12" t="s">
        <v>311</v>
      </c>
      <c r="Z31" s="17" t="s">
        <v>165</v>
      </c>
      <c r="AA31" s="12" t="s">
        <v>554</v>
      </c>
      <c r="AB31" s="12" t="s">
        <v>165</v>
      </c>
      <c r="AC31" s="14" t="s">
        <v>290</v>
      </c>
      <c r="AD31" s="12" t="s">
        <v>454</v>
      </c>
      <c r="AE31" s="12" t="s">
        <v>600</v>
      </c>
      <c r="AF31" s="12" t="s">
        <v>556</v>
      </c>
      <c r="AG31" s="12"/>
      <c r="AH31" s="12"/>
      <c r="AI31" s="12" t="s">
        <v>17</v>
      </c>
      <c r="AJ31" s="12"/>
      <c r="AK31" s="12"/>
      <c r="AL31" s="12" t="s">
        <v>314</v>
      </c>
      <c r="AM31" s="21" t="s">
        <v>688</v>
      </c>
      <c r="AN31" s="28" t="s">
        <v>737</v>
      </c>
      <c r="AO31" s="26" t="s">
        <v>738</v>
      </c>
      <c r="AP31" s="17" t="s">
        <v>928</v>
      </c>
      <c r="AQ31" s="17" t="s">
        <v>929</v>
      </c>
      <c r="AR31" s="17" t="s">
        <v>929</v>
      </c>
      <c r="AS31" s="23">
        <f t="shared" si="0"/>
        <v>62</v>
      </c>
      <c r="AT31" s="17" t="s">
        <v>930</v>
      </c>
      <c r="AU31" s="17" t="s">
        <v>742</v>
      </c>
      <c r="AV31" s="17"/>
      <c r="AW31" s="17"/>
      <c r="AX31" s="17"/>
      <c r="AY31" s="17" t="s">
        <v>931</v>
      </c>
      <c r="AZ31" s="17"/>
      <c r="BA31" s="17"/>
      <c r="BB31" s="17"/>
      <c r="BC31" s="17"/>
      <c r="BD31" s="20" t="s">
        <v>932</v>
      </c>
      <c r="BE31" s="17" t="s">
        <v>824</v>
      </c>
      <c r="BF31" s="17"/>
      <c r="BG31" s="17"/>
      <c r="BH31" s="17" t="s">
        <v>825</v>
      </c>
      <c r="BI31" s="17" t="s">
        <v>933</v>
      </c>
      <c r="BJ31" s="17" t="s">
        <v>756</v>
      </c>
      <c r="BK31" s="17"/>
      <c r="BL31" s="17"/>
      <c r="BM31" s="17" t="s">
        <v>934</v>
      </c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" t="s">
        <v>1135</v>
      </c>
    </row>
    <row r="32" spans="1:86" ht="12" customHeight="1" x14ac:dyDescent="0.2">
      <c r="A32" s="11" t="s">
        <v>574</v>
      </c>
      <c r="B32" s="12" t="s">
        <v>587</v>
      </c>
      <c r="C32" s="12" t="s">
        <v>611</v>
      </c>
      <c r="D32" s="17" t="s">
        <v>625</v>
      </c>
      <c r="E32" s="12" t="s">
        <v>611</v>
      </c>
      <c r="F32" s="17" t="s">
        <v>628</v>
      </c>
      <c r="G32" s="13" t="s">
        <v>121</v>
      </c>
      <c r="H32" s="12"/>
      <c r="I32" s="12"/>
      <c r="J32" s="12"/>
      <c r="K32" s="12"/>
      <c r="L32" s="12"/>
      <c r="M32" s="12"/>
      <c r="N32" s="12"/>
      <c r="O32" s="12"/>
      <c r="P32" s="12"/>
      <c r="Q32" s="12">
        <v>68</v>
      </c>
      <c r="R32" s="12">
        <v>75</v>
      </c>
      <c r="S32" s="12" t="s">
        <v>331</v>
      </c>
      <c r="T32" s="12" t="s">
        <v>104</v>
      </c>
      <c r="U32" s="12" t="s">
        <v>480</v>
      </c>
      <c r="V32" s="12" t="s">
        <v>56</v>
      </c>
      <c r="W32" s="18" t="s">
        <v>649</v>
      </c>
      <c r="X32" s="12" t="s">
        <v>375</v>
      </c>
      <c r="Y32" s="12" t="s">
        <v>375</v>
      </c>
      <c r="Z32" s="17" t="s">
        <v>375</v>
      </c>
      <c r="AA32" s="12" t="s">
        <v>56</v>
      </c>
      <c r="AB32" s="12" t="s">
        <v>375</v>
      </c>
      <c r="AC32" s="14" t="s">
        <v>375</v>
      </c>
      <c r="AD32" s="12" t="s">
        <v>62</v>
      </c>
      <c r="AE32" s="12" t="s">
        <v>59</v>
      </c>
      <c r="AF32" s="12" t="s">
        <v>273</v>
      </c>
      <c r="AG32" s="12" t="s">
        <v>273</v>
      </c>
      <c r="AH32" s="12"/>
      <c r="AI32" s="12" t="s">
        <v>56</v>
      </c>
      <c r="AJ32" s="12" t="s">
        <v>222</v>
      </c>
      <c r="AK32" s="12" t="s">
        <v>619</v>
      </c>
      <c r="AL32" s="12" t="s">
        <v>416</v>
      </c>
      <c r="AM32" s="21" t="s">
        <v>689</v>
      </c>
      <c r="AN32" s="17"/>
      <c r="AO32" s="17"/>
      <c r="AP32" s="17" t="s">
        <v>935</v>
      </c>
      <c r="AQ32" s="17" t="s">
        <v>936</v>
      </c>
      <c r="AR32" s="17" t="s">
        <v>936</v>
      </c>
      <c r="AS32" s="23">
        <f t="shared" si="0"/>
        <v>137</v>
      </c>
      <c r="AT32" s="17" t="s">
        <v>937</v>
      </c>
      <c r="AU32" s="17" t="s">
        <v>938</v>
      </c>
      <c r="AV32" s="17" t="s">
        <v>939</v>
      </c>
      <c r="AW32" s="17"/>
      <c r="AX32" s="17"/>
      <c r="AY32" s="17"/>
      <c r="AZ32" s="17"/>
      <c r="BA32" s="17" t="s">
        <v>940</v>
      </c>
      <c r="BB32" s="17"/>
      <c r="BC32" s="17"/>
      <c r="BD32" s="17" t="s">
        <v>941</v>
      </c>
      <c r="BE32" s="17" t="s">
        <v>942</v>
      </c>
      <c r="BF32" s="17"/>
      <c r="BG32" s="17" t="s">
        <v>943</v>
      </c>
      <c r="BH32" s="17" t="s">
        <v>825</v>
      </c>
      <c r="BI32" s="17"/>
      <c r="BJ32" s="17" t="s">
        <v>720</v>
      </c>
      <c r="BK32" s="17"/>
      <c r="BL32" s="17" t="s">
        <v>944</v>
      </c>
      <c r="BM32" s="17" t="s">
        <v>945</v>
      </c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" t="s">
        <v>1135</v>
      </c>
    </row>
    <row r="33" spans="1:86" ht="12" customHeight="1" x14ac:dyDescent="0.2">
      <c r="A33" s="11" t="s">
        <v>574</v>
      </c>
      <c r="B33" s="12" t="s">
        <v>587</v>
      </c>
      <c r="C33" s="12" t="s">
        <v>611</v>
      </c>
      <c r="D33" s="17" t="s">
        <v>625</v>
      </c>
      <c r="E33" s="12" t="s">
        <v>611</v>
      </c>
      <c r="F33" s="17" t="s">
        <v>628</v>
      </c>
      <c r="G33" s="13" t="s">
        <v>121</v>
      </c>
      <c r="H33" s="12"/>
      <c r="I33" s="12"/>
      <c r="J33" s="12"/>
      <c r="K33" s="12"/>
      <c r="L33" s="12"/>
      <c r="M33" s="12"/>
      <c r="N33" s="12"/>
      <c r="O33" s="12"/>
      <c r="P33" s="12"/>
      <c r="Q33" s="12">
        <v>69</v>
      </c>
      <c r="R33" s="12">
        <v>57</v>
      </c>
      <c r="S33" s="12" t="s">
        <v>583</v>
      </c>
      <c r="T33" s="12" t="s">
        <v>359</v>
      </c>
      <c r="U33" s="12"/>
      <c r="V33" s="12" t="s">
        <v>56</v>
      </c>
      <c r="W33" s="18" t="s">
        <v>649</v>
      </c>
      <c r="X33" s="12" t="s">
        <v>355</v>
      </c>
      <c r="Y33" s="12" t="s">
        <v>355</v>
      </c>
      <c r="Z33" s="17" t="s">
        <v>355</v>
      </c>
      <c r="AA33" s="12" t="s">
        <v>56</v>
      </c>
      <c r="AB33" s="12" t="s">
        <v>355</v>
      </c>
      <c r="AC33" s="14" t="s">
        <v>355</v>
      </c>
      <c r="AD33" s="12" t="s">
        <v>349</v>
      </c>
      <c r="AE33" s="12" t="s">
        <v>87</v>
      </c>
      <c r="AF33" s="12" t="s">
        <v>441</v>
      </c>
      <c r="AG33" s="12" t="s">
        <v>105</v>
      </c>
      <c r="AH33" s="12"/>
      <c r="AI33" s="12"/>
      <c r="AJ33" s="12" t="s">
        <v>527</v>
      </c>
      <c r="AK33" s="12" t="s">
        <v>589</v>
      </c>
      <c r="AL33" s="12" t="s">
        <v>492</v>
      </c>
      <c r="AM33" s="21" t="s">
        <v>690</v>
      </c>
      <c r="AN33" s="17"/>
      <c r="AO33" s="17"/>
      <c r="AP33" s="17" t="s">
        <v>946</v>
      </c>
      <c r="AQ33" s="17" t="s">
        <v>947</v>
      </c>
      <c r="AR33" s="17" t="s">
        <v>947</v>
      </c>
      <c r="AS33" s="23">
        <f t="shared" si="0"/>
        <v>130</v>
      </c>
      <c r="AT33" s="17" t="s">
        <v>948</v>
      </c>
      <c r="AU33" s="17" t="s">
        <v>949</v>
      </c>
      <c r="AV33" s="17" t="s">
        <v>939</v>
      </c>
      <c r="AW33" s="17" t="s">
        <v>754</v>
      </c>
      <c r="AX33" s="17"/>
      <c r="AY33" s="17"/>
      <c r="AZ33" s="17"/>
      <c r="BA33" s="17" t="s">
        <v>950</v>
      </c>
      <c r="BB33" s="17"/>
      <c r="BC33" s="17"/>
      <c r="BD33" s="17" t="s">
        <v>951</v>
      </c>
      <c r="BE33" s="17" t="s">
        <v>952</v>
      </c>
      <c r="BF33" s="17"/>
      <c r="BG33" s="17" t="s">
        <v>953</v>
      </c>
      <c r="BH33" s="17" t="s">
        <v>825</v>
      </c>
      <c r="BI33" s="17"/>
      <c r="BJ33" s="17" t="s">
        <v>720</v>
      </c>
      <c r="BK33" s="17"/>
      <c r="BL33" s="17" t="s">
        <v>938</v>
      </c>
      <c r="BM33" s="17" t="s">
        <v>954</v>
      </c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" t="s">
        <v>1135</v>
      </c>
    </row>
    <row r="34" spans="1:86" ht="12" customHeight="1" x14ac:dyDescent="0.2">
      <c r="A34" s="11" t="s">
        <v>574</v>
      </c>
      <c r="B34" s="12" t="s">
        <v>587</v>
      </c>
      <c r="C34" s="12" t="s">
        <v>611</v>
      </c>
      <c r="D34" s="17" t="s">
        <v>625</v>
      </c>
      <c r="E34" s="12" t="s">
        <v>611</v>
      </c>
      <c r="F34" s="17" t="s">
        <v>628</v>
      </c>
      <c r="G34" s="13" t="s">
        <v>121</v>
      </c>
      <c r="H34" s="12"/>
      <c r="I34" s="12"/>
      <c r="J34" s="12"/>
      <c r="K34" s="12"/>
      <c r="L34" s="12"/>
      <c r="M34" s="12"/>
      <c r="N34" s="12"/>
      <c r="O34" s="12"/>
      <c r="P34" s="12"/>
      <c r="Q34" s="12">
        <v>73</v>
      </c>
      <c r="R34" s="12">
        <v>78</v>
      </c>
      <c r="S34" s="12" t="s">
        <v>149</v>
      </c>
      <c r="T34" s="12"/>
      <c r="U34" s="12"/>
      <c r="V34" s="12" t="s">
        <v>56</v>
      </c>
      <c r="W34" s="18" t="s">
        <v>649</v>
      </c>
      <c r="X34" s="12" t="s">
        <v>521</v>
      </c>
      <c r="Y34" s="12" t="s">
        <v>521</v>
      </c>
      <c r="Z34" s="20" t="s">
        <v>665</v>
      </c>
      <c r="AA34" s="12" t="s">
        <v>56</v>
      </c>
      <c r="AB34" s="12" t="s">
        <v>521</v>
      </c>
      <c r="AC34" s="14" t="s">
        <v>521</v>
      </c>
      <c r="AD34" s="12" t="s">
        <v>540</v>
      </c>
      <c r="AE34" s="12" t="s">
        <v>532</v>
      </c>
      <c r="AF34" s="12" t="s">
        <v>353</v>
      </c>
      <c r="AG34" s="12" t="s">
        <v>353</v>
      </c>
      <c r="AH34" s="12"/>
      <c r="AI34" s="12"/>
      <c r="AJ34" s="12" t="s">
        <v>523</v>
      </c>
      <c r="AK34" s="12" t="s">
        <v>447</v>
      </c>
      <c r="AL34" s="12" t="s">
        <v>205</v>
      </c>
      <c r="AM34" s="21" t="s">
        <v>691</v>
      </c>
      <c r="AN34" s="17"/>
      <c r="AO34" s="17"/>
      <c r="AP34" s="17" t="s">
        <v>955</v>
      </c>
      <c r="AQ34" s="17" t="s">
        <v>956</v>
      </c>
      <c r="AR34" s="17" t="s">
        <v>956</v>
      </c>
      <c r="AS34" s="23">
        <f t="shared" si="0"/>
        <v>165</v>
      </c>
      <c r="AT34" s="17" t="s">
        <v>957</v>
      </c>
      <c r="AU34" s="17" t="s">
        <v>958</v>
      </c>
      <c r="AV34" s="17" t="s">
        <v>959</v>
      </c>
      <c r="AW34" s="17" t="s">
        <v>960</v>
      </c>
      <c r="AX34" s="17"/>
      <c r="AY34" s="17" t="s">
        <v>961</v>
      </c>
      <c r="AZ34" s="17"/>
      <c r="BA34" s="17"/>
      <c r="BB34" s="17"/>
      <c r="BC34" s="17"/>
      <c r="BD34" s="17" t="s">
        <v>962</v>
      </c>
      <c r="BE34" s="17" t="s">
        <v>952</v>
      </c>
      <c r="BF34" s="17"/>
      <c r="BG34" s="17" t="s">
        <v>963</v>
      </c>
      <c r="BH34" s="17"/>
      <c r="BI34" s="17"/>
      <c r="BJ34" s="17" t="s">
        <v>720</v>
      </c>
      <c r="BK34" s="17" t="s">
        <v>964</v>
      </c>
      <c r="BL34" s="17" t="s">
        <v>965</v>
      </c>
      <c r="BM34" s="17" t="s">
        <v>966</v>
      </c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" t="s">
        <v>1135</v>
      </c>
    </row>
    <row r="35" spans="1:86" ht="12" customHeight="1" x14ac:dyDescent="0.2">
      <c r="A35" s="11" t="s">
        <v>574</v>
      </c>
      <c r="B35" s="12" t="s">
        <v>587</v>
      </c>
      <c r="C35" s="12" t="s">
        <v>611</v>
      </c>
      <c r="D35" s="17" t="s">
        <v>625</v>
      </c>
      <c r="E35" s="12" t="s">
        <v>611</v>
      </c>
      <c r="F35" s="17" t="s">
        <v>628</v>
      </c>
      <c r="G35" s="13" t="s">
        <v>121</v>
      </c>
      <c r="H35" s="12"/>
      <c r="I35" s="12"/>
      <c r="J35" s="12"/>
      <c r="K35" s="12"/>
      <c r="L35" s="12"/>
      <c r="M35" s="12"/>
      <c r="N35" s="12"/>
      <c r="O35" s="12"/>
      <c r="P35" s="12"/>
      <c r="Q35" s="12">
        <v>80</v>
      </c>
      <c r="R35" s="12">
        <v>60</v>
      </c>
      <c r="S35" s="12" t="s">
        <v>135</v>
      </c>
      <c r="T35" s="12" t="s">
        <v>157</v>
      </c>
      <c r="U35" s="12"/>
      <c r="V35" s="12" t="s">
        <v>56</v>
      </c>
      <c r="W35" s="18" t="s">
        <v>649</v>
      </c>
      <c r="X35" s="12" t="s">
        <v>397</v>
      </c>
      <c r="Y35" s="12" t="s">
        <v>397</v>
      </c>
      <c r="Z35" s="17" t="s">
        <v>397</v>
      </c>
      <c r="AA35" s="12" t="s">
        <v>56</v>
      </c>
      <c r="AB35" s="12" t="s">
        <v>397</v>
      </c>
      <c r="AC35" s="14" t="s">
        <v>397</v>
      </c>
      <c r="AD35" s="12" t="s">
        <v>74</v>
      </c>
      <c r="AE35" s="12" t="s">
        <v>198</v>
      </c>
      <c r="AF35" s="12" t="s">
        <v>122</v>
      </c>
      <c r="AG35" s="12" t="s">
        <v>436</v>
      </c>
      <c r="AH35" s="12" t="s">
        <v>60</v>
      </c>
      <c r="AI35" s="12"/>
      <c r="AJ35" s="12" t="s">
        <v>63</v>
      </c>
      <c r="AK35" s="12" t="s">
        <v>571</v>
      </c>
      <c r="AL35" s="12" t="s">
        <v>561</v>
      </c>
      <c r="AM35" s="21" t="s">
        <v>692</v>
      </c>
      <c r="AN35" s="17"/>
      <c r="AO35" s="17"/>
      <c r="AP35" s="17" t="s">
        <v>967</v>
      </c>
      <c r="AQ35" s="17" t="s">
        <v>968</v>
      </c>
      <c r="AR35" s="17" t="s">
        <v>968</v>
      </c>
      <c r="AS35" s="23">
        <f t="shared" si="0"/>
        <v>164</v>
      </c>
      <c r="AT35" s="17" t="s">
        <v>969</v>
      </c>
      <c r="AU35" s="17" t="s">
        <v>970</v>
      </c>
      <c r="AV35" s="17" t="s">
        <v>971</v>
      </c>
      <c r="AW35" s="17" t="s">
        <v>854</v>
      </c>
      <c r="AX35" s="17" t="s">
        <v>972</v>
      </c>
      <c r="AY35" s="17" t="s">
        <v>973</v>
      </c>
      <c r="AZ35" s="17" t="s">
        <v>974</v>
      </c>
      <c r="BA35" s="17" t="s">
        <v>975</v>
      </c>
      <c r="BB35" s="17"/>
      <c r="BC35" s="17"/>
      <c r="BD35" s="17" t="s">
        <v>976</v>
      </c>
      <c r="BE35" s="17" t="s">
        <v>977</v>
      </c>
      <c r="BF35" s="17"/>
      <c r="BG35" s="17"/>
      <c r="BH35" s="17"/>
      <c r="BI35" s="17"/>
      <c r="BJ35" s="17" t="s">
        <v>720</v>
      </c>
      <c r="BK35" s="17"/>
      <c r="BL35" s="17"/>
      <c r="BM35" s="17" t="s">
        <v>978</v>
      </c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" t="s">
        <v>1135</v>
      </c>
    </row>
    <row r="36" spans="1:86" ht="12" customHeight="1" x14ac:dyDescent="0.2">
      <c r="A36" s="11" t="s">
        <v>574</v>
      </c>
      <c r="B36" s="12" t="s">
        <v>587</v>
      </c>
      <c r="C36" s="12" t="s">
        <v>611</v>
      </c>
      <c r="D36" s="17" t="s">
        <v>625</v>
      </c>
      <c r="E36" s="12" t="s">
        <v>611</v>
      </c>
      <c r="F36" s="17" t="s">
        <v>628</v>
      </c>
      <c r="G36" s="13" t="s">
        <v>121</v>
      </c>
      <c r="H36" s="12"/>
      <c r="I36" s="12"/>
      <c r="J36" s="12"/>
      <c r="K36" s="12"/>
      <c r="L36" s="12"/>
      <c r="M36" s="12"/>
      <c r="N36" s="12"/>
      <c r="O36" s="12"/>
      <c r="P36" s="12"/>
      <c r="Q36" s="12">
        <v>81</v>
      </c>
      <c r="R36" s="12">
        <v>77</v>
      </c>
      <c r="S36" s="12" t="s">
        <v>427</v>
      </c>
      <c r="T36" s="12" t="s">
        <v>195</v>
      </c>
      <c r="U36" s="12"/>
      <c r="V36" s="12" t="s">
        <v>56</v>
      </c>
      <c r="W36" s="18" t="s">
        <v>649</v>
      </c>
      <c r="X36" s="12" t="s">
        <v>452</v>
      </c>
      <c r="Y36" s="12" t="s">
        <v>452</v>
      </c>
      <c r="Z36" s="17" t="s">
        <v>452</v>
      </c>
      <c r="AA36" s="12" t="s">
        <v>56</v>
      </c>
      <c r="AB36" s="12" t="s">
        <v>452</v>
      </c>
      <c r="AC36" s="14" t="s">
        <v>452</v>
      </c>
      <c r="AD36" s="12" t="s">
        <v>47</v>
      </c>
      <c r="AE36" s="12" t="s">
        <v>70</v>
      </c>
      <c r="AF36" s="12" t="s">
        <v>364</v>
      </c>
      <c r="AG36" s="12" t="s">
        <v>364</v>
      </c>
      <c r="AH36" s="12"/>
      <c r="AI36" s="12" t="s">
        <v>609</v>
      </c>
      <c r="AJ36" s="12" t="s">
        <v>624</v>
      </c>
      <c r="AK36" s="12" t="s">
        <v>498</v>
      </c>
      <c r="AL36" s="12" t="s">
        <v>42</v>
      </c>
      <c r="AM36" s="21" t="s">
        <v>693</v>
      </c>
      <c r="AN36" s="17"/>
      <c r="AO36" s="17"/>
      <c r="AP36" s="25" t="s">
        <v>979</v>
      </c>
      <c r="AQ36" s="25" t="s">
        <v>980</v>
      </c>
      <c r="AR36" s="25" t="s">
        <v>980</v>
      </c>
      <c r="AS36" s="23">
        <f t="shared" si="0"/>
        <v>129</v>
      </c>
      <c r="AT36" s="25" t="s">
        <v>924</v>
      </c>
      <c r="AU36" s="25" t="s">
        <v>981</v>
      </c>
      <c r="AV36" s="25" t="s">
        <v>982</v>
      </c>
      <c r="AW36" s="17" t="s">
        <v>983</v>
      </c>
      <c r="AX36" s="25"/>
      <c r="AY36" s="25"/>
      <c r="AZ36" s="25"/>
      <c r="BA36" s="25"/>
      <c r="BB36" s="25"/>
      <c r="BC36" s="17"/>
      <c r="BD36" s="17" t="s">
        <v>984</v>
      </c>
      <c r="BE36" s="25"/>
      <c r="BF36" s="25"/>
      <c r="BG36" s="25"/>
      <c r="BH36" s="25" t="s">
        <v>719</v>
      </c>
      <c r="BI36" s="25" t="s">
        <v>609</v>
      </c>
      <c r="BJ36" s="17" t="s">
        <v>720</v>
      </c>
      <c r="BK36" s="25" t="s">
        <v>797</v>
      </c>
      <c r="BL36" s="17"/>
      <c r="BM36" s="21" t="s">
        <v>985</v>
      </c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" t="s">
        <v>1135</v>
      </c>
    </row>
    <row r="37" spans="1:86" ht="12" customHeight="1" x14ac:dyDescent="0.2">
      <c r="A37" s="11" t="s">
        <v>574</v>
      </c>
      <c r="B37" s="12" t="s">
        <v>587</v>
      </c>
      <c r="C37" s="12" t="s">
        <v>611</v>
      </c>
      <c r="D37" s="17" t="s">
        <v>626</v>
      </c>
      <c r="E37" s="12" t="s">
        <v>611</v>
      </c>
      <c r="F37" s="17" t="s">
        <v>628</v>
      </c>
      <c r="G37" s="13" t="s">
        <v>121</v>
      </c>
      <c r="H37" s="12"/>
      <c r="I37" s="12"/>
      <c r="J37" s="12"/>
      <c r="K37" s="12"/>
      <c r="L37" s="12"/>
      <c r="M37" s="12"/>
      <c r="N37" s="12"/>
      <c r="O37" s="12"/>
      <c r="P37" s="12"/>
      <c r="Q37" s="12">
        <v>83</v>
      </c>
      <c r="R37" s="12">
        <v>61</v>
      </c>
      <c r="S37" s="12" t="s">
        <v>343</v>
      </c>
      <c r="T37" s="12"/>
      <c r="U37" s="12"/>
      <c r="V37" s="12" t="s">
        <v>56</v>
      </c>
      <c r="W37" s="18" t="s">
        <v>649</v>
      </c>
      <c r="X37" s="12" t="s">
        <v>88</v>
      </c>
      <c r="Y37" s="12" t="s">
        <v>88</v>
      </c>
      <c r="Z37" s="17" t="s">
        <v>88</v>
      </c>
      <c r="AA37" s="12" t="s">
        <v>56</v>
      </c>
      <c r="AB37" s="12" t="s">
        <v>88</v>
      </c>
      <c r="AC37" s="14" t="s">
        <v>88</v>
      </c>
      <c r="AD37" s="12" t="s">
        <v>172</v>
      </c>
      <c r="AE37" s="12" t="s">
        <v>92</v>
      </c>
      <c r="AF37" s="12" t="s">
        <v>236</v>
      </c>
      <c r="AG37" s="12"/>
      <c r="AH37" s="12"/>
      <c r="AI37" s="12"/>
      <c r="AJ37" s="12"/>
      <c r="AK37" s="12"/>
      <c r="AL37" s="12" t="s">
        <v>468</v>
      </c>
      <c r="AM37" s="21" t="s">
        <v>694</v>
      </c>
      <c r="AN37" s="17"/>
      <c r="AO37" s="17"/>
      <c r="AP37" s="17" t="s">
        <v>986</v>
      </c>
      <c r="AQ37" s="17" t="s">
        <v>987</v>
      </c>
      <c r="AR37" s="17" t="s">
        <v>987</v>
      </c>
      <c r="AS37" s="23">
        <f t="shared" si="0"/>
        <v>52</v>
      </c>
      <c r="AT37" s="17" t="s">
        <v>988</v>
      </c>
      <c r="AU37" s="17" t="s">
        <v>989</v>
      </c>
      <c r="AV37" s="17" t="s">
        <v>990</v>
      </c>
      <c r="AW37" s="17"/>
      <c r="AX37" s="17"/>
      <c r="AY37" s="17" t="s">
        <v>991</v>
      </c>
      <c r="AZ37" s="17" t="s">
        <v>992</v>
      </c>
      <c r="BA37" s="17"/>
      <c r="BB37" s="17"/>
      <c r="BC37" s="17"/>
      <c r="BD37" s="17" t="s">
        <v>993</v>
      </c>
      <c r="BE37" s="17"/>
      <c r="BF37" s="17"/>
      <c r="BG37" s="17"/>
      <c r="BH37" s="17"/>
      <c r="BI37" s="17"/>
      <c r="BJ37" s="17"/>
      <c r="BK37" s="17"/>
      <c r="BL37" s="17"/>
      <c r="BM37" s="17" t="s">
        <v>728</v>
      </c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" t="s">
        <v>1135</v>
      </c>
    </row>
    <row r="38" spans="1:86" ht="12" customHeight="1" x14ac:dyDescent="0.2">
      <c r="A38" s="11" t="s">
        <v>574</v>
      </c>
      <c r="B38" s="12" t="s">
        <v>587</v>
      </c>
      <c r="C38" s="12" t="s">
        <v>611</v>
      </c>
      <c r="D38" s="17" t="s">
        <v>626</v>
      </c>
      <c r="E38" s="12" t="s">
        <v>611</v>
      </c>
      <c r="F38" s="17" t="s">
        <v>628</v>
      </c>
      <c r="G38" s="13" t="s">
        <v>121</v>
      </c>
      <c r="H38" s="12"/>
      <c r="I38" s="12"/>
      <c r="J38" s="12"/>
      <c r="K38" s="12"/>
      <c r="L38" s="12"/>
      <c r="M38" s="12"/>
      <c r="N38" s="12"/>
      <c r="O38" s="12"/>
      <c r="P38" s="12"/>
      <c r="Q38" s="12">
        <v>84</v>
      </c>
      <c r="R38" s="12">
        <v>62</v>
      </c>
      <c r="S38" s="12" t="s">
        <v>138</v>
      </c>
      <c r="T38" s="12"/>
      <c r="U38" s="12"/>
      <c r="V38" s="12" t="s">
        <v>56</v>
      </c>
      <c r="W38" s="18" t="s">
        <v>649</v>
      </c>
      <c r="X38" s="12" t="s">
        <v>543</v>
      </c>
      <c r="Y38" s="12" t="s">
        <v>543</v>
      </c>
      <c r="Z38" s="17" t="s">
        <v>543</v>
      </c>
      <c r="AA38" s="12" t="s">
        <v>56</v>
      </c>
      <c r="AB38" s="12" t="s">
        <v>543</v>
      </c>
      <c r="AC38" s="14" t="s">
        <v>543</v>
      </c>
      <c r="AD38" s="12" t="s">
        <v>381</v>
      </c>
      <c r="AE38" s="12" t="s">
        <v>32</v>
      </c>
      <c r="AF38" s="12" t="s">
        <v>18</v>
      </c>
      <c r="AG38" s="12"/>
      <c r="AH38" s="12"/>
      <c r="AI38" s="12"/>
      <c r="AJ38" s="12" t="s">
        <v>509</v>
      </c>
      <c r="AK38" s="12" t="s">
        <v>274</v>
      </c>
      <c r="AL38" s="12" t="s">
        <v>239</v>
      </c>
      <c r="AM38" s="21" t="s">
        <v>695</v>
      </c>
      <c r="AN38" s="28" t="s">
        <v>737</v>
      </c>
      <c r="AO38" s="26" t="s">
        <v>738</v>
      </c>
      <c r="AP38" s="17" t="s">
        <v>994</v>
      </c>
      <c r="AQ38" s="17" t="s">
        <v>995</v>
      </c>
      <c r="AR38" s="17" t="s">
        <v>995</v>
      </c>
      <c r="AS38" s="23">
        <f t="shared" si="0"/>
        <v>33</v>
      </c>
      <c r="AT38" s="17" t="s">
        <v>996</v>
      </c>
      <c r="AU38" s="17" t="s">
        <v>997</v>
      </c>
      <c r="AV38" s="17" t="s">
        <v>998</v>
      </c>
      <c r="AW38" s="17"/>
      <c r="AX38" s="17"/>
      <c r="AY38" s="17" t="s">
        <v>999</v>
      </c>
      <c r="AZ38" s="17"/>
      <c r="BA38" s="17"/>
      <c r="BB38" s="17"/>
      <c r="BC38" s="17"/>
      <c r="BD38" s="17"/>
      <c r="BE38" s="17" t="s">
        <v>1000</v>
      </c>
      <c r="BF38" s="17"/>
      <c r="BG38" s="17"/>
      <c r="BH38" s="17"/>
      <c r="BI38" s="17"/>
      <c r="BJ38" s="17"/>
      <c r="BK38" s="17"/>
      <c r="BL38" s="17"/>
      <c r="BM38" s="17" t="s">
        <v>728</v>
      </c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" t="s">
        <v>1135</v>
      </c>
    </row>
    <row r="39" spans="1:86" ht="12" customHeight="1" x14ac:dyDescent="0.2">
      <c r="A39" s="11" t="s">
        <v>574</v>
      </c>
      <c r="B39" s="12" t="s">
        <v>587</v>
      </c>
      <c r="C39" s="12" t="s">
        <v>611</v>
      </c>
      <c r="D39" s="17" t="s">
        <v>627</v>
      </c>
      <c r="E39" s="12" t="s">
        <v>611</v>
      </c>
      <c r="F39" s="17" t="s">
        <v>628</v>
      </c>
      <c r="G39" s="13" t="s">
        <v>121</v>
      </c>
      <c r="H39" s="12"/>
      <c r="I39" s="12"/>
      <c r="J39" s="12"/>
      <c r="K39" s="12"/>
      <c r="L39" s="12"/>
      <c r="M39" s="12"/>
      <c r="N39" s="12"/>
      <c r="O39" s="12"/>
      <c r="P39" s="12"/>
      <c r="Q39" s="12">
        <v>53</v>
      </c>
      <c r="R39" s="12">
        <v>65</v>
      </c>
      <c r="S39" s="12" t="s">
        <v>486</v>
      </c>
      <c r="T39" s="12" t="s">
        <v>110</v>
      </c>
      <c r="U39" s="12" t="s">
        <v>469</v>
      </c>
      <c r="V39" s="12" t="s">
        <v>507</v>
      </c>
      <c r="W39" s="18" t="s">
        <v>650</v>
      </c>
      <c r="X39" s="12" t="s">
        <v>267</v>
      </c>
      <c r="Y39" s="12" t="s">
        <v>267</v>
      </c>
      <c r="Z39" s="17" t="s">
        <v>267</v>
      </c>
      <c r="AA39" s="12" t="s">
        <v>507</v>
      </c>
      <c r="AB39" s="12" t="s">
        <v>267</v>
      </c>
      <c r="AC39" s="14" t="s">
        <v>267</v>
      </c>
      <c r="AD39" s="12" t="s">
        <v>94</v>
      </c>
      <c r="AE39" s="12" t="s">
        <v>621</v>
      </c>
      <c r="AF39" s="12" t="s">
        <v>179</v>
      </c>
      <c r="AG39" s="12" t="s">
        <v>179</v>
      </c>
      <c r="AH39" s="12" t="s">
        <v>379</v>
      </c>
      <c r="AI39" s="12"/>
      <c r="AJ39" s="12" t="s">
        <v>208</v>
      </c>
      <c r="AK39" s="12" t="s">
        <v>226</v>
      </c>
      <c r="AL39" s="12" t="s">
        <v>597</v>
      </c>
      <c r="AM39" s="21" t="s">
        <v>696</v>
      </c>
      <c r="AN39" s="17"/>
      <c r="AO39" s="17"/>
      <c r="AP39" s="25" t="s">
        <v>1001</v>
      </c>
      <c r="AQ39" s="25" t="s">
        <v>1002</v>
      </c>
      <c r="AR39" s="25" t="s">
        <v>1002</v>
      </c>
      <c r="AS39" s="23">
        <f t="shared" si="0"/>
        <v>56</v>
      </c>
      <c r="AT39" s="25" t="s">
        <v>1003</v>
      </c>
      <c r="AU39" s="25" t="s">
        <v>844</v>
      </c>
      <c r="AV39" s="25"/>
      <c r="AW39" s="25"/>
      <c r="AX39" s="25"/>
      <c r="AY39" s="25" t="s">
        <v>1004</v>
      </c>
      <c r="AZ39" s="25"/>
      <c r="BA39" s="25"/>
      <c r="BB39" s="25"/>
      <c r="BC39" s="25"/>
      <c r="BD39" s="25" t="s">
        <v>1005</v>
      </c>
      <c r="BE39" s="25"/>
      <c r="BF39" s="25"/>
      <c r="BG39" s="25"/>
      <c r="BH39" s="25" t="s">
        <v>825</v>
      </c>
      <c r="BI39" s="25"/>
      <c r="BJ39" s="17" t="s">
        <v>756</v>
      </c>
      <c r="BK39" s="17"/>
      <c r="BL39" s="17"/>
      <c r="BM39" s="24" t="s">
        <v>1006</v>
      </c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" t="s">
        <v>1135</v>
      </c>
    </row>
    <row r="40" spans="1:86" ht="12" customHeight="1" x14ac:dyDescent="0.2">
      <c r="A40" s="11" t="s">
        <v>574</v>
      </c>
      <c r="B40" s="12" t="s">
        <v>587</v>
      </c>
      <c r="C40" s="12" t="s">
        <v>611</v>
      </c>
      <c r="D40" s="17" t="s">
        <v>625</v>
      </c>
      <c r="E40" s="12" t="s">
        <v>611</v>
      </c>
      <c r="F40" s="17" t="s">
        <v>628</v>
      </c>
      <c r="G40" s="13" t="s">
        <v>121</v>
      </c>
      <c r="H40" s="12"/>
      <c r="I40" s="12"/>
      <c r="J40" s="12"/>
      <c r="K40" s="12"/>
      <c r="L40" s="12"/>
      <c r="M40" s="12"/>
      <c r="N40" s="12"/>
      <c r="O40" s="12"/>
      <c r="P40" s="12"/>
      <c r="Q40" s="12">
        <v>64</v>
      </c>
      <c r="R40" s="12">
        <v>63</v>
      </c>
      <c r="S40" s="12" t="s">
        <v>251</v>
      </c>
      <c r="T40" s="12"/>
      <c r="U40" s="12"/>
      <c r="V40" s="12" t="s">
        <v>507</v>
      </c>
      <c r="W40" s="18" t="s">
        <v>650</v>
      </c>
      <c r="X40" s="12" t="s">
        <v>478</v>
      </c>
      <c r="Y40" s="12" t="s">
        <v>220</v>
      </c>
      <c r="Z40" s="17" t="s">
        <v>478</v>
      </c>
      <c r="AA40" s="12" t="s">
        <v>507</v>
      </c>
      <c r="AB40" s="12" t="s">
        <v>478</v>
      </c>
      <c r="AC40" s="14" t="s">
        <v>220</v>
      </c>
      <c r="AD40" s="12" t="s">
        <v>9</v>
      </c>
      <c r="AE40" s="12" t="s">
        <v>316</v>
      </c>
      <c r="AF40" s="12"/>
      <c r="AG40" s="12"/>
      <c r="AH40" s="12"/>
      <c r="AI40" s="12"/>
      <c r="AJ40" s="12"/>
      <c r="AK40" s="12"/>
      <c r="AL40" s="12" t="s">
        <v>417</v>
      </c>
      <c r="AM40" s="21" t="s">
        <v>697</v>
      </c>
      <c r="AN40" s="17"/>
      <c r="AO40" s="17"/>
      <c r="AP40" s="17" t="s">
        <v>1007</v>
      </c>
      <c r="AQ40" s="17" t="s">
        <v>1008</v>
      </c>
      <c r="AR40" s="17" t="s">
        <v>1008</v>
      </c>
      <c r="AS40" s="23">
        <f t="shared" si="0"/>
        <v>73</v>
      </c>
      <c r="AT40" s="17" t="s">
        <v>887</v>
      </c>
      <c r="AU40" s="17" t="s">
        <v>1009</v>
      </c>
      <c r="AV40" s="17"/>
      <c r="AW40" s="17"/>
      <c r="AX40" s="17"/>
      <c r="AY40" s="17" t="s">
        <v>1010</v>
      </c>
      <c r="AZ40" s="17"/>
      <c r="BA40" s="17"/>
      <c r="BB40" s="17"/>
      <c r="BC40" s="17"/>
      <c r="BD40" s="17" t="s">
        <v>1011</v>
      </c>
      <c r="BE40" s="17"/>
      <c r="BF40" s="17"/>
      <c r="BG40" s="17"/>
      <c r="BH40" s="17"/>
      <c r="BI40" s="17" t="s">
        <v>1012</v>
      </c>
      <c r="BJ40" s="17"/>
      <c r="BK40" s="17"/>
      <c r="BL40" s="17"/>
      <c r="BM40" s="17" t="s">
        <v>1013</v>
      </c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" t="s">
        <v>1135</v>
      </c>
    </row>
    <row r="41" spans="1:86" ht="12" customHeight="1" x14ac:dyDescent="0.2">
      <c r="A41" s="11" t="s">
        <v>574</v>
      </c>
      <c r="B41" s="12" t="s">
        <v>587</v>
      </c>
      <c r="C41" s="12" t="s">
        <v>611</v>
      </c>
      <c r="D41" s="17" t="s">
        <v>626</v>
      </c>
      <c r="E41" s="12" t="s">
        <v>611</v>
      </c>
      <c r="F41" s="17" t="s">
        <v>629</v>
      </c>
      <c r="G41" s="13" t="s">
        <v>121</v>
      </c>
      <c r="H41" s="12"/>
      <c r="I41" s="12"/>
      <c r="J41" s="12"/>
      <c r="K41" s="12"/>
      <c r="L41" s="12"/>
      <c r="M41" s="12"/>
      <c r="N41" s="12"/>
      <c r="O41" s="12"/>
      <c r="P41" s="12"/>
      <c r="Q41" s="12">
        <v>76</v>
      </c>
      <c r="R41" s="12">
        <v>66</v>
      </c>
      <c r="S41" s="12" t="s">
        <v>357</v>
      </c>
      <c r="T41" s="12"/>
      <c r="U41" s="12"/>
      <c r="V41" s="12" t="s">
        <v>535</v>
      </c>
      <c r="W41" s="19" t="s">
        <v>651</v>
      </c>
      <c r="X41" s="12" t="s">
        <v>225</v>
      </c>
      <c r="Y41" s="12" t="s">
        <v>190</v>
      </c>
      <c r="Z41" s="17" t="s">
        <v>225</v>
      </c>
      <c r="AA41" s="15" t="s">
        <v>141</v>
      </c>
      <c r="AB41" s="12" t="s">
        <v>225</v>
      </c>
      <c r="AC41" s="14" t="s">
        <v>190</v>
      </c>
      <c r="AD41" s="12" t="s">
        <v>365</v>
      </c>
      <c r="AE41" s="12" t="s">
        <v>99</v>
      </c>
      <c r="AF41" s="12"/>
      <c r="AG41" s="12"/>
      <c r="AH41" s="12"/>
      <c r="AI41" s="12"/>
      <c r="AJ41" s="12"/>
      <c r="AK41" s="12"/>
      <c r="AL41" s="12" t="s">
        <v>531</v>
      </c>
      <c r="AM41" s="21" t="s">
        <v>698</v>
      </c>
      <c r="AN41" s="17"/>
      <c r="AO41" s="17"/>
      <c r="AP41" s="17" t="s">
        <v>1014</v>
      </c>
      <c r="AQ41" s="17" t="s">
        <v>1015</v>
      </c>
      <c r="AR41" s="17" t="s">
        <v>1015</v>
      </c>
      <c r="AS41" s="23">
        <f t="shared" si="0"/>
        <v>47</v>
      </c>
      <c r="AT41" s="17" t="s">
        <v>1016</v>
      </c>
      <c r="AU41" s="17" t="s">
        <v>1017</v>
      </c>
      <c r="AV41" s="17"/>
      <c r="AW41" s="17"/>
      <c r="AX41" s="17"/>
      <c r="AY41" s="17"/>
      <c r="AZ41" s="17"/>
      <c r="BA41" s="17"/>
      <c r="BB41" s="17"/>
      <c r="BC41" s="17"/>
      <c r="BD41" s="17" t="s">
        <v>1018</v>
      </c>
      <c r="BE41" s="17"/>
      <c r="BF41" s="17"/>
      <c r="BG41" s="17"/>
      <c r="BH41" s="17"/>
      <c r="BI41" s="17"/>
      <c r="BJ41" s="17"/>
      <c r="BK41" s="17"/>
      <c r="BL41" s="17"/>
      <c r="BM41" s="17" t="s">
        <v>728</v>
      </c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" t="s">
        <v>1135</v>
      </c>
    </row>
    <row r="42" spans="1:86" ht="12" customHeight="1" x14ac:dyDescent="0.2">
      <c r="A42" s="11" t="s">
        <v>574</v>
      </c>
      <c r="B42" s="12" t="s">
        <v>587</v>
      </c>
      <c r="C42" s="12" t="s">
        <v>611</v>
      </c>
      <c r="D42" s="17" t="s">
        <v>626</v>
      </c>
      <c r="E42" s="12" t="s">
        <v>611</v>
      </c>
      <c r="F42" s="17" t="s">
        <v>628</v>
      </c>
      <c r="G42" s="13" t="s">
        <v>121</v>
      </c>
      <c r="H42" s="12"/>
      <c r="I42" s="12"/>
      <c r="J42" s="12"/>
      <c r="K42" s="12"/>
      <c r="L42" s="12"/>
      <c r="M42" s="12"/>
      <c r="N42" s="12"/>
      <c r="O42" s="12"/>
      <c r="P42" s="12"/>
      <c r="Q42" s="12">
        <v>86</v>
      </c>
      <c r="R42" s="12">
        <v>67</v>
      </c>
      <c r="S42" s="12" t="s">
        <v>451</v>
      </c>
      <c r="T42" s="12"/>
      <c r="U42" s="12"/>
      <c r="V42" s="12" t="s">
        <v>518</v>
      </c>
      <c r="W42" s="19" t="s">
        <v>652</v>
      </c>
      <c r="X42" s="12" t="s">
        <v>382</v>
      </c>
      <c r="Y42" s="12" t="s">
        <v>508</v>
      </c>
      <c r="Z42" s="17" t="s">
        <v>382</v>
      </c>
      <c r="AA42" s="12" t="s">
        <v>518</v>
      </c>
      <c r="AB42" s="12" t="s">
        <v>382</v>
      </c>
      <c r="AC42" s="14" t="s">
        <v>508</v>
      </c>
      <c r="AD42" s="12" t="s">
        <v>184</v>
      </c>
      <c r="AE42" s="12" t="s">
        <v>148</v>
      </c>
      <c r="AF42" s="12"/>
      <c r="AG42" s="12"/>
      <c r="AH42" s="12"/>
      <c r="AI42" s="12"/>
      <c r="AJ42" s="12"/>
      <c r="AK42" s="12"/>
      <c r="AL42" s="12" t="s">
        <v>582</v>
      </c>
      <c r="AM42" s="21" t="s">
        <v>688</v>
      </c>
      <c r="AN42" s="28" t="s">
        <v>737</v>
      </c>
      <c r="AO42" s="26" t="s">
        <v>738</v>
      </c>
      <c r="AP42" s="17" t="s">
        <v>1019</v>
      </c>
      <c r="AQ42" s="17" t="s">
        <v>1020</v>
      </c>
      <c r="AR42" s="17" t="s">
        <v>1020</v>
      </c>
      <c r="AS42" s="23">
        <f t="shared" si="0"/>
        <v>39</v>
      </c>
      <c r="AT42" s="17" t="s">
        <v>930</v>
      </c>
      <c r="AU42" s="17" t="s">
        <v>742</v>
      </c>
      <c r="AV42" s="17" t="s">
        <v>1021</v>
      </c>
      <c r="AW42" s="17"/>
      <c r="AX42" s="17"/>
      <c r="AY42" s="17" t="s">
        <v>1022</v>
      </c>
      <c r="AZ42" s="17"/>
      <c r="BA42" s="17"/>
      <c r="BB42" s="17"/>
      <c r="BC42" s="17"/>
      <c r="BD42" s="17" t="s">
        <v>1023</v>
      </c>
      <c r="BE42" s="17"/>
      <c r="BF42" s="17"/>
      <c r="BG42" s="17"/>
      <c r="BH42" s="17"/>
      <c r="BI42" s="17"/>
      <c r="BJ42" s="17"/>
      <c r="BK42" s="17"/>
      <c r="BL42" s="17"/>
      <c r="BM42" s="17" t="s">
        <v>728</v>
      </c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" t="s">
        <v>1135</v>
      </c>
    </row>
    <row r="43" spans="1:86" ht="12" customHeight="1" x14ac:dyDescent="0.2">
      <c r="A43" s="11" t="s">
        <v>574</v>
      </c>
      <c r="B43" s="12" t="s">
        <v>587</v>
      </c>
      <c r="C43" s="12" t="s">
        <v>611</v>
      </c>
      <c r="D43" s="17" t="s">
        <v>626</v>
      </c>
      <c r="E43" s="12" t="s">
        <v>611</v>
      </c>
      <c r="F43" s="17" t="s">
        <v>628</v>
      </c>
      <c r="G43" s="13" t="s">
        <v>121</v>
      </c>
      <c r="H43" s="12"/>
      <c r="I43" s="12"/>
      <c r="J43" s="12"/>
      <c r="K43" s="12"/>
      <c r="L43" s="12"/>
      <c r="M43" s="12"/>
      <c r="N43" s="12"/>
      <c r="O43" s="12"/>
      <c r="P43" s="12"/>
      <c r="Q43" s="12">
        <v>77</v>
      </c>
      <c r="R43" s="12">
        <v>64</v>
      </c>
      <c r="S43" s="12" t="s">
        <v>490</v>
      </c>
      <c r="T43" s="12"/>
      <c r="U43" s="12"/>
      <c r="V43" s="12" t="s">
        <v>78</v>
      </c>
      <c r="W43" s="18" t="s">
        <v>653</v>
      </c>
      <c r="X43" s="12" t="s">
        <v>530</v>
      </c>
      <c r="Y43" s="12" t="s">
        <v>530</v>
      </c>
      <c r="Z43" s="17" t="s">
        <v>530</v>
      </c>
      <c r="AA43" s="12" t="s">
        <v>78</v>
      </c>
      <c r="AB43" s="12" t="s">
        <v>530</v>
      </c>
      <c r="AC43" s="14" t="s">
        <v>530</v>
      </c>
      <c r="AD43" s="12" t="s">
        <v>295</v>
      </c>
      <c r="AE43" s="12" t="s">
        <v>413</v>
      </c>
      <c r="AF43" s="12" t="s">
        <v>261</v>
      </c>
      <c r="AG43" s="12"/>
      <c r="AH43" s="12"/>
      <c r="AI43" s="12"/>
      <c r="AJ43" s="12"/>
      <c r="AK43" s="12"/>
      <c r="AL43" s="12" t="s">
        <v>421</v>
      </c>
      <c r="AM43" s="21" t="s">
        <v>699</v>
      </c>
      <c r="AN43" s="21" t="s">
        <v>1024</v>
      </c>
      <c r="AO43" s="26" t="s">
        <v>1025</v>
      </c>
      <c r="AP43" s="17" t="s">
        <v>1026</v>
      </c>
      <c r="AQ43" s="17" t="s">
        <v>1027</v>
      </c>
      <c r="AR43" s="17" t="s">
        <v>1027</v>
      </c>
      <c r="AS43" s="23">
        <f t="shared" si="0"/>
        <v>92</v>
      </c>
      <c r="AT43" s="17" t="s">
        <v>887</v>
      </c>
      <c r="AU43" s="20" t="s">
        <v>1028</v>
      </c>
      <c r="AV43" s="17"/>
      <c r="AW43" s="17"/>
      <c r="AX43" s="17"/>
      <c r="AY43" s="17" t="s">
        <v>1029</v>
      </c>
      <c r="AZ43" s="17"/>
      <c r="BA43" s="17"/>
      <c r="BB43" s="17"/>
      <c r="BC43" s="17"/>
      <c r="BD43" s="17" t="s">
        <v>1030</v>
      </c>
      <c r="BE43" s="17"/>
      <c r="BF43" s="17"/>
      <c r="BG43" s="17"/>
      <c r="BH43" s="17"/>
      <c r="BI43" s="17" t="s">
        <v>1031</v>
      </c>
      <c r="BJ43" s="17"/>
      <c r="BK43" s="17"/>
      <c r="BL43" s="17" t="s">
        <v>1032</v>
      </c>
      <c r="BM43" s="17" t="s">
        <v>728</v>
      </c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" t="s">
        <v>1135</v>
      </c>
    </row>
    <row r="44" spans="1:86" ht="12" customHeight="1" x14ac:dyDescent="0.2">
      <c r="A44" s="11" t="s">
        <v>574</v>
      </c>
      <c r="B44" s="12" t="s">
        <v>587</v>
      </c>
      <c r="C44" s="12" t="s">
        <v>611</v>
      </c>
      <c r="D44" s="17" t="s">
        <v>625</v>
      </c>
      <c r="E44" s="12" t="s">
        <v>611</v>
      </c>
      <c r="F44" s="17" t="s">
        <v>628</v>
      </c>
      <c r="G44" s="13" t="s">
        <v>121</v>
      </c>
      <c r="H44" s="12"/>
      <c r="I44" s="12"/>
      <c r="J44" s="12"/>
      <c r="K44" s="12"/>
      <c r="L44" s="12"/>
      <c r="M44" s="12"/>
      <c r="N44" s="12"/>
      <c r="O44" s="12"/>
      <c r="P44" s="12"/>
      <c r="Q44" s="12">
        <v>59</v>
      </c>
      <c r="R44" s="12">
        <v>74</v>
      </c>
      <c r="S44" s="12" t="s">
        <v>161</v>
      </c>
      <c r="T44" s="12"/>
      <c r="U44" s="12"/>
      <c r="V44" s="12" t="s">
        <v>200</v>
      </c>
      <c r="W44" s="18" t="s">
        <v>654</v>
      </c>
      <c r="X44" s="12" t="s">
        <v>617</v>
      </c>
      <c r="Y44" s="12" t="s">
        <v>617</v>
      </c>
      <c r="Z44" s="17" t="s">
        <v>617</v>
      </c>
      <c r="AA44" s="12" t="s">
        <v>200</v>
      </c>
      <c r="AB44" s="12" t="s">
        <v>617</v>
      </c>
      <c r="AC44" s="14" t="s">
        <v>617</v>
      </c>
      <c r="AD44" s="12" t="s">
        <v>402</v>
      </c>
      <c r="AE44" s="12" t="s">
        <v>145</v>
      </c>
      <c r="AF44" s="12" t="s">
        <v>298</v>
      </c>
      <c r="AG44" s="12" t="s">
        <v>453</v>
      </c>
      <c r="AH44" s="12"/>
      <c r="AI44" s="12" t="s">
        <v>111</v>
      </c>
      <c r="AJ44" s="12" t="s">
        <v>102</v>
      </c>
      <c r="AK44" s="12" t="s">
        <v>444</v>
      </c>
      <c r="AL44" s="12" t="s">
        <v>476</v>
      </c>
      <c r="AM44" s="21" t="s">
        <v>700</v>
      </c>
      <c r="AN44" s="24" t="s">
        <v>1033</v>
      </c>
      <c r="AO44" s="26" t="s">
        <v>1034</v>
      </c>
      <c r="AP44" s="25" t="s">
        <v>1035</v>
      </c>
      <c r="AQ44" s="25" t="s">
        <v>1036</v>
      </c>
      <c r="AR44" s="25" t="s">
        <v>1036</v>
      </c>
      <c r="AS44" s="23">
        <f t="shared" si="0"/>
        <v>111</v>
      </c>
      <c r="AT44" s="25" t="s">
        <v>1037</v>
      </c>
      <c r="AU44" s="25" t="s">
        <v>1038</v>
      </c>
      <c r="AV44" s="25"/>
      <c r="AW44" s="25" t="s">
        <v>960</v>
      </c>
      <c r="AX44" s="25"/>
      <c r="AY44" s="25"/>
      <c r="AZ44" s="25"/>
      <c r="BA44" s="25"/>
      <c r="BB44" s="25"/>
      <c r="BC44" s="25" t="s">
        <v>1039</v>
      </c>
      <c r="BD44" s="25" t="s">
        <v>1040</v>
      </c>
      <c r="BE44" s="25" t="s">
        <v>1041</v>
      </c>
      <c r="BF44" s="25"/>
      <c r="BG44" s="25"/>
      <c r="BH44" s="25"/>
      <c r="BI44" s="25" t="s">
        <v>1042</v>
      </c>
      <c r="BJ44" s="17" t="s">
        <v>720</v>
      </c>
      <c r="BK44" s="17"/>
      <c r="BL44" s="17" t="s">
        <v>1043</v>
      </c>
      <c r="BM44" s="21" t="s">
        <v>1044</v>
      </c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" t="s">
        <v>1135</v>
      </c>
    </row>
    <row r="45" spans="1:86" ht="12" customHeight="1" x14ac:dyDescent="0.2">
      <c r="A45" s="11" t="s">
        <v>574</v>
      </c>
      <c r="B45" s="12" t="s">
        <v>587</v>
      </c>
      <c r="C45" s="12" t="s">
        <v>611</v>
      </c>
      <c r="D45" s="17" t="s">
        <v>625</v>
      </c>
      <c r="E45" s="12" t="s">
        <v>611</v>
      </c>
      <c r="F45" s="17" t="s">
        <v>631</v>
      </c>
      <c r="G45" s="13" t="s">
        <v>121</v>
      </c>
      <c r="H45" s="12"/>
      <c r="I45" s="12"/>
      <c r="J45" s="12"/>
      <c r="K45" s="12"/>
      <c r="L45" s="12"/>
      <c r="M45" s="12"/>
      <c r="N45" s="12"/>
      <c r="O45" s="12"/>
      <c r="P45" s="12"/>
      <c r="Q45" s="12">
        <v>94</v>
      </c>
      <c r="R45" s="12">
        <v>94</v>
      </c>
      <c r="S45" s="12" t="s">
        <v>524</v>
      </c>
      <c r="T45" s="12"/>
      <c r="U45" s="12"/>
      <c r="V45" s="12" t="s">
        <v>238</v>
      </c>
      <c r="W45" s="18" t="s">
        <v>655</v>
      </c>
      <c r="X45" s="12" t="s">
        <v>514</v>
      </c>
      <c r="Y45" s="12" t="s">
        <v>475</v>
      </c>
      <c r="Z45" s="17" t="s">
        <v>514</v>
      </c>
      <c r="AA45" s="12" t="s">
        <v>517</v>
      </c>
      <c r="AB45" s="12" t="s">
        <v>514</v>
      </c>
      <c r="AC45" s="14" t="s">
        <v>475</v>
      </c>
      <c r="AD45" s="12" t="s">
        <v>595</v>
      </c>
      <c r="AE45" s="12" t="s">
        <v>133</v>
      </c>
      <c r="AF45" s="12"/>
      <c r="AG45" s="12"/>
      <c r="AH45" s="12"/>
      <c r="AI45" s="12"/>
      <c r="AJ45" s="12"/>
      <c r="AK45" s="12"/>
      <c r="AL45" s="12" t="s">
        <v>182</v>
      </c>
      <c r="AM45" s="21" t="s">
        <v>701</v>
      </c>
      <c r="AN45" s="17"/>
      <c r="AO45" s="17"/>
      <c r="AP45" s="17" t="s">
        <v>1045</v>
      </c>
      <c r="AQ45" s="17" t="s">
        <v>1046</v>
      </c>
      <c r="AR45" s="17" t="s">
        <v>1046</v>
      </c>
      <c r="AS45" s="23">
        <f t="shared" si="0"/>
        <v>63</v>
      </c>
      <c r="AT45" s="17" t="s">
        <v>1047</v>
      </c>
      <c r="AU45" s="17" t="s">
        <v>1048</v>
      </c>
      <c r="AV45" s="17" t="s">
        <v>1049</v>
      </c>
      <c r="AW45" s="17"/>
      <c r="AX45" s="17"/>
      <c r="AY45" s="17"/>
      <c r="AZ45" s="17"/>
      <c r="BA45" s="17"/>
      <c r="BB45" s="17"/>
      <c r="BC45" s="17"/>
      <c r="BD45" s="17" t="s">
        <v>1050</v>
      </c>
      <c r="BE45" s="17"/>
      <c r="BF45" s="17"/>
      <c r="BG45" s="17"/>
      <c r="BH45" s="17"/>
      <c r="BI45" s="17" t="s">
        <v>1051</v>
      </c>
      <c r="BJ45" s="17"/>
      <c r="BK45" s="17"/>
      <c r="BL45" s="17" t="s">
        <v>1052</v>
      </c>
      <c r="BM45" s="17" t="s">
        <v>1053</v>
      </c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" t="s">
        <v>1135</v>
      </c>
    </row>
    <row r="46" spans="1:86" ht="12" customHeight="1" x14ac:dyDescent="0.2">
      <c r="A46" s="11" t="s">
        <v>574</v>
      </c>
      <c r="B46" s="12" t="s">
        <v>587</v>
      </c>
      <c r="C46" s="12" t="s">
        <v>611</v>
      </c>
      <c r="D46" s="17" t="s">
        <v>625</v>
      </c>
      <c r="E46" s="12" t="s">
        <v>611</v>
      </c>
      <c r="F46" s="17" t="s">
        <v>629</v>
      </c>
      <c r="G46" s="13" t="s">
        <v>121</v>
      </c>
      <c r="H46" s="12"/>
      <c r="I46" s="12"/>
      <c r="J46" s="12"/>
      <c r="K46" s="12"/>
      <c r="L46" s="12"/>
      <c r="M46" s="12"/>
      <c r="N46" s="12"/>
      <c r="O46" s="12"/>
      <c r="P46" s="12"/>
      <c r="Q46" s="12">
        <v>74</v>
      </c>
      <c r="R46" s="12">
        <v>80</v>
      </c>
      <c r="S46" s="12" t="s">
        <v>209</v>
      </c>
      <c r="T46" s="12"/>
      <c r="U46" s="12"/>
      <c r="V46" s="12" t="s">
        <v>163</v>
      </c>
      <c r="W46" s="19" t="s">
        <v>656</v>
      </c>
      <c r="X46" s="12" t="s">
        <v>485</v>
      </c>
      <c r="Y46" s="12" t="s">
        <v>534</v>
      </c>
      <c r="Z46" s="17" t="s">
        <v>485</v>
      </c>
      <c r="AA46" s="15" t="s">
        <v>217</v>
      </c>
      <c r="AB46" s="12" t="s">
        <v>485</v>
      </c>
      <c r="AC46" s="14" t="s">
        <v>534</v>
      </c>
      <c r="AD46" s="12" t="s">
        <v>30</v>
      </c>
      <c r="AE46" s="12" t="s">
        <v>473</v>
      </c>
      <c r="AF46" s="12"/>
      <c r="AG46" s="12"/>
      <c r="AH46" s="12"/>
      <c r="AI46" s="12"/>
      <c r="AJ46" s="12"/>
      <c r="AK46" s="12"/>
      <c r="AL46" s="12" t="s">
        <v>224</v>
      </c>
      <c r="AM46" s="21" t="s">
        <v>702</v>
      </c>
      <c r="AN46" s="17"/>
      <c r="AO46" s="17"/>
      <c r="AP46" s="17" t="s">
        <v>1054</v>
      </c>
      <c r="AQ46" s="17" t="s">
        <v>1055</v>
      </c>
      <c r="AR46" s="17" t="s">
        <v>1055</v>
      </c>
      <c r="AS46" s="23">
        <f t="shared" si="0"/>
        <v>68</v>
      </c>
      <c r="AT46" s="17" t="s">
        <v>1056</v>
      </c>
      <c r="AU46" s="17" t="s">
        <v>1057</v>
      </c>
      <c r="AV46" s="17"/>
      <c r="AW46" s="17"/>
      <c r="AX46" s="17"/>
      <c r="AY46" s="17" t="s">
        <v>1058</v>
      </c>
      <c r="AZ46" s="17"/>
      <c r="BA46" s="17"/>
      <c r="BB46" s="17"/>
      <c r="BC46" s="17"/>
      <c r="BD46" s="17" t="s">
        <v>1059</v>
      </c>
      <c r="BE46" s="17"/>
      <c r="BF46" s="17"/>
      <c r="BG46" s="17"/>
      <c r="BH46" s="17" t="s">
        <v>825</v>
      </c>
      <c r="BI46" s="17"/>
      <c r="BJ46" s="17" t="s">
        <v>756</v>
      </c>
      <c r="BK46" s="17"/>
      <c r="BL46" s="17"/>
      <c r="BM46" s="17" t="s">
        <v>1060</v>
      </c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" t="s">
        <v>1135</v>
      </c>
    </row>
    <row r="47" spans="1:86" ht="12" customHeight="1" x14ac:dyDescent="0.2">
      <c r="A47" s="11" t="s">
        <v>574</v>
      </c>
      <c r="B47" s="12" t="s">
        <v>587</v>
      </c>
      <c r="C47" s="12" t="s">
        <v>611</v>
      </c>
      <c r="D47" s="17" t="s">
        <v>625</v>
      </c>
      <c r="E47" s="12" t="s">
        <v>611</v>
      </c>
      <c r="F47" s="17" t="s">
        <v>632</v>
      </c>
      <c r="G47" s="13" t="s">
        <v>121</v>
      </c>
      <c r="H47" s="12"/>
      <c r="I47" s="12"/>
      <c r="J47" s="12"/>
      <c r="K47" s="12"/>
      <c r="L47" s="12"/>
      <c r="M47" s="12"/>
      <c r="N47" s="12"/>
      <c r="O47" s="12"/>
      <c r="P47" s="12"/>
      <c r="Q47" s="12">
        <v>93</v>
      </c>
      <c r="R47" s="12">
        <v>87</v>
      </c>
      <c r="S47" s="12" t="s">
        <v>557</v>
      </c>
      <c r="T47" s="12"/>
      <c r="U47" s="12"/>
      <c r="V47" s="12" t="s">
        <v>372</v>
      </c>
      <c r="W47" s="18" t="s">
        <v>657</v>
      </c>
      <c r="X47" s="12" t="s">
        <v>391</v>
      </c>
      <c r="Y47" s="12" t="s">
        <v>497</v>
      </c>
      <c r="Z47" s="17" t="s">
        <v>391</v>
      </c>
      <c r="AA47" s="12" t="s">
        <v>372</v>
      </c>
      <c r="AB47" s="12" t="s">
        <v>391</v>
      </c>
      <c r="AC47" s="14" t="s">
        <v>497</v>
      </c>
      <c r="AD47" s="12" t="s">
        <v>158</v>
      </c>
      <c r="AE47" s="12" t="s">
        <v>81</v>
      </c>
      <c r="AF47" s="12" t="s">
        <v>98</v>
      </c>
      <c r="AG47" s="12"/>
      <c r="AH47" s="12"/>
      <c r="AI47" s="12"/>
      <c r="AJ47" s="12" t="s">
        <v>262</v>
      </c>
      <c r="AK47" s="12" t="s">
        <v>275</v>
      </c>
      <c r="AL47" s="12" t="s">
        <v>242</v>
      </c>
      <c r="AM47" s="21" t="s">
        <v>703</v>
      </c>
      <c r="AN47" s="17"/>
      <c r="AO47" s="17"/>
      <c r="AP47" s="25" t="s">
        <v>1061</v>
      </c>
      <c r="AQ47" s="25" t="s">
        <v>1062</v>
      </c>
      <c r="AR47" s="25" t="s">
        <v>1062</v>
      </c>
      <c r="AS47" s="23">
        <f t="shared" si="0"/>
        <v>47</v>
      </c>
      <c r="AT47" s="25" t="s">
        <v>1063</v>
      </c>
      <c r="AU47" s="25" t="s">
        <v>1064</v>
      </c>
      <c r="AV47" s="25"/>
      <c r="AW47" s="25"/>
      <c r="AX47" s="25"/>
      <c r="AY47" s="25"/>
      <c r="AZ47" s="25"/>
      <c r="BA47" s="25" t="s">
        <v>1065</v>
      </c>
      <c r="BB47" s="25"/>
      <c r="BC47" s="17"/>
      <c r="BD47" s="25" t="s">
        <v>1066</v>
      </c>
      <c r="BE47" s="25"/>
      <c r="BF47" s="25"/>
      <c r="BG47" s="25"/>
      <c r="BH47" s="25"/>
      <c r="BI47" s="25"/>
      <c r="BJ47" s="17"/>
      <c r="BK47" s="17"/>
      <c r="BL47" s="17" t="s">
        <v>1067</v>
      </c>
      <c r="BM47" s="21" t="s">
        <v>1068</v>
      </c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" t="s">
        <v>1135</v>
      </c>
    </row>
    <row r="48" spans="1:86" ht="12" customHeight="1" x14ac:dyDescent="0.2">
      <c r="A48" s="11" t="s">
        <v>574</v>
      </c>
      <c r="B48" s="12" t="s">
        <v>587</v>
      </c>
      <c r="C48" s="12" t="s">
        <v>611</v>
      </c>
      <c r="D48" s="17" t="s">
        <v>627</v>
      </c>
      <c r="E48" s="12" t="s">
        <v>611</v>
      </c>
      <c r="F48" s="17" t="s">
        <v>628</v>
      </c>
      <c r="G48" s="13" t="s">
        <v>121</v>
      </c>
      <c r="H48" s="12"/>
      <c r="I48" s="12"/>
      <c r="J48" s="12"/>
      <c r="K48" s="12"/>
      <c r="L48" s="12"/>
      <c r="M48" s="12"/>
      <c r="N48" s="12"/>
      <c r="O48" s="12"/>
      <c r="P48" s="12"/>
      <c r="Q48" s="12">
        <v>11</v>
      </c>
      <c r="R48" s="12">
        <v>85</v>
      </c>
      <c r="S48" s="12" t="s">
        <v>253</v>
      </c>
      <c r="T48" s="12" t="s">
        <v>110</v>
      </c>
      <c r="U48" s="12" t="s">
        <v>82</v>
      </c>
      <c r="V48" s="12" t="s">
        <v>35</v>
      </c>
      <c r="W48" s="18" t="s">
        <v>658</v>
      </c>
      <c r="X48" s="12" t="s">
        <v>433</v>
      </c>
      <c r="Y48" s="12" t="s">
        <v>393</v>
      </c>
      <c r="Z48" s="17" t="s">
        <v>433</v>
      </c>
      <c r="AA48" s="12" t="s">
        <v>35</v>
      </c>
      <c r="AB48" s="12" t="s">
        <v>433</v>
      </c>
      <c r="AC48" s="14" t="s">
        <v>393</v>
      </c>
      <c r="AD48" s="12" t="s">
        <v>39</v>
      </c>
      <c r="AE48" s="12" t="s">
        <v>51</v>
      </c>
      <c r="AF48" s="12" t="s">
        <v>294</v>
      </c>
      <c r="AG48" s="12"/>
      <c r="AH48" s="12"/>
      <c r="AI48" s="12" t="s">
        <v>622</v>
      </c>
      <c r="AJ48" s="12"/>
      <c r="AK48" s="12"/>
      <c r="AL48" s="12" t="s">
        <v>250</v>
      </c>
      <c r="AM48" s="21" t="s">
        <v>688</v>
      </c>
      <c r="AN48" s="28" t="s">
        <v>737</v>
      </c>
      <c r="AO48" s="26" t="s">
        <v>738</v>
      </c>
      <c r="AP48" s="17" t="s">
        <v>1069</v>
      </c>
      <c r="AQ48" s="17" t="s">
        <v>1070</v>
      </c>
      <c r="AR48" s="17" t="s">
        <v>1070</v>
      </c>
      <c r="AS48" s="23">
        <f t="shared" si="0"/>
        <v>53</v>
      </c>
      <c r="AT48" s="17" t="s">
        <v>930</v>
      </c>
      <c r="AU48" s="17" t="s">
        <v>742</v>
      </c>
      <c r="AV48" s="17"/>
      <c r="AW48" s="17"/>
      <c r="AX48" s="17"/>
      <c r="AY48" s="17" t="s">
        <v>1071</v>
      </c>
      <c r="AZ48" s="17"/>
      <c r="BA48" s="17"/>
      <c r="BB48" s="17"/>
      <c r="BC48" s="17"/>
      <c r="BD48" s="25" t="s">
        <v>1072</v>
      </c>
      <c r="BE48" s="17"/>
      <c r="BF48" s="17"/>
      <c r="BG48" s="17"/>
      <c r="BH48" s="17" t="s">
        <v>719</v>
      </c>
      <c r="BI48" s="17" t="s">
        <v>622</v>
      </c>
      <c r="BJ48" s="17" t="s">
        <v>756</v>
      </c>
      <c r="BK48" s="17"/>
      <c r="BL48" s="17"/>
      <c r="BM48" s="17" t="s">
        <v>1073</v>
      </c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" t="s">
        <v>1135</v>
      </c>
    </row>
    <row r="49" spans="1:86" ht="12" customHeight="1" x14ac:dyDescent="0.2">
      <c r="A49" s="11" t="s">
        <v>574</v>
      </c>
      <c r="B49" s="12" t="s">
        <v>587</v>
      </c>
      <c r="C49" s="12" t="s">
        <v>611</v>
      </c>
      <c r="D49" s="17" t="s">
        <v>627</v>
      </c>
      <c r="E49" s="12" t="s">
        <v>611</v>
      </c>
      <c r="F49" s="17" t="s">
        <v>628</v>
      </c>
      <c r="G49" s="13" t="s">
        <v>121</v>
      </c>
      <c r="H49" s="12"/>
      <c r="I49" s="12"/>
      <c r="J49" s="12"/>
      <c r="K49" s="12"/>
      <c r="L49" s="12"/>
      <c r="M49" s="12"/>
      <c r="N49" s="12"/>
      <c r="O49" s="12"/>
      <c r="P49" s="12"/>
      <c r="Q49" s="12">
        <v>12</v>
      </c>
      <c r="R49" s="12">
        <v>86</v>
      </c>
      <c r="S49" s="12" t="s">
        <v>128</v>
      </c>
      <c r="T49" s="12" t="s">
        <v>110</v>
      </c>
      <c r="U49" s="12" t="s">
        <v>461</v>
      </c>
      <c r="V49" s="12" t="s">
        <v>35</v>
      </c>
      <c r="W49" s="18" t="s">
        <v>658</v>
      </c>
      <c r="X49" s="12" t="s">
        <v>488</v>
      </c>
      <c r="Y49" s="12" t="s">
        <v>278</v>
      </c>
      <c r="Z49" s="17" t="s">
        <v>488</v>
      </c>
      <c r="AA49" s="12" t="s">
        <v>35</v>
      </c>
      <c r="AB49" s="12" t="s">
        <v>488</v>
      </c>
      <c r="AC49" s="14" t="s">
        <v>278</v>
      </c>
      <c r="AD49" s="12" t="s">
        <v>335</v>
      </c>
      <c r="AE49" s="12" t="s">
        <v>577</v>
      </c>
      <c r="AF49" s="12" t="s">
        <v>470</v>
      </c>
      <c r="AG49" s="12"/>
      <c r="AH49" s="12"/>
      <c r="AI49" s="12" t="s">
        <v>622</v>
      </c>
      <c r="AJ49" s="12" t="s">
        <v>197</v>
      </c>
      <c r="AK49" s="12" t="s">
        <v>49</v>
      </c>
      <c r="AL49" s="12" t="s">
        <v>243</v>
      </c>
      <c r="AM49" s="21" t="s">
        <v>704</v>
      </c>
      <c r="AN49" s="17"/>
      <c r="AO49" s="17"/>
      <c r="AP49" s="17" t="s">
        <v>1074</v>
      </c>
      <c r="AQ49" s="17" t="s">
        <v>1075</v>
      </c>
      <c r="AR49" s="17" t="s">
        <v>1075</v>
      </c>
      <c r="AS49" s="23">
        <f t="shared" si="0"/>
        <v>45</v>
      </c>
      <c r="AT49" s="17" t="s">
        <v>989</v>
      </c>
      <c r="AU49" s="17" t="s">
        <v>725</v>
      </c>
      <c r="AV49" s="17"/>
      <c r="AW49" s="17"/>
      <c r="AX49" s="17"/>
      <c r="AY49" s="17" t="s">
        <v>1076</v>
      </c>
      <c r="AZ49" s="17"/>
      <c r="BA49" s="17"/>
      <c r="BB49" s="17"/>
      <c r="BC49" s="17"/>
      <c r="BD49" s="17"/>
      <c r="BE49" s="17"/>
      <c r="BF49" s="17"/>
      <c r="BG49" s="17"/>
      <c r="BH49" s="17" t="s">
        <v>719</v>
      </c>
      <c r="BI49" s="17" t="s">
        <v>622</v>
      </c>
      <c r="BJ49" s="17" t="s">
        <v>756</v>
      </c>
      <c r="BK49" s="17"/>
      <c r="BL49" s="17"/>
      <c r="BM49" s="17" t="s">
        <v>1077</v>
      </c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" t="s">
        <v>1135</v>
      </c>
    </row>
    <row r="50" spans="1:86" ht="12" customHeight="1" x14ac:dyDescent="0.2">
      <c r="A50" s="11" t="s">
        <v>574</v>
      </c>
      <c r="B50" s="12" t="s">
        <v>587</v>
      </c>
      <c r="C50" s="12" t="s">
        <v>611</v>
      </c>
      <c r="D50" s="17" t="s">
        <v>625</v>
      </c>
      <c r="E50" s="12" t="s">
        <v>611</v>
      </c>
      <c r="F50" s="17" t="s">
        <v>628</v>
      </c>
      <c r="G50" s="13" t="s">
        <v>121</v>
      </c>
      <c r="H50" s="12"/>
      <c r="I50" s="12"/>
      <c r="J50" s="12"/>
      <c r="K50" s="12"/>
      <c r="L50" s="12"/>
      <c r="M50" s="12"/>
      <c r="N50" s="12"/>
      <c r="O50" s="12"/>
      <c r="P50" s="12"/>
      <c r="Q50" s="12">
        <v>51</v>
      </c>
      <c r="R50" s="12">
        <v>51</v>
      </c>
      <c r="S50" s="12" t="s">
        <v>142</v>
      </c>
      <c r="T50" s="12"/>
      <c r="U50" s="12"/>
      <c r="V50" s="12" t="s">
        <v>484</v>
      </c>
      <c r="W50" s="18" t="s">
        <v>659</v>
      </c>
      <c r="X50" s="12" t="s">
        <v>296</v>
      </c>
      <c r="Y50" s="12" t="s">
        <v>296</v>
      </c>
      <c r="Z50" s="17" t="s">
        <v>296</v>
      </c>
      <c r="AA50" s="12" t="s">
        <v>20</v>
      </c>
      <c r="AB50" s="12" t="s">
        <v>296</v>
      </c>
      <c r="AC50" s="14" t="s">
        <v>296</v>
      </c>
      <c r="AD50" s="12" t="s">
        <v>608</v>
      </c>
      <c r="AE50" s="12" t="s">
        <v>216</v>
      </c>
      <c r="AF50" s="12" t="s">
        <v>565</v>
      </c>
      <c r="AG50" s="12" t="s">
        <v>620</v>
      </c>
      <c r="AH50" s="12"/>
      <c r="AI50" s="12" t="s">
        <v>118</v>
      </c>
      <c r="AJ50" s="12" t="s">
        <v>395</v>
      </c>
      <c r="AK50" s="12" t="s">
        <v>371</v>
      </c>
      <c r="AL50" s="12" t="s">
        <v>324</v>
      </c>
      <c r="AM50" s="21" t="s">
        <v>705</v>
      </c>
      <c r="AN50" s="17"/>
      <c r="AO50" s="17"/>
      <c r="AP50" s="17" t="s">
        <v>1078</v>
      </c>
      <c r="AQ50" s="17" t="s">
        <v>1079</v>
      </c>
      <c r="AR50" s="17" t="s">
        <v>1079</v>
      </c>
      <c r="AS50" s="23">
        <f t="shared" si="0"/>
        <v>152</v>
      </c>
      <c r="AT50" s="17" t="s">
        <v>760</v>
      </c>
      <c r="AU50" s="17" t="s">
        <v>895</v>
      </c>
      <c r="AV50" s="17" t="s">
        <v>1080</v>
      </c>
      <c r="AW50" s="17"/>
      <c r="AX50" s="17"/>
      <c r="AY50" s="17" t="s">
        <v>1081</v>
      </c>
      <c r="AZ50" s="17"/>
      <c r="BA50" s="17"/>
      <c r="BB50" s="17"/>
      <c r="BC50" s="17"/>
      <c r="BD50" s="17" t="s">
        <v>1082</v>
      </c>
      <c r="BE50" s="17"/>
      <c r="BF50" s="17"/>
      <c r="BG50" s="17"/>
      <c r="BH50" s="17"/>
      <c r="BI50" s="17" t="s">
        <v>1083</v>
      </c>
      <c r="BJ50" s="17"/>
      <c r="BK50" s="17"/>
      <c r="BL50" s="17"/>
      <c r="BM50" s="29" t="s">
        <v>1084</v>
      </c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" t="s">
        <v>1135</v>
      </c>
    </row>
    <row r="51" spans="1:86" ht="12" customHeight="1" x14ac:dyDescent="0.2">
      <c r="A51" s="11" t="s">
        <v>574</v>
      </c>
      <c r="B51" s="12" t="s">
        <v>587</v>
      </c>
      <c r="C51" s="12" t="s">
        <v>611</v>
      </c>
      <c r="D51" s="17" t="s">
        <v>625</v>
      </c>
      <c r="E51" s="12" t="s">
        <v>611</v>
      </c>
      <c r="F51" s="17" t="s">
        <v>628</v>
      </c>
      <c r="G51" s="13" t="s">
        <v>121</v>
      </c>
      <c r="H51" s="12"/>
      <c r="I51" s="12"/>
      <c r="J51" s="12"/>
      <c r="K51" s="12"/>
      <c r="L51" s="12"/>
      <c r="M51" s="12"/>
      <c r="N51" s="12"/>
      <c r="O51" s="12"/>
      <c r="P51" s="12"/>
      <c r="Q51" s="12">
        <v>16</v>
      </c>
      <c r="R51" s="12">
        <v>93</v>
      </c>
      <c r="S51" s="12" t="s">
        <v>467</v>
      </c>
      <c r="T51" s="12" t="s">
        <v>110</v>
      </c>
      <c r="U51" s="12" t="s">
        <v>602</v>
      </c>
      <c r="V51" s="12" t="s">
        <v>11</v>
      </c>
      <c r="W51" s="18" t="s">
        <v>660</v>
      </c>
      <c r="X51" s="12" t="s">
        <v>337</v>
      </c>
      <c r="Y51" s="12" t="s">
        <v>549</v>
      </c>
      <c r="Z51" s="17" t="s">
        <v>337</v>
      </c>
      <c r="AA51" s="16" t="s">
        <v>11</v>
      </c>
      <c r="AB51" s="12" t="s">
        <v>337</v>
      </c>
      <c r="AC51" s="14" t="s">
        <v>57</v>
      </c>
      <c r="AD51" s="12" t="s">
        <v>457</v>
      </c>
      <c r="AE51" s="12" t="s">
        <v>283</v>
      </c>
      <c r="AF51" s="12" t="s">
        <v>68</v>
      </c>
      <c r="AG51" s="12" t="s">
        <v>616</v>
      </c>
      <c r="AH51" s="12"/>
      <c r="AI51" s="12"/>
      <c r="AJ51" s="12" t="s">
        <v>610</v>
      </c>
      <c r="AK51" s="12" t="s">
        <v>185</v>
      </c>
      <c r="AL51" s="12" t="s">
        <v>126</v>
      </c>
      <c r="AM51" s="21" t="s">
        <v>706</v>
      </c>
      <c r="AN51" s="17"/>
      <c r="AO51" s="17"/>
      <c r="AP51" s="17" t="s">
        <v>1085</v>
      </c>
      <c r="AQ51" s="17" t="s">
        <v>1086</v>
      </c>
      <c r="AR51" s="17" t="s">
        <v>1086</v>
      </c>
      <c r="AS51" s="23">
        <f t="shared" si="0"/>
        <v>127</v>
      </c>
      <c r="AT51" s="17" t="s">
        <v>1087</v>
      </c>
      <c r="AU51" s="17" t="s">
        <v>1088</v>
      </c>
      <c r="AV51" s="17" t="s">
        <v>1089</v>
      </c>
      <c r="AW51" s="17"/>
      <c r="AX51" s="17"/>
      <c r="AY51" s="17"/>
      <c r="AZ51" s="17"/>
      <c r="BA51" s="17"/>
      <c r="BB51" s="17"/>
      <c r="BC51" s="17"/>
      <c r="BD51" s="17" t="s">
        <v>1090</v>
      </c>
      <c r="BE51" s="17"/>
      <c r="BF51" s="17"/>
      <c r="BG51" s="17"/>
      <c r="BH51" s="17" t="s">
        <v>719</v>
      </c>
      <c r="BI51" s="17" t="s">
        <v>1091</v>
      </c>
      <c r="BJ51" s="17" t="s">
        <v>756</v>
      </c>
      <c r="BK51" s="17" t="s">
        <v>964</v>
      </c>
      <c r="BL51" s="17"/>
      <c r="BM51" s="17" t="s">
        <v>1092</v>
      </c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" t="s">
        <v>1135</v>
      </c>
    </row>
    <row r="52" spans="1:86" ht="12" customHeight="1" x14ac:dyDescent="0.2">
      <c r="A52" s="11" t="s">
        <v>574</v>
      </c>
      <c r="B52" s="12" t="s">
        <v>587</v>
      </c>
      <c r="C52" s="12" t="s">
        <v>611</v>
      </c>
      <c r="D52" s="17" t="s">
        <v>625</v>
      </c>
      <c r="E52" s="12" t="s">
        <v>611</v>
      </c>
      <c r="F52" s="17" t="s">
        <v>628</v>
      </c>
      <c r="G52" s="13" t="s">
        <v>121</v>
      </c>
      <c r="H52" s="12"/>
      <c r="I52" s="12"/>
      <c r="J52" s="12"/>
      <c r="K52" s="12"/>
      <c r="L52" s="12"/>
      <c r="M52" s="12"/>
      <c r="N52" s="12"/>
      <c r="O52" s="12"/>
      <c r="P52" s="12"/>
      <c r="Q52" s="12">
        <v>17</v>
      </c>
      <c r="R52" s="12">
        <v>89</v>
      </c>
      <c r="S52" s="12" t="s">
        <v>456</v>
      </c>
      <c r="T52" s="12" t="s">
        <v>110</v>
      </c>
      <c r="U52" s="12" t="s">
        <v>388</v>
      </c>
      <c r="V52" s="12" t="s">
        <v>11</v>
      </c>
      <c r="W52" s="18" t="s">
        <v>660</v>
      </c>
      <c r="X52" s="12" t="s">
        <v>281</v>
      </c>
      <c r="Y52" s="12" t="s">
        <v>479</v>
      </c>
      <c r="Z52" s="17" t="s">
        <v>281</v>
      </c>
      <c r="AA52" s="16" t="s">
        <v>11</v>
      </c>
      <c r="AB52" s="12" t="s">
        <v>281</v>
      </c>
      <c r="AC52" s="14" t="s">
        <v>494</v>
      </c>
      <c r="AD52" s="12" t="s">
        <v>569</v>
      </c>
      <c r="AE52" s="12" t="s">
        <v>614</v>
      </c>
      <c r="AF52" s="12" t="s">
        <v>618</v>
      </c>
      <c r="AG52" s="12" t="s">
        <v>378</v>
      </c>
      <c r="AH52" s="12"/>
      <c r="AI52" s="12" t="s">
        <v>489</v>
      </c>
      <c r="AJ52" s="12" t="s">
        <v>590</v>
      </c>
      <c r="AK52" s="12" t="s">
        <v>171</v>
      </c>
      <c r="AL52" s="12" t="s">
        <v>312</v>
      </c>
      <c r="AM52" s="21" t="s">
        <v>707</v>
      </c>
      <c r="AN52" s="17"/>
      <c r="AO52" s="17"/>
      <c r="AP52" s="22" t="s">
        <v>1093</v>
      </c>
      <c r="AQ52" s="22" t="s">
        <v>1094</v>
      </c>
      <c r="AR52" s="22" t="s">
        <v>1094</v>
      </c>
      <c r="AS52" s="23">
        <f t="shared" si="0"/>
        <v>46</v>
      </c>
      <c r="AT52" s="22" t="s">
        <v>1095</v>
      </c>
      <c r="AU52" s="22" t="s">
        <v>1096</v>
      </c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17" t="s">
        <v>719</v>
      </c>
      <c r="BI52" s="22" t="s">
        <v>489</v>
      </c>
      <c r="BJ52" s="17" t="s">
        <v>756</v>
      </c>
      <c r="BK52" s="17"/>
      <c r="BL52" s="17"/>
      <c r="BM52" s="24" t="s">
        <v>1097</v>
      </c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" t="s">
        <v>1135</v>
      </c>
    </row>
    <row r="53" spans="1:86" ht="12" customHeight="1" x14ac:dyDescent="0.2">
      <c r="A53" s="11" t="s">
        <v>574</v>
      </c>
      <c r="B53" s="12" t="s">
        <v>587</v>
      </c>
      <c r="C53" s="12" t="s">
        <v>611</v>
      </c>
      <c r="D53" s="17" t="s">
        <v>625</v>
      </c>
      <c r="E53" s="12" t="s">
        <v>611</v>
      </c>
      <c r="F53" s="17" t="s">
        <v>628</v>
      </c>
      <c r="G53" s="13" t="s">
        <v>121</v>
      </c>
      <c r="H53" s="12"/>
      <c r="I53" s="12"/>
      <c r="J53" s="12"/>
      <c r="K53" s="12"/>
      <c r="L53" s="12"/>
      <c r="M53" s="12"/>
      <c r="N53" s="12"/>
      <c r="O53" s="12"/>
      <c r="P53" s="12"/>
      <c r="Q53" s="12">
        <v>18</v>
      </c>
      <c r="R53" s="12">
        <v>90</v>
      </c>
      <c r="S53" s="12" t="s">
        <v>584</v>
      </c>
      <c r="T53" s="12" t="s">
        <v>110</v>
      </c>
      <c r="U53" s="12" t="s">
        <v>463</v>
      </c>
      <c r="V53" s="12" t="s">
        <v>11</v>
      </c>
      <c r="W53" s="18" t="s">
        <v>660</v>
      </c>
      <c r="X53" s="12" t="s">
        <v>154</v>
      </c>
      <c r="Y53" s="12" t="s">
        <v>132</v>
      </c>
      <c r="Z53" s="17" t="s">
        <v>154</v>
      </c>
      <c r="AA53" s="16" t="s">
        <v>11</v>
      </c>
      <c r="AB53" s="12" t="s">
        <v>154</v>
      </c>
      <c r="AC53" s="14" t="s">
        <v>52</v>
      </c>
      <c r="AD53" s="12" t="s">
        <v>572</v>
      </c>
      <c r="AE53" s="12" t="s">
        <v>394</v>
      </c>
      <c r="AF53" s="12" t="s">
        <v>360</v>
      </c>
      <c r="AG53" s="12" t="s">
        <v>249</v>
      </c>
      <c r="AH53" s="12"/>
      <c r="AI53" s="12" t="s">
        <v>489</v>
      </c>
      <c r="AJ53" s="12" t="s">
        <v>590</v>
      </c>
      <c r="AK53" s="12" t="s">
        <v>171</v>
      </c>
      <c r="AL53" s="12" t="s">
        <v>260</v>
      </c>
      <c r="AM53" s="21" t="s">
        <v>707</v>
      </c>
      <c r="AN53" s="17"/>
      <c r="AO53" s="17"/>
      <c r="AP53" s="22" t="s">
        <v>1098</v>
      </c>
      <c r="AQ53" s="22" t="s">
        <v>1099</v>
      </c>
      <c r="AR53" s="22" t="s">
        <v>1099</v>
      </c>
      <c r="AS53" s="23">
        <f t="shared" si="0"/>
        <v>65</v>
      </c>
      <c r="AT53" s="22" t="s">
        <v>1095</v>
      </c>
      <c r="AU53" s="22" t="s">
        <v>1096</v>
      </c>
      <c r="AV53" s="22"/>
      <c r="AW53" s="22"/>
      <c r="AX53" s="22"/>
      <c r="AY53" s="22"/>
      <c r="AZ53" s="22"/>
      <c r="BA53" s="22"/>
      <c r="BB53" s="22"/>
      <c r="BC53" s="22"/>
      <c r="BD53" s="22" t="s">
        <v>1100</v>
      </c>
      <c r="BE53" s="22"/>
      <c r="BF53" s="22"/>
      <c r="BG53" s="22"/>
      <c r="BH53" s="17" t="s">
        <v>719</v>
      </c>
      <c r="BI53" s="22" t="s">
        <v>489</v>
      </c>
      <c r="BJ53" s="17" t="s">
        <v>756</v>
      </c>
      <c r="BK53" s="17"/>
      <c r="BL53" s="17"/>
      <c r="BM53" s="24" t="s">
        <v>1097</v>
      </c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" t="s">
        <v>1135</v>
      </c>
    </row>
    <row r="54" spans="1:86" ht="12" customHeight="1" x14ac:dyDescent="0.2">
      <c r="A54" s="11" t="s">
        <v>574</v>
      </c>
      <c r="B54" s="12" t="s">
        <v>587</v>
      </c>
      <c r="C54" s="12" t="s">
        <v>611</v>
      </c>
      <c r="D54" s="17" t="s">
        <v>625</v>
      </c>
      <c r="E54" s="12" t="s">
        <v>611</v>
      </c>
      <c r="F54" s="17" t="s">
        <v>628</v>
      </c>
      <c r="G54" s="13" t="s">
        <v>121</v>
      </c>
      <c r="H54" s="12"/>
      <c r="I54" s="12"/>
      <c r="J54" s="12"/>
      <c r="K54" s="12"/>
      <c r="L54" s="12"/>
      <c r="M54" s="12"/>
      <c r="N54" s="12"/>
      <c r="O54" s="12"/>
      <c r="P54" s="12"/>
      <c r="Q54" s="12">
        <v>23</v>
      </c>
      <c r="R54" s="12">
        <v>92</v>
      </c>
      <c r="S54" s="12" t="s">
        <v>559</v>
      </c>
      <c r="T54" s="12" t="s">
        <v>110</v>
      </c>
      <c r="U54" s="12" t="s">
        <v>309</v>
      </c>
      <c r="V54" s="12" t="s">
        <v>11</v>
      </c>
      <c r="W54" s="18" t="s">
        <v>660</v>
      </c>
      <c r="X54" s="12" t="s">
        <v>568</v>
      </c>
      <c r="Y54" s="12" t="s">
        <v>218</v>
      </c>
      <c r="Z54" s="17" t="s">
        <v>568</v>
      </c>
      <c r="AA54" s="16" t="s">
        <v>11</v>
      </c>
      <c r="AB54" s="12" t="s">
        <v>568</v>
      </c>
      <c r="AC54" s="14" t="s">
        <v>218</v>
      </c>
      <c r="AD54" s="12" t="s">
        <v>544</v>
      </c>
      <c r="AE54" s="12" t="s">
        <v>150</v>
      </c>
      <c r="AF54" s="12" t="s">
        <v>143</v>
      </c>
      <c r="AG54" s="12" t="s">
        <v>143</v>
      </c>
      <c r="AH54" s="12"/>
      <c r="AI54" s="12" t="s">
        <v>581</v>
      </c>
      <c r="AJ54" s="12" t="s">
        <v>53</v>
      </c>
      <c r="AK54" s="12" t="s">
        <v>428</v>
      </c>
      <c r="AL54" s="12" t="s">
        <v>542</v>
      </c>
      <c r="AM54" s="21" t="s">
        <v>704</v>
      </c>
      <c r="AN54" s="17"/>
      <c r="AO54" s="17"/>
      <c r="AP54" s="17" t="s">
        <v>1101</v>
      </c>
      <c r="AQ54" s="17" t="s">
        <v>1102</v>
      </c>
      <c r="AR54" s="17" t="s">
        <v>1102</v>
      </c>
      <c r="AS54" s="23">
        <f t="shared" si="0"/>
        <v>118</v>
      </c>
      <c r="AT54" s="17" t="s">
        <v>989</v>
      </c>
      <c r="AU54" s="17" t="s">
        <v>725</v>
      </c>
      <c r="AV54" s="17" t="s">
        <v>1103</v>
      </c>
      <c r="AW54" s="17"/>
      <c r="AX54" s="17"/>
      <c r="AY54" s="17"/>
      <c r="AZ54" s="17"/>
      <c r="BA54" s="17"/>
      <c r="BB54" s="17"/>
      <c r="BC54" s="17"/>
      <c r="BD54" s="17" t="s">
        <v>1104</v>
      </c>
      <c r="BE54" s="17"/>
      <c r="BF54" s="17"/>
      <c r="BG54" s="17"/>
      <c r="BH54" s="17" t="s">
        <v>719</v>
      </c>
      <c r="BI54" s="17"/>
      <c r="BJ54" s="17" t="s">
        <v>756</v>
      </c>
      <c r="BK54" s="17"/>
      <c r="BL54" s="17"/>
      <c r="BM54" s="21" t="s">
        <v>1105</v>
      </c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" t="s">
        <v>1135</v>
      </c>
    </row>
    <row r="55" spans="1:86" ht="12" customHeight="1" x14ac:dyDescent="0.2">
      <c r="A55" s="11" t="s">
        <v>574</v>
      </c>
      <c r="B55" s="12" t="s">
        <v>587</v>
      </c>
      <c r="C55" s="12" t="s">
        <v>611</v>
      </c>
      <c r="D55" s="17" t="s">
        <v>625</v>
      </c>
      <c r="E55" s="12" t="s">
        <v>611</v>
      </c>
      <c r="F55" s="17" t="s">
        <v>628</v>
      </c>
      <c r="G55" s="13" t="s">
        <v>121</v>
      </c>
      <c r="H55" s="12"/>
      <c r="I55" s="12"/>
      <c r="J55" s="12"/>
      <c r="K55" s="12"/>
      <c r="L55" s="12"/>
      <c r="M55" s="12"/>
      <c r="N55" s="12"/>
      <c r="O55" s="12"/>
      <c r="P55" s="12"/>
      <c r="Q55" s="12">
        <v>24</v>
      </c>
      <c r="R55" s="12">
        <v>91</v>
      </c>
      <c r="S55" s="12" t="s">
        <v>201</v>
      </c>
      <c r="T55" s="12" t="s">
        <v>110</v>
      </c>
      <c r="U55" s="12" t="s">
        <v>385</v>
      </c>
      <c r="V55" s="12" t="s">
        <v>11</v>
      </c>
      <c r="W55" s="18" t="s">
        <v>660</v>
      </c>
      <c r="X55" s="12" t="s">
        <v>232</v>
      </c>
      <c r="Y55" s="12" t="s">
        <v>513</v>
      </c>
      <c r="Z55" s="17" t="s">
        <v>232</v>
      </c>
      <c r="AA55" s="12" t="s">
        <v>11</v>
      </c>
      <c r="AB55" s="12" t="s">
        <v>232</v>
      </c>
      <c r="AC55" s="14" t="s">
        <v>513</v>
      </c>
      <c r="AD55" s="12" t="s">
        <v>301</v>
      </c>
      <c r="AE55" s="12" t="s">
        <v>33</v>
      </c>
      <c r="AF55" s="12" t="s">
        <v>269</v>
      </c>
      <c r="AG55" s="12" t="s">
        <v>269</v>
      </c>
      <c r="AH55" s="12"/>
      <c r="AI55" s="12" t="s">
        <v>240</v>
      </c>
      <c r="AJ55" s="12" t="s">
        <v>438</v>
      </c>
      <c r="AK55" s="12" t="s">
        <v>529</v>
      </c>
      <c r="AL55" s="12" t="s">
        <v>127</v>
      </c>
      <c r="AM55" s="21" t="s">
        <v>670</v>
      </c>
      <c r="AN55" s="17"/>
      <c r="AO55" s="17"/>
      <c r="AP55" s="17" t="s">
        <v>1106</v>
      </c>
      <c r="AQ55" s="17" t="s">
        <v>1107</v>
      </c>
      <c r="AR55" s="17" t="s">
        <v>1107</v>
      </c>
      <c r="AS55" s="23">
        <f t="shared" si="0"/>
        <v>178</v>
      </c>
      <c r="AT55" s="17" t="s">
        <v>760</v>
      </c>
      <c r="AU55" s="17" t="s">
        <v>761</v>
      </c>
      <c r="AV55" s="17" t="s">
        <v>1108</v>
      </c>
      <c r="AW55" s="20" t="s">
        <v>1109</v>
      </c>
      <c r="AX55" s="17"/>
      <c r="AY55" s="17" t="s">
        <v>1110</v>
      </c>
      <c r="AZ55" s="17"/>
      <c r="BA55" s="17"/>
      <c r="BB55" s="17"/>
      <c r="BC55" s="17"/>
      <c r="BD55" s="17" t="s">
        <v>1111</v>
      </c>
      <c r="BE55" s="17" t="s">
        <v>824</v>
      </c>
      <c r="BF55" s="17"/>
      <c r="BG55" s="17"/>
      <c r="BH55" s="17" t="s">
        <v>719</v>
      </c>
      <c r="BI55" s="17" t="s">
        <v>240</v>
      </c>
      <c r="BJ55" s="17" t="s">
        <v>756</v>
      </c>
      <c r="BK55" s="17" t="s">
        <v>964</v>
      </c>
      <c r="BL55" s="17"/>
      <c r="BM55" s="17" t="s">
        <v>1112</v>
      </c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" t="s">
        <v>1135</v>
      </c>
    </row>
    <row r="56" spans="1:86" ht="12" customHeight="1" x14ac:dyDescent="0.2">
      <c r="A56" s="11" t="s">
        <v>574</v>
      </c>
      <c r="B56" s="12" t="s">
        <v>587</v>
      </c>
      <c r="C56" s="12" t="s">
        <v>611</v>
      </c>
      <c r="D56" s="17" t="s">
        <v>626</v>
      </c>
      <c r="E56" s="12" t="s">
        <v>611</v>
      </c>
      <c r="F56" s="17" t="s">
        <v>628</v>
      </c>
      <c r="G56" s="13" t="s">
        <v>121</v>
      </c>
      <c r="H56" s="12"/>
      <c r="I56" s="12"/>
      <c r="J56" s="12"/>
      <c r="K56" s="12"/>
      <c r="L56" s="12"/>
      <c r="M56" s="12"/>
      <c r="N56" s="12"/>
      <c r="O56" s="12"/>
      <c r="P56" s="12"/>
      <c r="Q56" s="12">
        <v>82</v>
      </c>
      <c r="R56" s="12">
        <v>95</v>
      </c>
      <c r="S56" s="12" t="s">
        <v>585</v>
      </c>
      <c r="T56" s="12"/>
      <c r="U56" s="12"/>
      <c r="V56" s="12" t="s">
        <v>288</v>
      </c>
      <c r="W56" s="19" t="s">
        <v>661</v>
      </c>
      <c r="X56" s="12" t="s">
        <v>65</v>
      </c>
      <c r="Y56" s="12" t="s">
        <v>113</v>
      </c>
      <c r="Z56" s="17" t="s">
        <v>65</v>
      </c>
      <c r="AA56" s="12" t="s">
        <v>228</v>
      </c>
      <c r="AB56" s="12" t="s">
        <v>65</v>
      </c>
      <c r="AC56" s="14" t="s">
        <v>113</v>
      </c>
      <c r="AD56" s="12" t="s">
        <v>15</v>
      </c>
      <c r="AE56" s="12" t="s">
        <v>596</v>
      </c>
      <c r="AF56" s="12"/>
      <c r="AG56" s="12"/>
      <c r="AH56" s="12"/>
      <c r="AI56" s="12"/>
      <c r="AJ56" s="12"/>
      <c r="AK56" s="12"/>
      <c r="AL56" s="12" t="s">
        <v>502</v>
      </c>
      <c r="AM56" s="21" t="s">
        <v>708</v>
      </c>
      <c r="AN56" s="21" t="s">
        <v>737</v>
      </c>
      <c r="AO56" s="26" t="s">
        <v>738</v>
      </c>
      <c r="AP56" s="20" t="s">
        <v>1113</v>
      </c>
      <c r="AQ56" s="25" t="s">
        <v>1114</v>
      </c>
      <c r="AR56" s="25" t="s">
        <v>1114</v>
      </c>
      <c r="AS56" s="23">
        <f t="shared" si="0"/>
        <v>40</v>
      </c>
      <c r="AT56" s="25" t="s">
        <v>1115</v>
      </c>
      <c r="AU56" s="25" t="s">
        <v>1116</v>
      </c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20" t="s">
        <v>1117</v>
      </c>
      <c r="BJ56" s="17"/>
      <c r="BK56" s="17"/>
      <c r="BL56" s="17"/>
      <c r="BM56" s="17" t="s">
        <v>728</v>
      </c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" t="s">
        <v>1135</v>
      </c>
    </row>
    <row r="57" spans="1:86" ht="12" customHeight="1" x14ac:dyDescent="0.2">
      <c r="A57" s="11" t="s">
        <v>574</v>
      </c>
      <c r="B57" s="12" t="s">
        <v>587</v>
      </c>
      <c r="C57" s="12" t="s">
        <v>611</v>
      </c>
      <c r="D57" s="17" t="s">
        <v>625</v>
      </c>
      <c r="E57" s="12" t="s">
        <v>611</v>
      </c>
      <c r="F57" s="17" t="s">
        <v>628</v>
      </c>
      <c r="G57" s="13" t="s">
        <v>121</v>
      </c>
      <c r="H57" s="12"/>
      <c r="I57" s="12"/>
      <c r="J57" s="12"/>
      <c r="K57" s="12"/>
      <c r="L57" s="12"/>
      <c r="M57" s="12"/>
      <c r="N57" s="12"/>
      <c r="O57" s="12"/>
      <c r="P57" s="12"/>
      <c r="Q57" s="12">
        <v>13</v>
      </c>
      <c r="R57" s="12">
        <v>96</v>
      </c>
      <c r="S57" s="12" t="s">
        <v>264</v>
      </c>
      <c r="T57" s="12"/>
      <c r="U57" s="12"/>
      <c r="V57" s="12" t="s">
        <v>2</v>
      </c>
      <c r="W57" s="18" t="s">
        <v>662</v>
      </c>
      <c r="X57" s="12" t="s">
        <v>410</v>
      </c>
      <c r="Y57" s="12" t="s">
        <v>604</v>
      </c>
      <c r="Z57" s="17" t="s">
        <v>410</v>
      </c>
      <c r="AA57" s="12" t="s">
        <v>481</v>
      </c>
      <c r="AB57" s="12" t="s">
        <v>410</v>
      </c>
      <c r="AC57" s="14" t="s">
        <v>604</v>
      </c>
      <c r="AD57" s="12" t="s">
        <v>263</v>
      </c>
      <c r="AE57" s="12" t="s">
        <v>300</v>
      </c>
      <c r="AF57" s="12" t="s">
        <v>0</v>
      </c>
      <c r="AG57" s="12" t="s">
        <v>95</v>
      </c>
      <c r="AH57" s="12" t="s">
        <v>117</v>
      </c>
      <c r="AI57" s="12"/>
      <c r="AJ57" s="12" t="s">
        <v>176</v>
      </c>
      <c r="AK57" s="12" t="s">
        <v>116</v>
      </c>
      <c r="AL57" s="12" t="s">
        <v>533</v>
      </c>
      <c r="AM57" s="21" t="s">
        <v>709</v>
      </c>
      <c r="AN57" s="17"/>
      <c r="AO57" s="17"/>
      <c r="AP57" s="17" t="s">
        <v>1118</v>
      </c>
      <c r="AQ57" s="17" t="s">
        <v>1119</v>
      </c>
      <c r="AR57" s="17" t="s">
        <v>1119</v>
      </c>
      <c r="AS57" s="23">
        <f t="shared" si="0"/>
        <v>98</v>
      </c>
      <c r="AT57" s="17" t="s">
        <v>1120</v>
      </c>
      <c r="AU57" s="17" t="s">
        <v>1121</v>
      </c>
      <c r="AV57" s="17" t="s">
        <v>1122</v>
      </c>
      <c r="AW57" s="17" t="s">
        <v>1123</v>
      </c>
      <c r="AX57" s="17"/>
      <c r="AY57" s="17"/>
      <c r="AZ57" s="17"/>
      <c r="BA57" s="17" t="s">
        <v>1124</v>
      </c>
      <c r="BB57" s="17"/>
      <c r="BC57" s="17"/>
      <c r="BD57" s="17" t="s">
        <v>1125</v>
      </c>
      <c r="BE57" s="17"/>
      <c r="BF57" s="17"/>
      <c r="BG57" s="17"/>
      <c r="BH57" s="17"/>
      <c r="BI57" s="17"/>
      <c r="BJ57" s="17" t="s">
        <v>720</v>
      </c>
      <c r="BK57" s="17" t="s">
        <v>797</v>
      </c>
      <c r="BL57" s="17" t="s">
        <v>1126</v>
      </c>
      <c r="BM57" s="17" t="s">
        <v>1127</v>
      </c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" t="s">
        <v>1135</v>
      </c>
    </row>
    <row r="58" spans="1:86" ht="12" customHeight="1" x14ac:dyDescent="0.2">
      <c r="A58" s="11" t="s">
        <v>574</v>
      </c>
      <c r="B58" s="12" t="s">
        <v>587</v>
      </c>
      <c r="C58" s="12" t="s">
        <v>611</v>
      </c>
      <c r="D58" s="17" t="s">
        <v>627</v>
      </c>
      <c r="E58" s="12" t="s">
        <v>611</v>
      </c>
      <c r="F58" s="17" t="s">
        <v>628</v>
      </c>
      <c r="G58" s="13" t="s">
        <v>121</v>
      </c>
      <c r="H58" s="12"/>
      <c r="I58" s="12"/>
      <c r="J58" s="12"/>
      <c r="K58" s="12"/>
      <c r="L58" s="12"/>
      <c r="M58" s="12"/>
      <c r="N58" s="12"/>
      <c r="O58" s="12"/>
      <c r="P58" s="12"/>
      <c r="Q58" s="12">
        <v>22</v>
      </c>
      <c r="R58" s="12">
        <v>97</v>
      </c>
      <c r="S58" s="12" t="s">
        <v>482</v>
      </c>
      <c r="T58" s="12"/>
      <c r="U58" s="12"/>
      <c r="V58" s="12" t="s">
        <v>89</v>
      </c>
      <c r="W58" s="19" t="s">
        <v>663</v>
      </c>
      <c r="X58" s="12" t="s">
        <v>321</v>
      </c>
      <c r="Y58" s="12" t="s">
        <v>367</v>
      </c>
      <c r="Z58" s="17" t="s">
        <v>321</v>
      </c>
      <c r="AA58" s="12" t="s">
        <v>89</v>
      </c>
      <c r="AB58" s="12" t="s">
        <v>321</v>
      </c>
      <c r="AC58" s="14" t="s">
        <v>367</v>
      </c>
      <c r="AD58" s="12" t="s">
        <v>125</v>
      </c>
      <c r="AE58" s="12" t="s">
        <v>256</v>
      </c>
      <c r="AF58" s="12"/>
      <c r="AG58" s="12"/>
      <c r="AH58" s="12"/>
      <c r="AI58" s="12"/>
      <c r="AJ58" s="12"/>
      <c r="AK58" s="12"/>
      <c r="AL58" s="12" t="s">
        <v>506</v>
      </c>
      <c r="AM58" s="21" t="s">
        <v>710</v>
      </c>
      <c r="AN58" s="17"/>
      <c r="AO58" s="17"/>
      <c r="AP58" s="20" t="s">
        <v>1128</v>
      </c>
      <c r="AQ58" s="17" t="s">
        <v>1129</v>
      </c>
      <c r="AR58" s="17" t="s">
        <v>1129</v>
      </c>
      <c r="AS58" s="23">
        <f t="shared" si="0"/>
        <v>66</v>
      </c>
      <c r="AT58" s="17" t="s">
        <v>1130</v>
      </c>
      <c r="AU58" s="17"/>
      <c r="AV58" s="17" t="s">
        <v>1131</v>
      </c>
      <c r="AW58" s="17"/>
      <c r="AX58" s="17"/>
      <c r="AY58" s="17"/>
      <c r="AZ58" s="17"/>
      <c r="BA58" s="17"/>
      <c r="BB58" s="17"/>
      <c r="BC58" s="17"/>
      <c r="BD58" s="17" t="s">
        <v>1132</v>
      </c>
      <c r="BE58" s="17"/>
      <c r="BF58" s="17"/>
      <c r="BG58" s="17"/>
      <c r="BH58" s="17"/>
      <c r="BI58" s="20" t="s">
        <v>1133</v>
      </c>
      <c r="BJ58" s="17"/>
      <c r="BK58" s="17"/>
      <c r="BL58" s="17"/>
      <c r="BM58" s="17" t="s">
        <v>1134</v>
      </c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" t="s">
        <v>1135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Aishwarya v Rao</cp:lastModifiedBy>
  <dcterms:created xsi:type="dcterms:W3CDTF">2013-06-26T05:33:36Z</dcterms:created>
  <dcterms:modified xsi:type="dcterms:W3CDTF">2023-08-09T15:44:02Z</dcterms:modified>
  <cp:category/>
</cp:coreProperties>
</file>