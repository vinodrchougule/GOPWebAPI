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Sheet1!$A$1:$AO$221</definedName>
  </definedNames>
  <calcPr calcId="162913"/>
  <webPublishing codePage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" i="1"/>
</calcChain>
</file>

<file path=xl/sharedStrings.xml><?xml version="1.0" encoding="utf-8"?>
<sst xmlns="http://schemas.openxmlformats.org/spreadsheetml/2006/main" count="4719" uniqueCount="1761">
  <si>
    <t>TRINEX48MGTABLETSJ3052970228701</t>
  </si>
  <si>
    <t>SPIMACO (Al Qassim Pharmaceutical Plant), SAUDI ARABIA</t>
  </si>
  <si>
    <t>TRIZOL-150 mg -Capsules-J30-5319-02357-01</t>
  </si>
  <si>
    <t>Pharmaceutical Solution Industries Ltd., SAUDI ARABIA</t>
  </si>
  <si>
    <t>TRESIBA-100 IU/ML -SOLUTION FOR INJECTION-J58-5275-02985-02</t>
  </si>
  <si>
    <t>SANDOZ</t>
  </si>
  <si>
    <t>I50-4980-05972-01</t>
  </si>
  <si>
    <t>N84-5239-04162-01</t>
  </si>
  <si>
    <t>TROMETHAMINE-0.3 M -Solution For Injection-G45-5321-05638-01</t>
  </si>
  <si>
    <t>CYANOCOBALAMIN + PYRIDOXINE + THIAMINE</t>
  </si>
  <si>
    <t>125MG</t>
  </si>
  <si>
    <t>TOPAMAX100MGTABLETSH0152280555701</t>
  </si>
  <si>
    <t>TOPAMAX 100 MG TABLET 60S</t>
  </si>
  <si>
    <t>TRODELVY-180 MG -LYOPHILIZED PREPARATION FOR SOLUTION FOR INTRAVENOUS INFUSION-V34-7970-07826-01</t>
  </si>
  <si>
    <t>N01-5248-00520-01</t>
  </si>
  <si>
    <t>TORLEVA-250 MG -TABLETS-N84-5237-03338-01</t>
  </si>
  <si>
    <t>H21-5280-01085-02</t>
  </si>
  <si>
    <t>Potential Duplicate Set - 1263</t>
  </si>
  <si>
    <t>O62-4980-05971-01</t>
  </si>
  <si>
    <t>TRITACE10MGTABLETSL9653110486301</t>
  </si>
  <si>
    <t>TRISENOX-1 mg/ml -Solution For Injection-D42-5307-00447-01</t>
  </si>
  <si>
    <t>TOULAKIDS-18.7 G/100ML -SYRUP-L15-8039-07906-01</t>
  </si>
  <si>
    <t>TRIHEXYPHENIDYL-2 MG -TABLETS-A11-5287-00625-01</t>
  </si>
  <si>
    <t>L81-5242-00520-01</t>
  </si>
  <si>
    <t>Potential Duplicate Set - 555</t>
  </si>
  <si>
    <t>SODIUM BICARBONATE-500 GM -POWDER FOR COMPOUNDING-N75-4864-05137-01</t>
  </si>
  <si>
    <t>TRIAXONE-1 g -Powder For Solution For Intravenous Injection-H21-5280-01081-01</t>
  </si>
  <si>
    <t>Direct.Pharmaceutical Drugs.Cardiovascular &amp; Hematopoietic System.Other Antihypertensives.BOSENTAN</t>
  </si>
  <si>
    <t>SUCRATEC1MGTABLETSJ2350090257003</t>
  </si>
  <si>
    <t>TRIUMEQ50MG600MG300MGTABLETSO3259690616801</t>
  </si>
  <si>
    <t>Actavis UK Limited, UNITED KINGDOM</t>
  </si>
  <si>
    <t>WYETH</t>
  </si>
  <si>
    <t>TRIMETHOPRIM50MG5MLORALSUSPENSIONJ8952920562601</t>
  </si>
  <si>
    <t>TRIODERM CARE-5 % -Nasal Spray-B59-5299-05036-01</t>
  </si>
  <si>
    <t>SUCROSE</t>
  </si>
  <si>
    <t>TOURNES25MGTABLETSG3359810508301</t>
  </si>
  <si>
    <t>27384</t>
  </si>
  <si>
    <t>Medisal Pharmaceuticals Industry LLC, U.A.E</t>
  </si>
  <si>
    <t>TADAZEV-20 MG -TABLETS-Q06-6339-05376-02</t>
  </si>
  <si>
    <t>TRIAXONE1GPOWDERFORSOLUTIONFORINTRAVENOUSINJECTIONH2152800108101</t>
  </si>
  <si>
    <t>1.25/A10-10MG 1.25MG 5MG</t>
  </si>
  <si>
    <t>TRANDATE100MGTABLETSB3152600324602</t>
  </si>
  <si>
    <t>30056</t>
  </si>
  <si>
    <t>Piramal Life Sciences Limited, INDIA</t>
  </si>
  <si>
    <t>TRIMETHOPRIM-50 MG/5ML -ORAL SUSPENSION-J89-5292-05626-01</t>
  </si>
  <si>
    <t>RIVASTIGMINE</t>
  </si>
  <si>
    <t>Galderma, U.S.A</t>
  </si>
  <si>
    <t>21719</t>
  </si>
  <si>
    <t>N05-5257-05583-02</t>
  </si>
  <si>
    <t>R65-5260-03246-01</t>
  </si>
  <si>
    <t>TRIHEXYPHENIDYL-2 mg -Tablets-A11-5287-00625-01</t>
  </si>
  <si>
    <t>STERILE WATER FOR IRRIGATION-100 % -STERILE LIQUID FOR IRRIGATION-B78-4981-05974-01</t>
  </si>
  <si>
    <t>26876</t>
  </si>
  <si>
    <t>Potential Duplicate Set - 1217</t>
  </si>
  <si>
    <t>J23-5009-02570-02</t>
  </si>
  <si>
    <t>5%</t>
  </si>
  <si>
    <t>0.225%W/V 5%W/V 50MG/ML 2.25MG/ML</t>
  </si>
  <si>
    <t>Direct.Pharmaceutical Drugs.Central Nervous System.Analgesics (Opioid).SUFENTANIL</t>
  </si>
  <si>
    <t>Medcare Comment</t>
  </si>
  <si>
    <t>17088</t>
  </si>
  <si>
    <t>I86-5238-03235-01</t>
  </si>
  <si>
    <t>TRISUVA-5 mg/ml -Subcutaneous Infusion-U35-7757-05600-01</t>
  </si>
  <si>
    <t>SODIUM CHLORIDE , POTASSIUM CHLORIDE-10 mmol/100ml,10 mmol/100ml -Solution For Intravenous Infusion-R53-6831-06920-01</t>
  </si>
  <si>
    <t>30418</t>
  </si>
  <si>
    <t>Sanofi Aventis Deutschland GmbH, GERMANY</t>
  </si>
  <si>
    <t>S72-5130-02328-04</t>
  </si>
  <si>
    <t>30417</t>
  </si>
  <si>
    <t>Pfizer Italia S.r.l., ITALY</t>
  </si>
  <si>
    <t>S72-5130-02328-03</t>
  </si>
  <si>
    <t>TRIHEXYPHENIDYL5MGTABLETSO6452870062601</t>
  </si>
  <si>
    <t>Direct.Pharmaceutical Drugs.Cardiovascular &amp; Hematopoietic System.Ace Inhibitors/Direct Renin Inhibitors.RAMIPRIL</t>
  </si>
  <si>
    <t>PHARMA INTERNATIONAL</t>
  </si>
  <si>
    <t>M40-6364-04447-01</t>
  </si>
  <si>
    <t>WESTWARD USA</t>
  </si>
  <si>
    <t>D58-5228-05562-01</t>
  </si>
  <si>
    <t>TRISODIUM CITRATE</t>
  </si>
  <si>
    <t>TOUJEO SOLOSTAR-300 IU/ml -Solution For Injection-L78-5246-06551-01</t>
  </si>
  <si>
    <t>B31-5260-03247-01</t>
  </si>
  <si>
    <t>J23-5009-02570-01</t>
  </si>
  <si>
    <t>N75-4864-05137-01</t>
  </si>
  <si>
    <t>SODIUM CHLORIDE 0.45% &amp; DEXTROSE 5% W/V B.P-50 mg/ml,4.5 mg/ml -Solution For Infusion-H37-4875-01719-01</t>
  </si>
  <si>
    <t>H21-5280-01085-01</t>
  </si>
  <si>
    <t>Wockhardt Pharmaceuticals (CP Pharma), UNITED KINGDOM</t>
  </si>
  <si>
    <t>B. Braun Melsungen AG, GERMANY</t>
  </si>
  <si>
    <t>SODIUM CHLORIDE 0.45% &amp; DEXTROSE 5% W/V B.P-50 MG/ML,4.5 MG/ML -SOLUTION FOR INFUSION-H37-4875-01719-01</t>
  </si>
  <si>
    <t>Direct.Pharmaceutical Drugs.Cardiovascular &amp; Hematopoietic System.Dyslipidaemic Agents.ATORVASTATIN</t>
  </si>
  <si>
    <t>TORSEC20MGCAP10S</t>
  </si>
  <si>
    <t>TADAZEV20MGTABLETSQ0663390537602</t>
  </si>
  <si>
    <t>H01-5228-05561-01</t>
  </si>
  <si>
    <t>H77-5288-05498-01</t>
  </si>
  <si>
    <t>Direct.Pharmaceutical Drugs.Cardiovascular &amp; Hematopoietic System.Angiotensin Ii Antagonists.VALSARTAN</t>
  </si>
  <si>
    <t>SODIUM BICARBONATE-325 mg -Tablets-L57-4864-05134-01</t>
  </si>
  <si>
    <t>TRIHEXYPHENIDYL-2 mg -Tablets-L40-5287-00625-01</t>
  </si>
  <si>
    <t>TRANEXAMIC ACID-500 MG -TABLETS-L73-5261-05590-01</t>
  </si>
  <si>
    <t>TROSPIUM CHLORIDE-20 MG -TABLETS-B54-5325-05644-01</t>
  </si>
  <si>
    <t>17644</t>
  </si>
  <si>
    <t>TORASEMID20MGTABLETSG3352340557101</t>
  </si>
  <si>
    <t>TRISPAN20MGMLSOLNFORINJECTIONAMP1ML10S</t>
  </si>
  <si>
    <t>Fidia Farmaceutici SPA, Italy</t>
  </si>
  <si>
    <t>TRIMOVAXVACCINE1000CCID505000CCID501000CCID50INJECTIONB6152960612001</t>
  </si>
  <si>
    <t>TRIMETHOPRIM50MG5MLORALSUSPENSIONK8852920562601</t>
  </si>
  <si>
    <t>AUROBINDO PHARMA LTD</t>
  </si>
  <si>
    <t>2MG/ML 1MG/ML</t>
  </si>
  <si>
    <t>150</t>
  </si>
  <si>
    <t>TRODELVY180MGLYOPHILIZEDPREPARATIONFORSOLUTIONFORINTRAVENOUSINFUSIONV3479700782601</t>
  </si>
  <si>
    <t>TROSPIUM-15 MG -TABLETS-I19-5324-05643-01</t>
  </si>
  <si>
    <t>28496</t>
  </si>
  <si>
    <t>Potential Duplicate Set - 1855</t>
  </si>
  <si>
    <t>TRAMUNDIN RETARD-200 MG -MODIFIED RELEASE TABLETS-I99-5259-05579-01</t>
  </si>
  <si>
    <t>TRANDATE100MGTABLETSQ7252600324601</t>
  </si>
  <si>
    <t>TRIPOFEDDM10MG5ML30MG5ML125MG5MLSYRUPH3753040479701</t>
  </si>
  <si>
    <t>TRITACE-10 mg -Tablets-L96-5311-04863-01</t>
  </si>
  <si>
    <t>TOPAMAX200MGTABLETSH0152280555901</t>
  </si>
  <si>
    <t>Potential Duplicate Set - 1864</t>
  </si>
  <si>
    <t>HOSPIRA</t>
  </si>
  <si>
    <t>19159</t>
  </si>
  <si>
    <t>25722</t>
  </si>
  <si>
    <t>TOPIZONE-1 MG/G,20 MG/G -CREAM-K54-5230-00663-01</t>
  </si>
  <si>
    <t>A11-5287-00625-01</t>
  </si>
  <si>
    <t>DEXTROSE + SODIUM CHLORIDE</t>
  </si>
  <si>
    <t>KUWAIT SAUDI PHARMACEUTICAL INDUSTRIES</t>
  </si>
  <si>
    <t>Baxter Healthcare Pty Limited, AUSTRALIA</t>
  </si>
  <si>
    <t>DENK PHARMA</t>
  </si>
  <si>
    <t>17647</t>
  </si>
  <si>
    <t>Neopharma, U.A.E</t>
  </si>
  <si>
    <t>TETRALYSAL300MGCAPSULESF2651560352502</t>
  </si>
  <si>
    <t>FENTANYL</t>
  </si>
  <si>
    <t>21426</t>
  </si>
  <si>
    <t>21427</t>
  </si>
  <si>
    <t>Direct.Pharmaceutical Drugs.Allergy &amp; Immune System.Vaccines, Antisera &amp; Immunologicals.VACCINE, MMR</t>
  </si>
  <si>
    <t>TRANDATE-100 mg -Tablets-B31-5260-03246-01</t>
  </si>
  <si>
    <t>LAMIVUDINE + ABACAVIR SULFATE + DOLUTEGRAVIR SODIUM</t>
  </si>
  <si>
    <t>26219</t>
  </si>
  <si>
    <t>MICRO LABS LTD</t>
  </si>
  <si>
    <t>29180</t>
  </si>
  <si>
    <t>L57-4864-05134-01</t>
  </si>
  <si>
    <t>L64-7897-05581-01</t>
  </si>
  <si>
    <t>TRIPACELVACCINESANOFISUSPENSIONFORINJECTION05ML</t>
  </si>
  <si>
    <t>SODIUM CHLORIDE 0.225% W/V &amp; DEXTROSE 5% W/V-50 MG/ML,2.25 MG/ML -SOLUTION FOR INFUSION-K57-4874-01717-01</t>
  </si>
  <si>
    <t>TASIGNA-200 mg -Capsules-J45-5112-04055-02</t>
  </si>
  <si>
    <t>21723</t>
  </si>
  <si>
    <t>MANUFACTURER_NAME</t>
  </si>
  <si>
    <t>Direct.Pharmaceutical Drugs.Hormones.Oestrogens &amp; Progesterones &amp; Related Synthetic Drugs.ESTRADIOL + NORETHISTERONE ACETATE</t>
  </si>
  <si>
    <t>SODIUM CHLORIDE &amp; GLUCOSE BP[GULF] SOLUTION FOR INFUSION (500 ML)</t>
  </si>
  <si>
    <t>TOPIDIC20MGGOINTMENTK5452290249801</t>
  </si>
  <si>
    <t>0.5ML</t>
  </si>
  <si>
    <t>50</t>
  </si>
  <si>
    <t>AVENTIS PASTEUR</t>
  </si>
  <si>
    <t>TORVACARDZENTIVA20MGTABLETSL8152420052101</t>
  </si>
  <si>
    <t>TRAMUNDIN RETARD-150 mg -Modified Release Tablets-I99-5259-05577-01</t>
  </si>
  <si>
    <t>T64-8441-08282-01</t>
  </si>
  <si>
    <t>18.7G/100ML</t>
  </si>
  <si>
    <t>145MG</t>
  </si>
  <si>
    <t>TECFIDERA-120 MG -SUSTAINED RELEASE CAPSULES-C56-5123-01863-01</t>
  </si>
  <si>
    <t>Hospira Inc., U.S.A</t>
  </si>
  <si>
    <t>TOOTSWEET24ORALSOLUTIONJ1852270532801</t>
  </si>
  <si>
    <t>STERILEWATER100LIQUIDFORIRRIGATIONO6249800597101</t>
  </si>
  <si>
    <t>TOVAST-10 mg -Tablets-N01-5248-00520-01</t>
  </si>
  <si>
    <t>R14-7315-07301-01</t>
  </si>
  <si>
    <t>STERILE WATER-100 % -LIQUID FOR IRRIGATION-O62-4980-05971-01</t>
  </si>
  <si>
    <t>19135</t>
  </si>
  <si>
    <t>NAME</t>
  </si>
  <si>
    <t>SODIUM CHLORIDE 0.45% W/V &amp; DEXTROSE 5% W/V-50 mg/ml,4.5 mg/ml -Solution For Infusion-K57-4877-01719-01</t>
  </si>
  <si>
    <t>L40-5287-00625-01</t>
  </si>
  <si>
    <t>1000MG</t>
  </si>
  <si>
    <t>SODIUMBICARBONATE325MGTABLETSL5748640513401</t>
  </si>
  <si>
    <t>M40-6365-04448-01</t>
  </si>
  <si>
    <t>750MG</t>
  </si>
  <si>
    <t>Servier (Ireland) Industries Ltd., IRELAND</t>
  </si>
  <si>
    <t>N68-5243-00521-01</t>
  </si>
  <si>
    <t>26595</t>
  </si>
  <si>
    <t>20122</t>
  </si>
  <si>
    <t>TECFIDERA-120 mg -Sustained Release Capsules-C52-5123-01863-01</t>
  </si>
  <si>
    <t>L53-5322-04463-01</t>
  </si>
  <si>
    <t>21818</t>
  </si>
  <si>
    <t>M40-6366-04449-01</t>
  </si>
  <si>
    <t>I99-5259-05574-01</t>
  </si>
  <si>
    <t>Direct.Pharmaceutical Drugs.Endocrine &amp; Metabolic System.Insulin Preparations.INSULIN DEGLUDEC</t>
  </si>
  <si>
    <t>K35-5039-05355-01</t>
  </si>
  <si>
    <t>TRIMOVAXINJECTIONPHMCY</t>
  </si>
  <si>
    <t>TOROLAC-5 mg/ml -Eye Drops-I86-5238-03235-01</t>
  </si>
  <si>
    <t>L96-5311-04863-01</t>
  </si>
  <si>
    <t>TOVAST-40 MG -TABLETS-N01-5248-00522-01</t>
  </si>
  <si>
    <t>O26-8278-08970-02</t>
  </si>
  <si>
    <t>TELFAST-180 MG -TABLETS-L91-5130-02328-02</t>
  </si>
  <si>
    <t>TRILEPTAL-600 MG -TABLETS-J45-5289-04216-01</t>
  </si>
  <si>
    <t>TRILTEC-10 MG -CAPSULES-A68-5290-04862-01</t>
  </si>
  <si>
    <t>INSULIN DEGLUDEC</t>
  </si>
  <si>
    <t>TRIPHALA-250 mg -Capsules-N67-6751-06853-01</t>
  </si>
  <si>
    <t>NEXGEN</t>
  </si>
  <si>
    <t>TONIMER-0.9 % -LIQUID FOR NASAL SPRAY-G83-5220-05172-01</t>
  </si>
  <si>
    <t>30055</t>
  </si>
  <si>
    <t>O70-5244-00511-01</t>
  </si>
  <si>
    <t>17640</t>
  </si>
  <si>
    <t>TOVAST-20 MG -TABLETS-N01-5248-00521-01</t>
  </si>
  <si>
    <t>TRIVACIN95MG24HRSTRANSDERMALPATCHESZ9587730863902</t>
  </si>
  <si>
    <t>17623</t>
  </si>
  <si>
    <t>Drop</t>
  </si>
  <si>
    <t>17651</t>
  </si>
  <si>
    <t>28891</t>
  </si>
  <si>
    <t>48MG</t>
  </si>
  <si>
    <t>DDC Code For Reference</t>
  </si>
  <si>
    <t>100GM</t>
  </si>
  <si>
    <t>Direct.Pharmaceutical Drugs.Genito-Urinary System.Drugs For Erectile Dysfunction.SILDENAFIL</t>
  </si>
  <si>
    <t>TRIHEXYPHENIDYL2MGTABLETSO6452870062501</t>
  </si>
  <si>
    <t>Potential Duplicate Set - 1116</t>
  </si>
  <si>
    <t>UCB</t>
  </si>
  <si>
    <t>LABETALOL HCL</t>
  </si>
  <si>
    <t>TRIAMCINOLONE HEXACETONIDE</t>
  </si>
  <si>
    <t>Slno</t>
  </si>
  <si>
    <t>Direct.Pharmaceutical Drugs.Oncology.Targeted Cancer Therapy.SUNITINIB</t>
  </si>
  <si>
    <t>17643</t>
  </si>
  <si>
    <t>K54-5230-00663-01</t>
  </si>
  <si>
    <t>TRANEXAMICACID500MGTABLETSI2452610559001</t>
  </si>
  <si>
    <t>28902</t>
  </si>
  <si>
    <t>N84-5241-05782-01</t>
  </si>
  <si>
    <t>TRIPHALA-250 MG -CAPSULES-N67-6751-06853-01</t>
  </si>
  <si>
    <t>Direct.Pharmaceutical Drugs.Cardiovascular &amp; Hematopoietic System.Other Antihypertensives.AMLODIPINE BESYLATE + INDAPAMIDE + PERINDOPRIL ERBUMINE</t>
  </si>
  <si>
    <t>Hexal AG, GERMANY</t>
  </si>
  <si>
    <t>1GM</t>
  </si>
  <si>
    <t>TOTAMOL50MGTABLETSO7052440051301</t>
  </si>
  <si>
    <t>TOPAMAX50MGCAPSULESD5852280556201</t>
  </si>
  <si>
    <t>SUFENTA-5 MCG/ML -SOLUTION FOR INJECTION-T71-7580-05330-02</t>
  </si>
  <si>
    <t>COMPLEX VETRIEBS GMBH</t>
  </si>
  <si>
    <t>Direct.Pharmaceutical Drugs.Eye.Mydriatic Drugs.TROPICAMIDE</t>
  </si>
  <si>
    <t>B78-4981-05974-01</t>
  </si>
  <si>
    <t>The Himalaya Drug Company, INDIA</t>
  </si>
  <si>
    <t>TRANEXAMIC ACID-500 mg -Tablets-L73-5261-05590-01</t>
  </si>
  <si>
    <t>19685</t>
  </si>
  <si>
    <t>TRIPLIXAM P10/Ind 2.5/A5-5 mg,2.5 mg,10 mg -Tablets-M40-6365-04448-01</t>
  </si>
  <si>
    <t>TRIPLIXAM P5/Ind 1.25/A10-10 mg,1.25 mg,5 mg -Tablets-M40-6366-04449-01</t>
  </si>
  <si>
    <t>SUCRATEC-1 MG -TABLETS-J23-5009-02570-01</t>
  </si>
  <si>
    <t>TRIOPAN-0.75 G/100ML,1 G/100ML -SYRUP-G93-5300-02709-01</t>
  </si>
  <si>
    <t>17632</t>
  </si>
  <si>
    <t>25885</t>
  </si>
  <si>
    <t>28492</t>
  </si>
  <si>
    <t>SODIUMCHLORIDE0225WVDEXTROSE5WV50MGML225MGMLSOLUTIONFORINFUSIONK5748740171701</t>
  </si>
  <si>
    <t>TRANEXAMIC ACID</t>
  </si>
  <si>
    <t>TORAS-DENK-10 MG -TABLETS-R14-7315-07301-01</t>
  </si>
  <si>
    <t>25720</t>
  </si>
  <si>
    <t>L96-5311-04861-01</t>
  </si>
  <si>
    <t>TRIMETHOPRIM-50 mg/5ml -Oral Suspension-J89-5292-05626-01</t>
  </si>
  <si>
    <t>TRIHEXYPHENIDYL-2 MG -TABLETS-L40-5287-00625-01</t>
  </si>
  <si>
    <t>1MG 100MG 250MG</t>
  </si>
  <si>
    <t>Direct.Pharmaceutical Drugs.Central Nervous System.Nonsteroidal Anti-Inflammatory Drugs (Nsaids).KETOROLAC</t>
  </si>
  <si>
    <t>NOVELL PHARMA PVT LTD</t>
  </si>
  <si>
    <t>19832</t>
  </si>
  <si>
    <t>TRIVACIN-4.6 MG/24H -TRANSDERMAL PATCHES-AA7-8773-04947-02</t>
  </si>
  <si>
    <t>TRIKAFTA-100 MG,50 MG,75 MG,150 MG -TABLETS-O26-8278-08188-01</t>
  </si>
  <si>
    <t>TRISPAN-20 mg/ml -Solution For Injection-P38-6002-05613-01</t>
  </si>
  <si>
    <t>Direct.Pharmaceutical Drugs.Genito-Urinary System.Drugs For Bladder &amp; Prostate Disorders.TROSPIUM CHLORIDE</t>
  </si>
  <si>
    <t>Bristol Laboratories, UNITED KINGDOM</t>
  </si>
  <si>
    <t>Direct.Pharmaceutical Drugs.Endocrine &amp; Metabolic System.Antidiabetic Agents.LINAGLIPTIN</t>
  </si>
  <si>
    <t>TOPAMAX50MGTABLETSH0152280556301</t>
  </si>
  <si>
    <t>TORTANDIO-160 mg -Tablets-N84-5240-05777-01</t>
  </si>
  <si>
    <t>Direct.Pharmaceutical Drugs.Nutrition.Enteral/Nutritional Products.ELEXACAFTOR + TEZACAFTOR + IVACAFTOR + IVACAFTOR</t>
  </si>
  <si>
    <t>Chiesi Farmaceutici S.p.A., ITALY</t>
  </si>
  <si>
    <t>TOPIDIC-20 MG/G -CREAM-K54-5229-02496-01</t>
  </si>
  <si>
    <t>TOPIDIC20MGGCREAMK5452290249601</t>
  </si>
  <si>
    <t>Orbis Consumer Products Ltd, UNITED KINGDOM</t>
  </si>
  <si>
    <t>A11-5287-00626-01</t>
  </si>
  <si>
    <t>TROPEX50MGMLEARDROPSL5353220446301</t>
  </si>
  <si>
    <t>Direct.Pharmaceutical Drugs.Cardiovascular &amp; Hematopoietic System.Anti-Anginal Drugs.ISOSORBIDE MONONITRATE</t>
  </si>
  <si>
    <t>TRAMAL-50 mg/ml -Solution For Injection-N05-5257-05583-01</t>
  </si>
  <si>
    <t>STERILE WATER FOR IRRIGATION-100 % -Sterile Liquid For Irrigation-B78-4981-05974-01</t>
  </si>
  <si>
    <t>TRIHEXYPHENIDYL-5 mg -Tablets-L16-5287-00626-01</t>
  </si>
  <si>
    <t>TIDILOR-10 MG -TABLETS-K54-5190-03499-02</t>
  </si>
  <si>
    <t>OMEPRAZOLE</t>
  </si>
  <si>
    <t>TRIVASTAL RETARD-50 mg -Tablets-H92-5314-04545-01</t>
  </si>
  <si>
    <t>TRANSFERRIN-200 MG -CAPSULES (VEGETABLE ORIGIN)-T64-8441-08282-01</t>
  </si>
  <si>
    <t>TOPAMAX-100 mg -Tablets-H01-5228-05557-01</t>
  </si>
  <si>
    <t>Direct.Pharmaceutical Drugs.Oncology.Targeted Cancer Therapy.SACITUZUMAB GOVITECAN-HZIY</t>
  </si>
  <si>
    <t>TRILTEC10MGCAPSULESA6852900486201</t>
  </si>
  <si>
    <t>MUNDI PHARMA</t>
  </si>
  <si>
    <t>N01-5248-00522-01</t>
  </si>
  <si>
    <t>AA7-8773-04947-02</t>
  </si>
  <si>
    <t>L96-5311-04867-01</t>
  </si>
  <si>
    <t>17336</t>
  </si>
  <si>
    <t>SODIUMCHLORIDE045GLUCOSE5WVBP50MGML45MGMLSOLUTIONFORINFUSIONG0548760171901</t>
  </si>
  <si>
    <t>Direct.Pharmaceutical Drugs.Central Nervous System.Analgesics (Opioid).FENTANYL</t>
  </si>
  <si>
    <t>O26-8278-08188-01</t>
  </si>
  <si>
    <t>H21-5280-01080-01</t>
  </si>
  <si>
    <t>TRAMAL-50 mg/ml -Solution For Injection-N05-5257-05583-02</t>
  </si>
  <si>
    <t>J89-5292-05626-01</t>
  </si>
  <si>
    <t>J30-5297-02287-01</t>
  </si>
  <si>
    <t>RPH</t>
  </si>
  <si>
    <t>20716</t>
  </si>
  <si>
    <t>TRISODIUMCITRATE100GPOWDERFORORALSOLUTIONI6853100563701</t>
  </si>
  <si>
    <t>TROMETHAMINE03MSOLUTIONFORINJECTIONG4553210563801</t>
  </si>
  <si>
    <t>TROFENTYL50MCGMLSOLUTIONFORINJECTIONW9281870749101</t>
  </si>
  <si>
    <t>D71-5292-05624-01</t>
  </si>
  <si>
    <t>O70-5244-00513-01</t>
  </si>
  <si>
    <t>TADAZEV-20 mg -Tablets-Q06-6339-05376-01</t>
  </si>
  <si>
    <t>TORASEMIDAL-10 mg -Tablets-A70-5235-05570-01</t>
  </si>
  <si>
    <t>TRISODIUM CITRATE-100 G -POWDER FOR ORAL SOLUTION-I68-5310-05637-01</t>
  </si>
  <si>
    <t>SUFENTA-5 mcg/ml -Solution For Injection-T71-7580-05330-02</t>
  </si>
  <si>
    <t>SODIUMBICARBONATE500GPOWDERFORCOMPOUNDINGN7548640513501</t>
  </si>
  <si>
    <t>PINEWOOD LAB</t>
  </si>
  <si>
    <t>21453</t>
  </si>
  <si>
    <t>TOTAMOL25MGTABLETSO7052440051201</t>
  </si>
  <si>
    <t>Y62-9627-08631-01</t>
  </si>
  <si>
    <t>TRIPOFEDEXPECTORANT100MG5ML30MG5ML125MG5MLSYRUPH3753050479901</t>
  </si>
  <si>
    <t>LIFEPHARMA FZE</t>
  </si>
  <si>
    <t>TRIMBOW87MCG5MCG9MCGPRESSURIZEDINHALATIONSOLUTIOND5474150738301</t>
  </si>
  <si>
    <t>Kuwait Saudi Pharmaceutical Industries Co. (KSPICO), KUWAIT</t>
  </si>
  <si>
    <t>TRILAGAVIT1MG100MG250MGSOLUTIONFORINJECTIONH7752880547801</t>
  </si>
  <si>
    <t>SXH</t>
  </si>
  <si>
    <t>TRANDATE-100 MG -TABLETS-B31-5260-03246-01</t>
  </si>
  <si>
    <t>Direct.Pharmaceutical Drugs.Dermatological &amp; Personal Care.Topical Antibiotics.FUSIDIC ACID</t>
  </si>
  <si>
    <t>TRIMBOW-87 MCG,5 MCG,9 MCG -PRESSURIZED INHALATION SOLUTION-D54-7415-07383-01</t>
  </si>
  <si>
    <t>J23-5009-02570-03</t>
  </si>
  <si>
    <t>SODIUM BICARBONATE-500 g -Powder For Compounding-N75-4864-05135-01</t>
  </si>
  <si>
    <t>TRIXAICINHP008CREAML1653170094601</t>
  </si>
  <si>
    <t>QUANTITY</t>
  </si>
  <si>
    <t>26232</t>
  </si>
  <si>
    <t>1MG/GM 20MG/GM</t>
  </si>
  <si>
    <t>SUCRATEC-1 MG -TABLETS-J23-5009-02570-02</t>
  </si>
  <si>
    <t>O64-5287-00626-01</t>
  </si>
  <si>
    <t>ROW PHARMACEUTICALS</t>
  </si>
  <si>
    <t>A68-5290-04866-01</t>
  </si>
  <si>
    <t>Auden McKenzie Pharma, UNITED KINGDOM</t>
  </si>
  <si>
    <t>Pinewood Lab. (Conmed), IRELAND</t>
  </si>
  <si>
    <t>Thornton &amp; Ross Ltd., UNITED KINGDOM</t>
  </si>
  <si>
    <t>TRIAXONE250MGPOWDERFORSOLUTIONFORINTRAMUSCULARINJECTIONH2152800108401</t>
  </si>
  <si>
    <t>1-A-CA68-HW-XX09-BS10-X-00001</t>
  </si>
  <si>
    <t>Wellpharma Medical Solutions LLC, U.A.E</t>
  </si>
  <si>
    <t>TRINEX-145 mg -Tablets-J30-5297-02284-01</t>
  </si>
  <si>
    <t>20101</t>
  </si>
  <si>
    <t>20102</t>
  </si>
  <si>
    <t>Les Laboratoires Servier Industrie, FRANCE</t>
  </si>
  <si>
    <t>TRACHITOL1MG1MG18MGLOZENGESE5052500341601</t>
  </si>
  <si>
    <t>Galderma International, FRANCE</t>
  </si>
  <si>
    <t>TRILAC-40 MG/ML -SUSPENSION FOR INTRAMUSCULAR INJECTION-U12-9198-09853-02</t>
  </si>
  <si>
    <t>Jamjoom Pharmaceuticals, SAUDI ARABIA</t>
  </si>
  <si>
    <t>TORTANDIO-160 MG -TABLETS-N84-5240-05777-01</t>
  </si>
  <si>
    <t>TORRENT PHARMACEUTICALS LTD</t>
  </si>
  <si>
    <t>Potential Duplicate Set - 1495</t>
  </si>
  <si>
    <t>23673</t>
  </si>
  <si>
    <t>Biogen Idec Inc. Cambridge MA, U.S.A</t>
  </si>
  <si>
    <t>STADA Arzneimittel AG, GERMANY</t>
  </si>
  <si>
    <t>TELFAST120MGTABLETSL9151300232701</t>
  </si>
  <si>
    <t>19691</t>
  </si>
  <si>
    <t>Difference in "Mfr, Packaging Info &amp; CPT Code"</t>
  </si>
  <si>
    <t>TECFIDERA-120 MG -SUSTAINED RELEASE CAPSULES-C54-5123-01863-01</t>
  </si>
  <si>
    <t>SUCRATEC1MGTABLETSJ2350090257001</t>
  </si>
  <si>
    <t>Potential Duplicate Set - 1282</t>
  </si>
  <si>
    <t/>
  </si>
  <si>
    <t>TRITACE-1.25 mg -Tablets-L96-5311-04861-01</t>
  </si>
  <si>
    <t>500GM</t>
  </si>
  <si>
    <t>Jar</t>
  </si>
  <si>
    <t>SUNITINIB</t>
  </si>
  <si>
    <t>KARL ENGELHARD</t>
  </si>
  <si>
    <t>TORSEMIDE10MGTABLETSD2769110557001</t>
  </si>
  <si>
    <t>Lozenge</t>
  </si>
  <si>
    <t>TORASDENK10MGTABLETSR1473150730101</t>
  </si>
  <si>
    <t>Status</t>
  </si>
  <si>
    <t>160MG</t>
  </si>
  <si>
    <t>K57-4877-01719-01</t>
  </si>
  <si>
    <t>SODIUMCHLORIDE045GLUCOSE5WVBP50MGML45MGMLSOLUTIONFORINFUSIONG0548760171902</t>
  </si>
  <si>
    <t>TRIMOVAX INJECTION (PHMCY)</t>
  </si>
  <si>
    <t>FLUOCINOLONE ACETONIDE + HYDROQUINONE + TRETINOIN</t>
  </si>
  <si>
    <t>TRACHISAN SORE THROAT GARGLE-2 MG/ML,1 MG/ML -MOUTH WASH-E50-5249-01168-01</t>
  </si>
  <si>
    <t>TROSPIUM-15 mg -Tablets-I19-5324-05643-01</t>
  </si>
  <si>
    <t>TRISUVA-10 mg/ml -Subcutaneous Infusion-U35-7757-05598-01</t>
  </si>
  <si>
    <t>IMMUNOMEDICS INC</t>
  </si>
  <si>
    <t>VALSARTAN</t>
  </si>
  <si>
    <t>Production user Comments</t>
  </si>
  <si>
    <t>19781</t>
  </si>
  <si>
    <t>L81-5242-00522-01</t>
  </si>
  <si>
    <t>The Jordanian Pharmaceutical Manufacturing Company, JORDAN</t>
  </si>
  <si>
    <t>28689</t>
  </si>
  <si>
    <t>TRIMETHOPRIM-100 MG -TABLETS-D71-5292-05624-01</t>
  </si>
  <si>
    <t>TADAZEV-20 mg -Tablets-Q06-6339-05376-02</t>
  </si>
  <si>
    <t>TRIAXONE250MGPOWDERFORSOLUTIONFORINTRAVENOUSINJECTIONH2152800108501</t>
  </si>
  <si>
    <t>TRIMETHOPRIM-50 mg/5ml -Oral Suspension-A41-5292-05626-01</t>
  </si>
  <si>
    <t>Natus Medical Incorporated, U.S.A</t>
  </si>
  <si>
    <t>TRIKAFTA50MG25MG375MG75MGTABLETSO2682780897002</t>
  </si>
  <si>
    <t>Direct.Pharmaceutical Drugs.Genito-Urinary System.Drugs For Erectile Dysfunction.TADALAFIL</t>
  </si>
  <si>
    <t>AZEVEDOS</t>
  </si>
  <si>
    <t>N68-5243-00520-01</t>
  </si>
  <si>
    <t>ORBIS PHARMACEUTICALS</t>
  </si>
  <si>
    <t>TRIMINEURIN-100 mg -Tablets-G33-6528-06648-01</t>
  </si>
  <si>
    <t>17003</t>
  </si>
  <si>
    <t>TRILEPTAL-60 mg/ml -Oral Suspension-J45-5289-04217-02</t>
  </si>
  <si>
    <t>1.25MG</t>
  </si>
  <si>
    <t>TRANGINA XL-60 mg -Extended Release Tablets-A41-7485-07184-01</t>
  </si>
  <si>
    <t>SOFAR S.p.A.,TREZZANO ROSA., ITALY</t>
  </si>
  <si>
    <t>TRIUMEQ-50 MG,600 MG,300 MG -TABLETS-O32-5969-06168-01</t>
  </si>
  <si>
    <t>28890</t>
  </si>
  <si>
    <t>28892</t>
  </si>
  <si>
    <t>SUCRATEC-1 MG -TABLETS-J23-5009-02570-03</t>
  </si>
  <si>
    <t>Complex Vetriebs GmbH, AUSTRIA</t>
  </si>
  <si>
    <t>TELFAST-120 mg -Tablets-S72-5130-02327-02</t>
  </si>
  <si>
    <t>TELFAST-120 mg -Tablets-S72-5130-02327-03</t>
  </si>
  <si>
    <t>Bag</t>
  </si>
  <si>
    <t>N84-5240-05777-01</t>
  </si>
  <si>
    <t>Direct.Pharmaceutical Drugs.Respiratory System.Nasal Decongestants &amp; Other Nasal Preparations.STERILE ISOTONIC SEA WATER</t>
  </si>
  <si>
    <t>TRIHEXYPHENIDYL-5 MG -TABLETS-L16-5287-00626-01</t>
  </si>
  <si>
    <t>26218</t>
  </si>
  <si>
    <t>TORVACOL-20 mg -Tablets-N68-5243-00521-01</t>
  </si>
  <si>
    <t>C97-5292-05624-01</t>
  </si>
  <si>
    <t>20139</t>
  </si>
  <si>
    <t>STERILE WATER FOR IRRIGATION USP-100 % -STERILE LIQUID FOR IRRIGATION-O62-4982-05974-01</t>
  </si>
  <si>
    <t>Patch</t>
  </si>
  <si>
    <t>TOURNES-25 mg -Tablets-G33-5981-05083-01</t>
  </si>
  <si>
    <t>Medcare- Description</t>
  </si>
  <si>
    <t>Direct.Pharmaceutical Drugs.Cardiovascular &amp; Hematopoietic System.Anti-Anginal Drugs.ATENOLOL</t>
  </si>
  <si>
    <t>Potential Duplicate Set - 981</t>
  </si>
  <si>
    <t>Direct.Pharmaceutical Drugs.CONTROLLED-DM.Cough &amp; Cold Preparations.TRIPROLIDINE + PSEUDOEPHEDRINE + DEXTROMETHORPHAN</t>
  </si>
  <si>
    <t>2MG 1MG</t>
  </si>
  <si>
    <t>TASIGNA200MGCAPSULESJ4551120405501</t>
  </si>
  <si>
    <t>OP_UNIT</t>
  </si>
  <si>
    <t>20283</t>
  </si>
  <si>
    <t>TRILTEC-2.5 MG -CAPSULES-A68-5290-04864-01</t>
  </si>
  <si>
    <t>Qualiphar N.V/S.A., BELGIUM</t>
  </si>
  <si>
    <t>TORASDENK5MGTABLETSR1473150730201</t>
  </si>
  <si>
    <t>TETRALYSAL-300 MG -CAPSULES-F26-5156-03525-01</t>
  </si>
  <si>
    <t>TETRALYSAL-300 MG -CAPSULES-F26-5156-03525-02</t>
  </si>
  <si>
    <t>TORSEMIDE-20 mg -Tablets-D27-6911-05571-01</t>
  </si>
  <si>
    <t>W92-8187-07491-01</t>
  </si>
  <si>
    <t>GlaxoSmithKline Manufacturing S.p.A., ITALY</t>
  </si>
  <si>
    <t>AVEFLOR A.S</t>
  </si>
  <si>
    <t>TRIPOFED DM-10 mg/5ml,30 mg/5ml,1.25 mg/5ml -Syrup-H37-5304-04797-01</t>
  </si>
  <si>
    <t>Direct.Pharmaceutical Drugs.Central Nervous System.Analgesics (Opioid).TRAMADOL</t>
  </si>
  <si>
    <t>H37-4872-01717-01</t>
  </si>
  <si>
    <t>TRESIBA-100 IU/ML -SOLUTION FOR INJECTION-J58-5275-02985-01</t>
  </si>
  <si>
    <t>TRAMUNDIN RETARD-150 MG -MODIFIED RELEASE TABLETS-I99-5259-05577-01</t>
  </si>
  <si>
    <t>TOPIDIC-20 MG/G -OINTMENT-K54-5229-02498-01</t>
  </si>
  <si>
    <t>Potential Duplicate Set - 1080</t>
  </si>
  <si>
    <t>TRIAMCINOLONE</t>
  </si>
  <si>
    <t>TRIHEXYPHENIDYL5MGTABLETSL4052870062601</t>
  </si>
  <si>
    <t>180</t>
  </si>
  <si>
    <t>TRILEPTAL60MGMLORALSUSPENSIONJ4752890421701</t>
  </si>
  <si>
    <t>TOPAMAX-25 MG -TABLETS-H01-5228-05561-01</t>
  </si>
  <si>
    <t>100MG</t>
  </si>
  <si>
    <t>F29-5291-02380-01</t>
  </si>
  <si>
    <t>LYMECYCLINE</t>
  </si>
  <si>
    <t>Direct.Pharmaceutical Drugs.Musculo-Skeletal System.Muscle Relaxants.CAPSAICIN</t>
  </si>
  <si>
    <t>CEPHALON INC</t>
  </si>
  <si>
    <t>TORSEMIDE-10 mg -Tablets-D27-6911-05570-01</t>
  </si>
  <si>
    <t>24421</t>
  </si>
  <si>
    <t>TOPAMAX-25 MG -CAPSULES-D58-5228-05560-01</t>
  </si>
  <si>
    <t>30416</t>
  </si>
  <si>
    <t>CHIESI</t>
  </si>
  <si>
    <t>TRILTEC-2.5 mg -Capsules-A68-5290-04864-01</t>
  </si>
  <si>
    <t>TOPIDIC-20 MG/G -GEL-K54-5229-02497-01</t>
  </si>
  <si>
    <t>TRIVASTALRETARD50MGTABLETSH9253140454501</t>
  </si>
  <si>
    <t>VERTEX PHARMA CHEMICALS</t>
  </si>
  <si>
    <t>FEXOFENADINE</t>
  </si>
  <si>
    <t>SODIUMCHLORIDE045DEXTROSE5WVBP50MGML45MGMLSOLUTIONFORINFUSIONH3748750171901</t>
  </si>
  <si>
    <t>Direct.Pharmaceutical Drugs.Intravenous &amp; Other Sterile Solutions.Sterile Water.STERILE WATER</t>
  </si>
  <si>
    <t>TADAZEV-20 MG -TABLETS-Q06-6339-05376-01</t>
  </si>
  <si>
    <t>24962</t>
  </si>
  <si>
    <t>TROSPIUM CHLORIDE</t>
  </si>
  <si>
    <t>TRIMOVAX VACCINE-1000 CCID50,5000 CCID50,1000 CCID50 -Injection-B61-5296-06120-01</t>
  </si>
  <si>
    <t>TASIGNA-200 mg -Capsules-J45-5112-04055-01</t>
  </si>
  <si>
    <t>H21-5280-01081-01</t>
  </si>
  <si>
    <t>0069-106204-1171</t>
  </si>
  <si>
    <t>20429</t>
  </si>
  <si>
    <t>Direct.Pharmaceutical Drugs.Cardiovascular &amp; Hematopoietic System.Diuretics.TORASEMIDE</t>
  </si>
  <si>
    <t>G05-4981-05975-02</t>
  </si>
  <si>
    <t>G05-4981-05975-01</t>
  </si>
  <si>
    <t>TROSPIUM CHLORIDE-20 mg -Tablets-A36-5325-05644-02</t>
  </si>
  <si>
    <t>L16-5287-00625-01</t>
  </si>
  <si>
    <t>TRIMETHOPRIM-100 mg -Tablets-C97-5292-05624-01</t>
  </si>
  <si>
    <t>200MG</t>
  </si>
  <si>
    <t>Istituto Ganassini, ITALY</t>
  </si>
  <si>
    <t>TRILEPTAL60MGMLORALSUSPENSIONJ4552890421702</t>
  </si>
  <si>
    <t>28494</t>
  </si>
  <si>
    <t>TRIMETHOPRIM-100 mg -Tablets-D71-5292-05624-01</t>
  </si>
  <si>
    <t>28491</t>
  </si>
  <si>
    <t>BRISTOL MYERS SQUIBB</t>
  </si>
  <si>
    <t>10MG/5ML 30MG/5ML 1.25MG/5ML</t>
  </si>
  <si>
    <t>TOPIDIC-20 mg/g -Ointment-K54-5229-02498-01</t>
  </si>
  <si>
    <t>SODIUMCHLORIDE045WVDEXTROSE5WV50MGML45MGMLSOLUTIONFORINFUSIONK5748770171901</t>
  </si>
  <si>
    <t>Potential Duplicate Set No.</t>
  </si>
  <si>
    <t>HYALURONIC ACID + GINKGO BILOBA + L HYDROGLYCOLIC EXTRACT</t>
  </si>
  <si>
    <t>SODIUM CHLORIDE , POTASSIUM CHLORIDE-10 MMOL/100ML,10 MMOL/100ML -SOLUTION FOR INTRAVENOUS INFUSION-R53-6831-06920-01</t>
  </si>
  <si>
    <t>100IU/ML</t>
  </si>
  <si>
    <t>Novo Nordisk A/S, DENMARK</t>
  </si>
  <si>
    <t>U35-7757-05598-01</t>
  </si>
  <si>
    <t>20125</t>
  </si>
  <si>
    <t>23751</t>
  </si>
  <si>
    <t>TRIPACELDTAP</t>
  </si>
  <si>
    <t>O70-5244-00512-01</t>
  </si>
  <si>
    <t>TRIPOFED DM-10 MG/5ML,30 MG/5ML,1.25 MG/5ML -SYRUP-H37-5304-04797-01</t>
  </si>
  <si>
    <t>S17-5291-02380-01</t>
  </si>
  <si>
    <t>22960</t>
  </si>
  <si>
    <t>TRIAXONE-250 MG -POWDER FOR SOLUTION FOR INTRAVENOUS INJECTION-H21-5280-01085-01</t>
  </si>
  <si>
    <t>29274</t>
  </si>
  <si>
    <t>Almus Co., UNITED KINGDOM</t>
  </si>
  <si>
    <t>Gulf Inject LLC, U.A.E</t>
  </si>
  <si>
    <t>TIDILOR-10 mg -Tablets-K54-5190-03499-01</t>
  </si>
  <si>
    <t>200 MCG 200MG 100MG</t>
  </si>
  <si>
    <t>60GM</t>
  </si>
  <si>
    <t>20023</t>
  </si>
  <si>
    <t>STERILEWATERFORIRRIGATION100STERILEWATERFORIRRIGATIONG0549810597502</t>
  </si>
  <si>
    <t>27961</t>
  </si>
  <si>
    <t>TRAMUNDINRETARD200MGMODIFIEDRELEASETABLETSI9952590557901</t>
  </si>
  <si>
    <t>25884</t>
  </si>
  <si>
    <t>TOVAST-40 mg -Tablets-N01-5248-00522-01</t>
  </si>
  <si>
    <t>21724</t>
  </si>
  <si>
    <t>100%</t>
  </si>
  <si>
    <t>TOUJEO SOLOSTAR-300 IU/ML -SOLUTION FOR INJECTION-L78-5246-06551-01</t>
  </si>
  <si>
    <t>Potential Duplicate Set - 1557</t>
  </si>
  <si>
    <t>TRILEPTAL-300 mg -Tablets-J45-5289-04215-01</t>
  </si>
  <si>
    <t>TRIODERMCARE09MOUTHSPRAYB5952990409201</t>
  </si>
  <si>
    <t>TRILTEC-5 MG -CAPSULES-A68-5290-04866-01</t>
  </si>
  <si>
    <t>TRIKAFTA-50 MG,25 MG,37.5 MG,75 MG -TABLETS-O26-8278-08970-02</t>
  </si>
  <si>
    <t>10MG/ML</t>
  </si>
  <si>
    <t>TRANDATE-100 MG -TABLETS-B31-5260-03246-02</t>
  </si>
  <si>
    <t>SODIUM CHLORIDE 0.45% &amp; GLUCOSE 5% W/V BP-50 MG/ML,4.5 MG/ML -SOLUTION FOR INFUSION-G05-4876-01719-02</t>
  </si>
  <si>
    <t>SODIUM CHLORIDE 0.45% &amp; GLUCOSE 5% W/V BP-50 MG/ML,4.5 MG/ML -SOLUTION FOR INFUSION-G05-4876-01719-01</t>
  </si>
  <si>
    <t>28783</t>
  </si>
  <si>
    <t>Engelhard Arzneimittel GmbH &amp; Co. KG, GERMANY</t>
  </si>
  <si>
    <t>22174</t>
  </si>
  <si>
    <t>TELFAST120MGTABLETSL9151300232702</t>
  </si>
  <si>
    <t>TRIAXONE-250 MG -POWDER FOR SOLUTION FOR INTRAMUSCULAR INJECTION-H21-5280-01084-01</t>
  </si>
  <si>
    <t>TOTAMOL-100 mg -Tablets-O70-5244-00511-01</t>
  </si>
  <si>
    <t>TRIHEXYPHENIDYL-5 mg -Tablets-L40-5287-00626-01</t>
  </si>
  <si>
    <t>TRIAXONE-250 MG -POWDER FOR SOLUTION FOR INTRAVENOUS INJECTION-H21-5280-01085-02</t>
  </si>
  <si>
    <t>TRITACE-10 MG -TABLETS-L96-5311-04863-01</t>
  </si>
  <si>
    <t>20428</t>
  </si>
  <si>
    <t>20427</t>
  </si>
  <si>
    <t>G33-5981-05083-01</t>
  </si>
  <si>
    <t>18033</t>
  </si>
  <si>
    <t>18032</t>
  </si>
  <si>
    <t>18031</t>
  </si>
  <si>
    <t>28182</t>
  </si>
  <si>
    <t>18034</t>
  </si>
  <si>
    <t>16739</t>
  </si>
  <si>
    <t>TOROLAC-5 mg/ml -Eye Drops-Y26-5238-03235-02</t>
  </si>
  <si>
    <t>TECFIDERA-120 mg -Sustained Release Capsules-C54-5123-01863-01</t>
  </si>
  <si>
    <t>TRILUMA-0.01 %,4 %,0.05 % -Cream-F29-5291-02380-01</t>
  </si>
  <si>
    <t>24135</t>
  </si>
  <si>
    <t>FENOFIBRATE</t>
  </si>
  <si>
    <t>TELFAST-180 MG -TABLETS-S72-5130-02328-04</t>
  </si>
  <si>
    <t>J23-5298-05496-01</t>
  </si>
  <si>
    <t>LACTOFERRIN</t>
  </si>
  <si>
    <t>TRILUMA0014005CREAMS1752910238001</t>
  </si>
  <si>
    <t>TRIVACIN-4.6 mg/24h -Transdermal Patches-AA7-8773-04947-02</t>
  </si>
  <si>
    <t>AA Pharma Inc, CANADA</t>
  </si>
  <si>
    <t>TRIHEXYPHENIDYL-5 MG -TABLETS-A11-5287-00626-01</t>
  </si>
  <si>
    <t>SUFENTA-5 MCG/ML -SOLUTION FOR INJECTION-T71-7580-05330-01</t>
  </si>
  <si>
    <t>T71-7580-05330-02</t>
  </si>
  <si>
    <t>TONIMER-0.9 % -Liquid For Nasal Spray-G83-5220-05172-01</t>
  </si>
  <si>
    <t>T71-7580-05330-01</t>
  </si>
  <si>
    <t>TROMETHAMINE</t>
  </si>
  <si>
    <t>R14-7315-07302-01</t>
  </si>
  <si>
    <t>50MG/5ML</t>
  </si>
  <si>
    <t>TRIPOFED EXPECTORANT-100 mg/5ml,30 mg/5ml,1.25 mg/5ml -Syrup-H37-5305-04799-01</t>
  </si>
  <si>
    <t>Potential Duplicate Set - 1829</t>
  </si>
  <si>
    <t>60MG</t>
  </si>
  <si>
    <t>22779</t>
  </si>
  <si>
    <t>22778</t>
  </si>
  <si>
    <t>22777</t>
  </si>
  <si>
    <t>20</t>
  </si>
  <si>
    <t>30</t>
  </si>
  <si>
    <t>10</t>
  </si>
  <si>
    <t>MULTIVITAMINS + ZINC</t>
  </si>
  <si>
    <t>1516-100604-1171</t>
  </si>
  <si>
    <t>TIDILOR-10 mg -Tablets-K54-5190-03499-02</t>
  </si>
  <si>
    <t>Manx, UNITED KINGDOM</t>
  </si>
  <si>
    <t>TORASEMIDE</t>
  </si>
  <si>
    <t>Results from Original Delivered - Check for both Medcare/DDC</t>
  </si>
  <si>
    <t>ALGORITHM</t>
  </si>
  <si>
    <t>28784</t>
  </si>
  <si>
    <t>TRAMADOL-50 MG -CAPSULES-L64-7897-05581-01</t>
  </si>
  <si>
    <t>TRIMETHOPRIM-50 mg/5ml -Oral Suspension-K88-5292-05626-01</t>
  </si>
  <si>
    <t>J58-5309-02186-01</t>
  </si>
  <si>
    <t>20MG/ML</t>
  </si>
  <si>
    <t>TORLEVA-750 mg -Tablets-N84-5237-03343-01</t>
  </si>
  <si>
    <t>TRANDATE-5 MG/ML -SOLUTION FOR INJECTION-F61-5260-03248-01</t>
  </si>
  <si>
    <t>TRIMOVAX</t>
  </si>
  <si>
    <t>Pot dupes Serial no Updation -  if any missed</t>
  </si>
  <si>
    <t>RPH Pharmaceuticals AB, SWEDEN</t>
  </si>
  <si>
    <t>SOFAR SPA</t>
  </si>
  <si>
    <t>U35-7757-05600-01</t>
  </si>
  <si>
    <t>27765</t>
  </si>
  <si>
    <t>50MCG/ML</t>
  </si>
  <si>
    <t>TROSPIUM CHLORIDE-20 MG -TABLETS-A36-5325-05644-02</t>
  </si>
  <si>
    <t>K57-4874-01717-01</t>
  </si>
  <si>
    <t>1000</t>
  </si>
  <si>
    <t>SODIUM CHLORIDE 0.45% &amp; GLUCOSE 5% W/V BP-50 mg/ml,4.5 mg/ml -Solution For Infusion-G05-4876-01719-02</t>
  </si>
  <si>
    <t>SODIUM CHLORIDE 0.45% &amp; GLUCOSE 5% W/V BP-50 mg/ml,4.5 mg/ml -Solution For Infusion-G05-4876-01719-01</t>
  </si>
  <si>
    <t>TOVAST-20 mg -Tablets-N01-5248-00521-01</t>
  </si>
  <si>
    <t>TECFIDERA-120 mg -Sustained Release Capsules-C56-5123-01863-01</t>
  </si>
  <si>
    <t>50MG 600MG 300MG</t>
  </si>
  <si>
    <t>Direct.Pharmaceutical Drugs.Central Nervous System.Nonsteroidal Anti-Inflammatory Drugs (Nsaids).KETOROLAC TROMETHAMINE</t>
  </si>
  <si>
    <t>Direct.Pharmaceutical Drugs.Intravenous &amp; Other Sterile Solutions.Intravenous &amp; Other Sterile Solutions.CALCIUM CHLORIDE + POTASSIUM CHLORIDE</t>
  </si>
  <si>
    <t>I99-5259-05577-01</t>
  </si>
  <si>
    <t>Potential Duplicate Set - 1560</t>
  </si>
  <si>
    <t>Activities</t>
  </si>
  <si>
    <t>Direct.Pharmaceutical Drugs.Cardiovascular &amp; Hematopoietic System.Dyslipidaemic Agents.FENOFIBRATE</t>
  </si>
  <si>
    <t>Direct.Pharmaceutical Drugs.Anti-Infectives (Systemic).Antivirals.LAMIVUDINE + ABACAVIR SULFATE + DOLUTEGRAVIR SODIUM</t>
  </si>
  <si>
    <t>SUTENT-50 MG -CAPSULES-K35-5039-05355-02</t>
  </si>
  <si>
    <t>5GM/100G</t>
  </si>
  <si>
    <t>DDC Comment</t>
  </si>
  <si>
    <t>TORVACARD ZENTIVA-10 mg -Tablets-L81-5242-00520-01</t>
  </si>
  <si>
    <t>B31-5260-03247-02</t>
  </si>
  <si>
    <t>TORSEC20MGCAPSULESN8452390416201</t>
  </si>
  <si>
    <t>25729</t>
  </si>
  <si>
    <t>TRIMETHOPRIM-50 MG/5ML -ORAL SUSPENSION-A41-5292-05626-01</t>
  </si>
  <si>
    <t>TECFIDERA120MGSUSTAINEDRELEASECAPSULESC5451230186301</t>
  </si>
  <si>
    <t>167</t>
  </si>
  <si>
    <t>Direct.Pharmaceutical Drugs.Vitamins &amp; Minerals.Vitamins &amp;/Or Minerals.THIAMINE HCL + PYRIDOXINE HYDROCHLORIDE + CYANOCOBALAMIN</t>
  </si>
  <si>
    <t>SODIUM CHLORIDE &amp; DEXTROSE[PHARMACEUTICAL] SOLUTION FOR INFUSION (500 mL)</t>
  </si>
  <si>
    <t>Direct.Pharmaceutical Drugs.Allergy &amp; Immune System.Immunosuppressants.DIMETHYL FUMARATE</t>
  </si>
  <si>
    <t>FUSIDIC ACID</t>
  </si>
  <si>
    <t>A68-5290-04860-01</t>
  </si>
  <si>
    <t>ALIUD PHARMA GMBH</t>
  </si>
  <si>
    <t>Potential Duplicate Set - 1106</t>
  </si>
  <si>
    <t>H92-5314-04545-01</t>
  </si>
  <si>
    <t>TRAMAL-50 MG/ML -SOLUTION FOR INJECTION-N05-5257-05583-02</t>
  </si>
  <si>
    <t>Tube</t>
  </si>
  <si>
    <t>TRIODERMCARE5NASALSPRAYB5952990503601</t>
  </si>
  <si>
    <t>Direct.Pharmaceutical Drugs.Allergy &amp; Immune System.Vaccines, Antisera &amp; Immunologicals.MEASLES VIRUS VACCINE + MUMPS VIRUS VACCINE + RUBELLA VIRUS VACCINE</t>
  </si>
  <si>
    <t>25717</t>
  </si>
  <si>
    <t>TOVASTSPIMACO40MGFILMCOATEDTABLETS30TAB</t>
  </si>
  <si>
    <t>D42-5307-00447-01</t>
  </si>
  <si>
    <t>TRIAXONE-250 mg -Powder For Solution For Intramuscular Injection-H21-5280-01084-02</t>
  </si>
  <si>
    <t>24920</t>
  </si>
  <si>
    <t>5MG/ML</t>
  </si>
  <si>
    <t>B59-5299-04092-01</t>
  </si>
  <si>
    <t>TROFENTYL-50 mcg/ml -Solution For Injection-W92-8187-07491-01</t>
  </si>
  <si>
    <t>TRACTOCILE-7.5 MG/ML -SOLUTION FOR INJECTION-E94-5253-00525-01</t>
  </si>
  <si>
    <t>TOROLAC5MGMLEYEDROPSI8652380323501</t>
  </si>
  <si>
    <t>L73-5261-05590-01</t>
  </si>
  <si>
    <t>TRINURON-200 mcg,200 mg,100 mg -Tablets-J23-5298-05496-01</t>
  </si>
  <si>
    <t>TRIPROLIDINE + PSEUDOEPHEDRINE + DEXTROMETHORPHAN</t>
  </si>
  <si>
    <t>TRIPACEL DTAP</t>
  </si>
  <si>
    <t>C54-5123-01863-01</t>
  </si>
  <si>
    <t>TRIOPAN-0.75 g/100ml,1 g/100ml -Syrup-G93-5300-02709-01</t>
  </si>
  <si>
    <t>26254</t>
  </si>
  <si>
    <t>TRANEXAMIC ACID-500 MG -TABLETS-I24-5261-05590-01</t>
  </si>
  <si>
    <t xml:space="preserve">Medcare- Category </t>
  </si>
  <si>
    <t>TORSEC-20 MG -CAPSULES-N84-5239-04162-01</t>
  </si>
  <si>
    <t>7.5MG/ML</t>
  </si>
  <si>
    <t>50MG/ML</t>
  </si>
  <si>
    <t>ELEXACAFTOR + TEZACAFTOR + IVACAFTOR + IVACAFTOR</t>
  </si>
  <si>
    <t>17343</t>
  </si>
  <si>
    <t>ISOSORBIDE MONONITRATE</t>
  </si>
  <si>
    <t>TROPICAMIDE-10 MG/ML -EYE DROPS (MINIMS)-B92-5323-05641-01</t>
  </si>
  <si>
    <t>TRAMAL-50 MG/ML -SOLUTION FOR INJECTION-N05-5257-05583-01</t>
  </si>
  <si>
    <t>Vial</t>
  </si>
  <si>
    <t>TRANGINA XL-60 MG -EXTENDED RELEASE TABLETS-A41-7485-07184-01</t>
  </si>
  <si>
    <t>TRESIBA100IUMLSOLUTIONFORINJECTIONJ5852750298501</t>
  </si>
  <si>
    <t>I19-5324-05643-01</t>
  </si>
  <si>
    <t>TOOTSWEET-24 % -Oral Solution-J18-5227-05328-01</t>
  </si>
  <si>
    <t>TELFAST-120 MG -TABLETS-L91-5130-02327-02</t>
  </si>
  <si>
    <t>TELFAST120MGTABLETSS7251300232703</t>
  </si>
  <si>
    <t>TETRALYSAL-300 mg -Capsules-F26-5156-03525-01</t>
  </si>
  <si>
    <t>TETRALYSAL-300 mg -Capsules-F26-5156-03525-02</t>
  </si>
  <si>
    <t>BT2-8957-09854-02</t>
  </si>
  <si>
    <t>0.08%</t>
  </si>
  <si>
    <t>FOCUS UK</t>
  </si>
  <si>
    <t>A70-5235-05570-01</t>
  </si>
  <si>
    <t>TRILTEC-1.25 mg -Capsules-A68-5290-04860-01</t>
  </si>
  <si>
    <t>TOPIDIC20MGGGELK5452290249701</t>
  </si>
  <si>
    <t>SODIUM CHLORIDE 0.225% W/V &amp; DEXTROSE 5% W/V-50 mg/ml,2.25 mg/ml -Solution For Infusion-K57-4874-01717-01</t>
  </si>
  <si>
    <t>PHARMACEUTICAL SOLUTION IND</t>
  </si>
  <si>
    <t>RIEMSER PHARMA GMBH</t>
  </si>
  <si>
    <t>25MG 160MG</t>
  </si>
  <si>
    <t>TOPIDIC-20 mg/g -Gel-K54-5229-02497-01</t>
  </si>
  <si>
    <t>Glaxo Wellcome Operations, UNITED KINGDOM</t>
  </si>
  <si>
    <t>Difference in "CPT Code"</t>
  </si>
  <si>
    <t>Boehringer Ingelheim Roxane Inc., U.S.A</t>
  </si>
  <si>
    <t>20451</t>
  </si>
  <si>
    <t>TRANDATE-5 mg/ml -Solution For Injection-F61-5260-03248-01</t>
  </si>
  <si>
    <t>TORLEVA-500 MG -TABLETS-N84-5237-03340-01</t>
  </si>
  <si>
    <t>TECFIDERA120MGSUSTAINEDRELEASECAPSULESC5251230186301</t>
  </si>
  <si>
    <t>TORLEVA500MGTABLETSN8452370334001</t>
  </si>
  <si>
    <t>0669-174201-1452</t>
  </si>
  <si>
    <t>Lagap SA, SWITZERLAND</t>
  </si>
  <si>
    <t>TRIXAICIN-0.03 % -Cream-L16-5316-00945-01</t>
  </si>
  <si>
    <t>A44-5251-00750-01</t>
  </si>
  <si>
    <t>SUTENT-50 MG -CAPSULES-K35-5039-05355-01</t>
  </si>
  <si>
    <t>TRISENOX1MGMLSOLUTIONFORINJECTIOND4253070044701</t>
  </si>
  <si>
    <t>CILAG LTD</t>
  </si>
  <si>
    <t>Vertex Pharmaceuticals Inc, U.S.A</t>
  </si>
  <si>
    <t>MANX</t>
  </si>
  <si>
    <t>TINEFCON700MGTABLETSK9152020265702</t>
  </si>
  <si>
    <t>Brand Name Comment</t>
  </si>
  <si>
    <t>LINAGLIPTIN</t>
  </si>
  <si>
    <t>TORVACARD ZENTIVA-20 MG -TABLETS-L81-5242-00521-01</t>
  </si>
  <si>
    <t>QUANTITY_UNIT</t>
  </si>
  <si>
    <t>8</t>
  </si>
  <si>
    <t>TOPOTECAN HOSPIRA-4 MG/4ML -SOLUTION FOR INJECTION-G47-5233-05568-01</t>
  </si>
  <si>
    <t>Cotrimoxazole</t>
  </si>
  <si>
    <t>TRANDATE100MGTABLETSB3152600324601</t>
  </si>
  <si>
    <t>1MG 1MG 1.8MG</t>
  </si>
  <si>
    <t>TORLEVA-750 MG -TABLETS-N84-5237-03343-01</t>
  </si>
  <si>
    <t>60MG/ML</t>
  </si>
  <si>
    <t>TOURNES25MGTABLETSG3359810508302</t>
  </si>
  <si>
    <t>B31-5260-03246-02</t>
  </si>
  <si>
    <t>TOPAMAX-15 MG -CAPSULES-D58-5228-05558-01</t>
  </si>
  <si>
    <t>STERILE WATER FOR IRRIGATION-100 % -STERILE WATER FOR IRRIGATION-G05-4981-05975-02</t>
  </si>
  <si>
    <t>TRITANTRIXHB+HIBERIXVACCINE</t>
  </si>
  <si>
    <t>CRESCENT PHARMACEUTICALS</t>
  </si>
  <si>
    <t>ACTELION PHARMACEUTICALS LTD</t>
  </si>
  <si>
    <t>TRISODIUM CITRATE-100 g -Powder For Oral Solution-I68-5310-05637-01</t>
  </si>
  <si>
    <t>Medcare- Sub Category</t>
  </si>
  <si>
    <t>NATUS MEDICAL INC</t>
  </si>
  <si>
    <t>TRAMADOL STADA-100 mg/ml -Oral Drops-N06-5256-05576-01</t>
  </si>
  <si>
    <t>SILDENAFIL</t>
  </si>
  <si>
    <t>TRILTEC25MGCAPSULESA6852900486401</t>
  </si>
  <si>
    <t>TORVACOL20MGTABLETSN6852430052101</t>
  </si>
  <si>
    <t>30415</t>
  </si>
  <si>
    <t>Crescent Pharma, UNITED KINGDOM</t>
  </si>
  <si>
    <t>GALDERMA</t>
  </si>
  <si>
    <t>24481</t>
  </si>
  <si>
    <t>TADAZEV20MGTABLETSQ0663390537601</t>
  </si>
  <si>
    <t>L15-5247-05507-01</t>
  </si>
  <si>
    <t>TRILUMA-0.01 %,4 %,0.05 % -CREAM-S17-5291-02380-01</t>
  </si>
  <si>
    <t>TOPIZONE-1 mg/g,20 mg/g -Cream-K54-5230-00663-01</t>
  </si>
  <si>
    <t>TRIMINEURIN-100 MG -TABLETS-G33-6528-06648-01</t>
  </si>
  <si>
    <t>25MG</t>
  </si>
  <si>
    <t>0995-336501-1131</t>
  </si>
  <si>
    <t>Direct.Pharmaceutical Drugs.Ear &amp; Mouth / Throat.Mouth/Throat Preparations.ALUM + LIDOCAINE + PROPYLHYDROXYBENZOATE</t>
  </si>
  <si>
    <t>TRANDATE100MGTABLETSO0152600324601</t>
  </si>
  <si>
    <t>TRACHITOL LOZENGES 20'S</t>
  </si>
  <si>
    <t>TORVACOL40MGTABLETSN6852430052201</t>
  </si>
  <si>
    <t>QUALITEST PHARMACEUTICALS</t>
  </si>
  <si>
    <t>JANSSEN-CILAG LTD</t>
  </si>
  <si>
    <t>TORLEVA-1000 MG -TABLETS-N84-5237-03335-01</t>
  </si>
  <si>
    <t>17614</t>
  </si>
  <si>
    <t>G05-4873-01717-02</t>
  </si>
  <si>
    <t>G05-4873-01717-01</t>
  </si>
  <si>
    <t>17613</t>
  </si>
  <si>
    <t>Direct.Pharmaceutical Drugs.Anti-Infectives (Systemic).Antivirals.ABACAVIR + LAMIVUDINE + ZIDOVUDINE</t>
  </si>
  <si>
    <t>SANOFI</t>
  </si>
  <si>
    <t>C84-5255-03449-01</t>
  </si>
  <si>
    <t>28356</t>
  </si>
  <si>
    <t>TRANDATE-100 mg -Tablets-O01-5260-03246-01</t>
  </si>
  <si>
    <t>E94-5253-00525-01</t>
  </si>
  <si>
    <t>42921</t>
  </si>
  <si>
    <t>Qualitest Pharmaceuticals, U.S.A</t>
  </si>
  <si>
    <t>Potential Duplicate Set - 1447</t>
  </si>
  <si>
    <t>TRILAC-40 mg/ml -Suspension for Intramuscular Injection-U12-9198-09853-02</t>
  </si>
  <si>
    <t>27539</t>
  </si>
  <si>
    <t>23176</t>
  </si>
  <si>
    <t>V34-7970-07826-01</t>
  </si>
  <si>
    <t>G83-5220-05172-01</t>
  </si>
  <si>
    <t>Direct.Pharmaceutical Drugs.Intravenous &amp; Other Sterile Solutions.Intravenous &amp; Other Sterile Solutions.GLUCOSE + SODIUM CHLORIDE</t>
  </si>
  <si>
    <t>IVY LEAF DRY EXTRACT + THYME DRY EXTRACT</t>
  </si>
  <si>
    <t>TRINURON-200 MCG,200 MG,100 MG -TABLETS-J23-5298-05496-01</t>
  </si>
  <si>
    <t>WELLPHARMA MEDICAL SOLUTIONS LLC</t>
  </si>
  <si>
    <t>TORVACARDZENTIVA40MGTABLETSL8152420052201</t>
  </si>
  <si>
    <t>Q06-6339-05376-02</t>
  </si>
  <si>
    <t>Q06-6339-05376-01</t>
  </si>
  <si>
    <t>L81-5242-00521-01</t>
  </si>
  <si>
    <t>200</t>
  </si>
  <si>
    <t>25710</t>
  </si>
  <si>
    <t>18078</t>
  </si>
  <si>
    <t>SODIUMBICARBONATE500GMPOWDERFORCOMPOUNDINGN7548640513701</t>
  </si>
  <si>
    <t>Novartis Pharma SA, FRANCE</t>
  </si>
  <si>
    <t>TRIXAICIN HP-0.08 % -Cream-L16-5317-00946-01</t>
  </si>
  <si>
    <t>SODIUMCHLORIDE0225GLUCOSE5WVBP50MGML225MGMLSOLUTIONFORINFUSIONG0548730171702</t>
  </si>
  <si>
    <t>J58-5308-02184-01</t>
  </si>
  <si>
    <t>39279</t>
  </si>
  <si>
    <t>TRAMAL50MGMLSOLUTIONFORINJECTIONN0552570558302</t>
  </si>
  <si>
    <t>TORAS-DENK-10 mg -Tablets-R14-7315-07301-01</t>
  </si>
  <si>
    <t>Aveflor a.s., CZECH REPUBLIC</t>
  </si>
  <si>
    <t>TROPEX-50 MG/ML -EAR DROPS-L53-5322-04463-01</t>
  </si>
  <si>
    <t>Rowa Pharmaceuticals, IRELAND</t>
  </si>
  <si>
    <t>Direct.Pharmaceutical Drugs.Anti-Infectives (Systemic).Tetracyclines.LYMECYCLINE</t>
  </si>
  <si>
    <t>Direct.Pharmaceutical Drugs.Respiratory System.Antiasthmatic &amp; Copd Preparations.BECLOMETASONE DIPROPIONATE + FORMOTEROL FUMARATE DIHYDRATE + GLYCOPYRRONIUM</t>
  </si>
  <si>
    <t>RefSlNo.</t>
  </si>
  <si>
    <t>ACINO</t>
  </si>
  <si>
    <t>TORVACOL-40 MG -TABLETS-N68-5243-00522-01</t>
  </si>
  <si>
    <t>Salutas Pharma GmbH, GERMANY</t>
  </si>
  <si>
    <t>Sanofi-Aventis S.p.A., ITALY</t>
  </si>
  <si>
    <t>G47-5233-05568-01</t>
  </si>
  <si>
    <t>Difference in "MFR Info &amp; CPT Code"</t>
  </si>
  <si>
    <t>TROSPIUM15MGTABLETSI1953240564301</t>
  </si>
  <si>
    <t>Potential Duplicate Set - 216</t>
  </si>
  <si>
    <t>E50-5249-01168-01</t>
  </si>
  <si>
    <t>21887</t>
  </si>
  <si>
    <t>27558</t>
  </si>
  <si>
    <t>TOPRAZ40MGGASTRORESISTANTTABLETSY6296270863101</t>
  </si>
  <si>
    <t>17646</t>
  </si>
  <si>
    <t>CPT_CODE</t>
  </si>
  <si>
    <t>G05-4876-01719-02</t>
  </si>
  <si>
    <t>G05-4876-01719-01</t>
  </si>
  <si>
    <t>MEDISAL PHARMACEUTICALS INDUSTRY LLC</t>
  </si>
  <si>
    <t>500</t>
  </si>
  <si>
    <t>TRILAGAVIT-1 mg,100 mg,250 mg -Solution For Injection-H77-5288-05478-01</t>
  </si>
  <si>
    <t>TRIVACIN46MG24HTRANSDERMALPATCHESAA787730494702</t>
  </si>
  <si>
    <t>TOPAMAX25MGCAPSULESD5852280556001</t>
  </si>
  <si>
    <t>4.6MG</t>
  </si>
  <si>
    <t>TORTANDIOH25MG160MGTABLETSN8452410578201</t>
  </si>
  <si>
    <t>TRIPLIXAMP10IND25A55MG25MG10MGTABLETSM4063650444801</t>
  </si>
  <si>
    <t>4MG 1MG</t>
  </si>
  <si>
    <t>TOTAMOL100MGTABLETSO7052440051101</t>
  </si>
  <si>
    <t>TRISODIUMCITRATE100GPOWDERFORORALSOLUTIONI6853100563702</t>
  </si>
  <si>
    <t>NEO PHARMA</t>
  </si>
  <si>
    <t>F61-5260-03248-01</t>
  </si>
  <si>
    <t>GlaxoSmithKline Pharmaceutical S.A., POLAND</t>
  </si>
  <si>
    <t>TRAMUNDIN RETARD-100 MG -MODIFIED RELEASE TABLETS-I99-5259-05574-01</t>
  </si>
  <si>
    <t>Potential Duplicate Set - 714</t>
  </si>
  <si>
    <t>TRISEQUENS FORTE-4 mg,1 mg -Tablets-J58-5309-02186-01</t>
  </si>
  <si>
    <t>TRIAXONE-250 mg -Powder For Solution For Intravenous Injection-H21-5280-01085-01</t>
  </si>
  <si>
    <t>10ML</t>
  </si>
  <si>
    <t>B59-5299-05036-01</t>
  </si>
  <si>
    <t>TORASEMIDAL10MGTABLETSA7052350557001</t>
  </si>
  <si>
    <t>TRIPLIXAMP5IND125A55MG125MG5MGTABLETSM4063670445001</t>
  </si>
  <si>
    <t>Direct.Pharmaceutical Drugs.Vitamins &amp; Minerals.Vitamins &amp;/Or Minerals.MULTIVITAMINS + ZINC</t>
  </si>
  <si>
    <t>23427</t>
  </si>
  <si>
    <t>Strength</t>
  </si>
  <si>
    <t>17889</t>
  </si>
  <si>
    <t>TRIMETHOPRIM-100 MG -TABLETS-R86-5292-05624-02</t>
  </si>
  <si>
    <t>62.5MG</t>
  </si>
  <si>
    <t>STERILE WATER FOR IRRIGATION-100 % -Sterile Water For Irrigation-G05-4981-05975-01</t>
  </si>
  <si>
    <t>ATENOLOL</t>
  </si>
  <si>
    <t>TELFAST-180 MG -TABLETS-S72-5130-02328-03</t>
  </si>
  <si>
    <t>VIIV HEALTHCARE PTY LTD</t>
  </si>
  <si>
    <t>TRANDATE-200 MG -TABLETS-B31-5260-03247-02</t>
  </si>
  <si>
    <t>TRIZIVIR300MG150MG300MGTABLETSF7553180007401</t>
  </si>
  <si>
    <t>TRINEX-145 MG -TABLETS-J30-5297-02284-01</t>
  </si>
  <si>
    <t>D27-6911-05571-01</t>
  </si>
  <si>
    <t>TRODELVY-180 mg -Lyophilized Preparation For Solution For Intravenous Infusion-V34-7970-07826-01</t>
  </si>
  <si>
    <t>FLUCONAZOLE</t>
  </si>
  <si>
    <t>Trium Free-0.15 % / 10 ml,0.05 % / 10 ml -Eye Drops-BT2-8957-09854-02</t>
  </si>
  <si>
    <t>27591</t>
  </si>
  <si>
    <t>BIOGEN IDEC LTD</t>
  </si>
  <si>
    <t>TRAMADOL STADA-100 MG/ML -ORAL DROPS-N06-5256-05576-01</t>
  </si>
  <si>
    <t>Aspen Bad Oldesloe GmbH, GERMANY</t>
  </si>
  <si>
    <t>23624</t>
  </si>
  <si>
    <t>23622</t>
  </si>
  <si>
    <t>23623</t>
  </si>
  <si>
    <t>TRIPOFED30MG5ML125MG5MLSYRUPALCOHOLFREEH3753030479401</t>
  </si>
  <si>
    <t>ViiV Healthcare UK Limited, UNITED KINGDOM</t>
  </si>
  <si>
    <t>SODIUMCHLORIDEPOTASSIUMCHLORIDE10MMOL100ML10MMOL100MLSOLUTIONFORINTRAVENOUSINFUSIONR5368310692001</t>
  </si>
  <si>
    <t>SODIUM BICARBONATE-325 MG -TABLETS-L57-4864-05134-01</t>
  </si>
  <si>
    <t>DDC Source</t>
  </si>
  <si>
    <t>TECFIDERA120MGSUSTAINEDRELEASECAPSULESC5651230186301</t>
  </si>
  <si>
    <t>D58-5228-05558-01</t>
  </si>
  <si>
    <t>TRACLEER625MGTABLETSA4452510075001</t>
  </si>
  <si>
    <t>17650</t>
  </si>
  <si>
    <t>Potential Duplicate Set - 217</t>
  </si>
  <si>
    <t>AMLODIPINE BESYLATE + INDAPAMIDE + PERINDOPRIL ERBUMINE</t>
  </si>
  <si>
    <t>SPIMACO</t>
  </si>
  <si>
    <t>TORLEVA250MGTABLETSN8452370333801</t>
  </si>
  <si>
    <t>NORMAL SALINE</t>
  </si>
  <si>
    <t>Direct.Pharmaceutical Drugs.Oncology.Co Trimoxazole(Trimethoprim+Sulphamethoxazole).CO TRIMOXAZOLE(TRIMETHOPRIM + SULPHAMETHOXAZOLE)</t>
  </si>
  <si>
    <t>TRIS-360 mg/ml -Solution For Injection-B78-5306-05639-01</t>
  </si>
  <si>
    <t>21343</t>
  </si>
  <si>
    <t>21344</t>
  </si>
  <si>
    <t>Torrent Pharmaceutical Ltd., INDIA</t>
  </si>
  <si>
    <t>SODIUMCHLORIDE0225GLUCOSE5WVBP50MGML225MGMLSOLUTIONFORINFUSIONG0548730171701</t>
  </si>
  <si>
    <t>N68-5243-00522-01</t>
  </si>
  <si>
    <t>B78-5306-05639-01</t>
  </si>
  <si>
    <t>Exact Duplicate</t>
  </si>
  <si>
    <t>24919</t>
  </si>
  <si>
    <t>TOTAMOL-50 MG -TABLETS-O70-5244-00513-01</t>
  </si>
  <si>
    <t>Medstore Item code</t>
  </si>
  <si>
    <t>Medcare- Manufacturer Name</t>
  </si>
  <si>
    <t>20600</t>
  </si>
  <si>
    <t>TRIZOL150MGCAPSULESJ3053190235701</t>
  </si>
  <si>
    <t>N84-5237-03338-01</t>
  </si>
  <si>
    <t>27547</t>
  </si>
  <si>
    <t>Direct.Pharmaceutical Drugs.Respiratory System.Cough &amp; Cold Preparations.HERBAL</t>
  </si>
  <si>
    <t>Potential Duplicate Set - 1197</t>
  </si>
  <si>
    <t>27554</t>
  </si>
  <si>
    <t>STRESSTABS WITH ZINC[WYETH] TABLETS (30 TAB)</t>
  </si>
  <si>
    <t>N05-5257-05583-01</t>
  </si>
  <si>
    <t>TRIHEXYPHENIDYL2MGTABLETSL1652870062501</t>
  </si>
  <si>
    <t>Nexgen Pharma FZ LLC, U.A.E</t>
  </si>
  <si>
    <t>K54-5190-03499-02</t>
  </si>
  <si>
    <t>17272</t>
  </si>
  <si>
    <t>IMMUNOMEDICS INC., United States of America</t>
  </si>
  <si>
    <t>TRIVIT-200 MCG,200 MG,100 MG -TABLETS-H95-5315-05497-01</t>
  </si>
  <si>
    <t>TRITACE-1.25 MG -TABLETS-L96-5311-04861-01</t>
  </si>
  <si>
    <t>CHLORHEXIDINE GLUCONATE + LIDOCAINE HCL</t>
  </si>
  <si>
    <t>0252-211701-0391</t>
  </si>
  <si>
    <t>TRESIBA100IUMLSOLUTIONFORINJECTIONJ5852750298502</t>
  </si>
  <si>
    <t>1</t>
  </si>
  <si>
    <t>TRIVASTAL RETARD-50 MG -TABLETS-H92-5314-04545-01</t>
  </si>
  <si>
    <t>TRILTEC-1.25 MG -CAPSULES-A68-5290-04860-01</t>
  </si>
  <si>
    <t>17770</t>
  </si>
  <si>
    <t>TORVACARD ZENTIVA-40 MG -TABLETS-L81-5242-00522-01</t>
  </si>
  <si>
    <t>29060</t>
  </si>
  <si>
    <t>TETRALYSAL300MGCAPSULESF2651560352501</t>
  </si>
  <si>
    <t>SANOFI INDIA LTD</t>
  </si>
  <si>
    <t>TRITACE-5 MG -TABLETS-L96-5311-04867-01</t>
  </si>
  <si>
    <t>TRIAXONE-1 G -POWDER FOR SOLUTION FOR INTRAMUSCULAR INJECTION-H21-5280-01080-02</t>
  </si>
  <si>
    <t>TROPEX-50 mg/ml -Ear Drops-L53-5322-04463-01</t>
  </si>
  <si>
    <t>H77-5288-05478-01</t>
  </si>
  <si>
    <t>RISING PHARMA</t>
  </si>
  <si>
    <t>TROPICAMIDE-10 mg/ml -Eye Drops (Minims)-B92-5323-05641-01</t>
  </si>
  <si>
    <t>K54-5190-03499-01</t>
  </si>
  <si>
    <t>Potential Duplicate Set - 703</t>
  </si>
  <si>
    <t>Potential Duplicate Set - 702</t>
  </si>
  <si>
    <t>Generic Name(For "Pharma Drugs" category Only)</t>
  </si>
  <si>
    <t>28690</t>
  </si>
  <si>
    <t>Direct.Pharmaceutical Drugs.Central Nervous System.Anticonvulsants.TOPIRAMATE</t>
  </si>
  <si>
    <t>27587</t>
  </si>
  <si>
    <t>23435</t>
  </si>
  <si>
    <t>Pack</t>
  </si>
  <si>
    <t>23430</t>
  </si>
  <si>
    <t>TRIHEXYPHENIDYL-5 MG -TABLETS-L40-5287-00626-01</t>
  </si>
  <si>
    <t>STERILE WATER FOR IRRIGATION-100 % -Sterile Water For Irrigation-G05-4981-05975-02</t>
  </si>
  <si>
    <t>SODIUM BICARBONATE-500 gm -Powder For Compounding-N75-4864-05137-01</t>
  </si>
  <si>
    <t>TRIMETHOPRIM100MGTABLETSC9752920562401</t>
  </si>
  <si>
    <t>K88-5292-05626-01</t>
  </si>
  <si>
    <t>Direct.Pharmaceutical Drugs.Oncology.Cytotoxic Chemotherapy.ARSENIC TRIOXIDE</t>
  </si>
  <si>
    <t>1-A-BV05-HW-IB77-AM32-X-00002</t>
  </si>
  <si>
    <t>TORLEVA-250 mg -Tablets-N84-5237-03338-01</t>
  </si>
  <si>
    <t>ATORVASTATIN</t>
  </si>
  <si>
    <t>TOPIRAMATE</t>
  </si>
  <si>
    <t>TRILUMA-0.01 %,4 %,0.05 % -Cream-S17-5291-02380-01</t>
  </si>
  <si>
    <t>TRIPOFED EXPECTORANT-100 MG/5ML,30 MG/5ML,1.25 MG/5ML -SYRUP-H37-5305-04799-01</t>
  </si>
  <si>
    <t>TORVACOL-40 mg -Tablets-N68-5243-00522-01</t>
  </si>
  <si>
    <t>JULPHAR</t>
  </si>
  <si>
    <t>TRIAXONE-1 G -POWDER FOR SOLUTION FOR INTRAMUSCULAR INJECTION-H21-5280-01080-01</t>
  </si>
  <si>
    <t>Rising Pharmaceuticals, U.S.A</t>
  </si>
  <si>
    <t>TRAJENTA-5 mg -Tablets-C84-5255-03449-01</t>
  </si>
  <si>
    <t>SODIUM CHLORIDE 0.225% &amp; DEXTROSE 5% W/V B.P-50 mg/ml,2.25 mg/ml -Solution For Infusion-H37-4872-01717-01</t>
  </si>
  <si>
    <t>TRIXAICIN HP-0.08 % -CREAM-L16-5317-00946-01</t>
  </si>
  <si>
    <t>SUFENTA5MCGMLSOLUTIONFORINJECTIONT7175800533001</t>
  </si>
  <si>
    <t>SUFENTA5MCGMLSOLUTIONFORINJECTIONT7175800533002</t>
  </si>
  <si>
    <t>TRIZOL-150 MG -CAPSULES-J30-5319-02357-01</t>
  </si>
  <si>
    <t>Lifepharma FZE, U.A.E</t>
  </si>
  <si>
    <t>TROFENTYL-50 MCG/ML -SOLUTION FOR INJECTION-W92-8187-07491-01</t>
  </si>
  <si>
    <t>1MG/ML</t>
  </si>
  <si>
    <t>TIDILOR10MGTABLETSK5451900349902</t>
  </si>
  <si>
    <t>Julphar (Gulf Pharmaceutical Industries), U.A.E</t>
  </si>
  <si>
    <t>Potential Duplicate Remarks</t>
  </si>
  <si>
    <t>TRISUVA10MGMLSUBCUTANEOUSINFUSIONU3577570559801</t>
  </si>
  <si>
    <t>TRIVACIN-9.5 MG/24HRS -TRANSDERMAL PATCHES-Z95-8773-08639-02</t>
  </si>
  <si>
    <t>TORVACARD ZENTIVA-20 mg -Tablets-L81-5242-00521-01</t>
  </si>
  <si>
    <t>700MG</t>
  </si>
  <si>
    <t>Code</t>
  </si>
  <si>
    <t>MADAUS</t>
  </si>
  <si>
    <t>Potential Duplicate Set - 420</t>
  </si>
  <si>
    <t>SODIUM BICARBONATE-500 G -POWDER FOR COMPOUNDING-N75-4864-05135-01</t>
  </si>
  <si>
    <t>H37-5303-04794-01</t>
  </si>
  <si>
    <t>IU</t>
  </si>
  <si>
    <t>TRANEXAMIC ACID 500 MG TABLETS [BOTTLE(100 TABLET)]</t>
  </si>
  <si>
    <t>SANOFI AVENTIS</t>
  </si>
  <si>
    <t>360MG/ML</t>
  </si>
  <si>
    <t>TRIAXONE-1 g -Powder For Solution For Intramuscular Injection-H21-5280-01080-01</t>
  </si>
  <si>
    <t>TOPIZONE1MGG20MGGCREAMK5452300066301</t>
  </si>
  <si>
    <t>TIDILOR-10 MG -TABLETS-K54-5190-03499-01</t>
  </si>
  <si>
    <t>Janssen-Cilag AG, SWITZERLAND</t>
  </si>
  <si>
    <t>NOVARTIS</t>
  </si>
  <si>
    <t>Camber Pharmaceutical Inc., U.S.A</t>
  </si>
  <si>
    <t>J58-5275-02985-01</t>
  </si>
  <si>
    <t>A44-5251-00749-01</t>
  </si>
  <si>
    <t>STERILE WATER FOR IRRIGATION-100 % -STERILE WATER FOR IRRIGATION-G05-4981-05975-01</t>
  </si>
  <si>
    <t>TORSEMIDE-10 MG -TABLETS-D27-6911-05570-01</t>
  </si>
  <si>
    <t>TELFAST180MGTABLETSL9151300232802</t>
  </si>
  <si>
    <t>TRIPLIXAM P5/IND 1.25/A10-10 MG,1.25 MG,5 MG -TABLETS-M40-6366-04449-01</t>
  </si>
  <si>
    <t>23101</t>
  </si>
  <si>
    <t>TORSEMIDE-20 MG -TABLETS-D27-6911-05571-01</t>
  </si>
  <si>
    <t>0.75GM/100ML 1GM/100ML</t>
  </si>
  <si>
    <t>TRIKAFTA100MG50MG75MG150MGTABLETSO2682780818801</t>
  </si>
  <si>
    <t>Bausch &amp; Lomb, FRANCE</t>
  </si>
  <si>
    <t>Direct.Pharmaceutical Drugs.Eye.Ophthalmic Lubricants.HYALURONIC ACID + GINKGO BILOBA + L HYDROGLYCOLIC EXTRACT</t>
  </si>
  <si>
    <t>ALUM + LIDOCAINE + PROPYLHYDROXYBENZOATE</t>
  </si>
  <si>
    <t>Allot</t>
  </si>
  <si>
    <t>HEXAL</t>
  </si>
  <si>
    <t>2.5/A5-5MG 2.5MG 10MG</t>
  </si>
  <si>
    <t>MEASLES VIRUS VACCINE + MUMPS VIRUS VACCINE + RUBELLA VIRUS VACCINE</t>
  </si>
  <si>
    <t>TOPAMAX-50 mg -Tablets-H01-5228-05563-01</t>
  </si>
  <si>
    <t>TRINURON200MCG200MG100MGTABLETSJ2352980549601</t>
  </si>
  <si>
    <t>Ferring International Center S.A., SWITZERLAND</t>
  </si>
  <si>
    <t>Direct.Pharmaceutical Drugs.Nutrition.Electrolytes.DEXTROSE + SODIUM CHLORIDE</t>
  </si>
  <si>
    <t>TRIPLIXAM P5/Ind 1.25/A5-5 mg,1.25 mg,5 mg -Tablets-M40-6367-04450-01</t>
  </si>
  <si>
    <t>SODIUM CHLORIDE 0.45% W/V &amp; DEXTROSE 5% W/V-50 MG/ML,4.5 MG/ML -SOLUTION FOR INFUSION-K57-4877-01719-01</t>
  </si>
  <si>
    <t>INSULIN GLARGINE</t>
  </si>
  <si>
    <t>FOCUS PHARMACEUTICALS LIMITED, UNITED KINGDOM</t>
  </si>
  <si>
    <t>TRINEX-48 mg -Tablets-J30-5297-02287-01</t>
  </si>
  <si>
    <t>CAPSAICIN</t>
  </si>
  <si>
    <t>TRINEX-48 MG -TABLETS-J30-5297-02287-01</t>
  </si>
  <si>
    <t>TORVACOL10MGTABLETSN6852430052001</t>
  </si>
  <si>
    <t>PFIZER</t>
  </si>
  <si>
    <t>23503</t>
  </si>
  <si>
    <t>TRISEQUENS2MG1MGTABLETSJ5853080218401</t>
  </si>
  <si>
    <t>BOEHRINGER INGELHEIM</t>
  </si>
  <si>
    <t>25716</t>
  </si>
  <si>
    <t>28138</t>
  </si>
  <si>
    <t>25713</t>
  </si>
  <si>
    <t>TELFAST180MGTABLETSS7251300232803</t>
  </si>
  <si>
    <t>TELFAST180MGTABLETSS7251300232804</t>
  </si>
  <si>
    <t>Direct.Pharmaceutical Drugs.Ear &amp; Mouth / Throat.Mouth/Throat Preparations.CHLORHEXIDINE GLUCONATE + LIDOCAINE HCL</t>
  </si>
  <si>
    <t>Direct.Pharmaceutical Drugs.Gastrointestinal &amp; Hepatobiliary System.Laxatives, Purgatives.GLYCEROL</t>
  </si>
  <si>
    <t>N06-5256-05576-01</t>
  </si>
  <si>
    <t>TRITACE-2.5 mg -Tablets-L96-5311-04865-01</t>
  </si>
  <si>
    <t>H01-5228-05559-01</t>
  </si>
  <si>
    <t>Direct.Pharmaceutical Drugs.Rheumatoid Arthritis.Nonsteroidal Anti-Inflammatory Drugs (Nsaids).TREPROSTINIL</t>
  </si>
  <si>
    <t>BAXTER INTERNATIONAL</t>
  </si>
  <si>
    <t>TRANDATE-200 mg -Tablets-B31-5260-03247-01</t>
  </si>
  <si>
    <t>27548</t>
  </si>
  <si>
    <t>Direct.Pharmaceutical Drugs.Central Nervous System.Antidepressants.TRIMIPRAMINE</t>
  </si>
  <si>
    <t>27546</t>
  </si>
  <si>
    <t>27541</t>
  </si>
  <si>
    <t>TRANDATE-100 MG -TABLETS-O01-5260-03246-01</t>
  </si>
  <si>
    <t>GLIMEPIRIDE</t>
  </si>
  <si>
    <t>TOROLAC5MGMLEYEDROPSY2652380323502</t>
  </si>
  <si>
    <t>Direct.Pharmaceutical Drugs.Respiratory System.Cough &amp; Cold Preparations.TRIPROLIDINE + PSEUDOEPHEDRINE</t>
  </si>
  <si>
    <t>TRANDATE-100 MG -TABLETS-R65-5260-03246-01</t>
  </si>
  <si>
    <t>TOURNES-25 MG -TABLETS-G33-5981-05083-01</t>
  </si>
  <si>
    <t>TINEFCON-700 MG -TABLETS-K91-5202-02657-02</t>
  </si>
  <si>
    <t>TRACLEER125MGTABLETSA4452510074901</t>
  </si>
  <si>
    <t>Direct.Pharmaceutical Drugs.Central Nervous System.Neurodegenerative Disease Drugs.RIVASTIGMINE</t>
  </si>
  <si>
    <t>TRILAGAVIT-1 MG,100 MG,250 MG -SOLUTION FOR INJECTION-H77-5288-05478-01</t>
  </si>
  <si>
    <t>Potential Duplicate Set - 2024</t>
  </si>
  <si>
    <t>27749</t>
  </si>
  <si>
    <t>27743</t>
  </si>
  <si>
    <t>TOOTSWEET-24 % -ORAL SOLUTION-J18-5227-05328-01</t>
  </si>
  <si>
    <t>TRIAXONE1GPOWDERFORSOLUTIONFORINTRAMUSCULARINJECTIONH2152800108001</t>
  </si>
  <si>
    <t>Accord Healthcare Limited, UNITED KINGDOM</t>
  </si>
  <si>
    <t>TRISUVA5MGMLSUBCUTANEOUSINFUSIONU3577570560001</t>
  </si>
  <si>
    <t>TOVAST40MGTABLETSN0152480052201</t>
  </si>
  <si>
    <t>L16-5317-00946-01</t>
  </si>
  <si>
    <t>19157</t>
  </si>
  <si>
    <t>Y26-5238-03235-02</t>
  </si>
  <si>
    <t>ALMUS</t>
  </si>
  <si>
    <t>Direct.Pharmaceutical Drugs.Vitamins &amp; Minerals.Vitamins &amp;/Or Minerals.CYANOCOBALAMIN + PYRIDOXINE + THIAMINE</t>
  </si>
  <si>
    <t>H01-5228-05557-01</t>
  </si>
  <si>
    <t>22049</t>
  </si>
  <si>
    <t>TRIVIT200MCG200MG100MGTABLETSH9553150549701</t>
  </si>
  <si>
    <t>Not Applicable</t>
  </si>
  <si>
    <t>Biogen Idec Canada Inc., CANADA</t>
  </si>
  <si>
    <t>22043</t>
  </si>
  <si>
    <t>KETOROLAC TROMETHAMINE</t>
  </si>
  <si>
    <t>22045</t>
  </si>
  <si>
    <t>22046</t>
  </si>
  <si>
    <t>22047</t>
  </si>
  <si>
    <t>Direct.Pharmaceutical Drugs.Dermatological &amp; Personal Care.Topical Corticosteroids.TRIAMCINOLONE HEXACETONIDE</t>
  </si>
  <si>
    <t>Potential Duplicate Set - 1461</t>
  </si>
  <si>
    <t>C56-5123-01863-01</t>
  </si>
  <si>
    <t>Stadapharm GmbH, GERMANY</t>
  </si>
  <si>
    <t>TRIMETHOPRIM-50 MG/5ML -ORAL SUSPENSION-K88-5292-05626-01</t>
  </si>
  <si>
    <t>Sanofi Winthrop Industrie, FRANCE</t>
  </si>
  <si>
    <t>I24-5261-05590-01</t>
  </si>
  <si>
    <t>Production Comments</t>
  </si>
  <si>
    <t>BECLOMETASONE DIPROPIONATE + FORMOTEROL FUMARATE DIHYDRATE + GLYCOPYRRONIUM</t>
  </si>
  <si>
    <t>Direct.Pharmaceutical Drugs.Endocrine &amp; Metabolic System.Antidiabetic Agents.GLIMEPIRIDE</t>
  </si>
  <si>
    <t>TONIMER09LIQUIDFORNASALSPRAYG8352200517201</t>
  </si>
  <si>
    <t>SODIUMCHLORIDEGLUCOSEBPGULFSOLUTIONFORINFUSION500ML</t>
  </si>
  <si>
    <t>L16-5287-00626-01</t>
  </si>
  <si>
    <t>TELFAST-180 mg -Tablets-L91-5130-02328-02</t>
  </si>
  <si>
    <t>ABACAVIR + LAMIVUDINE + ZIDOVUDINE</t>
  </si>
  <si>
    <t>TORLEVA-1000 mg -Tablets-N84-5237-03335-01</t>
  </si>
  <si>
    <t>TRINEX145MGTABLETSJ3052970228401</t>
  </si>
  <si>
    <t>TRANDATE-100 MG -TABLETS-Q72-5260-03246-01</t>
  </si>
  <si>
    <t>Direct.Pharmaceutical Drugs.Endocrine &amp; Metabolic System.Insulin Preparations.INSULIN GLARGINE</t>
  </si>
  <si>
    <t>Bottle</t>
  </si>
  <si>
    <t>TORSEMIDE20MGTABLETSD2769110557101</t>
  </si>
  <si>
    <t>TRIPACEL VACCINE[SANOFI] SUSPENSION FOR INJECTION (0.5 mL)</t>
  </si>
  <si>
    <t>TRITACE125MGTABLETSL9653110486101</t>
  </si>
  <si>
    <t>THORNTON &amp; ROSS LTD</t>
  </si>
  <si>
    <t>Direct.Pharmaceutical Drugs.Cardiovascular &amp; Hematopoietic System.Haemostatics.TRANEXAMIC ACID</t>
  </si>
  <si>
    <t>THIAMINE HCL + PYRIDOXINE HYDROCHLORIDE + CYANOCOBALAMIN</t>
  </si>
  <si>
    <t>H37-5304-04797-01</t>
  </si>
  <si>
    <t>TRACLEER-62.5 mg -Tablets-A44-5251-00750-01</t>
  </si>
  <si>
    <t>TRAMUNDINRETARD150MGMODIFIEDRELEASETABLETSI9952590557701</t>
  </si>
  <si>
    <t>SERVIER</t>
  </si>
  <si>
    <t>I99-5259-05579-01</t>
  </si>
  <si>
    <t>TRIODERM CARE-0.9 % -MOUTH SPRAY-B59-5299-04092-01</t>
  </si>
  <si>
    <t>TRAMADOL</t>
  </si>
  <si>
    <t>23513</t>
  </si>
  <si>
    <t>NOVO NORDISK</t>
  </si>
  <si>
    <t>O62-4982-05974-01</t>
  </si>
  <si>
    <t>TOPRAZ-40 MG -GASTRO-RESISTANT TABLETS-Y62-9627-08631-01</t>
  </si>
  <si>
    <t>Direct.Pharmaceutical Drugs.Respiratory System.Antiasthmatic &amp; Copd Preparations.LORATADINE</t>
  </si>
  <si>
    <t>BOSENTAN</t>
  </si>
  <si>
    <t>Potential Duplicate Set - 621</t>
  </si>
  <si>
    <t>TASIGNA-200 MG -CAPSULES-J45-5112-04055-01</t>
  </si>
  <si>
    <t>JAMJOOM</t>
  </si>
  <si>
    <t>Cilag AG, SWITZERLAND</t>
  </si>
  <si>
    <t>28355</t>
  </si>
  <si>
    <t>STERILE WATER-100 % -Solution For Infusion-I50-4980-05972-01</t>
  </si>
  <si>
    <t>Ex</t>
  </si>
  <si>
    <t>PHENAZONE</t>
  </si>
  <si>
    <t>TORLEVA750MGTABLETSN8452370334301</t>
  </si>
  <si>
    <t>TRAMADOL-50 mg -Capsules-L64-7897-05581-01</t>
  </si>
  <si>
    <t>TRIZIVIR-300 mg,150 mg,300 mg -Tablets-F75-5318-00074-01</t>
  </si>
  <si>
    <t>40MG/ML</t>
  </si>
  <si>
    <t>TRIMBOW-87 mcg,5 mcg,9 mcg -Pressurized Inhalation Solution-D54-7415-07383-01</t>
  </si>
  <si>
    <t>TRACTOCILE75MGMLCONCENTRATEFORDILUTIONFORINFUSIONE9452530052401</t>
  </si>
  <si>
    <t>G93-5300-02709-01</t>
  </si>
  <si>
    <t>TRANSFERRIN200MGCAPSULESVEGETABLEORIGINT6484410828201</t>
  </si>
  <si>
    <t>Direct.Pharmaceutical Drugs.Dermatological &amp; Personal Care.Other Dermatologicals.FLUOCINOLONE ACETONIDE + HYDROQUINONE + TRETINOIN</t>
  </si>
  <si>
    <t>27551</t>
  </si>
  <si>
    <t>Comment</t>
  </si>
  <si>
    <t>27553</t>
  </si>
  <si>
    <t>27552</t>
  </si>
  <si>
    <t>16374</t>
  </si>
  <si>
    <t>KETOROLAC</t>
  </si>
  <si>
    <t>TRIS-360 MG/ML -SOLUTION FOR INJECTION-B78-5306-05639-01</t>
  </si>
  <si>
    <t>TORSEC 20MG CAP 10'S</t>
  </si>
  <si>
    <t>TOVAST40MGTAB30S</t>
  </si>
  <si>
    <t>TOTAMOL-50 mg -Tablets-O70-5244-00513-01</t>
  </si>
  <si>
    <t>100MG/ML</t>
  </si>
  <si>
    <t>TRIHEXYPHENIDYL-2 MG -TABLETS-O64-5287-00625-01</t>
  </si>
  <si>
    <t>TOTAMOL-25 MG -TABLETS-O70-5244-00512-01</t>
  </si>
  <si>
    <t>GLAXO SMITHKLINE PHARMACEUTICALS LTD</t>
  </si>
  <si>
    <t>TRITACE-5 mg -Tablets-L96-5311-04867-01</t>
  </si>
  <si>
    <t>TINEFCON-700 mg -Tablets-K91-5202-02657-01</t>
  </si>
  <si>
    <t>15707</t>
  </si>
  <si>
    <t>West-Ward Pharmaceutical Corp., U.S.A</t>
  </si>
  <si>
    <t>TRIHEXYPHENIDYL2MGTABLETSL4052870062501</t>
  </si>
  <si>
    <t>Potential Duplicate Set - 1095</t>
  </si>
  <si>
    <t>ACTAVIS UK LIMITED</t>
  </si>
  <si>
    <t>TASIGNA200MGCAPSULESJ4551120405502</t>
  </si>
  <si>
    <t>A68-5290-04864-01</t>
  </si>
  <si>
    <t>Direct.Pharmaceutical Drugs.Anti-Infectives (Systemic).Cephalosporins.CEFTRIAXONE</t>
  </si>
  <si>
    <t>600MG</t>
  </si>
  <si>
    <t>TRESIBA-100 IU/ml -Solution For Injection-J58-5275-02985-01</t>
  </si>
  <si>
    <t>TRACLEER-125 MG -TABLETS-A44-5251-00749-01</t>
  </si>
  <si>
    <t>Sanofi-Aventis Australia Pty Ltd., AUSTRALIA</t>
  </si>
  <si>
    <t>TRISUVA-10 MG/ML -SUBCUTANEOUS INFUSION-U35-7757-05598-01</t>
  </si>
  <si>
    <t>GULF INJECT UAE</t>
  </si>
  <si>
    <t>Direct.Pharmaceutical Drugs.Gastrointestinal &amp; Hepatobiliary System.Antacids, Antireflux Agents &amp; Antiulcerants.SODIUM BICARBONATE</t>
  </si>
  <si>
    <t>Direct.Pharmaceutical Drugs.Cardiovascular &amp; Hematopoietic System.Ace Inhibitors/Direct Renin Inhibitors.ATOSIBAN</t>
  </si>
  <si>
    <t>DIPHTHERIA TOXOID + TETANUS TOXOID + PERTUSSIS TOXOID</t>
  </si>
  <si>
    <t>TRIPLIXAM P5/IND 1.25/A5-5 MG,1.25 MG,5 MG -TABLETS-M40-6367-04450-01</t>
  </si>
  <si>
    <t>28143</t>
  </si>
  <si>
    <t>24%</t>
  </si>
  <si>
    <t>B31-5260-03246-01</t>
  </si>
  <si>
    <t>D54-7415-07383-01</t>
  </si>
  <si>
    <t>TOVAST[SPIMACO] 40 MG FILM COATED TABLETS (30 TAB)</t>
  </si>
  <si>
    <t>TRILAGAVIT-1 MG,100 MG,200 MG -TABLETS-H77-5288-05498-01</t>
  </si>
  <si>
    <t>TOUJEOSOLOSTAR300IUMLSOLUTIONFORINJECTIONL7852460655101</t>
  </si>
  <si>
    <t>TOPAMAX-50 MG -CAPSULES-D58-5228-05562-01</t>
  </si>
  <si>
    <t>Biogen Idec UK Limited, UNITED KINGDOM</t>
  </si>
  <si>
    <t>J47-5289-04217-01</t>
  </si>
  <si>
    <t>TRANDATE200MGTABLETSB3152600324702</t>
  </si>
  <si>
    <t>C52-5123-01863-01</t>
  </si>
  <si>
    <t>TORAS-DENK-5 MG -TABLETS-R14-7315-07302-01</t>
  </si>
  <si>
    <t>K91-5202-02657-02</t>
  </si>
  <si>
    <t>Direct.Pharmaceutical Drugs.Gastrointestinal &amp; Hepatobiliary System.Digestives.AYURVEDIC</t>
  </si>
  <si>
    <t>ESTRADIOL + NORETHISTERONE ACETATE</t>
  </si>
  <si>
    <t>Hospira Limited, UNITED KINGDOM</t>
  </si>
  <si>
    <t>TRIHEXYPHENIDYL2MGTABLETSA1152870062501</t>
  </si>
  <si>
    <t>Direct.Pharmaceutical Drugs.Cardiovascular &amp; Hematopoietic System.Other Antihypertensives.LABETALOL HCL</t>
  </si>
  <si>
    <t>TRIPHALA250MGCAPSULESN6767510685301</t>
  </si>
  <si>
    <t>TELFAST-180 mg -Tablets-S72-5130-02328-04</t>
  </si>
  <si>
    <t>N01-5248-00521-01</t>
  </si>
  <si>
    <t>H21-5280-01080-02</t>
  </si>
  <si>
    <t>17946</t>
  </si>
  <si>
    <t>17947</t>
  </si>
  <si>
    <t>17944</t>
  </si>
  <si>
    <t>29826</t>
  </si>
  <si>
    <t>21469</t>
  </si>
  <si>
    <t>LAGAP SWITZERLAND</t>
  </si>
  <si>
    <t>25732</t>
  </si>
  <si>
    <t>25731</t>
  </si>
  <si>
    <t>TRIAXONE-250 mg -Powder For Solution For Intravenous Injection-H21-5280-01085-02</t>
  </si>
  <si>
    <t>60</t>
  </si>
  <si>
    <t>Micro Labs Limited, INDIA</t>
  </si>
  <si>
    <t>Sandoz, UNITED KINGDOM</t>
  </si>
  <si>
    <t>Difference in "Form &amp; CPT Code"</t>
  </si>
  <si>
    <t>Madaus, GERMANY</t>
  </si>
  <si>
    <t>Actelion Pharmaceuticals Ltd., SWITZERLAND</t>
  </si>
  <si>
    <t>TOVAST20MGTABLETSN0152480052101</t>
  </si>
  <si>
    <t>RefItem name#</t>
  </si>
  <si>
    <t>Concatenated Category Segments</t>
  </si>
  <si>
    <t>TRIKAFTA-50 mg,25 mg,37.5 mg,75 mg -Tablets-O26-8278-08970-02</t>
  </si>
  <si>
    <t>TRANEXAMICACID500MGTABLETSL7352610559001</t>
  </si>
  <si>
    <t>TRACTOCILE-7.5 MG/ML -CONCENTRATE FOR DILUTION FOR INFUSION-E94-5253-00524-01</t>
  </si>
  <si>
    <t>ATOSIBAN</t>
  </si>
  <si>
    <t>L15-8039-07906-01</t>
  </si>
  <si>
    <t>Potential Duplicate Set - 387</t>
  </si>
  <si>
    <t>STERILE WATER</t>
  </si>
  <si>
    <t>TOULAKIDS187G100MLSYRUPL1580390790601</t>
  </si>
  <si>
    <t>TRIHEXYPHENIDYL5MGTABLETSA1152870062601</t>
  </si>
  <si>
    <t>TRISODIUM CITRATE-100 g -Powder For Oral Solution-I68-5310-05637-02</t>
  </si>
  <si>
    <t>OXCARBAZEPINE</t>
  </si>
  <si>
    <t>TOULARYNX THYM-5 G/100G -SYRUP-L15-5247-05507-01</t>
  </si>
  <si>
    <t>SUFENTANIL</t>
  </si>
  <si>
    <t>32760</t>
  </si>
  <si>
    <t>120</t>
  </si>
  <si>
    <t>TRIHEXYPHENIDYL</t>
  </si>
  <si>
    <t>TOVAST 40MG TAB 30'S</t>
  </si>
  <si>
    <t>DENK PHARMA GmbH &amp; Co. KG, GERMANY</t>
  </si>
  <si>
    <t>GALDERMA LABORATORIES, U.S.A</t>
  </si>
  <si>
    <t>Pharma International Co., JORDAN</t>
  </si>
  <si>
    <t>TRAJENTA-5 MG -TABLETS-C84-5255-03449-01</t>
  </si>
  <si>
    <t>TRIMETHOPRIM100MGTABLETSD7152920562401</t>
  </si>
  <si>
    <t>UCB, FRANCE</t>
  </si>
  <si>
    <t>STERILE ISOTONIC SEA WATER</t>
  </si>
  <si>
    <t>TRIPROLIDINE + PSEUDOEPHEDRINE</t>
  </si>
  <si>
    <t>TORSEC-20 mg -Capsules-N84-5239-04162-01</t>
  </si>
  <si>
    <t>TRIMINEURIN100MGTABLETSG3365280664801</t>
  </si>
  <si>
    <t>30054</t>
  </si>
  <si>
    <t>TRIPLIXAMP10IND25A1010MG25MG10MGTABLETSM4063640444701</t>
  </si>
  <si>
    <t>TRAMADOL50MGCAPSULESL6478970558101</t>
  </si>
  <si>
    <t>23512</t>
  </si>
  <si>
    <t>J30-5319-02357-01</t>
  </si>
  <si>
    <t>L91-5130-02328-02</t>
  </si>
  <si>
    <t>TRITACE-2.5 MG -TABLETS-L96-5311-04865-01</t>
  </si>
  <si>
    <t>STRESSTABS WITH ZINC[WYETH] TABLETS (30 tab)</t>
  </si>
  <si>
    <t>Direct.Pharmaceutical Drugs.Dermatological &amp; Personal Care.Topical Corticosteroids.FUSIDIC ACID + BETAMETHASONE</t>
  </si>
  <si>
    <t>21167</t>
  </si>
  <si>
    <t>TOPRAZ-40 mg -Gastro-Resistant Tablets-Y62-9627-08631-01</t>
  </si>
  <si>
    <t>RAMIPRIL</t>
  </si>
  <si>
    <t>Direct.Pharmaceutical Drugs.Allergy &amp; Immune System.Vaccines, Antisera &amp; Immunologicals.TRITANRIX HB + HIBERIX VACCINE</t>
  </si>
  <si>
    <t>SDU</t>
  </si>
  <si>
    <t>10MG</t>
  </si>
  <si>
    <t>250MG</t>
  </si>
  <si>
    <t>G33-5981-05083-02</t>
  </si>
  <si>
    <t>SUTENT50MGCAPSULESK3550390535501</t>
  </si>
  <si>
    <t>TRIZIVIR-300 MG,150 MG,300 MG -TABLETS-F75-5318-00074-01</t>
  </si>
  <si>
    <t>1MG</t>
  </si>
  <si>
    <t>TRITACE 10MG TABLET 28 S</t>
  </si>
  <si>
    <t>TRAMADOLSTADA100MGMLORALDROPSN0652560557601</t>
  </si>
  <si>
    <t>23746</t>
  </si>
  <si>
    <t>20MG</t>
  </si>
  <si>
    <t>325MG</t>
  </si>
  <si>
    <t>TRIMETHOPRIM</t>
  </si>
  <si>
    <t>2MG</t>
  </si>
  <si>
    <t>N67-6751-06853-01</t>
  </si>
  <si>
    <t>180MG</t>
  </si>
  <si>
    <t>Direct.Pharmaceutical Drugs.Hormones.Corticosteroid Hormones.TRIAMCINOLONE</t>
  </si>
  <si>
    <t>SUCRATEC-1 mg -Tablets-J23-5009-02570-01</t>
  </si>
  <si>
    <t>Direct.Pharmaceutical Drugs.Dermatological &amp; Personal Care.Psoriasis, Seborrhea &amp; Ichthyosis Preparations.SPHAERANTHUS INDICUS</t>
  </si>
  <si>
    <t>TRIMOL240MG5MLORALSUSPENSIONH2152930150502</t>
  </si>
  <si>
    <t>TRIMOL-240 MG/5ML -ORAL SUSPENSION-H21-5293-01505-01</t>
  </si>
  <si>
    <t>40MG</t>
  </si>
  <si>
    <t>TRILUMA0014005CREAMF2952910238001</t>
  </si>
  <si>
    <t>Updated Item Name</t>
  </si>
  <si>
    <t>TRILTEC125MGCAPSULESA6852900486001</t>
  </si>
  <si>
    <t>17649</t>
  </si>
  <si>
    <t>TRAMUNDIN RETARD-100 mg -Modified Release Tablets-I99-5259-05574-01</t>
  </si>
  <si>
    <t>TRACHISANSORETHROATGARGLE2MGML1MGMLMOUTHWASHE5052490116801</t>
  </si>
  <si>
    <t>20430</t>
  </si>
  <si>
    <t>17534</t>
  </si>
  <si>
    <t>50MG</t>
  </si>
  <si>
    <t>1000ML</t>
  </si>
  <si>
    <t>Direct.Pharmaceutical Drugs.Central Nervous System.Anticonvulsants.LEVETIRACETAM</t>
  </si>
  <si>
    <t>Potential Duplicate Set - 1971</t>
  </si>
  <si>
    <t>TRISPAN 20MG/ML SOLN FOR INJECTION AMP 1ML 10'S</t>
  </si>
  <si>
    <t>P38-6002-05613-01</t>
  </si>
  <si>
    <t>5MG</t>
  </si>
  <si>
    <t>TORTANDIO160MGTABLETSN8452400577701</t>
  </si>
  <si>
    <t>TRITANRIX HB + HIBERIX VACCINE</t>
  </si>
  <si>
    <t>TRIUMEQ-50 mg,600 mg,300 mg -Tablets-O32-5969-06168-01</t>
  </si>
  <si>
    <t>17446</t>
  </si>
  <si>
    <t>17440</t>
  </si>
  <si>
    <t>TOVAST10MGTABLETSN0152480052001</t>
  </si>
  <si>
    <t>TRITACE25MGTABLETSL9653110486501</t>
  </si>
  <si>
    <t>Direct.Pharmaceutical Drugs.Genito-Urinary System.Other Drugs Acting On The Genito-Urinary System.TROMETHAMINE</t>
  </si>
  <si>
    <t>Cephalon, UNITED KINGDOM</t>
  </si>
  <si>
    <t>SUFENTA-5 mcg/ml -Solution For Injection-T71-7580-05330-01</t>
  </si>
  <si>
    <t>TRIHEXYPHENIDYL-2 mg -Tablets-O64-5287-00625-01</t>
  </si>
  <si>
    <t>TRIMOL240MG5MLORALSUSPENSIONH2152930150501</t>
  </si>
  <si>
    <t>TOURNES-25 MG -TABLETS-G33-5981-05083-02</t>
  </si>
  <si>
    <t>TRACHITOL-1 mg,1 mg,1.8 mg -Lozenges-E50-5250-03416-01</t>
  </si>
  <si>
    <t>TRISEQUENS FORTE-4 MG,1 MG -TABLETS-J58-5309-02186-01</t>
  </si>
  <si>
    <t>STERILEWATER100SOLUTIONFORINFUSIONI5049800597201</t>
  </si>
  <si>
    <t>100MG/30MG/1.25MG, 5ML</t>
  </si>
  <si>
    <t>TINEFCON-700 MG -TABLETS-K91-5202-02657-01</t>
  </si>
  <si>
    <t>TRIAXONE1GPOWDERFORSOLUTIONFORINTRAMUSCULARINJECTIONH2152800108002</t>
  </si>
  <si>
    <t>F26-5156-03525-02</t>
  </si>
  <si>
    <t>TRACTOCILE-7.5 mg/ml -Concentrate For Dilution For Infusion-E94-5253-00524-01</t>
  </si>
  <si>
    <t>TRACHISAN SORE THROAT GARGLE-2 mg/ml,1 mg/ml -Mouth Wash-E50-5249-01168-01</t>
  </si>
  <si>
    <t>TORVACARDZENTIVA10MGTABLETSL8152420052001</t>
  </si>
  <si>
    <t>Direct.Pharmaceutical Drugs.Musculo-Skeletal System.Muscle Relaxants.SUCROSE</t>
  </si>
  <si>
    <t>H21-5293-01505-02</t>
  </si>
  <si>
    <t>H21-5293-01505-01</t>
  </si>
  <si>
    <t>L16-5316-00945-01</t>
  </si>
  <si>
    <t>STERILEWATERFORIRRIGATION100STERILEWATERFORIRRIGATIONG0549810597501</t>
  </si>
  <si>
    <t>9.5MG</t>
  </si>
  <si>
    <t>Sanofi Aventis Groupe, U.A.E</t>
  </si>
  <si>
    <t>O01-5260-03246-01</t>
  </si>
  <si>
    <t>JORDANIAN PHARMACEUTICAL</t>
  </si>
  <si>
    <t>FUSIDIC ACID + BETAMETHASONE</t>
  </si>
  <si>
    <t>L40-5287-00626-01</t>
  </si>
  <si>
    <t>TRISODIUM CITRATE-100 G -POWDER FOR ORAL SOLUTION-I68-5310-05637-02</t>
  </si>
  <si>
    <t>25619</t>
  </si>
  <si>
    <t>Merck Sante, FRANCE</t>
  </si>
  <si>
    <t>K54-5229-02496-01</t>
  </si>
  <si>
    <t>Z95-8773-08639-02</t>
  </si>
  <si>
    <t>TOPAMAX25MGTABLETSH0152280556101</t>
  </si>
  <si>
    <t>CALCIUM CHLORIDE + POTASSIUM CHLORIDE</t>
  </si>
  <si>
    <t>Direct.Pharmaceutical Drugs.Respiratory System.Cough &amp; Cold Preparations.IVY LEAF DRY EXTRACT + THYME DRY EXTRACT</t>
  </si>
  <si>
    <t>2.5/A10-10MG 2.5MG 10MG</t>
  </si>
  <si>
    <t>ASPEN</t>
  </si>
  <si>
    <t>TRAMUNDINRETARD100MGMODIFIEDRELEASETABLETSI9952590557401</t>
  </si>
  <si>
    <t>5MCG/ML</t>
  </si>
  <si>
    <t>21468</t>
  </si>
  <si>
    <t>ARSENIC TRIOXIDE</t>
  </si>
  <si>
    <t>GUAIFENESIN + PSEUDOEPHEDRINE + TRIPROLIDINE</t>
  </si>
  <si>
    <t>Potential Duplicate Set - 1830</t>
  </si>
  <si>
    <t>g</t>
  </si>
  <si>
    <t>27588</t>
  </si>
  <si>
    <t>Riemser Pharma GmbH, GERMANY</t>
  </si>
  <si>
    <t>STRESSTABSWITHZINCWYETHTABLETS30TAB</t>
  </si>
  <si>
    <t>TRIVACIN-9.5 mg/24hrs -Transdermal Patches-Z95-8773-08639-02</t>
  </si>
  <si>
    <t>SUTENT50MGCAPSULESK3550390535502</t>
  </si>
  <si>
    <t>2</t>
  </si>
  <si>
    <t>3</t>
  </si>
  <si>
    <t>LORATADINE</t>
  </si>
  <si>
    <t>5</t>
  </si>
  <si>
    <t>7MG/ML</t>
  </si>
  <si>
    <t>Direct.Pharmaceutical Drugs.Cardiovascular &amp; Hematopoietic System.Anticoagulants, Antiplatelets &amp; Fibrinolytics (Thrombolytics).TRISODIUM CITRATE</t>
  </si>
  <si>
    <t>26359</t>
  </si>
  <si>
    <t>26358</t>
  </si>
  <si>
    <t>Medcare- Item Number</t>
  </si>
  <si>
    <t>Rugby Watson, U.S.A</t>
  </si>
  <si>
    <t>TOPAMAX-50 MG -TABLETS-H01-5228-05563-01</t>
  </si>
  <si>
    <t>SUCRATEC-1 mg -Tablets-J23-5009-02570-02</t>
  </si>
  <si>
    <t>17631</t>
  </si>
  <si>
    <t>Direct.Pharmaceutical Drugs.Respiratory System.Cough &amp; Cold Preparations.GUAIFENESIN + PSEUDOEPHEDRINE + TRIPROLIDINE</t>
  </si>
  <si>
    <t>SUTENT-50 mg -Capsules-K35-5039-05355-02</t>
  </si>
  <si>
    <t>Direct.Pharmaceutical Drugs.Gastrointestinal &amp; Hepatobiliary System.Antacids, Antireflux Agents &amp; Antiulcerants.PANTOPRAZOLE</t>
  </si>
  <si>
    <t>TRIPLIXAM P10/Ind 2.5/A10-10 mg,2.5 mg,10 mg -Tablets-M40-6364-04447-01</t>
  </si>
  <si>
    <t>Production user</t>
  </si>
  <si>
    <t>AA PHARMA INC</t>
  </si>
  <si>
    <t>ISTITUTO GANASSINI</t>
  </si>
  <si>
    <t>BAUSCH &amp; LOMB</t>
  </si>
  <si>
    <t>E94-5253-00524-01</t>
  </si>
  <si>
    <t>28367</t>
  </si>
  <si>
    <t>TRILTEC5MGCAPSULESA6852900486601</t>
  </si>
  <si>
    <t>Direct.Pharmaceutical Drugs.Anti-Infectives (Systemic).Antifungals.FLUCONAZOLE</t>
  </si>
  <si>
    <t>TOPOTECANHOSPIRA4MG4MLSOLUTIONFORINJECTIONG4752330556801</t>
  </si>
  <si>
    <t>31433</t>
  </si>
  <si>
    <t>Q72-5260-03246-01</t>
  </si>
  <si>
    <t>MERCK</t>
  </si>
  <si>
    <t>300IU/ML</t>
  </si>
  <si>
    <t>STERILEWATERFORIRRIGATION100STERILELIQUIDFORIRRIGATIONB7849810597401</t>
  </si>
  <si>
    <t>TRANDATE200MGTABLETSB3152600324701</t>
  </si>
  <si>
    <t>TRIMETHOPRIM-100 mg -Tablets-R86-5292-05624-02</t>
  </si>
  <si>
    <t>TELFAST-120 mg -Tablets-L91-5130-02327-01</t>
  </si>
  <si>
    <t>TELFAST-120 mg -Tablets-L91-5130-02327-02</t>
  </si>
  <si>
    <t>21452</t>
  </si>
  <si>
    <t>TRILEPTAL300MGTABLETSJ4552890421501</t>
  </si>
  <si>
    <t>VACCINE, MMR</t>
  </si>
  <si>
    <t>ACINO AG , Germany</t>
  </si>
  <si>
    <t>500ML</t>
  </si>
  <si>
    <t>500MG</t>
  </si>
  <si>
    <t>23434</t>
  </si>
  <si>
    <t>Tablet</t>
  </si>
  <si>
    <t>Algorithm S.A.L., LEBANON</t>
  </si>
  <si>
    <t>Updated DDC Code</t>
  </si>
  <si>
    <t>17344</t>
  </si>
  <si>
    <t>H21-5280-01084-01</t>
  </si>
  <si>
    <t>ALTERNATE_NAME</t>
  </si>
  <si>
    <t>Direct.Pharmaceutical Drugs.Oncology.Cytotoxic Chemotherapy.TOPOTECAN</t>
  </si>
  <si>
    <t>N75-4864-05135-01</t>
  </si>
  <si>
    <t>PANTOPRAZOLE</t>
  </si>
  <si>
    <t>50MG 25MG 37.5MG 75MG</t>
  </si>
  <si>
    <t>TRIHEXYPHENIDYL-2 mg -Tablets-L16-5287-00625-01</t>
  </si>
  <si>
    <t>TRIHEXYPHENIDYL-2 MG -TABLETS-L16-5287-00625-01</t>
  </si>
  <si>
    <t>TOPAMAX-25 mg -Capsules-D58-5228-05560-01</t>
  </si>
  <si>
    <t>22898</t>
  </si>
  <si>
    <t>TREPROSTINIL</t>
  </si>
  <si>
    <t>J45-5112-04055-01</t>
  </si>
  <si>
    <t>J45-5112-04055-02</t>
  </si>
  <si>
    <t>Item Mapping</t>
  </si>
  <si>
    <t>TRILEPTAL-600 mg -Tablets-J45-5289-04216-01</t>
  </si>
  <si>
    <t>TRIPOFED-30 mg/5ml,1.25 mg/5ml -Syrup (Alcohol Free)-H37-5303-04794-01</t>
  </si>
  <si>
    <t>K54-5229-02498-01</t>
  </si>
  <si>
    <t>TROSPIUMCHLORIDE20MGTABLETSB5453250564401</t>
  </si>
  <si>
    <t>TRIMIPRAMINE</t>
  </si>
  <si>
    <t>TRANDATE-100 mg -Tablets-B31-5260-03246-02</t>
  </si>
  <si>
    <t>TRANDATE5MGMLSOLUTIONFORINJECTIONF6152600324801</t>
  </si>
  <si>
    <t>28513</t>
  </si>
  <si>
    <t>Direct.Pharmaceutical Drugs.Oncology.Cytotoxic Chemotherapy.NILOTINIB</t>
  </si>
  <si>
    <t>1-A-CA61-HW-GV50-AK27-X-00001</t>
  </si>
  <si>
    <t>L91-5130-02327-01</t>
  </si>
  <si>
    <t>L91-5130-02327-02</t>
  </si>
  <si>
    <t>0.45% 5%W/V 50MG/ML 4.5MG/ML</t>
  </si>
  <si>
    <t>TORVACARD ZENTIVA-40 mg -Tablets-L81-5242-00522-01</t>
  </si>
  <si>
    <t>SUCRATEC-1 mg -Tablets-J23-5009-02570-03</t>
  </si>
  <si>
    <t>TRITACE5MGTABLETSL9653110486701</t>
  </si>
  <si>
    <t>TRACHITOLLOZENGES20S</t>
  </si>
  <si>
    <t>1MG 100MG 200MG</t>
  </si>
  <si>
    <t>TORVACOL-10 MG -TABLETS-N68-5243-00520-01</t>
  </si>
  <si>
    <t>SUTENT-50 mg -Capsules-K35-5039-05355-01</t>
  </si>
  <si>
    <t>TRILAGAVIT-1 mg,100 mg,200 mg -Tablets-H77-5288-05498-01</t>
  </si>
  <si>
    <t>20MG/GM</t>
  </si>
  <si>
    <t>STADA ARZNEIMITTEL AG</t>
  </si>
  <si>
    <t>TRANSFERRIN-200 mg -Capsules (Vegetable Origin)-T64-8441-08282-01</t>
  </si>
  <si>
    <t>TRAMAL50MGMLSOLUTIONFORINJECTIONN0552570558301</t>
  </si>
  <si>
    <t>TRIXAICIN-0.03 % -CREAM-L16-5316-00945-01</t>
  </si>
  <si>
    <t>SODIUMCHLORIDE0225DEXTROSE5WVBP50MGML225MGMLSOLUTIONFORINFUSIONH3748720171701</t>
  </si>
  <si>
    <t>TORVACOL-10 mg -Tablets-N68-5243-00520-01</t>
  </si>
  <si>
    <t>Potential Duplicate Set - 554</t>
  </si>
  <si>
    <t>TRILEPTAL-300 MG -TABLETS-J45-5289-04215-01</t>
  </si>
  <si>
    <t>TRISPAN-20 MG/ML -SOLUTION FOR INJECTION-P38-6002-05613-01</t>
  </si>
  <si>
    <t>16737</t>
  </si>
  <si>
    <t>TRIMETHOPRIM-100 MG -TABLETS-C97-5292-05624-01</t>
  </si>
  <si>
    <t>N84-5237-03343-01</t>
  </si>
  <si>
    <t>TRISUVA-5 MG/ML -SUBCUTANEOUS INFUSION-U35-7757-05600-01</t>
  </si>
  <si>
    <t>TRANDATE100MGTABLETSR6552600324601</t>
  </si>
  <si>
    <t>19158</t>
  </si>
  <si>
    <t>SPHAERANTHUS INDICUS</t>
  </si>
  <si>
    <t>B BRAUN</t>
  </si>
  <si>
    <t>TRANEXAMIC ACID-500 mg -Tablets-I24-5261-05590-01</t>
  </si>
  <si>
    <t>240MG/5ML</t>
  </si>
  <si>
    <t>TOROLAC-5 MG/ML -EYE DROPS-Y26-5238-03235-02</t>
  </si>
  <si>
    <t>TRIODERM CARE-5 % -NASAL SPRAY-B59-5299-05036-01</t>
  </si>
  <si>
    <t>TROPICAMIDE10MGMLEYEDROPSMINIMSB9253230564101</t>
  </si>
  <si>
    <t>29614</t>
  </si>
  <si>
    <t>29615</t>
  </si>
  <si>
    <t>TRILAGAVIT1MG100MG200MGTABLETSH7752880549801</t>
  </si>
  <si>
    <t>TRIOPAN075G100ML1G100MLSYRUPG9353000270901</t>
  </si>
  <si>
    <t>U12-9198-09853-02</t>
  </si>
  <si>
    <t>TOTAMOL-25 mg -Tablets-O70-5244-00512-01</t>
  </si>
  <si>
    <t>2.5MG</t>
  </si>
  <si>
    <t>26991</t>
  </si>
  <si>
    <t>SODIUM CHLORIDE &amp; DEXTROSE[PHARMACEUTICAL] SOLUTION FOR INFUSION (500 ML)</t>
  </si>
  <si>
    <t>TRIMETHOPRIM50MG5MLORALSUSPENSIONA4152920562601</t>
  </si>
  <si>
    <t>TRACLEER-62.5 MG -TABLETS-A44-5251-00750-01</t>
  </si>
  <si>
    <t>TRIAXONE250MGPOWDERFORSOLUTIONFORINTRAVENOUSINJECTIONH2152800108502</t>
  </si>
  <si>
    <t>28512</t>
  </si>
  <si>
    <t>A36-5325-05644-02</t>
  </si>
  <si>
    <t>20121</t>
  </si>
  <si>
    <t>D58-5228-05560-01</t>
  </si>
  <si>
    <t>A41-5292-05626-01</t>
  </si>
  <si>
    <t>TRIVIT-200 mcg,200 mg,100 mg -Tablets-H95-5315-05497-01</t>
  </si>
  <si>
    <t>B61-5296-06120-01</t>
  </si>
  <si>
    <t>20886</t>
  </si>
  <si>
    <t>FERRING PHARMACEUTICALS</t>
  </si>
  <si>
    <t>24214</t>
  </si>
  <si>
    <t>TRIODERM CARE-0.9 % -Mouth Spray-B59-5299-04092-01</t>
  </si>
  <si>
    <t>150MG</t>
  </si>
  <si>
    <t>TROPICAMIDE</t>
  </si>
  <si>
    <t>CEFTRIAXONE</t>
  </si>
  <si>
    <t>D27-6911-05570-01</t>
  </si>
  <si>
    <t>TOVAST-10 MG -TABLETS-N01-5248-00520-01</t>
  </si>
  <si>
    <t>28508</t>
  </si>
  <si>
    <t>22354</t>
  </si>
  <si>
    <t>TRISEQUENS-2 MG,1 MG -TABLETS-J58-5308-02184-01</t>
  </si>
  <si>
    <t>TORASEMID-20 MG -TABLETS-G33-5234-05571-01</t>
  </si>
  <si>
    <t>TOPAMAX-25 mg -Tablets-H01-5228-05561-01</t>
  </si>
  <si>
    <t>28273</t>
  </si>
  <si>
    <t>Inj</t>
  </si>
  <si>
    <t>TRIMOL-240 mg/5ml -Oral Suspension-H21-5293-01505-02</t>
  </si>
  <si>
    <t>24215</t>
  </si>
  <si>
    <t>QUALIPHAR</t>
  </si>
  <si>
    <t>J30-5297-02284-01</t>
  </si>
  <si>
    <t>TOTAMOL-100 MG -TABLETS-O70-5244-00511-01</t>
  </si>
  <si>
    <t>15GM</t>
  </si>
  <si>
    <t>0384-100101-1002</t>
  </si>
  <si>
    <t>TASIGNA-200 MG -CAPSULES-J45-5112-04055-02</t>
  </si>
  <si>
    <t>TRAMUNDIN RETARD-200 mg -Modified Release Tablets-I99-5259-05579-01</t>
  </si>
  <si>
    <t>CAMBER PHARMACEUTICAL INC</t>
  </si>
  <si>
    <t>K91-5202-02657-01</t>
  </si>
  <si>
    <t>Potential Duplicate Set - 743</t>
  </si>
  <si>
    <t>Direct.Pharmaceutical Drugs.Nutrition.Electrolytes.GLUCOSE + SODIUM CHLORIDE</t>
  </si>
  <si>
    <t>O32-5969-06168-01</t>
  </si>
  <si>
    <t>Capsule</t>
  </si>
  <si>
    <t>SODIUM CHLORIDE 0.225% &amp; GLUCOSE 5% W/V BP-50 MG/ML,2.25 MG/ML -SOLUTION FOR INFUSION-G05-4873-01717-02</t>
  </si>
  <si>
    <t>20718</t>
  </si>
  <si>
    <t>H37-5305-04799-01</t>
  </si>
  <si>
    <t>TRIPLIXAM P10/IND 2.5/A10-10 MG,2.5 MG,10 MG -TABLETS-M40-6364-04447-01</t>
  </si>
  <si>
    <t>SODIUM CHLORIDE 0.225% &amp; DEXTROSE 5% W/V B.P-50 MG/ML,2.25 MG/ML -SOLUTION FOR INFUSION-H37-4872-01717-01</t>
  </si>
  <si>
    <t>TOURNES-25 mg -Tablets-G33-5981-05083-02</t>
  </si>
  <si>
    <t>Direct.Pharmaceutical Drugs.Allergy &amp; Immune System.Antihistamines &amp; Antiallergics.FEXOFENADINE</t>
  </si>
  <si>
    <t>TORVACARD ZENTIVA-10 MG -TABLETS-L81-5242-00520-01</t>
  </si>
  <si>
    <t>TOPOTECAN</t>
  </si>
  <si>
    <t>120MG</t>
  </si>
  <si>
    <t>TRISEQUENSFORTE4MG1MGTABLETSJ5853090218601</t>
  </si>
  <si>
    <t>O64-5287-00625-01</t>
  </si>
  <si>
    <t>28495</t>
  </si>
  <si>
    <t>83</t>
  </si>
  <si>
    <t>TRANDATE-200 mg -Tablets-B31-5260-03247-02</t>
  </si>
  <si>
    <t>0.45%W/V 5%W/V 50MG/ML 4.5MG/ML</t>
  </si>
  <si>
    <t>TRISEQUENS-2 mg,1 mg -Tablets-J58-5308-02184-01</t>
  </si>
  <si>
    <t>19833</t>
  </si>
  <si>
    <t>S72-5130-02327-03</t>
  </si>
  <si>
    <t>S72-5130-02327-02</t>
  </si>
  <si>
    <t>Direct.Pharmaceutical Drugs.Central Nervous System.Anticonvulsants.OXCARBAZEPINE</t>
  </si>
  <si>
    <t>ALIUD Pharma GmbH, GERMANY</t>
  </si>
  <si>
    <t>TRESIBA-100 IU/ml -Solution For Injection-J58-5275-02985-02</t>
  </si>
  <si>
    <t>LABORATORIOS AZEVEDOS- INDUSTRIA FARMACEUTICA, S.A, PORTUGAL</t>
  </si>
  <si>
    <t>TRIUM FREE-0.15 % / 10 ML,0.05 % / 10 ML -EYE DROPS-BT2-8957-09854-02</t>
  </si>
  <si>
    <t>AYURVEDIC</t>
  </si>
  <si>
    <t>TORTANDIO-H-25 MG,160 MG -TABLETS-N84-5241-05782-01</t>
  </si>
  <si>
    <t>19681</t>
  </si>
  <si>
    <t>TROMETHAMINE-0.3 M -SOLUTION FOR INJECTION-G45-5321-05638-01</t>
  </si>
  <si>
    <t>TOPOTECAN HOSPIRA-4 mg/4ml -Solution For Injection-G47-5233-05568-01</t>
  </si>
  <si>
    <t>B54-5325-05644-01</t>
  </si>
  <si>
    <t>Unique Ref</t>
  </si>
  <si>
    <t>TROIKAA PHARMACEUTICALS LTD</t>
  </si>
  <si>
    <t>Mundipharma GmbH, GERMANY</t>
  </si>
  <si>
    <t>TRIPLIXAM P10/IND 2.5/A5-5 MG,2.5 MG,10 MG -TABLETS-M40-6365-04448-01</t>
  </si>
  <si>
    <t>20441</t>
  </si>
  <si>
    <t>Direct.Pharmaceutical Drugs.Intravenous &amp; Other Sterile Solutions.Intravenous &amp; Other Sterile Solutions.NORMAL SALINE</t>
  </si>
  <si>
    <t>TORLEVA1000MGTABLETSN8452370333501</t>
  </si>
  <si>
    <t>TRIAXONE250MGPOWDERFORSOLUTIONFORINTRAMUSCULARINJECTIONH2152800108402</t>
  </si>
  <si>
    <t>Potential Duplicate Set - 1298</t>
  </si>
  <si>
    <t>100</t>
  </si>
  <si>
    <t>0.3M</t>
  </si>
  <si>
    <t>HERBAL</t>
  </si>
  <si>
    <t>GLYCEROL</t>
  </si>
  <si>
    <t>STERILE WATER-100 % -SOLUTION FOR INFUSION-I50-4980-05972-01</t>
  </si>
  <si>
    <t>25711</t>
  </si>
  <si>
    <t>TRIAXONE-250 mg -Powder For Solution For Intramuscular Injection-H21-5280-01084-01</t>
  </si>
  <si>
    <t>TRACLEER-125 mg -Tablets-A44-5251-00749-01</t>
  </si>
  <si>
    <t>1.25/A5-5MG 1.25MG 5MG</t>
  </si>
  <si>
    <t>TRANDATE-100 mg -Tablets-Q72-5260-03246-01</t>
  </si>
  <si>
    <t>Updated Mfr</t>
  </si>
  <si>
    <t>DIMETHYL FUMARATE</t>
  </si>
  <si>
    <t>Category 6 - Brand</t>
  </si>
  <si>
    <t>1346-395201-0581</t>
  </si>
  <si>
    <t>Aventis Pasteur SA, FRANCE</t>
  </si>
  <si>
    <t>Novartis Pharma AG, SWITZERLAND</t>
  </si>
  <si>
    <t>H37-4875-01719-01</t>
  </si>
  <si>
    <t>TOPAMAX-200 MG -TABLETS-H01-5228-05559-01</t>
  </si>
  <si>
    <t>TRILEPTAL-60 mg/ml -Oral Suspension-J47-5289-04217-01</t>
  </si>
  <si>
    <t>TRANGINAXL60MGEXTENDEDRELEASETABLETSA4174850718401</t>
  </si>
  <si>
    <t>TORASEMID-20 mg -Tablets-G33-5234-05571-01</t>
  </si>
  <si>
    <t>TRIXAICIN003CREAML1653160094501</t>
  </si>
  <si>
    <t>L78-5246-06551-01</t>
  </si>
  <si>
    <t>K35-5039-05355-02</t>
  </si>
  <si>
    <t>TRACTOCILE75MGMLSOLUTIONFORINJECTIONE9452530052501</t>
  </si>
  <si>
    <t>TORVACOL-20 MG -TABLETS-N68-5243-00521-01</t>
  </si>
  <si>
    <t>27748</t>
  </si>
  <si>
    <t>0.9%</t>
  </si>
  <si>
    <t>TOPAMAX-100 MG -TABLETS-H01-5228-05557-01</t>
  </si>
  <si>
    <t>28688</t>
  </si>
  <si>
    <t>TINEFCON700MGTABLETSK9152020265701</t>
  </si>
  <si>
    <t>TIDILOR10MGTABLETSK5451900349901</t>
  </si>
  <si>
    <t>10MMOL/100ML 10MMOL/100ML</t>
  </si>
  <si>
    <t>TRIMOL-240 mg/5ml -Oral Suspension-H21-5293-01505-01</t>
  </si>
  <si>
    <t>28493</t>
  </si>
  <si>
    <t>STERILE WATER FOR IRRIGATION USP-100 % -Sterile Liquid For Irrigation-O62-4982-05974-01</t>
  </si>
  <si>
    <t>0.01 % 4 % 0.05 %</t>
  </si>
  <si>
    <t>TOULARYNXTHYM5G100GSYRUPL1552470550701</t>
  </si>
  <si>
    <t>Direct.Pharmaceutical Drugs.Anti-Infectives (Systemic).Antibacterial Combinations.TRIMETHOPRIM</t>
  </si>
  <si>
    <t>16762</t>
  </si>
  <si>
    <t>TRILEPTAL600MGTABLETSJ4552890421601</t>
  </si>
  <si>
    <t>19162</t>
  </si>
  <si>
    <t>15MG</t>
  </si>
  <si>
    <t>SMITHKLINE BEECHAM CONSUME</t>
  </si>
  <si>
    <t>TRIHEXYPHENIDYL-5 mg -Tablets-O64-5287-00626-01</t>
  </si>
  <si>
    <t>J45-5289-04216-01</t>
  </si>
  <si>
    <t>MicroSynergy Pharmaceuticals FZCO Dubai, United Arab Emirates</t>
  </si>
  <si>
    <t>SODIUM CHLORIDE 0.225% &amp; GLUCOSE 5% W/V BP-50 MG/ML,2.25 MG/ML -SOLUTION FOR INFUSION-G05-4873-01717-01</t>
  </si>
  <si>
    <t>HIMALAYA</t>
  </si>
  <si>
    <t>Direct.Pharmaceutical Drugs.Ear &amp; Mouth / Throat.Other Ear Preparations.PHENAZONE</t>
  </si>
  <si>
    <t>WOCKHARDT LTD</t>
  </si>
  <si>
    <t>25183</t>
  </si>
  <si>
    <t>TRIMOVAX VACCINE-1000 CCID50,5000 CCID50,1000 CCID50 -INJECTION-B61-5296-06120-01</t>
  </si>
  <si>
    <t>TOPAMAX-15 mg -Capsules-D58-5228-05558-01</t>
  </si>
  <si>
    <t>Direct.Pharmaceutical Drugs.Vitamins &amp; Minerals.Vitamins &amp;/Or Minerals.LACTOFERRIN</t>
  </si>
  <si>
    <t>SUCRATEC1MGTABLETSJ2350090257002</t>
  </si>
  <si>
    <t>SODIUMCHLORIDEDEXTROSEPHARMACEUTICALSOLUTIONFORINFUSION500ML</t>
  </si>
  <si>
    <t>TOROLAC-5 MG/ML -EYE DROPS-I86-5238-03235-01</t>
  </si>
  <si>
    <t>TOPAMAX-50 mg -Capsules-D58-5228-05562-01</t>
  </si>
  <si>
    <t>TRIHEXYPHENIDYL5MGTABLETSL1652870062601</t>
  </si>
  <si>
    <t>TRIAXONE-1 g -Powder For Solution For Intramuscular Injection-H21-5280-01080-02</t>
  </si>
  <si>
    <t>26234</t>
  </si>
  <si>
    <t>TOPAMAX-200 mg -Tablets-H01-5228-05559-01</t>
  </si>
  <si>
    <t>J58-5275-02985-02</t>
  </si>
  <si>
    <t>Direct.Pharmaceutical Drugs.Central Nervous System.Antiparkinsonian Drugs.TRIHEXYPHENIDYL</t>
  </si>
  <si>
    <t>PT NOVELL PHARMACEUTICAL LABORATORIES, INDONESIA</t>
  </si>
  <si>
    <t>F26-5156-03525-01</t>
  </si>
  <si>
    <t>R53-6831-06920-01</t>
  </si>
  <si>
    <t>TRIHEXYPHENIDYL-5 MG -TABLETS-O64-5287-00626-01</t>
  </si>
  <si>
    <t>TROSPIUM CHLORIDE-20 mg -Tablets-B54-5325-05644-01</t>
  </si>
  <si>
    <t>TORASEMIDAL-10 MG -TABLETS-A70-5235-05570-01</t>
  </si>
  <si>
    <t>F75-5318-00074-01</t>
  </si>
  <si>
    <t>28181</t>
  </si>
  <si>
    <t>AUROBINDO PHARMA FZ LLC, United Arab Emirates</t>
  </si>
  <si>
    <t>17447</t>
  </si>
  <si>
    <t>Direct.Pharmaceutical Drugs.Gastrointestinal &amp; Hepatobiliary System.Antacids, Antireflux Agents &amp; Antiulcerants.OMEPRAZOLE</t>
  </si>
  <si>
    <t>TRISENOX-1 MG/ML -SOLUTION FOR INJECTION-D42-5307-00447-01</t>
  </si>
  <si>
    <t>Ampoule</t>
  </si>
  <si>
    <t>B92-5323-05641-01</t>
  </si>
  <si>
    <t>ACCORD HEALTHCARE LIMITED</t>
  </si>
  <si>
    <t>G33-6528-06648-01</t>
  </si>
  <si>
    <t>SACITUZUMAB GOVITECAN-HZIY</t>
  </si>
  <si>
    <t>G45-5321-05638-01</t>
  </si>
  <si>
    <t>RUGBY LABORATORIES INC</t>
  </si>
  <si>
    <t>TROSPIUMCHLORIDE20MGTABLETSA3653250564402</t>
  </si>
  <si>
    <t>STERILE WATER-100 % -Liquid for Irrigation-O62-4980-05971-01</t>
  </si>
  <si>
    <t>TELFAST120MGTABLETSS7251300232702</t>
  </si>
  <si>
    <t>L96-5311-04865-01</t>
  </si>
  <si>
    <t>TRILTEC-5 mg -Capsules-A68-5290-04866-01</t>
  </si>
  <si>
    <t>TRANDATE-100 mg -Tablets-R65-5260-03246-01</t>
  </si>
  <si>
    <t>TRILEPTAL-60 MG/ML -ORAL SUSPENSION-J45-5289-04217-02</t>
  </si>
  <si>
    <t>4MG/ML</t>
  </si>
  <si>
    <t>H01-5228-05563-01</t>
  </si>
  <si>
    <t>Troikaa Pharmaceuticals Ltd, India</t>
  </si>
  <si>
    <t>Results from Delivered - Check for DDC</t>
  </si>
  <si>
    <t>TOULAKIDS-18.7 g/100ml -Syrup-L15-8039-07906-01</t>
  </si>
  <si>
    <t>TRIS360MGMLSOLUTIONFORINJECTIONB7853060563901</t>
  </si>
  <si>
    <t>28893</t>
  </si>
  <si>
    <t>TOVAST[SPIMACO] 40 MG FILM COATED TABLETS (30 tab)</t>
  </si>
  <si>
    <t>Direct.Pharmaceutical Drugs.Allergy &amp; Immune System.Vaccines, Antisera &amp; Immunologicals.DIPHTHERIA TOXOID + TETANUS TOXOID + PERTUSSIS TOXOID</t>
  </si>
  <si>
    <t>29181</t>
  </si>
  <si>
    <t>TORTANDIO-H-25 mg,160 mg -Tablets-N84-5241-05782-01</t>
  </si>
  <si>
    <t>J45-5289-04217-02</t>
  </si>
  <si>
    <t>E50-5250-03416-01</t>
  </si>
  <si>
    <t>SODIUM CHLORIDE 0.225% &amp; GLUCOSE 5% W/V BP-50 mg/ml,2.25 mg/ml -Solution For Infusion-G05-4873-01717-01</t>
  </si>
  <si>
    <t>TRISPAN20MGMLSOLUTIONFORINJECTIONP3860020561301</t>
  </si>
  <si>
    <t>SODIUM CHLORIDE 0.225% &amp; GLUCOSE 5% W/V BP-50 mg/ml,2.25 mg/ml -Solution For Infusion-G05-4873-01717-02</t>
  </si>
  <si>
    <t>TRIPACEL VACCINE[SANOFI] SUSPENSION FOR INJECTION (0.5 ML)</t>
  </si>
  <si>
    <t>ml</t>
  </si>
  <si>
    <t>0002-100104-1001</t>
  </si>
  <si>
    <t>TRILAC40MGMLSUSPENSIONFORINTRAMUSCULARINJECTIONU1291980985302</t>
  </si>
  <si>
    <t>LEVETIRACETAM</t>
  </si>
  <si>
    <t>PIRAMAL LIFE SCIENCES LIMITED</t>
  </si>
  <si>
    <t>28619</t>
  </si>
  <si>
    <t>N84-5237-03340-01</t>
  </si>
  <si>
    <t>TRACTOCILE-7.5 mg/ml -Solution For Injection-E94-5253-00525-01</t>
  </si>
  <si>
    <t>SODIUM BICARBONATE</t>
  </si>
  <si>
    <t>TELFAST-180 mg -Tablets-S72-5130-02328-03</t>
  </si>
  <si>
    <t>TOPAMAX15MGCAPSULESD5852280555801</t>
  </si>
  <si>
    <t>PIRIBEDIL</t>
  </si>
  <si>
    <t>87 MCG 5 MCG 9 MCG</t>
  </si>
  <si>
    <t>TRIHEXYPHENIDYL-5 mg -Tablets-A11-5287-00626-01</t>
  </si>
  <si>
    <t>G33-5234-05571-01</t>
  </si>
  <si>
    <t>15</t>
  </si>
  <si>
    <t>27592</t>
  </si>
  <si>
    <t>J18-5227-05328-01</t>
  </si>
  <si>
    <t>19408</t>
  </si>
  <si>
    <t>SODIUM CHLORIDE &amp; GLUCOSE BP[GULF] SOLUTION FOR INFUSION (500 mL)</t>
  </si>
  <si>
    <t>STERILEWATERFORIRRIGATIONUSP100STERILELIQUIDFORIRRIGATIONO6249820597401</t>
  </si>
  <si>
    <t>A68-5290-04862-01</t>
  </si>
  <si>
    <t>TRIKAFTA-100 mg,50 mg,75 mg,150 mg -Tablets-O26-8278-08188-01</t>
  </si>
  <si>
    <t>K54-5229-02497-01</t>
  </si>
  <si>
    <t>300MG 150MG 300MG</t>
  </si>
  <si>
    <t>TRILUMA-0.01 %,4 %,0.05 % -CREAM-F29-5291-02380-01</t>
  </si>
  <si>
    <t>TINEFCON-700 mg -Tablets-K91-5202-02657-02</t>
  </si>
  <si>
    <t>TRACHITOL-1 MG,1 MG,1.8 MG -LOZENGES-E50-5250-03416-01</t>
  </si>
  <si>
    <t>TRIUMFREE01510ML00510MLEYEDROPSBT289570985402</t>
  </si>
  <si>
    <t>Puff</t>
  </si>
  <si>
    <t>R86-5292-05624-02</t>
  </si>
  <si>
    <t>24687</t>
  </si>
  <si>
    <t>Potential Duplicate Set - 5831</t>
  </si>
  <si>
    <t>M40-6367-04450-01</t>
  </si>
  <si>
    <t>TRIMETHOPRIM100MGTABLETSR8652920562402</t>
  </si>
  <si>
    <t>30MG/5ML 1.25MG/5ML</t>
  </si>
  <si>
    <t>NILOTINIB</t>
  </si>
  <si>
    <t>21817</t>
  </si>
  <si>
    <t>TRILEPTAL-60 MG/ML -ORAL SUSPENSION-J47-5289-04217-01</t>
  </si>
  <si>
    <t>TECFIDERA-120 MG -SUSTAINED RELEASE CAPSULES-C52-5123-01863-01</t>
  </si>
  <si>
    <t>FIDIA</t>
  </si>
  <si>
    <t>CO TRIMOXAZOLE(TRIMETHOPRIM + SULPHAMETHOXAZOLE)</t>
  </si>
  <si>
    <t>TOULARYNX THYM-5 g/100g -Syrup-L15-5247-05507-01</t>
  </si>
  <si>
    <t>TELFAST-120 MG -TABLETS-S72-5130-02327-02</t>
  </si>
  <si>
    <t>TELFAST-120 MG -TABLETS-S72-5130-02327-03</t>
  </si>
  <si>
    <t>TRITANTRIX HB+HIBERIX VACCINE</t>
  </si>
  <si>
    <t>TRAJENTA5MGTABLETSC8452550344901</t>
  </si>
  <si>
    <t>TORLEVA-500 mg -Tablets-N84-5237-03340-01</t>
  </si>
  <si>
    <t>0.225% 5%W/V 50MG/ML 2.25MG/ML</t>
  </si>
  <si>
    <t>28498</t>
  </si>
  <si>
    <t>Direct.Pharmaceutical Drugs.Central Nervous System.Antiparkinsonian Drugs.PIRIBEDIL</t>
  </si>
  <si>
    <t>TELFAST-120 MG -TABLETS-L91-5130-02327-01</t>
  </si>
  <si>
    <t>GENERAL</t>
  </si>
  <si>
    <t>TRIAXONE-250 MG -POWDER FOR SOLUTION FOR INTRAMUSCULAR INJECTION-H21-5280-01084-02</t>
  </si>
  <si>
    <t>Potential Duplicate Set - 1100</t>
  </si>
  <si>
    <t>TRIPOFED-30 MG/5ML,1.25 MG/5ML -SYRUP (ALCOHOL FREE)-H37-5303-04794-01</t>
  </si>
  <si>
    <t>TORAS-DENK-5 mg -Tablets-R14-7315-07302-01</t>
  </si>
  <si>
    <t>Potential Duplicate Set - 1831</t>
  </si>
  <si>
    <t>TRIPLIXAMP5IND125A1010MG125MG5MGTABLETSM4063660444901</t>
  </si>
  <si>
    <t>28507</t>
  </si>
  <si>
    <t>TADALAFIL</t>
  </si>
  <si>
    <t>28500</t>
  </si>
  <si>
    <t>TRIAXONE-1 G -POWDER FOR SOLUTION FOR INTRAVENOUS INJECTION-H21-5280-01081-01</t>
  </si>
  <si>
    <t>TRANDATE-200 MG -TABLETS-B31-5260-03247-01</t>
  </si>
  <si>
    <t>TRIMOL-240 MG/5ML -ORAL SUSPENSION-H21-5293-01505-02</t>
  </si>
  <si>
    <t>J45-5289-04215-01</t>
  </si>
  <si>
    <t>17945</t>
  </si>
  <si>
    <t>H95-5315-05497-01</t>
  </si>
  <si>
    <t>N84-5237-03335-01</t>
  </si>
  <si>
    <t>GLUCOSE + SODIUM CHLORIDE</t>
  </si>
  <si>
    <t>I68-5310-05637-01</t>
  </si>
  <si>
    <t>I68-5310-05637-02</t>
  </si>
  <si>
    <t>TRILTEC-10 mg -Capsules-A68-5290-04862-01</t>
  </si>
  <si>
    <t>H21-5280-01084-02</t>
  </si>
  <si>
    <t>300MG</t>
  </si>
  <si>
    <t>A41-7485-07184-01</t>
  </si>
  <si>
    <t>TOPIDIC-20 mg/g -Cream-K54-5229-02496-01</t>
  </si>
  <si>
    <t>26230</t>
  </si>
  <si>
    <t>NO MATCH</t>
  </si>
  <si>
    <t>MAPPED</t>
  </si>
  <si>
    <t>ITEM ONLY IN MOH</t>
  </si>
  <si>
    <t>1-A-DY08-HQ-JU55-CW65-X-00001</t>
  </si>
  <si>
    <t>THYME LEAF EXTRACT-TOULARYNX THYM 5 GRAM/100 GRAM ORAL SYRUP [BOTTLE(180 ML)]</t>
  </si>
  <si>
    <t>MAPPED, ADTNL INFO</t>
  </si>
  <si>
    <t>MAPPED, PKG DIFFERS</t>
  </si>
  <si>
    <t>0895-266305-1171</t>
  </si>
  <si>
    <t>0576-266304-0752</t>
  </si>
  <si>
    <t>0553-364604-3361</t>
  </si>
  <si>
    <t>0829-277505-0392</t>
  </si>
  <si>
    <t>0353-277501-1451</t>
  </si>
  <si>
    <t>0829-277504-0391</t>
  </si>
  <si>
    <t>0353-277503-1451</t>
  </si>
  <si>
    <t>0829-277503-0391</t>
  </si>
  <si>
    <t>0353-277502-1451</t>
  </si>
  <si>
    <t>1584-277502-0392</t>
  </si>
  <si>
    <t>0219-128401-0151</t>
  </si>
  <si>
    <t>0361-128401-0431</t>
  </si>
  <si>
    <t>0219-187502-0151</t>
  </si>
  <si>
    <t>5314-242802-1751</t>
  </si>
  <si>
    <t>2719-812801-0391</t>
  </si>
  <si>
    <t>2719-812802-0391</t>
  </si>
  <si>
    <t>1208-337603-1171</t>
  </si>
  <si>
    <t>0669-206503-0391</t>
  </si>
  <si>
    <t>0863-337601-1171</t>
  </si>
  <si>
    <t>1286-386001-0391</t>
  </si>
  <si>
    <t>1286-386002-0391</t>
  </si>
  <si>
    <t>1286-386003-0391</t>
  </si>
  <si>
    <t>2104-386001-0391</t>
  </si>
  <si>
    <t>2104-386002-0391</t>
  </si>
  <si>
    <t>2104-386003-0391</t>
  </si>
  <si>
    <t>0050-120801-1171</t>
  </si>
  <si>
    <t>0050-120803-1171</t>
  </si>
  <si>
    <t>0050-120802-1171</t>
  </si>
  <si>
    <t>1350-208603-1021</t>
  </si>
  <si>
    <t>2068-559802-1161</t>
  </si>
  <si>
    <t>0252-211702-0391</t>
  </si>
  <si>
    <t>0252-211703-0391</t>
  </si>
  <si>
    <t>0593-391301-1741</t>
  </si>
  <si>
    <t>1297-278201-0391</t>
  </si>
  <si>
    <t>1297-278202-0391</t>
  </si>
  <si>
    <t>0594-278301-0132</t>
  </si>
  <si>
    <t>0594-278301-1021</t>
  </si>
  <si>
    <t>1322-380401-0391</t>
  </si>
  <si>
    <t>1647-278407-0221</t>
  </si>
  <si>
    <t>0250-278405-2001</t>
  </si>
  <si>
    <t>0250-278404-2001</t>
  </si>
  <si>
    <t>0250-278406-2001</t>
  </si>
  <si>
    <t>4426-207401-1021</t>
  </si>
  <si>
    <t>1947-814301-0061</t>
  </si>
  <si>
    <t>RUGBY WATSON, USA</t>
  </si>
  <si>
    <t>DDC</t>
  </si>
  <si>
    <t>DDC MAPPED, PKG DIFFERS</t>
  </si>
  <si>
    <t>THORNTON &amp; ROSS LTD., UK</t>
  </si>
  <si>
    <t>DDC MAPPED, ADDTNL INFO</t>
  </si>
  <si>
    <t>PHARMACEUTICAL SOLUTION INDUSTRIES LTD., SAUDI ARABIA</t>
  </si>
  <si>
    <t>GULF INJECT L.L.C., UAE</t>
  </si>
  <si>
    <t>DDC MAPPED, ADDTNL STRENGTH</t>
  </si>
  <si>
    <t>DDC/MOH</t>
  </si>
  <si>
    <t>EXACT MATCH</t>
  </si>
  <si>
    <t>PRICE REVIEW</t>
  </si>
  <si>
    <t>DDC MAPPED FROM MEDCARE</t>
  </si>
  <si>
    <t>JANSSEN-CILAG</t>
  </si>
  <si>
    <t>DDC MAPPED, ADTNL INFO</t>
  </si>
  <si>
    <t>CILAG</t>
  </si>
  <si>
    <t>PHARMA INTERNATIONAL CO., JORDAN</t>
  </si>
  <si>
    <t>AUROBINDO PHARMA FZ LLC, UAE</t>
  </si>
  <si>
    <t>DENK PHARMA EUROPE GMBH</t>
  </si>
  <si>
    <t>HEXAL AG, GERMANY</t>
  </si>
  <si>
    <t>NO MATCH, PKG DIFFERS</t>
  </si>
  <si>
    <t>TORRENT PHARMACEUTICAL LTD., INDIA</t>
  </si>
  <si>
    <t>ALIUD PHARMA GMBH, GERMANY</t>
  </si>
  <si>
    <t>SANOFI-AVENTIS</t>
  </si>
  <si>
    <t>JORDANIAN PHARMACEUTICAL MANUFACTURING &amp; MEDICAL EQUIPMENT CO. LTD. (J.P.M), JORDAN</t>
  </si>
  <si>
    <t>WOCKHARDT PHARMACEUTICALS (CP PHARMA)</t>
  </si>
  <si>
    <t>QUALIPHAR N. V/S.A, BELGIUM</t>
  </si>
  <si>
    <t>SPIMACO (AL QASSIM PHARMACEUTICAL PLANT), SAUDI ARABIA</t>
  </si>
  <si>
    <t>ENGELHARD ARZNEIMITTEL GMBH &amp; CO. KG, GERMANY</t>
  </si>
  <si>
    <t>ACTELION PHARMACEUTICALS LTD., UK</t>
  </si>
  <si>
    <t>FERRING</t>
  </si>
  <si>
    <t>BOEHRINGER INGELHEIM ROXANE INC.</t>
  </si>
  <si>
    <t>STADAPHARM, GERMANY</t>
  </si>
  <si>
    <t>MUNDIPHARMA</t>
  </si>
  <si>
    <t>GLAXO WELLCOME OPERATIONS</t>
  </si>
  <si>
    <t>SOFAR S.P.A, ITALY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</si>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</sst>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2" fontId="9" fillId="8" borderId="1" xfId="0" applyNumberFormat="1" applyFont="1" applyFill="1" applyBorder="1" applyAlignment="1">
      <alignment horizontal="left" vertical="center" indent="1"/>
    </xf>
    <xf numFmtId="2" fontId="9" fillId="9" borderId="1" xfId="0" applyNumberFormat="1" applyFont="1" applyFill="1" applyBorder="1" applyAlignment="1">
      <alignment horizontal="left" vertical="center" indent="1"/>
    </xf>
    <xf numFmtId="0" fontId="8" fillId="1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AE%20item%20master%20final%20reviewed%2029_08_23_8th%20Sep%202023_With%20Delta_16th%20Nov_SX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>
        <row r="2">
          <cell r="A2">
            <v>8684</v>
          </cell>
        </row>
        <row r="3">
          <cell r="A3">
            <v>6354</v>
          </cell>
        </row>
        <row r="4">
          <cell r="A4">
            <v>6444</v>
          </cell>
        </row>
        <row r="5">
          <cell r="A5">
            <v>41961</v>
          </cell>
        </row>
        <row r="6">
          <cell r="A6">
            <v>44382</v>
          </cell>
        </row>
        <row r="7">
          <cell r="A7">
            <v>44383</v>
          </cell>
        </row>
        <row r="8">
          <cell r="A8">
            <v>23627</v>
          </cell>
        </row>
        <row r="9">
          <cell r="A9">
            <v>984</v>
          </cell>
        </row>
        <row r="10">
          <cell r="A10">
            <v>988</v>
          </cell>
        </row>
        <row r="11">
          <cell r="A11">
            <v>990</v>
          </cell>
        </row>
        <row r="12">
          <cell r="A12">
            <v>986</v>
          </cell>
        </row>
        <row r="13">
          <cell r="A13">
            <v>20852</v>
          </cell>
        </row>
        <row r="14">
          <cell r="A14">
            <v>1287</v>
          </cell>
        </row>
        <row r="15">
          <cell r="A15">
            <v>1289</v>
          </cell>
        </row>
        <row r="16">
          <cell r="A16">
            <v>20851</v>
          </cell>
        </row>
        <row r="17">
          <cell r="A17">
            <v>10532</v>
          </cell>
        </row>
        <row r="18">
          <cell r="A18">
            <v>16237</v>
          </cell>
        </row>
        <row r="19">
          <cell r="A19">
            <v>16239</v>
          </cell>
        </row>
        <row r="20">
          <cell r="A20">
            <v>16240</v>
          </cell>
        </row>
        <row r="21">
          <cell r="A21">
            <v>23895</v>
          </cell>
        </row>
        <row r="22">
          <cell r="A22">
            <v>23909</v>
          </cell>
        </row>
        <row r="23">
          <cell r="A23">
            <v>41642</v>
          </cell>
        </row>
        <row r="24">
          <cell r="A24">
            <v>4999</v>
          </cell>
        </row>
        <row r="25">
          <cell r="A25">
            <v>49912</v>
          </cell>
        </row>
        <row r="26">
          <cell r="A26">
            <v>5001</v>
          </cell>
        </row>
        <row r="27">
          <cell r="A27">
            <v>13192</v>
          </cell>
        </row>
        <row r="28">
          <cell r="A28">
            <v>8474</v>
          </cell>
        </row>
        <row r="29">
          <cell r="A29">
            <v>7711</v>
          </cell>
        </row>
        <row r="30">
          <cell r="A30">
            <v>4926</v>
          </cell>
        </row>
        <row r="31">
          <cell r="A31">
            <v>8770</v>
          </cell>
        </row>
        <row r="32">
          <cell r="A32">
            <v>7246</v>
          </cell>
        </row>
        <row r="33">
          <cell r="A33">
            <v>14550</v>
          </cell>
        </row>
        <row r="34">
          <cell r="A34">
            <v>10050</v>
          </cell>
        </row>
        <row r="35">
          <cell r="A35">
            <v>6262</v>
          </cell>
        </row>
        <row r="36">
          <cell r="A36">
            <v>6265</v>
          </cell>
        </row>
        <row r="37">
          <cell r="A37">
            <v>46808</v>
          </cell>
        </row>
        <row r="38">
          <cell r="A38">
            <v>49162</v>
          </cell>
        </row>
        <row r="39">
          <cell r="A39">
            <v>49163</v>
          </cell>
        </row>
        <row r="40">
          <cell r="A40">
            <v>49161</v>
          </cell>
        </row>
        <row r="41">
          <cell r="A41">
            <v>5290</v>
          </cell>
        </row>
        <row r="42">
          <cell r="A42">
            <v>5947</v>
          </cell>
        </row>
        <row r="43">
          <cell r="A43">
            <v>49326</v>
          </cell>
        </row>
        <row r="44">
          <cell r="A44">
            <v>6019</v>
          </cell>
        </row>
        <row r="45">
          <cell r="A45">
            <v>443</v>
          </cell>
        </row>
        <row r="46">
          <cell r="A46">
            <v>2489</v>
          </cell>
        </row>
        <row r="47">
          <cell r="A47">
            <v>2515</v>
          </cell>
        </row>
        <row r="48">
          <cell r="A48">
            <v>477</v>
          </cell>
        </row>
        <row r="49">
          <cell r="A49">
            <v>27730</v>
          </cell>
        </row>
        <row r="50">
          <cell r="A50">
            <v>3096</v>
          </cell>
        </row>
        <row r="51">
          <cell r="A51">
            <v>20893</v>
          </cell>
        </row>
        <row r="52">
          <cell r="A52">
            <v>22003</v>
          </cell>
        </row>
        <row r="53">
          <cell r="A53">
            <v>16391</v>
          </cell>
        </row>
        <row r="54">
          <cell r="A54">
            <v>16393</v>
          </cell>
        </row>
        <row r="55">
          <cell r="A55">
            <v>16394</v>
          </cell>
        </row>
        <row r="56">
          <cell r="A56">
            <v>3854</v>
          </cell>
        </row>
        <row r="57">
          <cell r="A57">
            <v>16396</v>
          </cell>
        </row>
        <row r="58">
          <cell r="A58">
            <v>22768</v>
          </cell>
        </row>
        <row r="59">
          <cell r="A59">
            <v>22770</v>
          </cell>
        </row>
        <row r="60">
          <cell r="A60">
            <v>579</v>
          </cell>
        </row>
        <row r="61">
          <cell r="A61">
            <v>20213</v>
          </cell>
        </row>
        <row r="62">
          <cell r="A62">
            <v>2868</v>
          </cell>
        </row>
        <row r="63">
          <cell r="A63">
            <v>17023</v>
          </cell>
        </row>
        <row r="64">
          <cell r="A64">
            <v>9650</v>
          </cell>
        </row>
        <row r="65">
          <cell r="A65">
            <v>21502</v>
          </cell>
        </row>
        <row r="66">
          <cell r="A66">
            <v>22285</v>
          </cell>
        </row>
        <row r="67">
          <cell r="A67">
            <v>22286</v>
          </cell>
        </row>
        <row r="68">
          <cell r="A68">
            <v>22290</v>
          </cell>
        </row>
        <row r="69">
          <cell r="A69">
            <v>9654</v>
          </cell>
        </row>
        <row r="70">
          <cell r="A70">
            <v>16675</v>
          </cell>
        </row>
        <row r="71">
          <cell r="A71">
            <v>14734</v>
          </cell>
        </row>
        <row r="72">
          <cell r="A72">
            <v>16687</v>
          </cell>
        </row>
        <row r="73">
          <cell r="A73">
            <v>16708</v>
          </cell>
        </row>
        <row r="74">
          <cell r="A74">
            <v>383</v>
          </cell>
        </row>
        <row r="75">
          <cell r="A75">
            <v>385</v>
          </cell>
        </row>
        <row r="76">
          <cell r="A76">
            <v>39963</v>
          </cell>
        </row>
        <row r="77">
          <cell r="A77">
            <v>22914</v>
          </cell>
        </row>
        <row r="78">
          <cell r="A78">
            <v>22288</v>
          </cell>
        </row>
        <row r="79">
          <cell r="A79">
            <v>22289</v>
          </cell>
        </row>
        <row r="80">
          <cell r="A80">
            <v>23917</v>
          </cell>
        </row>
        <row r="81">
          <cell r="A81">
            <v>18341</v>
          </cell>
        </row>
        <row r="82">
          <cell r="A82">
            <v>17279</v>
          </cell>
        </row>
        <row r="83">
          <cell r="A83">
            <v>17197</v>
          </cell>
        </row>
        <row r="84">
          <cell r="A84">
            <v>17086</v>
          </cell>
        </row>
        <row r="85">
          <cell r="A85">
            <v>17164</v>
          </cell>
        </row>
        <row r="86">
          <cell r="A86">
            <v>17229</v>
          </cell>
        </row>
        <row r="87">
          <cell r="A87">
            <v>17093</v>
          </cell>
        </row>
        <row r="88">
          <cell r="A88">
            <v>17336</v>
          </cell>
        </row>
        <row r="89">
          <cell r="A89">
            <v>17342</v>
          </cell>
        </row>
        <row r="90">
          <cell r="A90">
            <v>17343</v>
          </cell>
        </row>
        <row r="91">
          <cell r="A91">
            <v>16703</v>
          </cell>
        </row>
        <row r="92">
          <cell r="A92">
            <v>3461</v>
          </cell>
        </row>
        <row r="93">
          <cell r="A93">
            <v>24208</v>
          </cell>
        </row>
        <row r="94">
          <cell r="A94">
            <v>13846</v>
          </cell>
        </row>
        <row r="95">
          <cell r="A95">
            <v>8550</v>
          </cell>
        </row>
        <row r="96">
          <cell r="A96">
            <v>40001</v>
          </cell>
        </row>
        <row r="97">
          <cell r="A97">
            <v>42055</v>
          </cell>
        </row>
        <row r="98">
          <cell r="A98">
            <v>17188</v>
          </cell>
        </row>
        <row r="99">
          <cell r="A99">
            <v>17228</v>
          </cell>
        </row>
        <row r="100">
          <cell r="A100">
            <v>17094</v>
          </cell>
        </row>
        <row r="101">
          <cell r="A101">
            <v>24919</v>
          </cell>
        </row>
        <row r="102">
          <cell r="A102">
            <v>40017</v>
          </cell>
        </row>
        <row r="103">
          <cell r="A103">
            <v>17586</v>
          </cell>
        </row>
        <row r="104">
          <cell r="A104">
            <v>10686</v>
          </cell>
        </row>
        <row r="105">
          <cell r="A105">
            <v>10688</v>
          </cell>
        </row>
        <row r="106">
          <cell r="A106">
            <v>16629</v>
          </cell>
        </row>
        <row r="107">
          <cell r="A107">
            <v>16630</v>
          </cell>
        </row>
        <row r="108">
          <cell r="A108">
            <v>14947</v>
          </cell>
        </row>
        <row r="109">
          <cell r="A109">
            <v>22739</v>
          </cell>
        </row>
        <row r="110">
          <cell r="A110">
            <v>22317</v>
          </cell>
        </row>
        <row r="111">
          <cell r="A111">
            <v>14200</v>
          </cell>
        </row>
        <row r="112">
          <cell r="A112">
            <v>14204</v>
          </cell>
        </row>
        <row r="113">
          <cell r="A113">
            <v>22307</v>
          </cell>
        </row>
        <row r="114">
          <cell r="A114">
            <v>22740</v>
          </cell>
        </row>
        <row r="115">
          <cell r="A115">
            <v>22743</v>
          </cell>
        </row>
        <row r="116">
          <cell r="A116">
            <v>18123</v>
          </cell>
        </row>
        <row r="117">
          <cell r="A117">
            <v>18124</v>
          </cell>
        </row>
        <row r="118">
          <cell r="A118">
            <v>18125</v>
          </cell>
        </row>
        <row r="119">
          <cell r="A119">
            <v>971</v>
          </cell>
        </row>
        <row r="120">
          <cell r="A120">
            <v>18120</v>
          </cell>
        </row>
        <row r="121">
          <cell r="A121">
            <v>18174</v>
          </cell>
        </row>
        <row r="122">
          <cell r="A122">
            <v>1472</v>
          </cell>
        </row>
        <row r="123">
          <cell r="A123">
            <v>14689</v>
          </cell>
        </row>
        <row r="124">
          <cell r="A124">
            <v>14540</v>
          </cell>
        </row>
        <row r="125">
          <cell r="A125">
            <v>9778</v>
          </cell>
        </row>
        <row r="126">
          <cell r="A126">
            <v>21833</v>
          </cell>
        </row>
        <row r="127">
          <cell r="A127">
            <v>20499</v>
          </cell>
        </row>
        <row r="128">
          <cell r="A128">
            <v>2523</v>
          </cell>
        </row>
        <row r="129">
          <cell r="A129">
            <v>513</v>
          </cell>
        </row>
        <row r="130">
          <cell r="A130">
            <v>11289</v>
          </cell>
        </row>
        <row r="131">
          <cell r="A131">
            <v>16920</v>
          </cell>
        </row>
        <row r="132">
          <cell r="A132">
            <v>11291</v>
          </cell>
        </row>
        <row r="133">
          <cell r="A133">
            <v>17172</v>
          </cell>
        </row>
        <row r="134">
          <cell r="A134">
            <v>11537</v>
          </cell>
        </row>
        <row r="135">
          <cell r="A135">
            <v>11540</v>
          </cell>
        </row>
        <row r="136">
          <cell r="A136">
            <v>11542</v>
          </cell>
        </row>
        <row r="137">
          <cell r="A137">
            <v>42333</v>
          </cell>
        </row>
        <row r="138">
          <cell r="A138">
            <v>42332</v>
          </cell>
        </row>
        <row r="139">
          <cell r="A139">
            <v>42331</v>
          </cell>
        </row>
        <row r="140">
          <cell r="A140">
            <v>42330</v>
          </cell>
        </row>
        <row r="141">
          <cell r="A141">
            <v>42349</v>
          </cell>
        </row>
        <row r="142">
          <cell r="A142">
            <v>42350</v>
          </cell>
        </row>
        <row r="143">
          <cell r="A143">
            <v>42351</v>
          </cell>
        </row>
        <row r="144">
          <cell r="A144">
            <v>42353</v>
          </cell>
        </row>
        <row r="145">
          <cell r="A145">
            <v>6803</v>
          </cell>
        </row>
        <row r="146">
          <cell r="A146">
            <v>19256</v>
          </cell>
        </row>
        <row r="147">
          <cell r="A147">
            <v>23752</v>
          </cell>
        </row>
        <row r="148">
          <cell r="A148">
            <v>19621</v>
          </cell>
        </row>
        <row r="149">
          <cell r="A149">
            <v>16896</v>
          </cell>
        </row>
        <row r="150">
          <cell r="A150">
            <v>19407</v>
          </cell>
        </row>
        <row r="151">
          <cell r="A151">
            <v>51795</v>
          </cell>
        </row>
        <row r="152">
          <cell r="A152">
            <v>51796</v>
          </cell>
        </row>
        <row r="153">
          <cell r="A153">
            <v>19412</v>
          </cell>
        </row>
        <row r="154">
          <cell r="A154">
            <v>21967</v>
          </cell>
        </row>
        <row r="155">
          <cell r="A155">
            <v>21970</v>
          </cell>
        </row>
        <row r="156">
          <cell r="A156">
            <v>21973</v>
          </cell>
        </row>
        <row r="157">
          <cell r="A157">
            <v>21998</v>
          </cell>
        </row>
        <row r="158">
          <cell r="A158">
            <v>49164</v>
          </cell>
        </row>
        <row r="159">
          <cell r="A159">
            <v>49165</v>
          </cell>
        </row>
        <row r="160">
          <cell r="A160">
            <v>16932</v>
          </cell>
        </row>
        <row r="161">
          <cell r="A161">
            <v>16068</v>
          </cell>
        </row>
        <row r="162">
          <cell r="A162">
            <v>10266</v>
          </cell>
        </row>
        <row r="163">
          <cell r="A163">
            <v>16083</v>
          </cell>
        </row>
        <row r="164">
          <cell r="A164">
            <v>16090</v>
          </cell>
        </row>
        <row r="165">
          <cell r="A165">
            <v>16091</v>
          </cell>
        </row>
        <row r="166">
          <cell r="A166">
            <v>16089</v>
          </cell>
        </row>
        <row r="167">
          <cell r="A167">
            <v>23802</v>
          </cell>
        </row>
        <row r="168">
          <cell r="A168">
            <v>30812</v>
          </cell>
        </row>
        <row r="169">
          <cell r="A169">
            <v>716</v>
          </cell>
        </row>
        <row r="170">
          <cell r="A170">
            <v>40074</v>
          </cell>
        </row>
        <row r="171">
          <cell r="A171">
            <v>40075</v>
          </cell>
        </row>
        <row r="172">
          <cell r="A172">
            <v>24124</v>
          </cell>
        </row>
        <row r="173">
          <cell r="A173">
            <v>20584</v>
          </cell>
        </row>
        <row r="174">
          <cell r="A174">
            <v>20720</v>
          </cell>
        </row>
        <row r="175">
          <cell r="A175">
            <v>564</v>
          </cell>
        </row>
        <row r="176">
          <cell r="A176">
            <v>17754</v>
          </cell>
        </row>
        <row r="177">
          <cell r="A177">
            <v>29655</v>
          </cell>
        </row>
        <row r="178">
          <cell r="A178">
            <v>18447</v>
          </cell>
        </row>
        <row r="179">
          <cell r="A179">
            <v>40080</v>
          </cell>
        </row>
        <row r="180">
          <cell r="A180">
            <v>43418</v>
          </cell>
        </row>
        <row r="181">
          <cell r="A181">
            <v>23780</v>
          </cell>
        </row>
        <row r="182">
          <cell r="A182">
            <v>14832</v>
          </cell>
        </row>
        <row r="183">
          <cell r="A183">
            <v>15499</v>
          </cell>
        </row>
        <row r="184">
          <cell r="A184">
            <v>14831</v>
          </cell>
        </row>
        <row r="185">
          <cell r="A185">
            <v>15477</v>
          </cell>
        </row>
        <row r="186">
          <cell r="A186">
            <v>19385</v>
          </cell>
        </row>
        <row r="187">
          <cell r="A187">
            <v>4114</v>
          </cell>
        </row>
        <row r="188">
          <cell r="A188">
            <v>22806</v>
          </cell>
        </row>
        <row r="189">
          <cell r="A189">
            <v>23786</v>
          </cell>
        </row>
        <row r="190">
          <cell r="A190">
            <v>15569</v>
          </cell>
        </row>
        <row r="191">
          <cell r="A191">
            <v>17821</v>
          </cell>
        </row>
        <row r="192">
          <cell r="A192">
            <v>17816</v>
          </cell>
        </row>
        <row r="193">
          <cell r="A193">
            <v>10270</v>
          </cell>
        </row>
        <row r="194">
          <cell r="A194">
            <v>10272</v>
          </cell>
        </row>
        <row r="195">
          <cell r="A195">
            <v>40084</v>
          </cell>
        </row>
        <row r="196">
          <cell r="A196">
            <v>10162</v>
          </cell>
        </row>
        <row r="197">
          <cell r="A197">
            <v>22479</v>
          </cell>
        </row>
        <row r="198">
          <cell r="A198">
            <v>22484</v>
          </cell>
        </row>
        <row r="199">
          <cell r="A199">
            <v>21968</v>
          </cell>
        </row>
        <row r="200">
          <cell r="A200">
            <v>21972</v>
          </cell>
        </row>
        <row r="201">
          <cell r="A201">
            <v>21996</v>
          </cell>
        </row>
        <row r="202">
          <cell r="A202">
            <v>8019</v>
          </cell>
        </row>
        <row r="203">
          <cell r="A203">
            <v>40087</v>
          </cell>
        </row>
        <row r="204">
          <cell r="A204">
            <v>4428</v>
          </cell>
        </row>
        <row r="205">
          <cell r="A205">
            <v>18916</v>
          </cell>
        </row>
        <row r="206">
          <cell r="A206">
            <v>21624</v>
          </cell>
        </row>
        <row r="207">
          <cell r="A207">
            <v>21625</v>
          </cell>
        </row>
        <row r="208">
          <cell r="A208">
            <v>22819</v>
          </cell>
        </row>
        <row r="209">
          <cell r="A209">
            <v>16892</v>
          </cell>
        </row>
        <row r="210">
          <cell r="A210">
            <v>23428</v>
          </cell>
        </row>
        <row r="211">
          <cell r="A211">
            <v>10980</v>
          </cell>
        </row>
        <row r="212">
          <cell r="A212">
            <v>15865</v>
          </cell>
        </row>
        <row r="213">
          <cell r="A213">
            <v>7376</v>
          </cell>
        </row>
        <row r="214">
          <cell r="A214">
            <v>21235</v>
          </cell>
        </row>
        <row r="215">
          <cell r="A215">
            <v>20571</v>
          </cell>
        </row>
        <row r="216">
          <cell r="A216">
            <v>10280</v>
          </cell>
        </row>
        <row r="217">
          <cell r="A217">
            <v>16848</v>
          </cell>
        </row>
        <row r="218">
          <cell r="A218">
            <v>10353</v>
          </cell>
        </row>
        <row r="219">
          <cell r="A219">
            <v>16340</v>
          </cell>
        </row>
        <row r="220">
          <cell r="A220">
            <v>16329</v>
          </cell>
        </row>
        <row r="221">
          <cell r="A221">
            <v>10433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1"/>
  <sheetViews>
    <sheetView tabSelected="1" topLeftCell="AF195" workbookViewId="0">
      <selection activeCell="AN211" sqref="AN211"/>
    </sheetView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3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140625" style="1" customWidth="1"/>
    <col min="11" max="11" width="106.42578125" style="1" customWidth="1"/>
    <col min="12" max="12" width="63" style="1" customWidth="1"/>
    <col min="13" max="13" width="15.5703125" style="1" customWidth="1"/>
    <col min="14" max="14" width="106.42578125" style="1" customWidth="1"/>
    <col min="15" max="15" width="103.7109375" style="1" customWidth="1"/>
    <col min="16" max="16" width="114.140625" style="1" customWidth="1"/>
    <col min="17" max="17" width="10.140625" style="1" customWidth="1"/>
    <col min="18" max="18" width="14.85546875" style="1" customWidth="1"/>
    <col min="19" max="19" width="104.28515625" style="1" customWidth="1"/>
    <col min="20" max="20" width="39.85546875" style="1" customWidth="1"/>
    <col min="21" max="21" width="37.5703125" style="1" customWidth="1"/>
    <col min="22" max="22" width="176.8554687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9.140625" style="1" customWidth="1"/>
    <col min="27" max="27" width="75" style="1" customWidth="1"/>
    <col min="28" max="28" width="19.140625" style="1" customWidth="1"/>
    <col min="29" max="29" width="22.85546875" style="1" customWidth="1"/>
    <col min="30" max="30" width="29.1406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209</v>
      </c>
      <c r="B1" s="2" t="s">
        <v>1479</v>
      </c>
      <c r="C1" s="3" t="s">
        <v>767</v>
      </c>
      <c r="D1" s="3" t="s">
        <v>932</v>
      </c>
      <c r="E1" s="3" t="s">
        <v>1087</v>
      </c>
      <c r="F1" s="3" t="s">
        <v>592</v>
      </c>
      <c r="G1" s="3" t="s">
        <v>1311</v>
      </c>
      <c r="H1" s="3" t="s">
        <v>366</v>
      </c>
      <c r="I1" s="4" t="s">
        <v>855</v>
      </c>
      <c r="J1" s="4" t="s">
        <v>781</v>
      </c>
      <c r="K1" s="4" t="s">
        <v>1341</v>
      </c>
      <c r="L1" s="4" t="s">
        <v>141</v>
      </c>
      <c r="M1" s="4" t="s">
        <v>411</v>
      </c>
      <c r="N1" s="4" t="s">
        <v>161</v>
      </c>
      <c r="O1" s="5" t="s">
        <v>1159</v>
      </c>
      <c r="P1" s="6" t="s">
        <v>1224</v>
      </c>
      <c r="Q1" s="4" t="s">
        <v>313</v>
      </c>
      <c r="R1" s="4" t="s">
        <v>685</v>
      </c>
      <c r="S1" s="6" t="s">
        <v>893</v>
      </c>
      <c r="T1" s="6" t="s">
        <v>808</v>
      </c>
      <c r="U1" s="6" t="s">
        <v>1500</v>
      </c>
      <c r="V1" s="6" t="s">
        <v>1160</v>
      </c>
      <c r="W1" s="7" t="s">
        <v>475</v>
      </c>
      <c r="X1" s="8" t="s">
        <v>574</v>
      </c>
      <c r="Y1" s="7" t="s">
        <v>927</v>
      </c>
      <c r="Z1" s="9" t="s">
        <v>1302</v>
      </c>
      <c r="AA1" s="9" t="s">
        <v>405</v>
      </c>
      <c r="AB1" s="9" t="s">
        <v>635</v>
      </c>
      <c r="AC1" s="9" t="s">
        <v>701</v>
      </c>
      <c r="AD1" s="9" t="s">
        <v>856</v>
      </c>
      <c r="AE1" s="9" t="s">
        <v>58</v>
      </c>
      <c r="AF1" s="10" t="s">
        <v>201</v>
      </c>
      <c r="AG1" s="11" t="s">
        <v>1338</v>
      </c>
      <c r="AH1" s="11" t="s">
        <v>1498</v>
      </c>
      <c r="AI1" s="11" t="s">
        <v>834</v>
      </c>
      <c r="AJ1" s="11" t="s">
        <v>597</v>
      </c>
      <c r="AK1" s="12" t="s">
        <v>1075</v>
      </c>
      <c r="AL1" s="13" t="s">
        <v>682</v>
      </c>
      <c r="AM1" s="13" t="s">
        <v>960</v>
      </c>
      <c r="AN1" s="1" t="s">
        <v>355</v>
      </c>
      <c r="AO1" s="1" t="s">
        <v>1037</v>
      </c>
    </row>
    <row r="2" spans="1:41" ht="12" customHeight="1" x14ac:dyDescent="0.2">
      <c r="A2" s="14">
        <v>8684</v>
      </c>
      <c r="B2" s="14">
        <v>8684</v>
      </c>
      <c r="C2" s="14">
        <v>9702</v>
      </c>
      <c r="D2" s="14" t="s">
        <v>306</v>
      </c>
      <c r="E2" s="14">
        <f>VLOOKUP(B2,[1]Sheet3!$A$2:$A$221,1,0)</f>
        <v>8684</v>
      </c>
      <c r="F2" s="14" t="s">
        <v>1353</v>
      </c>
      <c r="G2" s="14" t="s">
        <v>306</v>
      </c>
      <c r="H2" s="14"/>
      <c r="I2" s="14" t="s">
        <v>1673</v>
      </c>
      <c r="J2" s="14" t="s">
        <v>135</v>
      </c>
      <c r="K2" s="14" t="s">
        <v>91</v>
      </c>
      <c r="L2" s="14" t="s">
        <v>1303</v>
      </c>
      <c r="M2" s="14" t="s">
        <v>1336</v>
      </c>
      <c r="N2" s="14" t="s">
        <v>91</v>
      </c>
      <c r="O2" s="14" t="s">
        <v>165</v>
      </c>
      <c r="P2" s="14" t="s">
        <v>833</v>
      </c>
      <c r="Q2" s="14" t="s">
        <v>876</v>
      </c>
      <c r="R2" s="14" t="s">
        <v>1336</v>
      </c>
      <c r="S2" s="14" t="s">
        <v>1604</v>
      </c>
      <c r="T2" s="14" t="s">
        <v>1212</v>
      </c>
      <c r="U2" s="14" t="s">
        <v>1571</v>
      </c>
      <c r="V2" s="14" t="s">
        <v>1116</v>
      </c>
      <c r="W2" s="15"/>
      <c r="X2" s="15"/>
      <c r="Y2" s="15"/>
      <c r="Z2" s="17"/>
      <c r="AA2" s="17"/>
      <c r="AB2" s="17"/>
      <c r="AC2" s="18"/>
      <c r="AD2" s="14"/>
      <c r="AE2" s="18" t="s">
        <v>1674</v>
      </c>
      <c r="AF2" s="14"/>
      <c r="AG2" s="20" t="s">
        <v>1681</v>
      </c>
      <c r="AH2" s="20" t="s">
        <v>1725</v>
      </c>
      <c r="AI2" s="18" t="s">
        <v>1726</v>
      </c>
      <c r="AJ2" s="18" t="s">
        <v>1727</v>
      </c>
      <c r="AK2" s="16"/>
      <c r="AL2" s="16"/>
      <c r="AM2" s="16" t="s">
        <v>960</v>
      </c>
      <c r="AN2" s="1" t="s">
        <v>1760</v>
      </c>
    </row>
    <row r="3" spans="1:41" ht="12" customHeight="1" x14ac:dyDescent="0.2">
      <c r="A3" s="14">
        <v>6444</v>
      </c>
      <c r="B3" s="14">
        <v>6444</v>
      </c>
      <c r="C3" s="14">
        <v>9040</v>
      </c>
      <c r="D3" s="14" t="s">
        <v>306</v>
      </c>
      <c r="E3" s="14">
        <f>VLOOKUP(B3,[1]Sheet3!$A$2:$A$221,1,0)</f>
        <v>6444</v>
      </c>
      <c r="F3" s="14" t="s">
        <v>1353</v>
      </c>
      <c r="G3" s="14" t="s">
        <v>306</v>
      </c>
      <c r="H3" s="14"/>
      <c r="I3" s="14" t="s">
        <v>1549</v>
      </c>
      <c r="J3" s="14" t="s">
        <v>79</v>
      </c>
      <c r="K3" s="14" t="s">
        <v>902</v>
      </c>
      <c r="L3" s="14" t="s">
        <v>322</v>
      </c>
      <c r="M3" s="14" t="s">
        <v>349</v>
      </c>
      <c r="N3" s="14" t="s">
        <v>902</v>
      </c>
      <c r="O3" s="14" t="s">
        <v>754</v>
      </c>
      <c r="P3" s="14" t="s">
        <v>25</v>
      </c>
      <c r="Q3" s="14" t="s">
        <v>785</v>
      </c>
      <c r="R3" s="14" t="s">
        <v>1288</v>
      </c>
      <c r="S3" s="14" t="s">
        <v>1604</v>
      </c>
      <c r="T3" s="14" t="s">
        <v>348</v>
      </c>
      <c r="U3" s="14" t="s">
        <v>1053</v>
      </c>
      <c r="V3" s="14" t="s">
        <v>1116</v>
      </c>
      <c r="W3" s="15" t="s">
        <v>345</v>
      </c>
      <c r="X3" s="15"/>
      <c r="Y3" s="14" t="s">
        <v>665</v>
      </c>
      <c r="Z3" s="18"/>
      <c r="AA3" s="18"/>
      <c r="AB3" s="18"/>
      <c r="AC3" s="18"/>
      <c r="AD3" s="14"/>
      <c r="AE3" s="18" t="s">
        <v>1674</v>
      </c>
      <c r="AF3" s="14"/>
      <c r="AG3" s="20" t="s">
        <v>1682</v>
      </c>
      <c r="AH3" s="20" t="s">
        <v>1728</v>
      </c>
      <c r="AI3" s="18" t="s">
        <v>1726</v>
      </c>
      <c r="AJ3" s="18" t="s">
        <v>1729</v>
      </c>
      <c r="AK3" s="16"/>
      <c r="AL3" s="16"/>
      <c r="AM3" s="16" t="s">
        <v>960</v>
      </c>
      <c r="AN3" s="1" t="s">
        <v>1760</v>
      </c>
    </row>
    <row r="4" spans="1:41" ht="12" customHeight="1" x14ac:dyDescent="0.2">
      <c r="A4" s="14">
        <v>6354</v>
      </c>
      <c r="B4" s="14">
        <v>6354</v>
      </c>
      <c r="C4" s="14">
        <v>9038</v>
      </c>
      <c r="D4" s="14" t="s">
        <v>306</v>
      </c>
      <c r="E4" s="14">
        <f>VLOOKUP(B4,[1]Sheet3!$A$2:$A$221,1,0)</f>
        <v>6354</v>
      </c>
      <c r="F4" s="14" t="s">
        <v>1353</v>
      </c>
      <c r="G4" s="14" t="s">
        <v>306</v>
      </c>
      <c r="H4" s="14"/>
      <c r="I4" s="14" t="s">
        <v>314</v>
      </c>
      <c r="J4" s="14" t="s">
        <v>1343</v>
      </c>
      <c r="K4" s="14" t="s">
        <v>311</v>
      </c>
      <c r="L4" s="14" t="s">
        <v>322</v>
      </c>
      <c r="M4" s="14" t="s">
        <v>349</v>
      </c>
      <c r="N4" s="14" t="s">
        <v>311</v>
      </c>
      <c r="O4" s="14" t="s">
        <v>296</v>
      </c>
      <c r="P4" s="14" t="s">
        <v>935</v>
      </c>
      <c r="Q4" s="14" t="s">
        <v>103</v>
      </c>
      <c r="R4" s="14" t="s">
        <v>1288</v>
      </c>
      <c r="S4" s="14" t="s">
        <v>1604</v>
      </c>
      <c r="T4" s="14" t="s">
        <v>348</v>
      </c>
      <c r="U4" s="14" t="s">
        <v>1053</v>
      </c>
      <c r="V4" s="14" t="s">
        <v>1116</v>
      </c>
      <c r="W4" s="15" t="s">
        <v>345</v>
      </c>
      <c r="X4" s="15"/>
      <c r="Y4" s="14" t="s">
        <v>665</v>
      </c>
      <c r="Z4" s="18"/>
      <c r="AA4" s="18"/>
      <c r="AB4" s="18"/>
      <c r="AC4" s="18"/>
      <c r="AD4" s="14"/>
      <c r="AE4" s="18" t="s">
        <v>1674</v>
      </c>
      <c r="AF4" s="14"/>
      <c r="AG4" s="20" t="s">
        <v>1682</v>
      </c>
      <c r="AH4" s="20" t="s">
        <v>1728</v>
      </c>
      <c r="AI4" s="18" t="s">
        <v>1726</v>
      </c>
      <c r="AJ4" s="18" t="s">
        <v>1729</v>
      </c>
      <c r="AK4" s="16"/>
      <c r="AL4" s="16"/>
      <c r="AM4" s="16" t="s">
        <v>960</v>
      </c>
      <c r="AN4" s="1" t="s">
        <v>1760</v>
      </c>
    </row>
    <row r="5" spans="1:41" ht="12" customHeight="1" x14ac:dyDescent="0.2">
      <c r="A5" s="14">
        <v>984</v>
      </c>
      <c r="B5" s="14">
        <v>984</v>
      </c>
      <c r="C5" s="14">
        <v>8394</v>
      </c>
      <c r="D5" s="14" t="s">
        <v>306</v>
      </c>
      <c r="E5" s="14">
        <f>VLOOKUP(B5,[1]Sheet3!$A$2:$A$221,1,0)</f>
        <v>984</v>
      </c>
      <c r="F5" s="14" t="s">
        <v>1353</v>
      </c>
      <c r="G5" s="14" t="s">
        <v>306</v>
      </c>
      <c r="H5" s="14"/>
      <c r="I5" s="14" t="s">
        <v>1145</v>
      </c>
      <c r="J5" s="14" t="s">
        <v>424</v>
      </c>
      <c r="K5" s="14" t="s">
        <v>917</v>
      </c>
      <c r="L5" s="14" t="s">
        <v>304</v>
      </c>
      <c r="M5" s="14" t="s">
        <v>1049</v>
      </c>
      <c r="N5" s="14" t="s">
        <v>917</v>
      </c>
      <c r="O5" s="14" t="s">
        <v>1380</v>
      </c>
      <c r="P5" s="14" t="s">
        <v>1452</v>
      </c>
      <c r="Q5" s="14" t="s">
        <v>785</v>
      </c>
      <c r="R5" s="14" t="s">
        <v>1596</v>
      </c>
      <c r="S5" s="14" t="s">
        <v>1665</v>
      </c>
      <c r="T5" s="14" t="s">
        <v>1644</v>
      </c>
      <c r="U5" s="14" t="s">
        <v>120</v>
      </c>
      <c r="V5" s="14" t="s">
        <v>1445</v>
      </c>
      <c r="W5" s="15" t="s">
        <v>862</v>
      </c>
      <c r="X5" s="15"/>
      <c r="Y5" s="15" t="s">
        <v>773</v>
      </c>
      <c r="Z5" s="18"/>
      <c r="AA5" s="18"/>
      <c r="AB5" s="18"/>
      <c r="AC5" s="18"/>
      <c r="AD5" s="14"/>
      <c r="AE5" s="18" t="s">
        <v>1674</v>
      </c>
      <c r="AF5" s="14"/>
      <c r="AG5" s="20" t="s">
        <v>1597</v>
      </c>
      <c r="AH5" s="20" t="s">
        <v>1730</v>
      </c>
      <c r="AI5" s="18" t="s">
        <v>1726</v>
      </c>
      <c r="AJ5" s="18" t="s">
        <v>1729</v>
      </c>
      <c r="AK5" s="16"/>
      <c r="AL5" s="16"/>
      <c r="AM5" s="16" t="s">
        <v>960</v>
      </c>
      <c r="AN5" s="1" t="s">
        <v>1760</v>
      </c>
    </row>
    <row r="6" spans="1:41" ht="12" customHeight="1" x14ac:dyDescent="0.2">
      <c r="A6" s="14">
        <v>988</v>
      </c>
      <c r="B6" s="14">
        <v>988</v>
      </c>
      <c r="C6" s="14">
        <v>8408</v>
      </c>
      <c r="D6" s="14" t="s">
        <v>306</v>
      </c>
      <c r="E6" s="14">
        <f>VLOOKUP(B6,[1]Sheet3!$A$2:$A$221,1,0)</f>
        <v>988</v>
      </c>
      <c r="F6" s="14" t="s">
        <v>1353</v>
      </c>
      <c r="G6" s="14" t="s">
        <v>306</v>
      </c>
      <c r="H6" s="14"/>
      <c r="I6" s="14" t="s">
        <v>1143</v>
      </c>
      <c r="J6" s="14" t="s">
        <v>727</v>
      </c>
      <c r="K6" s="14" t="s">
        <v>1592</v>
      </c>
      <c r="L6" s="14" t="s">
        <v>491</v>
      </c>
      <c r="M6" s="14" t="s">
        <v>1049</v>
      </c>
      <c r="N6" s="14" t="s">
        <v>1592</v>
      </c>
      <c r="O6" s="14" t="s">
        <v>849</v>
      </c>
      <c r="P6" s="14" t="s">
        <v>1535</v>
      </c>
      <c r="Q6" s="14" t="s">
        <v>582</v>
      </c>
      <c r="R6" s="14" t="s">
        <v>1596</v>
      </c>
      <c r="S6" s="14" t="s">
        <v>1665</v>
      </c>
      <c r="T6" s="14" t="s">
        <v>1644</v>
      </c>
      <c r="U6" s="14" t="s">
        <v>1115</v>
      </c>
      <c r="V6" s="14" t="s">
        <v>1445</v>
      </c>
      <c r="W6" s="15" t="s">
        <v>862</v>
      </c>
      <c r="X6" s="15"/>
      <c r="Y6" s="15" t="s">
        <v>773</v>
      </c>
      <c r="Z6" s="18"/>
      <c r="AA6" s="18"/>
      <c r="AB6" s="18"/>
      <c r="AC6" s="18"/>
      <c r="AD6" s="14"/>
      <c r="AE6" s="18" t="s">
        <v>1674</v>
      </c>
      <c r="AF6" s="14"/>
      <c r="AG6" s="20" t="s">
        <v>1439</v>
      </c>
      <c r="AH6" s="20" t="s">
        <v>1731</v>
      </c>
      <c r="AI6" s="18" t="s">
        <v>1726</v>
      </c>
      <c r="AJ6" s="18" t="s">
        <v>1732</v>
      </c>
      <c r="AK6" s="16"/>
      <c r="AL6" s="16"/>
      <c r="AM6" s="16" t="s">
        <v>960</v>
      </c>
      <c r="AN6" s="1" t="s">
        <v>1760</v>
      </c>
    </row>
    <row r="7" spans="1:41" ht="12" customHeight="1" x14ac:dyDescent="0.2">
      <c r="A7" s="14">
        <v>990</v>
      </c>
      <c r="B7" s="14">
        <v>990</v>
      </c>
      <c r="C7" s="14">
        <v>8409</v>
      </c>
      <c r="D7" s="14" t="s">
        <v>306</v>
      </c>
      <c r="E7" s="14">
        <f>VLOOKUP(B7,[1]Sheet3!$A$2:$A$221,1,0)</f>
        <v>990</v>
      </c>
      <c r="F7" s="14" t="s">
        <v>1353</v>
      </c>
      <c r="G7" s="14" t="s">
        <v>306</v>
      </c>
      <c r="H7" s="14"/>
      <c r="I7" s="14" t="s">
        <v>1144</v>
      </c>
      <c r="J7" s="14" t="s">
        <v>726</v>
      </c>
      <c r="K7" s="14" t="s">
        <v>1594</v>
      </c>
      <c r="L7" s="14" t="s">
        <v>491</v>
      </c>
      <c r="M7" s="14" t="s">
        <v>1049</v>
      </c>
      <c r="N7" s="14" t="s">
        <v>1594</v>
      </c>
      <c r="O7" s="14" t="s">
        <v>757</v>
      </c>
      <c r="P7" s="14" t="s">
        <v>1448</v>
      </c>
      <c r="Q7" s="14" t="s">
        <v>785</v>
      </c>
      <c r="R7" s="14" t="s">
        <v>1596</v>
      </c>
      <c r="S7" s="14" t="s">
        <v>1665</v>
      </c>
      <c r="T7" s="14" t="s">
        <v>1644</v>
      </c>
      <c r="U7" s="14" t="s">
        <v>1115</v>
      </c>
      <c r="V7" s="14" t="s">
        <v>1445</v>
      </c>
      <c r="W7" s="15" t="s">
        <v>862</v>
      </c>
      <c r="X7" s="15"/>
      <c r="Y7" s="15" t="s">
        <v>773</v>
      </c>
      <c r="Z7" s="18"/>
      <c r="AA7" s="18"/>
      <c r="AB7" s="18"/>
      <c r="AC7" s="18"/>
      <c r="AD7" s="14"/>
      <c r="AE7" s="18" t="s">
        <v>1674</v>
      </c>
      <c r="AF7" s="14"/>
      <c r="AG7" s="20" t="s">
        <v>1439</v>
      </c>
      <c r="AH7" s="20" t="s">
        <v>1731</v>
      </c>
      <c r="AI7" s="18" t="s">
        <v>1726</v>
      </c>
      <c r="AJ7" s="18" t="s">
        <v>1732</v>
      </c>
      <c r="AK7" s="16"/>
      <c r="AL7" s="16"/>
      <c r="AM7" s="16" t="s">
        <v>960</v>
      </c>
      <c r="AN7" s="1" t="s">
        <v>1760</v>
      </c>
    </row>
    <row r="8" spans="1:41" ht="12" customHeight="1" x14ac:dyDescent="0.2">
      <c r="A8" s="14">
        <v>986</v>
      </c>
      <c r="B8" s="14">
        <v>986</v>
      </c>
      <c r="C8" s="14">
        <v>8395</v>
      </c>
      <c r="D8" s="14" t="s">
        <v>306</v>
      </c>
      <c r="E8" s="14">
        <f>VLOOKUP(B8,[1]Sheet3!$A$2:$A$221,1,0)</f>
        <v>986</v>
      </c>
      <c r="F8" s="14" t="s">
        <v>1353</v>
      </c>
      <c r="G8" s="14" t="s">
        <v>306</v>
      </c>
      <c r="H8" s="14"/>
      <c r="I8" s="14" t="s">
        <v>1662</v>
      </c>
      <c r="J8" s="14" t="s">
        <v>581</v>
      </c>
      <c r="K8" s="14" t="s">
        <v>659</v>
      </c>
      <c r="L8" s="14" t="s">
        <v>3</v>
      </c>
      <c r="M8" s="14" t="s">
        <v>1049</v>
      </c>
      <c r="N8" s="14" t="s">
        <v>659</v>
      </c>
      <c r="O8" s="14" t="s">
        <v>236</v>
      </c>
      <c r="P8" s="14" t="s">
        <v>138</v>
      </c>
      <c r="Q8" s="14" t="s">
        <v>785</v>
      </c>
      <c r="R8" s="14" t="s">
        <v>1596</v>
      </c>
      <c r="S8" s="14" t="s">
        <v>1665</v>
      </c>
      <c r="T8" s="14" t="s">
        <v>56</v>
      </c>
      <c r="U8" s="14" t="s">
        <v>660</v>
      </c>
      <c r="V8" s="14" t="s">
        <v>1445</v>
      </c>
      <c r="W8" s="15" t="s">
        <v>862</v>
      </c>
      <c r="X8" s="15"/>
      <c r="Y8" s="15" t="s">
        <v>773</v>
      </c>
      <c r="Z8" s="18"/>
      <c r="AA8" s="18"/>
      <c r="AB8" s="18"/>
      <c r="AC8" s="18"/>
      <c r="AD8" s="14"/>
      <c r="AE8" s="18"/>
      <c r="AF8" s="14"/>
      <c r="AG8" s="18"/>
      <c r="AH8" s="18"/>
      <c r="AI8" s="18"/>
      <c r="AJ8" s="18"/>
      <c r="AK8" s="16"/>
      <c r="AL8" s="16"/>
      <c r="AM8" s="16" t="s">
        <v>960</v>
      </c>
      <c r="AN8" s="1" t="s">
        <v>1760</v>
      </c>
    </row>
    <row r="9" spans="1:41" ht="12" customHeight="1" x14ac:dyDescent="0.2">
      <c r="A9" s="14">
        <v>20852</v>
      </c>
      <c r="B9" s="14">
        <v>20852</v>
      </c>
      <c r="C9" s="14">
        <v>8577</v>
      </c>
      <c r="D9" s="14" t="s">
        <v>306</v>
      </c>
      <c r="E9" s="14">
        <f>VLOOKUP(B9,[1]Sheet3!$A$2:$A$221,1,0)</f>
        <v>20852</v>
      </c>
      <c r="F9" s="14" t="s">
        <v>1353</v>
      </c>
      <c r="G9" s="14" t="s">
        <v>306</v>
      </c>
      <c r="H9" s="14"/>
      <c r="I9" s="14" t="s">
        <v>529</v>
      </c>
      <c r="J9" s="14" t="s">
        <v>1504</v>
      </c>
      <c r="K9" s="14" t="s">
        <v>80</v>
      </c>
      <c r="L9" s="14" t="s">
        <v>304</v>
      </c>
      <c r="M9" s="14" t="s">
        <v>1049</v>
      </c>
      <c r="N9" s="14" t="s">
        <v>80</v>
      </c>
      <c r="O9" s="14" t="s">
        <v>449</v>
      </c>
      <c r="P9" s="14" t="s">
        <v>84</v>
      </c>
      <c r="Q9" s="14" t="s">
        <v>785</v>
      </c>
      <c r="R9" s="14" t="s">
        <v>1596</v>
      </c>
      <c r="S9" s="14" t="s">
        <v>119</v>
      </c>
      <c r="T9" s="14" t="s">
        <v>1366</v>
      </c>
      <c r="U9" s="14" t="s">
        <v>120</v>
      </c>
      <c r="V9" s="14" t="s">
        <v>967</v>
      </c>
      <c r="W9" s="15"/>
      <c r="X9" s="15"/>
      <c r="Y9" s="15"/>
      <c r="Z9" s="18"/>
      <c r="AA9" s="18"/>
      <c r="AB9" s="18"/>
      <c r="AC9" s="18"/>
      <c r="AD9" s="14"/>
      <c r="AE9" s="18"/>
      <c r="AF9" s="14"/>
      <c r="AG9" s="18"/>
      <c r="AH9" s="18"/>
      <c r="AI9" s="18"/>
      <c r="AJ9" s="18"/>
      <c r="AK9" s="16"/>
      <c r="AL9" s="16"/>
      <c r="AM9" s="16" t="s">
        <v>960</v>
      </c>
      <c r="AN9" s="1" t="s">
        <v>1760</v>
      </c>
    </row>
    <row r="10" spans="1:41" ht="12" customHeight="1" x14ac:dyDescent="0.2">
      <c r="A10" s="14">
        <v>1287</v>
      </c>
      <c r="B10" s="14">
        <v>1287</v>
      </c>
      <c r="C10" s="14">
        <v>8574</v>
      </c>
      <c r="D10" s="14" t="s">
        <v>306</v>
      </c>
      <c r="E10" s="14">
        <f>VLOOKUP(B10,[1]Sheet3!$A$2:$A$221,1,0)</f>
        <v>1287</v>
      </c>
      <c r="F10" s="14" t="s">
        <v>1353</v>
      </c>
      <c r="G10" s="14" t="s">
        <v>306</v>
      </c>
      <c r="H10" s="14"/>
      <c r="I10" s="14" t="s">
        <v>527</v>
      </c>
      <c r="J10" s="14" t="s">
        <v>783</v>
      </c>
      <c r="K10" s="14" t="s">
        <v>584</v>
      </c>
      <c r="L10" s="14" t="s">
        <v>491</v>
      </c>
      <c r="M10" s="14" t="s">
        <v>1049</v>
      </c>
      <c r="N10" s="14" t="s">
        <v>584</v>
      </c>
      <c r="O10" s="14" t="s">
        <v>278</v>
      </c>
      <c r="P10" s="14" t="s">
        <v>512</v>
      </c>
      <c r="Q10" s="14" t="s">
        <v>582</v>
      </c>
      <c r="R10" s="14" t="s">
        <v>1596</v>
      </c>
      <c r="S10" s="14" t="s">
        <v>1665</v>
      </c>
      <c r="T10" s="14" t="s">
        <v>1366</v>
      </c>
      <c r="U10" s="14" t="s">
        <v>1115</v>
      </c>
      <c r="V10" s="14" t="s">
        <v>1445</v>
      </c>
      <c r="W10" s="15" t="s">
        <v>53</v>
      </c>
      <c r="X10" s="15"/>
      <c r="Y10" s="14" t="s">
        <v>665</v>
      </c>
      <c r="Z10" s="18"/>
      <c r="AA10" s="18"/>
      <c r="AB10" s="18"/>
      <c r="AC10" s="18"/>
      <c r="AD10" s="14"/>
      <c r="AE10" s="18"/>
      <c r="AF10" s="14"/>
      <c r="AG10" s="18"/>
      <c r="AH10" s="18"/>
      <c r="AI10" s="18"/>
      <c r="AJ10" s="18"/>
      <c r="AK10" s="16"/>
      <c r="AL10" s="16"/>
      <c r="AM10" s="16" t="s">
        <v>960</v>
      </c>
      <c r="AN10" s="1" t="s">
        <v>1760</v>
      </c>
    </row>
    <row r="11" spans="1:41" ht="12" customHeight="1" x14ac:dyDescent="0.2">
      <c r="A11" s="14">
        <v>1289</v>
      </c>
      <c r="B11" s="14">
        <v>1289</v>
      </c>
      <c r="C11" s="14">
        <v>8575</v>
      </c>
      <c r="D11" s="14" t="s">
        <v>306</v>
      </c>
      <c r="E11" s="14">
        <f>VLOOKUP(B11,[1]Sheet3!$A$2:$A$221,1,0)</f>
        <v>1289</v>
      </c>
      <c r="F11" s="14" t="s">
        <v>1353</v>
      </c>
      <c r="G11" s="14" t="s">
        <v>306</v>
      </c>
      <c r="H11" s="14"/>
      <c r="I11" s="14" t="s">
        <v>526</v>
      </c>
      <c r="J11" s="14" t="s">
        <v>782</v>
      </c>
      <c r="K11" s="14" t="s">
        <v>583</v>
      </c>
      <c r="L11" s="14" t="s">
        <v>491</v>
      </c>
      <c r="M11" s="14" t="s">
        <v>1049</v>
      </c>
      <c r="N11" s="14" t="s">
        <v>583</v>
      </c>
      <c r="O11" s="14" t="s">
        <v>358</v>
      </c>
      <c r="P11" s="14" t="s">
        <v>511</v>
      </c>
      <c r="Q11" s="14" t="s">
        <v>785</v>
      </c>
      <c r="R11" s="14" t="s">
        <v>1596</v>
      </c>
      <c r="S11" s="14" t="s">
        <v>1665</v>
      </c>
      <c r="T11" s="14" t="s">
        <v>1366</v>
      </c>
      <c r="U11" s="14" t="s">
        <v>1115</v>
      </c>
      <c r="V11" s="14" t="s">
        <v>1445</v>
      </c>
      <c r="W11" s="15" t="s">
        <v>53</v>
      </c>
      <c r="X11" s="15"/>
      <c r="Y11" s="14" t="s">
        <v>665</v>
      </c>
      <c r="Z11" s="18"/>
      <c r="AA11" s="18"/>
      <c r="AB11" s="18"/>
      <c r="AC11" s="18"/>
      <c r="AD11" s="14"/>
      <c r="AE11" s="18"/>
      <c r="AF11" s="14"/>
      <c r="AG11" s="18"/>
      <c r="AH11" s="18"/>
      <c r="AI11" s="18"/>
      <c r="AJ11" s="18"/>
      <c r="AK11" s="16"/>
      <c r="AL11" s="16"/>
      <c r="AM11" s="16" t="s">
        <v>960</v>
      </c>
      <c r="AN11" s="1" t="s">
        <v>1760</v>
      </c>
    </row>
    <row r="12" spans="1:41" ht="12" customHeight="1" x14ac:dyDescent="0.2">
      <c r="A12" s="14">
        <v>20851</v>
      </c>
      <c r="B12" s="14">
        <v>20851</v>
      </c>
      <c r="C12" s="14">
        <v>8576</v>
      </c>
      <c r="D12" s="14" t="s">
        <v>306</v>
      </c>
      <c r="E12" s="14">
        <f>VLOOKUP(B12,[1]Sheet3!$A$2:$A$221,1,0)</f>
        <v>20851</v>
      </c>
      <c r="F12" s="14" t="s">
        <v>1353</v>
      </c>
      <c r="G12" s="14" t="s">
        <v>306</v>
      </c>
      <c r="H12" s="14"/>
      <c r="I12" s="14" t="s">
        <v>525</v>
      </c>
      <c r="J12" s="14" t="s">
        <v>357</v>
      </c>
      <c r="K12" s="14" t="s">
        <v>162</v>
      </c>
      <c r="L12" s="14" t="s">
        <v>3</v>
      </c>
      <c r="M12" s="14" t="s">
        <v>1049</v>
      </c>
      <c r="N12" s="14" t="s">
        <v>162</v>
      </c>
      <c r="O12" s="14" t="s">
        <v>474</v>
      </c>
      <c r="P12" s="14" t="s">
        <v>969</v>
      </c>
      <c r="Q12" s="14" t="s">
        <v>785</v>
      </c>
      <c r="R12" s="14" t="s">
        <v>1596</v>
      </c>
      <c r="S12" s="14" t="s">
        <v>119</v>
      </c>
      <c r="T12" s="14" t="s">
        <v>1463</v>
      </c>
      <c r="U12" s="14" t="s">
        <v>660</v>
      </c>
      <c r="V12" s="14" t="s">
        <v>967</v>
      </c>
      <c r="W12" s="15"/>
      <c r="X12" s="15"/>
      <c r="Y12" s="15"/>
      <c r="Z12" s="18"/>
      <c r="AA12" s="18"/>
      <c r="AB12" s="18"/>
      <c r="AC12" s="18"/>
      <c r="AD12" s="14"/>
      <c r="AE12" s="18"/>
      <c r="AF12" s="14"/>
      <c r="AG12" s="18"/>
      <c r="AH12" s="18"/>
      <c r="AI12" s="18"/>
      <c r="AJ12" s="18"/>
      <c r="AK12" s="16"/>
      <c r="AL12" s="16"/>
      <c r="AM12" s="16" t="s">
        <v>960</v>
      </c>
      <c r="AN12" s="1" t="s">
        <v>1760</v>
      </c>
    </row>
    <row r="13" spans="1:41" ht="12" customHeight="1" x14ac:dyDescent="0.2">
      <c r="A13" s="14">
        <v>41961</v>
      </c>
      <c r="B13" s="14">
        <v>41961</v>
      </c>
      <c r="C13" s="14">
        <v>41319</v>
      </c>
      <c r="D13" s="14" t="s">
        <v>306</v>
      </c>
      <c r="E13" s="14">
        <f>VLOOKUP(B13,[1]Sheet3!$A$2:$A$221,1,0)</f>
        <v>41961</v>
      </c>
      <c r="F13" s="14" t="s">
        <v>1353</v>
      </c>
      <c r="G13" s="14" t="s">
        <v>306</v>
      </c>
      <c r="H13" s="14"/>
      <c r="I13" s="14" t="s">
        <v>346</v>
      </c>
      <c r="J13" s="14"/>
      <c r="K13" s="14"/>
      <c r="L13" s="14"/>
      <c r="M13" s="14"/>
      <c r="N13" s="14" t="s">
        <v>606</v>
      </c>
      <c r="O13" s="14" t="s">
        <v>1544</v>
      </c>
      <c r="P13" s="14" t="s">
        <v>1406</v>
      </c>
      <c r="Q13" s="14"/>
      <c r="R13" s="14"/>
      <c r="S13" s="14" t="s">
        <v>119</v>
      </c>
      <c r="T13" s="14" t="s">
        <v>1333</v>
      </c>
      <c r="U13" s="14" t="s">
        <v>660</v>
      </c>
      <c r="V13" s="14" t="s">
        <v>967</v>
      </c>
      <c r="W13" s="15"/>
      <c r="X13" s="15"/>
      <c r="Y13" s="15"/>
      <c r="Z13" s="18"/>
      <c r="AA13" s="18"/>
      <c r="AB13" s="18"/>
      <c r="AC13" s="18"/>
      <c r="AD13" s="14"/>
      <c r="AE13" s="18"/>
      <c r="AF13" s="14" t="s">
        <v>1597</v>
      </c>
      <c r="AG13" s="18"/>
      <c r="AH13" s="18"/>
      <c r="AI13" s="18"/>
      <c r="AJ13" s="18"/>
      <c r="AK13" s="16"/>
      <c r="AL13" s="16"/>
      <c r="AM13" s="16" t="s">
        <v>960</v>
      </c>
      <c r="AN13" s="1" t="s">
        <v>1760</v>
      </c>
    </row>
    <row r="14" spans="1:41" ht="12" customHeight="1" x14ac:dyDescent="0.2">
      <c r="A14" s="14">
        <v>44382</v>
      </c>
      <c r="B14" s="14">
        <v>44382</v>
      </c>
      <c r="C14" s="14">
        <v>41843</v>
      </c>
      <c r="D14" s="14" t="s">
        <v>306</v>
      </c>
      <c r="E14" s="14">
        <f>VLOOKUP(B14,[1]Sheet3!$A$2:$A$221,1,0)</f>
        <v>44382</v>
      </c>
      <c r="F14" s="14" t="s">
        <v>1353</v>
      </c>
      <c r="G14" s="14" t="s">
        <v>306</v>
      </c>
      <c r="H14" s="14"/>
      <c r="I14" s="14" t="s">
        <v>346</v>
      </c>
      <c r="J14" s="14"/>
      <c r="K14" s="14"/>
      <c r="L14" s="14"/>
      <c r="M14" s="14"/>
      <c r="N14" s="14" t="s">
        <v>1615</v>
      </c>
      <c r="O14" s="14" t="s">
        <v>1041</v>
      </c>
      <c r="P14" s="14" t="s">
        <v>143</v>
      </c>
      <c r="Q14" s="14"/>
      <c r="R14" s="14"/>
      <c r="S14" s="14" t="s">
        <v>1665</v>
      </c>
      <c r="T14" s="14" t="s">
        <v>1333</v>
      </c>
      <c r="U14" s="14" t="s">
        <v>1115</v>
      </c>
      <c r="V14" s="14" t="s">
        <v>743</v>
      </c>
      <c r="W14" s="15" t="s">
        <v>1628</v>
      </c>
      <c r="X14" s="15"/>
      <c r="Y14" s="15" t="s">
        <v>852</v>
      </c>
      <c r="Z14" s="17" t="s">
        <v>1677</v>
      </c>
      <c r="AA14" s="19" t="s">
        <v>1678</v>
      </c>
      <c r="AB14" s="17" t="s">
        <v>1435</v>
      </c>
      <c r="AC14" s="18"/>
      <c r="AD14" s="14"/>
      <c r="AE14" s="18"/>
      <c r="AF14" s="14" t="s">
        <v>1439</v>
      </c>
      <c r="AG14" s="18"/>
      <c r="AH14" s="18"/>
      <c r="AI14" s="18"/>
      <c r="AJ14" s="18"/>
      <c r="AK14" s="16"/>
      <c r="AL14" s="16"/>
      <c r="AM14" s="16" t="s">
        <v>960</v>
      </c>
      <c r="AN14" s="1" t="s">
        <v>1760</v>
      </c>
    </row>
    <row r="15" spans="1:41" ht="12" customHeight="1" x14ac:dyDescent="0.2">
      <c r="A15" s="14">
        <v>44383</v>
      </c>
      <c r="B15" s="14">
        <v>44383</v>
      </c>
      <c r="C15" s="14">
        <v>42810</v>
      </c>
      <c r="D15" s="14" t="s">
        <v>306</v>
      </c>
      <c r="E15" s="14">
        <f>VLOOKUP(B15,[1]Sheet3!$A$2:$A$221,1,0)</f>
        <v>44383</v>
      </c>
      <c r="F15" s="14" t="s">
        <v>1353</v>
      </c>
      <c r="G15" s="14" t="s">
        <v>306</v>
      </c>
      <c r="H15" s="14"/>
      <c r="I15" s="14" t="s">
        <v>346</v>
      </c>
      <c r="J15" s="14"/>
      <c r="K15" s="14"/>
      <c r="L15" s="14"/>
      <c r="M15" s="14"/>
      <c r="N15" s="14" t="s">
        <v>1615</v>
      </c>
      <c r="O15" s="14" t="s">
        <v>1041</v>
      </c>
      <c r="P15" s="14" t="s">
        <v>143</v>
      </c>
      <c r="Q15" s="14"/>
      <c r="R15" s="14"/>
      <c r="S15" s="14" t="s">
        <v>1665</v>
      </c>
      <c r="T15" s="14" t="s">
        <v>1333</v>
      </c>
      <c r="U15" s="14" t="s">
        <v>1115</v>
      </c>
      <c r="V15" s="14" t="s">
        <v>743</v>
      </c>
      <c r="W15" s="15" t="s">
        <v>1628</v>
      </c>
      <c r="X15" s="15"/>
      <c r="Y15" s="15" t="s">
        <v>852</v>
      </c>
      <c r="Z15" s="18"/>
      <c r="AA15" s="18"/>
      <c r="AB15" s="18"/>
      <c r="AC15" s="18"/>
      <c r="AD15" s="14"/>
      <c r="AE15" s="18"/>
      <c r="AF15" s="14" t="s">
        <v>1439</v>
      </c>
      <c r="AG15" s="18"/>
      <c r="AH15" s="18"/>
      <c r="AI15" s="18"/>
      <c r="AJ15" s="18"/>
      <c r="AK15" s="16"/>
      <c r="AL15" s="16"/>
      <c r="AM15" s="16" t="s">
        <v>960</v>
      </c>
      <c r="AN15" s="1" t="s">
        <v>1760</v>
      </c>
    </row>
    <row r="16" spans="1:41" ht="12" customHeight="1" x14ac:dyDescent="0.2">
      <c r="A16" s="14">
        <v>23627</v>
      </c>
      <c r="B16" s="14">
        <v>23627</v>
      </c>
      <c r="C16" s="14">
        <v>12565</v>
      </c>
      <c r="D16" s="14" t="s">
        <v>306</v>
      </c>
      <c r="E16" s="14">
        <f>VLOOKUP(B16,[1]Sheet3!$A$2:$A$221,1,0)</f>
        <v>23627</v>
      </c>
      <c r="F16" s="14" t="s">
        <v>1353</v>
      </c>
      <c r="G16" s="14" t="s">
        <v>306</v>
      </c>
      <c r="H16" s="14"/>
      <c r="I16" s="14" t="s">
        <v>881</v>
      </c>
      <c r="J16" s="14" t="s">
        <v>1555</v>
      </c>
      <c r="K16" s="14" t="s">
        <v>62</v>
      </c>
      <c r="L16" s="14" t="s">
        <v>121</v>
      </c>
      <c r="M16" s="14" t="s">
        <v>394</v>
      </c>
      <c r="N16" s="14" t="s">
        <v>62</v>
      </c>
      <c r="O16" s="14" t="s">
        <v>832</v>
      </c>
      <c r="P16" s="14" t="s">
        <v>477</v>
      </c>
      <c r="Q16" s="14" t="s">
        <v>1488</v>
      </c>
      <c r="R16" s="14" t="s">
        <v>1596</v>
      </c>
      <c r="S16" s="14" t="s">
        <v>1278</v>
      </c>
      <c r="T16" s="14" t="s">
        <v>1520</v>
      </c>
      <c r="U16" s="14" t="s">
        <v>991</v>
      </c>
      <c r="V16" s="14" t="s">
        <v>589</v>
      </c>
      <c r="W16" s="15"/>
      <c r="X16" s="15"/>
      <c r="Y16" s="15"/>
      <c r="Z16" s="18"/>
      <c r="AA16" s="18"/>
      <c r="AB16" s="18"/>
      <c r="AC16" s="18"/>
      <c r="AD16" s="14"/>
      <c r="AE16" s="18"/>
      <c r="AF16" s="14"/>
      <c r="AG16" s="18"/>
      <c r="AH16" s="18"/>
      <c r="AI16" s="18"/>
      <c r="AJ16" s="18"/>
      <c r="AK16" s="16"/>
      <c r="AL16" s="16"/>
      <c r="AM16" s="16" t="s">
        <v>960</v>
      </c>
      <c r="AN16" s="1" t="s">
        <v>1760</v>
      </c>
    </row>
    <row r="17" spans="1:40" ht="12" customHeight="1" x14ac:dyDescent="0.2">
      <c r="A17" s="14">
        <v>23895</v>
      </c>
      <c r="B17" s="14">
        <v>23895</v>
      </c>
      <c r="C17" s="14">
        <v>12968</v>
      </c>
      <c r="D17" s="14" t="s">
        <v>306</v>
      </c>
      <c r="E17" s="14">
        <f>VLOOKUP(B17,[1]Sheet3!$A$2:$A$221,1,0)</f>
        <v>23895</v>
      </c>
      <c r="F17" s="14" t="s">
        <v>1353</v>
      </c>
      <c r="G17" s="14" t="s">
        <v>306</v>
      </c>
      <c r="H17" s="14"/>
      <c r="I17" s="14" t="s">
        <v>513</v>
      </c>
      <c r="J17" s="14" t="s">
        <v>18</v>
      </c>
      <c r="K17" s="14" t="s">
        <v>1573</v>
      </c>
      <c r="L17" s="14" t="s">
        <v>325</v>
      </c>
      <c r="M17" s="14" t="s">
        <v>394</v>
      </c>
      <c r="N17" s="14" t="s">
        <v>1573</v>
      </c>
      <c r="O17" s="14" t="s">
        <v>156</v>
      </c>
      <c r="P17" s="14" t="s">
        <v>159</v>
      </c>
      <c r="Q17" s="14" t="s">
        <v>785</v>
      </c>
      <c r="R17" s="14" t="s">
        <v>1596</v>
      </c>
      <c r="S17" s="14" t="s">
        <v>1167</v>
      </c>
      <c r="T17" s="14" t="s">
        <v>502</v>
      </c>
      <c r="U17" s="14" t="s">
        <v>746</v>
      </c>
      <c r="V17" s="14" t="s">
        <v>450</v>
      </c>
      <c r="W17" s="15"/>
      <c r="X17" s="15"/>
      <c r="Y17" s="15"/>
      <c r="Z17" s="18"/>
      <c r="AA17" s="18"/>
      <c r="AB17" s="18"/>
      <c r="AC17" s="18"/>
      <c r="AD17" s="14"/>
      <c r="AE17" s="18"/>
      <c r="AF17" s="14"/>
      <c r="AG17" s="18"/>
      <c r="AH17" s="18"/>
      <c r="AI17" s="18"/>
      <c r="AJ17" s="18"/>
      <c r="AK17" s="16"/>
      <c r="AL17" s="16"/>
      <c r="AM17" s="16" t="s">
        <v>960</v>
      </c>
      <c r="AN17" s="1" t="s">
        <v>1760</v>
      </c>
    </row>
    <row r="18" spans="1:40" ht="12" customHeight="1" x14ac:dyDescent="0.2">
      <c r="A18" s="14">
        <v>23909</v>
      </c>
      <c r="B18" s="14">
        <v>23909</v>
      </c>
      <c r="C18" s="14">
        <v>12993</v>
      </c>
      <c r="D18" s="14" t="s">
        <v>306</v>
      </c>
      <c r="E18" s="14">
        <f>VLOOKUP(B18,[1]Sheet3!$A$2:$A$221,1,0)</f>
        <v>23909</v>
      </c>
      <c r="F18" s="14" t="s">
        <v>1353</v>
      </c>
      <c r="G18" s="14" t="s">
        <v>306</v>
      </c>
      <c r="H18" s="14"/>
      <c r="I18" s="14" t="s">
        <v>566</v>
      </c>
      <c r="J18" s="14" t="s">
        <v>6</v>
      </c>
      <c r="K18" s="14" t="s">
        <v>1074</v>
      </c>
      <c r="L18" s="14" t="s">
        <v>37</v>
      </c>
      <c r="M18" s="14" t="s">
        <v>1049</v>
      </c>
      <c r="N18" s="14" t="s">
        <v>1074</v>
      </c>
      <c r="O18" s="14" t="s">
        <v>1253</v>
      </c>
      <c r="P18" s="14" t="s">
        <v>1492</v>
      </c>
      <c r="Q18" s="14" t="s">
        <v>785</v>
      </c>
      <c r="R18" s="14" t="s">
        <v>1596</v>
      </c>
      <c r="S18" s="14" t="s">
        <v>1167</v>
      </c>
      <c r="T18" s="14" t="s">
        <v>502</v>
      </c>
      <c r="U18" s="14" t="s">
        <v>784</v>
      </c>
      <c r="V18" s="14" t="s">
        <v>450</v>
      </c>
      <c r="W18" s="15"/>
      <c r="X18" s="15"/>
      <c r="Y18" s="15"/>
      <c r="Z18" s="18"/>
      <c r="AA18" s="18"/>
      <c r="AB18" s="18"/>
      <c r="AC18" s="18"/>
      <c r="AD18" s="14"/>
      <c r="AE18" s="18"/>
      <c r="AF18" s="14"/>
      <c r="AG18" s="18"/>
      <c r="AH18" s="18"/>
      <c r="AI18" s="18"/>
      <c r="AJ18" s="18"/>
      <c r="AK18" s="16"/>
      <c r="AL18" s="16"/>
      <c r="AM18" s="16" t="s">
        <v>960</v>
      </c>
      <c r="AN18" s="1" t="s">
        <v>1760</v>
      </c>
    </row>
    <row r="19" spans="1:40" ht="12" customHeight="1" x14ac:dyDescent="0.2">
      <c r="A19" s="14">
        <v>16237</v>
      </c>
      <c r="B19" s="14">
        <v>16237</v>
      </c>
      <c r="C19" s="14">
        <v>12972</v>
      </c>
      <c r="D19" s="14" t="s">
        <v>306</v>
      </c>
      <c r="E19" s="14">
        <f>VLOOKUP(B19,[1]Sheet3!$A$2:$A$221,1,0)</f>
        <v>16237</v>
      </c>
      <c r="F19" s="14" t="s">
        <v>1353</v>
      </c>
      <c r="G19" s="14" t="s">
        <v>306</v>
      </c>
      <c r="H19" s="14"/>
      <c r="I19" s="14" t="s">
        <v>199</v>
      </c>
      <c r="J19" s="14" t="s">
        <v>225</v>
      </c>
      <c r="K19" s="14" t="s">
        <v>264</v>
      </c>
      <c r="L19" s="14" t="s">
        <v>83</v>
      </c>
      <c r="M19" s="14" t="s">
        <v>1049</v>
      </c>
      <c r="N19" s="14" t="s">
        <v>264</v>
      </c>
      <c r="O19" s="14" t="s">
        <v>1324</v>
      </c>
      <c r="P19" s="14" t="s">
        <v>51</v>
      </c>
      <c r="Q19" s="14" t="s">
        <v>582</v>
      </c>
      <c r="R19" s="14" t="s">
        <v>1596</v>
      </c>
      <c r="S19" s="14" t="s">
        <v>1167</v>
      </c>
      <c r="T19" s="14" t="s">
        <v>502</v>
      </c>
      <c r="U19" s="14" t="s">
        <v>1392</v>
      </c>
      <c r="V19" s="14" t="s">
        <v>450</v>
      </c>
      <c r="W19" s="15" t="s">
        <v>107</v>
      </c>
      <c r="X19" s="15"/>
      <c r="Y19" s="15" t="s">
        <v>773</v>
      </c>
      <c r="Z19" s="18"/>
      <c r="AA19" s="18"/>
      <c r="AB19" s="18"/>
      <c r="AC19" s="18"/>
      <c r="AD19" s="14"/>
      <c r="AE19" s="18"/>
      <c r="AF19" s="14"/>
      <c r="AG19" s="18"/>
      <c r="AH19" s="18"/>
      <c r="AI19" s="18"/>
      <c r="AJ19" s="18"/>
      <c r="AK19" s="16"/>
      <c r="AL19" s="16"/>
      <c r="AM19" s="16" t="s">
        <v>960</v>
      </c>
      <c r="AN19" s="1" t="s">
        <v>1760</v>
      </c>
    </row>
    <row r="20" spans="1:40" ht="12" customHeight="1" x14ac:dyDescent="0.2">
      <c r="A20" s="14">
        <v>16239</v>
      </c>
      <c r="B20" s="14">
        <v>16239</v>
      </c>
      <c r="C20" s="14">
        <v>12973</v>
      </c>
      <c r="D20" s="14" t="s">
        <v>306</v>
      </c>
      <c r="E20" s="14">
        <f>VLOOKUP(B20,[1]Sheet3!$A$2:$A$221,1,0)</f>
        <v>16239</v>
      </c>
      <c r="F20" s="14" t="s">
        <v>1353</v>
      </c>
      <c r="G20" s="14" t="s">
        <v>306</v>
      </c>
      <c r="H20" s="14"/>
      <c r="I20" s="14" t="s">
        <v>389</v>
      </c>
      <c r="J20" s="14" t="s">
        <v>461</v>
      </c>
      <c r="K20" s="14" t="s">
        <v>812</v>
      </c>
      <c r="L20" s="14" t="s">
        <v>491</v>
      </c>
      <c r="M20" s="14" t="s">
        <v>1049</v>
      </c>
      <c r="N20" s="14" t="s">
        <v>812</v>
      </c>
      <c r="O20" s="14" t="s">
        <v>1265</v>
      </c>
      <c r="P20" s="14" t="s">
        <v>949</v>
      </c>
      <c r="Q20" s="14" t="s">
        <v>785</v>
      </c>
      <c r="R20" s="14" t="s">
        <v>1596</v>
      </c>
      <c r="S20" s="14" t="s">
        <v>1167</v>
      </c>
      <c r="T20" s="14" t="s">
        <v>502</v>
      </c>
      <c r="U20" s="14" t="s">
        <v>1115</v>
      </c>
      <c r="V20" s="14" t="s">
        <v>450</v>
      </c>
      <c r="W20" s="15" t="s">
        <v>107</v>
      </c>
      <c r="X20" s="15"/>
      <c r="Y20" s="15" t="s">
        <v>773</v>
      </c>
      <c r="Z20" s="18"/>
      <c r="AA20" s="18"/>
      <c r="AB20" s="18"/>
      <c r="AC20" s="18"/>
      <c r="AD20" s="14"/>
      <c r="AE20" s="18"/>
      <c r="AF20" s="14"/>
      <c r="AG20" s="18"/>
      <c r="AH20" s="18"/>
      <c r="AI20" s="18"/>
      <c r="AJ20" s="18"/>
      <c r="AK20" s="16"/>
      <c r="AL20" s="16"/>
      <c r="AM20" s="16" t="s">
        <v>960</v>
      </c>
      <c r="AN20" s="1" t="s">
        <v>1760</v>
      </c>
    </row>
    <row r="21" spans="1:40" ht="12" customHeight="1" x14ac:dyDescent="0.2">
      <c r="A21" s="14">
        <v>16240</v>
      </c>
      <c r="B21" s="14">
        <v>16240</v>
      </c>
      <c r="C21" s="14">
        <v>12974</v>
      </c>
      <c r="D21" s="14" t="s">
        <v>306</v>
      </c>
      <c r="E21" s="14">
        <f>VLOOKUP(B21,[1]Sheet3!$A$2:$A$221,1,0)</f>
        <v>16240</v>
      </c>
      <c r="F21" s="14" t="s">
        <v>1353</v>
      </c>
      <c r="G21" s="14" t="s">
        <v>306</v>
      </c>
      <c r="H21" s="14"/>
      <c r="I21" s="14" t="s">
        <v>1585</v>
      </c>
      <c r="J21" s="14" t="s">
        <v>460</v>
      </c>
      <c r="K21" s="14" t="s">
        <v>901</v>
      </c>
      <c r="L21" s="14" t="s">
        <v>491</v>
      </c>
      <c r="M21" s="14" t="s">
        <v>1049</v>
      </c>
      <c r="N21" s="14" t="s">
        <v>901</v>
      </c>
      <c r="O21" s="14" t="s">
        <v>496</v>
      </c>
      <c r="P21" s="14" t="s">
        <v>696</v>
      </c>
      <c r="Q21" s="14" t="s">
        <v>582</v>
      </c>
      <c r="R21" s="14" t="s">
        <v>1596</v>
      </c>
      <c r="S21" s="14" t="s">
        <v>1167</v>
      </c>
      <c r="T21" s="14" t="s">
        <v>502</v>
      </c>
      <c r="U21" s="14" t="s">
        <v>1115</v>
      </c>
      <c r="V21" s="14" t="s">
        <v>450</v>
      </c>
      <c r="W21" s="15" t="s">
        <v>107</v>
      </c>
      <c r="X21" s="15"/>
      <c r="Y21" s="15" t="s">
        <v>773</v>
      </c>
      <c r="Z21" s="18"/>
      <c r="AA21" s="18"/>
      <c r="AB21" s="18"/>
      <c r="AC21" s="18"/>
      <c r="AD21" s="14"/>
      <c r="AE21" s="18"/>
      <c r="AF21" s="14"/>
      <c r="AG21" s="18"/>
      <c r="AH21" s="18"/>
      <c r="AI21" s="18"/>
      <c r="AJ21" s="18"/>
      <c r="AK21" s="16"/>
      <c r="AL21" s="16"/>
      <c r="AM21" s="16" t="s">
        <v>960</v>
      </c>
      <c r="AN21" s="1" t="s">
        <v>1760</v>
      </c>
    </row>
    <row r="22" spans="1:40" ht="12" customHeight="1" x14ac:dyDescent="0.2">
      <c r="A22" s="14">
        <v>10532</v>
      </c>
      <c r="B22" s="14">
        <v>10532</v>
      </c>
      <c r="C22" s="14">
        <v>12971</v>
      </c>
      <c r="D22" s="14" t="s">
        <v>306</v>
      </c>
      <c r="E22" s="14">
        <f>VLOOKUP(B22,[1]Sheet3!$A$2:$A$221,1,0)</f>
        <v>10532</v>
      </c>
      <c r="F22" s="14" t="s">
        <v>1353</v>
      </c>
      <c r="G22" s="14" t="s">
        <v>306</v>
      </c>
      <c r="H22" s="14"/>
      <c r="I22" s="14" t="s">
        <v>388</v>
      </c>
      <c r="J22" s="14" t="s">
        <v>1065</v>
      </c>
      <c r="K22" s="14" t="s">
        <v>1523</v>
      </c>
      <c r="L22" s="14" t="s">
        <v>325</v>
      </c>
      <c r="M22" s="14" t="s">
        <v>394</v>
      </c>
      <c r="N22" s="14" t="s">
        <v>1523</v>
      </c>
      <c r="O22" s="14" t="s">
        <v>1616</v>
      </c>
      <c r="P22" s="14" t="s">
        <v>402</v>
      </c>
      <c r="Q22" s="14" t="s">
        <v>582</v>
      </c>
      <c r="R22" s="14" t="s">
        <v>1596</v>
      </c>
      <c r="S22" s="14" t="s">
        <v>1167</v>
      </c>
      <c r="T22" s="14" t="s">
        <v>1232</v>
      </c>
      <c r="U22" s="14" t="s">
        <v>746</v>
      </c>
      <c r="V22" s="14" t="s">
        <v>450</v>
      </c>
      <c r="W22" s="15"/>
      <c r="X22" s="15"/>
      <c r="Y22" s="15"/>
      <c r="Z22" s="18"/>
      <c r="AA22" s="18"/>
      <c r="AB22" s="18"/>
      <c r="AC22" s="18"/>
      <c r="AD22" s="14"/>
      <c r="AE22" s="18"/>
      <c r="AF22" s="14"/>
      <c r="AG22" s="18"/>
      <c r="AH22" s="18"/>
      <c r="AI22" s="18"/>
      <c r="AJ22" s="18"/>
      <c r="AK22" s="16"/>
      <c r="AL22" s="16"/>
      <c r="AM22" s="16" t="s">
        <v>960</v>
      </c>
      <c r="AN22" s="1" t="s">
        <v>1760</v>
      </c>
    </row>
    <row r="23" spans="1:40" ht="12" customHeight="1" x14ac:dyDescent="0.2">
      <c r="A23" s="14">
        <v>41642</v>
      </c>
      <c r="B23" s="14">
        <v>41642</v>
      </c>
      <c r="C23" s="14">
        <v>41000</v>
      </c>
      <c r="D23" s="14" t="s">
        <v>306</v>
      </c>
      <c r="E23" s="14">
        <f>VLOOKUP(B23,[1]Sheet3!$A$2:$A$221,1,0)</f>
        <v>41642</v>
      </c>
      <c r="F23" s="14" t="s">
        <v>1353</v>
      </c>
      <c r="G23" s="14" t="s">
        <v>306</v>
      </c>
      <c r="H23" s="14"/>
      <c r="I23" s="14" t="s">
        <v>346</v>
      </c>
      <c r="J23" s="14"/>
      <c r="K23" s="14"/>
      <c r="L23" s="14"/>
      <c r="M23" s="14"/>
      <c r="N23" s="14" t="s">
        <v>1195</v>
      </c>
      <c r="O23" s="14" t="s">
        <v>1291</v>
      </c>
      <c r="P23" s="14" t="s">
        <v>864</v>
      </c>
      <c r="Q23" s="14"/>
      <c r="R23" s="14"/>
      <c r="S23" s="14" t="s">
        <v>559</v>
      </c>
      <c r="T23" s="14"/>
      <c r="U23" s="14" t="s">
        <v>31</v>
      </c>
      <c r="V23" s="14" t="s">
        <v>806</v>
      </c>
      <c r="W23" s="15"/>
      <c r="X23" s="15"/>
      <c r="Y23" s="15"/>
      <c r="Z23" s="18"/>
      <c r="AA23" s="18"/>
      <c r="AB23" s="18"/>
      <c r="AC23" s="18"/>
      <c r="AD23" s="14"/>
      <c r="AE23" s="18" t="s">
        <v>1674</v>
      </c>
      <c r="AF23" s="14" t="s">
        <v>457</v>
      </c>
      <c r="AG23" s="20" t="s">
        <v>457</v>
      </c>
      <c r="AH23" s="20" t="s">
        <v>31</v>
      </c>
      <c r="AI23" s="18" t="s">
        <v>1733</v>
      </c>
      <c r="AJ23" s="18" t="s">
        <v>1734</v>
      </c>
      <c r="AK23" s="16"/>
      <c r="AL23" s="16"/>
      <c r="AM23" s="16" t="s">
        <v>960</v>
      </c>
      <c r="AN23" s="1" t="s">
        <v>1760</v>
      </c>
    </row>
    <row r="24" spans="1:40" ht="12" customHeight="1" x14ac:dyDescent="0.2">
      <c r="A24" s="14">
        <v>4999</v>
      </c>
      <c r="B24" s="14">
        <v>4999</v>
      </c>
      <c r="C24" s="14">
        <v>5296</v>
      </c>
      <c r="D24" s="14" t="s">
        <v>306</v>
      </c>
      <c r="E24" s="14">
        <f>VLOOKUP(B24,[1]Sheet3!$A$2:$A$221,1,0)</f>
        <v>4999</v>
      </c>
      <c r="F24" s="14" t="s">
        <v>1353</v>
      </c>
      <c r="G24" s="14" t="s">
        <v>306</v>
      </c>
      <c r="H24" s="14"/>
      <c r="I24" s="14" t="s">
        <v>555</v>
      </c>
      <c r="J24" s="14" t="s">
        <v>78</v>
      </c>
      <c r="K24" s="14" t="s">
        <v>1218</v>
      </c>
      <c r="L24" s="14" t="s">
        <v>124</v>
      </c>
      <c r="M24" s="14" t="s">
        <v>1336</v>
      </c>
      <c r="N24" s="14" t="s">
        <v>1218</v>
      </c>
      <c r="O24" s="14" t="s">
        <v>344</v>
      </c>
      <c r="P24" s="14" t="s">
        <v>231</v>
      </c>
      <c r="Q24" s="14" t="s">
        <v>876</v>
      </c>
      <c r="R24" s="14" t="s">
        <v>1336</v>
      </c>
      <c r="S24" s="14" t="s">
        <v>998</v>
      </c>
      <c r="T24" s="14" t="s">
        <v>1207</v>
      </c>
      <c r="U24" s="14" t="s">
        <v>795</v>
      </c>
      <c r="V24" s="14" t="s">
        <v>1039</v>
      </c>
      <c r="W24" s="15" t="s">
        <v>1444</v>
      </c>
      <c r="X24" s="15"/>
      <c r="Y24" s="14" t="s">
        <v>665</v>
      </c>
      <c r="Z24" s="18"/>
      <c r="AA24" s="18"/>
      <c r="AB24" s="18"/>
      <c r="AC24" s="18"/>
      <c r="AD24" s="14"/>
      <c r="AE24" s="18"/>
      <c r="AF24" s="14"/>
      <c r="AG24" s="18"/>
      <c r="AH24" s="18"/>
      <c r="AI24" s="18"/>
      <c r="AJ24" s="18" t="s">
        <v>1735</v>
      </c>
      <c r="AK24" s="16"/>
      <c r="AL24" s="16"/>
      <c r="AM24" s="16" t="s">
        <v>960</v>
      </c>
      <c r="AN24" s="1" t="s">
        <v>1760</v>
      </c>
    </row>
    <row r="25" spans="1:40" ht="12" customHeight="1" x14ac:dyDescent="0.2">
      <c r="A25" s="14">
        <v>49912</v>
      </c>
      <c r="B25" s="14">
        <v>49912</v>
      </c>
      <c r="C25" s="14">
        <v>5297</v>
      </c>
      <c r="D25" s="14" t="s">
        <v>306</v>
      </c>
      <c r="E25" s="14">
        <f>VLOOKUP(B25,[1]Sheet3!$A$2:$A$221,1,0)</f>
        <v>49912</v>
      </c>
      <c r="F25" s="14" t="s">
        <v>1353</v>
      </c>
      <c r="G25" s="14" t="s">
        <v>306</v>
      </c>
      <c r="H25" s="14"/>
      <c r="I25" s="14" t="s">
        <v>554</v>
      </c>
      <c r="J25" s="14" t="s">
        <v>54</v>
      </c>
      <c r="K25" s="14" t="s">
        <v>1305</v>
      </c>
      <c r="L25" s="14" t="s">
        <v>124</v>
      </c>
      <c r="M25" s="14" t="s">
        <v>1336</v>
      </c>
      <c r="N25" s="14" t="s">
        <v>1305</v>
      </c>
      <c r="O25" s="14" t="s">
        <v>1543</v>
      </c>
      <c r="P25" s="14" t="s">
        <v>316</v>
      </c>
      <c r="Q25" s="14" t="s">
        <v>876</v>
      </c>
      <c r="R25" s="14" t="s">
        <v>1336</v>
      </c>
      <c r="S25" s="14" t="s">
        <v>998</v>
      </c>
      <c r="T25" s="14" t="s">
        <v>1207</v>
      </c>
      <c r="U25" s="14" t="s">
        <v>795</v>
      </c>
      <c r="V25" s="14" t="s">
        <v>1039</v>
      </c>
      <c r="W25" s="15" t="s">
        <v>1444</v>
      </c>
      <c r="X25" s="15"/>
      <c r="Y25" s="14" t="s">
        <v>665</v>
      </c>
      <c r="Z25" s="18"/>
      <c r="AA25" s="18"/>
      <c r="AB25" s="18"/>
      <c r="AC25" s="18"/>
      <c r="AD25" s="14"/>
      <c r="AE25" s="18"/>
      <c r="AF25" s="14"/>
      <c r="AG25" s="18"/>
      <c r="AH25" s="18"/>
      <c r="AI25" s="18"/>
      <c r="AJ25" s="18" t="s">
        <v>1735</v>
      </c>
      <c r="AK25" s="16"/>
      <c r="AL25" s="16"/>
      <c r="AM25" s="16" t="s">
        <v>960</v>
      </c>
      <c r="AN25" s="1" t="s">
        <v>1760</v>
      </c>
    </row>
    <row r="26" spans="1:40" ht="12" customHeight="1" x14ac:dyDescent="0.2">
      <c r="A26" s="14">
        <v>5001</v>
      </c>
      <c r="B26" s="14">
        <v>5001</v>
      </c>
      <c r="C26" s="14">
        <v>5298</v>
      </c>
      <c r="D26" s="14" t="s">
        <v>306</v>
      </c>
      <c r="E26" s="14">
        <f>VLOOKUP(B26,[1]Sheet3!$A$2:$A$221,1,0)</f>
        <v>5001</v>
      </c>
      <c r="F26" s="14" t="s">
        <v>1353</v>
      </c>
      <c r="G26" s="14" t="s">
        <v>306</v>
      </c>
      <c r="H26" s="14"/>
      <c r="I26" s="14" t="s">
        <v>553</v>
      </c>
      <c r="J26" s="14" t="s">
        <v>310</v>
      </c>
      <c r="K26" s="14" t="s">
        <v>1368</v>
      </c>
      <c r="L26" s="14" t="s">
        <v>124</v>
      </c>
      <c r="M26" s="14" t="s">
        <v>1336</v>
      </c>
      <c r="N26" s="14" t="s">
        <v>1368</v>
      </c>
      <c r="O26" s="14" t="s">
        <v>28</v>
      </c>
      <c r="P26" s="14" t="s">
        <v>390</v>
      </c>
      <c r="Q26" s="14" t="s">
        <v>876</v>
      </c>
      <c r="R26" s="14" t="s">
        <v>1336</v>
      </c>
      <c r="S26" s="14" t="s">
        <v>998</v>
      </c>
      <c r="T26" s="14" t="s">
        <v>1207</v>
      </c>
      <c r="U26" s="14" t="s">
        <v>795</v>
      </c>
      <c r="V26" s="14" t="s">
        <v>1039</v>
      </c>
      <c r="W26" s="15" t="s">
        <v>1444</v>
      </c>
      <c r="X26" s="15"/>
      <c r="Y26" s="14" t="s">
        <v>665</v>
      </c>
      <c r="Z26" s="18"/>
      <c r="AA26" s="18"/>
      <c r="AB26" s="18"/>
      <c r="AC26" s="18"/>
      <c r="AD26" s="14"/>
      <c r="AE26" s="18"/>
      <c r="AF26" s="14"/>
      <c r="AG26" s="18"/>
      <c r="AH26" s="18"/>
      <c r="AI26" s="18"/>
      <c r="AJ26" s="18" t="s">
        <v>1735</v>
      </c>
      <c r="AK26" s="16"/>
      <c r="AL26" s="16"/>
      <c r="AM26" s="16" t="s">
        <v>960</v>
      </c>
      <c r="AN26" s="1" t="s">
        <v>1760</v>
      </c>
    </row>
    <row r="27" spans="1:40" ht="12" customHeight="1" x14ac:dyDescent="0.2">
      <c r="A27" s="14">
        <v>13192</v>
      </c>
      <c r="B27" s="14">
        <v>13192</v>
      </c>
      <c r="C27" s="14">
        <v>10186</v>
      </c>
      <c r="D27" s="14" t="s">
        <v>306</v>
      </c>
      <c r="E27" s="14">
        <f>VLOOKUP(B27,[1]Sheet3!$A$2:$A$221,1,0)</f>
        <v>13192</v>
      </c>
      <c r="F27" s="14" t="s">
        <v>1353</v>
      </c>
      <c r="G27" s="14" t="s">
        <v>306</v>
      </c>
      <c r="H27" s="14"/>
      <c r="I27" s="14" t="s">
        <v>1149</v>
      </c>
      <c r="J27" s="14" t="s">
        <v>546</v>
      </c>
      <c r="K27" s="14" t="s">
        <v>1247</v>
      </c>
      <c r="L27" s="14" t="s">
        <v>420</v>
      </c>
      <c r="M27" s="14" t="s">
        <v>1432</v>
      </c>
      <c r="N27" s="14" t="s">
        <v>1247</v>
      </c>
      <c r="O27" s="14" t="s">
        <v>919</v>
      </c>
      <c r="P27" s="14" t="s">
        <v>543</v>
      </c>
      <c r="Q27" s="14" t="s">
        <v>876</v>
      </c>
      <c r="R27" s="14" t="s">
        <v>1432</v>
      </c>
      <c r="S27" s="14" t="s">
        <v>1173</v>
      </c>
      <c r="T27" s="14" t="s">
        <v>1283</v>
      </c>
      <c r="U27" s="14" t="s">
        <v>1099</v>
      </c>
      <c r="V27" s="14" t="s">
        <v>57</v>
      </c>
      <c r="W27" s="15" t="s">
        <v>737</v>
      </c>
      <c r="X27" s="15"/>
      <c r="Y27" s="14" t="s">
        <v>665</v>
      </c>
      <c r="Z27" s="18"/>
      <c r="AA27" s="18"/>
      <c r="AB27" s="18"/>
      <c r="AC27" s="18"/>
      <c r="AD27" s="14"/>
      <c r="AE27" s="18"/>
      <c r="AF27" s="14"/>
      <c r="AG27" s="18"/>
      <c r="AH27" s="18"/>
      <c r="AI27" s="18"/>
      <c r="AJ27" s="18" t="s">
        <v>1735</v>
      </c>
      <c r="AK27" s="16"/>
      <c r="AL27" s="16"/>
      <c r="AM27" s="16" t="s">
        <v>960</v>
      </c>
      <c r="AN27" s="1" t="s">
        <v>1760</v>
      </c>
    </row>
    <row r="28" spans="1:40" ht="12" customHeight="1" x14ac:dyDescent="0.2">
      <c r="A28" s="14">
        <v>8474</v>
      </c>
      <c r="B28" s="14">
        <v>8474</v>
      </c>
      <c r="C28" s="14">
        <v>10185</v>
      </c>
      <c r="D28" s="14" t="s">
        <v>306</v>
      </c>
      <c r="E28" s="14">
        <f>VLOOKUP(B28,[1]Sheet3!$A$2:$A$221,1,0)</f>
        <v>8474</v>
      </c>
      <c r="F28" s="14" t="s">
        <v>1353</v>
      </c>
      <c r="G28" s="14" t="s">
        <v>306</v>
      </c>
      <c r="H28" s="14"/>
      <c r="I28" s="14" t="s">
        <v>1150</v>
      </c>
      <c r="J28" s="14" t="s">
        <v>544</v>
      </c>
      <c r="K28" s="14" t="s">
        <v>295</v>
      </c>
      <c r="L28" s="14" t="s">
        <v>420</v>
      </c>
      <c r="M28" s="14" t="s">
        <v>1432</v>
      </c>
      <c r="N28" s="14" t="s">
        <v>295</v>
      </c>
      <c r="O28" s="14" t="s">
        <v>920</v>
      </c>
      <c r="P28" s="14" t="s">
        <v>222</v>
      </c>
      <c r="Q28" s="14" t="s">
        <v>876</v>
      </c>
      <c r="R28" s="14" t="s">
        <v>1432</v>
      </c>
      <c r="S28" s="14" t="s">
        <v>1173</v>
      </c>
      <c r="T28" s="14" t="s">
        <v>1283</v>
      </c>
      <c r="U28" s="14" t="s">
        <v>1099</v>
      </c>
      <c r="V28" s="14" t="s">
        <v>57</v>
      </c>
      <c r="W28" s="15" t="s">
        <v>737</v>
      </c>
      <c r="X28" s="15"/>
      <c r="Y28" s="14" t="s">
        <v>665</v>
      </c>
      <c r="Z28" s="18"/>
      <c r="AA28" s="18"/>
      <c r="AB28" s="18"/>
      <c r="AC28" s="18"/>
      <c r="AD28" s="14"/>
      <c r="AE28" s="18"/>
      <c r="AF28" s="14"/>
      <c r="AG28" s="18"/>
      <c r="AH28" s="18"/>
      <c r="AI28" s="18"/>
      <c r="AJ28" s="18" t="s">
        <v>1735</v>
      </c>
      <c r="AK28" s="16"/>
      <c r="AL28" s="16"/>
      <c r="AM28" s="16" t="s">
        <v>960</v>
      </c>
      <c r="AN28" s="1" t="s">
        <v>1760</v>
      </c>
    </row>
    <row r="29" spans="1:40" ht="12" customHeight="1" x14ac:dyDescent="0.2">
      <c r="A29" s="14">
        <v>7711</v>
      </c>
      <c r="B29" s="14">
        <v>7711</v>
      </c>
      <c r="C29" s="14">
        <v>8925</v>
      </c>
      <c r="D29" s="14" t="s">
        <v>306</v>
      </c>
      <c r="E29" s="14">
        <f>VLOOKUP(B29,[1]Sheet3!$A$2:$A$221,1,0)</f>
        <v>7711</v>
      </c>
      <c r="F29" s="14" t="s">
        <v>1353</v>
      </c>
      <c r="G29" s="14" t="s">
        <v>306</v>
      </c>
      <c r="H29" s="14"/>
      <c r="I29" s="14" t="s">
        <v>853</v>
      </c>
      <c r="J29" s="14" t="s">
        <v>178</v>
      </c>
      <c r="K29" s="14" t="s">
        <v>1373</v>
      </c>
      <c r="L29" s="14" t="s">
        <v>67</v>
      </c>
      <c r="M29" s="14" t="s">
        <v>1447</v>
      </c>
      <c r="N29" s="14" t="s">
        <v>1373</v>
      </c>
      <c r="O29" s="14" t="s">
        <v>1205</v>
      </c>
      <c r="P29" s="14" t="s">
        <v>676</v>
      </c>
      <c r="Q29" s="14" t="s">
        <v>876</v>
      </c>
      <c r="R29" s="14" t="s">
        <v>1447</v>
      </c>
      <c r="S29" s="14" t="s">
        <v>350</v>
      </c>
      <c r="T29" s="14" t="s">
        <v>1231</v>
      </c>
      <c r="U29" s="14" t="s">
        <v>976</v>
      </c>
      <c r="V29" s="14" t="s">
        <v>210</v>
      </c>
      <c r="W29" s="15" t="s">
        <v>17</v>
      </c>
      <c r="X29" s="15"/>
      <c r="Y29" s="14" t="s">
        <v>665</v>
      </c>
      <c r="Z29" s="18"/>
      <c r="AA29" s="18"/>
      <c r="AB29" s="18"/>
      <c r="AC29" s="18"/>
      <c r="AD29" s="14"/>
      <c r="AE29" s="18"/>
      <c r="AF29" s="14"/>
      <c r="AG29" s="18"/>
      <c r="AH29" s="18"/>
      <c r="AI29" s="18"/>
      <c r="AJ29" s="18" t="s">
        <v>1735</v>
      </c>
      <c r="AK29" s="16"/>
      <c r="AL29" s="16"/>
      <c r="AM29" s="16" t="s">
        <v>960</v>
      </c>
      <c r="AN29" s="1" t="s">
        <v>1760</v>
      </c>
    </row>
    <row r="30" spans="1:40" ht="12" customHeight="1" x14ac:dyDescent="0.2">
      <c r="A30" s="14">
        <v>4926</v>
      </c>
      <c r="B30" s="14">
        <v>4926</v>
      </c>
      <c r="C30" s="14">
        <v>8926</v>
      </c>
      <c r="D30" s="14" t="s">
        <v>306</v>
      </c>
      <c r="E30" s="14">
        <f>VLOOKUP(B30,[1]Sheet3!$A$2:$A$221,1,0)</f>
        <v>4926</v>
      </c>
      <c r="F30" s="14" t="s">
        <v>1353</v>
      </c>
      <c r="G30" s="14" t="s">
        <v>306</v>
      </c>
      <c r="H30" s="14"/>
      <c r="I30" s="14" t="s">
        <v>621</v>
      </c>
      <c r="J30" s="14" t="s">
        <v>1511</v>
      </c>
      <c r="K30" s="14" t="s">
        <v>1308</v>
      </c>
      <c r="L30" s="14" t="s">
        <v>67</v>
      </c>
      <c r="M30" s="14" t="s">
        <v>1447</v>
      </c>
      <c r="N30" s="14" t="s">
        <v>1308</v>
      </c>
      <c r="O30" s="14" t="s">
        <v>1293</v>
      </c>
      <c r="P30" s="14" t="s">
        <v>595</v>
      </c>
      <c r="Q30" s="14" t="s">
        <v>876</v>
      </c>
      <c r="R30" s="14" t="s">
        <v>1447</v>
      </c>
      <c r="S30" s="14" t="s">
        <v>350</v>
      </c>
      <c r="T30" s="14" t="s">
        <v>1231</v>
      </c>
      <c r="U30" s="14" t="s">
        <v>976</v>
      </c>
      <c r="V30" s="14" t="s">
        <v>210</v>
      </c>
      <c r="W30" s="15" t="s">
        <v>17</v>
      </c>
      <c r="X30" s="15"/>
      <c r="Y30" s="14" t="s">
        <v>665</v>
      </c>
      <c r="Z30" s="18"/>
      <c r="AA30" s="18"/>
      <c r="AB30" s="18"/>
      <c r="AC30" s="18"/>
      <c r="AD30" s="14"/>
      <c r="AE30" s="18"/>
      <c r="AF30" s="14"/>
      <c r="AG30" s="18"/>
      <c r="AH30" s="18"/>
      <c r="AI30" s="18"/>
      <c r="AJ30" s="18" t="s">
        <v>1735</v>
      </c>
      <c r="AK30" s="16"/>
      <c r="AL30" s="16"/>
      <c r="AM30" s="16" t="s">
        <v>960</v>
      </c>
      <c r="AN30" s="1" t="s">
        <v>1760</v>
      </c>
    </row>
    <row r="31" spans="1:40" ht="12" customHeight="1" x14ac:dyDescent="0.2">
      <c r="A31" s="14">
        <v>8770</v>
      </c>
      <c r="B31" s="14">
        <v>8770</v>
      </c>
      <c r="C31" s="14">
        <v>9164</v>
      </c>
      <c r="D31" s="14" t="s">
        <v>306</v>
      </c>
      <c r="E31" s="14">
        <f>VLOOKUP(B31,[1]Sheet3!$A$2:$A$221,1,0)</f>
        <v>8770</v>
      </c>
      <c r="F31" s="14" t="s">
        <v>1353</v>
      </c>
      <c r="G31" s="14" t="s">
        <v>306</v>
      </c>
      <c r="H31" s="14"/>
      <c r="I31" s="14" t="s">
        <v>1301</v>
      </c>
      <c r="J31" s="14" t="s">
        <v>749</v>
      </c>
      <c r="K31" s="14" t="s">
        <v>292</v>
      </c>
      <c r="L31" s="14" t="s">
        <v>1471</v>
      </c>
      <c r="M31" s="14" t="s">
        <v>1336</v>
      </c>
      <c r="N31" s="14" t="s">
        <v>292</v>
      </c>
      <c r="O31" s="14" t="s">
        <v>711</v>
      </c>
      <c r="P31" s="14" t="s">
        <v>451</v>
      </c>
      <c r="Q31" s="14" t="s">
        <v>876</v>
      </c>
      <c r="R31" s="14" t="s">
        <v>1336</v>
      </c>
      <c r="S31" s="14" t="s">
        <v>1656</v>
      </c>
      <c r="T31" s="14" t="s">
        <v>1211</v>
      </c>
      <c r="U31" s="14" t="s">
        <v>378</v>
      </c>
      <c r="V31" s="14" t="s">
        <v>377</v>
      </c>
      <c r="W31" s="15" t="s">
        <v>1487</v>
      </c>
      <c r="X31" s="15"/>
      <c r="Y31" s="14" t="s">
        <v>665</v>
      </c>
      <c r="Z31" s="14"/>
      <c r="AA31" s="14"/>
      <c r="AB31" s="14"/>
      <c r="AC31" s="14"/>
      <c r="AD31" s="14"/>
      <c r="AE31" s="18"/>
      <c r="AF31" s="14"/>
      <c r="AG31" s="18"/>
      <c r="AH31" s="18"/>
      <c r="AI31" s="18"/>
      <c r="AJ31" s="18" t="s">
        <v>1735</v>
      </c>
      <c r="AK31" s="16"/>
      <c r="AL31" s="16"/>
      <c r="AM31" s="16" t="s">
        <v>960</v>
      </c>
      <c r="AN31" s="1" t="s">
        <v>1760</v>
      </c>
    </row>
    <row r="32" spans="1:40" ht="12" customHeight="1" x14ac:dyDescent="0.2">
      <c r="A32" s="14">
        <v>7246</v>
      </c>
      <c r="B32" s="14">
        <v>7246</v>
      </c>
      <c r="C32" s="14">
        <v>9165</v>
      </c>
      <c r="D32" s="14" t="s">
        <v>306</v>
      </c>
      <c r="E32" s="14">
        <f>VLOOKUP(B32,[1]Sheet3!$A$2:$A$221,1,0)</f>
        <v>7246</v>
      </c>
      <c r="F32" s="14" t="s">
        <v>1353</v>
      </c>
      <c r="G32" s="14" t="s">
        <v>306</v>
      </c>
      <c r="H32" s="14"/>
      <c r="I32" s="14" t="s">
        <v>1300</v>
      </c>
      <c r="J32" s="14" t="s">
        <v>748</v>
      </c>
      <c r="K32" s="14" t="s">
        <v>372</v>
      </c>
      <c r="L32" s="14" t="s">
        <v>1471</v>
      </c>
      <c r="M32" s="14" t="s">
        <v>1336</v>
      </c>
      <c r="N32" s="14" t="s">
        <v>372</v>
      </c>
      <c r="O32" s="14" t="s">
        <v>87</v>
      </c>
      <c r="P32" s="14" t="s">
        <v>38</v>
      </c>
      <c r="Q32" s="14" t="s">
        <v>876</v>
      </c>
      <c r="R32" s="14" t="s">
        <v>1336</v>
      </c>
      <c r="S32" s="14" t="s">
        <v>1656</v>
      </c>
      <c r="T32" s="14" t="s">
        <v>1211</v>
      </c>
      <c r="U32" s="14" t="s">
        <v>378</v>
      </c>
      <c r="V32" s="14" t="s">
        <v>377</v>
      </c>
      <c r="W32" s="15" t="s">
        <v>1487</v>
      </c>
      <c r="X32" s="15"/>
      <c r="Y32" s="14" t="s">
        <v>665</v>
      </c>
      <c r="Z32" s="14"/>
      <c r="AA32" s="14"/>
      <c r="AB32" s="14"/>
      <c r="AC32" s="14"/>
      <c r="AD32" s="14"/>
      <c r="AE32" s="18"/>
      <c r="AF32" s="14"/>
      <c r="AG32" s="18"/>
      <c r="AH32" s="18"/>
      <c r="AI32" s="18"/>
      <c r="AJ32" s="18" t="s">
        <v>1735</v>
      </c>
      <c r="AK32" s="16"/>
      <c r="AL32" s="16"/>
      <c r="AM32" s="16" t="s">
        <v>960</v>
      </c>
      <c r="AN32" s="1" t="s">
        <v>1760</v>
      </c>
    </row>
    <row r="33" spans="1:40" ht="12" customHeight="1" x14ac:dyDescent="0.2">
      <c r="A33" s="14">
        <v>14550</v>
      </c>
      <c r="B33" s="14">
        <v>14550</v>
      </c>
      <c r="C33" s="14">
        <v>10996</v>
      </c>
      <c r="D33" s="14" t="s">
        <v>306</v>
      </c>
      <c r="E33" s="14">
        <f>VLOOKUP(B33,[1]Sheet3!$A$2:$A$221,1,0)</f>
        <v>14550</v>
      </c>
      <c r="F33" s="14" t="s">
        <v>1353</v>
      </c>
      <c r="G33" s="14" t="s">
        <v>306</v>
      </c>
      <c r="H33" s="14"/>
      <c r="I33" s="14" t="s">
        <v>1560</v>
      </c>
      <c r="J33" s="14" t="s">
        <v>1351</v>
      </c>
      <c r="K33" s="14" t="s">
        <v>455</v>
      </c>
      <c r="L33" s="14" t="s">
        <v>1503</v>
      </c>
      <c r="M33" s="14" t="s">
        <v>1447</v>
      </c>
      <c r="N33" s="14" t="s">
        <v>455</v>
      </c>
      <c r="O33" s="14" t="s">
        <v>410</v>
      </c>
      <c r="P33" s="14" t="s">
        <v>1070</v>
      </c>
      <c r="Q33" s="14" t="s">
        <v>876</v>
      </c>
      <c r="R33" s="14" t="s">
        <v>1447</v>
      </c>
      <c r="S33" s="14" t="s">
        <v>1632</v>
      </c>
      <c r="T33" s="14" t="s">
        <v>465</v>
      </c>
      <c r="U33" s="14" t="s">
        <v>945</v>
      </c>
      <c r="V33" s="14" t="s">
        <v>1362</v>
      </c>
      <c r="W33" s="15" t="s">
        <v>591</v>
      </c>
      <c r="X33" s="15"/>
      <c r="Y33" s="14" t="s">
        <v>665</v>
      </c>
      <c r="Z33" s="14"/>
      <c r="AA33" s="14"/>
      <c r="AB33" s="14"/>
      <c r="AC33" s="14"/>
      <c r="AD33" s="14"/>
      <c r="AE33" s="18"/>
      <c r="AF33" s="14"/>
      <c r="AG33" s="18"/>
      <c r="AH33" s="18"/>
      <c r="AI33" s="18"/>
      <c r="AJ33" s="18" t="s">
        <v>1735</v>
      </c>
      <c r="AK33" s="16"/>
      <c r="AL33" s="16"/>
      <c r="AM33" s="16" t="s">
        <v>960</v>
      </c>
      <c r="AN33" s="1" t="s">
        <v>1760</v>
      </c>
    </row>
    <row r="34" spans="1:40" ht="12" customHeight="1" x14ac:dyDescent="0.2">
      <c r="A34" s="14">
        <v>10050</v>
      </c>
      <c r="B34" s="14">
        <v>10050</v>
      </c>
      <c r="C34" s="14">
        <v>10997</v>
      </c>
      <c r="D34" s="14" t="s">
        <v>306</v>
      </c>
      <c r="E34" s="14">
        <f>VLOOKUP(B34,[1]Sheet3!$A$2:$A$221,1,0)</f>
        <v>10050</v>
      </c>
      <c r="F34" s="14" t="s">
        <v>1353</v>
      </c>
      <c r="G34" s="14" t="s">
        <v>306</v>
      </c>
      <c r="H34" s="14"/>
      <c r="I34" s="14" t="s">
        <v>528</v>
      </c>
      <c r="J34" s="14" t="s">
        <v>1352</v>
      </c>
      <c r="K34" s="14" t="s">
        <v>139</v>
      </c>
      <c r="L34" s="14" t="s">
        <v>1503</v>
      </c>
      <c r="M34" s="14" t="s">
        <v>1447</v>
      </c>
      <c r="N34" s="14" t="s">
        <v>139</v>
      </c>
      <c r="O34" s="14" t="s">
        <v>1107</v>
      </c>
      <c r="P34" s="14" t="s">
        <v>1440</v>
      </c>
      <c r="Q34" s="14" t="s">
        <v>876</v>
      </c>
      <c r="R34" s="14" t="s">
        <v>1447</v>
      </c>
      <c r="S34" s="14" t="s">
        <v>1632</v>
      </c>
      <c r="T34" s="14" t="s">
        <v>465</v>
      </c>
      <c r="U34" s="14" t="s">
        <v>945</v>
      </c>
      <c r="V34" s="14" t="s">
        <v>1362</v>
      </c>
      <c r="W34" s="15" t="s">
        <v>591</v>
      </c>
      <c r="X34" s="15"/>
      <c r="Y34" s="14" t="s">
        <v>665</v>
      </c>
      <c r="Z34" s="14"/>
      <c r="AA34" s="14"/>
      <c r="AB34" s="14"/>
      <c r="AC34" s="14"/>
      <c r="AD34" s="14"/>
      <c r="AE34" s="18"/>
      <c r="AF34" s="14"/>
      <c r="AG34" s="18"/>
      <c r="AH34" s="18"/>
      <c r="AI34" s="18"/>
      <c r="AJ34" s="18" t="s">
        <v>1735</v>
      </c>
      <c r="AK34" s="16"/>
      <c r="AL34" s="16"/>
      <c r="AM34" s="16" t="s">
        <v>960</v>
      </c>
      <c r="AN34" s="1" t="s">
        <v>1760</v>
      </c>
    </row>
    <row r="35" spans="1:40" ht="12" customHeight="1" x14ac:dyDescent="0.2">
      <c r="A35" s="14">
        <v>6262</v>
      </c>
      <c r="B35" s="14">
        <v>6262</v>
      </c>
      <c r="C35" s="14">
        <v>4550</v>
      </c>
      <c r="D35" s="14" t="s">
        <v>306</v>
      </c>
      <c r="E35" s="14">
        <f>VLOOKUP(B35,[1]Sheet3!$A$2:$A$221,1,0)</f>
        <v>6262</v>
      </c>
      <c r="F35" s="14" t="s">
        <v>1353</v>
      </c>
      <c r="G35" s="14" t="s">
        <v>306</v>
      </c>
      <c r="H35" s="14"/>
      <c r="I35" s="14" t="s">
        <v>829</v>
      </c>
      <c r="J35" s="14" t="s">
        <v>1131</v>
      </c>
      <c r="K35" s="14" t="s">
        <v>172</v>
      </c>
      <c r="L35" s="14" t="s">
        <v>1024</v>
      </c>
      <c r="M35" s="14" t="s">
        <v>1447</v>
      </c>
      <c r="N35" s="14" t="s">
        <v>172</v>
      </c>
      <c r="O35" s="14" t="s">
        <v>670</v>
      </c>
      <c r="P35" s="14" t="s">
        <v>1635</v>
      </c>
      <c r="Q35" s="14" t="s">
        <v>876</v>
      </c>
      <c r="R35" s="14" t="s">
        <v>1447</v>
      </c>
      <c r="S35" s="14" t="s">
        <v>1499</v>
      </c>
      <c r="T35" s="14" t="s">
        <v>1457</v>
      </c>
      <c r="U35" s="14" t="s">
        <v>824</v>
      </c>
      <c r="V35" s="14" t="s">
        <v>607</v>
      </c>
      <c r="W35" s="15" t="s">
        <v>1069</v>
      </c>
      <c r="X35" s="15"/>
      <c r="Y35" s="14" t="s">
        <v>665</v>
      </c>
      <c r="Z35" s="14"/>
      <c r="AA35" s="14"/>
      <c r="AB35" s="14"/>
      <c r="AC35" s="14"/>
      <c r="AD35" s="14"/>
      <c r="AE35" s="18"/>
      <c r="AF35" s="14"/>
      <c r="AG35" s="18"/>
      <c r="AH35" s="18"/>
      <c r="AI35" s="18"/>
      <c r="AJ35" s="18" t="s">
        <v>1735</v>
      </c>
      <c r="AK35" s="16"/>
      <c r="AL35" s="16"/>
      <c r="AM35" s="16" t="s">
        <v>960</v>
      </c>
      <c r="AN35" s="1" t="s">
        <v>1760</v>
      </c>
    </row>
    <row r="36" spans="1:40" ht="12" customHeight="1" x14ac:dyDescent="0.2">
      <c r="A36" s="14">
        <v>6265</v>
      </c>
      <c r="B36" s="14">
        <v>6265</v>
      </c>
      <c r="C36" s="14">
        <v>4587</v>
      </c>
      <c r="D36" s="14" t="s">
        <v>306</v>
      </c>
      <c r="E36" s="14">
        <f>VLOOKUP(B36,[1]Sheet3!$A$2:$A$221,1,0)</f>
        <v>6265</v>
      </c>
      <c r="F36" s="14" t="s">
        <v>1353</v>
      </c>
      <c r="G36" s="14" t="s">
        <v>306</v>
      </c>
      <c r="H36" s="14"/>
      <c r="I36" s="14" t="s">
        <v>827</v>
      </c>
      <c r="J36" s="14" t="s">
        <v>631</v>
      </c>
      <c r="K36" s="14" t="s">
        <v>532</v>
      </c>
      <c r="L36" s="14" t="s">
        <v>338</v>
      </c>
      <c r="M36" s="14" t="s">
        <v>1447</v>
      </c>
      <c r="N36" s="14" t="s">
        <v>532</v>
      </c>
      <c r="O36" s="14" t="s">
        <v>603</v>
      </c>
      <c r="P36" s="14" t="s">
        <v>343</v>
      </c>
      <c r="Q36" s="14" t="s">
        <v>876</v>
      </c>
      <c r="R36" s="14" t="s">
        <v>1447</v>
      </c>
      <c r="S36" s="14" t="s">
        <v>1499</v>
      </c>
      <c r="T36" s="14" t="s">
        <v>1457</v>
      </c>
      <c r="U36" s="14" t="s">
        <v>824</v>
      </c>
      <c r="V36" s="14" t="s">
        <v>607</v>
      </c>
      <c r="W36" s="15" t="s">
        <v>1069</v>
      </c>
      <c r="X36" s="15"/>
      <c r="Y36" s="14" t="s">
        <v>665</v>
      </c>
      <c r="Z36" s="14"/>
      <c r="AA36" s="14"/>
      <c r="AB36" s="14"/>
      <c r="AC36" s="14"/>
      <c r="AD36" s="14"/>
      <c r="AE36" s="18"/>
      <c r="AF36" s="14"/>
      <c r="AG36" s="18"/>
      <c r="AH36" s="18"/>
      <c r="AI36" s="18"/>
      <c r="AJ36" s="18" t="s">
        <v>1735</v>
      </c>
      <c r="AK36" s="16"/>
      <c r="AL36" s="16"/>
      <c r="AM36" s="16" t="s">
        <v>960</v>
      </c>
      <c r="AN36" s="1" t="s">
        <v>1760</v>
      </c>
    </row>
    <row r="37" spans="1:40" ht="12" customHeight="1" x14ac:dyDescent="0.2">
      <c r="A37" s="14">
        <v>46808</v>
      </c>
      <c r="B37" s="14">
        <v>46808</v>
      </c>
      <c r="C37" s="14">
        <v>4549</v>
      </c>
      <c r="D37" s="14" t="s">
        <v>306</v>
      </c>
      <c r="E37" s="14">
        <f>VLOOKUP(B37,[1]Sheet3!$A$2:$A$221,1,0)</f>
        <v>46808</v>
      </c>
      <c r="F37" s="14" t="s">
        <v>1353</v>
      </c>
      <c r="G37" s="14" t="s">
        <v>306</v>
      </c>
      <c r="H37" s="14"/>
      <c r="I37" s="14" t="s">
        <v>828</v>
      </c>
      <c r="J37" s="14" t="s">
        <v>1032</v>
      </c>
      <c r="K37" s="14" t="s">
        <v>586</v>
      </c>
      <c r="L37" s="14" t="s">
        <v>1128</v>
      </c>
      <c r="M37" s="14" t="s">
        <v>1447</v>
      </c>
      <c r="N37" s="14" t="s">
        <v>586</v>
      </c>
      <c r="O37" s="14" t="s">
        <v>835</v>
      </c>
      <c r="P37" s="14" t="s">
        <v>153</v>
      </c>
      <c r="Q37" s="14" t="s">
        <v>876</v>
      </c>
      <c r="R37" s="14" t="s">
        <v>1447</v>
      </c>
      <c r="S37" s="14" t="s">
        <v>1499</v>
      </c>
      <c r="T37" s="14" t="s">
        <v>1457</v>
      </c>
      <c r="U37" s="14" t="s">
        <v>824</v>
      </c>
      <c r="V37" s="14" t="s">
        <v>607</v>
      </c>
      <c r="W37" s="15" t="s">
        <v>1069</v>
      </c>
      <c r="X37" s="15"/>
      <c r="Y37" s="14" t="s">
        <v>665</v>
      </c>
      <c r="Z37" s="14"/>
      <c r="AA37" s="14"/>
      <c r="AB37" s="14"/>
      <c r="AC37" s="14"/>
      <c r="AD37" s="14"/>
      <c r="AE37" s="18"/>
      <c r="AF37" s="14"/>
      <c r="AG37" s="18"/>
      <c r="AH37" s="18"/>
      <c r="AI37" s="18"/>
      <c r="AJ37" s="18" t="s">
        <v>1735</v>
      </c>
      <c r="AK37" s="16"/>
      <c r="AL37" s="16"/>
      <c r="AM37" s="16" t="s">
        <v>960</v>
      </c>
      <c r="AN37" s="1" t="s">
        <v>1760</v>
      </c>
    </row>
    <row r="38" spans="1:40" ht="12" customHeight="1" x14ac:dyDescent="0.2">
      <c r="A38" s="14">
        <v>49162</v>
      </c>
      <c r="B38" s="14">
        <v>49162</v>
      </c>
      <c r="C38" s="14">
        <v>5063</v>
      </c>
      <c r="D38" s="14" t="s">
        <v>306</v>
      </c>
      <c r="E38" s="14">
        <f>VLOOKUP(B38,[1]Sheet3!$A$2:$A$221,1,0)</f>
        <v>49162</v>
      </c>
      <c r="F38" s="14" t="s">
        <v>1353</v>
      </c>
      <c r="G38" s="14" t="s">
        <v>306</v>
      </c>
      <c r="H38" s="14"/>
      <c r="I38" s="14" t="s">
        <v>899</v>
      </c>
      <c r="J38" s="14" t="s">
        <v>1364</v>
      </c>
      <c r="K38" s="14" t="s">
        <v>1327</v>
      </c>
      <c r="L38" s="14" t="s">
        <v>1035</v>
      </c>
      <c r="M38" s="14" t="s">
        <v>1336</v>
      </c>
      <c r="N38" s="14" t="s">
        <v>1327</v>
      </c>
      <c r="O38" s="14" t="s">
        <v>340</v>
      </c>
      <c r="P38" s="14" t="s">
        <v>1647</v>
      </c>
      <c r="Q38" s="14" t="s">
        <v>876</v>
      </c>
      <c r="R38" s="14" t="s">
        <v>1336</v>
      </c>
      <c r="S38" s="14" t="s">
        <v>448</v>
      </c>
      <c r="T38" s="14" t="s">
        <v>1457</v>
      </c>
      <c r="U38" s="14" t="s">
        <v>939</v>
      </c>
      <c r="V38" s="14" t="s">
        <v>1454</v>
      </c>
      <c r="W38" s="15" t="s">
        <v>892</v>
      </c>
      <c r="X38" s="15"/>
      <c r="Y38" s="14" t="s">
        <v>665</v>
      </c>
      <c r="Z38" s="14"/>
      <c r="AA38" s="14"/>
      <c r="AB38" s="14"/>
      <c r="AC38" s="14"/>
      <c r="AD38" s="14"/>
      <c r="AE38" s="18"/>
      <c r="AF38" s="14"/>
      <c r="AG38" s="18"/>
      <c r="AH38" s="18"/>
      <c r="AI38" s="18"/>
      <c r="AJ38" s="18" t="s">
        <v>1735</v>
      </c>
      <c r="AK38" s="16"/>
      <c r="AL38" s="16"/>
      <c r="AM38" s="16" t="s">
        <v>960</v>
      </c>
      <c r="AN38" s="1" t="s">
        <v>1760</v>
      </c>
    </row>
    <row r="39" spans="1:40" ht="12" customHeight="1" x14ac:dyDescent="0.2">
      <c r="A39" s="14">
        <v>49163</v>
      </c>
      <c r="B39" s="14">
        <v>49163</v>
      </c>
      <c r="C39" s="14">
        <v>5650</v>
      </c>
      <c r="D39" s="14" t="s">
        <v>306</v>
      </c>
      <c r="E39" s="14">
        <f>VLOOKUP(B39,[1]Sheet3!$A$2:$A$221,1,0)</f>
        <v>49163</v>
      </c>
      <c r="F39" s="14" t="s">
        <v>1353</v>
      </c>
      <c r="G39" s="14" t="s">
        <v>306</v>
      </c>
      <c r="H39" s="14"/>
      <c r="I39" s="14" t="s">
        <v>953</v>
      </c>
      <c r="J39" s="14" t="s">
        <v>1365</v>
      </c>
      <c r="K39" s="14" t="s">
        <v>1328</v>
      </c>
      <c r="L39" s="14" t="s">
        <v>1035</v>
      </c>
      <c r="M39" s="14" t="s">
        <v>1336</v>
      </c>
      <c r="N39" s="14" t="s">
        <v>1328</v>
      </c>
      <c r="O39" s="14" t="s">
        <v>516</v>
      </c>
      <c r="P39" s="14" t="s">
        <v>649</v>
      </c>
      <c r="Q39" s="14" t="s">
        <v>876</v>
      </c>
      <c r="R39" s="14" t="s">
        <v>1336</v>
      </c>
      <c r="S39" s="14" t="s">
        <v>448</v>
      </c>
      <c r="T39" s="14" t="s">
        <v>1457</v>
      </c>
      <c r="U39" s="14" t="s">
        <v>939</v>
      </c>
      <c r="V39" s="14" t="s">
        <v>1454</v>
      </c>
      <c r="W39" s="15" t="s">
        <v>892</v>
      </c>
      <c r="X39" s="15"/>
      <c r="Y39" s="14" t="s">
        <v>665</v>
      </c>
      <c r="Z39" s="14"/>
      <c r="AA39" s="14"/>
      <c r="AB39" s="14"/>
      <c r="AC39" s="14"/>
      <c r="AD39" s="14"/>
      <c r="AE39" s="18"/>
      <c r="AF39" s="14"/>
      <c r="AG39" s="18"/>
      <c r="AH39" s="18"/>
      <c r="AI39" s="18"/>
      <c r="AJ39" s="18" t="s">
        <v>1735</v>
      </c>
      <c r="AK39" s="16"/>
      <c r="AL39" s="16"/>
      <c r="AM39" s="16" t="s">
        <v>960</v>
      </c>
      <c r="AN39" s="1" t="s">
        <v>1760</v>
      </c>
    </row>
    <row r="40" spans="1:40" ht="12" customHeight="1" x14ac:dyDescent="0.2">
      <c r="A40" s="14">
        <v>49161</v>
      </c>
      <c r="B40" s="14">
        <v>49161</v>
      </c>
      <c r="C40" s="14">
        <v>4539</v>
      </c>
      <c r="D40" s="14" t="s">
        <v>306</v>
      </c>
      <c r="E40" s="14">
        <f>VLOOKUP(B40,[1]Sheet3!$A$2:$A$221,1,0)</f>
        <v>49161</v>
      </c>
      <c r="F40" s="14" t="s">
        <v>1353</v>
      </c>
      <c r="G40" s="14" t="s">
        <v>306</v>
      </c>
      <c r="H40" s="14"/>
      <c r="I40" s="14" t="s">
        <v>807</v>
      </c>
      <c r="J40" s="14" t="s">
        <v>1467</v>
      </c>
      <c r="K40" s="14" t="s">
        <v>392</v>
      </c>
      <c r="L40" s="14" t="s">
        <v>1113</v>
      </c>
      <c r="M40" s="14" t="s">
        <v>1336</v>
      </c>
      <c r="N40" s="14" t="s">
        <v>392</v>
      </c>
      <c r="O40" s="14" t="s">
        <v>1574</v>
      </c>
      <c r="P40" s="14" t="s">
        <v>1639</v>
      </c>
      <c r="Q40" s="14" t="s">
        <v>876</v>
      </c>
      <c r="R40" s="14" t="s">
        <v>1336</v>
      </c>
      <c r="S40" s="14" t="s">
        <v>448</v>
      </c>
      <c r="T40" s="14" t="s">
        <v>1457</v>
      </c>
      <c r="U40" s="14" t="s">
        <v>939</v>
      </c>
      <c r="V40" s="14" t="s">
        <v>1454</v>
      </c>
      <c r="W40" s="15" t="s">
        <v>892</v>
      </c>
      <c r="X40" s="15"/>
      <c r="Y40" s="14" t="s">
        <v>665</v>
      </c>
      <c r="Z40" s="14"/>
      <c r="AA40" s="14"/>
      <c r="AB40" s="14"/>
      <c r="AC40" s="14"/>
      <c r="AD40" s="14"/>
      <c r="AE40" s="18"/>
      <c r="AF40" s="14"/>
      <c r="AG40" s="18"/>
      <c r="AH40" s="18"/>
      <c r="AI40" s="18"/>
      <c r="AJ40" s="18" t="s">
        <v>1735</v>
      </c>
      <c r="AK40" s="16"/>
      <c r="AL40" s="16"/>
      <c r="AM40" s="16" t="s">
        <v>960</v>
      </c>
      <c r="AN40" s="1" t="s">
        <v>1760</v>
      </c>
    </row>
    <row r="41" spans="1:40" ht="12" customHeight="1" x14ac:dyDescent="0.2">
      <c r="A41" s="14">
        <v>5290</v>
      </c>
      <c r="B41" s="14">
        <v>5290</v>
      </c>
      <c r="C41" s="14">
        <v>5486</v>
      </c>
      <c r="D41" s="14" t="s">
        <v>306</v>
      </c>
      <c r="E41" s="14">
        <f>VLOOKUP(B41,[1]Sheet3!$A$2:$A$221,1,0)</f>
        <v>5290</v>
      </c>
      <c r="F41" s="14" t="s">
        <v>1353</v>
      </c>
      <c r="G41" s="14" t="s">
        <v>306</v>
      </c>
      <c r="H41" s="14"/>
      <c r="I41" s="14" t="s">
        <v>740</v>
      </c>
      <c r="J41" s="14" t="s">
        <v>1466</v>
      </c>
      <c r="K41" s="14" t="s">
        <v>393</v>
      </c>
      <c r="L41" s="14" t="s">
        <v>1113</v>
      </c>
      <c r="M41" s="14" t="s">
        <v>1336</v>
      </c>
      <c r="N41" s="14" t="s">
        <v>393</v>
      </c>
      <c r="O41" s="14" t="s">
        <v>650</v>
      </c>
      <c r="P41" s="14" t="s">
        <v>1640</v>
      </c>
      <c r="Q41" s="14" t="s">
        <v>876</v>
      </c>
      <c r="R41" s="14" t="s">
        <v>1336</v>
      </c>
      <c r="S41" s="14" t="s">
        <v>448</v>
      </c>
      <c r="T41" s="14" t="s">
        <v>1457</v>
      </c>
      <c r="U41" s="14" t="s">
        <v>939</v>
      </c>
      <c r="V41" s="14" t="s">
        <v>1454</v>
      </c>
      <c r="W41" s="15" t="s">
        <v>892</v>
      </c>
      <c r="X41" s="15"/>
      <c r="Y41" s="14" t="s">
        <v>665</v>
      </c>
      <c r="Z41" s="14"/>
      <c r="AA41" s="14"/>
      <c r="AB41" s="14"/>
      <c r="AC41" s="14"/>
      <c r="AD41" s="14"/>
      <c r="AE41" s="18"/>
      <c r="AF41" s="14"/>
      <c r="AG41" s="18"/>
      <c r="AH41" s="18"/>
      <c r="AI41" s="18"/>
      <c r="AJ41" s="18" t="s">
        <v>1735</v>
      </c>
      <c r="AK41" s="16"/>
      <c r="AL41" s="16"/>
      <c r="AM41" s="16" t="s">
        <v>960</v>
      </c>
      <c r="AN41" s="1" t="s">
        <v>1760</v>
      </c>
    </row>
    <row r="42" spans="1:40" ht="12" customHeight="1" x14ac:dyDescent="0.2">
      <c r="A42" s="14">
        <v>5947</v>
      </c>
      <c r="B42" s="14">
        <v>5947</v>
      </c>
      <c r="C42" s="14">
        <v>5122</v>
      </c>
      <c r="D42" s="14" t="s">
        <v>306</v>
      </c>
      <c r="E42" s="14">
        <f>VLOOKUP(B42,[1]Sheet3!$A$2:$A$221,1,0)</f>
        <v>5947</v>
      </c>
      <c r="F42" s="14" t="s">
        <v>1353</v>
      </c>
      <c r="G42" s="14" t="s">
        <v>306</v>
      </c>
      <c r="H42" s="14"/>
      <c r="I42" s="14" t="s">
        <v>977</v>
      </c>
      <c r="J42" s="14" t="s">
        <v>1193</v>
      </c>
      <c r="K42" s="14" t="s">
        <v>1043</v>
      </c>
      <c r="L42" s="14" t="s">
        <v>1035</v>
      </c>
      <c r="M42" s="14" t="s">
        <v>1336</v>
      </c>
      <c r="N42" s="14" t="s">
        <v>1043</v>
      </c>
      <c r="O42" s="14" t="s">
        <v>951</v>
      </c>
      <c r="P42" s="14" t="s">
        <v>184</v>
      </c>
      <c r="Q42" s="14" t="s">
        <v>876</v>
      </c>
      <c r="R42" s="14" t="s">
        <v>1336</v>
      </c>
      <c r="S42" s="14" t="s">
        <v>448</v>
      </c>
      <c r="T42" s="14" t="s">
        <v>1216</v>
      </c>
      <c r="U42" s="14" t="s">
        <v>939</v>
      </c>
      <c r="V42" s="14" t="s">
        <v>1454</v>
      </c>
      <c r="W42" s="15" t="s">
        <v>799</v>
      </c>
      <c r="X42" s="15"/>
      <c r="Y42" s="14" t="s">
        <v>665</v>
      </c>
      <c r="Z42" s="14"/>
      <c r="AA42" s="14"/>
      <c r="AB42" s="14"/>
      <c r="AC42" s="14"/>
      <c r="AD42" s="14"/>
      <c r="AE42" s="18"/>
      <c r="AF42" s="14"/>
      <c r="AG42" s="18"/>
      <c r="AH42" s="18"/>
      <c r="AI42" s="18"/>
      <c r="AJ42" s="18" t="s">
        <v>1735</v>
      </c>
      <c r="AK42" s="16"/>
      <c r="AL42" s="16"/>
      <c r="AM42" s="16" t="s">
        <v>960</v>
      </c>
      <c r="AN42" s="1" t="s">
        <v>1760</v>
      </c>
    </row>
    <row r="43" spans="1:40" ht="12" customHeight="1" x14ac:dyDescent="0.2">
      <c r="A43" s="14">
        <v>49326</v>
      </c>
      <c r="B43" s="14">
        <v>49326</v>
      </c>
      <c r="C43" s="14">
        <v>5132</v>
      </c>
      <c r="D43" s="14" t="s">
        <v>306</v>
      </c>
      <c r="E43" s="14">
        <f>VLOOKUP(B43,[1]Sheet3!$A$2:$A$221,1,0)</f>
        <v>49326</v>
      </c>
      <c r="F43" s="14" t="s">
        <v>1353</v>
      </c>
      <c r="G43" s="14" t="s">
        <v>306</v>
      </c>
      <c r="H43" s="14"/>
      <c r="I43" s="14" t="s">
        <v>1063</v>
      </c>
      <c r="J43" s="14" t="s">
        <v>68</v>
      </c>
      <c r="K43" s="14" t="s">
        <v>1605</v>
      </c>
      <c r="L43" s="14" t="s">
        <v>1113</v>
      </c>
      <c r="M43" s="14" t="s">
        <v>1336</v>
      </c>
      <c r="N43" s="14" t="s">
        <v>1605</v>
      </c>
      <c r="O43" s="14" t="s">
        <v>983</v>
      </c>
      <c r="P43" s="14" t="s">
        <v>814</v>
      </c>
      <c r="Q43" s="14" t="s">
        <v>876</v>
      </c>
      <c r="R43" s="14" t="s">
        <v>1336</v>
      </c>
      <c r="S43" s="14" t="s">
        <v>448</v>
      </c>
      <c r="T43" s="14" t="s">
        <v>1216</v>
      </c>
      <c r="U43" s="14" t="s">
        <v>939</v>
      </c>
      <c r="V43" s="14" t="s">
        <v>1454</v>
      </c>
      <c r="W43" s="15" t="s">
        <v>799</v>
      </c>
      <c r="X43" s="15"/>
      <c r="Y43" s="14" t="s">
        <v>665</v>
      </c>
      <c r="Z43" s="14"/>
      <c r="AA43" s="14"/>
      <c r="AB43" s="14"/>
      <c r="AC43" s="14"/>
      <c r="AD43" s="14"/>
      <c r="AE43" s="18"/>
      <c r="AF43" s="14"/>
      <c r="AG43" s="18"/>
      <c r="AH43" s="18"/>
      <c r="AI43" s="18"/>
      <c r="AJ43" s="18" t="s">
        <v>1735</v>
      </c>
      <c r="AK43" s="16"/>
      <c r="AL43" s="16"/>
      <c r="AM43" s="16" t="s">
        <v>960</v>
      </c>
      <c r="AN43" s="1" t="s">
        <v>1760</v>
      </c>
    </row>
    <row r="44" spans="1:40" ht="12" customHeight="1" x14ac:dyDescent="0.2">
      <c r="A44" s="14">
        <v>6019</v>
      </c>
      <c r="B44" s="14">
        <v>6019</v>
      </c>
      <c r="C44" s="14">
        <v>5131</v>
      </c>
      <c r="D44" s="14" t="s">
        <v>306</v>
      </c>
      <c r="E44" s="14">
        <f>VLOOKUP(B44,[1]Sheet3!$A$2:$A$221,1,0)</f>
        <v>6019</v>
      </c>
      <c r="F44" s="14" t="s">
        <v>1353</v>
      </c>
      <c r="G44" s="14" t="s">
        <v>306</v>
      </c>
      <c r="H44" s="14"/>
      <c r="I44" s="14" t="s">
        <v>1191</v>
      </c>
      <c r="J44" s="14" t="s">
        <v>65</v>
      </c>
      <c r="K44" s="14" t="s">
        <v>1140</v>
      </c>
      <c r="L44" s="14" t="s">
        <v>1113</v>
      </c>
      <c r="M44" s="14" t="s">
        <v>1336</v>
      </c>
      <c r="N44" s="14" t="s">
        <v>1140</v>
      </c>
      <c r="O44" s="14" t="s">
        <v>984</v>
      </c>
      <c r="P44" s="14" t="s">
        <v>536</v>
      </c>
      <c r="Q44" s="14" t="s">
        <v>876</v>
      </c>
      <c r="R44" s="14" t="s">
        <v>1336</v>
      </c>
      <c r="S44" s="14" t="s">
        <v>448</v>
      </c>
      <c r="T44" s="14" t="s">
        <v>1216</v>
      </c>
      <c r="U44" s="14" t="s">
        <v>939</v>
      </c>
      <c r="V44" s="14" t="s">
        <v>1454</v>
      </c>
      <c r="W44" s="15" t="s">
        <v>799</v>
      </c>
      <c r="X44" s="15"/>
      <c r="Y44" s="14" t="s">
        <v>665</v>
      </c>
      <c r="Z44" s="14"/>
      <c r="AA44" s="14"/>
      <c r="AB44" s="14"/>
      <c r="AC44" s="14"/>
      <c r="AD44" s="14"/>
      <c r="AE44" s="18"/>
      <c r="AF44" s="14"/>
      <c r="AG44" s="18"/>
      <c r="AH44" s="18"/>
      <c r="AI44" s="18"/>
      <c r="AJ44" s="18" t="s">
        <v>1735</v>
      </c>
      <c r="AK44" s="16"/>
      <c r="AL44" s="16"/>
      <c r="AM44" s="16" t="s">
        <v>960</v>
      </c>
      <c r="AN44" s="1" t="s">
        <v>1760</v>
      </c>
    </row>
    <row r="45" spans="1:40" ht="12" customHeight="1" x14ac:dyDescent="0.2">
      <c r="A45" s="14">
        <v>443</v>
      </c>
      <c r="B45" s="14">
        <v>443</v>
      </c>
      <c r="C45" s="14">
        <v>7672</v>
      </c>
      <c r="D45" s="14" t="s">
        <v>306</v>
      </c>
      <c r="E45" s="14">
        <f>VLOOKUP(B45,[1]Sheet3!$A$2:$A$221,1,0)</f>
        <v>443</v>
      </c>
      <c r="F45" s="14" t="s">
        <v>1353</v>
      </c>
      <c r="G45" s="14" t="s">
        <v>306</v>
      </c>
      <c r="H45" s="14"/>
      <c r="I45" s="14" t="s">
        <v>127</v>
      </c>
      <c r="J45" s="14" t="s">
        <v>1554</v>
      </c>
      <c r="K45" s="14" t="s">
        <v>651</v>
      </c>
      <c r="L45" s="14" t="s">
        <v>331</v>
      </c>
      <c r="M45" s="14" t="s">
        <v>1447</v>
      </c>
      <c r="N45" s="14" t="s">
        <v>651</v>
      </c>
      <c r="O45" s="14" t="s">
        <v>882</v>
      </c>
      <c r="P45" s="14" t="s">
        <v>416</v>
      </c>
      <c r="Q45" s="14" t="s">
        <v>876</v>
      </c>
      <c r="R45" s="14" t="s">
        <v>1447</v>
      </c>
      <c r="S45" s="14" t="s">
        <v>436</v>
      </c>
      <c r="T45" s="14" t="s">
        <v>1670</v>
      </c>
      <c r="U45" s="14" t="s">
        <v>709</v>
      </c>
      <c r="V45" s="14" t="s">
        <v>765</v>
      </c>
      <c r="W45" s="15" t="s">
        <v>1105</v>
      </c>
      <c r="X45" s="15"/>
      <c r="Y45" s="14" t="s">
        <v>665</v>
      </c>
      <c r="Z45" s="14"/>
      <c r="AA45" s="14"/>
      <c r="AB45" s="14"/>
      <c r="AC45" s="14"/>
      <c r="AD45" s="14"/>
      <c r="AE45" s="18"/>
      <c r="AF45" s="14"/>
      <c r="AG45" s="18"/>
      <c r="AH45" s="18"/>
      <c r="AI45" s="18"/>
      <c r="AJ45" s="18" t="s">
        <v>1735</v>
      </c>
      <c r="AK45" s="16"/>
      <c r="AL45" s="16"/>
      <c r="AM45" s="16" t="s">
        <v>960</v>
      </c>
      <c r="AN45" s="1" t="s">
        <v>1760</v>
      </c>
    </row>
    <row r="46" spans="1:40" ht="12" customHeight="1" x14ac:dyDescent="0.2">
      <c r="A46" s="14">
        <v>2489</v>
      </c>
      <c r="B46" s="14">
        <v>2489</v>
      </c>
      <c r="C46" s="14">
        <v>7673</v>
      </c>
      <c r="D46" s="14" t="s">
        <v>306</v>
      </c>
      <c r="E46" s="14">
        <f>VLOOKUP(B46,[1]Sheet3!$A$2:$A$221,1,0)</f>
        <v>2489</v>
      </c>
      <c r="F46" s="14" t="s">
        <v>1353</v>
      </c>
      <c r="G46" s="14" t="s">
        <v>306</v>
      </c>
      <c r="H46" s="14"/>
      <c r="I46" s="14" t="s">
        <v>128</v>
      </c>
      <c r="J46" s="14" t="s">
        <v>1257</v>
      </c>
      <c r="K46" s="14" t="s">
        <v>652</v>
      </c>
      <c r="L46" s="14" t="s">
        <v>331</v>
      </c>
      <c r="M46" s="14" t="s">
        <v>1447</v>
      </c>
      <c r="N46" s="14" t="s">
        <v>652</v>
      </c>
      <c r="O46" s="14" t="s">
        <v>125</v>
      </c>
      <c r="P46" s="14" t="s">
        <v>417</v>
      </c>
      <c r="Q46" s="14" t="s">
        <v>876</v>
      </c>
      <c r="R46" s="14" t="s">
        <v>1447</v>
      </c>
      <c r="S46" s="14" t="s">
        <v>436</v>
      </c>
      <c r="T46" s="14" t="s">
        <v>1670</v>
      </c>
      <c r="U46" s="14" t="s">
        <v>709</v>
      </c>
      <c r="V46" s="14" t="s">
        <v>765</v>
      </c>
      <c r="W46" s="15" t="s">
        <v>1105</v>
      </c>
      <c r="X46" s="15"/>
      <c r="Y46" s="14" t="s">
        <v>665</v>
      </c>
      <c r="Z46" s="14"/>
      <c r="AA46" s="14"/>
      <c r="AB46" s="14"/>
      <c r="AC46" s="14"/>
      <c r="AD46" s="14"/>
      <c r="AE46" s="18"/>
      <c r="AF46" s="14"/>
      <c r="AG46" s="18"/>
      <c r="AH46" s="18"/>
      <c r="AI46" s="18"/>
      <c r="AJ46" s="18" t="s">
        <v>1735</v>
      </c>
      <c r="AK46" s="16"/>
      <c r="AL46" s="16"/>
      <c r="AM46" s="16" t="s">
        <v>960</v>
      </c>
      <c r="AN46" s="1" t="s">
        <v>1760</v>
      </c>
    </row>
    <row r="47" spans="1:40" ht="12" customHeight="1" x14ac:dyDescent="0.2">
      <c r="A47" s="14">
        <v>2515</v>
      </c>
      <c r="B47" s="14">
        <v>2515</v>
      </c>
      <c r="C47" s="14">
        <v>7711</v>
      </c>
      <c r="D47" s="14" t="s">
        <v>306</v>
      </c>
      <c r="E47" s="14">
        <f>VLOOKUP(B47,[1]Sheet3!$A$2:$A$221,1,0)</f>
        <v>2515</v>
      </c>
      <c r="F47" s="14" t="s">
        <v>1353</v>
      </c>
      <c r="G47" s="14" t="s">
        <v>306</v>
      </c>
      <c r="H47" s="14"/>
      <c r="I47" s="14" t="s">
        <v>1329</v>
      </c>
      <c r="J47" s="14" t="s">
        <v>890</v>
      </c>
      <c r="K47" s="14" t="s">
        <v>492</v>
      </c>
      <c r="L47" s="14" t="s">
        <v>1180</v>
      </c>
      <c r="M47" s="14" t="s">
        <v>1336</v>
      </c>
      <c r="N47" s="14" t="s">
        <v>492</v>
      </c>
      <c r="O47" s="14" t="s">
        <v>1519</v>
      </c>
      <c r="P47" s="14" t="s">
        <v>943</v>
      </c>
      <c r="Q47" s="14" t="s">
        <v>876</v>
      </c>
      <c r="R47" s="14" t="s">
        <v>1336</v>
      </c>
      <c r="S47" s="14" t="s">
        <v>1296</v>
      </c>
      <c r="T47" s="14" t="s">
        <v>1202</v>
      </c>
      <c r="U47" s="14" t="s">
        <v>71</v>
      </c>
      <c r="V47" s="14" t="s">
        <v>1067</v>
      </c>
      <c r="W47" s="15" t="s">
        <v>1650</v>
      </c>
      <c r="X47" s="15"/>
      <c r="Y47" s="14" t="s">
        <v>665</v>
      </c>
      <c r="Z47" s="14"/>
      <c r="AA47" s="14"/>
      <c r="AB47" s="14"/>
      <c r="AC47" s="14"/>
      <c r="AD47" s="14"/>
      <c r="AE47" s="18"/>
      <c r="AF47" s="14"/>
      <c r="AG47" s="18"/>
      <c r="AH47" s="18"/>
      <c r="AI47" s="18"/>
      <c r="AJ47" s="18" t="s">
        <v>1735</v>
      </c>
      <c r="AK47" s="16"/>
      <c r="AL47" s="16"/>
      <c r="AM47" s="16" t="s">
        <v>960</v>
      </c>
      <c r="AN47" s="1" t="s">
        <v>1760</v>
      </c>
    </row>
    <row r="48" spans="1:40" ht="12" customHeight="1" x14ac:dyDescent="0.2">
      <c r="A48" s="14">
        <v>477</v>
      </c>
      <c r="B48" s="14">
        <v>477</v>
      </c>
      <c r="C48" s="14">
        <v>7712</v>
      </c>
      <c r="D48" s="14" t="s">
        <v>306</v>
      </c>
      <c r="E48" s="14">
        <f>VLOOKUP(B48,[1]Sheet3!$A$2:$A$221,1,0)</f>
        <v>477</v>
      </c>
      <c r="F48" s="14" t="s">
        <v>1353</v>
      </c>
      <c r="G48" s="14" t="s">
        <v>306</v>
      </c>
      <c r="H48" s="14"/>
      <c r="I48" s="14" t="s">
        <v>298</v>
      </c>
      <c r="J48" s="14" t="s">
        <v>868</v>
      </c>
      <c r="K48" s="14" t="s">
        <v>561</v>
      </c>
      <c r="L48" s="14" t="s">
        <v>1180</v>
      </c>
      <c r="M48" s="14" t="s">
        <v>1336</v>
      </c>
      <c r="N48" s="14" t="s">
        <v>561</v>
      </c>
      <c r="O48" s="14" t="s">
        <v>925</v>
      </c>
      <c r="P48" s="14" t="s">
        <v>266</v>
      </c>
      <c r="Q48" s="14" t="s">
        <v>876</v>
      </c>
      <c r="R48" s="14" t="s">
        <v>1336</v>
      </c>
      <c r="S48" s="14" t="s">
        <v>1296</v>
      </c>
      <c r="T48" s="14" t="s">
        <v>1202</v>
      </c>
      <c r="U48" s="14" t="s">
        <v>71</v>
      </c>
      <c r="V48" s="14" t="s">
        <v>1067</v>
      </c>
      <c r="W48" s="15" t="s">
        <v>1650</v>
      </c>
      <c r="X48" s="15"/>
      <c r="Y48" s="14" t="s">
        <v>665</v>
      </c>
      <c r="Z48" s="14"/>
      <c r="AA48" s="14"/>
      <c r="AB48" s="14"/>
      <c r="AC48" s="14"/>
      <c r="AD48" s="14"/>
      <c r="AE48" s="18"/>
      <c r="AF48" s="14"/>
      <c r="AG48" s="18"/>
      <c r="AH48" s="18"/>
      <c r="AI48" s="18"/>
      <c r="AJ48" s="18" t="s">
        <v>1735</v>
      </c>
      <c r="AK48" s="16"/>
      <c r="AL48" s="16"/>
      <c r="AM48" s="16" t="s">
        <v>960</v>
      </c>
      <c r="AN48" s="1" t="s">
        <v>1760</v>
      </c>
    </row>
    <row r="49" spans="1:40" ht="12" customHeight="1" x14ac:dyDescent="0.2">
      <c r="A49" s="14">
        <v>27730</v>
      </c>
      <c r="B49" s="14">
        <v>27730</v>
      </c>
      <c r="C49" s="14">
        <v>2757</v>
      </c>
      <c r="D49" s="14" t="s">
        <v>306</v>
      </c>
      <c r="E49" s="14">
        <f>VLOOKUP(B49,[1]Sheet3!$A$2:$A$221,1,0)</f>
        <v>27730</v>
      </c>
      <c r="F49" s="14" t="s">
        <v>1353</v>
      </c>
      <c r="G49" s="14" t="s">
        <v>306</v>
      </c>
      <c r="H49" s="14"/>
      <c r="I49" s="14" t="s">
        <v>1633</v>
      </c>
      <c r="J49" s="14" t="s">
        <v>1443</v>
      </c>
      <c r="K49" s="14" t="s">
        <v>1101</v>
      </c>
      <c r="L49" s="14" t="s">
        <v>43</v>
      </c>
      <c r="M49" s="14" t="s">
        <v>1336</v>
      </c>
      <c r="N49" s="14" t="s">
        <v>1101</v>
      </c>
      <c r="O49" s="14" t="s">
        <v>1518</v>
      </c>
      <c r="P49" s="14" t="s">
        <v>1255</v>
      </c>
      <c r="Q49" s="14" t="s">
        <v>876</v>
      </c>
      <c r="R49" s="14" t="s">
        <v>1336</v>
      </c>
      <c r="S49" s="14" t="s">
        <v>1391</v>
      </c>
      <c r="T49" s="14" t="s">
        <v>931</v>
      </c>
      <c r="U49" s="14" t="s">
        <v>1600</v>
      </c>
      <c r="V49" s="14" t="s">
        <v>1219</v>
      </c>
      <c r="W49" s="15" t="s">
        <v>1166</v>
      </c>
      <c r="X49" s="15"/>
      <c r="Y49" s="14" t="s">
        <v>665</v>
      </c>
      <c r="Z49" s="14"/>
      <c r="AA49" s="14"/>
      <c r="AB49" s="14"/>
      <c r="AC49" s="14"/>
      <c r="AD49" s="14"/>
      <c r="AE49" s="18"/>
      <c r="AF49" s="14"/>
      <c r="AG49" s="18"/>
      <c r="AH49" s="18"/>
      <c r="AI49" s="18"/>
      <c r="AJ49" s="18" t="s">
        <v>1735</v>
      </c>
      <c r="AK49" s="16"/>
      <c r="AL49" s="16"/>
      <c r="AM49" s="16" t="s">
        <v>960</v>
      </c>
      <c r="AN49" s="1" t="s">
        <v>1760</v>
      </c>
    </row>
    <row r="50" spans="1:40" ht="12" customHeight="1" x14ac:dyDescent="0.2">
      <c r="A50" s="14">
        <v>3096</v>
      </c>
      <c r="B50" s="14">
        <v>3096</v>
      </c>
      <c r="C50" s="14">
        <v>2758</v>
      </c>
      <c r="D50" s="14" t="s">
        <v>306</v>
      </c>
      <c r="E50" s="14">
        <f>VLOOKUP(B50,[1]Sheet3!$A$2:$A$221,1,0)</f>
        <v>3096</v>
      </c>
      <c r="F50" s="14" t="s">
        <v>1353</v>
      </c>
      <c r="G50" s="14" t="s">
        <v>306</v>
      </c>
      <c r="H50" s="14"/>
      <c r="I50" s="14" t="s">
        <v>174</v>
      </c>
      <c r="J50" s="14" t="s">
        <v>1133</v>
      </c>
      <c r="K50" s="14" t="s">
        <v>1622</v>
      </c>
      <c r="L50" s="14" t="s">
        <v>43</v>
      </c>
      <c r="M50" s="14" t="s">
        <v>1336</v>
      </c>
      <c r="N50" s="14" t="s">
        <v>1622</v>
      </c>
      <c r="O50" s="14" t="s">
        <v>681</v>
      </c>
      <c r="P50" s="14" t="s">
        <v>1003</v>
      </c>
      <c r="Q50" s="14" t="s">
        <v>876</v>
      </c>
      <c r="R50" s="14" t="s">
        <v>1336</v>
      </c>
      <c r="S50" s="14" t="s">
        <v>1391</v>
      </c>
      <c r="T50" s="14" t="s">
        <v>931</v>
      </c>
      <c r="U50" s="14" t="s">
        <v>1600</v>
      </c>
      <c r="V50" s="14" t="s">
        <v>1219</v>
      </c>
      <c r="W50" s="15" t="s">
        <v>1166</v>
      </c>
      <c r="X50" s="15"/>
      <c r="Y50" s="14" t="s">
        <v>665</v>
      </c>
      <c r="Z50" s="14"/>
      <c r="AA50" s="14"/>
      <c r="AB50" s="14"/>
      <c r="AC50" s="14"/>
      <c r="AD50" s="14"/>
      <c r="AE50" s="18"/>
      <c r="AF50" s="14"/>
      <c r="AG50" s="18"/>
      <c r="AH50" s="18"/>
      <c r="AI50" s="18"/>
      <c r="AJ50" s="18" t="s">
        <v>1735</v>
      </c>
      <c r="AK50" s="16"/>
      <c r="AL50" s="16"/>
      <c r="AM50" s="16" t="s">
        <v>960</v>
      </c>
      <c r="AN50" s="1" t="s">
        <v>1760</v>
      </c>
    </row>
    <row r="51" spans="1:40" ht="12" customHeight="1" x14ac:dyDescent="0.2">
      <c r="A51" s="14">
        <v>20893</v>
      </c>
      <c r="B51" s="14">
        <v>20893</v>
      </c>
      <c r="C51" s="14">
        <v>8618</v>
      </c>
      <c r="D51" s="14" t="s">
        <v>306</v>
      </c>
      <c r="E51" s="14">
        <f>VLOOKUP(B51,[1]Sheet3!$A$2:$A$221,1,0)</f>
        <v>20893</v>
      </c>
      <c r="F51" s="14" t="s">
        <v>1353</v>
      </c>
      <c r="G51" s="14" t="s">
        <v>306</v>
      </c>
      <c r="H51" s="14"/>
      <c r="I51" s="14" t="s">
        <v>452</v>
      </c>
      <c r="J51" s="14" t="s">
        <v>742</v>
      </c>
      <c r="K51" s="14" t="s">
        <v>545</v>
      </c>
      <c r="L51" s="14" t="s">
        <v>466</v>
      </c>
      <c r="M51" s="14" t="s">
        <v>1049</v>
      </c>
      <c r="N51" s="14" t="s">
        <v>545</v>
      </c>
      <c r="O51" s="14" t="s">
        <v>1040</v>
      </c>
      <c r="P51" s="14" t="s">
        <v>190</v>
      </c>
      <c r="Q51" s="14" t="s">
        <v>557</v>
      </c>
      <c r="R51" s="14" t="s">
        <v>1596</v>
      </c>
      <c r="S51" s="14" t="s">
        <v>1184</v>
      </c>
      <c r="T51" s="14" t="s">
        <v>1515</v>
      </c>
      <c r="U51" s="14" t="s">
        <v>1313</v>
      </c>
      <c r="V51" s="14" t="s">
        <v>396</v>
      </c>
      <c r="W51" s="15"/>
      <c r="X51" s="15"/>
      <c r="Y51" s="15"/>
      <c r="Z51" s="14"/>
      <c r="AA51" s="14"/>
      <c r="AB51" s="14"/>
      <c r="AC51" s="14"/>
      <c r="AD51" s="14"/>
      <c r="AE51" s="18" t="s">
        <v>1675</v>
      </c>
      <c r="AF51" s="14"/>
      <c r="AG51" s="17" t="s">
        <v>1683</v>
      </c>
      <c r="AH51" s="18"/>
      <c r="AI51" s="18"/>
      <c r="AJ51" s="18" t="s">
        <v>1736</v>
      </c>
      <c r="AK51" s="16"/>
      <c r="AL51" s="16"/>
      <c r="AM51" s="16" t="s">
        <v>960</v>
      </c>
      <c r="AN51" s="1" t="s">
        <v>1760</v>
      </c>
    </row>
    <row r="52" spans="1:40" ht="12" customHeight="1" x14ac:dyDescent="0.2">
      <c r="A52" s="14">
        <v>22003</v>
      </c>
      <c r="B52" s="14">
        <v>22003</v>
      </c>
      <c r="C52" s="14">
        <v>10159</v>
      </c>
      <c r="D52" s="14" t="s">
        <v>306</v>
      </c>
      <c r="E52" s="14">
        <f>VLOOKUP(B52,[1]Sheet3!$A$2:$A$221,1,0)</f>
        <v>22003</v>
      </c>
      <c r="F52" s="14" t="s">
        <v>1353</v>
      </c>
      <c r="G52" s="14" t="s">
        <v>306</v>
      </c>
      <c r="H52" s="14"/>
      <c r="I52" s="14" t="s">
        <v>601</v>
      </c>
      <c r="J52" s="14" t="s">
        <v>1613</v>
      </c>
      <c r="K52" s="14" t="s">
        <v>648</v>
      </c>
      <c r="L52" s="14" t="s">
        <v>375</v>
      </c>
      <c r="M52" s="14" t="s">
        <v>644</v>
      </c>
      <c r="N52" s="14" t="s">
        <v>648</v>
      </c>
      <c r="O52" s="14" t="s">
        <v>155</v>
      </c>
      <c r="P52" s="14" t="s">
        <v>1010</v>
      </c>
      <c r="Q52" s="14" t="s">
        <v>1294</v>
      </c>
      <c r="R52" s="14" t="s">
        <v>1596</v>
      </c>
      <c r="S52" s="14" t="s">
        <v>34</v>
      </c>
      <c r="T52" s="14" t="s">
        <v>1121</v>
      </c>
      <c r="U52" s="14" t="s">
        <v>702</v>
      </c>
      <c r="V52" s="14" t="s">
        <v>1261</v>
      </c>
      <c r="W52" s="15"/>
      <c r="X52" s="15"/>
      <c r="Y52" s="15"/>
      <c r="Z52" s="14"/>
      <c r="AA52" s="14"/>
      <c r="AB52" s="14"/>
      <c r="AC52" s="14"/>
      <c r="AD52" s="14"/>
      <c r="AE52" s="18" t="s">
        <v>1675</v>
      </c>
      <c r="AF52" s="14"/>
      <c r="AG52" s="18"/>
      <c r="AH52" s="18"/>
      <c r="AI52" s="18"/>
      <c r="AJ52" s="18" t="s">
        <v>1674</v>
      </c>
      <c r="AK52" s="16"/>
      <c r="AL52" s="16"/>
      <c r="AM52" s="16" t="s">
        <v>960</v>
      </c>
      <c r="AN52" s="1" t="s">
        <v>1760</v>
      </c>
    </row>
    <row r="53" spans="1:40" ht="12" customHeight="1" x14ac:dyDescent="0.2">
      <c r="A53" s="14">
        <v>16391</v>
      </c>
      <c r="B53" s="14">
        <v>16391</v>
      </c>
      <c r="C53" s="14">
        <v>2933</v>
      </c>
      <c r="D53" s="14" t="s">
        <v>306</v>
      </c>
      <c r="E53" s="14">
        <f>VLOOKUP(B53,[1]Sheet3!$A$2:$A$221,1,0)</f>
        <v>16391</v>
      </c>
      <c r="F53" s="14" t="s">
        <v>1353</v>
      </c>
      <c r="G53" s="14" t="s">
        <v>306</v>
      </c>
      <c r="H53" s="14"/>
      <c r="I53" s="14" t="s">
        <v>1025</v>
      </c>
      <c r="J53" s="14" t="s">
        <v>1020</v>
      </c>
      <c r="K53" s="14" t="s">
        <v>270</v>
      </c>
      <c r="L53" s="14" t="s">
        <v>944</v>
      </c>
      <c r="M53" s="14" t="s">
        <v>1336</v>
      </c>
      <c r="N53" s="14" t="s">
        <v>270</v>
      </c>
      <c r="O53" s="14" t="s">
        <v>11</v>
      </c>
      <c r="P53" s="14" t="s">
        <v>1516</v>
      </c>
      <c r="Q53" s="14" t="s">
        <v>876</v>
      </c>
      <c r="R53" s="14" t="s">
        <v>1336</v>
      </c>
      <c r="S53" s="14" t="s">
        <v>909</v>
      </c>
      <c r="T53" s="14" t="s">
        <v>434</v>
      </c>
      <c r="U53" s="14" t="s">
        <v>723</v>
      </c>
      <c r="V53" s="14" t="s">
        <v>895</v>
      </c>
      <c r="W53" s="15"/>
      <c r="X53" s="15"/>
      <c r="Y53" s="15"/>
      <c r="Z53" s="14" t="s">
        <v>1363</v>
      </c>
      <c r="AA53" s="14" t="s">
        <v>12</v>
      </c>
      <c r="AB53" s="14"/>
      <c r="AC53" s="14"/>
      <c r="AD53" s="14" t="s">
        <v>723</v>
      </c>
      <c r="AE53" s="18" t="s">
        <v>564</v>
      </c>
      <c r="AF53" s="14"/>
      <c r="AG53" s="20" t="s">
        <v>1684</v>
      </c>
      <c r="AH53" s="20" t="s">
        <v>1737</v>
      </c>
      <c r="AI53" s="18" t="s">
        <v>1733</v>
      </c>
      <c r="AJ53" s="18" t="s">
        <v>1738</v>
      </c>
      <c r="AK53" s="16"/>
      <c r="AL53" s="16"/>
      <c r="AM53" s="16" t="s">
        <v>960</v>
      </c>
      <c r="AN53" s="1" t="s">
        <v>1760</v>
      </c>
    </row>
    <row r="54" spans="1:40" ht="12" customHeight="1" x14ac:dyDescent="0.2">
      <c r="A54" s="14">
        <v>16393</v>
      </c>
      <c r="B54" s="14">
        <v>16393</v>
      </c>
      <c r="C54" s="14">
        <v>2935</v>
      </c>
      <c r="D54" s="14" t="s">
        <v>306</v>
      </c>
      <c r="E54" s="14">
        <f>VLOOKUP(B54,[1]Sheet3!$A$2:$A$221,1,0)</f>
        <v>16393</v>
      </c>
      <c r="F54" s="14" t="s">
        <v>1353</v>
      </c>
      <c r="G54" s="14" t="s">
        <v>306</v>
      </c>
      <c r="H54" s="14"/>
      <c r="I54" s="14" t="s">
        <v>1027</v>
      </c>
      <c r="J54" s="14" t="s">
        <v>836</v>
      </c>
      <c r="K54" s="14" t="s">
        <v>1541</v>
      </c>
      <c r="L54" s="14" t="s">
        <v>1072</v>
      </c>
      <c r="M54" s="14" t="s">
        <v>1447</v>
      </c>
      <c r="N54" s="14" t="s">
        <v>1541</v>
      </c>
      <c r="O54" s="14" t="s">
        <v>1606</v>
      </c>
      <c r="P54" s="14" t="s">
        <v>695</v>
      </c>
      <c r="Q54" s="14" t="s">
        <v>876</v>
      </c>
      <c r="R54" s="14" t="s">
        <v>1447</v>
      </c>
      <c r="S54" s="14" t="s">
        <v>909</v>
      </c>
      <c r="T54" s="14" t="s">
        <v>1530</v>
      </c>
      <c r="U54" s="14" t="s">
        <v>678</v>
      </c>
      <c r="V54" s="14" t="s">
        <v>895</v>
      </c>
      <c r="W54" s="15"/>
      <c r="X54" s="15"/>
      <c r="Y54" s="15"/>
      <c r="Z54" s="14"/>
      <c r="AA54" s="14"/>
      <c r="AB54" s="14"/>
      <c r="AC54" s="14"/>
      <c r="AD54" s="14"/>
      <c r="AE54" s="18" t="s">
        <v>1674</v>
      </c>
      <c r="AF54" s="14"/>
      <c r="AG54" s="20" t="s">
        <v>1685</v>
      </c>
      <c r="AH54" s="20" t="s">
        <v>1739</v>
      </c>
      <c r="AI54" s="18" t="s">
        <v>1733</v>
      </c>
      <c r="AJ54" s="18" t="s">
        <v>1738</v>
      </c>
      <c r="AK54" s="16"/>
      <c r="AL54" s="16"/>
      <c r="AM54" s="16" t="s">
        <v>960</v>
      </c>
      <c r="AN54" s="1" t="s">
        <v>1760</v>
      </c>
    </row>
    <row r="55" spans="1:40" ht="12" customHeight="1" x14ac:dyDescent="0.2">
      <c r="A55" s="14">
        <v>16394</v>
      </c>
      <c r="B55" s="14">
        <v>16394</v>
      </c>
      <c r="C55" s="14">
        <v>2936</v>
      </c>
      <c r="D55" s="14" t="s">
        <v>306</v>
      </c>
      <c r="E55" s="14">
        <f>VLOOKUP(B55,[1]Sheet3!$A$2:$A$221,1,0)</f>
        <v>16394</v>
      </c>
      <c r="F55" s="14" t="s">
        <v>1353</v>
      </c>
      <c r="G55" s="14" t="s">
        <v>306</v>
      </c>
      <c r="H55" s="14"/>
      <c r="I55" s="14" t="s">
        <v>1028</v>
      </c>
      <c r="J55" s="14" t="s">
        <v>989</v>
      </c>
      <c r="K55" s="14" t="s">
        <v>1550</v>
      </c>
      <c r="L55" s="14" t="s">
        <v>944</v>
      </c>
      <c r="M55" s="14" t="s">
        <v>1336</v>
      </c>
      <c r="N55" s="14" t="s">
        <v>1550</v>
      </c>
      <c r="O55" s="14" t="s">
        <v>112</v>
      </c>
      <c r="P55" s="14" t="s">
        <v>1505</v>
      </c>
      <c r="Q55" s="14" t="s">
        <v>876</v>
      </c>
      <c r="R55" s="14" t="s">
        <v>1336</v>
      </c>
      <c r="S55" s="14" t="s">
        <v>909</v>
      </c>
      <c r="T55" s="14" t="s">
        <v>465</v>
      </c>
      <c r="U55" s="14" t="s">
        <v>723</v>
      </c>
      <c r="V55" s="14" t="s">
        <v>895</v>
      </c>
      <c r="W55" s="15"/>
      <c r="X55" s="15"/>
      <c r="Y55" s="15"/>
      <c r="Z55" s="14"/>
      <c r="AA55" s="14"/>
      <c r="AB55" s="14"/>
      <c r="AC55" s="14"/>
      <c r="AD55" s="14"/>
      <c r="AE55" s="18" t="s">
        <v>1674</v>
      </c>
      <c r="AF55" s="14"/>
      <c r="AG55" s="20" t="s">
        <v>1686</v>
      </c>
      <c r="AH55" s="20" t="s">
        <v>1737</v>
      </c>
      <c r="AI55" s="18" t="s">
        <v>1726</v>
      </c>
      <c r="AJ55" s="18" t="s">
        <v>1738</v>
      </c>
      <c r="AK55" s="16"/>
      <c r="AL55" s="16"/>
      <c r="AM55" s="16" t="s">
        <v>960</v>
      </c>
      <c r="AN55" s="1" t="s">
        <v>1760</v>
      </c>
    </row>
    <row r="56" spans="1:40" ht="12" customHeight="1" x14ac:dyDescent="0.2">
      <c r="A56" s="14">
        <v>3854</v>
      </c>
      <c r="B56" s="14">
        <v>3854</v>
      </c>
      <c r="C56" s="14">
        <v>2937</v>
      </c>
      <c r="D56" s="14" t="s">
        <v>306</v>
      </c>
      <c r="E56" s="14">
        <f>VLOOKUP(B56,[1]Sheet3!$A$2:$A$221,1,0)</f>
        <v>3854</v>
      </c>
      <c r="F56" s="14" t="s">
        <v>1353</v>
      </c>
      <c r="G56" s="14" t="s">
        <v>306</v>
      </c>
      <c r="H56" s="14"/>
      <c r="I56" s="14" t="s">
        <v>1029</v>
      </c>
      <c r="J56" s="14" t="s">
        <v>1413</v>
      </c>
      <c r="K56" s="14" t="s">
        <v>1348</v>
      </c>
      <c r="L56" s="14" t="s">
        <v>1072</v>
      </c>
      <c r="M56" s="14" t="s">
        <v>1447</v>
      </c>
      <c r="N56" s="14" t="s">
        <v>1348</v>
      </c>
      <c r="O56" s="14" t="s">
        <v>788</v>
      </c>
      <c r="P56" s="14" t="s">
        <v>441</v>
      </c>
      <c r="Q56" s="14" t="s">
        <v>876</v>
      </c>
      <c r="R56" s="14" t="s">
        <v>1447</v>
      </c>
      <c r="S56" s="14" t="s">
        <v>909</v>
      </c>
      <c r="T56" s="14" t="s">
        <v>716</v>
      </c>
      <c r="U56" s="14" t="s">
        <v>678</v>
      </c>
      <c r="V56" s="14" t="s">
        <v>895</v>
      </c>
      <c r="W56" s="15"/>
      <c r="X56" s="15"/>
      <c r="Y56" s="15"/>
      <c r="Z56" s="14"/>
      <c r="AA56" s="14"/>
      <c r="AB56" s="14"/>
      <c r="AC56" s="14"/>
      <c r="AD56" s="14"/>
      <c r="AE56" s="18" t="s">
        <v>1674</v>
      </c>
      <c r="AF56" s="14"/>
      <c r="AG56" s="20" t="s">
        <v>1687</v>
      </c>
      <c r="AH56" s="20" t="s">
        <v>1739</v>
      </c>
      <c r="AI56" s="18" t="s">
        <v>1733</v>
      </c>
      <c r="AJ56" s="18" t="s">
        <v>1734</v>
      </c>
      <c r="AK56" s="16"/>
      <c r="AL56" s="16"/>
      <c r="AM56" s="16" t="s">
        <v>960</v>
      </c>
      <c r="AN56" s="1" t="s">
        <v>1760</v>
      </c>
    </row>
    <row r="57" spans="1:40" ht="12" customHeight="1" x14ac:dyDescent="0.2">
      <c r="A57" s="14">
        <v>16396</v>
      </c>
      <c r="B57" s="14">
        <v>16396</v>
      </c>
      <c r="C57" s="14">
        <v>2939</v>
      </c>
      <c r="D57" s="14" t="s">
        <v>306</v>
      </c>
      <c r="E57" s="14">
        <f>VLOOKUP(B57,[1]Sheet3!$A$2:$A$221,1,0)</f>
        <v>16396</v>
      </c>
      <c r="F57" s="14" t="s">
        <v>1353</v>
      </c>
      <c r="G57" s="14" t="s">
        <v>306</v>
      </c>
      <c r="H57" s="14"/>
      <c r="I57" s="14" t="s">
        <v>1021</v>
      </c>
      <c r="J57" s="14" t="s">
        <v>88</v>
      </c>
      <c r="K57" s="14" t="s">
        <v>1430</v>
      </c>
      <c r="L57" s="14" t="s">
        <v>944</v>
      </c>
      <c r="M57" s="14" t="s">
        <v>1336</v>
      </c>
      <c r="N57" s="14" t="s">
        <v>1430</v>
      </c>
      <c r="O57" s="14" t="s">
        <v>1277</v>
      </c>
      <c r="P57" s="14" t="s">
        <v>433</v>
      </c>
      <c r="Q57" s="14" t="s">
        <v>876</v>
      </c>
      <c r="R57" s="14" t="s">
        <v>1336</v>
      </c>
      <c r="S57" s="14" t="s">
        <v>909</v>
      </c>
      <c r="T57" s="14" t="s">
        <v>716</v>
      </c>
      <c r="U57" s="14" t="s">
        <v>723</v>
      </c>
      <c r="V57" s="14" t="s">
        <v>895</v>
      </c>
      <c r="W57" s="15"/>
      <c r="X57" s="15"/>
      <c r="Y57" s="15"/>
      <c r="Z57" s="14"/>
      <c r="AA57" s="14"/>
      <c r="AB57" s="14"/>
      <c r="AC57" s="14"/>
      <c r="AD57" s="14"/>
      <c r="AE57" s="18" t="s">
        <v>1675</v>
      </c>
      <c r="AF57" s="14"/>
      <c r="AG57" s="20" t="s">
        <v>1688</v>
      </c>
      <c r="AH57" s="20" t="s">
        <v>1737</v>
      </c>
      <c r="AI57" s="18" t="s">
        <v>1733</v>
      </c>
      <c r="AJ57" s="18" t="s">
        <v>1734</v>
      </c>
      <c r="AK57" s="16"/>
      <c r="AL57" s="16"/>
      <c r="AM57" s="16" t="s">
        <v>960</v>
      </c>
      <c r="AN57" s="1" t="s">
        <v>1760</v>
      </c>
    </row>
    <row r="58" spans="1:40" ht="12" customHeight="1" x14ac:dyDescent="0.2">
      <c r="A58" s="14">
        <v>22768</v>
      </c>
      <c r="B58" s="14">
        <v>22768</v>
      </c>
      <c r="C58" s="14">
        <v>11214</v>
      </c>
      <c r="D58" s="14" t="s">
        <v>306</v>
      </c>
      <c r="E58" s="14">
        <f>VLOOKUP(B58,[1]Sheet3!$A$2:$A$221,1,0)</f>
        <v>22768</v>
      </c>
      <c r="F58" s="14" t="s">
        <v>1353</v>
      </c>
      <c r="G58" s="14" t="s">
        <v>306</v>
      </c>
      <c r="H58" s="14"/>
      <c r="I58" s="14" t="s">
        <v>739</v>
      </c>
      <c r="J58" s="14" t="s">
        <v>74</v>
      </c>
      <c r="K58" s="14" t="s">
        <v>1546</v>
      </c>
      <c r="L58" s="14" t="s">
        <v>1072</v>
      </c>
      <c r="M58" s="14" t="s">
        <v>1447</v>
      </c>
      <c r="N58" s="14" t="s">
        <v>1546</v>
      </c>
      <c r="O58" s="14" t="s">
        <v>221</v>
      </c>
      <c r="P58" s="14" t="s">
        <v>1127</v>
      </c>
      <c r="Q58" s="14" t="s">
        <v>876</v>
      </c>
      <c r="R58" s="14" t="s">
        <v>1447</v>
      </c>
      <c r="S58" s="14" t="s">
        <v>909</v>
      </c>
      <c r="T58" s="14" t="s">
        <v>1231</v>
      </c>
      <c r="U58" s="14" t="s">
        <v>678</v>
      </c>
      <c r="V58" s="14" t="s">
        <v>895</v>
      </c>
      <c r="W58" s="15"/>
      <c r="X58" s="15"/>
      <c r="Y58" s="15"/>
      <c r="Z58" s="14"/>
      <c r="AA58" s="14"/>
      <c r="AB58" s="14"/>
      <c r="AC58" s="14"/>
      <c r="AD58" s="14"/>
      <c r="AE58" s="18" t="s">
        <v>1674</v>
      </c>
      <c r="AF58" s="14"/>
      <c r="AG58" s="20" t="s">
        <v>1689</v>
      </c>
      <c r="AH58" s="20" t="s">
        <v>1739</v>
      </c>
      <c r="AI58" s="18" t="s">
        <v>1726</v>
      </c>
      <c r="AJ58" s="18" t="s">
        <v>1738</v>
      </c>
      <c r="AK58" s="16"/>
      <c r="AL58" s="16"/>
      <c r="AM58" s="16" t="s">
        <v>960</v>
      </c>
      <c r="AN58" s="1" t="s">
        <v>1760</v>
      </c>
    </row>
    <row r="59" spans="1:40" ht="12" customHeight="1" x14ac:dyDescent="0.2">
      <c r="A59" s="14">
        <v>22770</v>
      </c>
      <c r="B59" s="14">
        <v>22770</v>
      </c>
      <c r="C59" s="14">
        <v>11216</v>
      </c>
      <c r="D59" s="14" t="s">
        <v>306</v>
      </c>
      <c r="E59" s="14">
        <f>VLOOKUP(B59,[1]Sheet3!$A$2:$A$221,1,0)</f>
        <v>22770</v>
      </c>
      <c r="F59" s="14" t="s">
        <v>1353</v>
      </c>
      <c r="G59" s="14" t="s">
        <v>306</v>
      </c>
      <c r="H59" s="14"/>
      <c r="I59" s="14" t="s">
        <v>996</v>
      </c>
      <c r="J59" s="14" t="s">
        <v>1580</v>
      </c>
      <c r="K59" s="14" t="s">
        <v>964</v>
      </c>
      <c r="L59" s="14" t="s">
        <v>944</v>
      </c>
      <c r="M59" s="14" t="s">
        <v>1336</v>
      </c>
      <c r="N59" s="14" t="s">
        <v>964</v>
      </c>
      <c r="O59" s="14" t="s">
        <v>253</v>
      </c>
      <c r="P59" s="14" t="s">
        <v>1304</v>
      </c>
      <c r="Q59" s="14" t="s">
        <v>876</v>
      </c>
      <c r="R59" s="14" t="s">
        <v>1336</v>
      </c>
      <c r="S59" s="14" t="s">
        <v>909</v>
      </c>
      <c r="T59" s="14" t="s">
        <v>1231</v>
      </c>
      <c r="U59" s="14" t="s">
        <v>723</v>
      </c>
      <c r="V59" s="14" t="s">
        <v>895</v>
      </c>
      <c r="W59" s="15"/>
      <c r="X59" s="15"/>
      <c r="Y59" s="15"/>
      <c r="Z59" s="14"/>
      <c r="AA59" s="14"/>
      <c r="AB59" s="14"/>
      <c r="AC59" s="14"/>
      <c r="AD59" s="14"/>
      <c r="AE59" s="18" t="s">
        <v>1674</v>
      </c>
      <c r="AF59" s="14"/>
      <c r="AG59" s="20" t="s">
        <v>1690</v>
      </c>
      <c r="AH59" s="20" t="s">
        <v>1737</v>
      </c>
      <c r="AI59" s="18" t="s">
        <v>1733</v>
      </c>
      <c r="AJ59" s="18" t="s">
        <v>1734</v>
      </c>
      <c r="AK59" s="16"/>
      <c r="AL59" s="16"/>
      <c r="AM59" s="16" t="s">
        <v>960</v>
      </c>
      <c r="AN59" s="1" t="s">
        <v>1760</v>
      </c>
    </row>
    <row r="60" spans="1:40" ht="12" customHeight="1" x14ac:dyDescent="0.2">
      <c r="A60" s="14">
        <v>579</v>
      </c>
      <c r="B60" s="14">
        <v>579</v>
      </c>
      <c r="C60" s="14">
        <v>7802</v>
      </c>
      <c r="D60" s="14" t="s">
        <v>306</v>
      </c>
      <c r="E60" s="14">
        <f>VLOOKUP(B60,[1]Sheet3!$A$2:$A$221,1,0)</f>
        <v>579</v>
      </c>
      <c r="F60" s="14" t="s">
        <v>1353</v>
      </c>
      <c r="G60" s="14" t="s">
        <v>306</v>
      </c>
      <c r="H60" s="14"/>
      <c r="I60" s="14" t="s">
        <v>47</v>
      </c>
      <c r="J60" s="14" t="s">
        <v>1275</v>
      </c>
      <c r="K60" s="14" t="s">
        <v>1672</v>
      </c>
      <c r="L60" s="14" t="s">
        <v>1180</v>
      </c>
      <c r="M60" s="14" t="s">
        <v>614</v>
      </c>
      <c r="N60" s="14" t="s">
        <v>1672</v>
      </c>
      <c r="O60" s="14" t="s">
        <v>258</v>
      </c>
      <c r="P60" s="14" t="s">
        <v>257</v>
      </c>
      <c r="Q60" s="14" t="s">
        <v>1611</v>
      </c>
      <c r="R60" s="14" t="s">
        <v>1288</v>
      </c>
      <c r="S60" s="14" t="s">
        <v>608</v>
      </c>
      <c r="T60" s="14" t="s">
        <v>1375</v>
      </c>
      <c r="U60" s="14" t="s">
        <v>71</v>
      </c>
      <c r="V60" s="14" t="s">
        <v>308</v>
      </c>
      <c r="W60" s="15" t="s">
        <v>205</v>
      </c>
      <c r="X60" s="15"/>
      <c r="Y60" s="15" t="s">
        <v>1155</v>
      </c>
      <c r="Z60" s="14"/>
      <c r="AA60" s="14"/>
      <c r="AB60" s="14"/>
      <c r="AC60" s="14"/>
      <c r="AD60" s="14"/>
      <c r="AE60" s="18" t="s">
        <v>1674</v>
      </c>
      <c r="AF60" s="14"/>
      <c r="AG60" s="20" t="s">
        <v>1691</v>
      </c>
      <c r="AH60" s="20" t="s">
        <v>1740</v>
      </c>
      <c r="AI60" s="18" t="s">
        <v>1733</v>
      </c>
      <c r="AJ60" s="18" t="s">
        <v>1735</v>
      </c>
      <c r="AK60" s="16"/>
      <c r="AL60" s="16"/>
      <c r="AM60" s="16" t="s">
        <v>960</v>
      </c>
      <c r="AN60" s="1" t="s">
        <v>1760</v>
      </c>
    </row>
    <row r="61" spans="1:40" ht="12" customHeight="1" x14ac:dyDescent="0.2">
      <c r="A61" s="14">
        <v>20213</v>
      </c>
      <c r="B61" s="14">
        <v>20213</v>
      </c>
      <c r="C61" s="14">
        <v>7806</v>
      </c>
      <c r="D61" s="14" t="s">
        <v>306</v>
      </c>
      <c r="E61" s="14">
        <f>VLOOKUP(B61,[1]Sheet3!$A$2:$A$221,1,0)</f>
        <v>20213</v>
      </c>
      <c r="F61" s="14" t="s">
        <v>1353</v>
      </c>
      <c r="G61" s="14" t="s">
        <v>306</v>
      </c>
      <c r="H61" s="14"/>
      <c r="I61" s="14" t="s">
        <v>140</v>
      </c>
      <c r="J61" s="14" t="s">
        <v>1619</v>
      </c>
      <c r="K61" s="14" t="s">
        <v>663</v>
      </c>
      <c r="L61" s="14" t="s">
        <v>1180</v>
      </c>
      <c r="M61" s="14" t="s">
        <v>614</v>
      </c>
      <c r="N61" s="14" t="s">
        <v>663</v>
      </c>
      <c r="O61" s="14" t="s">
        <v>658</v>
      </c>
      <c r="P61" s="14" t="s">
        <v>445</v>
      </c>
      <c r="Q61" s="14" t="s">
        <v>1611</v>
      </c>
      <c r="R61" s="14" t="s">
        <v>1288</v>
      </c>
      <c r="S61" s="14" t="s">
        <v>608</v>
      </c>
      <c r="T61" s="14" t="s">
        <v>1375</v>
      </c>
      <c r="U61" s="14" t="s">
        <v>71</v>
      </c>
      <c r="V61" s="14" t="s">
        <v>308</v>
      </c>
      <c r="W61" s="15"/>
      <c r="X61" s="15"/>
      <c r="Y61" s="15"/>
      <c r="Z61" s="14"/>
      <c r="AA61" s="14"/>
      <c r="AB61" s="14"/>
      <c r="AC61" s="14"/>
      <c r="AD61" s="14"/>
      <c r="AE61" s="18" t="s">
        <v>1674</v>
      </c>
      <c r="AF61" s="14"/>
      <c r="AG61" s="20" t="s">
        <v>1692</v>
      </c>
      <c r="AH61" s="20" t="s">
        <v>1740</v>
      </c>
      <c r="AI61" s="18" t="s">
        <v>1726</v>
      </c>
      <c r="AJ61" s="18" t="s">
        <v>1734</v>
      </c>
      <c r="AK61" s="16"/>
      <c r="AL61" s="16"/>
      <c r="AM61" s="16" t="s">
        <v>960</v>
      </c>
      <c r="AN61" s="1" t="s">
        <v>1760</v>
      </c>
    </row>
    <row r="62" spans="1:40" ht="12" customHeight="1" x14ac:dyDescent="0.2">
      <c r="A62" s="14">
        <v>2868</v>
      </c>
      <c r="B62" s="14">
        <v>2868</v>
      </c>
      <c r="C62" s="14">
        <v>7807</v>
      </c>
      <c r="D62" s="14" t="s">
        <v>306</v>
      </c>
      <c r="E62" s="14">
        <f>VLOOKUP(B62,[1]Sheet3!$A$2:$A$221,1,0)</f>
        <v>2868</v>
      </c>
      <c r="F62" s="14" t="s">
        <v>1353</v>
      </c>
      <c r="G62" s="14" t="s">
        <v>306</v>
      </c>
      <c r="H62" s="14"/>
      <c r="I62" s="14" t="s">
        <v>501</v>
      </c>
      <c r="J62" s="14" t="s">
        <v>1356</v>
      </c>
      <c r="K62" s="14" t="s">
        <v>473</v>
      </c>
      <c r="L62" s="14" t="s">
        <v>1180</v>
      </c>
      <c r="M62" s="14" t="s">
        <v>614</v>
      </c>
      <c r="N62" s="14" t="s">
        <v>473</v>
      </c>
      <c r="O62" s="14" t="s">
        <v>144</v>
      </c>
      <c r="P62" s="14" t="s">
        <v>427</v>
      </c>
      <c r="Q62" s="14" t="s">
        <v>1611</v>
      </c>
      <c r="R62" s="14" t="s">
        <v>1288</v>
      </c>
      <c r="S62" s="14" t="s">
        <v>608</v>
      </c>
      <c r="T62" s="14" t="s">
        <v>1438</v>
      </c>
      <c r="U62" s="14" t="s">
        <v>71</v>
      </c>
      <c r="V62" s="14" t="s">
        <v>308</v>
      </c>
      <c r="W62" s="15" t="s">
        <v>205</v>
      </c>
      <c r="X62" s="15"/>
      <c r="Y62" s="15" t="s">
        <v>1155</v>
      </c>
      <c r="Z62" s="14"/>
      <c r="AA62" s="14"/>
      <c r="AB62" s="14"/>
      <c r="AC62" s="14"/>
      <c r="AD62" s="14"/>
      <c r="AE62" s="18"/>
      <c r="AF62" s="14"/>
      <c r="AG62" s="18"/>
      <c r="AH62" s="18"/>
      <c r="AI62" s="18"/>
      <c r="AJ62" s="18" t="s">
        <v>1735</v>
      </c>
      <c r="AK62" s="16"/>
      <c r="AL62" s="16"/>
      <c r="AM62" s="16" t="s">
        <v>960</v>
      </c>
      <c r="AN62" s="1" t="s">
        <v>1760</v>
      </c>
    </row>
    <row r="63" spans="1:40" ht="12" customHeight="1" x14ac:dyDescent="0.2">
      <c r="A63" s="14">
        <v>17023</v>
      </c>
      <c r="B63" s="14">
        <v>17023</v>
      </c>
      <c r="C63" s="14">
        <v>3790</v>
      </c>
      <c r="D63" s="14" t="s">
        <v>306</v>
      </c>
      <c r="E63" s="14">
        <f>VLOOKUP(B63,[1]Sheet3!$A$2:$A$221,1,0)</f>
        <v>17023</v>
      </c>
      <c r="F63" s="14" t="s">
        <v>1353</v>
      </c>
      <c r="G63" s="14" t="s">
        <v>306</v>
      </c>
      <c r="H63" s="14"/>
      <c r="I63" s="14" t="s">
        <v>869</v>
      </c>
      <c r="J63" s="14" t="s">
        <v>212</v>
      </c>
      <c r="K63" s="14" t="s">
        <v>714</v>
      </c>
      <c r="L63" s="14" t="s">
        <v>1180</v>
      </c>
      <c r="M63" s="14" t="s">
        <v>614</v>
      </c>
      <c r="N63" s="14" t="s">
        <v>714</v>
      </c>
      <c r="O63" s="14" t="s">
        <v>942</v>
      </c>
      <c r="P63" s="14" t="s">
        <v>117</v>
      </c>
      <c r="Q63" s="14" t="s">
        <v>1611</v>
      </c>
      <c r="R63" s="14" t="s">
        <v>1288</v>
      </c>
      <c r="S63" s="14" t="s">
        <v>1270</v>
      </c>
      <c r="T63" s="14" t="s">
        <v>315</v>
      </c>
      <c r="U63" s="14" t="s">
        <v>71</v>
      </c>
      <c r="V63" s="14" t="s">
        <v>1196</v>
      </c>
      <c r="W63" s="15"/>
      <c r="X63" s="15"/>
      <c r="Y63" s="15"/>
      <c r="Z63" s="14"/>
      <c r="AA63" s="14"/>
      <c r="AB63" s="14"/>
      <c r="AC63" s="14"/>
      <c r="AD63" s="14"/>
      <c r="AE63" s="18" t="s">
        <v>1674</v>
      </c>
      <c r="AF63" s="14"/>
      <c r="AG63" s="20" t="s">
        <v>1693</v>
      </c>
      <c r="AH63" s="20" t="s">
        <v>1740</v>
      </c>
      <c r="AI63" s="18" t="s">
        <v>1733</v>
      </c>
      <c r="AJ63" s="18" t="s">
        <v>1734</v>
      </c>
      <c r="AK63" s="16"/>
      <c r="AL63" s="16"/>
      <c r="AM63" s="16" t="s">
        <v>960</v>
      </c>
      <c r="AN63" s="1" t="s">
        <v>1760</v>
      </c>
    </row>
    <row r="64" spans="1:40" ht="12" customHeight="1" x14ac:dyDescent="0.2">
      <c r="A64" s="14">
        <v>9650</v>
      </c>
      <c r="B64" s="14">
        <v>9650</v>
      </c>
      <c r="C64" s="14">
        <v>10513</v>
      </c>
      <c r="D64" s="14" t="s">
        <v>306</v>
      </c>
      <c r="E64" s="14">
        <f>VLOOKUP(B64,[1]Sheet3!$A$2:$A$221,1,0)</f>
        <v>9650</v>
      </c>
      <c r="F64" s="14" t="s">
        <v>1353</v>
      </c>
      <c r="G64" s="14" t="s">
        <v>306</v>
      </c>
      <c r="H64" s="14"/>
      <c r="I64" s="14" t="s">
        <v>995</v>
      </c>
      <c r="J64" s="14" t="s">
        <v>772</v>
      </c>
      <c r="K64" s="14" t="s">
        <v>1477</v>
      </c>
      <c r="L64" s="14" t="s">
        <v>1136</v>
      </c>
      <c r="M64" s="14" t="s">
        <v>1432</v>
      </c>
      <c r="N64" s="14" t="s">
        <v>1477</v>
      </c>
      <c r="O64" s="14" t="s">
        <v>1319</v>
      </c>
      <c r="P64" s="14" t="s">
        <v>687</v>
      </c>
      <c r="Q64" s="14" t="s">
        <v>876</v>
      </c>
      <c r="R64" s="14" t="s">
        <v>1432</v>
      </c>
      <c r="S64" s="14" t="s">
        <v>1456</v>
      </c>
      <c r="T64" s="14" t="s">
        <v>1579</v>
      </c>
      <c r="U64" s="14" t="s">
        <v>114</v>
      </c>
      <c r="V64" s="14" t="s">
        <v>1342</v>
      </c>
      <c r="W64" s="15"/>
      <c r="X64" s="15"/>
      <c r="Y64" s="15"/>
      <c r="Z64" s="14"/>
      <c r="AA64" s="14"/>
      <c r="AB64" s="14"/>
      <c r="AC64" s="14"/>
      <c r="AD64" s="14"/>
      <c r="AE64" s="18" t="s">
        <v>1674</v>
      </c>
      <c r="AF64" s="14"/>
      <c r="AG64" s="18"/>
      <c r="AH64" s="18"/>
      <c r="AI64" s="18"/>
      <c r="AJ64" s="18" t="s">
        <v>1674</v>
      </c>
      <c r="AK64" s="16"/>
      <c r="AL64" s="16"/>
      <c r="AM64" s="16" t="s">
        <v>960</v>
      </c>
      <c r="AN64" s="1" t="s">
        <v>1760</v>
      </c>
    </row>
    <row r="65" spans="1:40" ht="12" customHeight="1" x14ac:dyDescent="0.2">
      <c r="A65" s="14">
        <v>21502</v>
      </c>
      <c r="B65" s="14">
        <v>21502</v>
      </c>
      <c r="C65" s="14">
        <v>9500</v>
      </c>
      <c r="D65" s="14" t="s">
        <v>306</v>
      </c>
      <c r="E65" s="14">
        <f>VLOOKUP(B65,[1]Sheet3!$A$2:$A$221,1,0)</f>
        <v>21502</v>
      </c>
      <c r="F65" s="14" t="s">
        <v>1353</v>
      </c>
      <c r="G65" s="14" t="s">
        <v>306</v>
      </c>
      <c r="H65" s="14"/>
      <c r="I65" s="14" t="s">
        <v>170</v>
      </c>
      <c r="J65" s="14" t="s">
        <v>300</v>
      </c>
      <c r="K65" s="14" t="s">
        <v>1198</v>
      </c>
      <c r="L65" s="14" t="s">
        <v>1561</v>
      </c>
      <c r="M65" s="14" t="s">
        <v>1336</v>
      </c>
      <c r="N65" s="14" t="s">
        <v>1198</v>
      </c>
      <c r="O65" s="14" t="s">
        <v>779</v>
      </c>
      <c r="P65" s="14" t="s">
        <v>1066</v>
      </c>
      <c r="Q65" s="14" t="s">
        <v>876</v>
      </c>
      <c r="R65" s="14" t="s">
        <v>1336</v>
      </c>
      <c r="S65" s="14" t="s">
        <v>1344</v>
      </c>
      <c r="T65" s="14" t="s">
        <v>1222</v>
      </c>
      <c r="U65" s="14" t="s">
        <v>101</v>
      </c>
      <c r="V65" s="14" t="s">
        <v>1309</v>
      </c>
      <c r="W65" s="15"/>
      <c r="X65" s="15"/>
      <c r="Y65" s="15"/>
      <c r="Z65" s="14"/>
      <c r="AA65" s="14"/>
      <c r="AB65" s="14"/>
      <c r="AC65" s="14"/>
      <c r="AD65" s="14"/>
      <c r="AE65" s="18" t="s">
        <v>1674</v>
      </c>
      <c r="AF65" s="14"/>
      <c r="AG65" s="20" t="s">
        <v>1694</v>
      </c>
      <c r="AH65" s="20" t="s">
        <v>1741</v>
      </c>
      <c r="AI65" s="18" t="s">
        <v>1733</v>
      </c>
      <c r="AJ65" s="18" t="s">
        <v>1734</v>
      </c>
      <c r="AK65" s="16"/>
      <c r="AL65" s="16"/>
      <c r="AM65" s="16" t="s">
        <v>960</v>
      </c>
      <c r="AN65" s="1" t="s">
        <v>1760</v>
      </c>
    </row>
    <row r="66" spans="1:40" ht="12" customHeight="1" x14ac:dyDescent="0.2">
      <c r="A66" s="14">
        <v>22285</v>
      </c>
      <c r="B66" s="14">
        <v>22285</v>
      </c>
      <c r="C66" s="14">
        <v>10514</v>
      </c>
      <c r="D66" s="14" t="s">
        <v>306</v>
      </c>
      <c r="E66" s="14">
        <f>VLOOKUP(B66,[1]Sheet3!$A$2:$A$221,1,0)</f>
        <v>22285</v>
      </c>
      <c r="F66" s="14" t="s">
        <v>1353</v>
      </c>
      <c r="G66" s="14" t="s">
        <v>306</v>
      </c>
      <c r="H66" s="14"/>
      <c r="I66" s="14" t="s">
        <v>860</v>
      </c>
      <c r="J66" s="14" t="s">
        <v>158</v>
      </c>
      <c r="K66" s="14" t="s">
        <v>761</v>
      </c>
      <c r="L66" s="14" t="s">
        <v>1178</v>
      </c>
      <c r="M66" s="14" t="s">
        <v>1336</v>
      </c>
      <c r="N66" s="14" t="s">
        <v>761</v>
      </c>
      <c r="O66" s="14" t="s">
        <v>354</v>
      </c>
      <c r="P66" s="14" t="s">
        <v>238</v>
      </c>
      <c r="Q66" s="14" t="s">
        <v>876</v>
      </c>
      <c r="R66" s="14" t="s">
        <v>1336</v>
      </c>
      <c r="S66" s="14" t="s">
        <v>563</v>
      </c>
      <c r="T66" s="14" t="s">
        <v>1202</v>
      </c>
      <c r="U66" s="14" t="s">
        <v>122</v>
      </c>
      <c r="V66" s="14" t="s">
        <v>459</v>
      </c>
      <c r="W66" s="15"/>
      <c r="X66" s="15"/>
      <c r="Y66" s="15"/>
      <c r="Z66" s="14"/>
      <c r="AA66" s="14"/>
      <c r="AB66" s="14"/>
      <c r="AC66" s="14"/>
      <c r="AD66" s="14"/>
      <c r="AE66" s="18" t="s">
        <v>1674</v>
      </c>
      <c r="AF66" s="14"/>
      <c r="AG66" s="20" t="s">
        <v>1695</v>
      </c>
      <c r="AH66" s="20" t="s">
        <v>1742</v>
      </c>
      <c r="AI66" s="18" t="s">
        <v>1733</v>
      </c>
      <c r="AJ66" s="18" t="s">
        <v>1734</v>
      </c>
      <c r="AK66" s="16"/>
      <c r="AL66" s="16"/>
      <c r="AM66" s="16" t="s">
        <v>960</v>
      </c>
      <c r="AN66" s="1" t="s">
        <v>1760</v>
      </c>
    </row>
    <row r="67" spans="1:40" ht="12" customHeight="1" x14ac:dyDescent="0.2">
      <c r="A67" s="14">
        <v>22286</v>
      </c>
      <c r="B67" s="14">
        <v>22286</v>
      </c>
      <c r="C67" s="14">
        <v>10515</v>
      </c>
      <c r="D67" s="14" t="s">
        <v>306</v>
      </c>
      <c r="E67" s="14">
        <f>VLOOKUP(B67,[1]Sheet3!$A$2:$A$221,1,0)</f>
        <v>22286</v>
      </c>
      <c r="F67" s="14" t="s">
        <v>1353</v>
      </c>
      <c r="G67" s="14" t="s">
        <v>306</v>
      </c>
      <c r="H67" s="14"/>
      <c r="I67" s="14" t="s">
        <v>993</v>
      </c>
      <c r="J67" s="14" t="s">
        <v>548</v>
      </c>
      <c r="K67" s="14" t="s">
        <v>1652</v>
      </c>
      <c r="L67" s="14" t="s">
        <v>1178</v>
      </c>
      <c r="M67" s="14" t="s">
        <v>1336</v>
      </c>
      <c r="N67" s="14" t="s">
        <v>1652</v>
      </c>
      <c r="O67" s="14" t="s">
        <v>415</v>
      </c>
      <c r="P67" s="14" t="s">
        <v>1132</v>
      </c>
      <c r="Q67" s="14" t="s">
        <v>876</v>
      </c>
      <c r="R67" s="14" t="s">
        <v>1336</v>
      </c>
      <c r="S67" s="14" t="s">
        <v>563</v>
      </c>
      <c r="T67" s="14" t="s">
        <v>1237</v>
      </c>
      <c r="U67" s="14" t="s">
        <v>122</v>
      </c>
      <c r="V67" s="14" t="s">
        <v>459</v>
      </c>
      <c r="W67" s="15"/>
      <c r="X67" s="15"/>
      <c r="Y67" s="15"/>
      <c r="Z67" s="14"/>
      <c r="AA67" s="14"/>
      <c r="AB67" s="14"/>
      <c r="AC67" s="14"/>
      <c r="AD67" s="14"/>
      <c r="AE67" s="18" t="s">
        <v>1674</v>
      </c>
      <c r="AF67" s="14"/>
      <c r="AG67" s="20" t="s">
        <v>1696</v>
      </c>
      <c r="AH67" s="20" t="s">
        <v>1742</v>
      </c>
      <c r="AI67" s="18" t="s">
        <v>1733</v>
      </c>
      <c r="AJ67" s="18" t="s">
        <v>1734</v>
      </c>
      <c r="AK67" s="16"/>
      <c r="AL67" s="16"/>
      <c r="AM67" s="16" t="s">
        <v>960</v>
      </c>
      <c r="AN67" s="1" t="s">
        <v>1760</v>
      </c>
    </row>
    <row r="68" spans="1:40" ht="12" customHeight="1" x14ac:dyDescent="0.2">
      <c r="A68" s="14">
        <v>22290</v>
      </c>
      <c r="B68" s="14">
        <v>22290</v>
      </c>
      <c r="C68" s="14">
        <v>10521</v>
      </c>
      <c r="D68" s="14" t="s">
        <v>306</v>
      </c>
      <c r="E68" s="14">
        <f>VLOOKUP(B68,[1]Sheet3!$A$2:$A$221,1,0)</f>
        <v>22290</v>
      </c>
      <c r="F68" s="14" t="s">
        <v>1353</v>
      </c>
      <c r="G68" s="14" t="s">
        <v>306</v>
      </c>
      <c r="H68" s="14"/>
      <c r="I68" s="14" t="s">
        <v>863</v>
      </c>
      <c r="J68" s="14" t="s">
        <v>1610</v>
      </c>
      <c r="K68" s="14" t="s">
        <v>1508</v>
      </c>
      <c r="L68" s="14" t="s">
        <v>218</v>
      </c>
      <c r="M68" s="14" t="s">
        <v>1336</v>
      </c>
      <c r="N68" s="14" t="s">
        <v>1508</v>
      </c>
      <c r="O68" s="14" t="s">
        <v>96</v>
      </c>
      <c r="P68" s="14" t="s">
        <v>1429</v>
      </c>
      <c r="Q68" s="14" t="s">
        <v>876</v>
      </c>
      <c r="R68" s="14" t="s">
        <v>1336</v>
      </c>
      <c r="S68" s="14" t="s">
        <v>563</v>
      </c>
      <c r="T68" s="14" t="s">
        <v>1211</v>
      </c>
      <c r="U68" s="14" t="s">
        <v>122</v>
      </c>
      <c r="V68" s="14" t="s">
        <v>459</v>
      </c>
      <c r="W68" s="15"/>
      <c r="X68" s="15"/>
      <c r="Y68" s="15"/>
      <c r="Z68" s="14"/>
      <c r="AA68" s="14"/>
      <c r="AB68" s="14"/>
      <c r="AC68" s="14"/>
      <c r="AD68" s="14"/>
      <c r="AE68" s="18" t="s">
        <v>1674</v>
      </c>
      <c r="AF68" s="14"/>
      <c r="AG68" s="20" t="s">
        <v>1697</v>
      </c>
      <c r="AH68" s="20" t="s">
        <v>1743</v>
      </c>
      <c r="AI68" s="18" t="s">
        <v>1726</v>
      </c>
      <c r="AJ68" s="18" t="s">
        <v>1727</v>
      </c>
      <c r="AK68" s="16"/>
      <c r="AL68" s="16"/>
      <c r="AM68" s="16" t="s">
        <v>960</v>
      </c>
      <c r="AN68" s="1" t="s">
        <v>1760</v>
      </c>
    </row>
    <row r="69" spans="1:40" ht="12" customHeight="1" x14ac:dyDescent="0.2">
      <c r="A69" s="14">
        <v>9654</v>
      </c>
      <c r="B69" s="14">
        <v>9654</v>
      </c>
      <c r="C69" s="14">
        <v>10518</v>
      </c>
      <c r="D69" s="14" t="s">
        <v>306</v>
      </c>
      <c r="E69" s="14">
        <f>VLOOKUP(B69,[1]Sheet3!$A$2:$A$221,1,0)</f>
        <v>9654</v>
      </c>
      <c r="F69" s="14" t="s">
        <v>1353</v>
      </c>
      <c r="G69" s="14" t="s">
        <v>306</v>
      </c>
      <c r="H69" s="14"/>
      <c r="I69" s="14" t="s">
        <v>1086</v>
      </c>
      <c r="J69" s="14" t="s">
        <v>656</v>
      </c>
      <c r="K69" s="14" t="s">
        <v>293</v>
      </c>
      <c r="L69" s="14" t="s">
        <v>1469</v>
      </c>
      <c r="M69" s="14" t="s">
        <v>1336</v>
      </c>
      <c r="N69" s="14" t="s">
        <v>293</v>
      </c>
      <c r="O69" s="14" t="s">
        <v>804</v>
      </c>
      <c r="P69" s="14" t="s">
        <v>1558</v>
      </c>
      <c r="Q69" s="14" t="s">
        <v>876</v>
      </c>
      <c r="R69" s="14" t="s">
        <v>1336</v>
      </c>
      <c r="S69" s="14" t="s">
        <v>563</v>
      </c>
      <c r="T69" s="14" t="s">
        <v>1202</v>
      </c>
      <c r="U69" s="14" t="s">
        <v>610</v>
      </c>
      <c r="V69" s="14" t="s">
        <v>459</v>
      </c>
      <c r="W69" s="15"/>
      <c r="X69" s="15"/>
      <c r="Y69" s="15"/>
      <c r="Z69" s="14"/>
      <c r="AA69" s="14"/>
      <c r="AB69" s="14"/>
      <c r="AC69" s="14"/>
      <c r="AD69" s="14"/>
      <c r="AE69" s="18" t="s">
        <v>1674</v>
      </c>
      <c r="AF69" s="14"/>
      <c r="AG69" s="20"/>
      <c r="AH69" s="20"/>
      <c r="AI69" s="18" t="s">
        <v>1726</v>
      </c>
      <c r="AJ69" s="18" t="s">
        <v>1744</v>
      </c>
      <c r="AK69" s="16"/>
      <c r="AL69" s="16"/>
      <c r="AM69" s="16" t="s">
        <v>960</v>
      </c>
      <c r="AN69" s="1" t="s">
        <v>1760</v>
      </c>
    </row>
    <row r="70" spans="1:40" ht="12" customHeight="1" x14ac:dyDescent="0.2">
      <c r="A70" s="14">
        <v>16675</v>
      </c>
      <c r="B70" s="14">
        <v>16675</v>
      </c>
      <c r="C70" s="14">
        <v>3322</v>
      </c>
      <c r="D70" s="14" t="s">
        <v>306</v>
      </c>
      <c r="E70" s="14">
        <f>VLOOKUP(B70,[1]Sheet3!$A$2:$A$221,1,0)</f>
        <v>16675</v>
      </c>
      <c r="F70" s="14" t="s">
        <v>1353</v>
      </c>
      <c r="G70" s="14" t="s">
        <v>306</v>
      </c>
      <c r="H70" s="14"/>
      <c r="I70" s="14" t="s">
        <v>412</v>
      </c>
      <c r="J70" s="14" t="s">
        <v>1664</v>
      </c>
      <c r="K70" s="14" t="s">
        <v>1045</v>
      </c>
      <c r="L70" s="14" t="s">
        <v>848</v>
      </c>
      <c r="M70" s="14" t="s">
        <v>1336</v>
      </c>
      <c r="N70" s="14" t="s">
        <v>1045</v>
      </c>
      <c r="O70" s="14" t="s">
        <v>1485</v>
      </c>
      <c r="P70" s="14" t="s">
        <v>724</v>
      </c>
      <c r="Q70" s="14" t="s">
        <v>876</v>
      </c>
      <c r="R70" s="14" t="s">
        <v>1336</v>
      </c>
      <c r="S70" s="14" t="s">
        <v>1599</v>
      </c>
      <c r="T70" s="14" t="s">
        <v>164</v>
      </c>
      <c r="U70" s="14" t="s">
        <v>335</v>
      </c>
      <c r="V70" s="14" t="s">
        <v>1233</v>
      </c>
      <c r="W70" s="15"/>
      <c r="X70" s="15"/>
      <c r="Y70" s="15"/>
      <c r="Z70" s="14"/>
      <c r="AA70" s="14"/>
      <c r="AB70" s="14"/>
      <c r="AC70" s="14"/>
      <c r="AD70" s="14"/>
      <c r="AE70" s="18" t="s">
        <v>1674</v>
      </c>
      <c r="AF70" s="14"/>
      <c r="AG70" s="18"/>
      <c r="AH70" s="18"/>
      <c r="AI70" s="18"/>
      <c r="AJ70" s="18" t="s">
        <v>1676</v>
      </c>
      <c r="AK70" s="16"/>
      <c r="AL70" s="16"/>
      <c r="AM70" s="16" t="s">
        <v>960</v>
      </c>
      <c r="AN70" s="1" t="s">
        <v>1760</v>
      </c>
    </row>
    <row r="71" spans="1:40" ht="12" customHeight="1" x14ac:dyDescent="0.2">
      <c r="A71" s="14">
        <v>14734</v>
      </c>
      <c r="B71" s="14">
        <v>14734</v>
      </c>
      <c r="C71" s="14">
        <v>795</v>
      </c>
      <c r="D71" s="14" t="s">
        <v>306</v>
      </c>
      <c r="E71" s="14">
        <f>VLOOKUP(B71,[1]Sheet3!$A$2:$A$221,1,0)</f>
        <v>14734</v>
      </c>
      <c r="F71" s="14" t="s">
        <v>1353</v>
      </c>
      <c r="G71" s="14" t="s">
        <v>306</v>
      </c>
      <c r="H71" s="14"/>
      <c r="I71" s="14" t="s">
        <v>857</v>
      </c>
      <c r="J71" s="14" t="s">
        <v>859</v>
      </c>
      <c r="K71" s="14" t="s">
        <v>907</v>
      </c>
      <c r="L71" s="14" t="s">
        <v>848</v>
      </c>
      <c r="M71" s="14" t="s">
        <v>1336</v>
      </c>
      <c r="N71" s="14" t="s">
        <v>907</v>
      </c>
      <c r="O71" s="14" t="s">
        <v>842</v>
      </c>
      <c r="P71" s="14" t="s">
        <v>15</v>
      </c>
      <c r="Q71" s="14" t="s">
        <v>876</v>
      </c>
      <c r="R71" s="14" t="s">
        <v>1336</v>
      </c>
      <c r="S71" s="14" t="s">
        <v>1599</v>
      </c>
      <c r="T71" s="14" t="s">
        <v>1203</v>
      </c>
      <c r="U71" s="14" t="s">
        <v>335</v>
      </c>
      <c r="V71" s="14" t="s">
        <v>1233</v>
      </c>
      <c r="W71" s="15"/>
      <c r="X71" s="15"/>
      <c r="Y71" s="15"/>
      <c r="Z71" s="14"/>
      <c r="AA71" s="14"/>
      <c r="AB71" s="14"/>
      <c r="AC71" s="14"/>
      <c r="AD71" s="14"/>
      <c r="AE71" s="18" t="s">
        <v>1674</v>
      </c>
      <c r="AF71" s="14"/>
      <c r="AG71" s="20" t="s">
        <v>1698</v>
      </c>
      <c r="AH71" s="20" t="s">
        <v>1745</v>
      </c>
      <c r="AI71" s="18" t="s">
        <v>1733</v>
      </c>
      <c r="AJ71" s="18" t="s">
        <v>1734</v>
      </c>
      <c r="AK71" s="16"/>
      <c r="AL71" s="16"/>
      <c r="AM71" s="16" t="s">
        <v>960</v>
      </c>
      <c r="AN71" s="1" t="s">
        <v>1760</v>
      </c>
    </row>
    <row r="72" spans="1:40" ht="12" customHeight="1" x14ac:dyDescent="0.2">
      <c r="A72" s="14">
        <v>16687</v>
      </c>
      <c r="B72" s="14">
        <v>16687</v>
      </c>
      <c r="C72" s="14">
        <v>3340</v>
      </c>
      <c r="D72" s="14" t="s">
        <v>306</v>
      </c>
      <c r="E72" s="14">
        <f>VLOOKUP(B72,[1]Sheet3!$A$2:$A$221,1,0)</f>
        <v>16687</v>
      </c>
      <c r="F72" s="14" t="s">
        <v>1353</v>
      </c>
      <c r="G72" s="14" t="s">
        <v>306</v>
      </c>
      <c r="H72" s="14"/>
      <c r="I72" s="14" t="s">
        <v>481</v>
      </c>
      <c r="J72" s="14" t="s">
        <v>1602</v>
      </c>
      <c r="K72" s="14" t="s">
        <v>1643</v>
      </c>
      <c r="L72" s="14" t="s">
        <v>848</v>
      </c>
      <c r="M72" s="14" t="s">
        <v>1336</v>
      </c>
      <c r="N72" s="14" t="s">
        <v>1643</v>
      </c>
      <c r="O72" s="14" t="s">
        <v>671</v>
      </c>
      <c r="P72" s="14" t="s">
        <v>669</v>
      </c>
      <c r="Q72" s="14" t="s">
        <v>876</v>
      </c>
      <c r="R72" s="14" t="s">
        <v>1336</v>
      </c>
      <c r="S72" s="14" t="s">
        <v>1599</v>
      </c>
      <c r="T72" s="14" t="s">
        <v>1334</v>
      </c>
      <c r="U72" s="14" t="s">
        <v>335</v>
      </c>
      <c r="V72" s="14" t="s">
        <v>1233</v>
      </c>
      <c r="W72" s="15"/>
      <c r="X72" s="15"/>
      <c r="Y72" s="15"/>
      <c r="Z72" s="14"/>
      <c r="AA72" s="14"/>
      <c r="AB72" s="14"/>
      <c r="AC72" s="14"/>
      <c r="AD72" s="14"/>
      <c r="AE72" s="18" t="s">
        <v>1674</v>
      </c>
      <c r="AF72" s="14"/>
      <c r="AG72" s="18"/>
      <c r="AH72" s="18"/>
      <c r="AI72" s="18"/>
      <c r="AJ72" s="18" t="s">
        <v>1676</v>
      </c>
      <c r="AK72" s="16"/>
      <c r="AL72" s="16"/>
      <c r="AM72" s="16" t="s">
        <v>960</v>
      </c>
      <c r="AN72" s="1" t="s">
        <v>1760</v>
      </c>
    </row>
    <row r="73" spans="1:40" ht="12" customHeight="1" x14ac:dyDescent="0.2">
      <c r="A73" s="14">
        <v>16708</v>
      </c>
      <c r="B73" s="14">
        <v>16708</v>
      </c>
      <c r="C73" s="14">
        <v>3378</v>
      </c>
      <c r="D73" s="14" t="s">
        <v>306</v>
      </c>
      <c r="E73" s="14">
        <f>VLOOKUP(B73,[1]Sheet3!$A$2:$A$221,1,0)</f>
        <v>16708</v>
      </c>
      <c r="F73" s="14" t="s">
        <v>1353</v>
      </c>
      <c r="G73" s="14" t="s">
        <v>306</v>
      </c>
      <c r="H73" s="14"/>
      <c r="I73" s="14" t="s">
        <v>401</v>
      </c>
      <c r="J73" s="14" t="s">
        <v>1387</v>
      </c>
      <c r="K73" s="14" t="s">
        <v>571</v>
      </c>
      <c r="L73" s="14" t="s">
        <v>848</v>
      </c>
      <c r="M73" s="14" t="s">
        <v>1336</v>
      </c>
      <c r="N73" s="14" t="s">
        <v>571</v>
      </c>
      <c r="O73" s="14" t="s">
        <v>1077</v>
      </c>
      <c r="P73" s="14" t="s">
        <v>691</v>
      </c>
      <c r="Q73" s="14" t="s">
        <v>876</v>
      </c>
      <c r="R73" s="14" t="s">
        <v>1336</v>
      </c>
      <c r="S73" s="14" t="s">
        <v>1599</v>
      </c>
      <c r="T73" s="14" t="s">
        <v>167</v>
      </c>
      <c r="U73" s="14" t="s">
        <v>335</v>
      </c>
      <c r="V73" s="14" t="s">
        <v>1233</v>
      </c>
      <c r="W73" s="15"/>
      <c r="X73" s="15"/>
      <c r="Y73" s="15"/>
      <c r="Z73" s="14"/>
      <c r="AA73" s="14"/>
      <c r="AB73" s="14"/>
      <c r="AC73" s="14"/>
      <c r="AD73" s="14"/>
      <c r="AE73" s="18" t="s">
        <v>1674</v>
      </c>
      <c r="AF73" s="14"/>
      <c r="AG73" s="18"/>
      <c r="AH73" s="18"/>
      <c r="AI73" s="18"/>
      <c r="AJ73" s="18" t="s">
        <v>1676</v>
      </c>
      <c r="AK73" s="16"/>
      <c r="AL73" s="16"/>
      <c r="AM73" s="16" t="s">
        <v>960</v>
      </c>
      <c r="AN73" s="1" t="s">
        <v>1760</v>
      </c>
    </row>
    <row r="74" spans="1:40" ht="12" customHeight="1" x14ac:dyDescent="0.2">
      <c r="A74" s="14">
        <v>383</v>
      </c>
      <c r="B74" s="14">
        <v>383</v>
      </c>
      <c r="C74" s="14">
        <v>7589</v>
      </c>
      <c r="D74" s="14" t="s">
        <v>306</v>
      </c>
      <c r="E74" s="14">
        <f>VLOOKUP(B74,[1]Sheet3!$A$2:$A$221,1,0)</f>
        <v>383</v>
      </c>
      <c r="F74" s="14" t="s">
        <v>1353</v>
      </c>
      <c r="G74" s="14" t="s">
        <v>306</v>
      </c>
      <c r="H74" s="14"/>
      <c r="I74" s="14" t="s">
        <v>846</v>
      </c>
      <c r="J74" s="14" t="s">
        <v>60</v>
      </c>
      <c r="K74" s="14" t="s">
        <v>180</v>
      </c>
      <c r="L74" s="14" t="s">
        <v>1153</v>
      </c>
      <c r="M74" s="14" t="s">
        <v>1049</v>
      </c>
      <c r="N74" s="14" t="s">
        <v>180</v>
      </c>
      <c r="O74" s="14" t="s">
        <v>626</v>
      </c>
      <c r="P74" s="14" t="s">
        <v>1545</v>
      </c>
      <c r="Q74" s="14" t="s">
        <v>1461</v>
      </c>
      <c r="R74" s="14" t="s">
        <v>197</v>
      </c>
      <c r="S74" s="14" t="s">
        <v>1091</v>
      </c>
      <c r="T74" s="14" t="s">
        <v>622</v>
      </c>
      <c r="U74" s="14" t="s">
        <v>133</v>
      </c>
      <c r="V74" s="14" t="s">
        <v>244</v>
      </c>
      <c r="W74" s="15" t="s">
        <v>428</v>
      </c>
      <c r="X74" s="15"/>
      <c r="Y74" s="14" t="s">
        <v>665</v>
      </c>
      <c r="Z74" s="14"/>
      <c r="AA74" s="14"/>
      <c r="AB74" s="14"/>
      <c r="AC74" s="14"/>
      <c r="AD74" s="14"/>
      <c r="AE74" s="18" t="s">
        <v>1674</v>
      </c>
      <c r="AF74" s="14"/>
      <c r="AG74" s="18"/>
      <c r="AH74" s="18"/>
      <c r="AI74" s="18" t="s">
        <v>1726</v>
      </c>
      <c r="AJ74" s="18" t="s">
        <v>1674</v>
      </c>
      <c r="AK74" s="16"/>
      <c r="AL74" s="16"/>
      <c r="AM74" s="16" t="s">
        <v>960</v>
      </c>
      <c r="AN74" s="1" t="s">
        <v>1760</v>
      </c>
    </row>
    <row r="75" spans="1:40" ht="12" customHeight="1" x14ac:dyDescent="0.2">
      <c r="A75" s="14">
        <v>385</v>
      </c>
      <c r="B75" s="14">
        <v>385</v>
      </c>
      <c r="C75" s="14">
        <v>7590</v>
      </c>
      <c r="D75" s="14" t="s">
        <v>306</v>
      </c>
      <c r="E75" s="14">
        <f>VLOOKUP(B75,[1]Sheet3!$A$2:$A$221,1,0)</f>
        <v>385</v>
      </c>
      <c r="F75" s="14" t="s">
        <v>1353</v>
      </c>
      <c r="G75" s="14" t="s">
        <v>306</v>
      </c>
      <c r="H75" s="14"/>
      <c r="I75" s="14" t="s">
        <v>847</v>
      </c>
      <c r="J75" s="14" t="s">
        <v>1017</v>
      </c>
      <c r="K75" s="14" t="s">
        <v>531</v>
      </c>
      <c r="L75" s="14" t="s">
        <v>1534</v>
      </c>
      <c r="M75" s="14" t="s">
        <v>1049</v>
      </c>
      <c r="N75" s="14" t="s">
        <v>531</v>
      </c>
      <c r="O75" s="14" t="s">
        <v>999</v>
      </c>
      <c r="P75" s="14" t="s">
        <v>1395</v>
      </c>
      <c r="Q75" s="14" t="s">
        <v>1461</v>
      </c>
      <c r="R75" s="14" t="s">
        <v>197</v>
      </c>
      <c r="S75" s="14" t="s">
        <v>1091</v>
      </c>
      <c r="T75" s="14" t="s">
        <v>622</v>
      </c>
      <c r="U75" s="14" t="s">
        <v>133</v>
      </c>
      <c r="V75" s="14" t="s">
        <v>244</v>
      </c>
      <c r="W75" s="15" t="s">
        <v>428</v>
      </c>
      <c r="X75" s="15"/>
      <c r="Y75" s="14" t="s">
        <v>665</v>
      </c>
      <c r="Z75" s="14"/>
      <c r="AA75" s="14"/>
      <c r="AB75" s="14"/>
      <c r="AC75" s="14"/>
      <c r="AD75" s="14"/>
      <c r="AE75" s="18" t="s">
        <v>1674</v>
      </c>
      <c r="AF75" s="14"/>
      <c r="AG75" s="18"/>
      <c r="AH75" s="18"/>
      <c r="AI75" s="18" t="s">
        <v>1726</v>
      </c>
      <c r="AJ75" s="18" t="s">
        <v>1674</v>
      </c>
      <c r="AK75" s="16"/>
      <c r="AL75" s="16"/>
      <c r="AM75" s="16" t="s">
        <v>960</v>
      </c>
      <c r="AN75" s="1" t="s">
        <v>1760</v>
      </c>
    </row>
    <row r="76" spans="1:40" ht="12" customHeight="1" x14ac:dyDescent="0.2">
      <c r="A76" s="14">
        <v>39963</v>
      </c>
      <c r="B76" s="14">
        <v>39963</v>
      </c>
      <c r="C76" s="14">
        <v>38603</v>
      </c>
      <c r="D76" s="14" t="s">
        <v>306</v>
      </c>
      <c r="E76" s="14">
        <f>VLOOKUP(B76,[1]Sheet3!$A$2:$A$221,1,0)</f>
        <v>39963</v>
      </c>
      <c r="F76" s="14" t="s">
        <v>1353</v>
      </c>
      <c r="G76" s="14" t="s">
        <v>306</v>
      </c>
      <c r="H76" s="14"/>
      <c r="I76" s="14" t="s">
        <v>735</v>
      </c>
      <c r="J76" s="14"/>
      <c r="K76" s="14"/>
      <c r="L76" s="14" t="s">
        <v>1648</v>
      </c>
      <c r="M76" s="14"/>
      <c r="N76" s="14" t="s">
        <v>1093</v>
      </c>
      <c r="O76" s="14" t="s">
        <v>86</v>
      </c>
      <c r="P76" s="14" t="s">
        <v>1093</v>
      </c>
      <c r="Q76" s="14" t="s">
        <v>876</v>
      </c>
      <c r="R76" s="14"/>
      <c r="S76" s="14" t="s">
        <v>267</v>
      </c>
      <c r="T76" s="14" t="s">
        <v>1211</v>
      </c>
      <c r="U76" s="14" t="s">
        <v>335</v>
      </c>
      <c r="V76" s="14" t="s">
        <v>1563</v>
      </c>
      <c r="W76" s="15"/>
      <c r="X76" s="15"/>
      <c r="Y76" s="15"/>
      <c r="Z76" s="14"/>
      <c r="AA76" s="14"/>
      <c r="AB76" s="14"/>
      <c r="AC76" s="14"/>
      <c r="AD76" s="14"/>
      <c r="AE76" s="18" t="s">
        <v>1674</v>
      </c>
      <c r="AF76" s="14" t="s">
        <v>672</v>
      </c>
      <c r="AG76" s="20" t="s">
        <v>672</v>
      </c>
      <c r="AH76" s="20" t="s">
        <v>1745</v>
      </c>
      <c r="AI76" s="18" t="s">
        <v>1733</v>
      </c>
      <c r="AJ76" s="18" t="s">
        <v>1734</v>
      </c>
      <c r="AK76" s="16"/>
      <c r="AL76" s="16"/>
      <c r="AM76" s="16" t="s">
        <v>960</v>
      </c>
      <c r="AN76" s="1" t="s">
        <v>1760</v>
      </c>
    </row>
    <row r="77" spans="1:40" ht="12" customHeight="1" x14ac:dyDescent="0.2">
      <c r="A77" s="14">
        <v>22914</v>
      </c>
      <c r="B77" s="14">
        <v>22914</v>
      </c>
      <c r="C77" s="14">
        <v>11461</v>
      </c>
      <c r="D77" s="14" t="s">
        <v>306</v>
      </c>
      <c r="E77" s="14">
        <f>VLOOKUP(B77,[1]Sheet3!$A$2:$A$221,1,0)</f>
        <v>22914</v>
      </c>
      <c r="F77" s="14" t="s">
        <v>1353</v>
      </c>
      <c r="G77" s="14" t="s">
        <v>306</v>
      </c>
      <c r="H77" s="14"/>
      <c r="I77" s="14" t="s">
        <v>36</v>
      </c>
      <c r="J77" s="14" t="s">
        <v>7</v>
      </c>
      <c r="K77" s="14" t="s">
        <v>1186</v>
      </c>
      <c r="L77" s="14" t="s">
        <v>848</v>
      </c>
      <c r="M77" s="14" t="s">
        <v>1447</v>
      </c>
      <c r="N77" s="14" t="s">
        <v>1186</v>
      </c>
      <c r="O77" s="14" t="s">
        <v>600</v>
      </c>
      <c r="P77" s="14" t="s">
        <v>636</v>
      </c>
      <c r="Q77" s="14" t="s">
        <v>876</v>
      </c>
      <c r="R77" s="14" t="s">
        <v>1447</v>
      </c>
      <c r="S77" s="14" t="s">
        <v>267</v>
      </c>
      <c r="T77" s="14" t="s">
        <v>1211</v>
      </c>
      <c r="U77" s="14" t="s">
        <v>335</v>
      </c>
      <c r="V77" s="14" t="s">
        <v>1563</v>
      </c>
      <c r="W77" s="15"/>
      <c r="X77" s="15"/>
      <c r="Y77" s="15"/>
      <c r="Z77" s="14"/>
      <c r="AA77" s="14"/>
      <c r="AB77" s="14"/>
      <c r="AC77" s="14"/>
      <c r="AD77" s="14"/>
      <c r="AE77" s="18" t="s">
        <v>1674</v>
      </c>
      <c r="AF77" s="14"/>
      <c r="AG77" s="20" t="s">
        <v>672</v>
      </c>
      <c r="AH77" s="20" t="s">
        <v>1745</v>
      </c>
      <c r="AI77" s="18" t="s">
        <v>1733</v>
      </c>
      <c r="AJ77" s="18" t="s">
        <v>1734</v>
      </c>
      <c r="AK77" s="16"/>
      <c r="AL77" s="16"/>
      <c r="AM77" s="16" t="s">
        <v>960</v>
      </c>
      <c r="AN77" s="1" t="s">
        <v>1760</v>
      </c>
    </row>
    <row r="78" spans="1:40" ht="12" customHeight="1" x14ac:dyDescent="0.2">
      <c r="A78" s="14">
        <v>22288</v>
      </c>
      <c r="B78" s="14">
        <v>22288</v>
      </c>
      <c r="C78" s="14">
        <v>10519</v>
      </c>
      <c r="D78" s="14" t="s">
        <v>306</v>
      </c>
      <c r="E78" s="14">
        <f>VLOOKUP(B78,[1]Sheet3!$A$2:$A$221,1,0)</f>
        <v>22288</v>
      </c>
      <c r="F78" s="14" t="s">
        <v>1353</v>
      </c>
      <c r="G78" s="14" t="s">
        <v>306</v>
      </c>
      <c r="H78" s="14"/>
      <c r="I78" s="14" t="s">
        <v>1089</v>
      </c>
      <c r="J78" s="14" t="s">
        <v>1424</v>
      </c>
      <c r="K78" s="14" t="s">
        <v>439</v>
      </c>
      <c r="L78" s="14" t="s">
        <v>946</v>
      </c>
      <c r="M78" s="14" t="s">
        <v>1336</v>
      </c>
      <c r="N78" s="14" t="s">
        <v>439</v>
      </c>
      <c r="O78" s="14" t="s">
        <v>352</v>
      </c>
      <c r="P78" s="14" t="s">
        <v>950</v>
      </c>
      <c r="Q78" s="14" t="s">
        <v>876</v>
      </c>
      <c r="R78" s="14" t="s">
        <v>1336</v>
      </c>
      <c r="S78" s="14" t="s">
        <v>563</v>
      </c>
      <c r="T78" s="14" t="s">
        <v>1202</v>
      </c>
      <c r="U78" s="14" t="s">
        <v>1442</v>
      </c>
      <c r="V78" s="14" t="s">
        <v>459</v>
      </c>
      <c r="W78" s="15"/>
      <c r="X78" s="15"/>
      <c r="Y78" s="15"/>
      <c r="Z78" s="14"/>
      <c r="AA78" s="14"/>
      <c r="AB78" s="14"/>
      <c r="AC78" s="14"/>
      <c r="AD78" s="14"/>
      <c r="AE78" s="18" t="s">
        <v>1674</v>
      </c>
      <c r="AF78" s="14"/>
      <c r="AG78" s="20" t="s">
        <v>1699</v>
      </c>
      <c r="AH78" s="20" t="s">
        <v>1746</v>
      </c>
      <c r="AI78" s="20" t="s">
        <v>1726</v>
      </c>
      <c r="AJ78" s="18" t="s">
        <v>1727</v>
      </c>
      <c r="AK78" s="16"/>
      <c r="AL78" s="16"/>
      <c r="AM78" s="16" t="s">
        <v>960</v>
      </c>
      <c r="AN78" s="1" t="s">
        <v>1760</v>
      </c>
    </row>
    <row r="79" spans="1:40" ht="12" customHeight="1" x14ac:dyDescent="0.2">
      <c r="A79" s="14">
        <v>22289</v>
      </c>
      <c r="B79" s="14">
        <v>22289</v>
      </c>
      <c r="C79" s="14">
        <v>10520</v>
      </c>
      <c r="D79" s="14" t="s">
        <v>306</v>
      </c>
      <c r="E79" s="14">
        <f>VLOOKUP(B79,[1]Sheet3!$A$2:$A$221,1,0)</f>
        <v>22289</v>
      </c>
      <c r="F79" s="14" t="s">
        <v>1353</v>
      </c>
      <c r="G79" s="14" t="s">
        <v>306</v>
      </c>
      <c r="H79" s="14"/>
      <c r="I79" s="14" t="s">
        <v>1088</v>
      </c>
      <c r="J79" s="14" t="s">
        <v>819</v>
      </c>
      <c r="K79" s="14" t="s">
        <v>418</v>
      </c>
      <c r="L79" s="14" t="s">
        <v>946</v>
      </c>
      <c r="M79" s="14" t="s">
        <v>1336</v>
      </c>
      <c r="N79" s="14" t="s">
        <v>418</v>
      </c>
      <c r="O79" s="14" t="s">
        <v>1050</v>
      </c>
      <c r="P79" s="14" t="s">
        <v>954</v>
      </c>
      <c r="Q79" s="14" t="s">
        <v>876</v>
      </c>
      <c r="R79" s="14" t="s">
        <v>1336</v>
      </c>
      <c r="S79" s="14" t="s">
        <v>563</v>
      </c>
      <c r="T79" s="14" t="s">
        <v>1211</v>
      </c>
      <c r="U79" s="14" t="s">
        <v>1442</v>
      </c>
      <c r="V79" s="14" t="s">
        <v>459</v>
      </c>
      <c r="W79" s="15"/>
      <c r="X79" s="15"/>
      <c r="Y79" s="15"/>
      <c r="Z79" s="14"/>
      <c r="AA79" s="14"/>
      <c r="AB79" s="14"/>
      <c r="AC79" s="14"/>
      <c r="AD79" s="14"/>
      <c r="AE79" s="18" t="s">
        <v>1674</v>
      </c>
      <c r="AF79" s="14"/>
      <c r="AG79" s="20" t="s">
        <v>1697</v>
      </c>
      <c r="AH79" s="20" t="s">
        <v>1743</v>
      </c>
      <c r="AI79" s="20" t="s">
        <v>1726</v>
      </c>
      <c r="AJ79" s="18" t="s">
        <v>1727</v>
      </c>
      <c r="AK79" s="16"/>
      <c r="AL79" s="16"/>
      <c r="AM79" s="16" t="s">
        <v>960</v>
      </c>
      <c r="AN79" s="1" t="s">
        <v>1760</v>
      </c>
    </row>
    <row r="80" spans="1:40" ht="12" customHeight="1" x14ac:dyDescent="0.2">
      <c r="A80" s="14">
        <v>23917</v>
      </c>
      <c r="B80" s="14">
        <v>23917</v>
      </c>
      <c r="C80" s="14">
        <v>13007</v>
      </c>
      <c r="D80" s="14" t="s">
        <v>306</v>
      </c>
      <c r="E80" s="14">
        <f>VLOOKUP(B80,[1]Sheet3!$A$2:$A$221,1,0)</f>
        <v>23917</v>
      </c>
      <c r="F80" s="14" t="s">
        <v>1353</v>
      </c>
      <c r="G80" s="14" t="s">
        <v>306</v>
      </c>
      <c r="H80" s="14"/>
      <c r="I80" s="14" t="s">
        <v>214</v>
      </c>
      <c r="J80" s="14" t="s">
        <v>395</v>
      </c>
      <c r="K80" s="14" t="s">
        <v>254</v>
      </c>
      <c r="L80" s="14" t="s">
        <v>848</v>
      </c>
      <c r="M80" s="14" t="s">
        <v>1336</v>
      </c>
      <c r="N80" s="14" t="s">
        <v>254</v>
      </c>
      <c r="O80" s="14" t="s">
        <v>1238</v>
      </c>
      <c r="P80" s="14" t="s">
        <v>334</v>
      </c>
      <c r="Q80" s="14" t="s">
        <v>876</v>
      </c>
      <c r="R80" s="14" t="s">
        <v>1336</v>
      </c>
      <c r="S80" s="14" t="s">
        <v>365</v>
      </c>
      <c r="T80" s="14" t="s">
        <v>356</v>
      </c>
      <c r="U80" s="14" t="s">
        <v>335</v>
      </c>
      <c r="V80" s="14" t="s">
        <v>90</v>
      </c>
      <c r="W80" s="15"/>
      <c r="X80" s="15"/>
      <c r="Y80" s="15"/>
      <c r="Z80" s="14"/>
      <c r="AA80" s="14"/>
      <c r="AB80" s="14"/>
      <c r="AC80" s="14"/>
      <c r="AD80" s="14"/>
      <c r="AE80" s="18" t="s">
        <v>1676</v>
      </c>
      <c r="AF80" s="14"/>
      <c r="AG80" s="18"/>
      <c r="AH80" s="18"/>
      <c r="AI80" s="18"/>
      <c r="AJ80" s="18" t="s">
        <v>1676</v>
      </c>
      <c r="AK80" s="16"/>
      <c r="AL80" s="16"/>
      <c r="AM80" s="16" t="s">
        <v>960</v>
      </c>
      <c r="AN80" s="1" t="s">
        <v>1760</v>
      </c>
    </row>
    <row r="81" spans="1:40" ht="12" customHeight="1" x14ac:dyDescent="0.2">
      <c r="A81" s="14">
        <v>18341</v>
      </c>
      <c r="B81" s="14">
        <v>18341</v>
      </c>
      <c r="C81" s="14">
        <v>5417</v>
      </c>
      <c r="D81" s="14" t="s">
        <v>306</v>
      </c>
      <c r="E81" s="14">
        <f>VLOOKUP(B81,[1]Sheet3!$A$2:$A$221,1,0)</f>
        <v>18341</v>
      </c>
      <c r="F81" s="14" t="s">
        <v>1353</v>
      </c>
      <c r="G81" s="14" t="s">
        <v>306</v>
      </c>
      <c r="H81" s="14"/>
      <c r="I81" s="14" t="s">
        <v>1349</v>
      </c>
      <c r="J81" s="14" t="s">
        <v>215</v>
      </c>
      <c r="K81" s="14" t="s">
        <v>1589</v>
      </c>
      <c r="L81" s="14" t="s">
        <v>848</v>
      </c>
      <c r="M81" s="14" t="s">
        <v>1336</v>
      </c>
      <c r="N81" s="14" t="s">
        <v>1589</v>
      </c>
      <c r="O81" s="14" t="s">
        <v>790</v>
      </c>
      <c r="P81" s="14" t="s">
        <v>1474</v>
      </c>
      <c r="Q81" s="14" t="s">
        <v>876</v>
      </c>
      <c r="R81" s="14" t="s">
        <v>1336</v>
      </c>
      <c r="S81" s="14" t="s">
        <v>365</v>
      </c>
      <c r="T81" s="14" t="s">
        <v>662</v>
      </c>
      <c r="U81" s="14" t="s">
        <v>335</v>
      </c>
      <c r="V81" s="14" t="s">
        <v>90</v>
      </c>
      <c r="W81" s="15"/>
      <c r="X81" s="15"/>
      <c r="Y81" s="15"/>
      <c r="Z81" s="14"/>
      <c r="AA81" s="14"/>
      <c r="AB81" s="14"/>
      <c r="AC81" s="14"/>
      <c r="AD81" s="14"/>
      <c r="AE81" s="18" t="s">
        <v>1676</v>
      </c>
      <c r="AF81" s="14"/>
      <c r="AG81" s="18"/>
      <c r="AH81" s="18"/>
      <c r="AI81" s="18"/>
      <c r="AJ81" s="18" t="s">
        <v>1676</v>
      </c>
      <c r="AK81" s="16"/>
      <c r="AL81" s="16"/>
      <c r="AM81" s="16" t="s">
        <v>960</v>
      </c>
      <c r="AN81" s="1" t="s">
        <v>1760</v>
      </c>
    </row>
    <row r="82" spans="1:40" ht="12" customHeight="1" x14ac:dyDescent="0.2">
      <c r="A82" s="14">
        <v>17279</v>
      </c>
      <c r="B82" s="14">
        <v>17279</v>
      </c>
      <c r="C82" s="14">
        <v>4055</v>
      </c>
      <c r="D82" s="14" t="s">
        <v>306</v>
      </c>
      <c r="E82" s="14">
        <f>VLOOKUP(B82,[1]Sheet3!$A$2:$A$221,1,0)</f>
        <v>17279</v>
      </c>
      <c r="F82" s="14" t="s">
        <v>1353</v>
      </c>
      <c r="G82" s="14" t="s">
        <v>306</v>
      </c>
      <c r="H82" s="14"/>
      <c r="I82" s="14" t="s">
        <v>1230</v>
      </c>
      <c r="J82" s="14" t="s">
        <v>23</v>
      </c>
      <c r="K82" s="14" t="s">
        <v>598</v>
      </c>
      <c r="L82" s="14" t="s">
        <v>1267</v>
      </c>
      <c r="M82" s="14" t="s">
        <v>1336</v>
      </c>
      <c r="N82" s="14" t="s">
        <v>598</v>
      </c>
      <c r="O82" s="14" t="s">
        <v>1260</v>
      </c>
      <c r="P82" s="14" t="s">
        <v>1455</v>
      </c>
      <c r="Q82" s="14" t="s">
        <v>876</v>
      </c>
      <c r="R82" s="14" t="s">
        <v>1336</v>
      </c>
      <c r="S82" s="14" t="s">
        <v>908</v>
      </c>
      <c r="T82" s="14" t="s">
        <v>1202</v>
      </c>
      <c r="U82" s="14" t="s">
        <v>939</v>
      </c>
      <c r="V82" s="14" t="s">
        <v>85</v>
      </c>
      <c r="W82" s="15"/>
      <c r="X82" s="15"/>
      <c r="Y82" s="15"/>
      <c r="Z82" s="14"/>
      <c r="AA82" s="14"/>
      <c r="AB82" s="14"/>
      <c r="AC82" s="14"/>
      <c r="AD82" s="14"/>
      <c r="AE82" s="18" t="s">
        <v>1674</v>
      </c>
      <c r="AF82" s="14"/>
      <c r="AG82" s="20" t="s">
        <v>1700</v>
      </c>
      <c r="AH82" s="20" t="s">
        <v>1747</v>
      </c>
      <c r="AI82" s="18" t="s">
        <v>1733</v>
      </c>
      <c r="AJ82" s="18" t="s">
        <v>1734</v>
      </c>
      <c r="AK82" s="16"/>
      <c r="AL82" s="16"/>
      <c r="AM82" s="16" t="s">
        <v>960</v>
      </c>
      <c r="AN82" s="1" t="s">
        <v>1760</v>
      </c>
    </row>
    <row r="83" spans="1:40" ht="12" customHeight="1" x14ac:dyDescent="0.2">
      <c r="A83" s="14">
        <v>17197</v>
      </c>
      <c r="B83" s="14">
        <v>17197</v>
      </c>
      <c r="C83" s="14">
        <v>3967</v>
      </c>
      <c r="D83" s="14" t="s">
        <v>306</v>
      </c>
      <c r="E83" s="14">
        <f>VLOOKUP(B83,[1]Sheet3!$A$2:$A$221,1,0)</f>
        <v>17197</v>
      </c>
      <c r="F83" s="14" t="s">
        <v>1353</v>
      </c>
      <c r="G83" s="14" t="s">
        <v>306</v>
      </c>
      <c r="H83" s="14"/>
      <c r="I83" s="14" t="s">
        <v>196</v>
      </c>
      <c r="J83" s="14" t="s">
        <v>750</v>
      </c>
      <c r="K83" s="14" t="s">
        <v>930</v>
      </c>
      <c r="L83" s="14" t="s">
        <v>1267</v>
      </c>
      <c r="M83" s="14" t="s">
        <v>1336</v>
      </c>
      <c r="N83" s="14" t="s">
        <v>930</v>
      </c>
      <c r="O83" s="14" t="s">
        <v>148</v>
      </c>
      <c r="P83" s="14" t="s">
        <v>684</v>
      </c>
      <c r="Q83" s="14" t="s">
        <v>876</v>
      </c>
      <c r="R83" s="14" t="s">
        <v>1336</v>
      </c>
      <c r="S83" s="14" t="s">
        <v>908</v>
      </c>
      <c r="T83" s="14" t="s">
        <v>1211</v>
      </c>
      <c r="U83" s="14" t="s">
        <v>939</v>
      </c>
      <c r="V83" s="14" t="s">
        <v>85</v>
      </c>
      <c r="W83" s="15"/>
      <c r="X83" s="15"/>
      <c r="Y83" s="15"/>
      <c r="Z83" s="14"/>
      <c r="AA83" s="14"/>
      <c r="AB83" s="14"/>
      <c r="AC83" s="14"/>
      <c r="AD83" s="14"/>
      <c r="AE83" s="18" t="s">
        <v>1674</v>
      </c>
      <c r="AF83" s="14"/>
      <c r="AG83" s="20" t="s">
        <v>1701</v>
      </c>
      <c r="AH83" s="20" t="s">
        <v>1747</v>
      </c>
      <c r="AI83" s="18" t="s">
        <v>1733</v>
      </c>
      <c r="AJ83" s="18" t="s">
        <v>1734</v>
      </c>
      <c r="AK83" s="16"/>
      <c r="AL83" s="16"/>
      <c r="AM83" s="16" t="s">
        <v>960</v>
      </c>
      <c r="AN83" s="1" t="s">
        <v>1760</v>
      </c>
    </row>
    <row r="84" spans="1:40" ht="12" customHeight="1" x14ac:dyDescent="0.2">
      <c r="A84" s="14">
        <v>17086</v>
      </c>
      <c r="B84" s="14">
        <v>17086</v>
      </c>
      <c r="C84" s="14">
        <v>3854</v>
      </c>
      <c r="D84" s="14" t="s">
        <v>306</v>
      </c>
      <c r="E84" s="14">
        <f>VLOOKUP(B84,[1]Sheet3!$A$2:$A$221,1,0)</f>
        <v>17086</v>
      </c>
      <c r="F84" s="14" t="s">
        <v>1353</v>
      </c>
      <c r="G84" s="14" t="s">
        <v>306</v>
      </c>
      <c r="H84" s="14"/>
      <c r="I84" s="14" t="s">
        <v>277</v>
      </c>
      <c r="J84" s="14" t="s">
        <v>368</v>
      </c>
      <c r="K84" s="14" t="s">
        <v>1367</v>
      </c>
      <c r="L84" s="14" t="s">
        <v>1267</v>
      </c>
      <c r="M84" s="14" t="s">
        <v>1336</v>
      </c>
      <c r="N84" s="14" t="s">
        <v>1367</v>
      </c>
      <c r="O84" s="14" t="s">
        <v>747</v>
      </c>
      <c r="P84" s="14" t="s">
        <v>880</v>
      </c>
      <c r="Q84" s="14" t="s">
        <v>876</v>
      </c>
      <c r="R84" s="14" t="s">
        <v>1336</v>
      </c>
      <c r="S84" s="14" t="s">
        <v>908</v>
      </c>
      <c r="T84" s="14" t="s">
        <v>1222</v>
      </c>
      <c r="U84" s="14" t="s">
        <v>939</v>
      </c>
      <c r="V84" s="14" t="s">
        <v>85</v>
      </c>
      <c r="W84" s="15"/>
      <c r="X84" s="15"/>
      <c r="Y84" s="15"/>
      <c r="Z84" s="14"/>
      <c r="AA84" s="14"/>
      <c r="AB84" s="14"/>
      <c r="AC84" s="14"/>
      <c r="AD84" s="14"/>
      <c r="AE84" s="18" t="s">
        <v>1674</v>
      </c>
      <c r="AF84" s="14"/>
      <c r="AG84" s="20" t="s">
        <v>1702</v>
      </c>
      <c r="AH84" s="20" t="s">
        <v>1747</v>
      </c>
      <c r="AI84" s="18" t="s">
        <v>1733</v>
      </c>
      <c r="AJ84" s="18" t="s">
        <v>1734</v>
      </c>
      <c r="AK84" s="16"/>
      <c r="AL84" s="16"/>
      <c r="AM84" s="16" t="s">
        <v>960</v>
      </c>
      <c r="AN84" s="1" t="s">
        <v>1760</v>
      </c>
    </row>
    <row r="85" spans="1:40" ht="12" customHeight="1" x14ac:dyDescent="0.2">
      <c r="A85" s="14">
        <v>17164</v>
      </c>
      <c r="B85" s="14">
        <v>17164</v>
      </c>
      <c r="C85" s="14">
        <v>3934</v>
      </c>
      <c r="D85" s="14" t="s">
        <v>306</v>
      </c>
      <c r="E85" s="14">
        <f>VLOOKUP(B85,[1]Sheet3!$A$2:$A$221,1,0)</f>
        <v>17164</v>
      </c>
      <c r="F85" s="14" t="s">
        <v>1353</v>
      </c>
      <c r="G85" s="14" t="s">
        <v>306</v>
      </c>
      <c r="H85" s="14"/>
      <c r="I85" s="14" t="s">
        <v>728</v>
      </c>
      <c r="J85" s="14" t="s">
        <v>379</v>
      </c>
      <c r="K85" s="14" t="s">
        <v>1381</v>
      </c>
      <c r="L85" s="14" t="s">
        <v>369</v>
      </c>
      <c r="M85" s="14" t="s">
        <v>1336</v>
      </c>
      <c r="N85" s="14" t="s">
        <v>1381</v>
      </c>
      <c r="O85" s="14" t="s">
        <v>975</v>
      </c>
      <c r="P85" s="14" t="s">
        <v>1372</v>
      </c>
      <c r="Q85" s="14" t="s">
        <v>876</v>
      </c>
      <c r="R85" s="14" t="s">
        <v>1336</v>
      </c>
      <c r="S85" s="14" t="s">
        <v>908</v>
      </c>
      <c r="T85" s="14" t="s">
        <v>1202</v>
      </c>
      <c r="U85" s="14" t="s">
        <v>1269</v>
      </c>
      <c r="V85" s="14" t="s">
        <v>85</v>
      </c>
      <c r="W85" s="15"/>
      <c r="X85" s="15"/>
      <c r="Y85" s="15"/>
      <c r="Z85" s="14"/>
      <c r="AA85" s="14"/>
      <c r="AB85" s="14"/>
      <c r="AC85" s="14"/>
      <c r="AD85" s="14"/>
      <c r="AE85" s="18" t="s">
        <v>1674</v>
      </c>
      <c r="AF85" s="14"/>
      <c r="AG85" s="20" t="s">
        <v>1703</v>
      </c>
      <c r="AH85" s="20" t="s">
        <v>1748</v>
      </c>
      <c r="AI85" s="18" t="s">
        <v>1733</v>
      </c>
      <c r="AJ85" s="18" t="s">
        <v>1734</v>
      </c>
      <c r="AK85" s="16"/>
      <c r="AL85" s="16"/>
      <c r="AM85" s="16" t="s">
        <v>960</v>
      </c>
      <c r="AN85" s="1" t="s">
        <v>1760</v>
      </c>
    </row>
    <row r="86" spans="1:40" ht="12" customHeight="1" x14ac:dyDescent="0.2">
      <c r="A86" s="14">
        <v>17229</v>
      </c>
      <c r="B86" s="14">
        <v>17229</v>
      </c>
      <c r="C86" s="14">
        <v>3999</v>
      </c>
      <c r="D86" s="14" t="s">
        <v>306</v>
      </c>
      <c r="E86" s="14">
        <f>VLOOKUP(B86,[1]Sheet3!$A$2:$A$221,1,0)</f>
        <v>17229</v>
      </c>
      <c r="F86" s="14" t="s">
        <v>1353</v>
      </c>
      <c r="G86" s="14" t="s">
        <v>306</v>
      </c>
      <c r="H86" s="14"/>
      <c r="I86" s="14" t="s">
        <v>233</v>
      </c>
      <c r="J86" s="14" t="s">
        <v>169</v>
      </c>
      <c r="K86" s="14" t="s">
        <v>399</v>
      </c>
      <c r="L86" s="14" t="s">
        <v>369</v>
      </c>
      <c r="M86" s="14" t="s">
        <v>1336</v>
      </c>
      <c r="N86" s="14" t="s">
        <v>399</v>
      </c>
      <c r="O86" s="14" t="s">
        <v>706</v>
      </c>
      <c r="P86" s="14" t="s">
        <v>1513</v>
      </c>
      <c r="Q86" s="14" t="s">
        <v>876</v>
      </c>
      <c r="R86" s="14" t="s">
        <v>1336</v>
      </c>
      <c r="S86" s="14" t="s">
        <v>908</v>
      </c>
      <c r="T86" s="14" t="s">
        <v>1211</v>
      </c>
      <c r="U86" s="14" t="s">
        <v>1269</v>
      </c>
      <c r="V86" s="14" t="s">
        <v>85</v>
      </c>
      <c r="W86" s="15"/>
      <c r="X86" s="15"/>
      <c r="Y86" s="15"/>
      <c r="Z86" s="14"/>
      <c r="AA86" s="14"/>
      <c r="AB86" s="14"/>
      <c r="AC86" s="14"/>
      <c r="AD86" s="14"/>
      <c r="AE86" s="18" t="s">
        <v>1674</v>
      </c>
      <c r="AF86" s="14"/>
      <c r="AG86" s="20" t="s">
        <v>1704</v>
      </c>
      <c r="AH86" s="20" t="s">
        <v>1748</v>
      </c>
      <c r="AI86" s="18" t="s">
        <v>1733</v>
      </c>
      <c r="AJ86" s="18" t="s">
        <v>1734</v>
      </c>
      <c r="AK86" s="16"/>
      <c r="AL86" s="16"/>
      <c r="AM86" s="16" t="s">
        <v>960</v>
      </c>
      <c r="AN86" s="1" t="s">
        <v>1760</v>
      </c>
    </row>
    <row r="87" spans="1:40" ht="12" customHeight="1" x14ac:dyDescent="0.2">
      <c r="A87" s="14">
        <v>17093</v>
      </c>
      <c r="B87" s="14">
        <v>17093</v>
      </c>
      <c r="C87" s="14">
        <v>3861</v>
      </c>
      <c r="D87" s="14" t="s">
        <v>306</v>
      </c>
      <c r="E87" s="14">
        <f>VLOOKUP(B87,[1]Sheet3!$A$2:$A$221,1,0)</f>
        <v>17093</v>
      </c>
      <c r="F87" s="14" t="s">
        <v>1353</v>
      </c>
      <c r="G87" s="14" t="s">
        <v>306</v>
      </c>
      <c r="H87" s="14"/>
      <c r="I87" s="14" t="s">
        <v>640</v>
      </c>
      <c r="J87" s="14" t="s">
        <v>850</v>
      </c>
      <c r="K87" s="14" t="s">
        <v>912</v>
      </c>
      <c r="L87" s="14" t="s">
        <v>369</v>
      </c>
      <c r="M87" s="14" t="s">
        <v>1336</v>
      </c>
      <c r="N87" s="14" t="s">
        <v>912</v>
      </c>
      <c r="O87" s="14" t="s">
        <v>721</v>
      </c>
      <c r="P87" s="14" t="s">
        <v>769</v>
      </c>
      <c r="Q87" s="14" t="s">
        <v>876</v>
      </c>
      <c r="R87" s="14" t="s">
        <v>1336</v>
      </c>
      <c r="S87" s="14" t="s">
        <v>908</v>
      </c>
      <c r="T87" s="14" t="s">
        <v>1222</v>
      </c>
      <c r="U87" s="14" t="s">
        <v>1269</v>
      </c>
      <c r="V87" s="14" t="s">
        <v>85</v>
      </c>
      <c r="W87" s="15"/>
      <c r="X87" s="15"/>
      <c r="Y87" s="15"/>
      <c r="Z87" s="14"/>
      <c r="AA87" s="14"/>
      <c r="AB87" s="14"/>
      <c r="AC87" s="14"/>
      <c r="AD87" s="14"/>
      <c r="AE87" s="18" t="s">
        <v>1674</v>
      </c>
      <c r="AF87" s="14"/>
      <c r="AG87" s="20" t="s">
        <v>1705</v>
      </c>
      <c r="AH87" s="20" t="s">
        <v>1748</v>
      </c>
      <c r="AI87" s="18" t="s">
        <v>1733</v>
      </c>
      <c r="AJ87" s="18" t="s">
        <v>1734</v>
      </c>
      <c r="AK87" s="16"/>
      <c r="AL87" s="16"/>
      <c r="AM87" s="16" t="s">
        <v>960</v>
      </c>
      <c r="AN87" s="1" t="s">
        <v>1760</v>
      </c>
    </row>
    <row r="88" spans="1:40" ht="12" customHeight="1" x14ac:dyDescent="0.2">
      <c r="A88" s="14">
        <v>17336</v>
      </c>
      <c r="B88" s="14">
        <v>17336</v>
      </c>
      <c r="C88" s="14">
        <v>4112</v>
      </c>
      <c r="D88" s="14" t="s">
        <v>306</v>
      </c>
      <c r="E88" s="14">
        <f>VLOOKUP(B88,[1]Sheet3!$A$2:$A$221,1,0)</f>
        <v>17336</v>
      </c>
      <c r="F88" s="14" t="s">
        <v>1353</v>
      </c>
      <c r="G88" s="14" t="s">
        <v>306</v>
      </c>
      <c r="H88" s="14"/>
      <c r="I88" s="14" t="s">
        <v>1242</v>
      </c>
      <c r="J88" s="14" t="s">
        <v>192</v>
      </c>
      <c r="K88" s="14" t="s">
        <v>518</v>
      </c>
      <c r="L88" s="14" t="s">
        <v>82</v>
      </c>
      <c r="M88" s="14" t="s">
        <v>1336</v>
      </c>
      <c r="N88" s="14" t="s">
        <v>518</v>
      </c>
      <c r="O88" s="14" t="s">
        <v>793</v>
      </c>
      <c r="P88" s="14" t="s">
        <v>1437</v>
      </c>
      <c r="Q88" s="14" t="s">
        <v>876</v>
      </c>
      <c r="R88" s="14" t="s">
        <v>1336</v>
      </c>
      <c r="S88" s="14" t="s">
        <v>813</v>
      </c>
      <c r="T88" s="14" t="s">
        <v>434</v>
      </c>
      <c r="U88" s="14" t="s">
        <v>1538</v>
      </c>
      <c r="V88" s="14" t="s">
        <v>406</v>
      </c>
      <c r="W88" s="15"/>
      <c r="X88" s="15"/>
      <c r="Y88" s="15"/>
      <c r="Z88" s="14"/>
      <c r="AA88" s="14"/>
      <c r="AB88" s="14"/>
      <c r="AC88" s="14"/>
      <c r="AD88" s="14"/>
      <c r="AE88" s="18" t="s">
        <v>1674</v>
      </c>
      <c r="AF88" s="14"/>
      <c r="AG88" s="20" t="s">
        <v>1706</v>
      </c>
      <c r="AH88" s="20" t="s">
        <v>1749</v>
      </c>
      <c r="AI88" s="18" t="s">
        <v>1726</v>
      </c>
      <c r="AJ88" s="18" t="s">
        <v>1727</v>
      </c>
      <c r="AK88" s="16"/>
      <c r="AL88" s="16"/>
      <c r="AM88" s="16" t="s">
        <v>960</v>
      </c>
      <c r="AN88" s="1" t="s">
        <v>1760</v>
      </c>
    </row>
    <row r="89" spans="1:40" ht="12" customHeight="1" x14ac:dyDescent="0.2">
      <c r="A89" s="14">
        <v>17342</v>
      </c>
      <c r="B89" s="14">
        <v>17342</v>
      </c>
      <c r="C89" s="14">
        <v>4118</v>
      </c>
      <c r="D89" s="14" t="s">
        <v>306</v>
      </c>
      <c r="E89" s="14">
        <f>VLOOKUP(B89,[1]Sheet3!$A$2:$A$221,1,0)</f>
        <v>17342</v>
      </c>
      <c r="F89" s="14" t="s">
        <v>1353</v>
      </c>
      <c r="G89" s="14" t="s">
        <v>306</v>
      </c>
      <c r="H89" s="14"/>
      <c r="I89" s="14" t="s">
        <v>1241</v>
      </c>
      <c r="J89" s="14" t="s">
        <v>484</v>
      </c>
      <c r="K89" s="14" t="s">
        <v>1403</v>
      </c>
      <c r="L89" s="14" t="s">
        <v>82</v>
      </c>
      <c r="M89" s="14" t="s">
        <v>1336</v>
      </c>
      <c r="N89" s="14" t="s">
        <v>1403</v>
      </c>
      <c r="O89" s="14" t="s">
        <v>299</v>
      </c>
      <c r="P89" s="14" t="s">
        <v>1098</v>
      </c>
      <c r="Q89" s="14" t="s">
        <v>876</v>
      </c>
      <c r="R89" s="14" t="s">
        <v>1336</v>
      </c>
      <c r="S89" s="14" t="s">
        <v>813</v>
      </c>
      <c r="T89" s="14" t="s">
        <v>716</v>
      </c>
      <c r="U89" s="14" t="s">
        <v>1538</v>
      </c>
      <c r="V89" s="14" t="s">
        <v>406</v>
      </c>
      <c r="W89" s="15"/>
      <c r="X89" s="15"/>
      <c r="Y89" s="15"/>
      <c r="Z89" s="14"/>
      <c r="AA89" s="14"/>
      <c r="AB89" s="14"/>
      <c r="AC89" s="14"/>
      <c r="AD89" s="14"/>
      <c r="AE89" s="18" t="s">
        <v>1674</v>
      </c>
      <c r="AF89" s="14"/>
      <c r="AG89" s="20" t="s">
        <v>1707</v>
      </c>
      <c r="AH89" s="20" t="s">
        <v>1749</v>
      </c>
      <c r="AI89" s="18" t="s">
        <v>1726</v>
      </c>
      <c r="AJ89" s="18" t="s">
        <v>1727</v>
      </c>
      <c r="AK89" s="16"/>
      <c r="AL89" s="16"/>
      <c r="AM89" s="16" t="s">
        <v>960</v>
      </c>
      <c r="AN89" s="1" t="s">
        <v>1760</v>
      </c>
    </row>
    <row r="90" spans="1:40" ht="12" customHeight="1" x14ac:dyDescent="0.2">
      <c r="A90" s="14">
        <v>17343</v>
      </c>
      <c r="B90" s="14">
        <v>17343</v>
      </c>
      <c r="C90" s="14">
        <v>4119</v>
      </c>
      <c r="D90" s="14" t="s">
        <v>306</v>
      </c>
      <c r="E90" s="14">
        <f>VLOOKUP(B90,[1]Sheet3!$A$2:$A$221,1,0)</f>
        <v>17343</v>
      </c>
      <c r="F90" s="14" t="s">
        <v>1353</v>
      </c>
      <c r="G90" s="14" t="s">
        <v>306</v>
      </c>
      <c r="H90" s="14"/>
      <c r="I90" s="14" t="s">
        <v>1562</v>
      </c>
      <c r="J90" s="14" t="s">
        <v>291</v>
      </c>
      <c r="K90" s="14" t="s">
        <v>1095</v>
      </c>
      <c r="L90" s="14" t="s">
        <v>82</v>
      </c>
      <c r="M90" s="14" t="s">
        <v>1336</v>
      </c>
      <c r="N90" s="14" t="s">
        <v>1095</v>
      </c>
      <c r="O90" s="14" t="s">
        <v>220</v>
      </c>
      <c r="P90" s="14" t="s">
        <v>854</v>
      </c>
      <c r="Q90" s="14" t="s">
        <v>876</v>
      </c>
      <c r="R90" s="14" t="s">
        <v>1336</v>
      </c>
      <c r="S90" s="14" t="s">
        <v>813</v>
      </c>
      <c r="T90" s="14" t="s">
        <v>1231</v>
      </c>
      <c r="U90" s="14" t="s">
        <v>1538</v>
      </c>
      <c r="V90" s="14" t="s">
        <v>406</v>
      </c>
      <c r="W90" s="15"/>
      <c r="X90" s="15"/>
      <c r="Y90" s="15"/>
      <c r="Z90" s="14"/>
      <c r="AA90" s="14"/>
      <c r="AB90" s="14"/>
      <c r="AC90" s="14"/>
      <c r="AD90" s="14"/>
      <c r="AE90" s="18" t="s">
        <v>1674</v>
      </c>
      <c r="AF90" s="14"/>
      <c r="AG90" s="20" t="s">
        <v>1708</v>
      </c>
      <c r="AH90" s="20" t="s">
        <v>1749</v>
      </c>
      <c r="AI90" s="18" t="s">
        <v>1726</v>
      </c>
      <c r="AJ90" s="18" t="s">
        <v>1727</v>
      </c>
      <c r="AK90" s="16"/>
      <c r="AL90" s="16"/>
      <c r="AM90" s="16" t="s">
        <v>960</v>
      </c>
      <c r="AN90" s="1" t="s">
        <v>1760</v>
      </c>
    </row>
    <row r="91" spans="1:40" ht="12" customHeight="1" x14ac:dyDescent="0.2">
      <c r="A91" s="14">
        <v>16703</v>
      </c>
      <c r="B91" s="14">
        <v>16703</v>
      </c>
      <c r="C91" s="14">
        <v>3367</v>
      </c>
      <c r="D91" s="14" t="s">
        <v>306</v>
      </c>
      <c r="E91" s="14">
        <f>VLOOKUP(B91,[1]Sheet3!$A$2:$A$221,1,0)</f>
        <v>16703</v>
      </c>
      <c r="F91" s="14" t="s">
        <v>1353</v>
      </c>
      <c r="G91" s="14" t="s">
        <v>306</v>
      </c>
      <c r="H91" s="14"/>
      <c r="I91" s="14" t="s">
        <v>495</v>
      </c>
      <c r="J91" s="14" t="s">
        <v>1510</v>
      </c>
      <c r="K91" s="14" t="s">
        <v>76</v>
      </c>
      <c r="L91" s="14" t="s">
        <v>64</v>
      </c>
      <c r="M91" s="14" t="s">
        <v>1432</v>
      </c>
      <c r="N91" s="14" t="s">
        <v>76</v>
      </c>
      <c r="O91" s="14" t="s">
        <v>1126</v>
      </c>
      <c r="P91" s="14" t="s">
        <v>503</v>
      </c>
      <c r="Q91" s="14" t="s">
        <v>876</v>
      </c>
      <c r="R91" s="14" t="s">
        <v>937</v>
      </c>
      <c r="S91" s="14" t="s">
        <v>970</v>
      </c>
      <c r="T91" s="14" t="s">
        <v>1323</v>
      </c>
      <c r="U91" s="14" t="s">
        <v>939</v>
      </c>
      <c r="V91" s="14" t="s">
        <v>1048</v>
      </c>
      <c r="W91" s="15"/>
      <c r="X91" s="15"/>
      <c r="Y91" s="15"/>
      <c r="Z91" s="14"/>
      <c r="AA91" s="14"/>
      <c r="AB91" s="14"/>
      <c r="AC91" s="14"/>
      <c r="AD91" s="14"/>
      <c r="AE91" s="18" t="s">
        <v>1674</v>
      </c>
      <c r="AF91" s="14"/>
      <c r="AG91" s="20" t="s">
        <v>1709</v>
      </c>
      <c r="AH91" s="20" t="s">
        <v>1747</v>
      </c>
      <c r="AI91" s="18" t="s">
        <v>1733</v>
      </c>
      <c r="AJ91" s="18" t="s">
        <v>1738</v>
      </c>
      <c r="AK91" s="16"/>
      <c r="AL91" s="16"/>
      <c r="AM91" s="16" t="s">
        <v>960</v>
      </c>
      <c r="AN91" s="1" t="s">
        <v>1760</v>
      </c>
    </row>
    <row r="92" spans="1:40" ht="12" customHeight="1" x14ac:dyDescent="0.2">
      <c r="A92" s="14">
        <v>3461</v>
      </c>
      <c r="B92" s="14">
        <v>3461</v>
      </c>
      <c r="C92" s="14">
        <v>2767</v>
      </c>
      <c r="D92" s="14" t="s">
        <v>306</v>
      </c>
      <c r="E92" s="14">
        <f>VLOOKUP(B92,[1]Sheet3!$A$2:$A$221,1,0)</f>
        <v>3461</v>
      </c>
      <c r="F92" s="14" t="s">
        <v>1353</v>
      </c>
      <c r="G92" s="14" t="s">
        <v>306</v>
      </c>
      <c r="H92" s="14"/>
      <c r="I92" s="14" t="s">
        <v>777</v>
      </c>
      <c r="J92" s="14" t="s">
        <v>1165</v>
      </c>
      <c r="K92" s="14" t="s">
        <v>1583</v>
      </c>
      <c r="L92" s="14" t="s">
        <v>414</v>
      </c>
      <c r="M92" s="14" t="s">
        <v>1049</v>
      </c>
      <c r="N92" s="14" t="s">
        <v>1583</v>
      </c>
      <c r="O92" s="14" t="s">
        <v>1168</v>
      </c>
      <c r="P92" s="14" t="s">
        <v>21</v>
      </c>
      <c r="Q92" s="14" t="s">
        <v>431</v>
      </c>
      <c r="R92" s="14" t="s">
        <v>1596</v>
      </c>
      <c r="S92" s="14" t="s">
        <v>1491</v>
      </c>
      <c r="T92" s="14" t="s">
        <v>151</v>
      </c>
      <c r="U92" s="14" t="s">
        <v>1435</v>
      </c>
      <c r="V92" s="14" t="s">
        <v>986</v>
      </c>
      <c r="W92" s="15"/>
      <c r="X92" s="15"/>
      <c r="Y92" s="15"/>
      <c r="Z92" s="14"/>
      <c r="AA92" s="14"/>
      <c r="AB92" s="14"/>
      <c r="AC92" s="14"/>
      <c r="AD92" s="14"/>
      <c r="AE92" s="18" t="s">
        <v>1674</v>
      </c>
      <c r="AF92" s="14"/>
      <c r="AG92" s="18"/>
      <c r="AH92" s="18"/>
      <c r="AI92" s="18"/>
      <c r="AJ92" s="18" t="s">
        <v>1674</v>
      </c>
      <c r="AK92" s="16"/>
      <c r="AL92" s="16"/>
      <c r="AM92" s="16" t="s">
        <v>960</v>
      </c>
      <c r="AN92" s="1" t="s">
        <v>1760</v>
      </c>
    </row>
    <row r="93" spans="1:40" ht="12" customHeight="1" x14ac:dyDescent="0.2">
      <c r="A93" s="14">
        <v>24208</v>
      </c>
      <c r="B93" s="14">
        <v>24208</v>
      </c>
      <c r="C93" s="14">
        <v>13422</v>
      </c>
      <c r="D93" s="14" t="s">
        <v>306</v>
      </c>
      <c r="E93" s="14">
        <f>VLOOKUP(B93,[1]Sheet3!$A$2:$A$221,1,0)</f>
        <v>24208</v>
      </c>
      <c r="F93" s="14" t="s">
        <v>1353</v>
      </c>
      <c r="G93" s="14" t="s">
        <v>306</v>
      </c>
      <c r="H93" s="14"/>
      <c r="I93" s="14" t="s">
        <v>1431</v>
      </c>
      <c r="J93" s="14" t="s">
        <v>712</v>
      </c>
      <c r="K93" s="14" t="s">
        <v>1638</v>
      </c>
      <c r="L93" s="14" t="s">
        <v>414</v>
      </c>
      <c r="M93" s="14" t="s">
        <v>1049</v>
      </c>
      <c r="N93" s="14" t="s">
        <v>1638</v>
      </c>
      <c r="O93" s="14" t="s">
        <v>1525</v>
      </c>
      <c r="P93" s="14" t="s">
        <v>1172</v>
      </c>
      <c r="Q93" s="14" t="s">
        <v>431</v>
      </c>
      <c r="R93" s="14" t="s">
        <v>1596</v>
      </c>
      <c r="S93" s="14" t="s">
        <v>1490</v>
      </c>
      <c r="T93" s="14" t="s">
        <v>596</v>
      </c>
      <c r="U93" s="14" t="s">
        <v>1435</v>
      </c>
      <c r="V93" s="14" t="s">
        <v>861</v>
      </c>
      <c r="W93" s="15"/>
      <c r="X93" s="15"/>
      <c r="Y93" s="15"/>
      <c r="Z93" s="14"/>
      <c r="AA93" s="14"/>
      <c r="AB93" s="14"/>
      <c r="AC93" s="14"/>
      <c r="AD93" s="14"/>
      <c r="AE93" s="18" t="s">
        <v>1679</v>
      </c>
      <c r="AF93" s="14"/>
      <c r="AG93" s="20" t="s">
        <v>1710</v>
      </c>
      <c r="AH93" s="20" t="s">
        <v>1750</v>
      </c>
      <c r="AI93" s="18" t="s">
        <v>1726</v>
      </c>
      <c r="AJ93" s="18" t="s">
        <v>1738</v>
      </c>
      <c r="AK93" s="16"/>
      <c r="AL93" s="16"/>
      <c r="AM93" s="16" t="s">
        <v>960</v>
      </c>
      <c r="AN93" s="1" t="s">
        <v>1760</v>
      </c>
    </row>
    <row r="94" spans="1:40" ht="12" customHeight="1" x14ac:dyDescent="0.2">
      <c r="A94" s="14">
        <v>13846</v>
      </c>
      <c r="B94" s="14">
        <v>13846</v>
      </c>
      <c r="C94" s="14">
        <v>10280</v>
      </c>
      <c r="D94" s="14" t="s">
        <v>306</v>
      </c>
      <c r="E94" s="14">
        <f>VLOOKUP(B94,[1]Sheet3!$A$2:$A$221,1,0)</f>
        <v>13846</v>
      </c>
      <c r="F94" s="14" t="s">
        <v>1353</v>
      </c>
      <c r="G94" s="14" t="s">
        <v>306</v>
      </c>
      <c r="H94" s="14"/>
      <c r="I94" s="14" t="s">
        <v>499</v>
      </c>
      <c r="J94" s="14" t="s">
        <v>524</v>
      </c>
      <c r="K94" s="14" t="s">
        <v>404</v>
      </c>
      <c r="L94" s="14" t="s">
        <v>218</v>
      </c>
      <c r="M94" s="14" t="s">
        <v>1336</v>
      </c>
      <c r="N94" s="14" t="s">
        <v>404</v>
      </c>
      <c r="O94" s="14" t="s">
        <v>35</v>
      </c>
      <c r="P94" s="14" t="s">
        <v>1002</v>
      </c>
      <c r="Q94" s="14" t="s">
        <v>876</v>
      </c>
      <c r="R94" s="14" t="s">
        <v>1336</v>
      </c>
      <c r="S94" s="14" t="s">
        <v>704</v>
      </c>
      <c r="T94" s="14" t="s">
        <v>716</v>
      </c>
      <c r="U94" s="14" t="s">
        <v>961</v>
      </c>
      <c r="V94" s="14" t="s">
        <v>203</v>
      </c>
      <c r="W94" s="15" t="s">
        <v>1031</v>
      </c>
      <c r="X94" s="15"/>
      <c r="Y94" s="14" t="s">
        <v>665</v>
      </c>
      <c r="Z94" s="14"/>
      <c r="AA94" s="14"/>
      <c r="AB94" s="14"/>
      <c r="AC94" s="14"/>
      <c r="AD94" s="14"/>
      <c r="AE94" s="18"/>
      <c r="AF94" s="14"/>
      <c r="AG94" s="18"/>
      <c r="AH94" s="18"/>
      <c r="AI94" s="18"/>
      <c r="AJ94" s="18" t="s">
        <v>1735</v>
      </c>
      <c r="AK94" s="16"/>
      <c r="AL94" s="16"/>
      <c r="AM94" s="16" t="s">
        <v>960</v>
      </c>
      <c r="AN94" s="1" t="s">
        <v>1760</v>
      </c>
    </row>
    <row r="95" spans="1:40" ht="12" customHeight="1" x14ac:dyDescent="0.2">
      <c r="A95" s="14">
        <v>8550</v>
      </c>
      <c r="B95" s="14">
        <v>8550</v>
      </c>
      <c r="C95" s="14">
        <v>9954</v>
      </c>
      <c r="D95" s="14" t="s">
        <v>306</v>
      </c>
      <c r="E95" s="14">
        <f>VLOOKUP(B95,[1]Sheet3!$A$2:$A$221,1,0)</f>
        <v>8550</v>
      </c>
      <c r="F95" s="14" t="s">
        <v>1353</v>
      </c>
      <c r="G95" s="14" t="s">
        <v>306</v>
      </c>
      <c r="H95" s="14"/>
      <c r="I95" s="14" t="s">
        <v>234</v>
      </c>
      <c r="J95" s="14" t="s">
        <v>1204</v>
      </c>
      <c r="K95" s="14" t="s">
        <v>1453</v>
      </c>
      <c r="L95" s="14" t="s">
        <v>218</v>
      </c>
      <c r="M95" s="14" t="s">
        <v>1336</v>
      </c>
      <c r="N95" s="14" t="s">
        <v>1453</v>
      </c>
      <c r="O95" s="14" t="s">
        <v>693</v>
      </c>
      <c r="P95" s="14" t="s">
        <v>1250</v>
      </c>
      <c r="Q95" s="14" t="s">
        <v>876</v>
      </c>
      <c r="R95" s="14" t="s">
        <v>1336</v>
      </c>
      <c r="S95" s="14" t="s">
        <v>704</v>
      </c>
      <c r="T95" s="14" t="s">
        <v>716</v>
      </c>
      <c r="U95" s="14" t="s">
        <v>961</v>
      </c>
      <c r="V95" s="14" t="s">
        <v>203</v>
      </c>
      <c r="W95" s="15" t="s">
        <v>1031</v>
      </c>
      <c r="X95" s="15"/>
      <c r="Y95" s="14" t="s">
        <v>665</v>
      </c>
      <c r="Z95" s="14"/>
      <c r="AA95" s="14"/>
      <c r="AB95" s="14"/>
      <c r="AC95" s="14"/>
      <c r="AD95" s="14"/>
      <c r="AE95" s="18"/>
      <c r="AF95" s="14"/>
      <c r="AG95" s="18"/>
      <c r="AH95" s="18"/>
      <c r="AI95" s="18"/>
      <c r="AJ95" s="18" t="s">
        <v>1735</v>
      </c>
      <c r="AK95" s="16"/>
      <c r="AL95" s="16"/>
      <c r="AM95" s="16" t="s">
        <v>960</v>
      </c>
      <c r="AN95" s="1" t="s">
        <v>1760</v>
      </c>
    </row>
    <row r="96" spans="1:40" ht="12" customHeight="1" x14ac:dyDescent="0.2">
      <c r="A96" s="14">
        <v>17188</v>
      </c>
      <c r="B96" s="14">
        <v>17188</v>
      </c>
      <c r="C96" s="14">
        <v>3958</v>
      </c>
      <c r="D96" s="14" t="s">
        <v>306</v>
      </c>
      <c r="E96" s="14">
        <f>VLOOKUP(B96,[1]Sheet3!$A$2:$A$221,1,0)</f>
        <v>17188</v>
      </c>
      <c r="F96" s="14" t="s">
        <v>1353</v>
      </c>
      <c r="G96" s="14" t="s">
        <v>306</v>
      </c>
      <c r="H96" s="14"/>
      <c r="I96" s="14" t="s">
        <v>725</v>
      </c>
      <c r="J96" s="14" t="s">
        <v>14</v>
      </c>
      <c r="K96" s="14" t="s">
        <v>157</v>
      </c>
      <c r="L96" s="14" t="s">
        <v>1</v>
      </c>
      <c r="M96" s="14" t="s">
        <v>1336</v>
      </c>
      <c r="N96" s="14" t="s">
        <v>157</v>
      </c>
      <c r="O96" s="14" t="s">
        <v>1243</v>
      </c>
      <c r="P96" s="14" t="s">
        <v>1425</v>
      </c>
      <c r="Q96" s="14" t="s">
        <v>876</v>
      </c>
      <c r="R96" s="14" t="s">
        <v>1336</v>
      </c>
      <c r="S96" s="14" t="s">
        <v>908</v>
      </c>
      <c r="T96" s="14" t="s">
        <v>1202</v>
      </c>
      <c r="U96" s="14" t="s">
        <v>841</v>
      </c>
      <c r="V96" s="14" t="s">
        <v>85</v>
      </c>
      <c r="W96" s="15"/>
      <c r="X96" s="15"/>
      <c r="Y96" s="15"/>
      <c r="Z96" s="14"/>
      <c r="AA96" s="14"/>
      <c r="AB96" s="14"/>
      <c r="AC96" s="14"/>
      <c r="AD96" s="14"/>
      <c r="AE96" s="18" t="s">
        <v>1674</v>
      </c>
      <c r="AF96" s="14"/>
      <c r="AG96" s="20" t="s">
        <v>874</v>
      </c>
      <c r="AH96" s="20" t="s">
        <v>1751</v>
      </c>
      <c r="AI96" s="18" t="s">
        <v>1733</v>
      </c>
      <c r="AJ96" s="18" t="s">
        <v>1734</v>
      </c>
      <c r="AK96" s="16"/>
      <c r="AL96" s="16"/>
      <c r="AM96" s="16" t="s">
        <v>960</v>
      </c>
      <c r="AN96" s="1" t="s">
        <v>1760</v>
      </c>
    </row>
    <row r="97" spans="1:40" ht="12" customHeight="1" x14ac:dyDescent="0.2">
      <c r="A97" s="14">
        <v>17228</v>
      </c>
      <c r="B97" s="14">
        <v>17228</v>
      </c>
      <c r="C97" s="14">
        <v>3998</v>
      </c>
      <c r="D97" s="14" t="s">
        <v>306</v>
      </c>
      <c r="E97" s="14">
        <f>VLOOKUP(B97,[1]Sheet3!$A$2:$A$221,1,0)</f>
        <v>17228</v>
      </c>
      <c r="F97" s="14" t="s">
        <v>1353</v>
      </c>
      <c r="G97" s="14" t="s">
        <v>306</v>
      </c>
      <c r="H97" s="14"/>
      <c r="I97" s="14" t="s">
        <v>1306</v>
      </c>
      <c r="J97" s="14" t="s">
        <v>1141</v>
      </c>
      <c r="K97" s="14" t="s">
        <v>585</v>
      </c>
      <c r="L97" s="14" t="s">
        <v>1</v>
      </c>
      <c r="M97" s="14" t="s">
        <v>1336</v>
      </c>
      <c r="N97" s="14" t="s">
        <v>585</v>
      </c>
      <c r="O97" s="14" t="s">
        <v>1158</v>
      </c>
      <c r="P97" s="14" t="s">
        <v>194</v>
      </c>
      <c r="Q97" s="14" t="s">
        <v>876</v>
      </c>
      <c r="R97" s="14" t="s">
        <v>1336</v>
      </c>
      <c r="S97" s="14" t="s">
        <v>908</v>
      </c>
      <c r="T97" s="14" t="s">
        <v>1211</v>
      </c>
      <c r="U97" s="14" t="s">
        <v>841</v>
      </c>
      <c r="V97" s="14" t="s">
        <v>85</v>
      </c>
      <c r="W97" s="15"/>
      <c r="X97" s="15"/>
      <c r="Y97" s="15"/>
      <c r="Z97" s="14"/>
      <c r="AA97" s="14"/>
      <c r="AB97" s="14"/>
      <c r="AC97" s="14"/>
      <c r="AD97" s="14"/>
      <c r="AE97" s="18" t="s">
        <v>1674</v>
      </c>
      <c r="AF97" s="14"/>
      <c r="AG97" s="20" t="s">
        <v>874</v>
      </c>
      <c r="AH97" s="20" t="s">
        <v>1751</v>
      </c>
      <c r="AI97" s="18" t="s">
        <v>1733</v>
      </c>
      <c r="AJ97" s="18" t="s">
        <v>1734</v>
      </c>
      <c r="AK97" s="16"/>
      <c r="AL97" s="16"/>
      <c r="AM97" s="16" t="s">
        <v>960</v>
      </c>
      <c r="AN97" s="1" t="s">
        <v>1760</v>
      </c>
    </row>
    <row r="98" spans="1:40" ht="12" customHeight="1" x14ac:dyDescent="0.2">
      <c r="A98" s="14">
        <v>40001</v>
      </c>
      <c r="B98" s="14">
        <v>40001</v>
      </c>
      <c r="C98" s="14">
        <v>38659</v>
      </c>
      <c r="D98" s="14" t="s">
        <v>306</v>
      </c>
      <c r="E98" s="14">
        <f>VLOOKUP(B98,[1]Sheet3!$A$2:$A$221,1,0)</f>
        <v>40001</v>
      </c>
      <c r="F98" s="14" t="s">
        <v>1353</v>
      </c>
      <c r="G98" s="14" t="s">
        <v>306</v>
      </c>
      <c r="H98" s="14"/>
      <c r="I98" s="14" t="s">
        <v>1174</v>
      </c>
      <c r="J98" s="14"/>
      <c r="K98" s="14"/>
      <c r="L98" s="14" t="s">
        <v>1648</v>
      </c>
      <c r="M98" s="14"/>
      <c r="N98" s="14" t="s">
        <v>1177</v>
      </c>
      <c r="O98" s="14" t="s">
        <v>1094</v>
      </c>
      <c r="P98" s="14" t="s">
        <v>1177</v>
      </c>
      <c r="Q98" s="14" t="s">
        <v>557</v>
      </c>
      <c r="R98" s="14"/>
      <c r="S98" s="14" t="s">
        <v>908</v>
      </c>
      <c r="T98" s="14" t="s">
        <v>1222</v>
      </c>
      <c r="U98" s="14" t="s">
        <v>841</v>
      </c>
      <c r="V98" s="14" t="s">
        <v>85</v>
      </c>
      <c r="W98" s="15"/>
      <c r="X98" s="15"/>
      <c r="Y98" s="15"/>
      <c r="Z98" s="14"/>
      <c r="AA98" s="14"/>
      <c r="AB98" s="14"/>
      <c r="AC98" s="14"/>
      <c r="AD98" s="14"/>
      <c r="AE98" s="18" t="s">
        <v>1674</v>
      </c>
      <c r="AF98" s="14" t="s">
        <v>874</v>
      </c>
      <c r="AG98" s="20" t="s">
        <v>1711</v>
      </c>
      <c r="AH98" s="20" t="s">
        <v>1751</v>
      </c>
      <c r="AI98" s="18" t="s">
        <v>1733</v>
      </c>
      <c r="AJ98" s="18" t="s">
        <v>1734</v>
      </c>
      <c r="AK98" s="16"/>
      <c r="AL98" s="16"/>
      <c r="AM98" s="16" t="s">
        <v>960</v>
      </c>
      <c r="AN98" s="1" t="s">
        <v>1760</v>
      </c>
    </row>
    <row r="99" spans="1:40" ht="12" customHeight="1" x14ac:dyDescent="0.2">
      <c r="A99" s="14">
        <v>17094</v>
      </c>
      <c r="B99" s="14">
        <v>17094</v>
      </c>
      <c r="C99" s="14">
        <v>3862</v>
      </c>
      <c r="D99" s="14" t="s">
        <v>306</v>
      </c>
      <c r="E99" s="14">
        <f>VLOOKUP(B99,[1]Sheet3!$A$2:$A$221,1,0)</f>
        <v>17094</v>
      </c>
      <c r="F99" s="14" t="s">
        <v>1353</v>
      </c>
      <c r="G99" s="14" t="s">
        <v>306</v>
      </c>
      <c r="H99" s="14"/>
      <c r="I99" s="14" t="s">
        <v>1339</v>
      </c>
      <c r="J99" s="14" t="s">
        <v>274</v>
      </c>
      <c r="K99" s="14" t="s">
        <v>500</v>
      </c>
      <c r="L99" s="14" t="s">
        <v>1</v>
      </c>
      <c r="M99" s="14" t="s">
        <v>1336</v>
      </c>
      <c r="N99" s="14" t="s">
        <v>500</v>
      </c>
      <c r="O99" s="14" t="s">
        <v>1014</v>
      </c>
      <c r="P99" s="14" t="s">
        <v>182</v>
      </c>
      <c r="Q99" s="14" t="s">
        <v>876</v>
      </c>
      <c r="R99" s="14" t="s">
        <v>1336</v>
      </c>
      <c r="S99" s="14" t="s">
        <v>908</v>
      </c>
      <c r="T99" s="14" t="s">
        <v>1222</v>
      </c>
      <c r="U99" s="14" t="s">
        <v>841</v>
      </c>
      <c r="V99" s="14" t="s">
        <v>85</v>
      </c>
      <c r="W99" s="15"/>
      <c r="X99" s="15"/>
      <c r="Y99" s="15"/>
      <c r="Z99" s="14"/>
      <c r="AA99" s="14"/>
      <c r="AB99" s="14"/>
      <c r="AC99" s="14"/>
      <c r="AD99" s="14"/>
      <c r="AE99" s="18" t="s">
        <v>1674</v>
      </c>
      <c r="AF99" s="14"/>
      <c r="AG99" s="20" t="s">
        <v>1712</v>
      </c>
      <c r="AH99" s="20" t="s">
        <v>1751</v>
      </c>
      <c r="AI99" s="18" t="s">
        <v>1733</v>
      </c>
      <c r="AJ99" s="18" t="s">
        <v>1734</v>
      </c>
      <c r="AK99" s="16"/>
      <c r="AL99" s="16"/>
      <c r="AM99" s="16" t="s">
        <v>960</v>
      </c>
      <c r="AN99" s="1" t="s">
        <v>1760</v>
      </c>
    </row>
    <row r="100" spans="1:40" ht="12" customHeight="1" x14ac:dyDescent="0.2">
      <c r="A100" s="14">
        <v>42055</v>
      </c>
      <c r="B100" s="14">
        <v>42055</v>
      </c>
      <c r="C100" s="14">
        <v>41413</v>
      </c>
      <c r="D100" s="14" t="s">
        <v>306</v>
      </c>
      <c r="E100" s="14">
        <f>VLOOKUP(B100,[1]Sheet3!$A$2:$A$221,1,0)</f>
        <v>42055</v>
      </c>
      <c r="F100" s="14" t="s">
        <v>1353</v>
      </c>
      <c r="G100" s="14" t="s">
        <v>306</v>
      </c>
      <c r="H100" s="14"/>
      <c r="I100" s="14" t="s">
        <v>346</v>
      </c>
      <c r="J100" s="14"/>
      <c r="K100" s="14"/>
      <c r="L100" s="14"/>
      <c r="M100" s="14"/>
      <c r="N100" s="14" t="s">
        <v>1586</v>
      </c>
      <c r="O100" s="14" t="s">
        <v>618</v>
      </c>
      <c r="P100" s="14" t="s">
        <v>1124</v>
      </c>
      <c r="Q100" s="14"/>
      <c r="R100" s="14"/>
      <c r="S100" s="14" t="s">
        <v>908</v>
      </c>
      <c r="T100" s="14" t="s">
        <v>1222</v>
      </c>
      <c r="U100" s="14" t="s">
        <v>841</v>
      </c>
      <c r="V100" s="14" t="s">
        <v>85</v>
      </c>
      <c r="W100" s="15"/>
      <c r="X100" s="15"/>
      <c r="Y100" s="15"/>
      <c r="Z100" s="14"/>
      <c r="AA100" s="14"/>
      <c r="AB100" s="14"/>
      <c r="AC100" s="14"/>
      <c r="AD100" s="14"/>
      <c r="AE100" s="18" t="s">
        <v>1674</v>
      </c>
      <c r="AF100" s="14" t="s">
        <v>874</v>
      </c>
      <c r="AG100" s="20" t="s">
        <v>874</v>
      </c>
      <c r="AH100" s="20" t="s">
        <v>1751</v>
      </c>
      <c r="AI100" s="18" t="s">
        <v>1733</v>
      </c>
      <c r="AJ100" s="18" t="s">
        <v>1734</v>
      </c>
      <c r="AK100" s="16"/>
      <c r="AL100" s="16"/>
      <c r="AM100" s="16" t="s">
        <v>960</v>
      </c>
      <c r="AN100" s="1" t="s">
        <v>1760</v>
      </c>
    </row>
    <row r="101" spans="1:40" ht="12" customHeight="1" x14ac:dyDescent="0.2">
      <c r="A101" s="14">
        <v>24919</v>
      </c>
      <c r="B101" s="14">
        <v>24919</v>
      </c>
      <c r="C101" s="14">
        <v>14475</v>
      </c>
      <c r="D101" s="14" t="s">
        <v>306</v>
      </c>
      <c r="E101" s="14">
        <f>VLOOKUP(B101,[1]Sheet3!$A$2:$A$221,1,0)</f>
        <v>24919</v>
      </c>
      <c r="F101" s="14" t="s">
        <v>1353</v>
      </c>
      <c r="G101" s="14" t="s">
        <v>306</v>
      </c>
      <c r="H101" s="14"/>
      <c r="I101" s="14" t="s">
        <v>1146</v>
      </c>
      <c r="J101" s="14" t="s">
        <v>776</v>
      </c>
      <c r="K101" s="14" t="s">
        <v>1259</v>
      </c>
      <c r="L101" s="14" t="s">
        <v>514</v>
      </c>
      <c r="M101" s="14" t="s">
        <v>1049</v>
      </c>
      <c r="N101" s="14" t="s">
        <v>1259</v>
      </c>
      <c r="O101" s="14" t="s">
        <v>1228</v>
      </c>
      <c r="P101" s="14" t="s">
        <v>361</v>
      </c>
      <c r="Q101" s="14" t="s">
        <v>751</v>
      </c>
      <c r="R101" s="14" t="s">
        <v>1596</v>
      </c>
      <c r="S101" s="14" t="s">
        <v>873</v>
      </c>
      <c r="T101" s="14" t="s">
        <v>102</v>
      </c>
      <c r="U101" s="14" t="s">
        <v>351</v>
      </c>
      <c r="V101" s="14" t="s">
        <v>985</v>
      </c>
      <c r="W101" s="15"/>
      <c r="X101" s="15"/>
      <c r="Y101" s="15"/>
      <c r="Z101" s="14"/>
      <c r="AA101" s="14"/>
      <c r="AB101" s="14"/>
      <c r="AC101" s="14"/>
      <c r="AD101" s="14"/>
      <c r="AE101" s="18" t="s">
        <v>1674</v>
      </c>
      <c r="AF101" s="14"/>
      <c r="AG101" s="20" t="s">
        <v>1713</v>
      </c>
      <c r="AH101" s="20" t="s">
        <v>1752</v>
      </c>
      <c r="AI101" s="18" t="s">
        <v>1733</v>
      </c>
      <c r="AJ101" s="18" t="s">
        <v>1734</v>
      </c>
      <c r="AK101" s="16"/>
      <c r="AL101" s="16"/>
      <c r="AM101" s="16" t="s">
        <v>960</v>
      </c>
      <c r="AN101" s="1" t="s">
        <v>1760</v>
      </c>
    </row>
    <row r="102" spans="1:40" ht="12" customHeight="1" x14ac:dyDescent="0.2">
      <c r="A102" s="14">
        <v>17586</v>
      </c>
      <c r="B102" s="14">
        <v>17586</v>
      </c>
      <c r="C102" s="14">
        <v>4370</v>
      </c>
      <c r="D102" s="14" t="s">
        <v>306</v>
      </c>
      <c r="E102" s="14">
        <f>VLOOKUP(B102,[1]Sheet3!$A$2:$A$221,1,0)</f>
        <v>17586</v>
      </c>
      <c r="F102" s="14" t="s">
        <v>1353</v>
      </c>
      <c r="G102" s="14" t="s">
        <v>306</v>
      </c>
      <c r="H102" s="14"/>
      <c r="I102" s="14" t="s">
        <v>382</v>
      </c>
      <c r="J102" s="14" t="s">
        <v>1591</v>
      </c>
      <c r="K102" s="14" t="s">
        <v>1251</v>
      </c>
      <c r="L102" s="14" t="s">
        <v>514</v>
      </c>
      <c r="M102" s="14" t="s">
        <v>353</v>
      </c>
      <c r="N102" s="14" t="s">
        <v>1251</v>
      </c>
      <c r="O102" s="14" t="s">
        <v>330</v>
      </c>
      <c r="P102" s="14" t="s">
        <v>1623</v>
      </c>
      <c r="Q102" s="14" t="s">
        <v>876</v>
      </c>
      <c r="R102" s="14" t="s">
        <v>353</v>
      </c>
      <c r="S102" s="14" t="s">
        <v>959</v>
      </c>
      <c r="T102" s="14" t="s">
        <v>690</v>
      </c>
      <c r="U102" s="14" t="s">
        <v>351</v>
      </c>
      <c r="V102" s="14" t="s">
        <v>718</v>
      </c>
      <c r="W102" s="15"/>
      <c r="X102" s="15"/>
      <c r="Y102" s="15"/>
      <c r="Z102" s="14"/>
      <c r="AA102" s="14"/>
      <c r="AB102" s="14"/>
      <c r="AC102" s="14"/>
      <c r="AD102" s="14"/>
      <c r="AE102" s="18" t="s">
        <v>1674</v>
      </c>
      <c r="AF102" s="14"/>
      <c r="AG102" s="20" t="s">
        <v>1501</v>
      </c>
      <c r="AH102" s="20" t="s">
        <v>1752</v>
      </c>
      <c r="AI102" s="18" t="s">
        <v>1733</v>
      </c>
      <c r="AJ102" s="18" t="s">
        <v>1738</v>
      </c>
      <c r="AK102" s="16"/>
      <c r="AL102" s="16"/>
      <c r="AM102" s="16" t="s">
        <v>960</v>
      </c>
      <c r="AN102" s="1" t="s">
        <v>1760</v>
      </c>
    </row>
    <row r="103" spans="1:40" ht="12" customHeight="1" x14ac:dyDescent="0.2">
      <c r="A103" s="14">
        <v>40017</v>
      </c>
      <c r="B103" s="14">
        <v>40017</v>
      </c>
      <c r="C103" s="14">
        <v>38678</v>
      </c>
      <c r="D103" s="14" t="s">
        <v>306</v>
      </c>
      <c r="E103" s="14">
        <f>VLOOKUP(B103,[1]Sheet3!$A$2:$A$221,1,0)</f>
        <v>40017</v>
      </c>
      <c r="F103" s="14" t="s">
        <v>1353</v>
      </c>
      <c r="G103" s="14" t="s">
        <v>306</v>
      </c>
      <c r="H103" s="14"/>
      <c r="I103" s="14" t="s">
        <v>1320</v>
      </c>
      <c r="J103" s="14"/>
      <c r="K103" s="14"/>
      <c r="L103" s="14" t="s">
        <v>1648</v>
      </c>
      <c r="M103" s="14"/>
      <c r="N103" s="14" t="s">
        <v>720</v>
      </c>
      <c r="O103" s="14" t="s">
        <v>1370</v>
      </c>
      <c r="P103" s="14" t="s">
        <v>720</v>
      </c>
      <c r="Q103" s="14" t="s">
        <v>556</v>
      </c>
      <c r="R103" s="14"/>
      <c r="S103" s="14" t="s">
        <v>959</v>
      </c>
      <c r="T103" s="14"/>
      <c r="U103" s="14" t="s">
        <v>351</v>
      </c>
      <c r="V103" s="14" t="s">
        <v>718</v>
      </c>
      <c r="W103" s="15"/>
      <c r="X103" s="15"/>
      <c r="Y103" s="15"/>
      <c r="Z103" s="14"/>
      <c r="AA103" s="14"/>
      <c r="AB103" s="14"/>
      <c r="AC103" s="14"/>
      <c r="AD103" s="14"/>
      <c r="AE103" s="18" t="s">
        <v>1674</v>
      </c>
      <c r="AF103" s="14" t="s">
        <v>1501</v>
      </c>
      <c r="AG103" s="20" t="s">
        <v>1501</v>
      </c>
      <c r="AH103" s="20" t="s">
        <v>1752</v>
      </c>
      <c r="AI103" s="18" t="s">
        <v>1733</v>
      </c>
      <c r="AJ103" s="18" t="s">
        <v>1738</v>
      </c>
      <c r="AK103" s="16"/>
      <c r="AL103" s="16"/>
      <c r="AM103" s="16" t="s">
        <v>960</v>
      </c>
      <c r="AN103" s="1" t="s">
        <v>1760</v>
      </c>
    </row>
    <row r="104" spans="1:40" ht="12" customHeight="1" x14ac:dyDescent="0.2">
      <c r="A104" s="14">
        <v>10686</v>
      </c>
      <c r="B104" s="14">
        <v>10686</v>
      </c>
      <c r="C104" s="14">
        <v>12628</v>
      </c>
      <c r="D104" s="14" t="s">
        <v>306</v>
      </c>
      <c r="E104" s="14">
        <f>VLOOKUP(B104,[1]Sheet3!$A$2:$A$221,1,0)</f>
        <v>10686</v>
      </c>
      <c r="F104" s="14" t="s">
        <v>1353</v>
      </c>
      <c r="G104" s="14" t="s">
        <v>306</v>
      </c>
      <c r="H104" s="14"/>
      <c r="I104" s="14" t="s">
        <v>134</v>
      </c>
      <c r="J104" s="14" t="s">
        <v>948</v>
      </c>
      <c r="K104" s="14" t="s">
        <v>1495</v>
      </c>
      <c r="L104" s="14" t="s">
        <v>1157</v>
      </c>
      <c r="M104" s="14" t="s">
        <v>1336</v>
      </c>
      <c r="N104" s="14" t="s">
        <v>1495</v>
      </c>
      <c r="O104" s="14" t="s">
        <v>1004</v>
      </c>
      <c r="P104" s="14" t="s">
        <v>1112</v>
      </c>
      <c r="Q104" s="14" t="s">
        <v>876</v>
      </c>
      <c r="R104" s="14" t="s">
        <v>1336</v>
      </c>
      <c r="S104" s="14" t="s">
        <v>1068</v>
      </c>
      <c r="T104" s="14" t="s">
        <v>10</v>
      </c>
      <c r="U104" s="14" t="s">
        <v>699</v>
      </c>
      <c r="V104" s="14" t="s">
        <v>27</v>
      </c>
      <c r="W104" s="15"/>
      <c r="X104" s="15"/>
      <c r="Y104" s="15"/>
      <c r="Z104" s="14"/>
      <c r="AA104" s="14"/>
      <c r="AB104" s="14"/>
      <c r="AC104" s="14"/>
      <c r="AD104" s="14"/>
      <c r="AE104" s="18" t="s">
        <v>1674</v>
      </c>
      <c r="AF104" s="14"/>
      <c r="AG104" s="20" t="s">
        <v>1714</v>
      </c>
      <c r="AH104" s="20" t="s">
        <v>1753</v>
      </c>
      <c r="AI104" s="18" t="s">
        <v>1733</v>
      </c>
      <c r="AJ104" s="18" t="s">
        <v>1738</v>
      </c>
      <c r="AK104" s="16"/>
      <c r="AL104" s="16"/>
      <c r="AM104" s="16" t="s">
        <v>960</v>
      </c>
      <c r="AN104" s="1" t="s">
        <v>1760</v>
      </c>
    </row>
    <row r="105" spans="1:40" ht="12" customHeight="1" x14ac:dyDescent="0.2">
      <c r="A105" s="14">
        <v>10688</v>
      </c>
      <c r="B105" s="14">
        <v>10688</v>
      </c>
      <c r="C105" s="14">
        <v>12629</v>
      </c>
      <c r="D105" s="14" t="s">
        <v>306</v>
      </c>
      <c r="E105" s="14">
        <f>VLOOKUP(B105,[1]Sheet3!$A$2:$A$221,1,0)</f>
        <v>10688</v>
      </c>
      <c r="F105" s="14" t="s">
        <v>1353</v>
      </c>
      <c r="G105" s="14" t="s">
        <v>306</v>
      </c>
      <c r="H105" s="14"/>
      <c r="I105" s="14" t="s">
        <v>1588</v>
      </c>
      <c r="J105" s="14" t="s">
        <v>675</v>
      </c>
      <c r="K105" s="14" t="s">
        <v>1057</v>
      </c>
      <c r="L105" s="14" t="s">
        <v>1157</v>
      </c>
      <c r="M105" s="14" t="s">
        <v>1336</v>
      </c>
      <c r="N105" s="14" t="s">
        <v>1057</v>
      </c>
      <c r="O105" s="14" t="s">
        <v>837</v>
      </c>
      <c r="P105" s="14" t="s">
        <v>1408</v>
      </c>
      <c r="Q105" s="14" t="s">
        <v>876</v>
      </c>
      <c r="R105" s="14" t="s">
        <v>1336</v>
      </c>
      <c r="S105" s="14" t="s">
        <v>1068</v>
      </c>
      <c r="T105" s="14" t="s">
        <v>811</v>
      </c>
      <c r="U105" s="14" t="s">
        <v>699</v>
      </c>
      <c r="V105" s="14" t="s">
        <v>27</v>
      </c>
      <c r="W105" s="15"/>
      <c r="X105" s="15"/>
      <c r="Y105" s="15"/>
      <c r="Z105" s="14"/>
      <c r="AA105" s="14"/>
      <c r="AB105" s="14"/>
      <c r="AC105" s="14"/>
      <c r="AD105" s="14"/>
      <c r="AE105" s="18" t="s">
        <v>1674</v>
      </c>
      <c r="AF105" s="14"/>
      <c r="AG105" s="20" t="s">
        <v>1715</v>
      </c>
      <c r="AH105" s="20" t="s">
        <v>1753</v>
      </c>
      <c r="AI105" s="18" t="s">
        <v>1733</v>
      </c>
      <c r="AJ105" s="18" t="s">
        <v>1738</v>
      </c>
      <c r="AK105" s="16"/>
      <c r="AL105" s="16"/>
      <c r="AM105" s="16" t="s">
        <v>960</v>
      </c>
      <c r="AN105" s="1" t="s">
        <v>1760</v>
      </c>
    </row>
    <row r="106" spans="1:40" ht="12" customHeight="1" x14ac:dyDescent="0.2">
      <c r="A106" s="14">
        <v>16629</v>
      </c>
      <c r="B106" s="14">
        <v>16629</v>
      </c>
      <c r="C106" s="14">
        <v>3268</v>
      </c>
      <c r="D106" s="14" t="s">
        <v>306</v>
      </c>
      <c r="E106" s="14">
        <f>VLOOKUP(B106,[1]Sheet3!$A$2:$A$221,1,0)</f>
        <v>16629</v>
      </c>
      <c r="F106" s="14" t="s">
        <v>1353</v>
      </c>
      <c r="G106" s="14" t="s">
        <v>306</v>
      </c>
      <c r="H106" s="14"/>
      <c r="I106" s="14" t="s">
        <v>327</v>
      </c>
      <c r="J106" s="14" t="s">
        <v>1315</v>
      </c>
      <c r="K106" s="14" t="s">
        <v>1258</v>
      </c>
      <c r="L106" s="14" t="s">
        <v>966</v>
      </c>
      <c r="M106" s="14" t="s">
        <v>644</v>
      </c>
      <c r="N106" s="14" t="s">
        <v>1258</v>
      </c>
      <c r="O106" s="14" t="s">
        <v>1082</v>
      </c>
      <c r="P106" s="14" t="s">
        <v>1163</v>
      </c>
      <c r="Q106" s="14" t="s">
        <v>1297</v>
      </c>
      <c r="R106" s="14" t="s">
        <v>1596</v>
      </c>
      <c r="S106" s="14" t="s">
        <v>1164</v>
      </c>
      <c r="T106" s="14" t="s">
        <v>637</v>
      </c>
      <c r="U106" s="14" t="s">
        <v>1418</v>
      </c>
      <c r="V106" s="14" t="s">
        <v>1117</v>
      </c>
      <c r="W106" s="15"/>
      <c r="X106" s="15"/>
      <c r="Y106" s="15"/>
      <c r="Z106" s="14"/>
      <c r="AA106" s="14"/>
      <c r="AB106" s="14"/>
      <c r="AC106" s="14"/>
      <c r="AD106" s="14"/>
      <c r="AE106" s="18" t="s">
        <v>1674</v>
      </c>
      <c r="AF106" s="14"/>
      <c r="AG106" s="20" t="s">
        <v>1716</v>
      </c>
      <c r="AH106" s="20" t="s">
        <v>1754</v>
      </c>
      <c r="AI106" s="18" t="s">
        <v>1733</v>
      </c>
      <c r="AJ106" s="18" t="s">
        <v>1734</v>
      </c>
      <c r="AK106" s="16"/>
      <c r="AL106" s="16"/>
      <c r="AM106" s="16" t="s">
        <v>960</v>
      </c>
      <c r="AN106" s="1" t="s">
        <v>1760</v>
      </c>
    </row>
    <row r="107" spans="1:40" ht="12" customHeight="1" x14ac:dyDescent="0.2">
      <c r="A107" s="14">
        <v>16630</v>
      </c>
      <c r="B107" s="14">
        <v>16630</v>
      </c>
      <c r="C107" s="14">
        <v>3269</v>
      </c>
      <c r="D107" s="14" t="s">
        <v>306</v>
      </c>
      <c r="E107" s="14">
        <f>VLOOKUP(B107,[1]Sheet3!$A$2:$A$221,1,0)</f>
        <v>16630</v>
      </c>
      <c r="F107" s="14" t="s">
        <v>1353</v>
      </c>
      <c r="G107" s="14" t="s">
        <v>306</v>
      </c>
      <c r="H107" s="14"/>
      <c r="I107" s="14" t="s">
        <v>328</v>
      </c>
      <c r="J107" s="14" t="s">
        <v>734</v>
      </c>
      <c r="K107" s="14" t="s">
        <v>1603</v>
      </c>
      <c r="L107" s="14" t="s">
        <v>966</v>
      </c>
      <c r="M107" s="14" t="s">
        <v>1432</v>
      </c>
      <c r="N107" s="14" t="s">
        <v>1603</v>
      </c>
      <c r="O107" s="14" t="s">
        <v>1512</v>
      </c>
      <c r="P107" s="14" t="s">
        <v>625</v>
      </c>
      <c r="Q107" s="14" t="s">
        <v>876</v>
      </c>
      <c r="R107" s="14" t="s">
        <v>1432</v>
      </c>
      <c r="S107" s="14" t="s">
        <v>1164</v>
      </c>
      <c r="T107" s="14" t="s">
        <v>1298</v>
      </c>
      <c r="U107" s="14" t="s">
        <v>1418</v>
      </c>
      <c r="V107" s="14" t="s">
        <v>1117</v>
      </c>
      <c r="W107" s="15"/>
      <c r="X107" s="15"/>
      <c r="Y107" s="15"/>
      <c r="Z107" s="14"/>
      <c r="AA107" s="14"/>
      <c r="AB107" s="14"/>
      <c r="AC107" s="14"/>
      <c r="AD107" s="14"/>
      <c r="AE107" s="18" t="s">
        <v>1674</v>
      </c>
      <c r="AF107" s="14"/>
      <c r="AG107" s="20" t="s">
        <v>1717</v>
      </c>
      <c r="AH107" s="20" t="s">
        <v>1754</v>
      </c>
      <c r="AI107" s="18" t="s">
        <v>1733</v>
      </c>
      <c r="AJ107" s="18" t="s">
        <v>1734</v>
      </c>
      <c r="AK107" s="16"/>
      <c r="AL107" s="16"/>
      <c r="AM107" s="16" t="s">
        <v>960</v>
      </c>
      <c r="AN107" s="1" t="s">
        <v>1760</v>
      </c>
    </row>
    <row r="108" spans="1:40" ht="12" customHeight="1" x14ac:dyDescent="0.2">
      <c r="A108" s="14">
        <v>14947</v>
      </c>
      <c r="B108" s="14">
        <v>14947</v>
      </c>
      <c r="C108" s="14">
        <v>1062</v>
      </c>
      <c r="D108" s="14" t="s">
        <v>306</v>
      </c>
      <c r="E108" s="14">
        <f>VLOOKUP(B108,[1]Sheet3!$A$2:$A$221,1,0)</f>
        <v>14947</v>
      </c>
      <c r="F108" s="14" t="s">
        <v>1353</v>
      </c>
      <c r="G108" s="14" t="s">
        <v>306</v>
      </c>
      <c r="H108" s="14"/>
      <c r="I108" s="14" t="s">
        <v>1417</v>
      </c>
      <c r="J108" s="14" t="s">
        <v>731</v>
      </c>
      <c r="K108" s="14" t="s">
        <v>916</v>
      </c>
      <c r="L108" s="14" t="s">
        <v>666</v>
      </c>
      <c r="M108" s="14" t="s">
        <v>1336</v>
      </c>
      <c r="N108" s="14" t="s">
        <v>916</v>
      </c>
      <c r="O108" s="14" t="s">
        <v>1642</v>
      </c>
      <c r="P108" s="14" t="s">
        <v>1181</v>
      </c>
      <c r="Q108" s="14" t="s">
        <v>876</v>
      </c>
      <c r="R108" s="14" t="s">
        <v>1336</v>
      </c>
      <c r="S108" s="14" t="s">
        <v>683</v>
      </c>
      <c r="T108" s="14" t="s">
        <v>1237</v>
      </c>
      <c r="U108" s="14" t="s">
        <v>979</v>
      </c>
      <c r="V108" s="14" t="s">
        <v>252</v>
      </c>
      <c r="W108" s="15"/>
      <c r="X108" s="15"/>
      <c r="Y108" s="15"/>
      <c r="Z108" s="14"/>
      <c r="AA108" s="14"/>
      <c r="AB108" s="14"/>
      <c r="AC108" s="14"/>
      <c r="AD108" s="14"/>
      <c r="AE108" s="18" t="s">
        <v>1675</v>
      </c>
      <c r="AF108" s="14"/>
      <c r="AG108" s="20" t="s">
        <v>1718</v>
      </c>
      <c r="AH108" s="20" t="s">
        <v>1755</v>
      </c>
      <c r="AI108" s="18" t="s">
        <v>1733</v>
      </c>
      <c r="AJ108" s="18" t="s">
        <v>1727</v>
      </c>
      <c r="AK108" s="16"/>
      <c r="AL108" s="16"/>
      <c r="AM108" s="16" t="s">
        <v>960</v>
      </c>
      <c r="AN108" s="1" t="s">
        <v>1760</v>
      </c>
    </row>
    <row r="109" spans="1:40" ht="12" customHeight="1" x14ac:dyDescent="0.2">
      <c r="A109" s="14">
        <v>22317</v>
      </c>
      <c r="B109" s="14">
        <v>22317</v>
      </c>
      <c r="C109" s="14">
        <v>10575</v>
      </c>
      <c r="D109" s="14" t="s">
        <v>306</v>
      </c>
      <c r="E109" s="14">
        <f>VLOOKUP(B109,[1]Sheet3!$A$2:$A$221,1,0)</f>
        <v>22317</v>
      </c>
      <c r="F109" s="14" t="s">
        <v>1353</v>
      </c>
      <c r="G109" s="14" t="s">
        <v>306</v>
      </c>
      <c r="H109" s="14"/>
      <c r="I109" s="14" t="s">
        <v>1009</v>
      </c>
      <c r="J109" s="14" t="s">
        <v>136</v>
      </c>
      <c r="K109" s="14" t="s">
        <v>1078</v>
      </c>
      <c r="L109" s="14" t="s">
        <v>770</v>
      </c>
      <c r="M109" s="14" t="s">
        <v>1447</v>
      </c>
      <c r="N109" s="14" t="s">
        <v>1078</v>
      </c>
      <c r="O109" s="14" t="s">
        <v>1190</v>
      </c>
      <c r="P109" s="14" t="s">
        <v>567</v>
      </c>
      <c r="Q109" s="14" t="s">
        <v>876</v>
      </c>
      <c r="R109" s="14" t="s">
        <v>1447</v>
      </c>
      <c r="S109" s="14" t="s">
        <v>1062</v>
      </c>
      <c r="T109" s="14" t="s">
        <v>1231</v>
      </c>
      <c r="U109" s="14" t="s">
        <v>961</v>
      </c>
      <c r="V109" s="14" t="s">
        <v>423</v>
      </c>
      <c r="W109" s="15"/>
      <c r="X109" s="15"/>
      <c r="Y109" s="15"/>
      <c r="Z109" s="14"/>
      <c r="AA109" s="14"/>
      <c r="AB109" s="14"/>
      <c r="AC109" s="14"/>
      <c r="AD109" s="14"/>
      <c r="AE109" s="18" t="s">
        <v>1674</v>
      </c>
      <c r="AF109" s="14"/>
      <c r="AG109" s="20" t="s">
        <v>1719</v>
      </c>
      <c r="AH109" s="20" t="s">
        <v>1756</v>
      </c>
      <c r="AI109" s="18" t="s">
        <v>1726</v>
      </c>
      <c r="AJ109" s="18" t="s">
        <v>1734</v>
      </c>
      <c r="AK109" s="16"/>
      <c r="AL109" s="16"/>
      <c r="AM109" s="16" t="s">
        <v>960</v>
      </c>
      <c r="AN109" s="1" t="s">
        <v>1760</v>
      </c>
    </row>
    <row r="110" spans="1:40" ht="12" customHeight="1" x14ac:dyDescent="0.2">
      <c r="A110" s="14">
        <v>22739</v>
      </c>
      <c r="B110" s="14">
        <v>22739</v>
      </c>
      <c r="C110" s="14">
        <v>11176</v>
      </c>
      <c r="D110" s="14" t="s">
        <v>306</v>
      </c>
      <c r="E110" s="14">
        <f>VLOOKUP(B110,[1]Sheet3!$A$2:$A$221,1,0)</f>
        <v>22739</v>
      </c>
      <c r="F110" s="14" t="s">
        <v>1353</v>
      </c>
      <c r="G110" s="14" t="s">
        <v>306</v>
      </c>
      <c r="H110" s="14"/>
      <c r="I110" s="14" t="s">
        <v>896</v>
      </c>
      <c r="J110" s="14" t="s">
        <v>987</v>
      </c>
      <c r="K110" s="14" t="s">
        <v>703</v>
      </c>
      <c r="L110" s="14" t="s">
        <v>1033</v>
      </c>
      <c r="M110" s="14" t="s">
        <v>1049</v>
      </c>
      <c r="N110" s="14" t="s">
        <v>703</v>
      </c>
      <c r="O110" s="14" t="s">
        <v>1209</v>
      </c>
      <c r="P110" s="14" t="s">
        <v>825</v>
      </c>
      <c r="Q110" s="14" t="s">
        <v>558</v>
      </c>
      <c r="R110" s="14" t="s">
        <v>1596</v>
      </c>
      <c r="S110" s="14" t="s">
        <v>1062</v>
      </c>
      <c r="T110" s="14" t="s">
        <v>1096</v>
      </c>
      <c r="U110" s="14" t="s">
        <v>1376</v>
      </c>
      <c r="V110" s="14" t="s">
        <v>423</v>
      </c>
      <c r="W110" s="15"/>
      <c r="X110" s="15"/>
      <c r="Y110" s="15"/>
      <c r="Z110" s="14"/>
      <c r="AA110" s="14"/>
      <c r="AB110" s="14"/>
      <c r="AC110" s="14"/>
      <c r="AD110" s="14"/>
      <c r="AE110" s="18" t="s">
        <v>1674</v>
      </c>
      <c r="AF110" s="14"/>
      <c r="AG110" s="18"/>
      <c r="AH110" s="18"/>
      <c r="AI110" s="18" t="s">
        <v>1733</v>
      </c>
      <c r="AJ110" s="18" t="s">
        <v>1735</v>
      </c>
      <c r="AK110" s="16"/>
      <c r="AL110" s="16"/>
      <c r="AM110" s="16" t="s">
        <v>960</v>
      </c>
      <c r="AN110" s="1" t="s">
        <v>1760</v>
      </c>
    </row>
    <row r="111" spans="1:40" ht="12" customHeight="1" x14ac:dyDescent="0.2">
      <c r="A111" s="14">
        <v>14200</v>
      </c>
      <c r="B111" s="14">
        <v>14200</v>
      </c>
      <c r="C111" s="14">
        <v>10580</v>
      </c>
      <c r="D111" s="14" t="s">
        <v>306</v>
      </c>
      <c r="E111" s="14">
        <f>VLOOKUP(B111,[1]Sheet3!$A$2:$A$221,1,0)</f>
        <v>14200</v>
      </c>
      <c r="F111" s="14" t="s">
        <v>1353</v>
      </c>
      <c r="G111" s="14" t="s">
        <v>306</v>
      </c>
      <c r="H111" s="14"/>
      <c r="I111" s="14" t="s">
        <v>1514</v>
      </c>
      <c r="J111" s="14" t="s">
        <v>865</v>
      </c>
      <c r="K111" s="14" t="s">
        <v>263</v>
      </c>
      <c r="L111" s="14" t="s">
        <v>339</v>
      </c>
      <c r="M111" s="14" t="s">
        <v>1565</v>
      </c>
      <c r="N111" s="14" t="s">
        <v>263</v>
      </c>
      <c r="O111" s="14" t="s">
        <v>1378</v>
      </c>
      <c r="P111" s="14" t="s">
        <v>643</v>
      </c>
      <c r="Q111" s="14" t="s">
        <v>1294</v>
      </c>
      <c r="R111" s="14" t="s">
        <v>1596</v>
      </c>
      <c r="S111" s="14" t="s">
        <v>1062</v>
      </c>
      <c r="T111" s="14" t="s">
        <v>638</v>
      </c>
      <c r="U111" s="14" t="s">
        <v>1376</v>
      </c>
      <c r="V111" s="14" t="s">
        <v>423</v>
      </c>
      <c r="W111" s="15" t="s">
        <v>336</v>
      </c>
      <c r="X111" s="15"/>
      <c r="Y111" s="14" t="s">
        <v>665</v>
      </c>
      <c r="Z111" s="14"/>
      <c r="AA111" s="14"/>
      <c r="AB111" s="14"/>
      <c r="AC111" s="14"/>
      <c r="AD111" s="14"/>
      <c r="AE111" s="18" t="s">
        <v>1674</v>
      </c>
      <c r="AF111" s="14"/>
      <c r="AG111" s="18"/>
      <c r="AH111" s="18"/>
      <c r="AI111" s="18" t="s">
        <v>1726</v>
      </c>
      <c r="AJ111" s="18" t="s">
        <v>1735</v>
      </c>
      <c r="AK111" s="16"/>
      <c r="AL111" s="16"/>
      <c r="AM111" s="16" t="s">
        <v>960</v>
      </c>
      <c r="AN111" s="1" t="s">
        <v>1760</v>
      </c>
    </row>
    <row r="112" spans="1:40" ht="12" customHeight="1" x14ac:dyDescent="0.2">
      <c r="A112" s="14">
        <v>14204</v>
      </c>
      <c r="B112" s="14">
        <v>14204</v>
      </c>
      <c r="C112" s="14">
        <v>10581</v>
      </c>
      <c r="D112" s="14" t="s">
        <v>306</v>
      </c>
      <c r="E112" s="14">
        <f>VLOOKUP(B112,[1]Sheet3!$A$2:$A$221,1,0)</f>
        <v>14204</v>
      </c>
      <c r="F112" s="14" t="s">
        <v>1353</v>
      </c>
      <c r="G112" s="14" t="s">
        <v>306</v>
      </c>
      <c r="H112" s="14"/>
      <c r="I112" s="14" t="s">
        <v>1008</v>
      </c>
      <c r="J112" s="14" t="s">
        <v>48</v>
      </c>
      <c r="K112" s="14" t="s">
        <v>282</v>
      </c>
      <c r="L112" s="14" t="s">
        <v>339</v>
      </c>
      <c r="M112" s="14" t="s">
        <v>1565</v>
      </c>
      <c r="N112" s="14" t="s">
        <v>282</v>
      </c>
      <c r="O112" s="14" t="s">
        <v>760</v>
      </c>
      <c r="P112" s="14" t="s">
        <v>613</v>
      </c>
      <c r="Q112" s="14" t="s">
        <v>876</v>
      </c>
      <c r="R112" s="14" t="s">
        <v>1596</v>
      </c>
      <c r="S112" s="14" t="s">
        <v>1062</v>
      </c>
      <c r="T112" s="14" t="s">
        <v>638</v>
      </c>
      <c r="U112" s="14" t="s">
        <v>1376</v>
      </c>
      <c r="V112" s="14" t="s">
        <v>423</v>
      </c>
      <c r="W112" s="15" t="s">
        <v>336</v>
      </c>
      <c r="X112" s="15"/>
      <c r="Y112" s="14" t="s">
        <v>665</v>
      </c>
      <c r="Z112" s="14"/>
      <c r="AA112" s="14"/>
      <c r="AB112" s="14"/>
      <c r="AC112" s="14"/>
      <c r="AD112" s="14"/>
      <c r="AE112" s="18" t="s">
        <v>1674</v>
      </c>
      <c r="AF112" s="14"/>
      <c r="AG112" s="18"/>
      <c r="AH112" s="18"/>
      <c r="AI112" s="18" t="s">
        <v>1726</v>
      </c>
      <c r="AJ112" s="18" t="s">
        <v>1735</v>
      </c>
      <c r="AK112" s="16"/>
      <c r="AL112" s="16"/>
      <c r="AM112" s="16" t="s">
        <v>960</v>
      </c>
      <c r="AN112" s="1" t="s">
        <v>1760</v>
      </c>
    </row>
    <row r="113" spans="1:40" ht="12" customHeight="1" x14ac:dyDescent="0.2">
      <c r="A113" s="14">
        <v>22307</v>
      </c>
      <c r="B113" s="14">
        <v>22307</v>
      </c>
      <c r="C113" s="14">
        <v>10561</v>
      </c>
      <c r="D113" s="14" t="s">
        <v>306</v>
      </c>
      <c r="E113" s="14">
        <f>VLOOKUP(B113,[1]Sheet3!$A$2:$A$221,1,0)</f>
        <v>22307</v>
      </c>
      <c r="F113" s="14" t="s">
        <v>1353</v>
      </c>
      <c r="G113" s="14" t="s">
        <v>306</v>
      </c>
      <c r="H113" s="14"/>
      <c r="I113" s="14" t="s">
        <v>778</v>
      </c>
      <c r="J113" s="14" t="s">
        <v>176</v>
      </c>
      <c r="K113" s="14" t="s">
        <v>1227</v>
      </c>
      <c r="L113" s="14" t="s">
        <v>1481</v>
      </c>
      <c r="M113" s="14" t="s">
        <v>1336</v>
      </c>
      <c r="N113" s="14" t="s">
        <v>1227</v>
      </c>
      <c r="O113" s="14" t="s">
        <v>1282</v>
      </c>
      <c r="P113" s="14" t="s">
        <v>798</v>
      </c>
      <c r="Q113" s="14" t="s">
        <v>876</v>
      </c>
      <c r="R113" s="14" t="s">
        <v>1336</v>
      </c>
      <c r="S113" s="14" t="s">
        <v>1062</v>
      </c>
      <c r="T113" s="14" t="s">
        <v>434</v>
      </c>
      <c r="U113" s="14" t="s">
        <v>273</v>
      </c>
      <c r="V113" s="14" t="s">
        <v>423</v>
      </c>
      <c r="W113" s="15"/>
      <c r="X113" s="15"/>
      <c r="Y113" s="15"/>
      <c r="Z113" s="14"/>
      <c r="AA113" s="14"/>
      <c r="AB113" s="14"/>
      <c r="AC113" s="14"/>
      <c r="AD113" s="14"/>
      <c r="AE113" s="18" t="s">
        <v>1674</v>
      </c>
      <c r="AF113" s="14"/>
      <c r="AG113" s="20" t="s">
        <v>1720</v>
      </c>
      <c r="AH113" s="20" t="s">
        <v>1757</v>
      </c>
      <c r="AI113" s="18" t="s">
        <v>1733</v>
      </c>
      <c r="AJ113" s="18" t="s">
        <v>1734</v>
      </c>
      <c r="AK113" s="16"/>
      <c r="AL113" s="16"/>
      <c r="AM113" s="16" t="s">
        <v>960</v>
      </c>
      <c r="AN113" s="1" t="s">
        <v>1760</v>
      </c>
    </row>
    <row r="114" spans="1:40" ht="12" customHeight="1" x14ac:dyDescent="0.2">
      <c r="A114" s="14">
        <v>22740</v>
      </c>
      <c r="B114" s="14">
        <v>22740</v>
      </c>
      <c r="C114" s="14">
        <v>11177</v>
      </c>
      <c r="D114" s="14" t="s">
        <v>306</v>
      </c>
      <c r="E114" s="14">
        <f>VLOOKUP(B114,[1]Sheet3!$A$2:$A$221,1,0)</f>
        <v>22740</v>
      </c>
      <c r="F114" s="14" t="s">
        <v>1353</v>
      </c>
      <c r="G114" s="14" t="s">
        <v>306</v>
      </c>
      <c r="H114" s="14"/>
      <c r="I114" s="14" t="s">
        <v>1289</v>
      </c>
      <c r="J114" s="14" t="s">
        <v>590</v>
      </c>
      <c r="K114" s="14" t="s">
        <v>149</v>
      </c>
      <c r="L114" s="14" t="s">
        <v>1481</v>
      </c>
      <c r="M114" s="14" t="s">
        <v>1336</v>
      </c>
      <c r="N114" s="14" t="s">
        <v>149</v>
      </c>
      <c r="O114" s="14" t="s">
        <v>1058</v>
      </c>
      <c r="P114" s="14" t="s">
        <v>426</v>
      </c>
      <c r="Q114" s="14" t="s">
        <v>876</v>
      </c>
      <c r="R114" s="14" t="s">
        <v>1336</v>
      </c>
      <c r="S114" s="14" t="s">
        <v>1062</v>
      </c>
      <c r="T114" s="14" t="s">
        <v>1421</v>
      </c>
      <c r="U114" s="14" t="s">
        <v>273</v>
      </c>
      <c r="V114" s="14" t="s">
        <v>423</v>
      </c>
      <c r="W114" s="15"/>
      <c r="X114" s="15"/>
      <c r="Y114" s="15"/>
      <c r="Z114" s="14"/>
      <c r="AA114" s="14"/>
      <c r="AB114" s="14"/>
      <c r="AC114" s="14"/>
      <c r="AD114" s="14"/>
      <c r="AE114" s="18" t="s">
        <v>1674</v>
      </c>
      <c r="AF114" s="14"/>
      <c r="AG114" s="20" t="s">
        <v>1721</v>
      </c>
      <c r="AH114" s="20" t="s">
        <v>1757</v>
      </c>
      <c r="AI114" s="18" t="s">
        <v>1733</v>
      </c>
      <c r="AJ114" s="18" t="s">
        <v>1734</v>
      </c>
      <c r="AK114" s="16"/>
      <c r="AL114" s="16"/>
      <c r="AM114" s="16" t="s">
        <v>960</v>
      </c>
      <c r="AN114" s="1" t="s">
        <v>1760</v>
      </c>
    </row>
    <row r="115" spans="1:40" ht="12" customHeight="1" x14ac:dyDescent="0.2">
      <c r="A115" s="14">
        <v>22743</v>
      </c>
      <c r="B115" s="14">
        <v>22743</v>
      </c>
      <c r="C115" s="14">
        <v>11180</v>
      </c>
      <c r="D115" s="14" t="s">
        <v>306</v>
      </c>
      <c r="E115" s="14">
        <f>VLOOKUP(B115,[1]Sheet3!$A$2:$A$221,1,0)</f>
        <v>22743</v>
      </c>
      <c r="F115" s="14" t="s">
        <v>1353</v>
      </c>
      <c r="G115" s="14" t="s">
        <v>306</v>
      </c>
      <c r="H115" s="14"/>
      <c r="I115" s="14" t="s">
        <v>823</v>
      </c>
      <c r="J115" s="14" t="s">
        <v>1060</v>
      </c>
      <c r="K115" s="14" t="s">
        <v>1441</v>
      </c>
      <c r="L115" s="14" t="s">
        <v>1481</v>
      </c>
      <c r="M115" s="14" t="s">
        <v>1336</v>
      </c>
      <c r="N115" s="14" t="s">
        <v>1441</v>
      </c>
      <c r="O115" s="14" t="s">
        <v>498</v>
      </c>
      <c r="P115" s="14" t="s">
        <v>108</v>
      </c>
      <c r="Q115" s="14" t="s">
        <v>876</v>
      </c>
      <c r="R115" s="14" t="s">
        <v>1336</v>
      </c>
      <c r="S115" s="14" t="s">
        <v>1062</v>
      </c>
      <c r="T115" s="14" t="s">
        <v>465</v>
      </c>
      <c r="U115" s="14" t="s">
        <v>273</v>
      </c>
      <c r="V115" s="14" t="s">
        <v>423</v>
      </c>
      <c r="W115" s="15"/>
      <c r="X115" s="15"/>
      <c r="Y115" s="15"/>
      <c r="Z115" s="14"/>
      <c r="AA115" s="14"/>
      <c r="AB115" s="14"/>
      <c r="AC115" s="14"/>
      <c r="AD115" s="14"/>
      <c r="AE115" s="18" t="s">
        <v>1674</v>
      </c>
      <c r="AF115" s="14"/>
      <c r="AG115" s="20" t="s">
        <v>1722</v>
      </c>
      <c r="AH115" s="20" t="s">
        <v>1757</v>
      </c>
      <c r="AI115" s="18" t="s">
        <v>1733</v>
      </c>
      <c r="AJ115" s="18" t="s">
        <v>1734</v>
      </c>
      <c r="AK115" s="16"/>
      <c r="AL115" s="16"/>
      <c r="AM115" s="16" t="s">
        <v>960</v>
      </c>
      <c r="AN115" s="1" t="s">
        <v>1760</v>
      </c>
    </row>
    <row r="116" spans="1:40" ht="12" customHeight="1" x14ac:dyDescent="0.2">
      <c r="A116" s="14">
        <v>18123</v>
      </c>
      <c r="B116" s="14">
        <v>18123</v>
      </c>
      <c r="C116" s="14">
        <v>1433</v>
      </c>
      <c r="D116" s="14" t="s">
        <v>306</v>
      </c>
      <c r="E116" s="14">
        <f>VLOOKUP(B116,[1]Sheet3!$A$2:$A$221,1,0)</f>
        <v>18123</v>
      </c>
      <c r="F116" s="14" t="s">
        <v>1353</v>
      </c>
      <c r="G116" s="14" t="s">
        <v>306</v>
      </c>
      <c r="H116" s="14"/>
      <c r="I116" s="14" t="s">
        <v>523</v>
      </c>
      <c r="J116" s="14" t="s">
        <v>1122</v>
      </c>
      <c r="K116" s="14" t="s">
        <v>130</v>
      </c>
      <c r="L116" s="14" t="s">
        <v>826</v>
      </c>
      <c r="M116" s="14" t="s">
        <v>1336</v>
      </c>
      <c r="N116" s="14" t="s">
        <v>130</v>
      </c>
      <c r="O116" s="14" t="s">
        <v>689</v>
      </c>
      <c r="P116" s="14" t="s">
        <v>307</v>
      </c>
      <c r="Q116" s="14" t="s">
        <v>876</v>
      </c>
      <c r="R116" s="14" t="s">
        <v>1336</v>
      </c>
      <c r="S116" s="14" t="s">
        <v>207</v>
      </c>
      <c r="T116" s="14" t="s">
        <v>434</v>
      </c>
      <c r="U116" s="14" t="s">
        <v>1281</v>
      </c>
      <c r="V116" s="14" t="s">
        <v>1138</v>
      </c>
      <c r="W116" s="15" t="s">
        <v>775</v>
      </c>
      <c r="X116" s="15"/>
      <c r="Y116" s="14" t="s">
        <v>665</v>
      </c>
      <c r="Z116" s="14"/>
      <c r="AA116" s="14"/>
      <c r="AB116" s="14"/>
      <c r="AC116" s="14"/>
      <c r="AD116" s="14"/>
      <c r="AE116" s="18"/>
      <c r="AF116" s="14"/>
      <c r="AG116" s="18"/>
      <c r="AH116" s="18"/>
      <c r="AI116" s="18"/>
      <c r="AJ116" s="18" t="s">
        <v>1735</v>
      </c>
      <c r="AK116" s="16"/>
      <c r="AL116" s="16"/>
      <c r="AM116" s="16" t="s">
        <v>960</v>
      </c>
      <c r="AN116" s="1" t="s">
        <v>1760</v>
      </c>
    </row>
    <row r="117" spans="1:40" ht="12" customHeight="1" x14ac:dyDescent="0.2">
      <c r="A117" s="14">
        <v>18124</v>
      </c>
      <c r="B117" s="14">
        <v>18124</v>
      </c>
      <c r="C117" s="14">
        <v>1434</v>
      </c>
      <c r="D117" s="14" t="s">
        <v>306</v>
      </c>
      <c r="E117" s="14">
        <f>VLOOKUP(B117,[1]Sheet3!$A$2:$A$221,1,0)</f>
        <v>18124</v>
      </c>
      <c r="F117" s="14" t="s">
        <v>1353</v>
      </c>
      <c r="G117" s="14" t="s">
        <v>306</v>
      </c>
      <c r="H117" s="14"/>
      <c r="I117" s="14" t="s">
        <v>522</v>
      </c>
      <c r="J117" s="14" t="s">
        <v>694</v>
      </c>
      <c r="K117" s="14" t="s">
        <v>1359</v>
      </c>
      <c r="L117" s="14" t="s">
        <v>826</v>
      </c>
      <c r="M117" s="14" t="s">
        <v>1336</v>
      </c>
      <c r="N117" s="14" t="s">
        <v>1359</v>
      </c>
      <c r="O117" s="14" t="s">
        <v>41</v>
      </c>
      <c r="P117" s="14" t="s">
        <v>510</v>
      </c>
      <c r="Q117" s="14" t="s">
        <v>876</v>
      </c>
      <c r="R117" s="14" t="s">
        <v>1336</v>
      </c>
      <c r="S117" s="14" t="s">
        <v>207</v>
      </c>
      <c r="T117" s="14" t="s">
        <v>434</v>
      </c>
      <c r="U117" s="14" t="s">
        <v>1281</v>
      </c>
      <c r="V117" s="14" t="s">
        <v>1138</v>
      </c>
      <c r="W117" s="15" t="s">
        <v>775</v>
      </c>
      <c r="X117" s="15"/>
      <c r="Y117" s="14" t="s">
        <v>665</v>
      </c>
      <c r="Z117" s="14"/>
      <c r="AA117" s="14"/>
      <c r="AB117" s="14"/>
      <c r="AC117" s="14"/>
      <c r="AD117" s="14"/>
      <c r="AE117" s="18"/>
      <c r="AF117" s="14"/>
      <c r="AG117" s="18"/>
      <c r="AH117" s="18"/>
      <c r="AI117" s="18"/>
      <c r="AJ117" s="18" t="s">
        <v>1735</v>
      </c>
      <c r="AK117" s="16"/>
      <c r="AL117" s="16"/>
      <c r="AM117" s="16" t="s">
        <v>960</v>
      </c>
      <c r="AN117" s="1" t="s">
        <v>1760</v>
      </c>
    </row>
    <row r="118" spans="1:40" ht="12" customHeight="1" x14ac:dyDescent="0.2">
      <c r="A118" s="14">
        <v>18125</v>
      </c>
      <c r="B118" s="14">
        <v>18125</v>
      </c>
      <c r="C118" s="14">
        <v>3311</v>
      </c>
      <c r="D118" s="14" t="s">
        <v>306</v>
      </c>
      <c r="E118" s="14">
        <f>VLOOKUP(B118,[1]Sheet3!$A$2:$A$221,1,0)</f>
        <v>18125</v>
      </c>
      <c r="F118" s="14" t="s">
        <v>1353</v>
      </c>
      <c r="G118" s="14" t="s">
        <v>306</v>
      </c>
      <c r="H118" s="14"/>
      <c r="I118" s="14" t="s">
        <v>1412</v>
      </c>
      <c r="J118" s="14" t="s">
        <v>1268</v>
      </c>
      <c r="K118" s="14" t="s">
        <v>733</v>
      </c>
      <c r="L118" s="14" t="s">
        <v>1183</v>
      </c>
      <c r="M118" s="14" t="s">
        <v>1336</v>
      </c>
      <c r="N118" s="14" t="s">
        <v>733</v>
      </c>
      <c r="O118" s="14" t="s">
        <v>719</v>
      </c>
      <c r="P118" s="14" t="s">
        <v>997</v>
      </c>
      <c r="Q118" s="14" t="s">
        <v>876</v>
      </c>
      <c r="R118" s="14" t="s">
        <v>1336</v>
      </c>
      <c r="S118" s="14" t="s">
        <v>207</v>
      </c>
      <c r="T118" s="14" t="s">
        <v>434</v>
      </c>
      <c r="U118" s="14" t="s">
        <v>206</v>
      </c>
      <c r="V118" s="14" t="s">
        <v>1138</v>
      </c>
      <c r="W118" s="15" t="s">
        <v>775</v>
      </c>
      <c r="X118" s="15"/>
      <c r="Y118" s="14" t="s">
        <v>665</v>
      </c>
      <c r="Z118" s="14"/>
      <c r="AA118" s="14"/>
      <c r="AB118" s="14"/>
      <c r="AC118" s="14"/>
      <c r="AD118" s="14"/>
      <c r="AE118" s="18"/>
      <c r="AF118" s="14"/>
      <c r="AG118" s="18"/>
      <c r="AH118" s="18"/>
      <c r="AI118" s="18"/>
      <c r="AJ118" s="18" t="s">
        <v>1735</v>
      </c>
      <c r="AK118" s="16"/>
      <c r="AL118" s="16"/>
      <c r="AM118" s="16" t="s">
        <v>960</v>
      </c>
      <c r="AN118" s="1" t="s">
        <v>1760</v>
      </c>
    </row>
    <row r="119" spans="1:40" ht="12" customHeight="1" x14ac:dyDescent="0.2">
      <c r="A119" s="14">
        <v>971</v>
      </c>
      <c r="B119" s="14">
        <v>971</v>
      </c>
      <c r="C119" s="14">
        <v>3337</v>
      </c>
      <c r="D119" s="14" t="s">
        <v>306</v>
      </c>
      <c r="E119" s="14">
        <f>VLOOKUP(B119,[1]Sheet3!$A$2:$A$221,1,0)</f>
        <v>971</v>
      </c>
      <c r="F119" s="14" t="s">
        <v>1353</v>
      </c>
      <c r="G119" s="14" t="s">
        <v>306</v>
      </c>
      <c r="H119" s="14"/>
      <c r="I119" s="14" t="s">
        <v>171</v>
      </c>
      <c r="J119" s="14" t="s">
        <v>1321</v>
      </c>
      <c r="K119" s="14" t="s">
        <v>1497</v>
      </c>
      <c r="L119" s="14" t="s">
        <v>971</v>
      </c>
      <c r="M119" s="14" t="s">
        <v>1336</v>
      </c>
      <c r="N119" s="14" t="s">
        <v>1497</v>
      </c>
      <c r="O119" s="14" t="s">
        <v>109</v>
      </c>
      <c r="P119" s="14" t="s">
        <v>1047</v>
      </c>
      <c r="Q119" s="14" t="s">
        <v>876</v>
      </c>
      <c r="R119" s="14" t="s">
        <v>1336</v>
      </c>
      <c r="S119" s="14" t="s">
        <v>207</v>
      </c>
      <c r="T119" s="14" t="s">
        <v>434</v>
      </c>
      <c r="U119" s="14" t="s">
        <v>655</v>
      </c>
      <c r="V119" s="14" t="s">
        <v>1138</v>
      </c>
      <c r="W119" s="15" t="s">
        <v>775</v>
      </c>
      <c r="X119" s="15"/>
      <c r="Y119" s="14" t="s">
        <v>665</v>
      </c>
      <c r="Z119" s="14"/>
      <c r="AA119" s="14"/>
      <c r="AB119" s="14"/>
      <c r="AC119" s="14"/>
      <c r="AD119" s="14"/>
      <c r="AE119" s="18"/>
      <c r="AF119" s="14"/>
      <c r="AG119" s="18"/>
      <c r="AH119" s="18"/>
      <c r="AI119" s="18"/>
      <c r="AJ119" s="18" t="s">
        <v>1735</v>
      </c>
      <c r="AK119" s="16"/>
      <c r="AL119" s="16"/>
      <c r="AM119" s="16" t="s">
        <v>960</v>
      </c>
      <c r="AN119" s="1" t="s">
        <v>1760</v>
      </c>
    </row>
    <row r="120" spans="1:40" ht="12" customHeight="1" x14ac:dyDescent="0.2">
      <c r="A120" s="14">
        <v>18120</v>
      </c>
      <c r="B120" s="14">
        <v>18120</v>
      </c>
      <c r="C120" s="14">
        <v>1304</v>
      </c>
      <c r="D120" s="14" t="s">
        <v>306</v>
      </c>
      <c r="E120" s="14">
        <f>VLOOKUP(B120,[1]Sheet3!$A$2:$A$221,1,0)</f>
        <v>18120</v>
      </c>
      <c r="F120" s="14" t="s">
        <v>1353</v>
      </c>
      <c r="G120" s="14" t="s">
        <v>306</v>
      </c>
      <c r="H120" s="14"/>
      <c r="I120" s="14" t="s">
        <v>667</v>
      </c>
      <c r="J120" s="14" t="s">
        <v>49</v>
      </c>
      <c r="K120" s="14" t="s">
        <v>1577</v>
      </c>
      <c r="L120" s="14" t="s">
        <v>575</v>
      </c>
      <c r="M120" s="14" t="s">
        <v>1336</v>
      </c>
      <c r="N120" s="14" t="s">
        <v>1577</v>
      </c>
      <c r="O120" s="14" t="s">
        <v>1389</v>
      </c>
      <c r="P120" s="14" t="s">
        <v>1001</v>
      </c>
      <c r="Q120" s="14" t="s">
        <v>876</v>
      </c>
      <c r="R120" s="14" t="s">
        <v>1336</v>
      </c>
      <c r="S120" s="14" t="s">
        <v>207</v>
      </c>
      <c r="T120" s="14" t="s">
        <v>434</v>
      </c>
      <c r="U120" s="14" t="s">
        <v>285</v>
      </c>
      <c r="V120" s="14" t="s">
        <v>1138</v>
      </c>
      <c r="W120" s="15" t="s">
        <v>775</v>
      </c>
      <c r="X120" s="15"/>
      <c r="Y120" s="14" t="s">
        <v>665</v>
      </c>
      <c r="Z120" s="14"/>
      <c r="AA120" s="14"/>
      <c r="AB120" s="14"/>
      <c r="AC120" s="14"/>
      <c r="AD120" s="14"/>
      <c r="AE120" s="18"/>
      <c r="AF120" s="14"/>
      <c r="AG120" s="18"/>
      <c r="AH120" s="18"/>
      <c r="AI120" s="18"/>
      <c r="AJ120" s="18" t="s">
        <v>1735</v>
      </c>
      <c r="AK120" s="16"/>
      <c r="AL120" s="16"/>
      <c r="AM120" s="16" t="s">
        <v>960</v>
      </c>
      <c r="AN120" s="1" t="s">
        <v>1760</v>
      </c>
    </row>
    <row r="121" spans="1:40" ht="12" customHeight="1" x14ac:dyDescent="0.2">
      <c r="A121" s="14">
        <v>18174</v>
      </c>
      <c r="B121" s="14">
        <v>18174</v>
      </c>
      <c r="C121" s="14">
        <v>1435</v>
      </c>
      <c r="D121" s="14" t="s">
        <v>306</v>
      </c>
      <c r="E121" s="14">
        <f>VLOOKUP(B121,[1]Sheet3!$A$2:$A$221,1,0)</f>
        <v>18174</v>
      </c>
      <c r="F121" s="14" t="s">
        <v>1353</v>
      </c>
      <c r="G121" s="14" t="s">
        <v>306</v>
      </c>
      <c r="H121" s="14"/>
      <c r="I121" s="14" t="s">
        <v>458</v>
      </c>
      <c r="J121" s="14" t="s">
        <v>77</v>
      </c>
      <c r="K121" s="14" t="s">
        <v>992</v>
      </c>
      <c r="L121" s="14" t="s">
        <v>826</v>
      </c>
      <c r="M121" s="14" t="s">
        <v>1336</v>
      </c>
      <c r="N121" s="14" t="s">
        <v>992</v>
      </c>
      <c r="O121" s="14" t="s">
        <v>1325</v>
      </c>
      <c r="P121" s="14" t="s">
        <v>1659</v>
      </c>
      <c r="Q121" s="14" t="s">
        <v>876</v>
      </c>
      <c r="R121" s="14" t="s">
        <v>1336</v>
      </c>
      <c r="S121" s="14" t="s">
        <v>207</v>
      </c>
      <c r="T121" s="14" t="s">
        <v>465</v>
      </c>
      <c r="U121" s="14" t="s">
        <v>1281</v>
      </c>
      <c r="V121" s="14" t="s">
        <v>1138</v>
      </c>
      <c r="W121" s="15" t="s">
        <v>839</v>
      </c>
      <c r="X121" s="15"/>
      <c r="Y121" s="14" t="s">
        <v>665</v>
      </c>
      <c r="Z121" s="14"/>
      <c r="AA121" s="14"/>
      <c r="AB121" s="14"/>
      <c r="AC121" s="14"/>
      <c r="AD121" s="14"/>
      <c r="AE121" s="18"/>
      <c r="AF121" s="14"/>
      <c r="AG121" s="18"/>
      <c r="AH121" s="18"/>
      <c r="AI121" s="18"/>
      <c r="AJ121" s="18" t="s">
        <v>1735</v>
      </c>
      <c r="AK121" s="16"/>
      <c r="AL121" s="16"/>
      <c r="AM121" s="16" t="s">
        <v>960</v>
      </c>
      <c r="AN121" s="1" t="s">
        <v>1760</v>
      </c>
    </row>
    <row r="122" spans="1:40" ht="12" customHeight="1" x14ac:dyDescent="0.2">
      <c r="A122" s="14">
        <v>1472</v>
      </c>
      <c r="B122" s="14">
        <v>1472</v>
      </c>
      <c r="C122" s="14">
        <v>1436</v>
      </c>
      <c r="D122" s="14" t="s">
        <v>306</v>
      </c>
      <c r="E122" s="14">
        <f>VLOOKUP(B122,[1]Sheet3!$A$2:$A$221,1,0)</f>
        <v>1472</v>
      </c>
      <c r="F122" s="14" t="s">
        <v>1353</v>
      </c>
      <c r="G122" s="14" t="s">
        <v>306</v>
      </c>
      <c r="H122" s="14"/>
      <c r="I122" s="14" t="s">
        <v>1229</v>
      </c>
      <c r="J122" s="14" t="s">
        <v>599</v>
      </c>
      <c r="K122" s="14" t="s">
        <v>1462</v>
      </c>
      <c r="L122" s="14" t="s">
        <v>826</v>
      </c>
      <c r="M122" s="14" t="s">
        <v>1336</v>
      </c>
      <c r="N122" s="14" t="s">
        <v>1462</v>
      </c>
      <c r="O122" s="14" t="s">
        <v>1130</v>
      </c>
      <c r="P122" s="14" t="s">
        <v>816</v>
      </c>
      <c r="Q122" s="14" t="s">
        <v>876</v>
      </c>
      <c r="R122" s="14" t="s">
        <v>1336</v>
      </c>
      <c r="S122" s="14" t="s">
        <v>207</v>
      </c>
      <c r="T122" s="14" t="s">
        <v>465</v>
      </c>
      <c r="U122" s="14" t="s">
        <v>1281</v>
      </c>
      <c r="V122" s="14" t="s">
        <v>1138</v>
      </c>
      <c r="W122" s="15" t="s">
        <v>839</v>
      </c>
      <c r="X122" s="15"/>
      <c r="Y122" s="14" t="s">
        <v>665</v>
      </c>
      <c r="Z122" s="14"/>
      <c r="AA122" s="14"/>
      <c r="AB122" s="14"/>
      <c r="AC122" s="14"/>
      <c r="AD122" s="14"/>
      <c r="AE122" s="18"/>
      <c r="AF122" s="14"/>
      <c r="AG122" s="18"/>
      <c r="AH122" s="18"/>
      <c r="AI122" s="18"/>
      <c r="AJ122" s="18" t="s">
        <v>1735</v>
      </c>
      <c r="AK122" s="16"/>
      <c r="AL122" s="16"/>
      <c r="AM122" s="16" t="s">
        <v>960</v>
      </c>
      <c r="AN122" s="1" t="s">
        <v>1760</v>
      </c>
    </row>
    <row r="123" spans="1:40" ht="12" customHeight="1" x14ac:dyDescent="0.2">
      <c r="A123" s="14">
        <v>14689</v>
      </c>
      <c r="B123" s="14">
        <v>14689</v>
      </c>
      <c r="C123" s="14">
        <v>734</v>
      </c>
      <c r="D123" s="14" t="s">
        <v>306</v>
      </c>
      <c r="E123" s="14">
        <f>VLOOKUP(B123,[1]Sheet3!$A$2:$A$221,1,0)</f>
        <v>14689</v>
      </c>
      <c r="F123" s="14" t="s">
        <v>1353</v>
      </c>
      <c r="G123" s="14" t="s">
        <v>306</v>
      </c>
      <c r="H123" s="14"/>
      <c r="I123" s="14" t="s">
        <v>1483</v>
      </c>
      <c r="J123" s="14" t="s">
        <v>796</v>
      </c>
      <c r="K123" s="14" t="s">
        <v>668</v>
      </c>
      <c r="L123" s="14" t="s">
        <v>664</v>
      </c>
      <c r="M123" s="14" t="s">
        <v>1565</v>
      </c>
      <c r="N123" s="14" t="s">
        <v>668</v>
      </c>
      <c r="O123" s="14" t="s">
        <v>1360</v>
      </c>
      <c r="P123" s="14" t="s">
        <v>572</v>
      </c>
      <c r="Q123" s="14" t="s">
        <v>556</v>
      </c>
      <c r="R123" s="14" t="s">
        <v>1596</v>
      </c>
      <c r="S123" s="14" t="s">
        <v>207</v>
      </c>
      <c r="T123" s="14" t="s">
        <v>622</v>
      </c>
      <c r="U123" s="14" t="s">
        <v>1281</v>
      </c>
      <c r="V123" s="14" t="s">
        <v>1138</v>
      </c>
      <c r="W123" s="15"/>
      <c r="X123" s="15"/>
      <c r="Y123" s="15"/>
      <c r="Z123" s="14"/>
      <c r="AA123" s="14"/>
      <c r="AB123" s="14"/>
      <c r="AC123" s="14"/>
      <c r="AD123" s="14"/>
      <c r="AE123" s="18" t="s">
        <v>1674</v>
      </c>
      <c r="AF123" s="14"/>
      <c r="AG123" s="20" t="s">
        <v>1723</v>
      </c>
      <c r="AH123" s="21" t="s">
        <v>1758</v>
      </c>
      <c r="AI123" s="18" t="s">
        <v>1733</v>
      </c>
      <c r="AJ123" s="18" t="s">
        <v>1738</v>
      </c>
      <c r="AK123" s="16"/>
      <c r="AL123" s="16"/>
      <c r="AM123" s="16" t="s">
        <v>960</v>
      </c>
      <c r="AN123" s="1" t="s">
        <v>1760</v>
      </c>
    </row>
    <row r="124" spans="1:40" ht="12" customHeight="1" x14ac:dyDescent="0.2">
      <c r="A124" s="14">
        <v>14540</v>
      </c>
      <c r="B124" s="14">
        <v>14540</v>
      </c>
      <c r="C124" s="14">
        <v>10974</v>
      </c>
      <c r="D124" s="14" t="s">
        <v>306</v>
      </c>
      <c r="E124" s="14">
        <f>VLOOKUP(B124,[1]Sheet3!$A$2:$A$221,1,0)</f>
        <v>14540</v>
      </c>
      <c r="F124" s="14" t="s">
        <v>1353</v>
      </c>
      <c r="G124" s="14" t="s">
        <v>306</v>
      </c>
      <c r="H124" s="14"/>
      <c r="I124" s="14" t="s">
        <v>497</v>
      </c>
      <c r="J124" s="14" t="s">
        <v>1036</v>
      </c>
      <c r="K124" s="14" t="s">
        <v>1393</v>
      </c>
      <c r="L124" s="14" t="s">
        <v>562</v>
      </c>
      <c r="M124" s="14" t="s">
        <v>1336</v>
      </c>
      <c r="N124" s="14" t="s">
        <v>1393</v>
      </c>
      <c r="O124" s="14" t="s">
        <v>213</v>
      </c>
      <c r="P124" s="14" t="s">
        <v>634</v>
      </c>
      <c r="Q124" s="14" t="s">
        <v>876</v>
      </c>
      <c r="R124" s="14" t="s">
        <v>1336</v>
      </c>
      <c r="S124" s="14" t="s">
        <v>237</v>
      </c>
      <c r="T124" s="14" t="s">
        <v>1334</v>
      </c>
      <c r="U124" s="14" t="s">
        <v>680</v>
      </c>
      <c r="V124" s="14" t="s">
        <v>1054</v>
      </c>
      <c r="W124" s="15" t="s">
        <v>504</v>
      </c>
      <c r="X124" s="15"/>
      <c r="Y124" s="15" t="s">
        <v>342</v>
      </c>
      <c r="Z124" s="14" t="s">
        <v>324</v>
      </c>
      <c r="AA124" s="14" t="s">
        <v>938</v>
      </c>
      <c r="AB124" s="14"/>
      <c r="AC124" s="14"/>
      <c r="AD124" s="14">
        <v>0</v>
      </c>
      <c r="AE124" s="18" t="s">
        <v>564</v>
      </c>
      <c r="AF124" s="14"/>
      <c r="AG124" s="18"/>
      <c r="AH124" s="18"/>
      <c r="AI124" s="18"/>
      <c r="AJ124" s="18" t="s">
        <v>1735</v>
      </c>
      <c r="AK124" s="16"/>
      <c r="AL124" s="16"/>
      <c r="AM124" s="16" t="s">
        <v>960</v>
      </c>
      <c r="AN124" s="1" t="s">
        <v>1760</v>
      </c>
    </row>
    <row r="125" spans="1:40" ht="12" customHeight="1" x14ac:dyDescent="0.2">
      <c r="A125" s="14">
        <v>9778</v>
      </c>
      <c r="B125" s="14">
        <v>9778</v>
      </c>
      <c r="C125" s="14">
        <v>10597</v>
      </c>
      <c r="D125" s="14" t="s">
        <v>306</v>
      </c>
      <c r="E125" s="14">
        <f>VLOOKUP(B125,[1]Sheet3!$A$2:$A$221,1,0)</f>
        <v>9778</v>
      </c>
      <c r="F125" s="14" t="s">
        <v>1353</v>
      </c>
      <c r="G125" s="14" t="s">
        <v>306</v>
      </c>
      <c r="H125" s="14"/>
      <c r="I125" s="14" t="s">
        <v>578</v>
      </c>
      <c r="J125" s="14" t="s">
        <v>627</v>
      </c>
      <c r="K125" s="14" t="s">
        <v>227</v>
      </c>
      <c r="L125" s="14" t="s">
        <v>1154</v>
      </c>
      <c r="M125" s="14" t="s">
        <v>1336</v>
      </c>
      <c r="N125" s="14" t="s">
        <v>227</v>
      </c>
      <c r="O125" s="14" t="s">
        <v>1162</v>
      </c>
      <c r="P125" s="14" t="s">
        <v>93</v>
      </c>
      <c r="Q125" s="14" t="s">
        <v>876</v>
      </c>
      <c r="R125" s="14" t="s">
        <v>1336</v>
      </c>
      <c r="S125" s="14" t="s">
        <v>237</v>
      </c>
      <c r="T125" s="14" t="s">
        <v>1334</v>
      </c>
      <c r="U125" s="14" t="s">
        <v>5</v>
      </c>
      <c r="V125" s="14" t="s">
        <v>1054</v>
      </c>
      <c r="W125" s="15" t="s">
        <v>504</v>
      </c>
      <c r="X125" s="15"/>
      <c r="Y125" s="15" t="s">
        <v>342</v>
      </c>
      <c r="Z125" s="14" t="s">
        <v>324</v>
      </c>
      <c r="AA125" s="14" t="s">
        <v>938</v>
      </c>
      <c r="AB125" s="14"/>
      <c r="AC125" s="14"/>
      <c r="AD125" s="14">
        <v>0</v>
      </c>
      <c r="AE125" s="18" t="s">
        <v>1582</v>
      </c>
      <c r="AF125" s="14"/>
      <c r="AG125" s="18"/>
      <c r="AH125" s="18"/>
      <c r="AI125" s="18"/>
      <c r="AJ125" s="18" t="s">
        <v>1735</v>
      </c>
      <c r="AK125" s="16"/>
      <c r="AL125" s="16"/>
      <c r="AM125" s="16" t="s">
        <v>960</v>
      </c>
      <c r="AN125" s="1" t="s">
        <v>1760</v>
      </c>
    </row>
    <row r="126" spans="1:40" ht="12" customHeight="1" x14ac:dyDescent="0.2">
      <c r="A126" s="14">
        <v>21833</v>
      </c>
      <c r="B126" s="14">
        <v>21833</v>
      </c>
      <c r="C126" s="14">
        <v>9953</v>
      </c>
      <c r="D126" s="14" t="s">
        <v>306</v>
      </c>
      <c r="E126" s="14">
        <f>VLOOKUP(B126,[1]Sheet3!$A$2:$A$221,1,0)</f>
        <v>21833</v>
      </c>
      <c r="F126" s="14" t="s">
        <v>1353</v>
      </c>
      <c r="G126" s="14" t="s">
        <v>306</v>
      </c>
      <c r="H126" s="14"/>
      <c r="I126" s="14" t="s">
        <v>1273</v>
      </c>
      <c r="J126" s="14" t="s">
        <v>1671</v>
      </c>
      <c r="K126" s="14" t="s">
        <v>385</v>
      </c>
      <c r="L126" s="14" t="s">
        <v>30</v>
      </c>
      <c r="M126" s="14" t="s">
        <v>1336</v>
      </c>
      <c r="N126" s="14" t="s">
        <v>385</v>
      </c>
      <c r="O126" s="14" t="s">
        <v>1507</v>
      </c>
      <c r="P126" s="14" t="s">
        <v>645</v>
      </c>
      <c r="Q126" s="14" t="s">
        <v>876</v>
      </c>
      <c r="R126" s="14" t="s">
        <v>1336</v>
      </c>
      <c r="S126" s="14" t="s">
        <v>641</v>
      </c>
      <c r="T126" s="14" t="s">
        <v>552</v>
      </c>
      <c r="U126" s="14" t="s">
        <v>1106</v>
      </c>
      <c r="V126" s="14" t="s">
        <v>262</v>
      </c>
      <c r="W126" s="15"/>
      <c r="X126" s="15"/>
      <c r="Y126" s="15"/>
      <c r="Z126" s="14"/>
      <c r="AA126" s="14"/>
      <c r="AB126" s="14"/>
      <c r="AC126" s="14"/>
      <c r="AD126" s="14"/>
      <c r="AE126" s="18" t="s">
        <v>1674</v>
      </c>
      <c r="AF126" s="14"/>
      <c r="AG126" s="18"/>
      <c r="AH126" s="18"/>
      <c r="AI126" s="18"/>
      <c r="AJ126" s="18" t="s">
        <v>1674</v>
      </c>
      <c r="AK126" s="16"/>
      <c r="AL126" s="16"/>
      <c r="AM126" s="16" t="s">
        <v>960</v>
      </c>
      <c r="AN126" s="1" t="s">
        <v>1760</v>
      </c>
    </row>
    <row r="127" spans="1:40" ht="12" customHeight="1" x14ac:dyDescent="0.2">
      <c r="A127" s="14">
        <v>20499</v>
      </c>
      <c r="B127" s="14">
        <v>20499</v>
      </c>
      <c r="C127" s="14">
        <v>8216</v>
      </c>
      <c r="D127" s="14" t="s">
        <v>306</v>
      </c>
      <c r="E127" s="14">
        <f>VLOOKUP(B127,[1]Sheet3!$A$2:$A$221,1,0)</f>
        <v>20499</v>
      </c>
      <c r="F127" s="14" t="s">
        <v>1353</v>
      </c>
      <c r="G127" s="14" t="s">
        <v>306</v>
      </c>
      <c r="H127" s="14"/>
      <c r="I127" s="14" t="s">
        <v>1197</v>
      </c>
      <c r="J127" s="14" t="s">
        <v>150</v>
      </c>
      <c r="K127" s="14" t="s">
        <v>1377</v>
      </c>
      <c r="L127" s="14" t="s">
        <v>386</v>
      </c>
      <c r="M127" s="14" t="s">
        <v>1447</v>
      </c>
      <c r="N127" s="14" t="s">
        <v>1377</v>
      </c>
      <c r="O127" s="14" t="s">
        <v>1084</v>
      </c>
      <c r="P127" s="14" t="s">
        <v>269</v>
      </c>
      <c r="Q127" s="14" t="s">
        <v>876</v>
      </c>
      <c r="R127" s="14" t="s">
        <v>1447</v>
      </c>
      <c r="S127" s="14" t="s">
        <v>538</v>
      </c>
      <c r="T127" s="14" t="s">
        <v>465</v>
      </c>
      <c r="U127" s="14" t="s">
        <v>576</v>
      </c>
      <c r="V127" s="14" t="s">
        <v>1542</v>
      </c>
      <c r="W127" s="15"/>
      <c r="X127" s="15"/>
      <c r="Y127" s="15"/>
      <c r="Z127" s="14"/>
      <c r="AA127" s="14"/>
      <c r="AB127" s="14"/>
      <c r="AC127" s="14"/>
      <c r="AD127" s="14"/>
      <c r="AE127" s="18" t="s">
        <v>1680</v>
      </c>
      <c r="AF127" s="14"/>
      <c r="AG127" s="20" t="s">
        <v>1724</v>
      </c>
      <c r="AH127" s="20" t="s">
        <v>1759</v>
      </c>
      <c r="AI127" s="18" t="s">
        <v>1726</v>
      </c>
      <c r="AJ127" s="18" t="s">
        <v>1727</v>
      </c>
      <c r="AK127" s="16"/>
      <c r="AL127" s="16"/>
      <c r="AM127" s="16" t="s">
        <v>960</v>
      </c>
      <c r="AN127" s="1" t="s">
        <v>1760</v>
      </c>
    </row>
    <row r="128" spans="1:40" ht="12" customHeight="1" x14ac:dyDescent="0.2">
      <c r="A128" s="14">
        <v>2523</v>
      </c>
      <c r="B128" s="14">
        <v>2523</v>
      </c>
      <c r="C128" s="14">
        <v>7750</v>
      </c>
      <c r="D128" s="14" t="s">
        <v>306</v>
      </c>
      <c r="E128" s="14">
        <f>VLOOKUP(B128,[1]Sheet3!$A$2:$A$221,1,0)</f>
        <v>2523</v>
      </c>
      <c r="F128" s="14" t="s">
        <v>1353</v>
      </c>
      <c r="G128" s="14" t="s">
        <v>306</v>
      </c>
      <c r="H128" s="14"/>
      <c r="I128" s="14" t="s">
        <v>1284</v>
      </c>
      <c r="J128" s="14" t="s">
        <v>947</v>
      </c>
      <c r="K128" s="14" t="s">
        <v>1111</v>
      </c>
      <c r="L128" s="14" t="s">
        <v>479</v>
      </c>
      <c r="M128" s="14" t="s">
        <v>1432</v>
      </c>
      <c r="N128" s="14" t="s">
        <v>1111</v>
      </c>
      <c r="O128" s="14" t="s">
        <v>646</v>
      </c>
      <c r="P128" s="14" t="s">
        <v>425</v>
      </c>
      <c r="Q128" s="14" t="s">
        <v>876</v>
      </c>
      <c r="R128" s="14" t="s">
        <v>937</v>
      </c>
      <c r="S128" s="14" t="s">
        <v>187</v>
      </c>
      <c r="T128" s="14" t="s">
        <v>478</v>
      </c>
      <c r="U128" s="14" t="s">
        <v>1064</v>
      </c>
      <c r="V128" s="14" t="s">
        <v>177</v>
      </c>
      <c r="W128" s="15" t="s">
        <v>611</v>
      </c>
      <c r="X128" s="15"/>
      <c r="Y128" s="14" t="s">
        <v>665</v>
      </c>
      <c r="Z128" s="14"/>
      <c r="AA128" s="14"/>
      <c r="AB128" s="14"/>
      <c r="AC128" s="14"/>
      <c r="AD128" s="14"/>
      <c r="AE128" s="18"/>
      <c r="AF128" s="14"/>
      <c r="AG128" s="16"/>
      <c r="AH128" s="18"/>
      <c r="AI128" s="18"/>
      <c r="AJ128" s="18" t="s">
        <v>1735</v>
      </c>
      <c r="AK128" s="16"/>
      <c r="AL128" s="16"/>
      <c r="AM128" s="16" t="s">
        <v>960</v>
      </c>
      <c r="AN128" s="1" t="s">
        <v>1760</v>
      </c>
    </row>
    <row r="129" spans="1:40" ht="12" customHeight="1" x14ac:dyDescent="0.2">
      <c r="A129" s="14">
        <v>513</v>
      </c>
      <c r="B129" s="14">
        <v>513</v>
      </c>
      <c r="C129" s="14">
        <v>7773</v>
      </c>
      <c r="D129" s="14" t="s">
        <v>306</v>
      </c>
      <c r="E129" s="14">
        <f>VLOOKUP(B129,[1]Sheet3!$A$2:$A$221,1,0)</f>
        <v>513</v>
      </c>
      <c r="F129" s="14" t="s">
        <v>1353</v>
      </c>
      <c r="G129" s="14" t="s">
        <v>306</v>
      </c>
      <c r="H129" s="14"/>
      <c r="I129" s="14" t="s">
        <v>1147</v>
      </c>
      <c r="J129" s="14" t="s">
        <v>1551</v>
      </c>
      <c r="K129" s="14" t="s">
        <v>1470</v>
      </c>
      <c r="L129" s="14" t="s">
        <v>479</v>
      </c>
      <c r="M129" s="14" t="s">
        <v>1432</v>
      </c>
      <c r="N129" s="14" t="s">
        <v>1470</v>
      </c>
      <c r="O129" s="14" t="s">
        <v>875</v>
      </c>
      <c r="P129" s="14" t="s">
        <v>4</v>
      </c>
      <c r="Q129" s="14" t="s">
        <v>876</v>
      </c>
      <c r="R129" s="14" t="s">
        <v>937</v>
      </c>
      <c r="S129" s="14" t="s">
        <v>187</v>
      </c>
      <c r="T129" s="14" t="s">
        <v>478</v>
      </c>
      <c r="U129" s="14" t="s">
        <v>1064</v>
      </c>
      <c r="V129" s="14" t="s">
        <v>177</v>
      </c>
      <c r="W129" s="15" t="s">
        <v>611</v>
      </c>
      <c r="X129" s="15"/>
      <c r="Y129" s="14" t="s">
        <v>665</v>
      </c>
      <c r="Z129" s="14"/>
      <c r="AA129" s="14"/>
      <c r="AB129" s="14"/>
      <c r="AC129" s="14"/>
      <c r="AD129" s="14"/>
      <c r="AE129" s="18"/>
      <c r="AF129" s="14"/>
      <c r="AG129" s="16"/>
      <c r="AH129" s="18"/>
      <c r="AI129" s="18"/>
      <c r="AJ129" s="18" t="s">
        <v>1735</v>
      </c>
      <c r="AK129" s="16"/>
      <c r="AL129" s="16"/>
      <c r="AM129" s="16" t="s">
        <v>960</v>
      </c>
      <c r="AN129" s="1" t="s">
        <v>1760</v>
      </c>
    </row>
    <row r="130" spans="1:40" ht="12" customHeight="1" x14ac:dyDescent="0.2">
      <c r="A130" s="14">
        <v>11289</v>
      </c>
      <c r="B130" s="14">
        <v>11289</v>
      </c>
      <c r="C130" s="14">
        <v>14603</v>
      </c>
      <c r="D130" s="14" t="s">
        <v>306</v>
      </c>
      <c r="E130" s="14">
        <f>VLOOKUP(B130,[1]Sheet3!$A$2:$A$221,1,0)</f>
        <v>11289</v>
      </c>
      <c r="F130" s="14" t="s">
        <v>1353</v>
      </c>
      <c r="G130" s="14" t="s">
        <v>306</v>
      </c>
      <c r="H130" s="14"/>
      <c r="I130" s="14" t="s">
        <v>1188</v>
      </c>
      <c r="J130" s="14" t="s">
        <v>281</v>
      </c>
      <c r="K130" s="14" t="s">
        <v>941</v>
      </c>
      <c r="L130" s="14" t="s">
        <v>926</v>
      </c>
      <c r="M130" s="14" t="s">
        <v>644</v>
      </c>
      <c r="N130" s="14" t="s">
        <v>941</v>
      </c>
      <c r="O130" s="14" t="s">
        <v>1011</v>
      </c>
      <c r="P130" s="14" t="s">
        <v>914</v>
      </c>
      <c r="Q130" s="14" t="s">
        <v>876</v>
      </c>
      <c r="R130" s="14" t="s">
        <v>644</v>
      </c>
      <c r="S130" s="14" t="s">
        <v>1423</v>
      </c>
      <c r="T130" s="14" t="s">
        <v>219</v>
      </c>
      <c r="U130" s="14" t="s">
        <v>913</v>
      </c>
      <c r="V130" s="14" t="s">
        <v>1109</v>
      </c>
      <c r="W130" s="15" t="s">
        <v>1234</v>
      </c>
      <c r="X130" s="15"/>
      <c r="Y130" s="14" t="s">
        <v>665</v>
      </c>
      <c r="Z130" s="14"/>
      <c r="AA130" s="14"/>
      <c r="AB130" s="14"/>
      <c r="AC130" s="14"/>
      <c r="AD130" s="14"/>
      <c r="AE130" s="18"/>
      <c r="AF130" s="14"/>
      <c r="AG130" s="16"/>
      <c r="AH130" s="18"/>
      <c r="AI130" s="18"/>
      <c r="AJ130" s="18" t="s">
        <v>1735</v>
      </c>
      <c r="AK130" s="16"/>
      <c r="AL130" s="16"/>
      <c r="AM130" s="16" t="s">
        <v>960</v>
      </c>
      <c r="AN130" s="1" t="s">
        <v>1760</v>
      </c>
    </row>
    <row r="131" spans="1:40" ht="12" customHeight="1" x14ac:dyDescent="0.2">
      <c r="A131" s="14">
        <v>16920</v>
      </c>
      <c r="B131" s="14">
        <v>16920</v>
      </c>
      <c r="C131" s="14">
        <v>14604</v>
      </c>
      <c r="D131" s="14" t="s">
        <v>306</v>
      </c>
      <c r="E131" s="14">
        <f>VLOOKUP(B131,[1]Sheet3!$A$2:$A$221,1,0)</f>
        <v>16920</v>
      </c>
      <c r="F131" s="14" t="s">
        <v>1353</v>
      </c>
      <c r="G131" s="14" t="s">
        <v>306</v>
      </c>
      <c r="H131" s="14"/>
      <c r="I131" s="14" t="s">
        <v>191</v>
      </c>
      <c r="J131" s="14" t="s">
        <v>1142</v>
      </c>
      <c r="K131" s="14" t="s">
        <v>1548</v>
      </c>
      <c r="L131" s="14" t="s">
        <v>926</v>
      </c>
      <c r="M131" s="14" t="s">
        <v>644</v>
      </c>
      <c r="N131" s="14" t="s">
        <v>1548</v>
      </c>
      <c r="O131" s="14" t="s">
        <v>1256</v>
      </c>
      <c r="P131" s="14" t="s">
        <v>885</v>
      </c>
      <c r="Q131" s="14" t="s">
        <v>876</v>
      </c>
      <c r="R131" s="14" t="s">
        <v>644</v>
      </c>
      <c r="S131" s="14" t="s">
        <v>1423</v>
      </c>
      <c r="T131" s="14" t="s">
        <v>219</v>
      </c>
      <c r="U131" s="14" t="s">
        <v>913</v>
      </c>
      <c r="V131" s="14" t="s">
        <v>1109</v>
      </c>
      <c r="W131" s="15" t="s">
        <v>1234</v>
      </c>
      <c r="X131" s="15"/>
      <c r="Y131" s="14" t="s">
        <v>665</v>
      </c>
      <c r="Z131" s="14"/>
      <c r="AA131" s="14"/>
      <c r="AB131" s="14"/>
      <c r="AC131" s="14"/>
      <c r="AD131" s="14"/>
      <c r="AE131" s="18"/>
      <c r="AF131" s="14"/>
      <c r="AG131" s="16"/>
      <c r="AH131" s="18"/>
      <c r="AI131" s="18"/>
      <c r="AJ131" s="18" t="s">
        <v>1735</v>
      </c>
      <c r="AK131" s="16"/>
      <c r="AL131" s="16"/>
      <c r="AM131" s="16" t="s">
        <v>960</v>
      </c>
      <c r="AN131" s="1" t="s">
        <v>1760</v>
      </c>
    </row>
    <row r="132" spans="1:40" ht="12" customHeight="1" x14ac:dyDescent="0.2">
      <c r="A132" s="14">
        <v>11291</v>
      </c>
      <c r="B132" s="14">
        <v>11291</v>
      </c>
      <c r="C132" s="14">
        <v>14605</v>
      </c>
      <c r="D132" s="14" t="s">
        <v>306</v>
      </c>
      <c r="E132" s="14">
        <f>VLOOKUP(B132,[1]Sheet3!$A$2:$A$221,1,0)</f>
        <v>11291</v>
      </c>
      <c r="F132" s="14" t="s">
        <v>1353</v>
      </c>
      <c r="G132" s="14" t="s">
        <v>306</v>
      </c>
      <c r="H132" s="14"/>
      <c r="I132" s="14" t="s">
        <v>42</v>
      </c>
      <c r="J132" s="14" t="s">
        <v>456</v>
      </c>
      <c r="K132" s="14" t="s">
        <v>26</v>
      </c>
      <c r="L132" s="14" t="s">
        <v>926</v>
      </c>
      <c r="M132" s="14" t="s">
        <v>644</v>
      </c>
      <c r="N132" s="14" t="s">
        <v>26</v>
      </c>
      <c r="O132" s="14" t="s">
        <v>39</v>
      </c>
      <c r="P132" s="14" t="s">
        <v>1658</v>
      </c>
      <c r="Q132" s="14" t="s">
        <v>876</v>
      </c>
      <c r="R132" s="14" t="s">
        <v>644</v>
      </c>
      <c r="S132" s="14" t="s">
        <v>1423</v>
      </c>
      <c r="T132" s="14" t="s">
        <v>219</v>
      </c>
      <c r="U132" s="14" t="s">
        <v>913</v>
      </c>
      <c r="V132" s="14" t="s">
        <v>1109</v>
      </c>
      <c r="W132" s="15" t="s">
        <v>1234</v>
      </c>
      <c r="X132" s="15"/>
      <c r="Y132" s="14" t="s">
        <v>665</v>
      </c>
      <c r="Z132" s="14"/>
      <c r="AA132" s="14"/>
      <c r="AB132" s="14"/>
      <c r="AC132" s="14"/>
      <c r="AD132" s="14"/>
      <c r="AE132" s="18"/>
      <c r="AF132" s="14"/>
      <c r="AG132" s="16"/>
      <c r="AH132" s="18"/>
      <c r="AI132" s="18"/>
      <c r="AJ132" s="18" t="s">
        <v>1735</v>
      </c>
      <c r="AK132" s="16"/>
      <c r="AL132" s="16"/>
      <c r="AM132" s="16" t="s">
        <v>960</v>
      </c>
      <c r="AN132" s="1" t="s">
        <v>1760</v>
      </c>
    </row>
    <row r="133" spans="1:40" ht="12" customHeight="1" x14ac:dyDescent="0.2">
      <c r="A133" s="14">
        <v>17172</v>
      </c>
      <c r="B133" s="14">
        <v>17172</v>
      </c>
      <c r="C133" s="14">
        <v>14953</v>
      </c>
      <c r="D133" s="14" t="s">
        <v>306</v>
      </c>
      <c r="E133" s="14">
        <f>VLOOKUP(B133,[1]Sheet3!$A$2:$A$221,1,0)</f>
        <v>17172</v>
      </c>
      <c r="F133" s="14" t="s">
        <v>1353</v>
      </c>
      <c r="G133" s="14" t="s">
        <v>306</v>
      </c>
      <c r="H133" s="14"/>
      <c r="I133" s="14" t="s">
        <v>707</v>
      </c>
      <c r="J133" s="14" t="s">
        <v>1340</v>
      </c>
      <c r="K133" s="14" t="s">
        <v>1494</v>
      </c>
      <c r="L133" s="14" t="s">
        <v>926</v>
      </c>
      <c r="M133" s="14" t="s">
        <v>644</v>
      </c>
      <c r="N133" s="14" t="s">
        <v>1494</v>
      </c>
      <c r="O133" s="14" t="s">
        <v>323</v>
      </c>
      <c r="P133" s="14" t="s">
        <v>517</v>
      </c>
      <c r="Q133" s="14" t="s">
        <v>876</v>
      </c>
      <c r="R133" s="14" t="s">
        <v>644</v>
      </c>
      <c r="S133" s="14" t="s">
        <v>1423</v>
      </c>
      <c r="T133" s="14" t="s">
        <v>1203</v>
      </c>
      <c r="U133" s="14" t="s">
        <v>913</v>
      </c>
      <c r="V133" s="14" t="s">
        <v>1109</v>
      </c>
      <c r="W133" s="15" t="s">
        <v>1007</v>
      </c>
      <c r="X133" s="15"/>
      <c r="Y133" s="14" t="s">
        <v>665</v>
      </c>
      <c r="Z133" s="14"/>
      <c r="AA133" s="14"/>
      <c r="AB133" s="14"/>
      <c r="AC133" s="14"/>
      <c r="AD133" s="14"/>
      <c r="AE133" s="18"/>
      <c r="AF133" s="14"/>
      <c r="AG133" s="16"/>
      <c r="AH133" s="18"/>
      <c r="AI133" s="18"/>
      <c r="AJ133" s="18" t="s">
        <v>1735</v>
      </c>
      <c r="AK133" s="16"/>
      <c r="AL133" s="16"/>
      <c r="AM133" s="16" t="s">
        <v>960</v>
      </c>
      <c r="AN133" s="1" t="s">
        <v>1760</v>
      </c>
    </row>
    <row r="134" spans="1:40" ht="12" customHeight="1" x14ac:dyDescent="0.2">
      <c r="A134" s="14">
        <v>11537</v>
      </c>
      <c r="B134" s="14">
        <v>11537</v>
      </c>
      <c r="C134" s="14">
        <v>14954</v>
      </c>
      <c r="D134" s="14" t="s">
        <v>306</v>
      </c>
      <c r="E134" s="14">
        <f>VLOOKUP(B134,[1]Sheet3!$A$2:$A$221,1,0)</f>
        <v>11537</v>
      </c>
      <c r="F134" s="14" t="s">
        <v>1353</v>
      </c>
      <c r="G134" s="14" t="s">
        <v>306</v>
      </c>
      <c r="H134" s="14"/>
      <c r="I134" s="14" t="s">
        <v>442</v>
      </c>
      <c r="J134" s="14" t="s">
        <v>1669</v>
      </c>
      <c r="K134" s="14" t="s">
        <v>620</v>
      </c>
      <c r="L134" s="14" t="s">
        <v>926</v>
      </c>
      <c r="M134" s="14" t="s">
        <v>644</v>
      </c>
      <c r="N134" s="14" t="s">
        <v>620</v>
      </c>
      <c r="O134" s="14" t="s">
        <v>1486</v>
      </c>
      <c r="P134" s="14" t="s">
        <v>1649</v>
      </c>
      <c r="Q134" s="14" t="s">
        <v>876</v>
      </c>
      <c r="R134" s="14" t="s">
        <v>644</v>
      </c>
      <c r="S134" s="14" t="s">
        <v>1423</v>
      </c>
      <c r="T134" s="14" t="s">
        <v>1203</v>
      </c>
      <c r="U134" s="14" t="s">
        <v>913</v>
      </c>
      <c r="V134" s="14" t="s">
        <v>1109</v>
      </c>
      <c r="W134" s="15" t="s">
        <v>1007</v>
      </c>
      <c r="X134" s="15"/>
      <c r="Y134" s="14" t="s">
        <v>665</v>
      </c>
      <c r="Z134" s="14"/>
      <c r="AA134" s="14"/>
      <c r="AB134" s="14"/>
      <c r="AC134" s="14"/>
      <c r="AD134" s="14"/>
      <c r="AE134" s="18"/>
      <c r="AF134" s="14"/>
      <c r="AG134" s="16"/>
      <c r="AH134" s="18"/>
      <c r="AI134" s="18"/>
      <c r="AJ134" s="18" t="s">
        <v>1735</v>
      </c>
      <c r="AK134" s="16"/>
      <c r="AL134" s="16"/>
      <c r="AM134" s="16" t="s">
        <v>960</v>
      </c>
      <c r="AN134" s="1" t="s">
        <v>1760</v>
      </c>
    </row>
    <row r="135" spans="1:40" ht="12" customHeight="1" x14ac:dyDescent="0.2">
      <c r="A135" s="14">
        <v>11540</v>
      </c>
      <c r="B135" s="14">
        <v>11540</v>
      </c>
      <c r="C135" s="14">
        <v>14955</v>
      </c>
      <c r="D135" s="14" t="s">
        <v>306</v>
      </c>
      <c r="E135" s="14">
        <f>VLOOKUP(B135,[1]Sheet3!$A$2:$A$221,1,0)</f>
        <v>11540</v>
      </c>
      <c r="F135" s="14" t="s">
        <v>1353</v>
      </c>
      <c r="G135" s="14" t="s">
        <v>306</v>
      </c>
      <c r="H135" s="14"/>
      <c r="I135" s="14" t="s">
        <v>66</v>
      </c>
      <c r="J135" s="14" t="s">
        <v>81</v>
      </c>
      <c r="K135" s="14" t="s">
        <v>801</v>
      </c>
      <c r="L135" s="14" t="s">
        <v>926</v>
      </c>
      <c r="M135" s="14" t="s">
        <v>644</v>
      </c>
      <c r="N135" s="14" t="s">
        <v>801</v>
      </c>
      <c r="O135" s="14" t="s">
        <v>373</v>
      </c>
      <c r="P135" s="14" t="s">
        <v>488</v>
      </c>
      <c r="Q135" s="14" t="s">
        <v>876</v>
      </c>
      <c r="R135" s="14" t="s">
        <v>644</v>
      </c>
      <c r="S135" s="14" t="s">
        <v>1423</v>
      </c>
      <c r="T135" s="14" t="s">
        <v>1203</v>
      </c>
      <c r="U135" s="14" t="s">
        <v>913</v>
      </c>
      <c r="V135" s="14" t="s">
        <v>1109</v>
      </c>
      <c r="W135" s="15" t="s">
        <v>1007</v>
      </c>
      <c r="X135" s="15"/>
      <c r="Y135" s="14" t="s">
        <v>665</v>
      </c>
      <c r="Z135" s="14"/>
      <c r="AA135" s="14"/>
      <c r="AB135" s="14"/>
      <c r="AC135" s="14"/>
      <c r="AD135" s="14"/>
      <c r="AE135" s="18"/>
      <c r="AF135" s="14"/>
      <c r="AG135" s="16"/>
      <c r="AH135" s="18"/>
      <c r="AI135" s="18"/>
      <c r="AJ135" s="18" t="s">
        <v>1735</v>
      </c>
      <c r="AK135" s="16"/>
      <c r="AL135" s="16"/>
      <c r="AM135" s="16" t="s">
        <v>960</v>
      </c>
      <c r="AN135" s="1" t="s">
        <v>1760</v>
      </c>
    </row>
    <row r="136" spans="1:40" ht="12" customHeight="1" x14ac:dyDescent="0.2">
      <c r="A136" s="14">
        <v>11542</v>
      </c>
      <c r="B136" s="14">
        <v>11542</v>
      </c>
      <c r="C136" s="14">
        <v>14956</v>
      </c>
      <c r="D136" s="14" t="s">
        <v>306</v>
      </c>
      <c r="E136" s="14">
        <f>VLOOKUP(B136,[1]Sheet3!$A$2:$A$221,1,0)</f>
        <v>11542</v>
      </c>
      <c r="F136" s="14" t="s">
        <v>1353</v>
      </c>
      <c r="G136" s="14" t="s">
        <v>306</v>
      </c>
      <c r="H136" s="14"/>
      <c r="I136" s="14" t="s">
        <v>63</v>
      </c>
      <c r="J136" s="14" t="s">
        <v>16</v>
      </c>
      <c r="K136" s="14" t="s">
        <v>1151</v>
      </c>
      <c r="L136" s="14" t="s">
        <v>926</v>
      </c>
      <c r="M136" s="14" t="s">
        <v>644</v>
      </c>
      <c r="N136" s="14" t="s">
        <v>1151</v>
      </c>
      <c r="O136" s="14" t="s">
        <v>1409</v>
      </c>
      <c r="P136" s="14" t="s">
        <v>520</v>
      </c>
      <c r="Q136" s="14" t="s">
        <v>876</v>
      </c>
      <c r="R136" s="14" t="s">
        <v>644</v>
      </c>
      <c r="S136" s="14" t="s">
        <v>1423</v>
      </c>
      <c r="T136" s="14" t="s">
        <v>1203</v>
      </c>
      <c r="U136" s="14" t="s">
        <v>913</v>
      </c>
      <c r="V136" s="14" t="s">
        <v>1109</v>
      </c>
      <c r="W136" s="15" t="s">
        <v>1007</v>
      </c>
      <c r="X136" s="15"/>
      <c r="Y136" s="14" t="s">
        <v>665</v>
      </c>
      <c r="Z136" s="14"/>
      <c r="AA136" s="14"/>
      <c r="AB136" s="14"/>
      <c r="AC136" s="14"/>
      <c r="AD136" s="14"/>
      <c r="AE136" s="18"/>
      <c r="AF136" s="14"/>
      <c r="AG136" s="16"/>
      <c r="AH136" s="18"/>
      <c r="AI136" s="18"/>
      <c r="AJ136" s="18" t="s">
        <v>1735</v>
      </c>
      <c r="AK136" s="16"/>
      <c r="AL136" s="16"/>
      <c r="AM136" s="16" t="s">
        <v>960</v>
      </c>
      <c r="AN136" s="1" t="s">
        <v>1760</v>
      </c>
    </row>
    <row r="137" spans="1:40" ht="12" customHeight="1" x14ac:dyDescent="0.2">
      <c r="A137" s="14">
        <v>42333</v>
      </c>
      <c r="B137" s="14">
        <v>42333</v>
      </c>
      <c r="C137" s="14">
        <v>4036</v>
      </c>
      <c r="D137" s="14" t="s">
        <v>306</v>
      </c>
      <c r="E137" s="14">
        <f>VLOOKUP(B137,[1]Sheet3!$A$2:$A$221,1,0)</f>
        <v>42333</v>
      </c>
      <c r="F137" s="14" t="s">
        <v>1353</v>
      </c>
      <c r="G137" s="14" t="s">
        <v>306</v>
      </c>
      <c r="H137" s="14"/>
      <c r="I137" s="14" t="s">
        <v>780</v>
      </c>
      <c r="J137" s="14" t="s">
        <v>118</v>
      </c>
      <c r="K137" s="14" t="s">
        <v>50</v>
      </c>
      <c r="L137" s="14" t="s">
        <v>541</v>
      </c>
      <c r="M137" s="14" t="s">
        <v>1336</v>
      </c>
      <c r="N137" s="14" t="s">
        <v>50</v>
      </c>
      <c r="O137" s="14" t="s">
        <v>1137</v>
      </c>
      <c r="P137" s="14" t="s">
        <v>22</v>
      </c>
      <c r="Q137" s="14" t="s">
        <v>876</v>
      </c>
      <c r="R137" s="14" t="s">
        <v>1336</v>
      </c>
      <c r="S137" s="14" t="s">
        <v>1176</v>
      </c>
      <c r="T137" s="14" t="s">
        <v>1214</v>
      </c>
      <c r="U137" s="14" t="s">
        <v>1312</v>
      </c>
      <c r="V137" s="14" t="s">
        <v>1552</v>
      </c>
      <c r="W137" s="15" t="s">
        <v>1382</v>
      </c>
      <c r="X137" s="15"/>
      <c r="Y137" s="15" t="s">
        <v>773</v>
      </c>
      <c r="Z137" s="14"/>
      <c r="AA137" s="14"/>
      <c r="AB137" s="14"/>
      <c r="AC137" s="14"/>
      <c r="AD137" s="14"/>
      <c r="AE137" s="18"/>
      <c r="AF137" s="14"/>
      <c r="AG137" s="16"/>
      <c r="AH137" s="16"/>
      <c r="AI137" s="16"/>
      <c r="AJ137" s="16"/>
      <c r="AK137" s="16"/>
      <c r="AL137" s="16"/>
      <c r="AM137" s="16" t="s">
        <v>960</v>
      </c>
      <c r="AN137" s="1" t="s">
        <v>1760</v>
      </c>
    </row>
    <row r="138" spans="1:40" ht="12" customHeight="1" x14ac:dyDescent="0.2">
      <c r="A138" s="14">
        <v>42332</v>
      </c>
      <c r="B138" s="14">
        <v>42332</v>
      </c>
      <c r="C138" s="14">
        <v>4034</v>
      </c>
      <c r="D138" s="14" t="s">
        <v>306</v>
      </c>
      <c r="E138" s="14">
        <f>VLOOKUP(B138,[1]Sheet3!$A$2:$A$221,1,0)</f>
        <v>42332</v>
      </c>
      <c r="F138" s="14" t="s">
        <v>1353</v>
      </c>
      <c r="G138" s="14" t="s">
        <v>306</v>
      </c>
      <c r="H138" s="14"/>
      <c r="I138" s="14" t="s">
        <v>95</v>
      </c>
      <c r="J138" s="14" t="s">
        <v>463</v>
      </c>
      <c r="K138" s="14" t="s">
        <v>1346</v>
      </c>
      <c r="L138" s="14" t="s">
        <v>736</v>
      </c>
      <c r="M138" s="14" t="s">
        <v>1336</v>
      </c>
      <c r="N138" s="14" t="s">
        <v>1346</v>
      </c>
      <c r="O138" s="14" t="s">
        <v>866</v>
      </c>
      <c r="P138" s="14" t="s">
        <v>1347</v>
      </c>
      <c r="Q138" s="14" t="s">
        <v>876</v>
      </c>
      <c r="R138" s="14" t="s">
        <v>1336</v>
      </c>
      <c r="S138" s="14" t="s">
        <v>1176</v>
      </c>
      <c r="T138" s="14" t="s">
        <v>1214</v>
      </c>
      <c r="U138" s="14" t="s">
        <v>722</v>
      </c>
      <c r="V138" s="14" t="s">
        <v>1552</v>
      </c>
      <c r="W138" s="15" t="s">
        <v>1382</v>
      </c>
      <c r="X138" s="15"/>
      <c r="Y138" s="15" t="s">
        <v>773</v>
      </c>
      <c r="Z138" s="14"/>
      <c r="AA138" s="14"/>
      <c r="AB138" s="14"/>
      <c r="AC138" s="14"/>
      <c r="AD138" s="14"/>
      <c r="AE138" s="18"/>
      <c r="AF138" s="14"/>
      <c r="AG138" s="16"/>
      <c r="AH138" s="16"/>
      <c r="AI138" s="16"/>
      <c r="AJ138" s="16"/>
      <c r="AK138" s="16"/>
      <c r="AL138" s="16"/>
      <c r="AM138" s="16" t="s">
        <v>960</v>
      </c>
      <c r="AN138" s="1" t="s">
        <v>1760</v>
      </c>
    </row>
    <row r="139" spans="1:40" ht="12" customHeight="1" x14ac:dyDescent="0.2">
      <c r="A139" s="14">
        <v>42331</v>
      </c>
      <c r="B139" s="14">
        <v>42331</v>
      </c>
      <c r="C139" s="14">
        <v>4033</v>
      </c>
      <c r="D139" s="14" t="s">
        <v>306</v>
      </c>
      <c r="E139" s="14">
        <f>VLOOKUP(B139,[1]Sheet3!$A$2:$A$221,1,0)</f>
        <v>42331</v>
      </c>
      <c r="F139" s="14" t="s">
        <v>1353</v>
      </c>
      <c r="G139" s="14" t="s">
        <v>306</v>
      </c>
      <c r="H139" s="14"/>
      <c r="I139" s="14" t="s">
        <v>211</v>
      </c>
      <c r="J139" s="14" t="s">
        <v>163</v>
      </c>
      <c r="K139" s="14" t="s">
        <v>92</v>
      </c>
      <c r="L139" s="14" t="s">
        <v>915</v>
      </c>
      <c r="M139" s="14" t="s">
        <v>1336</v>
      </c>
      <c r="N139" s="14" t="s">
        <v>92</v>
      </c>
      <c r="O139" s="14" t="s">
        <v>1104</v>
      </c>
      <c r="P139" s="14" t="s">
        <v>242</v>
      </c>
      <c r="Q139" s="14" t="s">
        <v>876</v>
      </c>
      <c r="R139" s="14" t="s">
        <v>1336</v>
      </c>
      <c r="S139" s="14" t="s">
        <v>1176</v>
      </c>
      <c r="T139" s="14" t="s">
        <v>1214</v>
      </c>
      <c r="U139" s="14" t="s">
        <v>888</v>
      </c>
      <c r="V139" s="14" t="s">
        <v>1552</v>
      </c>
      <c r="W139" s="15" t="s">
        <v>1382</v>
      </c>
      <c r="X139" s="15"/>
      <c r="Y139" s="15" t="s">
        <v>773</v>
      </c>
      <c r="Z139" s="14"/>
      <c r="AA139" s="14"/>
      <c r="AB139" s="14"/>
      <c r="AC139" s="14"/>
      <c r="AD139" s="14"/>
      <c r="AE139" s="18"/>
      <c r="AF139" s="14"/>
      <c r="AG139" s="16"/>
      <c r="AH139" s="16"/>
      <c r="AI139" s="16"/>
      <c r="AJ139" s="16"/>
      <c r="AK139" s="16"/>
      <c r="AL139" s="16"/>
      <c r="AM139" s="16" t="s">
        <v>960</v>
      </c>
      <c r="AN139" s="1" t="s">
        <v>1760</v>
      </c>
    </row>
    <row r="140" spans="1:40" ht="12" customHeight="1" x14ac:dyDescent="0.2">
      <c r="A140" s="14">
        <v>42330</v>
      </c>
      <c r="B140" s="14">
        <v>42330</v>
      </c>
      <c r="C140" s="14">
        <v>4030</v>
      </c>
      <c r="D140" s="14" t="s">
        <v>306</v>
      </c>
      <c r="E140" s="14">
        <f>VLOOKUP(B140,[1]Sheet3!$A$2:$A$221,1,0)</f>
        <v>42330</v>
      </c>
      <c r="F140" s="14" t="s">
        <v>1353</v>
      </c>
      <c r="G140" s="14" t="s">
        <v>306</v>
      </c>
      <c r="H140" s="14"/>
      <c r="I140" s="14" t="s">
        <v>193</v>
      </c>
      <c r="J140" s="14" t="s">
        <v>1459</v>
      </c>
      <c r="K140" s="14" t="s">
        <v>1248</v>
      </c>
      <c r="L140" s="14" t="s">
        <v>1103</v>
      </c>
      <c r="M140" s="14" t="s">
        <v>1336</v>
      </c>
      <c r="N140" s="14" t="s">
        <v>1248</v>
      </c>
      <c r="O140" s="14" t="s">
        <v>204</v>
      </c>
      <c r="P140" s="14" t="s">
        <v>1097</v>
      </c>
      <c r="Q140" s="14" t="s">
        <v>876</v>
      </c>
      <c r="R140" s="14" t="s">
        <v>1336</v>
      </c>
      <c r="S140" s="14" t="s">
        <v>1176</v>
      </c>
      <c r="T140" s="14" t="s">
        <v>1214</v>
      </c>
      <c r="U140" s="14" t="s">
        <v>73</v>
      </c>
      <c r="V140" s="14" t="s">
        <v>1552</v>
      </c>
      <c r="W140" s="15" t="s">
        <v>1382</v>
      </c>
      <c r="X140" s="15"/>
      <c r="Y140" s="15" t="s">
        <v>773</v>
      </c>
      <c r="Z140" s="14"/>
      <c r="AA140" s="14"/>
      <c r="AB140" s="14"/>
      <c r="AC140" s="14"/>
      <c r="AD140" s="14"/>
      <c r="AE140" s="18"/>
      <c r="AF140" s="14"/>
      <c r="AG140" s="16"/>
      <c r="AH140" s="16"/>
      <c r="AI140" s="16"/>
      <c r="AJ140" s="16"/>
      <c r="AK140" s="16"/>
      <c r="AL140" s="16"/>
      <c r="AM140" s="16" t="s">
        <v>960</v>
      </c>
      <c r="AN140" s="1" t="s">
        <v>1760</v>
      </c>
    </row>
    <row r="141" spans="1:40" ht="12" customHeight="1" x14ac:dyDescent="0.2">
      <c r="A141" s="14">
        <v>42349</v>
      </c>
      <c r="B141" s="14">
        <v>42349</v>
      </c>
      <c r="C141" s="14">
        <v>4037</v>
      </c>
      <c r="D141" s="14" t="s">
        <v>306</v>
      </c>
      <c r="E141" s="14">
        <f>VLOOKUP(B141,[1]Sheet3!$A$2:$A$221,1,0)</f>
        <v>42349</v>
      </c>
      <c r="F141" s="14" t="s">
        <v>1353</v>
      </c>
      <c r="G141" s="14" t="s">
        <v>306</v>
      </c>
      <c r="H141" s="14"/>
      <c r="I141" s="14" t="s">
        <v>123</v>
      </c>
      <c r="J141" s="14" t="s">
        <v>260</v>
      </c>
      <c r="K141" s="14" t="s">
        <v>1609</v>
      </c>
      <c r="L141" s="14" t="s">
        <v>541</v>
      </c>
      <c r="M141" s="14" t="s">
        <v>1336</v>
      </c>
      <c r="N141" s="14" t="s">
        <v>1609</v>
      </c>
      <c r="O141" s="14" t="s">
        <v>1169</v>
      </c>
      <c r="P141" s="14" t="s">
        <v>542</v>
      </c>
      <c r="Q141" s="14" t="s">
        <v>876</v>
      </c>
      <c r="R141" s="14" t="s">
        <v>1336</v>
      </c>
      <c r="S141" s="14" t="s">
        <v>1176</v>
      </c>
      <c r="T141" s="14" t="s">
        <v>1237</v>
      </c>
      <c r="U141" s="14" t="s">
        <v>1312</v>
      </c>
      <c r="V141" s="14" t="s">
        <v>1552</v>
      </c>
      <c r="W141" s="15" t="s">
        <v>24</v>
      </c>
      <c r="X141" s="15"/>
      <c r="Y141" s="15" t="s">
        <v>773</v>
      </c>
      <c r="Z141" s="14"/>
      <c r="AA141" s="14"/>
      <c r="AB141" s="14"/>
      <c r="AC141" s="14"/>
      <c r="AD141" s="14"/>
      <c r="AE141" s="18"/>
      <c r="AF141" s="14"/>
      <c r="AG141" s="16"/>
      <c r="AH141" s="16"/>
      <c r="AI141" s="16"/>
      <c r="AJ141" s="16"/>
      <c r="AK141" s="16"/>
      <c r="AL141" s="16"/>
      <c r="AM141" s="16" t="s">
        <v>960</v>
      </c>
      <c r="AN141" s="1" t="s">
        <v>1760</v>
      </c>
    </row>
    <row r="142" spans="1:40" ht="12" customHeight="1" x14ac:dyDescent="0.2">
      <c r="A142" s="14">
        <v>42350</v>
      </c>
      <c r="B142" s="14">
        <v>42350</v>
      </c>
      <c r="C142" s="14">
        <v>4039</v>
      </c>
      <c r="D142" s="14" t="s">
        <v>306</v>
      </c>
      <c r="E142" s="14">
        <f>VLOOKUP(B142,[1]Sheet3!$A$2:$A$221,1,0)</f>
        <v>42350</v>
      </c>
      <c r="F142" s="14" t="s">
        <v>1353</v>
      </c>
      <c r="G142" s="14" t="s">
        <v>306</v>
      </c>
      <c r="H142" s="14"/>
      <c r="I142" s="14" t="s">
        <v>1226</v>
      </c>
      <c r="J142" s="14" t="s">
        <v>1042</v>
      </c>
      <c r="K142" s="14" t="s">
        <v>265</v>
      </c>
      <c r="L142" s="14" t="s">
        <v>736</v>
      </c>
      <c r="M142" s="14" t="s">
        <v>1336</v>
      </c>
      <c r="N142" s="14" t="s">
        <v>265</v>
      </c>
      <c r="O142" s="14" t="s">
        <v>1547</v>
      </c>
      <c r="P142" s="14" t="s">
        <v>397</v>
      </c>
      <c r="Q142" s="14" t="s">
        <v>876</v>
      </c>
      <c r="R142" s="14" t="s">
        <v>1336</v>
      </c>
      <c r="S142" s="14" t="s">
        <v>1176</v>
      </c>
      <c r="T142" s="14" t="s">
        <v>1237</v>
      </c>
      <c r="U142" s="14" t="s">
        <v>722</v>
      </c>
      <c r="V142" s="14" t="s">
        <v>1552</v>
      </c>
      <c r="W142" s="15" t="s">
        <v>24</v>
      </c>
      <c r="X142" s="15"/>
      <c r="Y142" s="15" t="s">
        <v>773</v>
      </c>
      <c r="Z142" s="14"/>
      <c r="AA142" s="14"/>
      <c r="AB142" s="14"/>
      <c r="AC142" s="14"/>
      <c r="AD142" s="14"/>
      <c r="AE142" s="18"/>
      <c r="AF142" s="14"/>
      <c r="AG142" s="16"/>
      <c r="AH142" s="16"/>
      <c r="AI142" s="16"/>
      <c r="AJ142" s="16"/>
      <c r="AK142" s="16"/>
      <c r="AL142" s="16"/>
      <c r="AM142" s="16" t="s">
        <v>960</v>
      </c>
      <c r="AN142" s="1" t="s">
        <v>1760</v>
      </c>
    </row>
    <row r="143" spans="1:40" ht="12" customHeight="1" x14ac:dyDescent="0.2">
      <c r="A143" s="14">
        <v>42351</v>
      </c>
      <c r="B143" s="14">
        <v>42351</v>
      </c>
      <c r="C143" s="14">
        <v>4040</v>
      </c>
      <c r="D143" s="14" t="s">
        <v>306</v>
      </c>
      <c r="E143" s="14">
        <f>VLOOKUP(B143,[1]Sheet3!$A$2:$A$221,1,0)</f>
        <v>42351</v>
      </c>
      <c r="F143" s="14" t="s">
        <v>1353</v>
      </c>
      <c r="G143" s="14" t="s">
        <v>306</v>
      </c>
      <c r="H143" s="14"/>
      <c r="I143" s="14" t="s">
        <v>838</v>
      </c>
      <c r="J143" s="14" t="s">
        <v>1271</v>
      </c>
      <c r="K143" s="14" t="s">
        <v>519</v>
      </c>
      <c r="L143" s="14" t="s">
        <v>915</v>
      </c>
      <c r="M143" s="14" t="s">
        <v>1336</v>
      </c>
      <c r="N143" s="14" t="s">
        <v>519</v>
      </c>
      <c r="O143" s="14" t="s">
        <v>430</v>
      </c>
      <c r="P143" s="14" t="s">
        <v>900</v>
      </c>
      <c r="Q143" s="14" t="s">
        <v>876</v>
      </c>
      <c r="R143" s="14" t="s">
        <v>1336</v>
      </c>
      <c r="S143" s="14" t="s">
        <v>1176</v>
      </c>
      <c r="T143" s="14" t="s">
        <v>1237</v>
      </c>
      <c r="U143" s="14" t="s">
        <v>888</v>
      </c>
      <c r="V143" s="14" t="s">
        <v>1552</v>
      </c>
      <c r="W143" s="15" t="s">
        <v>24</v>
      </c>
      <c r="X143" s="15"/>
      <c r="Y143" s="15" t="s">
        <v>773</v>
      </c>
      <c r="Z143" s="14"/>
      <c r="AA143" s="14"/>
      <c r="AB143" s="14"/>
      <c r="AC143" s="14"/>
      <c r="AD143" s="14"/>
      <c r="AE143" s="18"/>
      <c r="AF143" s="14"/>
      <c r="AG143" s="16"/>
      <c r="AH143" s="16"/>
      <c r="AI143" s="16"/>
      <c r="AJ143" s="16"/>
      <c r="AK143" s="16"/>
      <c r="AL143" s="16"/>
      <c r="AM143" s="16" t="s">
        <v>960</v>
      </c>
      <c r="AN143" s="1" t="s">
        <v>1760</v>
      </c>
    </row>
    <row r="144" spans="1:40" ht="12" customHeight="1" x14ac:dyDescent="0.2">
      <c r="A144" s="14">
        <v>42353</v>
      </c>
      <c r="B144" s="14">
        <v>42353</v>
      </c>
      <c r="C144" s="14">
        <v>4041</v>
      </c>
      <c r="D144" s="14" t="s">
        <v>306</v>
      </c>
      <c r="E144" s="14">
        <f>VLOOKUP(B144,[1]Sheet3!$A$2:$A$221,1,0)</f>
        <v>42353</v>
      </c>
      <c r="F144" s="14" t="s">
        <v>1353</v>
      </c>
      <c r="G144" s="14" t="s">
        <v>306</v>
      </c>
      <c r="H144" s="14"/>
      <c r="I144" s="14" t="s">
        <v>198</v>
      </c>
      <c r="J144" s="14" t="s">
        <v>317</v>
      </c>
      <c r="K144" s="14" t="s">
        <v>1532</v>
      </c>
      <c r="L144" s="14" t="s">
        <v>1103</v>
      </c>
      <c r="M144" s="14" t="s">
        <v>1336</v>
      </c>
      <c r="N144" s="14" t="s">
        <v>1532</v>
      </c>
      <c r="O144" s="14" t="s">
        <v>69</v>
      </c>
      <c r="P144" s="14" t="s">
        <v>1556</v>
      </c>
      <c r="Q144" s="14" t="s">
        <v>876</v>
      </c>
      <c r="R144" s="14" t="s">
        <v>1336</v>
      </c>
      <c r="S144" s="14" t="s">
        <v>1176</v>
      </c>
      <c r="T144" s="14" t="s">
        <v>1237</v>
      </c>
      <c r="U144" s="14" t="s">
        <v>73</v>
      </c>
      <c r="V144" s="14" t="s">
        <v>1552</v>
      </c>
      <c r="W144" s="15" t="s">
        <v>24</v>
      </c>
      <c r="X144" s="15"/>
      <c r="Y144" s="15" t="s">
        <v>773</v>
      </c>
      <c r="Z144" s="14"/>
      <c r="AA144" s="14"/>
      <c r="AB144" s="14"/>
      <c r="AC144" s="14"/>
      <c r="AD144" s="14"/>
      <c r="AE144" s="18"/>
      <c r="AF144" s="14"/>
      <c r="AG144" s="16"/>
      <c r="AH144" s="16"/>
      <c r="AI144" s="16"/>
      <c r="AJ144" s="16"/>
      <c r="AK144" s="16"/>
      <c r="AL144" s="16"/>
      <c r="AM144" s="16" t="s">
        <v>960</v>
      </c>
      <c r="AN144" s="1" t="s">
        <v>1760</v>
      </c>
    </row>
    <row r="145" spans="1:40" ht="12" customHeight="1" x14ac:dyDescent="0.2">
      <c r="A145" s="14">
        <v>6803</v>
      </c>
      <c r="B145" s="14">
        <v>6803</v>
      </c>
      <c r="C145" s="14">
        <v>6698</v>
      </c>
      <c r="D145" s="14" t="s">
        <v>306</v>
      </c>
      <c r="E145" s="14">
        <f>VLOOKUP(B145,[1]Sheet3!$A$2:$A$221,1,0)</f>
        <v>6803</v>
      </c>
      <c r="F145" s="14" t="s">
        <v>1353</v>
      </c>
      <c r="G145" s="14" t="s">
        <v>306</v>
      </c>
      <c r="H145" s="14"/>
      <c r="I145" s="14" t="s">
        <v>1419</v>
      </c>
      <c r="J145" s="14" t="s">
        <v>280</v>
      </c>
      <c r="K145" s="14" t="s">
        <v>1618</v>
      </c>
      <c r="L145" s="14" t="s">
        <v>679</v>
      </c>
      <c r="M145" s="14" t="s">
        <v>1336</v>
      </c>
      <c r="N145" s="14" t="s">
        <v>1618</v>
      </c>
      <c r="O145" s="14" t="s">
        <v>956</v>
      </c>
      <c r="P145" s="14" t="s">
        <v>248</v>
      </c>
      <c r="Q145" s="14" t="s">
        <v>876</v>
      </c>
      <c r="R145" s="14" t="s">
        <v>1336</v>
      </c>
      <c r="S145" s="14" t="s">
        <v>639</v>
      </c>
      <c r="T145" s="14" t="s">
        <v>1023</v>
      </c>
      <c r="U145" s="14" t="s">
        <v>447</v>
      </c>
      <c r="V145" s="14" t="s">
        <v>255</v>
      </c>
      <c r="W145" s="15"/>
      <c r="X145" s="15"/>
      <c r="Y145" s="15"/>
      <c r="Z145" s="14"/>
      <c r="AA145" s="14"/>
      <c r="AB145" s="14"/>
      <c r="AC145" s="14"/>
      <c r="AD145" s="14"/>
      <c r="AE145" s="18"/>
      <c r="AF145" s="14"/>
      <c r="AG145" s="16"/>
      <c r="AH145" s="16"/>
      <c r="AI145" s="16"/>
      <c r="AJ145" s="16"/>
      <c r="AK145" s="16"/>
      <c r="AL145" s="16"/>
      <c r="AM145" s="16" t="s">
        <v>960</v>
      </c>
      <c r="AN145" s="1" t="s">
        <v>1760</v>
      </c>
    </row>
    <row r="146" spans="1:40" ht="12" customHeight="1" x14ac:dyDescent="0.2">
      <c r="A146" s="14">
        <v>19256</v>
      </c>
      <c r="B146" s="14">
        <v>19256</v>
      </c>
      <c r="C146" s="14">
        <v>6699</v>
      </c>
      <c r="D146" s="14" t="s">
        <v>306</v>
      </c>
      <c r="E146" s="14">
        <f>VLOOKUP(B146,[1]Sheet3!$A$2:$A$221,1,0)</f>
        <v>19256</v>
      </c>
      <c r="F146" s="14" t="s">
        <v>1353</v>
      </c>
      <c r="G146" s="14" t="s">
        <v>306</v>
      </c>
      <c r="H146" s="14"/>
      <c r="I146" s="14" t="s">
        <v>1434</v>
      </c>
      <c r="J146" s="14" t="s">
        <v>183</v>
      </c>
      <c r="K146" s="14" t="s">
        <v>1161</v>
      </c>
      <c r="L146" s="14" t="s">
        <v>679</v>
      </c>
      <c r="M146" s="14" t="s">
        <v>1336</v>
      </c>
      <c r="N146" s="14" t="s">
        <v>1161</v>
      </c>
      <c r="O146" s="14" t="s">
        <v>376</v>
      </c>
      <c r="P146" s="14" t="s">
        <v>508</v>
      </c>
      <c r="Q146" s="14" t="s">
        <v>876</v>
      </c>
      <c r="R146" s="14" t="s">
        <v>1336</v>
      </c>
      <c r="S146" s="14" t="s">
        <v>639</v>
      </c>
      <c r="T146" s="14" t="s">
        <v>1345</v>
      </c>
      <c r="U146" s="14" t="s">
        <v>447</v>
      </c>
      <c r="V146" s="14" t="s">
        <v>255</v>
      </c>
      <c r="W146" s="15"/>
      <c r="X146" s="15"/>
      <c r="Y146" s="15"/>
      <c r="Z146" s="14"/>
      <c r="AA146" s="14"/>
      <c r="AB146" s="14"/>
      <c r="AC146" s="14"/>
      <c r="AD146" s="14"/>
      <c r="AE146" s="18"/>
      <c r="AF146" s="14"/>
      <c r="AG146" s="16"/>
      <c r="AH146" s="16"/>
      <c r="AI146" s="16"/>
      <c r="AJ146" s="16"/>
      <c r="AK146" s="16"/>
      <c r="AL146" s="16"/>
      <c r="AM146" s="16" t="s">
        <v>960</v>
      </c>
      <c r="AN146" s="1" t="s">
        <v>1760</v>
      </c>
    </row>
    <row r="147" spans="1:40" ht="12" customHeight="1" x14ac:dyDescent="0.2">
      <c r="A147" s="14">
        <v>23752</v>
      </c>
      <c r="B147" s="14">
        <v>23752</v>
      </c>
      <c r="C147" s="14">
        <v>12728</v>
      </c>
      <c r="D147" s="14" t="s">
        <v>306</v>
      </c>
      <c r="E147" s="14">
        <f>VLOOKUP(B147,[1]Sheet3!$A$2:$A$221,1,0)</f>
        <v>23752</v>
      </c>
      <c r="F147" s="14" t="s">
        <v>1353</v>
      </c>
      <c r="G147" s="14" t="s">
        <v>306</v>
      </c>
      <c r="H147" s="14"/>
      <c r="I147" s="14" t="s">
        <v>1073</v>
      </c>
      <c r="J147" s="14" t="s">
        <v>1402</v>
      </c>
      <c r="K147" s="14" t="s">
        <v>738</v>
      </c>
      <c r="L147" s="14" t="s">
        <v>1553</v>
      </c>
      <c r="M147" s="14" t="s">
        <v>1432</v>
      </c>
      <c r="N147" s="14" t="s">
        <v>738</v>
      </c>
      <c r="O147" s="14" t="s">
        <v>1598</v>
      </c>
      <c r="P147" s="14" t="s">
        <v>332</v>
      </c>
      <c r="Q147" s="14" t="s">
        <v>876</v>
      </c>
      <c r="R147" s="14" t="s">
        <v>1432</v>
      </c>
      <c r="S147" s="14" t="s">
        <v>429</v>
      </c>
      <c r="T147" s="14" t="s">
        <v>1080</v>
      </c>
      <c r="U147" s="14" t="s">
        <v>245</v>
      </c>
      <c r="V147" s="14" t="s">
        <v>1217</v>
      </c>
      <c r="W147" s="15"/>
      <c r="X147" s="15"/>
      <c r="Y147" s="15"/>
      <c r="Z147" s="14"/>
      <c r="AA147" s="14"/>
      <c r="AB147" s="14"/>
      <c r="AC147" s="14"/>
      <c r="AD147" s="14"/>
      <c r="AE147" s="18"/>
      <c r="AF147" s="14"/>
      <c r="AG147" s="16"/>
      <c r="AH147" s="16"/>
      <c r="AI147" s="16"/>
      <c r="AJ147" s="16"/>
      <c r="AK147" s="16"/>
      <c r="AL147" s="16"/>
      <c r="AM147" s="16" t="s">
        <v>960</v>
      </c>
      <c r="AN147" s="1" t="s">
        <v>1760</v>
      </c>
    </row>
    <row r="148" spans="1:40" ht="12" customHeight="1" x14ac:dyDescent="0.2">
      <c r="A148" s="14">
        <v>19621</v>
      </c>
      <c r="B148" s="14">
        <v>19621</v>
      </c>
      <c r="C148" s="14">
        <v>7097</v>
      </c>
      <c r="D148" s="14" t="s">
        <v>306</v>
      </c>
      <c r="E148" s="14">
        <f>VLOOKUP(B148,[1]Sheet3!$A$2:$A$221,1,0)</f>
        <v>19621</v>
      </c>
      <c r="F148" s="14" t="s">
        <v>1353</v>
      </c>
      <c r="G148" s="14" t="s">
        <v>306</v>
      </c>
      <c r="H148" s="14"/>
      <c r="I148" s="14" t="s">
        <v>1614</v>
      </c>
      <c r="J148" s="14" t="s">
        <v>89</v>
      </c>
      <c r="K148" s="14" t="s">
        <v>1374</v>
      </c>
      <c r="L148" s="14" t="s">
        <v>673</v>
      </c>
      <c r="M148" s="14" t="s">
        <v>1336</v>
      </c>
      <c r="N148" s="14" t="s">
        <v>1374</v>
      </c>
      <c r="O148" s="14" t="s">
        <v>1400</v>
      </c>
      <c r="P148" s="14" t="s">
        <v>1125</v>
      </c>
      <c r="Q148" s="14" t="s">
        <v>876</v>
      </c>
      <c r="R148" s="14" t="s">
        <v>1336</v>
      </c>
      <c r="S148" s="14" t="s">
        <v>1055</v>
      </c>
      <c r="T148" s="14" t="s">
        <v>1371</v>
      </c>
      <c r="U148" s="14" t="s">
        <v>1148</v>
      </c>
      <c r="V148" s="14" t="s">
        <v>605</v>
      </c>
      <c r="W148" s="15"/>
      <c r="X148" s="15"/>
      <c r="Y148" s="15"/>
      <c r="Z148" s="14"/>
      <c r="AA148" s="14"/>
      <c r="AB148" s="14"/>
      <c r="AC148" s="14"/>
      <c r="AD148" s="14"/>
      <c r="AE148" s="18"/>
      <c r="AF148" s="14"/>
      <c r="AG148" s="16"/>
      <c r="AH148" s="16"/>
      <c r="AI148" s="16"/>
      <c r="AJ148" s="16"/>
      <c r="AK148" s="16"/>
      <c r="AL148" s="16"/>
      <c r="AM148" s="16" t="s">
        <v>960</v>
      </c>
      <c r="AN148" s="1" t="s">
        <v>1760</v>
      </c>
    </row>
    <row r="149" spans="1:40" ht="12" customHeight="1" x14ac:dyDescent="0.2">
      <c r="A149" s="14">
        <v>16896</v>
      </c>
      <c r="B149" s="14">
        <v>16896</v>
      </c>
      <c r="C149" s="14">
        <v>3655</v>
      </c>
      <c r="D149" s="14" t="s">
        <v>306</v>
      </c>
      <c r="E149" s="14">
        <f>VLOOKUP(B149,[1]Sheet3!$A$2:$A$221,1,0)</f>
        <v>16896</v>
      </c>
      <c r="F149" s="14" t="s">
        <v>1353</v>
      </c>
      <c r="G149" s="14" t="s">
        <v>306</v>
      </c>
      <c r="H149" s="14"/>
      <c r="I149" s="14" t="s">
        <v>228</v>
      </c>
      <c r="J149" s="14" t="s">
        <v>887</v>
      </c>
      <c r="K149" s="14" t="s">
        <v>786</v>
      </c>
      <c r="L149" s="14" t="s">
        <v>673</v>
      </c>
      <c r="M149" s="14" t="s">
        <v>1565</v>
      </c>
      <c r="N149" s="14" t="s">
        <v>786</v>
      </c>
      <c r="O149" s="14" t="s">
        <v>305</v>
      </c>
      <c r="P149" s="14" t="s">
        <v>1006</v>
      </c>
      <c r="Q149" s="14" t="s">
        <v>1295</v>
      </c>
      <c r="R149" s="14" t="s">
        <v>1596</v>
      </c>
      <c r="S149" s="14" t="s">
        <v>1055</v>
      </c>
      <c r="T149" s="14" t="s">
        <v>243</v>
      </c>
      <c r="U149" s="14" t="s">
        <v>1148</v>
      </c>
      <c r="V149" s="14" t="s">
        <v>605</v>
      </c>
      <c r="W149" s="15"/>
      <c r="X149" s="15"/>
      <c r="Y149" s="15"/>
      <c r="Z149" s="14"/>
      <c r="AA149" s="14"/>
      <c r="AB149" s="14"/>
      <c r="AC149" s="14"/>
      <c r="AD149" s="14"/>
      <c r="AE149" s="18"/>
      <c r="AF149" s="14"/>
      <c r="AG149" s="16"/>
      <c r="AH149" s="16"/>
      <c r="AI149" s="16"/>
      <c r="AJ149" s="16"/>
      <c r="AK149" s="16"/>
      <c r="AL149" s="16"/>
      <c r="AM149" s="16" t="s">
        <v>960</v>
      </c>
      <c r="AN149" s="1" t="s">
        <v>1760</v>
      </c>
    </row>
    <row r="150" spans="1:40" ht="12" customHeight="1" x14ac:dyDescent="0.2">
      <c r="A150" s="14">
        <v>19407</v>
      </c>
      <c r="B150" s="14">
        <v>19407</v>
      </c>
      <c r="C150" s="14">
        <v>6869</v>
      </c>
      <c r="D150" s="14" t="s">
        <v>306</v>
      </c>
      <c r="E150" s="14">
        <f>VLOOKUP(B150,[1]Sheet3!$A$2:$A$221,1,0)</f>
        <v>19407</v>
      </c>
      <c r="F150" s="14" t="s">
        <v>1353</v>
      </c>
      <c r="G150" s="14" t="s">
        <v>306</v>
      </c>
      <c r="H150" s="14"/>
      <c r="I150" s="14" t="s">
        <v>1016</v>
      </c>
      <c r="J150" s="14" t="s">
        <v>1661</v>
      </c>
      <c r="K150" s="14" t="s">
        <v>505</v>
      </c>
      <c r="L150" s="14" t="s">
        <v>1503</v>
      </c>
      <c r="M150" s="14" t="s">
        <v>1336</v>
      </c>
      <c r="N150" s="14" t="s">
        <v>505</v>
      </c>
      <c r="O150" s="14" t="s">
        <v>1330</v>
      </c>
      <c r="P150" s="14" t="s">
        <v>1383</v>
      </c>
      <c r="Q150" s="14" t="s">
        <v>876</v>
      </c>
      <c r="R150" s="14" t="s">
        <v>1336</v>
      </c>
      <c r="S150" s="14" t="s">
        <v>1171</v>
      </c>
      <c r="T150" s="14" t="s">
        <v>1670</v>
      </c>
      <c r="U150" s="14" t="s">
        <v>945</v>
      </c>
      <c r="V150" s="14" t="s">
        <v>1468</v>
      </c>
      <c r="W150" s="15"/>
      <c r="X150" s="15"/>
      <c r="Y150" s="15"/>
      <c r="Z150" s="14"/>
      <c r="AA150" s="14"/>
      <c r="AB150" s="14"/>
      <c r="AC150" s="14"/>
      <c r="AD150" s="14"/>
      <c r="AE150" s="18"/>
      <c r="AF150" s="14"/>
      <c r="AG150" s="16"/>
      <c r="AH150" s="16"/>
      <c r="AI150" s="16"/>
      <c r="AJ150" s="16"/>
      <c r="AK150" s="16"/>
      <c r="AL150" s="16"/>
      <c r="AM150" s="16" t="s">
        <v>960</v>
      </c>
      <c r="AN150" s="1" t="s">
        <v>1760</v>
      </c>
    </row>
    <row r="151" spans="1:40" ht="12" customHeight="1" x14ac:dyDescent="0.2">
      <c r="A151" s="14">
        <v>19412</v>
      </c>
      <c r="B151" s="14">
        <v>19412</v>
      </c>
      <c r="C151" s="14">
        <v>6874</v>
      </c>
      <c r="D151" s="14" t="s">
        <v>306</v>
      </c>
      <c r="E151" s="14">
        <f>VLOOKUP(B151,[1]Sheet3!$A$2:$A$221,1,0)</f>
        <v>19412</v>
      </c>
      <c r="F151" s="14" t="s">
        <v>1353</v>
      </c>
      <c r="G151" s="14" t="s">
        <v>306</v>
      </c>
      <c r="H151" s="14"/>
      <c r="I151" s="14" t="s">
        <v>1529</v>
      </c>
      <c r="J151" s="14" t="s">
        <v>1533</v>
      </c>
      <c r="K151" s="14" t="s">
        <v>1354</v>
      </c>
      <c r="L151" s="14" t="s">
        <v>1503</v>
      </c>
      <c r="M151" s="14" t="s">
        <v>1336</v>
      </c>
      <c r="N151" s="14" t="s">
        <v>1354</v>
      </c>
      <c r="O151" s="14" t="s">
        <v>1528</v>
      </c>
      <c r="P151" s="14" t="s">
        <v>185</v>
      </c>
      <c r="Q151" s="14" t="s">
        <v>876</v>
      </c>
      <c r="R151" s="14" t="s">
        <v>1336</v>
      </c>
      <c r="S151" s="14" t="s">
        <v>1171</v>
      </c>
      <c r="T151" s="14" t="s">
        <v>1110</v>
      </c>
      <c r="U151" s="14" t="s">
        <v>945</v>
      </c>
      <c r="V151" s="14" t="s">
        <v>1468</v>
      </c>
      <c r="W151" s="15"/>
      <c r="X151" s="15"/>
      <c r="Y151" s="15"/>
      <c r="Z151" s="14"/>
      <c r="AA151" s="14"/>
      <c r="AB151" s="14"/>
      <c r="AC151" s="14"/>
      <c r="AD151" s="14"/>
      <c r="AE151" s="18"/>
      <c r="AF151" s="14"/>
      <c r="AG151" s="16"/>
      <c r="AH151" s="16"/>
      <c r="AI151" s="16"/>
      <c r="AJ151" s="16"/>
      <c r="AK151" s="16"/>
      <c r="AL151" s="16"/>
      <c r="AM151" s="16" t="s">
        <v>960</v>
      </c>
      <c r="AN151" s="1" t="s">
        <v>1760</v>
      </c>
    </row>
    <row r="152" spans="1:40" ht="12" customHeight="1" x14ac:dyDescent="0.2">
      <c r="A152" s="14">
        <v>51795</v>
      </c>
      <c r="B152" s="14">
        <v>51795</v>
      </c>
      <c r="C152" s="14">
        <v>6870</v>
      </c>
      <c r="D152" s="14" t="s">
        <v>306</v>
      </c>
      <c r="E152" s="14">
        <f>VLOOKUP(B152,[1]Sheet3!$A$2:$A$221,1,0)</f>
        <v>51795</v>
      </c>
      <c r="F152" s="14" t="s">
        <v>1353</v>
      </c>
      <c r="G152" s="14" t="s">
        <v>306</v>
      </c>
      <c r="H152" s="14"/>
      <c r="I152" s="14" t="s">
        <v>1390</v>
      </c>
      <c r="J152" s="14" t="s">
        <v>1590</v>
      </c>
      <c r="K152" s="14" t="s">
        <v>383</v>
      </c>
      <c r="L152" s="14" t="s">
        <v>1503</v>
      </c>
      <c r="M152" s="14" t="s">
        <v>1049</v>
      </c>
      <c r="N152" s="14" t="s">
        <v>383</v>
      </c>
      <c r="O152" s="14" t="s">
        <v>467</v>
      </c>
      <c r="P152" s="14" t="s">
        <v>1578</v>
      </c>
      <c r="Q152" s="14" t="s">
        <v>1488</v>
      </c>
      <c r="R152" s="14" t="s">
        <v>1596</v>
      </c>
      <c r="S152" s="14" t="s">
        <v>1171</v>
      </c>
      <c r="T152" s="14" t="s">
        <v>692</v>
      </c>
      <c r="U152" s="14" t="s">
        <v>945</v>
      </c>
      <c r="V152" s="14" t="s">
        <v>1468</v>
      </c>
      <c r="W152" s="15" t="s">
        <v>407</v>
      </c>
      <c r="X152" s="15"/>
      <c r="Y152" s="14" t="s">
        <v>665</v>
      </c>
      <c r="Z152" s="14"/>
      <c r="AA152" s="14"/>
      <c r="AB152" s="14"/>
      <c r="AC152" s="14"/>
      <c r="AD152" s="14"/>
      <c r="AE152" s="18"/>
      <c r="AF152" s="14"/>
      <c r="AG152" s="16"/>
      <c r="AH152" s="16"/>
      <c r="AI152" s="16"/>
      <c r="AJ152" s="16"/>
      <c r="AK152" s="16"/>
      <c r="AL152" s="16"/>
      <c r="AM152" s="16" t="s">
        <v>960</v>
      </c>
      <c r="AN152" s="1" t="s">
        <v>1760</v>
      </c>
    </row>
    <row r="153" spans="1:40" ht="12" customHeight="1" x14ac:dyDescent="0.2">
      <c r="A153" s="14">
        <v>51796</v>
      </c>
      <c r="B153" s="14">
        <v>51796</v>
      </c>
      <c r="C153" s="14">
        <v>6871</v>
      </c>
      <c r="D153" s="14" t="s">
        <v>306</v>
      </c>
      <c r="E153" s="14">
        <f>VLOOKUP(B153,[1]Sheet3!$A$2:$A$221,1,0)</f>
        <v>51796</v>
      </c>
      <c r="F153" s="14" t="s">
        <v>1353</v>
      </c>
      <c r="G153" s="14" t="s">
        <v>306</v>
      </c>
      <c r="H153" s="14"/>
      <c r="I153" s="14" t="s">
        <v>115</v>
      </c>
      <c r="J153" s="14" t="s">
        <v>1129</v>
      </c>
      <c r="K153" s="14" t="s">
        <v>1506</v>
      </c>
      <c r="L153" s="14" t="s">
        <v>755</v>
      </c>
      <c r="M153" s="14" t="s">
        <v>1049</v>
      </c>
      <c r="N153" s="14" t="s">
        <v>1506</v>
      </c>
      <c r="O153" s="14" t="s">
        <v>432</v>
      </c>
      <c r="P153" s="14" t="s">
        <v>1634</v>
      </c>
      <c r="Q153" s="14" t="s">
        <v>1488</v>
      </c>
      <c r="R153" s="14" t="s">
        <v>1596</v>
      </c>
      <c r="S153" s="14" t="s">
        <v>1171</v>
      </c>
      <c r="T153" s="14" t="s">
        <v>692</v>
      </c>
      <c r="U153" s="14" t="s">
        <v>945</v>
      </c>
      <c r="V153" s="14" t="s">
        <v>1468</v>
      </c>
      <c r="W153" s="15" t="s">
        <v>407</v>
      </c>
      <c r="X153" s="15"/>
      <c r="Y153" s="14" t="s">
        <v>665</v>
      </c>
      <c r="Z153" s="14"/>
      <c r="AA153" s="14"/>
      <c r="AB153" s="14"/>
      <c r="AC153" s="14"/>
      <c r="AD153" s="14"/>
      <c r="AE153" s="18"/>
      <c r="AF153" s="14"/>
      <c r="AG153" s="16"/>
      <c r="AH153" s="16"/>
      <c r="AI153" s="16"/>
      <c r="AJ153" s="16"/>
      <c r="AK153" s="16"/>
      <c r="AL153" s="16"/>
      <c r="AM153" s="16" t="s">
        <v>960</v>
      </c>
      <c r="AN153" s="1" t="s">
        <v>1760</v>
      </c>
    </row>
    <row r="154" spans="1:40" ht="12" customHeight="1" x14ac:dyDescent="0.2">
      <c r="A154" s="14">
        <v>21970</v>
      </c>
      <c r="B154" s="14">
        <v>21970</v>
      </c>
      <c r="C154" s="14">
        <v>10119</v>
      </c>
      <c r="D154" s="14" t="s">
        <v>306</v>
      </c>
      <c r="E154" s="14">
        <f>VLOOKUP(B154,[1]Sheet3!$A$2:$A$221,1,0)</f>
        <v>21970</v>
      </c>
      <c r="F154" s="14" t="s">
        <v>1353</v>
      </c>
      <c r="G154" s="14" t="s">
        <v>306</v>
      </c>
      <c r="H154" s="14"/>
      <c r="I154" s="14" t="s">
        <v>982</v>
      </c>
      <c r="J154" s="14" t="s">
        <v>1617</v>
      </c>
      <c r="K154" s="14" t="s">
        <v>1668</v>
      </c>
      <c r="L154" s="14" t="s">
        <v>1337</v>
      </c>
      <c r="M154" s="14" t="s">
        <v>1447</v>
      </c>
      <c r="N154" s="14" t="s">
        <v>1668</v>
      </c>
      <c r="O154" s="14" t="s">
        <v>272</v>
      </c>
      <c r="P154" s="14" t="s">
        <v>186</v>
      </c>
      <c r="Q154" s="14" t="s">
        <v>876</v>
      </c>
      <c r="R154" s="14" t="s">
        <v>1447</v>
      </c>
      <c r="S154" s="14" t="s">
        <v>1199</v>
      </c>
      <c r="T154" s="14" t="s">
        <v>1202</v>
      </c>
      <c r="U154" s="14" t="s">
        <v>565</v>
      </c>
      <c r="V154" s="14" t="s">
        <v>70</v>
      </c>
      <c r="W154" s="15"/>
      <c r="X154" s="15"/>
      <c r="Y154" s="15"/>
      <c r="Z154" s="14"/>
      <c r="AA154" s="14"/>
      <c r="AB154" s="14"/>
      <c r="AC154" s="14"/>
      <c r="AD154" s="14"/>
      <c r="AE154" s="18"/>
      <c r="AF154" s="14"/>
      <c r="AG154" s="16"/>
      <c r="AH154" s="16"/>
      <c r="AI154" s="16"/>
      <c r="AJ154" s="16"/>
      <c r="AK154" s="16"/>
      <c r="AL154" s="16"/>
      <c r="AM154" s="16" t="s">
        <v>960</v>
      </c>
      <c r="AN154" s="1" t="s">
        <v>1760</v>
      </c>
    </row>
    <row r="155" spans="1:40" ht="12" customHeight="1" x14ac:dyDescent="0.2">
      <c r="A155" s="14">
        <v>21967</v>
      </c>
      <c r="B155" s="14">
        <v>21967</v>
      </c>
      <c r="C155" s="14">
        <v>10116</v>
      </c>
      <c r="D155" s="14" t="s">
        <v>306</v>
      </c>
      <c r="E155" s="14">
        <f>VLOOKUP(B155,[1]Sheet3!$A$2:$A$221,1,0)</f>
        <v>21967</v>
      </c>
      <c r="F155" s="14" t="s">
        <v>1353</v>
      </c>
      <c r="G155" s="14" t="s">
        <v>306</v>
      </c>
      <c r="H155" s="14"/>
      <c r="I155" s="14" t="s">
        <v>752</v>
      </c>
      <c r="J155" s="14" t="s">
        <v>609</v>
      </c>
      <c r="K155" s="14" t="s">
        <v>657</v>
      </c>
      <c r="L155" s="14" t="s">
        <v>1337</v>
      </c>
      <c r="M155" s="14" t="s">
        <v>1447</v>
      </c>
      <c r="N155" s="14" t="s">
        <v>657</v>
      </c>
      <c r="O155" s="14" t="s">
        <v>1225</v>
      </c>
      <c r="P155" s="14" t="s">
        <v>878</v>
      </c>
      <c r="Q155" s="14" t="s">
        <v>876</v>
      </c>
      <c r="R155" s="14" t="s">
        <v>1447</v>
      </c>
      <c r="S155" s="14" t="s">
        <v>1199</v>
      </c>
      <c r="T155" s="14" t="s">
        <v>1207</v>
      </c>
      <c r="U155" s="14" t="s">
        <v>565</v>
      </c>
      <c r="V155" s="14" t="s">
        <v>70</v>
      </c>
      <c r="W155" s="15"/>
      <c r="X155" s="15"/>
      <c r="Y155" s="15"/>
      <c r="Z155" s="14"/>
      <c r="AA155" s="14"/>
      <c r="AB155" s="14"/>
      <c r="AC155" s="14"/>
      <c r="AD155" s="14"/>
      <c r="AE155" s="18"/>
      <c r="AF155" s="14"/>
      <c r="AG155" s="16"/>
      <c r="AH155" s="16"/>
      <c r="AI155" s="16"/>
      <c r="AJ155" s="16"/>
      <c r="AK155" s="16"/>
      <c r="AL155" s="16"/>
      <c r="AM155" s="16" t="s">
        <v>960</v>
      </c>
      <c r="AN155" s="1" t="s">
        <v>1760</v>
      </c>
    </row>
    <row r="156" spans="1:40" ht="12" customHeight="1" x14ac:dyDescent="0.2">
      <c r="A156" s="14">
        <v>21973</v>
      </c>
      <c r="B156" s="14">
        <v>21973</v>
      </c>
      <c r="C156" s="14">
        <v>10123</v>
      </c>
      <c r="D156" s="14" t="s">
        <v>306</v>
      </c>
      <c r="E156" s="14">
        <f>VLOOKUP(B156,[1]Sheet3!$A$2:$A$221,1,0)</f>
        <v>21973</v>
      </c>
      <c r="F156" s="14" t="s">
        <v>1353</v>
      </c>
      <c r="G156" s="14" t="s">
        <v>306</v>
      </c>
      <c r="H156" s="14"/>
      <c r="I156" s="14" t="s">
        <v>617</v>
      </c>
      <c r="J156" s="14" t="s">
        <v>1108</v>
      </c>
      <c r="K156" s="14" t="s">
        <v>444</v>
      </c>
      <c r="L156" s="14" t="s">
        <v>1337</v>
      </c>
      <c r="M156" s="14" t="s">
        <v>1447</v>
      </c>
      <c r="N156" s="14" t="s">
        <v>444</v>
      </c>
      <c r="O156" s="14" t="s">
        <v>705</v>
      </c>
      <c r="P156" s="14" t="s">
        <v>413</v>
      </c>
      <c r="Q156" s="14" t="s">
        <v>876</v>
      </c>
      <c r="R156" s="14" t="s">
        <v>1447</v>
      </c>
      <c r="S156" s="14" t="s">
        <v>1199</v>
      </c>
      <c r="T156" s="14" t="s">
        <v>1214</v>
      </c>
      <c r="U156" s="14" t="s">
        <v>565</v>
      </c>
      <c r="V156" s="14" t="s">
        <v>70</v>
      </c>
      <c r="W156" s="15"/>
      <c r="X156" s="15"/>
      <c r="Y156" s="15"/>
      <c r="Z156" s="14"/>
      <c r="AA156" s="14"/>
      <c r="AB156" s="14"/>
      <c r="AC156" s="14"/>
      <c r="AD156" s="14"/>
      <c r="AE156" s="18"/>
      <c r="AF156" s="14"/>
      <c r="AG156" s="16"/>
      <c r="AH156" s="16"/>
      <c r="AI156" s="16"/>
      <c r="AJ156" s="16"/>
      <c r="AK156" s="16"/>
      <c r="AL156" s="16"/>
      <c r="AM156" s="16" t="s">
        <v>960</v>
      </c>
      <c r="AN156" s="1" t="s">
        <v>1760</v>
      </c>
    </row>
    <row r="157" spans="1:40" ht="12" customHeight="1" x14ac:dyDescent="0.2">
      <c r="A157" s="14">
        <v>21998</v>
      </c>
      <c r="B157" s="14">
        <v>21998</v>
      </c>
      <c r="C157" s="14">
        <v>10152</v>
      </c>
      <c r="D157" s="14" t="s">
        <v>306</v>
      </c>
      <c r="E157" s="14">
        <f>VLOOKUP(B157,[1]Sheet3!$A$2:$A$221,1,0)</f>
        <v>21998</v>
      </c>
      <c r="F157" s="14" t="s">
        <v>1353</v>
      </c>
      <c r="G157" s="14" t="s">
        <v>306</v>
      </c>
      <c r="H157" s="14"/>
      <c r="I157" s="14" t="s">
        <v>116</v>
      </c>
      <c r="J157" s="14" t="s">
        <v>319</v>
      </c>
      <c r="K157" s="14" t="s">
        <v>1576</v>
      </c>
      <c r="L157" s="14" t="s">
        <v>1337</v>
      </c>
      <c r="M157" s="14" t="s">
        <v>1447</v>
      </c>
      <c r="N157" s="14" t="s">
        <v>1576</v>
      </c>
      <c r="O157" s="14" t="s">
        <v>1317</v>
      </c>
      <c r="P157" s="14" t="s">
        <v>507</v>
      </c>
      <c r="Q157" s="14" t="s">
        <v>876</v>
      </c>
      <c r="R157" s="14" t="s">
        <v>1447</v>
      </c>
      <c r="S157" s="14" t="s">
        <v>1199</v>
      </c>
      <c r="T157" s="14" t="s">
        <v>1237</v>
      </c>
      <c r="U157" s="14" t="s">
        <v>565</v>
      </c>
      <c r="V157" s="14" t="s">
        <v>70</v>
      </c>
      <c r="W157" s="15"/>
      <c r="X157" s="15"/>
      <c r="Y157" s="15"/>
      <c r="Z157" s="14"/>
      <c r="AA157" s="14"/>
      <c r="AB157" s="14"/>
      <c r="AC157" s="14"/>
      <c r="AD157" s="14"/>
      <c r="AE157" s="18"/>
      <c r="AF157" s="14"/>
      <c r="AG157" s="16"/>
      <c r="AH157" s="16"/>
      <c r="AI157" s="16"/>
      <c r="AJ157" s="16"/>
      <c r="AK157" s="16"/>
      <c r="AL157" s="16"/>
      <c r="AM157" s="16" t="s">
        <v>960</v>
      </c>
      <c r="AN157" s="1" t="s">
        <v>1760</v>
      </c>
    </row>
    <row r="158" spans="1:40" ht="12" customHeight="1" x14ac:dyDescent="0.2">
      <c r="A158" s="14">
        <v>49164</v>
      </c>
      <c r="B158" s="14">
        <v>49164</v>
      </c>
      <c r="C158" s="14">
        <v>5067</v>
      </c>
      <c r="D158" s="14" t="s">
        <v>306</v>
      </c>
      <c r="E158" s="14">
        <f>VLOOKUP(B158,[1]Sheet3!$A$2:$A$221,1,0)</f>
        <v>49164</v>
      </c>
      <c r="F158" s="14" t="s">
        <v>1353</v>
      </c>
      <c r="G158" s="14" t="s">
        <v>306</v>
      </c>
      <c r="H158" s="14"/>
      <c r="I158" s="14" t="s">
        <v>1335</v>
      </c>
      <c r="J158" s="14" t="s">
        <v>435</v>
      </c>
      <c r="K158" s="14" t="s">
        <v>533</v>
      </c>
      <c r="L158" s="14" t="s">
        <v>46</v>
      </c>
      <c r="M158" s="14" t="s">
        <v>614</v>
      </c>
      <c r="N158" s="14" t="s">
        <v>533</v>
      </c>
      <c r="O158" s="14" t="s">
        <v>1223</v>
      </c>
      <c r="P158" s="14" t="s">
        <v>1621</v>
      </c>
      <c r="Q158" s="14" t="s">
        <v>1611</v>
      </c>
      <c r="R158" s="14" t="s">
        <v>1288</v>
      </c>
      <c r="S158" s="14" t="s">
        <v>360</v>
      </c>
      <c r="T158" s="14" t="s">
        <v>1524</v>
      </c>
      <c r="U158" s="14" t="s">
        <v>709</v>
      </c>
      <c r="V158" s="14" t="s">
        <v>1085</v>
      </c>
      <c r="W158" s="15" t="s">
        <v>891</v>
      </c>
      <c r="X158" s="15"/>
      <c r="Y158" s="14" t="s">
        <v>665</v>
      </c>
      <c r="Z158" s="14"/>
      <c r="AA158" s="14"/>
      <c r="AB158" s="14"/>
      <c r="AC158" s="14"/>
      <c r="AD158" s="14"/>
      <c r="AE158" s="18"/>
      <c r="AF158" s="14"/>
      <c r="AG158" s="16"/>
      <c r="AH158" s="16"/>
      <c r="AI158" s="16"/>
      <c r="AJ158" s="16"/>
      <c r="AK158" s="16"/>
      <c r="AL158" s="16"/>
      <c r="AM158" s="16" t="s">
        <v>960</v>
      </c>
      <c r="AN158" s="1" t="s">
        <v>1760</v>
      </c>
    </row>
    <row r="159" spans="1:40" ht="12" customHeight="1" x14ac:dyDescent="0.2">
      <c r="A159" s="14">
        <v>49165</v>
      </c>
      <c r="B159" s="14">
        <v>49165</v>
      </c>
      <c r="C159" s="14">
        <v>5068</v>
      </c>
      <c r="D159" s="14" t="s">
        <v>306</v>
      </c>
      <c r="E159" s="14">
        <f>VLOOKUP(B159,[1]Sheet3!$A$2:$A$221,1,0)</f>
        <v>49165</v>
      </c>
      <c r="F159" s="14" t="s">
        <v>1353</v>
      </c>
      <c r="G159" s="14" t="s">
        <v>306</v>
      </c>
      <c r="H159" s="14"/>
      <c r="I159" s="14" t="s">
        <v>897</v>
      </c>
      <c r="J159" s="14" t="s">
        <v>486</v>
      </c>
      <c r="K159" s="14" t="s">
        <v>910</v>
      </c>
      <c r="L159" s="14" t="s">
        <v>1179</v>
      </c>
      <c r="M159" s="14" t="s">
        <v>614</v>
      </c>
      <c r="N159" s="14" t="s">
        <v>910</v>
      </c>
      <c r="O159" s="14" t="s">
        <v>539</v>
      </c>
      <c r="P159" s="14" t="s">
        <v>713</v>
      </c>
      <c r="Q159" s="14" t="s">
        <v>557</v>
      </c>
      <c r="R159" s="14" t="s">
        <v>1288</v>
      </c>
      <c r="S159" s="14" t="s">
        <v>360</v>
      </c>
      <c r="T159" s="14" t="s">
        <v>1524</v>
      </c>
      <c r="U159" s="14" t="s">
        <v>709</v>
      </c>
      <c r="V159" s="14" t="s">
        <v>1085</v>
      </c>
      <c r="W159" s="15" t="s">
        <v>891</v>
      </c>
      <c r="X159" s="15"/>
      <c r="Y159" s="14" t="s">
        <v>665</v>
      </c>
      <c r="Z159" s="14"/>
      <c r="AA159" s="14"/>
      <c r="AB159" s="14"/>
      <c r="AC159" s="14"/>
      <c r="AD159" s="14"/>
      <c r="AE159" s="18"/>
      <c r="AF159" s="14"/>
      <c r="AG159" s="16"/>
      <c r="AH159" s="16"/>
      <c r="AI159" s="16"/>
      <c r="AJ159" s="16"/>
      <c r="AK159" s="16"/>
      <c r="AL159" s="16"/>
      <c r="AM159" s="16" t="s">
        <v>960</v>
      </c>
      <c r="AN159" s="1" t="s">
        <v>1760</v>
      </c>
    </row>
    <row r="160" spans="1:40" ht="12" customHeight="1" x14ac:dyDescent="0.2">
      <c r="A160" s="14">
        <v>16932</v>
      </c>
      <c r="B160" s="14">
        <v>16932</v>
      </c>
      <c r="C160" s="14">
        <v>3699</v>
      </c>
      <c r="D160" s="14" t="s">
        <v>306</v>
      </c>
      <c r="E160" s="14">
        <f>VLOOKUP(B160,[1]Sheet3!$A$2:$A$221,1,0)</f>
        <v>16932</v>
      </c>
      <c r="F160" s="14" t="s">
        <v>1353</v>
      </c>
      <c r="G160" s="14" t="s">
        <v>306</v>
      </c>
      <c r="H160" s="14"/>
      <c r="I160" s="14" t="s">
        <v>59</v>
      </c>
      <c r="J160" s="14" t="s">
        <v>1123</v>
      </c>
      <c r="K160" s="14" t="s">
        <v>1081</v>
      </c>
      <c r="L160" s="14" t="s">
        <v>256</v>
      </c>
      <c r="M160" s="14" t="s">
        <v>1049</v>
      </c>
      <c r="N160" s="14" t="s">
        <v>1081</v>
      </c>
      <c r="O160" s="14" t="s">
        <v>303</v>
      </c>
      <c r="P160" s="14" t="s">
        <v>309</v>
      </c>
      <c r="Q160" s="14" t="s">
        <v>1175</v>
      </c>
      <c r="R160" s="14" t="s">
        <v>1625</v>
      </c>
      <c r="S160" s="14" t="s">
        <v>1038</v>
      </c>
      <c r="T160" s="14" t="s">
        <v>1608</v>
      </c>
      <c r="U160" s="14" t="s">
        <v>443</v>
      </c>
      <c r="V160" s="14" t="s">
        <v>766</v>
      </c>
      <c r="W160" s="15"/>
      <c r="X160" s="15"/>
      <c r="Y160" s="15"/>
      <c r="Z160" s="14"/>
      <c r="AA160" s="14"/>
      <c r="AB160" s="14"/>
      <c r="AC160" s="14"/>
      <c r="AD160" s="14"/>
      <c r="AE160" s="18"/>
      <c r="AF160" s="14"/>
      <c r="AG160" s="16"/>
      <c r="AH160" s="16"/>
      <c r="AI160" s="16"/>
      <c r="AJ160" s="16"/>
      <c r="AK160" s="16"/>
      <c r="AL160" s="16"/>
      <c r="AM160" s="16" t="s">
        <v>960</v>
      </c>
      <c r="AN160" s="1" t="s">
        <v>1760</v>
      </c>
    </row>
    <row r="161" spans="1:40" ht="12" customHeight="1" x14ac:dyDescent="0.2">
      <c r="A161" s="14">
        <v>16068</v>
      </c>
      <c r="B161" s="14">
        <v>16068</v>
      </c>
      <c r="C161" s="14">
        <v>12769</v>
      </c>
      <c r="D161" s="14" t="s">
        <v>306</v>
      </c>
      <c r="E161" s="14">
        <f>VLOOKUP(B161,[1]Sheet3!$A$2:$A$221,1,0)</f>
        <v>16068</v>
      </c>
      <c r="F161" s="14" t="s">
        <v>1353</v>
      </c>
      <c r="G161" s="14" t="s">
        <v>306</v>
      </c>
      <c r="H161" s="14"/>
      <c r="I161" s="14" t="s">
        <v>470</v>
      </c>
      <c r="J161" s="14" t="s">
        <v>400</v>
      </c>
      <c r="K161" s="14" t="s">
        <v>464</v>
      </c>
      <c r="L161" s="14" t="s">
        <v>251</v>
      </c>
      <c r="M161" s="14" t="s">
        <v>1336</v>
      </c>
      <c r="N161" s="14" t="s">
        <v>464</v>
      </c>
      <c r="O161" s="14" t="s">
        <v>903</v>
      </c>
      <c r="P161" s="14" t="s">
        <v>1386</v>
      </c>
      <c r="Q161" s="14" t="s">
        <v>876</v>
      </c>
      <c r="R161" s="14" t="s">
        <v>1336</v>
      </c>
      <c r="S161" s="14" t="s">
        <v>1213</v>
      </c>
      <c r="T161" s="14" t="s">
        <v>434</v>
      </c>
      <c r="U161" s="14" t="s">
        <v>471</v>
      </c>
      <c r="V161" s="14" t="s">
        <v>1526</v>
      </c>
      <c r="W161" s="15" t="s">
        <v>551</v>
      </c>
      <c r="X161" s="15"/>
      <c r="Y161" s="15" t="s">
        <v>773</v>
      </c>
      <c r="Z161" s="14"/>
      <c r="AA161" s="14"/>
      <c r="AB161" s="14"/>
      <c r="AC161" s="14"/>
      <c r="AD161" s="14"/>
      <c r="AE161" s="18"/>
      <c r="AF161" s="14"/>
      <c r="AG161" s="16"/>
      <c r="AH161" s="16"/>
      <c r="AI161" s="16"/>
      <c r="AJ161" s="16"/>
      <c r="AK161" s="16"/>
      <c r="AL161" s="16"/>
      <c r="AM161" s="16" t="s">
        <v>960</v>
      </c>
      <c r="AN161" s="1" t="s">
        <v>1760</v>
      </c>
    </row>
    <row r="162" spans="1:40" ht="12" customHeight="1" x14ac:dyDescent="0.2">
      <c r="A162" s="14">
        <v>10266</v>
      </c>
      <c r="B162" s="14">
        <v>10266</v>
      </c>
      <c r="C162" s="14">
        <v>12770</v>
      </c>
      <c r="D162" s="14" t="s">
        <v>306</v>
      </c>
      <c r="E162" s="14">
        <f>VLOOKUP(B162,[1]Sheet3!$A$2:$A$221,1,0)</f>
        <v>10266</v>
      </c>
      <c r="F162" s="14" t="s">
        <v>1353</v>
      </c>
      <c r="G162" s="14" t="s">
        <v>306</v>
      </c>
      <c r="H162" s="14"/>
      <c r="I162" s="14" t="s">
        <v>235</v>
      </c>
      <c r="J162" s="14" t="s">
        <v>290</v>
      </c>
      <c r="K162" s="14" t="s">
        <v>469</v>
      </c>
      <c r="L162" s="14" t="s">
        <v>708</v>
      </c>
      <c r="M162" s="14" t="s">
        <v>1336</v>
      </c>
      <c r="N162" s="14" t="s">
        <v>469</v>
      </c>
      <c r="O162" s="14" t="s">
        <v>1182</v>
      </c>
      <c r="P162" s="14" t="s">
        <v>371</v>
      </c>
      <c r="Q162" s="14" t="s">
        <v>876</v>
      </c>
      <c r="R162" s="14" t="s">
        <v>1336</v>
      </c>
      <c r="S162" s="14" t="s">
        <v>1213</v>
      </c>
      <c r="T162" s="14" t="s">
        <v>434</v>
      </c>
      <c r="U162" s="14" t="s">
        <v>698</v>
      </c>
      <c r="V162" s="14" t="s">
        <v>1526</v>
      </c>
      <c r="W162" s="15" t="s">
        <v>551</v>
      </c>
      <c r="X162" s="15"/>
      <c r="Y162" s="15" t="s">
        <v>773</v>
      </c>
      <c r="Z162" s="14"/>
      <c r="AA162" s="14"/>
      <c r="AB162" s="14"/>
      <c r="AC162" s="14"/>
      <c r="AD162" s="14"/>
      <c r="AE162" s="18"/>
      <c r="AF162" s="14"/>
      <c r="AG162" s="16"/>
      <c r="AH162" s="16"/>
      <c r="AI162" s="16"/>
      <c r="AJ162" s="16"/>
      <c r="AK162" s="16"/>
      <c r="AL162" s="16"/>
      <c r="AM162" s="16" t="s">
        <v>960</v>
      </c>
      <c r="AN162" s="1" t="s">
        <v>1760</v>
      </c>
    </row>
    <row r="163" spans="1:40" ht="12" customHeight="1" x14ac:dyDescent="0.2">
      <c r="A163" s="14">
        <v>16083</v>
      </c>
      <c r="B163" s="14">
        <v>16083</v>
      </c>
      <c r="C163" s="14">
        <v>12771</v>
      </c>
      <c r="D163" s="14" t="s">
        <v>306</v>
      </c>
      <c r="E163" s="14">
        <f>VLOOKUP(B163,[1]Sheet3!$A$2:$A$221,1,0)</f>
        <v>16083</v>
      </c>
      <c r="F163" s="14" t="s">
        <v>1353</v>
      </c>
      <c r="G163" s="14" t="s">
        <v>306</v>
      </c>
      <c r="H163" s="14"/>
      <c r="I163" s="14" t="s">
        <v>1522</v>
      </c>
      <c r="J163" s="14" t="s">
        <v>1626</v>
      </c>
      <c r="K163" s="14" t="s">
        <v>1326</v>
      </c>
      <c r="L163" s="14" t="s">
        <v>490</v>
      </c>
      <c r="M163" s="14" t="s">
        <v>1336</v>
      </c>
      <c r="N163" s="14" t="s">
        <v>1326</v>
      </c>
      <c r="O163" s="14" t="s">
        <v>1630</v>
      </c>
      <c r="P163" s="14" t="s">
        <v>810</v>
      </c>
      <c r="Q163" s="14" t="s">
        <v>876</v>
      </c>
      <c r="R163" s="14" t="s">
        <v>1336</v>
      </c>
      <c r="S163" s="14" t="s">
        <v>1213</v>
      </c>
      <c r="T163" s="14" t="s">
        <v>434</v>
      </c>
      <c r="U163" s="14" t="s">
        <v>1018</v>
      </c>
      <c r="V163" s="14" t="s">
        <v>1526</v>
      </c>
      <c r="W163" s="15" t="s">
        <v>551</v>
      </c>
      <c r="X163" s="15"/>
      <c r="Y163" s="15" t="s">
        <v>773</v>
      </c>
      <c r="Z163" s="14"/>
      <c r="AA163" s="14"/>
      <c r="AB163" s="14"/>
      <c r="AC163" s="14"/>
      <c r="AD163" s="14"/>
      <c r="AE163" s="18"/>
      <c r="AF163" s="14"/>
      <c r="AG163" s="16"/>
      <c r="AH163" s="16"/>
      <c r="AI163" s="16"/>
      <c r="AJ163" s="16"/>
      <c r="AK163" s="16"/>
      <c r="AL163" s="16"/>
      <c r="AM163" s="16" t="s">
        <v>960</v>
      </c>
      <c r="AN163" s="1" t="s">
        <v>1760</v>
      </c>
    </row>
    <row r="164" spans="1:40" ht="12" customHeight="1" x14ac:dyDescent="0.2">
      <c r="A164" s="14">
        <v>16090</v>
      </c>
      <c r="B164" s="14">
        <v>16090</v>
      </c>
      <c r="C164" s="14">
        <v>12773</v>
      </c>
      <c r="D164" s="14" t="s">
        <v>306</v>
      </c>
      <c r="E164" s="14">
        <f>VLOOKUP(B164,[1]Sheet3!$A$2:$A$221,1,0)</f>
        <v>16090</v>
      </c>
      <c r="F164" s="14" t="s">
        <v>1353</v>
      </c>
      <c r="G164" s="14" t="s">
        <v>306</v>
      </c>
      <c r="H164" s="14"/>
      <c r="I164" s="14" t="s">
        <v>1460</v>
      </c>
      <c r="J164" s="14" t="s">
        <v>1414</v>
      </c>
      <c r="K164" s="14" t="s">
        <v>374</v>
      </c>
      <c r="L164" s="14" t="s">
        <v>30</v>
      </c>
      <c r="M164" s="14" t="s">
        <v>1049</v>
      </c>
      <c r="N164" s="14" t="s">
        <v>374</v>
      </c>
      <c r="O164" s="14" t="s">
        <v>1407</v>
      </c>
      <c r="P164" s="14" t="s">
        <v>602</v>
      </c>
      <c r="Q164" s="14" t="s">
        <v>1488</v>
      </c>
      <c r="R164" s="14" t="s">
        <v>1596</v>
      </c>
      <c r="S164" s="14" t="s">
        <v>1213</v>
      </c>
      <c r="T164" s="14" t="s">
        <v>549</v>
      </c>
      <c r="U164" s="14" t="s">
        <v>1106</v>
      </c>
      <c r="V164" s="14" t="s">
        <v>1526</v>
      </c>
      <c r="W164" s="15" t="s">
        <v>1287</v>
      </c>
      <c r="X164" s="15"/>
      <c r="Y164" s="15" t="s">
        <v>773</v>
      </c>
      <c r="Z164" s="14"/>
      <c r="AA164" s="14"/>
      <c r="AB164" s="14"/>
      <c r="AC164" s="14"/>
      <c r="AD164" s="14"/>
      <c r="AE164" s="18"/>
      <c r="AF164" s="14"/>
      <c r="AG164" s="16"/>
      <c r="AH164" s="16"/>
      <c r="AI164" s="16"/>
      <c r="AJ164" s="16"/>
      <c r="AK164" s="16"/>
      <c r="AL164" s="16"/>
      <c r="AM164" s="16" t="s">
        <v>960</v>
      </c>
      <c r="AN164" s="1" t="s">
        <v>1760</v>
      </c>
    </row>
    <row r="165" spans="1:40" ht="12" customHeight="1" x14ac:dyDescent="0.2">
      <c r="A165" s="14">
        <v>16091</v>
      </c>
      <c r="B165" s="14">
        <v>16091</v>
      </c>
      <c r="C165" s="14">
        <v>12774</v>
      </c>
      <c r="D165" s="14" t="s">
        <v>306</v>
      </c>
      <c r="E165" s="14">
        <f>VLOOKUP(B165,[1]Sheet3!$A$2:$A$221,1,0)</f>
        <v>16091</v>
      </c>
      <c r="F165" s="14" t="s">
        <v>1353</v>
      </c>
      <c r="G165" s="14" t="s">
        <v>306</v>
      </c>
      <c r="H165" s="14"/>
      <c r="I165" s="14" t="s">
        <v>106</v>
      </c>
      <c r="J165" s="14" t="s">
        <v>283</v>
      </c>
      <c r="K165" s="14" t="s">
        <v>241</v>
      </c>
      <c r="L165" s="14" t="s">
        <v>259</v>
      </c>
      <c r="M165" s="14" t="s">
        <v>1049</v>
      </c>
      <c r="N165" s="14" t="s">
        <v>241</v>
      </c>
      <c r="O165" s="14" t="s">
        <v>32</v>
      </c>
      <c r="P165" s="14" t="s">
        <v>44</v>
      </c>
      <c r="Q165" s="14" t="s">
        <v>1488</v>
      </c>
      <c r="R165" s="14" t="s">
        <v>1596</v>
      </c>
      <c r="S165" s="14" t="s">
        <v>1213</v>
      </c>
      <c r="T165" s="14" t="s">
        <v>549</v>
      </c>
      <c r="U165" s="14" t="s">
        <v>380</v>
      </c>
      <c r="V165" s="14" t="s">
        <v>1526</v>
      </c>
      <c r="W165" s="15" t="s">
        <v>1287</v>
      </c>
      <c r="X165" s="15"/>
      <c r="Y165" s="15" t="s">
        <v>773</v>
      </c>
      <c r="Z165" s="14"/>
      <c r="AA165" s="14"/>
      <c r="AB165" s="14"/>
      <c r="AC165" s="14"/>
      <c r="AD165" s="14"/>
      <c r="AE165" s="18"/>
      <c r="AF165" s="14"/>
      <c r="AG165" s="16"/>
      <c r="AH165" s="16"/>
      <c r="AI165" s="16"/>
      <c r="AJ165" s="16"/>
      <c r="AK165" s="16"/>
      <c r="AL165" s="16"/>
      <c r="AM165" s="16" t="s">
        <v>960</v>
      </c>
      <c r="AN165" s="1" t="s">
        <v>1760</v>
      </c>
    </row>
    <row r="166" spans="1:40" ht="12" customHeight="1" x14ac:dyDescent="0.2">
      <c r="A166" s="14">
        <v>16089</v>
      </c>
      <c r="B166" s="14">
        <v>16089</v>
      </c>
      <c r="C166" s="14">
        <v>12772</v>
      </c>
      <c r="D166" s="14" t="s">
        <v>306</v>
      </c>
      <c r="E166" s="14">
        <f>VLOOKUP(B166,[1]Sheet3!$A$2:$A$221,1,0)</f>
        <v>16089</v>
      </c>
      <c r="F166" s="14" t="s">
        <v>1353</v>
      </c>
      <c r="G166" s="14" t="s">
        <v>306</v>
      </c>
      <c r="H166" s="14"/>
      <c r="I166" s="14" t="s">
        <v>468</v>
      </c>
      <c r="J166" s="14" t="s">
        <v>904</v>
      </c>
      <c r="K166" s="14" t="s">
        <v>568</v>
      </c>
      <c r="L166" s="14" t="s">
        <v>321</v>
      </c>
      <c r="M166" s="14" t="s">
        <v>1049</v>
      </c>
      <c r="N166" s="14" t="s">
        <v>568</v>
      </c>
      <c r="O166" s="14" t="s">
        <v>100</v>
      </c>
      <c r="P166" s="14" t="s">
        <v>1034</v>
      </c>
      <c r="Q166" s="14" t="s">
        <v>1488</v>
      </c>
      <c r="R166" s="14" t="s">
        <v>1596</v>
      </c>
      <c r="S166" s="14" t="s">
        <v>1213</v>
      </c>
      <c r="T166" s="14" t="s">
        <v>549</v>
      </c>
      <c r="U166" s="14" t="s">
        <v>297</v>
      </c>
      <c r="V166" s="14" t="s">
        <v>1526</v>
      </c>
      <c r="W166" s="15" t="s">
        <v>1287</v>
      </c>
      <c r="X166" s="15"/>
      <c r="Y166" s="15" t="s">
        <v>773</v>
      </c>
      <c r="Z166" s="14"/>
      <c r="AA166" s="14"/>
      <c r="AB166" s="14"/>
      <c r="AC166" s="14"/>
      <c r="AD166" s="14"/>
      <c r="AE166" s="18"/>
      <c r="AF166" s="14"/>
      <c r="AG166" s="16"/>
      <c r="AH166" s="16"/>
      <c r="AI166" s="16"/>
      <c r="AJ166" s="16"/>
      <c r="AK166" s="16"/>
      <c r="AL166" s="16"/>
      <c r="AM166" s="16" t="s">
        <v>960</v>
      </c>
      <c r="AN166" s="1" t="s">
        <v>1760</v>
      </c>
    </row>
    <row r="167" spans="1:40" ht="12" customHeight="1" x14ac:dyDescent="0.2">
      <c r="A167" s="14">
        <v>23802</v>
      </c>
      <c r="B167" s="14">
        <v>23802</v>
      </c>
      <c r="C167" s="14">
        <v>12812</v>
      </c>
      <c r="D167" s="14" t="s">
        <v>306</v>
      </c>
      <c r="E167" s="14">
        <f>VLOOKUP(B167,[1]Sheet3!$A$2:$A$221,1,0)</f>
        <v>23802</v>
      </c>
      <c r="F167" s="14" t="s">
        <v>1353</v>
      </c>
      <c r="G167" s="14" t="s">
        <v>306</v>
      </c>
      <c r="H167" s="14"/>
      <c r="I167" s="14" t="s">
        <v>1645</v>
      </c>
      <c r="J167" s="14" t="s">
        <v>1568</v>
      </c>
      <c r="K167" s="14" t="s">
        <v>381</v>
      </c>
      <c r="L167" s="14" t="s">
        <v>218</v>
      </c>
      <c r="M167" s="14" t="s">
        <v>1336</v>
      </c>
      <c r="N167" s="14" t="s">
        <v>381</v>
      </c>
      <c r="O167" s="14" t="s">
        <v>1187</v>
      </c>
      <c r="P167" s="14" t="s">
        <v>715</v>
      </c>
      <c r="Q167" s="14" t="s">
        <v>876</v>
      </c>
      <c r="R167" s="14" t="s">
        <v>1336</v>
      </c>
      <c r="S167" s="14" t="s">
        <v>1358</v>
      </c>
      <c r="T167" s="14" t="s">
        <v>434</v>
      </c>
      <c r="U167" s="14" t="s">
        <v>961</v>
      </c>
      <c r="V167" s="14" t="s">
        <v>994</v>
      </c>
      <c r="W167" s="15"/>
      <c r="X167" s="15"/>
      <c r="Y167" s="15"/>
      <c r="Z167" s="14"/>
      <c r="AA167" s="14"/>
      <c r="AB167" s="14"/>
      <c r="AC167" s="14"/>
      <c r="AD167" s="14"/>
      <c r="AE167" s="18"/>
      <c r="AF167" s="14"/>
      <c r="AG167" s="16"/>
      <c r="AH167" s="16"/>
      <c r="AI167" s="16"/>
      <c r="AJ167" s="16"/>
      <c r="AK167" s="16"/>
      <c r="AL167" s="16"/>
      <c r="AM167" s="16" t="s">
        <v>960</v>
      </c>
      <c r="AN167" s="1" t="s">
        <v>1760</v>
      </c>
    </row>
    <row r="168" spans="1:40" ht="12" customHeight="1" x14ac:dyDescent="0.2">
      <c r="A168" s="14">
        <v>30812</v>
      </c>
      <c r="B168" s="14">
        <v>30812</v>
      </c>
      <c r="C168" s="14">
        <v>3020</v>
      </c>
      <c r="D168" s="14" t="s">
        <v>306</v>
      </c>
      <c r="E168" s="14">
        <f>VLOOKUP(B168,[1]Sheet3!$A$2:$A$221,1,0)</f>
        <v>30812</v>
      </c>
      <c r="F168" s="14" t="s">
        <v>1353</v>
      </c>
      <c r="G168" s="14" t="s">
        <v>306</v>
      </c>
      <c r="H168" s="14"/>
      <c r="I168" s="14" t="s">
        <v>246</v>
      </c>
      <c r="J168" s="14" t="s">
        <v>1263</v>
      </c>
      <c r="K168" s="14" t="s">
        <v>1521</v>
      </c>
      <c r="L168" s="14" t="s">
        <v>926</v>
      </c>
      <c r="M168" s="14" t="s">
        <v>1049</v>
      </c>
      <c r="N168" s="14" t="s">
        <v>1521</v>
      </c>
      <c r="O168" s="14" t="s">
        <v>1249</v>
      </c>
      <c r="P168" s="14" t="s">
        <v>1221</v>
      </c>
      <c r="Q168" s="14" t="s">
        <v>1488</v>
      </c>
      <c r="R168" s="14" t="s">
        <v>1596</v>
      </c>
      <c r="S168" s="14" t="s">
        <v>1637</v>
      </c>
      <c r="T168" s="14" t="s">
        <v>1394</v>
      </c>
      <c r="U168" s="14" t="s">
        <v>913</v>
      </c>
      <c r="V168" s="14" t="s">
        <v>844</v>
      </c>
      <c r="W168" s="15" t="s">
        <v>934</v>
      </c>
      <c r="X168" s="15"/>
      <c r="Y168" s="14" t="s">
        <v>665</v>
      </c>
      <c r="Z168" s="14"/>
      <c r="AA168" s="14"/>
      <c r="AB168" s="14"/>
      <c r="AC168" s="14"/>
      <c r="AD168" s="14"/>
      <c r="AE168" s="18"/>
      <c r="AF168" s="14"/>
      <c r="AG168" s="16"/>
      <c r="AH168" s="16"/>
      <c r="AI168" s="16"/>
      <c r="AJ168" s="16"/>
      <c r="AK168" s="16"/>
      <c r="AL168" s="16"/>
      <c r="AM168" s="16" t="s">
        <v>960</v>
      </c>
      <c r="AN168" s="1" t="s">
        <v>1760</v>
      </c>
    </row>
    <row r="169" spans="1:40" ht="12" customHeight="1" x14ac:dyDescent="0.2">
      <c r="A169" s="14">
        <v>716</v>
      </c>
      <c r="B169" s="14">
        <v>716</v>
      </c>
      <c r="C169" s="14">
        <v>3021</v>
      </c>
      <c r="D169" s="14" t="s">
        <v>306</v>
      </c>
      <c r="E169" s="14">
        <f>VLOOKUP(B169,[1]Sheet3!$A$2:$A$221,1,0)</f>
        <v>716</v>
      </c>
      <c r="F169" s="14" t="s">
        <v>1353</v>
      </c>
      <c r="G169" s="14" t="s">
        <v>306</v>
      </c>
      <c r="H169" s="14"/>
      <c r="I169" s="14" t="s">
        <v>1465</v>
      </c>
      <c r="J169" s="14" t="s">
        <v>1262</v>
      </c>
      <c r="K169" s="14" t="s">
        <v>1433</v>
      </c>
      <c r="L169" s="14" t="s">
        <v>926</v>
      </c>
      <c r="M169" s="14" t="s">
        <v>1049</v>
      </c>
      <c r="N169" s="14" t="s">
        <v>1433</v>
      </c>
      <c r="O169" s="14" t="s">
        <v>1220</v>
      </c>
      <c r="P169" s="14" t="s">
        <v>1660</v>
      </c>
      <c r="Q169" s="14" t="s">
        <v>146</v>
      </c>
      <c r="R169" s="14" t="s">
        <v>1596</v>
      </c>
      <c r="S169" s="14" t="s">
        <v>688</v>
      </c>
      <c r="T169" s="14" t="s">
        <v>1394</v>
      </c>
      <c r="U169" s="14" t="s">
        <v>913</v>
      </c>
      <c r="V169" s="14" t="s">
        <v>844</v>
      </c>
      <c r="W169" s="15" t="s">
        <v>934</v>
      </c>
      <c r="X169" s="15"/>
      <c r="Y169" s="14" t="s">
        <v>665</v>
      </c>
      <c r="Z169" s="14"/>
      <c r="AA169" s="14"/>
      <c r="AB169" s="14"/>
      <c r="AC169" s="14"/>
      <c r="AD169" s="14"/>
      <c r="AE169" s="18"/>
      <c r="AF169" s="14"/>
      <c r="AG169" s="16"/>
      <c r="AH169" s="16"/>
      <c r="AI169" s="16"/>
      <c r="AJ169" s="16"/>
      <c r="AK169" s="16"/>
      <c r="AL169" s="16"/>
      <c r="AM169" s="16" t="s">
        <v>960</v>
      </c>
      <c r="AN169" s="1" t="s">
        <v>1760</v>
      </c>
    </row>
    <row r="170" spans="1:40" ht="12" customHeight="1" x14ac:dyDescent="0.2">
      <c r="A170" s="14">
        <v>40074</v>
      </c>
      <c r="B170" s="14">
        <v>40074</v>
      </c>
      <c r="C170" s="14">
        <v>38767</v>
      </c>
      <c r="D170" s="14" t="s">
        <v>306</v>
      </c>
      <c r="E170" s="14">
        <f>VLOOKUP(B170,[1]Sheet3!$A$2:$A$221,1,0)</f>
        <v>40074</v>
      </c>
      <c r="F170" s="14" t="s">
        <v>1353</v>
      </c>
      <c r="G170" s="14" t="s">
        <v>306</v>
      </c>
      <c r="H170" s="14"/>
      <c r="I170" s="14" t="s">
        <v>534</v>
      </c>
      <c r="J170" s="14"/>
      <c r="K170" s="14"/>
      <c r="L170" s="14" t="s">
        <v>1648</v>
      </c>
      <c r="M170" s="14"/>
      <c r="N170" s="14" t="s">
        <v>573</v>
      </c>
      <c r="O170" s="14" t="s">
        <v>573</v>
      </c>
      <c r="P170" s="14" t="s">
        <v>573</v>
      </c>
      <c r="Q170" s="14" t="s">
        <v>876</v>
      </c>
      <c r="R170" s="14"/>
      <c r="S170" s="14" t="s">
        <v>963</v>
      </c>
      <c r="T170" s="14"/>
      <c r="U170" s="14" t="s">
        <v>147</v>
      </c>
      <c r="V170" s="14" t="s">
        <v>616</v>
      </c>
      <c r="W170" s="15"/>
      <c r="X170" s="15"/>
      <c r="Y170" s="15"/>
      <c r="Z170" s="14"/>
      <c r="AA170" s="14"/>
      <c r="AB170" s="14"/>
      <c r="AC170" s="14"/>
      <c r="AD170" s="14"/>
      <c r="AE170" s="18"/>
      <c r="AF170" s="14"/>
      <c r="AG170" s="16"/>
      <c r="AH170" s="16"/>
      <c r="AI170" s="16"/>
      <c r="AJ170" s="16"/>
      <c r="AK170" s="16"/>
      <c r="AL170" s="16"/>
      <c r="AM170" s="16" t="s">
        <v>960</v>
      </c>
      <c r="AN170" s="1" t="s">
        <v>1760</v>
      </c>
    </row>
    <row r="171" spans="1:40" ht="12" customHeight="1" x14ac:dyDescent="0.2">
      <c r="A171" s="14">
        <v>40075</v>
      </c>
      <c r="B171" s="14">
        <v>40075</v>
      </c>
      <c r="C171" s="14">
        <v>38768</v>
      </c>
      <c r="D171" s="14" t="s">
        <v>306</v>
      </c>
      <c r="E171" s="14">
        <f>VLOOKUP(B171,[1]Sheet3!$A$2:$A$221,1,0)</f>
        <v>40075</v>
      </c>
      <c r="F171" s="14" t="s">
        <v>1353</v>
      </c>
      <c r="G171" s="14" t="s">
        <v>306</v>
      </c>
      <c r="H171" s="14"/>
      <c r="I171" s="14" t="s">
        <v>440</v>
      </c>
      <c r="J171" s="14"/>
      <c r="K171" s="14"/>
      <c r="L171" s="14" t="s">
        <v>1648</v>
      </c>
      <c r="M171" s="14"/>
      <c r="N171" s="14" t="s">
        <v>359</v>
      </c>
      <c r="O171" s="14" t="s">
        <v>179</v>
      </c>
      <c r="P171" s="14" t="s">
        <v>359</v>
      </c>
      <c r="Q171" s="14" t="s">
        <v>876</v>
      </c>
      <c r="R171" s="14"/>
      <c r="S171" s="14" t="s">
        <v>1331</v>
      </c>
      <c r="T171" s="14"/>
      <c r="U171" s="14" t="s">
        <v>346</v>
      </c>
      <c r="V171" s="14" t="s">
        <v>129</v>
      </c>
      <c r="W171" s="15"/>
      <c r="X171" s="15"/>
      <c r="Y171" s="15"/>
      <c r="Z171" s="14"/>
      <c r="AA171" s="14"/>
      <c r="AB171" s="14"/>
      <c r="AC171" s="14"/>
      <c r="AD171" s="14"/>
      <c r="AE171" s="18"/>
      <c r="AF171" s="14"/>
      <c r="AG171" s="16"/>
      <c r="AH171" s="16"/>
      <c r="AI171" s="16"/>
      <c r="AJ171" s="16"/>
      <c r="AK171" s="16"/>
      <c r="AL171" s="16"/>
      <c r="AM171" s="16" t="s">
        <v>960</v>
      </c>
      <c r="AN171" s="1" t="s">
        <v>1760</v>
      </c>
    </row>
    <row r="172" spans="1:40" ht="12" customHeight="1" x14ac:dyDescent="0.2">
      <c r="A172" s="14">
        <v>24124</v>
      </c>
      <c r="B172" s="14">
        <v>24124</v>
      </c>
      <c r="C172" s="14">
        <v>13301</v>
      </c>
      <c r="D172" s="14" t="s">
        <v>306</v>
      </c>
      <c r="E172" s="14">
        <f>VLOOKUP(B172,[1]Sheet3!$A$2:$A$221,1,0)</f>
        <v>24124</v>
      </c>
      <c r="F172" s="14" t="s">
        <v>1353</v>
      </c>
      <c r="G172" s="14" t="s">
        <v>306</v>
      </c>
      <c r="H172" s="14"/>
      <c r="I172" s="14" t="s">
        <v>1316</v>
      </c>
      <c r="J172" s="14" t="s">
        <v>1416</v>
      </c>
      <c r="K172" s="14" t="s">
        <v>454</v>
      </c>
      <c r="L172" s="14" t="s">
        <v>1502</v>
      </c>
      <c r="M172" s="14" t="s">
        <v>644</v>
      </c>
      <c r="N172" s="14" t="s">
        <v>454</v>
      </c>
      <c r="O172" s="14" t="s">
        <v>99</v>
      </c>
      <c r="P172" s="14" t="s">
        <v>1540</v>
      </c>
      <c r="Q172" s="14" t="s">
        <v>876</v>
      </c>
      <c r="R172" s="14" t="s">
        <v>644</v>
      </c>
      <c r="S172" s="14" t="s">
        <v>963</v>
      </c>
      <c r="T172" s="14"/>
      <c r="U172" s="14" t="s">
        <v>147</v>
      </c>
      <c r="V172" s="14" t="s">
        <v>616</v>
      </c>
      <c r="W172" s="15"/>
      <c r="X172" s="15"/>
      <c r="Y172" s="15"/>
      <c r="Z172" s="14"/>
      <c r="AA172" s="14"/>
      <c r="AB172" s="14"/>
      <c r="AC172" s="14"/>
      <c r="AD172" s="14"/>
      <c r="AE172" s="18"/>
      <c r="AF172" s="14"/>
      <c r="AG172" s="16"/>
      <c r="AH172" s="16"/>
      <c r="AI172" s="16"/>
      <c r="AJ172" s="16"/>
      <c r="AK172" s="16"/>
      <c r="AL172" s="16"/>
      <c r="AM172" s="16" t="s">
        <v>960</v>
      </c>
      <c r="AN172" s="1" t="s">
        <v>1760</v>
      </c>
    </row>
    <row r="173" spans="1:40" ht="12" customHeight="1" x14ac:dyDescent="0.2">
      <c r="A173" s="14">
        <v>20584</v>
      </c>
      <c r="B173" s="14">
        <v>20584</v>
      </c>
      <c r="C173" s="14">
        <v>8306</v>
      </c>
      <c r="D173" s="14" t="s">
        <v>306</v>
      </c>
      <c r="E173" s="14">
        <f>VLOOKUP(B173,[1]Sheet3!$A$2:$A$221,1,0)</f>
        <v>20584</v>
      </c>
      <c r="F173" s="14" t="s">
        <v>1353</v>
      </c>
      <c r="G173" s="14" t="s">
        <v>306</v>
      </c>
      <c r="H173" s="14"/>
      <c r="I173" s="14" t="s">
        <v>753</v>
      </c>
      <c r="J173" s="14" t="s">
        <v>1436</v>
      </c>
      <c r="K173" s="14" t="s">
        <v>326</v>
      </c>
      <c r="L173" s="14" t="s">
        <v>867</v>
      </c>
      <c r="M173" s="14" t="s">
        <v>1336</v>
      </c>
      <c r="N173" s="14" t="s">
        <v>326</v>
      </c>
      <c r="O173" s="14" t="s">
        <v>1046</v>
      </c>
      <c r="P173" s="14" t="s">
        <v>818</v>
      </c>
      <c r="Q173" s="14" t="s">
        <v>876</v>
      </c>
      <c r="R173" s="14" t="s">
        <v>1336</v>
      </c>
      <c r="S173" s="14" t="s">
        <v>535</v>
      </c>
      <c r="T173" s="14" t="s">
        <v>152</v>
      </c>
      <c r="U173" s="14" t="s">
        <v>189</v>
      </c>
      <c r="V173" s="14" t="s">
        <v>593</v>
      </c>
      <c r="W173" s="15"/>
      <c r="X173" s="15"/>
      <c r="Y173" s="15"/>
      <c r="Z173" s="14"/>
      <c r="AA173" s="14"/>
      <c r="AB173" s="14"/>
      <c r="AC173" s="14"/>
      <c r="AD173" s="14"/>
      <c r="AE173" s="18"/>
      <c r="AF173" s="14"/>
      <c r="AG173" s="16"/>
      <c r="AH173" s="16"/>
      <c r="AI173" s="16"/>
      <c r="AJ173" s="16"/>
      <c r="AK173" s="16"/>
      <c r="AL173" s="16"/>
      <c r="AM173" s="16" t="s">
        <v>960</v>
      </c>
      <c r="AN173" s="1" t="s">
        <v>1760</v>
      </c>
    </row>
    <row r="174" spans="1:40" ht="12" customHeight="1" x14ac:dyDescent="0.2">
      <c r="A174" s="14">
        <v>20720</v>
      </c>
      <c r="B174" s="14">
        <v>20720</v>
      </c>
      <c r="C174" s="14">
        <v>8444</v>
      </c>
      <c r="D174" s="14" t="s">
        <v>306</v>
      </c>
      <c r="E174" s="14">
        <f>VLOOKUP(B174,[1]Sheet3!$A$2:$A$221,1,0)</f>
        <v>20720</v>
      </c>
      <c r="F174" s="14" t="s">
        <v>1353</v>
      </c>
      <c r="G174" s="14" t="s">
        <v>306</v>
      </c>
      <c r="H174" s="14"/>
      <c r="I174" s="14" t="s">
        <v>879</v>
      </c>
      <c r="J174" s="14" t="s">
        <v>284</v>
      </c>
      <c r="K174" s="14" t="s">
        <v>972</v>
      </c>
      <c r="L174" s="14" t="s">
        <v>867</v>
      </c>
      <c r="M174" s="14" t="s">
        <v>1336</v>
      </c>
      <c r="N174" s="14" t="s">
        <v>972</v>
      </c>
      <c r="O174" s="14" t="s">
        <v>0</v>
      </c>
      <c r="P174" s="14" t="s">
        <v>974</v>
      </c>
      <c r="Q174" s="14" t="s">
        <v>876</v>
      </c>
      <c r="R174" s="14" t="s">
        <v>1336</v>
      </c>
      <c r="S174" s="14" t="s">
        <v>535</v>
      </c>
      <c r="T174" s="14" t="s">
        <v>200</v>
      </c>
      <c r="U174" s="14" t="s">
        <v>189</v>
      </c>
      <c r="V174" s="14" t="s">
        <v>593</v>
      </c>
      <c r="W174" s="15"/>
      <c r="X174" s="15"/>
      <c r="Y174" s="15"/>
      <c r="Z174" s="14"/>
      <c r="AA174" s="14"/>
      <c r="AB174" s="14"/>
      <c r="AC174" s="14"/>
      <c r="AD174" s="14"/>
      <c r="AE174" s="18"/>
      <c r="AF174" s="14"/>
      <c r="AG174" s="16"/>
      <c r="AH174" s="16"/>
      <c r="AI174" s="16"/>
      <c r="AJ174" s="16"/>
      <c r="AK174" s="16"/>
      <c r="AL174" s="16"/>
      <c r="AM174" s="16" t="s">
        <v>960</v>
      </c>
      <c r="AN174" s="1" t="s">
        <v>1760</v>
      </c>
    </row>
    <row r="175" spans="1:40" ht="12" customHeight="1" x14ac:dyDescent="0.2">
      <c r="A175" s="14">
        <v>564</v>
      </c>
      <c r="B175" s="14">
        <v>564</v>
      </c>
      <c r="C175" s="14">
        <v>3661</v>
      </c>
      <c r="D175" s="14" t="s">
        <v>306</v>
      </c>
      <c r="E175" s="14">
        <f>VLOOKUP(B175,[1]Sheet3!$A$2:$A$221,1,0)</f>
        <v>564</v>
      </c>
      <c r="F175" s="14" t="s">
        <v>1353</v>
      </c>
      <c r="G175" s="14" t="s">
        <v>306</v>
      </c>
      <c r="H175" s="14"/>
      <c r="I175" s="14" t="s">
        <v>341</v>
      </c>
      <c r="J175" s="14" t="s">
        <v>537</v>
      </c>
      <c r="K175" s="14" t="s">
        <v>628</v>
      </c>
      <c r="L175" s="14" t="s">
        <v>124</v>
      </c>
      <c r="M175" s="14" t="s">
        <v>1336</v>
      </c>
      <c r="N175" s="14" t="s">
        <v>628</v>
      </c>
      <c r="O175" s="14" t="s">
        <v>965</v>
      </c>
      <c r="P175" s="14" t="s">
        <v>745</v>
      </c>
      <c r="Q175" s="14" t="s">
        <v>876</v>
      </c>
      <c r="R175" s="14" t="s">
        <v>1336</v>
      </c>
      <c r="S175" s="14" t="s">
        <v>9</v>
      </c>
      <c r="T175" s="14" t="s">
        <v>1023</v>
      </c>
      <c r="U175" s="14" t="s">
        <v>795</v>
      </c>
      <c r="V175" s="14" t="s">
        <v>1019</v>
      </c>
      <c r="W175" s="15"/>
      <c r="X175" s="15"/>
      <c r="Y175" s="15"/>
      <c r="Z175" s="14"/>
      <c r="AA175" s="14"/>
      <c r="AB175" s="14"/>
      <c r="AC175" s="14"/>
      <c r="AD175" s="14"/>
      <c r="AE175" s="18"/>
      <c r="AF175" s="14"/>
      <c r="AG175" s="16"/>
      <c r="AH175" s="16"/>
      <c r="AI175" s="16"/>
      <c r="AJ175" s="16"/>
      <c r="AK175" s="16"/>
      <c r="AL175" s="16"/>
      <c r="AM175" s="16" t="s">
        <v>960</v>
      </c>
      <c r="AN175" s="1" t="s">
        <v>1760</v>
      </c>
    </row>
    <row r="176" spans="1:40" ht="12" customHeight="1" x14ac:dyDescent="0.2">
      <c r="A176" s="14">
        <v>17754</v>
      </c>
      <c r="B176" s="14">
        <v>17754</v>
      </c>
      <c r="C176" s="14">
        <v>4600</v>
      </c>
      <c r="D176" s="14" t="s">
        <v>306</v>
      </c>
      <c r="E176" s="14">
        <f>VLOOKUP(B176,[1]Sheet3!$A$2:$A$221,1,0)</f>
        <v>17754</v>
      </c>
      <c r="F176" s="14" t="s">
        <v>1353</v>
      </c>
      <c r="G176" s="14" t="s">
        <v>306</v>
      </c>
      <c r="H176" s="14"/>
      <c r="I176" s="14" t="s">
        <v>337</v>
      </c>
      <c r="J176" s="14" t="s">
        <v>623</v>
      </c>
      <c r="K176" s="14" t="s">
        <v>1420</v>
      </c>
      <c r="L176" s="14" t="s">
        <v>762</v>
      </c>
      <c r="M176" s="14" t="s">
        <v>1049</v>
      </c>
      <c r="N176" s="14" t="s">
        <v>1420</v>
      </c>
      <c r="O176" s="14" t="s">
        <v>506</v>
      </c>
      <c r="P176" s="14" t="s">
        <v>1061</v>
      </c>
      <c r="Q176" s="14" t="s">
        <v>146</v>
      </c>
      <c r="R176" s="14" t="s">
        <v>1596</v>
      </c>
      <c r="S176" s="14" t="s">
        <v>843</v>
      </c>
      <c r="T176" s="14" t="s">
        <v>1515</v>
      </c>
      <c r="U176" s="14" t="s">
        <v>421</v>
      </c>
      <c r="V176" s="14" t="s">
        <v>1484</v>
      </c>
      <c r="W176" s="15"/>
      <c r="X176" s="15"/>
      <c r="Y176" s="15"/>
      <c r="Z176" s="14"/>
      <c r="AA176" s="14"/>
      <c r="AB176" s="14"/>
      <c r="AC176" s="14"/>
      <c r="AD176" s="14"/>
      <c r="AE176" s="18"/>
      <c r="AF176" s="14"/>
      <c r="AG176" s="16"/>
      <c r="AH176" s="16"/>
      <c r="AI176" s="16"/>
      <c r="AJ176" s="16"/>
      <c r="AK176" s="16"/>
      <c r="AL176" s="16"/>
      <c r="AM176" s="16" t="s">
        <v>960</v>
      </c>
      <c r="AN176" s="1" t="s">
        <v>1760</v>
      </c>
    </row>
    <row r="177" spans="1:40" ht="12" customHeight="1" x14ac:dyDescent="0.2">
      <c r="A177" s="14">
        <v>29655</v>
      </c>
      <c r="B177" s="14">
        <v>29655</v>
      </c>
      <c r="C177" s="14">
        <v>12105</v>
      </c>
      <c r="D177" s="14" t="s">
        <v>306</v>
      </c>
      <c r="E177" s="14">
        <f>VLOOKUP(B177,[1]Sheet3!$A$2:$A$221,1,0)</f>
        <v>29655</v>
      </c>
      <c r="F177" s="14" t="s">
        <v>1353</v>
      </c>
      <c r="G177" s="14" t="s">
        <v>306</v>
      </c>
      <c r="H177" s="14"/>
      <c r="I177" s="14" t="s">
        <v>489</v>
      </c>
      <c r="J177" s="14" t="s">
        <v>803</v>
      </c>
      <c r="K177" s="14" t="s">
        <v>33</v>
      </c>
      <c r="L177" s="14" t="s">
        <v>762</v>
      </c>
      <c r="M177" s="14" t="s">
        <v>1049</v>
      </c>
      <c r="N177" s="14" t="s">
        <v>33</v>
      </c>
      <c r="O177" s="14" t="s">
        <v>615</v>
      </c>
      <c r="P177" s="14" t="s">
        <v>1396</v>
      </c>
      <c r="Q177" s="14" t="s">
        <v>146</v>
      </c>
      <c r="R177" s="14" t="s">
        <v>1596</v>
      </c>
      <c r="S177" s="14" t="s">
        <v>843</v>
      </c>
      <c r="T177" s="14" t="s">
        <v>55</v>
      </c>
      <c r="U177" s="14" t="s">
        <v>421</v>
      </c>
      <c r="V177" s="14" t="s">
        <v>1484</v>
      </c>
      <c r="W177" s="15"/>
      <c r="X177" s="15"/>
      <c r="Y177" s="15"/>
      <c r="Z177" s="14"/>
      <c r="AA177" s="14"/>
      <c r="AB177" s="14"/>
      <c r="AC177" s="14"/>
      <c r="AD177" s="14"/>
      <c r="AE177" s="18"/>
      <c r="AF177" s="14"/>
      <c r="AG177" s="16"/>
      <c r="AH177" s="16"/>
      <c r="AI177" s="16"/>
      <c r="AJ177" s="16"/>
      <c r="AK177" s="16"/>
      <c r="AL177" s="16"/>
      <c r="AM177" s="16" t="s">
        <v>960</v>
      </c>
      <c r="AN177" s="1" t="s">
        <v>1760</v>
      </c>
    </row>
    <row r="178" spans="1:40" ht="12" customHeight="1" x14ac:dyDescent="0.2">
      <c r="A178" s="14">
        <v>18447</v>
      </c>
      <c r="B178" s="14">
        <v>18447</v>
      </c>
      <c r="C178" s="14">
        <v>5564</v>
      </c>
      <c r="D178" s="14" t="s">
        <v>306</v>
      </c>
      <c r="E178" s="14">
        <f>VLOOKUP(B178,[1]Sheet3!$A$2:$A$221,1,0)</f>
        <v>18447</v>
      </c>
      <c r="F178" s="14" t="s">
        <v>1353</v>
      </c>
      <c r="G178" s="14" t="s">
        <v>306</v>
      </c>
      <c r="H178" s="14"/>
      <c r="I178" s="14" t="s">
        <v>487</v>
      </c>
      <c r="J178" s="14" t="s">
        <v>1083</v>
      </c>
      <c r="K178" s="14" t="s">
        <v>632</v>
      </c>
      <c r="L178" s="14" t="s">
        <v>333</v>
      </c>
      <c r="M178" s="14" t="s">
        <v>1049</v>
      </c>
      <c r="N178" s="14" t="s">
        <v>632</v>
      </c>
      <c r="O178" s="14" t="s">
        <v>1401</v>
      </c>
      <c r="P178" s="14" t="s">
        <v>232</v>
      </c>
      <c r="Q178" s="14" t="s">
        <v>1488</v>
      </c>
      <c r="R178" s="14" t="s">
        <v>1596</v>
      </c>
      <c r="S178" s="14" t="s">
        <v>744</v>
      </c>
      <c r="T178" s="14" t="s">
        <v>955</v>
      </c>
      <c r="U178" s="14" t="s">
        <v>1071</v>
      </c>
      <c r="V178" s="14" t="s">
        <v>1279</v>
      </c>
      <c r="W178" s="15"/>
      <c r="X178" s="15"/>
      <c r="Y178" s="15"/>
      <c r="Z178" s="14"/>
      <c r="AA178" s="14"/>
      <c r="AB178" s="14"/>
      <c r="AC178" s="14"/>
      <c r="AD178" s="14"/>
      <c r="AE178" s="18"/>
      <c r="AF178" s="14"/>
      <c r="AG178" s="16"/>
      <c r="AH178" s="16"/>
      <c r="AI178" s="16"/>
      <c r="AJ178" s="16"/>
      <c r="AK178" s="16"/>
      <c r="AL178" s="16"/>
      <c r="AM178" s="16" t="s">
        <v>960</v>
      </c>
      <c r="AN178" s="1" t="s">
        <v>1760</v>
      </c>
    </row>
    <row r="179" spans="1:40" ht="12" customHeight="1" x14ac:dyDescent="0.2">
      <c r="A179" s="14">
        <v>40080</v>
      </c>
      <c r="B179" s="14">
        <v>40080</v>
      </c>
      <c r="C179" s="14">
        <v>38773</v>
      </c>
      <c r="D179" s="14" t="s">
        <v>306</v>
      </c>
      <c r="E179" s="14">
        <f>VLOOKUP(B179,[1]Sheet3!$A$2:$A$221,1,0)</f>
        <v>40080</v>
      </c>
      <c r="F179" s="14" t="s">
        <v>1353</v>
      </c>
      <c r="G179" s="14" t="s">
        <v>306</v>
      </c>
      <c r="H179" s="14"/>
      <c r="I179" s="14" t="s">
        <v>1612</v>
      </c>
      <c r="J179" s="14"/>
      <c r="K179" s="14"/>
      <c r="L179" s="14" t="s">
        <v>1648</v>
      </c>
      <c r="M179" s="14"/>
      <c r="N179" s="14" t="s">
        <v>630</v>
      </c>
      <c r="O179" s="14" t="s">
        <v>483</v>
      </c>
      <c r="P179" s="14" t="s">
        <v>630</v>
      </c>
      <c r="Q179" s="14" t="s">
        <v>876</v>
      </c>
      <c r="R179" s="14"/>
      <c r="S179" s="14" t="s">
        <v>1118</v>
      </c>
      <c r="T179" s="14"/>
      <c r="U179" s="14" t="s">
        <v>883</v>
      </c>
      <c r="V179" s="14" t="s">
        <v>1587</v>
      </c>
      <c r="W179" s="15"/>
      <c r="X179" s="15"/>
      <c r="Y179" s="15"/>
      <c r="Z179" s="14"/>
      <c r="AA179" s="14"/>
      <c r="AB179" s="14"/>
      <c r="AC179" s="14"/>
      <c r="AD179" s="14"/>
      <c r="AE179" s="18"/>
      <c r="AF179" s="14"/>
      <c r="AG179" s="16"/>
      <c r="AH179" s="16"/>
      <c r="AI179" s="16"/>
      <c r="AJ179" s="16"/>
      <c r="AK179" s="16"/>
      <c r="AL179" s="16"/>
      <c r="AM179" s="16" t="s">
        <v>960</v>
      </c>
      <c r="AN179" s="1" t="s">
        <v>1760</v>
      </c>
    </row>
    <row r="180" spans="1:40" ht="12" customHeight="1" x14ac:dyDescent="0.2">
      <c r="A180" s="14">
        <v>43418</v>
      </c>
      <c r="B180" s="14">
        <v>43418</v>
      </c>
      <c r="C180" s="14">
        <v>42776</v>
      </c>
      <c r="D180" s="14" t="s">
        <v>306</v>
      </c>
      <c r="E180" s="14">
        <f>VLOOKUP(B180,[1]Sheet3!$A$2:$A$221,1,0)</f>
        <v>43418</v>
      </c>
      <c r="F180" s="14" t="s">
        <v>1353</v>
      </c>
      <c r="G180" s="14" t="s">
        <v>306</v>
      </c>
      <c r="H180" s="14"/>
      <c r="I180" s="14" t="s">
        <v>346</v>
      </c>
      <c r="J180" s="14"/>
      <c r="K180" s="14"/>
      <c r="L180" s="14"/>
      <c r="M180" s="14"/>
      <c r="N180" s="14" t="s">
        <v>1051</v>
      </c>
      <c r="O180" s="14" t="s">
        <v>137</v>
      </c>
      <c r="P180" s="14" t="s">
        <v>1595</v>
      </c>
      <c r="Q180" s="14"/>
      <c r="R180" s="14"/>
      <c r="S180" s="14" t="s">
        <v>1118</v>
      </c>
      <c r="T180" s="14" t="s">
        <v>145</v>
      </c>
      <c r="U180" s="14" t="s">
        <v>730</v>
      </c>
      <c r="V180" s="14" t="s">
        <v>1587</v>
      </c>
      <c r="W180" s="15"/>
      <c r="X180" s="15"/>
      <c r="Y180" s="15"/>
      <c r="Z180" s="14"/>
      <c r="AA180" s="14"/>
      <c r="AB180" s="14"/>
      <c r="AC180" s="14"/>
      <c r="AD180" s="14"/>
      <c r="AE180" s="18"/>
      <c r="AF180" s="14" t="s">
        <v>717</v>
      </c>
      <c r="AG180" s="16"/>
      <c r="AH180" s="16"/>
      <c r="AI180" s="16"/>
      <c r="AJ180" s="16"/>
      <c r="AK180" s="16"/>
      <c r="AL180" s="16"/>
      <c r="AM180" s="16" t="s">
        <v>960</v>
      </c>
      <c r="AN180" s="1" t="s">
        <v>1760</v>
      </c>
    </row>
    <row r="181" spans="1:40" ht="12" customHeight="1" x14ac:dyDescent="0.2">
      <c r="A181" s="14">
        <v>23780</v>
      </c>
      <c r="B181" s="14">
        <v>23780</v>
      </c>
      <c r="C181" s="14">
        <v>12778</v>
      </c>
      <c r="D181" s="14" t="s">
        <v>306</v>
      </c>
      <c r="E181" s="14">
        <f>VLOOKUP(B181,[1]Sheet3!$A$2:$A$221,1,0)</f>
        <v>23780</v>
      </c>
      <c r="F181" s="14" t="s">
        <v>1353</v>
      </c>
      <c r="G181" s="14" t="s">
        <v>306</v>
      </c>
      <c r="H181" s="14"/>
      <c r="I181" s="14" t="s">
        <v>1657</v>
      </c>
      <c r="J181" s="14" t="s">
        <v>1215</v>
      </c>
      <c r="K181" s="14" t="s">
        <v>188</v>
      </c>
      <c r="L181" s="14" t="s">
        <v>226</v>
      </c>
      <c r="M181" s="14" t="s">
        <v>1447</v>
      </c>
      <c r="N181" s="14" t="s">
        <v>188</v>
      </c>
      <c r="O181" s="14" t="s">
        <v>1139</v>
      </c>
      <c r="P181" s="14" t="s">
        <v>216</v>
      </c>
      <c r="Q181" s="14" t="s">
        <v>876</v>
      </c>
      <c r="R181" s="14" t="s">
        <v>1447</v>
      </c>
      <c r="S181" s="14" t="s">
        <v>1473</v>
      </c>
      <c r="T181" s="14" t="s">
        <v>1203</v>
      </c>
      <c r="U181" s="14" t="s">
        <v>1536</v>
      </c>
      <c r="V181" s="14" t="s">
        <v>1134</v>
      </c>
      <c r="W181" s="15"/>
      <c r="X181" s="15"/>
      <c r="Y181" s="15"/>
      <c r="Z181" s="14"/>
      <c r="AA181" s="14"/>
      <c r="AB181" s="14"/>
      <c r="AC181" s="14"/>
      <c r="AD181" s="14"/>
      <c r="AE181" s="18"/>
      <c r="AF181" s="14"/>
      <c r="AG181" s="16"/>
      <c r="AH181" s="16"/>
      <c r="AI181" s="16"/>
      <c r="AJ181" s="16"/>
      <c r="AK181" s="16"/>
      <c r="AL181" s="16"/>
      <c r="AM181" s="16" t="s">
        <v>960</v>
      </c>
      <c r="AN181" s="1" t="s">
        <v>1760</v>
      </c>
    </row>
    <row r="182" spans="1:40" ht="12" customHeight="1" x14ac:dyDescent="0.2">
      <c r="A182" s="14">
        <v>14832</v>
      </c>
      <c r="B182" s="14">
        <v>14832</v>
      </c>
      <c r="C182" s="14">
        <v>913</v>
      </c>
      <c r="D182" s="14" t="s">
        <v>306</v>
      </c>
      <c r="E182" s="14">
        <f>VLOOKUP(B182,[1]Sheet3!$A$2:$A$221,1,0)</f>
        <v>14832</v>
      </c>
      <c r="F182" s="14" t="s">
        <v>1353</v>
      </c>
      <c r="G182" s="14" t="s">
        <v>306</v>
      </c>
      <c r="H182" s="14"/>
      <c r="I182" s="14" t="s">
        <v>1449</v>
      </c>
      <c r="J182" s="14" t="s">
        <v>72</v>
      </c>
      <c r="K182" s="14" t="s">
        <v>1310</v>
      </c>
      <c r="L182" s="14" t="s">
        <v>168</v>
      </c>
      <c r="M182" s="14" t="s">
        <v>1336</v>
      </c>
      <c r="N182" s="14" t="s">
        <v>1310</v>
      </c>
      <c r="O182" s="14" t="s">
        <v>1189</v>
      </c>
      <c r="P182" s="14" t="s">
        <v>1451</v>
      </c>
      <c r="Q182" s="14" t="s">
        <v>876</v>
      </c>
      <c r="R182" s="14" t="s">
        <v>1336</v>
      </c>
      <c r="S182" s="14" t="s">
        <v>840</v>
      </c>
      <c r="T182" s="14" t="s">
        <v>1280</v>
      </c>
      <c r="U182" s="14" t="s">
        <v>1059</v>
      </c>
      <c r="V182" s="14" t="s">
        <v>217</v>
      </c>
      <c r="W182" s="15"/>
      <c r="X182" s="15"/>
      <c r="Y182" s="15"/>
      <c r="Z182" s="14"/>
      <c r="AA182" s="14"/>
      <c r="AB182" s="14"/>
      <c r="AC182" s="14"/>
      <c r="AD182" s="14"/>
      <c r="AE182" s="18"/>
      <c r="AF182" s="14"/>
      <c r="AG182" s="16"/>
      <c r="AH182" s="16"/>
      <c r="AI182" s="16"/>
      <c r="AJ182" s="16"/>
      <c r="AK182" s="16"/>
      <c r="AL182" s="16"/>
      <c r="AM182" s="16" t="s">
        <v>960</v>
      </c>
      <c r="AN182" s="1" t="s">
        <v>1760</v>
      </c>
    </row>
    <row r="183" spans="1:40" ht="12" customHeight="1" x14ac:dyDescent="0.2">
      <c r="A183" s="14">
        <v>15499</v>
      </c>
      <c r="B183" s="14">
        <v>15499</v>
      </c>
      <c r="C183" s="14">
        <v>1722</v>
      </c>
      <c r="D183" s="14" t="s">
        <v>306</v>
      </c>
      <c r="E183" s="14">
        <f>VLOOKUP(B183,[1]Sheet3!$A$2:$A$221,1,0)</f>
        <v>15499</v>
      </c>
      <c r="F183" s="14" t="s">
        <v>1353</v>
      </c>
      <c r="G183" s="14" t="s">
        <v>306</v>
      </c>
      <c r="H183" s="14"/>
      <c r="I183" s="14" t="s">
        <v>530</v>
      </c>
      <c r="J183" s="14" t="s">
        <v>166</v>
      </c>
      <c r="K183" s="14" t="s">
        <v>229</v>
      </c>
      <c r="L183" s="14" t="s">
        <v>168</v>
      </c>
      <c r="M183" s="14" t="s">
        <v>1336</v>
      </c>
      <c r="N183" s="14" t="s">
        <v>229</v>
      </c>
      <c r="O183" s="14" t="s">
        <v>791</v>
      </c>
      <c r="P183" s="14" t="s">
        <v>1482</v>
      </c>
      <c r="Q183" s="14" t="s">
        <v>876</v>
      </c>
      <c r="R183" s="14" t="s">
        <v>1336</v>
      </c>
      <c r="S183" s="14" t="s">
        <v>840</v>
      </c>
      <c r="T183" s="14" t="s">
        <v>962</v>
      </c>
      <c r="U183" s="14" t="s">
        <v>1059</v>
      </c>
      <c r="V183" s="14" t="s">
        <v>217</v>
      </c>
      <c r="W183" s="15"/>
      <c r="X183" s="15"/>
      <c r="Y183" s="15"/>
      <c r="Z183" s="14"/>
      <c r="AA183" s="14"/>
      <c r="AB183" s="14"/>
      <c r="AC183" s="14"/>
      <c r="AD183" s="14"/>
      <c r="AE183" s="18"/>
      <c r="AF183" s="14"/>
      <c r="AG183" s="16"/>
      <c r="AH183" s="16"/>
      <c r="AI183" s="16"/>
      <c r="AJ183" s="16"/>
      <c r="AK183" s="16"/>
      <c r="AL183" s="16"/>
      <c r="AM183" s="16" t="s">
        <v>960</v>
      </c>
      <c r="AN183" s="1" t="s">
        <v>1760</v>
      </c>
    </row>
    <row r="184" spans="1:40" ht="12" customHeight="1" x14ac:dyDescent="0.2">
      <c r="A184" s="14">
        <v>14831</v>
      </c>
      <c r="B184" s="14">
        <v>14831</v>
      </c>
      <c r="C184" s="14">
        <v>911</v>
      </c>
      <c r="D184" s="14" t="s">
        <v>306</v>
      </c>
      <c r="E184" s="14">
        <f>VLOOKUP(B184,[1]Sheet3!$A$2:$A$221,1,0)</f>
        <v>14831</v>
      </c>
      <c r="F184" s="14" t="s">
        <v>1353</v>
      </c>
      <c r="G184" s="14" t="s">
        <v>306</v>
      </c>
      <c r="H184" s="14"/>
      <c r="I184" s="14" t="s">
        <v>286</v>
      </c>
      <c r="J184" s="14" t="s">
        <v>175</v>
      </c>
      <c r="K184" s="14" t="s">
        <v>230</v>
      </c>
      <c r="L184" s="14" t="s">
        <v>168</v>
      </c>
      <c r="M184" s="14" t="s">
        <v>1336</v>
      </c>
      <c r="N184" s="14" t="s">
        <v>230</v>
      </c>
      <c r="O184" s="14" t="s">
        <v>1654</v>
      </c>
      <c r="P184" s="14" t="s">
        <v>952</v>
      </c>
      <c r="Q184" s="14" t="s">
        <v>876</v>
      </c>
      <c r="R184" s="14" t="s">
        <v>1336</v>
      </c>
      <c r="S184" s="14" t="s">
        <v>840</v>
      </c>
      <c r="T184" s="14" t="s">
        <v>40</v>
      </c>
      <c r="U184" s="14" t="s">
        <v>1059</v>
      </c>
      <c r="V184" s="14" t="s">
        <v>217</v>
      </c>
      <c r="W184" s="15"/>
      <c r="X184" s="15"/>
      <c r="Y184" s="15"/>
      <c r="Z184" s="14"/>
      <c r="AA184" s="14"/>
      <c r="AB184" s="14"/>
      <c r="AC184" s="14"/>
      <c r="AD184" s="14"/>
      <c r="AE184" s="18"/>
      <c r="AF184" s="14"/>
      <c r="AG184" s="16"/>
      <c r="AH184" s="16"/>
      <c r="AI184" s="16"/>
      <c r="AJ184" s="16"/>
      <c r="AK184" s="16"/>
      <c r="AL184" s="16"/>
      <c r="AM184" s="16" t="s">
        <v>960</v>
      </c>
      <c r="AN184" s="1" t="s">
        <v>1760</v>
      </c>
    </row>
    <row r="185" spans="1:40" ht="12" customHeight="1" x14ac:dyDescent="0.2">
      <c r="A185" s="14">
        <v>15477</v>
      </c>
      <c r="B185" s="14">
        <v>15477</v>
      </c>
      <c r="C185" s="14">
        <v>1697</v>
      </c>
      <c r="D185" s="14" t="s">
        <v>306</v>
      </c>
      <c r="E185" s="14">
        <f>VLOOKUP(B185,[1]Sheet3!$A$2:$A$221,1,0)</f>
        <v>15477</v>
      </c>
      <c r="F185" s="14" t="s">
        <v>1353</v>
      </c>
      <c r="G185" s="14" t="s">
        <v>306</v>
      </c>
      <c r="H185" s="14"/>
      <c r="I185" s="14" t="s">
        <v>1385</v>
      </c>
      <c r="J185" s="14" t="s">
        <v>1629</v>
      </c>
      <c r="K185" s="14" t="s">
        <v>968</v>
      </c>
      <c r="L185" s="14" t="s">
        <v>168</v>
      </c>
      <c r="M185" s="14" t="s">
        <v>1336</v>
      </c>
      <c r="N185" s="14" t="s">
        <v>968</v>
      </c>
      <c r="O185" s="14" t="s">
        <v>805</v>
      </c>
      <c r="P185" s="14" t="s">
        <v>1119</v>
      </c>
      <c r="Q185" s="14" t="s">
        <v>876</v>
      </c>
      <c r="R185" s="14" t="s">
        <v>1336</v>
      </c>
      <c r="S185" s="14" t="s">
        <v>840</v>
      </c>
      <c r="T185" s="14" t="s">
        <v>1496</v>
      </c>
      <c r="U185" s="14" t="s">
        <v>1059</v>
      </c>
      <c r="V185" s="14" t="s">
        <v>217</v>
      </c>
      <c r="W185" s="15"/>
      <c r="X185" s="15"/>
      <c r="Y185" s="15"/>
      <c r="Z185" s="14"/>
      <c r="AA185" s="14"/>
      <c r="AB185" s="14"/>
      <c r="AC185" s="14"/>
      <c r="AD185" s="14"/>
      <c r="AE185" s="18"/>
      <c r="AF185" s="14"/>
      <c r="AG185" s="16"/>
      <c r="AH185" s="16"/>
      <c r="AI185" s="16"/>
      <c r="AJ185" s="16"/>
      <c r="AK185" s="16"/>
      <c r="AL185" s="16"/>
      <c r="AM185" s="16" t="s">
        <v>960</v>
      </c>
      <c r="AN185" s="1" t="s">
        <v>1760</v>
      </c>
    </row>
    <row r="186" spans="1:40" ht="12" customHeight="1" x14ac:dyDescent="0.2">
      <c r="A186" s="14">
        <v>22806</v>
      </c>
      <c r="B186" s="14">
        <v>22806</v>
      </c>
      <c r="C186" s="14">
        <v>11267</v>
      </c>
      <c r="D186" s="14" t="s">
        <v>306</v>
      </c>
      <c r="E186" s="14">
        <f>VLOOKUP(B186,[1]Sheet3!$A$2:$A$221,1,0)</f>
        <v>22806</v>
      </c>
      <c r="F186" s="14" t="s">
        <v>1353</v>
      </c>
      <c r="G186" s="14" t="s">
        <v>306</v>
      </c>
      <c r="H186" s="14"/>
      <c r="I186" s="14" t="s">
        <v>52</v>
      </c>
      <c r="J186" s="14" t="s">
        <v>936</v>
      </c>
      <c r="K186" s="14" t="s">
        <v>1355</v>
      </c>
      <c r="L186" s="14" t="s">
        <v>304</v>
      </c>
      <c r="M186" s="14" t="s">
        <v>1049</v>
      </c>
      <c r="N186" s="14" t="s">
        <v>1355</v>
      </c>
      <c r="O186" s="14" t="s">
        <v>830</v>
      </c>
      <c r="P186" s="14" t="s">
        <v>1651</v>
      </c>
      <c r="Q186" s="14" t="s">
        <v>1488</v>
      </c>
      <c r="R186" s="14" t="s">
        <v>1596</v>
      </c>
      <c r="S186" s="14" t="s">
        <v>1185</v>
      </c>
      <c r="T186" s="14" t="s">
        <v>1631</v>
      </c>
      <c r="U186" s="14" t="s">
        <v>120</v>
      </c>
      <c r="V186" s="14" t="s">
        <v>1000</v>
      </c>
      <c r="W186" s="15"/>
      <c r="X186" s="15"/>
      <c r="Y186" s="15"/>
      <c r="Z186" s="14"/>
      <c r="AA186" s="14"/>
      <c r="AB186" s="14"/>
      <c r="AC186" s="14"/>
      <c r="AD186" s="14"/>
      <c r="AE186" s="18"/>
      <c r="AF186" s="14"/>
      <c r="AG186" s="16"/>
      <c r="AH186" s="16"/>
      <c r="AI186" s="16"/>
      <c r="AJ186" s="16"/>
      <c r="AK186" s="16"/>
      <c r="AL186" s="16"/>
      <c r="AM186" s="16" t="s">
        <v>960</v>
      </c>
      <c r="AN186" s="1" t="s">
        <v>1760</v>
      </c>
    </row>
    <row r="187" spans="1:40" ht="12" customHeight="1" x14ac:dyDescent="0.2">
      <c r="A187" s="14">
        <v>19385</v>
      </c>
      <c r="B187" s="14">
        <v>19385</v>
      </c>
      <c r="C187" s="14">
        <v>6847</v>
      </c>
      <c r="D187" s="14" t="s">
        <v>306</v>
      </c>
      <c r="E187" s="14">
        <f>VLOOKUP(B187,[1]Sheet3!$A$2:$A$221,1,0)</f>
        <v>19385</v>
      </c>
      <c r="F187" s="14" t="s">
        <v>1353</v>
      </c>
      <c r="G187" s="14" t="s">
        <v>306</v>
      </c>
      <c r="H187" s="14"/>
      <c r="I187" s="14" t="s">
        <v>160</v>
      </c>
      <c r="J187" s="14" t="s">
        <v>1056</v>
      </c>
      <c r="K187" s="14" t="s">
        <v>422</v>
      </c>
      <c r="L187" s="14" t="s">
        <v>304</v>
      </c>
      <c r="M187" s="14" t="s">
        <v>1049</v>
      </c>
      <c r="N187" s="14" t="s">
        <v>422</v>
      </c>
      <c r="O187" s="14" t="s">
        <v>110</v>
      </c>
      <c r="P187" s="14" t="s">
        <v>485</v>
      </c>
      <c r="Q187" s="14" t="s">
        <v>1488</v>
      </c>
      <c r="R187" s="14" t="s">
        <v>1596</v>
      </c>
      <c r="S187" s="14" t="s">
        <v>629</v>
      </c>
      <c r="T187" s="14" t="s">
        <v>472</v>
      </c>
      <c r="U187" s="14" t="s">
        <v>120</v>
      </c>
      <c r="V187" s="14" t="s">
        <v>408</v>
      </c>
      <c r="W187" s="15"/>
      <c r="X187" s="15"/>
      <c r="Y187" s="15"/>
      <c r="Z187" s="14"/>
      <c r="AA187" s="14"/>
      <c r="AB187" s="14"/>
      <c r="AC187" s="14"/>
      <c r="AD187" s="14"/>
      <c r="AE187" s="18"/>
      <c r="AF187" s="14"/>
      <c r="AG187" s="16"/>
      <c r="AH187" s="16"/>
      <c r="AI187" s="16"/>
      <c r="AJ187" s="16"/>
      <c r="AK187" s="16"/>
      <c r="AL187" s="16"/>
      <c r="AM187" s="16" t="s">
        <v>960</v>
      </c>
      <c r="AN187" s="1" t="s">
        <v>1760</v>
      </c>
    </row>
    <row r="188" spans="1:40" ht="12" customHeight="1" x14ac:dyDescent="0.2">
      <c r="A188" s="14">
        <v>4114</v>
      </c>
      <c r="B188" s="14">
        <v>4114</v>
      </c>
      <c r="C188" s="14">
        <v>2362</v>
      </c>
      <c r="D188" s="14" t="s">
        <v>306</v>
      </c>
      <c r="E188" s="14">
        <f>VLOOKUP(B188,[1]Sheet3!$A$2:$A$221,1,0)</f>
        <v>4114</v>
      </c>
      <c r="F188" s="14" t="s">
        <v>1353</v>
      </c>
      <c r="G188" s="14" t="s">
        <v>306</v>
      </c>
      <c r="H188" s="14"/>
      <c r="I188" s="14" t="s">
        <v>515</v>
      </c>
      <c r="J188" s="14" t="s">
        <v>1450</v>
      </c>
      <c r="K188" s="14" t="s">
        <v>550</v>
      </c>
      <c r="L188" s="14" t="s">
        <v>304</v>
      </c>
      <c r="M188" s="14" t="s">
        <v>1049</v>
      </c>
      <c r="N188" s="14" t="s">
        <v>550</v>
      </c>
      <c r="O188" s="14" t="s">
        <v>301</v>
      </c>
      <c r="P188" s="14" t="s">
        <v>911</v>
      </c>
      <c r="Q188" s="14" t="s">
        <v>1488</v>
      </c>
      <c r="R188" s="14" t="s">
        <v>1596</v>
      </c>
      <c r="S188" s="14" t="s">
        <v>1286</v>
      </c>
      <c r="T188" s="14" t="s">
        <v>1254</v>
      </c>
      <c r="U188" s="14" t="s">
        <v>120</v>
      </c>
      <c r="V188" s="14" t="s">
        <v>1307</v>
      </c>
      <c r="W188" s="15"/>
      <c r="X188" s="15"/>
      <c r="Y188" s="15"/>
      <c r="Z188" s="14"/>
      <c r="AA188" s="14"/>
      <c r="AB188" s="14"/>
      <c r="AC188" s="14"/>
      <c r="AD188" s="14"/>
      <c r="AE188" s="18"/>
      <c r="AF188" s="14"/>
      <c r="AG188" s="16"/>
      <c r="AH188" s="16"/>
      <c r="AI188" s="16"/>
      <c r="AJ188" s="16"/>
      <c r="AK188" s="16"/>
      <c r="AL188" s="16"/>
      <c r="AM188" s="16" t="s">
        <v>960</v>
      </c>
      <c r="AN188" s="1" t="s">
        <v>1760</v>
      </c>
    </row>
    <row r="189" spans="1:40" ht="12" customHeight="1" x14ac:dyDescent="0.2">
      <c r="A189" s="14">
        <v>23786</v>
      </c>
      <c r="B189" s="14">
        <v>23786</v>
      </c>
      <c r="C189" s="14">
        <v>12791</v>
      </c>
      <c r="D189" s="14" t="s">
        <v>306</v>
      </c>
      <c r="E189" s="14">
        <f>VLOOKUP(B189,[1]Sheet3!$A$2:$A$221,1,0)</f>
        <v>23786</v>
      </c>
      <c r="F189" s="14" t="s">
        <v>1353</v>
      </c>
      <c r="G189" s="14" t="s">
        <v>306</v>
      </c>
      <c r="H189" s="14"/>
      <c r="I189" s="14" t="s">
        <v>1361</v>
      </c>
      <c r="J189" s="14" t="s">
        <v>851</v>
      </c>
      <c r="K189" s="14" t="s">
        <v>845</v>
      </c>
      <c r="L189" s="14" t="s">
        <v>83</v>
      </c>
      <c r="M189" s="14" t="s">
        <v>1432</v>
      </c>
      <c r="N189" s="14" t="s">
        <v>845</v>
      </c>
      <c r="O189" s="14" t="s">
        <v>1584</v>
      </c>
      <c r="P189" s="14" t="s">
        <v>1092</v>
      </c>
      <c r="Q189" s="14" t="s">
        <v>876</v>
      </c>
      <c r="R189" s="14" t="s">
        <v>1432</v>
      </c>
      <c r="S189" s="14" t="s">
        <v>1026</v>
      </c>
      <c r="T189" s="14" t="s">
        <v>940</v>
      </c>
      <c r="U189" s="14" t="s">
        <v>1392</v>
      </c>
      <c r="V189" s="14" t="s">
        <v>588</v>
      </c>
      <c r="W189" s="15"/>
      <c r="X189" s="15"/>
      <c r="Y189" s="15"/>
      <c r="Z189" s="14"/>
      <c r="AA189" s="14"/>
      <c r="AB189" s="14"/>
      <c r="AC189" s="14"/>
      <c r="AD189" s="14"/>
      <c r="AE189" s="18"/>
      <c r="AF189" s="14"/>
      <c r="AG189" s="16"/>
      <c r="AH189" s="16"/>
      <c r="AI189" s="16"/>
      <c r="AJ189" s="16"/>
      <c r="AK189" s="16"/>
      <c r="AL189" s="16"/>
      <c r="AM189" s="16" t="s">
        <v>960</v>
      </c>
      <c r="AN189" s="1" t="s">
        <v>1760</v>
      </c>
    </row>
    <row r="190" spans="1:40" ht="12" customHeight="1" x14ac:dyDescent="0.2">
      <c r="A190" s="14">
        <v>15569</v>
      </c>
      <c r="B190" s="14">
        <v>15569</v>
      </c>
      <c r="C190" s="14">
        <v>1793</v>
      </c>
      <c r="D190" s="14" t="s">
        <v>306</v>
      </c>
      <c r="E190" s="14">
        <f>VLOOKUP(B190,[1]Sheet3!$A$2:$A$221,1,0)</f>
        <v>15569</v>
      </c>
      <c r="F190" s="14" t="s">
        <v>1353</v>
      </c>
      <c r="G190" s="14" t="s">
        <v>306</v>
      </c>
      <c r="H190" s="14"/>
      <c r="I190" s="14" t="s">
        <v>1527</v>
      </c>
      <c r="J190" s="14" t="s">
        <v>619</v>
      </c>
      <c r="K190" s="14" t="s">
        <v>20</v>
      </c>
      <c r="L190" s="14" t="s">
        <v>1246</v>
      </c>
      <c r="M190" s="14" t="s">
        <v>1432</v>
      </c>
      <c r="N190" s="14" t="s">
        <v>20</v>
      </c>
      <c r="O190" s="14" t="s">
        <v>677</v>
      </c>
      <c r="P190" s="14" t="s">
        <v>1564</v>
      </c>
      <c r="Q190" s="14" t="s">
        <v>876</v>
      </c>
      <c r="R190" s="14" t="s">
        <v>1432</v>
      </c>
      <c r="S190" s="14" t="s">
        <v>1285</v>
      </c>
      <c r="T190" s="14" t="s">
        <v>924</v>
      </c>
      <c r="U190" s="14" t="s">
        <v>438</v>
      </c>
      <c r="V190" s="14" t="s">
        <v>905</v>
      </c>
      <c r="W190" s="15"/>
      <c r="X190" s="15"/>
      <c r="Y190" s="15"/>
      <c r="Z190" s="14"/>
      <c r="AA190" s="14"/>
      <c r="AB190" s="14"/>
      <c r="AC190" s="14"/>
      <c r="AD190" s="14"/>
      <c r="AE190" s="18"/>
      <c r="AF190" s="14"/>
      <c r="AG190" s="16"/>
      <c r="AH190" s="16"/>
      <c r="AI190" s="16"/>
      <c r="AJ190" s="16"/>
      <c r="AK190" s="16"/>
      <c r="AL190" s="16"/>
      <c r="AM190" s="16" t="s">
        <v>960</v>
      </c>
      <c r="AN190" s="1" t="s">
        <v>1760</v>
      </c>
    </row>
    <row r="191" spans="1:40" ht="12" customHeight="1" x14ac:dyDescent="0.2">
      <c r="A191" s="14">
        <v>17816</v>
      </c>
      <c r="B191" s="14">
        <v>17816</v>
      </c>
      <c r="C191" s="14">
        <v>4673</v>
      </c>
      <c r="D191" s="14" t="s">
        <v>306</v>
      </c>
      <c r="E191" s="14">
        <f>VLOOKUP(B191,[1]Sheet3!$A$2:$A$221,1,0)</f>
        <v>17816</v>
      </c>
      <c r="F191" s="14" t="s">
        <v>1353</v>
      </c>
      <c r="G191" s="14" t="s">
        <v>306</v>
      </c>
      <c r="H191" s="14"/>
      <c r="I191" s="14" t="s">
        <v>1210</v>
      </c>
      <c r="J191" s="14" t="s">
        <v>758</v>
      </c>
      <c r="K191" s="14" t="s">
        <v>1464</v>
      </c>
      <c r="L191" s="14" t="s">
        <v>479</v>
      </c>
      <c r="M191" s="14" t="s">
        <v>1336</v>
      </c>
      <c r="N191" s="14" t="s">
        <v>1464</v>
      </c>
      <c r="O191" s="14" t="s">
        <v>978</v>
      </c>
      <c r="P191" s="14" t="s">
        <v>1428</v>
      </c>
      <c r="Q191" s="14" t="s">
        <v>876</v>
      </c>
      <c r="R191" s="14" t="s">
        <v>1336</v>
      </c>
      <c r="S191" s="14" t="s">
        <v>1135</v>
      </c>
      <c r="T191" s="14" t="s">
        <v>409</v>
      </c>
      <c r="U191" s="14" t="s">
        <v>1064</v>
      </c>
      <c r="V191" s="14" t="s">
        <v>142</v>
      </c>
      <c r="W191" s="15"/>
      <c r="X191" s="15"/>
      <c r="Y191" s="15"/>
      <c r="Z191" s="14"/>
      <c r="AA191" s="14"/>
      <c r="AB191" s="14"/>
      <c r="AC191" s="14"/>
      <c r="AD191" s="14"/>
      <c r="AE191" s="18"/>
      <c r="AF191" s="14"/>
      <c r="AG191" s="16"/>
      <c r="AH191" s="16"/>
      <c r="AI191" s="16"/>
      <c r="AJ191" s="16"/>
      <c r="AK191" s="16"/>
      <c r="AL191" s="16"/>
      <c r="AM191" s="16" t="s">
        <v>960</v>
      </c>
      <c r="AN191" s="1" t="s">
        <v>1760</v>
      </c>
    </row>
    <row r="192" spans="1:40" ht="12" customHeight="1" x14ac:dyDescent="0.2">
      <c r="A192" s="14">
        <v>17821</v>
      </c>
      <c r="B192" s="14">
        <v>17821</v>
      </c>
      <c r="C192" s="14">
        <v>4678</v>
      </c>
      <c r="D192" s="14" t="s">
        <v>306</v>
      </c>
      <c r="E192" s="14">
        <f>VLOOKUP(B192,[1]Sheet3!$A$2:$A$221,1,0)</f>
        <v>17821</v>
      </c>
      <c r="F192" s="14" t="s">
        <v>1353</v>
      </c>
      <c r="G192" s="14" t="s">
        <v>306</v>
      </c>
      <c r="H192" s="14"/>
      <c r="I192" s="14" t="s">
        <v>482</v>
      </c>
      <c r="J192" s="14" t="s">
        <v>569</v>
      </c>
      <c r="K192" s="14" t="s">
        <v>800</v>
      </c>
      <c r="L192" s="14" t="s">
        <v>479</v>
      </c>
      <c r="M192" s="14" t="s">
        <v>1336</v>
      </c>
      <c r="N192" s="14" t="s">
        <v>800</v>
      </c>
      <c r="O192" s="14" t="s">
        <v>1458</v>
      </c>
      <c r="P192" s="14" t="s">
        <v>1252</v>
      </c>
      <c r="Q192" s="14" t="s">
        <v>876</v>
      </c>
      <c r="R192" s="14" t="s">
        <v>1336</v>
      </c>
      <c r="S192" s="14" t="s">
        <v>1135</v>
      </c>
      <c r="T192" s="14" t="s">
        <v>792</v>
      </c>
      <c r="U192" s="14" t="s">
        <v>1064</v>
      </c>
      <c r="V192" s="14" t="s">
        <v>142</v>
      </c>
      <c r="W192" s="15"/>
      <c r="X192" s="15"/>
      <c r="Y192" s="15"/>
      <c r="Z192" s="14"/>
      <c r="AA192" s="14"/>
      <c r="AB192" s="14"/>
      <c r="AC192" s="14"/>
      <c r="AD192" s="14"/>
      <c r="AE192" s="18"/>
      <c r="AF192" s="14"/>
      <c r="AG192" s="16"/>
      <c r="AH192" s="16"/>
      <c r="AI192" s="16"/>
      <c r="AJ192" s="16"/>
      <c r="AK192" s="16"/>
      <c r="AL192" s="16"/>
      <c r="AM192" s="16" t="s">
        <v>960</v>
      </c>
      <c r="AN192" s="1" t="s">
        <v>1760</v>
      </c>
    </row>
    <row r="193" spans="1:40" ht="12" customHeight="1" x14ac:dyDescent="0.2">
      <c r="A193" s="14">
        <v>10270</v>
      </c>
      <c r="B193" s="14">
        <v>10270</v>
      </c>
      <c r="C193" s="14">
        <v>12785</v>
      </c>
      <c r="D193" s="14" t="s">
        <v>306</v>
      </c>
      <c r="E193" s="14">
        <f>VLOOKUP(B193,[1]Sheet3!$A$2:$A$221,1,0)</f>
        <v>10270</v>
      </c>
      <c r="F193" s="14" t="s">
        <v>1353</v>
      </c>
      <c r="G193" s="14" t="s">
        <v>306</v>
      </c>
      <c r="H193" s="14"/>
      <c r="I193" s="14" t="s">
        <v>1655</v>
      </c>
      <c r="J193" s="14" t="s">
        <v>1666</v>
      </c>
      <c r="K193" s="14" t="s">
        <v>700</v>
      </c>
      <c r="L193" s="14" t="s">
        <v>1274</v>
      </c>
      <c r="M193" s="14" t="s">
        <v>898</v>
      </c>
      <c r="N193" s="14" t="s">
        <v>700</v>
      </c>
      <c r="O193" s="14" t="s">
        <v>287</v>
      </c>
      <c r="P193" s="14" t="s">
        <v>294</v>
      </c>
      <c r="Q193" s="14" t="s">
        <v>1488</v>
      </c>
      <c r="R193" s="14" t="s">
        <v>1288</v>
      </c>
      <c r="S193" s="14" t="s">
        <v>75</v>
      </c>
      <c r="T193" s="14" t="s">
        <v>202</v>
      </c>
      <c r="U193" s="14" t="s">
        <v>1322</v>
      </c>
      <c r="V193" s="14" t="s">
        <v>1299</v>
      </c>
      <c r="W193" s="15" t="s">
        <v>1653</v>
      </c>
      <c r="X193" s="15"/>
      <c r="Y193" s="14" t="s">
        <v>665</v>
      </c>
      <c r="Z193" s="14"/>
      <c r="AA193" s="14"/>
      <c r="AB193" s="14"/>
      <c r="AC193" s="14"/>
      <c r="AD193" s="14"/>
      <c r="AE193" s="18"/>
      <c r="AF193" s="14"/>
      <c r="AG193" s="16"/>
      <c r="AH193" s="16"/>
      <c r="AI193" s="16"/>
      <c r="AJ193" s="16"/>
      <c r="AK193" s="16"/>
      <c r="AL193" s="16"/>
      <c r="AM193" s="16" t="s">
        <v>960</v>
      </c>
      <c r="AN193" s="1" t="s">
        <v>1760</v>
      </c>
    </row>
    <row r="194" spans="1:40" ht="12" customHeight="1" x14ac:dyDescent="0.2">
      <c r="A194" s="14">
        <v>10272</v>
      </c>
      <c r="B194" s="14">
        <v>10272</v>
      </c>
      <c r="C194" s="14">
        <v>12786</v>
      </c>
      <c r="D194" s="14" t="s">
        <v>306</v>
      </c>
      <c r="E194" s="14">
        <f>VLOOKUP(B194,[1]Sheet3!$A$2:$A$221,1,0)</f>
        <v>10272</v>
      </c>
      <c r="F194" s="14" t="s">
        <v>1353</v>
      </c>
      <c r="G194" s="14" t="s">
        <v>306</v>
      </c>
      <c r="H194" s="14"/>
      <c r="I194" s="14" t="s">
        <v>1426</v>
      </c>
      <c r="J194" s="14" t="s">
        <v>1667</v>
      </c>
      <c r="K194" s="14" t="s">
        <v>1170</v>
      </c>
      <c r="L194" s="14" t="s">
        <v>1274</v>
      </c>
      <c r="M194" s="14" t="s">
        <v>898</v>
      </c>
      <c r="N194" s="14" t="s">
        <v>1170</v>
      </c>
      <c r="O194" s="14" t="s">
        <v>794</v>
      </c>
      <c r="P194" s="14" t="s">
        <v>1272</v>
      </c>
      <c r="Q194" s="14" t="s">
        <v>1488</v>
      </c>
      <c r="R194" s="14" t="s">
        <v>1288</v>
      </c>
      <c r="S194" s="14" t="s">
        <v>75</v>
      </c>
      <c r="T194" s="14" t="s">
        <v>202</v>
      </c>
      <c r="U194" s="14" t="s">
        <v>1322</v>
      </c>
      <c r="V194" s="14" t="s">
        <v>1299</v>
      </c>
      <c r="W194" s="15" t="s">
        <v>1653</v>
      </c>
      <c r="X194" s="15"/>
      <c r="Y194" s="14" t="s">
        <v>665</v>
      </c>
      <c r="Z194" s="14"/>
      <c r="AA194" s="14"/>
      <c r="AB194" s="14"/>
      <c r="AC194" s="14"/>
      <c r="AD194" s="14"/>
      <c r="AE194" s="18"/>
      <c r="AF194" s="14"/>
      <c r="AG194" s="16"/>
      <c r="AH194" s="16"/>
      <c r="AI194" s="16"/>
      <c r="AJ194" s="16"/>
      <c r="AK194" s="16"/>
      <c r="AL194" s="16"/>
      <c r="AM194" s="16" t="s">
        <v>960</v>
      </c>
      <c r="AN194" s="1" t="s">
        <v>1760</v>
      </c>
    </row>
    <row r="195" spans="1:40" ht="12" customHeight="1" x14ac:dyDescent="0.2">
      <c r="A195" s="14">
        <v>40084</v>
      </c>
      <c r="B195" s="14">
        <v>40084</v>
      </c>
      <c r="C195" s="14">
        <v>38781</v>
      </c>
      <c r="D195" s="14" t="s">
        <v>306</v>
      </c>
      <c r="E195" s="14">
        <f>VLOOKUP(B195,[1]Sheet3!$A$2:$A$221,1,0)</f>
        <v>40084</v>
      </c>
      <c r="F195" s="14" t="s">
        <v>1353</v>
      </c>
      <c r="G195" s="14" t="s">
        <v>306</v>
      </c>
      <c r="H195" s="14"/>
      <c r="I195" s="14" t="s">
        <v>759</v>
      </c>
      <c r="J195" s="14"/>
      <c r="K195" s="14"/>
      <c r="L195" s="14" t="s">
        <v>1648</v>
      </c>
      <c r="M195" s="14"/>
      <c r="N195" s="14" t="s">
        <v>1235</v>
      </c>
      <c r="O195" s="14" t="s">
        <v>97</v>
      </c>
      <c r="P195" s="14" t="s">
        <v>1235</v>
      </c>
      <c r="Q195" s="14" t="s">
        <v>876</v>
      </c>
      <c r="R195" s="14"/>
      <c r="S195" s="14" t="s">
        <v>208</v>
      </c>
      <c r="T195" s="14" t="s">
        <v>570</v>
      </c>
      <c r="U195" s="14" t="s">
        <v>661</v>
      </c>
      <c r="V195" s="14" t="s">
        <v>1030</v>
      </c>
      <c r="W195" s="15"/>
      <c r="X195" s="15"/>
      <c r="Y195" s="15"/>
      <c r="Z195" s="14"/>
      <c r="AA195" s="14"/>
      <c r="AB195" s="14"/>
      <c r="AC195" s="14"/>
      <c r="AD195" s="14"/>
      <c r="AE195" s="18"/>
      <c r="AF195" s="14"/>
      <c r="AG195" s="16"/>
      <c r="AH195" s="16"/>
      <c r="AI195" s="16"/>
      <c r="AJ195" s="16"/>
      <c r="AK195" s="16"/>
      <c r="AL195" s="16"/>
      <c r="AM195" s="16" t="s">
        <v>960</v>
      </c>
      <c r="AN195" s="1" t="s">
        <v>1760</v>
      </c>
    </row>
    <row r="196" spans="1:40" ht="12" customHeight="1" x14ac:dyDescent="0.2">
      <c r="A196" s="14">
        <v>10162</v>
      </c>
      <c r="B196" s="14">
        <v>10162</v>
      </c>
      <c r="C196" s="14">
        <v>12729</v>
      </c>
      <c r="D196" s="14" t="s">
        <v>306</v>
      </c>
      <c r="E196" s="14">
        <f>VLOOKUP(B196,[1]Sheet3!$A$2:$A$221,1,0)</f>
        <v>10162</v>
      </c>
      <c r="F196" s="14" t="s">
        <v>1353</v>
      </c>
      <c r="G196" s="14" t="s">
        <v>306</v>
      </c>
      <c r="H196" s="14"/>
      <c r="I196" s="14" t="s">
        <v>732</v>
      </c>
      <c r="J196" s="14" t="s">
        <v>1236</v>
      </c>
      <c r="K196" s="14" t="s">
        <v>249</v>
      </c>
      <c r="L196" s="14" t="s">
        <v>1290</v>
      </c>
      <c r="M196" s="14" t="s">
        <v>1432</v>
      </c>
      <c r="N196" s="14" t="s">
        <v>249</v>
      </c>
      <c r="O196" s="14" t="s">
        <v>1593</v>
      </c>
      <c r="P196" s="14" t="s">
        <v>1384</v>
      </c>
      <c r="Q196" s="14" t="s">
        <v>876</v>
      </c>
      <c r="R196" s="14" t="s">
        <v>1432</v>
      </c>
      <c r="S196" s="14" t="s">
        <v>208</v>
      </c>
      <c r="T196" s="14" t="s">
        <v>570</v>
      </c>
      <c r="U196" s="14" t="s">
        <v>661</v>
      </c>
      <c r="V196" s="14" t="s">
        <v>1030</v>
      </c>
      <c r="W196" s="15"/>
      <c r="X196" s="15"/>
      <c r="Y196" s="15"/>
      <c r="Z196" s="14"/>
      <c r="AA196" s="14"/>
      <c r="AB196" s="14"/>
      <c r="AC196" s="14"/>
      <c r="AD196" s="14"/>
      <c r="AE196" s="18"/>
      <c r="AF196" s="14"/>
      <c r="AG196" s="16"/>
      <c r="AH196" s="16"/>
      <c r="AI196" s="16"/>
      <c r="AJ196" s="16"/>
      <c r="AK196" s="16"/>
      <c r="AL196" s="16"/>
      <c r="AM196" s="16" t="s">
        <v>960</v>
      </c>
      <c r="AN196" s="1" t="s">
        <v>1760</v>
      </c>
    </row>
    <row r="197" spans="1:40" ht="12" customHeight="1" x14ac:dyDescent="0.2">
      <c r="A197" s="14">
        <v>22479</v>
      </c>
      <c r="B197" s="14">
        <v>22479</v>
      </c>
      <c r="C197" s="14">
        <v>10811</v>
      </c>
      <c r="D197" s="14" t="s">
        <v>306</v>
      </c>
      <c r="E197" s="14">
        <f>VLOOKUP(B197,[1]Sheet3!$A$2:$A$221,1,0)</f>
        <v>22479</v>
      </c>
      <c r="F197" s="14" t="s">
        <v>1353</v>
      </c>
      <c r="G197" s="14" t="s">
        <v>306</v>
      </c>
      <c r="H197" s="14"/>
      <c r="I197" s="14" t="s">
        <v>981</v>
      </c>
      <c r="J197" s="14" t="s">
        <v>480</v>
      </c>
      <c r="K197" s="14" t="s">
        <v>363</v>
      </c>
      <c r="L197" s="14" t="s">
        <v>391</v>
      </c>
      <c r="M197" s="14" t="s">
        <v>644</v>
      </c>
      <c r="N197" s="14" t="s">
        <v>363</v>
      </c>
      <c r="O197" s="14" t="s">
        <v>928</v>
      </c>
      <c r="P197" s="14" t="s">
        <v>1114</v>
      </c>
      <c r="Q197" s="14" t="s">
        <v>558</v>
      </c>
      <c r="R197" s="14" t="s">
        <v>1596</v>
      </c>
      <c r="S197" s="14" t="s">
        <v>1350</v>
      </c>
      <c r="T197" s="14" t="s">
        <v>509</v>
      </c>
      <c r="U197" s="14" t="s">
        <v>223</v>
      </c>
      <c r="V197" s="14" t="s">
        <v>990</v>
      </c>
      <c r="W197" s="15"/>
      <c r="X197" s="15"/>
      <c r="Y197" s="15"/>
      <c r="Z197" s="14"/>
      <c r="AA197" s="14"/>
      <c r="AB197" s="14"/>
      <c r="AC197" s="14"/>
      <c r="AD197" s="14"/>
      <c r="AE197" s="18"/>
      <c r="AF197" s="14"/>
      <c r="AG197" s="16"/>
      <c r="AH197" s="16"/>
      <c r="AI197" s="16"/>
      <c r="AJ197" s="16"/>
      <c r="AK197" s="16"/>
      <c r="AL197" s="16"/>
      <c r="AM197" s="16" t="s">
        <v>960</v>
      </c>
      <c r="AN197" s="1" t="s">
        <v>1760</v>
      </c>
    </row>
    <row r="198" spans="1:40" ht="12" customHeight="1" x14ac:dyDescent="0.2">
      <c r="A198" s="14">
        <v>22484</v>
      </c>
      <c r="B198" s="14">
        <v>22484</v>
      </c>
      <c r="C198" s="14">
        <v>10816</v>
      </c>
      <c r="D198" s="14" t="s">
        <v>306</v>
      </c>
      <c r="E198" s="14">
        <f>VLOOKUP(B198,[1]Sheet3!$A$2:$A$221,1,0)</f>
        <v>22484</v>
      </c>
      <c r="F198" s="14" t="s">
        <v>1353</v>
      </c>
      <c r="G198" s="14" t="s">
        <v>306</v>
      </c>
      <c r="H198" s="14"/>
      <c r="I198" s="14" t="s">
        <v>1120</v>
      </c>
      <c r="J198" s="14" t="s">
        <v>577</v>
      </c>
      <c r="K198" s="14" t="s">
        <v>61</v>
      </c>
      <c r="L198" s="14" t="s">
        <v>391</v>
      </c>
      <c r="M198" s="14" t="s">
        <v>644</v>
      </c>
      <c r="N198" s="14" t="s">
        <v>61</v>
      </c>
      <c r="O198" s="14" t="s">
        <v>1013</v>
      </c>
      <c r="P198" s="14" t="s">
        <v>1388</v>
      </c>
      <c r="Q198" s="14" t="s">
        <v>558</v>
      </c>
      <c r="R198" s="14" t="s">
        <v>1596</v>
      </c>
      <c r="S198" s="14" t="s">
        <v>1350</v>
      </c>
      <c r="T198" s="14" t="s">
        <v>622</v>
      </c>
      <c r="U198" s="14" t="s">
        <v>223</v>
      </c>
      <c r="V198" s="14" t="s">
        <v>990</v>
      </c>
      <c r="W198" s="15"/>
      <c r="X198" s="15"/>
      <c r="Y198" s="15"/>
      <c r="Z198" s="14"/>
      <c r="AA198" s="14"/>
      <c r="AB198" s="14"/>
      <c r="AC198" s="14"/>
      <c r="AD198" s="14"/>
      <c r="AE198" s="18"/>
      <c r="AF198" s="14"/>
      <c r="AG198" s="16"/>
      <c r="AH198" s="16"/>
      <c r="AI198" s="16"/>
      <c r="AJ198" s="16"/>
      <c r="AK198" s="16"/>
      <c r="AL198" s="16"/>
      <c r="AM198" s="16" t="s">
        <v>960</v>
      </c>
      <c r="AN198" s="1" t="s">
        <v>1760</v>
      </c>
    </row>
    <row r="199" spans="1:40" ht="12" customHeight="1" x14ac:dyDescent="0.2">
      <c r="A199" s="14">
        <v>21972</v>
      </c>
      <c r="B199" s="14">
        <v>21972</v>
      </c>
      <c r="C199" s="14">
        <v>10122</v>
      </c>
      <c r="D199" s="14" t="s">
        <v>306</v>
      </c>
      <c r="E199" s="14">
        <f>VLOOKUP(B199,[1]Sheet3!$A$2:$A$221,1,0)</f>
        <v>21972</v>
      </c>
      <c r="F199" s="14" t="s">
        <v>1353</v>
      </c>
      <c r="G199" s="14" t="s">
        <v>306</v>
      </c>
      <c r="H199" s="14"/>
      <c r="I199" s="14" t="s">
        <v>980</v>
      </c>
      <c r="J199" s="14" t="s">
        <v>181</v>
      </c>
      <c r="K199" s="14" t="s">
        <v>111</v>
      </c>
      <c r="L199" s="14" t="s">
        <v>771</v>
      </c>
      <c r="M199" s="14" t="s">
        <v>1336</v>
      </c>
      <c r="N199" s="14" t="s">
        <v>111</v>
      </c>
      <c r="O199" s="14" t="s">
        <v>19</v>
      </c>
      <c r="P199" s="14" t="s">
        <v>521</v>
      </c>
      <c r="Q199" s="14" t="s">
        <v>876</v>
      </c>
      <c r="R199" s="14" t="s">
        <v>1336</v>
      </c>
      <c r="S199" s="14" t="s">
        <v>1199</v>
      </c>
      <c r="T199" s="14" t="s">
        <v>1202</v>
      </c>
      <c r="U199" s="14" t="s">
        <v>939</v>
      </c>
      <c r="V199" s="14" t="s">
        <v>70</v>
      </c>
      <c r="W199" s="15"/>
      <c r="X199" s="15"/>
      <c r="Y199" s="15"/>
      <c r="Z199" s="14" t="s">
        <v>906</v>
      </c>
      <c r="AA199" s="14" t="s">
        <v>1208</v>
      </c>
      <c r="AB199" s="14"/>
      <c r="AC199" s="14"/>
      <c r="AD199" s="14" t="s">
        <v>939</v>
      </c>
      <c r="AE199" s="18"/>
      <c r="AF199" s="14"/>
      <c r="AG199" s="16"/>
      <c r="AH199" s="16"/>
      <c r="AI199" s="16"/>
      <c r="AJ199" s="16"/>
      <c r="AK199" s="16"/>
      <c r="AL199" s="16"/>
      <c r="AM199" s="16" t="s">
        <v>960</v>
      </c>
      <c r="AN199" s="1" t="s">
        <v>1760</v>
      </c>
    </row>
    <row r="200" spans="1:40" ht="12" customHeight="1" x14ac:dyDescent="0.2">
      <c r="A200" s="14">
        <v>21968</v>
      </c>
      <c r="B200" s="14">
        <v>21968</v>
      </c>
      <c r="C200" s="14">
        <v>10117</v>
      </c>
      <c r="D200" s="14" t="s">
        <v>306</v>
      </c>
      <c r="E200" s="14">
        <f>VLOOKUP(B200,[1]Sheet3!$A$2:$A$221,1,0)</f>
        <v>21968</v>
      </c>
      <c r="F200" s="14" t="s">
        <v>1353</v>
      </c>
      <c r="G200" s="14" t="s">
        <v>306</v>
      </c>
      <c r="H200" s="14"/>
      <c r="I200" s="14" t="s">
        <v>1493</v>
      </c>
      <c r="J200" s="14" t="s">
        <v>240</v>
      </c>
      <c r="K200" s="14" t="s">
        <v>347</v>
      </c>
      <c r="L200" s="14" t="s">
        <v>771</v>
      </c>
      <c r="M200" s="14" t="s">
        <v>1336</v>
      </c>
      <c r="N200" s="14" t="s">
        <v>347</v>
      </c>
      <c r="O200" s="14" t="s">
        <v>1052</v>
      </c>
      <c r="P200" s="14" t="s">
        <v>872</v>
      </c>
      <c r="Q200" s="14" t="s">
        <v>876</v>
      </c>
      <c r="R200" s="14" t="s">
        <v>1336</v>
      </c>
      <c r="S200" s="14" t="s">
        <v>1199</v>
      </c>
      <c r="T200" s="14" t="s">
        <v>384</v>
      </c>
      <c r="U200" s="14" t="s">
        <v>939</v>
      </c>
      <c r="V200" s="14" t="s">
        <v>70</v>
      </c>
      <c r="W200" s="15"/>
      <c r="X200" s="15"/>
      <c r="Y200" s="15"/>
      <c r="Z200" s="14"/>
      <c r="AA200" s="14"/>
      <c r="AB200" s="14"/>
      <c r="AC200" s="14"/>
      <c r="AD200" s="14"/>
      <c r="AE200" s="18" t="s">
        <v>564</v>
      </c>
      <c r="AF200" s="14"/>
      <c r="AG200" s="16"/>
      <c r="AH200" s="16"/>
      <c r="AI200" s="16"/>
      <c r="AJ200" s="16"/>
      <c r="AK200" s="16"/>
      <c r="AL200" s="16"/>
      <c r="AM200" s="16" t="s">
        <v>960</v>
      </c>
      <c r="AN200" s="1" t="s">
        <v>1760</v>
      </c>
    </row>
    <row r="201" spans="1:40" ht="12" customHeight="1" x14ac:dyDescent="0.2">
      <c r="A201" s="14">
        <v>21996</v>
      </c>
      <c r="B201" s="14">
        <v>21996</v>
      </c>
      <c r="C201" s="14">
        <v>10150</v>
      </c>
      <c r="D201" s="14" t="s">
        <v>306</v>
      </c>
      <c r="E201" s="14">
        <f>VLOOKUP(B201,[1]Sheet3!$A$2:$A$221,1,0)</f>
        <v>21996</v>
      </c>
      <c r="F201" s="14" t="s">
        <v>1353</v>
      </c>
      <c r="G201" s="14" t="s">
        <v>306</v>
      </c>
      <c r="H201" s="14"/>
      <c r="I201" s="14" t="s">
        <v>239</v>
      </c>
      <c r="J201" s="14" t="s">
        <v>1575</v>
      </c>
      <c r="K201" s="14" t="s">
        <v>988</v>
      </c>
      <c r="L201" s="14" t="s">
        <v>771</v>
      </c>
      <c r="M201" s="14" t="s">
        <v>1336</v>
      </c>
      <c r="N201" s="14" t="s">
        <v>988</v>
      </c>
      <c r="O201" s="14" t="s">
        <v>1244</v>
      </c>
      <c r="P201" s="14" t="s">
        <v>1194</v>
      </c>
      <c r="Q201" s="14" t="s">
        <v>876</v>
      </c>
      <c r="R201" s="14" t="s">
        <v>1336</v>
      </c>
      <c r="S201" s="14" t="s">
        <v>1199</v>
      </c>
      <c r="T201" s="14" t="s">
        <v>1404</v>
      </c>
      <c r="U201" s="14" t="s">
        <v>939</v>
      </c>
      <c r="V201" s="14" t="s">
        <v>70</v>
      </c>
      <c r="W201" s="15"/>
      <c r="X201" s="15"/>
      <c r="Y201" s="15"/>
      <c r="Z201" s="14"/>
      <c r="AA201" s="14"/>
      <c r="AB201" s="14"/>
      <c r="AC201" s="14"/>
      <c r="AD201" s="14"/>
      <c r="AE201" s="16"/>
      <c r="AF201" s="14"/>
      <c r="AG201" s="16"/>
      <c r="AH201" s="16"/>
      <c r="AI201" s="16"/>
      <c r="AJ201" s="16"/>
      <c r="AK201" s="16"/>
      <c r="AL201" s="16"/>
      <c r="AM201" s="16" t="s">
        <v>960</v>
      </c>
      <c r="AN201" s="1" t="s">
        <v>1760</v>
      </c>
    </row>
    <row r="202" spans="1:40" ht="12" customHeight="1" x14ac:dyDescent="0.2">
      <c r="A202" s="14">
        <v>8019</v>
      </c>
      <c r="B202" s="14">
        <v>8019</v>
      </c>
      <c r="C202" s="14">
        <v>8679</v>
      </c>
      <c r="D202" s="14" t="s">
        <v>306</v>
      </c>
      <c r="E202" s="14">
        <f>VLOOKUP(B202,[1]Sheet3!$A$2:$A$221,1,0)</f>
        <v>8019</v>
      </c>
      <c r="F202" s="14" t="s">
        <v>1353</v>
      </c>
      <c r="G202" s="14" t="s">
        <v>306</v>
      </c>
      <c r="H202" s="14"/>
      <c r="I202" s="14" t="s">
        <v>1539</v>
      </c>
      <c r="J202" s="14" t="s">
        <v>276</v>
      </c>
      <c r="K202" s="14" t="s">
        <v>1100</v>
      </c>
      <c r="L202" s="14" t="s">
        <v>771</v>
      </c>
      <c r="M202" s="14" t="s">
        <v>1336</v>
      </c>
      <c r="N202" s="14" t="s">
        <v>1100</v>
      </c>
      <c r="O202" s="14" t="s">
        <v>1369</v>
      </c>
      <c r="P202" s="14" t="s">
        <v>884</v>
      </c>
      <c r="Q202" s="14" t="s">
        <v>876</v>
      </c>
      <c r="R202" s="14" t="s">
        <v>1336</v>
      </c>
      <c r="S202" s="14" t="s">
        <v>1199</v>
      </c>
      <c r="T202" s="14" t="s">
        <v>1237</v>
      </c>
      <c r="U202" s="14" t="s">
        <v>939</v>
      </c>
      <c r="V202" s="14" t="s">
        <v>70</v>
      </c>
      <c r="W202" s="15"/>
      <c r="X202" s="15"/>
      <c r="Y202" s="15"/>
      <c r="Z202" s="14"/>
      <c r="AA202" s="14"/>
      <c r="AB202" s="14"/>
      <c r="AC202" s="14"/>
      <c r="AD202" s="14"/>
      <c r="AE202" s="16"/>
      <c r="AF202" s="14"/>
      <c r="AG202" s="16"/>
      <c r="AH202" s="16"/>
      <c r="AI202" s="16"/>
      <c r="AJ202" s="16"/>
      <c r="AK202" s="16"/>
      <c r="AL202" s="16"/>
      <c r="AM202" s="16" t="s">
        <v>960</v>
      </c>
      <c r="AN202" s="1" t="s">
        <v>1760</v>
      </c>
    </row>
    <row r="203" spans="1:40" ht="12" customHeight="1" x14ac:dyDescent="0.2">
      <c r="A203" s="14">
        <v>40087</v>
      </c>
      <c r="B203" s="14">
        <v>40087</v>
      </c>
      <c r="C203" s="14">
        <v>38784</v>
      </c>
      <c r="D203" s="14" t="s">
        <v>306</v>
      </c>
      <c r="E203" s="14">
        <f>VLOOKUP(B203,[1]Sheet3!$A$2:$A$221,1,0)</f>
        <v>40087</v>
      </c>
      <c r="F203" s="14" t="s">
        <v>1353</v>
      </c>
      <c r="G203" s="14" t="s">
        <v>306</v>
      </c>
      <c r="H203" s="14"/>
      <c r="I203" s="14" t="s">
        <v>1102</v>
      </c>
      <c r="J203" s="14"/>
      <c r="K203" s="14"/>
      <c r="L203" s="14" t="s">
        <v>1648</v>
      </c>
      <c r="M203" s="14"/>
      <c r="N203" s="14" t="s">
        <v>1641</v>
      </c>
      <c r="O203" s="14" t="s">
        <v>697</v>
      </c>
      <c r="P203" s="14" t="s">
        <v>1641</v>
      </c>
      <c r="Q203" s="14" t="s">
        <v>876</v>
      </c>
      <c r="R203" s="14"/>
      <c r="S203" s="14" t="s">
        <v>1239</v>
      </c>
      <c r="T203" s="14"/>
      <c r="U203" s="14" t="s">
        <v>1531</v>
      </c>
      <c r="V203" s="14" t="s">
        <v>1200</v>
      </c>
      <c r="W203" s="15"/>
      <c r="X203" s="15"/>
      <c r="Y203" s="15"/>
      <c r="Z203" s="14"/>
      <c r="AA203" s="14"/>
      <c r="AB203" s="14"/>
      <c r="AC203" s="14"/>
      <c r="AD203" s="14"/>
      <c r="AE203" s="16"/>
      <c r="AF203" s="14"/>
      <c r="AG203" s="16"/>
      <c r="AH203" s="16"/>
      <c r="AI203" s="16"/>
      <c r="AJ203" s="16"/>
      <c r="AK203" s="16"/>
      <c r="AL203" s="16"/>
      <c r="AM203" s="16" t="s">
        <v>960</v>
      </c>
      <c r="AN203" s="1" t="s">
        <v>1760</v>
      </c>
    </row>
    <row r="204" spans="1:40" ht="12" customHeight="1" x14ac:dyDescent="0.2">
      <c r="A204" s="14">
        <v>18916</v>
      </c>
      <c r="B204" s="14">
        <v>18916</v>
      </c>
      <c r="C204" s="14">
        <v>6211</v>
      </c>
      <c r="D204" s="14" t="s">
        <v>306</v>
      </c>
      <c r="E204" s="14">
        <f>VLOOKUP(B204,[1]Sheet3!$A$2:$A$221,1,0)</f>
        <v>18916</v>
      </c>
      <c r="F204" s="14" t="s">
        <v>1353</v>
      </c>
      <c r="G204" s="14" t="s">
        <v>306</v>
      </c>
      <c r="H204" s="14"/>
      <c r="I204" s="14" t="s">
        <v>710</v>
      </c>
      <c r="J204" s="14" t="s">
        <v>1446</v>
      </c>
      <c r="K204" s="14" t="s">
        <v>1240</v>
      </c>
      <c r="L204" s="14" t="s">
        <v>831</v>
      </c>
      <c r="M204" s="14" t="s">
        <v>1336</v>
      </c>
      <c r="N204" s="14" t="s">
        <v>1240</v>
      </c>
      <c r="O204" s="14" t="s">
        <v>29</v>
      </c>
      <c r="P204" s="14" t="s">
        <v>387</v>
      </c>
      <c r="Q204" s="14" t="s">
        <v>876</v>
      </c>
      <c r="R204" s="14" t="s">
        <v>1336</v>
      </c>
      <c r="S204" s="14" t="s">
        <v>131</v>
      </c>
      <c r="T204" s="14" t="s">
        <v>587</v>
      </c>
      <c r="U204" s="14" t="s">
        <v>815</v>
      </c>
      <c r="V204" s="14" t="s">
        <v>594</v>
      </c>
      <c r="W204" s="15"/>
      <c r="X204" s="15"/>
      <c r="Y204" s="15"/>
      <c r="Z204" s="14"/>
      <c r="AA204" s="14"/>
      <c r="AB204" s="14"/>
      <c r="AC204" s="14"/>
      <c r="AD204" s="14"/>
      <c r="AE204" s="16"/>
      <c r="AF204" s="14"/>
      <c r="AG204" s="16"/>
      <c r="AH204" s="16"/>
      <c r="AI204" s="16"/>
      <c r="AJ204" s="16"/>
      <c r="AK204" s="16"/>
      <c r="AL204" s="16"/>
      <c r="AM204" s="16" t="s">
        <v>960</v>
      </c>
      <c r="AN204" s="1" t="s">
        <v>1760</v>
      </c>
    </row>
    <row r="205" spans="1:40" ht="12" customHeight="1" x14ac:dyDescent="0.2">
      <c r="A205" s="14">
        <v>4428</v>
      </c>
      <c r="B205" s="14">
        <v>4428</v>
      </c>
      <c r="C205" s="14">
        <v>2476</v>
      </c>
      <c r="D205" s="14" t="s">
        <v>306</v>
      </c>
      <c r="E205" s="14">
        <f>VLOOKUP(B205,[1]Sheet3!$A$2:$A$221,1,0)</f>
        <v>4428</v>
      </c>
      <c r="F205" s="14" t="s">
        <v>1353</v>
      </c>
      <c r="G205" s="14" t="s">
        <v>306</v>
      </c>
      <c r="H205" s="14"/>
      <c r="I205" s="14" t="s">
        <v>1427</v>
      </c>
      <c r="J205" s="14" t="s">
        <v>653</v>
      </c>
      <c r="K205" s="14" t="s">
        <v>822</v>
      </c>
      <c r="L205" s="14" t="s">
        <v>98</v>
      </c>
      <c r="M205" s="14" t="s">
        <v>1049</v>
      </c>
      <c r="N205" s="14" t="s">
        <v>822</v>
      </c>
      <c r="O205" s="14" t="s">
        <v>1624</v>
      </c>
      <c r="P205" s="14" t="s">
        <v>1472</v>
      </c>
      <c r="Q205" s="14" t="s">
        <v>604</v>
      </c>
      <c r="R205" s="14" t="s">
        <v>197</v>
      </c>
      <c r="S205" s="14" t="s">
        <v>476</v>
      </c>
      <c r="T205" s="14" t="s">
        <v>802</v>
      </c>
      <c r="U205" s="14" t="s">
        <v>1636</v>
      </c>
      <c r="V205" s="14" t="s">
        <v>958</v>
      </c>
      <c r="W205" s="15"/>
      <c r="X205" s="15"/>
      <c r="Y205" s="15"/>
      <c r="Z205" s="14"/>
      <c r="AA205" s="14"/>
      <c r="AB205" s="14"/>
      <c r="AC205" s="14"/>
      <c r="AD205" s="14"/>
      <c r="AE205" s="16"/>
      <c r="AF205" s="14"/>
      <c r="AG205" s="16"/>
      <c r="AH205" s="16"/>
      <c r="AI205" s="16"/>
      <c r="AJ205" s="16"/>
      <c r="AK205" s="16"/>
      <c r="AL205" s="16"/>
      <c r="AM205" s="16" t="s">
        <v>960</v>
      </c>
      <c r="AN205" s="1" t="s">
        <v>1760</v>
      </c>
    </row>
    <row r="206" spans="1:40" ht="12" customHeight="1" x14ac:dyDescent="0.2">
      <c r="A206" s="14">
        <v>21624</v>
      </c>
      <c r="B206" s="14">
        <v>21624</v>
      </c>
      <c r="C206" s="14">
        <v>9653</v>
      </c>
      <c r="D206" s="14" t="s">
        <v>306</v>
      </c>
      <c r="E206" s="14">
        <f>VLOOKUP(B206,[1]Sheet3!$A$2:$A$221,1,0)</f>
        <v>21624</v>
      </c>
      <c r="F206" s="14" t="s">
        <v>1353</v>
      </c>
      <c r="G206" s="14" t="s">
        <v>306</v>
      </c>
      <c r="H206" s="14"/>
      <c r="I206" s="14" t="s">
        <v>398</v>
      </c>
      <c r="J206" s="14" t="s">
        <v>275</v>
      </c>
      <c r="K206" s="14" t="s">
        <v>540</v>
      </c>
      <c r="L206" s="14" t="s">
        <v>1332</v>
      </c>
      <c r="M206" s="14" t="s">
        <v>403</v>
      </c>
      <c r="N206" s="14" t="s">
        <v>540</v>
      </c>
      <c r="O206" s="14" t="s">
        <v>787</v>
      </c>
      <c r="P206" s="14" t="s">
        <v>247</v>
      </c>
      <c r="Q206" s="14" t="s">
        <v>876</v>
      </c>
      <c r="R206" s="14" t="s">
        <v>403</v>
      </c>
      <c r="S206" s="14" t="s">
        <v>45</v>
      </c>
      <c r="T206" s="14" t="s">
        <v>789</v>
      </c>
      <c r="U206" s="14" t="s">
        <v>768</v>
      </c>
      <c r="V206" s="14" t="s">
        <v>1005</v>
      </c>
      <c r="W206" s="15"/>
      <c r="X206" s="15"/>
      <c r="Y206" s="15"/>
      <c r="Z206" s="14"/>
      <c r="AA206" s="14"/>
      <c r="AB206" s="14"/>
      <c r="AC206" s="14"/>
      <c r="AD206" s="14"/>
      <c r="AE206" s="16"/>
      <c r="AF206" s="14"/>
      <c r="AG206" s="16"/>
      <c r="AH206" s="16"/>
      <c r="AI206" s="16"/>
      <c r="AJ206" s="16"/>
      <c r="AK206" s="16"/>
      <c r="AL206" s="16"/>
      <c r="AM206" s="16" t="s">
        <v>960</v>
      </c>
      <c r="AN206" s="1" t="s">
        <v>1760</v>
      </c>
    </row>
    <row r="207" spans="1:40" ht="12" customHeight="1" x14ac:dyDescent="0.2">
      <c r="A207" s="14">
        <v>21625</v>
      </c>
      <c r="B207" s="14">
        <v>21625</v>
      </c>
      <c r="C207" s="14">
        <v>9654</v>
      </c>
      <c r="D207" s="14" t="s">
        <v>306</v>
      </c>
      <c r="E207" s="14">
        <f>VLOOKUP(B207,[1]Sheet3!$A$2:$A$221,1,0)</f>
        <v>21625</v>
      </c>
      <c r="F207" s="14" t="s">
        <v>1353</v>
      </c>
      <c r="G207" s="14" t="s">
        <v>306</v>
      </c>
      <c r="H207" s="14"/>
      <c r="I207" s="14" t="s">
        <v>132</v>
      </c>
      <c r="J207" s="14" t="s">
        <v>1276</v>
      </c>
      <c r="K207" s="14" t="s">
        <v>1292</v>
      </c>
      <c r="L207" s="14" t="s">
        <v>1332</v>
      </c>
      <c r="M207" s="14" t="s">
        <v>403</v>
      </c>
      <c r="N207" s="14" t="s">
        <v>1292</v>
      </c>
      <c r="O207" s="14" t="s">
        <v>195</v>
      </c>
      <c r="P207" s="14" t="s">
        <v>929</v>
      </c>
      <c r="Q207" s="14" t="s">
        <v>876</v>
      </c>
      <c r="R207" s="14" t="s">
        <v>403</v>
      </c>
      <c r="S207" s="14" t="s">
        <v>45</v>
      </c>
      <c r="T207" s="14" t="s">
        <v>1266</v>
      </c>
      <c r="U207" s="14" t="s">
        <v>768</v>
      </c>
      <c r="V207" s="14" t="s">
        <v>1005</v>
      </c>
      <c r="W207" s="15"/>
      <c r="X207" s="15"/>
      <c r="Y207" s="15"/>
      <c r="Z207" s="14"/>
      <c r="AA207" s="14"/>
      <c r="AB207" s="14"/>
      <c r="AC207" s="14"/>
      <c r="AD207" s="14"/>
      <c r="AE207" s="16"/>
      <c r="AF207" s="14"/>
      <c r="AG207" s="16"/>
      <c r="AH207" s="16"/>
      <c r="AI207" s="16"/>
      <c r="AJ207" s="16"/>
      <c r="AK207" s="16"/>
      <c r="AL207" s="16"/>
      <c r="AM207" s="16" t="s">
        <v>960</v>
      </c>
      <c r="AN207" s="1" t="s">
        <v>1760</v>
      </c>
    </row>
    <row r="208" spans="1:40" ht="12" customHeight="1" x14ac:dyDescent="0.2">
      <c r="A208" s="14">
        <v>22819</v>
      </c>
      <c r="B208" s="14">
        <v>22819</v>
      </c>
      <c r="C208" s="14">
        <v>11287</v>
      </c>
      <c r="D208" s="14" t="s">
        <v>306</v>
      </c>
      <c r="E208" s="14">
        <f>VLOOKUP(B208,[1]Sheet3!$A$2:$A$221,1,0)</f>
        <v>22819</v>
      </c>
      <c r="F208" s="14" t="s">
        <v>1353</v>
      </c>
      <c r="G208" s="14" t="s">
        <v>306</v>
      </c>
      <c r="H208" s="14"/>
      <c r="I208" s="14" t="s">
        <v>1405</v>
      </c>
      <c r="J208" s="14" t="s">
        <v>612</v>
      </c>
      <c r="K208" s="14" t="s">
        <v>268</v>
      </c>
      <c r="L208" s="14" t="s">
        <v>329</v>
      </c>
      <c r="M208" s="14" t="s">
        <v>1336</v>
      </c>
      <c r="N208" s="14" t="s">
        <v>268</v>
      </c>
      <c r="O208" s="14" t="s">
        <v>446</v>
      </c>
      <c r="P208" s="14" t="s">
        <v>877</v>
      </c>
      <c r="Q208" s="14" t="s">
        <v>876</v>
      </c>
      <c r="R208" s="14" t="s">
        <v>1336</v>
      </c>
      <c r="S208" s="14" t="s">
        <v>1607</v>
      </c>
      <c r="T208" s="14" t="s">
        <v>1231</v>
      </c>
      <c r="U208" s="14" t="s">
        <v>1059</v>
      </c>
      <c r="V208" s="14" t="s">
        <v>1646</v>
      </c>
      <c r="W208" s="15"/>
      <c r="X208" s="15"/>
      <c r="Y208" s="15"/>
      <c r="Z208" s="14"/>
      <c r="AA208" s="14"/>
      <c r="AB208" s="14"/>
      <c r="AC208" s="14"/>
      <c r="AD208" s="14"/>
      <c r="AE208" s="16"/>
      <c r="AF208" s="14"/>
      <c r="AG208" s="16"/>
      <c r="AH208" s="16"/>
      <c r="AI208" s="16"/>
      <c r="AJ208" s="16"/>
      <c r="AK208" s="16"/>
      <c r="AL208" s="16"/>
      <c r="AM208" s="16" t="s">
        <v>960</v>
      </c>
      <c r="AN208" s="1" t="s">
        <v>1760</v>
      </c>
    </row>
    <row r="209" spans="1:40" ht="12" customHeight="1" x14ac:dyDescent="0.2">
      <c r="A209" s="14">
        <v>16892</v>
      </c>
      <c r="B209" s="14">
        <v>16892</v>
      </c>
      <c r="C209" s="14">
        <v>3651</v>
      </c>
      <c r="D209" s="14" t="s">
        <v>306</v>
      </c>
      <c r="E209" s="14">
        <f>VLOOKUP(B209,[1]Sheet3!$A$2:$A$221,1,0)</f>
        <v>16892</v>
      </c>
      <c r="F209" s="14" t="s">
        <v>1353</v>
      </c>
      <c r="G209" s="14" t="s">
        <v>306</v>
      </c>
      <c r="H209" s="14"/>
      <c r="I209" s="14" t="s">
        <v>1475</v>
      </c>
      <c r="J209" s="14" t="s">
        <v>1663</v>
      </c>
      <c r="K209" s="14" t="s">
        <v>1415</v>
      </c>
      <c r="L209" s="14" t="s">
        <v>922</v>
      </c>
      <c r="M209" s="14" t="s">
        <v>1336</v>
      </c>
      <c r="N209" s="14" t="s">
        <v>1415</v>
      </c>
      <c r="O209" s="14" t="s">
        <v>1022</v>
      </c>
      <c r="P209" s="14" t="s">
        <v>871</v>
      </c>
      <c r="Q209" s="14" t="s">
        <v>876</v>
      </c>
      <c r="R209" s="14" t="s">
        <v>1336</v>
      </c>
      <c r="S209" s="14" t="s">
        <v>9</v>
      </c>
      <c r="T209" s="14" t="s">
        <v>493</v>
      </c>
      <c r="U209" s="14" t="s">
        <v>302</v>
      </c>
      <c r="V209" s="14" t="s">
        <v>1019</v>
      </c>
      <c r="W209" s="15"/>
      <c r="X209" s="15"/>
      <c r="Y209" s="15"/>
      <c r="Z209" s="14"/>
      <c r="AA209" s="14"/>
      <c r="AB209" s="14"/>
      <c r="AC209" s="14"/>
      <c r="AD209" s="14"/>
      <c r="AE209" s="16"/>
      <c r="AF209" s="14" t="s">
        <v>560</v>
      </c>
      <c r="AG209" s="16"/>
      <c r="AH209" s="16"/>
      <c r="AI209" s="16"/>
      <c r="AJ209" s="16"/>
      <c r="AK209" s="16"/>
      <c r="AL209" s="16"/>
      <c r="AM209" s="16" t="s">
        <v>960</v>
      </c>
      <c r="AN209" s="1" t="s">
        <v>1760</v>
      </c>
    </row>
    <row r="210" spans="1:40" ht="12" customHeight="1" x14ac:dyDescent="0.2">
      <c r="A210" s="14">
        <v>10980</v>
      </c>
      <c r="B210" s="14">
        <v>10980</v>
      </c>
      <c r="C210" s="14">
        <v>12263</v>
      </c>
      <c r="D210" s="14" t="s">
        <v>306</v>
      </c>
      <c r="E210" s="14">
        <f>VLOOKUP(B210,[1]Sheet3!$A$2:$A$221,1,0)</f>
        <v>10980</v>
      </c>
      <c r="F210" s="14" t="s">
        <v>1353</v>
      </c>
      <c r="G210" s="14" t="s">
        <v>306</v>
      </c>
      <c r="H210" s="14"/>
      <c r="I210" s="14" t="s">
        <v>1398</v>
      </c>
      <c r="J210" s="14" t="s">
        <v>1264</v>
      </c>
      <c r="K210" s="14" t="s">
        <v>674</v>
      </c>
      <c r="L210" s="14" t="s">
        <v>736</v>
      </c>
      <c r="M210" s="14" t="s">
        <v>614</v>
      </c>
      <c r="N210" s="14" t="s">
        <v>674</v>
      </c>
      <c r="O210" s="14" t="s">
        <v>1509</v>
      </c>
      <c r="P210" s="14" t="s">
        <v>1379</v>
      </c>
      <c r="Q210" s="14" t="s">
        <v>1152</v>
      </c>
      <c r="R210" s="14" t="s">
        <v>1288</v>
      </c>
      <c r="S210" s="14" t="s">
        <v>973</v>
      </c>
      <c r="T210" s="14" t="s">
        <v>494</v>
      </c>
      <c r="U210" s="14" t="s">
        <v>722</v>
      </c>
      <c r="V210" s="14" t="s">
        <v>437</v>
      </c>
      <c r="W210" s="15"/>
      <c r="X210" s="15"/>
      <c r="Y210" s="15"/>
      <c r="Z210" s="14"/>
      <c r="AA210" s="14"/>
      <c r="AB210" s="14"/>
      <c r="AC210" s="14"/>
      <c r="AD210" s="14"/>
      <c r="AE210" s="16"/>
      <c r="AF210" s="14"/>
      <c r="AG210" s="16"/>
      <c r="AH210" s="16"/>
      <c r="AI210" s="16"/>
      <c r="AJ210" s="16"/>
      <c r="AK210" s="16"/>
      <c r="AL210" s="16"/>
      <c r="AM210" s="16" t="s">
        <v>960</v>
      </c>
      <c r="AN210" s="1" t="s">
        <v>1760</v>
      </c>
    </row>
    <row r="211" spans="1:40" ht="12" customHeight="1" x14ac:dyDescent="0.2">
      <c r="A211" s="14">
        <v>23428</v>
      </c>
      <c r="B211" s="14">
        <v>23428</v>
      </c>
      <c r="C211" s="14">
        <v>12264</v>
      </c>
      <c r="D211" s="14" t="s">
        <v>306</v>
      </c>
      <c r="E211" s="14">
        <f>VLOOKUP(B211,[1]Sheet3!$A$2:$A$221,1,0)</f>
        <v>23428</v>
      </c>
      <c r="F211" s="14" t="s">
        <v>1353</v>
      </c>
      <c r="G211" s="14" t="s">
        <v>306</v>
      </c>
      <c r="H211" s="14"/>
      <c r="I211" s="14" t="s">
        <v>1399</v>
      </c>
      <c r="J211" s="14" t="s">
        <v>1015</v>
      </c>
      <c r="K211" s="14" t="s">
        <v>756</v>
      </c>
      <c r="L211" s="14" t="s">
        <v>736</v>
      </c>
      <c r="M211" s="14" t="s">
        <v>614</v>
      </c>
      <c r="N211" s="14" t="s">
        <v>756</v>
      </c>
      <c r="O211" s="14" t="s">
        <v>312</v>
      </c>
      <c r="P211" s="14" t="s">
        <v>918</v>
      </c>
      <c r="Q211" s="14" t="s">
        <v>1152</v>
      </c>
      <c r="R211" s="14" t="s">
        <v>1288</v>
      </c>
      <c r="S211" s="14" t="s">
        <v>973</v>
      </c>
      <c r="T211" s="14" t="s">
        <v>654</v>
      </c>
      <c r="U211" s="14" t="s">
        <v>722</v>
      </c>
      <c r="V211" s="14" t="s">
        <v>437</v>
      </c>
      <c r="W211" s="15"/>
      <c r="X211" s="15"/>
      <c r="Y211" s="15"/>
      <c r="Z211" s="14"/>
      <c r="AA211" s="14"/>
      <c r="AB211" s="14"/>
      <c r="AC211" s="14"/>
      <c r="AD211" s="14"/>
      <c r="AE211" s="16"/>
      <c r="AF211" s="14"/>
      <c r="AG211" s="16"/>
      <c r="AH211" s="16"/>
      <c r="AI211" s="16"/>
      <c r="AJ211" s="16"/>
      <c r="AK211" s="16"/>
      <c r="AL211" s="16"/>
      <c r="AM211" s="16" t="s">
        <v>960</v>
      </c>
      <c r="AN211" s="1" t="s">
        <v>1760</v>
      </c>
    </row>
    <row r="212" spans="1:40" ht="12" customHeight="1" x14ac:dyDescent="0.2">
      <c r="A212" s="14">
        <v>15865</v>
      </c>
      <c r="B212" s="14">
        <v>15865</v>
      </c>
      <c r="C212" s="14">
        <v>2099</v>
      </c>
      <c r="D212" s="14" t="s">
        <v>306</v>
      </c>
      <c r="E212" s="14">
        <f>VLOOKUP(B212,[1]Sheet3!$A$2:$A$221,1,0)</f>
        <v>15865</v>
      </c>
      <c r="F212" s="14" t="s">
        <v>1353</v>
      </c>
      <c r="G212" s="14" t="s">
        <v>306</v>
      </c>
      <c r="H212" s="14"/>
      <c r="I212" s="14" t="s">
        <v>1090</v>
      </c>
      <c r="J212" s="14" t="s">
        <v>1559</v>
      </c>
      <c r="K212" s="14" t="s">
        <v>1079</v>
      </c>
      <c r="L212" s="14" t="s">
        <v>797</v>
      </c>
      <c r="M212" s="14" t="s">
        <v>1336</v>
      </c>
      <c r="N212" s="14" t="s">
        <v>1079</v>
      </c>
      <c r="O212" s="14" t="s">
        <v>817</v>
      </c>
      <c r="P212" s="14" t="s">
        <v>1206</v>
      </c>
      <c r="Q212" s="14" t="s">
        <v>876</v>
      </c>
      <c r="R212" s="14" t="s">
        <v>1336</v>
      </c>
      <c r="S212" s="14" t="s">
        <v>1044</v>
      </c>
      <c r="T212" s="14" t="s">
        <v>1620</v>
      </c>
      <c r="U212" s="14" t="s">
        <v>1099</v>
      </c>
      <c r="V212" s="14" t="s">
        <v>729</v>
      </c>
      <c r="W212" s="15"/>
      <c r="X212" s="15"/>
      <c r="Y212" s="15"/>
      <c r="Z212" s="14"/>
      <c r="AA212" s="14"/>
      <c r="AB212" s="14"/>
      <c r="AC212" s="14"/>
      <c r="AD212" s="14"/>
      <c r="AE212" s="16"/>
      <c r="AF212" s="14"/>
      <c r="AG212" s="16"/>
      <c r="AH212" s="16"/>
      <c r="AI212" s="16"/>
      <c r="AJ212" s="16"/>
      <c r="AK212" s="16"/>
      <c r="AL212" s="16"/>
      <c r="AM212" s="16" t="s">
        <v>960</v>
      </c>
      <c r="AN212" s="1" t="s">
        <v>1760</v>
      </c>
    </row>
    <row r="213" spans="1:40" ht="12" customHeight="1" x14ac:dyDescent="0.2">
      <c r="A213" s="14">
        <v>7376</v>
      </c>
      <c r="B213" s="14">
        <v>7376</v>
      </c>
      <c r="C213" s="14">
        <v>6490</v>
      </c>
      <c r="D213" s="14" t="s">
        <v>306</v>
      </c>
      <c r="E213" s="14">
        <f>VLOOKUP(B213,[1]Sheet3!$A$2:$A$221,1,0)</f>
        <v>7376</v>
      </c>
      <c r="F213" s="14" t="s">
        <v>1353</v>
      </c>
      <c r="G213" s="14" t="s">
        <v>306</v>
      </c>
      <c r="H213" s="14"/>
      <c r="I213" s="14" t="s">
        <v>1627</v>
      </c>
      <c r="J213" s="14" t="s">
        <v>1192</v>
      </c>
      <c r="K213" s="14" t="s">
        <v>2</v>
      </c>
      <c r="L213" s="14" t="s">
        <v>867</v>
      </c>
      <c r="M213" s="14" t="s">
        <v>1447</v>
      </c>
      <c r="N213" s="14" t="s">
        <v>2</v>
      </c>
      <c r="O213" s="14" t="s">
        <v>858</v>
      </c>
      <c r="P213" s="14" t="s">
        <v>921</v>
      </c>
      <c r="Q213" s="14" t="s">
        <v>876</v>
      </c>
      <c r="R213" s="14" t="s">
        <v>1447</v>
      </c>
      <c r="S213" s="14" t="s">
        <v>821</v>
      </c>
      <c r="T213" s="14" t="s">
        <v>1421</v>
      </c>
      <c r="U213" s="14" t="s">
        <v>189</v>
      </c>
      <c r="V213" s="14" t="s">
        <v>1318</v>
      </c>
      <c r="W213" s="15"/>
      <c r="X213" s="15"/>
      <c r="Y213" s="15"/>
      <c r="Z213" s="14"/>
      <c r="AA213" s="14"/>
      <c r="AB213" s="14"/>
      <c r="AC213" s="14"/>
      <c r="AD213" s="14"/>
      <c r="AE213" s="16"/>
      <c r="AF213" s="14"/>
      <c r="AG213" s="16"/>
      <c r="AH213" s="16"/>
      <c r="AI213" s="16"/>
      <c r="AJ213" s="16"/>
      <c r="AK213" s="16"/>
      <c r="AL213" s="16"/>
      <c r="AM213" s="16" t="s">
        <v>960</v>
      </c>
      <c r="AN213" s="1" t="s">
        <v>1760</v>
      </c>
    </row>
    <row r="214" spans="1:40" ht="12" customHeight="1" x14ac:dyDescent="0.2">
      <c r="A214" s="14">
        <v>21235</v>
      </c>
      <c r="B214" s="14">
        <v>21235</v>
      </c>
      <c r="C214" s="14">
        <v>9095</v>
      </c>
      <c r="D214" s="14" t="s">
        <v>306</v>
      </c>
      <c r="E214" s="14">
        <f>VLOOKUP(B214,[1]Sheet3!$A$2:$A$221,1,0)</f>
        <v>21235</v>
      </c>
      <c r="F214" s="14" t="s">
        <v>1353</v>
      </c>
      <c r="G214" s="14" t="s">
        <v>306</v>
      </c>
      <c r="H214" s="14"/>
      <c r="I214" s="14" t="s">
        <v>633</v>
      </c>
      <c r="J214" s="14" t="s">
        <v>741</v>
      </c>
      <c r="K214" s="14" t="s">
        <v>820</v>
      </c>
      <c r="L214" s="14" t="s">
        <v>870</v>
      </c>
      <c r="M214" s="14" t="s">
        <v>644</v>
      </c>
      <c r="N214" s="14" t="s">
        <v>820</v>
      </c>
      <c r="O214" s="14" t="s">
        <v>104</v>
      </c>
      <c r="P214" s="14" t="s">
        <v>13</v>
      </c>
      <c r="Q214" s="14" t="s">
        <v>876</v>
      </c>
      <c r="R214" s="14" t="s">
        <v>644</v>
      </c>
      <c r="S214" s="14" t="s">
        <v>1569</v>
      </c>
      <c r="T214" s="14" t="s">
        <v>1216</v>
      </c>
      <c r="U214" s="14" t="s">
        <v>364</v>
      </c>
      <c r="V214" s="14" t="s">
        <v>271</v>
      </c>
      <c r="W214" s="15"/>
      <c r="X214" s="15"/>
      <c r="Y214" s="15"/>
      <c r="Z214" s="14"/>
      <c r="AA214" s="14"/>
      <c r="AB214" s="14"/>
      <c r="AC214" s="14"/>
      <c r="AD214" s="14"/>
      <c r="AE214" s="16"/>
      <c r="AF214" s="14"/>
      <c r="AG214" s="16"/>
      <c r="AH214" s="16"/>
      <c r="AI214" s="16"/>
      <c r="AJ214" s="16"/>
      <c r="AK214" s="16"/>
      <c r="AL214" s="16"/>
      <c r="AM214" s="16" t="s">
        <v>960</v>
      </c>
      <c r="AN214" s="1" t="s">
        <v>1760</v>
      </c>
    </row>
    <row r="215" spans="1:40" ht="12" customHeight="1" x14ac:dyDescent="0.2">
      <c r="A215" s="14">
        <v>20571</v>
      </c>
      <c r="B215" s="14">
        <v>20571</v>
      </c>
      <c r="C215" s="14">
        <v>8292</v>
      </c>
      <c r="D215" s="14" t="s">
        <v>306</v>
      </c>
      <c r="E215" s="14">
        <f>VLOOKUP(B215,[1]Sheet3!$A$2:$A$221,1,0)</f>
        <v>20571</v>
      </c>
      <c r="F215" s="14" t="s">
        <v>1353</v>
      </c>
      <c r="G215" s="14" t="s">
        <v>306</v>
      </c>
      <c r="H215" s="14"/>
      <c r="I215" s="14" t="s">
        <v>809</v>
      </c>
      <c r="J215" s="14" t="s">
        <v>419</v>
      </c>
      <c r="K215" s="14" t="s">
        <v>624</v>
      </c>
      <c r="L215" s="14" t="s">
        <v>1581</v>
      </c>
      <c r="M215" s="14" t="s">
        <v>1432</v>
      </c>
      <c r="N215" s="14" t="s">
        <v>624</v>
      </c>
      <c r="O215" s="14" t="s">
        <v>289</v>
      </c>
      <c r="P215" s="14" t="s">
        <v>923</v>
      </c>
      <c r="Q215" s="14" t="s">
        <v>876</v>
      </c>
      <c r="R215" s="14" t="s">
        <v>1432</v>
      </c>
      <c r="S215" s="14" t="s">
        <v>126</v>
      </c>
      <c r="T215" s="14" t="s">
        <v>579</v>
      </c>
      <c r="U215" s="14" t="s">
        <v>1480</v>
      </c>
      <c r="V215" s="14" t="s">
        <v>279</v>
      </c>
      <c r="W215" s="15"/>
      <c r="X215" s="15"/>
      <c r="Y215" s="15"/>
      <c r="Z215" s="14"/>
      <c r="AA215" s="14"/>
      <c r="AB215" s="14"/>
      <c r="AC215" s="14"/>
      <c r="AD215" s="14"/>
      <c r="AE215" s="16"/>
      <c r="AF215" s="14"/>
      <c r="AG215" s="16"/>
      <c r="AH215" s="16"/>
      <c r="AI215" s="16"/>
      <c r="AJ215" s="16"/>
      <c r="AK215" s="16"/>
      <c r="AL215" s="16"/>
      <c r="AM215" s="16" t="s">
        <v>960</v>
      </c>
      <c r="AN215" s="1" t="s">
        <v>1760</v>
      </c>
    </row>
    <row r="216" spans="1:40" ht="12" customHeight="1" x14ac:dyDescent="0.2">
      <c r="A216" s="14">
        <v>10280</v>
      </c>
      <c r="B216" s="14">
        <v>10280</v>
      </c>
      <c r="C216" s="14">
        <v>12790</v>
      </c>
      <c r="D216" s="14" t="s">
        <v>306</v>
      </c>
      <c r="E216" s="14">
        <f>VLOOKUP(B216,[1]Sheet3!$A$2:$A$221,1,0)</f>
        <v>10280</v>
      </c>
      <c r="F216" s="14" t="s">
        <v>1353</v>
      </c>
      <c r="G216" s="14" t="s">
        <v>306</v>
      </c>
      <c r="H216" s="14"/>
      <c r="I216" s="14" t="s">
        <v>1410</v>
      </c>
      <c r="J216" s="14" t="s">
        <v>1570</v>
      </c>
      <c r="K216" s="14" t="s">
        <v>8</v>
      </c>
      <c r="L216" s="14" t="s">
        <v>154</v>
      </c>
      <c r="M216" s="14" t="s">
        <v>1432</v>
      </c>
      <c r="N216" s="14" t="s">
        <v>8</v>
      </c>
      <c r="O216" s="14" t="s">
        <v>288</v>
      </c>
      <c r="P216" s="14" t="s">
        <v>1476</v>
      </c>
      <c r="Q216" s="14" t="s">
        <v>876</v>
      </c>
      <c r="R216" s="14" t="s">
        <v>1432</v>
      </c>
      <c r="S216" s="14" t="s">
        <v>547</v>
      </c>
      <c r="T216" s="14" t="s">
        <v>1489</v>
      </c>
      <c r="U216" s="14" t="s">
        <v>114</v>
      </c>
      <c r="V216" s="14" t="s">
        <v>1245</v>
      </c>
      <c r="W216" s="15"/>
      <c r="X216" s="15"/>
      <c r="Y216" s="15"/>
      <c r="Z216" s="14"/>
      <c r="AA216" s="14"/>
      <c r="AB216" s="14"/>
      <c r="AC216" s="14"/>
      <c r="AD216" s="14"/>
      <c r="AE216" s="16"/>
      <c r="AF216" s="14"/>
      <c r="AG216" s="16"/>
      <c r="AH216" s="16"/>
      <c r="AI216" s="16"/>
      <c r="AJ216" s="16"/>
      <c r="AK216" s="16"/>
      <c r="AL216" s="16"/>
      <c r="AM216" s="16" t="s">
        <v>960</v>
      </c>
      <c r="AN216" s="1" t="s">
        <v>1760</v>
      </c>
    </row>
    <row r="217" spans="1:40" ht="12" customHeight="1" x14ac:dyDescent="0.2">
      <c r="A217" s="14">
        <v>16848</v>
      </c>
      <c r="B217" s="14">
        <v>16848</v>
      </c>
      <c r="C217" s="14">
        <v>3588</v>
      </c>
      <c r="D217" s="14" t="s">
        <v>306</v>
      </c>
      <c r="E217" s="14">
        <f>VLOOKUP(B217,[1]Sheet3!$A$2:$A$221,1,0)</f>
        <v>16848</v>
      </c>
      <c r="F217" s="14" t="s">
        <v>1353</v>
      </c>
      <c r="G217" s="14" t="s">
        <v>306</v>
      </c>
      <c r="H217" s="14"/>
      <c r="I217" s="14" t="s">
        <v>367</v>
      </c>
      <c r="J217" s="14" t="s">
        <v>173</v>
      </c>
      <c r="K217" s="14" t="s">
        <v>886</v>
      </c>
      <c r="L217" s="14" t="s">
        <v>764</v>
      </c>
      <c r="M217" s="14" t="s">
        <v>1049</v>
      </c>
      <c r="N217" s="14" t="s">
        <v>886</v>
      </c>
      <c r="O217" s="14" t="s">
        <v>261</v>
      </c>
      <c r="P217" s="14" t="s">
        <v>763</v>
      </c>
      <c r="Q217" s="14" t="s">
        <v>604</v>
      </c>
      <c r="R217" s="14" t="s">
        <v>197</v>
      </c>
      <c r="S217" s="14" t="s">
        <v>1076</v>
      </c>
      <c r="T217" s="14" t="s">
        <v>638</v>
      </c>
      <c r="U217" s="14" t="s">
        <v>318</v>
      </c>
      <c r="V217" s="14" t="s">
        <v>1537</v>
      </c>
      <c r="W217" s="15"/>
      <c r="X217" s="15"/>
      <c r="Y217" s="15"/>
      <c r="Z217" s="14"/>
      <c r="AA217" s="14"/>
      <c r="AB217" s="14"/>
      <c r="AC217" s="14"/>
      <c r="AD217" s="14"/>
      <c r="AE217" s="16"/>
      <c r="AF217" s="14"/>
      <c r="AG217" s="16"/>
      <c r="AH217" s="16"/>
      <c r="AI217" s="16"/>
      <c r="AJ217" s="16"/>
      <c r="AK217" s="16"/>
      <c r="AL217" s="16"/>
      <c r="AM217" s="16" t="s">
        <v>960</v>
      </c>
      <c r="AN217" s="1" t="s">
        <v>1760</v>
      </c>
    </row>
    <row r="218" spans="1:40" ht="12" customHeight="1" x14ac:dyDescent="0.2">
      <c r="A218" s="14">
        <v>10353</v>
      </c>
      <c r="B218" s="14">
        <v>10353</v>
      </c>
      <c r="C218" s="14">
        <v>12897</v>
      </c>
      <c r="D218" s="14" t="s">
        <v>306</v>
      </c>
      <c r="E218" s="14">
        <f>VLOOKUP(B218,[1]Sheet3!$A$2:$A$221,1,0)</f>
        <v>10353</v>
      </c>
      <c r="F218" s="14" t="s">
        <v>1353</v>
      </c>
      <c r="G218" s="14" t="s">
        <v>306</v>
      </c>
      <c r="H218" s="14"/>
      <c r="I218" s="14" t="s">
        <v>1601</v>
      </c>
      <c r="J218" s="14" t="s">
        <v>1566</v>
      </c>
      <c r="K218" s="14" t="s">
        <v>889</v>
      </c>
      <c r="L218" s="14" t="s">
        <v>957</v>
      </c>
      <c r="M218" s="14" t="s">
        <v>1201</v>
      </c>
      <c r="N218" s="14" t="s">
        <v>889</v>
      </c>
      <c r="O218" s="14" t="s">
        <v>1397</v>
      </c>
      <c r="P218" s="14" t="s">
        <v>642</v>
      </c>
      <c r="Q218" s="14" t="s">
        <v>686</v>
      </c>
      <c r="R218" s="14" t="s">
        <v>197</v>
      </c>
      <c r="S218" s="14" t="s">
        <v>1422</v>
      </c>
      <c r="T218" s="14" t="s">
        <v>509</v>
      </c>
      <c r="U218" s="14" t="s">
        <v>1314</v>
      </c>
      <c r="V218" s="14" t="s">
        <v>224</v>
      </c>
      <c r="W218" s="15"/>
      <c r="X218" s="15"/>
      <c r="Y218" s="15"/>
      <c r="Z218" s="14"/>
      <c r="AA218" s="14"/>
      <c r="AB218" s="14"/>
      <c r="AC218" s="14"/>
      <c r="AD218" s="14"/>
      <c r="AE218" s="16"/>
      <c r="AF218" s="14"/>
      <c r="AG218" s="16"/>
      <c r="AH218" s="16"/>
      <c r="AI218" s="16"/>
      <c r="AJ218" s="16"/>
      <c r="AK218" s="16"/>
      <c r="AL218" s="16"/>
      <c r="AM218" s="16" t="s">
        <v>960</v>
      </c>
      <c r="AN218" s="1" t="s">
        <v>1760</v>
      </c>
    </row>
    <row r="219" spans="1:40" ht="12" customHeight="1" x14ac:dyDescent="0.2">
      <c r="A219" s="14">
        <v>10433</v>
      </c>
      <c r="B219" s="14">
        <v>10433</v>
      </c>
      <c r="C219" s="14">
        <v>13027</v>
      </c>
      <c r="D219" s="14" t="s">
        <v>306</v>
      </c>
      <c r="E219" s="14">
        <f>VLOOKUP(B219,[1]Sheet3!$A$2:$A$221,1,0)</f>
        <v>10433</v>
      </c>
      <c r="F219" s="14" t="s">
        <v>1353</v>
      </c>
      <c r="G219" s="14" t="s">
        <v>306</v>
      </c>
      <c r="H219" s="14"/>
      <c r="I219" s="14" t="s">
        <v>1517</v>
      </c>
      <c r="J219" s="14" t="s">
        <v>647</v>
      </c>
      <c r="K219" s="14" t="s">
        <v>362</v>
      </c>
      <c r="L219" s="14" t="s">
        <v>1156</v>
      </c>
      <c r="M219" s="14" t="s">
        <v>1336</v>
      </c>
      <c r="N219" s="14" t="s">
        <v>362</v>
      </c>
      <c r="O219" s="14" t="s">
        <v>774</v>
      </c>
      <c r="P219" s="14" t="s">
        <v>105</v>
      </c>
      <c r="Q219" s="14" t="s">
        <v>876</v>
      </c>
      <c r="R219" s="14" t="s">
        <v>1336</v>
      </c>
      <c r="S219" s="14" t="s">
        <v>453</v>
      </c>
      <c r="T219" s="14" t="s">
        <v>1530</v>
      </c>
      <c r="U219" s="14" t="s">
        <v>933</v>
      </c>
      <c r="V219" s="14" t="s">
        <v>250</v>
      </c>
      <c r="W219" s="15"/>
      <c r="X219" s="15"/>
      <c r="Y219" s="15"/>
      <c r="Z219" s="14"/>
      <c r="AA219" s="14"/>
      <c r="AB219" s="14"/>
      <c r="AC219" s="14"/>
      <c r="AD219" s="14"/>
      <c r="AE219" s="16"/>
      <c r="AF219" s="14"/>
      <c r="AG219" s="16"/>
      <c r="AH219" s="16"/>
      <c r="AI219" s="16"/>
      <c r="AJ219" s="16"/>
      <c r="AK219" s="16"/>
      <c r="AL219" s="16"/>
      <c r="AM219" s="16" t="s">
        <v>960</v>
      </c>
      <c r="AN219" s="1" t="s">
        <v>1760</v>
      </c>
    </row>
    <row r="220" spans="1:40" ht="12" customHeight="1" x14ac:dyDescent="0.2">
      <c r="A220" s="14">
        <v>16340</v>
      </c>
      <c r="B220" s="14">
        <v>16340</v>
      </c>
      <c r="C220" s="14">
        <v>13052</v>
      </c>
      <c r="D220" s="14" t="s">
        <v>306</v>
      </c>
      <c r="E220" s="14">
        <f>VLOOKUP(B220,[1]Sheet3!$A$2:$A$221,1,0)</f>
        <v>16340</v>
      </c>
      <c r="F220" s="14" t="s">
        <v>1353</v>
      </c>
      <c r="G220" s="14" t="s">
        <v>306</v>
      </c>
      <c r="H220" s="14"/>
      <c r="I220" s="14" t="s">
        <v>894</v>
      </c>
      <c r="J220" s="14" t="s">
        <v>1411</v>
      </c>
      <c r="K220" s="14" t="s">
        <v>462</v>
      </c>
      <c r="L220" s="14" t="s">
        <v>1012</v>
      </c>
      <c r="M220" s="14" t="s">
        <v>1336</v>
      </c>
      <c r="N220" s="14" t="s">
        <v>462</v>
      </c>
      <c r="O220" s="14" t="s">
        <v>1572</v>
      </c>
      <c r="P220" s="14" t="s">
        <v>580</v>
      </c>
      <c r="Q220" s="14" t="s">
        <v>876</v>
      </c>
      <c r="R220" s="14" t="s">
        <v>1336</v>
      </c>
      <c r="S220" s="14" t="s">
        <v>453</v>
      </c>
      <c r="T220" s="14" t="s">
        <v>1211</v>
      </c>
      <c r="U220" s="14" t="s">
        <v>1567</v>
      </c>
      <c r="V220" s="14" t="s">
        <v>250</v>
      </c>
      <c r="W220" s="15" t="s">
        <v>113</v>
      </c>
      <c r="X220" s="15"/>
      <c r="Y220" s="14" t="s">
        <v>665</v>
      </c>
      <c r="Z220" s="14"/>
      <c r="AA220" s="14"/>
      <c r="AB220" s="14"/>
      <c r="AC220" s="14"/>
      <c r="AD220" s="14"/>
      <c r="AE220" s="16"/>
      <c r="AF220" s="14"/>
      <c r="AG220" s="16"/>
      <c r="AH220" s="16"/>
      <c r="AI220" s="16"/>
      <c r="AJ220" s="16"/>
      <c r="AK220" s="16"/>
      <c r="AL220" s="16"/>
      <c r="AM220" s="16" t="s">
        <v>960</v>
      </c>
      <c r="AN220" s="1" t="s">
        <v>1760</v>
      </c>
    </row>
    <row r="221" spans="1:40" ht="12" customHeight="1" x14ac:dyDescent="0.2">
      <c r="A221" s="14">
        <v>16329</v>
      </c>
      <c r="B221" s="14">
        <v>16329</v>
      </c>
      <c r="C221" s="14">
        <v>13051</v>
      </c>
      <c r="D221" s="14" t="s">
        <v>306</v>
      </c>
      <c r="E221" s="14">
        <f>VLOOKUP(B221,[1]Sheet3!$A$2:$A$221,1,0)</f>
        <v>16329</v>
      </c>
      <c r="F221" s="14" t="s">
        <v>1353</v>
      </c>
      <c r="G221" s="14" t="s">
        <v>306</v>
      </c>
      <c r="H221" s="14"/>
      <c r="I221" s="14" t="s">
        <v>370</v>
      </c>
      <c r="J221" s="14" t="s">
        <v>1478</v>
      </c>
      <c r="K221" s="14" t="s">
        <v>1557</v>
      </c>
      <c r="L221" s="14" t="s">
        <v>320</v>
      </c>
      <c r="M221" s="14" t="s">
        <v>1336</v>
      </c>
      <c r="N221" s="14" t="s">
        <v>1557</v>
      </c>
      <c r="O221" s="14" t="s">
        <v>1357</v>
      </c>
      <c r="P221" s="14" t="s">
        <v>94</v>
      </c>
      <c r="Q221" s="14" t="s">
        <v>876</v>
      </c>
      <c r="R221" s="14" t="s">
        <v>1336</v>
      </c>
      <c r="S221" s="14" t="s">
        <v>453</v>
      </c>
      <c r="T221" s="14" t="s">
        <v>1211</v>
      </c>
      <c r="U221" s="14" t="s">
        <v>1567</v>
      </c>
      <c r="V221" s="14" t="s">
        <v>250</v>
      </c>
      <c r="W221" s="15" t="s">
        <v>113</v>
      </c>
      <c r="X221" s="15"/>
      <c r="Y221" s="14" t="s">
        <v>665</v>
      </c>
      <c r="Z221" s="14"/>
      <c r="AA221" s="14"/>
      <c r="AB221" s="14"/>
      <c r="AC221" s="14"/>
      <c r="AD221" s="14"/>
      <c r="AE221" s="16"/>
      <c r="AF221" s="14"/>
      <c r="AG221" s="16"/>
      <c r="AH221" s="16"/>
      <c r="AI221" s="16"/>
      <c r="AJ221" s="16"/>
      <c r="AK221" s="16"/>
      <c r="AL221" s="16"/>
      <c r="AM221" s="16" t="s">
        <v>960</v>
      </c>
      <c r="AN221" s="1" t="s">
        <v>1760</v>
      </c>
    </row>
  </sheetData>
  <autoFilter ref="A1:AO2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2023-11-25T13:55:14Z</dcterms:modified>
  <cp:category/>
</cp:coreProperties>
</file>